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947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54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958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33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5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4" localSheetId="1">Cotacao!$C$7:$C$113</definedName>
    <definedName name="DadosExternos_255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2">'Cotacao 2'!$C$7:$C$113</definedName>
    <definedName name="DadosExternos_370" localSheetId="3">'Cotacao 3'!$C$7:$C$8</definedName>
    <definedName name="DadosExternos_371" localSheetId="2">'Cotacao 2'!$C$7:$C$113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7" localSheetId="2">'Cotacao 2'!$C$7:$C$113</definedName>
    <definedName name="DadosExternos_377" localSheetId="3">'Cotacao 3'!$C$7:$C$8</definedName>
    <definedName name="DadosExternos_378" localSheetId="2">'Cotacao 2'!$C$7:$C$113</definedName>
    <definedName name="DadosExternos_378" localSheetId="3">'Cotacao 3'!$C$7:$C$10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0" localSheetId="3">'Cotacao 3'!$C$7:$C$28</definedName>
    <definedName name="DadosExternos_401" localSheetId="3">'Cotacao 3'!$C$7:$C$29</definedName>
    <definedName name="DadosExternos_402" localSheetId="3">'Cotacao 3'!$C$7:$C$30</definedName>
    <definedName name="DadosExternos_403" localSheetId="3">'Cotacao 3'!$C$7:$C$33</definedName>
    <definedName name="DadosExternos_404" localSheetId="3">'Cotacao 3'!$C$7:$C$35</definedName>
    <definedName name="DadosExternos_408" localSheetId="3">'Cotacao 3'!$C$7:$C$37</definedName>
    <definedName name="DadosExternos_409" localSheetId="3">'Cotacao 3'!$C$7:$C$39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0" localSheetId="3">'Cotacao 3'!$C$7:$C$41</definedName>
    <definedName name="DadosExternos_411" localSheetId="3">'Cotacao 3'!$C$7:$C$43</definedName>
    <definedName name="DadosExternos_414" localSheetId="3">'Cotacao 3'!$C$7:$C$45</definedName>
    <definedName name="DadosExternos_415" localSheetId="3">'Cotacao 3'!$C$7:$C$44</definedName>
    <definedName name="DadosExternos_416" localSheetId="3">'Cotacao 3'!$C$7:$C$47</definedName>
    <definedName name="DadosExternos_418" localSheetId="3">'Cotacao 3'!$C$7:$C$48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1" localSheetId="3">'Cotacao 3'!$C$7:$C$49</definedName>
    <definedName name="DadosExternos_423" localSheetId="3">'Cotacao 3'!$C$7:$C$50</definedName>
    <definedName name="DadosExternos_424" localSheetId="3">'Cotacao 3'!$C$7:$C$51</definedName>
    <definedName name="DadosExternos_425" localSheetId="3">'Cotacao 3'!$C$7:$C$54</definedName>
    <definedName name="DadosExternos_426" localSheetId="3">'Cotacao 3'!$C$7:$C$52</definedName>
    <definedName name="DadosExternos_428" localSheetId="3">'Cotacao 3'!$C$7:$C$53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1" localSheetId="3">'Cotacao 3'!$C$7:$C$55</definedName>
    <definedName name="DadosExternos_432" localSheetId="3">'Cotacao 3'!$C$7:$C$57</definedName>
    <definedName name="DadosExternos_433" localSheetId="3">'Cotacao 3'!$C$7:$C$58</definedName>
    <definedName name="DadosExternos_434" localSheetId="3">'Cotacao 3'!$C$7:$C$59</definedName>
    <definedName name="DadosExternos_435" localSheetId="3">'Cotacao 3'!$C$7:$C$62</definedName>
    <definedName name="DadosExternos_437" localSheetId="3">'Cotacao 3'!$C$7:$C$60</definedName>
    <definedName name="DadosExternos_438" localSheetId="3">'Cotacao 3'!$C$7:$C$61</definedName>
    <definedName name="DadosExternos_439" localSheetId="3">'Cotacao 3'!$C$7:$C$63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0" localSheetId="3">'Cotacao 3'!$C$7:$C$66</definedName>
    <definedName name="DadosExternos_441" localSheetId="3">'Cotacao 3'!$C$7:$C$64</definedName>
    <definedName name="DadosExternos_442" localSheetId="3">'Cotacao 3'!$C$7:$C$66</definedName>
    <definedName name="DadosExternos_444" localSheetId="3">'Cotacao 3'!$C$7:$C$68</definedName>
    <definedName name="DadosExternos_445" localSheetId="3">'Cotacao 3'!$C$7:$C$69</definedName>
    <definedName name="DadosExternos_446" localSheetId="3">'Cotacao 3'!$C$7:$C$70</definedName>
    <definedName name="DadosExternos_447" localSheetId="3">'Cotacao 3'!$C$7:$C$72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0" localSheetId="3">'Cotacao 3'!$C$7:$C$74</definedName>
    <definedName name="DadosExternos_451" localSheetId="3">'Cotacao 3'!$C$7:$C$74</definedName>
    <definedName name="DadosExternos_452" localSheetId="3">'Cotacao 3'!$C$7:$C$76</definedName>
    <definedName name="DadosExternos_453" localSheetId="3">'Cotacao 3'!$C$7:$C$76</definedName>
    <definedName name="DadosExternos_454" localSheetId="3">'Cotacao 3'!$C$7:$C$77</definedName>
    <definedName name="DadosExternos_455" localSheetId="3">'Cotacao 3'!$C$7:$C$79</definedName>
    <definedName name="DadosExternos_456" localSheetId="3">'Cotacao 3'!$C$7:$C$79</definedName>
    <definedName name="DadosExternos_457" localSheetId="3">'Cotacao 3'!$C$7:$C$80</definedName>
    <definedName name="DadosExternos_458" localSheetId="3">'Cotacao 3'!$C$7:$C$81</definedName>
    <definedName name="DadosExternos_459" localSheetId="3">'Cotacao 3'!$C$7:$C$81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0" localSheetId="3">'Cotacao 3'!$C$7:$C$82</definedName>
    <definedName name="DadosExternos_461" localSheetId="3">'Cotacao 3'!$C$7:$C$83</definedName>
    <definedName name="DadosExternos_462" localSheetId="3">'Cotacao 3'!$C$7:$C$84</definedName>
    <definedName name="DadosExternos_463" localSheetId="3">'Cotacao 3'!$C$7:$C$85</definedName>
    <definedName name="DadosExternos_464" localSheetId="3">'Cotacao 3'!$C$7:$C$86</definedName>
    <definedName name="DadosExternos_465" localSheetId="3">'Cotacao 3'!$C$7:$C$87</definedName>
    <definedName name="DadosExternos_466" localSheetId="3">'Cotacao 3'!$C$7:$C$87</definedName>
    <definedName name="DadosExternos_467" localSheetId="3">'Cotacao 3'!$C$7:$C$88</definedName>
    <definedName name="DadosExternos_468" localSheetId="3">'Cotacao 3'!$C$7:$C$88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5725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C300" i="1"/>
  <c r="O300"/>
  <c r="P300" s="1"/>
  <c r="Q300" s="1"/>
  <c r="C299"/>
  <c r="O299"/>
  <c r="P299" s="1"/>
  <c r="Q299" s="1"/>
  <c r="C298"/>
  <c r="O298"/>
  <c r="P298" s="1"/>
  <c r="Q298" s="1"/>
  <c r="C297"/>
  <c r="O297"/>
  <c r="P297" s="1"/>
  <c r="Q297" s="1"/>
  <c r="C296"/>
  <c r="O296"/>
  <c r="P296" s="1"/>
  <c r="Q296" s="1"/>
  <c r="C295"/>
  <c r="O295"/>
  <c r="P295" s="1"/>
  <c r="Q295" s="1"/>
  <c r="C294"/>
  <c r="O294"/>
  <c r="P294" s="1"/>
  <c r="Q294" s="1"/>
  <c r="C196"/>
  <c r="O196"/>
  <c r="P196" s="1"/>
  <c r="Q196" s="1"/>
  <c r="C293"/>
  <c r="O293"/>
  <c r="P293" s="1"/>
  <c r="Q293" s="1"/>
  <c r="C292"/>
  <c r="O292"/>
  <c r="P292" s="1"/>
  <c r="Q292" s="1"/>
  <c r="C291"/>
  <c r="O291"/>
  <c r="P291" s="1"/>
  <c r="Q291" s="1"/>
  <c r="C290"/>
  <c r="O290"/>
  <c r="P290" s="1"/>
  <c r="Q290" s="1"/>
  <c r="C41"/>
  <c r="O41"/>
  <c r="P41" s="1"/>
  <c r="Q41" s="1"/>
  <c r="R41" s="1"/>
  <c r="C42"/>
  <c r="O42"/>
  <c r="P42" s="1"/>
  <c r="Q42" s="1"/>
  <c r="R42" s="1"/>
  <c r="C287"/>
  <c r="O287"/>
  <c r="P287" s="1"/>
  <c r="Q287"/>
  <c r="R287" s="1"/>
  <c r="C286"/>
  <c r="O286"/>
  <c r="P286" s="1"/>
  <c r="Q286"/>
  <c r="R286" s="1"/>
  <c r="C161"/>
  <c r="O161"/>
  <c r="P161" s="1"/>
  <c r="Q161" s="1"/>
  <c r="R161" s="1"/>
  <c r="C160"/>
  <c r="O160"/>
  <c r="P160" s="1"/>
  <c r="Q160" s="1"/>
  <c r="R160" s="1"/>
  <c r="C285"/>
  <c r="O285"/>
  <c r="P285" s="1"/>
  <c r="Q285"/>
  <c r="R285" s="1"/>
  <c r="C284"/>
  <c r="O284"/>
  <c r="P284" s="1"/>
  <c r="Q284"/>
  <c r="R284" s="1"/>
  <c r="C250"/>
  <c r="O250"/>
  <c r="P250" s="1"/>
  <c r="Q250" s="1"/>
  <c r="R250" s="1"/>
  <c r="C249"/>
  <c r="O249"/>
  <c r="P249" s="1"/>
  <c r="Q249" s="1"/>
  <c r="R249" s="1"/>
  <c r="C206"/>
  <c r="O206"/>
  <c r="P206" s="1"/>
  <c r="Q206" s="1"/>
  <c r="R206" s="1"/>
  <c r="C205"/>
  <c r="O205"/>
  <c r="P205" s="1"/>
  <c r="Q205" s="1"/>
  <c r="R205" s="1"/>
  <c r="C195"/>
  <c r="O195"/>
  <c r="P195" s="1"/>
  <c r="Q195"/>
  <c r="R195" s="1"/>
  <c r="C194"/>
  <c r="O194"/>
  <c r="P194" s="1"/>
  <c r="Q194"/>
  <c r="R194" s="1"/>
  <c r="C217"/>
  <c r="O217"/>
  <c r="P217" s="1"/>
  <c r="Q217" s="1"/>
  <c r="R217" s="1"/>
  <c r="C140"/>
  <c r="O140"/>
  <c r="P140" s="1"/>
  <c r="Q140" s="1"/>
  <c r="R140" s="1"/>
  <c r="C252"/>
  <c r="O252"/>
  <c r="P252" s="1"/>
  <c r="Q252"/>
  <c r="R252" s="1"/>
  <c r="C38"/>
  <c r="O38"/>
  <c r="P38" s="1"/>
  <c r="Q38" s="1"/>
  <c r="R38" s="1"/>
  <c r="C147"/>
  <c r="O147"/>
  <c r="P147" s="1"/>
  <c r="Q147"/>
  <c r="R147" s="1"/>
  <c r="C193"/>
  <c r="O193"/>
  <c r="P193" s="1"/>
  <c r="Q193"/>
  <c r="R193" s="1"/>
  <c r="C192"/>
  <c r="O192"/>
  <c r="P192" s="1"/>
  <c r="Q192"/>
  <c r="R192" s="1"/>
  <c r="C247"/>
  <c r="O247"/>
  <c r="P247" s="1"/>
  <c r="Q247"/>
  <c r="R247" s="1"/>
  <c r="C246"/>
  <c r="O246"/>
  <c r="P246" s="1"/>
  <c r="Q246"/>
  <c r="R246" s="1"/>
  <c r="C245"/>
  <c r="O245"/>
  <c r="P245" s="1"/>
  <c r="Q245"/>
  <c r="R245" s="1"/>
  <c r="C190"/>
  <c r="O190"/>
  <c r="P190" s="1"/>
  <c r="Q190"/>
  <c r="R190" s="1"/>
  <c r="C279"/>
  <c r="O279"/>
  <c r="P279" s="1"/>
  <c r="Q279" s="1"/>
  <c r="R279" s="1"/>
  <c r="C63"/>
  <c r="O63"/>
  <c r="P63" s="1"/>
  <c r="Q63"/>
  <c r="R63" s="1"/>
  <c r="C198"/>
  <c r="O198"/>
  <c r="P198" s="1"/>
  <c r="Q198"/>
  <c r="R198" s="1"/>
  <c r="C146"/>
  <c r="O146"/>
  <c r="P146" s="1"/>
  <c r="Q146"/>
  <c r="R146" s="1"/>
  <c r="C225"/>
  <c r="O225"/>
  <c r="P225" s="1"/>
  <c r="Q225"/>
  <c r="R225" s="1"/>
  <c r="C157"/>
  <c r="O157"/>
  <c r="P157" s="1"/>
  <c r="Q157"/>
  <c r="R157" s="1"/>
  <c r="C264"/>
  <c r="O264"/>
  <c r="P264" s="1"/>
  <c r="Q264"/>
  <c r="R264" s="1"/>
  <c r="C263"/>
  <c r="O263"/>
  <c r="P263" s="1"/>
  <c r="Q263"/>
  <c r="R263" s="1"/>
  <c r="C262"/>
  <c r="O262"/>
  <c r="P262" s="1"/>
  <c r="Q262"/>
  <c r="R262" s="1"/>
  <c r="C211"/>
  <c r="O211"/>
  <c r="P211" s="1"/>
  <c r="Q211" s="1"/>
  <c r="R211" s="1"/>
  <c r="C266"/>
  <c r="O266"/>
  <c r="P266" s="1"/>
  <c r="Q266" s="1"/>
  <c r="R266" s="1"/>
  <c r="C114"/>
  <c r="O114"/>
  <c r="P114" s="1"/>
  <c r="Q114" s="1"/>
  <c r="R114" s="1"/>
  <c r="C113"/>
  <c r="O113"/>
  <c r="P113" s="1"/>
  <c r="Q113" s="1"/>
  <c r="R113" s="1"/>
  <c r="C187"/>
  <c r="O187"/>
  <c r="P187" s="1"/>
  <c r="Q187"/>
  <c r="R187" s="1"/>
  <c r="C186"/>
  <c r="O186"/>
  <c r="P186" s="1"/>
  <c r="Q186"/>
  <c r="R186" s="1"/>
  <c r="C142"/>
  <c r="C143"/>
  <c r="O142"/>
  <c r="P142" s="1"/>
  <c r="O143"/>
  <c r="P143" s="1"/>
  <c r="Q142"/>
  <c r="R142" s="1"/>
  <c r="Q143"/>
  <c r="R143" s="1"/>
  <c r="C155"/>
  <c r="O155"/>
  <c r="P155" s="1"/>
  <c r="Q155" s="1"/>
  <c r="R155" s="1"/>
  <c r="C154"/>
  <c r="O154"/>
  <c r="P154" s="1"/>
  <c r="Q154" s="1"/>
  <c r="R154" s="1"/>
  <c r="C153"/>
  <c r="O153"/>
  <c r="P153" s="1"/>
  <c r="Q153" s="1"/>
  <c r="R153" s="1"/>
  <c r="C152"/>
  <c r="O152"/>
  <c r="P152" s="1"/>
  <c r="Q152" s="1"/>
  <c r="R152" s="1"/>
  <c r="C278"/>
  <c r="O278"/>
  <c r="P278" s="1"/>
  <c r="Q278"/>
  <c r="R278" s="1"/>
  <c r="C277"/>
  <c r="O277"/>
  <c r="P277" s="1"/>
  <c r="Q277"/>
  <c r="R277" s="1"/>
  <c r="C276"/>
  <c r="O276"/>
  <c r="P276" s="1"/>
  <c r="Q276"/>
  <c r="R276" s="1"/>
  <c r="C105"/>
  <c r="O105"/>
  <c r="P105" s="1"/>
  <c r="Q105" s="1"/>
  <c r="R105" s="1"/>
  <c r="C202"/>
  <c r="O202"/>
  <c r="P202" s="1"/>
  <c r="Q202"/>
  <c r="R202" s="1"/>
  <c r="C233"/>
  <c r="O233"/>
  <c r="P233" s="1"/>
  <c r="Q233"/>
  <c r="R233" s="1"/>
  <c r="C232"/>
  <c r="O232"/>
  <c r="P232" s="1"/>
  <c r="Q232"/>
  <c r="R232" s="1"/>
  <c r="C199"/>
  <c r="O199"/>
  <c r="P199" s="1"/>
  <c r="Q199"/>
  <c r="R199" s="1"/>
  <c r="C212"/>
  <c r="O212"/>
  <c r="P212" s="1"/>
  <c r="Q212"/>
  <c r="R212" s="1"/>
  <c r="C168"/>
  <c r="O168"/>
  <c r="P168" s="1"/>
  <c r="Q168"/>
  <c r="R168" s="1"/>
  <c r="C21"/>
  <c r="O21"/>
  <c r="P21" s="1"/>
  <c r="Q21" s="1"/>
  <c r="R21" s="1"/>
  <c r="C268"/>
  <c r="O268"/>
  <c r="P268" s="1"/>
  <c r="Q268" s="1"/>
  <c r="R268" s="1"/>
  <c r="C244"/>
  <c r="O244"/>
  <c r="P244" s="1"/>
  <c r="Q244" s="1"/>
  <c r="R244" s="1"/>
  <c r="C260"/>
  <c r="O260"/>
  <c r="P260" s="1"/>
  <c r="Q260"/>
  <c r="R260" s="1"/>
  <c r="C259"/>
  <c r="O259"/>
  <c r="P259" s="1"/>
  <c r="Q259"/>
  <c r="R259" s="1"/>
  <c r="C181"/>
  <c r="O181"/>
  <c r="P181" s="1"/>
  <c r="Q181" s="1"/>
  <c r="R181" s="1"/>
  <c r="C163"/>
  <c r="O163"/>
  <c r="P163" s="1"/>
  <c r="Q163" s="1"/>
  <c r="R163" s="1"/>
  <c r="F170"/>
  <c r="F169"/>
  <c r="C213"/>
  <c r="O213"/>
  <c r="P213" s="1"/>
  <c r="Q213" s="1"/>
  <c r="R213" s="1"/>
  <c r="C241"/>
  <c r="O241"/>
  <c r="P241" s="1"/>
  <c r="Q241" s="1"/>
  <c r="R241" s="1"/>
  <c r="C236"/>
  <c r="O236"/>
  <c r="P236" s="1"/>
  <c r="Q236" s="1"/>
  <c r="R236" s="1"/>
  <c r="C235"/>
  <c r="O235"/>
  <c r="P235" s="1"/>
  <c r="Q235" s="1"/>
  <c r="R235" s="1"/>
  <c r="C234"/>
  <c r="O234"/>
  <c r="P234" s="1"/>
  <c r="Q234" s="1"/>
  <c r="R234" s="1"/>
  <c r="C32"/>
  <c r="O32"/>
  <c r="P32" s="1"/>
  <c r="Q32" s="1"/>
  <c r="R32" s="1"/>
  <c r="C34"/>
  <c r="O34"/>
  <c r="P34" s="1"/>
  <c r="Q34"/>
  <c r="R34" s="1"/>
  <c r="C33"/>
  <c r="O33"/>
  <c r="P33" s="1"/>
  <c r="Q33"/>
  <c r="R33" s="1"/>
  <c r="C27"/>
  <c r="O27"/>
  <c r="P27" s="1"/>
  <c r="Q27"/>
  <c r="R27" s="1"/>
  <c r="C26"/>
  <c r="O26"/>
  <c r="P26" s="1"/>
  <c r="Q26"/>
  <c r="R26" s="1"/>
  <c r="C165"/>
  <c r="O165"/>
  <c r="P165" s="1"/>
  <c r="Q165"/>
  <c r="R165" s="1"/>
  <c r="C164"/>
  <c r="O164"/>
  <c r="P164" s="1"/>
  <c r="Q164"/>
  <c r="R164" s="1"/>
  <c r="C110"/>
  <c r="O110"/>
  <c r="P110" s="1"/>
  <c r="Q110" s="1"/>
  <c r="R110" s="1"/>
  <c r="M172" i="17"/>
  <c r="L172"/>
  <c r="K172"/>
  <c r="T156" s="1"/>
  <c r="J172"/>
  <c r="S156" s="1"/>
  <c r="M171"/>
  <c r="V155" s="1"/>
  <c r="L171"/>
  <c r="K171"/>
  <c r="T155" s="1"/>
  <c r="J171"/>
  <c r="S155" s="1"/>
  <c r="M170"/>
  <c r="L170"/>
  <c r="K170"/>
  <c r="J170"/>
  <c r="M169"/>
  <c r="L169"/>
  <c r="K169"/>
  <c r="T153" s="1"/>
  <c r="J169"/>
  <c r="M168"/>
  <c r="L168"/>
  <c r="K168"/>
  <c r="T152" s="1"/>
  <c r="J168"/>
  <c r="S152" s="1"/>
  <c r="M167"/>
  <c r="V151" s="1"/>
  <c r="L167"/>
  <c r="K167"/>
  <c r="T151" s="1"/>
  <c r="J167"/>
  <c r="S151" s="1"/>
  <c r="M166"/>
  <c r="L166"/>
  <c r="K166"/>
  <c r="T150" s="1"/>
  <c r="J166"/>
  <c r="M165"/>
  <c r="L165"/>
  <c r="K165"/>
  <c r="T149" s="1"/>
  <c r="J165"/>
  <c r="M164"/>
  <c r="L164"/>
  <c r="K164"/>
  <c r="T148" s="1"/>
  <c r="J164"/>
  <c r="S148" s="1"/>
  <c r="M163"/>
  <c r="V147" s="1"/>
  <c r="L163"/>
  <c r="K163"/>
  <c r="T147" s="1"/>
  <c r="J163"/>
  <c r="S147" s="1"/>
  <c r="M162"/>
  <c r="L162"/>
  <c r="K162"/>
  <c r="J162"/>
  <c r="M161"/>
  <c r="L161"/>
  <c r="K161"/>
  <c r="T145" s="1"/>
  <c r="J161"/>
  <c r="M160"/>
  <c r="L160"/>
  <c r="K160"/>
  <c r="T144" s="1"/>
  <c r="J160"/>
  <c r="S144" s="1"/>
  <c r="M159"/>
  <c r="V143" s="1"/>
  <c r="L159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J158"/>
  <c r="V157"/>
  <c r="U157"/>
  <c r="T157"/>
  <c r="S157"/>
  <c r="R157"/>
  <c r="Q157"/>
  <c r="P157"/>
  <c r="M157"/>
  <c r="L157"/>
  <c r="U141" s="1"/>
  <c r="K157"/>
  <c r="T141" s="1"/>
  <c r="J157"/>
  <c r="V156"/>
  <c r="U156"/>
  <c r="R156"/>
  <c r="Q156"/>
  <c r="P156"/>
  <c r="M156"/>
  <c r="L156"/>
  <c r="K156"/>
  <c r="T140" s="1"/>
  <c r="J156"/>
  <c r="S140" s="1"/>
  <c r="U155"/>
  <c r="R155"/>
  <c r="Q155"/>
  <c r="P155"/>
  <c r="M155"/>
  <c r="V139" s="1"/>
  <c r="L155"/>
  <c r="K155"/>
  <c r="J155"/>
  <c r="S139" s="1"/>
  <c r="V154"/>
  <c r="U154"/>
  <c r="T154"/>
  <c r="S154"/>
  <c r="R154"/>
  <c r="Q154"/>
  <c r="P154"/>
  <c r="M154"/>
  <c r="V138" s="1"/>
  <c r="L154"/>
  <c r="U138" s="1"/>
  <c r="K154"/>
  <c r="J154"/>
  <c r="S138" s="1"/>
  <c r="V153"/>
  <c r="U153"/>
  <c r="S153"/>
  <c r="R153"/>
  <c r="Q153"/>
  <c r="P153"/>
  <c r="M153"/>
  <c r="L153"/>
  <c r="U137" s="1"/>
  <c r="K153"/>
  <c r="T137" s="1"/>
  <c r="J153"/>
  <c r="V152"/>
  <c r="U152"/>
  <c r="R152"/>
  <c r="Q152"/>
  <c r="P152"/>
  <c r="M152"/>
  <c r="L152"/>
  <c r="U136" s="1"/>
  <c r="K152"/>
  <c r="T136" s="1"/>
  <c r="J152"/>
  <c r="S136" s="1"/>
  <c r="U151"/>
  <c r="R151"/>
  <c r="Q151"/>
  <c r="P151"/>
  <c r="M151"/>
  <c r="V135" s="1"/>
  <c r="L151"/>
  <c r="K151"/>
  <c r="J151"/>
  <c r="S135" s="1"/>
  <c r="V150"/>
  <c r="U150"/>
  <c r="S150"/>
  <c r="R150"/>
  <c r="Q150"/>
  <c r="P150"/>
  <c r="M150"/>
  <c r="V134" s="1"/>
  <c r="L150"/>
  <c r="U134" s="1"/>
  <c r="K150"/>
  <c r="J150"/>
  <c r="V149"/>
  <c r="U149"/>
  <c r="S149"/>
  <c r="R149"/>
  <c r="Q149"/>
  <c r="P149"/>
  <c r="M149"/>
  <c r="L149"/>
  <c r="U133" s="1"/>
  <c r="K149"/>
  <c r="T133" s="1"/>
  <c r="J149"/>
  <c r="V148"/>
  <c r="U148"/>
  <c r="R148"/>
  <c r="Q148"/>
  <c r="P148"/>
  <c r="M148"/>
  <c r="L148"/>
  <c r="U132" s="1"/>
  <c r="K148"/>
  <c r="T132" s="1"/>
  <c r="J148"/>
  <c r="U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S145"/>
  <c r="R145"/>
  <c r="Q145"/>
  <c r="P145"/>
  <c r="M145"/>
  <c r="L145"/>
  <c r="K145"/>
  <c r="J145"/>
  <c r="V144"/>
  <c r="U144"/>
  <c r="R144"/>
  <c r="Q144"/>
  <c r="P144"/>
  <c r="M144"/>
  <c r="L144"/>
  <c r="K144"/>
  <c r="J144"/>
  <c r="U143"/>
  <c r="R143"/>
  <c r="Q143"/>
  <c r="P143"/>
  <c r="M143"/>
  <c r="L143"/>
  <c r="K143"/>
  <c r="J143"/>
  <c r="T142"/>
  <c r="S142"/>
  <c r="R142"/>
  <c r="Q142"/>
  <c r="P142"/>
  <c r="M142"/>
  <c r="L142"/>
  <c r="K142"/>
  <c r="J142"/>
  <c r="V141"/>
  <c r="S141"/>
  <c r="R141"/>
  <c r="Q141"/>
  <c r="P141"/>
  <c r="M141"/>
  <c r="L141"/>
  <c r="K141"/>
  <c r="J141"/>
  <c r="V140"/>
  <c r="U140"/>
  <c r="R140"/>
  <c r="Q140"/>
  <c r="P140"/>
  <c r="M140"/>
  <c r="L140"/>
  <c r="K140"/>
  <c r="J140"/>
  <c r="U139"/>
  <c r="T139"/>
  <c r="R139"/>
  <c r="Q139"/>
  <c r="P139"/>
  <c r="M139"/>
  <c r="L139"/>
  <c r="K139"/>
  <c r="J139"/>
  <c r="T138"/>
  <c r="R138"/>
  <c r="Q138"/>
  <c r="P138"/>
  <c r="M138"/>
  <c r="L138"/>
  <c r="K138"/>
  <c r="J138"/>
  <c r="V137"/>
  <c r="S137"/>
  <c r="R137"/>
  <c r="Q137"/>
  <c r="P137"/>
  <c r="M137"/>
  <c r="L137"/>
  <c r="K137"/>
  <c r="J137"/>
  <c r="V136"/>
  <c r="R136"/>
  <c r="Q136"/>
  <c r="P136"/>
  <c r="M136"/>
  <c r="L136"/>
  <c r="K136"/>
  <c r="J136"/>
  <c r="U135"/>
  <c r="T135"/>
  <c r="R135"/>
  <c r="Q135"/>
  <c r="P135"/>
  <c r="M135"/>
  <c r="L135"/>
  <c r="K135"/>
  <c r="T131" s="1"/>
  <c r="J135"/>
  <c r="T134"/>
  <c r="S134"/>
  <c r="R134"/>
  <c r="Q134"/>
  <c r="P134"/>
  <c r="M134"/>
  <c r="V130" s="1"/>
  <c r="L134"/>
  <c r="K134"/>
  <c r="J134"/>
  <c r="S130" s="1"/>
  <c r="V133"/>
  <c r="S133"/>
  <c r="R133"/>
  <c r="Q133"/>
  <c r="P133"/>
  <c r="A133"/>
  <c r="V132"/>
  <c r="S132"/>
  <c r="R132"/>
  <c r="Q132"/>
  <c r="P132"/>
  <c r="A132"/>
  <c r="V131"/>
  <c r="U131"/>
  <c r="S131"/>
  <c r="R131"/>
  <c r="Q131"/>
  <c r="A131"/>
  <c r="M131" s="1"/>
  <c r="V127" s="1"/>
  <c r="U130"/>
  <c r="T130"/>
  <c r="R130"/>
  <c r="Q130"/>
  <c r="A130"/>
  <c r="M130" s="1"/>
  <c r="V126" s="1"/>
  <c r="Q129"/>
  <c r="A129"/>
  <c r="A128"/>
  <c r="R127"/>
  <c r="Q127"/>
  <c r="A127"/>
  <c r="M127" s="1"/>
  <c r="V123" s="1"/>
  <c r="R126"/>
  <c r="Q126"/>
  <c r="A126"/>
  <c r="M126" s="1"/>
  <c r="V122" s="1"/>
  <c r="Q125"/>
  <c r="A125"/>
  <c r="A124"/>
  <c r="R123"/>
  <c r="Q123"/>
  <c r="A123"/>
  <c r="M123" s="1"/>
  <c r="V119" s="1"/>
  <c r="R122"/>
  <c r="Q122"/>
  <c r="A122"/>
  <c r="M122" s="1"/>
  <c r="V118" s="1"/>
  <c r="Q121"/>
  <c r="A121"/>
  <c r="M121" s="1"/>
  <c r="V117" s="1"/>
  <c r="M120"/>
  <c r="V116" s="1"/>
  <c r="L120"/>
  <c r="U116" s="1"/>
  <c r="K120"/>
  <c r="J120"/>
  <c r="R119"/>
  <c r="Q119"/>
  <c r="M119"/>
  <c r="L119"/>
  <c r="K119"/>
  <c r="T115" s="1"/>
  <c r="J119"/>
  <c r="S115" s="1"/>
  <c r="R118"/>
  <c r="M118"/>
  <c r="V114" s="1"/>
  <c r="L118"/>
  <c r="U114" s="1"/>
  <c r="K118"/>
  <c r="J118"/>
  <c r="R117"/>
  <c r="M117"/>
  <c r="L117"/>
  <c r="K117"/>
  <c r="T113" s="1"/>
  <c r="J117"/>
  <c r="S113" s="1"/>
  <c r="T116"/>
  <c r="S116"/>
  <c r="R116"/>
  <c r="Q116"/>
  <c r="M116"/>
  <c r="L116"/>
  <c r="K116"/>
  <c r="J116"/>
  <c r="V115"/>
  <c r="U115"/>
  <c r="R115"/>
  <c r="Q115"/>
  <c r="M115"/>
  <c r="L115"/>
  <c r="K115"/>
  <c r="J115"/>
  <c r="T114"/>
  <c r="S114"/>
  <c r="R114"/>
  <c r="Q114"/>
  <c r="M114"/>
  <c r="L114"/>
  <c r="K114"/>
  <c r="J114"/>
  <c r="V113"/>
  <c r="U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78" i="1"/>
  <c r="C179"/>
  <c r="O178"/>
  <c r="P178" s="1"/>
  <c r="O179"/>
  <c r="P179" s="1"/>
  <c r="Q178"/>
  <c r="R178" s="1"/>
  <c r="Q179"/>
  <c r="R179" s="1"/>
  <c r="C189"/>
  <c r="O189"/>
  <c r="P189" s="1"/>
  <c r="Q189"/>
  <c r="R189" s="1"/>
  <c r="C188"/>
  <c r="O188"/>
  <c r="P188" s="1"/>
  <c r="Q188"/>
  <c r="R188" s="1"/>
  <c r="C115"/>
  <c r="O115"/>
  <c r="P115" s="1"/>
  <c r="Q115" s="1"/>
  <c r="R115" s="1"/>
  <c r="C167"/>
  <c r="O167"/>
  <c r="P167" s="1"/>
  <c r="Q167"/>
  <c r="R167" s="1"/>
  <c r="C72"/>
  <c r="O72"/>
  <c r="P72" s="1"/>
  <c r="Q72" s="1"/>
  <c r="R72" s="1"/>
  <c r="C84"/>
  <c r="O84"/>
  <c r="P84" s="1"/>
  <c r="Q84" s="1"/>
  <c r="R84" s="1"/>
  <c r="C83"/>
  <c r="O83"/>
  <c r="P83" s="1"/>
  <c r="Q83" s="1"/>
  <c r="R83" s="1"/>
  <c r="C60"/>
  <c r="O60"/>
  <c r="P60" s="1"/>
  <c r="Q60" s="1"/>
  <c r="R60" s="1"/>
  <c r="C257"/>
  <c r="O257"/>
  <c r="P257" s="1"/>
  <c r="Q257" s="1"/>
  <c r="R257" s="1"/>
  <c r="C256"/>
  <c r="O256"/>
  <c r="P256" s="1"/>
  <c r="Q256" s="1"/>
  <c r="R256" s="1"/>
  <c r="C228"/>
  <c r="O228"/>
  <c r="P228" s="1"/>
  <c r="Q228"/>
  <c r="R228" s="1"/>
  <c r="C226"/>
  <c r="C227"/>
  <c r="O226"/>
  <c r="P226" s="1"/>
  <c r="Q226" s="1"/>
  <c r="R226" s="1"/>
  <c r="O227"/>
  <c r="P227" s="1"/>
  <c r="Q227"/>
  <c r="R227" s="1"/>
  <c r="C224"/>
  <c r="O224"/>
  <c r="P224" s="1"/>
  <c r="Q224"/>
  <c r="R224" s="1"/>
  <c r="C223"/>
  <c r="O223"/>
  <c r="P223" s="1"/>
  <c r="Q223"/>
  <c r="R223" s="1"/>
  <c r="C131"/>
  <c r="O131"/>
  <c r="P131" s="1"/>
  <c r="Q131"/>
  <c r="R131" s="1"/>
  <c r="C128"/>
  <c r="O128"/>
  <c r="P128" s="1"/>
  <c r="Q128" s="1"/>
  <c r="R128" s="1"/>
  <c r="C120"/>
  <c r="O120"/>
  <c r="P120" s="1"/>
  <c r="Q120" s="1"/>
  <c r="R120" s="1"/>
  <c r="C119"/>
  <c r="O119"/>
  <c r="P119" s="1"/>
  <c r="Q119" s="1"/>
  <c r="R119" s="1"/>
  <c r="C71"/>
  <c r="O71"/>
  <c r="P71" s="1"/>
  <c r="Q71"/>
  <c r="R71" s="1"/>
  <c r="C70"/>
  <c r="O70"/>
  <c r="P70" s="1"/>
  <c r="Q70"/>
  <c r="R70" s="1"/>
  <c r="C137"/>
  <c r="O137"/>
  <c r="P137" s="1"/>
  <c r="Q137" s="1"/>
  <c r="R137" s="1"/>
  <c r="C136"/>
  <c r="O136"/>
  <c r="P136" s="1"/>
  <c r="Q136" s="1"/>
  <c r="R136" s="1"/>
  <c r="C94"/>
  <c r="O94"/>
  <c r="P94" s="1"/>
  <c r="Q94" s="1"/>
  <c r="R94" s="1"/>
  <c r="C77"/>
  <c r="O77"/>
  <c r="P77" s="1"/>
  <c r="Q77" s="1"/>
  <c r="R77" s="1"/>
  <c r="C69"/>
  <c r="O69"/>
  <c r="P69" s="1"/>
  <c r="Q69" s="1"/>
  <c r="R69" s="1"/>
  <c r="C156"/>
  <c r="O156"/>
  <c r="P156" s="1"/>
  <c r="Q156" s="1"/>
  <c r="R156" s="1"/>
  <c r="C76"/>
  <c r="O76"/>
  <c r="P76" s="1"/>
  <c r="Q76"/>
  <c r="R76" s="1"/>
  <c r="C75"/>
  <c r="O75"/>
  <c r="P75" s="1"/>
  <c r="Q75"/>
  <c r="R75" s="1"/>
  <c r="C74"/>
  <c r="O74"/>
  <c r="P74" s="1"/>
  <c r="Q74"/>
  <c r="R74" s="1"/>
  <c r="C73"/>
  <c r="O73"/>
  <c r="P73" s="1"/>
  <c r="Q73"/>
  <c r="R73" s="1"/>
  <c r="C88"/>
  <c r="O88"/>
  <c r="P88" s="1"/>
  <c r="Q88" s="1"/>
  <c r="R88" s="1"/>
  <c r="C124"/>
  <c r="O124"/>
  <c r="P124" s="1"/>
  <c r="Q124"/>
  <c r="R124" s="1"/>
  <c r="C61"/>
  <c r="O61"/>
  <c r="P61" s="1"/>
  <c r="Q61" s="1"/>
  <c r="R61" s="1"/>
  <c r="C12"/>
  <c r="O12"/>
  <c r="P12" s="1"/>
  <c r="Q12" s="1"/>
  <c r="R12" s="1"/>
  <c r="C11"/>
  <c r="O11"/>
  <c r="P11" s="1"/>
  <c r="Q11" s="1"/>
  <c r="R11" s="1"/>
  <c r="C10"/>
  <c r="O10"/>
  <c r="P10" s="1"/>
  <c r="Q10" s="1"/>
  <c r="R10" s="1"/>
  <c r="C5"/>
  <c r="O5"/>
  <c r="P5" s="1"/>
  <c r="Q5" s="1"/>
  <c r="R5" s="1"/>
  <c r="C8"/>
  <c r="O8"/>
  <c r="P8" s="1"/>
  <c r="Q8" s="1"/>
  <c r="R8" s="1"/>
  <c r="C7"/>
  <c r="O7"/>
  <c r="P7" s="1"/>
  <c r="Q7" s="1"/>
  <c r="R7" s="1"/>
  <c r="C6"/>
  <c r="O6"/>
  <c r="P6" s="1"/>
  <c r="Q6" s="1"/>
  <c r="R6" s="1"/>
  <c r="C2"/>
  <c r="O2"/>
  <c r="P2" s="1"/>
  <c r="Q2" s="1"/>
  <c r="L593" i="12"/>
  <c r="M593"/>
  <c r="I574"/>
  <c r="I577"/>
  <c r="L574"/>
  <c r="L577"/>
  <c r="M577" s="1"/>
  <c r="M574"/>
  <c r="I573"/>
  <c r="I576"/>
  <c r="L573"/>
  <c r="M573" s="1"/>
  <c r="L576"/>
  <c r="M576"/>
  <c r="L575"/>
  <c r="M575" s="1"/>
  <c r="L572"/>
  <c r="M572"/>
  <c r="X54" i="1"/>
  <c r="C43"/>
  <c r="O43"/>
  <c r="P43" s="1"/>
  <c r="Q43" s="1"/>
  <c r="R300" l="1"/>
  <c r="R299"/>
  <c r="R298"/>
  <c r="R297"/>
  <c r="R296"/>
  <c r="R295"/>
  <c r="R294"/>
  <c r="R196"/>
  <c r="R293"/>
  <c r="R292"/>
  <c r="R291"/>
  <c r="R290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R43" i="1"/>
  <c r="R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80" i="1"/>
  <c r="O280"/>
  <c r="P280" s="1"/>
  <c r="Q280" s="1"/>
  <c r="AP300" l="1"/>
  <c r="AP299"/>
  <c r="AP298"/>
  <c r="AP297"/>
  <c r="AP296"/>
  <c r="AP295"/>
  <c r="AP294"/>
  <c r="AP196"/>
  <c r="AP293"/>
  <c r="AP290"/>
  <c r="AP291"/>
  <c r="AP292"/>
  <c r="AP41"/>
  <c r="AP42"/>
  <c r="AP287"/>
  <c r="AP286"/>
  <c r="AP161"/>
  <c r="AP160"/>
  <c r="AP285"/>
  <c r="AP284"/>
  <c r="AP250"/>
  <c r="AP249"/>
  <c r="AP206"/>
  <c r="AP205"/>
  <c r="AP195"/>
  <c r="AP194"/>
  <c r="AP217"/>
  <c r="AP140"/>
  <c r="AP252"/>
  <c r="AP38"/>
  <c r="AP147"/>
  <c r="AP193"/>
  <c r="AP192"/>
  <c r="AP247"/>
  <c r="AP246"/>
  <c r="AP245"/>
  <c r="AP190"/>
  <c r="AP279"/>
  <c r="AP63"/>
  <c r="AP198"/>
  <c r="AP146"/>
  <c r="AP225"/>
  <c r="AP157"/>
  <c r="AP264"/>
  <c r="AP263"/>
  <c r="AP262"/>
  <c r="AP211"/>
  <c r="AP266"/>
  <c r="AP114"/>
  <c r="AP113"/>
  <c r="AP187"/>
  <c r="AP186"/>
  <c r="AP142"/>
  <c r="AP143"/>
  <c r="R280"/>
  <c r="AP155"/>
  <c r="AP154"/>
  <c r="AP153"/>
  <c r="AP152"/>
  <c r="AP278"/>
  <c r="AP277"/>
  <c r="AP276"/>
  <c r="AP105"/>
  <c r="AP202"/>
  <c r="AP233"/>
  <c r="AP232"/>
  <c r="AP199"/>
  <c r="AP212"/>
  <c r="AP168"/>
  <c r="AP21"/>
  <c r="AP268"/>
  <c r="AP244"/>
  <c r="AP260"/>
  <c r="AP259"/>
  <c r="AP181"/>
  <c r="AP163"/>
  <c r="AP213"/>
  <c r="AP241"/>
  <c r="AP236"/>
  <c r="AP235"/>
  <c r="AP234"/>
  <c r="AP32"/>
  <c r="AP34"/>
  <c r="AP33"/>
  <c r="AP27"/>
  <c r="AP26"/>
  <c r="AP165"/>
  <c r="AP164"/>
  <c r="AP110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100"/>
  <c r="AP39"/>
  <c r="AP40"/>
  <c r="AP201"/>
  <c r="AP90"/>
  <c r="AP91"/>
  <c r="AP44"/>
  <c r="AP45"/>
  <c r="AP46"/>
  <c r="AP185"/>
  <c r="AP48"/>
  <c r="AP49"/>
  <c r="AP289"/>
  <c r="AP51"/>
  <c r="AP52"/>
  <c r="AP53"/>
  <c r="AP54"/>
  <c r="AP55"/>
  <c r="AP56"/>
  <c r="AP57"/>
  <c r="AP58"/>
  <c r="AP59"/>
  <c r="AP60"/>
  <c r="AP61"/>
  <c r="AP62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9"/>
  <c r="AP82"/>
  <c r="AP83"/>
  <c r="AP84"/>
  <c r="AP85"/>
  <c r="AP86"/>
  <c r="AP87"/>
  <c r="AP88"/>
  <c r="AP288"/>
  <c r="AP273"/>
  <c r="AP174"/>
  <c r="AP92"/>
  <c r="AP93"/>
  <c r="AP94"/>
  <c r="AP95"/>
  <c r="AP96"/>
  <c r="AP81"/>
  <c r="AP98"/>
  <c r="AP99"/>
  <c r="AP97"/>
  <c r="AP101"/>
  <c r="AP102"/>
  <c r="AP103"/>
  <c r="AP104"/>
  <c r="AP106"/>
  <c r="AP107"/>
  <c r="AP108"/>
  <c r="AP109"/>
  <c r="AP111"/>
  <c r="AP112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1"/>
  <c r="AP144"/>
  <c r="AP145"/>
  <c r="AP148"/>
  <c r="AP149"/>
  <c r="AP150"/>
  <c r="AP151"/>
  <c r="AP156"/>
  <c r="AP158"/>
  <c r="AP159"/>
  <c r="AP162"/>
  <c r="AP166"/>
  <c r="AP169"/>
  <c r="AP170"/>
  <c r="AP171"/>
  <c r="AP172"/>
  <c r="AP173"/>
  <c r="AP175"/>
  <c r="AP176"/>
  <c r="AP177"/>
  <c r="AP180"/>
  <c r="AP182"/>
  <c r="AP183"/>
  <c r="AP184"/>
  <c r="AP275"/>
  <c r="AP191"/>
  <c r="AP197"/>
  <c r="AP200"/>
  <c r="AP274"/>
  <c r="AP203"/>
  <c r="AP204"/>
  <c r="AP207"/>
  <c r="AP208"/>
  <c r="AP209"/>
  <c r="AP210"/>
  <c r="AP214"/>
  <c r="AP215"/>
  <c r="AP216"/>
  <c r="AP218"/>
  <c r="AP219"/>
  <c r="AP220"/>
  <c r="AP221"/>
  <c r="AP222"/>
  <c r="AP223"/>
  <c r="AP224"/>
  <c r="AP226"/>
  <c r="AP227"/>
  <c r="AP228"/>
  <c r="AP229"/>
  <c r="AP230"/>
  <c r="AP231"/>
  <c r="AP237"/>
  <c r="AP238"/>
  <c r="AP239"/>
  <c r="AP240"/>
  <c r="AP242"/>
  <c r="AP243"/>
  <c r="AP248"/>
  <c r="AP251"/>
  <c r="AP253"/>
  <c r="AP254"/>
  <c r="AP255"/>
  <c r="AP256"/>
  <c r="AP257"/>
  <c r="AP258"/>
  <c r="AP261"/>
  <c r="AP167"/>
  <c r="AP267"/>
  <c r="AP269"/>
  <c r="AP270"/>
  <c r="AP271"/>
  <c r="AP272"/>
  <c r="AP47"/>
  <c r="AP50"/>
  <c r="AP43"/>
  <c r="AP280"/>
  <c r="AP281"/>
  <c r="AP282"/>
  <c r="AP283"/>
  <c r="AP265"/>
  <c r="AP188"/>
  <c r="AP189"/>
  <c r="AP178"/>
  <c r="AP179"/>
  <c r="C281"/>
  <c r="O281"/>
  <c r="P281" s="1"/>
  <c r="Q281" s="1"/>
  <c r="T281"/>
  <c r="U281"/>
  <c r="R281" l="1"/>
  <c r="AB281"/>
  <c r="AG281"/>
  <c r="C282"/>
  <c r="O282"/>
  <c r="P282" s="1"/>
  <c r="Q282" s="1"/>
  <c r="R282" l="1"/>
  <c r="C283"/>
  <c r="O283"/>
  <c r="P283" s="1"/>
  <c r="Q283" s="1"/>
  <c r="R283" l="1"/>
  <c r="C210"/>
  <c r="O210"/>
  <c r="P210" s="1"/>
  <c r="Q210" s="1"/>
  <c r="R210" l="1"/>
  <c r="C214"/>
  <c r="O214"/>
  <c r="P214" s="1"/>
  <c r="Q214" s="1"/>
  <c r="R214" l="1"/>
  <c r="C215"/>
  <c r="O215"/>
  <c r="P215" s="1"/>
  <c r="Q215" s="1"/>
  <c r="R215" l="1"/>
  <c r="C216"/>
  <c r="O216"/>
  <c r="P216" s="1"/>
  <c r="Q216" s="1"/>
  <c r="R216" l="1"/>
  <c r="C218"/>
  <c r="O218"/>
  <c r="P218" s="1"/>
  <c r="Q218" s="1"/>
  <c r="R218" l="1"/>
  <c r="C219"/>
  <c r="O219"/>
  <c r="P219" s="1"/>
  <c r="Q219" s="1"/>
  <c r="R219" l="1"/>
  <c r="C220"/>
  <c r="O220"/>
  <c r="P220" s="1"/>
  <c r="Q220" s="1"/>
  <c r="R220" l="1"/>
  <c r="C221"/>
  <c r="O221"/>
  <c r="P221" s="1"/>
  <c r="Q221" s="1"/>
  <c r="R221" l="1"/>
  <c r="C222"/>
  <c r="O222"/>
  <c r="P222" s="1"/>
  <c r="Q222" s="1"/>
  <c r="R222" l="1"/>
  <c r="C229"/>
  <c r="O229"/>
  <c r="P229" s="1"/>
  <c r="Q229" s="1"/>
  <c r="R229" l="1"/>
  <c r="C230"/>
  <c r="O230"/>
  <c r="P230" s="1"/>
  <c r="Q230" s="1"/>
  <c r="R230" l="1"/>
  <c r="C231"/>
  <c r="O231"/>
  <c r="P231" s="1"/>
  <c r="Q231" s="1"/>
  <c r="R231" l="1"/>
  <c r="C237"/>
  <c r="O237"/>
  <c r="P237" s="1"/>
  <c r="Q237" s="1"/>
  <c r="R237" l="1"/>
  <c r="C238"/>
  <c r="O238"/>
  <c r="P238" s="1"/>
  <c r="Q238" s="1"/>
  <c r="R238" l="1"/>
  <c r="C239"/>
  <c r="O239"/>
  <c r="P239" s="1"/>
  <c r="Q239" s="1"/>
  <c r="R239" l="1"/>
  <c r="C240"/>
  <c r="O240"/>
  <c r="P240" s="1"/>
  <c r="Q240" s="1"/>
  <c r="T240"/>
  <c r="U240"/>
  <c r="R240" l="1"/>
  <c r="AB240"/>
  <c r="AG240"/>
  <c r="C242"/>
  <c r="O242"/>
  <c r="P242" s="1"/>
  <c r="Q242" s="1"/>
  <c r="R242" l="1"/>
  <c r="C243"/>
  <c r="O243"/>
  <c r="P243" s="1"/>
  <c r="Q243" s="1"/>
  <c r="T243"/>
  <c r="U243"/>
  <c r="R243" l="1"/>
  <c r="AB243"/>
  <c r="AG243"/>
  <c r="C248"/>
  <c r="O248"/>
  <c r="P248" s="1"/>
  <c r="Q248" s="1"/>
  <c r="R248" l="1"/>
  <c r="C251"/>
  <c r="O251"/>
  <c r="P251" s="1"/>
  <c r="Q251" s="1"/>
  <c r="R251" l="1"/>
  <c r="C253"/>
  <c r="O253"/>
  <c r="P253" s="1"/>
  <c r="Q253"/>
  <c r="R253" l="1"/>
  <c r="C254"/>
  <c r="O254"/>
  <c r="P254" s="1"/>
  <c r="Q254"/>
  <c r="R254" l="1"/>
  <c r="C255"/>
  <c r="O255"/>
  <c r="P255" s="1"/>
  <c r="Q255" s="1"/>
  <c r="R255" l="1"/>
  <c r="C258"/>
  <c r="O258"/>
  <c r="P258" s="1"/>
  <c r="Q258" s="1"/>
  <c r="R258" l="1"/>
  <c r="C261"/>
  <c r="O261"/>
  <c r="P261" s="1"/>
  <c r="Q261" s="1"/>
  <c r="T261"/>
  <c r="U261"/>
  <c r="R261" l="1"/>
  <c r="AB261"/>
  <c r="AG261"/>
  <c r="C265"/>
  <c r="O265"/>
  <c r="P265" s="1"/>
  <c r="Q265" s="1"/>
  <c r="R265" l="1"/>
  <c r="C267"/>
  <c r="O267"/>
  <c r="P267" s="1"/>
  <c r="Q267" s="1"/>
  <c r="R267" l="1"/>
  <c r="C269"/>
  <c r="O269"/>
  <c r="P269" s="1"/>
  <c r="Q269"/>
  <c r="R269" l="1"/>
  <c r="C270"/>
  <c r="O270"/>
  <c r="P270" s="1"/>
  <c r="Q270"/>
  <c r="R270" l="1"/>
  <c r="C271"/>
  <c r="O271"/>
  <c r="P271" s="1"/>
  <c r="Q271" s="1"/>
  <c r="R271" l="1"/>
  <c r="C272"/>
  <c r="O272"/>
  <c r="P272" s="1"/>
  <c r="Q272" s="1"/>
  <c r="R272" l="1"/>
  <c r="C3"/>
  <c r="O3"/>
  <c r="P3" s="1"/>
  <c r="Q3" s="1"/>
  <c r="R3" l="1"/>
  <c r="C4"/>
  <c r="O4"/>
  <c r="P4" s="1"/>
  <c r="Q4" s="1"/>
  <c r="R4" l="1"/>
  <c r="C9"/>
  <c r="O9"/>
  <c r="P9" s="1"/>
  <c r="Q9" s="1"/>
  <c r="R9" l="1"/>
  <c r="C13"/>
  <c r="O13"/>
  <c r="P13" s="1"/>
  <c r="Q13" s="1"/>
  <c r="R13" l="1"/>
  <c r="C14"/>
  <c r="O14"/>
  <c r="P14" s="1"/>
  <c r="Q14" s="1"/>
  <c r="R14" l="1"/>
  <c r="C15"/>
  <c r="O15"/>
  <c r="P15" s="1"/>
  <c r="Q15" s="1"/>
  <c r="R15" l="1"/>
  <c r="C16"/>
  <c r="O16"/>
  <c r="P16" s="1"/>
  <c r="Q16" s="1"/>
  <c r="R16" l="1"/>
  <c r="C17"/>
  <c r="O17"/>
  <c r="P17" s="1"/>
  <c r="Q17" s="1"/>
  <c r="R17" l="1"/>
  <c r="C18"/>
  <c r="O18"/>
  <c r="P18" s="1"/>
  <c r="Q18" s="1"/>
  <c r="R18" l="1"/>
  <c r="C19"/>
  <c r="O19"/>
  <c r="P19" s="1"/>
  <c r="Q19" s="1"/>
  <c r="R19" l="1"/>
  <c r="C20"/>
  <c r="O20"/>
  <c r="P20" s="1"/>
  <c r="Q20" s="1"/>
  <c r="R20" l="1"/>
  <c r="C22"/>
  <c r="O22"/>
  <c r="P22" s="1"/>
  <c r="Q22" s="1"/>
  <c r="R22" l="1"/>
  <c r="C23"/>
  <c r="O23"/>
  <c r="P23" s="1"/>
  <c r="Q23" s="1"/>
  <c r="R23" l="1"/>
  <c r="C24"/>
  <c r="O24"/>
  <c r="P24" s="1"/>
  <c r="Q24" s="1"/>
  <c r="R24" l="1"/>
  <c r="C25"/>
  <c r="O25"/>
  <c r="P25" s="1"/>
  <c r="Q25" s="1"/>
  <c r="R25" l="1"/>
  <c r="C28"/>
  <c r="O28"/>
  <c r="P28" s="1"/>
  <c r="Q28" s="1"/>
  <c r="R28" l="1"/>
  <c r="C29"/>
  <c r="O29"/>
  <c r="P29" s="1"/>
  <c r="Q29" s="1"/>
  <c r="R29" l="1"/>
  <c r="C30"/>
  <c r="O30"/>
  <c r="P30" s="1"/>
  <c r="Q30" s="1"/>
  <c r="R30" l="1"/>
  <c r="C31"/>
  <c r="O31"/>
  <c r="P31" s="1"/>
  <c r="Q31" s="1"/>
  <c r="R31" l="1"/>
  <c r="C35"/>
  <c r="O35"/>
  <c r="P35" s="1"/>
  <c r="Q35" s="1"/>
  <c r="R35" l="1"/>
  <c r="C36"/>
  <c r="O36"/>
  <c r="P36" s="1"/>
  <c r="Q36" s="1"/>
  <c r="R36" l="1"/>
  <c r="C37"/>
  <c r="O37"/>
  <c r="P37" s="1"/>
  <c r="Q37" s="1"/>
  <c r="R37" l="1"/>
  <c r="C100"/>
  <c r="O100"/>
  <c r="P100" s="1"/>
  <c r="Q100" s="1"/>
  <c r="R100" l="1"/>
  <c r="C39"/>
  <c r="O39"/>
  <c r="P39" s="1"/>
  <c r="Q39" s="1"/>
  <c r="R39" l="1"/>
  <c r="C40"/>
  <c r="O40"/>
  <c r="P40" s="1"/>
  <c r="Q40" s="1"/>
  <c r="R40" l="1"/>
  <c r="C201"/>
  <c r="O201"/>
  <c r="P201" s="1"/>
  <c r="Q201" s="1"/>
  <c r="R201" l="1"/>
  <c r="C90"/>
  <c r="O90"/>
  <c r="P90" s="1"/>
  <c r="Q90" s="1"/>
  <c r="R90" l="1"/>
  <c r="C91"/>
  <c r="O91"/>
  <c r="P91" s="1"/>
  <c r="Q91" s="1"/>
  <c r="R91" l="1"/>
  <c r="C44"/>
  <c r="O44"/>
  <c r="P44" s="1"/>
  <c r="Q44" s="1"/>
  <c r="R44" l="1"/>
  <c r="C45"/>
  <c r="O45"/>
  <c r="P45" s="1"/>
  <c r="Q45" s="1"/>
  <c r="R45" l="1"/>
  <c r="C46"/>
  <c r="O46"/>
  <c r="P46" s="1"/>
  <c r="Q46" s="1"/>
  <c r="R46" l="1"/>
  <c r="C185"/>
  <c r="O185"/>
  <c r="P185" s="1"/>
  <c r="Q185" s="1"/>
  <c r="R185" l="1"/>
  <c r="C48"/>
  <c r="O48"/>
  <c r="P48" s="1"/>
  <c r="Q48" s="1"/>
  <c r="R48" l="1"/>
  <c r="C49"/>
  <c r="O49"/>
  <c r="P49" s="1"/>
  <c r="Q49" s="1"/>
  <c r="R49" l="1"/>
  <c r="C289"/>
  <c r="O289"/>
  <c r="P289" s="1"/>
  <c r="Q289" s="1"/>
  <c r="R289" l="1"/>
  <c r="C51"/>
  <c r="O51"/>
  <c r="P51" s="1"/>
  <c r="Q51" s="1"/>
  <c r="R51" l="1"/>
  <c r="C52"/>
  <c r="O52"/>
  <c r="P52" s="1"/>
  <c r="Q52" s="1"/>
  <c r="R52" l="1"/>
  <c r="C53"/>
  <c r="O53"/>
  <c r="P53" s="1"/>
  <c r="Q53" s="1"/>
  <c r="T53"/>
  <c r="U53"/>
  <c r="R53" l="1"/>
  <c r="AB53"/>
  <c r="AG53"/>
  <c r="C54"/>
  <c r="O54"/>
  <c r="P54" s="1"/>
  <c r="Q54" s="1"/>
  <c r="T54"/>
  <c r="U54"/>
  <c r="R54" l="1"/>
  <c r="AB54"/>
  <c r="AG54"/>
  <c r="C55"/>
  <c r="O55"/>
  <c r="P55" s="1"/>
  <c r="Q55" s="1"/>
  <c r="T55"/>
  <c r="U55"/>
  <c r="R55" l="1"/>
  <c r="AB55"/>
  <c r="AG55"/>
  <c r="C56"/>
  <c r="O56"/>
  <c r="P56" s="1"/>
  <c r="Q56" s="1"/>
  <c r="R56" l="1"/>
  <c r="C57"/>
  <c r="O57"/>
  <c r="P57" s="1"/>
  <c r="Q57" s="1"/>
  <c r="R57" l="1"/>
  <c r="C58"/>
  <c r="O58"/>
  <c r="P58" s="1"/>
  <c r="Q58" s="1"/>
  <c r="R58" l="1"/>
  <c r="C59"/>
  <c r="O59"/>
  <c r="P59" s="1"/>
  <c r="Q59" s="1"/>
  <c r="R59" l="1"/>
  <c r="C62"/>
  <c r="O62"/>
  <c r="P62" s="1"/>
  <c r="Q62" s="1"/>
  <c r="R62" l="1"/>
  <c r="C64"/>
  <c r="O64"/>
  <c r="P64" s="1"/>
  <c r="Q64" s="1"/>
  <c r="R64" l="1"/>
  <c r="C65"/>
  <c r="O65"/>
  <c r="P65" s="1"/>
  <c r="Q65" s="1"/>
  <c r="R65" l="1"/>
  <c r="C66"/>
  <c r="O66"/>
  <c r="P66" s="1"/>
  <c r="Q66" s="1"/>
  <c r="R66" l="1"/>
  <c r="C67"/>
  <c r="O67"/>
  <c r="P67" s="1"/>
  <c r="Q67" s="1"/>
  <c r="R67" l="1"/>
  <c r="C68"/>
  <c r="O68"/>
  <c r="P68" s="1"/>
  <c r="Q68" s="1"/>
  <c r="R68" l="1"/>
  <c r="C78"/>
  <c r="O78"/>
  <c r="P78" s="1"/>
  <c r="Q78" s="1"/>
  <c r="R78" l="1"/>
  <c r="C79"/>
  <c r="O79"/>
  <c r="P79" s="1"/>
  <c r="Q79" s="1"/>
  <c r="R79" l="1"/>
  <c r="C80"/>
  <c r="O80"/>
  <c r="P80" s="1"/>
  <c r="Q80" s="1"/>
  <c r="R80" l="1"/>
  <c r="C89"/>
  <c r="O89"/>
  <c r="P89" s="1"/>
  <c r="Q89" s="1"/>
  <c r="R89" l="1"/>
  <c r="C82"/>
  <c r="O82"/>
  <c r="P82" s="1"/>
  <c r="Q82" s="1"/>
  <c r="R82" l="1"/>
  <c r="C85"/>
  <c r="O85"/>
  <c r="P85" s="1"/>
  <c r="Q85" s="1"/>
  <c r="R85" l="1"/>
  <c r="C86"/>
  <c r="O86"/>
  <c r="P86" s="1"/>
  <c r="Q86" s="1"/>
  <c r="T86"/>
  <c r="U86"/>
  <c r="R86" l="1"/>
  <c r="AB86"/>
  <c r="AG86"/>
  <c r="C87"/>
  <c r="O87"/>
  <c r="P87" s="1"/>
  <c r="Q87" s="1"/>
  <c r="T87"/>
  <c r="U87"/>
  <c r="R87" l="1"/>
  <c r="AB87"/>
  <c r="AG87"/>
  <c r="C288"/>
  <c r="O288"/>
  <c r="P288" s="1"/>
  <c r="Q288" s="1"/>
  <c r="R288" l="1"/>
  <c r="C273"/>
  <c r="O273"/>
  <c r="P273" s="1"/>
  <c r="Q273" s="1"/>
  <c r="R273" l="1"/>
  <c r="C174"/>
  <c r="O174"/>
  <c r="P174" s="1"/>
  <c r="Q174" s="1"/>
  <c r="R174" l="1"/>
  <c r="C92"/>
  <c r="O92"/>
  <c r="P92" s="1"/>
  <c r="Q92" s="1"/>
  <c r="R92" l="1"/>
  <c r="C93"/>
  <c r="O93"/>
  <c r="P93" s="1"/>
  <c r="Q93" s="1"/>
  <c r="R93" l="1"/>
  <c r="C95"/>
  <c r="O95"/>
  <c r="P95" s="1"/>
  <c r="Q95" s="1"/>
  <c r="R95" l="1"/>
  <c r="C96"/>
  <c r="O96"/>
  <c r="P96" s="1"/>
  <c r="Q96" s="1"/>
  <c r="R96" l="1"/>
  <c r="C81"/>
  <c r="O81"/>
  <c r="P81" s="1"/>
  <c r="Q81" s="1"/>
  <c r="R81" l="1"/>
  <c r="C98"/>
  <c r="O98"/>
  <c r="P98" s="1"/>
  <c r="Q98" s="1"/>
  <c r="R98" l="1"/>
  <c r="C99"/>
  <c r="O99"/>
  <c r="P99" s="1"/>
  <c r="Q99" s="1"/>
  <c r="R99" l="1"/>
  <c r="C97"/>
  <c r="O97"/>
  <c r="P97" s="1"/>
  <c r="Q97" s="1"/>
  <c r="R97" l="1"/>
  <c r="C101"/>
  <c r="O101"/>
  <c r="P101" s="1"/>
  <c r="Q101" s="1"/>
  <c r="R101" l="1"/>
  <c r="C102"/>
  <c r="O102"/>
  <c r="P102" s="1"/>
  <c r="Q102" s="1"/>
  <c r="R102" l="1"/>
  <c r="C103"/>
  <c r="O103"/>
  <c r="P103" s="1"/>
  <c r="Q103" s="1"/>
  <c r="T103"/>
  <c r="U103"/>
  <c r="R103" l="1"/>
  <c r="AB103"/>
  <c r="AG103"/>
  <c r="C104"/>
  <c r="O104"/>
  <c r="P104" s="1"/>
  <c r="Q104" s="1"/>
  <c r="R104" l="1"/>
  <c r="C106"/>
  <c r="O106"/>
  <c r="P106" s="1"/>
  <c r="Q106" s="1"/>
  <c r="R106" l="1"/>
  <c r="C107"/>
  <c r="O107"/>
  <c r="P107" s="1"/>
  <c r="Q107" s="1"/>
  <c r="R107" l="1"/>
  <c r="C108"/>
  <c r="O108"/>
  <c r="P108" s="1"/>
  <c r="Q108" s="1"/>
  <c r="R108" l="1"/>
  <c r="C109"/>
  <c r="O109"/>
  <c r="P109" s="1"/>
  <c r="Q109" s="1"/>
  <c r="R109" l="1"/>
  <c r="C111"/>
  <c r="O111"/>
  <c r="P111" s="1"/>
  <c r="Q111" s="1"/>
  <c r="R111" l="1"/>
  <c r="C112"/>
  <c r="O112"/>
  <c r="P112" s="1"/>
  <c r="Q112" s="1"/>
  <c r="T112"/>
  <c r="U112"/>
  <c r="R112" l="1"/>
  <c r="AB112"/>
  <c r="AG112"/>
  <c r="C116"/>
  <c r="O116"/>
  <c r="P116" s="1"/>
  <c r="Q116" s="1"/>
  <c r="R116" l="1"/>
  <c r="C117"/>
  <c r="O117"/>
  <c r="P117" s="1"/>
  <c r="Q117"/>
  <c r="T117"/>
  <c r="U117"/>
  <c r="R117" l="1"/>
  <c r="AB117"/>
  <c r="AE117"/>
  <c r="AG117"/>
  <c r="C118"/>
  <c r="O118"/>
  <c r="P118" s="1"/>
  <c r="Q118"/>
  <c r="T118"/>
  <c r="U118"/>
  <c r="R118" l="1"/>
  <c r="AB118"/>
  <c r="AE118"/>
  <c r="AG118"/>
  <c r="C121"/>
  <c r="O121"/>
  <c r="P121" s="1"/>
  <c r="Q121" s="1"/>
  <c r="R121" l="1"/>
  <c r="C122"/>
  <c r="O122"/>
  <c r="P122" s="1"/>
  <c r="Q122" s="1"/>
  <c r="R122" l="1"/>
  <c r="C123"/>
  <c r="O123"/>
  <c r="P123" s="1"/>
  <c r="Q123"/>
  <c r="R123" l="1"/>
  <c r="C125"/>
  <c r="O125"/>
  <c r="P125" s="1"/>
  <c r="Q125"/>
  <c r="R125" l="1"/>
  <c r="C126"/>
  <c r="O126"/>
  <c r="P126" s="1"/>
  <c r="Q126" s="1"/>
  <c r="R126" l="1"/>
  <c r="C127"/>
  <c r="O127"/>
  <c r="P127" s="1"/>
  <c r="Q127" s="1"/>
  <c r="R127" l="1"/>
  <c r="C129"/>
  <c r="O129"/>
  <c r="P129" s="1"/>
  <c r="Q129" s="1"/>
  <c r="R129" l="1"/>
  <c r="C130"/>
  <c r="O130"/>
  <c r="P130" s="1"/>
  <c r="Q130" s="1"/>
  <c r="R130" l="1"/>
  <c r="C132"/>
  <c r="Q132"/>
  <c r="R132" l="1"/>
  <c r="C133"/>
  <c r="O133"/>
  <c r="P133" s="1"/>
  <c r="Q133" s="1"/>
  <c r="R133" l="1"/>
  <c r="C134"/>
  <c r="O134"/>
  <c r="P134" s="1"/>
  <c r="Q134" s="1"/>
  <c r="R134" l="1"/>
  <c r="C135"/>
  <c r="O135"/>
  <c r="P135" s="1"/>
  <c r="Q135" s="1"/>
  <c r="R135" l="1"/>
  <c r="C138"/>
  <c r="O138"/>
  <c r="P138" s="1"/>
  <c r="Q138" s="1"/>
  <c r="R138" l="1"/>
  <c r="C139"/>
  <c r="O139"/>
  <c r="P139" s="1"/>
  <c r="Q139" s="1"/>
  <c r="R139" l="1"/>
  <c r="C141"/>
  <c r="O141"/>
  <c r="P141" s="1"/>
  <c r="Q141" s="1"/>
  <c r="R141" l="1"/>
  <c r="C144"/>
  <c r="O144"/>
  <c r="P144" s="1"/>
  <c r="Q144" s="1"/>
  <c r="R144" l="1"/>
  <c r="C145"/>
  <c r="O145"/>
  <c r="P145" s="1"/>
  <c r="Q145" s="1"/>
  <c r="R145" l="1"/>
  <c r="C148"/>
  <c r="O148"/>
  <c r="P148" s="1"/>
  <c r="Q148" s="1"/>
  <c r="R148" l="1"/>
  <c r="C149"/>
  <c r="O149"/>
  <c r="P149" s="1"/>
  <c r="Q149" s="1"/>
  <c r="R149" l="1"/>
  <c r="C150"/>
  <c r="O150"/>
  <c r="P150" s="1"/>
  <c r="Q150" s="1"/>
  <c r="R150" l="1"/>
  <c r="C151"/>
  <c r="O151"/>
  <c r="P151" s="1"/>
  <c r="Q151" s="1"/>
  <c r="R151" l="1"/>
  <c r="C158"/>
  <c r="O158"/>
  <c r="P158" s="1"/>
  <c r="Q158" s="1"/>
  <c r="R158" l="1"/>
  <c r="C159"/>
  <c r="O159"/>
  <c r="P159" s="1"/>
  <c r="Q159" s="1"/>
  <c r="R159" l="1"/>
  <c r="C162"/>
  <c r="O162"/>
  <c r="P162" s="1"/>
  <c r="Q162" s="1"/>
  <c r="R162" l="1"/>
  <c r="C166"/>
  <c r="O166"/>
  <c r="P166" s="1"/>
  <c r="Q166" s="1"/>
  <c r="R166" l="1"/>
  <c r="C169"/>
  <c r="O169"/>
  <c r="P169" s="1"/>
  <c r="Q169" s="1"/>
  <c r="R169" l="1"/>
  <c r="C170"/>
  <c r="O170"/>
  <c r="P170" s="1"/>
  <c r="Q170" s="1"/>
  <c r="R170" l="1"/>
  <c r="C171"/>
  <c r="O171"/>
  <c r="P171" s="1"/>
  <c r="Q171" s="1"/>
  <c r="R171" l="1"/>
  <c r="C172"/>
  <c r="O172"/>
  <c r="P172" s="1"/>
  <c r="Q172" s="1"/>
  <c r="R172" l="1"/>
  <c r="C173"/>
  <c r="O173"/>
  <c r="P173" s="1"/>
  <c r="Q173" s="1"/>
  <c r="T173"/>
  <c r="U173"/>
  <c r="R173" l="1"/>
  <c r="AB173"/>
  <c r="AG173"/>
  <c r="C175"/>
  <c r="O175"/>
  <c r="P175" s="1"/>
  <c r="Q175" s="1"/>
  <c r="R175" l="1"/>
  <c r="C176"/>
  <c r="O176"/>
  <c r="P176" s="1"/>
  <c r="Q176" s="1"/>
  <c r="R176" l="1"/>
  <c r="C177"/>
  <c r="O177"/>
  <c r="P177" s="1"/>
  <c r="Q177" s="1"/>
  <c r="T177"/>
  <c r="U177"/>
  <c r="R177" l="1"/>
  <c r="AB177"/>
  <c r="AG177"/>
  <c r="C180"/>
  <c r="O180"/>
  <c r="P180" s="1"/>
  <c r="Q180" s="1"/>
  <c r="R180" l="1"/>
  <c r="C182"/>
  <c r="O182"/>
  <c r="P182" s="1"/>
  <c r="Q182" s="1"/>
  <c r="R182" l="1"/>
  <c r="C183"/>
  <c r="O183"/>
  <c r="P183" s="1"/>
  <c r="Q183" s="1"/>
  <c r="R183" l="1"/>
  <c r="C184"/>
  <c r="O184"/>
  <c r="P184" s="1"/>
  <c r="Q184" s="1"/>
  <c r="R184" l="1"/>
  <c r="C275"/>
  <c r="O275"/>
  <c r="P275" s="1"/>
  <c r="Q275" s="1"/>
  <c r="R275" l="1"/>
  <c r="C191"/>
  <c r="O191"/>
  <c r="P191" s="1"/>
  <c r="Q191" s="1"/>
  <c r="R191" l="1"/>
  <c r="C197"/>
  <c r="O197"/>
  <c r="P197" s="1"/>
  <c r="Q197" s="1"/>
  <c r="R197" l="1"/>
  <c r="C200"/>
  <c r="O200"/>
  <c r="P200" s="1"/>
  <c r="Q200" s="1"/>
  <c r="R200" l="1"/>
  <c r="C274"/>
  <c r="O274"/>
  <c r="P274" s="1"/>
  <c r="Q274" s="1"/>
  <c r="R274" l="1"/>
  <c r="C203"/>
  <c r="O203"/>
  <c r="P203" s="1"/>
  <c r="Q203" s="1"/>
  <c r="R203" l="1"/>
  <c r="C204"/>
  <c r="O204"/>
  <c r="P204" s="1"/>
  <c r="Q204" s="1"/>
  <c r="R204" l="1"/>
  <c r="C207"/>
  <c r="O207"/>
  <c r="P207" s="1"/>
  <c r="Q207" s="1"/>
  <c r="R207" l="1"/>
  <c r="C208"/>
  <c r="O208"/>
  <c r="P208" s="1"/>
  <c r="Q208" s="1"/>
  <c r="R208" l="1"/>
  <c r="C209"/>
  <c r="O209"/>
  <c r="P209" s="1"/>
  <c r="Q209" s="1"/>
  <c r="O432" i="12"/>
  <c r="O47" i="1"/>
  <c r="P47" s="1"/>
  <c r="Q47" s="1"/>
  <c r="O50"/>
  <c r="P50" s="1"/>
  <c r="Q50" s="1"/>
  <c r="C50"/>
  <c r="C47"/>
  <c r="L451" i="12"/>
  <c r="M451"/>
  <c r="L450"/>
  <c r="M450"/>
  <c r="L449"/>
  <c r="M449" s="1"/>
  <c r="L448"/>
  <c r="M448"/>
  <c r="S300" i="1" l="1"/>
  <c r="S299"/>
  <c r="V300"/>
  <c r="AF300" s="1"/>
  <c r="V299"/>
  <c r="S298"/>
  <c r="V297"/>
  <c r="V298"/>
  <c r="S297"/>
  <c r="S296"/>
  <c r="S295"/>
  <c r="V296"/>
  <c r="S294"/>
  <c r="V295"/>
  <c r="S196"/>
  <c r="V294"/>
  <c r="V196"/>
  <c r="S293"/>
  <c r="S84"/>
  <c r="S166"/>
  <c r="S197"/>
  <c r="S62"/>
  <c r="V291"/>
  <c r="AF291" s="1"/>
  <c r="S292"/>
  <c r="V292"/>
  <c r="AF292" s="1"/>
  <c r="S290"/>
  <c r="V293"/>
  <c r="AF293" s="1"/>
  <c r="S291"/>
  <c r="V290"/>
  <c r="AF290" s="1"/>
  <c r="S286"/>
  <c r="S287"/>
  <c r="S42"/>
  <c r="S41"/>
  <c r="V41"/>
  <c r="V42"/>
  <c r="S191"/>
  <c r="V287"/>
  <c r="AF287" s="1"/>
  <c r="S161"/>
  <c r="V286"/>
  <c r="AF286" s="1"/>
  <c r="S160"/>
  <c r="S162"/>
  <c r="V161"/>
  <c r="AF161" s="1"/>
  <c r="V160"/>
  <c r="S272"/>
  <c r="S285"/>
  <c r="V285"/>
  <c r="AF285" s="1"/>
  <c r="S284"/>
  <c r="V284"/>
  <c r="AF284" s="1"/>
  <c r="S45"/>
  <c r="U45" s="1"/>
  <c r="S99"/>
  <c r="S97"/>
  <c r="S184"/>
  <c r="S275"/>
  <c r="X275" s="1"/>
  <c r="S216"/>
  <c r="S251"/>
  <c r="S250"/>
  <c r="S249"/>
  <c r="V250"/>
  <c r="V249"/>
  <c r="AF249" s="1"/>
  <c r="S206"/>
  <c r="V206"/>
  <c r="S205"/>
  <c r="S101"/>
  <c r="S102"/>
  <c r="S47"/>
  <c r="AB47" s="1"/>
  <c r="V205"/>
  <c r="AF205" s="1"/>
  <c r="S271"/>
  <c r="S58"/>
  <c r="S85"/>
  <c r="S109"/>
  <c r="S195"/>
  <c r="S194"/>
  <c r="V195"/>
  <c r="AF195" s="1"/>
  <c r="V194"/>
  <c r="AF194" s="1"/>
  <c r="S218"/>
  <c r="S217"/>
  <c r="V217"/>
  <c r="S140"/>
  <c r="S141"/>
  <c r="V140"/>
  <c r="S252"/>
  <c r="S253"/>
  <c r="V252"/>
  <c r="AF252" s="1"/>
  <c r="S38"/>
  <c r="S175"/>
  <c r="V38"/>
  <c r="AF38" s="1"/>
  <c r="S147"/>
  <c r="S193"/>
  <c r="V147"/>
  <c r="AF147" s="1"/>
  <c r="V193"/>
  <c r="AF193" s="1"/>
  <c r="S192"/>
  <c r="V192"/>
  <c r="AF192" s="1"/>
  <c r="S254"/>
  <c r="S220"/>
  <c r="S221"/>
  <c r="S176"/>
  <c r="S247"/>
  <c r="S246"/>
  <c r="V247"/>
  <c r="AF247" s="1"/>
  <c r="S245"/>
  <c r="V246"/>
  <c r="AF246" s="1"/>
  <c r="S215"/>
  <c r="V245"/>
  <c r="AF245" s="1"/>
  <c r="S190"/>
  <c r="V190"/>
  <c r="AF190" s="1"/>
  <c r="S280"/>
  <c r="S279"/>
  <c r="V279"/>
  <c r="S63"/>
  <c r="S198"/>
  <c r="V63"/>
  <c r="AF63" s="1"/>
  <c r="V198"/>
  <c r="AF198" s="1"/>
  <c r="S146"/>
  <c r="V146"/>
  <c r="AF146" s="1"/>
  <c r="S225"/>
  <c r="S157"/>
  <c r="V225"/>
  <c r="AF225" s="1"/>
  <c r="V157"/>
  <c r="AF157" s="1"/>
  <c r="S122"/>
  <c r="S121"/>
  <c r="S264"/>
  <c r="S211"/>
  <c r="S263"/>
  <c r="S262"/>
  <c r="V264"/>
  <c r="AF264" s="1"/>
  <c r="V263"/>
  <c r="AF263" s="1"/>
  <c r="V262"/>
  <c r="AF262" s="1"/>
  <c r="V211"/>
  <c r="S267"/>
  <c r="S266"/>
  <c r="V266"/>
  <c r="S114"/>
  <c r="S143"/>
  <c r="S113"/>
  <c r="V114"/>
  <c r="V113"/>
  <c r="V187"/>
  <c r="AF187" s="1"/>
  <c r="V186"/>
  <c r="AF186" s="1"/>
  <c r="S142"/>
  <c r="S186"/>
  <c r="S187"/>
  <c r="V142"/>
  <c r="AF142" s="1"/>
  <c r="V143"/>
  <c r="AF143" s="1"/>
  <c r="V207"/>
  <c r="V3"/>
  <c r="V6"/>
  <c r="V7"/>
  <c r="V8"/>
  <c r="V5"/>
  <c r="V10"/>
  <c r="AF10" s="1"/>
  <c r="V11"/>
  <c r="V12"/>
  <c r="V61"/>
  <c r="V124"/>
  <c r="AF124" s="1"/>
  <c r="V88"/>
  <c r="V73"/>
  <c r="AF73" s="1"/>
  <c r="V74"/>
  <c r="AF74" s="1"/>
  <c r="V75"/>
  <c r="AF75" s="1"/>
  <c r="V76"/>
  <c r="AF76" s="1"/>
  <c r="V156"/>
  <c r="V69"/>
  <c r="V77"/>
  <c r="V94"/>
  <c r="V136"/>
  <c r="V137"/>
  <c r="V70"/>
  <c r="AF70" s="1"/>
  <c r="V71"/>
  <c r="AF71" s="1"/>
  <c r="V119"/>
  <c r="V120"/>
  <c r="V128"/>
  <c r="V131"/>
  <c r="AF131" s="1"/>
  <c r="V223"/>
  <c r="AF223" s="1"/>
  <c r="V224"/>
  <c r="AF224" s="1"/>
  <c r="V227"/>
  <c r="AF227" s="1"/>
  <c r="V226"/>
  <c r="AF226" s="1"/>
  <c r="V228"/>
  <c r="AF228" s="1"/>
  <c r="V256"/>
  <c r="V257"/>
  <c r="V60"/>
  <c r="V83"/>
  <c r="V84"/>
  <c r="V72"/>
  <c r="V167"/>
  <c r="AF167" s="1"/>
  <c r="V115"/>
  <c r="V188"/>
  <c r="AF188" s="1"/>
  <c r="V189"/>
  <c r="AF189" s="1"/>
  <c r="V179"/>
  <c r="AF179" s="1"/>
  <c r="V178"/>
  <c r="AF178" s="1"/>
  <c r="V110"/>
  <c r="V164"/>
  <c r="AF164" s="1"/>
  <c r="V165"/>
  <c r="AF165" s="1"/>
  <c r="V26"/>
  <c r="AF26" s="1"/>
  <c r="V27"/>
  <c r="AF27" s="1"/>
  <c r="V33"/>
  <c r="AF33" s="1"/>
  <c r="V34"/>
  <c r="AF34" s="1"/>
  <c r="V32"/>
  <c r="V234"/>
  <c r="AF234" s="1"/>
  <c r="V235"/>
  <c r="V236"/>
  <c r="V241"/>
  <c r="V213"/>
  <c r="V163"/>
  <c r="V181"/>
  <c r="V259"/>
  <c r="AF259" s="1"/>
  <c r="V260"/>
  <c r="AF260" s="1"/>
  <c r="V244"/>
  <c r="V268"/>
  <c r="V21"/>
  <c r="V168"/>
  <c r="AF168" s="1"/>
  <c r="V212"/>
  <c r="AF212" s="1"/>
  <c r="V199"/>
  <c r="AF199" s="1"/>
  <c r="V232"/>
  <c r="AF232" s="1"/>
  <c r="V233"/>
  <c r="AF233" s="1"/>
  <c r="V202"/>
  <c r="AF202" s="1"/>
  <c r="V105"/>
  <c r="V276"/>
  <c r="AF276" s="1"/>
  <c r="V277"/>
  <c r="AF277" s="1"/>
  <c r="V278"/>
  <c r="AF278" s="1"/>
  <c r="V153"/>
  <c r="V155"/>
  <c r="V272"/>
  <c r="V271"/>
  <c r="V270"/>
  <c r="V269"/>
  <c r="V267"/>
  <c r="V265"/>
  <c r="V261"/>
  <c r="V258"/>
  <c r="V255"/>
  <c r="V254"/>
  <c r="V253"/>
  <c r="V251"/>
  <c r="V248"/>
  <c r="V243"/>
  <c r="V242"/>
  <c r="V240"/>
  <c r="V239"/>
  <c r="V238"/>
  <c r="V237"/>
  <c r="V231"/>
  <c r="V230"/>
  <c r="V229"/>
  <c r="V222"/>
  <c r="V221"/>
  <c r="V220"/>
  <c r="V219"/>
  <c r="V218"/>
  <c r="V216"/>
  <c r="V215"/>
  <c r="V214"/>
  <c r="V210"/>
  <c r="V283"/>
  <c r="V282"/>
  <c r="V281"/>
  <c r="V280"/>
  <c r="V154"/>
  <c r="AF154" s="1"/>
  <c r="V152"/>
  <c r="AF152" s="1"/>
  <c r="S154"/>
  <c r="S155"/>
  <c r="V2"/>
  <c r="V43"/>
  <c r="V9"/>
  <c r="S152"/>
  <c r="S153"/>
  <c r="S276"/>
  <c r="S277"/>
  <c r="S278"/>
  <c r="V4"/>
  <c r="V14"/>
  <c r="V13"/>
  <c r="V16"/>
  <c r="V15"/>
  <c r="V18"/>
  <c r="V17"/>
  <c r="V20"/>
  <c r="V19"/>
  <c r="V23"/>
  <c r="V22"/>
  <c r="V25"/>
  <c r="V24"/>
  <c r="V29"/>
  <c r="V28"/>
  <c r="V31"/>
  <c r="V30"/>
  <c r="V36"/>
  <c r="V35"/>
  <c r="V100"/>
  <c r="V37"/>
  <c r="V40"/>
  <c r="V39"/>
  <c r="V90"/>
  <c r="V201"/>
  <c r="V44"/>
  <c r="V91"/>
  <c r="V46"/>
  <c r="V45"/>
  <c r="V48"/>
  <c r="V185"/>
  <c r="V289"/>
  <c r="V49"/>
  <c r="V52"/>
  <c r="V51"/>
  <c r="V54"/>
  <c r="V53"/>
  <c r="V56"/>
  <c r="V55"/>
  <c r="V58"/>
  <c r="V57"/>
  <c r="V62"/>
  <c r="V59"/>
  <c r="V65"/>
  <c r="V64"/>
  <c r="V67"/>
  <c r="V66"/>
  <c r="V78"/>
  <c r="V68"/>
  <c r="V80"/>
  <c r="V79"/>
  <c r="V82"/>
  <c r="V89"/>
  <c r="V86"/>
  <c r="V85"/>
  <c r="V288"/>
  <c r="V87"/>
  <c r="V174"/>
  <c r="V273"/>
  <c r="V93"/>
  <c r="V92"/>
  <c r="V96"/>
  <c r="V95"/>
  <c r="V98"/>
  <c r="V81"/>
  <c r="V97"/>
  <c r="V99"/>
  <c r="V102"/>
  <c r="V101"/>
  <c r="V104"/>
  <c r="V103"/>
  <c r="V107"/>
  <c r="V106"/>
  <c r="V109"/>
  <c r="V108"/>
  <c r="V112"/>
  <c r="V111"/>
  <c r="V117"/>
  <c r="V116"/>
  <c r="V121"/>
  <c r="V118"/>
  <c r="V123"/>
  <c r="V122"/>
  <c r="V126"/>
  <c r="V125"/>
  <c r="V129"/>
  <c r="V127"/>
  <c r="V132"/>
  <c r="V130"/>
  <c r="V134"/>
  <c r="V133"/>
  <c r="V138"/>
  <c r="V135"/>
  <c r="V141"/>
  <c r="V139"/>
  <c r="V145"/>
  <c r="V144"/>
  <c r="V149"/>
  <c r="V148"/>
  <c r="V151"/>
  <c r="V150"/>
  <c r="V159"/>
  <c r="V158"/>
  <c r="V166"/>
  <c r="V162"/>
  <c r="V170"/>
  <c r="V169"/>
  <c r="V172"/>
  <c r="V171"/>
  <c r="V175"/>
  <c r="V173"/>
  <c r="V177"/>
  <c r="V176"/>
  <c r="V182"/>
  <c r="V180"/>
  <c r="V184"/>
  <c r="V183"/>
  <c r="V191"/>
  <c r="V275"/>
  <c r="V200"/>
  <c r="V197"/>
  <c r="V203"/>
  <c r="R50"/>
  <c r="V50" s="1"/>
  <c r="R47"/>
  <c r="V47" s="1"/>
  <c r="R209"/>
  <c r="V209" s="1"/>
  <c r="V274"/>
  <c r="V204"/>
  <c r="V208"/>
  <c r="S105"/>
  <c r="S145"/>
  <c r="S144"/>
  <c r="S202"/>
  <c r="S233"/>
  <c r="S219"/>
  <c r="S232"/>
  <c r="S208"/>
  <c r="U208" s="1"/>
  <c r="S207"/>
  <c r="S199"/>
  <c r="S212"/>
  <c r="S168"/>
  <c r="S21"/>
  <c r="S268"/>
  <c r="S244"/>
  <c r="S259"/>
  <c r="S260"/>
  <c r="S50"/>
  <c r="X50" s="1"/>
  <c r="S209"/>
  <c r="T209" s="1"/>
  <c r="S274"/>
  <c r="S181"/>
  <c r="S163"/>
  <c r="S283"/>
  <c r="S282"/>
  <c r="S43"/>
  <c r="X43" s="1"/>
  <c r="S270"/>
  <c r="S269"/>
  <c r="S265"/>
  <c r="S258"/>
  <c r="S257"/>
  <c r="S256"/>
  <c r="S255"/>
  <c r="S248"/>
  <c r="S242"/>
  <c r="S241"/>
  <c r="S239"/>
  <c r="S238"/>
  <c r="S237"/>
  <c r="S236"/>
  <c r="S235"/>
  <c r="S234"/>
  <c r="S231"/>
  <c r="S230"/>
  <c r="X230" s="1"/>
  <c r="S229"/>
  <c r="S228"/>
  <c r="S227"/>
  <c r="S226"/>
  <c r="S224"/>
  <c r="S223"/>
  <c r="S222"/>
  <c r="S214"/>
  <c r="S213"/>
  <c r="S210"/>
  <c r="S203"/>
  <c r="S200"/>
  <c r="S189"/>
  <c r="S188"/>
  <c r="S183"/>
  <c r="S182"/>
  <c r="S180"/>
  <c r="S179"/>
  <c r="S178"/>
  <c r="S172"/>
  <c r="S171"/>
  <c r="S170"/>
  <c r="S169"/>
  <c r="S167"/>
  <c r="S165"/>
  <c r="S164"/>
  <c r="S159"/>
  <c r="S158"/>
  <c r="S156"/>
  <c r="S151"/>
  <c r="S150"/>
  <c r="S149"/>
  <c r="S148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0"/>
  <c r="S119"/>
  <c r="S116"/>
  <c r="S115"/>
  <c r="S111"/>
  <c r="S110"/>
  <c r="S108"/>
  <c r="S107"/>
  <c r="S106"/>
  <c r="S104"/>
  <c r="S98"/>
  <c r="S81"/>
  <c r="X81" s="1"/>
  <c r="S96"/>
  <c r="S95"/>
  <c r="S94"/>
  <c r="S93"/>
  <c r="S92"/>
  <c r="S174"/>
  <c r="S273"/>
  <c r="X273" s="1"/>
  <c r="S288"/>
  <c r="S88"/>
  <c r="S83"/>
  <c r="S82"/>
  <c r="S89"/>
  <c r="X89" s="1"/>
  <c r="S80"/>
  <c r="S79"/>
  <c r="S78"/>
  <c r="S77"/>
  <c r="S76"/>
  <c r="S75"/>
  <c r="S74"/>
  <c r="S73"/>
  <c r="S72"/>
  <c r="S71"/>
  <c r="S70"/>
  <c r="S69"/>
  <c r="S68"/>
  <c r="S67"/>
  <c r="S66"/>
  <c r="S65"/>
  <c r="X65" s="1"/>
  <c r="S64"/>
  <c r="S61"/>
  <c r="S60"/>
  <c r="S59"/>
  <c r="S57"/>
  <c r="S56"/>
  <c r="S52"/>
  <c r="S51"/>
  <c r="S289"/>
  <c r="X289" s="1"/>
  <c r="S49"/>
  <c r="X49" s="1"/>
  <c r="S48"/>
  <c r="S185"/>
  <c r="X185" s="1"/>
  <c r="S46"/>
  <c r="S44"/>
  <c r="S91"/>
  <c r="X91" s="1"/>
  <c r="S90"/>
  <c r="X90" s="1"/>
  <c r="S201"/>
  <c r="X201" s="1"/>
  <c r="S40"/>
  <c r="S39"/>
  <c r="S100"/>
  <c r="S37"/>
  <c r="S36"/>
  <c r="S35"/>
  <c r="S34"/>
  <c r="S33"/>
  <c r="S32"/>
  <c r="S31"/>
  <c r="S30"/>
  <c r="S29"/>
  <c r="X29" s="1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S204"/>
  <c r="L2" i="1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I6"/>
  <c r="I119"/>
  <c r="I120"/>
  <c r="I122"/>
  <c r="I123"/>
  <c r="I124"/>
  <c r="I126"/>
  <c r="I127"/>
  <c r="I128"/>
  <c r="I130"/>
  <c r="I157"/>
  <c r="I160"/>
  <c r="I161"/>
  <c r="I163"/>
  <c r="I164"/>
  <c r="I167"/>
  <c r="I168"/>
  <c r="I169"/>
  <c r="I171"/>
  <c r="I172"/>
  <c r="I203"/>
  <c r="I207"/>
  <c r="I210"/>
  <c r="I293"/>
  <c r="I295"/>
  <c r="I297"/>
  <c r="I323"/>
  <c r="I324"/>
  <c r="I326"/>
  <c r="I408"/>
  <c r="I409"/>
  <c r="I427"/>
  <c r="I444"/>
  <c r="I447"/>
  <c r="I495"/>
  <c r="I503"/>
  <c r="I518"/>
  <c r="I534"/>
  <c r="I538"/>
  <c r="I549"/>
  <c r="I552"/>
  <c r="I553"/>
  <c r="I579"/>
  <c r="I580"/>
  <c r="I585"/>
  <c r="I586"/>
  <c r="M2" i="15"/>
  <c r="N2" s="1"/>
  <c r="J3"/>
  <c r="D2"/>
  <c r="C2"/>
  <c r="B2"/>
  <c r="L2"/>
  <c r="N491" i="12"/>
  <c r="T300" i="1" l="1"/>
  <c r="U300"/>
  <c r="AE300" s="1"/>
  <c r="AB300"/>
  <c r="AG300"/>
  <c r="T299"/>
  <c r="U299"/>
  <c r="AB299"/>
  <c r="AG299"/>
  <c r="AF299"/>
  <c r="W300"/>
  <c r="X300"/>
  <c r="W299"/>
  <c r="X299"/>
  <c r="AF296"/>
  <c r="AB298"/>
  <c r="AG298"/>
  <c r="T298"/>
  <c r="U298"/>
  <c r="W298"/>
  <c r="AF297"/>
  <c r="AF298"/>
  <c r="X298"/>
  <c r="U296"/>
  <c r="AG296"/>
  <c r="AB296"/>
  <c r="T296"/>
  <c r="U297"/>
  <c r="AG297"/>
  <c r="AB297"/>
  <c r="T297"/>
  <c r="X296"/>
  <c r="W297"/>
  <c r="X297"/>
  <c r="W296"/>
  <c r="AB295"/>
  <c r="U295"/>
  <c r="T295"/>
  <c r="AG295"/>
  <c r="AF295"/>
  <c r="W295"/>
  <c r="AF294"/>
  <c r="X295"/>
  <c r="T294"/>
  <c r="AB294"/>
  <c r="U294"/>
  <c r="AG294"/>
  <c r="AG196"/>
  <c r="U196"/>
  <c r="AB196"/>
  <c r="T196"/>
  <c r="AF196"/>
  <c r="X294"/>
  <c r="W294"/>
  <c r="W196"/>
  <c r="T197"/>
  <c r="U197"/>
  <c r="AG197"/>
  <c r="AB197"/>
  <c r="X196"/>
  <c r="T293"/>
  <c r="AB293"/>
  <c r="U293"/>
  <c r="AE293" s="1"/>
  <c r="AG293"/>
  <c r="T166"/>
  <c r="U166"/>
  <c r="AG166"/>
  <c r="AB166"/>
  <c r="X293"/>
  <c r="T62"/>
  <c r="U62"/>
  <c r="AG62"/>
  <c r="AB62"/>
  <c r="AF8"/>
  <c r="W293"/>
  <c r="T291"/>
  <c r="AB291"/>
  <c r="U291"/>
  <c r="AE291" s="1"/>
  <c r="AG291"/>
  <c r="T290"/>
  <c r="U290"/>
  <c r="AE290" s="1"/>
  <c r="AG290"/>
  <c r="AB290"/>
  <c r="AB292"/>
  <c r="AG292"/>
  <c r="U292"/>
  <c r="AE292" s="1"/>
  <c r="T292"/>
  <c r="AG209"/>
  <c r="U209"/>
  <c r="AF268"/>
  <c r="D183" i="12"/>
  <c r="E183" s="1"/>
  <c r="G183" s="1"/>
  <c r="W292" i="1"/>
  <c r="X292"/>
  <c r="AF72"/>
  <c r="AB208"/>
  <c r="AF230"/>
  <c r="AF256"/>
  <c r="D54" i="12"/>
  <c r="E54" s="1"/>
  <c r="G54" s="1"/>
  <c r="X291" i="1"/>
  <c r="W291"/>
  <c r="T208"/>
  <c r="D227" i="12"/>
  <c r="E227" s="1"/>
  <c r="G227" s="1"/>
  <c r="D136"/>
  <c r="E136" s="1"/>
  <c r="G136" s="1"/>
  <c r="D11"/>
  <c r="E11" s="1"/>
  <c r="G11" s="1"/>
  <c r="U47" i="1"/>
  <c r="D523" i="12"/>
  <c r="E523" s="1"/>
  <c r="G523" s="1"/>
  <c r="D482"/>
  <c r="E482" s="1"/>
  <c r="G482" s="1"/>
  <c r="D358"/>
  <c r="E358" s="1"/>
  <c r="G358" s="1"/>
  <c r="D309"/>
  <c r="E309" s="1"/>
  <c r="G309" s="1"/>
  <c r="D259"/>
  <c r="E259" s="1"/>
  <c r="G259" s="1"/>
  <c r="AG208" i="1"/>
  <c r="AF236"/>
  <c r="D200" i="12"/>
  <c r="E200" s="1"/>
  <c r="G200" s="1"/>
  <c r="D3"/>
  <c r="E3" s="1"/>
  <c r="G3" s="1"/>
  <c r="AF275" i="1"/>
  <c r="D553" i="12"/>
  <c r="E553" s="1"/>
  <c r="G553" s="1"/>
  <c r="D431"/>
  <c r="E431" s="1"/>
  <c r="G431" s="1"/>
  <c r="D390"/>
  <c r="E390" s="1"/>
  <c r="G390" s="1"/>
  <c r="D160"/>
  <c r="E160" s="1"/>
  <c r="G160" s="1"/>
  <c r="D88"/>
  <c r="E88" s="1"/>
  <c r="G88" s="1"/>
  <c r="AF5" i="1"/>
  <c r="AF69"/>
  <c r="AF120"/>
  <c r="AF84"/>
  <c r="AF110"/>
  <c r="AF137"/>
  <c r="AF44"/>
  <c r="AF61"/>
  <c r="AF213"/>
  <c r="D580" i="12"/>
  <c r="E580" s="1"/>
  <c r="G580" s="1"/>
  <c r="D531"/>
  <c r="E531" s="1"/>
  <c r="G531" s="1"/>
  <c r="D490"/>
  <c r="E490" s="1"/>
  <c r="G490" s="1"/>
  <c r="D439"/>
  <c r="E439" s="1"/>
  <c r="G439" s="1"/>
  <c r="D398"/>
  <c r="E398" s="1"/>
  <c r="G398" s="1"/>
  <c r="D334"/>
  <c r="E334" s="1"/>
  <c r="G334" s="1"/>
  <c r="D267"/>
  <c r="E267" s="1"/>
  <c r="G267" s="1"/>
  <c r="D191"/>
  <c r="E191" s="1"/>
  <c r="G191" s="1"/>
  <c r="D120"/>
  <c r="E120" s="1"/>
  <c r="G120" s="1"/>
  <c r="D64"/>
  <c r="E64" s="1"/>
  <c r="G64" s="1"/>
  <c r="AF204" i="1"/>
  <c r="AF60"/>
  <c r="T45"/>
  <c r="D587" i="12"/>
  <c r="E587" s="1"/>
  <c r="G587" s="1"/>
  <c r="D558"/>
  <c r="E558" s="1"/>
  <c r="G558" s="1"/>
  <c r="D518"/>
  <c r="E518" s="1"/>
  <c r="G518" s="1"/>
  <c r="D466"/>
  <c r="E466" s="1"/>
  <c r="G466" s="1"/>
  <c r="D424"/>
  <c r="E424" s="1"/>
  <c r="G424" s="1"/>
  <c r="D406"/>
  <c r="E406" s="1"/>
  <c r="G406" s="1"/>
  <c r="D374"/>
  <c r="E374" s="1"/>
  <c r="G374" s="1"/>
  <c r="D342"/>
  <c r="E342" s="1"/>
  <c r="G342" s="1"/>
  <c r="D275"/>
  <c r="E275" s="1"/>
  <c r="G275" s="1"/>
  <c r="D243"/>
  <c r="E243" s="1"/>
  <c r="G243" s="1"/>
  <c r="D211"/>
  <c r="E211" s="1"/>
  <c r="G211" s="1"/>
  <c r="D202"/>
  <c r="E202" s="1"/>
  <c r="G202" s="1"/>
  <c r="D155"/>
  <c r="E155" s="1"/>
  <c r="G155" s="1"/>
  <c r="D129"/>
  <c r="E129" s="1"/>
  <c r="G129" s="1"/>
  <c r="D104"/>
  <c r="E104" s="1"/>
  <c r="G104" s="1"/>
  <c r="D72"/>
  <c r="E72" s="1"/>
  <c r="G72" s="1"/>
  <c r="D33"/>
  <c r="E33" s="1"/>
  <c r="G33" s="1"/>
  <c r="AF21" i="1"/>
  <c r="AF241"/>
  <c r="AF115"/>
  <c r="AF119"/>
  <c r="AF12"/>
  <c r="AB45"/>
  <c r="W290"/>
  <c r="X290"/>
  <c r="D292" i="12"/>
  <c r="E292" s="1"/>
  <c r="G292" s="1"/>
  <c r="D543"/>
  <c r="E543" s="1"/>
  <c r="G543" s="1"/>
  <c r="D510"/>
  <c r="E510" s="1"/>
  <c r="G510" s="1"/>
  <c r="D458"/>
  <c r="E458" s="1"/>
  <c r="G458" s="1"/>
  <c r="D416"/>
  <c r="E416" s="1"/>
  <c r="G416" s="1"/>
  <c r="D366"/>
  <c r="E366" s="1"/>
  <c r="G366" s="1"/>
  <c r="D317"/>
  <c r="E317" s="1"/>
  <c r="G317" s="1"/>
  <c r="D235"/>
  <c r="E235" s="1"/>
  <c r="G235" s="1"/>
  <c r="D144"/>
  <c r="E144" s="1"/>
  <c r="G144" s="1"/>
  <c r="D96"/>
  <c r="E96" s="1"/>
  <c r="G96" s="1"/>
  <c r="D22"/>
  <c r="E22" s="1"/>
  <c r="G22" s="1"/>
  <c r="AF77" i="1"/>
  <c r="AF65"/>
  <c r="AF41"/>
  <c r="D110" i="12"/>
  <c r="E110" s="1"/>
  <c r="G110" s="1"/>
  <c r="D585"/>
  <c r="E585" s="1"/>
  <c r="G585" s="1"/>
  <c r="D569"/>
  <c r="E569" s="1"/>
  <c r="G569" s="1"/>
  <c r="D538"/>
  <c r="E538" s="1"/>
  <c r="G538" s="1"/>
  <c r="D497"/>
  <c r="E497" s="1"/>
  <c r="G497" s="1"/>
  <c r="D474"/>
  <c r="E474" s="1"/>
  <c r="G474" s="1"/>
  <c r="D446"/>
  <c r="E446" s="1"/>
  <c r="G446" s="1"/>
  <c r="D382"/>
  <c r="E382" s="1"/>
  <c r="G382" s="1"/>
  <c r="D350"/>
  <c r="E350" s="1"/>
  <c r="G350" s="1"/>
  <c r="D301"/>
  <c r="E301" s="1"/>
  <c r="G301" s="1"/>
  <c r="D287"/>
  <c r="E287" s="1"/>
  <c r="G287" s="1"/>
  <c r="D251"/>
  <c r="E251" s="1"/>
  <c r="G251" s="1"/>
  <c r="D219"/>
  <c r="E219" s="1"/>
  <c r="G219" s="1"/>
  <c r="D175"/>
  <c r="E175" s="1"/>
  <c r="G175" s="1"/>
  <c r="D162"/>
  <c r="E162" s="1"/>
  <c r="G162" s="1"/>
  <c r="D127"/>
  <c r="E127" s="1"/>
  <c r="G127" s="1"/>
  <c r="D115"/>
  <c r="E115" s="1"/>
  <c r="G115" s="1"/>
  <c r="D80"/>
  <c r="E80" s="1"/>
  <c r="G80" s="1"/>
  <c r="D43"/>
  <c r="E43" s="1"/>
  <c r="G43" s="1"/>
  <c r="AG45" i="1"/>
  <c r="D567" i="12"/>
  <c r="E567" s="1"/>
  <c r="G567" s="1"/>
  <c r="D571"/>
  <c r="E571" s="1"/>
  <c r="G571" s="1"/>
  <c r="D550"/>
  <c r="E550" s="1"/>
  <c r="G550" s="1"/>
  <c r="D533"/>
  <c r="E533" s="1"/>
  <c r="G533" s="1"/>
  <c r="D512"/>
  <c r="E512" s="1"/>
  <c r="G512" s="1"/>
  <c r="D499"/>
  <c r="E499" s="1"/>
  <c r="G499" s="1"/>
  <c r="D484"/>
  <c r="E484" s="1"/>
  <c r="G484" s="1"/>
  <c r="D468"/>
  <c r="E468" s="1"/>
  <c r="G468" s="1"/>
  <c r="D441"/>
  <c r="E441" s="1"/>
  <c r="G441" s="1"/>
  <c r="D426"/>
  <c r="E426" s="1"/>
  <c r="G426" s="1"/>
  <c r="D410"/>
  <c r="E410" s="1"/>
  <c r="G410" s="1"/>
  <c r="D400"/>
  <c r="E400" s="1"/>
  <c r="G400" s="1"/>
  <c r="D384"/>
  <c r="E384" s="1"/>
  <c r="G384" s="1"/>
  <c r="D368"/>
  <c r="E368" s="1"/>
  <c r="G368" s="1"/>
  <c r="D352"/>
  <c r="E352" s="1"/>
  <c r="G352" s="1"/>
  <c r="D336"/>
  <c r="E336" s="1"/>
  <c r="G336" s="1"/>
  <c r="D324"/>
  <c r="E324" s="1"/>
  <c r="G324" s="1"/>
  <c r="D311"/>
  <c r="E311" s="1"/>
  <c r="G311" s="1"/>
  <c r="D296"/>
  <c r="E296" s="1"/>
  <c r="G296" s="1"/>
  <c r="D277"/>
  <c r="E277" s="1"/>
  <c r="G277" s="1"/>
  <c r="D261"/>
  <c r="E261" s="1"/>
  <c r="G261" s="1"/>
  <c r="D245"/>
  <c r="E245" s="1"/>
  <c r="G245" s="1"/>
  <c r="D229"/>
  <c r="E229" s="1"/>
  <c r="G229" s="1"/>
  <c r="D213"/>
  <c r="E213" s="1"/>
  <c r="G213" s="1"/>
  <c r="D193"/>
  <c r="E193" s="1"/>
  <c r="G193" s="1"/>
  <c r="D177"/>
  <c r="E177" s="1"/>
  <c r="G177" s="1"/>
  <c r="D157"/>
  <c r="E157" s="1"/>
  <c r="G157" s="1"/>
  <c r="D138"/>
  <c r="E138" s="1"/>
  <c r="G138" s="1"/>
  <c r="D106"/>
  <c r="E106" s="1"/>
  <c r="G106" s="1"/>
  <c r="D90"/>
  <c r="E90" s="1"/>
  <c r="G90" s="1"/>
  <c r="D74"/>
  <c r="E74" s="1"/>
  <c r="G74" s="1"/>
  <c r="D57"/>
  <c r="E57" s="1"/>
  <c r="G57" s="1"/>
  <c r="D35"/>
  <c r="E35" s="1"/>
  <c r="G35" s="1"/>
  <c r="D14"/>
  <c r="E14" s="1"/>
  <c r="G14" s="1"/>
  <c r="AF90" i="1"/>
  <c r="D280" i="12"/>
  <c r="E280" s="1"/>
  <c r="G280" s="1"/>
  <c r="D152"/>
  <c r="E152" s="1"/>
  <c r="G152" s="1"/>
  <c r="D591"/>
  <c r="E591" s="1"/>
  <c r="G591" s="1"/>
  <c r="D586"/>
  <c r="E586" s="1"/>
  <c r="G586" s="1"/>
  <c r="D581"/>
  <c r="E581" s="1"/>
  <c r="G581" s="1"/>
  <c r="D579"/>
  <c r="E579" s="1"/>
  <c r="G579" s="1"/>
  <c r="D562"/>
  <c r="E562" s="1"/>
  <c r="G562" s="1"/>
  <c r="D554"/>
  <c r="E554" s="1"/>
  <c r="G554" s="1"/>
  <c r="D552"/>
  <c r="E552" s="1"/>
  <c r="G552" s="1"/>
  <c r="D547"/>
  <c r="E547" s="1"/>
  <c r="G547" s="1"/>
  <c r="D539"/>
  <c r="E539" s="1"/>
  <c r="G539" s="1"/>
  <c r="D527"/>
  <c r="E527" s="1"/>
  <c r="G527" s="1"/>
  <c r="D519"/>
  <c r="E519" s="1"/>
  <c r="G519" s="1"/>
  <c r="D514"/>
  <c r="E514" s="1"/>
  <c r="G514" s="1"/>
  <c r="D506"/>
  <c r="E506" s="1"/>
  <c r="G506" s="1"/>
  <c r="D501"/>
  <c r="E501" s="1"/>
  <c r="G501" s="1"/>
  <c r="D494"/>
  <c r="E494" s="1"/>
  <c r="G494" s="1"/>
  <c r="D486"/>
  <c r="E486" s="1"/>
  <c r="G486" s="1"/>
  <c r="D478"/>
  <c r="E478" s="1"/>
  <c r="G478" s="1"/>
  <c r="D470"/>
  <c r="E470" s="1"/>
  <c r="G470" s="1"/>
  <c r="D462"/>
  <c r="E462" s="1"/>
  <c r="G462" s="1"/>
  <c r="D453"/>
  <c r="E453" s="1"/>
  <c r="G453" s="1"/>
  <c r="D443"/>
  <c r="E443" s="1"/>
  <c r="G443" s="1"/>
  <c r="D435"/>
  <c r="E435" s="1"/>
  <c r="G435" s="1"/>
  <c r="D420"/>
  <c r="E420" s="1"/>
  <c r="G420" s="1"/>
  <c r="D412"/>
  <c r="E412" s="1"/>
  <c r="G412" s="1"/>
  <c r="D402"/>
  <c r="E402" s="1"/>
  <c r="G402" s="1"/>
  <c r="D394"/>
  <c r="E394" s="1"/>
  <c r="G394" s="1"/>
  <c r="D386"/>
  <c r="E386" s="1"/>
  <c r="G386" s="1"/>
  <c r="D378"/>
  <c r="E378" s="1"/>
  <c r="G378" s="1"/>
  <c r="D370"/>
  <c r="E370" s="1"/>
  <c r="G370" s="1"/>
  <c r="D362"/>
  <c r="E362" s="1"/>
  <c r="G362" s="1"/>
  <c r="D354"/>
  <c r="E354" s="1"/>
  <c r="G354" s="1"/>
  <c r="D346"/>
  <c r="E346" s="1"/>
  <c r="G346" s="1"/>
  <c r="D338"/>
  <c r="E338" s="1"/>
  <c r="G338" s="1"/>
  <c r="D330"/>
  <c r="E330" s="1"/>
  <c r="G330" s="1"/>
  <c r="D321"/>
  <c r="E321" s="1"/>
  <c r="G321" s="1"/>
  <c r="D313"/>
  <c r="E313" s="1"/>
  <c r="G313" s="1"/>
  <c r="D305"/>
  <c r="E305" s="1"/>
  <c r="G305" s="1"/>
  <c r="D283"/>
  <c r="E283" s="1"/>
  <c r="G283" s="1"/>
  <c r="D271"/>
  <c r="E271" s="1"/>
  <c r="G271" s="1"/>
  <c r="D263"/>
  <c r="E263" s="1"/>
  <c r="G263" s="1"/>
  <c r="D255"/>
  <c r="E255" s="1"/>
  <c r="G255" s="1"/>
  <c r="D247"/>
  <c r="E247" s="1"/>
  <c r="G247" s="1"/>
  <c r="D239"/>
  <c r="E239" s="1"/>
  <c r="G239" s="1"/>
  <c r="D231"/>
  <c r="E231" s="1"/>
  <c r="G231" s="1"/>
  <c r="D223"/>
  <c r="E223" s="1"/>
  <c r="G223" s="1"/>
  <c r="D215"/>
  <c r="E215" s="1"/>
  <c r="G215" s="1"/>
  <c r="D210"/>
  <c r="E210" s="1"/>
  <c r="G210" s="1"/>
  <c r="D205"/>
  <c r="E205" s="1"/>
  <c r="G205" s="1"/>
  <c r="D195"/>
  <c r="E195" s="1"/>
  <c r="G195" s="1"/>
  <c r="D187"/>
  <c r="E187" s="1"/>
  <c r="G187" s="1"/>
  <c r="D179"/>
  <c r="E179" s="1"/>
  <c r="G179" s="1"/>
  <c r="D161"/>
  <c r="E161" s="1"/>
  <c r="G161" s="1"/>
  <c r="D148"/>
  <c r="E148" s="1"/>
  <c r="G148" s="1"/>
  <c r="D140"/>
  <c r="E140" s="1"/>
  <c r="G140" s="1"/>
  <c r="D132"/>
  <c r="E132" s="1"/>
  <c r="G132" s="1"/>
  <c r="D128"/>
  <c r="E128" s="1"/>
  <c r="G128" s="1"/>
  <c r="D126"/>
  <c r="E126" s="1"/>
  <c r="G126" s="1"/>
  <c r="D121"/>
  <c r="E121" s="1"/>
  <c r="G121" s="1"/>
  <c r="D119"/>
  <c r="E119" s="1"/>
  <c r="G119" s="1"/>
  <c r="D111"/>
  <c r="E111" s="1"/>
  <c r="G111" s="1"/>
  <c r="D100"/>
  <c r="E100" s="1"/>
  <c r="G100" s="1"/>
  <c r="D92"/>
  <c r="E92" s="1"/>
  <c r="G92" s="1"/>
  <c r="D84"/>
  <c r="E84" s="1"/>
  <c r="G84" s="1"/>
  <c r="D76"/>
  <c r="E76" s="1"/>
  <c r="G76" s="1"/>
  <c r="D68"/>
  <c r="E68" s="1"/>
  <c r="G68" s="1"/>
  <c r="D59"/>
  <c r="E59" s="1"/>
  <c r="G59" s="1"/>
  <c r="D49"/>
  <c r="E49" s="1"/>
  <c r="G49" s="1"/>
  <c r="D38"/>
  <c r="E38" s="1"/>
  <c r="G38" s="1"/>
  <c r="D27"/>
  <c r="E27" s="1"/>
  <c r="G27" s="1"/>
  <c r="D17"/>
  <c r="E17" s="1"/>
  <c r="G17" s="1"/>
  <c r="AF289" i="1"/>
  <c r="D278" i="12"/>
  <c r="E278" s="1"/>
  <c r="G278" s="1"/>
  <c r="D589"/>
  <c r="E589" s="1"/>
  <c r="G589" s="1"/>
  <c r="D560"/>
  <c r="E560" s="1"/>
  <c r="G560" s="1"/>
  <c r="D545"/>
  <c r="E545" s="1"/>
  <c r="G545" s="1"/>
  <c r="D525"/>
  <c r="E525" s="1"/>
  <c r="G525" s="1"/>
  <c r="D504"/>
  <c r="E504" s="1"/>
  <c r="G504" s="1"/>
  <c r="D492"/>
  <c r="E492" s="1"/>
  <c r="G492" s="1"/>
  <c r="D476"/>
  <c r="E476" s="1"/>
  <c r="G476" s="1"/>
  <c r="D460"/>
  <c r="E460" s="1"/>
  <c r="G460" s="1"/>
  <c r="D433"/>
  <c r="E433" s="1"/>
  <c r="G433" s="1"/>
  <c r="D418"/>
  <c r="E418" s="1"/>
  <c r="G418" s="1"/>
  <c r="D408"/>
  <c r="E408" s="1"/>
  <c r="G408" s="1"/>
  <c r="D392"/>
  <c r="E392" s="1"/>
  <c r="G392" s="1"/>
  <c r="D376"/>
  <c r="E376" s="1"/>
  <c r="G376" s="1"/>
  <c r="D360"/>
  <c r="E360" s="1"/>
  <c r="G360" s="1"/>
  <c r="D344"/>
  <c r="E344" s="1"/>
  <c r="G344" s="1"/>
  <c r="D328"/>
  <c r="E328" s="1"/>
  <c r="G328" s="1"/>
  <c r="D319"/>
  <c r="E319" s="1"/>
  <c r="G319" s="1"/>
  <c r="D303"/>
  <c r="E303" s="1"/>
  <c r="G303" s="1"/>
  <c r="D289"/>
  <c r="E289" s="1"/>
  <c r="G289" s="1"/>
  <c r="D269"/>
  <c r="E269" s="1"/>
  <c r="G269" s="1"/>
  <c r="D253"/>
  <c r="E253" s="1"/>
  <c r="G253" s="1"/>
  <c r="D237"/>
  <c r="E237" s="1"/>
  <c r="G237" s="1"/>
  <c r="D221"/>
  <c r="E221" s="1"/>
  <c r="G221" s="1"/>
  <c r="D208"/>
  <c r="E208" s="1"/>
  <c r="G208" s="1"/>
  <c r="D185"/>
  <c r="E185" s="1"/>
  <c r="G185" s="1"/>
  <c r="D172"/>
  <c r="E172" s="1"/>
  <c r="G172" s="1"/>
  <c r="D146"/>
  <c r="E146" s="1"/>
  <c r="G146" s="1"/>
  <c r="D117"/>
  <c r="E117" s="1"/>
  <c r="G117" s="1"/>
  <c r="D98"/>
  <c r="E98" s="1"/>
  <c r="G98" s="1"/>
  <c r="D82"/>
  <c r="E82" s="1"/>
  <c r="G82" s="1"/>
  <c r="D66"/>
  <c r="E66" s="1"/>
  <c r="G66" s="1"/>
  <c r="D46"/>
  <c r="E46" s="1"/>
  <c r="G46" s="1"/>
  <c r="D25"/>
  <c r="E25" s="1"/>
  <c r="G25" s="1"/>
  <c r="D4"/>
  <c r="E4" s="1"/>
  <c r="G4" s="1"/>
  <c r="AF100" i="1"/>
  <c r="AF88"/>
  <c r="AF105"/>
  <c r="AF89"/>
  <c r="AF279"/>
  <c r="D290" i="12"/>
  <c r="E290" s="1"/>
  <c r="G290" s="1"/>
  <c r="D154"/>
  <c r="E154" s="1"/>
  <c r="G154" s="1"/>
  <c r="D108"/>
  <c r="E108" s="1"/>
  <c r="G108" s="1"/>
  <c r="D583"/>
  <c r="E583" s="1"/>
  <c r="G583" s="1"/>
  <c r="D564"/>
  <c r="E564" s="1"/>
  <c r="G564" s="1"/>
  <c r="D556"/>
  <c r="E556" s="1"/>
  <c r="G556" s="1"/>
  <c r="D549"/>
  <c r="E549" s="1"/>
  <c r="G549" s="1"/>
  <c r="D541"/>
  <c r="E541" s="1"/>
  <c r="G541" s="1"/>
  <c r="D536"/>
  <c r="E536" s="1"/>
  <c r="G536" s="1"/>
  <c r="D529"/>
  <c r="E529" s="1"/>
  <c r="G529" s="1"/>
  <c r="D521"/>
  <c r="E521" s="1"/>
  <c r="G521" s="1"/>
  <c r="D516"/>
  <c r="E516" s="1"/>
  <c r="G516" s="1"/>
  <c r="D508"/>
  <c r="E508" s="1"/>
  <c r="G508" s="1"/>
  <c r="D503"/>
  <c r="E503" s="1"/>
  <c r="G503" s="1"/>
  <c r="D488"/>
  <c r="E488" s="1"/>
  <c r="G488" s="1"/>
  <c r="D480"/>
  <c r="E480" s="1"/>
  <c r="G480" s="1"/>
  <c r="D472"/>
  <c r="E472" s="1"/>
  <c r="G472" s="1"/>
  <c r="D464"/>
  <c r="E464" s="1"/>
  <c r="G464" s="1"/>
  <c r="D456"/>
  <c r="E456" s="1"/>
  <c r="G456" s="1"/>
  <c r="D437"/>
  <c r="E437" s="1"/>
  <c r="G437" s="1"/>
  <c r="D429"/>
  <c r="E429" s="1"/>
  <c r="G429" s="1"/>
  <c r="D422"/>
  <c r="E422" s="1"/>
  <c r="G422" s="1"/>
  <c r="D414"/>
  <c r="E414" s="1"/>
  <c r="G414" s="1"/>
  <c r="D409"/>
  <c r="E409" s="1"/>
  <c r="G409" s="1"/>
  <c r="D404"/>
  <c r="E404" s="1"/>
  <c r="G404" s="1"/>
  <c r="D396"/>
  <c r="E396" s="1"/>
  <c r="G396" s="1"/>
  <c r="D388"/>
  <c r="E388" s="1"/>
  <c r="G388" s="1"/>
  <c r="D380"/>
  <c r="E380" s="1"/>
  <c r="G380" s="1"/>
  <c r="D372"/>
  <c r="E372" s="1"/>
  <c r="G372" s="1"/>
  <c r="D364"/>
  <c r="E364" s="1"/>
  <c r="G364" s="1"/>
  <c r="D356"/>
  <c r="E356" s="1"/>
  <c r="G356" s="1"/>
  <c r="D348"/>
  <c r="E348" s="1"/>
  <c r="G348" s="1"/>
  <c r="D340"/>
  <c r="E340" s="1"/>
  <c r="G340" s="1"/>
  <c r="D332"/>
  <c r="E332" s="1"/>
  <c r="G332" s="1"/>
  <c r="D325"/>
  <c r="E325" s="1"/>
  <c r="G325" s="1"/>
  <c r="D323"/>
  <c r="E323" s="1"/>
  <c r="G323" s="1"/>
  <c r="D315"/>
  <c r="E315" s="1"/>
  <c r="G315" s="1"/>
  <c r="D307"/>
  <c r="E307" s="1"/>
  <c r="G307" s="1"/>
  <c r="D299"/>
  <c r="E299" s="1"/>
  <c r="G299" s="1"/>
  <c r="D295"/>
  <c r="E295" s="1"/>
  <c r="G295" s="1"/>
  <c r="D285"/>
  <c r="E285" s="1"/>
  <c r="G285" s="1"/>
  <c r="D273"/>
  <c r="E273" s="1"/>
  <c r="G273" s="1"/>
  <c r="D265"/>
  <c r="E265" s="1"/>
  <c r="G265" s="1"/>
  <c r="D257"/>
  <c r="E257" s="1"/>
  <c r="G257" s="1"/>
  <c r="D249"/>
  <c r="E249" s="1"/>
  <c r="G249" s="1"/>
  <c r="D241"/>
  <c r="E241" s="1"/>
  <c r="G241" s="1"/>
  <c r="D233"/>
  <c r="E233" s="1"/>
  <c r="G233" s="1"/>
  <c r="D225"/>
  <c r="E225" s="1"/>
  <c r="G225" s="1"/>
  <c r="D217"/>
  <c r="E217" s="1"/>
  <c r="G217" s="1"/>
  <c r="D207"/>
  <c r="E207" s="1"/>
  <c r="G207" s="1"/>
  <c r="D197"/>
  <c r="E197" s="1"/>
  <c r="G197" s="1"/>
  <c r="D189"/>
  <c r="E189" s="1"/>
  <c r="G189" s="1"/>
  <c r="D181"/>
  <c r="E181" s="1"/>
  <c r="G181" s="1"/>
  <c r="D173"/>
  <c r="E173" s="1"/>
  <c r="G173" s="1"/>
  <c r="D171"/>
  <c r="E171" s="1"/>
  <c r="G171" s="1"/>
  <c r="D166"/>
  <c r="E166" s="1"/>
  <c r="G166" s="1"/>
  <c r="D158"/>
  <c r="E158" s="1"/>
  <c r="G158" s="1"/>
  <c r="D150"/>
  <c r="E150" s="1"/>
  <c r="G150" s="1"/>
  <c r="D142"/>
  <c r="E142" s="1"/>
  <c r="G142" s="1"/>
  <c r="D134"/>
  <c r="E134" s="1"/>
  <c r="G134" s="1"/>
  <c r="D113"/>
  <c r="E113" s="1"/>
  <c r="G113" s="1"/>
  <c r="D102"/>
  <c r="E102" s="1"/>
  <c r="G102" s="1"/>
  <c r="D94"/>
  <c r="E94" s="1"/>
  <c r="G94" s="1"/>
  <c r="D86"/>
  <c r="E86" s="1"/>
  <c r="G86" s="1"/>
  <c r="D78"/>
  <c r="E78" s="1"/>
  <c r="G78" s="1"/>
  <c r="D70"/>
  <c r="E70" s="1"/>
  <c r="G70" s="1"/>
  <c r="D62"/>
  <c r="E62" s="1"/>
  <c r="G62" s="1"/>
  <c r="D51"/>
  <c r="E51" s="1"/>
  <c r="G51" s="1"/>
  <c r="D41"/>
  <c r="E41" s="1"/>
  <c r="G41" s="1"/>
  <c r="D30"/>
  <c r="E30" s="1"/>
  <c r="G30" s="1"/>
  <c r="D19"/>
  <c r="E19" s="1"/>
  <c r="G19" s="1"/>
  <c r="D9"/>
  <c r="E9" s="1"/>
  <c r="G9" s="1"/>
  <c r="X100" i="1"/>
  <c r="AF7"/>
  <c r="AF11"/>
  <c r="AF94"/>
  <c r="AF185"/>
  <c r="AF244"/>
  <c r="AF163"/>
  <c r="AF235"/>
  <c r="AF257"/>
  <c r="AF128"/>
  <c r="AF6"/>
  <c r="AF250"/>
  <c r="AF91"/>
  <c r="D2" i="12"/>
  <c r="E2" s="1"/>
  <c r="G2" s="1"/>
  <c r="D281"/>
  <c r="E281" s="1"/>
  <c r="G281" s="1"/>
  <c r="D201"/>
  <c r="E201" s="1"/>
  <c r="G201" s="1"/>
  <c r="D153"/>
  <c r="E153" s="1"/>
  <c r="G153" s="1"/>
  <c r="D566"/>
  <c r="E566" s="1"/>
  <c r="G566" s="1"/>
  <c r="D592"/>
  <c r="E592" s="1"/>
  <c r="G592" s="1"/>
  <c r="D588"/>
  <c r="E588" s="1"/>
  <c r="G588" s="1"/>
  <c r="D582"/>
  <c r="E582" s="1"/>
  <c r="G582" s="1"/>
  <c r="D570"/>
  <c r="E570" s="1"/>
  <c r="G570" s="1"/>
  <c r="D563"/>
  <c r="E563" s="1"/>
  <c r="G563" s="1"/>
  <c r="D559"/>
  <c r="E559" s="1"/>
  <c r="G559" s="1"/>
  <c r="D555"/>
  <c r="E555" s="1"/>
  <c r="G555" s="1"/>
  <c r="D546"/>
  <c r="E546" s="1"/>
  <c r="G546" s="1"/>
  <c r="D542"/>
  <c r="E542" s="1"/>
  <c r="G542" s="1"/>
  <c r="D535"/>
  <c r="E535" s="1"/>
  <c r="G535" s="1"/>
  <c r="D532"/>
  <c r="E532" s="1"/>
  <c r="G532" s="1"/>
  <c r="D528"/>
  <c r="E528" s="1"/>
  <c r="G528" s="1"/>
  <c r="D524"/>
  <c r="E524" s="1"/>
  <c r="G524" s="1"/>
  <c r="D520"/>
  <c r="E520" s="1"/>
  <c r="G520" s="1"/>
  <c r="D517"/>
  <c r="E517" s="1"/>
  <c r="G517" s="1"/>
  <c r="D513"/>
  <c r="E513" s="1"/>
  <c r="G513" s="1"/>
  <c r="D509"/>
  <c r="E509" s="1"/>
  <c r="G509" s="1"/>
  <c r="D505"/>
  <c r="E505" s="1"/>
  <c r="G505" s="1"/>
  <c r="D502"/>
  <c r="E502" s="1"/>
  <c r="G502" s="1"/>
  <c r="D498"/>
  <c r="E498" s="1"/>
  <c r="G498" s="1"/>
  <c r="D495"/>
  <c r="E495" s="1"/>
  <c r="G495" s="1"/>
  <c r="D491"/>
  <c r="E491" s="1"/>
  <c r="G491" s="1"/>
  <c r="D487"/>
  <c r="E487" s="1"/>
  <c r="G487" s="1"/>
  <c r="D483"/>
  <c r="E483" s="1"/>
  <c r="G483" s="1"/>
  <c r="D479"/>
  <c r="E479" s="1"/>
  <c r="G479" s="1"/>
  <c r="D475"/>
  <c r="E475" s="1"/>
  <c r="G475" s="1"/>
  <c r="D471"/>
  <c r="E471" s="1"/>
  <c r="G471" s="1"/>
  <c r="D467"/>
  <c r="E467" s="1"/>
  <c r="G467" s="1"/>
  <c r="D463"/>
  <c r="E463" s="1"/>
  <c r="G463" s="1"/>
  <c r="D459"/>
  <c r="E459" s="1"/>
  <c r="G459" s="1"/>
  <c r="D454"/>
  <c r="E454" s="1"/>
  <c r="G454" s="1"/>
  <c r="D447"/>
  <c r="E447" s="1"/>
  <c r="G447" s="1"/>
  <c r="D444"/>
  <c r="E444" s="1"/>
  <c r="G444" s="1"/>
  <c r="D440"/>
  <c r="E440" s="1"/>
  <c r="G440" s="1"/>
  <c r="D436"/>
  <c r="E436" s="1"/>
  <c r="G436" s="1"/>
  <c r="D432"/>
  <c r="E432" s="1"/>
  <c r="G432" s="1"/>
  <c r="D428"/>
  <c r="E428" s="1"/>
  <c r="G428" s="1"/>
  <c r="D425"/>
  <c r="E425" s="1"/>
  <c r="G425" s="1"/>
  <c r="D421"/>
  <c r="E421" s="1"/>
  <c r="G421" s="1"/>
  <c r="D417"/>
  <c r="E417" s="1"/>
  <c r="G417" s="1"/>
  <c r="D413"/>
  <c r="E413" s="1"/>
  <c r="G413" s="1"/>
  <c r="D407"/>
  <c r="E407" s="1"/>
  <c r="G407" s="1"/>
  <c r="D403"/>
  <c r="E403" s="1"/>
  <c r="G403" s="1"/>
  <c r="D399"/>
  <c r="E399" s="1"/>
  <c r="G399" s="1"/>
  <c r="D395"/>
  <c r="E395" s="1"/>
  <c r="G395" s="1"/>
  <c r="D391"/>
  <c r="E391" s="1"/>
  <c r="G391" s="1"/>
  <c r="D387"/>
  <c r="E387" s="1"/>
  <c r="G387" s="1"/>
  <c r="D383"/>
  <c r="E383" s="1"/>
  <c r="G383" s="1"/>
  <c r="D379"/>
  <c r="E379" s="1"/>
  <c r="G379" s="1"/>
  <c r="D375"/>
  <c r="E375" s="1"/>
  <c r="G375" s="1"/>
  <c r="D371"/>
  <c r="E371" s="1"/>
  <c r="G371" s="1"/>
  <c r="D367"/>
  <c r="E367" s="1"/>
  <c r="G367" s="1"/>
  <c r="D363"/>
  <c r="E363" s="1"/>
  <c r="G363" s="1"/>
  <c r="D359"/>
  <c r="E359" s="1"/>
  <c r="G359" s="1"/>
  <c r="D355"/>
  <c r="E355" s="1"/>
  <c r="G355" s="1"/>
  <c r="D351"/>
  <c r="E351" s="1"/>
  <c r="G351" s="1"/>
  <c r="D347"/>
  <c r="E347" s="1"/>
  <c r="G347" s="1"/>
  <c r="D343"/>
  <c r="E343" s="1"/>
  <c r="G343" s="1"/>
  <c r="D339"/>
  <c r="E339" s="1"/>
  <c r="G339" s="1"/>
  <c r="D335"/>
  <c r="E335" s="1"/>
  <c r="G335" s="1"/>
  <c r="D331"/>
  <c r="E331" s="1"/>
  <c r="G331" s="1"/>
  <c r="D327"/>
  <c r="E327" s="1"/>
  <c r="G327" s="1"/>
  <c r="D322"/>
  <c r="E322" s="1"/>
  <c r="G322" s="1"/>
  <c r="D318"/>
  <c r="E318" s="1"/>
  <c r="G318" s="1"/>
  <c r="D314"/>
  <c r="E314" s="1"/>
  <c r="G314" s="1"/>
  <c r="D310"/>
  <c r="E310" s="1"/>
  <c r="G310" s="1"/>
  <c r="D306"/>
  <c r="E306" s="1"/>
  <c r="G306" s="1"/>
  <c r="D302"/>
  <c r="E302" s="1"/>
  <c r="G302" s="1"/>
  <c r="D298"/>
  <c r="E298" s="1"/>
  <c r="G298" s="1"/>
  <c r="D293"/>
  <c r="E293" s="1"/>
  <c r="G293" s="1"/>
  <c r="D286"/>
  <c r="E286" s="1"/>
  <c r="G286" s="1"/>
  <c r="D282"/>
  <c r="E282" s="1"/>
  <c r="G282" s="1"/>
  <c r="D274"/>
  <c r="E274" s="1"/>
  <c r="G274" s="1"/>
  <c r="D270"/>
  <c r="E270" s="1"/>
  <c r="G270" s="1"/>
  <c r="D266"/>
  <c r="E266" s="1"/>
  <c r="G266" s="1"/>
  <c r="D262"/>
  <c r="E262" s="1"/>
  <c r="G262" s="1"/>
  <c r="D258"/>
  <c r="E258" s="1"/>
  <c r="G258" s="1"/>
  <c r="D254"/>
  <c r="E254" s="1"/>
  <c r="G254" s="1"/>
  <c r="D250"/>
  <c r="E250" s="1"/>
  <c r="G250" s="1"/>
  <c r="D246"/>
  <c r="E246" s="1"/>
  <c r="G246" s="1"/>
  <c r="D242"/>
  <c r="E242" s="1"/>
  <c r="G242" s="1"/>
  <c r="D238"/>
  <c r="E238" s="1"/>
  <c r="G238" s="1"/>
  <c r="D234"/>
  <c r="E234" s="1"/>
  <c r="G234" s="1"/>
  <c r="D230"/>
  <c r="E230" s="1"/>
  <c r="G230" s="1"/>
  <c r="D226"/>
  <c r="E226" s="1"/>
  <c r="G226" s="1"/>
  <c r="D222"/>
  <c r="E222" s="1"/>
  <c r="G222" s="1"/>
  <c r="D218"/>
  <c r="E218" s="1"/>
  <c r="G218" s="1"/>
  <c r="D214"/>
  <c r="E214" s="1"/>
  <c r="G214" s="1"/>
  <c r="D204"/>
  <c r="E204" s="1"/>
  <c r="G204" s="1"/>
  <c r="D198"/>
  <c r="E198" s="1"/>
  <c r="G198" s="1"/>
  <c r="D194"/>
  <c r="E194" s="1"/>
  <c r="G194" s="1"/>
  <c r="D190"/>
  <c r="E190" s="1"/>
  <c r="G190" s="1"/>
  <c r="D186"/>
  <c r="E186" s="1"/>
  <c r="G186" s="1"/>
  <c r="D182"/>
  <c r="E182" s="1"/>
  <c r="G182" s="1"/>
  <c r="D178"/>
  <c r="E178" s="1"/>
  <c r="G178" s="1"/>
  <c r="D174"/>
  <c r="E174" s="1"/>
  <c r="G174" s="1"/>
  <c r="D169"/>
  <c r="E169" s="1"/>
  <c r="G169" s="1"/>
  <c r="D167"/>
  <c r="E167" s="1"/>
  <c r="G167" s="1"/>
  <c r="D164"/>
  <c r="E164" s="1"/>
  <c r="G164" s="1"/>
  <c r="D159"/>
  <c r="E159" s="1"/>
  <c r="G159" s="1"/>
  <c r="D156"/>
  <c r="E156" s="1"/>
  <c r="G156" s="1"/>
  <c r="D149"/>
  <c r="E149" s="1"/>
  <c r="G149" s="1"/>
  <c r="D145"/>
  <c r="E145" s="1"/>
  <c r="G145" s="1"/>
  <c r="D141"/>
  <c r="E141" s="1"/>
  <c r="G141" s="1"/>
  <c r="D137"/>
  <c r="E137" s="1"/>
  <c r="G137" s="1"/>
  <c r="D133"/>
  <c r="E133" s="1"/>
  <c r="G133" s="1"/>
  <c r="D130"/>
  <c r="E130" s="1"/>
  <c r="G130" s="1"/>
  <c r="D125"/>
  <c r="E125" s="1"/>
  <c r="G125" s="1"/>
  <c r="D123"/>
  <c r="E123" s="1"/>
  <c r="G123" s="1"/>
  <c r="D118"/>
  <c r="E118" s="1"/>
  <c r="G118" s="1"/>
  <c r="D114"/>
  <c r="E114" s="1"/>
  <c r="G114" s="1"/>
  <c r="D107"/>
  <c r="E107" s="1"/>
  <c r="G107" s="1"/>
  <c r="D103"/>
  <c r="E103" s="1"/>
  <c r="G103" s="1"/>
  <c r="D99"/>
  <c r="E99" s="1"/>
  <c r="G99" s="1"/>
  <c r="D95"/>
  <c r="E95" s="1"/>
  <c r="G95" s="1"/>
  <c r="D91"/>
  <c r="E91" s="1"/>
  <c r="G91" s="1"/>
  <c r="D87"/>
  <c r="E87" s="1"/>
  <c r="G87" s="1"/>
  <c r="D83"/>
  <c r="E83" s="1"/>
  <c r="G83" s="1"/>
  <c r="D79"/>
  <c r="E79" s="1"/>
  <c r="G79" s="1"/>
  <c r="D75"/>
  <c r="E75" s="1"/>
  <c r="G75" s="1"/>
  <c r="D71"/>
  <c r="E71" s="1"/>
  <c r="G71" s="1"/>
  <c r="D67"/>
  <c r="E67" s="1"/>
  <c r="G67" s="1"/>
  <c r="D63"/>
  <c r="E63" s="1"/>
  <c r="G63" s="1"/>
  <c r="D58"/>
  <c r="E58" s="1"/>
  <c r="G58" s="1"/>
  <c r="D53"/>
  <c r="E53" s="1"/>
  <c r="G53" s="1"/>
  <c r="D47"/>
  <c r="E47" s="1"/>
  <c r="G47" s="1"/>
  <c r="D42"/>
  <c r="E42" s="1"/>
  <c r="G42" s="1"/>
  <c r="D37"/>
  <c r="E37" s="1"/>
  <c r="G37" s="1"/>
  <c r="D31"/>
  <c r="E31" s="1"/>
  <c r="G31" s="1"/>
  <c r="D26"/>
  <c r="E26" s="1"/>
  <c r="G26" s="1"/>
  <c r="D21"/>
  <c r="E21" s="1"/>
  <c r="G21" s="1"/>
  <c r="D15"/>
  <c r="E15" s="1"/>
  <c r="G15" s="1"/>
  <c r="D10"/>
  <c r="E10" s="1"/>
  <c r="G10" s="1"/>
  <c r="D6"/>
  <c r="E6" s="1"/>
  <c r="G6" s="1"/>
  <c r="D449"/>
  <c r="E449" s="1"/>
  <c r="G449" s="1"/>
  <c r="AB209" i="1"/>
  <c r="D450" i="12"/>
  <c r="E450" s="1"/>
  <c r="G450" s="1"/>
  <c r="AF32" i="1"/>
  <c r="AF83"/>
  <c r="AF136"/>
  <c r="AF156"/>
  <c r="AF81"/>
  <c r="AF201"/>
  <c r="AF2"/>
  <c r="D291" i="12"/>
  <c r="E291" s="1"/>
  <c r="G291" s="1"/>
  <c r="D279"/>
  <c r="E279" s="1"/>
  <c r="G279" s="1"/>
  <c r="D199"/>
  <c r="E199" s="1"/>
  <c r="G199" s="1"/>
  <c r="D568"/>
  <c r="E568" s="1"/>
  <c r="G568" s="1"/>
  <c r="D109"/>
  <c r="E109" s="1"/>
  <c r="G109" s="1"/>
  <c r="D590"/>
  <c r="E590" s="1"/>
  <c r="G590" s="1"/>
  <c r="D584"/>
  <c r="E584" s="1"/>
  <c r="G584" s="1"/>
  <c r="D578"/>
  <c r="E578" s="1"/>
  <c r="G578" s="1"/>
  <c r="D565"/>
  <c r="E565" s="1"/>
  <c r="G565" s="1"/>
  <c r="D561"/>
  <c r="E561" s="1"/>
  <c r="G561" s="1"/>
  <c r="D557"/>
  <c r="E557" s="1"/>
  <c r="G557" s="1"/>
  <c r="D551"/>
  <c r="E551" s="1"/>
  <c r="G551" s="1"/>
  <c r="D548"/>
  <c r="E548" s="1"/>
  <c r="G548" s="1"/>
  <c r="D544"/>
  <c r="E544" s="1"/>
  <c r="G544" s="1"/>
  <c r="D540"/>
  <c r="E540" s="1"/>
  <c r="G540" s="1"/>
  <c r="D537"/>
  <c r="E537" s="1"/>
  <c r="G537" s="1"/>
  <c r="D534"/>
  <c r="E534" s="1"/>
  <c r="G534" s="1"/>
  <c r="D530"/>
  <c r="E530" s="1"/>
  <c r="G530" s="1"/>
  <c r="D526"/>
  <c r="E526" s="1"/>
  <c r="G526" s="1"/>
  <c r="D522"/>
  <c r="E522" s="1"/>
  <c r="G522" s="1"/>
  <c r="D515"/>
  <c r="E515" s="1"/>
  <c r="G515" s="1"/>
  <c r="D511"/>
  <c r="E511" s="1"/>
  <c r="G511" s="1"/>
  <c r="D507"/>
  <c r="E507" s="1"/>
  <c r="G507" s="1"/>
  <c r="D500"/>
  <c r="E500" s="1"/>
  <c r="G500" s="1"/>
  <c r="D496"/>
  <c r="E496" s="1"/>
  <c r="G496" s="1"/>
  <c r="D493"/>
  <c r="E493" s="1"/>
  <c r="G493" s="1"/>
  <c r="D489"/>
  <c r="E489" s="1"/>
  <c r="G489" s="1"/>
  <c r="D485"/>
  <c r="E485" s="1"/>
  <c r="G485" s="1"/>
  <c r="D481"/>
  <c r="E481" s="1"/>
  <c r="G481" s="1"/>
  <c r="D477"/>
  <c r="E477" s="1"/>
  <c r="G477" s="1"/>
  <c r="D473"/>
  <c r="E473" s="1"/>
  <c r="G473" s="1"/>
  <c r="D469"/>
  <c r="E469" s="1"/>
  <c r="G469" s="1"/>
  <c r="D465"/>
  <c r="E465" s="1"/>
  <c r="G465" s="1"/>
  <c r="D461"/>
  <c r="E461" s="1"/>
  <c r="G461" s="1"/>
  <c r="D457"/>
  <c r="E457" s="1"/>
  <c r="G457" s="1"/>
  <c r="D452"/>
  <c r="E452" s="1"/>
  <c r="G452" s="1"/>
  <c r="D445"/>
  <c r="E445" s="1"/>
  <c r="G445" s="1"/>
  <c r="D442"/>
  <c r="E442" s="1"/>
  <c r="G442" s="1"/>
  <c r="D438"/>
  <c r="E438" s="1"/>
  <c r="G438" s="1"/>
  <c r="D434"/>
  <c r="E434" s="1"/>
  <c r="G434" s="1"/>
  <c r="D430"/>
  <c r="E430" s="1"/>
  <c r="G430" s="1"/>
  <c r="D427"/>
  <c r="E427" s="1"/>
  <c r="G427" s="1"/>
  <c r="D423"/>
  <c r="E423" s="1"/>
  <c r="G423" s="1"/>
  <c r="D419"/>
  <c r="E419" s="1"/>
  <c r="G419" s="1"/>
  <c r="D415"/>
  <c r="E415" s="1"/>
  <c r="G415" s="1"/>
  <c r="D411"/>
  <c r="E411" s="1"/>
  <c r="G411" s="1"/>
  <c r="D405"/>
  <c r="E405" s="1"/>
  <c r="G405" s="1"/>
  <c r="D401"/>
  <c r="E401" s="1"/>
  <c r="G401" s="1"/>
  <c r="D397"/>
  <c r="E397" s="1"/>
  <c r="G397" s="1"/>
  <c r="D393"/>
  <c r="E393" s="1"/>
  <c r="G393" s="1"/>
  <c r="D389"/>
  <c r="E389" s="1"/>
  <c r="G389" s="1"/>
  <c r="D385"/>
  <c r="E385" s="1"/>
  <c r="G385" s="1"/>
  <c r="D381"/>
  <c r="E381" s="1"/>
  <c r="G381" s="1"/>
  <c r="D377"/>
  <c r="E377" s="1"/>
  <c r="G377" s="1"/>
  <c r="D373"/>
  <c r="E373" s="1"/>
  <c r="G373" s="1"/>
  <c r="D369"/>
  <c r="E369" s="1"/>
  <c r="G369" s="1"/>
  <c r="D365"/>
  <c r="E365" s="1"/>
  <c r="G365" s="1"/>
  <c r="D361"/>
  <c r="E361" s="1"/>
  <c r="G361" s="1"/>
  <c r="D357"/>
  <c r="E357" s="1"/>
  <c r="G357" s="1"/>
  <c r="D353"/>
  <c r="E353" s="1"/>
  <c r="G353" s="1"/>
  <c r="D349"/>
  <c r="E349" s="1"/>
  <c r="G349" s="1"/>
  <c r="D345"/>
  <c r="E345" s="1"/>
  <c r="G345" s="1"/>
  <c r="D341"/>
  <c r="E341" s="1"/>
  <c r="G341" s="1"/>
  <c r="D337"/>
  <c r="E337" s="1"/>
  <c r="G337" s="1"/>
  <c r="D333"/>
  <c r="E333" s="1"/>
  <c r="G333" s="1"/>
  <c r="D329"/>
  <c r="E329" s="1"/>
  <c r="G329" s="1"/>
  <c r="D326"/>
  <c r="E326" s="1"/>
  <c r="G326" s="1"/>
  <c r="D320"/>
  <c r="E320" s="1"/>
  <c r="G320" s="1"/>
  <c r="D316"/>
  <c r="E316" s="1"/>
  <c r="G316" s="1"/>
  <c r="D312"/>
  <c r="E312" s="1"/>
  <c r="G312" s="1"/>
  <c r="D308"/>
  <c r="E308" s="1"/>
  <c r="G308" s="1"/>
  <c r="D304"/>
  <c r="E304" s="1"/>
  <c r="G304" s="1"/>
  <c r="D300"/>
  <c r="E300" s="1"/>
  <c r="G300" s="1"/>
  <c r="D297"/>
  <c r="E297" s="1"/>
  <c r="G297" s="1"/>
  <c r="D294"/>
  <c r="E294" s="1"/>
  <c r="G294" s="1"/>
  <c r="D288"/>
  <c r="E288" s="1"/>
  <c r="G288" s="1"/>
  <c r="D284"/>
  <c r="E284" s="1"/>
  <c r="G284" s="1"/>
  <c r="D276"/>
  <c r="E276" s="1"/>
  <c r="G276" s="1"/>
  <c r="D272"/>
  <c r="E272" s="1"/>
  <c r="G272" s="1"/>
  <c r="D268"/>
  <c r="E268" s="1"/>
  <c r="G268" s="1"/>
  <c r="D264"/>
  <c r="E264" s="1"/>
  <c r="G264" s="1"/>
  <c r="D260"/>
  <c r="E260" s="1"/>
  <c r="G260" s="1"/>
  <c r="D256"/>
  <c r="E256" s="1"/>
  <c r="G256" s="1"/>
  <c r="D252"/>
  <c r="E252" s="1"/>
  <c r="G252" s="1"/>
  <c r="D248"/>
  <c r="E248" s="1"/>
  <c r="G248" s="1"/>
  <c r="D244"/>
  <c r="E244" s="1"/>
  <c r="G244" s="1"/>
  <c r="D240"/>
  <c r="E240" s="1"/>
  <c r="G240" s="1"/>
  <c r="D236"/>
  <c r="E236" s="1"/>
  <c r="G236" s="1"/>
  <c r="D232"/>
  <c r="E232" s="1"/>
  <c r="G232" s="1"/>
  <c r="D228"/>
  <c r="E228" s="1"/>
  <c r="G228" s="1"/>
  <c r="D224"/>
  <c r="E224" s="1"/>
  <c r="G224" s="1"/>
  <c r="D220"/>
  <c r="E220" s="1"/>
  <c r="G220" s="1"/>
  <c r="D216"/>
  <c r="E216" s="1"/>
  <c r="G216" s="1"/>
  <c r="D212"/>
  <c r="E212" s="1"/>
  <c r="G212" s="1"/>
  <c r="D209"/>
  <c r="E209" s="1"/>
  <c r="G209" s="1"/>
  <c r="D206"/>
  <c r="E206" s="1"/>
  <c r="G206" s="1"/>
  <c r="D203"/>
  <c r="E203" s="1"/>
  <c r="G203" s="1"/>
  <c r="D196"/>
  <c r="E196" s="1"/>
  <c r="G196" s="1"/>
  <c r="D192"/>
  <c r="E192" s="1"/>
  <c r="G192" s="1"/>
  <c r="D188"/>
  <c r="E188" s="1"/>
  <c r="G188" s="1"/>
  <c r="D184"/>
  <c r="E184" s="1"/>
  <c r="G184" s="1"/>
  <c r="D180"/>
  <c r="E180" s="1"/>
  <c r="G180" s="1"/>
  <c r="D176"/>
  <c r="E176" s="1"/>
  <c r="G176" s="1"/>
  <c r="D170"/>
  <c r="E170" s="1"/>
  <c r="G170" s="1"/>
  <c r="D168"/>
  <c r="E168" s="1"/>
  <c r="G168" s="1"/>
  <c r="D165"/>
  <c r="E165" s="1"/>
  <c r="G165" s="1"/>
  <c r="D163"/>
  <c r="E163" s="1"/>
  <c r="G163" s="1"/>
  <c r="D151"/>
  <c r="E151" s="1"/>
  <c r="G151" s="1"/>
  <c r="D147"/>
  <c r="E147" s="1"/>
  <c r="G147" s="1"/>
  <c r="D143"/>
  <c r="E143" s="1"/>
  <c r="G143" s="1"/>
  <c r="D139"/>
  <c r="E139" s="1"/>
  <c r="G139" s="1"/>
  <c r="D135"/>
  <c r="E135" s="1"/>
  <c r="G135" s="1"/>
  <c r="D131"/>
  <c r="E131" s="1"/>
  <c r="G131" s="1"/>
  <c r="D124"/>
  <c r="E124" s="1"/>
  <c r="G124" s="1"/>
  <c r="D122"/>
  <c r="E122" s="1"/>
  <c r="G122" s="1"/>
  <c r="D116"/>
  <c r="E116" s="1"/>
  <c r="G116" s="1"/>
  <c r="D112"/>
  <c r="E112" s="1"/>
  <c r="G112" s="1"/>
  <c r="D105"/>
  <c r="E105" s="1"/>
  <c r="G105" s="1"/>
  <c r="D101"/>
  <c r="E101" s="1"/>
  <c r="G101" s="1"/>
  <c r="D97"/>
  <c r="E97" s="1"/>
  <c r="G97" s="1"/>
  <c r="D93"/>
  <c r="E93" s="1"/>
  <c r="G93" s="1"/>
  <c r="D89"/>
  <c r="E89" s="1"/>
  <c r="G89" s="1"/>
  <c r="D85"/>
  <c r="E85" s="1"/>
  <c r="G85" s="1"/>
  <c r="D81"/>
  <c r="E81" s="1"/>
  <c r="G81" s="1"/>
  <c r="D77"/>
  <c r="E77" s="1"/>
  <c r="G77" s="1"/>
  <c r="D73"/>
  <c r="E73" s="1"/>
  <c r="G73" s="1"/>
  <c r="D69"/>
  <c r="E69" s="1"/>
  <c r="G69" s="1"/>
  <c r="D65"/>
  <c r="E65" s="1"/>
  <c r="G65" s="1"/>
  <c r="D61"/>
  <c r="E61" s="1"/>
  <c r="G61" s="1"/>
  <c r="D55"/>
  <c r="E55" s="1"/>
  <c r="G55" s="1"/>
  <c r="D50"/>
  <c r="E50" s="1"/>
  <c r="G50" s="1"/>
  <c r="D45"/>
  <c r="E45" s="1"/>
  <c r="G45" s="1"/>
  <c r="D39"/>
  <c r="E39" s="1"/>
  <c r="G39" s="1"/>
  <c r="D34"/>
  <c r="E34" s="1"/>
  <c r="G34" s="1"/>
  <c r="D29"/>
  <c r="E29" s="1"/>
  <c r="G29" s="1"/>
  <c r="D23"/>
  <c r="E23" s="1"/>
  <c r="G23" s="1"/>
  <c r="D18"/>
  <c r="E18" s="1"/>
  <c r="G18" s="1"/>
  <c r="D13"/>
  <c r="E13" s="1"/>
  <c r="G13" s="1"/>
  <c r="D7"/>
  <c r="E7" s="1"/>
  <c r="G7" s="1"/>
  <c r="D60"/>
  <c r="E60" s="1"/>
  <c r="G60" s="1"/>
  <c r="D56"/>
  <c r="E56" s="1"/>
  <c r="G56" s="1"/>
  <c r="D52"/>
  <c r="E52" s="1"/>
  <c r="G52" s="1"/>
  <c r="D48"/>
  <c r="E48" s="1"/>
  <c r="G48" s="1"/>
  <c r="D44"/>
  <c r="E44" s="1"/>
  <c r="G44" s="1"/>
  <c r="D40"/>
  <c r="E40" s="1"/>
  <c r="G40" s="1"/>
  <c r="D36"/>
  <c r="E36" s="1"/>
  <c r="G36" s="1"/>
  <c r="D32"/>
  <c r="E32" s="1"/>
  <c r="G32" s="1"/>
  <c r="D28"/>
  <c r="E28" s="1"/>
  <c r="G28" s="1"/>
  <c r="D24"/>
  <c r="E24" s="1"/>
  <c r="G24" s="1"/>
  <c r="D20"/>
  <c r="E20" s="1"/>
  <c r="G20" s="1"/>
  <c r="D16"/>
  <c r="E16" s="1"/>
  <c r="G16" s="1"/>
  <c r="D12"/>
  <c r="E12" s="1"/>
  <c r="G12" s="1"/>
  <c r="D8"/>
  <c r="E8" s="1"/>
  <c r="G8" s="1"/>
  <c r="D5"/>
  <c r="E5" s="1"/>
  <c r="G5" s="1"/>
  <c r="D448"/>
  <c r="E448" s="1"/>
  <c r="G448" s="1"/>
  <c r="AF114" i="1"/>
  <c r="AF266"/>
  <c r="AF160"/>
  <c r="AF42"/>
  <c r="D451" i="12"/>
  <c r="E451" s="1"/>
  <c r="G451" s="1"/>
  <c r="X44" i="1"/>
  <c r="AF113"/>
  <c r="AF211"/>
  <c r="AF140"/>
  <c r="W259"/>
  <c r="AF217"/>
  <c r="AF206"/>
  <c r="T191"/>
  <c r="U191"/>
  <c r="AB191"/>
  <c r="AG191"/>
  <c r="T41"/>
  <c r="U41"/>
  <c r="AB41"/>
  <c r="AG41"/>
  <c r="T42"/>
  <c r="U42"/>
  <c r="AB42"/>
  <c r="AG42"/>
  <c r="T287"/>
  <c r="U287"/>
  <c r="AE287" s="1"/>
  <c r="AB287"/>
  <c r="AG287"/>
  <c r="T286"/>
  <c r="U286"/>
  <c r="AE286" s="1"/>
  <c r="AB286"/>
  <c r="AG286"/>
  <c r="W42"/>
  <c r="X42"/>
  <c r="X41"/>
  <c r="W41"/>
  <c r="W287"/>
  <c r="X286"/>
  <c r="W286"/>
  <c r="X287"/>
  <c r="T162"/>
  <c r="U162"/>
  <c r="AB162"/>
  <c r="AG162"/>
  <c r="T160"/>
  <c r="U160"/>
  <c r="AB160"/>
  <c r="AG160"/>
  <c r="T161"/>
  <c r="U161"/>
  <c r="AB161"/>
  <c r="AG161"/>
  <c r="W160"/>
  <c r="W161"/>
  <c r="X161"/>
  <c r="T284"/>
  <c r="U284"/>
  <c r="AE284" s="1"/>
  <c r="AB284"/>
  <c r="AG284"/>
  <c r="T285"/>
  <c r="U285"/>
  <c r="AE285" s="1"/>
  <c r="AB285"/>
  <c r="AG285"/>
  <c r="T272"/>
  <c r="U272"/>
  <c r="AB272"/>
  <c r="AG272"/>
  <c r="X160"/>
  <c r="X284"/>
  <c r="W284"/>
  <c r="X285"/>
  <c r="W285"/>
  <c r="T97"/>
  <c r="U97"/>
  <c r="AB97"/>
  <c r="AG97"/>
  <c r="T99"/>
  <c r="U99"/>
  <c r="AB99"/>
  <c r="AG99"/>
  <c r="T249"/>
  <c r="U249"/>
  <c r="AB249"/>
  <c r="AG249"/>
  <c r="T250"/>
  <c r="U250"/>
  <c r="AB250"/>
  <c r="AG250"/>
  <c r="T251"/>
  <c r="U251"/>
  <c r="AB251"/>
  <c r="AG251"/>
  <c r="T216"/>
  <c r="U216"/>
  <c r="AB216"/>
  <c r="AG216"/>
  <c r="W249"/>
  <c r="W250"/>
  <c r="X250"/>
  <c r="T102"/>
  <c r="U102"/>
  <c r="AB102"/>
  <c r="AG102"/>
  <c r="T101"/>
  <c r="U101"/>
  <c r="AB101"/>
  <c r="AG101"/>
  <c r="T205"/>
  <c r="U205"/>
  <c r="AB205"/>
  <c r="AG205"/>
  <c r="T206"/>
  <c r="U206"/>
  <c r="AB206"/>
  <c r="AG206"/>
  <c r="X249"/>
  <c r="X206"/>
  <c r="W206"/>
  <c r="W205"/>
  <c r="X205"/>
  <c r="T271"/>
  <c r="U271"/>
  <c r="AB271"/>
  <c r="AG271"/>
  <c r="T109"/>
  <c r="U109"/>
  <c r="AB109"/>
  <c r="AG109"/>
  <c r="T85"/>
  <c r="U85"/>
  <c r="AB85"/>
  <c r="AG85"/>
  <c r="T58"/>
  <c r="U58"/>
  <c r="AB58"/>
  <c r="AG58"/>
  <c r="T194"/>
  <c r="U194"/>
  <c r="AE194" s="1"/>
  <c r="AB194"/>
  <c r="AG194"/>
  <c r="T195"/>
  <c r="U195"/>
  <c r="AE195" s="1"/>
  <c r="AB195"/>
  <c r="AG195"/>
  <c r="T217"/>
  <c r="U217"/>
  <c r="AB217"/>
  <c r="AG217"/>
  <c r="AB218"/>
  <c r="AG218"/>
  <c r="T218"/>
  <c r="U218"/>
  <c r="X195"/>
  <c r="W195"/>
  <c r="W194"/>
  <c r="X194"/>
  <c r="X217"/>
  <c r="W217"/>
  <c r="T141"/>
  <c r="U141"/>
  <c r="AB141"/>
  <c r="AG141"/>
  <c r="T140"/>
  <c r="U140"/>
  <c r="AB140"/>
  <c r="AG140"/>
  <c r="X140"/>
  <c r="W140"/>
  <c r="T253"/>
  <c r="U253"/>
  <c r="AE253" s="1"/>
  <c r="AB253"/>
  <c r="AG253"/>
  <c r="T252"/>
  <c r="U252"/>
  <c r="AE252" s="1"/>
  <c r="AB252"/>
  <c r="AG252"/>
  <c r="W252"/>
  <c r="T175"/>
  <c r="U175"/>
  <c r="AB175"/>
  <c r="AG175"/>
  <c r="T38"/>
  <c r="U38"/>
  <c r="AE38" s="1"/>
  <c r="AB38"/>
  <c r="AG38"/>
  <c r="X252"/>
  <c r="W38"/>
  <c r="T192"/>
  <c r="U192"/>
  <c r="AE192" s="1"/>
  <c r="AB192"/>
  <c r="AG192"/>
  <c r="T193"/>
  <c r="U193"/>
  <c r="AE193" s="1"/>
  <c r="AB193"/>
  <c r="AG193"/>
  <c r="T147"/>
  <c r="U147"/>
  <c r="AE147" s="1"/>
  <c r="AB147"/>
  <c r="AG147"/>
  <c r="X38"/>
  <c r="X147"/>
  <c r="W147"/>
  <c r="X192"/>
  <c r="X193"/>
  <c r="W193"/>
  <c r="T176"/>
  <c r="U176"/>
  <c r="AB176"/>
  <c r="AG176"/>
  <c r="AB221"/>
  <c r="AG221"/>
  <c r="T221"/>
  <c r="U221"/>
  <c r="T220"/>
  <c r="U220"/>
  <c r="AB220"/>
  <c r="AG220"/>
  <c r="T254"/>
  <c r="U254"/>
  <c r="AE254" s="1"/>
  <c r="AB254"/>
  <c r="AG254"/>
  <c r="W192"/>
  <c r="T215"/>
  <c r="U215"/>
  <c r="AB215"/>
  <c r="AG215"/>
  <c r="T245"/>
  <c r="U245"/>
  <c r="AE245" s="1"/>
  <c r="AB245"/>
  <c r="AG245"/>
  <c r="T246"/>
  <c r="U246"/>
  <c r="AE246" s="1"/>
  <c r="AB246"/>
  <c r="AG246"/>
  <c r="T247"/>
  <c r="U247"/>
  <c r="AE247" s="1"/>
  <c r="AB247"/>
  <c r="AG247"/>
  <c r="X247"/>
  <c r="W247"/>
  <c r="W246"/>
  <c r="X246"/>
  <c r="W245"/>
  <c r="X245"/>
  <c r="T190"/>
  <c r="U190"/>
  <c r="AE190" s="1"/>
  <c r="AB190"/>
  <c r="AG190"/>
  <c r="X190"/>
  <c r="W190"/>
  <c r="T279"/>
  <c r="U279"/>
  <c r="AB279"/>
  <c r="AG279"/>
  <c r="T280"/>
  <c r="U280"/>
  <c r="AB280"/>
  <c r="AG280"/>
  <c r="W279"/>
  <c r="X279"/>
  <c r="T146"/>
  <c r="U146"/>
  <c r="AE146" s="1"/>
  <c r="AB146"/>
  <c r="AG146"/>
  <c r="T198"/>
  <c r="U198"/>
  <c r="AE198" s="1"/>
  <c r="AB198"/>
  <c r="AG198"/>
  <c r="T63"/>
  <c r="U63"/>
  <c r="AE63" s="1"/>
  <c r="AB63"/>
  <c r="AG63"/>
  <c r="X63"/>
  <c r="W63"/>
  <c r="W146"/>
  <c r="X198"/>
  <c r="W198"/>
  <c r="X146"/>
  <c r="T157"/>
  <c r="U157"/>
  <c r="AE157" s="1"/>
  <c r="AB157"/>
  <c r="AG157"/>
  <c r="T225"/>
  <c r="U225"/>
  <c r="AE225" s="1"/>
  <c r="AB225"/>
  <c r="AG225"/>
  <c r="X225"/>
  <c r="W225"/>
  <c r="W157"/>
  <c r="X157"/>
  <c r="T121"/>
  <c r="U121"/>
  <c r="AB121"/>
  <c r="AG121"/>
  <c r="T122"/>
  <c r="U122"/>
  <c r="AB122"/>
  <c r="AG122"/>
  <c r="T262"/>
  <c r="U262"/>
  <c r="AE262" s="1"/>
  <c r="AB262"/>
  <c r="AG262"/>
  <c r="T263"/>
  <c r="U263"/>
  <c r="AE263" s="1"/>
  <c r="AB263"/>
  <c r="AG263"/>
  <c r="T211"/>
  <c r="U211"/>
  <c r="AB211"/>
  <c r="AG211"/>
  <c r="T264"/>
  <c r="U264"/>
  <c r="AE264" s="1"/>
  <c r="AB264"/>
  <c r="AG264"/>
  <c r="X264"/>
  <c r="W264"/>
  <c r="X263"/>
  <c r="W263"/>
  <c r="X262"/>
  <c r="W262"/>
  <c r="W211"/>
  <c r="X211"/>
  <c r="T266"/>
  <c r="U266"/>
  <c r="AB266"/>
  <c r="AG266"/>
  <c r="T267"/>
  <c r="U267"/>
  <c r="AB267"/>
  <c r="AG267"/>
  <c r="W266"/>
  <c r="T187"/>
  <c r="U187"/>
  <c r="AE187" s="1"/>
  <c r="AB187"/>
  <c r="AG187"/>
  <c r="T186"/>
  <c r="U186"/>
  <c r="AE186" s="1"/>
  <c r="AB186"/>
  <c r="AG186"/>
  <c r="T142"/>
  <c r="U142"/>
  <c r="AE142" s="1"/>
  <c r="AB142"/>
  <c r="AG142"/>
  <c r="T113"/>
  <c r="U113"/>
  <c r="AB113"/>
  <c r="AG113"/>
  <c r="T143"/>
  <c r="U143"/>
  <c r="AE143" s="1"/>
  <c r="AB143"/>
  <c r="AG143"/>
  <c r="T114"/>
  <c r="U114"/>
  <c r="AB114"/>
  <c r="AG114"/>
  <c r="X266"/>
  <c r="X114"/>
  <c r="W114"/>
  <c r="X113"/>
  <c r="W113"/>
  <c r="X187"/>
  <c r="W187"/>
  <c r="X186"/>
  <c r="W186"/>
  <c r="X143"/>
  <c r="X142"/>
  <c r="W143"/>
  <c r="W142"/>
  <c r="T278"/>
  <c r="U278"/>
  <c r="AE278" s="1"/>
  <c r="AB278"/>
  <c r="AG278"/>
  <c r="T277"/>
  <c r="U277"/>
  <c r="AE277" s="1"/>
  <c r="AB277"/>
  <c r="AG277"/>
  <c r="T276"/>
  <c r="U276"/>
  <c r="AE276" s="1"/>
  <c r="AB276"/>
  <c r="AG276"/>
  <c r="T153"/>
  <c r="U153"/>
  <c r="AB153"/>
  <c r="AG153"/>
  <c r="T152"/>
  <c r="U152"/>
  <c r="AB152"/>
  <c r="AG152"/>
  <c r="T155"/>
  <c r="U155"/>
  <c r="AB155"/>
  <c r="AG155"/>
  <c r="T154"/>
  <c r="U154"/>
  <c r="AB154"/>
  <c r="AG154"/>
  <c r="AF155"/>
  <c r="AF153"/>
  <c r="X155"/>
  <c r="W155"/>
  <c r="X154"/>
  <c r="W154"/>
  <c r="X153"/>
  <c r="W153"/>
  <c r="X152"/>
  <c r="W152"/>
  <c r="W276"/>
  <c r="X276"/>
  <c r="X278"/>
  <c r="W278"/>
  <c r="X277"/>
  <c r="W277"/>
  <c r="T105"/>
  <c r="U105"/>
  <c r="AB105"/>
  <c r="AG105"/>
  <c r="T144"/>
  <c r="U144"/>
  <c r="AB144"/>
  <c r="AG144"/>
  <c r="AB145"/>
  <c r="AG145"/>
  <c r="T145"/>
  <c r="U145"/>
  <c r="W105"/>
  <c r="X105"/>
  <c r="T202"/>
  <c r="U202"/>
  <c r="AE202" s="1"/>
  <c r="AB202"/>
  <c r="AG202"/>
  <c r="W202"/>
  <c r="T232"/>
  <c r="U232"/>
  <c r="AE232" s="1"/>
  <c r="AB232"/>
  <c r="AG232"/>
  <c r="AB219"/>
  <c r="AG219"/>
  <c r="T219"/>
  <c r="U219"/>
  <c r="T233"/>
  <c r="U233"/>
  <c r="AE233" s="1"/>
  <c r="AB233"/>
  <c r="AG233"/>
  <c r="X202"/>
  <c r="X233"/>
  <c r="W233"/>
  <c r="W232"/>
  <c r="X232"/>
  <c r="T207"/>
  <c r="U207"/>
  <c r="AB207"/>
  <c r="AG207"/>
  <c r="T199"/>
  <c r="U199"/>
  <c r="AE199" s="1"/>
  <c r="AB199"/>
  <c r="AG199"/>
  <c r="W199"/>
  <c r="X199"/>
  <c r="T21"/>
  <c r="U21"/>
  <c r="AB21"/>
  <c r="AG21"/>
  <c r="T168"/>
  <c r="U168"/>
  <c r="AE168" s="1"/>
  <c r="AB168"/>
  <c r="AG168"/>
  <c r="T212"/>
  <c r="U212"/>
  <c r="AE212" s="1"/>
  <c r="AB212"/>
  <c r="AG212"/>
  <c r="W212"/>
  <c r="X212"/>
  <c r="W21"/>
  <c r="W168"/>
  <c r="X168"/>
  <c r="X21"/>
  <c r="T244"/>
  <c r="U244"/>
  <c r="AB244"/>
  <c r="AG244"/>
  <c r="T268"/>
  <c r="U268"/>
  <c r="AB268"/>
  <c r="AG268"/>
  <c r="W268"/>
  <c r="X268"/>
  <c r="W244"/>
  <c r="T163"/>
  <c r="U163"/>
  <c r="AB163"/>
  <c r="AG163"/>
  <c r="T181"/>
  <c r="U181"/>
  <c r="AB181"/>
  <c r="AG181"/>
  <c r="T260"/>
  <c r="U260"/>
  <c r="AE260" s="1"/>
  <c r="AB260"/>
  <c r="AG260"/>
  <c r="X260"/>
  <c r="T259"/>
  <c r="U259"/>
  <c r="AE259" s="1"/>
  <c r="AB259"/>
  <c r="AG259"/>
  <c r="X259"/>
  <c r="W260"/>
  <c r="AF181"/>
  <c r="X244"/>
  <c r="W181"/>
  <c r="X181"/>
  <c r="W163"/>
  <c r="X163"/>
  <c r="T214"/>
  <c r="U214"/>
  <c r="AB214"/>
  <c r="AG214"/>
  <c r="T213"/>
  <c r="U213"/>
  <c r="AB213"/>
  <c r="AG213"/>
  <c r="T170"/>
  <c r="U170"/>
  <c r="AB170"/>
  <c r="AG170"/>
  <c r="T169"/>
  <c r="U169"/>
  <c r="AB169"/>
  <c r="AG169"/>
  <c r="W213"/>
  <c r="X213"/>
  <c r="T242"/>
  <c r="U242"/>
  <c r="AB242"/>
  <c r="AG242"/>
  <c r="T241"/>
  <c r="U241"/>
  <c r="AB241"/>
  <c r="AG241"/>
  <c r="T172"/>
  <c r="U172"/>
  <c r="AB172"/>
  <c r="AG172"/>
  <c r="T171"/>
  <c r="U171"/>
  <c r="AB171"/>
  <c r="AG171"/>
  <c r="W241"/>
  <c r="X241"/>
  <c r="T234"/>
  <c r="U234"/>
  <c r="AE234" s="1"/>
  <c r="AB234"/>
  <c r="AG234"/>
  <c r="T235"/>
  <c r="U235"/>
  <c r="AB235"/>
  <c r="AG235"/>
  <c r="T32"/>
  <c r="U32"/>
  <c r="AB32"/>
  <c r="AG32"/>
  <c r="T236"/>
  <c r="U236"/>
  <c r="AB236"/>
  <c r="AG236"/>
  <c r="X236"/>
  <c r="W236"/>
  <c r="X235"/>
  <c r="W235"/>
  <c r="X234"/>
  <c r="W234"/>
  <c r="W32"/>
  <c r="X32"/>
  <c r="T33"/>
  <c r="U33"/>
  <c r="AE33" s="1"/>
  <c r="AB33"/>
  <c r="AG33"/>
  <c r="T34"/>
  <c r="U34"/>
  <c r="AE34" s="1"/>
  <c r="AB34"/>
  <c r="AG34"/>
  <c r="W33"/>
  <c r="X34"/>
  <c r="W34"/>
  <c r="T26"/>
  <c r="U26"/>
  <c r="AE26" s="1"/>
  <c r="AB26"/>
  <c r="AG26"/>
  <c r="T27"/>
  <c r="U27"/>
  <c r="AE27" s="1"/>
  <c r="AB27"/>
  <c r="AG27"/>
  <c r="X33"/>
  <c r="X27"/>
  <c r="W27"/>
  <c r="X26"/>
  <c r="W26"/>
  <c r="T111"/>
  <c r="U111"/>
  <c r="AB111"/>
  <c r="AG111"/>
  <c r="T110"/>
  <c r="U110"/>
  <c r="AB110"/>
  <c r="AG110"/>
  <c r="T164"/>
  <c r="U164"/>
  <c r="AE164" s="1"/>
  <c r="AB164"/>
  <c r="AG164"/>
  <c r="T165"/>
  <c r="U165"/>
  <c r="AE165" s="1"/>
  <c r="AB165"/>
  <c r="AG165"/>
  <c r="X165"/>
  <c r="W165"/>
  <c r="W164"/>
  <c r="X164"/>
  <c r="W110"/>
  <c r="X110"/>
  <c r="T200"/>
  <c r="U200"/>
  <c r="AB200"/>
  <c r="AG200"/>
  <c r="T274"/>
  <c r="U274"/>
  <c r="AB274"/>
  <c r="AG274"/>
  <c r="T282"/>
  <c r="U282"/>
  <c r="AB282"/>
  <c r="AG282"/>
  <c r="T283"/>
  <c r="U283"/>
  <c r="AB283"/>
  <c r="AG283"/>
  <c r="T179"/>
  <c r="U179"/>
  <c r="AE179" s="1"/>
  <c r="AB179"/>
  <c r="AG179"/>
  <c r="T178"/>
  <c r="U178"/>
  <c r="AE178" s="1"/>
  <c r="AB178"/>
  <c r="AG178"/>
  <c r="X179"/>
  <c r="X178"/>
  <c r="W179"/>
  <c r="W178"/>
  <c r="T189"/>
  <c r="U189"/>
  <c r="AE189" s="1"/>
  <c r="AB189"/>
  <c r="AG189"/>
  <c r="T188"/>
  <c r="U188"/>
  <c r="AE188" s="1"/>
  <c r="AB188"/>
  <c r="AG188"/>
  <c r="W188"/>
  <c r="X189"/>
  <c r="W189"/>
  <c r="X188"/>
  <c r="T116"/>
  <c r="U116"/>
  <c r="AB116"/>
  <c r="AG116"/>
  <c r="T115"/>
  <c r="U115"/>
  <c r="AB115"/>
  <c r="AG115"/>
  <c r="W115"/>
  <c r="X115"/>
  <c r="T167"/>
  <c r="U167"/>
  <c r="AE167" s="1"/>
  <c r="AB167"/>
  <c r="AG167"/>
  <c r="W167"/>
  <c r="X167"/>
  <c r="T265"/>
  <c r="U265"/>
  <c r="AB265"/>
  <c r="AG265"/>
  <c r="T72"/>
  <c r="U72"/>
  <c r="AB72"/>
  <c r="AG72"/>
  <c r="W72"/>
  <c r="X72"/>
  <c r="T84"/>
  <c r="U84"/>
  <c r="AB84"/>
  <c r="AG84"/>
  <c r="T83"/>
  <c r="U83"/>
  <c r="AB83"/>
  <c r="AG83"/>
  <c r="W84"/>
  <c r="X84"/>
  <c r="W83"/>
  <c r="X83"/>
  <c r="T238"/>
  <c r="U238"/>
  <c r="AB238"/>
  <c r="AG238"/>
  <c r="T237"/>
  <c r="U237"/>
  <c r="AB237"/>
  <c r="AG237"/>
  <c r="T104"/>
  <c r="U104"/>
  <c r="AB104"/>
  <c r="AG104"/>
  <c r="T59"/>
  <c r="U59"/>
  <c r="AB59"/>
  <c r="AG59"/>
  <c r="T60"/>
  <c r="U60"/>
  <c r="AB60"/>
  <c r="AG60"/>
  <c r="W60"/>
  <c r="X60"/>
  <c r="T95"/>
  <c r="U95"/>
  <c r="AB95"/>
  <c r="AG95"/>
  <c r="T108"/>
  <c r="U108"/>
  <c r="AB108"/>
  <c r="AG108"/>
  <c r="T107"/>
  <c r="U107"/>
  <c r="AB107"/>
  <c r="AG107"/>
  <c r="T106"/>
  <c r="U106"/>
  <c r="AB106"/>
  <c r="AG106"/>
  <c r="T222"/>
  <c r="U222"/>
  <c r="AB222"/>
  <c r="AG222"/>
  <c r="T255"/>
  <c r="U255"/>
  <c r="AB255"/>
  <c r="AG255"/>
  <c r="T256"/>
  <c r="U256"/>
  <c r="AB256"/>
  <c r="AG256"/>
  <c r="T257"/>
  <c r="U257"/>
  <c r="AB257"/>
  <c r="AG257"/>
  <c r="W256"/>
  <c r="X257"/>
  <c r="W257"/>
  <c r="X256"/>
  <c r="T258"/>
  <c r="U258"/>
  <c r="AB258"/>
  <c r="AG258"/>
  <c r="T226"/>
  <c r="U226"/>
  <c r="AE226" s="1"/>
  <c r="AB226"/>
  <c r="AG226"/>
  <c r="T228"/>
  <c r="U228"/>
  <c r="AE228" s="1"/>
  <c r="AB228"/>
  <c r="AG228"/>
  <c r="T227"/>
  <c r="U227"/>
  <c r="AE227" s="1"/>
  <c r="AB227"/>
  <c r="AG227"/>
  <c r="X226"/>
  <c r="X228"/>
  <c r="W228"/>
  <c r="W227"/>
  <c r="W226"/>
  <c r="X227"/>
  <c r="T224"/>
  <c r="U224"/>
  <c r="AE224" s="1"/>
  <c r="AB224"/>
  <c r="AG224"/>
  <c r="T223"/>
  <c r="U223"/>
  <c r="AE223" s="1"/>
  <c r="AB223"/>
  <c r="AG223"/>
  <c r="W223"/>
  <c r="X224"/>
  <c r="W224"/>
  <c r="X223"/>
  <c r="T138"/>
  <c r="U138"/>
  <c r="AB138"/>
  <c r="AG138"/>
  <c r="T131"/>
  <c r="U131"/>
  <c r="AE131" s="1"/>
  <c r="AB131"/>
  <c r="AG131"/>
  <c r="W131"/>
  <c r="X131"/>
  <c r="T128"/>
  <c r="U128"/>
  <c r="AB128"/>
  <c r="AG128"/>
  <c r="T129"/>
  <c r="U129"/>
  <c r="AB129"/>
  <c r="AG129"/>
  <c r="W128"/>
  <c r="X128"/>
  <c r="T182"/>
  <c r="U182"/>
  <c r="AB182"/>
  <c r="AG182"/>
  <c r="T120"/>
  <c r="U120"/>
  <c r="AB120"/>
  <c r="AG120"/>
  <c r="T119"/>
  <c r="U119"/>
  <c r="AB119"/>
  <c r="AG119"/>
  <c r="W119"/>
  <c r="X120"/>
  <c r="W120"/>
  <c r="X119"/>
  <c r="T148"/>
  <c r="U148"/>
  <c r="AB148"/>
  <c r="AG148"/>
  <c r="T149"/>
  <c r="U149"/>
  <c r="AB149"/>
  <c r="AG149"/>
  <c r="T270"/>
  <c r="U270"/>
  <c r="AE270" s="1"/>
  <c r="AB270"/>
  <c r="AG270"/>
  <c r="T269"/>
  <c r="U269"/>
  <c r="AE269" s="1"/>
  <c r="AB269"/>
  <c r="AG269"/>
  <c r="T71"/>
  <c r="U71"/>
  <c r="AE71" s="1"/>
  <c r="AB71"/>
  <c r="AG71"/>
  <c r="T70"/>
  <c r="U70"/>
  <c r="AE70" s="1"/>
  <c r="AB70"/>
  <c r="AG70"/>
  <c r="W70"/>
  <c r="X71"/>
  <c r="W71"/>
  <c r="X70"/>
  <c r="T135"/>
  <c r="U135"/>
  <c r="AB135"/>
  <c r="AG135"/>
  <c r="T136"/>
  <c r="U136"/>
  <c r="AB136"/>
  <c r="AG136"/>
  <c r="T137"/>
  <c r="U137"/>
  <c r="AB137"/>
  <c r="AG137"/>
  <c r="W136"/>
  <c r="X137"/>
  <c r="W137"/>
  <c r="X136"/>
  <c r="T92"/>
  <c r="U92"/>
  <c r="AB92"/>
  <c r="AG92"/>
  <c r="T93"/>
  <c r="U93"/>
  <c r="AB93"/>
  <c r="AG93"/>
  <c r="T94"/>
  <c r="U94"/>
  <c r="AB94"/>
  <c r="AG94"/>
  <c r="W94"/>
  <c r="X94"/>
  <c r="T79"/>
  <c r="U79"/>
  <c r="AB79"/>
  <c r="AG79"/>
  <c r="T78"/>
  <c r="U78"/>
  <c r="AB78"/>
  <c r="AG78"/>
  <c r="T77"/>
  <c r="U77"/>
  <c r="AB77"/>
  <c r="AG77"/>
  <c r="W77"/>
  <c r="X77"/>
  <c r="T67"/>
  <c r="U67"/>
  <c r="AB67"/>
  <c r="AG67"/>
  <c r="T68"/>
  <c r="U68"/>
  <c r="AB68"/>
  <c r="AG68"/>
  <c r="T69"/>
  <c r="U69"/>
  <c r="AB69"/>
  <c r="AG69"/>
  <c r="W69"/>
  <c r="X69"/>
  <c r="T156"/>
  <c r="U156"/>
  <c r="AB156"/>
  <c r="AG156"/>
  <c r="W156"/>
  <c r="X156"/>
  <c r="T76"/>
  <c r="U76"/>
  <c r="AE76" s="1"/>
  <c r="AB76"/>
  <c r="AG76"/>
  <c r="T75"/>
  <c r="U75"/>
  <c r="AE75" s="1"/>
  <c r="AB75"/>
  <c r="AG75"/>
  <c r="T74"/>
  <c r="U74"/>
  <c r="AE74" s="1"/>
  <c r="AB74"/>
  <c r="AG74"/>
  <c r="T73"/>
  <c r="U73"/>
  <c r="AE73" s="1"/>
  <c r="AB73"/>
  <c r="AG73"/>
  <c r="W76"/>
  <c r="X73"/>
  <c r="W73"/>
  <c r="X75"/>
  <c r="X74"/>
  <c r="W74"/>
  <c r="W75"/>
  <c r="X76"/>
  <c r="T288"/>
  <c r="U288"/>
  <c r="AB288"/>
  <c r="AG288"/>
  <c r="T88"/>
  <c r="U88"/>
  <c r="AB88"/>
  <c r="AG88"/>
  <c r="W88"/>
  <c r="X88"/>
  <c r="T125"/>
  <c r="U125"/>
  <c r="AE125" s="1"/>
  <c r="AB125"/>
  <c r="AG125"/>
  <c r="T123"/>
  <c r="U123"/>
  <c r="AE123" s="1"/>
  <c r="AB123"/>
  <c r="AG123"/>
  <c r="T124"/>
  <c r="U124"/>
  <c r="AE124" s="1"/>
  <c r="AB124"/>
  <c r="AG124"/>
  <c r="W124"/>
  <c r="X124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50"/>
  <c r="U150"/>
  <c r="AB150"/>
  <c r="AG150"/>
  <c r="T151"/>
  <c r="U151"/>
  <c r="AB151"/>
  <c r="AG151"/>
  <c r="X6"/>
  <c r="T133"/>
  <c r="U133"/>
  <c r="AB133"/>
  <c r="AG133"/>
  <c r="T134"/>
  <c r="U134"/>
  <c r="AB134"/>
  <c r="AG134"/>
  <c r="T132"/>
  <c r="U132"/>
  <c r="AB132"/>
  <c r="AG132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207" i="1"/>
  <c r="X204"/>
  <c r="W204"/>
  <c r="X174"/>
  <c r="W174"/>
  <c r="X209"/>
  <c r="W209"/>
  <c r="X47"/>
  <c r="W47"/>
  <c r="W50"/>
  <c r="W207"/>
  <c r="X203"/>
  <c r="W203"/>
  <c r="X200"/>
  <c r="W200"/>
  <c r="W274"/>
  <c r="W208"/>
  <c r="X208"/>
  <c r="W197"/>
  <c r="X274"/>
  <c r="W191"/>
  <c r="X191"/>
  <c r="X197"/>
  <c r="W275"/>
  <c r="W184"/>
  <c r="X184"/>
  <c r="W183"/>
  <c r="W182"/>
  <c r="X182"/>
  <c r="W180"/>
  <c r="X183"/>
  <c r="W177"/>
  <c r="X177"/>
  <c r="W176"/>
  <c r="X180"/>
  <c r="W175"/>
  <c r="X175"/>
  <c r="W173"/>
  <c r="X176"/>
  <c r="W172"/>
  <c r="X172"/>
  <c r="W171"/>
  <c r="X173"/>
  <c r="W170"/>
  <c r="X170"/>
  <c r="W169"/>
  <c r="X171"/>
  <c r="W166"/>
  <c r="X166"/>
  <c r="W162"/>
  <c r="X169"/>
  <c r="W159"/>
  <c r="X159"/>
  <c r="W158"/>
  <c r="X162"/>
  <c r="W151"/>
  <c r="X151"/>
  <c r="W150"/>
  <c r="X158"/>
  <c r="W149"/>
  <c r="X149"/>
  <c r="W148"/>
  <c r="X150"/>
  <c r="W145"/>
  <c r="X145"/>
  <c r="W144"/>
  <c r="X148"/>
  <c r="W141"/>
  <c r="X141"/>
  <c r="W139"/>
  <c r="X144"/>
  <c r="W138"/>
  <c r="X138"/>
  <c r="W135"/>
  <c r="X139"/>
  <c r="W134"/>
  <c r="X134"/>
  <c r="W133"/>
  <c r="X135"/>
  <c r="W132"/>
  <c r="X132"/>
  <c r="W130"/>
  <c r="X133"/>
  <c r="W129"/>
  <c r="X129"/>
  <c r="W127"/>
  <c r="X130"/>
  <c r="W126"/>
  <c r="X126"/>
  <c r="W125"/>
  <c r="X127"/>
  <c r="W123"/>
  <c r="X123"/>
  <c r="W122"/>
  <c r="X125"/>
  <c r="W121"/>
  <c r="X121"/>
  <c r="W118"/>
  <c r="X122"/>
  <c r="W117"/>
  <c r="X117"/>
  <c r="W116"/>
  <c r="X118"/>
  <c r="W112"/>
  <c r="X112"/>
  <c r="W111"/>
  <c r="X116"/>
  <c r="W109"/>
  <c r="X109"/>
  <c r="W108"/>
  <c r="X111"/>
  <c r="W107"/>
  <c r="X107"/>
  <c r="W106"/>
  <c r="X108"/>
  <c r="W104"/>
  <c r="X104"/>
  <c r="W103"/>
  <c r="X106"/>
  <c r="W102"/>
  <c r="X102"/>
  <c r="W101"/>
  <c r="X103"/>
  <c r="W97"/>
  <c r="X97"/>
  <c r="W99"/>
  <c r="X101"/>
  <c r="W98"/>
  <c r="X98"/>
  <c r="X99"/>
  <c r="W96"/>
  <c r="X96"/>
  <c r="W95"/>
  <c r="W81"/>
  <c r="W93"/>
  <c r="X93"/>
  <c r="W92"/>
  <c r="X95"/>
  <c r="X92"/>
  <c r="W273"/>
  <c r="W288"/>
  <c r="W87"/>
  <c r="X87"/>
  <c r="W86"/>
  <c r="X288"/>
  <c r="W85"/>
  <c r="X85"/>
  <c r="W82"/>
  <c r="X86"/>
  <c r="W89"/>
  <c r="W80"/>
  <c r="X82"/>
  <c r="W79"/>
  <c r="X79"/>
  <c r="W78"/>
  <c r="X80"/>
  <c r="W68"/>
  <c r="X68"/>
  <c r="W67"/>
  <c r="X78"/>
  <c r="W66"/>
  <c r="X66"/>
  <c r="X67"/>
  <c r="W64"/>
  <c r="X64"/>
  <c r="W62"/>
  <c r="W65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289"/>
  <c r="W185"/>
  <c r="W46"/>
  <c r="X48"/>
  <c r="W45"/>
  <c r="X45"/>
  <c r="X46"/>
  <c r="W44"/>
  <c r="W91"/>
  <c r="W201"/>
  <c r="W40"/>
  <c r="W90"/>
  <c r="W39"/>
  <c r="X39"/>
  <c r="X40"/>
  <c r="W37"/>
  <c r="X37"/>
  <c r="W36"/>
  <c r="W100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72"/>
  <c r="X272"/>
  <c r="X280"/>
  <c r="W280"/>
  <c r="X281"/>
  <c r="W281"/>
  <c r="X282"/>
  <c r="W282"/>
  <c r="X283"/>
  <c r="W283"/>
  <c r="X210"/>
  <c r="W210"/>
  <c r="X214"/>
  <c r="W214"/>
  <c r="X215"/>
  <c r="W215"/>
  <c r="X216"/>
  <c r="W216"/>
  <c r="X218"/>
  <c r="W218"/>
  <c r="X219"/>
  <c r="W219"/>
  <c r="X220"/>
  <c r="W220"/>
  <c r="X221"/>
  <c r="W221"/>
  <c r="X222"/>
  <c r="W222"/>
  <c r="X229"/>
  <c r="W229"/>
  <c r="X231"/>
  <c r="W231"/>
  <c r="X237"/>
  <c r="W237"/>
  <c r="X238"/>
  <c r="W238"/>
  <c r="X239"/>
  <c r="W239"/>
  <c r="X240"/>
  <c r="W240"/>
  <c r="X242"/>
  <c r="W242"/>
  <c r="X243"/>
  <c r="W243"/>
  <c r="X248"/>
  <c r="W248"/>
  <c r="X251"/>
  <c r="W251"/>
  <c r="X253"/>
  <c r="W253"/>
  <c r="X254"/>
  <c r="W254"/>
  <c r="X255"/>
  <c r="W255"/>
  <c r="X258"/>
  <c r="W258"/>
  <c r="X261"/>
  <c r="W261"/>
  <c r="X265"/>
  <c r="W265"/>
  <c r="X267"/>
  <c r="W267"/>
  <c r="X269"/>
  <c r="W269"/>
  <c r="X270"/>
  <c r="W270"/>
  <c r="W271"/>
  <c r="X271"/>
  <c r="X3"/>
  <c r="W230"/>
  <c r="W43"/>
  <c r="AF207"/>
  <c r="T203"/>
  <c r="U203"/>
  <c r="AB203"/>
  <c r="AG203"/>
  <c r="AF274"/>
  <c r="T204"/>
  <c r="U204"/>
  <c r="AB204"/>
  <c r="AG204"/>
  <c r="AF208"/>
  <c r="AF200"/>
  <c r="AF197"/>
  <c r="AF191"/>
  <c r="T275"/>
  <c r="U275"/>
  <c r="AB275"/>
  <c r="AG275"/>
  <c r="T184"/>
  <c r="U184"/>
  <c r="AB184"/>
  <c r="AG184"/>
  <c r="T183"/>
  <c r="U183"/>
  <c r="AB183"/>
  <c r="AG183"/>
  <c r="AF182"/>
  <c r="T180"/>
  <c r="U180"/>
  <c r="AB180"/>
  <c r="AG180"/>
  <c r="AF177"/>
  <c r="AF176"/>
  <c r="AF175"/>
  <c r="AF173"/>
  <c r="AF172"/>
  <c r="AF171"/>
  <c r="AF170"/>
  <c r="AF169"/>
  <c r="AF166"/>
  <c r="AF162"/>
  <c r="T159"/>
  <c r="U159"/>
  <c r="AB159"/>
  <c r="AG159"/>
  <c r="T158"/>
  <c r="U158"/>
  <c r="AB158"/>
  <c r="AG158"/>
  <c r="AF151"/>
  <c r="AF150"/>
  <c r="AF149"/>
  <c r="AF148"/>
  <c r="AF145"/>
  <c r="AF144"/>
  <c r="AF141"/>
  <c r="T139"/>
  <c r="U139"/>
  <c r="AB139"/>
  <c r="AG139"/>
  <c r="AF138"/>
  <c r="AF135"/>
  <c r="AF134"/>
  <c r="AF133"/>
  <c r="AF132"/>
  <c r="T130"/>
  <c r="U130"/>
  <c r="AB130"/>
  <c r="AG130"/>
  <c r="AF129"/>
  <c r="T127"/>
  <c r="U127"/>
  <c r="AB127"/>
  <c r="AG127"/>
  <c r="T126"/>
  <c r="U126"/>
  <c r="AB126"/>
  <c r="AG126"/>
  <c r="AF125"/>
  <c r="AF123"/>
  <c r="AF122"/>
  <c r="AF121"/>
  <c r="AF118"/>
  <c r="AF117"/>
  <c r="AF116"/>
  <c r="AF112"/>
  <c r="AF111"/>
  <c r="AF109"/>
  <c r="AF108"/>
  <c r="AF107"/>
  <c r="AF106"/>
  <c r="AF104"/>
  <c r="AF103"/>
  <c r="AF102"/>
  <c r="AF101"/>
  <c r="AF97"/>
  <c r="AF99"/>
  <c r="T98"/>
  <c r="U98"/>
  <c r="AB98"/>
  <c r="AG98"/>
  <c r="T81"/>
  <c r="U81"/>
  <c r="AB81"/>
  <c r="AG81"/>
  <c r="T96"/>
  <c r="U96"/>
  <c r="AB96"/>
  <c r="AG96"/>
  <c r="AF95"/>
  <c r="AF93"/>
  <c r="AF92"/>
  <c r="T174"/>
  <c r="U174"/>
  <c r="AB174"/>
  <c r="AG174"/>
  <c r="T273"/>
  <c r="U273"/>
  <c r="AB273"/>
  <c r="AG273"/>
  <c r="AF288"/>
  <c r="AF87"/>
  <c r="AF86"/>
  <c r="AF85"/>
  <c r="T82"/>
  <c r="U82"/>
  <c r="AB82"/>
  <c r="AG82"/>
  <c r="T89"/>
  <c r="U89"/>
  <c r="AB89"/>
  <c r="AG89"/>
  <c r="T80"/>
  <c r="U80"/>
  <c r="AB80"/>
  <c r="AG80"/>
  <c r="AF79"/>
  <c r="AF78"/>
  <c r="AF68"/>
  <c r="AF67"/>
  <c r="T66"/>
  <c r="U66"/>
  <c r="AB66"/>
  <c r="AG66"/>
  <c r="T65"/>
  <c r="U65"/>
  <c r="AB65"/>
  <c r="AG65"/>
  <c r="T64"/>
  <c r="U64"/>
  <c r="AB64"/>
  <c r="AG64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289"/>
  <c r="U289"/>
  <c r="AB289"/>
  <c r="AG289"/>
  <c r="T49"/>
  <c r="U49"/>
  <c r="AB49"/>
  <c r="AG49"/>
  <c r="T48"/>
  <c r="U48"/>
  <c r="AB48"/>
  <c r="AG48"/>
  <c r="T185"/>
  <c r="U185"/>
  <c r="AB185"/>
  <c r="AG185"/>
  <c r="T46"/>
  <c r="U46"/>
  <c r="AB46"/>
  <c r="AG46"/>
  <c r="AF45"/>
  <c r="T44"/>
  <c r="U44"/>
  <c r="AB44"/>
  <c r="AG44"/>
  <c r="T91"/>
  <c r="U91"/>
  <c r="AB91"/>
  <c r="AG91"/>
  <c r="T90"/>
  <c r="U90"/>
  <c r="AB90"/>
  <c r="AG90"/>
  <c r="T201"/>
  <c r="U201"/>
  <c r="AB201"/>
  <c r="AG201"/>
  <c r="T40"/>
  <c r="U40"/>
  <c r="AB40"/>
  <c r="AG40"/>
  <c r="T39"/>
  <c r="U39"/>
  <c r="AB39"/>
  <c r="AG39"/>
  <c r="T100"/>
  <c r="U100"/>
  <c r="AB100"/>
  <c r="AG100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72"/>
  <c r="AF271"/>
  <c r="AF270"/>
  <c r="AF269"/>
  <c r="AF267"/>
  <c r="AF265"/>
  <c r="AF261"/>
  <c r="AF258"/>
  <c r="AF255"/>
  <c r="AF254"/>
  <c r="AF253"/>
  <c r="AF251"/>
  <c r="T248"/>
  <c r="U248"/>
  <c r="AB248"/>
  <c r="AG248"/>
  <c r="AF243"/>
  <c r="AF242"/>
  <c r="AF240"/>
  <c r="T239"/>
  <c r="U239"/>
  <c r="AB239"/>
  <c r="AG239"/>
  <c r="AF238"/>
  <c r="AF237"/>
  <c r="T231"/>
  <c r="U231"/>
  <c r="AB231"/>
  <c r="AG231"/>
  <c r="T230"/>
  <c r="U230"/>
  <c r="AB230"/>
  <c r="AG230"/>
  <c r="T229"/>
  <c r="U229"/>
  <c r="AB229"/>
  <c r="AG229"/>
  <c r="AF222"/>
  <c r="AF221"/>
  <c r="AF220"/>
  <c r="AF219"/>
  <c r="AF218"/>
  <c r="AF216"/>
  <c r="AF215"/>
  <c r="AF214"/>
  <c r="T210"/>
  <c r="U210"/>
  <c r="AB210"/>
  <c r="AG210"/>
  <c r="AF283"/>
  <c r="AF282"/>
  <c r="AF281"/>
  <c r="AF280"/>
  <c r="T43"/>
  <c r="U43"/>
  <c r="AB43"/>
  <c r="AG43"/>
  <c r="D455" i="12"/>
  <c r="E455" s="1"/>
  <c r="G455" s="1"/>
  <c r="AG47" i="1"/>
  <c r="AG50"/>
  <c r="T50"/>
  <c r="T47"/>
  <c r="U50"/>
  <c r="AB50"/>
  <c r="F3" i="15"/>
  <c r="H3"/>
  <c r="G3"/>
  <c r="I3"/>
  <c r="Y300" i="1" l="1"/>
  <c r="AH300" s="1"/>
  <c r="Y299"/>
  <c r="AH299" s="1"/>
  <c r="Y298"/>
  <c r="AH298" s="1"/>
  <c r="Y297"/>
  <c r="AH297" s="1"/>
  <c r="Y296"/>
  <c r="Y295"/>
  <c r="Y294"/>
  <c r="AH294" s="1"/>
  <c r="N499" i="12"/>
  <c r="Y196" i="1"/>
  <c r="AH196" s="1"/>
  <c r="Y293"/>
  <c r="AH293" s="1"/>
  <c r="Y292"/>
  <c r="AH292" s="1"/>
  <c r="N508" i="12"/>
  <c r="N548"/>
  <c r="Y291" i="1"/>
  <c r="Y290"/>
  <c r="Y41"/>
  <c r="Y42"/>
  <c r="Y287"/>
  <c r="Y286"/>
  <c r="Y160"/>
  <c r="AH160" s="1"/>
  <c r="Y161"/>
  <c r="Y284"/>
  <c r="AH284" s="1"/>
  <c r="Y285"/>
  <c r="Y249"/>
  <c r="Z249" s="1"/>
  <c r="Y250"/>
  <c r="Y205"/>
  <c r="AH205" s="1"/>
  <c r="Y206"/>
  <c r="Y194"/>
  <c r="AH194" s="1"/>
  <c r="Y195"/>
  <c r="Y217"/>
  <c r="AH217" s="1"/>
  <c r="Y140"/>
  <c r="AH140" s="1"/>
  <c r="Y252"/>
  <c r="AH252" s="1"/>
  <c r="Y147"/>
  <c r="AH147" s="1"/>
  <c r="Y38"/>
  <c r="Y192"/>
  <c r="AH192" s="1"/>
  <c r="Y193"/>
  <c r="Y247"/>
  <c r="AH247" s="1"/>
  <c r="Y245"/>
  <c r="AH245" s="1"/>
  <c r="Y246"/>
  <c r="Y190"/>
  <c r="AH190" s="1"/>
  <c r="Y279"/>
  <c r="Z279" s="1"/>
  <c r="Y63"/>
  <c r="AH63" s="1"/>
  <c r="Y146"/>
  <c r="AH146" s="1"/>
  <c r="Y198"/>
  <c r="Y225"/>
  <c r="AH225" s="1"/>
  <c r="Y157"/>
  <c r="AH157" s="1"/>
  <c r="Y264"/>
  <c r="AH264" s="1"/>
  <c r="Y262"/>
  <c r="Z262" s="1"/>
  <c r="Y263"/>
  <c r="Y211"/>
  <c r="AH211" s="1"/>
  <c r="Y266"/>
  <c r="AH266" s="1"/>
  <c r="Y113"/>
  <c r="AH113" s="1"/>
  <c r="Y114"/>
  <c r="Y186"/>
  <c r="AH186" s="1"/>
  <c r="Y187"/>
  <c r="Y142"/>
  <c r="Y143"/>
  <c r="Y154"/>
  <c r="Z154" s="1"/>
  <c r="Y155"/>
  <c r="Y152"/>
  <c r="Z152" s="1"/>
  <c r="Y153"/>
  <c r="Y278"/>
  <c r="AH278" s="1"/>
  <c r="Y276"/>
  <c r="AH276" s="1"/>
  <c r="Y277"/>
  <c r="Y105"/>
  <c r="AH105" s="1"/>
  <c r="Y202"/>
  <c r="Z202" s="1"/>
  <c r="Y232"/>
  <c r="Z232" s="1"/>
  <c r="Y233"/>
  <c r="Y199"/>
  <c r="AH199" s="1"/>
  <c r="Y212"/>
  <c r="AH212" s="1"/>
  <c r="Y21"/>
  <c r="AH21" s="1"/>
  <c r="Y168"/>
  <c r="Y268"/>
  <c r="AH268" s="1"/>
  <c r="Y244"/>
  <c r="AH244" s="1"/>
  <c r="Y259"/>
  <c r="AH259" s="1"/>
  <c r="Y260"/>
  <c r="Y181"/>
  <c r="AH181" s="1"/>
  <c r="Y163"/>
  <c r="AH163" s="1"/>
  <c r="Y213"/>
  <c r="AH213" s="1"/>
  <c r="Y241"/>
  <c r="AH241" s="1"/>
  <c r="Y236"/>
  <c r="Z236" s="1"/>
  <c r="Y234"/>
  <c r="Z234" s="1"/>
  <c r="Y235"/>
  <c r="Y32"/>
  <c r="AH32" s="1"/>
  <c r="Y33"/>
  <c r="AH33" s="1"/>
  <c r="Y34"/>
  <c r="Y26"/>
  <c r="AH26" s="1"/>
  <c r="Y27"/>
  <c r="Y164"/>
  <c r="AH164" s="1"/>
  <c r="Y165"/>
  <c r="Y110"/>
  <c r="AH110" s="1"/>
  <c r="Y178"/>
  <c r="Y179"/>
  <c r="Y188"/>
  <c r="AH188" s="1"/>
  <c r="Y189"/>
  <c r="Y115"/>
  <c r="AH115" s="1"/>
  <c r="Y167"/>
  <c r="AH167" s="1"/>
  <c r="Y72"/>
  <c r="Z72" s="1"/>
  <c r="Y83"/>
  <c r="Z83" s="1"/>
  <c r="Y84"/>
  <c r="Y60"/>
  <c r="Z60" s="1"/>
  <c r="Y256"/>
  <c r="AH256" s="1"/>
  <c r="Y257"/>
  <c r="Y228"/>
  <c r="AH228" s="1"/>
  <c r="Y226"/>
  <c r="Y227"/>
  <c r="Y223"/>
  <c r="Z223" s="1"/>
  <c r="Y224"/>
  <c r="Y131"/>
  <c r="AH131" s="1"/>
  <c r="Y128"/>
  <c r="AH128" s="1"/>
  <c r="Y119"/>
  <c r="AH119" s="1"/>
  <c r="Y120"/>
  <c r="Y70"/>
  <c r="AH70" s="1"/>
  <c r="Y71"/>
  <c r="Y136"/>
  <c r="AH136" s="1"/>
  <c r="Y137"/>
  <c r="Y93"/>
  <c r="AH93" s="1"/>
  <c r="Y94"/>
  <c r="AH94" s="1"/>
  <c r="Y77"/>
  <c r="AH77" s="1"/>
  <c r="Y69"/>
  <c r="AH69" s="1"/>
  <c r="Y156"/>
  <c r="Z156" s="1"/>
  <c r="Y76"/>
  <c r="AH76" s="1"/>
  <c r="Y73"/>
  <c r="Z73" s="1"/>
  <c r="Y75"/>
  <c r="Y74"/>
  <c r="Y88"/>
  <c r="AH88" s="1"/>
  <c r="Y124"/>
  <c r="AH124" s="1"/>
  <c r="Y61"/>
  <c r="AH61" s="1"/>
  <c r="Y12"/>
  <c r="Z12" s="1"/>
  <c r="Y10"/>
  <c r="Z10" s="1"/>
  <c r="Y11"/>
  <c r="Y5"/>
  <c r="AH5" s="1"/>
  <c r="Y8"/>
  <c r="Z8" s="1"/>
  <c r="Y6"/>
  <c r="Z6" s="1"/>
  <c r="Y7"/>
  <c r="Y2"/>
  <c r="Y50"/>
  <c r="AH50" s="1"/>
  <c r="Y9"/>
  <c r="AH9" s="1"/>
  <c r="Y3"/>
  <c r="AH3" s="1"/>
  <c r="Y4"/>
  <c r="AH4" s="1"/>
  <c r="Y210"/>
  <c r="AH210" s="1"/>
  <c r="Y214"/>
  <c r="AH214" s="1"/>
  <c r="Y215"/>
  <c r="AH215" s="1"/>
  <c r="Y216"/>
  <c r="AH216" s="1"/>
  <c r="Y218"/>
  <c r="AH218" s="1"/>
  <c r="Y219"/>
  <c r="AH219" s="1"/>
  <c r="Y220"/>
  <c r="AH220" s="1"/>
  <c r="Y221"/>
  <c r="AH221" s="1"/>
  <c r="Y222"/>
  <c r="AH222" s="1"/>
  <c r="Y229"/>
  <c r="AH229" s="1"/>
  <c r="Y230"/>
  <c r="AH230" s="1"/>
  <c r="Y231"/>
  <c r="AH231" s="1"/>
  <c r="Y237"/>
  <c r="AH237" s="1"/>
  <c r="Y238"/>
  <c r="AH238" s="1"/>
  <c r="Y239"/>
  <c r="AH239" s="1"/>
  <c r="Y240"/>
  <c r="AH240" s="1"/>
  <c r="Y242"/>
  <c r="AH242" s="1"/>
  <c r="Y243"/>
  <c r="AH243" s="1"/>
  <c r="Y248"/>
  <c r="AH248" s="1"/>
  <c r="Y251"/>
  <c r="AH251" s="1"/>
  <c r="Y253"/>
  <c r="AH253" s="1"/>
  <c r="Y254"/>
  <c r="AH254" s="1"/>
  <c r="Y255"/>
  <c r="Z255" s="1"/>
  <c r="Y258"/>
  <c r="AH258" s="1"/>
  <c r="Y261"/>
  <c r="AH261" s="1"/>
  <c r="Y265"/>
  <c r="AH265" s="1"/>
  <c r="Y267"/>
  <c r="AH267" s="1"/>
  <c r="Y269"/>
  <c r="AH269" s="1"/>
  <c r="Y270"/>
  <c r="AH270" s="1"/>
  <c r="Y271"/>
  <c r="AH271" s="1"/>
  <c r="Y272"/>
  <c r="AH272" s="1"/>
  <c r="Y43"/>
  <c r="AH43" s="1"/>
  <c r="Y280"/>
  <c r="AH280" s="1"/>
  <c r="Y281"/>
  <c r="AH281" s="1"/>
  <c r="Y282"/>
  <c r="AH282" s="1"/>
  <c r="Y283"/>
  <c r="AH283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100"/>
  <c r="AH100" s="1"/>
  <c r="Y39"/>
  <c r="AH39" s="1"/>
  <c r="Y40"/>
  <c r="AH40" s="1"/>
  <c r="Y201"/>
  <c r="AH201" s="1"/>
  <c r="Y90"/>
  <c r="AH90" s="1"/>
  <c r="Y91"/>
  <c r="AH91" s="1"/>
  <c r="Y44"/>
  <c r="AH44" s="1"/>
  <c r="Y45"/>
  <c r="AH45" s="1"/>
  <c r="Y46"/>
  <c r="AH46" s="1"/>
  <c r="Y185"/>
  <c r="AH185" s="1"/>
  <c r="Y48"/>
  <c r="AH48" s="1"/>
  <c r="Y49"/>
  <c r="AH49" s="1"/>
  <c r="Y289"/>
  <c r="AH289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4"/>
  <c r="AH64" s="1"/>
  <c r="Y65"/>
  <c r="AH65" s="1"/>
  <c r="Y66"/>
  <c r="AH66" s="1"/>
  <c r="Y67"/>
  <c r="AH67" s="1"/>
  <c r="Y68"/>
  <c r="AH68" s="1"/>
  <c r="Y78"/>
  <c r="AH78" s="1"/>
  <c r="Y79"/>
  <c r="AH79" s="1"/>
  <c r="Y80"/>
  <c r="AH80" s="1"/>
  <c r="Y89"/>
  <c r="AH89" s="1"/>
  <c r="Y82"/>
  <c r="AH82" s="1"/>
  <c r="Y85"/>
  <c r="AH85" s="1"/>
  <c r="Y86"/>
  <c r="AH86" s="1"/>
  <c r="Y87"/>
  <c r="AH87" s="1"/>
  <c r="Y288"/>
  <c r="AH288" s="1"/>
  <c r="Y273"/>
  <c r="AH273" s="1"/>
  <c r="Y174"/>
  <c r="AH174" s="1"/>
  <c r="Y92"/>
  <c r="AH92" s="1"/>
  <c r="Y95"/>
  <c r="AH95" s="1"/>
  <c r="Y96"/>
  <c r="AH96" s="1"/>
  <c r="Y81"/>
  <c r="AH81" s="1"/>
  <c r="Y98"/>
  <c r="AH98" s="1"/>
  <c r="Y99"/>
  <c r="AH99" s="1"/>
  <c r="Y97"/>
  <c r="AH97" s="1"/>
  <c r="Y101"/>
  <c r="AH101" s="1"/>
  <c r="Y102"/>
  <c r="AH102" s="1"/>
  <c r="Y103"/>
  <c r="AH103" s="1"/>
  <c r="Y104"/>
  <c r="AH104" s="1"/>
  <c r="Y106"/>
  <c r="AH106" s="1"/>
  <c r="Y107"/>
  <c r="AH107" s="1"/>
  <c r="Y108"/>
  <c r="AH108" s="1"/>
  <c r="Y109"/>
  <c r="AH109" s="1"/>
  <c r="Y111"/>
  <c r="AH111" s="1"/>
  <c r="Y112"/>
  <c r="AH112" s="1"/>
  <c r="Y116"/>
  <c r="AH116" s="1"/>
  <c r="Y117"/>
  <c r="AH117" s="1"/>
  <c r="Y118"/>
  <c r="AH118" s="1"/>
  <c r="Y121"/>
  <c r="AH121" s="1"/>
  <c r="Y122"/>
  <c r="AH122" s="1"/>
  <c r="Y123"/>
  <c r="AH123" s="1"/>
  <c r="Y125"/>
  <c r="AH125" s="1"/>
  <c r="Y126"/>
  <c r="AH126" s="1"/>
  <c r="Y127"/>
  <c r="AH127" s="1"/>
  <c r="Y129"/>
  <c r="AH129" s="1"/>
  <c r="Y130"/>
  <c r="AH130" s="1"/>
  <c r="Y132"/>
  <c r="Z132" s="1"/>
  <c r="Y133"/>
  <c r="AH133" s="1"/>
  <c r="Y134"/>
  <c r="AH134" s="1"/>
  <c r="Y135"/>
  <c r="AH135" s="1"/>
  <c r="Y138"/>
  <c r="AH138" s="1"/>
  <c r="Y139"/>
  <c r="AH139" s="1"/>
  <c r="Y141"/>
  <c r="AH141" s="1"/>
  <c r="Y144"/>
  <c r="AH144" s="1"/>
  <c r="Y145"/>
  <c r="AH145" s="1"/>
  <c r="Y148"/>
  <c r="AH148" s="1"/>
  <c r="Y149"/>
  <c r="AH149" s="1"/>
  <c r="Y150"/>
  <c r="AH150" s="1"/>
  <c r="Y151"/>
  <c r="AH151" s="1"/>
  <c r="Y158"/>
  <c r="AH158" s="1"/>
  <c r="Y159"/>
  <c r="AH159" s="1"/>
  <c r="Y162"/>
  <c r="AH162" s="1"/>
  <c r="Y166"/>
  <c r="AH166" s="1"/>
  <c r="Y169"/>
  <c r="AH169" s="1"/>
  <c r="Y170"/>
  <c r="AH170" s="1"/>
  <c r="Y171"/>
  <c r="AH171" s="1"/>
  <c r="Y172"/>
  <c r="AH172" s="1"/>
  <c r="Y173"/>
  <c r="AH173" s="1"/>
  <c r="Y175"/>
  <c r="AH175" s="1"/>
  <c r="Y176"/>
  <c r="AH176" s="1"/>
  <c r="Y177"/>
  <c r="AH177" s="1"/>
  <c r="Y180"/>
  <c r="AH180" s="1"/>
  <c r="Y182"/>
  <c r="AH182" s="1"/>
  <c r="Y183"/>
  <c r="AH183" s="1"/>
  <c r="Y184"/>
  <c r="AH184" s="1"/>
  <c r="Y275"/>
  <c r="AH275" s="1"/>
  <c r="Y191"/>
  <c r="AH191" s="1"/>
  <c r="Y197"/>
  <c r="AH197" s="1"/>
  <c r="Y200"/>
  <c r="AH200" s="1"/>
  <c r="Y274"/>
  <c r="AH274" s="1"/>
  <c r="Y203"/>
  <c r="AH203" s="1"/>
  <c r="Y47"/>
  <c r="AH47" s="1"/>
  <c r="Y209"/>
  <c r="AH209" s="1"/>
  <c r="Y204"/>
  <c r="AH204" s="1"/>
  <c r="Y208"/>
  <c r="AH208" s="1"/>
  <c r="Y207"/>
  <c r="AH207" s="1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R80" s="1"/>
  <c r="A63"/>
  <c r="A62"/>
  <c r="A61"/>
  <c r="A60"/>
  <c r="A59"/>
  <c r="A58"/>
  <c r="R73" s="1"/>
  <c r="A57"/>
  <c r="A56"/>
  <c r="R63" s="1"/>
  <c r="A55"/>
  <c r="A54"/>
  <c r="A53"/>
  <c r="A52"/>
  <c r="A51"/>
  <c r="A50"/>
  <c r="A49"/>
  <c r="A48"/>
  <c r="R67" s="1"/>
  <c r="A47"/>
  <c r="A46"/>
  <c r="A45"/>
  <c r="A44"/>
  <c r="R70" s="1"/>
  <c r="A43"/>
  <c r="R51" s="1"/>
  <c r="A42"/>
  <c r="A41"/>
  <c r="A40"/>
  <c r="R58" s="1"/>
  <c r="A39"/>
  <c r="A38"/>
  <c r="R81" s="1"/>
  <c r="A37"/>
  <c r="A36"/>
  <c r="R53" s="1"/>
  <c r="A35"/>
  <c r="A34"/>
  <c r="A33"/>
  <c r="A32"/>
  <c r="R85" s="1"/>
  <c r="A31"/>
  <c r="R66" s="1"/>
  <c r="A30"/>
  <c r="R65" s="1"/>
  <c r="A29"/>
  <c r="A28"/>
  <c r="R84" s="1"/>
  <c r="A27"/>
  <c r="R55" s="1"/>
  <c r="A26"/>
  <c r="A25"/>
  <c r="R37" s="1"/>
  <c r="A24"/>
  <c r="R36" s="1"/>
  <c r="A23"/>
  <c r="R74" s="1"/>
  <c r="A22"/>
  <c r="A21"/>
  <c r="A20"/>
  <c r="R23" s="1"/>
  <c r="A19"/>
  <c r="R22" s="1"/>
  <c r="A18"/>
  <c r="A17"/>
  <c r="A16"/>
  <c r="R77" s="1"/>
  <c r="A15"/>
  <c r="R57" s="1"/>
  <c r="A14"/>
  <c r="A13"/>
  <c r="R17" s="1"/>
  <c r="A12"/>
  <c r="R42" s="1"/>
  <c r="A11"/>
  <c r="R41" s="1"/>
  <c r="A10"/>
  <c r="A9"/>
  <c r="A8"/>
  <c r="R69" s="1"/>
  <c r="A7"/>
  <c r="AA300" i="1" l="1"/>
  <c r="Z300"/>
  <c r="AA299"/>
  <c r="Z299"/>
  <c r="AA298"/>
  <c r="Z298"/>
  <c r="AA297"/>
  <c r="Z297"/>
  <c r="AA296"/>
  <c r="Z296"/>
  <c r="AH296"/>
  <c r="AA295"/>
  <c r="Z295"/>
  <c r="AH295"/>
  <c r="AA294"/>
  <c r="Z294"/>
  <c r="AA196"/>
  <c r="Z196"/>
  <c r="Z293"/>
  <c r="Z283"/>
  <c r="AA293"/>
  <c r="Z280"/>
  <c r="Z242"/>
  <c r="Z218"/>
  <c r="Z79"/>
  <c r="Z261"/>
  <c r="Z93"/>
  <c r="Z253"/>
  <c r="Z270"/>
  <c r="Z222"/>
  <c r="Z220"/>
  <c r="Z292"/>
  <c r="Z108"/>
  <c r="Z116"/>
  <c r="Z22"/>
  <c r="AA291"/>
  <c r="AA292"/>
  <c r="Z36"/>
  <c r="Z291"/>
  <c r="AH291"/>
  <c r="Z67"/>
  <c r="Z281"/>
  <c r="Z272"/>
  <c r="Z78"/>
  <c r="Z45"/>
  <c r="Z16"/>
  <c r="Z267"/>
  <c r="Z95"/>
  <c r="Z59"/>
  <c r="Z19"/>
  <c r="Z269"/>
  <c r="Z282"/>
  <c r="Z102"/>
  <c r="Z172"/>
  <c r="Z24"/>
  <c r="Z17"/>
  <c r="Z237"/>
  <c r="Z145"/>
  <c r="Z221"/>
  <c r="Z107"/>
  <c r="Z288"/>
  <c r="Z58"/>
  <c r="Z25"/>
  <c r="Z258"/>
  <c r="Z240"/>
  <c r="Z166"/>
  <c r="Z112"/>
  <c r="Z20"/>
  <c r="Z251"/>
  <c r="Z216"/>
  <c r="Z205"/>
  <c r="Z150"/>
  <c r="Z23"/>
  <c r="Z18"/>
  <c r="Z14"/>
  <c r="Z215"/>
  <c r="Z3"/>
  <c r="Z9"/>
  <c r="Z238"/>
  <c r="Z199"/>
  <c r="Z129"/>
  <c r="AH156"/>
  <c r="AH72"/>
  <c r="Z190"/>
  <c r="Z290"/>
  <c r="AH290"/>
  <c r="Z175"/>
  <c r="AH236"/>
  <c r="Z2"/>
  <c r="AA290"/>
  <c r="Z173"/>
  <c r="Z271"/>
  <c r="Z265"/>
  <c r="Z254"/>
  <c r="Z182"/>
  <c r="Z170"/>
  <c r="Z133"/>
  <c r="Z97"/>
  <c r="Z37"/>
  <c r="Z243"/>
  <c r="Z219"/>
  <c r="Z214"/>
  <c r="AH232"/>
  <c r="AH152"/>
  <c r="Z191"/>
  <c r="Z62"/>
  <c r="Z186"/>
  <c r="Z135"/>
  <c r="Z121"/>
  <c r="Z106"/>
  <c r="Z85"/>
  <c r="Z68"/>
  <c r="Z55"/>
  <c r="Z35"/>
  <c r="Z13"/>
  <c r="Z54"/>
  <c r="Z61"/>
  <c r="AH83"/>
  <c r="Z181"/>
  <c r="AH202"/>
  <c r="AH262"/>
  <c r="Z157"/>
  <c r="Z140"/>
  <c r="AH6"/>
  <c r="Z259"/>
  <c r="Z103"/>
  <c r="AH8"/>
  <c r="Z124"/>
  <c r="AH60"/>
  <c r="AH279"/>
  <c r="Z5"/>
  <c r="AH12"/>
  <c r="AH73"/>
  <c r="Z69"/>
  <c r="Z167"/>
  <c r="Z241"/>
  <c r="Z244"/>
  <c r="Z264"/>
  <c r="Z217"/>
  <c r="Z200"/>
  <c r="Z144"/>
  <c r="Z118"/>
  <c r="Z87"/>
  <c r="AH223"/>
  <c r="Z110"/>
  <c r="Z26"/>
  <c r="AH154"/>
  <c r="Z113"/>
  <c r="Z245"/>
  <c r="Z101"/>
  <c r="Z177"/>
  <c r="Z169"/>
  <c r="Z151"/>
  <c r="Z138"/>
  <c r="Z125"/>
  <c r="Z111"/>
  <c r="Z99"/>
  <c r="Z92"/>
  <c r="Z53"/>
  <c r="Z77"/>
  <c r="Z119"/>
  <c r="Z33"/>
  <c r="Z194"/>
  <c r="Z274"/>
  <c r="R68" i="14"/>
  <c r="R64"/>
  <c r="Z208" i="1"/>
  <c r="R76" i="14"/>
  <c r="R56"/>
  <c r="R48"/>
  <c r="R43"/>
  <c r="R83"/>
  <c r="Z149" i="1"/>
  <c r="Z123"/>
  <c r="Z117"/>
  <c r="Z109"/>
  <c r="Z104"/>
  <c r="Z207"/>
  <c r="Z88"/>
  <c r="Z76"/>
  <c r="Z94"/>
  <c r="Z136"/>
  <c r="Z70"/>
  <c r="Z128"/>
  <c r="Z228"/>
  <c r="Z115"/>
  <c r="Z164"/>
  <c r="Z32"/>
  <c r="Z213"/>
  <c r="Z268"/>
  <c r="Z105"/>
  <c r="Z266"/>
  <c r="Z225"/>
  <c r="Z247"/>
  <c r="R72" i="14"/>
  <c r="R47"/>
  <c r="R24"/>
  <c r="R78"/>
  <c r="R86"/>
  <c r="R62"/>
  <c r="R71"/>
  <c r="R59"/>
  <c r="R79"/>
  <c r="R75"/>
  <c r="R82"/>
  <c r="Z197" i="1"/>
  <c r="Z176"/>
  <c r="Z171"/>
  <c r="Z162"/>
  <c r="Z148"/>
  <c r="Z141"/>
  <c r="Z134"/>
  <c r="Z122"/>
  <c r="Z86"/>
  <c r="Z131"/>
  <c r="Z256"/>
  <c r="Z188"/>
  <c r="Z163"/>
  <c r="Z21"/>
  <c r="Z212"/>
  <c r="Z276"/>
  <c r="Z278"/>
  <c r="Z211"/>
  <c r="Z146"/>
  <c r="Z63"/>
  <c r="Z192"/>
  <c r="Z147"/>
  <c r="Z252"/>
  <c r="Z284"/>
  <c r="Z160"/>
  <c r="AA41"/>
  <c r="AA42"/>
  <c r="Z42"/>
  <c r="AH42"/>
  <c r="Z41"/>
  <c r="AH41"/>
  <c r="AA287"/>
  <c r="AA286"/>
  <c r="Z286"/>
  <c r="AH286"/>
  <c r="Z287"/>
  <c r="AH287"/>
  <c r="AA160"/>
  <c r="AA161"/>
  <c r="Z161"/>
  <c r="AH161"/>
  <c r="AA284"/>
  <c r="AA285"/>
  <c r="Z285"/>
  <c r="AH285"/>
  <c r="AH249"/>
  <c r="AA249"/>
  <c r="AA250"/>
  <c r="Z250"/>
  <c r="AH250"/>
  <c r="AA205"/>
  <c r="AA206"/>
  <c r="Z206"/>
  <c r="AH206"/>
  <c r="AA194"/>
  <c r="AA195"/>
  <c r="Z195"/>
  <c r="AH195"/>
  <c r="AA217"/>
  <c r="AA140"/>
  <c r="AA252"/>
  <c r="AA147"/>
  <c r="AA38"/>
  <c r="Z38"/>
  <c r="AH38"/>
  <c r="AA192"/>
  <c r="AA193"/>
  <c r="Z193"/>
  <c r="AH193"/>
  <c r="AA247"/>
  <c r="AA245"/>
  <c r="AA246"/>
  <c r="Z246"/>
  <c r="AH246"/>
  <c r="AA190"/>
  <c r="AA279"/>
  <c r="AA63"/>
  <c r="AA146"/>
  <c r="AA198"/>
  <c r="Z198"/>
  <c r="AH198"/>
  <c r="AA225"/>
  <c r="AA157"/>
  <c r="AA264"/>
  <c r="AA262"/>
  <c r="AA263"/>
  <c r="Z263"/>
  <c r="AH263"/>
  <c r="AA211"/>
  <c r="AA266"/>
  <c r="AA113"/>
  <c r="AA114"/>
  <c r="Z114"/>
  <c r="AH114"/>
  <c r="AA186"/>
  <c r="AA187"/>
  <c r="Z187"/>
  <c r="AH187"/>
  <c r="AA142"/>
  <c r="AA143"/>
  <c r="Z143"/>
  <c r="AH143"/>
  <c r="Z142"/>
  <c r="AH142"/>
  <c r="AA154"/>
  <c r="AA155"/>
  <c r="Z155"/>
  <c r="AH155"/>
  <c r="AA152"/>
  <c r="AA153"/>
  <c r="Z153"/>
  <c r="AH153"/>
  <c r="AA278"/>
  <c r="AA276"/>
  <c r="AA277"/>
  <c r="Z277"/>
  <c r="AH277"/>
  <c r="AA105"/>
  <c r="AA202"/>
  <c r="AA232"/>
  <c r="AA233"/>
  <c r="Z233"/>
  <c r="AH233"/>
  <c r="AA199"/>
  <c r="AA212"/>
  <c r="AA21"/>
  <c r="AA168"/>
  <c r="Z168"/>
  <c r="AH168"/>
  <c r="AA268"/>
  <c r="AA244"/>
  <c r="AA259"/>
  <c r="AA260"/>
  <c r="Z260"/>
  <c r="AH260"/>
  <c r="AA181"/>
  <c r="AA163"/>
  <c r="AA213"/>
  <c r="AH234"/>
  <c r="AA241"/>
  <c r="AA236"/>
  <c r="AA234"/>
  <c r="AA235"/>
  <c r="Z235"/>
  <c r="AH235"/>
  <c r="AA32"/>
  <c r="AA33"/>
  <c r="AA34"/>
  <c r="Z34"/>
  <c r="AH34"/>
  <c r="AA26"/>
  <c r="AA27"/>
  <c r="Z27"/>
  <c r="AH27"/>
  <c r="AA164"/>
  <c r="AA165"/>
  <c r="Z165"/>
  <c r="AH165"/>
  <c r="AA110"/>
  <c r="AA178"/>
  <c r="AA179"/>
  <c r="Z179"/>
  <c r="AH179"/>
  <c r="Z178"/>
  <c r="AH178"/>
  <c r="AA188"/>
  <c r="AA189"/>
  <c r="Z189"/>
  <c r="AH189"/>
  <c r="AA115"/>
  <c r="AA167"/>
  <c r="AA72"/>
  <c r="AA83"/>
  <c r="AA84"/>
  <c r="Z84"/>
  <c r="AH84"/>
  <c r="AA60"/>
  <c r="AH255"/>
  <c r="AA256"/>
  <c r="AA257"/>
  <c r="Z257"/>
  <c r="AH257"/>
  <c r="AA228"/>
  <c r="AA226"/>
  <c r="AA227"/>
  <c r="Z227"/>
  <c r="AH227"/>
  <c r="Z226"/>
  <c r="AH226"/>
  <c r="AA223"/>
  <c r="AA224"/>
  <c r="Z224"/>
  <c r="AH224"/>
  <c r="AA131"/>
  <c r="AA128"/>
  <c r="AA119"/>
  <c r="AA120"/>
  <c r="Z120"/>
  <c r="AH120"/>
  <c r="AA70"/>
  <c r="AA71"/>
  <c r="Z71"/>
  <c r="AH71"/>
  <c r="AA136"/>
  <c r="AA137"/>
  <c r="Z137"/>
  <c r="AH137"/>
  <c r="AA94"/>
  <c r="AA77"/>
  <c r="R31" i="14"/>
  <c r="R32"/>
  <c r="R33"/>
  <c r="R34"/>
  <c r="R52"/>
  <c r="R30"/>
  <c r="AA69" i="1"/>
  <c r="AA156"/>
  <c r="AA76"/>
  <c r="AA73"/>
  <c r="AA75"/>
  <c r="AA74"/>
  <c r="Z74"/>
  <c r="AH74"/>
  <c r="Z75"/>
  <c r="AH75"/>
  <c r="AA88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4" i="1"/>
  <c r="AA61"/>
  <c r="AH10"/>
  <c r="AA12"/>
  <c r="AA10"/>
  <c r="AA11"/>
  <c r="Z11"/>
  <c r="AH11"/>
  <c r="AA5"/>
  <c r="AA8"/>
  <c r="AA6"/>
  <c r="AA7"/>
  <c r="Z7"/>
  <c r="AH7"/>
  <c r="AH2"/>
  <c r="AH132"/>
  <c r="AA2"/>
  <c r="AA201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100"/>
  <c r="AA39"/>
  <c r="AA40"/>
  <c r="AA90"/>
  <c r="AA91"/>
  <c r="AA44"/>
  <c r="AA45"/>
  <c r="AA46"/>
  <c r="AA185"/>
  <c r="AA48"/>
  <c r="AA49"/>
  <c r="AA289"/>
  <c r="AA51"/>
  <c r="AA52"/>
  <c r="AA53"/>
  <c r="AA54"/>
  <c r="AA55"/>
  <c r="AA56"/>
  <c r="AA57"/>
  <c r="AA58"/>
  <c r="AA59"/>
  <c r="AA62"/>
  <c r="AA64"/>
  <c r="AA65"/>
  <c r="AA66"/>
  <c r="AA67"/>
  <c r="AA68"/>
  <c r="AA78"/>
  <c r="AA79"/>
  <c r="AA80"/>
  <c r="AA89"/>
  <c r="AA82"/>
  <c r="AA85"/>
  <c r="AA86"/>
  <c r="AA87"/>
  <c r="AA288"/>
  <c r="AA273"/>
  <c r="AA174"/>
  <c r="AA92"/>
  <c r="AA93"/>
  <c r="AA95"/>
  <c r="AA96"/>
  <c r="AA81"/>
  <c r="AA98"/>
  <c r="AA99"/>
  <c r="AA97"/>
  <c r="AA101"/>
  <c r="AA102"/>
  <c r="AA103"/>
  <c r="AA104"/>
  <c r="AA106"/>
  <c r="AA107"/>
  <c r="AA108"/>
  <c r="AA109"/>
  <c r="AA111"/>
  <c r="AA112"/>
  <c r="AA116"/>
  <c r="AA117"/>
  <c r="AA118"/>
  <c r="AA121"/>
  <c r="AA122"/>
  <c r="AA123"/>
  <c r="AA125"/>
  <c r="AA126"/>
  <c r="AA127"/>
  <c r="AA129"/>
  <c r="AA130"/>
  <c r="AA132"/>
  <c r="AA133"/>
  <c r="AA134"/>
  <c r="AA135"/>
  <c r="AA138"/>
  <c r="AA139"/>
  <c r="AA141"/>
  <c r="AA144"/>
  <c r="AA145"/>
  <c r="AA148"/>
  <c r="AA149"/>
  <c r="AA150"/>
  <c r="AA151"/>
  <c r="AA158"/>
  <c r="AA159"/>
  <c r="AA162"/>
  <c r="AA166"/>
  <c r="AA169"/>
  <c r="AA170"/>
  <c r="AA171"/>
  <c r="AA172"/>
  <c r="AA173"/>
  <c r="AA175"/>
  <c r="AA176"/>
  <c r="AA177"/>
  <c r="AA180"/>
  <c r="AA182"/>
  <c r="AA183"/>
  <c r="AA184"/>
  <c r="AA275"/>
  <c r="AA191"/>
  <c r="AA197"/>
  <c r="AA200"/>
  <c r="AA274"/>
  <c r="AA203"/>
  <c r="AA204"/>
  <c r="AA207"/>
  <c r="AA208"/>
  <c r="AA209"/>
  <c r="AA210"/>
  <c r="AA214"/>
  <c r="AA215"/>
  <c r="AA216"/>
  <c r="AA218"/>
  <c r="AA219"/>
  <c r="AA220"/>
  <c r="AA221"/>
  <c r="AA222"/>
  <c r="AA229"/>
  <c r="AA230"/>
  <c r="AA231"/>
  <c r="AA237"/>
  <c r="AA238"/>
  <c r="AA239"/>
  <c r="AA240"/>
  <c r="AA242"/>
  <c r="AA243"/>
  <c r="AA248"/>
  <c r="AA251"/>
  <c r="AA253"/>
  <c r="AA254"/>
  <c r="AA255"/>
  <c r="AA258"/>
  <c r="AA261"/>
  <c r="AA265"/>
  <c r="AA267"/>
  <c r="AA269"/>
  <c r="AA270"/>
  <c r="AA271"/>
  <c r="AA272"/>
  <c r="AA47"/>
  <c r="AA50"/>
  <c r="AA43"/>
  <c r="AA280"/>
  <c r="AA281"/>
  <c r="AA282"/>
  <c r="AA283"/>
  <c r="Z203"/>
  <c r="Z204"/>
  <c r="Z275"/>
  <c r="Z184"/>
  <c r="Z183"/>
  <c r="Z180"/>
  <c r="Z159"/>
  <c r="Z158"/>
  <c r="Z139"/>
  <c r="Z130"/>
  <c r="Z127"/>
  <c r="Z126"/>
  <c r="Z98"/>
  <c r="Z81"/>
  <c r="Z96"/>
  <c r="Z174"/>
  <c r="Z273"/>
  <c r="Z82"/>
  <c r="Z89"/>
  <c r="Z80"/>
  <c r="Z66"/>
  <c r="Z65"/>
  <c r="Z64"/>
  <c r="Z57"/>
  <c r="Z56"/>
  <c r="Z52"/>
  <c r="Z51"/>
  <c r="Z289"/>
  <c r="Z49"/>
  <c r="Z48"/>
  <c r="Z185"/>
  <c r="Z46"/>
  <c r="Z44"/>
  <c r="Z91"/>
  <c r="Z90"/>
  <c r="Z201"/>
  <c r="Z40"/>
  <c r="Z39"/>
  <c r="Z100"/>
  <c r="Z31"/>
  <c r="Z30"/>
  <c r="Z29"/>
  <c r="Z28"/>
  <c r="Z15"/>
  <c r="Z4"/>
  <c r="Z248"/>
  <c r="Z239"/>
  <c r="Z231"/>
  <c r="Z230"/>
  <c r="Z229"/>
  <c r="Z210"/>
  <c r="Z43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S16" s="1"/>
  <c r="K39"/>
  <c r="L39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S12" s="1"/>
  <c r="K51"/>
  <c r="L51"/>
  <c r="M51"/>
  <c r="V12" s="1"/>
  <c r="Q12"/>
  <c r="J52"/>
  <c r="K52"/>
  <c r="L52"/>
  <c r="U25" s="1"/>
  <c r="M52"/>
  <c r="V25" s="1"/>
  <c r="Q25"/>
  <c r="J53"/>
  <c r="K53"/>
  <c r="T26" s="1"/>
  <c r="L53"/>
  <c r="U26" s="1"/>
  <c r="M53"/>
  <c r="Q26"/>
  <c r="J54"/>
  <c r="K54"/>
  <c r="L54"/>
  <c r="M54"/>
  <c r="V29" s="1"/>
  <c r="Q29"/>
  <c r="J55"/>
  <c r="K55"/>
  <c r="L55"/>
  <c r="U54" s="1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T39" s="1"/>
  <c r="L61"/>
  <c r="M61"/>
  <c r="Q39"/>
  <c r="J62"/>
  <c r="S40" s="1"/>
  <c r="K62"/>
  <c r="L62"/>
  <c r="M62"/>
  <c r="Q40"/>
  <c r="J63"/>
  <c r="K63"/>
  <c r="L63"/>
  <c r="M63"/>
  <c r="V21" s="1"/>
  <c r="Q21"/>
  <c r="J64"/>
  <c r="K64"/>
  <c r="L64"/>
  <c r="M64"/>
  <c r="Q80"/>
  <c r="J65"/>
  <c r="K65"/>
  <c r="T27" s="1"/>
  <c r="L65"/>
  <c r="M65"/>
  <c r="Q27"/>
  <c r="J66"/>
  <c r="S44" s="1"/>
  <c r="K66"/>
  <c r="L66"/>
  <c r="M66"/>
  <c r="Q44"/>
  <c r="J67"/>
  <c r="S35" s="1"/>
  <c r="K67"/>
  <c r="T35" s="1"/>
  <c r="L67"/>
  <c r="U35" s="1"/>
  <c r="M67"/>
  <c r="V35" s="1"/>
  <c r="Q35"/>
  <c r="J68"/>
  <c r="K68"/>
  <c r="L68"/>
  <c r="U46" s="1"/>
  <c r="M68"/>
  <c r="Q46"/>
  <c r="J69"/>
  <c r="K69"/>
  <c r="L69"/>
  <c r="M69"/>
  <c r="Q82"/>
  <c r="J70"/>
  <c r="S7" s="1"/>
  <c r="K70"/>
  <c r="T7" s="1"/>
  <c r="L70"/>
  <c r="M70"/>
  <c r="Q7"/>
  <c r="J71"/>
  <c r="K71"/>
  <c r="L71"/>
  <c r="M71"/>
  <c r="V9" s="1"/>
  <c r="Q9"/>
  <c r="J72"/>
  <c r="K72"/>
  <c r="L72"/>
  <c r="U10" s="1"/>
  <c r="M72"/>
  <c r="Q10"/>
  <c r="J73"/>
  <c r="K73"/>
  <c r="T11" s="1"/>
  <c r="L73"/>
  <c r="M73"/>
  <c r="Q11"/>
  <c r="J74"/>
  <c r="S8" s="1"/>
  <c r="K74"/>
  <c r="L74"/>
  <c r="M74"/>
  <c r="Q8"/>
  <c r="J75"/>
  <c r="K75"/>
  <c r="L75"/>
  <c r="M75"/>
  <c r="V13" s="1"/>
  <c r="Q13"/>
  <c r="J76"/>
  <c r="K76"/>
  <c r="L76"/>
  <c r="U14" s="1"/>
  <c r="M76"/>
  <c r="Q14"/>
  <c r="J77"/>
  <c r="K77"/>
  <c r="T15" s="1"/>
  <c r="L77"/>
  <c r="M77"/>
  <c r="Q15"/>
  <c r="J78"/>
  <c r="S28" s="1"/>
  <c r="K78"/>
  <c r="L78"/>
  <c r="M78"/>
  <c r="Q28"/>
  <c r="J79"/>
  <c r="K79"/>
  <c r="L79"/>
  <c r="M79"/>
  <c r="V49" s="1"/>
  <c r="Q49"/>
  <c r="J80"/>
  <c r="K80"/>
  <c r="L80"/>
  <c r="U38" s="1"/>
  <c r="M80"/>
  <c r="Q38"/>
  <c r="J81"/>
  <c r="K81"/>
  <c r="T31" s="1"/>
  <c r="L81"/>
  <c r="M81"/>
  <c r="Q31"/>
  <c r="J82"/>
  <c r="S32" s="1"/>
  <c r="K82"/>
  <c r="L82"/>
  <c r="M82"/>
  <c r="Q32"/>
  <c r="J83"/>
  <c r="K83"/>
  <c r="L83"/>
  <c r="M83"/>
  <c r="V33" s="1"/>
  <c r="Q33"/>
  <c r="J84"/>
  <c r="K84"/>
  <c r="L84"/>
  <c r="U34" s="1"/>
  <c r="M84"/>
  <c r="Q34"/>
  <c r="J85"/>
  <c r="S52" s="1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AO298" i="1" l="1"/>
  <c r="T34" i="1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AO210" i="1" s="1"/>
  <c r="U12" i="14"/>
  <c r="U16"/>
  <c r="V34"/>
  <c r="S33"/>
  <c r="T32"/>
  <c r="U31"/>
  <c r="V38"/>
  <c r="S49"/>
  <c r="T28"/>
  <c r="U15"/>
  <c r="V14"/>
  <c r="S13"/>
  <c r="T8"/>
  <c r="AO196" i="1" s="1"/>
  <c r="U11" i="14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AO296" i="1" s="1"/>
  <c r="U7" i="14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61" i="1"/>
  <c r="AO280"/>
  <c r="AO237"/>
  <c r="AO270"/>
  <c r="AO24"/>
  <c r="AO45"/>
  <c r="AO64"/>
  <c r="AO92"/>
  <c r="AO111"/>
  <c r="AO135"/>
  <c r="AO171"/>
  <c r="AO204"/>
  <c r="R128" i="9"/>
  <c r="Q40"/>
  <c r="Q44"/>
  <c r="Q48"/>
  <c r="Q56"/>
  <c r="Q60"/>
  <c r="Q65"/>
  <c r="Q129"/>
  <c r="Q37"/>
  <c r="Q41"/>
  <c r="Q45"/>
  <c r="Q49"/>
  <c r="Q53"/>
  <c r="Q57"/>
  <c r="R109"/>
  <c r="Q73"/>
  <c r="K28" i="12"/>
  <c r="K13"/>
  <c r="K77"/>
  <c r="K133"/>
  <c r="K58"/>
  <c r="K156"/>
  <c r="K59"/>
  <c r="K101"/>
  <c r="K151"/>
  <c r="K206"/>
  <c r="K268"/>
  <c r="K217"/>
  <c r="K285"/>
  <c r="K174"/>
  <c r="K302"/>
  <c r="K345"/>
  <c r="K393"/>
  <c r="K166"/>
  <c r="K223"/>
  <c r="K282"/>
  <c r="K350"/>
  <c r="K382"/>
  <c r="K416"/>
  <c r="K446"/>
  <c r="K481"/>
  <c r="K511"/>
  <c r="K198"/>
  <c r="K359"/>
  <c r="K534"/>
  <c r="K280"/>
  <c r="K146"/>
  <c r="K231"/>
  <c r="K410"/>
  <c r="K421"/>
  <c r="K432"/>
  <c r="K442"/>
  <c r="K460"/>
  <c r="K471"/>
  <c r="K482"/>
  <c r="K492"/>
  <c r="K550"/>
  <c r="K567"/>
  <c r="K559"/>
  <c r="K187"/>
  <c r="K274"/>
  <c r="K356"/>
  <c r="K388"/>
  <c r="K499"/>
  <c r="K510"/>
  <c r="K521"/>
  <c r="K548"/>
  <c r="K584"/>
  <c r="K327"/>
  <c r="K387"/>
  <c r="K152"/>
  <c r="K333"/>
  <c r="K592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O294" i="1" l="1"/>
  <c r="K281" i="12"/>
  <c r="K200"/>
  <c r="K336"/>
  <c r="K551"/>
  <c r="K512"/>
  <c r="K392"/>
  <c r="K325"/>
  <c r="K563"/>
  <c r="K556"/>
  <c r="K483"/>
  <c r="K462"/>
  <c r="K433"/>
  <c r="K411"/>
  <c r="K158"/>
  <c r="K541"/>
  <c r="K207"/>
  <c r="K485"/>
  <c r="K420"/>
  <c r="K354"/>
  <c r="K227"/>
  <c r="K397"/>
  <c r="K307"/>
  <c r="K204"/>
  <c r="K233"/>
  <c r="K220"/>
  <c r="K106"/>
  <c r="K74"/>
  <c r="K86"/>
  <c r="K29"/>
  <c r="AO176" i="1"/>
  <c r="AO118"/>
  <c r="AO68"/>
  <c r="AO30"/>
  <c r="AO4"/>
  <c r="AO8"/>
  <c r="K552" i="12"/>
  <c r="K235"/>
  <c r="K444"/>
  <c r="K363"/>
  <c r="K568"/>
  <c r="K561"/>
  <c r="K530"/>
  <c r="K516"/>
  <c r="K505"/>
  <c r="K404"/>
  <c r="K372"/>
  <c r="K341"/>
  <c r="K222"/>
  <c r="K585"/>
  <c r="K340"/>
  <c r="K571"/>
  <c r="K536"/>
  <c r="K487"/>
  <c r="K476"/>
  <c r="K466"/>
  <c r="K455"/>
  <c r="K437"/>
  <c r="K426"/>
  <c r="K415"/>
  <c r="K328"/>
  <c r="K175"/>
  <c r="K546"/>
  <c r="K569"/>
  <c r="K403"/>
  <c r="K262"/>
  <c r="K526"/>
  <c r="K496"/>
  <c r="K465"/>
  <c r="K431"/>
  <c r="K398"/>
  <c r="K366"/>
  <c r="K287"/>
  <c r="K254"/>
  <c r="K202"/>
  <c r="K126"/>
  <c r="K377"/>
  <c r="K312"/>
  <c r="K255"/>
  <c r="K321"/>
  <c r="K249"/>
  <c r="K177"/>
  <c r="K236"/>
  <c r="K170"/>
  <c r="K115"/>
  <c r="K90"/>
  <c r="K27"/>
  <c r="K121"/>
  <c r="K26"/>
  <c r="K99"/>
  <c r="K45"/>
  <c r="K60"/>
  <c r="K450"/>
  <c r="AO183" i="1"/>
  <c r="AO150"/>
  <c r="AO125"/>
  <c r="AO101"/>
  <c r="AO89"/>
  <c r="AO53"/>
  <c r="AO37"/>
  <c r="AO15"/>
  <c r="AO253"/>
  <c r="AO218"/>
  <c r="K593" i="12"/>
  <c r="AO292" i="1"/>
  <c r="AO293"/>
  <c r="AO300"/>
  <c r="K408" i="12"/>
  <c r="K395"/>
  <c r="K586"/>
  <c r="K523"/>
  <c r="K501"/>
  <c r="K360"/>
  <c r="K210"/>
  <c r="K154"/>
  <c r="K494"/>
  <c r="K472"/>
  <c r="K447"/>
  <c r="K422"/>
  <c r="K247"/>
  <c r="K267"/>
  <c r="K371"/>
  <c r="K515"/>
  <c r="K453"/>
  <c r="K386"/>
  <c r="K283"/>
  <c r="K178"/>
  <c r="K361"/>
  <c r="K305"/>
  <c r="K129"/>
  <c r="K148"/>
  <c r="K75"/>
  <c r="K11"/>
  <c r="K10"/>
  <c r="K44"/>
  <c r="AO50" i="1"/>
  <c r="AO144"/>
  <c r="AO81"/>
  <c r="AO49"/>
  <c r="AO242"/>
  <c r="AO5"/>
  <c r="AO297"/>
  <c r="K555" i="12"/>
  <c r="K251"/>
  <c r="K545"/>
  <c r="K367"/>
  <c r="K199"/>
  <c r="K565"/>
  <c r="K537"/>
  <c r="K517"/>
  <c r="K506"/>
  <c r="K495"/>
  <c r="K376"/>
  <c r="K344"/>
  <c r="K226"/>
  <c r="K566"/>
  <c r="K528"/>
  <c r="K583"/>
  <c r="K539"/>
  <c r="K488"/>
  <c r="K478"/>
  <c r="K467"/>
  <c r="K456"/>
  <c r="K438"/>
  <c r="K428"/>
  <c r="K417"/>
  <c r="K335"/>
  <c r="K191"/>
  <c r="K124"/>
  <c r="K581"/>
  <c r="K445"/>
  <c r="K329"/>
  <c r="K165"/>
  <c r="K500"/>
  <c r="K469"/>
  <c r="K435"/>
  <c r="K402"/>
  <c r="K370"/>
  <c r="K288"/>
  <c r="K259"/>
  <c r="K211"/>
  <c r="K128"/>
  <c r="K381"/>
  <c r="K318"/>
  <c r="K296"/>
  <c r="K338"/>
  <c r="K265"/>
  <c r="K193"/>
  <c r="K252"/>
  <c r="K184"/>
  <c r="K135"/>
  <c r="K96"/>
  <c r="K43"/>
  <c r="K137"/>
  <c r="K42"/>
  <c r="K118"/>
  <c r="K61"/>
  <c r="K76"/>
  <c r="K12"/>
  <c r="AO197" i="1"/>
  <c r="AO162"/>
  <c r="AO130"/>
  <c r="AO106"/>
  <c r="AO87"/>
  <c r="AO57"/>
  <c r="AO201"/>
  <c r="AO19"/>
  <c r="AO261"/>
  <c r="AO222"/>
  <c r="K576" i="12"/>
  <c r="AO295" i="1"/>
  <c r="AO299"/>
  <c r="K557" i="12"/>
  <c r="K580"/>
  <c r="K109"/>
  <c r="K291"/>
  <c r="K355"/>
  <c r="K379"/>
  <c r="K407"/>
  <c r="K591"/>
  <c r="K186"/>
  <c r="K331"/>
  <c r="K549"/>
  <c r="K588"/>
  <c r="AO9" i="1"/>
  <c r="AO20"/>
  <c r="AO31"/>
  <c r="AO90"/>
  <c r="AO289"/>
  <c r="AO58"/>
  <c r="AO78"/>
  <c r="AO288"/>
  <c r="AO98"/>
  <c r="AO107"/>
  <c r="AO121"/>
  <c r="AO132"/>
  <c r="AO145"/>
  <c r="AO166"/>
  <c r="AO177"/>
  <c r="AO200"/>
  <c r="AO47"/>
  <c r="K16" i="12"/>
  <c r="K48"/>
  <c r="K80"/>
  <c r="K17"/>
  <c r="K49"/>
  <c r="K81"/>
  <c r="K120"/>
  <c r="K14"/>
  <c r="K46"/>
  <c r="K78"/>
  <c r="K141"/>
  <c r="K15"/>
  <c r="K47"/>
  <c r="K79"/>
  <c r="K97"/>
  <c r="K111"/>
  <c r="K139"/>
  <c r="K155"/>
  <c r="K188"/>
  <c r="K224"/>
  <c r="K256"/>
  <c r="K163"/>
  <c r="K197"/>
  <c r="K237"/>
  <c r="K269"/>
  <c r="K309"/>
  <c r="K342"/>
  <c r="K234"/>
  <c r="K298"/>
  <c r="K308"/>
  <c r="K319"/>
  <c r="K365"/>
  <c r="AO11" i="1"/>
  <c r="AO7"/>
  <c r="K574" i="12"/>
  <c r="K575"/>
  <c r="AO281" i="1"/>
  <c r="AO214"/>
  <c r="AO219"/>
  <c r="AO229"/>
  <c r="AO238"/>
  <c r="AO243"/>
  <c r="AO254"/>
  <c r="AO265"/>
  <c r="AO271"/>
  <c r="AO16"/>
  <c r="AO25"/>
  <c r="AO100"/>
  <c r="AO46"/>
  <c r="AO54"/>
  <c r="AO65"/>
  <c r="AO82"/>
  <c r="AO93"/>
  <c r="AO102"/>
  <c r="AO112"/>
  <c r="AO126"/>
  <c r="AO138"/>
  <c r="AO151"/>
  <c r="AO172"/>
  <c r="AO184"/>
  <c r="AO207"/>
  <c r="K448" i="12"/>
  <c r="K32"/>
  <c r="K64"/>
  <c r="K33"/>
  <c r="K65"/>
  <c r="K87"/>
  <c r="K103"/>
  <c r="K88"/>
  <c r="K30"/>
  <c r="K62"/>
  <c r="K130"/>
  <c r="K159"/>
  <c r="K31"/>
  <c r="K63"/>
  <c r="K92"/>
  <c r="K102"/>
  <c r="K116"/>
  <c r="K136"/>
  <c r="K172"/>
  <c r="K209"/>
  <c r="K240"/>
  <c r="K272"/>
  <c r="K181"/>
  <c r="K221"/>
  <c r="K253"/>
  <c r="K289"/>
  <c r="K326"/>
  <c r="K179"/>
  <c r="K266"/>
  <c r="K303"/>
  <c r="K314"/>
  <c r="K349"/>
  <c r="AO291" i="1"/>
  <c r="K2" i="12"/>
  <c r="K579"/>
  <c r="K538"/>
  <c r="K324"/>
  <c r="K292"/>
  <c r="K562"/>
  <c r="K399"/>
  <c r="K375"/>
  <c r="K347"/>
  <c r="K279"/>
  <c r="K590"/>
  <c r="K578"/>
  <c r="K553"/>
  <c r="K540"/>
  <c r="K524"/>
  <c r="K519"/>
  <c r="K513"/>
  <c r="K508"/>
  <c r="K502"/>
  <c r="K497"/>
  <c r="K396"/>
  <c r="K380"/>
  <c r="K364"/>
  <c r="K348"/>
  <c r="K332"/>
  <c r="K242"/>
  <c r="K214"/>
  <c r="K153"/>
  <c r="K570"/>
  <c r="K532"/>
  <c r="K278"/>
  <c r="K589"/>
  <c r="K560"/>
  <c r="K543"/>
  <c r="K529"/>
  <c r="K490"/>
  <c r="K484"/>
  <c r="K479"/>
  <c r="K474"/>
  <c r="K468"/>
  <c r="K463"/>
  <c r="K458"/>
  <c r="K452"/>
  <c r="K440"/>
  <c r="K434"/>
  <c r="K429"/>
  <c r="K423"/>
  <c r="K418"/>
  <c r="K413"/>
  <c r="K337"/>
  <c r="K263"/>
  <c r="K205"/>
  <c r="K167"/>
  <c r="K134"/>
  <c r="K294"/>
  <c r="K587"/>
  <c r="K554"/>
  <c r="K527"/>
  <c r="K383"/>
  <c r="K343"/>
  <c r="K230"/>
  <c r="K171"/>
  <c r="K518"/>
  <c r="K503"/>
  <c r="K489"/>
  <c r="K473"/>
  <c r="K457"/>
  <c r="K439"/>
  <c r="K424"/>
  <c r="K406"/>
  <c r="K390"/>
  <c r="K374"/>
  <c r="K358"/>
  <c r="K323"/>
  <c r="K284"/>
  <c r="K270"/>
  <c r="K238"/>
  <c r="K215"/>
  <c r="K183"/>
  <c r="K138"/>
  <c r="K401"/>
  <c r="K385"/>
  <c r="K369"/>
  <c r="K353"/>
  <c r="K320"/>
  <c r="K315"/>
  <c r="K310"/>
  <c r="K304"/>
  <c r="K299"/>
  <c r="K271"/>
  <c r="K239"/>
  <c r="K190"/>
  <c r="K150"/>
  <c r="K330"/>
  <c r="K313"/>
  <c r="K297"/>
  <c r="K273"/>
  <c r="K257"/>
  <c r="K241"/>
  <c r="K225"/>
  <c r="K203"/>
  <c r="K185"/>
  <c r="K168"/>
  <c r="K276"/>
  <c r="K260"/>
  <c r="K244"/>
  <c r="K228"/>
  <c r="K212"/>
  <c r="K192"/>
  <c r="K176"/>
  <c r="K160"/>
  <c r="K140"/>
  <c r="K143"/>
  <c r="K117"/>
  <c r="K112"/>
  <c r="K104"/>
  <c r="K98"/>
  <c r="K93"/>
  <c r="K83"/>
  <c r="K67"/>
  <c r="K51"/>
  <c r="K35"/>
  <c r="K19"/>
  <c r="K161"/>
  <c r="K145"/>
  <c r="K131"/>
  <c r="K82"/>
  <c r="K66"/>
  <c r="K50"/>
  <c r="K34"/>
  <c r="K18"/>
  <c r="K4"/>
  <c r="K125"/>
  <c r="K107"/>
  <c r="K91"/>
  <c r="K85"/>
  <c r="K69"/>
  <c r="K53"/>
  <c r="K37"/>
  <c r="K21"/>
  <c r="K84"/>
  <c r="K68"/>
  <c r="K52"/>
  <c r="K36"/>
  <c r="K20"/>
  <c r="K5"/>
  <c r="K451"/>
  <c r="AO208" i="1"/>
  <c r="AO274"/>
  <c r="AO275"/>
  <c r="AO180"/>
  <c r="AO173"/>
  <c r="AO169"/>
  <c r="AO158"/>
  <c r="AO148"/>
  <c r="AO139"/>
  <c r="AO133"/>
  <c r="AO127"/>
  <c r="AO122"/>
  <c r="AO116"/>
  <c r="AO108"/>
  <c r="AO103"/>
  <c r="AO99"/>
  <c r="AO95"/>
  <c r="AO273"/>
  <c r="AO85"/>
  <c r="AO79"/>
  <c r="AO66"/>
  <c r="AO59"/>
  <c r="AO55"/>
  <c r="AO51"/>
  <c r="AO185"/>
  <c r="AO91"/>
  <c r="AO39"/>
  <c r="AO35"/>
  <c r="AO28"/>
  <c r="AO22"/>
  <c r="AO17"/>
  <c r="AO13"/>
  <c r="AO272"/>
  <c r="AO267"/>
  <c r="AO255"/>
  <c r="AO248"/>
  <c r="AO239"/>
  <c r="AO230"/>
  <c r="AO220"/>
  <c r="AO215"/>
  <c r="AO282"/>
  <c r="K572" i="12"/>
  <c r="K577"/>
  <c r="AO6" i="1"/>
  <c r="AO10"/>
  <c r="AO124"/>
  <c r="AO290"/>
  <c r="K544" i="12"/>
  <c r="K525"/>
  <c r="K520"/>
  <c r="K514"/>
  <c r="K509"/>
  <c r="K504"/>
  <c r="K498"/>
  <c r="K400"/>
  <c r="K384"/>
  <c r="K368"/>
  <c r="K352"/>
  <c r="K339"/>
  <c r="K258"/>
  <c r="K218"/>
  <c r="K201"/>
  <c r="K582"/>
  <c r="K535"/>
  <c r="K290"/>
  <c r="K108"/>
  <c r="K564"/>
  <c r="K547"/>
  <c r="K533"/>
  <c r="K491"/>
  <c r="K486"/>
  <c r="K480"/>
  <c r="K475"/>
  <c r="K470"/>
  <c r="K464"/>
  <c r="K459"/>
  <c r="K454"/>
  <c r="K441"/>
  <c r="K436"/>
  <c r="K430"/>
  <c r="K425"/>
  <c r="K419"/>
  <c r="K414"/>
  <c r="K409"/>
  <c r="K293"/>
  <c r="K208"/>
  <c r="K169"/>
  <c r="K142"/>
  <c r="K542"/>
  <c r="K110"/>
  <c r="K558"/>
  <c r="K531"/>
  <c r="K391"/>
  <c r="K351"/>
  <c r="K246"/>
  <c r="K182"/>
  <c r="K522"/>
  <c r="K507"/>
  <c r="K493"/>
  <c r="K477"/>
  <c r="K461"/>
  <c r="K443"/>
  <c r="K427"/>
  <c r="K412"/>
  <c r="K394"/>
  <c r="K378"/>
  <c r="K362"/>
  <c r="K346"/>
  <c r="K286"/>
  <c r="K275"/>
  <c r="K243"/>
  <c r="K219"/>
  <c r="K194"/>
  <c r="K164"/>
  <c r="K405"/>
  <c r="K389"/>
  <c r="K373"/>
  <c r="K357"/>
  <c r="K322"/>
  <c r="K316"/>
  <c r="K311"/>
  <c r="K306"/>
  <c r="K300"/>
  <c r="K295"/>
  <c r="K250"/>
  <c r="K195"/>
  <c r="K157"/>
  <c r="K334"/>
  <c r="K317"/>
  <c r="K301"/>
  <c r="K277"/>
  <c r="K261"/>
  <c r="K245"/>
  <c r="K229"/>
  <c r="K213"/>
  <c r="K189"/>
  <c r="K173"/>
  <c r="K122"/>
  <c r="K264"/>
  <c r="K248"/>
  <c r="K232"/>
  <c r="K216"/>
  <c r="K196"/>
  <c r="K180"/>
  <c r="K162"/>
  <c r="K144"/>
  <c r="K147"/>
  <c r="K123"/>
  <c r="K113"/>
  <c r="K105"/>
  <c r="K100"/>
  <c r="K94"/>
  <c r="K89"/>
  <c r="K71"/>
  <c r="K55"/>
  <c r="K39"/>
  <c r="K23"/>
  <c r="K7"/>
  <c r="K149"/>
  <c r="K132"/>
  <c r="K119"/>
  <c r="K70"/>
  <c r="K54"/>
  <c r="K38"/>
  <c r="K22"/>
  <c r="K6"/>
  <c r="K127"/>
  <c r="K114"/>
  <c r="K95"/>
  <c r="K3"/>
  <c r="K73"/>
  <c r="K57"/>
  <c r="K41"/>
  <c r="K25"/>
  <c r="K9"/>
  <c r="K72"/>
  <c r="K56"/>
  <c r="K40"/>
  <c r="K24"/>
  <c r="K8"/>
  <c r="K449"/>
  <c r="AO209" i="1"/>
  <c r="AO203"/>
  <c r="AO191"/>
  <c r="AO182"/>
  <c r="AO175"/>
  <c r="AO170"/>
  <c r="AO159"/>
  <c r="AO149"/>
  <c r="AO141"/>
  <c r="AO134"/>
  <c r="AO129"/>
  <c r="AO123"/>
  <c r="AO117"/>
  <c r="AO109"/>
  <c r="AO104"/>
  <c r="AO97"/>
  <c r="AO96"/>
  <c r="AO174"/>
  <c r="AO86"/>
  <c r="AO80"/>
  <c r="AO67"/>
  <c r="AO62"/>
  <c r="AO56"/>
  <c r="AO52"/>
  <c r="AO48"/>
  <c r="AO44"/>
  <c r="AO40"/>
  <c r="AO36"/>
  <c r="AO29"/>
  <c r="AO23"/>
  <c r="AO18"/>
  <c r="AO14"/>
  <c r="AO3"/>
  <c r="AO269"/>
  <c r="AO258"/>
  <c r="AO251"/>
  <c r="AO240"/>
  <c r="AO231"/>
  <c r="AO221"/>
  <c r="AO216"/>
  <c r="AO283"/>
  <c r="AO43"/>
  <c r="K573" i="12"/>
  <c r="AO2" i="1"/>
  <c r="AO41"/>
  <c r="AO12"/>
  <c r="AO88"/>
  <c r="AO205"/>
  <c r="AO206"/>
  <c r="AO249"/>
  <c r="AO250"/>
  <c r="AO284"/>
  <c r="AO285"/>
  <c r="AO160"/>
  <c r="AO161"/>
  <c r="AO286"/>
  <c r="AO287"/>
  <c r="AO42"/>
  <c r="AO264"/>
  <c r="AO157"/>
  <c r="AO225"/>
  <c r="AO146"/>
  <c r="AO198"/>
  <c r="AO63"/>
  <c r="AO279"/>
  <c r="AO190"/>
  <c r="AO245"/>
  <c r="AO246"/>
  <c r="AO247"/>
  <c r="AO192"/>
  <c r="AO193"/>
  <c r="AO147"/>
  <c r="AO38"/>
  <c r="AO252"/>
  <c r="AO140"/>
  <c r="AO217"/>
  <c r="AO194"/>
  <c r="AO195"/>
  <c r="AO110"/>
  <c r="AO164"/>
  <c r="AO165"/>
  <c r="AO26"/>
  <c r="AO27"/>
  <c r="AO33"/>
  <c r="AO34"/>
  <c r="AO32"/>
  <c r="AO234"/>
  <c r="AO235"/>
  <c r="AO236"/>
  <c r="AO241"/>
  <c r="AO213"/>
  <c r="AO163"/>
  <c r="AO181"/>
  <c r="AO259"/>
  <c r="AO260"/>
  <c r="AO244"/>
  <c r="AO268"/>
  <c r="AO21"/>
  <c r="AO168"/>
  <c r="AO212"/>
  <c r="AO199"/>
  <c r="AO232"/>
  <c r="AO233"/>
  <c r="AO202"/>
  <c r="AO105"/>
  <c r="AO276"/>
  <c r="AO277"/>
  <c r="AO278"/>
  <c r="AO152"/>
  <c r="AO153"/>
  <c r="AO154"/>
  <c r="AO155"/>
  <c r="AO143"/>
  <c r="AO142"/>
  <c r="AO186"/>
  <c r="AO187"/>
  <c r="AO113"/>
  <c r="AO114"/>
  <c r="AO266"/>
  <c r="AO211"/>
  <c r="AO262"/>
  <c r="AO263"/>
  <c r="AO178"/>
  <c r="AO179"/>
  <c r="AO188"/>
  <c r="AO189"/>
  <c r="AO115"/>
  <c r="AO167"/>
  <c r="AO72"/>
  <c r="AO84"/>
  <c r="AO83"/>
  <c r="AO60"/>
  <c r="AO256"/>
  <c r="AO257"/>
  <c r="AO226"/>
  <c r="AO228"/>
  <c r="AO227"/>
  <c r="AO223"/>
  <c r="AO224"/>
  <c r="AO131"/>
  <c r="AO128"/>
  <c r="AO119"/>
  <c r="AO120"/>
  <c r="AO70"/>
  <c r="AO71"/>
  <c r="AO136"/>
  <c r="AO137"/>
  <c r="AO94"/>
  <c r="AO77"/>
  <c r="AO69"/>
  <c r="AO156"/>
  <c r="AO76"/>
  <c r="AO74"/>
  <c r="AO75"/>
  <c r="AO73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300" i="1" l="1"/>
  <c r="AC300" s="1"/>
  <c r="AN296"/>
  <c r="AC296" s="1"/>
  <c r="AN196"/>
  <c r="AC196" s="1"/>
  <c r="AN298"/>
  <c r="AC298" s="1"/>
  <c r="AN297"/>
  <c r="AC297" s="1"/>
  <c r="AN295"/>
  <c r="AC295" s="1"/>
  <c r="AN294"/>
  <c r="AC294" s="1"/>
  <c r="AN293"/>
  <c r="AC293" s="1"/>
  <c r="AN299"/>
  <c r="AC299" s="1"/>
  <c r="AN292"/>
  <c r="AC292" s="1"/>
  <c r="AN291"/>
  <c r="AC291" s="1"/>
  <c r="AN290"/>
  <c r="AC290" s="1"/>
  <c r="AN41"/>
  <c r="AC41" s="1"/>
  <c r="AN42"/>
  <c r="AC42" s="1"/>
  <c r="AN287"/>
  <c r="AC287" s="1"/>
  <c r="AN286"/>
  <c r="AC286" s="1"/>
  <c r="AN161"/>
  <c r="AC161" s="1"/>
  <c r="AN160"/>
  <c r="AC160" s="1"/>
  <c r="AN285"/>
  <c r="AC285" s="1"/>
  <c r="AN284"/>
  <c r="AC284" s="1"/>
  <c r="AN250"/>
  <c r="AC250" s="1"/>
  <c r="AN249"/>
  <c r="AC249" s="1"/>
  <c r="AN206"/>
  <c r="AC206" s="1"/>
  <c r="AN205"/>
  <c r="AC205" s="1"/>
  <c r="AN195"/>
  <c r="AC195" s="1"/>
  <c r="AN194"/>
  <c r="AC194" s="1"/>
  <c r="AN217"/>
  <c r="AC217" s="1"/>
  <c r="AN140"/>
  <c r="AC140" s="1"/>
  <c r="AN252"/>
  <c r="AC252" s="1"/>
  <c r="AN38"/>
  <c r="AC38" s="1"/>
  <c r="AN147"/>
  <c r="AC147" s="1"/>
  <c r="AN193"/>
  <c r="AC193" s="1"/>
  <c r="AN192"/>
  <c r="AC192" s="1"/>
  <c r="AN247"/>
  <c r="AC247" s="1"/>
  <c r="AN246"/>
  <c r="AC246" s="1"/>
  <c r="AN245"/>
  <c r="AC245" s="1"/>
  <c r="AN190"/>
  <c r="AC190" s="1"/>
  <c r="AN279"/>
  <c r="AC279" s="1"/>
  <c r="AN63"/>
  <c r="AC63" s="1"/>
  <c r="AN198"/>
  <c r="AC198" s="1"/>
  <c r="AN146"/>
  <c r="AC146" s="1"/>
  <c r="AN225"/>
  <c r="AC225" s="1"/>
  <c r="AN157"/>
  <c r="AC157" s="1"/>
  <c r="AN264"/>
  <c r="AC264" s="1"/>
  <c r="AN263"/>
  <c r="AC263" s="1"/>
  <c r="AN262"/>
  <c r="AC262" s="1"/>
  <c r="AN211"/>
  <c r="AC211" s="1"/>
  <c r="AN266"/>
  <c r="AC266" s="1"/>
  <c r="AN114"/>
  <c r="AC114" s="1"/>
  <c r="AN113"/>
  <c r="AC113" s="1"/>
  <c r="AN187"/>
  <c r="AC187" s="1"/>
  <c r="AN186"/>
  <c r="AC186" s="1"/>
  <c r="AN142"/>
  <c r="AC142" s="1"/>
  <c r="AN143"/>
  <c r="AC143" s="1"/>
  <c r="AN155"/>
  <c r="AC155" s="1"/>
  <c r="AN154"/>
  <c r="AC154" s="1"/>
  <c r="AN153"/>
  <c r="AC153" s="1"/>
  <c r="AN152"/>
  <c r="AC152" s="1"/>
  <c r="AN278"/>
  <c r="AC278" s="1"/>
  <c r="AN277"/>
  <c r="AC277" s="1"/>
  <c r="AN276"/>
  <c r="AC276" s="1"/>
  <c r="AN105"/>
  <c r="AC105" s="1"/>
  <c r="AN202"/>
  <c r="AC202" s="1"/>
  <c r="AN233"/>
  <c r="AC233" s="1"/>
  <c r="AN232"/>
  <c r="AC232" s="1"/>
  <c r="AN199"/>
  <c r="AC199" s="1"/>
  <c r="AN212"/>
  <c r="AC212" s="1"/>
  <c r="AN168"/>
  <c r="AC168" s="1"/>
  <c r="AN21"/>
  <c r="AC21" s="1"/>
  <c r="AN268"/>
  <c r="AC268" s="1"/>
  <c r="AN244"/>
  <c r="AC244" s="1"/>
  <c r="AN260"/>
  <c r="AC260" s="1"/>
  <c r="AN259"/>
  <c r="AC259" s="1"/>
  <c r="AN181"/>
  <c r="AC181" s="1"/>
  <c r="AN163"/>
  <c r="AC163" s="1"/>
  <c r="AN213"/>
  <c r="AC213" s="1"/>
  <c r="AN241"/>
  <c r="AC241" s="1"/>
  <c r="AN236"/>
  <c r="AC236" s="1"/>
  <c r="AN235"/>
  <c r="AC235" s="1"/>
  <c r="AN234"/>
  <c r="AC234" s="1"/>
  <c r="AN32"/>
  <c r="AC32" s="1"/>
  <c r="AN34"/>
  <c r="AC34" s="1"/>
  <c r="AN33"/>
  <c r="AC33" s="1"/>
  <c r="AN27"/>
  <c r="AC27" s="1"/>
  <c r="AN26"/>
  <c r="AC26" s="1"/>
  <c r="AN165"/>
  <c r="AC165" s="1"/>
  <c r="AN164"/>
  <c r="AC164" s="1"/>
  <c r="AN110"/>
  <c r="AC110" s="1"/>
  <c r="AN178"/>
  <c r="AC178" s="1"/>
  <c r="AN179"/>
  <c r="AC179" s="1"/>
  <c r="AN188"/>
  <c r="AC188" s="1"/>
  <c r="AJ188" s="1"/>
  <c r="AK188" s="1"/>
  <c r="AN189"/>
  <c r="AC189" s="1"/>
  <c r="AN115"/>
  <c r="AN167"/>
  <c r="AC167" s="1"/>
  <c r="AL167" s="1"/>
  <c r="AM167" s="1"/>
  <c r="AN72"/>
  <c r="AN84"/>
  <c r="AN83"/>
  <c r="AN60"/>
  <c r="AN257"/>
  <c r="AN256"/>
  <c r="AN228"/>
  <c r="AC228" s="1"/>
  <c r="AN226"/>
  <c r="AC226" s="1"/>
  <c r="AN227"/>
  <c r="AC227" s="1"/>
  <c r="AN224"/>
  <c r="AC224" s="1"/>
  <c r="AD224" s="1"/>
  <c r="AN223"/>
  <c r="AC223" s="1"/>
  <c r="AN131"/>
  <c r="AC131" s="1"/>
  <c r="AD131" s="1"/>
  <c r="AN128"/>
  <c r="AN120"/>
  <c r="AN119"/>
  <c r="AN71"/>
  <c r="AC71" s="1"/>
  <c r="AN70"/>
  <c r="AC70" s="1"/>
  <c r="AN137"/>
  <c r="AN136"/>
  <c r="AN94"/>
  <c r="AN77"/>
  <c r="AN69"/>
  <c r="AN156"/>
  <c r="AN76"/>
  <c r="AC76" s="1"/>
  <c r="AJ76" s="1"/>
  <c r="AK76" s="1"/>
  <c r="AN73"/>
  <c r="AC73" s="1"/>
  <c r="AL73" s="1"/>
  <c r="AM73" s="1"/>
  <c r="AN75"/>
  <c r="AC75" s="1"/>
  <c r="AN74"/>
  <c r="AC74" s="1"/>
  <c r="AN88"/>
  <c r="AN124"/>
  <c r="AC124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43" i="1"/>
  <c r="AC43" s="1"/>
  <c r="AN280"/>
  <c r="AC280" s="1"/>
  <c r="AN281"/>
  <c r="AC281" s="1"/>
  <c r="AN282"/>
  <c r="AC282" s="1"/>
  <c r="AN283"/>
  <c r="AC283" s="1"/>
  <c r="AN210"/>
  <c r="AC210" s="1"/>
  <c r="AN214"/>
  <c r="AC214" s="1"/>
  <c r="AN215"/>
  <c r="AC215" s="1"/>
  <c r="AN216"/>
  <c r="AC216" s="1"/>
  <c r="AN218"/>
  <c r="AC218" s="1"/>
  <c r="AN219"/>
  <c r="AC219" s="1"/>
  <c r="AN220"/>
  <c r="AC220" s="1"/>
  <c r="AN221"/>
  <c r="AC221" s="1"/>
  <c r="AN222"/>
  <c r="AC222" s="1"/>
  <c r="AN229"/>
  <c r="AC229" s="1"/>
  <c r="AN230"/>
  <c r="AC230" s="1"/>
  <c r="AN231"/>
  <c r="AC231" s="1"/>
  <c r="AN237"/>
  <c r="AC237" s="1"/>
  <c r="AN238"/>
  <c r="AC238" s="1"/>
  <c r="AN239"/>
  <c r="AC239" s="1"/>
  <c r="AN240"/>
  <c r="AC240" s="1"/>
  <c r="AN242"/>
  <c r="AC242" s="1"/>
  <c r="AN243"/>
  <c r="AC243" s="1"/>
  <c r="AN248"/>
  <c r="AC248" s="1"/>
  <c r="AN251"/>
  <c r="AC251" s="1"/>
  <c r="AN253"/>
  <c r="AC253" s="1"/>
  <c r="AN254"/>
  <c r="AC254" s="1"/>
  <c r="AN255"/>
  <c r="AC255" s="1"/>
  <c r="AN258"/>
  <c r="AC258" s="1"/>
  <c r="AN261"/>
  <c r="AC261" s="1"/>
  <c r="AN265"/>
  <c r="AC265" s="1"/>
  <c r="AN267"/>
  <c r="AC267" s="1"/>
  <c r="AN269"/>
  <c r="AC269" s="1"/>
  <c r="AN270"/>
  <c r="AC270" s="1"/>
  <c r="AN271"/>
  <c r="AC271" s="1"/>
  <c r="AN272"/>
  <c r="AC272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100"/>
  <c r="AC100" s="1"/>
  <c r="AN39"/>
  <c r="AC39" s="1"/>
  <c r="AN40"/>
  <c r="AC40" s="1"/>
  <c r="AN201"/>
  <c r="AC201" s="1"/>
  <c r="AN90"/>
  <c r="AC90" s="1"/>
  <c r="AN91"/>
  <c r="AC91" s="1"/>
  <c r="AN44"/>
  <c r="AC44" s="1"/>
  <c r="AN45"/>
  <c r="AC45" s="1"/>
  <c r="AN46"/>
  <c r="AC46" s="1"/>
  <c r="AN185"/>
  <c r="AC185" s="1"/>
  <c r="AN48"/>
  <c r="AC48" s="1"/>
  <c r="AN49"/>
  <c r="AC49" s="1"/>
  <c r="AN289"/>
  <c r="AC289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4"/>
  <c r="AC64" s="1"/>
  <c r="AN65"/>
  <c r="AC65" s="1"/>
  <c r="AN66"/>
  <c r="AC66" s="1"/>
  <c r="AN67"/>
  <c r="AC67" s="1"/>
  <c r="AN68"/>
  <c r="AC68" s="1"/>
  <c r="AN78"/>
  <c r="AC78" s="1"/>
  <c r="AN79"/>
  <c r="AC79" s="1"/>
  <c r="AN80"/>
  <c r="AC80" s="1"/>
  <c r="AN89"/>
  <c r="AC89" s="1"/>
  <c r="AN82"/>
  <c r="AC82" s="1"/>
  <c r="AN85"/>
  <c r="AC85" s="1"/>
  <c r="AN86"/>
  <c r="AC86" s="1"/>
  <c r="AN87"/>
  <c r="AC87" s="1"/>
  <c r="AN288"/>
  <c r="AC288" s="1"/>
  <c r="AN273"/>
  <c r="AC273" s="1"/>
  <c r="AN174"/>
  <c r="AC174" s="1"/>
  <c r="AN92"/>
  <c r="AC92" s="1"/>
  <c r="AN93"/>
  <c r="AC93" s="1"/>
  <c r="AN95"/>
  <c r="AC95" s="1"/>
  <c r="AN96"/>
  <c r="AC96" s="1"/>
  <c r="AN81"/>
  <c r="AC81" s="1"/>
  <c r="AN98"/>
  <c r="AC98" s="1"/>
  <c r="AN99"/>
  <c r="AC99" s="1"/>
  <c r="AN97"/>
  <c r="AC97" s="1"/>
  <c r="AN101"/>
  <c r="AC101" s="1"/>
  <c r="AN102"/>
  <c r="AC102" s="1"/>
  <c r="AN103"/>
  <c r="AC103" s="1"/>
  <c r="AN104"/>
  <c r="AC104" s="1"/>
  <c r="AN106"/>
  <c r="AC106" s="1"/>
  <c r="AN107"/>
  <c r="AC107" s="1"/>
  <c r="AN108"/>
  <c r="AC108" s="1"/>
  <c r="AN109"/>
  <c r="AC109" s="1"/>
  <c r="AN111"/>
  <c r="AC111" s="1"/>
  <c r="AN112"/>
  <c r="AC112" s="1"/>
  <c r="AN116"/>
  <c r="AC116" s="1"/>
  <c r="AN117"/>
  <c r="AC117" s="1"/>
  <c r="AN118"/>
  <c r="AC118" s="1"/>
  <c r="AN121"/>
  <c r="AC121" s="1"/>
  <c r="AN122"/>
  <c r="AC122" s="1"/>
  <c r="AN123"/>
  <c r="AC123" s="1"/>
  <c r="AN125"/>
  <c r="AC125" s="1"/>
  <c r="AN126"/>
  <c r="AC126" s="1"/>
  <c r="AN127"/>
  <c r="AC127" s="1"/>
  <c r="AN129"/>
  <c r="AC129" s="1"/>
  <c r="AN130"/>
  <c r="AC130" s="1"/>
  <c r="AN132"/>
  <c r="AC132" s="1"/>
  <c r="AN133"/>
  <c r="AC133" s="1"/>
  <c r="AN134"/>
  <c r="AC134" s="1"/>
  <c r="AN135"/>
  <c r="AC135" s="1"/>
  <c r="AN138"/>
  <c r="AC138" s="1"/>
  <c r="AN139"/>
  <c r="AC139" s="1"/>
  <c r="AN141"/>
  <c r="AC141" s="1"/>
  <c r="AN144"/>
  <c r="AC144" s="1"/>
  <c r="AN145"/>
  <c r="AC145" s="1"/>
  <c r="AN148"/>
  <c r="AC148" s="1"/>
  <c r="AN149"/>
  <c r="AC149" s="1"/>
  <c r="AN150"/>
  <c r="AC150" s="1"/>
  <c r="AN151"/>
  <c r="AC151" s="1"/>
  <c r="AN158"/>
  <c r="AC158" s="1"/>
  <c r="AN159"/>
  <c r="AC159" s="1"/>
  <c r="AN162"/>
  <c r="AC162" s="1"/>
  <c r="AN166"/>
  <c r="AC166" s="1"/>
  <c r="AN169"/>
  <c r="AC169" s="1"/>
  <c r="AN170"/>
  <c r="AC170" s="1"/>
  <c r="AN171"/>
  <c r="AC171" s="1"/>
  <c r="AN172"/>
  <c r="AC172" s="1"/>
  <c r="AN173"/>
  <c r="AC173" s="1"/>
  <c r="AN175"/>
  <c r="AC175" s="1"/>
  <c r="AN176"/>
  <c r="AC176" s="1"/>
  <c r="AN177"/>
  <c r="AC177" s="1"/>
  <c r="AN180"/>
  <c r="AC180" s="1"/>
  <c r="AN182"/>
  <c r="AC182" s="1"/>
  <c r="AN183"/>
  <c r="AC183" s="1"/>
  <c r="AN184"/>
  <c r="AC184" s="1"/>
  <c r="AN275"/>
  <c r="AC275" s="1"/>
  <c r="AN191"/>
  <c r="AC191" s="1"/>
  <c r="AN197"/>
  <c r="AC197" s="1"/>
  <c r="AN200"/>
  <c r="AC200" s="1"/>
  <c r="AN274"/>
  <c r="AC274" s="1"/>
  <c r="AN203"/>
  <c r="AC203" s="1"/>
  <c r="AN204"/>
  <c r="AC204" s="1"/>
  <c r="AN207"/>
  <c r="AC207" s="1"/>
  <c r="AN208"/>
  <c r="AC208" s="1"/>
  <c r="AN209"/>
  <c r="AN50"/>
  <c r="AN47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L297" i="1" l="1"/>
  <c r="AM297" s="1"/>
  <c r="AD297"/>
  <c r="AE297"/>
  <c r="AJ297"/>
  <c r="AK297" s="1"/>
  <c r="AL295"/>
  <c r="AM295" s="1"/>
  <c r="AD295"/>
  <c r="AE295"/>
  <c r="AJ295"/>
  <c r="AK295" s="1"/>
  <c r="AL296"/>
  <c r="AM296" s="1"/>
  <c r="AD296"/>
  <c r="AE296"/>
  <c r="AJ296"/>
  <c r="AK296" s="1"/>
  <c r="AL293"/>
  <c r="AM293" s="1"/>
  <c r="AD293"/>
  <c r="AJ293"/>
  <c r="AK293" s="1"/>
  <c r="AL299"/>
  <c r="AM299" s="1"/>
  <c r="AD299"/>
  <c r="AE299"/>
  <c r="AJ299"/>
  <c r="AK299" s="1"/>
  <c r="AL300"/>
  <c r="AM300" s="1"/>
  <c r="AD300"/>
  <c r="AJ300"/>
  <c r="AK300" s="1"/>
  <c r="AL294"/>
  <c r="AM294" s="1"/>
  <c r="AD294"/>
  <c r="AE294"/>
  <c r="AJ294"/>
  <c r="AK294" s="1"/>
  <c r="AL196"/>
  <c r="AM196" s="1"/>
  <c r="AD196"/>
  <c r="AE196"/>
  <c r="AJ196"/>
  <c r="AK196" s="1"/>
  <c r="AL298"/>
  <c r="AM298" s="1"/>
  <c r="AD298"/>
  <c r="AE298"/>
  <c r="AJ298"/>
  <c r="AK298" s="1"/>
  <c r="AD292"/>
  <c r="AL292"/>
  <c r="AM292" s="1"/>
  <c r="AJ292"/>
  <c r="AK292" s="1"/>
  <c r="AD291"/>
  <c r="AL291"/>
  <c r="AM291" s="1"/>
  <c r="AJ291"/>
  <c r="AK291" s="1"/>
  <c r="AL290"/>
  <c r="AM290" s="1"/>
  <c r="AD290"/>
  <c r="AJ290"/>
  <c r="AK290" s="1"/>
  <c r="AL188"/>
  <c r="AM188" s="1"/>
  <c r="AJ131"/>
  <c r="AK131" s="1"/>
  <c r="AL131"/>
  <c r="AM131" s="1"/>
  <c r="AL224"/>
  <c r="AM224" s="1"/>
  <c r="AJ224"/>
  <c r="AK224" s="1"/>
  <c r="AJ73"/>
  <c r="AK73" s="1"/>
  <c r="AL76"/>
  <c r="AM76" s="1"/>
  <c r="AD73"/>
  <c r="AD188"/>
  <c r="AD167"/>
  <c r="AD76"/>
  <c r="AJ167"/>
  <c r="AK167" s="1"/>
  <c r="AL205"/>
  <c r="AM205" s="1"/>
  <c r="AD205"/>
  <c r="AE205"/>
  <c r="AJ205"/>
  <c r="AK205" s="1"/>
  <c r="AL206"/>
  <c r="AM206" s="1"/>
  <c r="AD206"/>
  <c r="AE206"/>
  <c r="AJ206"/>
  <c r="AK206" s="1"/>
  <c r="AL249"/>
  <c r="AM249" s="1"/>
  <c r="AD249"/>
  <c r="AE249"/>
  <c r="AJ249"/>
  <c r="AK249" s="1"/>
  <c r="AL250"/>
  <c r="AM250" s="1"/>
  <c r="AD250"/>
  <c r="AE250"/>
  <c r="AJ250"/>
  <c r="AK250" s="1"/>
  <c r="AL284"/>
  <c r="AM284" s="1"/>
  <c r="AD284"/>
  <c r="AJ284"/>
  <c r="AK284" s="1"/>
  <c r="AL285"/>
  <c r="AM285" s="1"/>
  <c r="AD285"/>
  <c r="AJ285"/>
  <c r="AK285" s="1"/>
  <c r="AL160"/>
  <c r="AM160" s="1"/>
  <c r="AD160"/>
  <c r="AE160"/>
  <c r="AJ160"/>
  <c r="AK160" s="1"/>
  <c r="AL161"/>
  <c r="AM161" s="1"/>
  <c r="AD161"/>
  <c r="AE161"/>
  <c r="AJ161"/>
  <c r="AK161" s="1"/>
  <c r="AD286"/>
  <c r="AL286"/>
  <c r="AM286" s="1"/>
  <c r="AJ286"/>
  <c r="AK286" s="1"/>
  <c r="AD287"/>
  <c r="AL287"/>
  <c r="AM287" s="1"/>
  <c r="AJ287"/>
  <c r="AK287" s="1"/>
  <c r="AE42"/>
  <c r="AD42"/>
  <c r="AL42"/>
  <c r="AM42" s="1"/>
  <c r="AJ42"/>
  <c r="AK42" s="1"/>
  <c r="AE41"/>
  <c r="AD41"/>
  <c r="AL41"/>
  <c r="AM41" s="1"/>
  <c r="AJ41"/>
  <c r="AK41" s="1"/>
  <c r="AL157"/>
  <c r="AM157" s="1"/>
  <c r="AD157"/>
  <c r="AJ157"/>
  <c r="AK157" s="1"/>
  <c r="AL225"/>
  <c r="AM225" s="1"/>
  <c r="AD225"/>
  <c r="AJ225"/>
  <c r="AK225" s="1"/>
  <c r="AJ146"/>
  <c r="AK146" s="1"/>
  <c r="AL146"/>
  <c r="AM146" s="1"/>
  <c r="AD146"/>
  <c r="AL198"/>
  <c r="AM198" s="1"/>
  <c r="AD198"/>
  <c r="AJ198"/>
  <c r="AK198" s="1"/>
  <c r="AL63"/>
  <c r="AM63" s="1"/>
  <c r="AD63"/>
  <c r="AJ63"/>
  <c r="AK63" s="1"/>
  <c r="AL279"/>
  <c r="AM279" s="1"/>
  <c r="AD279"/>
  <c r="AE279"/>
  <c r="AJ279"/>
  <c r="AK279" s="1"/>
  <c r="AL190"/>
  <c r="AM190" s="1"/>
  <c r="AD190"/>
  <c r="AJ190"/>
  <c r="AK190" s="1"/>
  <c r="AL245"/>
  <c r="AM245" s="1"/>
  <c r="AD245"/>
  <c r="AJ245"/>
  <c r="AK245" s="1"/>
  <c r="AL246"/>
  <c r="AM246" s="1"/>
  <c r="AD246"/>
  <c r="AJ246"/>
  <c r="AK246" s="1"/>
  <c r="AL247"/>
  <c r="AM247" s="1"/>
  <c r="AD247"/>
  <c r="AJ247"/>
  <c r="AK247" s="1"/>
  <c r="AL192"/>
  <c r="AM192" s="1"/>
  <c r="AD192"/>
  <c r="AJ192"/>
  <c r="AK192" s="1"/>
  <c r="AL193"/>
  <c r="AM193" s="1"/>
  <c r="AD193"/>
  <c r="AJ193"/>
  <c r="AK193" s="1"/>
  <c r="AL147"/>
  <c r="AM147" s="1"/>
  <c r="AD147"/>
  <c r="AJ147"/>
  <c r="AK147" s="1"/>
  <c r="AL38"/>
  <c r="AM38" s="1"/>
  <c r="AD38"/>
  <c r="AJ38"/>
  <c r="AK38" s="1"/>
  <c r="AL252"/>
  <c r="AM252" s="1"/>
  <c r="AD252"/>
  <c r="AJ252"/>
  <c r="AK252" s="1"/>
  <c r="AL140"/>
  <c r="AM140" s="1"/>
  <c r="AD140"/>
  <c r="AE140"/>
  <c r="AJ140"/>
  <c r="AK140" s="1"/>
  <c r="AL217"/>
  <c r="AM217" s="1"/>
  <c r="AD217"/>
  <c r="AE217"/>
  <c r="AJ217"/>
  <c r="AK217" s="1"/>
  <c r="AL194"/>
  <c r="AM194" s="1"/>
  <c r="AD194"/>
  <c r="AJ194"/>
  <c r="AK194" s="1"/>
  <c r="AL195"/>
  <c r="AM195" s="1"/>
  <c r="AD195"/>
  <c r="AJ195"/>
  <c r="AK195" s="1"/>
  <c r="AL110"/>
  <c r="AM110" s="1"/>
  <c r="AD110"/>
  <c r="AE110"/>
  <c r="AJ110"/>
  <c r="AK110" s="1"/>
  <c r="AL164"/>
  <c r="AM164" s="1"/>
  <c r="AD164"/>
  <c r="AJ164"/>
  <c r="AK164" s="1"/>
  <c r="AL165"/>
  <c r="AM165" s="1"/>
  <c r="AD165"/>
  <c r="AJ165"/>
  <c r="AK165" s="1"/>
  <c r="AL26"/>
  <c r="AM26" s="1"/>
  <c r="AD26"/>
  <c r="AJ26"/>
  <c r="AK26" s="1"/>
  <c r="AL27"/>
  <c r="AM27" s="1"/>
  <c r="AD27"/>
  <c r="AJ27"/>
  <c r="AK27" s="1"/>
  <c r="AJ33"/>
  <c r="AK33" s="1"/>
  <c r="AL33"/>
  <c r="AM33" s="1"/>
  <c r="AD33"/>
  <c r="AJ34"/>
  <c r="AK34" s="1"/>
  <c r="AL34"/>
  <c r="AM34" s="1"/>
  <c r="AD34"/>
  <c r="AL32"/>
  <c r="AM32" s="1"/>
  <c r="AD32"/>
  <c r="AE32"/>
  <c r="AJ32"/>
  <c r="AK32" s="1"/>
  <c r="AL234"/>
  <c r="AM234" s="1"/>
  <c r="AD234"/>
  <c r="AJ234"/>
  <c r="AK234" s="1"/>
  <c r="AL235"/>
  <c r="AM235" s="1"/>
  <c r="AD235"/>
  <c r="AE235"/>
  <c r="AJ235"/>
  <c r="AK235" s="1"/>
  <c r="AL236"/>
  <c r="AM236" s="1"/>
  <c r="AD236"/>
  <c r="AE236"/>
  <c r="AJ236"/>
  <c r="AK236" s="1"/>
  <c r="AL241"/>
  <c r="AM241" s="1"/>
  <c r="AD241"/>
  <c r="AE241"/>
  <c r="AJ241"/>
  <c r="AK241" s="1"/>
  <c r="AL213"/>
  <c r="AM213" s="1"/>
  <c r="AD213"/>
  <c r="AE213"/>
  <c r="AJ213"/>
  <c r="AK213" s="1"/>
  <c r="AL163"/>
  <c r="AM163" s="1"/>
  <c r="AD163"/>
  <c r="AE163"/>
  <c r="AJ163"/>
  <c r="AK163" s="1"/>
  <c r="AL181"/>
  <c r="AM181" s="1"/>
  <c r="AD181"/>
  <c r="AE181"/>
  <c r="AJ181"/>
  <c r="AK181" s="1"/>
  <c r="AL259"/>
  <c r="AM259" s="1"/>
  <c r="AD259"/>
  <c r="AJ259"/>
  <c r="AK259" s="1"/>
  <c r="AL260"/>
  <c r="AM260" s="1"/>
  <c r="AD260"/>
  <c r="AJ260"/>
  <c r="AK260" s="1"/>
  <c r="AL244"/>
  <c r="AM244" s="1"/>
  <c r="AD244"/>
  <c r="AE244"/>
  <c r="AJ244"/>
  <c r="AK244" s="1"/>
  <c r="AL268"/>
  <c r="AM268" s="1"/>
  <c r="AD268"/>
  <c r="AE268"/>
  <c r="AJ268"/>
  <c r="AK268" s="1"/>
  <c r="AL21"/>
  <c r="AM21" s="1"/>
  <c r="AD21"/>
  <c r="AE21"/>
  <c r="AJ21"/>
  <c r="AK21" s="1"/>
  <c r="AL168"/>
  <c r="AM168" s="1"/>
  <c r="AD168"/>
  <c r="AJ168"/>
  <c r="AK168" s="1"/>
  <c r="AL212"/>
  <c r="AM212" s="1"/>
  <c r="AD212"/>
  <c r="AJ212"/>
  <c r="AK212" s="1"/>
  <c r="AJ199"/>
  <c r="AK199" s="1"/>
  <c r="AL199"/>
  <c r="AM199" s="1"/>
  <c r="AD199"/>
  <c r="AL232"/>
  <c r="AM232" s="1"/>
  <c r="AD232"/>
  <c r="AJ232"/>
  <c r="AK232" s="1"/>
  <c r="AL233"/>
  <c r="AM233" s="1"/>
  <c r="AD233"/>
  <c r="AJ233"/>
  <c r="AK233" s="1"/>
  <c r="AJ202"/>
  <c r="AK202" s="1"/>
  <c r="AL202"/>
  <c r="AM202" s="1"/>
  <c r="AD202"/>
  <c r="AL105"/>
  <c r="AM105" s="1"/>
  <c r="AD105"/>
  <c r="AE105"/>
  <c r="AJ105"/>
  <c r="AK105" s="1"/>
  <c r="AL276"/>
  <c r="AM276" s="1"/>
  <c r="AD276"/>
  <c r="AJ276"/>
  <c r="AK276" s="1"/>
  <c r="AL277"/>
  <c r="AM277" s="1"/>
  <c r="AD277"/>
  <c r="AJ277"/>
  <c r="AK277" s="1"/>
  <c r="AL278"/>
  <c r="AM278" s="1"/>
  <c r="AD278"/>
  <c r="AJ278"/>
  <c r="AK278" s="1"/>
  <c r="AL152"/>
  <c r="AM152" s="1"/>
  <c r="AD152"/>
  <c r="AE152"/>
  <c r="AJ152"/>
  <c r="AK152" s="1"/>
  <c r="AL153"/>
  <c r="AM153" s="1"/>
  <c r="AD153"/>
  <c r="AE153"/>
  <c r="AJ153"/>
  <c r="AK153" s="1"/>
  <c r="AL154"/>
  <c r="AM154" s="1"/>
  <c r="AD154"/>
  <c r="AE154"/>
  <c r="AJ154"/>
  <c r="AK154" s="1"/>
  <c r="AL155"/>
  <c r="AM155" s="1"/>
  <c r="AD155"/>
  <c r="AE155"/>
  <c r="AJ155"/>
  <c r="AK155" s="1"/>
  <c r="AL143"/>
  <c r="AM143" s="1"/>
  <c r="AD143"/>
  <c r="AJ143"/>
  <c r="AK143" s="1"/>
  <c r="AL142"/>
  <c r="AM142" s="1"/>
  <c r="AD142"/>
  <c r="AJ142"/>
  <c r="AK142" s="1"/>
  <c r="AL186"/>
  <c r="AM186" s="1"/>
  <c r="AD186"/>
  <c r="AJ186"/>
  <c r="AK186" s="1"/>
  <c r="AL187"/>
  <c r="AM187" s="1"/>
  <c r="AD187"/>
  <c r="AJ187"/>
  <c r="AK187" s="1"/>
  <c r="AL113"/>
  <c r="AM113" s="1"/>
  <c r="AD113"/>
  <c r="AE113"/>
  <c r="AJ113"/>
  <c r="AK113" s="1"/>
  <c r="AL114"/>
  <c r="AM114" s="1"/>
  <c r="AD114"/>
  <c r="AE114"/>
  <c r="AJ114"/>
  <c r="AK114" s="1"/>
  <c r="AL266"/>
  <c r="AM266" s="1"/>
  <c r="AD266"/>
  <c r="AE266"/>
  <c r="AJ266"/>
  <c r="AK266" s="1"/>
  <c r="AL211"/>
  <c r="AM211" s="1"/>
  <c r="AD211"/>
  <c r="AE211"/>
  <c r="AJ211"/>
  <c r="AK211" s="1"/>
  <c r="AL262"/>
  <c r="AM262" s="1"/>
  <c r="AD262"/>
  <c r="AJ262"/>
  <c r="AK262" s="1"/>
  <c r="AL263"/>
  <c r="AM263" s="1"/>
  <c r="AD263"/>
  <c r="AJ263"/>
  <c r="AK263" s="1"/>
  <c r="AL264"/>
  <c r="AM264" s="1"/>
  <c r="AD264"/>
  <c r="AJ264"/>
  <c r="AK264" s="1"/>
  <c r="AC47"/>
  <c r="AL47" s="1"/>
  <c r="AC50"/>
  <c r="AL50" s="1"/>
  <c r="AC209"/>
  <c r="AL209" s="1"/>
  <c r="AC2"/>
  <c r="AE2" s="1"/>
  <c r="AC5"/>
  <c r="AE10"/>
  <c r="AC10"/>
  <c r="AD10" s="1"/>
  <c r="AC11"/>
  <c r="AE11" s="1"/>
  <c r="AC12"/>
  <c r="AE12" s="1"/>
  <c r="AC61"/>
  <c r="AE61" s="1"/>
  <c r="AC88"/>
  <c r="AE88" s="1"/>
  <c r="AC156"/>
  <c r="AE156" s="1"/>
  <c r="AC69"/>
  <c r="AE69" s="1"/>
  <c r="AC77"/>
  <c r="AE77" s="1"/>
  <c r="AC94"/>
  <c r="AE94" s="1"/>
  <c r="AC136"/>
  <c r="AE136" s="1"/>
  <c r="AC137"/>
  <c r="AE137" s="1"/>
  <c r="AC119"/>
  <c r="AE119" s="1"/>
  <c r="AC120"/>
  <c r="AE120" s="1"/>
  <c r="AC128"/>
  <c r="AE128" s="1"/>
  <c r="AC256"/>
  <c r="AE256" s="1"/>
  <c r="AC257"/>
  <c r="AC60"/>
  <c r="AE60" s="1"/>
  <c r="AC83"/>
  <c r="AE83" s="1"/>
  <c r="AC84"/>
  <c r="AC72"/>
  <c r="AC115"/>
  <c r="AE115" s="1"/>
  <c r="AD179"/>
  <c r="AJ179"/>
  <c r="AK179" s="1"/>
  <c r="AL179"/>
  <c r="AM179" s="1"/>
  <c r="AD178"/>
  <c r="AJ178"/>
  <c r="AK178" s="1"/>
  <c r="AL178"/>
  <c r="AM178" s="1"/>
  <c r="AD189"/>
  <c r="AJ189"/>
  <c r="AK189" s="1"/>
  <c r="AL189"/>
  <c r="AM189" s="1"/>
  <c r="AD256"/>
  <c r="AD228"/>
  <c r="AJ228"/>
  <c r="AK228" s="1"/>
  <c r="AL228"/>
  <c r="AM228" s="1"/>
  <c r="AD227"/>
  <c r="AJ227"/>
  <c r="AK227" s="1"/>
  <c r="AL227"/>
  <c r="AM227" s="1"/>
  <c r="AD226"/>
  <c r="AJ226"/>
  <c r="AK226" s="1"/>
  <c r="AL226"/>
  <c r="AM226" s="1"/>
  <c r="AD223"/>
  <c r="AJ223"/>
  <c r="AK223" s="1"/>
  <c r="AL223"/>
  <c r="AM223" s="1"/>
  <c r="AD71"/>
  <c r="AJ71"/>
  <c r="AK71" s="1"/>
  <c r="AL71"/>
  <c r="AM71" s="1"/>
  <c r="AD70"/>
  <c r="AJ70"/>
  <c r="AK70" s="1"/>
  <c r="AL70"/>
  <c r="AM70" s="1"/>
  <c r="AL77"/>
  <c r="AM77" s="1"/>
  <c r="AD74"/>
  <c r="AJ74"/>
  <c r="AK74" s="1"/>
  <c r="AL74"/>
  <c r="AM74" s="1"/>
  <c r="AD75"/>
  <c r="AJ75"/>
  <c r="AK75" s="1"/>
  <c r="AL75"/>
  <c r="AM75" s="1"/>
  <c r="AD124"/>
  <c r="AJ124"/>
  <c r="AK124" s="1"/>
  <c r="AL124"/>
  <c r="AM124" s="1"/>
  <c r="AE6"/>
  <c r="AD6"/>
  <c r="AJ6"/>
  <c r="AK6" s="1"/>
  <c r="AL6"/>
  <c r="AM6" s="1"/>
  <c r="AE7"/>
  <c r="AD7"/>
  <c r="AJ7"/>
  <c r="AK7" s="1"/>
  <c r="AL7"/>
  <c r="AM7" s="1"/>
  <c r="AE8"/>
  <c r="AD8"/>
  <c r="AJ8"/>
  <c r="AK8" s="1"/>
  <c r="AL8"/>
  <c r="AM8" s="1"/>
  <c r="AL208"/>
  <c r="AM208" s="1"/>
  <c r="AD208"/>
  <c r="AE208"/>
  <c r="AJ208"/>
  <c r="AK208" s="1"/>
  <c r="AL207"/>
  <c r="AM207" s="1"/>
  <c r="AD207"/>
  <c r="AE207"/>
  <c r="AJ207"/>
  <c r="AK207" s="1"/>
  <c r="AL204"/>
  <c r="AM204" s="1"/>
  <c r="AD204"/>
  <c r="AE204"/>
  <c r="AJ204"/>
  <c r="AK204" s="1"/>
  <c r="AL203"/>
  <c r="AD203"/>
  <c r="AE203"/>
  <c r="AL274"/>
  <c r="AM274" s="1"/>
  <c r="AD274"/>
  <c r="AE274"/>
  <c r="AJ274"/>
  <c r="AK274" s="1"/>
  <c r="AL200"/>
  <c r="AM200" s="1"/>
  <c r="AD200"/>
  <c r="AE200"/>
  <c r="AJ200"/>
  <c r="AK200" s="1"/>
  <c r="AL197"/>
  <c r="AM197" s="1"/>
  <c r="AD197"/>
  <c r="AE197"/>
  <c r="AJ197"/>
  <c r="AK197" s="1"/>
  <c r="AL191"/>
  <c r="AM191" s="1"/>
  <c r="AD191"/>
  <c r="AE191"/>
  <c r="AJ191"/>
  <c r="AK191" s="1"/>
  <c r="AL275"/>
  <c r="AM275" s="1"/>
  <c r="AD275"/>
  <c r="AE275"/>
  <c r="AJ275"/>
  <c r="AK275" s="1"/>
  <c r="AL184"/>
  <c r="AD184"/>
  <c r="AE184"/>
  <c r="AL183"/>
  <c r="AD183"/>
  <c r="AE183"/>
  <c r="AL182"/>
  <c r="AM182" s="1"/>
  <c r="AD182"/>
  <c r="AE182"/>
  <c r="AJ182"/>
  <c r="AK182" s="1"/>
  <c r="AL180"/>
  <c r="AD180"/>
  <c r="AE180"/>
  <c r="AL177"/>
  <c r="AM177" s="1"/>
  <c r="AD177"/>
  <c r="AE177"/>
  <c r="AJ177"/>
  <c r="AK177" s="1"/>
  <c r="AL176"/>
  <c r="AM176" s="1"/>
  <c r="AD176"/>
  <c r="AE176"/>
  <c r="AJ176"/>
  <c r="AK176" s="1"/>
  <c r="AL175"/>
  <c r="AM175" s="1"/>
  <c r="AD175"/>
  <c r="AE175"/>
  <c r="AJ175"/>
  <c r="AK175" s="1"/>
  <c r="AL173"/>
  <c r="AM173" s="1"/>
  <c r="AD173"/>
  <c r="AE173"/>
  <c r="AJ173"/>
  <c r="AK173" s="1"/>
  <c r="AL172"/>
  <c r="AM172" s="1"/>
  <c r="AD172"/>
  <c r="AE172"/>
  <c r="AJ172"/>
  <c r="AK172" s="1"/>
  <c r="AL171"/>
  <c r="AM171" s="1"/>
  <c r="AD171"/>
  <c r="AE171"/>
  <c r="AJ171"/>
  <c r="AK171" s="1"/>
  <c r="AL170"/>
  <c r="AM170" s="1"/>
  <c r="AD170"/>
  <c r="AE170"/>
  <c r="AJ170"/>
  <c r="AK170" s="1"/>
  <c r="AL169"/>
  <c r="AM169" s="1"/>
  <c r="AD169"/>
  <c r="AE169"/>
  <c r="AJ169"/>
  <c r="AK169" s="1"/>
  <c r="AL166"/>
  <c r="AM166" s="1"/>
  <c r="AD166"/>
  <c r="AE166"/>
  <c r="AJ166"/>
  <c r="AK166" s="1"/>
  <c r="AL162"/>
  <c r="AM162" s="1"/>
  <c r="AD162"/>
  <c r="AE162"/>
  <c r="AJ162"/>
  <c r="AK162" s="1"/>
  <c r="AL159"/>
  <c r="AD159"/>
  <c r="AE159"/>
  <c r="AL158"/>
  <c r="AD158"/>
  <c r="AE158"/>
  <c r="AL151"/>
  <c r="AM151" s="1"/>
  <c r="AD151"/>
  <c r="AE151"/>
  <c r="AJ151"/>
  <c r="AK151" s="1"/>
  <c r="AL150"/>
  <c r="AM150" s="1"/>
  <c r="AD150"/>
  <c r="AE150"/>
  <c r="AJ150"/>
  <c r="AK150" s="1"/>
  <c r="AL149"/>
  <c r="AM149" s="1"/>
  <c r="AD149"/>
  <c r="AE149"/>
  <c r="AJ149"/>
  <c r="AK149" s="1"/>
  <c r="AL148"/>
  <c r="AM148" s="1"/>
  <c r="AD148"/>
  <c r="AE148"/>
  <c r="AJ148"/>
  <c r="AK148" s="1"/>
  <c r="AL145"/>
  <c r="AM145" s="1"/>
  <c r="AD145"/>
  <c r="AE145"/>
  <c r="AJ145"/>
  <c r="AK145" s="1"/>
  <c r="AL144"/>
  <c r="AM144" s="1"/>
  <c r="AD144"/>
  <c r="AE144"/>
  <c r="AJ144"/>
  <c r="AK144" s="1"/>
  <c r="AL141"/>
  <c r="AM141" s="1"/>
  <c r="AD141"/>
  <c r="AE141"/>
  <c r="AJ141"/>
  <c r="AK141" s="1"/>
  <c r="AL139"/>
  <c r="AD139"/>
  <c r="AE139"/>
  <c r="AL138"/>
  <c r="AM138" s="1"/>
  <c r="AD138"/>
  <c r="AE138"/>
  <c r="AJ138"/>
  <c r="AK138" s="1"/>
  <c r="AL135"/>
  <c r="AM135" s="1"/>
  <c r="AD135"/>
  <c r="AE135"/>
  <c r="AJ135"/>
  <c r="AK135" s="1"/>
  <c r="AL134"/>
  <c r="AM134" s="1"/>
  <c r="AD134"/>
  <c r="AE134"/>
  <c r="AJ134"/>
  <c r="AK134" s="1"/>
  <c r="AL133"/>
  <c r="AM133" s="1"/>
  <c r="AD133"/>
  <c r="AE133"/>
  <c r="AJ133"/>
  <c r="AK133" s="1"/>
  <c r="AL132"/>
  <c r="AM132" s="1"/>
  <c r="AD132"/>
  <c r="AE132"/>
  <c r="AJ132"/>
  <c r="AK132" s="1"/>
  <c r="AL130"/>
  <c r="AD130"/>
  <c r="AE130"/>
  <c r="AL129"/>
  <c r="AM129" s="1"/>
  <c r="AD129"/>
  <c r="AE129"/>
  <c r="AJ129"/>
  <c r="AK129" s="1"/>
  <c r="AL127"/>
  <c r="AD127"/>
  <c r="AE127"/>
  <c r="AL126"/>
  <c r="AD126"/>
  <c r="AE126"/>
  <c r="AL125"/>
  <c r="AM125" s="1"/>
  <c r="AD125"/>
  <c r="AJ125"/>
  <c r="AK125" s="1"/>
  <c r="AL123"/>
  <c r="AM123" s="1"/>
  <c r="AD123"/>
  <c r="AJ123"/>
  <c r="AK123" s="1"/>
  <c r="AL122"/>
  <c r="AM122" s="1"/>
  <c r="AD122"/>
  <c r="AE122"/>
  <c r="AJ122"/>
  <c r="AK122" s="1"/>
  <c r="AL121"/>
  <c r="AM121" s="1"/>
  <c r="AD121"/>
  <c r="AE121"/>
  <c r="AJ121"/>
  <c r="AK121" s="1"/>
  <c r="AL118"/>
  <c r="AM118" s="1"/>
  <c r="AD118"/>
  <c r="AJ118"/>
  <c r="AK118" s="1"/>
  <c r="AL117"/>
  <c r="AM117" s="1"/>
  <c r="AD117"/>
  <c r="AJ117"/>
  <c r="AK117" s="1"/>
  <c r="AL116"/>
  <c r="AM116" s="1"/>
  <c r="AD116"/>
  <c r="AE116"/>
  <c r="AJ116"/>
  <c r="AK116" s="1"/>
  <c r="AL112"/>
  <c r="AM112" s="1"/>
  <c r="AD112"/>
  <c r="AE112"/>
  <c r="AJ112"/>
  <c r="AK112" s="1"/>
  <c r="AL111"/>
  <c r="AM111" s="1"/>
  <c r="AD111"/>
  <c r="AE111"/>
  <c r="AJ111"/>
  <c r="AK111" s="1"/>
  <c r="AL109"/>
  <c r="AM109" s="1"/>
  <c r="AD109"/>
  <c r="AE109"/>
  <c r="AJ109"/>
  <c r="AK109" s="1"/>
  <c r="AL108"/>
  <c r="AM108" s="1"/>
  <c r="AD108"/>
  <c r="AE108"/>
  <c r="AJ108"/>
  <c r="AK108" s="1"/>
  <c r="AL107"/>
  <c r="AM107" s="1"/>
  <c r="AD107"/>
  <c r="AE107"/>
  <c r="AJ107"/>
  <c r="AK107" s="1"/>
  <c r="AL106"/>
  <c r="AM106" s="1"/>
  <c r="AD106"/>
  <c r="AE106"/>
  <c r="AJ106"/>
  <c r="AK106" s="1"/>
  <c r="AL104"/>
  <c r="AM104" s="1"/>
  <c r="AD104"/>
  <c r="AE104"/>
  <c r="AJ104"/>
  <c r="AK104" s="1"/>
  <c r="AL103"/>
  <c r="AM103" s="1"/>
  <c r="AD103"/>
  <c r="AE103"/>
  <c r="AJ103"/>
  <c r="AK103" s="1"/>
  <c r="AL102"/>
  <c r="AM102" s="1"/>
  <c r="AD102"/>
  <c r="AE102"/>
  <c r="AJ102"/>
  <c r="AK102" s="1"/>
  <c r="AL101"/>
  <c r="AM101" s="1"/>
  <c r="AD101"/>
  <c r="AE101"/>
  <c r="AJ101"/>
  <c r="AK101" s="1"/>
  <c r="AL97"/>
  <c r="AM97" s="1"/>
  <c r="AD97"/>
  <c r="AE97"/>
  <c r="AJ97"/>
  <c r="AK97" s="1"/>
  <c r="AL99"/>
  <c r="AM99" s="1"/>
  <c r="AD99"/>
  <c r="AE99"/>
  <c r="AJ99"/>
  <c r="AK99" s="1"/>
  <c r="AL98"/>
  <c r="AD98"/>
  <c r="AE98"/>
  <c r="AL81"/>
  <c r="AM81" s="1"/>
  <c r="AD81"/>
  <c r="AE81"/>
  <c r="AJ81"/>
  <c r="AK81" s="1"/>
  <c r="AL96"/>
  <c r="AD96"/>
  <c r="AE96"/>
  <c r="AL95"/>
  <c r="AM95" s="1"/>
  <c r="AD95"/>
  <c r="AE95"/>
  <c r="AJ95"/>
  <c r="AK95" s="1"/>
  <c r="AL93"/>
  <c r="AM93" s="1"/>
  <c r="AD93"/>
  <c r="AE93"/>
  <c r="AJ93"/>
  <c r="AK93" s="1"/>
  <c r="AL92"/>
  <c r="AM92" s="1"/>
  <c r="AD92"/>
  <c r="AE92"/>
  <c r="AJ92"/>
  <c r="AK92" s="1"/>
  <c r="AL174"/>
  <c r="AD174"/>
  <c r="AE174"/>
  <c r="AL273"/>
  <c r="AD273"/>
  <c r="AE273"/>
  <c r="AL288"/>
  <c r="AM288" s="1"/>
  <c r="AD288"/>
  <c r="AE288"/>
  <c r="AJ288"/>
  <c r="AK288" s="1"/>
  <c r="AL87"/>
  <c r="AM87" s="1"/>
  <c r="AD87"/>
  <c r="AE87"/>
  <c r="AJ87"/>
  <c r="AK87" s="1"/>
  <c r="AL86"/>
  <c r="AM86" s="1"/>
  <c r="AD86"/>
  <c r="AE86"/>
  <c r="AJ86"/>
  <c r="AK86" s="1"/>
  <c r="AL85"/>
  <c r="AM85" s="1"/>
  <c r="AD85"/>
  <c r="AE85"/>
  <c r="AJ85"/>
  <c r="AK85" s="1"/>
  <c r="AL82"/>
  <c r="AD82"/>
  <c r="AE82"/>
  <c r="AL89"/>
  <c r="AM89" s="1"/>
  <c r="AD89"/>
  <c r="AE89"/>
  <c r="AJ89"/>
  <c r="AK89" s="1"/>
  <c r="AL80"/>
  <c r="AD80"/>
  <c r="AE80"/>
  <c r="AL79"/>
  <c r="AM79" s="1"/>
  <c r="AD79"/>
  <c r="AE79"/>
  <c r="AJ79"/>
  <c r="AK79" s="1"/>
  <c r="AL78"/>
  <c r="AM78" s="1"/>
  <c r="AD78"/>
  <c r="AE78"/>
  <c r="AJ78"/>
  <c r="AK78" s="1"/>
  <c r="AL68"/>
  <c r="AM68" s="1"/>
  <c r="AD68"/>
  <c r="AE68"/>
  <c r="AJ68"/>
  <c r="AK68" s="1"/>
  <c r="AL67"/>
  <c r="AM67" s="1"/>
  <c r="AD67"/>
  <c r="AE67"/>
  <c r="AJ67"/>
  <c r="AK67" s="1"/>
  <c r="AL66"/>
  <c r="AD66"/>
  <c r="AE66"/>
  <c r="AL65"/>
  <c r="AM65" s="1"/>
  <c r="AD65"/>
  <c r="AE65"/>
  <c r="AJ65"/>
  <c r="AK65" s="1"/>
  <c r="AL64"/>
  <c r="AD64"/>
  <c r="AE64"/>
  <c r="AL62"/>
  <c r="AM62" s="1"/>
  <c r="AD62"/>
  <c r="AE62"/>
  <c r="AJ62"/>
  <c r="AK62" s="1"/>
  <c r="AL59"/>
  <c r="AM59" s="1"/>
  <c r="AD59"/>
  <c r="AE59"/>
  <c r="AJ59"/>
  <c r="AK59" s="1"/>
  <c r="AL58"/>
  <c r="AM58" s="1"/>
  <c r="AD58"/>
  <c r="AE58"/>
  <c r="AJ58"/>
  <c r="AK58" s="1"/>
  <c r="AL57"/>
  <c r="AD57"/>
  <c r="AE57"/>
  <c r="AL56"/>
  <c r="AD56"/>
  <c r="AE56"/>
  <c r="AL55"/>
  <c r="AD55"/>
  <c r="AE55"/>
  <c r="AL54"/>
  <c r="AM54" s="1"/>
  <c r="AD54"/>
  <c r="AE54"/>
  <c r="AJ54"/>
  <c r="AK54" s="1"/>
  <c r="AL53"/>
  <c r="AD53"/>
  <c r="AE53"/>
  <c r="AL52"/>
  <c r="AD52"/>
  <c r="AE52"/>
  <c r="AL51"/>
  <c r="AD51"/>
  <c r="AE51"/>
  <c r="AL289"/>
  <c r="AM289" s="1"/>
  <c r="AD289"/>
  <c r="AE289"/>
  <c r="AJ289"/>
  <c r="AK289" s="1"/>
  <c r="AL49"/>
  <c r="AD49"/>
  <c r="AE49"/>
  <c r="AL48"/>
  <c r="AD48"/>
  <c r="AE48"/>
  <c r="AL185"/>
  <c r="AM185" s="1"/>
  <c r="AD185"/>
  <c r="AE185"/>
  <c r="AJ185"/>
  <c r="AK185" s="1"/>
  <c r="AL46"/>
  <c r="AD46"/>
  <c r="AE46"/>
  <c r="AL45"/>
  <c r="AM45" s="1"/>
  <c r="AD45"/>
  <c r="AE45"/>
  <c r="AJ45"/>
  <c r="AK45" s="1"/>
  <c r="AL44"/>
  <c r="AM44" s="1"/>
  <c r="AD44"/>
  <c r="AE44"/>
  <c r="AJ44"/>
  <c r="AK44" s="1"/>
  <c r="AL91"/>
  <c r="AM91" s="1"/>
  <c r="AD91"/>
  <c r="AE91"/>
  <c r="AJ91"/>
  <c r="AK91" s="1"/>
  <c r="AL90"/>
  <c r="AM90" s="1"/>
  <c r="AD90"/>
  <c r="AE90"/>
  <c r="AJ90"/>
  <c r="AK90" s="1"/>
  <c r="AL201"/>
  <c r="AM201" s="1"/>
  <c r="AD201"/>
  <c r="AE201"/>
  <c r="AJ201"/>
  <c r="AK201" s="1"/>
  <c r="AL40"/>
  <c r="AD40"/>
  <c r="AE40"/>
  <c r="AL39"/>
  <c r="AD39"/>
  <c r="AE39"/>
  <c r="AL100"/>
  <c r="AM100" s="1"/>
  <c r="AD100"/>
  <c r="AE100"/>
  <c r="AJ100"/>
  <c r="AK100" s="1"/>
  <c r="AL37"/>
  <c r="AM37" s="1"/>
  <c r="AD37"/>
  <c r="AE37"/>
  <c r="AJ37"/>
  <c r="AK37" s="1"/>
  <c r="AL36"/>
  <c r="AM36" s="1"/>
  <c r="AD36"/>
  <c r="AE36"/>
  <c r="AJ36"/>
  <c r="AK36" s="1"/>
  <c r="AL35"/>
  <c r="AM35" s="1"/>
  <c r="AD35"/>
  <c r="AE35"/>
  <c r="AJ35"/>
  <c r="AK35" s="1"/>
  <c r="AL31"/>
  <c r="AD31"/>
  <c r="AE31"/>
  <c r="AL30"/>
  <c r="AD30"/>
  <c r="AE30"/>
  <c r="AL29"/>
  <c r="AM29" s="1"/>
  <c r="AD29"/>
  <c r="AE29"/>
  <c r="AJ29"/>
  <c r="AK29" s="1"/>
  <c r="AL28"/>
  <c r="AD28"/>
  <c r="AE28"/>
  <c r="AL25"/>
  <c r="AM25" s="1"/>
  <c r="AD25"/>
  <c r="AE25"/>
  <c r="AJ25"/>
  <c r="AK25" s="1"/>
  <c r="AL24"/>
  <c r="AM24" s="1"/>
  <c r="AD24"/>
  <c r="AE24"/>
  <c r="AJ24"/>
  <c r="AK24" s="1"/>
  <c r="AL23"/>
  <c r="AM23" s="1"/>
  <c r="AD23"/>
  <c r="AE23"/>
  <c r="AJ23"/>
  <c r="AK23" s="1"/>
  <c r="AL22"/>
  <c r="AM22" s="1"/>
  <c r="AD22"/>
  <c r="AE22"/>
  <c r="AJ22"/>
  <c r="AK22" s="1"/>
  <c r="AL20"/>
  <c r="AM20" s="1"/>
  <c r="AD20"/>
  <c r="AE20"/>
  <c r="AJ20"/>
  <c r="AK20" s="1"/>
  <c r="AL19"/>
  <c r="AM19" s="1"/>
  <c r="AD19"/>
  <c r="AE19"/>
  <c r="AJ19"/>
  <c r="AK19" s="1"/>
  <c r="AL18"/>
  <c r="AM18" s="1"/>
  <c r="AD18"/>
  <c r="AE18"/>
  <c r="AJ18"/>
  <c r="AK18" s="1"/>
  <c r="AL17"/>
  <c r="AM17" s="1"/>
  <c r="AD17"/>
  <c r="AE17"/>
  <c r="AJ17"/>
  <c r="AK17" s="1"/>
  <c r="AL16"/>
  <c r="AM16" s="1"/>
  <c r="AD16"/>
  <c r="AE16"/>
  <c r="AJ16"/>
  <c r="AK16" s="1"/>
  <c r="AL15"/>
  <c r="AD15"/>
  <c r="AE15"/>
  <c r="AL14"/>
  <c r="AM14" s="1"/>
  <c r="AD14"/>
  <c r="AE14"/>
  <c r="AJ14"/>
  <c r="AK14" s="1"/>
  <c r="AL13"/>
  <c r="AD13"/>
  <c r="AE13"/>
  <c r="AL9"/>
  <c r="AM9" s="1"/>
  <c r="AD9"/>
  <c r="AE9"/>
  <c r="AJ9"/>
  <c r="AK9" s="1"/>
  <c r="AL4"/>
  <c r="AD4"/>
  <c r="AE4"/>
  <c r="AL3"/>
  <c r="AM3" s="1"/>
  <c r="AD3"/>
  <c r="AE3"/>
  <c r="AJ3"/>
  <c r="AK3" s="1"/>
  <c r="AL272"/>
  <c r="AM272" s="1"/>
  <c r="AD272"/>
  <c r="AE272"/>
  <c r="AJ272"/>
  <c r="AK272" s="1"/>
  <c r="AL271"/>
  <c r="AM271" s="1"/>
  <c r="AD271"/>
  <c r="AE271"/>
  <c r="AJ271"/>
  <c r="AK271" s="1"/>
  <c r="AL270"/>
  <c r="AM270" s="1"/>
  <c r="AD270"/>
  <c r="AJ270"/>
  <c r="AK270" s="1"/>
  <c r="AL269"/>
  <c r="AM269" s="1"/>
  <c r="AD269"/>
  <c r="AJ269"/>
  <c r="AK269" s="1"/>
  <c r="AL267"/>
  <c r="AM267" s="1"/>
  <c r="AD267"/>
  <c r="AE267"/>
  <c r="AJ267"/>
  <c r="AK267" s="1"/>
  <c r="AL265"/>
  <c r="AM265" s="1"/>
  <c r="AD265"/>
  <c r="AE265"/>
  <c r="AJ265"/>
  <c r="AK265" s="1"/>
  <c r="AL261"/>
  <c r="AM261" s="1"/>
  <c r="AD261"/>
  <c r="AE261"/>
  <c r="AJ261"/>
  <c r="AK261" s="1"/>
  <c r="AL258"/>
  <c r="AM258" s="1"/>
  <c r="AD258"/>
  <c r="AE258"/>
  <c r="AJ258"/>
  <c r="AK258" s="1"/>
  <c r="AL255"/>
  <c r="AM255" s="1"/>
  <c r="AD255"/>
  <c r="AE255"/>
  <c r="AJ255"/>
  <c r="AK255" s="1"/>
  <c r="AL254"/>
  <c r="AM254" s="1"/>
  <c r="AD254"/>
  <c r="AJ254"/>
  <c r="AK254" s="1"/>
  <c r="AL253"/>
  <c r="AM253" s="1"/>
  <c r="AD253"/>
  <c r="AJ253"/>
  <c r="AK253" s="1"/>
  <c r="AL251"/>
  <c r="AM251" s="1"/>
  <c r="AD251"/>
  <c r="AE251"/>
  <c r="AJ251"/>
  <c r="AK251" s="1"/>
  <c r="AL248"/>
  <c r="AD248"/>
  <c r="AE248"/>
  <c r="AL243"/>
  <c r="AM243" s="1"/>
  <c r="AD243"/>
  <c r="AE243"/>
  <c r="AJ243"/>
  <c r="AK243" s="1"/>
  <c r="AL242"/>
  <c r="AM242" s="1"/>
  <c r="AD242"/>
  <c r="AE242"/>
  <c r="AJ242"/>
  <c r="AK242" s="1"/>
  <c r="AL240"/>
  <c r="AM240" s="1"/>
  <c r="AD240"/>
  <c r="AE240"/>
  <c r="AJ240"/>
  <c r="AK240" s="1"/>
  <c r="AL239"/>
  <c r="AD239"/>
  <c r="AE239"/>
  <c r="AL238"/>
  <c r="AM238" s="1"/>
  <c r="AD238"/>
  <c r="AE238"/>
  <c r="AJ238"/>
  <c r="AK238" s="1"/>
  <c r="AL237"/>
  <c r="AM237" s="1"/>
  <c r="AD237"/>
  <c r="AE237"/>
  <c r="AJ237"/>
  <c r="AK237" s="1"/>
  <c r="AL231"/>
  <c r="AD231"/>
  <c r="AE231"/>
  <c r="AL230"/>
  <c r="AM230" s="1"/>
  <c r="AD230"/>
  <c r="AE230"/>
  <c r="AJ230"/>
  <c r="AK230" s="1"/>
  <c r="AL229"/>
  <c r="AD229"/>
  <c r="AE229"/>
  <c r="AL222"/>
  <c r="AM222" s="1"/>
  <c r="AD222"/>
  <c r="AE222"/>
  <c r="AJ222"/>
  <c r="AK222" s="1"/>
  <c r="AL221"/>
  <c r="AM221" s="1"/>
  <c r="AD221"/>
  <c r="AE221"/>
  <c r="AJ221"/>
  <c r="AK221" s="1"/>
  <c r="AL220"/>
  <c r="AM220" s="1"/>
  <c r="AD220"/>
  <c r="AE220"/>
  <c r="AJ220"/>
  <c r="AK220" s="1"/>
  <c r="AL219"/>
  <c r="AM219" s="1"/>
  <c r="AD219"/>
  <c r="AE219"/>
  <c r="AJ219"/>
  <c r="AK219" s="1"/>
  <c r="AL218"/>
  <c r="AM218" s="1"/>
  <c r="AD218"/>
  <c r="AE218"/>
  <c r="AJ218"/>
  <c r="AK218" s="1"/>
  <c r="AL216"/>
  <c r="AM216" s="1"/>
  <c r="AD216"/>
  <c r="AE216"/>
  <c r="AJ216"/>
  <c r="AK216" s="1"/>
  <c r="AL215"/>
  <c r="AM215" s="1"/>
  <c r="AD215"/>
  <c r="AE215"/>
  <c r="AJ215"/>
  <c r="AK215" s="1"/>
  <c r="AL214"/>
  <c r="AM214" s="1"/>
  <c r="AD214"/>
  <c r="AE214"/>
  <c r="AJ214"/>
  <c r="AK214" s="1"/>
  <c r="AL210"/>
  <c r="AD210"/>
  <c r="AE210"/>
  <c r="AL283"/>
  <c r="AM283" s="1"/>
  <c r="AD283"/>
  <c r="AE283"/>
  <c r="AJ283"/>
  <c r="AK283" s="1"/>
  <c r="AL282"/>
  <c r="AM282" s="1"/>
  <c r="AD282"/>
  <c r="AE282"/>
  <c r="AJ282"/>
  <c r="AK282" s="1"/>
  <c r="AL281"/>
  <c r="AM281" s="1"/>
  <c r="AD281"/>
  <c r="AE281"/>
  <c r="AJ281"/>
  <c r="AK281" s="1"/>
  <c r="AL280"/>
  <c r="AM280" s="1"/>
  <c r="AD280"/>
  <c r="AE280"/>
  <c r="AJ280"/>
  <c r="AK280" s="1"/>
  <c r="AL43"/>
  <c r="AD43"/>
  <c r="AE43"/>
  <c r="AD137" l="1"/>
  <c r="AD119"/>
  <c r="AD47"/>
  <c r="AJ12"/>
  <c r="AK12" s="1"/>
  <c r="AD69"/>
  <c r="AD2"/>
  <c r="AL69"/>
  <c r="AM69" s="1"/>
  <c r="AL156"/>
  <c r="AM156" s="1"/>
  <c r="AL61"/>
  <c r="AM61" s="1"/>
  <c r="AD61"/>
  <c r="AD88"/>
  <c r="AD77"/>
  <c r="AL119"/>
  <c r="AM119" s="1"/>
  <c r="AJ119"/>
  <c r="AK119" s="1"/>
  <c r="AE50"/>
  <c r="AD50"/>
  <c r="AJ61"/>
  <c r="AK61" s="1"/>
  <c r="AJ77"/>
  <c r="AK77" s="1"/>
  <c r="AD128"/>
  <c r="AD11"/>
  <c r="AJ156"/>
  <c r="AK156" s="1"/>
  <c r="AD136"/>
  <c r="AL137"/>
  <c r="AM137" s="1"/>
  <c r="AL256"/>
  <c r="AM256" s="1"/>
  <c r="AJ10"/>
  <c r="AK10" s="1"/>
  <c r="AD120"/>
  <c r="AL2"/>
  <c r="AM2" s="1"/>
  <c r="AD94"/>
  <c r="AD209"/>
  <c r="AL88"/>
  <c r="AM88" s="1"/>
  <c r="AL94"/>
  <c r="AM94" s="1"/>
  <c r="AJ11"/>
  <c r="AK11" s="1"/>
  <c r="AJ136"/>
  <c r="AK136" s="1"/>
  <c r="AJ128"/>
  <c r="AK128" s="1"/>
  <c r="AD60"/>
  <c r="AL120"/>
  <c r="AM120" s="1"/>
  <c r="AJ2"/>
  <c r="AK2" s="1"/>
  <c r="AJ209"/>
  <c r="AL11"/>
  <c r="AM11" s="1"/>
  <c r="AD156"/>
  <c r="AL136"/>
  <c r="AM136" s="1"/>
  <c r="AL128"/>
  <c r="AM128" s="1"/>
  <c r="AE209"/>
  <c r="AL10"/>
  <c r="AM10" s="1"/>
  <c r="AD12"/>
  <c r="AJ88"/>
  <c r="AK88" s="1"/>
  <c r="AJ69"/>
  <c r="AK69" s="1"/>
  <c r="AJ137"/>
  <c r="AK137" s="1"/>
  <c r="AJ120"/>
  <c r="AK120" s="1"/>
  <c r="AJ60"/>
  <c r="AK60" s="1"/>
  <c r="AL115"/>
  <c r="AM115" s="1"/>
  <c r="AE47"/>
  <c r="AL12"/>
  <c r="AM12" s="1"/>
  <c r="AJ94"/>
  <c r="AK94" s="1"/>
  <c r="AJ256"/>
  <c r="AK256" s="1"/>
  <c r="AD83"/>
  <c r="AL60"/>
  <c r="AM60" s="1"/>
  <c r="AJ83"/>
  <c r="AK83" s="1"/>
  <c r="AD115"/>
  <c r="AL83"/>
  <c r="AM83" s="1"/>
  <c r="AJ115"/>
  <c r="AK115" s="1"/>
  <c r="AD72"/>
  <c r="AJ72"/>
  <c r="AK72" s="1"/>
  <c r="AL72"/>
  <c r="AM72" s="1"/>
  <c r="AD84"/>
  <c r="AJ84"/>
  <c r="AK84" s="1"/>
  <c r="AL84"/>
  <c r="AM84" s="1"/>
  <c r="AD257"/>
  <c r="AJ257"/>
  <c r="AK257" s="1"/>
  <c r="AL257"/>
  <c r="AM257" s="1"/>
  <c r="AD5"/>
  <c r="AJ5"/>
  <c r="AK5" s="1"/>
  <c r="AL5"/>
  <c r="AM5" s="1"/>
  <c r="AE72"/>
  <c r="AE84"/>
  <c r="AE257"/>
  <c r="AE5"/>
  <c r="Z209"/>
  <c r="Z47"/>
  <c r="Z50"/>
  <c r="AI300" l="1"/>
  <c r="AI299"/>
  <c r="AI298"/>
  <c r="AI297"/>
  <c r="AI295"/>
  <c r="AI296"/>
  <c r="AI294"/>
  <c r="AI196"/>
  <c r="AI293"/>
  <c r="AI292"/>
  <c r="AI291"/>
  <c r="AI290"/>
  <c r="AI146"/>
  <c r="AI42"/>
  <c r="AI41"/>
  <c r="AI286"/>
  <c r="AI287"/>
  <c r="AI161"/>
  <c r="AI160"/>
  <c r="AI284"/>
  <c r="AI285"/>
  <c r="AI250"/>
  <c r="AI249"/>
  <c r="AI205"/>
  <c r="AI206"/>
  <c r="AI195"/>
  <c r="AI194"/>
  <c r="AI217"/>
  <c r="AI140"/>
  <c r="AI5"/>
  <c r="AI257"/>
  <c r="AI84"/>
  <c r="AI72"/>
  <c r="AI73"/>
  <c r="AI76"/>
  <c r="AI131"/>
  <c r="AI224"/>
  <c r="AI167"/>
  <c r="AI188"/>
  <c r="AI110"/>
  <c r="AI164"/>
  <c r="AI165"/>
  <c r="AI26"/>
  <c r="AI27"/>
  <c r="AI33"/>
  <c r="AI34"/>
  <c r="AI32"/>
  <c r="AI234"/>
  <c r="AI235"/>
  <c r="AI236"/>
  <c r="AI241"/>
  <c r="AI213"/>
  <c r="AI163"/>
  <c r="AI181"/>
  <c r="AI259"/>
  <c r="AI260"/>
  <c r="AI244"/>
  <c r="AI268"/>
  <c r="AI21"/>
  <c r="AI168"/>
  <c r="AI212"/>
  <c r="AI199"/>
  <c r="AI232"/>
  <c r="AI233"/>
  <c r="AI202"/>
  <c r="AI105"/>
  <c r="AI276"/>
  <c r="AI277"/>
  <c r="AI278"/>
  <c r="AI152"/>
  <c r="AI153"/>
  <c r="AI154"/>
  <c r="AI155"/>
  <c r="AI143"/>
  <c r="AI142"/>
  <c r="AI186"/>
  <c r="AI187"/>
  <c r="AI113"/>
  <c r="AI114"/>
  <c r="AI266"/>
  <c r="AI211"/>
  <c r="AI262"/>
  <c r="AI263"/>
  <c r="AI264"/>
  <c r="AI179"/>
  <c r="AI178"/>
  <c r="AI189"/>
  <c r="AI115"/>
  <c r="AI83"/>
  <c r="AI60"/>
  <c r="AI256"/>
  <c r="AI228"/>
  <c r="AI227"/>
  <c r="AI226"/>
  <c r="AI223"/>
  <c r="AI128"/>
  <c r="AI120"/>
  <c r="AI119"/>
  <c r="AI71"/>
  <c r="AI70"/>
  <c r="AI137"/>
  <c r="AI136"/>
  <c r="AI94"/>
  <c r="AI77"/>
  <c r="AI69"/>
  <c r="AI156"/>
  <c r="AI74"/>
  <c r="AI75"/>
  <c r="AI88"/>
  <c r="AI124"/>
  <c r="AI61"/>
  <c r="AI12"/>
  <c r="AI11"/>
  <c r="AI10"/>
  <c r="AI6"/>
  <c r="AI7"/>
  <c r="AI8"/>
  <c r="AI208"/>
  <c r="AI207"/>
  <c r="AI204"/>
  <c r="AI274"/>
  <c r="AI200"/>
  <c r="AI197"/>
  <c r="AI191"/>
  <c r="AI275"/>
  <c r="AI182"/>
  <c r="AI177"/>
  <c r="AI176"/>
  <c r="AI175"/>
  <c r="AI173"/>
  <c r="AI172"/>
  <c r="AI171"/>
  <c r="AI170"/>
  <c r="AI169"/>
  <c r="AI166"/>
  <c r="AI162"/>
  <c r="AI151"/>
  <c r="AI150"/>
  <c r="AI149"/>
  <c r="AI148"/>
  <c r="AI145"/>
  <c r="AI144"/>
  <c r="AI141"/>
  <c r="AI138"/>
  <c r="AI135"/>
  <c r="AI134"/>
  <c r="AI133"/>
  <c r="AI132"/>
  <c r="AI129"/>
  <c r="AI125"/>
  <c r="AI123"/>
  <c r="AI122"/>
  <c r="AI121"/>
  <c r="AI118"/>
  <c r="AI117"/>
  <c r="AI116"/>
  <c r="AI112"/>
  <c r="AI111"/>
  <c r="AI109"/>
  <c r="AI108"/>
  <c r="AI107"/>
  <c r="AI106"/>
  <c r="AI104"/>
  <c r="AI103"/>
  <c r="AI102"/>
  <c r="AI101"/>
  <c r="AI97"/>
  <c r="AI99"/>
  <c r="AI81"/>
  <c r="AI95"/>
  <c r="AI93"/>
  <c r="AI92"/>
  <c r="AI288"/>
  <c r="AI87"/>
  <c r="AI86"/>
  <c r="AI85"/>
  <c r="AI89"/>
  <c r="AI79"/>
  <c r="AI78"/>
  <c r="AI68"/>
  <c r="AI67"/>
  <c r="AI65"/>
  <c r="AI62"/>
  <c r="AI59"/>
  <c r="AI58"/>
  <c r="AI54"/>
  <c r="AI289"/>
  <c r="AI185"/>
  <c r="AI45"/>
  <c r="AI44"/>
  <c r="AI91"/>
  <c r="AI90"/>
  <c r="AI201"/>
  <c r="AI100"/>
  <c r="AI37"/>
  <c r="AI36"/>
  <c r="AI35"/>
  <c r="AI29"/>
  <c r="AI25"/>
  <c r="AI24"/>
  <c r="AI23"/>
  <c r="AI22"/>
  <c r="AI20"/>
  <c r="AI19"/>
  <c r="AI18"/>
  <c r="AI17"/>
  <c r="AI16"/>
  <c r="AI14"/>
  <c r="AI9"/>
  <c r="AI3"/>
  <c r="AI272"/>
  <c r="AI271"/>
  <c r="AI270"/>
  <c r="AI269"/>
  <c r="AI267"/>
  <c r="AI265"/>
  <c r="AI261"/>
  <c r="AI258"/>
  <c r="AI255"/>
  <c r="AI254"/>
  <c r="AI253"/>
  <c r="AI251"/>
  <c r="AI243"/>
  <c r="AI242"/>
  <c r="AI240"/>
  <c r="AI238"/>
  <c r="AI237"/>
  <c r="AI230"/>
  <c r="AI222"/>
  <c r="AI221"/>
  <c r="AI220"/>
  <c r="AI219"/>
  <c r="AI218"/>
  <c r="AI216"/>
  <c r="AI215"/>
  <c r="AI214"/>
  <c r="AI283"/>
  <c r="AI282"/>
  <c r="AI281"/>
  <c r="AI280"/>
  <c r="AI2"/>
  <c r="AI38"/>
  <c r="AI193"/>
  <c r="AI246"/>
  <c r="AI198"/>
  <c r="AI252"/>
  <c r="AI147"/>
  <c r="AI192"/>
  <c r="AI245"/>
  <c r="AI247"/>
  <c r="AI190"/>
  <c r="AI279"/>
  <c r="AI63"/>
  <c r="AI225"/>
  <c r="AI157"/>
  <c r="AF203"/>
  <c r="AF209"/>
  <c r="AM203" l="1"/>
  <c r="AJ203"/>
  <c r="AK203" s="1"/>
  <c r="AI203" s="1"/>
  <c r="AF28"/>
  <c r="AF184"/>
  <c r="AF183"/>
  <c r="AF180"/>
  <c r="AF159"/>
  <c r="AF158"/>
  <c r="AF139"/>
  <c r="AF130"/>
  <c r="AF127"/>
  <c r="AF126"/>
  <c r="AF98"/>
  <c r="AF96"/>
  <c r="AF174"/>
  <c r="AF273"/>
  <c r="AF82"/>
  <c r="AF80"/>
  <c r="AF66"/>
  <c r="AF64"/>
  <c r="AF57"/>
  <c r="AF56"/>
  <c r="AF55"/>
  <c r="AF53"/>
  <c r="AF52"/>
  <c r="AF51"/>
  <c r="AF49"/>
  <c r="AF48"/>
  <c r="AF46"/>
  <c r="AF40"/>
  <c r="AF39"/>
  <c r="AF31"/>
  <c r="AF30"/>
  <c r="AF15"/>
  <c r="AF13"/>
  <c r="AF4"/>
  <c r="AF248"/>
  <c r="AF239"/>
  <c r="AF231"/>
  <c r="AF229"/>
  <c r="AF210"/>
  <c r="AF43"/>
  <c r="AF50"/>
  <c r="AF47"/>
  <c r="AM47" l="1"/>
  <c r="AJ47"/>
  <c r="AM50"/>
  <c r="AJ50"/>
  <c r="AK50" s="1"/>
  <c r="AI50" s="1"/>
  <c r="AM43"/>
  <c r="AJ43"/>
  <c r="AK43" s="1"/>
  <c r="AI43" s="1"/>
  <c r="AM210"/>
  <c r="AJ210"/>
  <c r="AK210" s="1"/>
  <c r="AI210" s="1"/>
  <c r="AM229"/>
  <c r="AJ229"/>
  <c r="AK229" s="1"/>
  <c r="AI229" s="1"/>
  <c r="AM231"/>
  <c r="AJ231"/>
  <c r="AK231" s="1"/>
  <c r="AI231" s="1"/>
  <c r="AM239"/>
  <c r="AJ239"/>
  <c r="AK239" s="1"/>
  <c r="AI239" s="1"/>
  <c r="AM248"/>
  <c r="AJ248"/>
  <c r="AK248" s="1"/>
  <c r="AI248" s="1"/>
  <c r="AM4"/>
  <c r="AJ4"/>
  <c r="AK4" s="1"/>
  <c r="AI4" s="1"/>
  <c r="AM13"/>
  <c r="AJ13"/>
  <c r="AK13" s="1"/>
  <c r="AI13" s="1"/>
  <c r="AM15"/>
  <c r="AJ15"/>
  <c r="AK15" s="1"/>
  <c r="AI15" s="1"/>
  <c r="AM30"/>
  <c r="AJ30"/>
  <c r="AK30" s="1"/>
  <c r="AI30" s="1"/>
  <c r="AM31"/>
  <c r="AJ31"/>
  <c r="AK31" s="1"/>
  <c r="AI31" s="1"/>
  <c r="AM39"/>
  <c r="AJ39"/>
  <c r="AK39" s="1"/>
  <c r="AI39" s="1"/>
  <c r="AM40"/>
  <c r="AJ40"/>
  <c r="AK40" s="1"/>
  <c r="AI40" s="1"/>
  <c r="AM46"/>
  <c r="AJ46"/>
  <c r="AK46" s="1"/>
  <c r="AI46" s="1"/>
  <c r="AM48"/>
  <c r="AJ48"/>
  <c r="AK48" s="1"/>
  <c r="AI48" s="1"/>
  <c r="AM49"/>
  <c r="AJ49"/>
  <c r="AK49" s="1"/>
  <c r="AI49" s="1"/>
  <c r="AM51"/>
  <c r="AJ51"/>
  <c r="AK51" s="1"/>
  <c r="AI51" s="1"/>
  <c r="AM52"/>
  <c r="AJ52"/>
  <c r="AK52" s="1"/>
  <c r="AI52" s="1"/>
  <c r="AM53"/>
  <c r="AJ53"/>
  <c r="AK53" s="1"/>
  <c r="AI53" s="1"/>
  <c r="AM55"/>
  <c r="AJ55"/>
  <c r="AK55" s="1"/>
  <c r="AI55" s="1"/>
  <c r="AM56"/>
  <c r="AJ56"/>
  <c r="AK56" s="1"/>
  <c r="AI56" s="1"/>
  <c r="AM57"/>
  <c r="AJ57"/>
  <c r="AK57" s="1"/>
  <c r="AI57" s="1"/>
  <c r="AM64"/>
  <c r="AJ64"/>
  <c r="AK64" s="1"/>
  <c r="AI64" s="1"/>
  <c r="AM66"/>
  <c r="AJ66"/>
  <c r="AK66" s="1"/>
  <c r="AI66" s="1"/>
  <c r="AM80"/>
  <c r="AJ80"/>
  <c r="AK80" s="1"/>
  <c r="AI80" s="1"/>
  <c r="AM82"/>
  <c r="AJ82"/>
  <c r="AK82" s="1"/>
  <c r="AI82" s="1"/>
  <c r="AM174"/>
  <c r="AJ174"/>
  <c r="AK174" s="1"/>
  <c r="AI174" s="1"/>
  <c r="AM96"/>
  <c r="AJ96"/>
  <c r="AK96" s="1"/>
  <c r="AI96" s="1"/>
  <c r="AM98"/>
  <c r="AJ98"/>
  <c r="AK98" s="1"/>
  <c r="AI98" s="1"/>
  <c r="AM126"/>
  <c r="AJ126"/>
  <c r="AK126" s="1"/>
  <c r="AI126" s="1"/>
  <c r="AM127"/>
  <c r="AJ127"/>
  <c r="AK127" s="1"/>
  <c r="AI127" s="1"/>
  <c r="AM130"/>
  <c r="AJ130"/>
  <c r="AK130" s="1"/>
  <c r="AI130" s="1"/>
  <c r="AM139"/>
  <c r="AJ139"/>
  <c r="AK139" s="1"/>
  <c r="AI139" s="1"/>
  <c r="AM158"/>
  <c r="AJ158"/>
  <c r="AK158" s="1"/>
  <c r="AI158" s="1"/>
  <c r="AM159"/>
  <c r="AJ159"/>
  <c r="AK159" s="1"/>
  <c r="AI159" s="1"/>
  <c r="AM180"/>
  <c r="AJ180"/>
  <c r="AK180" s="1"/>
  <c r="AI180" s="1"/>
  <c r="AM183"/>
  <c r="AJ183"/>
  <c r="AK183" s="1"/>
  <c r="AI183" s="1"/>
  <c r="AM184"/>
  <c r="AJ184"/>
  <c r="AK184" s="1"/>
  <c r="AI184" s="1"/>
  <c r="AM28"/>
  <c r="AJ28"/>
  <c r="AK28" s="1"/>
  <c r="AI28" s="1"/>
  <c r="AK209"/>
  <c r="AI209" s="1"/>
  <c r="AM209"/>
  <c r="AJ273"/>
  <c r="AK47"/>
  <c r="AI47" s="1"/>
  <c r="AK273" l="1"/>
  <c r="AI273" s="1"/>
  <c r="AM273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9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0" name="Conexão1031" type="4" refreshedVersion="3" deleted="1" background="1" saveData="1">
    <webPr xl2000="1" htmlTables="1" htmlFormat="all"/>
  </connection>
  <connection id="11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2" name="Conexão1041" type="4" refreshedVersion="3" deleted="1" background="1" saveData="1">
    <webPr xl2000="1" htmlTables="1" htmlFormat="all"/>
  </connection>
  <connection id="13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14" name="Conexão1051" type="4" refreshedVersion="3" deleted="1" background="1" saveData="1">
    <webPr xl2000="1" htmlTables="1" htmlFormat="all"/>
  </connection>
  <connection id="15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16" name="Conexão1061" type="4" refreshedVersion="3" deleted="1" background="1" saveData="1">
    <webPr xl2000="1" htmlTables="1" htmlFormat="all"/>
  </connection>
  <connection id="17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18" name="Conexão1071" type="4" refreshedVersion="3" deleted="1" background="1" saveData="1">
    <webPr xl2000="1" htmlTables="1" htmlFormat="all"/>
  </connection>
  <connection id="19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20" name="Conexão1081" type="4" refreshedVersion="3" deleted="1" background="1" saveData="1">
    <webPr xl2000="1" htmlTables="1" htmlFormat="all"/>
  </connection>
  <connection id="2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22" name="Conexão1091" type="4" refreshedVersion="3" deleted="1" background="1" saveData="1">
    <webPr xl2000="1" htmlTables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deleted="1" background="1" saveData="1">
    <webPr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deleted="1" background="1" saveData="1">
    <webPr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0" deleted="1" background="1" saveData="1">
    <webPr htmlTables="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Tables="1" htmlFormat="all"/>
  </connection>
  <connection id="46" name="Conexão1201" type="4" refreshedVersion="3" deleted="1" background="1" saveData="1">
    <webPr xl2000="1" htmlTables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Tables="1" htmlFormat="all"/>
  </connection>
  <connection id="52" name="Conexão1231" type="4" refreshedVersion="3" deleted="1" background="1" saveData="1">
    <webPr xl2000="1" htmlTables="1" htmlFormat="all"/>
  </connection>
  <connection id="53" name="Conexão124" type="4" refreshedVersion="3" deleted="1" background="1" saveData="1">
    <webPr xl2000="1" htmlTables="1" htmlFormat="all"/>
  </connection>
  <connection id="54" name="Conexão1241" type="4" refreshedVersion="3" deleted="1" background="1" saveData="1">
    <webPr xl2000="1" htmlTables="1" htmlFormat="all"/>
  </connection>
  <connection id="55" name="Conexão125" type="4" refreshedVersion="3" deleted="1" background="1" saveData="1">
    <webPr xl2000="1" htmlTables="1" htmlFormat="all"/>
  </connection>
  <connection id="56" name="Conexão1251" type="4" refreshedVersion="3" deleted="1" background="1" saveData="1">
    <webPr xl2000="1" htmlTables="1" htmlFormat="all"/>
  </connection>
  <connection id="57" name="Conexão126" type="4" refreshedVersion="3" deleted="1" background="1" saveData="1">
    <webPr xl2000="1" htmlTables="1" htmlFormat="all"/>
  </connection>
  <connection id="58" name="Conexão1261" type="4" refreshedVersion="3" deleted="1" background="1" saveData="1">
    <webPr xl2000="1" htmlTables="1" htmlFormat="all"/>
  </connection>
  <connection id="59" name="Conexão127" type="4" refreshedVersion="3" deleted="1" background="1" saveData="1">
    <webPr xl2000="1" htmlTables="1" htmlFormat="all"/>
  </connection>
  <connection id="60" name="Conexão1271" type="4" refreshedVersion="3" deleted="1" background="1" saveData="1">
    <webPr xl2000="1" htmlTables="1" htmlFormat="all"/>
  </connection>
  <connection id="61" name="Conexão128" type="4" refreshedVersion="3" deleted="1" background="1" saveData="1">
    <webPr xl2000="1" htmlTables="1" htmlFormat="all"/>
  </connection>
  <connection id="62" name="Conexão129" type="4" refreshedVersion="3" deleted="1" background="1" saveData="1">
    <webPr xl2000="1" htmlTables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Tables="1" htmlFormat="all"/>
  </connection>
  <connection id="65" name="Conexão1301" type="4" refreshedVersion="3" deleted="1" background="1" saveData="1">
    <webPr xl2000="1" htmlTables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Tables="1" htmlFormat="all"/>
  </connection>
  <connection id="71" name="Conexão134" type="4" refreshedVersion="3" deleted="1" background="1" saveData="1">
    <webPr xl2000="1" htmlTables="1" htmlFormat="all"/>
  </connection>
  <connection id="72" name="Conexão1341" type="4" refreshedVersion="3" deleted="1" background="1" saveData="1">
    <webPr xl2000="1" htmlTables="1" htmlFormat="all"/>
  </connection>
  <connection id="73" name="Conexão135" type="4" refreshedVersion="3" deleted="1" background="1" saveData="1">
    <webPr xl2000="1" htmlTables="1" htmlFormat="all"/>
  </connection>
  <connection id="74" name="Conexão1351" type="4" refreshedVersion="3" deleted="1" background="1" saveData="1">
    <webPr xl2000="1" htmlTables="1" htmlFormat="all"/>
  </connection>
  <connection id="75" name="Conexão136" type="4" refreshedVersion="3" deleted="1" background="1" saveData="1">
    <webPr xl2000="1" htmlTables="1" htmlFormat="all"/>
  </connection>
  <connection id="76" name="Conexão137" type="4" refreshedVersion="3" deleted="1" background="1" saveData="1">
    <webPr xl2000="1" htmlTables="1" htmlFormat="all"/>
  </connection>
  <connection id="77" name="Conexão138" type="4" refreshedVersion="3" deleted="1" background="1" saveData="1">
    <webPr xl2000="1" htmlTables="1" htmlFormat="all"/>
  </connection>
  <connection id="78" name="Conexão1381" type="4" refreshedVersion="3" deleted="1" background="1" saveData="1">
    <webPr xl2000="1" htmlTables="1" htmlFormat="all"/>
  </connection>
  <connection id="79" name="Conexão139" type="4" refreshedVersion="3" deleted="1" background="1" saveData="1">
    <webPr xl2000="1" htmlTables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Tables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Tables="1" htmlFormat="all"/>
  </connection>
  <connection id="87" name="Conexão1431" type="4" refreshedVersion="3" deleted="1" background="1" saveData="1">
    <webPr xl2000="1" htmlTables="1" htmlFormat="all"/>
  </connection>
  <connection id="88" name="Conexão144" type="4" refreshedVersion="3" deleted="1" background="1" saveData="1">
    <webPr xl2000="1" htmlTables="1" htmlFormat="all"/>
  </connection>
  <connection id="89" name="Conexão145" type="4" refreshedVersion="3" deleted="1" background="1" saveData="1">
    <webPr xl2000="1" htmlTables="1" htmlFormat="all"/>
  </connection>
  <connection id="90" name="Conexão1451" type="4" refreshedVersion="3" deleted="1" background="1" saveData="1">
    <webPr xl2000="1" htmlTables="1" htmlFormat="all"/>
  </connection>
  <connection id="91" name="Conexão146" type="4" refreshedVersion="3" deleted="1" background="1" saveData="1">
    <webPr xl2000="1" htmlTables="1" htmlFormat="all"/>
  </connection>
  <connection id="92" name="Conexão147" type="4" refreshedVersion="3" deleted="1" background="1" saveData="1">
    <webPr xl2000="1" htmlTables="1" htmlFormat="all"/>
  </connection>
  <connection id="93" name="Conexão1471" type="4" refreshedVersion="3" deleted="1" background="1" saveData="1">
    <webPr xl2000="1" htmlTables="1" htmlFormat="all"/>
  </connection>
  <connection id="94" name="Conexão148" type="4" refreshedVersion="3" deleted="1" background="1" saveData="1">
    <webPr xl2000="1" htmlTables="1" htmlFormat="all"/>
  </connection>
  <connection id="95" name="Conexão149" type="4" refreshedVersion="3" deleted="1" background="1" saveData="1">
    <webPr xl2000="1" htmlTables="1" htmlFormat="all"/>
  </connection>
  <connection id="96" name="Conexão1491" type="4" refreshedVersion="3" deleted="1" background="1" saveData="1">
    <webPr xl2000="1" htmlTables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Tables="1" htmlFormat="all"/>
  </connection>
  <connection id="99" name="Conexão1501" type="4" refreshedVersion="3" deleted="1" background="1" saveData="1">
    <webPr xl2000="1" htmlTables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Tables="1" htmlFormat="all"/>
  </connection>
  <connection id="105" name="Conexão1531" type="4" refreshedVersion="3" deleted="1" background="1" saveData="1">
    <webPr xl2000="1" htmlTables="1" htmlFormat="all"/>
  </connection>
  <connection id="106" name="Conexão154" type="4" refreshedVersion="3" deleted="1" background="1" saveData="1">
    <webPr xl2000="1" htmlTables="1" htmlFormat="all"/>
  </connection>
  <connection id="107" name="Conexão1541" type="4" refreshedVersion="3" deleted="1" background="1" saveData="1">
    <webPr xl2000="1" htmlTables="1" htmlFormat="all"/>
  </connection>
  <connection id="108" name="Conexão155" type="4" refreshedVersion="3" deleted="1" background="1" saveData="1">
    <webPr xl2000="1" htmlTables="1" htmlFormat="all"/>
  </connection>
  <connection id="109" name="Conexão1551" type="4" refreshedVersion="3" deleted="1" background="1" saveData="1">
    <webPr xl2000="1" htmlTables="1" htmlFormat="all"/>
  </connection>
  <connection id="110" name="Conexão156" type="4" refreshedVersion="3" deleted="1" background="1" saveData="1">
    <webPr xl2000="1" htmlTables="1" htmlFormat="all"/>
  </connection>
  <connection id="111" name="Conexão1561" type="4" refreshedVersion="3" deleted="1" background="1" saveData="1">
    <webPr xl2000="1" htmlTables="1" htmlFormat="all"/>
  </connection>
  <connection id="112" name="Conexão157" type="4" refreshedVersion="3" deleted="1" background="1" saveData="1">
    <webPr xl2000="1" htmlTables="1" htmlFormat="all"/>
  </connection>
  <connection id="113" name="Conexão1571" type="4" refreshedVersion="3" deleted="1" background="1" saveData="1">
    <webPr xl2000="1" htmlTables="1" htmlFormat="all"/>
  </connection>
  <connection id="114" name="Conexão158" type="4" refreshedVersion="3" deleted="1" background="1" saveData="1">
    <webPr xl2000="1" htmlTables="1" htmlFormat="all"/>
  </connection>
  <connection id="115" name="Conexão1581" type="4" refreshedVersion="3" deleted="1" background="1" saveData="1">
    <webPr xl2000="1" htmlTables="1" htmlFormat="all"/>
  </connection>
  <connection id="116" name="Conexão159" type="4" refreshedVersion="3" deleted="1" background="1" saveData="1">
    <webPr xl2000="1" htmlTables="1" htmlFormat="all"/>
  </connection>
  <connection id="117" name="Conexão1591" type="4" refreshedVersion="3" deleted="1" background="1" saveData="1">
    <webPr xl2000="1" htmlTables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Tables="1" htmlFormat="all"/>
  </connection>
  <connection id="120" name="Conexão1601" type="4" refreshedVersion="3" deleted="1" background="1" saveData="1">
    <webPr xl2000="1" htmlTables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Tables="1" htmlFormat="all"/>
  </connection>
  <connection id="126" name="Conexão1631" type="4" refreshedVersion="3" deleted="1" background="1" saveData="1">
    <webPr xl2000="1" htmlTables="1" htmlFormat="all"/>
  </connection>
  <connection id="127" name="Conexão164" type="4" refreshedVersion="3" deleted="1" background="1" saveData="1">
    <webPr xl2000="1" htmlTables="1" htmlFormat="all"/>
  </connection>
  <connection id="128" name="Conexão1641" type="4" refreshedVersion="3" deleted="1" background="1" saveData="1">
    <webPr xl2000="1" htmlTables="1" htmlFormat="all"/>
  </connection>
  <connection id="129" name="Conexão165" type="4" refreshedVersion="3" deleted="1" background="1" saveData="1">
    <webPr xl2000="1" htmlTables="1" htmlFormat="all"/>
  </connection>
  <connection id="130" name="Conexão166" type="4" refreshedVersion="3" deleted="1" background="1" saveData="1">
    <webPr xl2000="1" htmlTables="1" htmlFormat="all"/>
  </connection>
  <connection id="131" name="Conexão1661" type="4" refreshedVersion="3" deleted="1" background="1" saveData="1">
    <webPr xl2000="1" htmlTables="1" htmlFormat="all"/>
  </connection>
  <connection id="132" name="Conexão168" type="4" refreshedVersion="3" deleted="1" background="1" saveData="1">
    <webPr xl2000="1" htmlTables="1" htmlFormat="all"/>
  </connection>
  <connection id="133" name="Conexão1681" type="4" refreshedVersion="3" deleted="1" background="1" saveData="1">
    <webPr xl2000="1" htmlTables="1" htmlFormat="all"/>
  </connection>
  <connection id="134" name="Conexão169" type="4" refreshedVersion="3" deleted="1" background="1" saveData="1">
    <webPr xl2000="1" htmlTables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Tables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Tables="1" htmlFormat="all"/>
  </connection>
  <connection id="142" name="Conexão1731" type="4" refreshedVersion="3" deleted="1" background="1" saveData="1">
    <webPr xl2000="1" htmlTables="1" htmlFormat="all"/>
  </connection>
  <connection id="143" name="Conexão174" type="4" refreshedVersion="3" deleted="1" background="1" saveData="1">
    <webPr xl2000="1" htmlTables="1" htmlFormat="all"/>
  </connection>
  <connection id="144" name="Conexão175" type="4" refreshedVersion="3" deleted="1" background="1" saveData="1">
    <webPr xl2000="1" htmlTables="1" htmlFormat="all"/>
  </connection>
  <connection id="145" name="Conexão1751" type="4" refreshedVersion="3" deleted="1" background="1" saveData="1">
    <webPr xl2000="1" htmlTables="1" htmlFormat="all"/>
  </connection>
  <connection id="146" name="Conexão176" type="4" refreshedVersion="3" deleted="1" background="1" saveData="1">
    <webPr xl2000="1" htmlTables="1" htmlFormat="all"/>
  </connection>
  <connection id="147" name="Conexão1761" type="4" refreshedVersion="3" deleted="1" background="1" saveData="1">
    <webPr xl2000="1" htmlTables="1" htmlFormat="all"/>
  </connection>
  <connection id="148" name="Conexão177" type="4" refreshedVersion="3" deleted="1" background="1" saveData="1">
    <webPr xl2000="1" htmlTables="1" htmlFormat="all"/>
  </connection>
  <connection id="149" name="Conexão1771" type="4" refreshedVersion="3" deleted="1" background="1" saveData="1">
    <webPr xl2000="1" htmlTables="1" htmlFormat="all"/>
  </connection>
  <connection id="150" name="Conexão178" type="4" refreshedVersion="3" deleted="1" background="1" saveData="1">
    <webPr xl2000="1" htmlTables="1" htmlFormat="all"/>
  </connection>
  <connection id="151" name="Conexão1781" type="4" refreshedVersion="3" deleted="1" background="1" saveData="1">
    <webPr xl2000="1" htmlTables="1" htmlFormat="all"/>
  </connection>
  <connection id="152" name="Conexão179" type="4" refreshedVersion="3" deleted="1" background="1" saveData="1">
    <webPr xl2000="1" htmlTables="1" htmlFormat="all"/>
  </connection>
  <connection id="153" name="Conexão1791" type="4" refreshedVersion="3" deleted="1" background="1" saveData="1">
    <webPr xl2000="1" htmlTables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Tables="1" htmlFormat="all"/>
  </connection>
  <connection id="160" name="Conexão1831" type="4" refreshedVersion="3" deleted="1" background="1" saveData="1">
    <webPr xl2000="1" htmlTables="1" htmlFormat="all"/>
  </connection>
  <connection id="161" name="Conexão184" type="4" refreshedVersion="3" deleted="1" background="1" saveData="1">
    <webPr xl2000="1" htmlTables="1" htmlFormat="all"/>
  </connection>
  <connection id="162" name="Conexão1841" type="4" refreshedVersion="3" deleted="1" background="1" saveData="1">
    <webPr xl2000="1" htmlTables="1" htmlFormat="all"/>
  </connection>
  <connection id="163" name="Conexão185" type="4" refreshedVersion="3" deleted="1" background="1" saveData="1">
    <webPr xl2000="1" htmlTables="1" htmlFormat="all"/>
  </connection>
  <connection id="164" name="Conexão1851" type="4" refreshedVersion="3" deleted="1" background="1" saveData="1">
    <webPr xl2000="1" htmlTables="1" htmlFormat="all"/>
  </connection>
  <connection id="165" name="Conexão186" type="4" refreshedVersion="3" deleted="1" background="1" saveData="1">
    <webPr xl2000="1" htmlTables="1" htmlFormat="all"/>
  </connection>
  <connection id="166" name="Conexão1861" type="4" refreshedVersion="3" deleted="1" background="1" saveData="1">
    <webPr xl2000="1" htmlTables="1" htmlFormat="all"/>
  </connection>
  <connection id="167" name="Conexão189" type="4" refreshedVersion="3" deleted="1" background="1" saveData="1">
    <webPr xl2000="1" htmlTables="1" htmlFormat="all"/>
  </connection>
  <connection id="168" name="Conexão1891" type="4" refreshedVersion="3" deleted="1" background="1" saveData="1">
    <webPr xl2000="1" htmlTables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Tables="1" htmlFormat="all"/>
  </connection>
  <connection id="171" name="Conexão1901" type="4" refreshedVersion="3" deleted="1" background="1" saveData="1">
    <webPr xl2000="1" htmlTables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Tables="1" htmlFormat="all"/>
  </connection>
  <connection id="177" name="Conexão1931" type="4" refreshedVersion="3" deleted="1" background="1" saveData="1">
    <webPr xl2000="1" htmlTables="1" htmlFormat="all"/>
  </connection>
  <connection id="178" name="Conexão195" type="4" refreshedVersion="3" deleted="1" background="1" saveData="1">
    <webPr xl2000="1" htmlTables="1" htmlFormat="all"/>
  </connection>
  <connection id="179" name="Conexão1951" type="4" refreshedVersion="3" deleted="1" background="1" saveData="1">
    <webPr xl2000="1" htmlTables="1" htmlFormat="all"/>
  </connection>
  <connection id="180" name="Conexão196" type="4" refreshedVersion="3" deleted="1" background="1" saveData="1">
    <webPr xl2000="1" htmlTables="1" htmlFormat="all"/>
  </connection>
  <connection id="181" name="Conexão1961" type="4" refreshedVersion="3" deleted="1" background="1" saveData="1">
    <webPr xl2000="1" htmlTables="1" htmlFormat="all"/>
  </connection>
  <connection id="182" name="Conexão197" type="4" refreshedVersion="3" deleted="1" background="1" saveData="1">
    <webPr xl2000="1" htmlTables="1" htmlFormat="all"/>
  </connection>
  <connection id="183" name="Conexão1971" type="4" refreshedVersion="3" deleted="1" background="1" saveData="1">
    <webPr xl2000="1" htmlTables="1" htmlFormat="all"/>
  </connection>
  <connection id="184" name="Conexão199" type="4" refreshedVersion="3" deleted="1" background="1" saveData="1">
    <webPr xl2000="1" htmlTables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Tables="1" htmlFormat="all"/>
  </connection>
  <connection id="188" name="Conexão2001" type="4" refreshedVersion="3" deleted="1" background="1" saveData="1">
    <webPr xl2000="1" htmlTables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Tables="1" htmlFormat="all"/>
  </connection>
  <connection id="194" name="Conexão2031" type="4" refreshedVersion="3" deleted="1" background="1" saveData="1">
    <webPr xl2000="1" htmlTables="1" htmlFormat="all"/>
  </connection>
  <connection id="195" name="Conexão204" type="4" refreshedVersion="3" deleted="1" background="1" saveData="1">
    <webPr xl2000="1" htmlTables="1" htmlFormat="all"/>
  </connection>
  <connection id="196" name="Conexão205" type="4" refreshedVersion="3" deleted="1" background="1" saveData="1">
    <webPr xl2000="1" htmlTables="1" htmlFormat="all"/>
  </connection>
  <connection id="197" name="Conexão206" type="4" refreshedVersion="3" deleted="1" background="1" saveData="1">
    <webPr xl2000="1" htmlTables="1" htmlFormat="all"/>
  </connection>
  <connection id="198" name="Conexão2061" type="4" refreshedVersion="3" deleted="1" background="1" saveData="1">
    <webPr xl2000="1" htmlTables="1" htmlFormat="all"/>
  </connection>
  <connection id="199" name="Conexão207" type="4" refreshedVersion="3" deleted="1" background="1" saveData="1">
    <webPr xl2000="1" htmlTables="1" htmlFormat="all"/>
  </connection>
  <connection id="200" name="Conexão208" type="4" refreshedVersion="3" deleted="1" background="1" saveData="1">
    <webPr xl2000="1" htmlTables="1" htmlFormat="all"/>
  </connection>
  <connection id="201" name="Conexão2081" type="4" refreshedVersion="3" deleted="1" background="1" saveData="1">
    <webPr xl2000="1" htmlTables="1" htmlFormat="all"/>
  </connection>
  <connection id="202" name="Conexão209" type="4" refreshedVersion="3" deleted="1" background="1" saveData="1">
    <webPr xl2000="1" htmlTables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Tables="1" htmlFormat="all"/>
  </connection>
  <connection id="219" name="Conexão2171" type="4" refreshedVersion="3" deleted="1" background="1" saveData="1">
    <webPr xl2000="1" htmlTables="1" htmlFormat="all"/>
  </connection>
  <connection id="220" name="Conexão218" type="4" refreshedVersion="3" deleted="1" background="1" saveData="1">
    <webPr xl2000="1" htmlTables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Tables="1" htmlFormat="all"/>
  </connection>
  <connection id="223" name="Conexão2201" type="4" refreshedVersion="3" deleted="1" background="1" saveData="1">
    <webPr xl2000="1" htmlTables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Tables="1" htmlFormat="all"/>
  </connection>
  <connection id="229" name="Conexão226" type="4" refreshedVersion="3" deleted="1" background="1" saveData="1">
    <webPr xl2000="1" htmlTables="1" htmlFormat="all"/>
  </connection>
  <connection id="230" name="Conexão2261" type="4" refreshedVersion="3" deleted="1" background="1" saveData="1">
    <webPr xl2000="1" htmlTables="1" htmlFormat="all"/>
  </connection>
  <connection id="231" name="Conexão227" type="4" refreshedVersion="3" deleted="1" background="1" saveData="1">
    <webPr xl2000="1" htmlTables="1" htmlFormat="all"/>
  </connection>
  <connection id="232" name="Conexão2271" type="4" refreshedVersion="3" deleted="1" background="1" saveData="1">
    <webPr xl2000="1" htmlTables="1" htmlFormat="all"/>
  </connection>
  <connection id="233" name="Conexão228" type="4" refreshedVersion="3" deleted="1" background="1" saveData="1">
    <webPr xl2000="1" htmlTables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Tables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Tables="1" htmlFormat="all"/>
  </connection>
  <connection id="241" name="Conexão2331" type="4" refreshedVersion="3" deleted="1" background="1" saveData="1">
    <webPr xl2000="1" htmlTables="1" htmlFormat="all"/>
  </connection>
  <connection id="242" name="Conexão235" type="4" refreshedVersion="3" deleted="1" background="1" saveData="1">
    <webPr xl2000="1" htmlTables="1" htmlFormat="all"/>
  </connection>
  <connection id="243" name="Conexão2351" type="4" refreshedVersion="3" deleted="1" background="1" saveData="1">
    <webPr xl2000="1" htmlTables="1" htmlFormat="all"/>
  </connection>
  <connection id="244" name="Conexão238" type="4" refreshedVersion="3" deleted="1" background="1" saveData="1">
    <webPr xl2000="1" htmlTables="1" htmlFormat="all"/>
  </connection>
  <connection id="245" name="Conexão2381" type="4" refreshedVersion="3" deleted="1" background="1" saveData="1">
    <webPr xl2000="1" htmlTables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Tables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Tables="1" htmlFormat="all"/>
  </connection>
  <connection id="253" name="Conexão2431" type="4" refreshedVersion="3" deleted="1" background="1" saveData="1">
    <webPr xl2000="1" htmlTables="1" htmlFormat="all"/>
  </connection>
  <connection id="254" name="Conexão244" type="4" refreshedVersion="3" deleted="1" background="1" saveData="1">
    <webPr xl2000="1" htmlTables="1" htmlFormat="all"/>
  </connection>
  <connection id="255" name="Conexão245" type="4" refreshedVersion="3" deleted="1" background="1" saveData="1">
    <webPr xl2000="1" htmlTables="1" htmlFormat="all"/>
  </connection>
  <connection id="256" name="Conexão246" type="4" refreshedVersion="3" deleted="1" background="1" saveData="1">
    <webPr xl2000="1" htmlTables="1" htmlFormat="all"/>
  </connection>
  <connection id="257" name="Conexão2461" type="4" refreshedVersion="3" deleted="1" background="1" saveData="1">
    <webPr xl2000="1" htmlTables="1" htmlFormat="all"/>
  </connection>
  <connection id="258" name="Conexão248" type="4" refreshedVersion="3" deleted="1" background="1" saveData="1">
    <webPr xl2000="1" htmlTables="1" htmlFormat="all"/>
  </connection>
  <connection id="259" name="Conexão249" type="4" refreshedVersion="3" deleted="1" background="1" saveData="1">
    <webPr xl2000="1" htmlTables="1" htmlFormat="all"/>
  </connection>
  <connection id="260" name="Conexão2491" type="4" refreshedVersion="3" deleted="1" background="1" saveData="1">
    <webPr xl2000="1" htmlTables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Tables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Tables="1" htmlFormat="all"/>
  </connection>
  <connection id="268" name="Conexão2531" type="4" refreshedVersion="3" deleted="1" background="1" saveData="1">
    <webPr xl2000="1" htmlTables="1" htmlFormat="all"/>
  </connection>
  <connection id="269" name="Conexão254" type="4" refreshedVersion="3" deleted="1" background="1" saveData="1">
    <webPr xl2000="1" htmlTables="1" htmlFormat="all"/>
  </connection>
  <connection id="270" name="Conexão255" type="4" refreshedVersion="3" deleted="1" background="1" saveData="1">
    <webPr xl2000="1" htmlTables="1" htmlFormat="all"/>
  </connection>
  <connection id="271" name="Conexão2551" type="4" refreshedVersion="3" deleted="1" background="1" saveData="1">
    <webPr xl2000="1" htmlTables="1" htmlFormat="all"/>
  </connection>
  <connection id="272" name="Conexão256" type="4" refreshedVersion="3" deleted="1" background="1" saveData="1">
    <webPr xl2000="1" htmlTables="1" htmlFormat="all"/>
  </connection>
  <connection id="273" name="Conexão257" type="4" refreshedVersion="3" deleted="1" background="1" saveData="1">
    <webPr xl2000="1" htmlTables="1" htmlFormat="all"/>
  </connection>
  <connection id="274" name="Conexão2571" type="4" refreshedVersion="3" deleted="1" background="1" saveData="1">
    <webPr xl2000="1" htmlTables="1" htmlFormat="all"/>
  </connection>
  <connection id="275" name="Conexão258" type="4" refreshedVersion="3" deleted="1" background="1" saveData="1">
    <webPr xl2000="1" htmlTables="1" htmlFormat="all"/>
  </connection>
  <connection id="276" name="Conexão259" type="4" refreshedVersion="3" deleted="1" background="1" saveData="1">
    <webPr xl2000="1" htmlTables="1" htmlFormat="all"/>
  </connection>
  <connection id="277" name="Conexão2591" type="4" refreshedVersion="3" deleted="1" background="1" saveData="1">
    <webPr xl2000="1" htmlTables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Tables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Tables="1" htmlFormat="all"/>
  </connection>
  <connection id="285" name="Conexão2641" type="4" refreshedVersion="3" deleted="1" background="1" saveData="1">
    <webPr xl2000="1" htmlTables="1" htmlFormat="all"/>
  </connection>
  <connection id="286" name="Conexão265" type="4" refreshedVersion="3" deleted="1" background="1" saveData="1">
    <webPr xl2000="1" htmlTables="1" htmlFormat="all"/>
  </connection>
  <connection id="287" name="Conexão266" type="4" refreshedVersion="3" deleted="1" background="1" saveData="1">
    <webPr xl2000="1" htmlTables="1" htmlFormat="all"/>
  </connection>
  <connection id="288" name="Conexão269" type="4" refreshedVersion="3" deleted="1" background="1" saveData="1">
    <webPr xl2000="1" htmlTables="1" htmlFormat="all"/>
  </connection>
  <connection id="289" name="Conexão2691" type="4" refreshedVersion="3" deleted="1" background="1" saveData="1">
    <webPr xl2000="1" htmlTables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Tables="1" htmlFormat="all"/>
  </connection>
  <connection id="292" name="Conexão2701" type="4" refreshedVersion="3" deleted="1" background="1" saveData="1">
    <webPr xl2000="1" htmlTables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Tables="1" htmlFormat="all"/>
  </connection>
  <connection id="298" name="Conexão275" type="4" refreshedVersion="3" deleted="1" background="1" saveData="1">
    <webPr xl2000="1" htmlTables="1" htmlFormat="all"/>
  </connection>
  <connection id="299" name="Conexão276" type="4" refreshedVersion="3" deleted="1" background="1" saveData="1">
    <webPr xl2000="1" htmlTables="1" htmlFormat="all"/>
  </connection>
  <connection id="300" name="Conexão2761" type="4" refreshedVersion="3" deleted="1" background="1" saveData="1">
    <webPr xl2000="1" htmlTables="1" htmlFormat="all"/>
  </connection>
  <connection id="301" name="Conexão277" type="4" refreshedVersion="3" deleted="1" background="1" saveData="1">
    <webPr xl2000="1" htmlTables="1" htmlFormat="all"/>
  </connection>
  <connection id="302" name="Conexão278" type="4" refreshedVersion="3" deleted="1" background="1" saveData="1">
    <webPr xl2000="1" htmlTables="1" htmlFormat="all"/>
  </connection>
  <connection id="303" name="Conexão2781" type="4" refreshedVersion="3" deleted="1" background="1" saveData="1">
    <webPr xl2000="1" htmlTables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Tables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Tables="1" htmlFormat="all"/>
  </connection>
  <connection id="311" name="Conexão2831" type="4" refreshedVersion="3" deleted="1" background="1" saveData="1">
    <webPr xl2000="1" htmlTables="1" htmlFormat="all"/>
  </connection>
  <connection id="312" name="Conexão284" type="4" refreshedVersion="3" deleted="1" background="1" saveData="1">
    <webPr xl2000="1" htmlTables="1" htmlFormat="all"/>
  </connection>
  <connection id="313" name="Conexão287" type="4" refreshedVersion="3" deleted="1" background="1" saveData="1">
    <webPr xl2000="1" htmlTables="1" htmlFormat="all"/>
  </connection>
  <connection id="314" name="Conexão2871" type="4" refreshedVersion="3" deleted="1" background="1" saveData="1">
    <webPr xl2000="1" htmlTables="1" htmlFormat="all"/>
  </connection>
  <connection id="315" name="Conexão288" type="4" refreshedVersion="3" deleted="1" background="1" saveData="1">
    <webPr xl2000="1" htmlTables="1" htmlFormat="all"/>
  </connection>
  <connection id="316" name="Conexão289" type="4" refreshedVersion="3" deleted="1" background="1" saveData="1">
    <webPr xl2000="1" htmlTables="1" htmlFormat="all"/>
  </connection>
  <connection id="317" name="Conexão2891" type="4" refreshedVersion="3" deleted="1" background="1" saveData="1">
    <webPr xl2000="1" htmlTables="1" htmlFormat="all"/>
  </connection>
  <connection id="318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19" name="Conexão290" type="4" refreshedVersion="3" deleted="1" background="1" saveData="1">
    <webPr xl2000="1" htmlTables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Tables="1" htmlFormat="all"/>
  </connection>
  <connection id="325" name="Conexão2931" type="4" refreshedVersion="3" deleted="1" background="1" saveData="1">
    <webPr xl2000="1" htmlTables="1" htmlFormat="all"/>
  </connection>
  <connection id="326" name="Conexão294" type="4" refreshedVersion="3" deleted="1" background="1" saveData="1">
    <webPr xl2000="1" htmlTables="1" htmlFormat="all"/>
  </connection>
  <connection id="327" name="Conexão295" type="4" refreshedVersion="3" deleted="1" background="1" saveData="1">
    <webPr xl2000="1" htmlTables="1" htmlFormat="all"/>
  </connection>
  <connection id="328" name="Conexão2951" type="4" refreshedVersion="3" deleted="1" background="1" saveData="1">
    <webPr xl2000="1" htmlTables="1" htmlFormat="all"/>
  </connection>
  <connection id="329" name="Conexão296" type="4" refreshedVersion="3" deleted="1" background="1" saveData="1">
    <webPr xl2000="1" htmlTables="1" htmlFormat="all"/>
  </connection>
  <connection id="330" name="Conexão297" type="4" refreshedVersion="3" deleted="1" background="1" saveData="1">
    <webPr xl2000="1" htmlTables="1" htmlFormat="all"/>
  </connection>
  <connection id="331" name="Conexão2971" type="4" refreshedVersion="3" deleted="1" background="1" saveData="1">
    <webPr xl2000="1" htmlTables="1" htmlFormat="all"/>
  </connection>
  <connection id="332" name="Conexão298" type="4" refreshedVersion="3" deleted="1" background="1" saveData="1">
    <webPr xl2000="1" htmlTables="1" htmlFormat="all"/>
  </connection>
  <connection id="333" name="Conexão2981" type="4" refreshedVersion="3" deleted="1" background="1" saveData="1">
    <webPr xl2000="1" htmlTables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6" name="Conexão300" type="4" refreshedVersion="3" deleted="1" background="1" saveData="1">
    <webPr xl2000="1" htmlTables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Tables="1" htmlFormat="all"/>
  </connection>
  <connection id="342" name="Conexão3031" type="4" refreshedVersion="3" deleted="1" background="1" saveData="1">
    <webPr xl2000="1" htmlTables="1" htmlFormat="all"/>
  </connection>
  <connection id="343" name="Conexão305" type="4" refreshedVersion="3" deleted="1" background="1" saveData="1">
    <webPr xl2000="1" htmlTables="1" htmlFormat="all"/>
  </connection>
  <connection id="344" name="Conexão306" type="4" refreshedVersion="3" deleted="1" background="1" saveData="1">
    <webPr xl2000="1" htmlTables="1" htmlFormat="all"/>
  </connection>
  <connection id="345" name="Conexão3061" type="4" refreshedVersion="3" deleted="1" background="1" saveData="1">
    <webPr xl2000="1" htmlTables="1" htmlFormat="all"/>
  </connection>
  <connection id="346" name="Conexão307" type="4" refreshedVersion="3" deleted="1" background="1" saveData="1">
    <webPr xl2000="1" htmlTables="1" htmlFormat="all"/>
  </connection>
  <connection id="347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Tables="1" htmlFormat="all"/>
  </connection>
  <connection id="361" name="Conexão3181" type="4" refreshedVersion="3" deleted="1" background="1" saveData="1">
    <webPr xl2000="1" htmlTables="1" htmlFormat="all"/>
  </connection>
  <connection id="362" name="Conexão319" type="4" refreshedVersion="3" deleted="1" background="1" saveData="1">
    <webPr xl2000="1" htmlTables="1" htmlFormat="all"/>
  </connection>
  <connection id="363" name="Conexão3191" type="4" refreshedVersion="3" deleted="1" background="1" saveData="1">
    <webPr xl2000="1" htmlTables="1" htmlFormat="all"/>
  </connection>
  <connection id="36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Tables="1" htmlFormat="all"/>
  </connection>
  <connection id="370" name="Conexão325" type="4" refreshedVersion="3" deleted="1" background="1" saveData="1">
    <webPr xl2000="1" htmlTables="1" htmlFormat="all"/>
  </connection>
  <connection id="371" name="Conexão3251" type="4" refreshedVersion="3" deleted="1" background="1" saveData="1">
    <webPr xl2000="1" htmlTables="1" htmlFormat="all"/>
  </connection>
  <connection id="372" name="Conexão326" type="4" refreshedVersion="3" deleted="1" background="1" saveData="1">
    <webPr xl2000="1" htmlTables="1" htmlFormat="all"/>
  </connection>
  <connection id="373" name="Conexão327" type="4" refreshedVersion="3" deleted="1" background="1" saveData="1">
    <webPr xl2000="1" htmlTables="1" htmlFormat="all"/>
  </connection>
  <connection id="374" name="Conexão3271" type="4" refreshedVersion="3" deleted="1" background="1" saveData="1">
    <webPr xl2000="1" htmlTables="1" htmlFormat="all"/>
  </connection>
  <connection id="375" name="Conexão329" type="4" refreshedVersion="3" deleted="1" background="1" saveData="1">
    <webPr xl2000="1" htmlTables="1" htmlFormat="all"/>
  </connection>
  <connection id="37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77" name="Conexão330" type="4" refreshedVersion="3" deleted="1" background="1" saveData="1">
    <webPr xl2000="1" htmlTables="1" htmlFormat="all"/>
  </connection>
  <connection id="378" name="Conexão3301" type="4" refreshedVersion="3" deleted="1" background="1" saveData="1">
    <webPr xl2000="1" htmlTables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Tables="1" htmlFormat="all"/>
  </connection>
  <connection id="384" name="Conexão334" type="4" refreshedVersion="3" deleted="1" background="1" saveData="1">
    <webPr xl2000="1" htmlTables="1" htmlFormat="all"/>
  </connection>
  <connection id="385" name="Conexão3341" type="4" refreshedVersion="3" deleted="1" background="1" saveData="1">
    <webPr xl2000="1" htmlTables="1" htmlFormat="all"/>
  </connection>
  <connection id="386" name="Conexão335" type="4" refreshedVersion="3" deleted="1" background="1" saveData="1">
    <webPr xl2000="1" htmlTables="1" htmlFormat="all"/>
  </connection>
  <connection id="387" name="Conexão3351" type="4" refreshedVersion="3" deleted="1" background="1" saveData="1">
    <webPr xl2000="1" htmlTables="1" htmlFormat="all"/>
  </connection>
  <connection id="388" name="Conexão336" type="4" refreshedVersion="3" deleted="1" background="1" saveData="1">
    <webPr xl2000="1" htmlTables="1" htmlFormat="all"/>
  </connection>
  <connection id="389" name="Conexão337" type="4" refreshedVersion="3" deleted="1" background="1" saveData="1">
    <webPr xl2000="1" htmlTables="1" htmlFormat="all"/>
  </connection>
  <connection id="390" name="Conexão3371" type="4" refreshedVersion="3" deleted="1" background="1" saveData="1">
    <webPr xl2000="1" htmlTables="1" htmlFormat="all"/>
  </connection>
  <connection id="391" name="Conexão338" type="4" refreshedVersion="3" deleted="1" background="1" saveData="1">
    <webPr xl2000="1" htmlTables="1" htmlFormat="all"/>
  </connection>
  <connection id="392" name="Conexão3381" type="4" refreshedVersion="3" deleted="1" background="1" saveData="1">
    <webPr xl2000="1" htmlTables="1" htmlFormat="all"/>
  </connection>
  <connection id="393" name="Conexão339" type="4" refreshedVersion="3" deleted="1" background="1" saveData="1">
    <webPr xl2000="1" htmlTables="1" htmlFormat="all"/>
  </connection>
  <connection id="394" name="Conexão3391" type="4" refreshedVersion="3" deleted="1" background="1" saveData="1">
    <webPr xl2000="1" htmlTables="1" htmlFormat="all"/>
  </connection>
  <connection id="39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396" name="Conexão340" type="4" refreshedVersion="3" deleted="1" background="1" saveData="1">
    <webPr xl2000="1" htmlTables="1" htmlFormat="all"/>
  </connection>
  <connection id="397" name="Conexão3401" type="4" refreshedVersion="3" deleted="1" background="1" saveData="1">
    <webPr xl2000="1" htmlTables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Tables="1" htmlFormat="all"/>
  </connection>
  <connection id="403" name="Conexão3431" type="4" refreshedVersion="3" deleted="1" background="1" saveData="1">
    <webPr xl2000="1" htmlTables="1" htmlFormat="all"/>
  </connection>
  <connection id="404" name="Conexão344" type="4" refreshedVersion="3" deleted="1" background="1" saveData="1">
    <webPr xl2000="1" htmlTables="1" htmlFormat="all"/>
  </connection>
  <connection id="405" name="Conexão3441" type="4" refreshedVersion="3" deleted="1" background="1" saveData="1">
    <webPr xl2000="1" htmlTables="1" htmlFormat="all"/>
  </connection>
  <connection id="406" name="Conexão346" type="4" refreshedVersion="3" deleted="1" background="1" saveData="1">
    <webPr xl2000="1" htmlTables="1" htmlFormat="all"/>
  </connection>
  <connection id="407" name="Conexão3461" type="4" refreshedVersion="3" deleted="1" background="1" saveData="1">
    <webPr xl2000="1" htmlTables="1" htmlFormat="all"/>
  </connection>
  <connection id="408" name="Conexão348" type="4" refreshedVersion="3" deleted="1" background="1" saveData="1">
    <webPr xl2000="1" htmlTables="1" htmlFormat="all"/>
  </connection>
  <connection id="409" name="Conexão3481" type="4" refreshedVersion="3" deleted="1" background="1" saveData="1">
    <webPr xl2000="1" htmlTables="1" htmlFormat="all"/>
  </connection>
  <connection id="410" name="Conexão349" type="4" refreshedVersion="3" deleted="1" background="1" saveData="1">
    <webPr xl2000="1" htmlTables="1" htmlFormat="all"/>
  </connection>
  <connection id="411" name="Conexão3491" type="4" refreshedVersion="3" deleted="1" background="1" saveData="1">
    <webPr xl2000="1" htmlTables="1" htmlFormat="all"/>
  </connection>
  <connection id="41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Tables="1" htmlFormat="all"/>
  </connection>
  <connection id="418" name="Conexão3531" type="4" refreshedVersion="3" deleted="1" background="1" saveData="1">
    <webPr xl2000="1" htmlTables="1" htmlFormat="all"/>
  </connection>
  <connection id="419" name="Conexão354" type="4" refreshedVersion="3" deleted="1" background="1" saveData="1">
    <webPr xl2000="1" htmlTables="1" htmlFormat="all"/>
  </connection>
  <connection id="420" name="Conexão3541" type="4" refreshedVersion="3" deleted="1" background="1" saveData="1">
    <webPr xl2000="1" htmlTables="1" htmlFormat="all"/>
  </connection>
  <connection id="421" name="Conexão355" type="4" refreshedVersion="3" deleted="1" background="1" saveData="1">
    <webPr xl2000="1" htmlTables="1" htmlFormat="all"/>
  </connection>
  <connection id="422" name="Conexão3551" type="4" refreshedVersion="3" deleted="1" background="1" saveData="1">
    <webPr xl2000="1" htmlTables="1" htmlFormat="all"/>
  </connection>
  <connection id="423" name="Conexão357" type="4" refreshedVersion="3" deleted="1" background="1" saveData="1">
    <webPr xl2000="1" htmlTables="1" htmlFormat="all"/>
  </connection>
  <connection id="424" name="Conexão3571" type="4" refreshedVersion="3" deleted="1" background="1" saveData="1">
    <webPr xl2000="1" htmlTables="1" htmlFormat="all"/>
  </connection>
  <connection id="42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Tables="1" htmlFormat="all"/>
  </connection>
  <connection id="431" name="Conexão3631" type="4" refreshedVersion="3" deleted="1" background="1" saveData="1">
    <webPr xl2000="1" htmlTables="1" htmlFormat="all"/>
  </connection>
  <connection id="432" name="Conexão365" type="4" refreshedVersion="3" deleted="1" background="1" saveData="1">
    <webPr xl2000="1" htmlTables="1" htmlFormat="all"/>
  </connection>
  <connection id="433" name="Conexão3651" type="4" refreshedVersion="3" deleted="1" background="1" saveData="1">
    <webPr xl2000="1" htmlTables="1" htmlFormat="all"/>
  </connection>
  <connection id="434" name="Conexão366" type="4" refreshedVersion="3" deleted="1" background="1" saveData="1">
    <webPr xl2000="1" htmlTables="1" htmlFormat="all"/>
  </connection>
  <connection id="435" name="Conexão3661" type="4" refreshedVersion="3" deleted="1" background="1" saveData="1">
    <webPr xl2000="1" htmlTables="1" htmlFormat="all"/>
  </connection>
  <connection id="436" name="Conexão368" type="4" refreshedVersion="3" deleted="1" background="1" saveData="1">
    <webPr xl2000="1" htmlTables="1" htmlFormat="all"/>
  </connection>
  <connection id="437" name="Conexão369" type="4" refreshedVersion="3" deleted="1" background="1" saveData="1">
    <webPr xl2000="1" htmlTables="1" htmlFormat="all"/>
  </connection>
  <connection id="438" name="Conexão3691" type="4" refreshedVersion="3" deleted="1" background="1" saveData="1">
    <webPr xl2000="1" htmlTables="1" htmlFormat="all"/>
  </connection>
  <connection id="43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40" name="Conexão370" type="4" refreshedVersion="3" deleted="1" background="1" saveData="1">
    <webPr xl2000="1" htmlTables="1" htmlFormat="all"/>
  </connection>
  <connection id="441" name="Conexão3701" type="4" refreshedVersion="3" deleted="1" background="1" saveData="1">
    <webPr xl2000="1" htmlTables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Tables="1" htmlFormat="all"/>
  </connection>
  <connection id="447" name="Conexão3751" type="4" refreshedVersion="3" deleted="1" background="1" saveData="1">
    <webPr xl2000="1" htmlTables="1" htmlFormat="all"/>
  </connection>
  <connection id="448" name="Conexão376" type="4" refreshedVersion="3" deleted="1" background="1" saveData="1">
    <webPr xl2000="1" htmlTables="1" htmlFormat="all"/>
  </connection>
  <connection id="449" name="Conexão3761" type="4" refreshedVersion="3" deleted="1" background="1" saveData="1">
    <webPr xl2000="1" htmlTables="1" htmlFormat="all"/>
  </connection>
  <connection id="450" name="Conexão377" type="4" refreshedVersion="3" deleted="1" background="1" saveData="1">
    <webPr xl2000="1" htmlTables="1" htmlFormat="all"/>
  </connection>
  <connection id="451" name="Conexão3771" type="4" refreshedVersion="3" deleted="1" background="1" saveData="1">
    <webPr xl2000="1" htmlTables="1" htmlFormat="all"/>
  </connection>
  <connection id="452" name="Conexão378" type="4" refreshedVersion="3" deleted="1" background="1" saveData="1">
    <webPr xl2000="1" htmlTables="1" htmlFormat="all"/>
  </connection>
  <connection id="453" name="Conexão3781" type="4" refreshedVersion="3" deleted="1" background="1" saveData="1">
    <webPr xl2000="1" htmlTables="1" htmlFormat="all"/>
  </connection>
  <connection id="454" name="Conexão379" type="4" refreshedVersion="3" deleted="1" background="1" saveData="1">
    <webPr xl2000="1" htmlTables="1" htmlFormat="all"/>
  </connection>
  <connection id="455" name="Conexão3791" type="4" refreshedVersion="3" deleted="1" background="1" saveData="1">
    <webPr xl2000="1" htmlTables="1" htmlFormat="all"/>
  </connection>
  <connection id="45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7" name="Conexão380" type="4" refreshedVersion="3" deleted="1" background="1" saveData="1">
    <webPr xl2000="1" htmlTables="1" htmlFormat="all"/>
  </connection>
  <connection id="458" name="Conexão3801" type="4" refreshedVersion="3" deleted="1" background="1" saveData="1">
    <webPr xl2000="1" htmlTables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Tables="1" htmlFormat="all"/>
  </connection>
  <connection id="464" name="Conexão3831" type="4" refreshedVersion="3" deleted="1" background="1" saveData="1">
    <webPr xl2000="1" htmlTables="1" htmlFormat="all"/>
  </connection>
  <connection id="465" name="Conexão384" type="4" refreshedVersion="3" deleted="1" background="1" saveData="1">
    <webPr xl2000="1" htmlTables="1" htmlFormat="all"/>
  </connection>
  <connection id="466" name="Conexão3841" type="4" refreshedVersion="3" deleted="1" background="1" saveData="1">
    <webPr xl2000="1" htmlTables="1" htmlFormat="all"/>
  </connection>
  <connection id="467" name="Conexão385" type="4" refreshedVersion="3" deleted="1" background="1" saveData="1">
    <webPr xl2000="1" htmlTables="1" htmlFormat="all"/>
  </connection>
  <connection id="468" name="Conexão3851" type="4" refreshedVersion="3" deleted="1" background="1" saveData="1">
    <webPr xl2000="1" htmlTables="1" htmlFormat="all"/>
  </connection>
  <connection id="469" name="Conexão387" type="4" refreshedVersion="3" deleted="1" background="1" saveData="1">
    <webPr xl2000="1" htmlTables="1" htmlFormat="all"/>
  </connection>
  <connection id="470" name="Conexão3871" type="4" refreshedVersion="3" deleted="1" background="1" saveData="1">
    <webPr xl2000="1" htmlTables="1" htmlFormat="all"/>
  </connection>
  <connection id="471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72" name="Conexão390" type="4" refreshedVersion="3" deleted="1" background="1" saveData="1">
    <webPr xl2000="1" htmlTables="1" htmlFormat="all"/>
  </connection>
  <connection id="473" name="Conexão3901" type="4" refreshedVersion="3" deleted="1" background="1" saveData="1">
    <webPr xl2000="1" htmlTables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Tables="1" htmlFormat="all"/>
  </connection>
  <connection id="479" name="Conexão3931" type="4" refreshedVersion="3" deleted="1" background="1" saveData="1">
    <webPr xl2000="1" htmlTables="1" htmlFormat="all"/>
  </connection>
  <connection id="480" name="Conexão394" type="4" refreshedVersion="3" deleted="1" background="1" saveData="1">
    <webPr xl2000="1" htmlTables="1" htmlFormat="all"/>
  </connection>
  <connection id="481" name="Conexão3941" type="4" refreshedVersion="3" deleted="1" background="1" saveData="1">
    <webPr xl2000="1" htmlTables="1" htmlFormat="all"/>
  </connection>
  <connection id="482" name="Conexão395" type="4" refreshedVersion="3" deleted="1" background="1" saveData="1">
    <webPr xl2000="1" htmlTables="1" htmlFormat="all"/>
  </connection>
  <connection id="483" name="Conexão3951" type="4" refreshedVersion="3" deleted="1" background="1" saveData="1">
    <webPr xl2000="1" htmlTables="1" htmlFormat="all"/>
  </connection>
  <connection id="484" name="Conexão398" type="4" refreshedVersion="3" deleted="1" background="1" saveData="1">
    <webPr xl2000="1" htmlTables="1" htmlFormat="all"/>
  </connection>
  <connection id="485" name="Conexão3981" type="4" refreshedVersion="3" deleted="1" background="1" saveData="1">
    <webPr xl2000="1" htmlTables="1" htmlFormat="all"/>
  </connection>
  <connection id="486" name="Conexão399" type="4" refreshedVersion="3" deleted="1" background="1" saveData="1">
    <webPr xl2000="1" htmlTables="1" htmlFormat="all"/>
  </connection>
  <connection id="487" name="Conexão3991" type="4" refreshedVersion="3" deleted="1" background="1" saveData="1">
    <webPr xl2000="1" htmlTables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490" name="Conexão400" type="4" refreshedVersion="3" deleted="1" background="1" saveData="1">
    <webPr xl2000="1" htmlTables="1" htmlFormat="all"/>
  </connection>
  <connection id="491" name="Conexão4001" type="4" refreshedVersion="3" deleted="1" background="1" saveData="1">
    <webPr xl2000="1" htmlTables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Tables="1" htmlFormat="all"/>
  </connection>
  <connection id="497" name="Conexão4031" type="4" refreshedVersion="3" deleted="1" background="1" saveData="1">
    <webPr xl2000="1" htmlTables="1" htmlFormat="all"/>
  </connection>
  <connection id="498" name="Conexão407" type="4" refreshedVersion="3" deleted="1" background="1" saveData="1">
    <webPr xl2000="1" htmlTables="1" htmlFormat="all"/>
  </connection>
  <connection id="499" name="Conexão4071" type="4" refreshedVersion="3" deleted="1" background="1" saveData="1">
    <webPr xl2000="1" htmlTables="1" htmlFormat="all"/>
  </connection>
  <connection id="500" name="Conexão408" type="4" refreshedVersion="3" deleted="1" background="1" saveData="1">
    <webPr xl2000="1" htmlTables="1" htmlFormat="all"/>
  </connection>
  <connection id="501" name="Conexão4081" type="4" refreshedVersion="3" deleted="1" background="1" saveData="1">
    <webPr xl2000="1" htmlTables="1" htmlFormat="all"/>
  </connection>
  <connection id="50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Tables="1" htmlFormat="all"/>
  </connection>
  <connection id="506" name="Conexão4111" type="4" refreshedVersion="3" deleted="1" background="1" saveData="1">
    <webPr xl2000="1" htmlTables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Tables="1" htmlFormat="all"/>
  </connection>
  <connection id="510" name="Conexão4131" type="4" refreshedVersion="3" deleted="1" background="1" saveData="1">
    <webPr xl2000="1" htmlTables="1" htmlFormat="all"/>
  </connection>
  <connection id="511" name="Conexão414" type="4" refreshedVersion="3" deleted="1" background="1" saveData="1">
    <webPr xl2000="1" htmlTables="1" htmlFormat="all"/>
  </connection>
  <connection id="512" name="Conexão4141" type="4" refreshedVersion="3" deleted="1" background="1" saveData="1">
    <webPr xl2000="1" htmlTables="1" htmlFormat="all"/>
  </connection>
  <connection id="513" name="Conexão417" type="4" refreshedVersion="3" deleted="1" background="1" saveData="1">
    <webPr xl2000="1" htmlTables="1" htmlFormat="all"/>
  </connection>
  <connection id="514" name="Conexão4171" type="4" refreshedVersion="3" deleted="1" background="1" saveData="1">
    <webPr xl2000="1" htmlTables="1" htmlFormat="all"/>
  </connection>
  <connection id="515" name="Conexão419" type="4" refreshedVersion="3" deleted="1" background="1" saveData="1">
    <webPr xl2000="1" htmlTables="1" htmlFormat="all"/>
  </connection>
  <connection id="516" name="Conexão4191" type="4" refreshedVersion="3" deleted="1" background="1" saveData="1">
    <webPr xl2000="1" htmlTables="1" htmlFormat="all"/>
  </connection>
  <connection id="51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18" name="Conexão421" type="4" refreshedVersion="3" deleted="1" background="1" saveData="1">
    <webPr xl2000="1" htmlTables="1" htmlFormat="all"/>
  </connection>
  <connection id="519" name="Conexão4211" type="4" refreshedVersion="3" deleted="1" background="1" saveData="1">
    <webPr xl2000="1" htmlTables="1" htmlFormat="all"/>
  </connection>
  <connection id="520" name="Conexão422" type="4" refreshedVersion="3" deleted="1" background="1" saveData="1">
    <webPr xl2000="1" htmlTables="1" htmlFormat="all"/>
  </connection>
  <connection id="521" name="Conexão4221" type="4" refreshedVersion="3" deleted="1" background="1" saveData="1">
    <webPr xl2000="1" htmlTables="1" htmlFormat="all"/>
  </connection>
  <connection id="522" name="Conexão423" type="4" refreshedVersion="3" deleted="1" background="1" saveData="1">
    <webPr xl2000="1" htmlTables="1" htmlFormat="all"/>
  </connection>
  <connection id="523" name="Conexão4231" type="4" refreshedVersion="3" deleted="1" background="1" saveData="1">
    <webPr xl2000="1" htmlTables="1" htmlFormat="all"/>
  </connection>
  <connection id="524" name="Conexão424" type="4" refreshedVersion="3" deleted="1" background="1" saveData="1">
    <webPr xl2000="1" htmlTables="1" htmlFormat="all"/>
  </connection>
  <connection id="525" name="Conexão4241" type="4" refreshedVersion="3" deleted="1" background="1" saveData="1">
    <webPr xl2000="1" htmlTables="1" htmlFormat="all"/>
  </connection>
  <connection id="526" name="Conexão425" type="4" refreshedVersion="3" deleted="1" background="1" saveData="1">
    <webPr xl2000="1" htmlTables="1" htmlFormat="all"/>
  </connection>
  <connection id="527" name="Conexão4251" type="4" refreshedVersion="3" deleted="1" background="1" saveData="1">
    <webPr xl2000="1" htmlTables="1" htmlFormat="all"/>
  </connection>
  <connection id="528" name="Conexão427" type="4" refreshedVersion="3" deleted="1" background="1" saveData="1">
    <webPr xl2000="1" htmlTables="1" htmlFormat="all"/>
  </connection>
  <connection id="529" name="Conexão4271" type="4" refreshedVersion="3" deleted="1" background="1" saveData="1">
    <webPr xl2000="1" htmlTables="1" htmlFormat="all"/>
  </connection>
  <connection id="530" name="Conexão429" type="4" refreshedVersion="3" deleted="1" background="1" saveData="1">
    <webPr xl2000="1" htmlTables="1" htmlFormat="all"/>
  </connection>
  <connection id="531" name="Conexão4291" type="4" refreshedVersion="3" deleted="1" background="1" saveData="1">
    <webPr xl2000="1" htmlTables="1" htmlFormat="all"/>
  </connection>
  <connection id="53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33" name="Conexão431" type="4" refreshedVersion="3" deleted="1" background="1" saveData="1">
    <webPr xl2000="1" htmlTables="1" htmlFormat="all"/>
  </connection>
  <connection id="534" name="Conexão4311" type="4" refreshedVersion="3" deleted="1" background="1" saveData="1">
    <webPr xl2000="1" htmlTables="1" htmlFormat="all"/>
  </connection>
  <connection id="535" name="Conexão432" type="4" refreshedVersion="3" deleted="1" background="1" saveData="1">
    <webPr xl2000="1" htmlTables="1" htmlFormat="all"/>
  </connection>
  <connection id="536" name="Conexão4321" type="4" refreshedVersion="3" deleted="1" background="1" saveData="1">
    <webPr xl2000="1" htmlTables="1" htmlFormat="all"/>
  </connection>
  <connection id="53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38" name="Conexão441" type="4" refreshedVersion="3" deleted="1" background="1" saveData="1">
    <webPr xl2000="1" htmlTables="1" htmlFormat="all"/>
  </connection>
  <connection id="539" name="Conexão4411" type="4" refreshedVersion="3" deleted="1" background="1" saveData="1">
    <webPr xl2000="1" htmlTables="1" htmlFormat="all"/>
  </connection>
  <connection id="54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41" name="Conexão451" type="4" refreshedVersion="3" deleted="1" background="1" saveData="1">
    <webPr xl2000="1" htmlTables="1" htmlFormat="all"/>
  </connection>
  <connection id="542" name="Conexão4511" type="4" refreshedVersion="3" deleted="1" background="1" saveData="1">
    <webPr xl2000="1" htmlTables="1" htmlFormat="all"/>
  </connection>
  <connection id="54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44" name="Conexão461" type="4" refreshedVersion="3" deleted="1" background="1" saveData="1">
    <webPr xl2000="1" htmlTables="1" htmlFormat="all"/>
  </connection>
  <connection id="545" name="Conexão4611" type="4" refreshedVersion="3" deleted="1" background="1" saveData="1">
    <webPr xl2000="1" htmlTables="1" htmlFormat="all"/>
  </connection>
  <connection id="546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47" name="Conexão471" type="4" refreshedVersion="3" deleted="1" background="1" saveData="1">
    <webPr xl2000="1" htmlTables="1" htmlFormat="all"/>
  </connection>
  <connection id="548" name="Conexão4711" type="4" refreshedVersion="3" deleted="1" background="1" saveData="1">
    <webPr xl2000="1" htmlTables="1" htmlFormat="all"/>
  </connection>
  <connection id="549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0" name="Conexão481" type="4" refreshedVersion="3" deleted="1" background="1" saveData="1">
    <webPr xl2000="1" htmlTables="1" htmlFormat="all"/>
  </connection>
  <connection id="551" name="Conexão4811" type="4" refreshedVersion="3" deleted="1" background="1" saveData="1">
    <webPr xl2000="1" htmlTables="1" htmlFormat="all"/>
  </connection>
  <connection id="552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3" name="Conexão491" type="4" refreshedVersion="3" deleted="1" background="1" saveData="1">
    <webPr xl2000="1" htmlTables="1" htmlFormat="all"/>
  </connection>
  <connection id="554" name="Conexão4911" type="4" refreshedVersion="3" deleted="1" background="1" saveData="1">
    <webPr xl2000="1" htmlTables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57" name="Conexão501" type="4" refreshedVersion="3" deleted="1" background="1" saveData="1">
    <webPr xl2000="1" htmlTables="1" htmlFormat="all"/>
  </connection>
  <connection id="558" name="Conexão5011" type="4" refreshedVersion="3" deleted="1" background="1" saveData="1">
    <webPr xl2000="1" htmlTables="1" htmlFormat="all"/>
  </connection>
  <connection id="559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Tables="1" htmlFormat="all"/>
  </connection>
  <connection id="563" name="Conexão5111" type="4" refreshedVersion="3" deleted="1" background="1" saveData="1">
    <webPr xl2000="1" htmlTables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69" name="Conexão521" type="4" refreshedVersion="3" deleted="1" background="1" saveData="1">
    <webPr xl2000="1" htmlTables="1" htmlFormat="all"/>
  </connection>
  <connection id="570" name="Conexão5211" type="4" refreshedVersion="3" deleted="1" background="1" saveData="1">
    <webPr xl2000="1" htmlTables="1" htmlFormat="all"/>
  </connection>
  <connection id="57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72" name="Conexão531" type="4" refreshedVersion="3" deleted="1" background="1" saveData="1">
    <webPr xl2000="1" htmlTables="1" htmlFormat="all"/>
  </connection>
  <connection id="573" name="Conexão5311" type="4" refreshedVersion="3" deleted="1" background="1" saveData="1">
    <webPr xl2000="1" htmlTables="1" htmlFormat="all"/>
  </connection>
  <connection id="57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75" name="Conexão541" type="4" refreshedVersion="3" deleted="1" background="1" saveData="1">
    <webPr xl2000="1" htmlTables="1" htmlFormat="all"/>
  </connection>
  <connection id="576" name="Conexão5411" type="4" refreshedVersion="3" deleted="1" background="1" saveData="1">
    <webPr xl2000="1" htmlTables="1" htmlFormat="all"/>
  </connection>
  <connection id="57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78" name="Conexão551" type="4" refreshedVersion="3" deleted="1" background="1" saveData="1">
    <webPr xl2000="1" htmlTables="1" htmlFormat="all"/>
  </connection>
  <connection id="579" name="Conexão5511" type="4" refreshedVersion="3" deleted="1" background="1" saveData="1">
    <webPr xl2000="1" htmlTables="1" htmlFormat="all"/>
  </connection>
  <connection id="58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81" name="Conexão561" type="4" refreshedVersion="3" deleted="1" background="1" saveData="1">
    <webPr xl2000="1" htmlTables="1" htmlFormat="all"/>
  </connection>
  <connection id="582" name="Conexão5611" type="4" refreshedVersion="3" deleted="1" background="1" saveData="1">
    <webPr xl2000="1" htmlTables="1" htmlFormat="all"/>
  </connection>
  <connection id="583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84" name="Conexão571" type="4" refreshedVersion="3" deleted="1" background="1" saveData="1">
    <webPr xl2000="1" htmlTables="1" htmlFormat="all"/>
  </connection>
  <connection id="585" name="Conexão5711" type="4" refreshedVersion="3" deleted="1" background="1" saveData="1">
    <webPr xl2000="1" htmlTables="1" htmlFormat="all"/>
  </connection>
  <connection id="58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87" name="Conexão581" type="4" refreshedVersion="3" deleted="1" background="1" saveData="1">
    <webPr xl2000="1" htmlTables="1" htmlFormat="all"/>
  </connection>
  <connection id="588" name="Conexão5811" type="4" refreshedVersion="3" deleted="1" background="1" saveData="1">
    <webPr xl2000="1" htmlTables="1" htmlFormat="all"/>
  </connection>
  <connection id="58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590" name="Conexão591" type="4" refreshedVersion="3" deleted="1" background="1" saveData="1">
    <webPr xl2000="1" htmlTables="1" htmlFormat="all"/>
  </connection>
  <connection id="591" name="Conexão5911" type="4" refreshedVersion="3" deleted="1" background="1" saveData="1">
    <webPr xl2000="1" htmlTables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594" name="Conexão601" type="4" refreshedVersion="3" deleted="1" background="1" saveData="1">
    <webPr xl2000="1" htmlTables="1" htmlFormat="all"/>
  </connection>
  <connection id="595" name="Conexão6011" type="4" refreshedVersion="3" deleted="1" background="1" saveData="1">
    <webPr xl2000="1" htmlTables="1" htmlFormat="all"/>
  </connection>
  <connection id="59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Tables="1" htmlFormat="all"/>
  </connection>
  <connection id="604" name="Conexão6131" type="4" refreshedVersion="3" deleted="1" background="1" saveData="1">
    <webPr xl2000="1" htmlTables="1" htmlFormat="all"/>
  </connection>
  <connection id="60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6" name="Conexão621" type="4" refreshedVersion="3" deleted="1" background="1" saveData="1">
    <webPr xl2000="1" htmlTables="1" htmlFormat="all"/>
  </connection>
  <connection id="607" name="Conexão6211" type="4" refreshedVersion="3" deleted="1" background="1" saveData="1">
    <webPr xl2000="1" htmlTables="1" htmlFormat="all"/>
  </connection>
  <connection id="60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9" name="Conexão631" type="4" refreshedVersion="3" deleted="1" background="1" saveData="1">
    <webPr xl2000="1" htmlTables="1" htmlFormat="all"/>
  </connection>
  <connection id="610" name="Conexão6311" type="4" refreshedVersion="3" deleted="1" background="1" saveData="1">
    <webPr xl2000="1" htmlTables="1" htmlFormat="all"/>
  </connection>
  <connection id="61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12" name="Conexão641" type="4" refreshedVersion="3" deleted="1" background="1" saveData="1">
    <webPr xl2000="1" htmlTables="1" htmlFormat="all"/>
  </connection>
  <connection id="613" name="Conexão6411" type="4" refreshedVersion="3" deleted="1" background="1" saveData="1">
    <webPr xl2000="1" htmlTables="1" htmlFormat="all"/>
  </connection>
  <connection id="614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15" name="Conexão651" type="4" refreshedVersion="3" deleted="1" background="1" saveData="1">
    <webPr xl2000="1" htmlTables="1" htmlFormat="all"/>
  </connection>
  <connection id="616" name="Conexão6511" type="4" refreshedVersion="3" deleted="1" background="1" saveData="1">
    <webPr xl2000="1" htmlTables="1" htmlFormat="all"/>
  </connection>
  <connection id="61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18" name="Conexão661" type="4" refreshedVersion="3" deleted="1" background="1" saveData="1">
    <webPr xl2000="1" htmlTables="1" htmlFormat="all"/>
  </connection>
  <connection id="619" name="Conexão6611" type="4" refreshedVersion="3" deleted="1" background="1" saveData="1">
    <webPr xl2000="1" htmlTables="1" htmlFormat="all"/>
  </connection>
  <connection id="62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21" name="Conexão671" type="4" refreshedVersion="3" deleted="1" background="1" saveData="1">
    <webPr xl2000="1" htmlTables="1" htmlFormat="all"/>
  </connection>
  <connection id="622" name="Conexão6711" type="4" refreshedVersion="3" deleted="1" background="1" saveData="1">
    <webPr xl2000="1" htmlTables="1" htmlFormat="all"/>
  </connection>
  <connection id="62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24" name="Conexão681" type="4" refreshedVersion="3" deleted="1" background="1" saveData="1">
    <webPr xl2000="1" htmlTables="1" htmlFormat="all"/>
  </connection>
  <connection id="625" name="Conexão6811" type="4" refreshedVersion="3" deleted="1" background="1" saveData="1">
    <webPr xl2000="1" htmlTables="1" htmlFormat="all"/>
  </connection>
  <connection id="62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27" name="Conexão691" type="4" refreshedVersion="3" deleted="1" background="1" saveData="1">
    <webPr xl2000="1" htmlTables="1" htmlFormat="all"/>
  </connection>
  <connection id="628" name="Conexão6911" type="4" refreshedVersion="3" deleted="1" background="1" saveData="1">
    <webPr xl2000="1" htmlTables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31" name="Conexão701" type="4" refreshedVersion="3" deleted="1" background="1" saveData="1">
    <webPr xl2000="1" htmlTables="1" htmlFormat="all"/>
  </connection>
  <connection id="632" name="Conexão7011" type="4" refreshedVersion="3" deleted="1" background="1" saveData="1">
    <webPr xl2000="1" htmlTables="1" htmlFormat="all"/>
  </connection>
  <connection id="63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Tables="1" htmlFormat="all"/>
  </connection>
  <connection id="639" name="Conexão7121" type="4" refreshedVersion="3" deleted="1" background="1" saveData="1">
    <webPr xl2000="1" htmlTables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43" name="Conexão721" type="4" refreshedVersion="3" deleted="1" background="1" saveData="1">
    <webPr xl2000="1" htmlTables="1" htmlFormat="all"/>
  </connection>
  <connection id="644" name="Conexão7211" type="4" refreshedVersion="3" deleted="1" background="1" saveData="1">
    <webPr xl2000="1" htmlTables="1" htmlFormat="all"/>
  </connection>
  <connection id="64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46" name="Conexão731" type="4" refreshedVersion="3" deleted="1" background="1" saveData="1">
    <webPr xl2000="1" htmlTables="1" htmlFormat="all"/>
  </connection>
  <connection id="647" name="Conexão7311" type="4" refreshedVersion="3" deleted="1" background="1" saveData="1">
    <webPr xl2000="1" htmlTables="1" htmlFormat="all"/>
  </connection>
  <connection id="648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49" name="Conexão741" type="4" refreshedVersion="3" deleted="1" background="1" saveData="1">
    <webPr xl2000="1" htmlTables="1" htmlFormat="all"/>
  </connection>
  <connection id="650" name="Conexão7411" type="4" refreshedVersion="3" deleted="1" background="1" saveData="1">
    <webPr xl2000="1" htmlTables="1" htmlFormat="all"/>
  </connection>
  <connection id="65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2" name="Conexão751" type="4" refreshedVersion="3" deleted="1" background="1" saveData="1">
    <webPr xl2000="1" htmlTables="1" htmlFormat="all"/>
  </connection>
  <connection id="653" name="Conexão7511" type="4" refreshedVersion="3" deleted="1" background="1" saveData="1">
    <webPr xl2000="1" htmlTables="1" htmlFormat="all"/>
  </connection>
  <connection id="65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5" name="Conexão761" type="4" refreshedVersion="3" deleted="1" background="1" saveData="1">
    <webPr xl2000="1" htmlTables="1" htmlFormat="all"/>
  </connection>
  <connection id="656" name="Conexão7611" type="4" refreshedVersion="3" deleted="1" background="1" saveData="1">
    <webPr xl2000="1" htmlTables="1" htmlFormat="all"/>
  </connection>
  <connection id="65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8" name="Conexão771" type="4" refreshedVersion="3" deleted="1" background="1" saveData="1">
    <webPr xl2000="1" htmlTables="1" htmlFormat="all"/>
  </connection>
  <connection id="659" name="Conexão7711" type="4" refreshedVersion="3" deleted="1" background="1" saveData="1">
    <webPr xl2000="1" htmlTables="1" htmlFormat="all"/>
  </connection>
  <connection id="66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1" name="Conexão781" type="4" refreshedVersion="3" deleted="1" background="1" saveData="1">
    <webPr xl2000="1" htmlTables="1" htmlFormat="all"/>
  </connection>
  <connection id="662" name="Conexão7811" type="4" refreshedVersion="3" deleted="1" background="1" saveData="1">
    <webPr xl2000="1" htmlTables="1" htmlFormat="all"/>
  </connection>
  <connection id="66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4" name="Conexão791" type="4" refreshedVersion="3" deleted="1" background="1" saveData="1">
    <webPr xl2000="1" htmlTables="1" htmlFormat="all"/>
  </connection>
  <connection id="665" name="Conexão7911" type="4" refreshedVersion="3" deleted="1" background="1" saveData="1">
    <webPr xl2000="1" htmlTables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8" name="Conexão801" type="4" refreshedVersion="3" deleted="1" background="1" saveData="1">
    <webPr xl2000="1" htmlTables="1" htmlFormat="all"/>
  </connection>
  <connection id="669" name="Conexão8011" type="4" refreshedVersion="3" deleted="1" background="1" saveData="1">
    <webPr xl2000="1" htmlTables="1" htmlFormat="all"/>
  </connection>
  <connection id="670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Tables="1" htmlFormat="all"/>
  </connection>
  <connection id="676" name="Conexão8121" type="4" refreshedVersion="3" deleted="1" background="1" saveData="1">
    <webPr xl2000="1" htmlTables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682" name="Conexão821" type="4" refreshedVersion="3" deleted="1" background="1" saveData="1">
    <webPr xl2000="1" htmlTables="1" htmlFormat="all"/>
  </connection>
  <connection id="683" name="Conexão8211" type="4" refreshedVersion="3" deleted="1" background="1" saveData="1">
    <webPr xl2000="1" htmlTables="1" htmlFormat="all"/>
  </connection>
  <connection id="684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685" name="Conexão831" type="4" refreshedVersion="3" deleted="1" background="1" saveData="1">
    <webPr xl2000="1" htmlTables="1" htmlFormat="all"/>
  </connection>
  <connection id="686" name="Conexão8311" type="4" refreshedVersion="3" deleted="1" background="1" saveData="1">
    <webPr xl2000="1" htmlTables="1" htmlFormat="all"/>
  </connection>
  <connection id="687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688" name="Conexão841" type="4" refreshedVersion="3" deleted="1" background="1" saveData="1">
    <webPr xl2000="1" htmlTables="1" htmlFormat="all"/>
  </connection>
  <connection id="689" name="Conexão8411" type="4" refreshedVersion="3" deleted="1" background="1" saveData="1">
    <webPr xl2000="1" htmlTables="1" htmlFormat="all"/>
  </connection>
  <connection id="690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691" name="Conexão851" type="4" refreshedVersion="3" deleted="1" background="1" saveData="1">
    <webPr xl2000="1" htmlTables="1" htmlFormat="all"/>
  </connection>
  <connection id="692" name="Conexão8511" type="4" refreshedVersion="3" deleted="1" background="1" saveData="1">
    <webPr xl2000="1" htmlTables="1" htmlFormat="all"/>
  </connection>
  <connection id="693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694" name="Conexão861" type="4" refreshedVersion="3" deleted="1" background="1" saveData="1">
    <webPr xl2000="1" htmlTables="1" htmlFormat="all"/>
  </connection>
  <connection id="695" name="Conexão8611" type="4" refreshedVersion="3" deleted="1" background="1" saveData="1">
    <webPr xl2000="1" htmlTables="1" htmlFormat="all"/>
  </connection>
  <connection id="696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697" name="Conexão871" type="4" refreshedVersion="3" deleted="1" background="1" saveData="1">
    <webPr xl2000="1" htmlTables="1" htmlFormat="all"/>
  </connection>
  <connection id="698" name="Conexão8711" type="4" refreshedVersion="3" deleted="1" background="1" saveData="1">
    <webPr xl2000="1" htmlTables="1" htmlFormat="all"/>
  </connection>
  <connection id="699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21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2" name="Conexão991" type="4" refreshedVersion="3" deleted="1" background="1" saveData="1">
    <webPr xl2000="1" htmlTables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Tables="1" htmlFormat="all"/>
  </connection>
  <connection id="739" name="Connection141" type="4" refreshedVersion="4" deleted="1" background="1" saveData="1">
    <webPr xl2000="1" htmlTables="1" htmlFormat="all"/>
  </connection>
  <connection id="740" name="Connection142" type="4" refreshedVersion="4" deleted="1" background="1" saveData="1">
    <webPr xl2000="1" htmlTables="1" htmlFormat="all"/>
  </connection>
  <connection id="741" name="Connection15" type="4" refreshedVersion="4" deleted="1" background="1" saveData="1">
    <webPr xl2000="1" htmlTables="1" htmlFormat="all"/>
  </connection>
  <connection id="742" name="Connection151" type="4" refreshedVersion="4" deleted="1" background="1" saveData="1">
    <webPr xl2000="1" htmlTables="1" htmlFormat="all"/>
  </connection>
  <connection id="743" name="Connection16" type="4" refreshedVersion="4" deleted="1" background="1" saveData="1">
    <webPr xl2000="1" htmlTables="1" htmlFormat="all"/>
  </connection>
  <connection id="744" name="Connection161" type="4" refreshedVersion="4" deleted="1" background="1" saveData="1">
    <webPr xl2000="1" htmlTables="1" htmlFormat="all"/>
  </connection>
  <connection id="745" name="Connection17" type="4" refreshedVersion="4" deleted="1" background="1" saveData="1">
    <webPr xl2000="1" htmlTables="1" htmlFormat="all"/>
  </connection>
  <connection id="746" name="Connection171" type="4" refreshedVersion="4" deleted="1" background="1" saveData="1">
    <webPr xl2000="1" htmlTables="1" htmlFormat="all"/>
  </connection>
  <connection id="747" name="Connection18" type="4" refreshedVersion="4" deleted="1" background="1" saveData="1">
    <webPr xl2000="1" htmlTables="1" htmlFormat="all"/>
  </connection>
  <connection id="748" name="Connection181" type="4" refreshedVersion="4" deleted="1" background="1" saveData="1">
    <webPr xl2000="1" htmlTables="1" htmlFormat="all"/>
  </connection>
  <connection id="749" name="Connection19" type="4" refreshedVersion="4" deleted="1" background="1" saveData="1">
    <webPr xl2000="1" htmlTables="1" htmlFormat="all"/>
  </connection>
  <connection id="750" name="Connection191" type="4" refreshedVersion="4" deleted="1" background="1" saveData="1">
    <webPr xl2000="1" htmlTables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Tables="1" htmlFormat="all"/>
  </connection>
  <connection id="753" name="Connection201" type="4" refreshedVersion="4" deleted="1" background="1" saveData="1">
    <webPr xl2000="1" htmlTables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Tables="1" htmlFormat="all"/>
  </connection>
  <connection id="759" name="Connection231" type="4" refreshedVersion="4" deleted="1" background="1" saveData="1">
    <webPr xl2000="1" htmlTables="1" htmlFormat="all"/>
  </connection>
  <connection id="760" name="Connection24" type="4" refreshedVersion="4" deleted="1" background="1" saveData="1">
    <webPr xl2000="1" htmlTables="1" htmlFormat="all"/>
  </connection>
  <connection id="761" name="Connection241" type="4" refreshedVersion="4" deleted="1" background="1" saveData="1">
    <webPr xl2000="1" htmlTables="1" htmlFormat="all"/>
  </connection>
  <connection id="762" name="Connection25" type="4" refreshedVersion="4" deleted="1" background="1" saveData="1">
    <webPr xl2000="1" htmlTables="1" htmlFormat="all"/>
  </connection>
  <connection id="763" name="Connection251" type="4" refreshedVersion="4" deleted="1" background="1" saveData="1">
    <webPr xl2000="1" htmlTables="1" htmlFormat="all"/>
  </connection>
  <connection id="764" name="Connection26" type="4" refreshedVersion="4" deleted="1" background="1" saveData="1">
    <webPr xl2000="1" htmlTables="1" htmlFormat="all"/>
  </connection>
  <connection id="765" name="Connection261" type="4" refreshedVersion="4" deleted="1" background="1" saveData="1">
    <webPr xl2000="1" htmlTables="1" htmlFormat="all"/>
  </connection>
  <connection id="766" name="Connection27" type="4" refreshedVersion="4" deleted="1" background="1" saveData="1">
    <webPr xl2000="1" htmlTables="1" htmlFormat="all"/>
  </connection>
  <connection id="767" name="Connection271" type="4" refreshedVersion="4" deleted="1" background="1" saveData="1">
    <webPr xl2000="1" htmlTables="1" htmlFormat="all"/>
  </connection>
  <connection id="768" name="Connection28" type="4" refreshedVersion="4" deleted="1" background="1" saveData="1">
    <webPr xl2000="1" htmlTables="1" htmlFormat="all"/>
  </connection>
  <connection id="769" name="Connection281" type="4" refreshedVersion="4" deleted="1" background="1" saveData="1">
    <webPr xl2000="1" htmlTables="1" htmlFormat="all"/>
  </connection>
  <connection id="770" name="Connection29" type="4" refreshedVersion="4" deleted="1" background="1" saveData="1">
    <webPr xl2000="1" htmlTables="1" htmlFormat="all"/>
  </connection>
  <connection id="771" name="Connection291" type="4" refreshedVersion="4" deleted="1" background="1" saveData="1">
    <webPr xl2000="1" htmlTables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Tables="1" htmlFormat="all"/>
  </connection>
  <connection id="774" name="Connection301" type="4" refreshedVersion="4" deleted="1" background="1" saveData="1">
    <webPr xl2000="1" htmlTables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<sst xmlns="http://schemas.openxmlformats.org/spreadsheetml/2006/main" count="3265" uniqueCount="1265">
  <si>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</si>
  <si>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</si>
  <si>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</si>
  <si>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</si>
  <si>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</si>
  <si>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</si>
  <si>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</si>
  <si>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</si>
  <si>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</si>
  <si>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</si>
  <si>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</si>
  <si>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</si>
  <si>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</si>
  <si>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</si>
  <si>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</si>
  <si>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</si>
  <si>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</si>
  <si>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</si>
  <si>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</si>
  <si>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</si>
  <si>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</si>
  <si>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</si>
  <si>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</si>
  <si>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</si>
  <si>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</si>
  <si>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</si>
  <si>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</si>
  <si>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</si>
  <si>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</si>
  <si>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</si>
  <si>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</si>
  <si>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</si>
  <si>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</si>
  <si>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</si>
  <si>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</si>
  <si>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</si>
  <si>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</si>
  <si>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</si>
  <si>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</si>
  <si>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</si>
  <si>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</si>
  <si>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</si>
  <si>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</si>
  <si>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</si>
  <si>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</si>
  <si>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</si>
  <si>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</si>
  <si>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</si>
  <si>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</si>
  <si>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</si>
  <si>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</si>
  <si>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</si>
  <si>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</si>
  <si>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</si>
  <si>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</si>
  <si>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</si>
  <si>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</si>
  <si>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</si>
  <si>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</si>
  <si>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</si>
  <si>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</si>
  <si>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</si>
  <si>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</si>
  <si>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</si>
  <si>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</si>
  <si>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</si>
  <si>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</si>
  <si>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</si>
  <si>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</si>
  <si>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</si>
  <si>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</si>
  <si>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</si>
  <si>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</si>
  <si>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</si>
  <si>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</si>
  <si>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</si>
  <si>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</si>
  <si>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</si>
  <si>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</si>
  <si>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</si>
  <si>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</si>
  <si>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</si>
  <si>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</si>
  <si>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</si>
  <si>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</si>
  <si>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</si>
  <si>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</si>
  <si>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</si>
  <si>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</si>
  <si>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</si>
  <si>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</si>
  <si>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</si>
  <si>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</si>
  <si>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</si>
  <si>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</si>
  <si>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</si>
  <si>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</si>
  <si>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</si>
  <si>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</si>
  <si>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</si>
  <si>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</si>
  <si>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</si>
  <si>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</si>
  <si>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</si>
  <si>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</si>
  <si>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</si>
  <si>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</si>
  <si>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</si>
  <si>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</si>
  <si>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</si>
  <si>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</si>
  <si>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</si>
  <si>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</si>
  <si>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</si>
  <si>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</si>
  <si>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</si>
  <si>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</si>
  <si>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</si>
  <si>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</si>
  <si>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</si>
  <si>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</si>
  <si>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</si>
  <si>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</si>
  <si>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</si>
  <si>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</si>
  <si>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</si>
  <si>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</si>
  <si>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</si>
  <si>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</si>
  <si>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</si>
  <si>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</si>
  <si>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</si>
  <si>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</si>
  <si>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</si>
  <si>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</si>
  <si>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</si>
  <si>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</si>
  <si>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</si>
  <si>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</si>
  <si>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</si>
  <si>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</si>
  <si>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</si>
  <si>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</si>
  <si>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</si>
  <si>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</si>
  <si>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</si>
  <si>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</si>
  <si>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</si>
  <si>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</si>
  <si>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</si>
  <si>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</si>
  <si>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</si>
  <si>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</si>
  <si>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</si>
  <si>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</si>
  <si>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</si>
  <si>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</si>
  <si>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</si>
  <si>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</si>
  <si>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</si>
  <si>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</si>
  <si>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</si>
  <si>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</si>
  <si>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</si>
  <si>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</si>
  <si>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</si>
  <si>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</si>
  <si>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</si>
  <si>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</si>
  <si>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</si>
  <si>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</si>
  <si>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</si>
  <si>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</si>
  <si>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</si>
  <si>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</si>
  <si>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</si>
  <si>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</si>
  <si>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</si>
  <si>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</si>
  <si>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</si>
  <si>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</si>
  <si>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</si>
  <si>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</si>
  <si>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</si>
  <si>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</si>
  <si>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</si>
  <si>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</si>
  <si>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</si>
  <si>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</si>
  <si>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</si>
  <si>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</si>
  <si>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</si>
  <si>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</si>
  <si>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</si>
  <si>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</si>
  <si>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</si>
  <si>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</si>
  <si>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</si>
  <si>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</si>
  <si>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</si>
  <si>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</si>
  <si>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</si>
  <si>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</si>
  <si>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</si>
  <si>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</si>
  <si>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</si>
  <si>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</si>
  <si>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</si>
  <si>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</si>
  <si>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</si>
  <si>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</si>
  <si>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</si>
  <si>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</si>
  <si>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</si>
  <si>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</si>
  <si>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</si>
  <si>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</si>
  <si>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</si>
  <si>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</si>
  <si>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</si>
  <si>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</si>
  <si>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</si>
  <si>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</si>
  <si>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</si>
  <si>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</si>
  <si>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</si>
  <si>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</si>
  <si>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</si>
  <si>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</si>
  <si>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</si>
  <si>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</si>
  <si>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</si>
  <si>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</si>
  <si>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</si>
  <si>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</si>
  <si>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</si>
  <si>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</si>
  <si>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</si>
  <si>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</si>
  <si>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</si>
  <si>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</si>
  <si>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</si>
  <si>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</si>
  <si>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</si>
  <si>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</si>
  <si>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</si>
  <si>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</si>
  <si>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</si>
  <si>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</si>
  <si>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</si>
  <si>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</si>
  <si>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</si>
  <si>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</si>
  <si>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</si>
  <si>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</si>
  <si>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</si>
  <si>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</si>
  <si>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</si>
  <si>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</si>
  <si>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</si>
  <si>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</si>
  <si>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</si>
  <si>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</si>
  <si>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</si>
  <si>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</si>
  <si>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</si>
  <si>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</si>
  <si>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</si>
  <si>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</si>
  <si>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</si>
  <si>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</si>
  <si>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</si>
  <si>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</si>
  <si>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</si>
  <si>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</si>
  <si>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</si>
  <si>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</si>
  <si>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</si>
  <si>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</si>
  <si>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</si>
  <si>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</si>
  <si>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</si>
  <si>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</si>
  <si>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</si>
  <si>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</si>
  <si>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</si>
  <si>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</si>
  <si>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</si>
  <si>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</si>
  <si>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</si>
  <si>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</si>
  <si>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</si>
  <si>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</si>
  <si>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</si>
  <si>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</si>
  <si>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</si>
  <si>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</si>
  <si>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</si>
  <si>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</si>
  <si>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</si>
  <si>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</si>
  <si>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</si>
  <si>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</si>
  <si>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</si>
  <si>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</si>
  <si>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</si>
  <si>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</si>
  <si>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</si>
  <si>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</si>
  <si>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</si>
  <si>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</si>
  <si>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</si>
  <si>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</si>
  <si>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</si>
  <si>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</si>
  <si>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</si>
  <si>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</si>
  <si>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</si>
  <si>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</si>
  <si>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</si>
  <si>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</si>
  <si>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</si>
  <si>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</si>
  <si>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</si>
  <si>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</si>
  <si>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</si>
  <si>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</si>
  <si>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</si>
  <si>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</si>
  <si>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</si>
  <si>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</si>
  <si>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</si>
  <si>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</si>
  <si>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</si>
  <si>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</si>
  <si>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</si>
  <si>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</si>
  <si>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</si>
  <si>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</si>
  <si>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</si>
  <si>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</si>
  <si>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</si>
  <si>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</si>
  <si>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</si>
  <si>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</si>
  <si>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</si>
  <si>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</si>
  <si>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</si>
  <si>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</si>
  <si>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</si>
  <si>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</si>
  <si>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</si>
  <si>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</si>
  <si>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</si>
  <si>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</si>
  <si>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</si>
  <si>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</si>
  <si>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</si>
  <si>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</si>
  <si>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</si>
  <si>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</si>
  <si>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</si>
  <si>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</si>
  <si>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</si>
  <si>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</si>
  <si>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</si>
  <si>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</si>
  <si>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</si>
  <si>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</si>
  <si>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</si>
  <si>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</si>
  <si>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</si>
  <si>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</si>
  <si>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</si>
  <si>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</si>
  <si>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</si>
  <si>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</si>
  <si>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</si>
  <si>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</si>
  <si>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</si>
  <si>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</si>
  <si>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</si>
  <si>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</si>
  <si>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</si>
  <si>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</si>
  <si>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</si>
  <si>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</si>
  <si>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</si>
  <si>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</si>
  <si>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</si>
  <si>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</si>
  <si>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</si>
  <si>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</si>
  <si>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</si>
  <si>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</si>
  <si>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</si>
  <si>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</si>
  <si>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</si>
  <si>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</si>
  <si>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</si>
  <si>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</si>
  <si>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</si>
  <si>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</si>
  <si>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</si>
  <si>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</si>
  <si>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</si>
  <si>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</si>
  <si>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</si>
  <si>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</si>
  <si>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</si>
  <si>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</si>
  <si>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Soma de Dividendo / Ação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</si>
  <si>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</si>
  <si>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</si>
  <si>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</si>
  <si>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</si>
  <si>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</si>
  <si>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</si>
  <si>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</si>
  <si>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</si>
  <si>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</si>
  <si>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</si>
  <si>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</si>
  <si>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</si>
  <si>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</si>
  <si>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</si>
  <si>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</si>
  <si>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</si>
  <si>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</si>
  <si>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</si>
  <si>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6.58</t>
  </si>
  <si>
    <t>43.25</t>
  </si>
  <si>
    <t>5.97</t>
  </si>
  <si>
    <t>3.81</t>
  </si>
  <si>
    <t>19.50</t>
  </si>
  <si>
    <t>2.99</t>
  </si>
  <si>
    <t>BANESE      -ON</t>
  </si>
  <si>
    <t>BANESE      -PN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</si>
  <si>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</si>
  <si>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</si>
  <si>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</si>
  <si>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</si>
  <si>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</si>
  <si>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</si>
  <si>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</si>
  <si>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12.20</t>
  </si>
  <si>
    <t>6.80</t>
  </si>
  <si>
    <t>15.00</t>
  </si>
  <si>
    <t>0.12</t>
  </si>
  <si>
    <t>0.66</t>
  </si>
  <si>
    <t>20.00</t>
  </si>
  <si>
    <t>3.15</t>
  </si>
  <si>
    <t>3.40</t>
  </si>
  <si>
    <t>27.50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</si>
  <si>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</si>
  <si>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</si>
  <si>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</si>
  <si>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</si>
  <si>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</si>
  <si>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</si>
  <si>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</si>
  <si>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</si>
  <si>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</si>
  <si>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</si>
  <si>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</si>
  <si>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</si>
  <si>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</si>
  <si>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</si>
  <si>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</si>
  <si>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</si>
  <si>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</si>
  <si>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</si>
  <si>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</si>
  <si>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</si>
  <si>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</si>
  <si>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</si>
  <si>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</si>
  <si>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27.00</t>
  </si>
  <si>
    <t>Lucro</t>
  </si>
  <si>
    <t>Lucro Dist./Ação</t>
  </si>
  <si>
    <t>Lucro Payout</t>
  </si>
  <si>
    <t>PINE3</t>
  </si>
  <si>
    <t>16.60</t>
  </si>
  <si>
    <t>0.13</t>
  </si>
  <si>
    <t>0.49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</si>
  <si>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</si>
  <si>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</si>
  <si>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</si>
  <si>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</si>
  <si>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</si>
  <si>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</si>
  <si>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</si>
  <si>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</si>
  <si>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</si>
  <si>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</si>
  <si>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</si>
  <si>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</si>
  <si>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</si>
  <si>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</si>
  <si>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</si>
  <si>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</si>
  <si>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</si>
  <si>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</si>
  <si>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</si>
  <si>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</si>
  <si>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</si>
  <si>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</si>
  <si>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</si>
  <si>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</si>
  <si>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</si>
  <si>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</si>
  <si>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</si>
  <si>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</si>
  <si>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</si>
  <si>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</si>
  <si>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1.25</t>
  </si>
  <si>
    <t>1.20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</si>
  <si>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</si>
  <si>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</si>
  <si>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</si>
  <si>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</si>
  <si>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</si>
  <si>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</si>
  <si>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</si>
  <si>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</si>
  <si>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</si>
  <si>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</si>
  <si>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</si>
  <si>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4.15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</si>
  <si>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</si>
  <si>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</si>
  <si>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</si>
  <si>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</si>
  <si>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</si>
  <si>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</si>
  <si>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</si>
  <si>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</si>
  <si>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26.99</t>
  </si>
  <si>
    <t>1.59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</si>
  <si>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</si>
  <si>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</si>
  <si>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</si>
  <si>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</si>
  <si>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</si>
  <si>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</si>
  <si>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</si>
  <si>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</si>
  <si>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</si>
  <si>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</si>
  <si>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</si>
  <si>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</si>
  <si>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</si>
  <si>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>17.13</t>
  </si>
  <si>
    <t xml:space="preserve">CEEE-D      -ON  </t>
  </si>
  <si>
    <t>1.50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</si>
  <si>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</si>
  <si>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</si>
  <si>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</si>
  <si>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</si>
  <si>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</si>
  <si>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</si>
  <si>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</si>
  <si>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</si>
  <si>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</si>
  <si>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</si>
  <si>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</si>
  <si>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</si>
  <si>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</si>
  <si>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</si>
  <si>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</si>
  <si>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</si>
  <si>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</si>
  <si>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</si>
  <si>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</si>
  <si>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</si>
  <si>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</si>
  <si>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</si>
  <si>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</si>
  <si>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</si>
  <si>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</si>
  <si>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</si>
  <si>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</si>
  <si>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</si>
  <si>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</si>
  <si>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</si>
  <si>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</si>
  <si>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</si>
  <si>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</si>
  <si>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90.00</t>
  </si>
  <si>
    <t>INET3</t>
  </si>
  <si>
    <t>INEPAR TEL  -ON</t>
  </si>
  <si>
    <t>0.16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</si>
  <si>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</si>
  <si>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</si>
  <si>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</si>
  <si>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</si>
  <si>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</si>
  <si>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</si>
  <si>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</si>
  <si>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</si>
  <si>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</si>
  <si>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</si>
  <si>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</si>
  <si>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</si>
  <si>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</si>
  <si>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</si>
  <si>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</si>
  <si>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</si>
  <si>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</si>
  <si>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</si>
  <si>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</si>
  <si>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</si>
  <si>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</si>
  <si>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</si>
  <si>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</si>
  <si>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</si>
  <si>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</si>
  <si>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</si>
  <si>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</si>
  <si>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</si>
  <si>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</si>
  <si>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</si>
  <si>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</si>
  <si>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</si>
  <si>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</si>
  <si>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</si>
  <si>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</si>
  <si>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</si>
  <si>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</si>
  <si>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</si>
  <si>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</si>
  <si>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</si>
  <si>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</si>
  <si>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</si>
  <si>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</si>
  <si>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</si>
  <si>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</si>
  <si>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</si>
  <si>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</si>
  <si>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</si>
  <si>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</si>
  <si>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</si>
  <si>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</si>
  <si>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</si>
  <si>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</si>
  <si>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</si>
  <si>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</si>
  <si>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</si>
  <si>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</si>
  <si>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</si>
  <si>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</si>
  <si>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</si>
  <si>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</si>
  <si>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</si>
  <si>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</si>
  <si>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</si>
  <si>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</si>
  <si>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</si>
  <si>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</si>
  <si>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</si>
  <si>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</si>
  <si>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</si>
  <si>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</si>
  <si>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</si>
  <si>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</si>
  <si>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</si>
  <si>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</si>
  <si>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</si>
  <si>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</si>
  <si>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</si>
  <si>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</si>
  <si>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</si>
  <si>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</si>
  <si>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</si>
  <si>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</si>
  <si>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</si>
  <si>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</si>
  <si>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</si>
  <si>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</si>
  <si>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</si>
  <si>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</si>
  <si>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</si>
  <si>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</si>
  <si>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</si>
  <si>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</si>
  <si>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</si>
  <si>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</si>
  <si>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</si>
  <si>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</si>
  <si>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</si>
  <si>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</si>
  <si>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</si>
  <si>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0.58</t>
  </si>
  <si>
    <t>DUQE3</t>
  </si>
  <si>
    <t>DUQE4</t>
  </si>
  <si>
    <t>MET DUQUE   -ON</t>
  </si>
  <si>
    <t>28.00</t>
  </si>
  <si>
    <t>MET DUQUE   -PN</t>
  </si>
  <si>
    <t>5.90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</si>
  <si>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</si>
  <si>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</si>
  <si>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</si>
  <si>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</si>
  <si>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</si>
  <si>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</si>
  <si>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</si>
  <si>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</si>
  <si>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</si>
  <si>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</si>
  <si>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</si>
  <si>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</si>
  <si>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</si>
  <si>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</si>
  <si>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</si>
  <si>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</si>
  <si>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</si>
  <si>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</si>
  <si>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</si>
  <si>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</si>
  <si>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27.95</t>
  </si>
  <si>
    <t>COELBA      -ON</t>
  </si>
  <si>
    <t>COELBA      -PNA</t>
  </si>
  <si>
    <t>COSERN      -ON</t>
  </si>
  <si>
    <t>COSERN      -PNA</t>
  </si>
  <si>
    <t>COSERN      -PNB</t>
  </si>
  <si>
    <t>12.50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</si>
  <si>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</si>
  <si>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</si>
  <si>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</si>
  <si>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</si>
  <si>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</si>
  <si>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</si>
  <si>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</si>
  <si>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</si>
  <si>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</si>
  <si>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</si>
  <si>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>0.20</t>
  </si>
  <si>
    <t xml:space="preserve">CCX CARVAO  -ON  </t>
  </si>
  <si>
    <t>VALE3</t>
  </si>
  <si>
    <t>MMXM3</t>
  </si>
  <si>
    <t xml:space="preserve">MMX MINER   -ON  </t>
  </si>
  <si>
    <t>0.67</t>
  </si>
  <si>
    <t>0.68</t>
  </si>
  <si>
    <t>SNSY3</t>
  </si>
  <si>
    <t>SNSY5</t>
  </si>
  <si>
    <t>SNSY6</t>
  </si>
  <si>
    <t>12.70</t>
  </si>
  <si>
    <t>8.90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</si>
  <si>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</si>
  <si>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</si>
  <si>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</si>
  <si>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</si>
  <si>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</si>
  <si>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</si>
  <si>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</si>
  <si>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</si>
  <si>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</si>
  <si>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</si>
  <si>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</si>
  <si>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</si>
  <si>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</si>
  <si>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</si>
  <si>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</si>
  <si>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</si>
  <si>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</si>
  <si>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</si>
  <si>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</si>
  <si>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</si>
  <si>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</si>
  <si>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</si>
  <si>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</si>
  <si>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</si>
  <si>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</si>
  <si>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</si>
  <si>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GPIV33</t>
  </si>
  <si>
    <t>GP INVEST   -DR3</t>
  </si>
  <si>
    <t>0.45</t>
  </si>
  <si>
    <t>19.80</t>
  </si>
  <si>
    <t>12.45</t>
  </si>
  <si>
    <t>0.69</t>
  </si>
  <si>
    <t>8.71</t>
  </si>
  <si>
    <t>8.27</t>
  </si>
  <si>
    <t>158.00</t>
  </si>
  <si>
    <t>0.56</t>
  </si>
  <si>
    <t>8.67</t>
  </si>
  <si>
    <t>PEAB3</t>
  </si>
  <si>
    <t>PEAB4</t>
  </si>
  <si>
    <t>1.51</t>
  </si>
  <si>
    <t>44.00</t>
  </si>
  <si>
    <t>9.01</t>
  </si>
  <si>
    <t>13.50</t>
  </si>
  <si>
    <t>21.46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</si>
  <si>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</si>
  <si>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</si>
  <si>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</si>
  <si>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</si>
  <si>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</si>
  <si>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</si>
  <si>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17.19</t>
  </si>
  <si>
    <t>BTTL3</t>
  </si>
  <si>
    <t>BTTL4</t>
  </si>
  <si>
    <t>BATTISTELLA -ON</t>
  </si>
  <si>
    <t>BATTISTELLA -PN</t>
  </si>
  <si>
    <t>0.82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</si>
  <si>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</si>
  <si>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</si>
  <si>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</si>
  <si>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</si>
  <si>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</si>
  <si>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</si>
  <si>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</si>
  <si>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</si>
  <si>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</si>
  <si>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</si>
  <si>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</si>
  <si>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</si>
  <si>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0.28</t>
  </si>
  <si>
    <t>J B DUARTE  -PN</t>
  </si>
  <si>
    <t>0.24</t>
  </si>
  <si>
    <t>0.31</t>
  </si>
  <si>
    <t>7.07</t>
  </si>
  <si>
    <t>9.08</t>
  </si>
  <si>
    <t>12.60</t>
  </si>
  <si>
    <t>20.30</t>
  </si>
  <si>
    <t>4.90</t>
  </si>
  <si>
    <t>16.85</t>
  </si>
  <si>
    <t>18.28</t>
  </si>
  <si>
    <t>8.74</t>
  </si>
  <si>
    <t>4.35</t>
  </si>
  <si>
    <t>20.04</t>
  </si>
  <si>
    <t>14.02</t>
  </si>
  <si>
    <t>13.90</t>
  </si>
  <si>
    <t>AGRO3</t>
  </si>
  <si>
    <t>CORR3</t>
  </si>
  <si>
    <t>CORR4</t>
  </si>
  <si>
    <t>12.22</t>
  </si>
  <si>
    <t>12.09</t>
  </si>
  <si>
    <t>1.45</t>
  </si>
  <si>
    <t>1.43</t>
  </si>
  <si>
    <t>2.63</t>
  </si>
  <si>
    <t>10.30</t>
  </si>
  <si>
    <t>8.69</t>
  </si>
  <si>
    <t>20.10</t>
  </si>
  <si>
    <t>17.37</t>
  </si>
  <si>
    <t>16.99</t>
  </si>
  <si>
    <t>25.80</t>
  </si>
  <si>
    <t>26.50</t>
  </si>
  <si>
    <t>5.00</t>
  </si>
  <si>
    <t>4.74</t>
  </si>
  <si>
    <t>1.06</t>
  </si>
  <si>
    <t>30.23</t>
  </si>
  <si>
    <t>0.77</t>
  </si>
  <si>
    <t>0.85</t>
  </si>
  <si>
    <t>0.23</t>
  </si>
  <si>
    <t xml:space="preserve">BRASILAGRO  -ON  </t>
  </si>
  <si>
    <t>8.80</t>
  </si>
  <si>
    <t>COR RIBEIRO -ON</t>
  </si>
  <si>
    <t>COR RIBEIRO -PN</t>
  </si>
  <si>
    <t>210.01</t>
  </si>
  <si>
    <t>7.50</t>
  </si>
  <si>
    <t>7.68</t>
  </si>
  <si>
    <t>28.59</t>
  </si>
  <si>
    <t>0.44</t>
  </si>
  <si>
    <t>0.43</t>
  </si>
  <si>
    <t>43.02</t>
  </si>
  <si>
    <t xml:space="preserve">ALFA CONSORC-PNE </t>
  </si>
  <si>
    <t xml:space="preserve">ALFA CONSORC-PNA </t>
  </si>
  <si>
    <t xml:space="preserve">ALFA CONSORC-PNB </t>
  </si>
  <si>
    <t xml:space="preserve">ALFA CONSORC-PNC </t>
  </si>
  <si>
    <t xml:space="preserve">ALFA CONSORC-PND </t>
  </si>
  <si>
    <t xml:space="preserve">ALFA INVEST -ON  </t>
  </si>
  <si>
    <t>6.61</t>
  </si>
  <si>
    <t xml:space="preserve">ALFA INVEST -PN  </t>
  </si>
  <si>
    <t>5.22</t>
  </si>
  <si>
    <t>21.91</t>
  </si>
  <si>
    <t>21.60</t>
  </si>
  <si>
    <t>7.61</t>
  </si>
  <si>
    <t>5.25</t>
  </si>
  <si>
    <t>5.27</t>
  </si>
  <si>
    <t>8.96</t>
  </si>
  <si>
    <t>9.75</t>
  </si>
  <si>
    <t>9.70</t>
  </si>
  <si>
    <t>18.65</t>
  </si>
  <si>
    <t>9.95</t>
  </si>
  <si>
    <t>8.20</t>
  </si>
  <si>
    <t>26.47</t>
  </si>
  <si>
    <t>8.42</t>
  </si>
  <si>
    <t>11.84</t>
  </si>
  <si>
    <t>3.45</t>
  </si>
  <si>
    <t xml:space="preserve">ALFA HOLDING-PNA </t>
  </si>
  <si>
    <t>23.50</t>
  </si>
  <si>
    <t>8.86</t>
  </si>
  <si>
    <t>8.00</t>
  </si>
  <si>
    <t>45.79</t>
  </si>
  <si>
    <t>45.80</t>
  </si>
  <si>
    <t>0.64</t>
  </si>
  <si>
    <t>15.04</t>
  </si>
  <si>
    <t>21.36</t>
  </si>
  <si>
    <t>43.42</t>
  </si>
  <si>
    <t>18.51</t>
  </si>
  <si>
    <t>18.78</t>
  </si>
  <si>
    <t>19.13</t>
  </si>
  <si>
    <t>10.15</t>
  </si>
  <si>
    <t>16.30</t>
  </si>
  <si>
    <t>17.47</t>
  </si>
  <si>
    <t>17.12</t>
  </si>
  <si>
    <t>20.45</t>
  </si>
  <si>
    <t>1.18</t>
  </si>
  <si>
    <t>38.44</t>
  </si>
  <si>
    <t>3.89</t>
  </si>
  <si>
    <t xml:space="preserve">ALFA FINANC -PN  </t>
  </si>
  <si>
    <t>36.20</t>
  </si>
  <si>
    <t>22.96</t>
  </si>
  <si>
    <t>12.33</t>
  </si>
  <si>
    <t>8.50</t>
  </si>
  <si>
    <t>8.40</t>
  </si>
  <si>
    <t>6.18</t>
  </si>
  <si>
    <t>17.18</t>
  </si>
  <si>
    <t>17.55</t>
  </si>
  <si>
    <t>8.25</t>
  </si>
  <si>
    <t>4.83</t>
  </si>
  <si>
    <t>9.48</t>
  </si>
  <si>
    <t>9.30</t>
  </si>
  <si>
    <t>13.59</t>
  </si>
  <si>
    <t>2.25</t>
  </si>
  <si>
    <t>2.30</t>
  </si>
  <si>
    <t>12.54</t>
  </si>
  <si>
    <t>14.73</t>
  </si>
  <si>
    <t>28.63</t>
  </si>
  <si>
    <t>3.20</t>
  </si>
  <si>
    <t>3.01</t>
  </si>
  <si>
    <t>51.00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</si>
  <si>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</si>
  <si>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</si>
  <si>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</si>
  <si>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</si>
  <si>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</si>
  <si>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</si>
  <si>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</si>
  <si>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</si>
  <si>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</si>
  <si>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</si>
  <si>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14.65</t>
  </si>
  <si>
    <t>FLRY3</t>
  </si>
  <si>
    <t xml:space="preserve">FLEURY      -ON  </t>
  </si>
  <si>
    <t>ODPV3</t>
  </si>
  <si>
    <t xml:space="preserve">ODONTOPREV  -ON  </t>
  </si>
  <si>
    <t>8.99</t>
  </si>
  <si>
    <t>QUAL3</t>
  </si>
  <si>
    <t xml:space="preserve">QUALICORP   -ON  </t>
  </si>
  <si>
    <t>20.92</t>
  </si>
  <si>
    <t>21.20</t>
  </si>
  <si>
    <t>BIOM3M</t>
  </si>
  <si>
    <t xml:space="preserve">BIOMM       -ON  </t>
  </si>
  <si>
    <t>9.45</t>
  </si>
  <si>
    <t>CREM3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</si>
  <si>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</t>
  </si>
  <si>
    <t xml:space="preserve">CREMER      -ON  </t>
  </si>
  <si>
    <t>Consumo não Cíclico / Saúde / Medicamentos e Outros Produtos</t>
  </si>
  <si>
    <t>11.91</t>
  </si>
  <si>
    <t>11.90</t>
  </si>
  <si>
    <t>12.17</t>
  </si>
  <si>
    <t>11.86</t>
  </si>
  <si>
    <t>21.43</t>
  </si>
  <si>
    <t>28.60</t>
  </si>
  <si>
    <t>29.01</t>
  </si>
  <si>
    <t>28.46</t>
  </si>
  <si>
    <t>26.45</t>
  </si>
  <si>
    <t>26.69</t>
  </si>
  <si>
    <t>26.20</t>
  </si>
  <si>
    <t>7.26</t>
  </si>
  <si>
    <t>7.24</t>
  </si>
  <si>
    <t>7.32</t>
  </si>
  <si>
    <t>7.22</t>
  </si>
  <si>
    <t>5.50</t>
  </si>
  <si>
    <t>11.38</t>
  </si>
  <si>
    <t>11.18</t>
  </si>
  <si>
    <t>11.64</t>
  </si>
  <si>
    <t>11.10</t>
  </si>
  <si>
    <t>31.00</t>
  </si>
  <si>
    <t>19.77</t>
  </si>
  <si>
    <t>19.64</t>
  </si>
  <si>
    <t>19.23</t>
  </si>
  <si>
    <t>21.72</t>
  </si>
  <si>
    <t>21.92</t>
  </si>
  <si>
    <t>21.29</t>
  </si>
  <si>
    <t>15.51</t>
  </si>
  <si>
    <t>15.40</t>
  </si>
  <si>
    <t>15.64</t>
  </si>
  <si>
    <t>14.10</t>
  </si>
  <si>
    <t>13.81</t>
  </si>
  <si>
    <t>13.71</t>
  </si>
  <si>
    <t>13.68</t>
  </si>
  <si>
    <t>13.47</t>
  </si>
  <si>
    <t>13.74</t>
  </si>
  <si>
    <t>13.37</t>
  </si>
  <si>
    <t>47.99</t>
  </si>
  <si>
    <t>48.20</t>
  </si>
  <si>
    <t>47.90</t>
  </si>
  <si>
    <t>48.01</t>
  </si>
  <si>
    <t>47.79</t>
  </si>
  <si>
    <t>48.10</t>
  </si>
  <si>
    <t>18.44</t>
  </si>
  <si>
    <t>18.19</t>
  </si>
  <si>
    <t>21.14</t>
  </si>
  <si>
    <t>29.48</t>
  </si>
  <si>
    <t>28.92</t>
  </si>
  <si>
    <t>29.94</t>
  </si>
  <si>
    <t>28.88</t>
  </si>
  <si>
    <t>32.71</t>
  </si>
  <si>
    <t>32.53</t>
  </si>
  <si>
    <t>32.84</t>
  </si>
  <si>
    <t>31.71</t>
  </si>
  <si>
    <t>7.65</t>
  </si>
  <si>
    <t>7.75</t>
  </si>
  <si>
    <t>7.79</t>
  </si>
  <si>
    <t>5.07</t>
  </si>
  <si>
    <t>9.02</t>
  </si>
  <si>
    <t>8.82</t>
  </si>
  <si>
    <t>8.68</t>
  </si>
  <si>
    <t>8.98</t>
  </si>
  <si>
    <t>5.04</t>
  </si>
  <si>
    <t>12.40</t>
  </si>
  <si>
    <t>14.97</t>
  </si>
  <si>
    <t>22.95</t>
  </si>
  <si>
    <t>22.50</t>
  </si>
  <si>
    <t>23.21</t>
  </si>
  <si>
    <t>12.90</t>
  </si>
  <si>
    <t>12.72</t>
  </si>
  <si>
    <t>12.94</t>
  </si>
  <si>
    <t>61.49</t>
  </si>
  <si>
    <t>56.66</t>
  </si>
  <si>
    <t>16.98</t>
  </si>
  <si>
    <t>16.61</t>
  </si>
  <si>
    <t>16.49</t>
  </si>
  <si>
    <t>18.25</t>
  </si>
  <si>
    <t>18.34</t>
  </si>
  <si>
    <t>17.91</t>
  </si>
  <si>
    <t>9.60</t>
  </si>
  <si>
    <t>8.37</t>
  </si>
  <si>
    <t>8.43</t>
  </si>
  <si>
    <t>26.65</t>
  </si>
  <si>
    <t>27.10</t>
  </si>
  <si>
    <t>27.33</t>
  </si>
  <si>
    <t>29.40</t>
  </si>
  <si>
    <t>29.85</t>
  </si>
  <si>
    <t>29.98</t>
  </si>
  <si>
    <t>29.16</t>
  </si>
  <si>
    <t>12.42</t>
  </si>
  <si>
    <t>12.71</t>
  </si>
  <si>
    <t>19.45</t>
  </si>
  <si>
    <t>19.40</t>
  </si>
  <si>
    <t>19.20</t>
  </si>
  <si>
    <t>8.33</t>
  </si>
  <si>
    <t>8.44</t>
  </si>
  <si>
    <t>11.60</t>
  </si>
  <si>
    <t>28.98</t>
  </si>
  <si>
    <t>28.31</t>
  </si>
  <si>
    <t>29.06</t>
  </si>
  <si>
    <t>28.17</t>
  </si>
  <si>
    <t>5.79</t>
  </si>
  <si>
    <t>5.70</t>
  </si>
  <si>
    <t>22.70</t>
  </si>
  <si>
    <t>23.87</t>
  </si>
  <si>
    <t>22.69</t>
  </si>
  <si>
    <t>9.05</t>
  </si>
  <si>
    <t>9.15</t>
  </si>
  <si>
    <t>9.20</t>
  </si>
  <si>
    <t>17.54</t>
  </si>
  <si>
    <t>18.10</t>
  </si>
  <si>
    <t>18.14</t>
  </si>
  <si>
    <t>17.41</t>
  </si>
  <si>
    <t>33.71</t>
  </si>
  <si>
    <t>33.80</t>
  </si>
  <si>
    <t>34.19</t>
  </si>
  <si>
    <t>33.54</t>
  </si>
  <si>
    <t>25.30</t>
  </si>
  <si>
    <t>25.33</t>
  </si>
  <si>
    <t>25.62</t>
  </si>
  <si>
    <t>25.11</t>
  </si>
  <si>
    <t>17.15</t>
  </si>
  <si>
    <t>17.43</t>
  </si>
  <si>
    <t>16.82</t>
  </si>
  <si>
    <t>15.45</t>
  </si>
  <si>
    <t>15.30</t>
  </si>
  <si>
    <t>15.86</t>
  </si>
  <si>
    <t>15.15</t>
  </si>
  <si>
    <t>4.75</t>
  </si>
  <si>
    <t>4.56</t>
  </si>
  <si>
    <t>4.95</t>
  </si>
  <si>
    <t>23.45</t>
  </si>
  <si>
    <t>23.03</t>
  </si>
  <si>
    <t>23.57</t>
  </si>
  <si>
    <t>22.91</t>
  </si>
  <si>
    <t>17.61</t>
  </si>
  <si>
    <t>17.51</t>
  </si>
  <si>
    <t>21.19</t>
  </si>
  <si>
    <t>21.45</t>
  </si>
  <si>
    <t>20.88</t>
  </si>
  <si>
    <t>43.41</t>
  </si>
  <si>
    <t>43.98</t>
  </si>
  <si>
    <t>19.09</t>
  </si>
  <si>
    <t>18.53</t>
  </si>
  <si>
    <t>14.40</t>
  </si>
  <si>
    <t>14.37</t>
  </si>
  <si>
    <t>18.84</t>
  </si>
  <si>
    <t>18.63</t>
  </si>
  <si>
    <t>19.28</t>
  </si>
  <si>
    <t>18.46</t>
  </si>
  <si>
    <t>16.34</t>
  </si>
  <si>
    <t>16.56</t>
  </si>
  <si>
    <t>16.15</t>
  </si>
  <si>
    <t>17.07</t>
  </si>
  <si>
    <t>9.90</t>
  </si>
  <si>
    <t>9.99</t>
  </si>
  <si>
    <t>64.02</t>
  </si>
  <si>
    <t>63.00</t>
  </si>
  <si>
    <t>64.57</t>
  </si>
  <si>
    <t>62.60</t>
  </si>
  <si>
    <t>3.84</t>
  </si>
  <si>
    <t>36.62</t>
  </si>
  <si>
    <t>36.90</t>
  </si>
  <si>
    <t>22.89</t>
  </si>
  <si>
    <t>22.80</t>
  </si>
  <si>
    <t>22.63</t>
  </si>
  <si>
    <t>12.38</t>
  </si>
  <si>
    <t>12.23</t>
  </si>
  <si>
    <t>8.28</t>
  </si>
  <si>
    <t>8.22</t>
  </si>
  <si>
    <t>8.10</t>
  </si>
  <si>
    <t>8.06</t>
  </si>
  <si>
    <t>6.13</t>
  </si>
  <si>
    <t>6.08</t>
  </si>
  <si>
    <t>20.99</t>
  </si>
  <si>
    <t>20.94</t>
  </si>
  <si>
    <t>21.33</t>
  </si>
  <si>
    <t>20.71</t>
  </si>
  <si>
    <t>8.18</t>
  </si>
  <si>
    <t>5.31</t>
  </si>
  <si>
    <t>5.10</t>
  </si>
  <si>
    <t>5.32</t>
  </si>
  <si>
    <t>5.05</t>
  </si>
  <si>
    <t>5.46</t>
  </si>
  <si>
    <t>5.30</t>
  </si>
  <si>
    <t>45.69</t>
  </si>
  <si>
    <t>45.67</t>
  </si>
  <si>
    <t>46.75</t>
  </si>
  <si>
    <t>45.50</t>
  </si>
  <si>
    <t>4.69</t>
  </si>
  <si>
    <t>4.55</t>
  </si>
  <si>
    <t>4.50</t>
  </si>
  <si>
    <t>4.27</t>
  </si>
  <si>
    <t>4.04</t>
  </si>
  <si>
    <t>4.29</t>
  </si>
  <si>
    <t>14.17</t>
  </si>
  <si>
    <t>14.26</t>
  </si>
  <si>
    <t>13.92</t>
  </si>
  <si>
    <t>15.21</t>
  </si>
  <si>
    <t>15.11</t>
  </si>
  <si>
    <t>15.29</t>
  </si>
  <si>
    <t>8.70</t>
  </si>
  <si>
    <t>7.00</t>
  </si>
  <si>
    <t>9.13</t>
  </si>
  <si>
    <t>9.40</t>
  </si>
  <si>
    <t>9.07</t>
  </si>
  <si>
    <t>34.37</t>
  </si>
  <si>
    <t>35.14</t>
  </si>
  <si>
    <t>34.11</t>
  </si>
  <si>
    <t>25.35</t>
  </si>
  <si>
    <t>25.12</t>
  </si>
  <si>
    <t>24.92</t>
  </si>
  <si>
    <t>16.31</t>
  </si>
  <si>
    <t>16.20</t>
  </si>
  <si>
    <t>16.05</t>
  </si>
  <si>
    <t>13.44</t>
  </si>
  <si>
    <t>2.23</t>
  </si>
  <si>
    <t>12.67</t>
  </si>
  <si>
    <t>13.13</t>
  </si>
  <si>
    <t>12.57</t>
  </si>
  <si>
    <t>14.80</t>
  </si>
  <si>
    <t>14.70</t>
  </si>
  <si>
    <t>53.01</t>
  </si>
  <si>
    <t>51.85</t>
  </si>
  <si>
    <t>53.06</t>
  </si>
  <si>
    <t>0.54</t>
  </si>
  <si>
    <t>28.54</t>
  </si>
  <si>
    <t>28.86</t>
  </si>
  <si>
    <t>28.23</t>
  </si>
  <si>
    <t>40.56</t>
  </si>
  <si>
    <t>39.65</t>
  </si>
  <si>
    <t>41.06</t>
  </si>
  <si>
    <t>46.80</t>
  </si>
  <si>
    <t>45.90</t>
  </si>
  <si>
    <t>46.86</t>
  </si>
  <si>
    <t>45.68</t>
  </si>
  <si>
    <t>3.09</t>
  </si>
  <si>
    <t>3.12</t>
  </si>
  <si>
    <t>2.95</t>
  </si>
  <si>
    <t>0.99</t>
  </si>
  <si>
    <t>45.00</t>
  </si>
  <si>
    <t>44.30</t>
  </si>
  <si>
    <t>44.25</t>
  </si>
  <si>
    <t>53.94</t>
  </si>
  <si>
    <t>53.32</t>
  </si>
  <si>
    <t>52.95</t>
  </si>
  <si>
    <t>5.14</t>
  </si>
  <si>
    <t>4.08</t>
  </si>
  <si>
    <t>4.06</t>
  </si>
  <si>
    <t>11.93</t>
  </si>
  <si>
    <t>12.16</t>
  </si>
  <si>
    <t>11.89</t>
  </si>
  <si>
    <t>1.41</t>
  </si>
  <si>
    <t>41.55</t>
  </si>
  <si>
    <t>41.46</t>
  </si>
  <si>
    <t>41.79</t>
  </si>
  <si>
    <t>41.11</t>
  </si>
  <si>
    <t>2.53</t>
  </si>
  <si>
    <t>2.49</t>
  </si>
  <si>
    <t>33.00</t>
  </si>
  <si>
    <t>32.36</t>
  </si>
  <si>
    <t>33.61</t>
  </si>
  <si>
    <t>32.33</t>
  </si>
  <si>
    <t>11.35</t>
  </si>
  <si>
    <t>12.05</t>
  </si>
  <si>
    <t>11.32</t>
  </si>
  <si>
    <t>11.52</t>
  </si>
  <si>
    <t>11.50</t>
  </si>
  <si>
    <t>11.74</t>
  </si>
  <si>
    <t>11.25</t>
  </si>
  <si>
    <t>12.58</t>
  </si>
  <si>
    <t>12.69</t>
  </si>
  <si>
    <t>13.99</t>
  </si>
  <si>
    <t>16.71</t>
  </si>
  <si>
    <t>16.70</t>
  </si>
  <si>
    <t>16.50</t>
  </si>
  <si>
    <t>21.26</t>
  </si>
  <si>
    <t>20.83</t>
  </si>
  <si>
    <t>21.54</t>
  </si>
  <si>
    <t>4.73</t>
  </si>
  <si>
    <t>4.52</t>
  </si>
  <si>
    <t>0.19</t>
  </si>
  <si>
    <t>1.21</t>
  </si>
  <si>
    <t>1.17</t>
  </si>
  <si>
    <t>1.28</t>
  </si>
  <si>
    <t>0.80</t>
  </si>
  <si>
    <t>25.40</t>
  </si>
  <si>
    <t>25.55</t>
  </si>
  <si>
    <t>25.75</t>
  </si>
  <si>
    <t>25.04</t>
  </si>
  <si>
    <t>0.72</t>
  </si>
  <si>
    <t>0.27</t>
  </si>
  <si>
    <t>7.60</t>
  </si>
  <si>
    <t>3.43</t>
  </si>
  <si>
    <t>3.25</t>
  </si>
  <si>
    <t>14.69</t>
  </si>
  <si>
    <t>19.01</t>
  </si>
  <si>
    <t>8.76</t>
  </si>
  <si>
    <t>8.95</t>
  </si>
  <si>
    <t>8.65</t>
  </si>
  <si>
    <t>20.85</t>
  </si>
  <si>
    <t>20.53</t>
  </si>
  <si>
    <t>15.28</t>
  </si>
  <si>
    <t>15.31</t>
  </si>
  <si>
    <t>15.77</t>
  </si>
  <si>
    <t>15.24</t>
  </si>
</sst>
</file>

<file path=xl/styles.xml><?xml version="1.0" encoding="utf-8"?>
<styleSheet xmlns="http://schemas.openxmlformats.org/spreadsheetml/2006/main">
  <numFmts count="1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44" fontId="2" fillId="0" borderId="2" xfId="2" applyFont="1" applyBorder="1"/>
    <xf numFmtId="4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164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165" fontId="0" fillId="0" borderId="0" xfId="0" applyNumberFormat="1"/>
    <xf numFmtId="0" fontId="3" fillId="0" borderId="0" xfId="0" applyNumberFormat="1" applyFont="1"/>
    <xf numFmtId="165" fontId="3" fillId="0" borderId="0" xfId="2" applyNumberFormat="1" applyFont="1"/>
    <xf numFmtId="165" fontId="2" fillId="0" borderId="0" xfId="2" applyNumberFormat="1" applyFont="1"/>
    <xf numFmtId="165" fontId="2" fillId="0" borderId="0" xfId="0" applyNumberFormat="1" applyFont="1"/>
    <xf numFmtId="165" fontId="2" fillId="0" borderId="0" xfId="1" applyNumberFormat="1" applyFont="1"/>
    <xf numFmtId="173" fontId="2" fillId="0" borderId="0" xfId="3" applyNumberFormat="1" applyFont="1"/>
    <xf numFmtId="4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4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165" fontId="2" fillId="0" borderId="0" xfId="2" applyNumberFormat="1" applyFont="1" applyBorder="1"/>
    <xf numFmtId="165" fontId="4" fillId="0" borderId="0" xfId="2" applyNumberFormat="1" applyFont="1" applyBorder="1"/>
    <xf numFmtId="165" fontId="2" fillId="0" borderId="0" xfId="3" applyNumberFormat="1" applyFont="1"/>
    <xf numFmtId="165" fontId="2" fillId="0" borderId="0" xfId="1" applyNumberFormat="1" applyFont="1" applyBorder="1"/>
    <xf numFmtId="165" fontId="2" fillId="0" borderId="0" xfId="3" applyNumberFormat="1" applyFont="1" applyBorder="1"/>
    <xf numFmtId="165" fontId="2" fillId="0" borderId="0" xfId="0" applyNumberFormat="1" applyFont="1" applyBorder="1"/>
    <xf numFmtId="165" fontId="4" fillId="0" borderId="0" xfId="2" applyNumberFormat="1" applyFont="1"/>
    <xf numFmtId="0" fontId="8" fillId="0" borderId="0" xfId="5" applyNumberFormat="1" applyAlignment="1" applyProtection="1"/>
    <xf numFmtId="165" fontId="4" fillId="0" borderId="3" xfId="2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165">
      <sharedItems containsString="0" containsBlank="1" containsNumber="1" minValue="940.06" maxValue="940.06"/>
    </cacheField>
    <cacheField name="Taxas" numFmtId="165">
      <sharedItems containsString="0" containsBlank="1" containsNumber="1" containsInteger="1" minValue="0" maxValue="0"/>
    </cacheField>
    <cacheField name="Resgates" numFmtId="165">
      <sharedItems containsString="0" containsBlank="1" containsNumber="1" containsInteger="1" minValue="0" maxValue="0"/>
    </cacheField>
    <cacheField name="Dividendo" numFmtId="165">
      <sharedItems containsSemiMixedTypes="0" containsString="0" containsNumber="1" containsInteger="1" minValue="0" maxValue="94"/>
    </cacheField>
    <cacheField name="JPC" numFmtId="4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4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4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44">
      <sharedItems containsSemiMixedTypes="0" containsString="0" containsNumber="1" minValue="0" maxValue="62.04"/>
    </cacheField>
    <cacheField name="Cotação 2" numFmtId="44">
      <sharedItems containsSemiMixedTypes="0" containsString="0" containsNumber="1" minValue="0" maxValue="158.99"/>
    </cacheField>
    <cacheField name="Lucro Anterior" numFmtId="4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4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  <pivotField numFmtId="44" showAll="0" defaultSubtotal="0"/>
    <pivotField numFmtId="44" showAll="0" defaultSubtotal="0"/>
    <pivotField numFmtId="4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4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44" showAll="0"/>
    <pivotField numFmtId="44" showAll="0"/>
    <pivotField numFmtId="44" showAll="0"/>
    <pivotField dataField="1" numFmtId="165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165"/>
    <dataField name="Total de Ativos" fld="10" baseField="0" baseItem="0"/>
    <dataField name="Total Dividendo" fld="8" baseField="0" baseItem="0" numFmtId="165"/>
    <dataField name="Total JPC" fld="9" baseField="0" baseItem="0" numFmtId="165"/>
    <dataField name="Total Lucro p/ Ação" fld="12" baseField="0" baseItem="0" numFmtId="165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55" connectionId="3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50" connectionId="65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52" connectionId="71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49" connectionId="55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51" connectionId="70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53" connectionId="72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378" connectionId="3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75" connectionId="66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70" connectionId="54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76" connectionId="71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71" connectionId="65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468" connectionId="3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467" connectionId="28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461" connectionId="1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431" connectionId="61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408" connectionId="45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415" connectionId="54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450" connectionId="70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401" connectionId="34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414" connectionId="53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453" connectionId="714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442" connectionId="67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47" connectionId="69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445" connectionId="68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402" connectionId="36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454" connectionId="71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32" connectionId="61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423" connectionId="58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455" connectionId="71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35" connectionId="62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462" connectionId="17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456" connectionId="72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433" connectionId="61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418" connectionId="559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446" connectionId="690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63" connectionId="19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428" connectionId="59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457" connectionId="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11" connectionId="502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52" connectionId="706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38" connectionId="633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44" connectionId="68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64" connectionId="2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426" connectionId="58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441" connectionId="64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416" connectionId="54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451" connectionId="70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37" connectionId="630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58" connectionId="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400" connectionId="33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65" connectionId="2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24" connectionId="583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409" connectionId="47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59" connectionId="1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421" connectionId="57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410" connectionId="48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434" connectionId="62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403" connectionId="37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66" connectionId="2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04" connectionId="39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425" connectionId="58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60" connectionId="1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300">
  <autoFilter ref="A1:AP300">
    <filterColumn colId="0"/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>
      <filters>
        <filter val="Sim"/>
      </filters>
    </filterColumn>
    <filterColumn colId="41"/>
  </autoFilter>
  <sortState ref="A41:AP289">
    <sortCondition descending="1" ref="AJ1:AJ300"/>
  </sortState>
  <tableColumns count="42">
    <tableColumn id="10" name="Classificação Setorial" totalsRowFunction="count" dataDxfId="143" totalsRowDxfId="142"/>
    <tableColumn id="9" name="PAPEL" dataDxfId="141" totalsRowDxfId="140"/>
    <tableColumn id="34" name="Nome" dataDxfId="139" dataCellStyle="Moeda">
      <calculatedColumnFormula>LEFT([PAPEL],LEN([PAPEL])-(LEN([PAPEL])-4))</calculatedColumnFormula>
    </tableColumn>
    <tableColumn id="24" name="Ref"/>
    <tableColumn id="1" name="Capital Social" dataDxfId="138" dataCellStyle="Moeda"/>
    <tableColumn id="7" name="Ações" dataDxfId="137" dataCellStyle="Separador de milhares"/>
    <tableColumn id="25" name="%Div" dataDxfId="136" dataCellStyle="Porcentagem"/>
    <tableColumn id="29" name="% PNA (PL)" dataDxfId="135" dataCellStyle="Moeda"/>
    <tableColumn id="30" name="% PNA (CS)" dataDxfId="134" dataCellStyle="Porcentagem"/>
    <tableColumn id="47" name="% Pref. / ON" dataDxfId="133" dataCellStyle="Porcentagem"/>
    <tableColumn id="27" name="Unit ON" dataDxfId="132" dataCellStyle="Porcentagem"/>
    <tableColumn id="31" name="Unit PN" dataDxfId="131" dataCellStyle="Porcentagem"/>
    <tableColumn id="2" name="Patrimônio Líquido" dataDxfId="130" totalsRowDxfId="129"/>
    <tableColumn id="13" name="Lucro Líquido" dataDxfId="128" totalsRowDxfId="127"/>
    <tableColumn id="39" name="Teto R. Legal" dataDxfId="126" totalsRowDxfId="125" dataCellStyle="Moeda">
      <calculatedColumnFormula>Tabela3[[#This Row],[Capital Social]]*20%</calculatedColumnFormula>
    </tableColumn>
    <tableColumn id="36" name="Reserva Legal" dataDxfId="124" totalsRowDxfId="123" dataCellStyle="Moeda">
      <calculatedColumnFormula>IF(([Lucro Líquido]*5%)&gt;[Teto R. Legal],[Teto R. Legal],[Lucro Líquido]*5%)</calculatedColumnFormula>
    </tableColumn>
    <tableColumn id="37" name="Lucro Distribuir" dataDxfId="122" totalsRowDxfId="121" dataCellStyle="Moeda">
      <calculatedColumnFormula>IF([Lucro Líquido]&lt;0,0,[Lucro Líquido]-[Reserva Legal])</calculatedColumnFormula>
    </tableColumn>
    <tableColumn id="23" name="25 % Div" dataDxfId="120" totalsRowDxfId="119" dataCellStyle="Moeda">
      <calculatedColumnFormula>Tabela3[[#This Row],[Lucro Distribuir]]*[%Div]</calculatedColumnFormula>
    </tableColumn>
    <tableColumn id="3" name="Total Ações" dataDxfId="118" totalsRowDxfId="117"/>
    <tableColumn id="44" name="VN" dataDxfId="116" totalsRowDxfId="115" dataCellStyle="Moeda">
      <calculatedColumnFormula>[Capital Social]/[Total Ações]</calculatedColumnFormula>
    </tableColumn>
    <tableColumn id="19" name="Lucro/Ação" dataDxfId="114" totalsRowDxfId="113" dataCellStyle="Moeda">
      <calculatedColumnFormula>Tabela3[[#This Row],[Lucro Líquido]]/Tabela3[[#This Row],[Total Ações]]</calculatedColumnFormula>
    </tableColumn>
    <tableColumn id="40" name="Div. Mínimo" dataDxfId="112" totalsRowDxfId="111" dataCellStyle="Moeda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10" totalsRowDxfId="109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08" totalsRowDxfId="107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106" totalsRowDxfId="105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04" totalsRowDxfId="103" dataCellStyle="Moeda">
      <calculatedColumnFormula>[Div Base]*[Ações]</calculatedColumnFormula>
    </tableColumn>
    <tableColumn id="22" name="Total" dataDxfId="102" totalsRowDxfId="101" dataCellStyle="Moeda">
      <calculatedColumnFormula>SUMPRODUCT(N([Nome]=Tabela3[[#This Row],[Nome]]),[Div Base]*[Ações])</calculatedColumnFormula>
    </tableColumn>
    <tableColumn id="4" name="VPA" dataDxfId="100" totalsRowDxfId="99">
      <calculatedColumnFormula>[Patrimônio Líquido]/[Total Ações]</calculatedColumnFormula>
    </tableColumn>
    <tableColumn id="5" name="Cotação" dataDxfId="98" totalsRowDxfId="97">
      <calculatedColumnFormula>MAX(Tabela3[[#This Row],[Cotação 1]:[Cotação 3]])</calculatedColumnFormula>
    </tableColumn>
    <tableColumn id="6" name="PVPA" dataDxfId="96" totalsRowDxfId="95">
      <calculatedColumnFormula>[Cotação]/[VPA]</calculatedColumnFormula>
    </tableColumn>
    <tableColumn id="16" name="PL" dataDxfId="94">
      <calculatedColumnFormula>IF(Tabela3[[#This Row],[Lucro/Ação]]&gt;0,Tabela3[[#This Row],[Cotação]]/(Tabela3[[#This Row],[Lucro/Ação]]/[Ref]*4),0)</calculatedColumnFormula>
    </tableColumn>
    <tableColumn id="51" name="Lucro Payout" dataDxfId="93">
      <calculatedColumnFormula>IF([Div. Mínimo]=0,0,[Lucro Distribuir]*#REF!/[Total Ações])</calculatedColumnFormula>
    </tableColumn>
    <tableColumn id="53" name="Lucro Dist./Ação" dataDxfId="92" totalsRowDxfId="91" dataCellStyle="Moeda">
      <calculatedColumnFormula>[Lucro Distribuir]/[Total Ações]</calculatedColumnFormula>
    </tableColumn>
    <tableColumn id="52" name="Lucro" dataDxfId="90" totalsRowDxfId="89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88" totalsRowDxfId="87">
      <calculatedColumnFormula>IF(AND([% A.A.]&gt;=8%,SUMPRODUCT(N([Nome]=Tabela3[[#This Row],[Nome]]),[PL])&gt;0),"Sim","Não")</calculatedColumnFormula>
    </tableColumn>
    <tableColumn id="14" name="% Yield" dataDxfId="86" totalsRowDxfId="85">
      <calculatedColumnFormula>IF([Cotação]&gt;0,Tabela3[[#This Row],[Lucro]]/Tabela3[[#This Row],[Cotação]],0)</calculatedColumnFormula>
    </tableColumn>
    <tableColumn id="12" name="% A.A." dataDxfId="84" totalsRowDxfId="83">
      <calculatedColumnFormula>((1+Tabela3[[#This Row],[% Yield]])^(1/(3*Tabela3[[#This Row],[Ref]])))^(12)-1</calculatedColumnFormula>
    </tableColumn>
    <tableColumn id="17" name="Ativos" dataDxfId="82" totalsRowDxfId="81">
      <calculatedColumnFormula>IF([Cotação]&gt;0,($AR$1/Tabela3[[#This Row],[Cotação]]-MOD($AR$1/Tabela3[[#This Row],[Cotação]],100)),)</calculatedColumnFormula>
    </tableColumn>
    <tableColumn id="18" name="Lucro Med A.A" totalsRowFunction="sum" dataDxfId="80" totalsRowDxfId="79">
      <calculatedColumnFormula>Tabela3[[#This Row],[Ativos]]*[Lucro]</calculatedColumnFormula>
    </tableColumn>
    <tableColumn id="15" name="Cotação 1" dataDxfId="78" totalsRowDxfId="77">
      <calculatedColumnFormula>SUMPRODUCT(N(Tabela1[Código]=Tabela3[[#This Row],[PAPEL]]),Tabela1[Fechamento])</calculatedColumnFormula>
    </tableColumn>
    <tableColumn id="20" name="Cotação 2" totalsRowFunction="sum" dataDxfId="76" totalsRowDxfId="75">
      <calculatedColumnFormula>SUMPRODUCT(N(Tabela17[Código]=Tabela3[[#This Row],[PAPEL]]),Tabela17[Fechamento])</calculatedColumnFormula>
    </tableColumn>
    <tableColumn id="11" name="Cotação 3" dataDxfId="74" totalsRowDxfId="73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72" dataDxfId="71">
  <autoFilter ref="P6:V112"/>
  <sortState ref="P7:V112">
    <sortCondition ref="P6:P112"/>
  </sortState>
  <tableColumns count="7">
    <tableColumn id="1" name="Código" dataDxfId="70"/>
    <tableColumn id="2" name="Ativo" dataDxfId="69">
      <calculatedColumnFormula>IF(A7="","",C7)</calculatedColumnFormula>
    </tableColumn>
    <tableColumn id="3" name="Data" dataDxfId="68">
      <calculatedColumnFormula>IF(A7="","",H7)</calculatedColumnFormula>
    </tableColumn>
    <tableColumn id="4" name="Abertura" dataDxfId="67">
      <calculatedColumnFormula>J7</calculatedColumnFormula>
    </tableColumn>
    <tableColumn id="5" name="Fechamento" dataDxfId="66">
      <calculatedColumnFormula>K7</calculatedColumnFormula>
    </tableColumn>
    <tableColumn id="6" name="Máxima" dataDxfId="65">
      <calculatedColumnFormula>L7</calculatedColumnFormula>
    </tableColumn>
    <tableColumn id="7" name="Mínima" dataDxfId="64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63" dataDxfId="62">
  <autoFilter ref="P6:V112"/>
  <sortState ref="P7:V112">
    <sortCondition ref="P6:P112"/>
  </sortState>
  <tableColumns count="7">
    <tableColumn id="1" name="Código" dataDxfId="61"/>
    <tableColumn id="2" name="Ativo" dataDxfId="60">
      <calculatedColumnFormula>IF(A7="","",C7)</calculatedColumnFormula>
    </tableColumn>
    <tableColumn id="3" name="Data" dataDxfId="59">
      <calculatedColumnFormula>IF(A7="","",H7)</calculatedColumnFormula>
    </tableColumn>
    <tableColumn id="4" name="Abertura" dataDxfId="58">
      <calculatedColumnFormula>J7</calculatedColumnFormula>
    </tableColumn>
    <tableColumn id="5" name="Fechamento" dataDxfId="57">
      <calculatedColumnFormula>K7</calculatedColumnFormula>
    </tableColumn>
    <tableColumn id="6" name="Máxima" dataDxfId="56">
      <calculatedColumnFormula>L7</calculatedColumnFormula>
    </tableColumn>
    <tableColumn id="7" name="Mínima" dataDxfId="5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54" dataDxfId="53">
  <autoFilter ref="P6:V112"/>
  <sortState ref="P7:V112">
    <sortCondition ref="P6:P112"/>
  </sortState>
  <tableColumns count="7">
    <tableColumn id="1" name="Código" dataDxfId="52"/>
    <tableColumn id="2" name="Ativo" dataDxfId="51">
      <calculatedColumnFormula>IF(A7="","",C7)</calculatedColumnFormula>
    </tableColumn>
    <tableColumn id="3" name="Data" dataDxfId="50">
      <calculatedColumnFormula>IF(A7="","",H7)</calculatedColumnFormula>
    </tableColumn>
    <tableColumn id="4" name="Abertura" dataDxfId="49">
      <calculatedColumnFormula>J7</calculatedColumnFormula>
    </tableColumn>
    <tableColumn id="5" name="Fechamento" dataDxfId="48">
      <calculatedColumnFormula>K7</calculatedColumnFormula>
    </tableColumn>
    <tableColumn id="6" name="Máxima" dataDxfId="47">
      <calculatedColumnFormula>L7</calculatedColumnFormula>
    </tableColumn>
    <tableColumn id="7" name="Mínima" dataDxfId="46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45" dataDxfId="44">
  <autoFilter ref="A1:M593"/>
  <sortState ref="A2:M592">
    <sortCondition ref="A1:A592"/>
  </sortState>
  <tableColumns count="13">
    <tableColumn id="1" name="Ativo" dataDxfId="43"/>
    <tableColumn id="4" name="Exercício" dataDxfId="42"/>
    <tableColumn id="2" name="Lucro Líquido" dataDxfId="41"/>
    <tableColumn id="6" name="Total Ações" dataDxfId="40">
      <calculatedColumnFormula>SUMPRODUCT(N(Tabela3[PAPEL]=Tabela2[[#This Row],[Ativo]]),Tabela3[Total Ações])</calculatedColumnFormula>
    </tableColumn>
    <tableColumn id="7" name="Lucro por ação" dataDxfId="39">
      <calculatedColumnFormula>(Tabela2[[#This Row],[Lucro Líquido]])/Tabela2[[#This Row],[Total Ações]]</calculatedColumnFormula>
    </tableColumn>
    <tableColumn id="8" name="Dividendo / Ação" dataDxfId="38"/>
    <tableColumn id="5" name="Payout" dataDxfId="37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6">
      <calculatedColumnFormula>MAX(Tabela2[[#This Row],[Cotação 1]],Tabela2[[#This Row],[Cotação 2]])</calculatedColumnFormula>
    </tableColumn>
    <tableColumn id="10" name="Yield" dataDxfId="35">
      <calculatedColumnFormula>IF(Tabela2[[#This Row],[Dividendo / Ação]]&gt;0,Tabela2[[#This Row],[Dividendo / Ação]]/Tabela2[[#This Row],[Cotação]],"")</calculatedColumnFormula>
    </tableColumn>
    <tableColumn id="11" name="Cotação 1" dataDxfId="34">
      <calculatedColumnFormula>SUMPRODUCT(N(Tabela1[Código]=Tabela2[[#This Row],[Ativo]]),Tabela1[Fechamento])</calculatedColumnFormula>
    </tableColumn>
    <tableColumn id="12" name="Cotação 2" dataDxfId="33">
      <calculatedColumnFormula>SUMPRODUCT(N(Tabela17[Código]=Tabela2[[#This Row],[Ativo]]),Tabela17[Fechamento])</calculatedColumnFormula>
    </tableColumn>
    <tableColumn id="3" name="Lucro Anterior" dataDxfId="32">
      <calculatedColumnFormula>SUMPRODUCT(N([Ativo]=Tabela2[[#This Row],[Ativo]]),N([Exercício]=Tabela2[[#This Row],[Exercício]]-1),[Lucro Líquido])</calculatedColumnFormula>
    </tableColumn>
    <tableColumn id="13" name="Crescimento" dataDxfId="31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30" dataDxfId="29" totalsRowDxfId="28">
  <autoFilter ref="A1:N2"/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/>
    <tableColumn id="18" name="JPC" totalsRowFunction="sum" dataDxfId="9" totalsRowDxfId="8"/>
    <tableColumn id="8" name="Quantidade" dataDxfId="7" totalsRowDxfId="6"/>
    <tableColumn id="9" name="Preço Médio" dataDxfId="5" totalsRowDxfId="4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91" Type="http://schemas.openxmlformats.org/officeDocument/2006/relationships/hyperlink" Target="http://www.bmfbovespa.com.br/cias-listadas/empresas-listadas/ResumoEmpresaPrincipal.aspx?codigoCvm=3980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226" Type="http://schemas.openxmlformats.org/officeDocument/2006/relationships/hyperlink" Target="http://www.bmfbovespa.com.br/cias-listadas/empresas-listadas/ResumoEmpresaPrincipal.aspx?codigoCvm=13986&amp;idioma=pt-br" TargetMode="External"/><Relationship Id="rId247" Type="http://schemas.openxmlformats.org/officeDocument/2006/relationships/hyperlink" Target="http://www.bmfbovespa.com.br/cias-listadas/empresas-listadas/ResumoEmpresaPrincipal.aspx?codigoCvm=4863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12696&amp;idioma=pt-br" TargetMode="External"/><Relationship Id="rId237" Type="http://schemas.openxmlformats.org/officeDocument/2006/relationships/hyperlink" Target="http://www.bmfbovespa.com.br/cias-listadas/empresas-listadas/ResumoEmpresaPrincipal.aspx?codigoCvm=15458&amp;idioma=pt-br" TargetMode="External"/><Relationship Id="rId258" Type="http://schemas.openxmlformats.org/officeDocument/2006/relationships/table" Target="../tables/table1.xm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206" Type="http://schemas.openxmlformats.org/officeDocument/2006/relationships/hyperlink" Target="http://www.bmfbovespa.com.br/cias-listadas/empresas-listadas/ResumoEmpresaPrincipal.aspx?codigoCvm=4359&amp;idioma=pt-br" TargetMode="External"/><Relationship Id="rId227" Type="http://schemas.openxmlformats.org/officeDocument/2006/relationships/hyperlink" Target="http://www.bmfbovespa.com.br/cias-listadas/empresas-listadas/ResumoEmpresaPrincipal.aspx?codigoCvm=13986&amp;idioma=pt-br" TargetMode="External"/><Relationship Id="rId248" Type="http://schemas.openxmlformats.org/officeDocument/2006/relationships/hyperlink" Target="http://www.bmfbovespa.com.br/cias-listadas/empresas-listadas/ResumoEmpresaPrincipal.aspx?codigoCvm=21008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82" Type="http://schemas.openxmlformats.org/officeDocument/2006/relationships/hyperlink" Target="http://www.bmfbovespa.com.br/cias-listadas/empresas-listadas/ResumoEmpresaPrincipal.aspx?codigoCvm=9989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217" Type="http://schemas.openxmlformats.org/officeDocument/2006/relationships/hyperlink" Target="http://www.bmfbovespa.com.br/cias-listadas/empresas-listadas/ResumoEmpresaPrincipal.aspx?codigoCvm=2429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12" Type="http://schemas.openxmlformats.org/officeDocument/2006/relationships/hyperlink" Target="http://www.bmfbovespa.com.br/cias-listadas/empresas-listadas/ResumoEmpresaPrincipal.aspx?codigoCvm=4170&amp;idioma=pt-br" TargetMode="External"/><Relationship Id="rId233" Type="http://schemas.openxmlformats.org/officeDocument/2006/relationships/hyperlink" Target="http://www.bmfbovespa.com.br/cias-listadas/empresas-listadas/ResumoEmpresaPrincipal.aspx?codigoCvm=18708&amp;idioma=pt-br" TargetMode="External"/><Relationship Id="rId238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22497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93" Type="http://schemas.openxmlformats.org/officeDocument/2006/relationships/hyperlink" Target="http://www.bmfbovespa.com.br/cias-listadas/empresas-listadas/ResumoEmpresaPrincipal.aspx?codigoCvm=8656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07" Type="http://schemas.openxmlformats.org/officeDocument/2006/relationships/hyperlink" Target="http://www.bmfbovespa.com.br/cias-listadas/empresas-listadas/ResumoEmpresaPrincipal.aspx?codigoCvm=16632&amp;idioma=pt-br" TargetMode="External"/><Relationship Id="rId223" Type="http://schemas.openxmlformats.org/officeDocument/2006/relationships/hyperlink" Target="http://www.bmfbovespa.com.br/cias-listadas/empresas-listadas/ResumoEmpresaPrincipal.aspx?codigoCvm=12653&amp;idioma=pt-br" TargetMode="External"/><Relationship Id="rId228" Type="http://schemas.openxmlformats.org/officeDocument/2006/relationships/hyperlink" Target="http://www.bmfbovespa.com.br/cias-listadas/empresas-listadas/ResumoEmpresaPrincipal.aspx?codigoCvm=5770&amp;idioma=pt-br" TargetMode="External"/><Relationship Id="rId244" Type="http://schemas.openxmlformats.org/officeDocument/2006/relationships/hyperlink" Target="http://www.bmfbovespa.com.br/cias-listadas/empresas-listadas/ResumoEmpresaPrincipal.aspx?codigoCvm=12319&amp;idioma=pt-br" TargetMode="External"/><Relationship Id="rId249" Type="http://schemas.openxmlformats.org/officeDocument/2006/relationships/hyperlink" Target="http://www.bmfbovespa.com.br/cias-listadas/empresas-listadas/ResumoEmpresaPrincipal.aspx?codigoCvm=20982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183" Type="http://schemas.openxmlformats.org/officeDocument/2006/relationships/hyperlink" Target="http://www.bmfbovespa.com.br/cias-listadas/empresas-listadas/ResumoEmpresaPrincipal.aspx?codigoCvm=21342&amp;idioma=pt-br" TargetMode="External"/><Relationship Id="rId213" Type="http://schemas.openxmlformats.org/officeDocument/2006/relationships/hyperlink" Target="http://www.bmfbovespa.com.br/cias-listadas/empresas-listadas/ResumoEmpresaPrincipal.aspx?codigoCvm=17914&amp;idioma=pt-br" TargetMode="External"/><Relationship Id="rId218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6659&amp;idioma=pt-br" TargetMode="External"/><Relationship Id="rId239" Type="http://schemas.openxmlformats.org/officeDocument/2006/relationships/hyperlink" Target="http://www.bmfbovespa.com.br/cias-listadas/empresas-listadas/ResumoEmpresaPrincipal.aspx?codigoCvm=3298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0" Type="http://schemas.openxmlformats.org/officeDocument/2006/relationships/hyperlink" Target="http://www.bmfbovespa.com.br/cias-listadas/empresas-listadas/ResumoEmpresaPrincipal.aspx?codigoCvm=19917&amp;idioma=pt-br" TargetMode="External"/><Relationship Id="rId255" Type="http://schemas.openxmlformats.org/officeDocument/2006/relationships/hyperlink" Target="http://www.bmfbovespa.com.br/cias-listadas/empresas-listadas/ResumoEmpresaPrincipal.aspx?codigoCvm=20141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hyperlink" Target="http://www.bmfbovespa.com.br/cias-listadas/empresas-listadas/ResumoEmpresaPrincipal.aspx?codigoCvm=20168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8648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14559&amp;idioma=pt-br" TargetMode="External"/><Relationship Id="rId229" Type="http://schemas.openxmlformats.org/officeDocument/2006/relationships/hyperlink" Target="http://www.bmfbovespa.com.br/cias-listadas/empresas-listadas/ResumoEmpresaPrincipal.aspx?codigoCvm=13412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12653&amp;idioma=pt-br" TargetMode="External"/><Relationship Id="rId240" Type="http://schemas.openxmlformats.org/officeDocument/2006/relationships/hyperlink" Target="http://www.bmfbovespa.com.br/cias-listadas/empresas-listadas/ResumoEmpresaPrincipal.aspx?codigoCvm=3298&amp;idioma=pt-br" TargetMode="External"/><Relationship Id="rId245" Type="http://schemas.openxmlformats.org/officeDocument/2006/relationships/hyperlink" Target="http://www.bmfbovespa.com.br/cias-listadas/empresas-listadas/ResumoEmpresaPrincipal.aspx?codigoCvm=20036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3654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696&amp;idioma=pt-br" TargetMode="External"/><Relationship Id="rId230" Type="http://schemas.openxmlformats.org/officeDocument/2006/relationships/hyperlink" Target="http://www.bmfbovespa.com.br/cias-listadas/empresas-listadas/ResumoEmpresaPrincipal.aspx?codigoCvm=8605&amp;idioma=pt-br" TargetMode="External"/><Relationship Id="rId235" Type="http://schemas.openxmlformats.org/officeDocument/2006/relationships/hyperlink" Target="http://www.bmfbovespa.com.br/cias-listadas/empresas-listadas/ResumoEmpresaPrincipal.aspx?codigoCvm=21121&amp;idioma=pt-br" TargetMode="External"/><Relationship Id="rId251" Type="http://schemas.openxmlformats.org/officeDocument/2006/relationships/hyperlink" Target="http://www.bmfbovespa.com.br/cias-listadas/empresas-listadas/ResumoEmpresaPrincipal.aspx?codigoCvm=19623&amp;idioma=pt-br" TargetMode="External"/><Relationship Id="rId256" Type="http://schemas.openxmlformats.org/officeDocument/2006/relationships/hyperlink" Target="http://www.bmfbovespa.com.br/cias-listadas/empresas-listadas/ResumoEmpresaPrincipal.aspx?codigoCvm=19305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6017&amp;idioma=pt-br" TargetMode="External"/><Relationship Id="rId209" Type="http://schemas.openxmlformats.org/officeDocument/2006/relationships/hyperlink" Target="http://www.bmfbovespa.com.br/cias-listadas/empresas-listadas/ResumoEmpresaPrincipal.aspx?codigoCvm=20621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11398&amp;idioma=pt-br" TargetMode="External"/><Relationship Id="rId220" Type="http://schemas.openxmlformats.org/officeDocument/2006/relationships/hyperlink" Target="http://www.bmfbovespa.com.br/cias-listadas/empresas-listadas/ResumoEmpresaPrincipal.aspx?codigoCvm=3654&amp;idioma=pt-br" TargetMode="External"/><Relationship Id="rId225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3182&amp;idioma=pt-br" TargetMode="External"/><Relationship Id="rId246" Type="http://schemas.openxmlformats.org/officeDocument/2006/relationships/hyperlink" Target="http://www.bmfbovespa.com.br/cias-listadas/empresas-listadas/ResumoEmpresaPrincipal.aspx?codigoCvm=4863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85" Type="http://schemas.openxmlformats.org/officeDocument/2006/relationships/hyperlink" Target="http://www.bmfbovespa.com.br/cias-listadas/empresas-listadas/ResumoEmpresaPrincipal.aspx?codigoCvm=30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512&amp;idioma=pt-br" TargetMode="External"/><Relationship Id="rId210" Type="http://schemas.openxmlformats.org/officeDocument/2006/relationships/hyperlink" Target="http://www.bmfbovespa.com.br/cias-listadas/empresas-listadas/ResumoEmpresaPrincipal.aspx?codigoCvm=21334&amp;idioma=pt-br" TargetMode="External"/><Relationship Id="rId215" Type="http://schemas.openxmlformats.org/officeDocument/2006/relationships/hyperlink" Target="http://www.bmfbovespa.com.br/cias-listadas/empresas-listadas/ResumoEmpresaPrincipal.aspx?codigoCvm=12696&amp;idioma=pt-br" TargetMode="External"/><Relationship Id="rId236" Type="http://schemas.openxmlformats.org/officeDocument/2006/relationships/hyperlink" Target="http://www.bmfbovespa.com.br/cias-listadas/empresas-listadas/ResumoEmpresaPrincipal.aspx?codigoCvm=21121&amp;idioma=pt-br" TargetMode="External"/><Relationship Id="rId257" Type="http://schemas.openxmlformats.org/officeDocument/2006/relationships/printerSettings" Target="../printerSettings/printerSettings1.bin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8605&amp;idioma=pt-br" TargetMode="External"/><Relationship Id="rId252" Type="http://schemas.openxmlformats.org/officeDocument/2006/relationships/hyperlink" Target="http://www.bmfbovespa.com.br/cias-listadas/empresas-listadas/ResumoEmpresaPrincipal.aspx?codigoCvm=21881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1123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2793&amp;idioma=pt-br" TargetMode="External"/><Relationship Id="rId242" Type="http://schemas.openxmlformats.org/officeDocument/2006/relationships/hyperlink" Target="http://www.bmfbovespa.com.br/cias-listadas/empresas-listadas/ResumoEmpresaPrincipal.aspx?codigoCvm=3182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6" Type="http://schemas.openxmlformats.org/officeDocument/2006/relationships/hyperlink" Target="http://www.bmfbovespa.com.br/cias-listadas/empresas-listadas/ResumoEmpresaPrincipal.aspx?codigoCvm=4030&amp;idioma=pt-br" TargetMode="External"/><Relationship Id="rId211" Type="http://schemas.openxmlformats.org/officeDocument/2006/relationships/hyperlink" Target="http://www.bmfbovespa.com.br/cias-listadas/empresas-listadas/ResumoEmpresaPrincipal.aspx?codigoCvm=20184&amp;idioma=pt-br" TargetMode="External"/><Relationship Id="rId232" Type="http://schemas.openxmlformats.org/officeDocument/2006/relationships/hyperlink" Target="http://www.bmfbovespa.com.br/cias-listadas/empresas-listadas/ResumoEmpresaPrincipal.aspx?codigoCvm=18708&amp;idioma=pt-br" TargetMode="External"/><Relationship Id="rId253" Type="http://schemas.openxmlformats.org/officeDocument/2006/relationships/hyperlink" Target="http://www.bmfbovespa.com.br/cias-listadas/empresas-listadas/ResumoEmpresaPrincipal.aspx?codigoCvm=2012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97" Type="http://schemas.openxmlformats.org/officeDocument/2006/relationships/hyperlink" Target="http://www.bmfbovespa.com.br/cias-listadas/empresas-listadas/ResumoEmpresaPrincipal.aspx?codigoCvm=8397&amp;idioma=pt-br" TargetMode="External"/><Relationship Id="rId201" Type="http://schemas.openxmlformats.org/officeDocument/2006/relationships/hyperlink" Target="http://www.bmfbovespa.com.br/cias-listadas/empresas-listadas/ResumoEmpresaPrincipal.aspx?codigoCvm=9393&amp;idioma=pt-br" TargetMode="External"/><Relationship Id="rId222" Type="http://schemas.openxmlformats.org/officeDocument/2006/relationships/hyperlink" Target="http://www.bmfbovespa.com.br/cias-listadas/empresas-listadas/ResumoEmpresaPrincipal.aspx?codigoCvm=12653&amp;idioma=pt-br" TargetMode="External"/><Relationship Id="rId243" Type="http://schemas.openxmlformats.org/officeDocument/2006/relationships/hyperlink" Target="http://www.bmfbovespa.com.br/cias-listadas/empresas-listadas/ResumoEmpresaPrincipal.aspx?codigoCvm=12319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6.xml"/><Relationship Id="rId299" Type="http://schemas.openxmlformats.org/officeDocument/2006/relationships/queryTable" Target="../queryTables/queryTable528.xml"/><Relationship Id="rId303" Type="http://schemas.openxmlformats.org/officeDocument/2006/relationships/queryTable" Target="../queryTables/queryTable532.xml"/><Relationship Id="rId21" Type="http://schemas.openxmlformats.org/officeDocument/2006/relationships/queryTable" Target="../queryTables/queryTable250.xml"/><Relationship Id="rId42" Type="http://schemas.openxmlformats.org/officeDocument/2006/relationships/queryTable" Target="../queryTables/queryTable271.xml"/><Relationship Id="rId63" Type="http://schemas.openxmlformats.org/officeDocument/2006/relationships/queryTable" Target="../queryTables/queryTable292.xml"/><Relationship Id="rId84" Type="http://schemas.openxmlformats.org/officeDocument/2006/relationships/queryTable" Target="../queryTables/queryTable313.xml"/><Relationship Id="rId138" Type="http://schemas.openxmlformats.org/officeDocument/2006/relationships/queryTable" Target="../queryTables/queryTable367.xml"/><Relationship Id="rId159" Type="http://schemas.openxmlformats.org/officeDocument/2006/relationships/queryTable" Target="../queryTables/queryTable388.xml"/><Relationship Id="rId324" Type="http://schemas.openxmlformats.org/officeDocument/2006/relationships/queryTable" Target="../queryTables/queryTable553.xml"/><Relationship Id="rId170" Type="http://schemas.openxmlformats.org/officeDocument/2006/relationships/queryTable" Target="../queryTables/queryTable399.xml"/><Relationship Id="rId191" Type="http://schemas.openxmlformats.org/officeDocument/2006/relationships/queryTable" Target="../queryTables/queryTable420.xml"/><Relationship Id="rId205" Type="http://schemas.openxmlformats.org/officeDocument/2006/relationships/queryTable" Target="../queryTables/queryTable434.xml"/><Relationship Id="rId226" Type="http://schemas.openxmlformats.org/officeDocument/2006/relationships/queryTable" Target="../queryTables/queryTable455.xml"/><Relationship Id="rId247" Type="http://schemas.openxmlformats.org/officeDocument/2006/relationships/queryTable" Target="../queryTables/queryTable476.xml"/><Relationship Id="rId107" Type="http://schemas.openxmlformats.org/officeDocument/2006/relationships/queryTable" Target="../queryTables/queryTable336.xml"/><Relationship Id="rId268" Type="http://schemas.openxmlformats.org/officeDocument/2006/relationships/queryTable" Target="../queryTables/queryTable497.xml"/><Relationship Id="rId289" Type="http://schemas.openxmlformats.org/officeDocument/2006/relationships/queryTable" Target="../queryTables/queryTable518.xml"/><Relationship Id="rId11" Type="http://schemas.openxmlformats.org/officeDocument/2006/relationships/queryTable" Target="../queryTables/queryTable240.xml"/><Relationship Id="rId32" Type="http://schemas.openxmlformats.org/officeDocument/2006/relationships/queryTable" Target="../queryTables/queryTable261.xml"/><Relationship Id="rId53" Type="http://schemas.openxmlformats.org/officeDocument/2006/relationships/queryTable" Target="../queryTables/queryTable282.xml"/><Relationship Id="rId74" Type="http://schemas.openxmlformats.org/officeDocument/2006/relationships/queryTable" Target="../queryTables/queryTable303.xml"/><Relationship Id="rId128" Type="http://schemas.openxmlformats.org/officeDocument/2006/relationships/queryTable" Target="../queryTables/queryTable357.xml"/><Relationship Id="rId149" Type="http://schemas.openxmlformats.org/officeDocument/2006/relationships/queryTable" Target="../queryTables/queryTable378.xml"/><Relationship Id="rId314" Type="http://schemas.openxmlformats.org/officeDocument/2006/relationships/queryTable" Target="../queryTables/queryTable543.xml"/><Relationship Id="rId335" Type="http://schemas.openxmlformats.org/officeDocument/2006/relationships/queryTable" Target="../queryTables/queryTable564.xml"/><Relationship Id="rId5" Type="http://schemas.openxmlformats.org/officeDocument/2006/relationships/queryTable" Target="../queryTables/queryTable234.xml"/><Relationship Id="rId95" Type="http://schemas.openxmlformats.org/officeDocument/2006/relationships/queryTable" Target="../queryTables/queryTable324.xml"/><Relationship Id="rId160" Type="http://schemas.openxmlformats.org/officeDocument/2006/relationships/queryTable" Target="../queryTables/queryTable389.xml"/><Relationship Id="rId181" Type="http://schemas.openxmlformats.org/officeDocument/2006/relationships/queryTable" Target="../queryTables/queryTable410.xml"/><Relationship Id="rId216" Type="http://schemas.openxmlformats.org/officeDocument/2006/relationships/queryTable" Target="../queryTables/queryTable445.xml"/><Relationship Id="rId237" Type="http://schemas.openxmlformats.org/officeDocument/2006/relationships/queryTable" Target="../queryTables/queryTable466.xml"/><Relationship Id="rId258" Type="http://schemas.openxmlformats.org/officeDocument/2006/relationships/queryTable" Target="../queryTables/queryTable487.xml"/><Relationship Id="rId279" Type="http://schemas.openxmlformats.org/officeDocument/2006/relationships/queryTable" Target="../queryTables/queryTable508.xml"/><Relationship Id="rId22" Type="http://schemas.openxmlformats.org/officeDocument/2006/relationships/queryTable" Target="../queryTables/queryTable251.xml"/><Relationship Id="rId43" Type="http://schemas.openxmlformats.org/officeDocument/2006/relationships/queryTable" Target="../queryTables/queryTable272.xml"/><Relationship Id="rId64" Type="http://schemas.openxmlformats.org/officeDocument/2006/relationships/queryTable" Target="../queryTables/queryTable293.xml"/><Relationship Id="rId118" Type="http://schemas.openxmlformats.org/officeDocument/2006/relationships/queryTable" Target="../queryTables/queryTable347.xml"/><Relationship Id="rId139" Type="http://schemas.openxmlformats.org/officeDocument/2006/relationships/queryTable" Target="../queryTables/queryTable368.xml"/><Relationship Id="rId290" Type="http://schemas.openxmlformats.org/officeDocument/2006/relationships/queryTable" Target="../queryTables/queryTable519.xml"/><Relationship Id="rId304" Type="http://schemas.openxmlformats.org/officeDocument/2006/relationships/queryTable" Target="../queryTables/queryTable533.xml"/><Relationship Id="rId325" Type="http://schemas.openxmlformats.org/officeDocument/2006/relationships/queryTable" Target="../queryTables/queryTable554.xml"/><Relationship Id="rId85" Type="http://schemas.openxmlformats.org/officeDocument/2006/relationships/queryTable" Target="../queryTables/queryTable314.xml"/><Relationship Id="rId150" Type="http://schemas.openxmlformats.org/officeDocument/2006/relationships/queryTable" Target="../queryTables/queryTable379.xml"/><Relationship Id="rId171" Type="http://schemas.openxmlformats.org/officeDocument/2006/relationships/queryTable" Target="../queryTables/queryTable400.xml"/><Relationship Id="rId192" Type="http://schemas.openxmlformats.org/officeDocument/2006/relationships/queryTable" Target="../queryTables/queryTable421.xml"/><Relationship Id="rId206" Type="http://schemas.openxmlformats.org/officeDocument/2006/relationships/queryTable" Target="../queryTables/queryTable435.xml"/><Relationship Id="rId227" Type="http://schemas.openxmlformats.org/officeDocument/2006/relationships/queryTable" Target="../queryTables/queryTable456.xml"/><Relationship Id="rId248" Type="http://schemas.openxmlformats.org/officeDocument/2006/relationships/queryTable" Target="../queryTables/queryTable477.xml"/><Relationship Id="rId269" Type="http://schemas.openxmlformats.org/officeDocument/2006/relationships/queryTable" Target="../queryTables/queryTable498.xml"/><Relationship Id="rId12" Type="http://schemas.openxmlformats.org/officeDocument/2006/relationships/queryTable" Target="../queryTables/queryTable241.xml"/><Relationship Id="rId33" Type="http://schemas.openxmlformats.org/officeDocument/2006/relationships/queryTable" Target="../queryTables/queryTable262.xml"/><Relationship Id="rId108" Type="http://schemas.openxmlformats.org/officeDocument/2006/relationships/queryTable" Target="../queryTables/queryTable337.xml"/><Relationship Id="rId129" Type="http://schemas.openxmlformats.org/officeDocument/2006/relationships/queryTable" Target="../queryTables/queryTable358.xml"/><Relationship Id="rId280" Type="http://schemas.openxmlformats.org/officeDocument/2006/relationships/queryTable" Target="../queryTables/queryTable509.xml"/><Relationship Id="rId315" Type="http://schemas.openxmlformats.org/officeDocument/2006/relationships/queryTable" Target="../queryTables/queryTable544.xml"/><Relationship Id="rId336" Type="http://schemas.openxmlformats.org/officeDocument/2006/relationships/queryTable" Target="../queryTables/queryTable565.xml"/><Relationship Id="rId54" Type="http://schemas.openxmlformats.org/officeDocument/2006/relationships/queryTable" Target="../queryTables/queryTable283.xml"/><Relationship Id="rId75" Type="http://schemas.openxmlformats.org/officeDocument/2006/relationships/queryTable" Target="../queryTables/queryTable304.xml"/><Relationship Id="rId96" Type="http://schemas.openxmlformats.org/officeDocument/2006/relationships/queryTable" Target="../queryTables/queryTable325.xml"/><Relationship Id="rId140" Type="http://schemas.openxmlformats.org/officeDocument/2006/relationships/queryTable" Target="../queryTables/queryTable369.xml"/><Relationship Id="rId161" Type="http://schemas.openxmlformats.org/officeDocument/2006/relationships/queryTable" Target="../queryTables/queryTable390.xml"/><Relationship Id="rId182" Type="http://schemas.openxmlformats.org/officeDocument/2006/relationships/queryTable" Target="../queryTables/queryTable411.xml"/><Relationship Id="rId217" Type="http://schemas.openxmlformats.org/officeDocument/2006/relationships/queryTable" Target="../queryTables/queryTable446.xml"/><Relationship Id="rId6" Type="http://schemas.openxmlformats.org/officeDocument/2006/relationships/queryTable" Target="../queryTables/queryTable235.xml"/><Relationship Id="rId238" Type="http://schemas.openxmlformats.org/officeDocument/2006/relationships/queryTable" Target="../queryTables/queryTable467.xml"/><Relationship Id="rId259" Type="http://schemas.openxmlformats.org/officeDocument/2006/relationships/queryTable" Target="../queryTables/queryTable488.xml"/><Relationship Id="rId23" Type="http://schemas.openxmlformats.org/officeDocument/2006/relationships/queryTable" Target="../queryTables/queryTable252.xml"/><Relationship Id="rId119" Type="http://schemas.openxmlformats.org/officeDocument/2006/relationships/queryTable" Target="../queryTables/queryTable348.xml"/><Relationship Id="rId270" Type="http://schemas.openxmlformats.org/officeDocument/2006/relationships/queryTable" Target="../queryTables/queryTable499.xml"/><Relationship Id="rId291" Type="http://schemas.openxmlformats.org/officeDocument/2006/relationships/queryTable" Target="../queryTables/queryTable520.xml"/><Relationship Id="rId305" Type="http://schemas.openxmlformats.org/officeDocument/2006/relationships/queryTable" Target="../queryTables/queryTable534.xml"/><Relationship Id="rId326" Type="http://schemas.openxmlformats.org/officeDocument/2006/relationships/queryTable" Target="../queryTables/queryTable555.xml"/><Relationship Id="rId44" Type="http://schemas.openxmlformats.org/officeDocument/2006/relationships/queryTable" Target="../queryTables/queryTable273.xml"/><Relationship Id="rId65" Type="http://schemas.openxmlformats.org/officeDocument/2006/relationships/queryTable" Target="../queryTables/queryTable294.xml"/><Relationship Id="rId86" Type="http://schemas.openxmlformats.org/officeDocument/2006/relationships/queryTable" Target="../queryTables/queryTable315.xml"/><Relationship Id="rId130" Type="http://schemas.openxmlformats.org/officeDocument/2006/relationships/queryTable" Target="../queryTables/queryTable359.xml"/><Relationship Id="rId151" Type="http://schemas.openxmlformats.org/officeDocument/2006/relationships/queryTable" Target="../queryTables/queryTable380.xml"/><Relationship Id="rId172" Type="http://schemas.openxmlformats.org/officeDocument/2006/relationships/queryTable" Target="../queryTables/queryTable401.xml"/><Relationship Id="rId193" Type="http://schemas.openxmlformats.org/officeDocument/2006/relationships/queryTable" Target="../queryTables/queryTable422.xml"/><Relationship Id="rId207" Type="http://schemas.openxmlformats.org/officeDocument/2006/relationships/queryTable" Target="../queryTables/queryTable436.xml"/><Relationship Id="rId228" Type="http://schemas.openxmlformats.org/officeDocument/2006/relationships/queryTable" Target="../queryTables/queryTable457.xml"/><Relationship Id="rId249" Type="http://schemas.openxmlformats.org/officeDocument/2006/relationships/queryTable" Target="../queryTables/queryTable478.xml"/><Relationship Id="rId13" Type="http://schemas.openxmlformats.org/officeDocument/2006/relationships/queryTable" Target="../queryTables/queryTable242.xml"/><Relationship Id="rId109" Type="http://schemas.openxmlformats.org/officeDocument/2006/relationships/queryTable" Target="../queryTables/queryTable338.xml"/><Relationship Id="rId260" Type="http://schemas.openxmlformats.org/officeDocument/2006/relationships/queryTable" Target="../queryTables/queryTable489.xml"/><Relationship Id="rId281" Type="http://schemas.openxmlformats.org/officeDocument/2006/relationships/queryTable" Target="../queryTables/queryTable510.xml"/><Relationship Id="rId316" Type="http://schemas.openxmlformats.org/officeDocument/2006/relationships/queryTable" Target="../queryTables/queryTable545.xml"/><Relationship Id="rId337" Type="http://schemas.openxmlformats.org/officeDocument/2006/relationships/queryTable" Target="../queryTables/queryTable566.xml"/><Relationship Id="rId34" Type="http://schemas.openxmlformats.org/officeDocument/2006/relationships/queryTable" Target="../queryTables/queryTable263.xml"/><Relationship Id="rId55" Type="http://schemas.openxmlformats.org/officeDocument/2006/relationships/queryTable" Target="../queryTables/queryTable284.xml"/><Relationship Id="rId76" Type="http://schemas.openxmlformats.org/officeDocument/2006/relationships/queryTable" Target="../queryTables/queryTable305.xml"/><Relationship Id="rId97" Type="http://schemas.openxmlformats.org/officeDocument/2006/relationships/queryTable" Target="../queryTables/queryTable326.xml"/><Relationship Id="rId120" Type="http://schemas.openxmlformats.org/officeDocument/2006/relationships/queryTable" Target="../queryTables/queryTable349.xml"/><Relationship Id="rId141" Type="http://schemas.openxmlformats.org/officeDocument/2006/relationships/queryTable" Target="../queryTables/queryTable370.xml"/><Relationship Id="rId7" Type="http://schemas.openxmlformats.org/officeDocument/2006/relationships/queryTable" Target="../queryTables/queryTable236.xml"/><Relationship Id="rId162" Type="http://schemas.openxmlformats.org/officeDocument/2006/relationships/queryTable" Target="../queryTables/queryTable391.xml"/><Relationship Id="rId183" Type="http://schemas.openxmlformats.org/officeDocument/2006/relationships/queryTable" Target="../queryTables/queryTable412.xml"/><Relationship Id="rId218" Type="http://schemas.openxmlformats.org/officeDocument/2006/relationships/queryTable" Target="../queryTables/queryTable447.xml"/><Relationship Id="rId239" Type="http://schemas.openxmlformats.org/officeDocument/2006/relationships/queryTable" Target="../queryTables/queryTable468.xml"/><Relationship Id="rId250" Type="http://schemas.openxmlformats.org/officeDocument/2006/relationships/queryTable" Target="../queryTables/queryTable479.xml"/><Relationship Id="rId271" Type="http://schemas.openxmlformats.org/officeDocument/2006/relationships/queryTable" Target="../queryTables/queryTable500.xml"/><Relationship Id="rId292" Type="http://schemas.openxmlformats.org/officeDocument/2006/relationships/queryTable" Target="../queryTables/queryTable521.xml"/><Relationship Id="rId306" Type="http://schemas.openxmlformats.org/officeDocument/2006/relationships/queryTable" Target="../queryTables/queryTable535.xml"/><Relationship Id="rId24" Type="http://schemas.openxmlformats.org/officeDocument/2006/relationships/queryTable" Target="../queryTables/queryTable253.xml"/><Relationship Id="rId45" Type="http://schemas.openxmlformats.org/officeDocument/2006/relationships/queryTable" Target="../queryTables/queryTable274.xml"/><Relationship Id="rId66" Type="http://schemas.openxmlformats.org/officeDocument/2006/relationships/queryTable" Target="../queryTables/queryTable295.xml"/><Relationship Id="rId87" Type="http://schemas.openxmlformats.org/officeDocument/2006/relationships/queryTable" Target="../queryTables/queryTable316.xml"/><Relationship Id="rId110" Type="http://schemas.openxmlformats.org/officeDocument/2006/relationships/queryTable" Target="../queryTables/queryTable339.xml"/><Relationship Id="rId131" Type="http://schemas.openxmlformats.org/officeDocument/2006/relationships/queryTable" Target="../queryTables/queryTable360.xml"/><Relationship Id="rId327" Type="http://schemas.openxmlformats.org/officeDocument/2006/relationships/queryTable" Target="../queryTables/queryTable556.xml"/><Relationship Id="rId152" Type="http://schemas.openxmlformats.org/officeDocument/2006/relationships/queryTable" Target="../queryTables/queryTable381.xml"/><Relationship Id="rId173" Type="http://schemas.openxmlformats.org/officeDocument/2006/relationships/queryTable" Target="../queryTables/queryTable402.xml"/><Relationship Id="rId194" Type="http://schemas.openxmlformats.org/officeDocument/2006/relationships/queryTable" Target="../queryTables/queryTable423.xml"/><Relationship Id="rId208" Type="http://schemas.openxmlformats.org/officeDocument/2006/relationships/queryTable" Target="../queryTables/queryTable437.xml"/><Relationship Id="rId229" Type="http://schemas.openxmlformats.org/officeDocument/2006/relationships/queryTable" Target="../queryTables/queryTable458.xml"/><Relationship Id="rId240" Type="http://schemas.openxmlformats.org/officeDocument/2006/relationships/queryTable" Target="../queryTables/queryTable469.xml"/><Relationship Id="rId261" Type="http://schemas.openxmlformats.org/officeDocument/2006/relationships/queryTable" Target="../queryTables/queryTable490.xml"/><Relationship Id="rId14" Type="http://schemas.openxmlformats.org/officeDocument/2006/relationships/queryTable" Target="../queryTables/queryTable243.xml"/><Relationship Id="rId35" Type="http://schemas.openxmlformats.org/officeDocument/2006/relationships/queryTable" Target="../queryTables/queryTable264.xml"/><Relationship Id="rId56" Type="http://schemas.openxmlformats.org/officeDocument/2006/relationships/queryTable" Target="../queryTables/queryTable285.xml"/><Relationship Id="rId77" Type="http://schemas.openxmlformats.org/officeDocument/2006/relationships/queryTable" Target="../queryTables/queryTable306.xml"/><Relationship Id="rId100" Type="http://schemas.openxmlformats.org/officeDocument/2006/relationships/queryTable" Target="../queryTables/queryTable329.xml"/><Relationship Id="rId282" Type="http://schemas.openxmlformats.org/officeDocument/2006/relationships/queryTable" Target="../queryTables/queryTable511.xml"/><Relationship Id="rId317" Type="http://schemas.openxmlformats.org/officeDocument/2006/relationships/queryTable" Target="../queryTables/queryTable546.xml"/><Relationship Id="rId338" Type="http://schemas.openxmlformats.org/officeDocument/2006/relationships/queryTable" Target="../queryTables/queryTable567.xml"/><Relationship Id="rId8" Type="http://schemas.openxmlformats.org/officeDocument/2006/relationships/queryTable" Target="../queryTables/queryTable237.xml"/><Relationship Id="rId98" Type="http://schemas.openxmlformats.org/officeDocument/2006/relationships/queryTable" Target="../queryTables/queryTable327.xml"/><Relationship Id="rId121" Type="http://schemas.openxmlformats.org/officeDocument/2006/relationships/queryTable" Target="../queryTables/queryTable350.xml"/><Relationship Id="rId142" Type="http://schemas.openxmlformats.org/officeDocument/2006/relationships/queryTable" Target="../queryTables/queryTable371.xml"/><Relationship Id="rId163" Type="http://schemas.openxmlformats.org/officeDocument/2006/relationships/queryTable" Target="../queryTables/queryTable392.xml"/><Relationship Id="rId184" Type="http://schemas.openxmlformats.org/officeDocument/2006/relationships/queryTable" Target="../queryTables/queryTable413.xml"/><Relationship Id="rId219" Type="http://schemas.openxmlformats.org/officeDocument/2006/relationships/queryTable" Target="../queryTables/queryTable448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43.xml"/><Relationship Id="rId230" Type="http://schemas.openxmlformats.org/officeDocument/2006/relationships/queryTable" Target="../queryTables/queryTable459.xml"/><Relationship Id="rId235" Type="http://schemas.openxmlformats.org/officeDocument/2006/relationships/queryTable" Target="../queryTables/queryTable464.xml"/><Relationship Id="rId251" Type="http://schemas.openxmlformats.org/officeDocument/2006/relationships/queryTable" Target="../queryTables/queryTable480.xml"/><Relationship Id="rId256" Type="http://schemas.openxmlformats.org/officeDocument/2006/relationships/queryTable" Target="../queryTables/queryTable485.xml"/><Relationship Id="rId277" Type="http://schemas.openxmlformats.org/officeDocument/2006/relationships/queryTable" Target="../queryTables/queryTable506.xml"/><Relationship Id="rId298" Type="http://schemas.openxmlformats.org/officeDocument/2006/relationships/queryTable" Target="../queryTables/queryTable527.xml"/><Relationship Id="rId25" Type="http://schemas.openxmlformats.org/officeDocument/2006/relationships/queryTable" Target="../queryTables/queryTable254.xml"/><Relationship Id="rId46" Type="http://schemas.openxmlformats.org/officeDocument/2006/relationships/queryTable" Target="../queryTables/queryTable275.xml"/><Relationship Id="rId67" Type="http://schemas.openxmlformats.org/officeDocument/2006/relationships/queryTable" Target="../queryTables/queryTable296.xml"/><Relationship Id="rId116" Type="http://schemas.openxmlformats.org/officeDocument/2006/relationships/queryTable" Target="../queryTables/queryTable345.xml"/><Relationship Id="rId137" Type="http://schemas.openxmlformats.org/officeDocument/2006/relationships/queryTable" Target="../queryTables/queryTable366.xml"/><Relationship Id="rId158" Type="http://schemas.openxmlformats.org/officeDocument/2006/relationships/queryTable" Target="../queryTables/queryTable387.xml"/><Relationship Id="rId272" Type="http://schemas.openxmlformats.org/officeDocument/2006/relationships/queryTable" Target="../queryTables/queryTable501.xml"/><Relationship Id="rId293" Type="http://schemas.openxmlformats.org/officeDocument/2006/relationships/queryTable" Target="../queryTables/queryTable522.xml"/><Relationship Id="rId302" Type="http://schemas.openxmlformats.org/officeDocument/2006/relationships/queryTable" Target="../queryTables/queryTable531.xml"/><Relationship Id="rId307" Type="http://schemas.openxmlformats.org/officeDocument/2006/relationships/queryTable" Target="../queryTables/queryTable536.xml"/><Relationship Id="rId323" Type="http://schemas.openxmlformats.org/officeDocument/2006/relationships/queryTable" Target="../queryTables/queryTable552.xml"/><Relationship Id="rId328" Type="http://schemas.openxmlformats.org/officeDocument/2006/relationships/queryTable" Target="../queryTables/queryTable557.xml"/><Relationship Id="rId20" Type="http://schemas.openxmlformats.org/officeDocument/2006/relationships/queryTable" Target="../queryTables/queryTable249.xml"/><Relationship Id="rId41" Type="http://schemas.openxmlformats.org/officeDocument/2006/relationships/queryTable" Target="../queryTables/queryTable270.xml"/><Relationship Id="rId62" Type="http://schemas.openxmlformats.org/officeDocument/2006/relationships/queryTable" Target="../queryTables/queryTable291.xml"/><Relationship Id="rId83" Type="http://schemas.openxmlformats.org/officeDocument/2006/relationships/queryTable" Target="../queryTables/queryTable312.xml"/><Relationship Id="rId88" Type="http://schemas.openxmlformats.org/officeDocument/2006/relationships/queryTable" Target="../queryTables/queryTable317.xml"/><Relationship Id="rId111" Type="http://schemas.openxmlformats.org/officeDocument/2006/relationships/queryTable" Target="../queryTables/queryTable340.xml"/><Relationship Id="rId132" Type="http://schemas.openxmlformats.org/officeDocument/2006/relationships/queryTable" Target="../queryTables/queryTable361.xml"/><Relationship Id="rId153" Type="http://schemas.openxmlformats.org/officeDocument/2006/relationships/queryTable" Target="../queryTables/queryTable382.xml"/><Relationship Id="rId174" Type="http://schemas.openxmlformats.org/officeDocument/2006/relationships/queryTable" Target="../queryTables/queryTable403.xml"/><Relationship Id="rId179" Type="http://schemas.openxmlformats.org/officeDocument/2006/relationships/queryTable" Target="../queryTables/queryTable408.xml"/><Relationship Id="rId195" Type="http://schemas.openxmlformats.org/officeDocument/2006/relationships/queryTable" Target="../queryTables/queryTable424.xml"/><Relationship Id="rId209" Type="http://schemas.openxmlformats.org/officeDocument/2006/relationships/queryTable" Target="../queryTables/queryTable438.xml"/><Relationship Id="rId190" Type="http://schemas.openxmlformats.org/officeDocument/2006/relationships/queryTable" Target="../queryTables/queryTable419.xml"/><Relationship Id="rId204" Type="http://schemas.openxmlformats.org/officeDocument/2006/relationships/queryTable" Target="../queryTables/queryTable433.xml"/><Relationship Id="rId220" Type="http://schemas.openxmlformats.org/officeDocument/2006/relationships/queryTable" Target="../queryTables/queryTable449.xml"/><Relationship Id="rId225" Type="http://schemas.openxmlformats.org/officeDocument/2006/relationships/queryTable" Target="../queryTables/queryTable454.xml"/><Relationship Id="rId241" Type="http://schemas.openxmlformats.org/officeDocument/2006/relationships/queryTable" Target="../queryTables/queryTable470.xml"/><Relationship Id="rId246" Type="http://schemas.openxmlformats.org/officeDocument/2006/relationships/queryTable" Target="../queryTables/queryTable475.xml"/><Relationship Id="rId267" Type="http://schemas.openxmlformats.org/officeDocument/2006/relationships/queryTable" Target="../queryTables/queryTable496.xml"/><Relationship Id="rId288" Type="http://schemas.openxmlformats.org/officeDocument/2006/relationships/queryTable" Target="../queryTables/queryTable517.xml"/><Relationship Id="rId15" Type="http://schemas.openxmlformats.org/officeDocument/2006/relationships/queryTable" Target="../queryTables/queryTable244.xml"/><Relationship Id="rId36" Type="http://schemas.openxmlformats.org/officeDocument/2006/relationships/queryTable" Target="../queryTables/queryTable265.xml"/><Relationship Id="rId57" Type="http://schemas.openxmlformats.org/officeDocument/2006/relationships/queryTable" Target="../queryTables/queryTable286.xml"/><Relationship Id="rId106" Type="http://schemas.openxmlformats.org/officeDocument/2006/relationships/queryTable" Target="../queryTables/queryTable335.xml"/><Relationship Id="rId127" Type="http://schemas.openxmlformats.org/officeDocument/2006/relationships/queryTable" Target="../queryTables/queryTable356.xml"/><Relationship Id="rId262" Type="http://schemas.openxmlformats.org/officeDocument/2006/relationships/queryTable" Target="../queryTables/queryTable491.xml"/><Relationship Id="rId283" Type="http://schemas.openxmlformats.org/officeDocument/2006/relationships/queryTable" Target="../queryTables/queryTable512.xml"/><Relationship Id="rId313" Type="http://schemas.openxmlformats.org/officeDocument/2006/relationships/queryTable" Target="../queryTables/queryTable542.xml"/><Relationship Id="rId318" Type="http://schemas.openxmlformats.org/officeDocument/2006/relationships/queryTable" Target="../queryTables/queryTable547.xml"/><Relationship Id="rId339" Type="http://schemas.openxmlformats.org/officeDocument/2006/relationships/queryTable" Target="../queryTables/queryTable568.xml"/><Relationship Id="rId10" Type="http://schemas.openxmlformats.org/officeDocument/2006/relationships/queryTable" Target="../queryTables/queryTable239.xml"/><Relationship Id="rId31" Type="http://schemas.openxmlformats.org/officeDocument/2006/relationships/queryTable" Target="../queryTables/queryTable260.xml"/><Relationship Id="rId52" Type="http://schemas.openxmlformats.org/officeDocument/2006/relationships/queryTable" Target="../queryTables/queryTable281.xml"/><Relationship Id="rId73" Type="http://schemas.openxmlformats.org/officeDocument/2006/relationships/queryTable" Target="../queryTables/queryTable302.xml"/><Relationship Id="rId78" Type="http://schemas.openxmlformats.org/officeDocument/2006/relationships/queryTable" Target="../queryTables/queryTable307.xml"/><Relationship Id="rId94" Type="http://schemas.openxmlformats.org/officeDocument/2006/relationships/queryTable" Target="../queryTables/queryTable323.xml"/><Relationship Id="rId99" Type="http://schemas.openxmlformats.org/officeDocument/2006/relationships/queryTable" Target="../queryTables/queryTable328.xml"/><Relationship Id="rId101" Type="http://schemas.openxmlformats.org/officeDocument/2006/relationships/queryTable" Target="../queryTables/queryTable330.xml"/><Relationship Id="rId122" Type="http://schemas.openxmlformats.org/officeDocument/2006/relationships/queryTable" Target="../queryTables/queryTable351.xml"/><Relationship Id="rId143" Type="http://schemas.openxmlformats.org/officeDocument/2006/relationships/queryTable" Target="../queryTables/queryTable372.xml"/><Relationship Id="rId148" Type="http://schemas.openxmlformats.org/officeDocument/2006/relationships/queryTable" Target="../queryTables/queryTable377.xml"/><Relationship Id="rId164" Type="http://schemas.openxmlformats.org/officeDocument/2006/relationships/queryTable" Target="../queryTables/queryTable393.xml"/><Relationship Id="rId169" Type="http://schemas.openxmlformats.org/officeDocument/2006/relationships/queryTable" Target="../queryTables/queryTable398.xml"/><Relationship Id="rId185" Type="http://schemas.openxmlformats.org/officeDocument/2006/relationships/queryTable" Target="../queryTables/queryTable414.xml"/><Relationship Id="rId334" Type="http://schemas.openxmlformats.org/officeDocument/2006/relationships/queryTable" Target="../queryTables/queryTable563.xml"/><Relationship Id="rId4" Type="http://schemas.openxmlformats.org/officeDocument/2006/relationships/queryTable" Target="../queryTables/queryTable233.xml"/><Relationship Id="rId9" Type="http://schemas.openxmlformats.org/officeDocument/2006/relationships/queryTable" Target="../queryTables/queryTable238.xml"/><Relationship Id="rId180" Type="http://schemas.openxmlformats.org/officeDocument/2006/relationships/queryTable" Target="../queryTables/queryTable409.xml"/><Relationship Id="rId210" Type="http://schemas.openxmlformats.org/officeDocument/2006/relationships/queryTable" Target="../queryTables/queryTable439.xml"/><Relationship Id="rId215" Type="http://schemas.openxmlformats.org/officeDocument/2006/relationships/queryTable" Target="../queryTables/queryTable444.xml"/><Relationship Id="rId236" Type="http://schemas.openxmlformats.org/officeDocument/2006/relationships/queryTable" Target="../queryTables/queryTable465.xml"/><Relationship Id="rId257" Type="http://schemas.openxmlformats.org/officeDocument/2006/relationships/queryTable" Target="../queryTables/queryTable486.xml"/><Relationship Id="rId278" Type="http://schemas.openxmlformats.org/officeDocument/2006/relationships/queryTable" Target="../queryTables/queryTable507.xml"/><Relationship Id="rId26" Type="http://schemas.openxmlformats.org/officeDocument/2006/relationships/queryTable" Target="../queryTables/queryTable255.xml"/><Relationship Id="rId231" Type="http://schemas.openxmlformats.org/officeDocument/2006/relationships/queryTable" Target="../queryTables/queryTable460.xml"/><Relationship Id="rId252" Type="http://schemas.openxmlformats.org/officeDocument/2006/relationships/queryTable" Target="../queryTables/queryTable481.xml"/><Relationship Id="rId273" Type="http://schemas.openxmlformats.org/officeDocument/2006/relationships/queryTable" Target="../queryTables/queryTable502.xml"/><Relationship Id="rId294" Type="http://schemas.openxmlformats.org/officeDocument/2006/relationships/queryTable" Target="../queryTables/queryTable523.xml"/><Relationship Id="rId308" Type="http://schemas.openxmlformats.org/officeDocument/2006/relationships/queryTable" Target="../queryTables/queryTable537.xml"/><Relationship Id="rId329" Type="http://schemas.openxmlformats.org/officeDocument/2006/relationships/queryTable" Target="../queryTables/queryTable558.xml"/><Relationship Id="rId47" Type="http://schemas.openxmlformats.org/officeDocument/2006/relationships/queryTable" Target="../queryTables/queryTable276.xml"/><Relationship Id="rId68" Type="http://schemas.openxmlformats.org/officeDocument/2006/relationships/queryTable" Target="../queryTables/queryTable297.xml"/><Relationship Id="rId89" Type="http://schemas.openxmlformats.org/officeDocument/2006/relationships/queryTable" Target="../queryTables/queryTable318.xml"/><Relationship Id="rId112" Type="http://schemas.openxmlformats.org/officeDocument/2006/relationships/queryTable" Target="../queryTables/queryTable341.xml"/><Relationship Id="rId133" Type="http://schemas.openxmlformats.org/officeDocument/2006/relationships/queryTable" Target="../queryTables/queryTable362.xml"/><Relationship Id="rId154" Type="http://schemas.openxmlformats.org/officeDocument/2006/relationships/queryTable" Target="../queryTables/queryTable383.xml"/><Relationship Id="rId175" Type="http://schemas.openxmlformats.org/officeDocument/2006/relationships/queryTable" Target="../queryTables/queryTable404.xml"/><Relationship Id="rId196" Type="http://schemas.openxmlformats.org/officeDocument/2006/relationships/queryTable" Target="../queryTables/queryTable425.xml"/><Relationship Id="rId200" Type="http://schemas.openxmlformats.org/officeDocument/2006/relationships/queryTable" Target="../queryTables/queryTable429.xml"/><Relationship Id="rId16" Type="http://schemas.openxmlformats.org/officeDocument/2006/relationships/queryTable" Target="../queryTables/queryTable245.xml"/><Relationship Id="rId221" Type="http://schemas.openxmlformats.org/officeDocument/2006/relationships/queryTable" Target="../queryTables/queryTable450.xml"/><Relationship Id="rId242" Type="http://schemas.openxmlformats.org/officeDocument/2006/relationships/queryTable" Target="../queryTables/queryTable471.xml"/><Relationship Id="rId263" Type="http://schemas.openxmlformats.org/officeDocument/2006/relationships/queryTable" Target="../queryTables/queryTable492.xml"/><Relationship Id="rId284" Type="http://schemas.openxmlformats.org/officeDocument/2006/relationships/queryTable" Target="../queryTables/queryTable513.xml"/><Relationship Id="rId319" Type="http://schemas.openxmlformats.org/officeDocument/2006/relationships/queryTable" Target="../queryTables/queryTable548.xml"/><Relationship Id="rId37" Type="http://schemas.openxmlformats.org/officeDocument/2006/relationships/queryTable" Target="../queryTables/queryTable266.xml"/><Relationship Id="rId58" Type="http://schemas.openxmlformats.org/officeDocument/2006/relationships/queryTable" Target="../queryTables/queryTable287.xml"/><Relationship Id="rId79" Type="http://schemas.openxmlformats.org/officeDocument/2006/relationships/queryTable" Target="../queryTables/queryTable308.xml"/><Relationship Id="rId102" Type="http://schemas.openxmlformats.org/officeDocument/2006/relationships/queryTable" Target="../queryTables/queryTable331.xml"/><Relationship Id="rId123" Type="http://schemas.openxmlformats.org/officeDocument/2006/relationships/queryTable" Target="../queryTables/queryTable352.xml"/><Relationship Id="rId144" Type="http://schemas.openxmlformats.org/officeDocument/2006/relationships/queryTable" Target="../queryTables/queryTable373.xml"/><Relationship Id="rId330" Type="http://schemas.openxmlformats.org/officeDocument/2006/relationships/queryTable" Target="../queryTables/queryTable559.xml"/><Relationship Id="rId90" Type="http://schemas.openxmlformats.org/officeDocument/2006/relationships/queryTable" Target="../queryTables/queryTable319.xml"/><Relationship Id="rId165" Type="http://schemas.openxmlformats.org/officeDocument/2006/relationships/queryTable" Target="../queryTables/queryTable394.xml"/><Relationship Id="rId186" Type="http://schemas.openxmlformats.org/officeDocument/2006/relationships/queryTable" Target="../queryTables/queryTable415.xml"/><Relationship Id="rId211" Type="http://schemas.openxmlformats.org/officeDocument/2006/relationships/queryTable" Target="../queryTables/queryTable440.xml"/><Relationship Id="rId232" Type="http://schemas.openxmlformats.org/officeDocument/2006/relationships/queryTable" Target="../queryTables/queryTable461.xml"/><Relationship Id="rId253" Type="http://schemas.openxmlformats.org/officeDocument/2006/relationships/queryTable" Target="../queryTables/queryTable482.xml"/><Relationship Id="rId274" Type="http://schemas.openxmlformats.org/officeDocument/2006/relationships/queryTable" Target="../queryTables/queryTable503.xml"/><Relationship Id="rId295" Type="http://schemas.openxmlformats.org/officeDocument/2006/relationships/queryTable" Target="../queryTables/queryTable524.xml"/><Relationship Id="rId309" Type="http://schemas.openxmlformats.org/officeDocument/2006/relationships/queryTable" Target="../queryTables/queryTable538.xml"/><Relationship Id="rId27" Type="http://schemas.openxmlformats.org/officeDocument/2006/relationships/queryTable" Target="../queryTables/queryTable256.xml"/><Relationship Id="rId48" Type="http://schemas.openxmlformats.org/officeDocument/2006/relationships/queryTable" Target="../queryTables/queryTable277.xml"/><Relationship Id="rId69" Type="http://schemas.openxmlformats.org/officeDocument/2006/relationships/queryTable" Target="../queryTables/queryTable298.xml"/><Relationship Id="rId113" Type="http://schemas.openxmlformats.org/officeDocument/2006/relationships/queryTable" Target="../queryTables/queryTable342.xml"/><Relationship Id="rId134" Type="http://schemas.openxmlformats.org/officeDocument/2006/relationships/queryTable" Target="../queryTables/queryTable363.xml"/><Relationship Id="rId320" Type="http://schemas.openxmlformats.org/officeDocument/2006/relationships/queryTable" Target="../queryTables/queryTable549.xml"/><Relationship Id="rId80" Type="http://schemas.openxmlformats.org/officeDocument/2006/relationships/queryTable" Target="../queryTables/queryTable309.xml"/><Relationship Id="rId155" Type="http://schemas.openxmlformats.org/officeDocument/2006/relationships/queryTable" Target="../queryTables/queryTable384.xml"/><Relationship Id="rId176" Type="http://schemas.openxmlformats.org/officeDocument/2006/relationships/queryTable" Target="../queryTables/queryTable405.xml"/><Relationship Id="rId197" Type="http://schemas.openxmlformats.org/officeDocument/2006/relationships/queryTable" Target="../queryTables/queryTable426.xml"/><Relationship Id="rId201" Type="http://schemas.openxmlformats.org/officeDocument/2006/relationships/queryTable" Target="../queryTables/queryTable430.xml"/><Relationship Id="rId222" Type="http://schemas.openxmlformats.org/officeDocument/2006/relationships/queryTable" Target="../queryTables/queryTable451.xml"/><Relationship Id="rId243" Type="http://schemas.openxmlformats.org/officeDocument/2006/relationships/queryTable" Target="../queryTables/queryTable472.xml"/><Relationship Id="rId264" Type="http://schemas.openxmlformats.org/officeDocument/2006/relationships/queryTable" Target="../queryTables/queryTable493.xml"/><Relationship Id="rId285" Type="http://schemas.openxmlformats.org/officeDocument/2006/relationships/queryTable" Target="../queryTables/queryTable514.xml"/><Relationship Id="rId17" Type="http://schemas.openxmlformats.org/officeDocument/2006/relationships/queryTable" Target="../queryTables/queryTable246.xml"/><Relationship Id="rId38" Type="http://schemas.openxmlformats.org/officeDocument/2006/relationships/queryTable" Target="../queryTables/queryTable267.xml"/><Relationship Id="rId59" Type="http://schemas.openxmlformats.org/officeDocument/2006/relationships/queryTable" Target="../queryTables/queryTable288.xml"/><Relationship Id="rId103" Type="http://schemas.openxmlformats.org/officeDocument/2006/relationships/queryTable" Target="../queryTables/queryTable332.xml"/><Relationship Id="rId124" Type="http://schemas.openxmlformats.org/officeDocument/2006/relationships/queryTable" Target="../queryTables/queryTable353.xml"/><Relationship Id="rId310" Type="http://schemas.openxmlformats.org/officeDocument/2006/relationships/queryTable" Target="../queryTables/queryTable539.xml"/><Relationship Id="rId70" Type="http://schemas.openxmlformats.org/officeDocument/2006/relationships/queryTable" Target="../queryTables/queryTable299.xml"/><Relationship Id="rId91" Type="http://schemas.openxmlformats.org/officeDocument/2006/relationships/queryTable" Target="../queryTables/queryTable320.xml"/><Relationship Id="rId145" Type="http://schemas.openxmlformats.org/officeDocument/2006/relationships/queryTable" Target="../queryTables/queryTable374.xml"/><Relationship Id="rId166" Type="http://schemas.openxmlformats.org/officeDocument/2006/relationships/queryTable" Target="../queryTables/queryTable395.xml"/><Relationship Id="rId187" Type="http://schemas.openxmlformats.org/officeDocument/2006/relationships/queryTable" Target="../queryTables/queryTable416.xml"/><Relationship Id="rId331" Type="http://schemas.openxmlformats.org/officeDocument/2006/relationships/queryTable" Target="../queryTables/queryTable560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41.xml"/><Relationship Id="rId233" Type="http://schemas.openxmlformats.org/officeDocument/2006/relationships/queryTable" Target="../queryTables/queryTable462.xml"/><Relationship Id="rId254" Type="http://schemas.openxmlformats.org/officeDocument/2006/relationships/queryTable" Target="../queryTables/queryTable483.xml"/><Relationship Id="rId28" Type="http://schemas.openxmlformats.org/officeDocument/2006/relationships/queryTable" Target="../queryTables/queryTable257.xml"/><Relationship Id="rId49" Type="http://schemas.openxmlformats.org/officeDocument/2006/relationships/queryTable" Target="../queryTables/queryTable278.xml"/><Relationship Id="rId114" Type="http://schemas.openxmlformats.org/officeDocument/2006/relationships/queryTable" Target="../queryTables/queryTable343.xml"/><Relationship Id="rId275" Type="http://schemas.openxmlformats.org/officeDocument/2006/relationships/queryTable" Target="../queryTables/queryTable504.xml"/><Relationship Id="rId296" Type="http://schemas.openxmlformats.org/officeDocument/2006/relationships/queryTable" Target="../queryTables/queryTable525.xml"/><Relationship Id="rId300" Type="http://schemas.openxmlformats.org/officeDocument/2006/relationships/queryTable" Target="../queryTables/queryTable529.xml"/><Relationship Id="rId60" Type="http://schemas.openxmlformats.org/officeDocument/2006/relationships/queryTable" Target="../queryTables/queryTable289.xml"/><Relationship Id="rId81" Type="http://schemas.openxmlformats.org/officeDocument/2006/relationships/queryTable" Target="../queryTables/queryTable310.xml"/><Relationship Id="rId135" Type="http://schemas.openxmlformats.org/officeDocument/2006/relationships/queryTable" Target="../queryTables/queryTable364.xml"/><Relationship Id="rId156" Type="http://schemas.openxmlformats.org/officeDocument/2006/relationships/queryTable" Target="../queryTables/queryTable385.xml"/><Relationship Id="rId177" Type="http://schemas.openxmlformats.org/officeDocument/2006/relationships/queryTable" Target="../queryTables/queryTable406.xml"/><Relationship Id="rId198" Type="http://schemas.openxmlformats.org/officeDocument/2006/relationships/queryTable" Target="../queryTables/queryTable427.xml"/><Relationship Id="rId321" Type="http://schemas.openxmlformats.org/officeDocument/2006/relationships/queryTable" Target="../queryTables/queryTable550.xml"/><Relationship Id="rId202" Type="http://schemas.openxmlformats.org/officeDocument/2006/relationships/queryTable" Target="../queryTables/queryTable431.xml"/><Relationship Id="rId223" Type="http://schemas.openxmlformats.org/officeDocument/2006/relationships/queryTable" Target="../queryTables/queryTable452.xml"/><Relationship Id="rId244" Type="http://schemas.openxmlformats.org/officeDocument/2006/relationships/queryTable" Target="../queryTables/queryTable473.xml"/><Relationship Id="rId18" Type="http://schemas.openxmlformats.org/officeDocument/2006/relationships/queryTable" Target="../queryTables/queryTable247.xml"/><Relationship Id="rId39" Type="http://schemas.openxmlformats.org/officeDocument/2006/relationships/queryTable" Target="../queryTables/queryTable268.xml"/><Relationship Id="rId265" Type="http://schemas.openxmlformats.org/officeDocument/2006/relationships/queryTable" Target="../queryTables/queryTable494.xml"/><Relationship Id="rId286" Type="http://schemas.openxmlformats.org/officeDocument/2006/relationships/queryTable" Target="../queryTables/queryTable515.xml"/><Relationship Id="rId50" Type="http://schemas.openxmlformats.org/officeDocument/2006/relationships/queryTable" Target="../queryTables/queryTable279.xml"/><Relationship Id="rId104" Type="http://schemas.openxmlformats.org/officeDocument/2006/relationships/queryTable" Target="../queryTables/queryTable333.xml"/><Relationship Id="rId125" Type="http://schemas.openxmlformats.org/officeDocument/2006/relationships/queryTable" Target="../queryTables/queryTable354.xml"/><Relationship Id="rId146" Type="http://schemas.openxmlformats.org/officeDocument/2006/relationships/queryTable" Target="../queryTables/queryTable375.xml"/><Relationship Id="rId167" Type="http://schemas.openxmlformats.org/officeDocument/2006/relationships/queryTable" Target="../queryTables/queryTable396.xml"/><Relationship Id="rId188" Type="http://schemas.openxmlformats.org/officeDocument/2006/relationships/queryTable" Target="../queryTables/queryTable417.xml"/><Relationship Id="rId311" Type="http://schemas.openxmlformats.org/officeDocument/2006/relationships/queryTable" Target="../queryTables/queryTable540.xml"/><Relationship Id="rId332" Type="http://schemas.openxmlformats.org/officeDocument/2006/relationships/queryTable" Target="../queryTables/queryTable561.xml"/><Relationship Id="rId71" Type="http://schemas.openxmlformats.org/officeDocument/2006/relationships/queryTable" Target="../queryTables/queryTable300.xml"/><Relationship Id="rId92" Type="http://schemas.openxmlformats.org/officeDocument/2006/relationships/queryTable" Target="../queryTables/queryTable321.xml"/><Relationship Id="rId213" Type="http://schemas.openxmlformats.org/officeDocument/2006/relationships/queryTable" Target="../queryTables/queryTable442.xml"/><Relationship Id="rId234" Type="http://schemas.openxmlformats.org/officeDocument/2006/relationships/queryTable" Target="../queryTables/queryTable463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8.xml"/><Relationship Id="rId255" Type="http://schemas.openxmlformats.org/officeDocument/2006/relationships/queryTable" Target="../queryTables/queryTable484.xml"/><Relationship Id="rId276" Type="http://schemas.openxmlformats.org/officeDocument/2006/relationships/queryTable" Target="../queryTables/queryTable505.xml"/><Relationship Id="rId297" Type="http://schemas.openxmlformats.org/officeDocument/2006/relationships/queryTable" Target="../queryTables/queryTable526.xml"/><Relationship Id="rId40" Type="http://schemas.openxmlformats.org/officeDocument/2006/relationships/queryTable" Target="../queryTables/queryTable269.xml"/><Relationship Id="rId115" Type="http://schemas.openxmlformats.org/officeDocument/2006/relationships/queryTable" Target="../queryTables/queryTable344.xml"/><Relationship Id="rId136" Type="http://schemas.openxmlformats.org/officeDocument/2006/relationships/queryTable" Target="../queryTables/queryTable365.xml"/><Relationship Id="rId157" Type="http://schemas.openxmlformats.org/officeDocument/2006/relationships/queryTable" Target="../queryTables/queryTable386.xml"/><Relationship Id="rId178" Type="http://schemas.openxmlformats.org/officeDocument/2006/relationships/queryTable" Target="../queryTables/queryTable407.xml"/><Relationship Id="rId301" Type="http://schemas.openxmlformats.org/officeDocument/2006/relationships/queryTable" Target="../queryTables/queryTable530.xml"/><Relationship Id="rId322" Type="http://schemas.openxmlformats.org/officeDocument/2006/relationships/queryTable" Target="../queryTables/queryTable551.xml"/><Relationship Id="rId61" Type="http://schemas.openxmlformats.org/officeDocument/2006/relationships/queryTable" Target="../queryTables/queryTable290.xml"/><Relationship Id="rId82" Type="http://schemas.openxmlformats.org/officeDocument/2006/relationships/queryTable" Target="../queryTables/queryTable311.xml"/><Relationship Id="rId199" Type="http://schemas.openxmlformats.org/officeDocument/2006/relationships/queryTable" Target="../queryTables/queryTable428.xml"/><Relationship Id="rId203" Type="http://schemas.openxmlformats.org/officeDocument/2006/relationships/queryTable" Target="../queryTables/queryTable432.xml"/><Relationship Id="rId19" Type="http://schemas.openxmlformats.org/officeDocument/2006/relationships/queryTable" Target="../queryTables/queryTable248.xml"/><Relationship Id="rId224" Type="http://schemas.openxmlformats.org/officeDocument/2006/relationships/queryTable" Target="../queryTables/queryTable453.xml"/><Relationship Id="rId245" Type="http://schemas.openxmlformats.org/officeDocument/2006/relationships/queryTable" Target="../queryTables/queryTable474.xml"/><Relationship Id="rId266" Type="http://schemas.openxmlformats.org/officeDocument/2006/relationships/queryTable" Target="../queryTables/queryTable495.xml"/><Relationship Id="rId287" Type="http://schemas.openxmlformats.org/officeDocument/2006/relationships/queryTable" Target="../queryTables/queryTable516.xml"/><Relationship Id="rId30" Type="http://schemas.openxmlformats.org/officeDocument/2006/relationships/queryTable" Target="../queryTables/queryTable259.xml"/><Relationship Id="rId105" Type="http://schemas.openxmlformats.org/officeDocument/2006/relationships/queryTable" Target="../queryTables/queryTable334.xml"/><Relationship Id="rId126" Type="http://schemas.openxmlformats.org/officeDocument/2006/relationships/queryTable" Target="../queryTables/queryTable355.xml"/><Relationship Id="rId147" Type="http://schemas.openxmlformats.org/officeDocument/2006/relationships/queryTable" Target="../queryTables/queryTable376.xml"/><Relationship Id="rId168" Type="http://schemas.openxmlformats.org/officeDocument/2006/relationships/queryTable" Target="../queryTables/queryTable397.xml"/><Relationship Id="rId312" Type="http://schemas.openxmlformats.org/officeDocument/2006/relationships/queryTable" Target="../queryTables/queryTable541.xml"/><Relationship Id="rId333" Type="http://schemas.openxmlformats.org/officeDocument/2006/relationships/queryTable" Target="../queryTables/queryTable562.xml"/><Relationship Id="rId51" Type="http://schemas.openxmlformats.org/officeDocument/2006/relationships/queryTable" Target="../queryTables/queryTable280.xml"/><Relationship Id="rId72" Type="http://schemas.openxmlformats.org/officeDocument/2006/relationships/queryTable" Target="../queryTables/queryTable301.xml"/><Relationship Id="rId93" Type="http://schemas.openxmlformats.org/officeDocument/2006/relationships/queryTable" Target="../queryTables/queryTable322.xml"/><Relationship Id="rId189" Type="http://schemas.openxmlformats.org/officeDocument/2006/relationships/queryTable" Target="../queryTables/queryTable41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82.xml"/><Relationship Id="rId299" Type="http://schemas.openxmlformats.org/officeDocument/2006/relationships/queryTable" Target="../queryTables/queryTable864.xml"/><Relationship Id="rId21" Type="http://schemas.openxmlformats.org/officeDocument/2006/relationships/queryTable" Target="../queryTables/queryTable586.xml"/><Relationship Id="rId63" Type="http://schemas.openxmlformats.org/officeDocument/2006/relationships/queryTable" Target="../queryTables/queryTable628.xml"/><Relationship Id="rId159" Type="http://schemas.openxmlformats.org/officeDocument/2006/relationships/queryTable" Target="../queryTables/queryTable724.xml"/><Relationship Id="rId324" Type="http://schemas.openxmlformats.org/officeDocument/2006/relationships/queryTable" Target="../queryTables/queryTable889.xml"/><Relationship Id="rId366" Type="http://schemas.openxmlformats.org/officeDocument/2006/relationships/queryTable" Target="../queryTables/queryTable931.xml"/><Relationship Id="rId170" Type="http://schemas.openxmlformats.org/officeDocument/2006/relationships/queryTable" Target="../queryTables/queryTable735.xml"/><Relationship Id="rId226" Type="http://schemas.openxmlformats.org/officeDocument/2006/relationships/queryTable" Target="../queryTables/queryTable791.xml"/><Relationship Id="rId268" Type="http://schemas.openxmlformats.org/officeDocument/2006/relationships/queryTable" Target="../queryTables/queryTable833.xml"/><Relationship Id="rId11" Type="http://schemas.openxmlformats.org/officeDocument/2006/relationships/queryTable" Target="../queryTables/queryTable576.xml"/><Relationship Id="rId32" Type="http://schemas.openxmlformats.org/officeDocument/2006/relationships/queryTable" Target="../queryTables/queryTable597.xml"/><Relationship Id="rId53" Type="http://schemas.openxmlformats.org/officeDocument/2006/relationships/queryTable" Target="../queryTables/queryTable618.xml"/><Relationship Id="rId74" Type="http://schemas.openxmlformats.org/officeDocument/2006/relationships/queryTable" Target="../queryTables/queryTable639.xml"/><Relationship Id="rId128" Type="http://schemas.openxmlformats.org/officeDocument/2006/relationships/queryTable" Target="../queryTables/queryTable693.xml"/><Relationship Id="rId149" Type="http://schemas.openxmlformats.org/officeDocument/2006/relationships/queryTable" Target="../queryTables/queryTable714.xml"/><Relationship Id="rId314" Type="http://schemas.openxmlformats.org/officeDocument/2006/relationships/queryTable" Target="../queryTables/queryTable879.xml"/><Relationship Id="rId335" Type="http://schemas.openxmlformats.org/officeDocument/2006/relationships/queryTable" Target="../queryTables/queryTable900.xml"/><Relationship Id="rId356" Type="http://schemas.openxmlformats.org/officeDocument/2006/relationships/queryTable" Target="../queryTables/queryTable921.xml"/><Relationship Id="rId377" Type="http://schemas.openxmlformats.org/officeDocument/2006/relationships/queryTable" Target="../queryTables/queryTable942.xml"/><Relationship Id="rId398" Type="http://schemas.openxmlformats.org/officeDocument/2006/relationships/queryTable" Target="../queryTables/queryTable963.xml"/><Relationship Id="rId5" Type="http://schemas.openxmlformats.org/officeDocument/2006/relationships/queryTable" Target="../queryTables/queryTable570.xml"/><Relationship Id="rId95" Type="http://schemas.openxmlformats.org/officeDocument/2006/relationships/queryTable" Target="../queryTables/queryTable660.xml"/><Relationship Id="rId160" Type="http://schemas.openxmlformats.org/officeDocument/2006/relationships/queryTable" Target="../queryTables/queryTable725.xml"/><Relationship Id="rId181" Type="http://schemas.openxmlformats.org/officeDocument/2006/relationships/queryTable" Target="../queryTables/queryTable746.xml"/><Relationship Id="rId216" Type="http://schemas.openxmlformats.org/officeDocument/2006/relationships/queryTable" Target="../queryTables/queryTable781.xml"/><Relationship Id="rId237" Type="http://schemas.openxmlformats.org/officeDocument/2006/relationships/queryTable" Target="../queryTables/queryTable802.xml"/><Relationship Id="rId402" Type="http://schemas.openxmlformats.org/officeDocument/2006/relationships/queryTable" Target="../queryTables/queryTable967.xml"/><Relationship Id="rId258" Type="http://schemas.openxmlformats.org/officeDocument/2006/relationships/queryTable" Target="../queryTables/queryTable823.xml"/><Relationship Id="rId279" Type="http://schemas.openxmlformats.org/officeDocument/2006/relationships/queryTable" Target="../queryTables/queryTable844.xml"/><Relationship Id="rId22" Type="http://schemas.openxmlformats.org/officeDocument/2006/relationships/queryTable" Target="../queryTables/queryTable587.xml"/><Relationship Id="rId43" Type="http://schemas.openxmlformats.org/officeDocument/2006/relationships/queryTable" Target="../queryTables/queryTable608.xml"/><Relationship Id="rId64" Type="http://schemas.openxmlformats.org/officeDocument/2006/relationships/queryTable" Target="../queryTables/queryTable629.xml"/><Relationship Id="rId118" Type="http://schemas.openxmlformats.org/officeDocument/2006/relationships/queryTable" Target="../queryTables/queryTable683.xml"/><Relationship Id="rId139" Type="http://schemas.openxmlformats.org/officeDocument/2006/relationships/queryTable" Target="../queryTables/queryTable704.xml"/><Relationship Id="rId290" Type="http://schemas.openxmlformats.org/officeDocument/2006/relationships/queryTable" Target="../queryTables/queryTable855.xml"/><Relationship Id="rId304" Type="http://schemas.openxmlformats.org/officeDocument/2006/relationships/queryTable" Target="../queryTables/queryTable869.xml"/><Relationship Id="rId325" Type="http://schemas.openxmlformats.org/officeDocument/2006/relationships/queryTable" Target="../queryTables/queryTable890.xml"/><Relationship Id="rId346" Type="http://schemas.openxmlformats.org/officeDocument/2006/relationships/queryTable" Target="../queryTables/queryTable911.xml"/><Relationship Id="rId367" Type="http://schemas.openxmlformats.org/officeDocument/2006/relationships/queryTable" Target="../queryTables/queryTable932.xml"/><Relationship Id="rId388" Type="http://schemas.openxmlformats.org/officeDocument/2006/relationships/queryTable" Target="../queryTables/queryTable953.xml"/><Relationship Id="rId85" Type="http://schemas.openxmlformats.org/officeDocument/2006/relationships/queryTable" Target="../queryTables/queryTable650.xml"/><Relationship Id="rId150" Type="http://schemas.openxmlformats.org/officeDocument/2006/relationships/queryTable" Target="../queryTables/queryTable715.xml"/><Relationship Id="rId171" Type="http://schemas.openxmlformats.org/officeDocument/2006/relationships/queryTable" Target="../queryTables/queryTable736.xml"/><Relationship Id="rId192" Type="http://schemas.openxmlformats.org/officeDocument/2006/relationships/queryTable" Target="../queryTables/queryTable757.xml"/><Relationship Id="rId206" Type="http://schemas.openxmlformats.org/officeDocument/2006/relationships/queryTable" Target="../queryTables/queryTable771.xml"/><Relationship Id="rId227" Type="http://schemas.openxmlformats.org/officeDocument/2006/relationships/queryTable" Target="../queryTables/queryTable792.xml"/><Relationship Id="rId248" Type="http://schemas.openxmlformats.org/officeDocument/2006/relationships/queryTable" Target="../queryTables/queryTable813.xml"/><Relationship Id="rId269" Type="http://schemas.openxmlformats.org/officeDocument/2006/relationships/queryTable" Target="../queryTables/queryTable834.xml"/><Relationship Id="rId12" Type="http://schemas.openxmlformats.org/officeDocument/2006/relationships/queryTable" Target="../queryTables/queryTable577.xml"/><Relationship Id="rId33" Type="http://schemas.openxmlformats.org/officeDocument/2006/relationships/queryTable" Target="../queryTables/queryTable598.xml"/><Relationship Id="rId108" Type="http://schemas.openxmlformats.org/officeDocument/2006/relationships/queryTable" Target="../queryTables/queryTable673.xml"/><Relationship Id="rId129" Type="http://schemas.openxmlformats.org/officeDocument/2006/relationships/queryTable" Target="../queryTables/queryTable694.xml"/><Relationship Id="rId280" Type="http://schemas.openxmlformats.org/officeDocument/2006/relationships/queryTable" Target="../queryTables/queryTable845.xml"/><Relationship Id="rId315" Type="http://schemas.openxmlformats.org/officeDocument/2006/relationships/queryTable" Target="../queryTables/queryTable880.xml"/><Relationship Id="rId336" Type="http://schemas.openxmlformats.org/officeDocument/2006/relationships/queryTable" Target="../queryTables/queryTable901.xml"/><Relationship Id="rId357" Type="http://schemas.openxmlformats.org/officeDocument/2006/relationships/queryTable" Target="../queryTables/queryTable922.xml"/><Relationship Id="rId54" Type="http://schemas.openxmlformats.org/officeDocument/2006/relationships/queryTable" Target="../queryTables/queryTable619.xml"/><Relationship Id="rId75" Type="http://schemas.openxmlformats.org/officeDocument/2006/relationships/queryTable" Target="../queryTables/queryTable640.xml"/><Relationship Id="rId96" Type="http://schemas.openxmlformats.org/officeDocument/2006/relationships/queryTable" Target="../queryTables/queryTable661.xml"/><Relationship Id="rId140" Type="http://schemas.openxmlformats.org/officeDocument/2006/relationships/queryTable" Target="../queryTables/queryTable705.xml"/><Relationship Id="rId161" Type="http://schemas.openxmlformats.org/officeDocument/2006/relationships/queryTable" Target="../queryTables/queryTable726.xml"/><Relationship Id="rId182" Type="http://schemas.openxmlformats.org/officeDocument/2006/relationships/queryTable" Target="../queryTables/queryTable747.xml"/><Relationship Id="rId217" Type="http://schemas.openxmlformats.org/officeDocument/2006/relationships/queryTable" Target="../queryTables/queryTable782.xml"/><Relationship Id="rId378" Type="http://schemas.openxmlformats.org/officeDocument/2006/relationships/queryTable" Target="../queryTables/queryTable943.xml"/><Relationship Id="rId399" Type="http://schemas.openxmlformats.org/officeDocument/2006/relationships/queryTable" Target="../queryTables/queryTable964.xml"/><Relationship Id="rId403" Type="http://schemas.openxmlformats.org/officeDocument/2006/relationships/queryTable" Target="../queryTables/queryTable968.xml"/><Relationship Id="rId6" Type="http://schemas.openxmlformats.org/officeDocument/2006/relationships/queryTable" Target="../queryTables/queryTable571.xml"/><Relationship Id="rId238" Type="http://schemas.openxmlformats.org/officeDocument/2006/relationships/queryTable" Target="../queryTables/queryTable803.xml"/><Relationship Id="rId259" Type="http://schemas.openxmlformats.org/officeDocument/2006/relationships/queryTable" Target="../queryTables/queryTable824.xml"/><Relationship Id="rId23" Type="http://schemas.openxmlformats.org/officeDocument/2006/relationships/queryTable" Target="../queryTables/queryTable588.xml"/><Relationship Id="rId119" Type="http://schemas.openxmlformats.org/officeDocument/2006/relationships/queryTable" Target="../queryTables/queryTable684.xml"/><Relationship Id="rId270" Type="http://schemas.openxmlformats.org/officeDocument/2006/relationships/queryTable" Target="../queryTables/queryTable835.xml"/><Relationship Id="rId291" Type="http://schemas.openxmlformats.org/officeDocument/2006/relationships/queryTable" Target="../queryTables/queryTable856.xml"/><Relationship Id="rId305" Type="http://schemas.openxmlformats.org/officeDocument/2006/relationships/queryTable" Target="../queryTables/queryTable870.xml"/><Relationship Id="rId326" Type="http://schemas.openxmlformats.org/officeDocument/2006/relationships/queryTable" Target="../queryTables/queryTable891.xml"/><Relationship Id="rId347" Type="http://schemas.openxmlformats.org/officeDocument/2006/relationships/queryTable" Target="../queryTables/queryTable912.xml"/><Relationship Id="rId44" Type="http://schemas.openxmlformats.org/officeDocument/2006/relationships/queryTable" Target="../queryTables/queryTable609.xml"/><Relationship Id="rId65" Type="http://schemas.openxmlformats.org/officeDocument/2006/relationships/queryTable" Target="../queryTables/queryTable630.xml"/><Relationship Id="rId86" Type="http://schemas.openxmlformats.org/officeDocument/2006/relationships/queryTable" Target="../queryTables/queryTable651.xml"/><Relationship Id="rId130" Type="http://schemas.openxmlformats.org/officeDocument/2006/relationships/queryTable" Target="../queryTables/queryTable695.xml"/><Relationship Id="rId151" Type="http://schemas.openxmlformats.org/officeDocument/2006/relationships/queryTable" Target="../queryTables/queryTable716.xml"/><Relationship Id="rId368" Type="http://schemas.openxmlformats.org/officeDocument/2006/relationships/queryTable" Target="../queryTables/queryTable933.xml"/><Relationship Id="rId389" Type="http://schemas.openxmlformats.org/officeDocument/2006/relationships/queryTable" Target="../queryTables/queryTable954.xml"/><Relationship Id="rId172" Type="http://schemas.openxmlformats.org/officeDocument/2006/relationships/queryTable" Target="../queryTables/queryTable737.xml"/><Relationship Id="rId193" Type="http://schemas.openxmlformats.org/officeDocument/2006/relationships/queryTable" Target="../queryTables/queryTable758.xml"/><Relationship Id="rId207" Type="http://schemas.openxmlformats.org/officeDocument/2006/relationships/queryTable" Target="../queryTables/queryTable772.xml"/><Relationship Id="rId228" Type="http://schemas.openxmlformats.org/officeDocument/2006/relationships/queryTable" Target="../queryTables/queryTable793.xml"/><Relationship Id="rId249" Type="http://schemas.openxmlformats.org/officeDocument/2006/relationships/queryTable" Target="../queryTables/queryTable814.xml"/><Relationship Id="rId13" Type="http://schemas.openxmlformats.org/officeDocument/2006/relationships/queryTable" Target="../queryTables/queryTable578.xml"/><Relationship Id="rId109" Type="http://schemas.openxmlformats.org/officeDocument/2006/relationships/queryTable" Target="../queryTables/queryTable674.xml"/><Relationship Id="rId260" Type="http://schemas.openxmlformats.org/officeDocument/2006/relationships/queryTable" Target="../queryTables/queryTable825.xml"/><Relationship Id="rId281" Type="http://schemas.openxmlformats.org/officeDocument/2006/relationships/queryTable" Target="../queryTables/queryTable846.xml"/><Relationship Id="rId316" Type="http://schemas.openxmlformats.org/officeDocument/2006/relationships/queryTable" Target="../queryTables/queryTable881.xml"/><Relationship Id="rId337" Type="http://schemas.openxmlformats.org/officeDocument/2006/relationships/queryTable" Target="../queryTables/queryTable902.xml"/><Relationship Id="rId34" Type="http://schemas.openxmlformats.org/officeDocument/2006/relationships/queryTable" Target="../queryTables/queryTable599.xml"/><Relationship Id="rId55" Type="http://schemas.openxmlformats.org/officeDocument/2006/relationships/queryTable" Target="../queryTables/queryTable620.xml"/><Relationship Id="rId76" Type="http://schemas.openxmlformats.org/officeDocument/2006/relationships/queryTable" Target="../queryTables/queryTable641.xml"/><Relationship Id="rId97" Type="http://schemas.openxmlformats.org/officeDocument/2006/relationships/queryTable" Target="../queryTables/queryTable662.xml"/><Relationship Id="rId120" Type="http://schemas.openxmlformats.org/officeDocument/2006/relationships/queryTable" Target="../queryTables/queryTable685.xml"/><Relationship Id="rId141" Type="http://schemas.openxmlformats.org/officeDocument/2006/relationships/queryTable" Target="../queryTables/queryTable706.xml"/><Relationship Id="rId358" Type="http://schemas.openxmlformats.org/officeDocument/2006/relationships/queryTable" Target="../queryTables/queryTable923.xml"/><Relationship Id="rId379" Type="http://schemas.openxmlformats.org/officeDocument/2006/relationships/queryTable" Target="../queryTables/queryTable944.xml"/><Relationship Id="rId7" Type="http://schemas.openxmlformats.org/officeDocument/2006/relationships/queryTable" Target="../queryTables/queryTable572.xml"/><Relationship Id="rId162" Type="http://schemas.openxmlformats.org/officeDocument/2006/relationships/queryTable" Target="../queryTables/queryTable727.xml"/><Relationship Id="rId183" Type="http://schemas.openxmlformats.org/officeDocument/2006/relationships/queryTable" Target="../queryTables/queryTable748.xml"/><Relationship Id="rId218" Type="http://schemas.openxmlformats.org/officeDocument/2006/relationships/queryTable" Target="../queryTables/queryTable783.xml"/><Relationship Id="rId239" Type="http://schemas.openxmlformats.org/officeDocument/2006/relationships/queryTable" Target="../queryTables/queryTable804.xml"/><Relationship Id="rId390" Type="http://schemas.openxmlformats.org/officeDocument/2006/relationships/queryTable" Target="../queryTables/queryTable955.xml"/><Relationship Id="rId404" Type="http://schemas.openxmlformats.org/officeDocument/2006/relationships/queryTable" Target="../queryTables/queryTable969.xml"/><Relationship Id="rId250" Type="http://schemas.openxmlformats.org/officeDocument/2006/relationships/queryTable" Target="../queryTables/queryTable815.xml"/><Relationship Id="rId271" Type="http://schemas.openxmlformats.org/officeDocument/2006/relationships/queryTable" Target="../queryTables/queryTable836.xml"/><Relationship Id="rId292" Type="http://schemas.openxmlformats.org/officeDocument/2006/relationships/queryTable" Target="../queryTables/queryTable857.xml"/><Relationship Id="rId306" Type="http://schemas.openxmlformats.org/officeDocument/2006/relationships/queryTable" Target="../queryTables/queryTable871.xml"/><Relationship Id="rId24" Type="http://schemas.openxmlformats.org/officeDocument/2006/relationships/queryTable" Target="../queryTables/queryTable589.xml"/><Relationship Id="rId45" Type="http://schemas.openxmlformats.org/officeDocument/2006/relationships/queryTable" Target="../queryTables/queryTable610.xml"/><Relationship Id="rId66" Type="http://schemas.openxmlformats.org/officeDocument/2006/relationships/queryTable" Target="../queryTables/queryTable631.xml"/><Relationship Id="rId87" Type="http://schemas.openxmlformats.org/officeDocument/2006/relationships/queryTable" Target="../queryTables/queryTable652.xml"/><Relationship Id="rId110" Type="http://schemas.openxmlformats.org/officeDocument/2006/relationships/queryTable" Target="../queryTables/queryTable675.xml"/><Relationship Id="rId131" Type="http://schemas.openxmlformats.org/officeDocument/2006/relationships/queryTable" Target="../queryTables/queryTable696.xml"/><Relationship Id="rId327" Type="http://schemas.openxmlformats.org/officeDocument/2006/relationships/queryTable" Target="../queryTables/queryTable892.xml"/><Relationship Id="rId348" Type="http://schemas.openxmlformats.org/officeDocument/2006/relationships/queryTable" Target="../queryTables/queryTable913.xml"/><Relationship Id="rId369" Type="http://schemas.openxmlformats.org/officeDocument/2006/relationships/queryTable" Target="../queryTables/queryTable934.xml"/><Relationship Id="rId152" Type="http://schemas.openxmlformats.org/officeDocument/2006/relationships/queryTable" Target="../queryTables/queryTable717.xml"/><Relationship Id="rId173" Type="http://schemas.openxmlformats.org/officeDocument/2006/relationships/queryTable" Target="../queryTables/queryTable738.xml"/><Relationship Id="rId194" Type="http://schemas.openxmlformats.org/officeDocument/2006/relationships/queryTable" Target="../queryTables/queryTable759.xml"/><Relationship Id="rId208" Type="http://schemas.openxmlformats.org/officeDocument/2006/relationships/queryTable" Target="../queryTables/queryTable773.xml"/><Relationship Id="rId229" Type="http://schemas.openxmlformats.org/officeDocument/2006/relationships/queryTable" Target="../queryTables/queryTable794.xml"/><Relationship Id="rId380" Type="http://schemas.openxmlformats.org/officeDocument/2006/relationships/queryTable" Target="../queryTables/queryTable945.xml"/><Relationship Id="rId240" Type="http://schemas.openxmlformats.org/officeDocument/2006/relationships/queryTable" Target="../queryTables/queryTable805.xml"/><Relationship Id="rId261" Type="http://schemas.openxmlformats.org/officeDocument/2006/relationships/queryTable" Target="../queryTables/queryTable826.xml"/><Relationship Id="rId14" Type="http://schemas.openxmlformats.org/officeDocument/2006/relationships/queryTable" Target="../queryTables/queryTable579.xml"/><Relationship Id="rId35" Type="http://schemas.openxmlformats.org/officeDocument/2006/relationships/queryTable" Target="../queryTables/queryTable600.xml"/><Relationship Id="rId56" Type="http://schemas.openxmlformats.org/officeDocument/2006/relationships/queryTable" Target="../queryTables/queryTable621.xml"/><Relationship Id="rId77" Type="http://schemas.openxmlformats.org/officeDocument/2006/relationships/queryTable" Target="../queryTables/queryTable642.xml"/><Relationship Id="rId100" Type="http://schemas.openxmlformats.org/officeDocument/2006/relationships/queryTable" Target="../queryTables/queryTable665.xml"/><Relationship Id="rId282" Type="http://schemas.openxmlformats.org/officeDocument/2006/relationships/queryTable" Target="../queryTables/queryTable847.xml"/><Relationship Id="rId317" Type="http://schemas.openxmlformats.org/officeDocument/2006/relationships/queryTable" Target="../queryTables/queryTable882.xml"/><Relationship Id="rId338" Type="http://schemas.openxmlformats.org/officeDocument/2006/relationships/queryTable" Target="../queryTables/queryTable903.xml"/><Relationship Id="rId359" Type="http://schemas.openxmlformats.org/officeDocument/2006/relationships/queryTable" Target="../queryTables/queryTable924.xml"/><Relationship Id="rId8" Type="http://schemas.openxmlformats.org/officeDocument/2006/relationships/queryTable" Target="../queryTables/queryTable573.xml"/><Relationship Id="rId98" Type="http://schemas.openxmlformats.org/officeDocument/2006/relationships/queryTable" Target="../queryTables/queryTable663.xml"/><Relationship Id="rId121" Type="http://schemas.openxmlformats.org/officeDocument/2006/relationships/queryTable" Target="../queryTables/queryTable686.xml"/><Relationship Id="rId142" Type="http://schemas.openxmlformats.org/officeDocument/2006/relationships/queryTable" Target="../queryTables/queryTable707.xml"/><Relationship Id="rId163" Type="http://schemas.openxmlformats.org/officeDocument/2006/relationships/queryTable" Target="../queryTables/queryTable728.xml"/><Relationship Id="rId184" Type="http://schemas.openxmlformats.org/officeDocument/2006/relationships/queryTable" Target="../queryTables/queryTable749.xml"/><Relationship Id="rId219" Type="http://schemas.openxmlformats.org/officeDocument/2006/relationships/queryTable" Target="../queryTables/queryTable784.xml"/><Relationship Id="rId370" Type="http://schemas.openxmlformats.org/officeDocument/2006/relationships/queryTable" Target="../queryTables/queryTable935.xml"/><Relationship Id="rId391" Type="http://schemas.openxmlformats.org/officeDocument/2006/relationships/queryTable" Target="../queryTables/queryTable956.xml"/><Relationship Id="rId405" Type="http://schemas.openxmlformats.org/officeDocument/2006/relationships/queryTable" Target="../queryTables/queryTable970.xml"/><Relationship Id="rId230" Type="http://schemas.openxmlformats.org/officeDocument/2006/relationships/queryTable" Target="../queryTables/queryTable795.xml"/><Relationship Id="rId251" Type="http://schemas.openxmlformats.org/officeDocument/2006/relationships/queryTable" Target="../queryTables/queryTable816.xml"/><Relationship Id="rId25" Type="http://schemas.openxmlformats.org/officeDocument/2006/relationships/queryTable" Target="../queryTables/queryTable590.xml"/><Relationship Id="rId46" Type="http://schemas.openxmlformats.org/officeDocument/2006/relationships/queryTable" Target="../queryTables/queryTable611.xml"/><Relationship Id="rId67" Type="http://schemas.openxmlformats.org/officeDocument/2006/relationships/queryTable" Target="../queryTables/queryTable632.xml"/><Relationship Id="rId272" Type="http://schemas.openxmlformats.org/officeDocument/2006/relationships/queryTable" Target="../queryTables/queryTable837.xml"/><Relationship Id="rId293" Type="http://schemas.openxmlformats.org/officeDocument/2006/relationships/queryTable" Target="../queryTables/queryTable858.xml"/><Relationship Id="rId307" Type="http://schemas.openxmlformats.org/officeDocument/2006/relationships/queryTable" Target="../queryTables/queryTable872.xml"/><Relationship Id="rId328" Type="http://schemas.openxmlformats.org/officeDocument/2006/relationships/queryTable" Target="../queryTables/queryTable893.xml"/><Relationship Id="rId349" Type="http://schemas.openxmlformats.org/officeDocument/2006/relationships/queryTable" Target="../queryTables/queryTable914.xml"/><Relationship Id="rId88" Type="http://schemas.openxmlformats.org/officeDocument/2006/relationships/queryTable" Target="../queryTables/queryTable653.xml"/><Relationship Id="rId111" Type="http://schemas.openxmlformats.org/officeDocument/2006/relationships/queryTable" Target="../queryTables/queryTable676.xml"/><Relationship Id="rId132" Type="http://schemas.openxmlformats.org/officeDocument/2006/relationships/queryTable" Target="../queryTables/queryTable697.xml"/><Relationship Id="rId153" Type="http://schemas.openxmlformats.org/officeDocument/2006/relationships/queryTable" Target="../queryTables/queryTable718.xml"/><Relationship Id="rId174" Type="http://schemas.openxmlformats.org/officeDocument/2006/relationships/queryTable" Target="../queryTables/queryTable739.xml"/><Relationship Id="rId195" Type="http://schemas.openxmlformats.org/officeDocument/2006/relationships/queryTable" Target="../queryTables/queryTable760.xml"/><Relationship Id="rId209" Type="http://schemas.openxmlformats.org/officeDocument/2006/relationships/queryTable" Target="../queryTables/queryTable774.xml"/><Relationship Id="rId360" Type="http://schemas.openxmlformats.org/officeDocument/2006/relationships/queryTable" Target="../queryTables/queryTable925.xml"/><Relationship Id="rId381" Type="http://schemas.openxmlformats.org/officeDocument/2006/relationships/queryTable" Target="../queryTables/queryTable946.xml"/><Relationship Id="rId220" Type="http://schemas.openxmlformats.org/officeDocument/2006/relationships/queryTable" Target="../queryTables/queryTable785.xml"/><Relationship Id="rId241" Type="http://schemas.openxmlformats.org/officeDocument/2006/relationships/queryTable" Target="../queryTables/queryTable806.xml"/><Relationship Id="rId15" Type="http://schemas.openxmlformats.org/officeDocument/2006/relationships/queryTable" Target="../queryTables/queryTable580.xml"/><Relationship Id="rId36" Type="http://schemas.openxmlformats.org/officeDocument/2006/relationships/queryTable" Target="../queryTables/queryTable601.xml"/><Relationship Id="rId57" Type="http://schemas.openxmlformats.org/officeDocument/2006/relationships/queryTable" Target="../queryTables/queryTable622.xml"/><Relationship Id="rId262" Type="http://schemas.openxmlformats.org/officeDocument/2006/relationships/queryTable" Target="../queryTables/queryTable827.xml"/><Relationship Id="rId283" Type="http://schemas.openxmlformats.org/officeDocument/2006/relationships/queryTable" Target="../queryTables/queryTable848.xml"/><Relationship Id="rId318" Type="http://schemas.openxmlformats.org/officeDocument/2006/relationships/queryTable" Target="../queryTables/queryTable883.xml"/><Relationship Id="rId339" Type="http://schemas.openxmlformats.org/officeDocument/2006/relationships/queryTable" Target="../queryTables/queryTable904.xml"/><Relationship Id="rId78" Type="http://schemas.openxmlformats.org/officeDocument/2006/relationships/queryTable" Target="../queryTables/queryTable643.xml"/><Relationship Id="rId99" Type="http://schemas.openxmlformats.org/officeDocument/2006/relationships/queryTable" Target="../queryTables/queryTable664.xml"/><Relationship Id="rId101" Type="http://schemas.openxmlformats.org/officeDocument/2006/relationships/queryTable" Target="../queryTables/queryTable666.xml"/><Relationship Id="rId122" Type="http://schemas.openxmlformats.org/officeDocument/2006/relationships/queryTable" Target="../queryTables/queryTable687.xml"/><Relationship Id="rId143" Type="http://schemas.openxmlformats.org/officeDocument/2006/relationships/queryTable" Target="../queryTables/queryTable708.xml"/><Relationship Id="rId164" Type="http://schemas.openxmlformats.org/officeDocument/2006/relationships/queryTable" Target="../queryTables/queryTable729.xml"/><Relationship Id="rId185" Type="http://schemas.openxmlformats.org/officeDocument/2006/relationships/queryTable" Target="../queryTables/queryTable750.xml"/><Relationship Id="rId350" Type="http://schemas.openxmlformats.org/officeDocument/2006/relationships/queryTable" Target="../queryTables/queryTable915.xml"/><Relationship Id="rId371" Type="http://schemas.openxmlformats.org/officeDocument/2006/relationships/queryTable" Target="../queryTables/queryTable936.xml"/><Relationship Id="rId406" Type="http://schemas.openxmlformats.org/officeDocument/2006/relationships/queryTable" Target="../queryTables/queryTable971.xml"/><Relationship Id="rId9" Type="http://schemas.openxmlformats.org/officeDocument/2006/relationships/queryTable" Target="../queryTables/queryTable574.xml"/><Relationship Id="rId210" Type="http://schemas.openxmlformats.org/officeDocument/2006/relationships/queryTable" Target="../queryTables/queryTable775.xml"/><Relationship Id="rId392" Type="http://schemas.openxmlformats.org/officeDocument/2006/relationships/queryTable" Target="../queryTables/queryTable957.xml"/><Relationship Id="rId26" Type="http://schemas.openxmlformats.org/officeDocument/2006/relationships/queryTable" Target="../queryTables/queryTable591.xml"/><Relationship Id="rId231" Type="http://schemas.openxmlformats.org/officeDocument/2006/relationships/queryTable" Target="../queryTables/queryTable796.xml"/><Relationship Id="rId252" Type="http://schemas.openxmlformats.org/officeDocument/2006/relationships/queryTable" Target="../queryTables/queryTable817.xml"/><Relationship Id="rId273" Type="http://schemas.openxmlformats.org/officeDocument/2006/relationships/queryTable" Target="../queryTables/queryTable838.xml"/><Relationship Id="rId294" Type="http://schemas.openxmlformats.org/officeDocument/2006/relationships/queryTable" Target="../queryTables/queryTable859.xml"/><Relationship Id="rId308" Type="http://schemas.openxmlformats.org/officeDocument/2006/relationships/queryTable" Target="../queryTables/queryTable873.xml"/><Relationship Id="rId329" Type="http://schemas.openxmlformats.org/officeDocument/2006/relationships/queryTable" Target="../queryTables/queryTable894.xml"/><Relationship Id="rId47" Type="http://schemas.openxmlformats.org/officeDocument/2006/relationships/queryTable" Target="../queryTables/queryTable612.xml"/><Relationship Id="rId68" Type="http://schemas.openxmlformats.org/officeDocument/2006/relationships/queryTable" Target="../queryTables/queryTable633.xml"/><Relationship Id="rId89" Type="http://schemas.openxmlformats.org/officeDocument/2006/relationships/queryTable" Target="../queryTables/queryTable654.xml"/><Relationship Id="rId112" Type="http://schemas.openxmlformats.org/officeDocument/2006/relationships/queryTable" Target="../queryTables/queryTable677.xml"/><Relationship Id="rId133" Type="http://schemas.openxmlformats.org/officeDocument/2006/relationships/queryTable" Target="../queryTables/queryTable698.xml"/><Relationship Id="rId154" Type="http://schemas.openxmlformats.org/officeDocument/2006/relationships/queryTable" Target="../queryTables/queryTable719.xml"/><Relationship Id="rId175" Type="http://schemas.openxmlformats.org/officeDocument/2006/relationships/queryTable" Target="../queryTables/queryTable740.xml"/><Relationship Id="rId340" Type="http://schemas.openxmlformats.org/officeDocument/2006/relationships/queryTable" Target="../queryTables/queryTable905.xml"/><Relationship Id="rId361" Type="http://schemas.openxmlformats.org/officeDocument/2006/relationships/queryTable" Target="../queryTables/queryTable926.xml"/><Relationship Id="rId196" Type="http://schemas.openxmlformats.org/officeDocument/2006/relationships/queryTable" Target="../queryTables/queryTable761.xml"/><Relationship Id="rId200" Type="http://schemas.openxmlformats.org/officeDocument/2006/relationships/queryTable" Target="../queryTables/queryTable765.xml"/><Relationship Id="rId382" Type="http://schemas.openxmlformats.org/officeDocument/2006/relationships/queryTable" Target="../queryTables/queryTable947.xml"/><Relationship Id="rId16" Type="http://schemas.openxmlformats.org/officeDocument/2006/relationships/queryTable" Target="../queryTables/queryTable581.xml"/><Relationship Id="rId221" Type="http://schemas.openxmlformats.org/officeDocument/2006/relationships/queryTable" Target="../queryTables/queryTable786.xml"/><Relationship Id="rId242" Type="http://schemas.openxmlformats.org/officeDocument/2006/relationships/queryTable" Target="../queryTables/queryTable807.xml"/><Relationship Id="rId263" Type="http://schemas.openxmlformats.org/officeDocument/2006/relationships/queryTable" Target="../queryTables/queryTable828.xml"/><Relationship Id="rId284" Type="http://schemas.openxmlformats.org/officeDocument/2006/relationships/queryTable" Target="../queryTables/queryTable849.xml"/><Relationship Id="rId319" Type="http://schemas.openxmlformats.org/officeDocument/2006/relationships/queryTable" Target="../queryTables/queryTable884.xml"/><Relationship Id="rId37" Type="http://schemas.openxmlformats.org/officeDocument/2006/relationships/queryTable" Target="../queryTables/queryTable602.xml"/><Relationship Id="rId58" Type="http://schemas.openxmlformats.org/officeDocument/2006/relationships/queryTable" Target="../queryTables/queryTable623.xml"/><Relationship Id="rId79" Type="http://schemas.openxmlformats.org/officeDocument/2006/relationships/queryTable" Target="../queryTables/queryTable644.xml"/><Relationship Id="rId102" Type="http://schemas.openxmlformats.org/officeDocument/2006/relationships/queryTable" Target="../queryTables/queryTable667.xml"/><Relationship Id="rId123" Type="http://schemas.openxmlformats.org/officeDocument/2006/relationships/queryTable" Target="../queryTables/queryTable688.xml"/><Relationship Id="rId144" Type="http://schemas.openxmlformats.org/officeDocument/2006/relationships/queryTable" Target="../queryTables/queryTable709.xml"/><Relationship Id="rId330" Type="http://schemas.openxmlformats.org/officeDocument/2006/relationships/queryTable" Target="../queryTables/queryTable895.xml"/><Relationship Id="rId90" Type="http://schemas.openxmlformats.org/officeDocument/2006/relationships/queryTable" Target="../queryTables/queryTable655.xml"/><Relationship Id="rId165" Type="http://schemas.openxmlformats.org/officeDocument/2006/relationships/queryTable" Target="../queryTables/queryTable730.xml"/><Relationship Id="rId186" Type="http://schemas.openxmlformats.org/officeDocument/2006/relationships/queryTable" Target="../queryTables/queryTable751.xml"/><Relationship Id="rId351" Type="http://schemas.openxmlformats.org/officeDocument/2006/relationships/queryTable" Target="../queryTables/queryTable916.xml"/><Relationship Id="rId372" Type="http://schemas.openxmlformats.org/officeDocument/2006/relationships/queryTable" Target="../queryTables/queryTable937.xml"/><Relationship Id="rId393" Type="http://schemas.openxmlformats.org/officeDocument/2006/relationships/queryTable" Target="../queryTables/queryTable958.xml"/><Relationship Id="rId211" Type="http://schemas.openxmlformats.org/officeDocument/2006/relationships/queryTable" Target="../queryTables/queryTable776.xml"/><Relationship Id="rId232" Type="http://schemas.openxmlformats.org/officeDocument/2006/relationships/queryTable" Target="../queryTables/queryTable797.xml"/><Relationship Id="rId253" Type="http://schemas.openxmlformats.org/officeDocument/2006/relationships/queryTable" Target="../queryTables/queryTable818.xml"/><Relationship Id="rId274" Type="http://schemas.openxmlformats.org/officeDocument/2006/relationships/queryTable" Target="../queryTables/queryTable839.xml"/><Relationship Id="rId295" Type="http://schemas.openxmlformats.org/officeDocument/2006/relationships/queryTable" Target="../queryTables/queryTable860.xml"/><Relationship Id="rId309" Type="http://schemas.openxmlformats.org/officeDocument/2006/relationships/queryTable" Target="../queryTables/queryTable874.xml"/><Relationship Id="rId27" Type="http://schemas.openxmlformats.org/officeDocument/2006/relationships/queryTable" Target="../queryTables/queryTable592.xml"/><Relationship Id="rId48" Type="http://schemas.openxmlformats.org/officeDocument/2006/relationships/queryTable" Target="../queryTables/queryTable613.xml"/><Relationship Id="rId69" Type="http://schemas.openxmlformats.org/officeDocument/2006/relationships/queryTable" Target="../queryTables/queryTable634.xml"/><Relationship Id="rId113" Type="http://schemas.openxmlformats.org/officeDocument/2006/relationships/queryTable" Target="../queryTables/queryTable678.xml"/><Relationship Id="rId134" Type="http://schemas.openxmlformats.org/officeDocument/2006/relationships/queryTable" Target="../queryTables/queryTable699.xml"/><Relationship Id="rId320" Type="http://schemas.openxmlformats.org/officeDocument/2006/relationships/queryTable" Target="../queryTables/queryTable885.xml"/><Relationship Id="rId80" Type="http://schemas.openxmlformats.org/officeDocument/2006/relationships/queryTable" Target="../queryTables/queryTable645.xml"/><Relationship Id="rId155" Type="http://schemas.openxmlformats.org/officeDocument/2006/relationships/queryTable" Target="../queryTables/queryTable720.xml"/><Relationship Id="rId176" Type="http://schemas.openxmlformats.org/officeDocument/2006/relationships/queryTable" Target="../queryTables/queryTable741.xml"/><Relationship Id="rId197" Type="http://schemas.openxmlformats.org/officeDocument/2006/relationships/queryTable" Target="../queryTables/queryTable762.xml"/><Relationship Id="rId341" Type="http://schemas.openxmlformats.org/officeDocument/2006/relationships/queryTable" Target="../queryTables/queryTable906.xml"/><Relationship Id="rId362" Type="http://schemas.openxmlformats.org/officeDocument/2006/relationships/queryTable" Target="../queryTables/queryTable927.xml"/><Relationship Id="rId383" Type="http://schemas.openxmlformats.org/officeDocument/2006/relationships/queryTable" Target="../queryTables/queryTable948.xml"/><Relationship Id="rId201" Type="http://schemas.openxmlformats.org/officeDocument/2006/relationships/queryTable" Target="../queryTables/queryTable766.xml"/><Relationship Id="rId222" Type="http://schemas.openxmlformats.org/officeDocument/2006/relationships/queryTable" Target="../queryTables/queryTable787.xml"/><Relationship Id="rId243" Type="http://schemas.openxmlformats.org/officeDocument/2006/relationships/queryTable" Target="../queryTables/queryTable808.xml"/><Relationship Id="rId264" Type="http://schemas.openxmlformats.org/officeDocument/2006/relationships/queryTable" Target="../queryTables/queryTable829.xml"/><Relationship Id="rId285" Type="http://schemas.openxmlformats.org/officeDocument/2006/relationships/queryTable" Target="../queryTables/queryTable850.xml"/><Relationship Id="rId17" Type="http://schemas.openxmlformats.org/officeDocument/2006/relationships/queryTable" Target="../queryTables/queryTable582.xml"/><Relationship Id="rId38" Type="http://schemas.openxmlformats.org/officeDocument/2006/relationships/queryTable" Target="../queryTables/queryTable603.xml"/><Relationship Id="rId59" Type="http://schemas.openxmlformats.org/officeDocument/2006/relationships/queryTable" Target="../queryTables/queryTable624.xml"/><Relationship Id="rId103" Type="http://schemas.openxmlformats.org/officeDocument/2006/relationships/queryTable" Target="../queryTables/queryTable668.xml"/><Relationship Id="rId124" Type="http://schemas.openxmlformats.org/officeDocument/2006/relationships/queryTable" Target="../queryTables/queryTable689.xml"/><Relationship Id="rId310" Type="http://schemas.openxmlformats.org/officeDocument/2006/relationships/queryTable" Target="../queryTables/queryTable875.xml"/><Relationship Id="rId70" Type="http://schemas.openxmlformats.org/officeDocument/2006/relationships/queryTable" Target="../queryTables/queryTable635.xml"/><Relationship Id="rId91" Type="http://schemas.openxmlformats.org/officeDocument/2006/relationships/queryTable" Target="../queryTables/queryTable656.xml"/><Relationship Id="rId145" Type="http://schemas.openxmlformats.org/officeDocument/2006/relationships/queryTable" Target="../queryTables/queryTable710.xml"/><Relationship Id="rId166" Type="http://schemas.openxmlformats.org/officeDocument/2006/relationships/queryTable" Target="../queryTables/queryTable731.xml"/><Relationship Id="rId187" Type="http://schemas.openxmlformats.org/officeDocument/2006/relationships/queryTable" Target="../queryTables/queryTable752.xml"/><Relationship Id="rId331" Type="http://schemas.openxmlformats.org/officeDocument/2006/relationships/queryTable" Target="../queryTables/queryTable896.xml"/><Relationship Id="rId352" Type="http://schemas.openxmlformats.org/officeDocument/2006/relationships/queryTable" Target="../queryTables/queryTable917.xml"/><Relationship Id="rId373" Type="http://schemas.openxmlformats.org/officeDocument/2006/relationships/queryTable" Target="../queryTables/queryTable938.xml"/><Relationship Id="rId394" Type="http://schemas.openxmlformats.org/officeDocument/2006/relationships/queryTable" Target="../queryTables/queryTable959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77.xml"/><Relationship Id="rId233" Type="http://schemas.openxmlformats.org/officeDocument/2006/relationships/queryTable" Target="../queryTables/queryTable798.xml"/><Relationship Id="rId254" Type="http://schemas.openxmlformats.org/officeDocument/2006/relationships/queryTable" Target="../queryTables/queryTable819.xml"/><Relationship Id="rId28" Type="http://schemas.openxmlformats.org/officeDocument/2006/relationships/queryTable" Target="../queryTables/queryTable593.xml"/><Relationship Id="rId49" Type="http://schemas.openxmlformats.org/officeDocument/2006/relationships/queryTable" Target="../queryTables/queryTable614.xml"/><Relationship Id="rId114" Type="http://schemas.openxmlformats.org/officeDocument/2006/relationships/queryTable" Target="../queryTables/queryTable679.xml"/><Relationship Id="rId275" Type="http://schemas.openxmlformats.org/officeDocument/2006/relationships/queryTable" Target="../queryTables/queryTable840.xml"/><Relationship Id="rId296" Type="http://schemas.openxmlformats.org/officeDocument/2006/relationships/queryTable" Target="../queryTables/queryTable861.xml"/><Relationship Id="rId300" Type="http://schemas.openxmlformats.org/officeDocument/2006/relationships/queryTable" Target="../queryTables/queryTable865.xml"/><Relationship Id="rId60" Type="http://schemas.openxmlformats.org/officeDocument/2006/relationships/queryTable" Target="../queryTables/queryTable625.xml"/><Relationship Id="rId81" Type="http://schemas.openxmlformats.org/officeDocument/2006/relationships/queryTable" Target="../queryTables/queryTable646.xml"/><Relationship Id="rId135" Type="http://schemas.openxmlformats.org/officeDocument/2006/relationships/queryTable" Target="../queryTables/queryTable700.xml"/><Relationship Id="rId156" Type="http://schemas.openxmlformats.org/officeDocument/2006/relationships/queryTable" Target="../queryTables/queryTable721.xml"/><Relationship Id="rId177" Type="http://schemas.openxmlformats.org/officeDocument/2006/relationships/queryTable" Target="../queryTables/queryTable742.xml"/><Relationship Id="rId198" Type="http://schemas.openxmlformats.org/officeDocument/2006/relationships/queryTable" Target="../queryTables/queryTable763.xml"/><Relationship Id="rId321" Type="http://schemas.openxmlformats.org/officeDocument/2006/relationships/queryTable" Target="../queryTables/queryTable886.xml"/><Relationship Id="rId342" Type="http://schemas.openxmlformats.org/officeDocument/2006/relationships/queryTable" Target="../queryTables/queryTable907.xml"/><Relationship Id="rId363" Type="http://schemas.openxmlformats.org/officeDocument/2006/relationships/queryTable" Target="../queryTables/queryTable928.xml"/><Relationship Id="rId384" Type="http://schemas.openxmlformats.org/officeDocument/2006/relationships/queryTable" Target="../queryTables/queryTable949.xml"/><Relationship Id="rId202" Type="http://schemas.openxmlformats.org/officeDocument/2006/relationships/queryTable" Target="../queryTables/queryTable767.xml"/><Relationship Id="rId223" Type="http://schemas.openxmlformats.org/officeDocument/2006/relationships/queryTable" Target="../queryTables/queryTable788.xml"/><Relationship Id="rId244" Type="http://schemas.openxmlformats.org/officeDocument/2006/relationships/queryTable" Target="../queryTables/queryTable809.xml"/><Relationship Id="rId18" Type="http://schemas.openxmlformats.org/officeDocument/2006/relationships/queryTable" Target="../queryTables/queryTable583.xml"/><Relationship Id="rId39" Type="http://schemas.openxmlformats.org/officeDocument/2006/relationships/queryTable" Target="../queryTables/queryTable604.xml"/><Relationship Id="rId265" Type="http://schemas.openxmlformats.org/officeDocument/2006/relationships/queryTable" Target="../queryTables/queryTable830.xml"/><Relationship Id="rId286" Type="http://schemas.openxmlformats.org/officeDocument/2006/relationships/queryTable" Target="../queryTables/queryTable851.xml"/><Relationship Id="rId50" Type="http://schemas.openxmlformats.org/officeDocument/2006/relationships/queryTable" Target="../queryTables/queryTable615.xml"/><Relationship Id="rId104" Type="http://schemas.openxmlformats.org/officeDocument/2006/relationships/queryTable" Target="../queryTables/queryTable669.xml"/><Relationship Id="rId125" Type="http://schemas.openxmlformats.org/officeDocument/2006/relationships/queryTable" Target="../queryTables/queryTable690.xml"/><Relationship Id="rId146" Type="http://schemas.openxmlformats.org/officeDocument/2006/relationships/queryTable" Target="../queryTables/queryTable711.xml"/><Relationship Id="rId167" Type="http://schemas.openxmlformats.org/officeDocument/2006/relationships/queryTable" Target="../queryTables/queryTable732.xml"/><Relationship Id="rId188" Type="http://schemas.openxmlformats.org/officeDocument/2006/relationships/queryTable" Target="../queryTables/queryTable753.xml"/><Relationship Id="rId311" Type="http://schemas.openxmlformats.org/officeDocument/2006/relationships/queryTable" Target="../queryTables/queryTable876.xml"/><Relationship Id="rId332" Type="http://schemas.openxmlformats.org/officeDocument/2006/relationships/queryTable" Target="../queryTables/queryTable897.xml"/><Relationship Id="rId353" Type="http://schemas.openxmlformats.org/officeDocument/2006/relationships/queryTable" Target="../queryTables/queryTable918.xml"/><Relationship Id="rId374" Type="http://schemas.openxmlformats.org/officeDocument/2006/relationships/queryTable" Target="../queryTables/queryTable939.xml"/><Relationship Id="rId395" Type="http://schemas.openxmlformats.org/officeDocument/2006/relationships/queryTable" Target="../queryTables/queryTable960.xml"/><Relationship Id="rId71" Type="http://schemas.openxmlformats.org/officeDocument/2006/relationships/queryTable" Target="../queryTables/queryTable636.xml"/><Relationship Id="rId92" Type="http://schemas.openxmlformats.org/officeDocument/2006/relationships/queryTable" Target="../queryTables/queryTable657.xml"/><Relationship Id="rId213" Type="http://schemas.openxmlformats.org/officeDocument/2006/relationships/queryTable" Target="../queryTables/queryTable778.xml"/><Relationship Id="rId234" Type="http://schemas.openxmlformats.org/officeDocument/2006/relationships/queryTable" Target="../queryTables/queryTable799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94.xml"/><Relationship Id="rId255" Type="http://schemas.openxmlformats.org/officeDocument/2006/relationships/queryTable" Target="../queryTables/queryTable820.xml"/><Relationship Id="rId276" Type="http://schemas.openxmlformats.org/officeDocument/2006/relationships/queryTable" Target="../queryTables/queryTable841.xml"/><Relationship Id="rId297" Type="http://schemas.openxmlformats.org/officeDocument/2006/relationships/queryTable" Target="../queryTables/queryTable862.xml"/><Relationship Id="rId40" Type="http://schemas.openxmlformats.org/officeDocument/2006/relationships/queryTable" Target="../queryTables/queryTable605.xml"/><Relationship Id="rId115" Type="http://schemas.openxmlformats.org/officeDocument/2006/relationships/queryTable" Target="../queryTables/queryTable680.xml"/><Relationship Id="rId136" Type="http://schemas.openxmlformats.org/officeDocument/2006/relationships/queryTable" Target="../queryTables/queryTable701.xml"/><Relationship Id="rId157" Type="http://schemas.openxmlformats.org/officeDocument/2006/relationships/queryTable" Target="../queryTables/queryTable722.xml"/><Relationship Id="rId178" Type="http://schemas.openxmlformats.org/officeDocument/2006/relationships/queryTable" Target="../queryTables/queryTable743.xml"/><Relationship Id="rId301" Type="http://schemas.openxmlformats.org/officeDocument/2006/relationships/queryTable" Target="../queryTables/queryTable866.xml"/><Relationship Id="rId322" Type="http://schemas.openxmlformats.org/officeDocument/2006/relationships/queryTable" Target="../queryTables/queryTable887.xml"/><Relationship Id="rId343" Type="http://schemas.openxmlformats.org/officeDocument/2006/relationships/queryTable" Target="../queryTables/queryTable908.xml"/><Relationship Id="rId364" Type="http://schemas.openxmlformats.org/officeDocument/2006/relationships/queryTable" Target="../queryTables/queryTable929.xml"/><Relationship Id="rId61" Type="http://schemas.openxmlformats.org/officeDocument/2006/relationships/queryTable" Target="../queryTables/queryTable626.xml"/><Relationship Id="rId82" Type="http://schemas.openxmlformats.org/officeDocument/2006/relationships/queryTable" Target="../queryTables/queryTable647.xml"/><Relationship Id="rId199" Type="http://schemas.openxmlformats.org/officeDocument/2006/relationships/queryTable" Target="../queryTables/queryTable764.xml"/><Relationship Id="rId203" Type="http://schemas.openxmlformats.org/officeDocument/2006/relationships/queryTable" Target="../queryTables/queryTable768.xml"/><Relationship Id="rId385" Type="http://schemas.openxmlformats.org/officeDocument/2006/relationships/queryTable" Target="../queryTables/queryTable950.xml"/><Relationship Id="rId19" Type="http://schemas.openxmlformats.org/officeDocument/2006/relationships/queryTable" Target="../queryTables/queryTable584.xml"/><Relationship Id="rId224" Type="http://schemas.openxmlformats.org/officeDocument/2006/relationships/queryTable" Target="../queryTables/queryTable789.xml"/><Relationship Id="rId245" Type="http://schemas.openxmlformats.org/officeDocument/2006/relationships/queryTable" Target="../queryTables/queryTable810.xml"/><Relationship Id="rId266" Type="http://schemas.openxmlformats.org/officeDocument/2006/relationships/queryTable" Target="../queryTables/queryTable831.xml"/><Relationship Id="rId287" Type="http://schemas.openxmlformats.org/officeDocument/2006/relationships/queryTable" Target="../queryTables/queryTable852.xml"/><Relationship Id="rId30" Type="http://schemas.openxmlformats.org/officeDocument/2006/relationships/queryTable" Target="../queryTables/queryTable595.xml"/><Relationship Id="rId105" Type="http://schemas.openxmlformats.org/officeDocument/2006/relationships/queryTable" Target="../queryTables/queryTable670.xml"/><Relationship Id="rId126" Type="http://schemas.openxmlformats.org/officeDocument/2006/relationships/queryTable" Target="../queryTables/queryTable691.xml"/><Relationship Id="rId147" Type="http://schemas.openxmlformats.org/officeDocument/2006/relationships/queryTable" Target="../queryTables/queryTable712.xml"/><Relationship Id="rId168" Type="http://schemas.openxmlformats.org/officeDocument/2006/relationships/queryTable" Target="../queryTables/queryTable733.xml"/><Relationship Id="rId312" Type="http://schemas.openxmlformats.org/officeDocument/2006/relationships/queryTable" Target="../queryTables/queryTable877.xml"/><Relationship Id="rId333" Type="http://schemas.openxmlformats.org/officeDocument/2006/relationships/queryTable" Target="../queryTables/queryTable898.xml"/><Relationship Id="rId354" Type="http://schemas.openxmlformats.org/officeDocument/2006/relationships/queryTable" Target="../queryTables/queryTable919.xml"/><Relationship Id="rId51" Type="http://schemas.openxmlformats.org/officeDocument/2006/relationships/queryTable" Target="../queryTables/queryTable616.xml"/><Relationship Id="rId72" Type="http://schemas.openxmlformats.org/officeDocument/2006/relationships/queryTable" Target="../queryTables/queryTable637.xml"/><Relationship Id="rId93" Type="http://schemas.openxmlformats.org/officeDocument/2006/relationships/queryTable" Target="../queryTables/queryTable658.xml"/><Relationship Id="rId189" Type="http://schemas.openxmlformats.org/officeDocument/2006/relationships/queryTable" Target="../queryTables/queryTable754.xml"/><Relationship Id="rId375" Type="http://schemas.openxmlformats.org/officeDocument/2006/relationships/queryTable" Target="../queryTables/queryTable940.xml"/><Relationship Id="rId396" Type="http://schemas.openxmlformats.org/officeDocument/2006/relationships/queryTable" Target="../queryTables/queryTable961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79.xml"/><Relationship Id="rId235" Type="http://schemas.openxmlformats.org/officeDocument/2006/relationships/queryTable" Target="../queryTables/queryTable800.xml"/><Relationship Id="rId256" Type="http://schemas.openxmlformats.org/officeDocument/2006/relationships/queryTable" Target="../queryTables/queryTable821.xml"/><Relationship Id="rId277" Type="http://schemas.openxmlformats.org/officeDocument/2006/relationships/queryTable" Target="../queryTables/queryTable842.xml"/><Relationship Id="rId298" Type="http://schemas.openxmlformats.org/officeDocument/2006/relationships/queryTable" Target="../queryTables/queryTable863.xml"/><Relationship Id="rId400" Type="http://schemas.openxmlformats.org/officeDocument/2006/relationships/queryTable" Target="../queryTables/queryTable965.xml"/><Relationship Id="rId116" Type="http://schemas.openxmlformats.org/officeDocument/2006/relationships/queryTable" Target="../queryTables/queryTable681.xml"/><Relationship Id="rId137" Type="http://schemas.openxmlformats.org/officeDocument/2006/relationships/queryTable" Target="../queryTables/queryTable702.xml"/><Relationship Id="rId158" Type="http://schemas.openxmlformats.org/officeDocument/2006/relationships/queryTable" Target="../queryTables/queryTable723.xml"/><Relationship Id="rId302" Type="http://schemas.openxmlformats.org/officeDocument/2006/relationships/queryTable" Target="../queryTables/queryTable867.xml"/><Relationship Id="rId323" Type="http://schemas.openxmlformats.org/officeDocument/2006/relationships/queryTable" Target="../queryTables/queryTable888.xml"/><Relationship Id="rId344" Type="http://schemas.openxmlformats.org/officeDocument/2006/relationships/queryTable" Target="../queryTables/queryTable909.xml"/><Relationship Id="rId20" Type="http://schemas.openxmlformats.org/officeDocument/2006/relationships/queryTable" Target="../queryTables/queryTable585.xml"/><Relationship Id="rId41" Type="http://schemas.openxmlformats.org/officeDocument/2006/relationships/queryTable" Target="../queryTables/queryTable606.xml"/><Relationship Id="rId62" Type="http://schemas.openxmlformats.org/officeDocument/2006/relationships/queryTable" Target="../queryTables/queryTable627.xml"/><Relationship Id="rId83" Type="http://schemas.openxmlformats.org/officeDocument/2006/relationships/queryTable" Target="../queryTables/queryTable648.xml"/><Relationship Id="rId179" Type="http://schemas.openxmlformats.org/officeDocument/2006/relationships/queryTable" Target="../queryTables/queryTable744.xml"/><Relationship Id="rId365" Type="http://schemas.openxmlformats.org/officeDocument/2006/relationships/queryTable" Target="../queryTables/queryTable930.xml"/><Relationship Id="rId386" Type="http://schemas.openxmlformats.org/officeDocument/2006/relationships/queryTable" Target="../queryTables/queryTable951.xml"/><Relationship Id="rId190" Type="http://schemas.openxmlformats.org/officeDocument/2006/relationships/queryTable" Target="../queryTables/queryTable755.xml"/><Relationship Id="rId204" Type="http://schemas.openxmlformats.org/officeDocument/2006/relationships/queryTable" Target="../queryTables/queryTable769.xml"/><Relationship Id="rId225" Type="http://schemas.openxmlformats.org/officeDocument/2006/relationships/queryTable" Target="../queryTables/queryTable790.xml"/><Relationship Id="rId246" Type="http://schemas.openxmlformats.org/officeDocument/2006/relationships/queryTable" Target="../queryTables/queryTable811.xml"/><Relationship Id="rId267" Type="http://schemas.openxmlformats.org/officeDocument/2006/relationships/queryTable" Target="../queryTables/queryTable832.xml"/><Relationship Id="rId288" Type="http://schemas.openxmlformats.org/officeDocument/2006/relationships/queryTable" Target="../queryTables/queryTable853.xml"/><Relationship Id="rId106" Type="http://schemas.openxmlformats.org/officeDocument/2006/relationships/queryTable" Target="../queryTables/queryTable671.xml"/><Relationship Id="rId127" Type="http://schemas.openxmlformats.org/officeDocument/2006/relationships/queryTable" Target="../queryTables/queryTable692.xml"/><Relationship Id="rId313" Type="http://schemas.openxmlformats.org/officeDocument/2006/relationships/queryTable" Target="../queryTables/queryTable878.xml"/><Relationship Id="rId10" Type="http://schemas.openxmlformats.org/officeDocument/2006/relationships/queryTable" Target="../queryTables/queryTable575.xml"/><Relationship Id="rId31" Type="http://schemas.openxmlformats.org/officeDocument/2006/relationships/queryTable" Target="../queryTables/queryTable596.xml"/><Relationship Id="rId52" Type="http://schemas.openxmlformats.org/officeDocument/2006/relationships/queryTable" Target="../queryTables/queryTable617.xml"/><Relationship Id="rId73" Type="http://schemas.openxmlformats.org/officeDocument/2006/relationships/queryTable" Target="../queryTables/queryTable638.xml"/><Relationship Id="rId94" Type="http://schemas.openxmlformats.org/officeDocument/2006/relationships/queryTable" Target="../queryTables/queryTable659.xml"/><Relationship Id="rId148" Type="http://schemas.openxmlformats.org/officeDocument/2006/relationships/queryTable" Target="../queryTables/queryTable713.xml"/><Relationship Id="rId169" Type="http://schemas.openxmlformats.org/officeDocument/2006/relationships/queryTable" Target="../queryTables/queryTable734.xml"/><Relationship Id="rId334" Type="http://schemas.openxmlformats.org/officeDocument/2006/relationships/queryTable" Target="../queryTables/queryTable899.xml"/><Relationship Id="rId355" Type="http://schemas.openxmlformats.org/officeDocument/2006/relationships/queryTable" Target="../queryTables/queryTable920.xml"/><Relationship Id="rId376" Type="http://schemas.openxmlformats.org/officeDocument/2006/relationships/queryTable" Target="../queryTables/queryTable941.xml"/><Relationship Id="rId397" Type="http://schemas.openxmlformats.org/officeDocument/2006/relationships/queryTable" Target="../queryTables/queryTable962.xml"/><Relationship Id="rId4" Type="http://schemas.openxmlformats.org/officeDocument/2006/relationships/queryTable" Target="../queryTables/queryTable569.xml"/><Relationship Id="rId180" Type="http://schemas.openxmlformats.org/officeDocument/2006/relationships/queryTable" Target="../queryTables/queryTable745.xml"/><Relationship Id="rId215" Type="http://schemas.openxmlformats.org/officeDocument/2006/relationships/queryTable" Target="../queryTables/queryTable780.xml"/><Relationship Id="rId236" Type="http://schemas.openxmlformats.org/officeDocument/2006/relationships/queryTable" Target="../queryTables/queryTable801.xml"/><Relationship Id="rId257" Type="http://schemas.openxmlformats.org/officeDocument/2006/relationships/queryTable" Target="../queryTables/queryTable822.xml"/><Relationship Id="rId278" Type="http://schemas.openxmlformats.org/officeDocument/2006/relationships/queryTable" Target="../queryTables/queryTable843.xml"/><Relationship Id="rId401" Type="http://schemas.openxmlformats.org/officeDocument/2006/relationships/queryTable" Target="../queryTables/queryTable966.xml"/><Relationship Id="rId303" Type="http://schemas.openxmlformats.org/officeDocument/2006/relationships/queryTable" Target="../queryTables/queryTable868.xml"/><Relationship Id="rId42" Type="http://schemas.openxmlformats.org/officeDocument/2006/relationships/queryTable" Target="../queryTables/queryTable607.xml"/><Relationship Id="rId84" Type="http://schemas.openxmlformats.org/officeDocument/2006/relationships/queryTable" Target="../queryTables/queryTable649.xml"/><Relationship Id="rId138" Type="http://schemas.openxmlformats.org/officeDocument/2006/relationships/queryTable" Target="../queryTables/queryTable703.xml"/><Relationship Id="rId345" Type="http://schemas.openxmlformats.org/officeDocument/2006/relationships/queryTable" Target="../queryTables/queryTable910.xml"/><Relationship Id="rId387" Type="http://schemas.openxmlformats.org/officeDocument/2006/relationships/queryTable" Target="../queryTables/queryTable952.xml"/><Relationship Id="rId191" Type="http://schemas.openxmlformats.org/officeDocument/2006/relationships/queryTable" Target="../queryTables/queryTable756.xml"/><Relationship Id="rId205" Type="http://schemas.openxmlformats.org/officeDocument/2006/relationships/queryTable" Target="../queryTables/queryTable770.xml"/><Relationship Id="rId247" Type="http://schemas.openxmlformats.org/officeDocument/2006/relationships/queryTable" Target="../queryTables/queryTable812.xml"/><Relationship Id="rId107" Type="http://schemas.openxmlformats.org/officeDocument/2006/relationships/queryTable" Target="../queryTables/queryTable672.xml"/><Relationship Id="rId289" Type="http://schemas.openxmlformats.org/officeDocument/2006/relationships/queryTable" Target="../queryTables/queryTable85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300"/>
  <sheetViews>
    <sheetView tabSelected="1" workbookViewId="0">
      <pane xSplit="2" topLeftCell="X1" activePane="topRight" state="frozen"/>
      <selection activeCell="B1" sqref="B1"/>
      <selection pane="topRight" activeCell="A295" sqref="A295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92" bestFit="1" customWidth="1"/>
    <col min="6" max="6" width="13.5703125" style="57" bestFit="1" customWidth="1"/>
    <col min="7" max="7" width="6.42578125" style="100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43" width="9.140625" style="3"/>
    <col min="44" max="44" width="9.85546875" style="3" bestFit="1" customWidth="1"/>
    <col min="45" max="16384" width="9.140625" style="3"/>
  </cols>
  <sheetData>
    <row r="1" spans="1:44">
      <c r="A1" s="5" t="s">
        <v>13</v>
      </c>
      <c r="B1" s="16" t="s">
        <v>9</v>
      </c>
      <c r="C1" s="16" t="s">
        <v>414</v>
      </c>
      <c r="D1" s="16" t="s">
        <v>63</v>
      </c>
      <c r="E1" s="5" t="s">
        <v>459</v>
      </c>
      <c r="F1" s="57" t="s">
        <v>465</v>
      </c>
      <c r="G1" s="100" t="s">
        <v>494</v>
      </c>
      <c r="H1" s="23" t="s">
        <v>460</v>
      </c>
      <c r="I1" s="23" t="s">
        <v>461</v>
      </c>
      <c r="J1" s="18" t="s">
        <v>476</v>
      </c>
      <c r="K1" s="18" t="s">
        <v>495</v>
      </c>
      <c r="L1" s="18" t="s">
        <v>496</v>
      </c>
      <c r="M1" s="87" t="s">
        <v>3</v>
      </c>
      <c r="N1" s="87" t="s">
        <v>53</v>
      </c>
      <c r="O1" s="5" t="s">
        <v>470</v>
      </c>
      <c r="P1" s="5" t="s">
        <v>468</v>
      </c>
      <c r="Q1" s="87" t="s">
        <v>469</v>
      </c>
      <c r="R1" s="87" t="s">
        <v>486</v>
      </c>
      <c r="S1" s="57" t="s">
        <v>4</v>
      </c>
      <c r="T1" s="5" t="s">
        <v>488</v>
      </c>
      <c r="U1" s="95" t="s">
        <v>85</v>
      </c>
      <c r="V1" s="95" t="s">
        <v>471</v>
      </c>
      <c r="W1" s="95" t="s">
        <v>462</v>
      </c>
      <c r="X1" s="95" t="s">
        <v>463</v>
      </c>
      <c r="Y1" s="95" t="s">
        <v>487</v>
      </c>
      <c r="Z1" s="5" t="s">
        <v>472</v>
      </c>
      <c r="AA1" s="5" t="s">
        <v>336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480</v>
      </c>
      <c r="AG1" s="95" t="s">
        <v>479</v>
      </c>
      <c r="AH1" s="95" t="s">
        <v>478</v>
      </c>
      <c r="AI1" s="3" t="s">
        <v>8</v>
      </c>
      <c r="AJ1" s="3" t="s">
        <v>323</v>
      </c>
      <c r="AK1" s="18" t="s">
        <v>458</v>
      </c>
      <c r="AL1" s="3" t="s">
        <v>41</v>
      </c>
      <c r="AM1" s="5" t="s">
        <v>60</v>
      </c>
      <c r="AN1" s="5" t="s">
        <v>261</v>
      </c>
      <c r="AO1" s="5" t="s">
        <v>262</v>
      </c>
      <c r="AP1" s="3" t="s">
        <v>608</v>
      </c>
      <c r="AR1" s="5">
        <v>300</v>
      </c>
    </row>
    <row r="2" spans="1:44" hidden="1">
      <c r="A2" s="4" t="s">
        <v>14</v>
      </c>
      <c r="B2" s="65" t="s">
        <v>489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A.A.]&gt;=8%,SUMPRODUCT(N([Nome]=Tabela3[[#This Row],[Nome]]),[PL])&gt;0),"Sim","Não")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11.9</v>
      </c>
      <c r="AD3" s="45">
        <f>[Cotação]/[VPA]</f>
        <v>0.93958547405113357</v>
      </c>
      <c r="AE3" s="41">
        <f>IF(Tabela3[[#This Row],[Lucro/Ação]]&gt;0,Tabela3[[#This Row],[Cotação]]/(Tabela3[[#This Row],[Lucro/Ação]]/[Ref]*4),0)</f>
        <v>6.840597369674537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A.A.]&gt;=8%,SUMPRODUCT(N([Nome]=Tabela3[[#This Row],[Nome]]),[PL])&gt;0),"Sim","Não")</f>
        <v>Não</v>
      </c>
      <c r="AJ3" s="43">
        <f>IF([Cotação]&gt;0,Tabela3[[#This Row],[Lucro]]/Tabela3[[#This Row],[Cotação]],0)</f>
        <v>2.603939252288939E-2</v>
      </c>
      <c r="AK3" s="19">
        <f>((1+Tabela3[[#This Row],[% Yield]])^(1/(3*Tabela3[[#This Row],[Ref]])))^(12)-1</f>
        <v>3.4869005228972627E-2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11.9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7.68</v>
      </c>
      <c r="AD4" s="45">
        <f>[Cotação]/[VPA]</f>
        <v>0.49438545359986996</v>
      </c>
      <c r="AE4" s="41">
        <f>IF(Tabela3[[#This Row],[Lucro/Ação]]&gt;0,Tabela3[[#This Row],[Cotação]]/(Tabela3[[#This Row],[Lucro/Ação]]/[Ref]*4),0)</f>
        <v>11.367067994187252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A.A.]&gt;=8%,SUMPRODUCT(N([Nome]=Tabela3[[#This Row],[Nome]]),[PL])&gt;0),"Sim","Não")</f>
        <v>Não</v>
      </c>
      <c r="AJ4" s="43">
        <f>IF([Cotação]&gt;0,Tabela3[[#This Row],[Lucro]]/Tabela3[[#This Row],[Cotação]],0)</f>
        <v>1.5670267837852938E-2</v>
      </c>
      <c r="AK4" s="19">
        <f>((1+Tabela3[[#This Row],[% Yield]])^(1/(3*Tabela3[[#This Row],[Ref]])))^(12)-1</f>
        <v>2.0948069946336467E-2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7.68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504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A.A.]&gt;=8%,SUMPRODUCT(N([Nome]=Tabela3[[#This Row],[Nome]]),[PL])&gt;0),"Sim","Não")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497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A.A.]&gt;=8%,SUMPRODUCT(N([Nome]=Tabela3[[#This Row],[Nome]]),[PL])&gt;0),"Sim","Não")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498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A.A.]&gt;=8%,SUMPRODUCT(N([Nome]=Tabela3[[#This Row],[Nome]]),[PL])&gt;0),"Sim","Não")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499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A.A.]&gt;=8%,SUMPRODUCT(N([Nome]=Tabela3[[#This Row],[Nome]]),[PL])&gt;0),"Sim","Não")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371</v>
      </c>
      <c r="B9" s="66" t="s">
        <v>372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16.989999999999998</v>
      </c>
      <c r="AD9" s="54">
        <f>[Cotação]/[VPA]</f>
        <v>1.6421507779679476</v>
      </c>
      <c r="AE9" s="38">
        <f>IF(Tabela3[[#This Row],[Lucro/Ação]]&gt;0,Tabela3[[#This Row],[Cotação]]/(Tabela3[[#This Row],[Lucro/Ação]]/[Ref]*4),0)</f>
        <v>50.454094206110099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A.A.]&gt;=8%,SUMPRODUCT(N([Nome]=Tabela3[[#This Row],[Nome]]),[PL])&gt;0),"Sim","Não")</f>
        <v>Não</v>
      </c>
      <c r="AJ9" s="22">
        <f>IF([Cotação]&gt;0,Tabela3[[#This Row],[Lucro]]/Tabela3[[#This Row],[Cotação]],0)</f>
        <v>3.530436980442881E-3</v>
      </c>
      <c r="AK9" s="18">
        <f>((1+Tabela3[[#This Row],[% Yield]])^(1/(3*Tabela3[[#This Row],[Ref]])))^(12)-1</f>
        <v>4.7100169119498325E-3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16.989999999999998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507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15.3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A.A.]&gt;=8%,SUMPRODUCT(N([Nome]=Tabela3[[#This Row],[Nome]]),[PL])&gt;0),"Sim","Não")</f>
        <v>Não</v>
      </c>
      <c r="AJ10" s="43">
        <f>IF([Cotação]&gt;0,Tabela3[[#This Row],[Lucro]]/Tabela3[[#This Row],[Cotação]],0)</f>
        <v>3.30657913755723E-2</v>
      </c>
      <c r="AK10" s="43">
        <f>((1+Tabela3[[#This Row],[% Yield]])^(1/(3*Tabela3[[#This Row],[Ref]])))^(12)-1</f>
        <v>4.4328926605630814E-2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15.3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508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A.A.]&gt;=8%,SUMPRODUCT(N([Nome]=Tabela3[[#This Row],[Nome]]),[PL])&gt;0),"Sim","Não")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509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A.A.]&gt;=8%,SUMPRODUCT(N([Nome]=Tabela3[[#This Row],[Nome]]),[PL])&gt;0),"Sim","Não")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318</v>
      </c>
      <c r="B13" s="66" t="s">
        <v>330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4.5599999999999996</v>
      </c>
      <c r="AD13" s="54">
        <f>[Cotação]/[VPA]</f>
        <v>0.62511792231544772</v>
      </c>
      <c r="AE13" s="38">
        <f>IF(Tabela3[[#This Row],[Lucro/Ação]]&gt;0,Tabela3[[#This Row],[Cotação]]/(Tabela3[[#This Row],[Lucro/Ação]]/[Ref]*4),0)</f>
        <v>7.9393969337979096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A.A.]&gt;=8%,SUMPRODUCT(N([Nome]=Tabela3[[#This Row],[Nome]]),[PL])&gt;0),"Sim","Não")</f>
        <v>Não</v>
      </c>
      <c r="AJ13" s="22">
        <f>IF([Cotação]&gt;0,Tabela3[[#This Row],[Lucro]]/Tabela3[[#This Row],[Cotação]],0)</f>
        <v>2.2435583141299335E-2</v>
      </c>
      <c r="AK13" s="18">
        <f>((1+Tabela3[[#This Row],[% Yield]])^(1/(3*Tabela3[[#This Row],[Ref]])))^(12)-1</f>
        <v>3.0025415077809647E-2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4.5599999999999996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0.31</v>
      </c>
      <c r="AD14" s="45">
        <f>[Cotação]/[VPA]</f>
        <v>0.59287383498944268</v>
      </c>
      <c r="AE14" s="41">
        <f>IF(Tabela3[[#This Row],[Lucro/Ação]]&gt;0,Tabela3[[#This Row],[Cotação]]/(Tabela3[[#This Row],[Lucro/Ação]]/[Ref]*4),0)</f>
        <v>12.154271683389174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A.A.]&gt;=8%,SUMPRODUCT(N([Nome]=Tabela3[[#This Row],[Nome]]),[PL])&gt;0),"Sim","Não")</f>
        <v>Não</v>
      </c>
      <c r="AJ14" s="43">
        <f>IF([Cotação]&gt;0,Tabela3[[#This Row],[Lucro]]/Tabela3[[#This Row],[Cotação]],0)</f>
        <v>1.4655341318677064E-2</v>
      </c>
      <c r="AK14" s="19">
        <f>((1+Tabela3[[#This Row],[% Yield]])^(1/(3*Tabela3[[#This Row],[Ref]])))^(12)-1</f>
        <v>1.958802926654335E-2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0.31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21.43</v>
      </c>
      <c r="AD15" s="45">
        <f>[Cotação]/[VPA]</f>
        <v>0.96243496430202302</v>
      </c>
      <c r="AE15" s="41">
        <f>IF(Tabela3[[#This Row],[Lucro/Ação]]&gt;0,Tabela3[[#This Row],[Cotação]]/(Tabela3[[#This Row],[Lucro/Ação]]/[Ref]*4),0)</f>
        <v>3.6210992630137926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A.A.]&gt;=8%,SUMPRODUCT(N([Nome]=Tabela3[[#This Row],[Nome]]),[PL])&gt;0),"Sim","Não")</f>
        <v>Não</v>
      </c>
      <c r="AJ15" s="43">
        <f>IF([Cotação]&gt;0,Tabela3[[#This Row],[Lucro]]/Tabela3[[#This Row],[Cotação]],0)</f>
        <v>4.9190863619615041E-2</v>
      </c>
      <c r="AK15" s="19">
        <f>((1+Tabela3[[#This Row],[% Yield]])^(1/(3*Tabela3[[#This Row],[Ref]])))^(12)-1</f>
        <v>6.6119777820568437E-2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21.43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211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28.6</v>
      </c>
      <c r="AD16" s="45">
        <f>[Cotação]/[VPA]</f>
        <v>1.7950462288317441</v>
      </c>
      <c r="AE16" s="41">
        <f>IF(Tabela3[[#This Row],[Lucro/Ação]]&gt;0,Tabela3[[#This Row],[Cotação]]/(Tabela3[[#This Row],[Lucro/Ação]]/[Ref]*4),0)</f>
        <v>10.103869906199494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A.A.]&gt;=8%,SUMPRODUCT(N([Nome]=Tabela3[[#This Row],[Nome]]),[PL])&gt;0),"Sim","Não")</f>
        <v>Não</v>
      </c>
      <c r="AJ16" s="43">
        <f>IF([Cotação]&gt;0,Tabela3[[#This Row],[Lucro]]/Tabela3[[#This Row],[Cotação]],0)</f>
        <v>1.7080866590135163E-2</v>
      </c>
      <c r="AK16" s="19">
        <f>((1+Tabela3[[#This Row],[% Yield]])^(1/(3*Tabela3[[#This Row],[Ref]])))^(12)-1</f>
        <v>2.2839079093897041E-2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28.6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212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26.47</v>
      </c>
      <c r="AD17" s="45">
        <f>[Cotação]/[VPA]</f>
        <v>1.6613592194816875</v>
      </c>
      <c r="AE17" s="41">
        <f>IF(Tabela3[[#This Row],[Lucro/Ação]]&gt;0,Tabela3[[#This Row],[Cotação]]/(Tabela3[[#This Row],[Lucro/Ação]]/[Ref]*4),0)</f>
        <v>9.3513788957028172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A.A.]&gt;=8%,SUMPRODUCT(N([Nome]=Tabela3[[#This Row],[Nome]]),[PL])&gt;0),"Sim","Não")</f>
        <v>Não</v>
      </c>
      <c r="AJ17" s="43">
        <f>IF([Cotação]&gt;0,Tabela3[[#This Row],[Lucro]]/Tabela3[[#This Row],[Cotação]],0)</f>
        <v>2.0300871313252165E-2</v>
      </c>
      <c r="AK17" s="19">
        <f>((1+Tabela3[[#This Row],[% Yield]])^(1/(3*Tabela3[[#This Row],[Ref]])))^(12)-1</f>
        <v>2.7159002131299514E-2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26.47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23.03</v>
      </c>
      <c r="AD18" s="45">
        <f>[Cotação]/[VPA]</f>
        <v>7.2086126488145776</v>
      </c>
      <c r="AE18" s="41">
        <f>IF(Tabela3[[#This Row],[Lucro/Ação]]&gt;0,Tabela3[[#This Row],[Cotação]]/(Tabela3[[#This Row],[Lucro/Ação]]/[Ref]*4),0)</f>
        <v>22.001194796394216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A.A.]&gt;=8%,SUMPRODUCT(N([Nome]=Tabela3[[#This Row],[Nome]]),[PL])&gt;0),"Sim","Não")</f>
        <v>Não</v>
      </c>
      <c r="AJ18" s="43">
        <f>IF([Cotação]&gt;0,Tabela3[[#This Row],[Lucro]]/Tabela3[[#This Row],[Cotação]],0)</f>
        <v>8.0961512158054701E-3</v>
      </c>
      <c r="AK18" s="19">
        <f>((1+Tabela3[[#This Row],[% Yield]])^(1/(3*Tabela3[[#This Row],[Ref]])))^(12)-1</f>
        <v>1.0809408316826419E-2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23.03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0.45</v>
      </c>
      <c r="AD19" s="45">
        <f>[Cotação]/[VPA]</f>
        <v>0.78810174344924544</v>
      </c>
      <c r="AE19" s="41">
        <f>IF(Tabela3[[#This Row],[Lucro/Ação]]&gt;0,Tabela3[[#This Row],[Cotação]]/(Tabela3[[#This Row],[Lucro/Ação]]/[Ref]*4),0)</f>
        <v>6.8441297214412273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A.A.]&gt;=8%,SUMPRODUCT(N([Nome]=Tabela3[[#This Row],[Nome]]),[PL])&gt;0),"Sim","Não")</f>
        <v>Não</v>
      </c>
      <c r="AJ19" s="43">
        <f>IF([Cotação]&gt;0,Tabela3[[#This Row],[Lucro]]/Tabela3[[#This Row],[Cotação]],0)</f>
        <v>2.6025953225575434E-2</v>
      </c>
      <c r="AK19" s="19">
        <f>((1+Tabela3[[#This Row],[% Yield]])^(1/(3*Tabela3[[#This Row],[Ref]])))^(12)-1</f>
        <v>3.4850932002306045E-2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0.45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A.A.]&gt;=8%,SUMPRODUCT(N([Nome]=Tabela3[[#This Row],[Nome]]),[PL])&gt;0),"Sim","Não")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650</v>
      </c>
      <c r="B21" s="65" t="s">
        <v>651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8.74</v>
      </c>
      <c r="AD21" s="45">
        <f>[Cotação]/[VPA]</f>
        <v>1.1278212123335318</v>
      </c>
      <c r="AE21" s="41">
        <f>IF(Tabela3[[#This Row],[Lucro/Ação]]&gt;0,Tabela3[[#This Row],[Cotação]]/(Tabela3[[#This Row],[Lucro/Ação]]/[Ref]*4),0)</f>
        <v>11.052511438987707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A.A.]&gt;=8%,SUMPRODUCT(N([Nome]=Tabela3[[#This Row],[Nome]]),[PL])&gt;0),"Sim","Não")</f>
        <v>Não</v>
      </c>
      <c r="AJ21" s="43">
        <f>IF([Cotação]&gt;0,Tabela3[[#This Row],[Lucro]]/Tabela3[[#This Row],[Cotação]],0)</f>
        <v>1.611624660904349E-2</v>
      </c>
      <c r="AK21" s="43">
        <f>((1+Tabela3[[#This Row],[% Yield]])^(1/(3*Tabela3[[#This Row],[Ref]])))^(12)-1</f>
        <v>2.1545842010256777E-2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8.74</v>
      </c>
    </row>
    <row r="22" spans="1:42" hidden="1">
      <c r="A22" s="4" t="s">
        <v>14</v>
      </c>
      <c r="B22" s="65" t="s">
        <v>216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A.A.]&gt;=8%,SUMPRODUCT(N([Nome]=Tabela3[[#This Row],[Nome]]),[PL])&gt;0),"Sim","Não")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217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43.02</v>
      </c>
      <c r="AD23" s="45">
        <f>[Cotação]/[VPA]</f>
        <v>1.6594014162400701</v>
      </c>
      <c r="AE23" s="41">
        <f>IF(Tabela3[[#This Row],[Lucro/Ação]]&gt;0,Tabela3[[#This Row],[Cotação]]/(Tabela3[[#This Row],[Lucro/Ação]]/[Ref]*4),0)</f>
        <v>7.2256724125257596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A.A.]&gt;=8%,SUMPRODUCT(N([Nome]=Tabela3[[#This Row],[Nome]]),[PL])&gt;0),"Sim","Não")</f>
        <v>Não</v>
      </c>
      <c r="AJ23" s="43">
        <f>IF([Cotação]&gt;0,Tabela3[[#This Row],[Lucro]]/Tabela3[[#This Row],[Cotação]],0)</f>
        <v>2.6273145075610391E-2</v>
      </c>
      <c r="AK23" s="19">
        <f>((1+Tabela3[[#This Row],[% Yield]])^(1/(3*Tabela3[[#This Row],[Ref]])))^(12)-1</f>
        <v>3.5183369320746838E-2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43.02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223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A.A.]&gt;=8%,SUMPRODUCT(N([Nome]=Tabela3[[#This Row],[Nome]]),[PL])&gt;0),"Sim","Não")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7.24</v>
      </c>
      <c r="AD25" s="45">
        <f>[Cotação]/[VPA]</f>
        <v>0.95219667726326029</v>
      </c>
      <c r="AE25" s="41">
        <f>IF(Tabela3[[#This Row],[Lucro/Ação]]&gt;0,Tabela3[[#This Row],[Cotação]]/(Tabela3[[#This Row],[Lucro/Ação]]/[Ref]*4),0)</f>
        <v>61.213621274404922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A.A.]&gt;=8%,SUMPRODUCT(N([Nome]=Tabela3[[#This Row],[Nome]]),[PL])&gt;0),"Sim","Não")</f>
        <v>Não</v>
      </c>
      <c r="AJ25" s="43">
        <f>IF([Cotação]&gt;0,Tabela3[[#This Row],[Lucro]]/Tabela3[[#This Row],[Cotação]],0)</f>
        <v>2.9098915615776337E-3</v>
      </c>
      <c r="AK25" s="19">
        <f>((1+Tabela3[[#This Row],[% Yield]])^(1/(3*Tabela3[[#This Row],[Ref]])))^(12)-1</f>
        <v>3.8817358599028129E-3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7.24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615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12.7</v>
      </c>
      <c r="AD26" s="45">
        <f>[Cotação]/[VPA]</f>
        <v>0.71446789244968267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A.A.]&gt;=8%,SUMPRODUCT(N([Nome]=Tabela3[[#This Row],[Nome]]),[PL])&gt;0),"Sim","Não")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12.7</v>
      </c>
    </row>
    <row r="27" spans="1:42" hidden="1">
      <c r="A27" s="4" t="s">
        <v>14</v>
      </c>
      <c r="B27" s="65" t="s">
        <v>616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8.5500000000000007</v>
      </c>
      <c r="AD27" s="45">
        <f>[Cotação]/[VPA]</f>
        <v>0.48100003783029827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A.A.]&gt;=8%,SUMPRODUCT(N([Nome]=Tabela3[[#This Row],[Nome]]),[PL])&gt;0),"Sim","Não")</f>
        <v>Não</v>
      </c>
      <c r="AJ27" s="43">
        <f>IF([Cotação]&gt;0,Tabela3[[#This Row],[Lucro]]/Tabela3[[#This Row],[Cotação]],0)</f>
        <v>6.596491228070174E-2</v>
      </c>
      <c r="AK27" s="43">
        <f>((1+Tabela3[[#This Row],[% Yield]])^(1/(3*Tabela3[[#This Row],[Ref]])))^(12)-1</f>
        <v>8.8906389125864571E-2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8.5500000000000007</v>
      </c>
    </row>
    <row r="28" spans="1:42" hidden="1">
      <c r="A28" s="4" t="s">
        <v>14</v>
      </c>
      <c r="B28" s="65" t="s">
        <v>227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A.A.]&gt;=8%,SUMPRODUCT(N([Nome]=Tabela3[[#This Row],[Nome]]),[PL])&gt;0),"Sim","Não")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A.A.]&gt;=8%,SUMPRODUCT(N([Nome]=Tabela3[[#This Row],[Nome]]),[PL])&gt;0),"Sim","Não")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229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A.A.]&gt;=8%,SUMPRODUCT(N([Nome]=Tabela3[[#This Row],[Nome]]),[PL])&gt;0),"Sim","Não")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230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28</v>
      </c>
      <c r="AD31" s="45">
        <f>[Cotação]/[VPA]</f>
        <v>0.96902922498051836</v>
      </c>
      <c r="AE31" s="41">
        <f>IF(Tabela3[[#This Row],[Lucro/Ação]]&gt;0,Tabela3[[#This Row],[Cotação]]/(Tabela3[[#This Row],[Lucro/Ação]]/[Ref]*4),0)</f>
        <v>6.0154809513932097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A.A.]&gt;=8%,SUMPRODUCT(N([Nome]=Tabela3[[#This Row],[Nome]]),[PL])&gt;0),"Sim","Não")</f>
        <v>Não</v>
      </c>
      <c r="AJ31" s="43">
        <f>IF([Cotação]&gt;0,Tabela3[[#This Row],[Lucro]]/Tabela3[[#This Row],[Cotação]],0)</f>
        <v>2.9611098670131359E-2</v>
      </c>
      <c r="AK31" s="19">
        <f>((1+Tabela3[[#This Row],[% Yield]])^(1/(3*Tabela3[[#This Row],[Ref]])))^(12)-1</f>
        <v>3.9675046576872042E-2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28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625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A.A.]&gt;=8%,SUMPRODUCT(N([Nome]=Tabela3[[#This Row],[Nome]]),[PL])&gt;0),"Sim","Não")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623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A.A.]&gt;=8%,SUMPRODUCT(N([Nome]=Tabela3[[#This Row],[Nome]]),[PL])&gt;0),"Sim","Não")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624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A.A.]&gt;=8%,SUMPRODUCT(N([Nome]=Tabela3[[#This Row],[Nome]]),[PL])&gt;0),"Sim","Não")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318</v>
      </c>
      <c r="B35" s="66" t="s">
        <v>316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17.510000000000002</v>
      </c>
      <c r="AD35" s="54">
        <f>[Cotação]/[VPA]</f>
        <v>0.61015513377071573</v>
      </c>
      <c r="AE35" s="38">
        <f>IF(Tabela3[[#This Row],[Lucro/Ação]]&gt;0,Tabela3[[#This Row],[Cotação]]/(Tabela3[[#This Row],[Lucro/Ação]]/[Ref]*4),0)</f>
        <v>5.3835480734397123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A.A.]&gt;=8%,SUMPRODUCT(N([Nome]=Tabela3[[#This Row],[Nome]]),[PL])&gt;0),"Sim","Não")</f>
        <v>Não</v>
      </c>
      <c r="AJ35" s="22">
        <f>IF([Cotação]&gt;0,Tabela3[[#This Row],[Lucro]]/Tabela3[[#This Row],[Cotação]],0)</f>
        <v>3.2057455707199922E-2</v>
      </c>
      <c r="AK35" s="18">
        <f>((1+Tabela3[[#This Row],[% Yield]])^(1/(3*Tabela3[[#This Row],[Ref]])))^(12)-1</f>
        <v>4.2970042175100698E-2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17.510000000000002</v>
      </c>
      <c r="AP35" s="7">
        <f>SUMPRODUCT(N(Tabela176[Código]=Tabela3[[#This Row],[PAPEL]]),Tabela176[Fechamento])</f>
        <v>0</v>
      </c>
    </row>
    <row r="36" spans="1:42" hidden="1">
      <c r="A36" s="3" t="s">
        <v>318</v>
      </c>
      <c r="B36" s="69" t="s">
        <v>317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21.19</v>
      </c>
      <c r="AD36" s="54">
        <f>[Cotação]/[VPA]</f>
        <v>0.73838876553977528</v>
      </c>
      <c r="AE36" s="38">
        <f>IF(Tabela3[[#This Row],[Lucro/Ação]]&gt;0,Tabela3[[#This Row],[Cotação]]/(Tabela3[[#This Row],[Lucro/Ação]]/[Ref]*4),0)</f>
        <v>6.51498479018775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A.A.]&gt;=8%,SUMPRODUCT(N([Nome]=Tabela3[[#This Row],[Nome]]),[PL])&gt;0),"Sim","Não")</f>
        <v>Não</v>
      </c>
      <c r="AJ36" s="22">
        <f>IF([Cotação]&gt;0,Tabela3[[#This Row],[Lucro]]/Tabela3[[#This Row],[Cotação]],0)</f>
        <v>2.9139153148760328E-2</v>
      </c>
      <c r="AK36" s="18">
        <f>((1+Tabela3[[#This Row],[% Yield]])^(1/(3*Tabela3[[#This Row],[Ref]])))^(12)-1</f>
        <v>3.9039683711829865E-2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21.19</v>
      </c>
      <c r="AP36" s="7">
        <f>SUMPRODUCT(N(Tabela176[Código]=Tabela3[[#This Row],[PAPEL]]),Tabela176[Fechamento])</f>
        <v>0</v>
      </c>
    </row>
    <row r="37" spans="1:42" hidden="1">
      <c r="A37" s="3" t="s">
        <v>299</v>
      </c>
      <c r="B37" s="66" t="s">
        <v>298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43.41</v>
      </c>
      <c r="AD37" s="54">
        <f>[Cotação]/[VPA]</f>
        <v>2.5551524216535482</v>
      </c>
      <c r="AE37" s="38">
        <f>IF(Tabela3[[#This Row],[Lucro/Ação]]&gt;0,Tabela3[[#This Row],[Cotação]]/(Tabela3[[#This Row],[Lucro/Ação]]/[Ref]*4),0)</f>
        <v>33.262271798803724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A.A.]&gt;=8%,SUMPRODUCT(N([Nome]=Tabela3[[#This Row],[Nome]]),[PL])&gt;0),"Sim","Não")</f>
        <v>Não</v>
      </c>
      <c r="AJ37" s="22">
        <f>IF([Cotação]&gt;0,Tabela3[[#This Row],[Lucro]]/Tabela3[[#This Row],[Cotação]],0)</f>
        <v>5.3551663902405558E-3</v>
      </c>
      <c r="AK37" s="18">
        <f>((1+Tabela3[[#This Row],[% Yield]])^(1/(3*Tabela3[[#This Row],[Ref]])))^(12)-1</f>
        <v>7.1465871326197306E-3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43.41</v>
      </c>
      <c r="AP37" s="7">
        <f>SUMPRODUCT(N(Tabela176[Código]=Tabela3[[#This Row],[PAPEL]]),Tabela176[Fechamento])</f>
        <v>0</v>
      </c>
    </row>
    <row r="38" spans="1:42" hidden="1">
      <c r="A38" s="4" t="s">
        <v>19</v>
      </c>
      <c r="B38" s="66" t="s">
        <v>762</v>
      </c>
      <c r="C38" s="102" t="str">
        <f>LEFT([PAPEL],LEN([PAPEL])-(LEN([PAPEL])-4))</f>
        <v>KLBN</v>
      </c>
      <c r="D38" s="16">
        <v>3</v>
      </c>
      <c r="E38" s="5"/>
      <c r="H38" s="16"/>
      <c r="I38" s="18"/>
      <c r="K38" s="107">
        <v>1</v>
      </c>
      <c r="L38" s="107">
        <v>4</v>
      </c>
      <c r="M38" s="6"/>
      <c r="N38" s="6"/>
      <c r="O38" s="5">
        <f>Tabela3[[#This Row],[Capital Social]]*20%</f>
        <v>0</v>
      </c>
      <c r="P38" s="5">
        <f>IF(([Lucro Líquido]*5%)&gt;[Teto R. Legal],[Teto R. Legal],[Lucro Líquido]*5%)</f>
        <v>0</v>
      </c>
      <c r="Q38" s="5">
        <f>IF([Lucro Líquido]&lt;0,0,[Lucro Líquido]-[Reserva Legal])</f>
        <v>0</v>
      </c>
      <c r="R38" s="5">
        <f>Tabela3[[#This Row],[Lucro Distribuir]]*[%Div]</f>
        <v>0</v>
      </c>
      <c r="S38" s="57">
        <f>SUMPRODUCT(N([Nome]=Tabela3[[#This Row],[Nome]]),[Ações])</f>
        <v>945957907</v>
      </c>
      <c r="T38" s="5">
        <f>[Capital Social]/[Total Ações]</f>
        <v>0</v>
      </c>
      <c r="U38" s="95">
        <f>Tabela3[[#This Row],[Lucro Líquido]]/Tabela3[[#This Row],[Total Ações]]</f>
        <v>0</v>
      </c>
      <c r="V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8" s="5">
        <f>[Div Base]*[Ações]</f>
        <v>0</v>
      </c>
      <c r="AA38" s="5">
        <f>SUMPRODUCT(N([Nome]=Tabela3[[#This Row],[Nome]]),[Div Base]*[Ações])</f>
        <v>63787037.5</v>
      </c>
      <c r="AB38" s="5">
        <f>[Patrimônio Líquido]/[Total Ações]</f>
        <v>0</v>
      </c>
      <c r="AC38" s="53">
        <f>MAX(Tabela3[[#This Row],[Cotação 1]:[Cotação 3]])</f>
        <v>63</v>
      </c>
      <c r="AD38" s="54" t="e">
        <f>[Cotação]/[VPA]</f>
        <v>#DIV/0!</v>
      </c>
      <c r="AE38" s="38">
        <f>IF(Tabela3[[#This Row],[Lucro/Ação]]&gt;0,Tabela3[[#This Row],[Cotação]]/(Tabela3[[#This Row],[Lucro/Ação]]/[Ref]*4),0)</f>
        <v>0</v>
      </c>
      <c r="AF38" s="38">
        <f>IF([Div. Mínimo]=0,0,[Lucro Distribuir]*#REF!/[Total Ações])</f>
        <v>0</v>
      </c>
      <c r="AG38" s="95">
        <f>[Lucro Distribuir]/[Total Ações]</f>
        <v>0</v>
      </c>
      <c r="AH38" s="95">
        <f>IF([Unit ON]&gt;0,SUMPRODUCT(N([Nome]=Tabela3[[#This Row],[Nome]]),N(RIGHT([PAPEL],1)="3"),[Div Base])*[Unit ON]+SUMPRODUCT(N([Nome]=Tabela3[[#This Row],[Nome]]),N(RIGHT([PAPEL],1)="4"),[Div Base])*[Unit PN],[Div Base])</f>
        <v>0.33715579217627917</v>
      </c>
      <c r="AI38" s="16" t="str">
        <f>IF(AND([% A.A.]&gt;=8%,SUMPRODUCT(N([Nome]=Tabela3[[#This Row],[Nome]]),[PL])&gt;0),"Sim","Não")</f>
        <v>Não</v>
      </c>
      <c r="AJ38" s="22">
        <f>IF([Cotação]&gt;0,Tabela3[[#This Row],[Lucro]]/Tabela3[[#This Row],[Cotação]],0)</f>
        <v>5.3516792408933199E-3</v>
      </c>
      <c r="AK38" s="18">
        <f>((1+Tabela3[[#This Row],[% Yield]])^(1/(3*Tabela3[[#This Row],[Ref]])))^(12)-1</f>
        <v>7.1419293179493248E-3</v>
      </c>
      <c r="AL38" s="10">
        <f>IF([Cotação]&gt;0,($AR$1/Tabela3[[#This Row],[Cotação]]-MOD($AR$1/Tabela3[[#This Row],[Cotação]],100)),)</f>
        <v>0</v>
      </c>
      <c r="AM38" s="7">
        <f>Tabela3[[#This Row],[Ativos]]*[Lucro]</f>
        <v>0</v>
      </c>
      <c r="AN38" s="48">
        <f>SUMPRODUCT(N(Tabela1[Código]=Tabela3[[#This Row],[PAPEL]]),Tabela1[Fechamento])</f>
        <v>0</v>
      </c>
      <c r="AO38" s="55">
        <f>SUMPRODUCT(N(Tabela17[Código]=Tabela3[[#This Row],[PAPEL]]),Tabela17[Fechamento])</f>
        <v>0</v>
      </c>
      <c r="AP38" s="7">
        <f>SUMPRODUCT(N(Tabela176[Código]=Tabela3[[#This Row],[PAPEL]]),Tabela176[Fechamento])</f>
        <v>63</v>
      </c>
    </row>
    <row r="39" spans="1:42" hidden="1">
      <c r="A39" s="4" t="s">
        <v>14</v>
      </c>
      <c r="B39" s="65" t="s">
        <v>243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39" s="5">
        <f>[Div Base]*[Ações]</f>
        <v>1695832.6795978374</v>
      </c>
      <c r="AA39" s="5">
        <f>SUMPRODUCT(N([Nome]=Tabela3[[#This Row],[Nome]]),[Div Base]*[Ações])</f>
        <v>8194224.9999999991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39" s="15" t="str">
        <f>IF(AND([% A.A.]&gt;=8%,SUMPRODUCT(N([Nome]=Tabela3[[#This Row],[Nome]]),[PL])&gt;0),"Sim","Não")</f>
        <v>Não</v>
      </c>
      <c r="AJ39" s="43">
        <f>IF([Cotação]&gt;0,Tabela3[[#This Row],[Lucro]]/Tabela3[[#This Row],[Cotação]],0)</f>
        <v>1.9521478134407005E-2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238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40" s="5">
        <f>[Div Base]*[Ações]</f>
        <v>3154275.1271154312</v>
      </c>
      <c r="AA40" s="5">
        <f>SUMPRODUCT(N([Nome]=Tabela3[[#This Row],[Nome]]),[Div Base]*[Ações])</f>
        <v>8194224.9999999991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40" s="16" t="str">
        <f>IF(AND([% A.A.]&gt;=8%,SUMPRODUCT(N([Nome]=Tabela3[[#This Row],[Nome]]),[PL])&gt;0),"Sim","Não")</f>
        <v>Não</v>
      </c>
      <c r="AJ40" s="22">
        <f>IF([Cotação]&gt;0,Tabela3[[#This Row],[Lucro]]/Tabela3[[#This Row],[Cotação]],0)</f>
        <v>1.859188393753048E-2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>
      <c r="A41" s="4" t="s">
        <v>318</v>
      </c>
      <c r="B41" s="65" t="s">
        <v>814</v>
      </c>
      <c r="C41" s="15" t="str">
        <f>LEFT([PAPEL],LEN([PAPEL])-(LEN([PAPEL])-4))</f>
        <v>JBDU</v>
      </c>
      <c r="D41" s="15">
        <v>3</v>
      </c>
      <c r="E41" s="6">
        <v>96610827.730000004</v>
      </c>
      <c r="F41" s="8">
        <v>18582348</v>
      </c>
      <c r="G41" s="106">
        <v>0.25</v>
      </c>
      <c r="H41" s="15"/>
      <c r="I41" s="19"/>
      <c r="J41" s="19"/>
      <c r="K41" s="108"/>
      <c r="L41" s="108"/>
      <c r="M41" s="114">
        <v>50580000</v>
      </c>
      <c r="N41" s="115">
        <v>9934000</v>
      </c>
      <c r="O41" s="13">
        <f>Tabela3[[#This Row],[Capital Social]]*20%</f>
        <v>19322165.546</v>
      </c>
      <c r="P41" s="13">
        <f>IF(([Lucro Líquido]*5%)&gt;[Teto R. Legal],[Teto R. Legal],[Lucro Líquido]*5%)</f>
        <v>496700</v>
      </c>
      <c r="Q41" s="13">
        <f>IF([Lucro Líquido]&lt;0,0,[Lucro Líquido]-[Reserva Legal])</f>
        <v>9437300</v>
      </c>
      <c r="R41" s="13">
        <f>Tabela3[[#This Row],[Lucro Distribuir]]*[%Div]</f>
        <v>2359325</v>
      </c>
      <c r="S41" s="21">
        <f>SUMPRODUCT(N([Nome]=Tabela3[[#This Row],[Nome]]),[Ações])</f>
        <v>27873850</v>
      </c>
      <c r="T41" s="6">
        <f>[Capital Social]/[Total Ações]</f>
        <v>3.466002282784761</v>
      </c>
      <c r="U41" s="96">
        <f>Tabela3[[#This Row],[Lucro Líquido]]/Tabela3[[#This Row],[Total Ações]]</f>
        <v>0.35639138475668053</v>
      </c>
      <c r="V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8.464295387971163E-2</v>
      </c>
      <c r="W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8.464295387971163E-2</v>
      </c>
      <c r="Z41" s="13">
        <f>[Div Base]*[Ações]</f>
        <v>1572864.8247407516</v>
      </c>
      <c r="AA41" s="13">
        <f>SUMPRODUCT(N([Nome]=Tabela3[[#This Row],[Nome]]),[Div Base]*[Ações])</f>
        <v>2359325</v>
      </c>
      <c r="AB41" s="113">
        <f>[Patrimônio Líquido]/[Total Ações]</f>
        <v>1.814604010569046</v>
      </c>
      <c r="AC41" s="49">
        <f>MAX(Tabela3[[#This Row],[Cotação 1]:[Cotação 3]])</f>
        <v>0.23</v>
      </c>
      <c r="AD41" s="45">
        <f>[Cotação]/[VPA]</f>
        <v>0.12674941676551996</v>
      </c>
      <c r="AE41" s="41">
        <f>IF(Tabela3[[#This Row],[Lucro/Ação]]&gt;0,Tabela3[[#This Row],[Cotação]]/(Tabela3[[#This Row],[Lucro/Ação]]/[Ref]*4),0)</f>
        <v>0.48401843416549228</v>
      </c>
      <c r="AF41" s="109" t="e">
        <f>IF([Div. Mínimo]=0,0,[Lucro Distribuir]*#REF!/[Total Ações])</f>
        <v>#REF!</v>
      </c>
      <c r="AG41" s="96">
        <f>[Lucro Distribuir]/[Total Ações]</f>
        <v>0.33857181551884652</v>
      </c>
      <c r="AH41" s="96">
        <f>IF([Unit ON]&gt;0,SUMPRODUCT(N([Nome]=Tabela3[[#This Row],[Nome]]),N(RIGHT([PAPEL],1)="3"),[Div Base])*[Unit ON]+SUMPRODUCT(N([Nome]=Tabela3[[#This Row],[Nome]]),N(RIGHT([PAPEL],1)="4"),[Div Base])*[Unit PN],[Div Base])</f>
        <v>8.464295387971163E-2</v>
      </c>
      <c r="AI41" s="14" t="str">
        <f>IF(AND([% A.A.]&gt;=8%,SUMPRODUCT(N([Nome]=Tabela3[[#This Row],[Nome]]),[PL])&gt;0),"Sim","Não")</f>
        <v>Sim</v>
      </c>
      <c r="AJ41" s="43">
        <f>IF([Cotação]&gt;0,Tabela3[[#This Row],[Lucro]]/Tabela3[[#This Row],[Cotação]],0)</f>
        <v>0.36801284295526793</v>
      </c>
      <c r="AK41" s="43">
        <f>((1+Tabela3[[#This Row],[% Yield]])^(1/(3*Tabela3[[#This Row],[Ref]])))^(12)-1</f>
        <v>0.51863556386946219</v>
      </c>
      <c r="AL41" s="14">
        <f>IF([Cotação]&gt;0,($AR$1/Tabela3[[#This Row],[Cotação]]-MOD($AR$1/Tabela3[[#This Row],[Cotação]],100)),)</f>
        <v>1300</v>
      </c>
      <c r="AM41" s="17">
        <f>Tabela3[[#This Row],[Ativos]]*[Lucro]</f>
        <v>110.03584004362511</v>
      </c>
      <c r="AN41" s="17">
        <f>SUMPRODUCT(N(Tabela1[Código]=Tabela3[[#This Row],[PAPEL]]),Tabela1[Fechamento])</f>
        <v>0</v>
      </c>
      <c r="AO41" s="17">
        <f>SUMPRODUCT(N(Tabela17[Código]=Tabela3[[#This Row],[PAPEL]]),Tabela17[Fechamento])</f>
        <v>0</v>
      </c>
      <c r="AP41" s="17">
        <f>SUMPRODUCT(N(Tabela176[Código]=Tabela3[[#This Row],[PAPEL]]),Tabela176[Fechamento])</f>
        <v>0.23</v>
      </c>
    </row>
    <row r="42" spans="1:42">
      <c r="A42" s="4" t="s">
        <v>318</v>
      </c>
      <c r="B42" s="65" t="s">
        <v>813</v>
      </c>
      <c r="C42" s="15" t="str">
        <f>LEFT([PAPEL],LEN([PAPEL])-(LEN([PAPEL])-4))</f>
        <v>JBDU</v>
      </c>
      <c r="D42" s="15">
        <v>3</v>
      </c>
      <c r="E42" s="6">
        <v>96610827.730000004</v>
      </c>
      <c r="F42" s="8">
        <v>9291502</v>
      </c>
      <c r="G42" s="106">
        <v>0.25</v>
      </c>
      <c r="H42" s="15"/>
      <c r="I42" s="19"/>
      <c r="J42" s="19"/>
      <c r="K42" s="108"/>
      <c r="L42" s="108"/>
      <c r="M42" s="114">
        <v>50580000</v>
      </c>
      <c r="N42" s="115">
        <v>9934000</v>
      </c>
      <c r="O42" s="13">
        <f>Tabela3[[#This Row],[Capital Social]]*20%</f>
        <v>19322165.546</v>
      </c>
      <c r="P42" s="13">
        <f>IF(([Lucro Líquido]*5%)&gt;[Teto R. Legal],[Teto R. Legal],[Lucro Líquido]*5%)</f>
        <v>496700</v>
      </c>
      <c r="Q42" s="13">
        <f>IF([Lucro Líquido]&lt;0,0,[Lucro Líquido]-[Reserva Legal])</f>
        <v>9437300</v>
      </c>
      <c r="R42" s="13">
        <f>Tabela3[[#This Row],[Lucro Distribuir]]*[%Div]</f>
        <v>2359325</v>
      </c>
      <c r="S42" s="21">
        <f>SUMPRODUCT(N([Nome]=Tabela3[[#This Row],[Nome]]),[Ações])</f>
        <v>27873850</v>
      </c>
      <c r="T42" s="6">
        <f>[Capital Social]/[Total Ações]</f>
        <v>3.466002282784761</v>
      </c>
      <c r="U42" s="96">
        <f>Tabela3[[#This Row],[Lucro Líquido]]/Tabela3[[#This Row],[Total Ações]]</f>
        <v>0.35639138475668053</v>
      </c>
      <c r="V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8.464295387971163E-2</v>
      </c>
      <c r="W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8.464295387971163E-2</v>
      </c>
      <c r="Z42" s="13">
        <f>[Div Base]*[Ações]</f>
        <v>786460.17525924835</v>
      </c>
      <c r="AA42" s="13">
        <f>SUMPRODUCT(N([Nome]=Tabela3[[#This Row],[Nome]]),[Div Base]*[Ações])</f>
        <v>2359325</v>
      </c>
      <c r="AB42" s="113">
        <f>[Patrimônio Líquido]/[Total Ações]</f>
        <v>1.814604010569046</v>
      </c>
      <c r="AC42" s="49">
        <f>MAX(Tabela3[[#This Row],[Cotação 1]:[Cotação 3]])</f>
        <v>0.27</v>
      </c>
      <c r="AD42" s="45">
        <f>[Cotação]/[VPA]</f>
        <v>0.14879279359430606</v>
      </c>
      <c r="AE42" s="41">
        <f>IF(Tabela3[[#This Row],[Lucro/Ação]]&gt;0,Tabela3[[#This Row],[Cotação]]/(Tabela3[[#This Row],[Lucro/Ação]]/[Ref]*4),0)</f>
        <v>0.56819555315079529</v>
      </c>
      <c r="AF42" s="109" t="e">
        <f>IF([Div. Mínimo]=0,0,[Lucro Distribuir]*#REF!/[Total Ações])</f>
        <v>#REF!</v>
      </c>
      <c r="AG42" s="96">
        <f>[Lucro Distribuir]/[Total Ações]</f>
        <v>0.33857181551884652</v>
      </c>
      <c r="AH42" s="96">
        <f>IF([Unit ON]&gt;0,SUMPRODUCT(N([Nome]=Tabela3[[#This Row],[Nome]]),N(RIGHT([PAPEL],1)="3"),[Div Base])*[Unit ON]+SUMPRODUCT(N([Nome]=Tabela3[[#This Row],[Nome]]),N(RIGHT([PAPEL],1)="4"),[Div Base])*[Unit PN],[Div Base])</f>
        <v>8.464295387971163E-2</v>
      </c>
      <c r="AI42" s="14" t="str">
        <f>IF(AND([% A.A.]&gt;=8%,SUMPRODUCT(N([Nome]=Tabela3[[#This Row],[Nome]]),[PL])&gt;0),"Sim","Não")</f>
        <v>Sim</v>
      </c>
      <c r="AJ42" s="43">
        <f>IF([Cotação]&gt;0,Tabela3[[#This Row],[Lucro]]/Tabela3[[#This Row],[Cotação]],0)</f>
        <v>0.31349242177670972</v>
      </c>
      <c r="AK42" s="43">
        <f>((1+Tabela3[[#This Row],[% Yield]])^(1/(3*Tabela3[[#This Row],[Ref]])))^(12)-1</f>
        <v>0.43847867704449461</v>
      </c>
      <c r="AL42" s="14">
        <f>IF([Cotação]&gt;0,($AR$1/Tabela3[[#This Row],[Cotação]]-MOD($AR$1/Tabela3[[#This Row],[Cotação]],100)),)</f>
        <v>1100</v>
      </c>
      <c r="AM42" s="17">
        <f>Tabela3[[#This Row],[Ativos]]*[Lucro]</f>
        <v>93.107249267682789</v>
      </c>
      <c r="AN42" s="17">
        <f>SUMPRODUCT(N(Tabela1[Código]=Tabela3[[#This Row],[PAPEL]]),Tabela1[Fechamento])</f>
        <v>0</v>
      </c>
      <c r="AO42" s="17">
        <f>SUMPRODUCT(N(Tabela17[Código]=Tabela3[[#This Row],[PAPEL]]),Tabela17[Fechamento])</f>
        <v>0</v>
      </c>
      <c r="AP42" s="17">
        <f>SUMPRODUCT(N(Tabela176[Código]=Tabela3[[#This Row],[PAPEL]]),Tabela176[Fechamento])</f>
        <v>0.27</v>
      </c>
    </row>
    <row r="43" spans="1:42">
      <c r="A43" s="25" t="s">
        <v>40</v>
      </c>
      <c r="B43" s="65" t="s">
        <v>39</v>
      </c>
      <c r="C43" s="101" t="str">
        <f>LEFT([PAPEL],LEN([PAPEL])-(LEN([PAPEL])-4))</f>
        <v>UNIP</v>
      </c>
      <c r="D43" s="15">
        <v>3</v>
      </c>
      <c r="E43" s="6">
        <v>384330953.12</v>
      </c>
      <c r="F43" s="8">
        <v>531094273</v>
      </c>
      <c r="G43" s="106">
        <v>0.25</v>
      </c>
      <c r="H43" s="19"/>
      <c r="I43" s="19">
        <v>0.1</v>
      </c>
      <c r="J43" s="19"/>
      <c r="K43" s="108"/>
      <c r="L43" s="108"/>
      <c r="M43" s="29">
        <v>740932000</v>
      </c>
      <c r="N43" s="29">
        <v>342727000</v>
      </c>
      <c r="O43" s="29">
        <f>Tabela3[[#This Row],[Capital Social]]*20%</f>
        <v>76866190.623999998</v>
      </c>
      <c r="P43" s="29">
        <f>IF(([Lucro Líquido]*5%)&gt;[Teto R. Legal],[Teto R. Legal],[Lucro Líquido]*5%)</f>
        <v>17136350</v>
      </c>
      <c r="Q43" s="29">
        <f>IF([Lucro Líquido]&lt;0,0,[Lucro Líquido]-[Reserva Legal])</f>
        <v>325590650</v>
      </c>
      <c r="R43" s="29">
        <f>Tabela3[[#This Row],[Lucro Distribuir]]*[%Div]</f>
        <v>81397662.5</v>
      </c>
      <c r="S43" s="21">
        <f>SUMPRODUCT(N([Nome]=Tabela3[[#This Row],[Nome]]),[Ações])</f>
        <v>835502072</v>
      </c>
      <c r="T43" s="5">
        <f>[Capital Social]/[Total Ações]</f>
        <v>0.46</v>
      </c>
      <c r="U43" s="96">
        <f>Tabela3[[#This Row],[Lucro Líquido]]/Tabela3[[#This Row],[Total Ações]]</f>
        <v>0.4102048474632628</v>
      </c>
      <c r="V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3" s="29">
        <f>[Div Base]*[Ações]</f>
        <v>51741143.24558714</v>
      </c>
      <c r="AA43" s="29">
        <f>SUMPRODUCT(N([Nome]=Tabela3[[#This Row],[Nome]]),[Div Base]*[Ações])</f>
        <v>81397662.5</v>
      </c>
      <c r="AB43" s="6">
        <f>[Patrimônio Líquido]/[Total Ações]</f>
        <v>0.88681048776621108</v>
      </c>
      <c r="AC43" s="49">
        <f>MAX(Tabela3[[#This Row],[Cotação 1]:[Cotação 3]])</f>
        <v>0.49</v>
      </c>
      <c r="AD43" s="45">
        <f>[Cotação]/[VPA]</f>
        <v>0.55254195429540087</v>
      </c>
      <c r="AE43" s="41">
        <f>IF(Tabela3[[#This Row],[Lucro/Ação]]&gt;0,Tabela3[[#This Row],[Cotação]]/(Tabela3[[#This Row],[Lucro/Ação]]/[Ref]*4),0)</f>
        <v>0.89589384979881936</v>
      </c>
      <c r="AF43" s="93" t="e">
        <f>IF([Div. Mínimo]=0,0,[Lucro Distribuir]*#REF!/[Total Ações])</f>
        <v>#REF!</v>
      </c>
      <c r="AG43" s="96">
        <f>[Lucro Distribuir]/[Total Ações]</f>
        <v>0.38969460509009962</v>
      </c>
      <c r="AH43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3" s="14" t="str">
        <f>IF(AND([% A.A.]&gt;=8%,SUMPRODUCT(N([Nome]=Tabela3[[#This Row],[Nome]]),[PL])&gt;0),"Sim","Não")</f>
        <v>Sim</v>
      </c>
      <c r="AJ43" s="43">
        <f>IF([Cotação]&gt;0,Tabela3[[#This Row],[Lucro]]/Tabela3[[#This Row],[Cotação]],0)</f>
        <v>0.19882377810719368</v>
      </c>
      <c r="AK43" s="19">
        <f>((1+Tabela3[[#This Row],[% Yield]])^(1/(3*Tabela3[[#This Row],[Ref]])))^(12)-1</f>
        <v>0.27352399230358149</v>
      </c>
      <c r="AL43" s="14">
        <f>IF([Cotação]&gt;0,($AR$1/Tabela3[[#This Row],[Cotação]]-MOD($AR$1/Tabela3[[#This Row],[Cotação]],100)),)</f>
        <v>600</v>
      </c>
      <c r="AM43" s="17">
        <f>Tabela3[[#This Row],[Ativos]]*[Lucro]</f>
        <v>58.454190763514944</v>
      </c>
      <c r="AN43" s="17">
        <f>SUMPRODUCT(N(Tabela1[Código]=Tabela3[[#This Row],[PAPEL]]),Tabela1[Fechamento])</f>
        <v>0.49</v>
      </c>
      <c r="AO43" s="17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241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8194224.9999999991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A.A.]&gt;=8%,SUMPRODUCT(N([Nome]=Tabela3[[#This Row],[Nome]]),[PL])&gt;0),"Sim","Não")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398</v>
      </c>
      <c r="B45" s="65" t="s">
        <v>397</v>
      </c>
      <c r="C45" s="101" t="str">
        <f>LEFT([PAPEL],LEN([PAPEL])-(LEN([PAPEL])-4))</f>
        <v>BRIN</v>
      </c>
      <c r="D45" s="15">
        <v>3</v>
      </c>
      <c r="E45" s="6">
        <v>348895784.44999999</v>
      </c>
      <c r="F45" s="8">
        <v>98042555</v>
      </c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69779156.890000001</v>
      </c>
      <c r="P45" s="6">
        <f>IF(([Lucro Líquido]*5%)&gt;[Teto R. Legal],[Teto R. Legal],[Lucro Líquido]*5%)</f>
        <v>4405950</v>
      </c>
      <c r="Q45" s="6">
        <f>IF([Lucro Líquido]&lt;0,0,[Lucro Líquido]-[Reserva Legal])</f>
        <v>83713050</v>
      </c>
      <c r="R45" s="6">
        <f>Tabela3[[#This Row],[Lucro Distribuir]]*[%Div]</f>
        <v>20928262.5</v>
      </c>
      <c r="S45" s="57">
        <f>SUMPRODUCT(N([Nome]=Tabela3[[#This Row],[Nome]]),[Ações])</f>
        <v>98042555</v>
      </c>
      <c r="T45" s="6">
        <f>[Capital Social]/[Total Ações]</f>
        <v>3.5586157913775298</v>
      </c>
      <c r="U45" s="96">
        <f>Tabela3[[#This Row],[Lucro Líquido]]/Tabela3[[#This Row],[Total Ações]]</f>
        <v>0.89878318654588307</v>
      </c>
      <c r="V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Z45" s="6">
        <f>[Div Base]*[Ações]</f>
        <v>20928262.5</v>
      </c>
      <c r="AA45" s="6">
        <f>SUMPRODUCT(N([Nome]=Tabela3[[#This Row],[Nome]]),[Div Base]*[Ações])</f>
        <v>20928262.5</v>
      </c>
      <c r="AB45" s="6">
        <f>[Patrimônio Líquido]/[Total Ações]</f>
        <v>5.063393135766403</v>
      </c>
      <c r="AC45" s="49">
        <f>MAX(Tabela3[[#This Row],[Cotação 1]:[Cotação 3]])</f>
        <v>19.09</v>
      </c>
      <c r="AD45" s="45">
        <f>[Cotação]/[VPA]</f>
        <v>3.7701990519269661</v>
      </c>
      <c r="AE45" s="41">
        <f>IF(Tabela3[[#This Row],[Lucro/Ação]]&gt;0,Tabela3[[#This Row],[Cotação]]/(Tabela3[[#This Row],[Lucro/Ação]]/[Ref]*4),0)</f>
        <v>15.929870756732372</v>
      </c>
      <c r="AF45" s="41" t="e">
        <f>IF([Div. Mínimo]=0,0,[Lucro Distribuir]*#REF!/[Total Ações])</f>
        <v>#REF!</v>
      </c>
      <c r="AG45" s="96">
        <f>[Lucro Distribuir]/[Total Ações]</f>
        <v>0.85384402721858887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I45" s="15" t="str">
        <f>IF(AND([% A.A.]&gt;=8%,SUMPRODUCT(N([Nome]=Tabela3[[#This Row],[Nome]]),[PL])&gt;0),"Sim","Não")</f>
        <v>Não</v>
      </c>
      <c r="AJ45" s="43">
        <f>IF([Cotação]&gt;0,Tabela3[[#This Row],[Lucro]]/Tabela3[[#This Row],[Cotação]],0)</f>
        <v>1.1181823300400589E-2</v>
      </c>
      <c r="AK45" s="19">
        <f>((1+Tabela3[[#This Row],[% Yield]])^(1/(3*Tabela3[[#This Row],[Ref]])))^(12)-1</f>
        <v>1.493681416112036E-2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19.09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209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6.61</v>
      </c>
      <c r="AD46" s="45">
        <f>[Cotação]/[VPA]</f>
        <v>0.50566248078066089</v>
      </c>
      <c r="AE46" s="41">
        <f>IF(Tabela3[[#This Row],[Lucro/Ação]]&gt;0,Tabela3[[#This Row],[Cotação]]/(Tabela3[[#This Row],[Lucro/Ação]]/[Ref]*4),0)</f>
        <v>9.5654053397061674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A.A.]&gt;=8%,SUMPRODUCT(N([Nome]=Tabela3[[#This Row],[Nome]]),[PL])&gt;0),"Sim","Não")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6.61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>
      <c r="A47" s="25" t="s">
        <v>40</v>
      </c>
      <c r="B47" s="65" t="s">
        <v>473</v>
      </c>
      <c r="C47" s="103" t="str">
        <f>LEFT([PAPEL],LEN([PAPEL])-(LEN([PAPEL])-4))</f>
        <v>UNIP</v>
      </c>
      <c r="D47" s="15">
        <v>3</v>
      </c>
      <c r="E47" s="6">
        <v>384330953.12</v>
      </c>
      <c r="F47" s="8">
        <v>278500690</v>
      </c>
      <c r="G47" s="106">
        <v>0.25</v>
      </c>
      <c r="H47" s="15"/>
      <c r="I47" s="19"/>
      <c r="J47" s="19"/>
      <c r="K47" s="108"/>
      <c r="L47" s="108"/>
      <c r="M47" s="29">
        <v>740932000</v>
      </c>
      <c r="N47" s="29">
        <v>342727000</v>
      </c>
      <c r="O47" s="13">
        <f>Tabela3[[#This Row],[Capital Social]]*20%</f>
        <v>76866190.623999998</v>
      </c>
      <c r="P47" s="13">
        <f>IF(([Lucro Líquido]*5%)&gt;[Teto R. Legal],[Teto R. Legal],[Lucro Líquido]*5%)</f>
        <v>17136350</v>
      </c>
      <c r="Q47" s="13">
        <f>IF([Lucro Líquido]&lt;0,0,[Lucro Líquido]-[Reserva Legal])</f>
        <v>325590650</v>
      </c>
      <c r="R47" s="13">
        <f>Tabela3[[#This Row],[Lucro Distribuir]]*[%Div]</f>
        <v>81397662.5</v>
      </c>
      <c r="S47" s="21">
        <f>SUMPRODUCT(N([Nome]=Tabela3[[#This Row],[Nome]]),[Ações])</f>
        <v>835502072</v>
      </c>
      <c r="T47" s="5">
        <f>[Capital Social]/[Total Ações]</f>
        <v>0.46</v>
      </c>
      <c r="U47" s="96">
        <f>Tabela3[[#This Row],[Lucro Líquido]]/Tabela3[[#This Row],[Total Ações]]</f>
        <v>0.4102048474632628</v>
      </c>
      <c r="V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7" s="13">
        <f>[Div Base]*[Ações]</f>
        <v>27132554.101717565</v>
      </c>
      <c r="AA47" s="13">
        <f>SUMPRODUCT(N([Nome]=Tabela3[[#This Row],[Nome]]),[Div Base]*[Ações])</f>
        <v>81397662.5</v>
      </c>
      <c r="AB47" s="6">
        <f>[Patrimônio Líquido]/[Total Ações]</f>
        <v>0.88681048776621108</v>
      </c>
      <c r="AC47" s="49">
        <f>MAX(Tabela3[[#This Row],[Cotação 1]:[Cotação 3]])</f>
        <v>0.5</v>
      </c>
      <c r="AD47" s="45">
        <f>[Cotação]/[VPA]</f>
        <v>0.56381832070959281</v>
      </c>
      <c r="AE47" s="41">
        <f>IF(Tabela3[[#This Row],[Lucro/Ação]]&gt;0,Tabela3[[#This Row],[Cotação]]/(Tabela3[[#This Row],[Lucro/Ação]]/[Ref]*4),0)</f>
        <v>0.91417739775389728</v>
      </c>
      <c r="AF47" s="93" t="e">
        <f>IF([Div. Mínimo]=0,0,[Lucro Distribuir]*#REF!/[Total Ações])</f>
        <v>#REF!</v>
      </c>
      <c r="AG47" s="96">
        <f>[Lucro Distribuir]/[Total Ações]</f>
        <v>0.38969460509009962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7" s="15" t="str">
        <f>IF(AND([% A.A.]&gt;=8%,SUMPRODUCT(N([Nome]=Tabela3[[#This Row],[Nome]]),[PL])&gt;0),"Sim","Não")</f>
        <v>Sim</v>
      </c>
      <c r="AJ47" s="43">
        <f>IF([Cotação]&gt;0,Tabela3[[#This Row],[Lucro]]/Tabela3[[#This Row],[Cotação]],0)</f>
        <v>0.19484730254504981</v>
      </c>
      <c r="AK47" s="19">
        <f>((1+Tabela3[[#This Row],[% Yield]])^(1/(3*Tabela3[[#This Row],[Ref]])))^(12)-1</f>
        <v>0.26789476866895634</v>
      </c>
      <c r="AL47" s="14">
        <f>IF([Cotação]&gt;0,($AR$1/Tabela3[[#This Row],[Cotação]]-MOD($AR$1/Tabela3[[#This Row],[Cotação]],100)),)</f>
        <v>600</v>
      </c>
      <c r="AM47" s="17">
        <f>Tabela3[[#This Row],[Ativos]]*[Lucro]</f>
        <v>58.454190763514944</v>
      </c>
      <c r="AN47" s="13">
        <f>SUMPRODUCT(N(Tabela1[Código]=Tabela3[[#This Row],[PAPEL]]),Tabela1[Fechamento])</f>
        <v>0</v>
      </c>
      <c r="AO47" s="56">
        <f>SUMPRODUCT(N(Tabela17[Código]=Tabela3[[#This Row],[PAPEL]]),Tabela17[Fechamento])</f>
        <v>0.5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283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14.37</v>
      </c>
      <c r="AD48" s="54">
        <f>[Cotação]/[VPA]</f>
        <v>1.4235152943032936</v>
      </c>
      <c r="AE48" s="38">
        <f>IF(Tabela3[[#This Row],[Lucro/Ação]]&gt;0,Tabela3[[#This Row],[Cotação]]/(Tabela3[[#This Row],[Lucro/Ação]]/[Ref]*4),0)</f>
        <v>17.694624368710112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A.A.]&gt;=8%,SUMPRODUCT(N([Nome]=Tabela3[[#This Row],[Nome]]),[PL])&gt;0),"Sim","Não")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14.37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284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18.63</v>
      </c>
      <c r="AD49" s="54">
        <f>[Cotação]/[VPA]</f>
        <v>1.8455177406312011</v>
      </c>
      <c r="AE49" s="38">
        <f>IF(Tabela3[[#This Row],[Lucro/Ação]]&gt;0,Tabela3[[#This Row],[Cotação]]/(Tabela3[[#This Row],[Lucro/Ação]]/[Ref]*4),0)</f>
        <v>22.940212386156535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A.A.]&gt;=8%,SUMPRODUCT(N([Nome]=Tabela3[[#This Row],[Nome]]),[PL])&gt;0),"Sim","Não")</f>
        <v>Não</v>
      </c>
      <c r="AJ49" s="22">
        <f>IF([Cotação]&gt;0,Tabela3[[#This Row],[Lucro]]/Tabela3[[#This Row],[Cotação]],0)</f>
        <v>3.249118620619737E-2</v>
      </c>
      <c r="AK49" s="18">
        <f>((1+Tabela3[[#This Row],[% Yield]])^(1/(3*Tabela3[[#This Row],[Ref]])))^(12)-1</f>
        <v>4.3554505241679697E-2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18.63</v>
      </c>
      <c r="AP49" s="7">
        <f>SUMPRODUCT(N(Tabela176[Código]=Tabela3[[#This Row],[PAPEL]]),Tabela176[Fechamento])</f>
        <v>0</v>
      </c>
    </row>
    <row r="50" spans="1:42">
      <c r="A50" s="25" t="s">
        <v>40</v>
      </c>
      <c r="B50" s="65" t="s">
        <v>74</v>
      </c>
      <c r="C50" s="103" t="str">
        <f>LEFT([PAPEL],LEN([PAPEL])-(LEN([PAPEL])-4))</f>
        <v>UNIP</v>
      </c>
      <c r="D50" s="15">
        <v>3</v>
      </c>
      <c r="E50" s="6">
        <v>384330953.12</v>
      </c>
      <c r="F50" s="8">
        <v>25907109</v>
      </c>
      <c r="G50" s="100">
        <v>0.25</v>
      </c>
      <c r="H50" s="15"/>
      <c r="I50" s="19">
        <v>0.1</v>
      </c>
      <c r="J50" s="19"/>
      <c r="K50" s="108"/>
      <c r="L50" s="108"/>
      <c r="M50" s="29">
        <v>740932000</v>
      </c>
      <c r="N50" s="29">
        <v>342727000</v>
      </c>
      <c r="O50" s="13">
        <f>Tabela3[[#This Row],[Capital Social]]*20%</f>
        <v>76866190.623999998</v>
      </c>
      <c r="P50" s="13">
        <f>IF(([Lucro Líquido]*5%)&gt;[Teto R. Legal],[Teto R. Legal],[Lucro Líquido]*5%)</f>
        <v>17136350</v>
      </c>
      <c r="Q50" s="13">
        <f>IF([Lucro Líquido]&lt;0,0,[Lucro Líquido]-[Reserva Legal])</f>
        <v>325590650</v>
      </c>
      <c r="R50" s="13">
        <f>Tabela3[[#This Row],[Lucro Distribuir]]*[%Div]</f>
        <v>81397662.5</v>
      </c>
      <c r="S50" s="21">
        <f>SUMPRODUCT(N([Nome]=Tabela3[[#This Row],[Nome]]),[Ações])</f>
        <v>835502072</v>
      </c>
      <c r="T50" s="5">
        <f>[Capital Social]/[Total Ações]</f>
        <v>0.46</v>
      </c>
      <c r="U50" s="96">
        <f>Tabela3[[#This Row],[Lucro Líquido]]/Tabela3[[#This Row],[Total Ações]]</f>
        <v>0.4102048474632628</v>
      </c>
      <c r="V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5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5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50" s="13">
        <f>[Div Base]*[Ações]</f>
        <v>2523965.1526952912</v>
      </c>
      <c r="AA50" s="13">
        <f>SUMPRODUCT(N([Nome]=Tabela3[[#This Row],[Nome]]),[Div Base]*[Ações])</f>
        <v>81397662.5</v>
      </c>
      <c r="AB50" s="6">
        <f>[Patrimônio Líquido]/[Total Ações]</f>
        <v>0.88681048776621108</v>
      </c>
      <c r="AC50" s="49">
        <f>MAX(Tabela3[[#This Row],[Cotação 1]:[Cotação 3]])</f>
        <v>0.67</v>
      </c>
      <c r="AD50" s="45">
        <f>[Cotação]/[VPA]</f>
        <v>0.75551654975085436</v>
      </c>
      <c r="AE50" s="41">
        <f>IF(Tabela3[[#This Row],[Lucro/Ação]]&gt;0,Tabela3[[#This Row],[Cotação]]/(Tabela3[[#This Row],[Lucro/Ação]]/[Ref]*4),0)</f>
        <v>1.2249977129902225</v>
      </c>
      <c r="AF50" s="93" t="e">
        <f>IF([Div. Mínimo]=0,0,[Lucro Distribuir]*#REF!/[Total Ações])</f>
        <v>#REF!</v>
      </c>
      <c r="AG50" s="96">
        <f>[Lucro Distribuir]/[Total Ações]</f>
        <v>0.38969460509009962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50" s="15" t="str">
        <f>IF(AND([% A.A.]&gt;=8%,SUMPRODUCT(N([Nome]=Tabela3[[#This Row],[Nome]]),[PL])&gt;0),"Sim","Não")</f>
        <v>Sim</v>
      </c>
      <c r="AJ50" s="43">
        <f>IF([Cotação]&gt;0,Tabela3[[#This Row],[Lucro]]/Tabela3[[#This Row],[Cotação]],0)</f>
        <v>0.14540843473511178</v>
      </c>
      <c r="AK50" s="19">
        <f>((1+Tabela3[[#This Row],[% Yield]])^(1/(3*Tabela3[[#This Row],[Ref]])))^(12)-1</f>
        <v>0.19843321151677573</v>
      </c>
      <c r="AL50" s="14">
        <f>IF([Cotação]&gt;0,($AR$1/Tabela3[[#This Row],[Cotação]]-MOD($AR$1/Tabela3[[#This Row],[Cotação]],100)),)</f>
        <v>400</v>
      </c>
      <c r="AM50" s="17">
        <f>Tabela3[[#This Row],[Ativos]]*[Lucro]</f>
        <v>38.969460509009963</v>
      </c>
      <c r="AN50" s="13">
        <f>SUMPRODUCT(N(Tabela1[Código]=Tabela3[[#This Row],[PAPEL]]),Tabela1[Fechamento])</f>
        <v>0.67</v>
      </c>
      <c r="AO50" s="56">
        <f>SUMPRODUCT(N(Tabela17[Código]=Tabela3[[#This Row],[PAPEL]]),Tabela17[Fechamento])</f>
        <v>0</v>
      </c>
      <c r="AP50" s="7">
        <f>SUMPRODUCT(N(Tabela176[Código]=Tabela3[[#This Row],[PAPEL]]),Tabela176[Fechamento])</f>
        <v>0</v>
      </c>
    </row>
    <row r="51" spans="1:42" hidden="1">
      <c r="A51" s="3" t="s">
        <v>371</v>
      </c>
      <c r="B51" s="66" t="s">
        <v>374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16.34</v>
      </c>
      <c r="AD51" s="54">
        <f>[Cotação]/[VPA]</f>
        <v>0.87050259456115153</v>
      </c>
      <c r="AE51" s="38">
        <f>IF(Tabela3[[#This Row],[Lucro/Ação]]&gt;0,Tabela3[[#This Row],[Cotação]]/(Tabela3[[#This Row],[Lucro/Ação]]/[Ref]*4),0)</f>
        <v>16.726803044113169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A.A.]&gt;=8%,SUMPRODUCT(N([Nome]=Tabela3[[#This Row],[Nome]]),[PL])&gt;0),"Sim","Não")</f>
        <v>Não</v>
      </c>
      <c r="AJ51" s="22">
        <f>IF([Cotação]&gt;0,Tabela3[[#This Row],[Lucro]]/Tabela3[[#This Row],[Cotação]],0)</f>
        <v>1.0649076188093775E-2</v>
      </c>
      <c r="AK51" s="18">
        <f>((1+Tabela3[[#This Row],[% Yield]])^(1/(3*Tabela3[[#This Row],[Ref]])))^(12)-1</f>
        <v>1.4223909505081123E-2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16.34</v>
      </c>
      <c r="AP51" s="7">
        <f>SUMPRODUCT(N(Tabela176[Código]=Tabela3[[#This Row],[PAPEL]]),Tabela176[Fechamento])</f>
        <v>0</v>
      </c>
    </row>
    <row r="52" spans="1:42" hidden="1">
      <c r="A52" s="3" t="s">
        <v>371</v>
      </c>
      <c r="B52" s="66" t="s">
        <v>376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17.37</v>
      </c>
      <c r="AD52" s="54">
        <f>[Cotação]/[VPA]</f>
        <v>0.67447004093262442</v>
      </c>
      <c r="AE52" s="38">
        <f>IF(Tabela3[[#This Row],[Lucro/Ação]]&gt;0,Tabela3[[#This Row],[Cotação]]/(Tabela3[[#This Row],[Lucro/Ação]]/[Ref]*4),0)</f>
        <v>17.627551064352243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A.A.]&gt;=8%,SUMPRODUCT(N([Nome]=Tabela3[[#This Row],[Nome]]),[PL])&gt;0),"Sim","Não")</f>
        <v>Não</v>
      </c>
      <c r="AJ52" s="22">
        <f>IF([Cotação]&gt;0,Tabela3[[#This Row],[Lucro]]/Tabela3[[#This Row],[Cotação]],0)</f>
        <v>1.0104920380019079E-2</v>
      </c>
      <c r="AK52" s="18">
        <f>((1+Tabela3[[#This Row],[% Yield]])^(1/(3*Tabela3[[#This Row],[Ref]])))^(12)-1</f>
        <v>1.3495867414594853E-2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17.37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218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A.A.]&gt;=8%,SUMPRODUCT(N([Nome]=Tabela3[[#This Row],[Nome]]),[PL])&gt;0),"Sim","Não")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219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A.A.]&gt;=8%,SUMPRODUCT(N([Nome]=Tabela3[[#This Row],[Nome]]),[PL])&gt;0),"Sim","Não")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11.18</v>
      </c>
      <c r="AD55" s="45">
        <f>[Cotação]/[VPA]</f>
        <v>0.91289601910232876</v>
      </c>
      <c r="AE55" s="41">
        <f>IF(Tabela3[[#This Row],[Lucro/Ação]]&gt;0,Tabela3[[#This Row],[Cotação]]/(Tabela3[[#This Row],[Lucro/Ação]]/[Ref]*4),0)</f>
        <v>5.690267334456701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A.A.]&gt;=8%,SUMPRODUCT(N([Nome]=Tabela3[[#This Row],[Nome]]),[PL])&gt;0),"Sim","Não")</f>
        <v>Não</v>
      </c>
      <c r="AJ55" s="43">
        <f>IF([Cotação]&gt;0,Tabela3[[#This Row],[Lucro]]/Tabela3[[#This Row],[Cotação]],0)</f>
        <v>3.1147004263180549E-2</v>
      </c>
      <c r="AK55" s="19">
        <f>((1+Tabela3[[#This Row],[% Yield]])^(1/(3*Tabela3[[#This Row],[Ref]])))^(12)-1</f>
        <v>4.1743451628341255E-2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11.18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233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A.A.]&gt;=8%,SUMPRODUCT(N([Nome]=Tabela3[[#This Row],[Nome]]),[PL])&gt;0),"Sim","Não")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234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A.A.]&gt;=8%,SUMPRODUCT(N([Nome]=Tabela3[[#This Row],[Nome]]),[PL])&gt;0),"Sim","Não")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404</v>
      </c>
      <c r="B58" s="65" t="s">
        <v>403</v>
      </c>
      <c r="C58" s="101" t="str">
        <f>LEFT([PAPEL],LEN([PAPEL])-(LEN([PAPEL])-4))</f>
        <v>BVMF</v>
      </c>
      <c r="D58" s="15">
        <v>3</v>
      </c>
      <c r="E58" s="6">
        <v>2540239563.8800001</v>
      </c>
      <c r="F58" s="39">
        <v>1980000000</v>
      </c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508047912.77600002</v>
      </c>
      <c r="P58" s="6">
        <f>IF(([Lucro Líquido]*5%)&gt;[Teto R. Legal],[Teto R. Legal],[Lucro Líquido]*5%)</f>
        <v>44969350</v>
      </c>
      <c r="Q58" s="6">
        <f>IF([Lucro Líquido]&lt;0,0,[Lucro Líquido]-[Reserva Legal])</f>
        <v>854417650</v>
      </c>
      <c r="R58" s="6">
        <f>Tabela3[[#This Row],[Lucro Distribuir]]*[%Div]</f>
        <v>213604412.5</v>
      </c>
      <c r="S58" s="57">
        <f>SUMPRODUCT(N([Nome]=Tabela3[[#This Row],[Nome]]),[Ações])</f>
        <v>1980000000</v>
      </c>
      <c r="T58" s="6">
        <f>[Capital Social]/[Total Ações]</f>
        <v>1.2829492746868687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0.10788101641414141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0.10788101641414141</v>
      </c>
      <c r="Z58" s="6">
        <f>[Div Base]*[Ações]</f>
        <v>213604412.5</v>
      </c>
      <c r="AA58" s="6">
        <f>SUMPRODUCT(N([Nome]=Tabela3[[#This Row],[Nome]]),[Div Base]*[Ações])</f>
        <v>213604412.5</v>
      </c>
      <c r="AB58" s="6">
        <f>[Patrimônio Líquido]/[Total Ações]</f>
        <v>9.7584858585858587</v>
      </c>
      <c r="AC58" s="49">
        <f>MAX(Tabela3[[#This Row],[Cotação 1]:[Cotação 3]])</f>
        <v>9.9</v>
      </c>
      <c r="AD58" s="45">
        <f>[Cotação]/[VPA]</f>
        <v>1.0145016494838317</v>
      </c>
      <c r="AE58" s="41">
        <f>IF(Tabela3[[#This Row],[Lucro/Ação]]&gt;0,Tabela3[[#This Row],[Cotação]]/(Tabela3[[#This Row],[Lucro/Ação]]/[Ref]*4),0)</f>
        <v>16.346133533173152</v>
      </c>
      <c r="AF58" s="41" t="e">
        <f>IF([Div. Mínimo]=0,0,[Lucro Distribuir]*#REF!/[Total Ações])</f>
        <v>#REF!</v>
      </c>
      <c r="AG58" s="96">
        <f>[Lucro Distribuir]/[Total Ações]</f>
        <v>0.43152406565656565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0.10788101641414141</v>
      </c>
      <c r="AI58" s="15" t="str">
        <f>IF(AND([% A.A.]&gt;=8%,SUMPRODUCT(N([Nome]=Tabela3[[#This Row],[Nome]]),[PL])&gt;0),"Sim","Não")</f>
        <v>Não</v>
      </c>
      <c r="AJ58" s="43">
        <f>IF([Cotação]&gt;0,Tabela3[[#This Row],[Lucro]]/Tabela3[[#This Row],[Cotação]],0)</f>
        <v>1.0897072365064788E-2</v>
      </c>
      <c r="AK58" s="19">
        <f>((1+Tabela3[[#This Row],[% Yield]])^(1/(3*Tabela3[[#This Row],[Ref]])))^(12)-1</f>
        <v>1.4555754249377939E-2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9.9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189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A.A.]&gt;=8%,SUMPRODUCT(N([Nome]=Tabela3[[#This Row],[Nome]]),[PL])&gt;0),"Sim","Não")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578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A.A.]&gt;=8%,SUMPRODUCT(N([Nome]=Tabela3[[#This Row],[Nome]]),[PL])&gt;0),"Sim","Não")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513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A.A.]&gt;=8%,SUMPRODUCT(N([Nome]=Tabela3[[#This Row],[Nome]]),[PL])&gt;0),"Sim","Não")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371</v>
      </c>
      <c r="B62" s="66" t="s">
        <v>378</v>
      </c>
      <c r="C62" s="102" t="str">
        <f>LEFT([PAPEL],LEN([PAPEL])-(LEN([PAPEL])-4))</f>
        <v>CCPR</v>
      </c>
      <c r="D62" s="16">
        <v>3</v>
      </c>
      <c r="E62" s="5">
        <v>330695395.88999999</v>
      </c>
      <c r="F62" s="57">
        <v>83000000</v>
      </c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66139079.178000003</v>
      </c>
      <c r="P62" s="5">
        <f>IF(([Lucro Líquido]*5%)&gt;[Teto R. Legal],[Teto R. Legal],[Lucro Líquido]*5%)</f>
        <v>6210000</v>
      </c>
      <c r="Q62" s="5">
        <f>IF([Lucro Líquido]&lt;0,0,[Lucro Líquido]-[Reserva Legal])</f>
        <v>117990000</v>
      </c>
      <c r="R62" s="5">
        <f>Tabela3[[#This Row],[Lucro Distribuir]]*[%Div]</f>
        <v>29497500</v>
      </c>
      <c r="S62" s="57">
        <f>SUMPRODUCT(N([Nome]=Tabela3[[#This Row],[Nome]]),[Ações])</f>
        <v>83000000</v>
      </c>
      <c r="T62" s="5">
        <f>[Capital Social]/[Total Ações]</f>
        <v>3.9842818781927711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0.35539156626506024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0.35539156626506024</v>
      </c>
      <c r="Z62" s="5">
        <f>[Div Base]*[Ações]</f>
        <v>29497500</v>
      </c>
      <c r="AA62" s="5">
        <f>SUMPRODUCT(N([Nome]=Tabela3[[#This Row],[Nome]]),[Div Base]*[Ações])</f>
        <v>29497500</v>
      </c>
      <c r="AB62" s="5">
        <f>[Patrimônio Líquido]/[Total Ações]</f>
        <v>8.5518554216867475</v>
      </c>
      <c r="AC62" s="53">
        <f>MAX(Tabela3[[#This Row],[Cotação 1]:[Cotação 3]])</f>
        <v>20.3</v>
      </c>
      <c r="AD62" s="54">
        <f>[Cotação]/[VPA]</f>
        <v>2.3737538813531622</v>
      </c>
      <c r="AE62" s="38">
        <f>IF(Tabela3[[#This Row],[Lucro/Ação]]&gt;0,Tabela3[[#This Row],[Cotação]]/(Tabela3[[#This Row],[Lucro/Ação]]/[Ref]*4),0)</f>
        <v>10.17451690821256</v>
      </c>
      <c r="AF62" s="38" t="e">
        <f>IF([Div. Mínimo]=0,0,[Lucro Distribuir]*#REF!/[Total Ações])</f>
        <v>#REF!</v>
      </c>
      <c r="AG62" s="95">
        <f>[Lucro Distribuir]/[Total Ações]</f>
        <v>1.421566265060241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0.35539156626506024</v>
      </c>
      <c r="AI62" s="16" t="str">
        <f>IF(AND([% A.A.]&gt;=8%,SUMPRODUCT(N([Nome]=Tabela3[[#This Row],[Nome]]),[PL])&gt;0),"Sim","Não")</f>
        <v>Não</v>
      </c>
      <c r="AJ62" s="22">
        <f>IF([Cotação]&gt;0,Tabela3[[#This Row],[Lucro]]/Tabela3[[#This Row],[Cotação]],0)</f>
        <v>1.7506973707638436E-2</v>
      </c>
      <c r="AK62" s="18">
        <f>((1+Tabela3[[#This Row],[% Yield]])^(1/(3*Tabela3[[#This Row],[Ref]])))^(12)-1</f>
        <v>2.3410478354514375E-2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20.3</v>
      </c>
      <c r="AP62" s="7">
        <f>SUMPRODUCT(N(Tabela176[Código]=Tabela3[[#This Row],[PAPEL]]),Tabela176[Fechamento])</f>
        <v>0</v>
      </c>
    </row>
    <row r="63" spans="1:42" hidden="1">
      <c r="A63" s="4" t="s">
        <v>734</v>
      </c>
      <c r="B63" s="65" t="s">
        <v>735</v>
      </c>
      <c r="C63" s="15" t="str">
        <f>LEFT([PAPEL],LEN([PAPEL])-(LEN([PAPEL])-4))</f>
        <v>CCXC</v>
      </c>
      <c r="D63" s="15">
        <v>3</v>
      </c>
      <c r="E63" s="6">
        <v>742186771.17999995</v>
      </c>
      <c r="F63" s="8">
        <v>170122934</v>
      </c>
      <c r="G63" s="106">
        <v>0.25</v>
      </c>
      <c r="H63" s="15"/>
      <c r="I63" s="19"/>
      <c r="J63" s="19"/>
      <c r="K63" s="108"/>
      <c r="L63" s="108"/>
      <c r="M63" s="114">
        <v>740069000</v>
      </c>
      <c r="N63" s="115">
        <v>-15716000</v>
      </c>
      <c r="O63" s="13">
        <f>Tabela3[[#This Row],[Capital Social]]*20%</f>
        <v>148437354.236</v>
      </c>
      <c r="P63" s="13">
        <f>IF(([Lucro Líquido]*5%)&gt;[Teto R. Legal],[Teto R. Legal],[Lucro Líquido]*5%)</f>
        <v>-785800</v>
      </c>
      <c r="Q63" s="13">
        <f>IF([Lucro Líquido]&lt;0,0,[Lucro Líquido]-[Reserva Legal])</f>
        <v>0</v>
      </c>
      <c r="R63" s="13">
        <f>Tabela3[[#This Row],[Lucro Distribuir]]*[%Div]</f>
        <v>0</v>
      </c>
      <c r="S63" s="57">
        <f>SUMPRODUCT(N([Nome]=Tabela3[[#This Row],[Nome]]),[Ações])</f>
        <v>170122934</v>
      </c>
      <c r="T63" s="6">
        <f>[Capital Social]/[Total Ações]</f>
        <v>4.3626497246984934</v>
      </c>
      <c r="U63" s="96">
        <f>Tabela3[[#This Row],[Lucro Líquido]]/Tabela3[[#This Row],[Total Ações]]</f>
        <v>-9.2380254857349214E-2</v>
      </c>
      <c r="V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13">
        <f>[Div Base]*[Ações]</f>
        <v>0</v>
      </c>
      <c r="AA63" s="13">
        <f>SUMPRODUCT(N([Nome]=Tabela3[[#This Row],[Nome]]),[Div Base]*[Ações])</f>
        <v>0</v>
      </c>
      <c r="AB63" s="113">
        <f>[Patrimônio Líquido]/[Total Ações]</f>
        <v>4.3502012491743178</v>
      </c>
      <c r="AC63" s="49">
        <f>MAX(Tabela3[[#This Row],[Cotação 1]:[Cotação 3]])</f>
        <v>1.17</v>
      </c>
      <c r="AD63" s="45">
        <f>[Cotação]/[VPA]</f>
        <v>0.26895307434847288</v>
      </c>
      <c r="AE63" s="41">
        <f>IF(Tabela3[[#This Row],[Lucro/Ação]]&gt;0,Tabela3[[#This Row],[Cotação]]/(Tabela3[[#This Row],[Lucro/Ação]]/[Ref]*4),0)</f>
        <v>0</v>
      </c>
      <c r="AF63" s="109">
        <f>IF([Div. Mínimo]=0,0,[Lucro Distribuir]*#REF!/[Total Ações])</f>
        <v>0</v>
      </c>
      <c r="AG63" s="96">
        <f>[Lucro Distribuir]/[Total Ações]</f>
        <v>0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4" t="str">
        <f>IF(AND([% A.A.]&gt;=8%,SUMPRODUCT(N([Nome]=Tabela3[[#This Row],[Nome]]),[PL])&gt;0),"Sim","Não")</f>
        <v>Não</v>
      </c>
      <c r="AJ63" s="43">
        <f>IF([Cotação]&gt;0,Tabela3[[#This Row],[Lucro]]/Tabela3[[#This Row],[Cotação]],0)</f>
        <v>0</v>
      </c>
      <c r="AK63" s="43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200</v>
      </c>
      <c r="AM63" s="17">
        <f>Tabela3[[#This Row],[Ativos]]*[Lucro]</f>
        <v>0</v>
      </c>
      <c r="AN63" s="17">
        <f>SUMPRODUCT(N(Tabela1[Código]=Tabela3[[#This Row],[PAPEL]]),Tabela1[Fechamento])</f>
        <v>0</v>
      </c>
      <c r="AO63" s="17">
        <f>SUMPRODUCT(N(Tabela17[Código]=Tabela3[[#This Row],[PAPEL]]),Tabela17[Fechamento])</f>
        <v>0</v>
      </c>
      <c r="AP63" s="17">
        <f>SUMPRODUCT(N(Tabela176[Código]=Tabela3[[#This Row],[PAPEL]]),Tabela176[Fechamento])</f>
        <v>1.17</v>
      </c>
    </row>
    <row r="64" spans="1:42" hidden="1">
      <c r="A64" s="4" t="s">
        <v>12</v>
      </c>
      <c r="B64" s="65" t="s">
        <v>94</v>
      </c>
      <c r="C64" s="14" t="str">
        <f>LEFT([PAPEL],LEN([PAPEL])-(LEN([PAPEL])-4))</f>
        <v>CEBR</v>
      </c>
      <c r="D64" s="15">
        <v>3</v>
      </c>
      <c r="E64" s="6">
        <v>342056165.62</v>
      </c>
      <c r="F64" s="8">
        <v>4576432</v>
      </c>
      <c r="G64" s="100">
        <v>0.25</v>
      </c>
      <c r="H64" s="15"/>
      <c r="I64" s="19"/>
      <c r="J64" s="19"/>
      <c r="K64" s="108"/>
      <c r="L64" s="108"/>
      <c r="M64" s="110">
        <v>465994000</v>
      </c>
      <c r="N64" s="110">
        <v>17904000</v>
      </c>
      <c r="O64" s="6">
        <f>Tabela3[[#This Row],[Capital Social]]*20%</f>
        <v>68411233.123999998</v>
      </c>
      <c r="P64" s="6">
        <f>IF(([Lucro Líquido]*5%)&gt;[Teto R. Legal],[Teto R. Legal],[Lucro Líquido]*5%)</f>
        <v>895200</v>
      </c>
      <c r="Q64" s="110">
        <f>IF([Lucro Líquido]&lt;0,0,[Lucro Líquido]-[Reserva Legal])</f>
        <v>17008800</v>
      </c>
      <c r="R64" s="110">
        <f>Tabela3[[#This Row],[Lucro Distribuir]]*[%Div]</f>
        <v>4252200</v>
      </c>
      <c r="S64" s="57">
        <f>SUMPRODUCT(N([Nome]=Tabela3[[#This Row],[Nome]]),[Ações])</f>
        <v>9183458</v>
      </c>
      <c r="T64" s="6">
        <f>[Capital Social]/[Total Ações]</f>
        <v>37.246989709105222</v>
      </c>
      <c r="U64" s="96">
        <f>Tabela3[[#This Row],[Lucro Líquido]]/Tabela3[[#This Row],[Total Ações]]</f>
        <v>1.9495924084369962</v>
      </c>
      <c r="V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4" s="6">
        <f>[Div Base]*[Ações]</f>
        <v>0</v>
      </c>
      <c r="AA64" s="6">
        <f>SUMPRODUCT(N([Nome]=Tabela3[[#This Row],[Nome]]),[Div Base]*[Ações])</f>
        <v>4890537.1982034566</v>
      </c>
      <c r="AB64" s="110">
        <f>[Patrimônio Líquido]/[Total Ações]</f>
        <v>50.742759426786726</v>
      </c>
      <c r="AC64" s="49">
        <f>MAX(Tabela3[[#This Row],[Cotação 1]:[Cotação 3]])</f>
        <v>17.190000000000001</v>
      </c>
      <c r="AD64" s="45">
        <f>[Cotação]/[VPA]</f>
        <v>0.33876754426022659</v>
      </c>
      <c r="AE64" s="41">
        <f>IF(Tabela3[[#This Row],[Lucro/Ação]]&gt;0,Tabela3[[#This Row],[Cotação]]/(Tabela3[[#This Row],[Lucro/Ação]]/[Ref]*4),0)</f>
        <v>6.6129207029155497</v>
      </c>
      <c r="AF64" s="41" t="e">
        <f>IF([Div. Mínimo]=0,0,[Lucro Distribuir]*#REF!/[Total Ações])</f>
        <v>#REF!</v>
      </c>
      <c r="AG64" s="96">
        <f>[Lucro Distribuir]/[Total Ações]</f>
        <v>1.8521127880151464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4" s="15" t="str">
        <f>IF(AND([% A.A.]&gt;=8%,SUMPRODUCT(N([Nome]=Tabela3[[#This Row],[Nome]]),[PL])&gt;0),"Sim","Não")</f>
        <v>Não</v>
      </c>
      <c r="AJ64" s="43">
        <f>IF([Cotação]&gt;0,Tabela3[[#This Row],[Lucro]]/Tabela3[[#This Row],[Cotação]],0)</f>
        <v>0</v>
      </c>
      <c r="AK64" s="19">
        <f>((1+Tabela3[[#This Row],[% Yield]])^(1/(3*Tabela3[[#This Row],[Ref]])))^(12)-1</f>
        <v>0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17.190000000000001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>
      <c r="A65" s="4" t="s">
        <v>12</v>
      </c>
      <c r="B65" s="65" t="s">
        <v>95</v>
      </c>
      <c r="C65" s="14" t="str">
        <f>LEFT([PAPEL],LEN([PAPEL])-(LEN([PAPEL])-4))</f>
        <v>CEBR</v>
      </c>
      <c r="D65" s="15">
        <v>3</v>
      </c>
      <c r="E65" s="6">
        <v>342056165.62</v>
      </c>
      <c r="F65" s="8">
        <v>1313002</v>
      </c>
      <c r="G65" s="106">
        <v>0.25</v>
      </c>
      <c r="H65" s="15"/>
      <c r="I65" s="19">
        <v>0.1</v>
      </c>
      <c r="J65" s="19"/>
      <c r="K65" s="108"/>
      <c r="L65" s="108"/>
      <c r="M65" s="110">
        <v>465994000</v>
      </c>
      <c r="N65" s="110">
        <v>17904000</v>
      </c>
      <c r="O65" s="6">
        <f>Tabela3[[#This Row],[Capital Social]]*20%</f>
        <v>68411233.123999998</v>
      </c>
      <c r="P65" s="6">
        <f>IF(([Lucro Líquido]*5%)&gt;[Teto R. Legal],[Teto R. Legal],[Lucro Líquido]*5%)</f>
        <v>895200</v>
      </c>
      <c r="Q65" s="110">
        <f>IF([Lucro Líquido]&lt;0,0,[Lucro Líquido]-[Reserva Legal])</f>
        <v>17008800</v>
      </c>
      <c r="R65" s="110">
        <f>Tabela3[[#This Row],[Lucro Distribuir]]*[%Div]</f>
        <v>4252200</v>
      </c>
      <c r="S65" s="57">
        <f>SUMPRODUCT(N([Nome]=Tabela3[[#This Row],[Nome]]),[Ações])</f>
        <v>9183458</v>
      </c>
      <c r="T65" s="6">
        <f>[Capital Social]/[Total Ações]</f>
        <v>37.246989709105222</v>
      </c>
      <c r="U65" s="96">
        <f>Tabela3[[#This Row],[Lucro Líquido]]/Tabela3[[#This Row],[Total Ações]]</f>
        <v>1.9495924084369962</v>
      </c>
      <c r="V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65" s="6">
        <f>[Div Base]*[Ações]</f>
        <v>4890537.1982034566</v>
      </c>
      <c r="AA65" s="6">
        <f>SUMPRODUCT(N([Nome]=Tabela3[[#This Row],[Nome]]),[Div Base]*[Ações])</f>
        <v>4890537.1982034566</v>
      </c>
      <c r="AB65" s="110">
        <f>[Patrimônio Líquido]/[Total Ações]</f>
        <v>50.742759426786726</v>
      </c>
      <c r="AC65" s="49">
        <f>MAX(Tabela3[[#This Row],[Cotação 1]:[Cotação 3]])</f>
        <v>27</v>
      </c>
      <c r="AD65" s="45">
        <f>[Cotação]/[VPA]</f>
        <v>0.5320956192569003</v>
      </c>
      <c r="AE65" s="41">
        <f>IF(Tabela3[[#This Row],[Lucro/Ação]]&gt;0,Tabela3[[#This Row],[Cotação]]/(Tabela3[[#This Row],[Lucro/Ação]]/[Ref]*4),0)</f>
        <v>10.386786444369973</v>
      </c>
      <c r="AF65" s="93" t="e">
        <f>IF([Div. Mínimo]=0,0,[Lucro Distribuir]*#REF!/[Total Ações])</f>
        <v>#REF!</v>
      </c>
      <c r="AG65" s="96">
        <f>[Lucro Distribuir]/[Total Ações]</f>
        <v>1.8521127880151464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65" s="15" t="str">
        <f>IF(AND([% A.A.]&gt;=8%,SUMPRODUCT(N([Nome]=Tabela3[[#This Row],[Nome]]),[PL])&gt;0),"Sim","Não")</f>
        <v>Sim</v>
      </c>
      <c r="AJ65" s="43">
        <f>IF([Cotação]&gt;0,Tabela3[[#This Row],[Lucro]]/Tabela3[[#This Row],[Cotação]],0)</f>
        <v>0.13795181373742674</v>
      </c>
      <c r="AK65" s="19">
        <f>((1+Tabela3[[#This Row],[% Yield]])^(1/(3*Tabela3[[#This Row],[Ref]])))^(12)-1</f>
        <v>0.18804209739133682</v>
      </c>
      <c r="AL65" s="14">
        <f>IF([Cotação]&gt;0,($AR$1/Tabela3[[#This Row],[Cotação]]-MOD($AR$1/Tabela3[[#This Row],[Cotação]],100)),)</f>
        <v>0</v>
      </c>
      <c r="AM65" s="17">
        <f>Tabela3[[#This Row],[Ativos]]*[Lucro]</f>
        <v>0</v>
      </c>
      <c r="AN65" s="5">
        <f>SUMPRODUCT(N(Tabela1[Código]=Tabela3[[#This Row],[PAPEL]]),Tabela1[Fechamento])</f>
        <v>27</v>
      </c>
      <c r="AO65" s="5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69</v>
      </c>
      <c r="C66" s="14" t="str">
        <f>LEFT([PAPEL],LEN([PAPEL])-(LEN([PAPEL])-4))</f>
        <v>CEBR</v>
      </c>
      <c r="D66" s="15">
        <v>3</v>
      </c>
      <c r="E66" s="6">
        <v>342056165.62</v>
      </c>
      <c r="F66" s="8">
        <v>3294024</v>
      </c>
      <c r="G66" s="100">
        <v>0.25</v>
      </c>
      <c r="H66" s="19"/>
      <c r="I66" s="19"/>
      <c r="J66" s="19"/>
      <c r="K66" s="108"/>
      <c r="L66" s="108"/>
      <c r="M66" s="110">
        <v>465994000</v>
      </c>
      <c r="N66" s="110">
        <v>17904000</v>
      </c>
      <c r="O66" s="6">
        <f>Tabela3[[#This Row],[Capital Social]]*20%</f>
        <v>68411233.123999998</v>
      </c>
      <c r="P66" s="6">
        <f>IF(([Lucro Líquido]*5%)&gt;[Teto R. Legal],[Teto R. Legal],[Lucro Líquido]*5%)</f>
        <v>895200</v>
      </c>
      <c r="Q66" s="110">
        <f>IF([Lucro Líquido]&lt;0,0,[Lucro Líquido]-[Reserva Legal])</f>
        <v>17008800</v>
      </c>
      <c r="R66" s="110">
        <f>Tabela3[[#This Row],[Lucro Distribuir]]*[%Div]</f>
        <v>4252200</v>
      </c>
      <c r="S66" s="57">
        <f>SUMPRODUCT(N([Nome]=Tabela3[[#This Row],[Nome]]),[Ações])</f>
        <v>9183458</v>
      </c>
      <c r="T66" s="6">
        <f>[Capital Social]/[Total Ações]</f>
        <v>37.246989709105222</v>
      </c>
      <c r="U66" s="96">
        <f>Tabela3[[#This Row],[Lucro Líquido]]/Tabela3[[#This Row],[Total Ações]]</f>
        <v>1.9495924084369962</v>
      </c>
      <c r="V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6" s="6">
        <f>[Div Base]*[Ações]</f>
        <v>0</v>
      </c>
      <c r="AA66" s="6">
        <f>SUMPRODUCT(N([Nome]=Tabela3[[#This Row],[Nome]]),[Div Base]*[Ações])</f>
        <v>4890537.1982034566</v>
      </c>
      <c r="AB66" s="110">
        <f>[Patrimônio Líquido]/[Total Ações]</f>
        <v>50.742759426786726</v>
      </c>
      <c r="AC66" s="49">
        <f>MAX(Tabela3[[#This Row],[Cotação 1]:[Cotação 3]])</f>
        <v>17.079999999999998</v>
      </c>
      <c r="AD66" s="45">
        <f>[Cotação]/[VPA]</f>
        <v>0.33659974729288356</v>
      </c>
      <c r="AE66" s="41">
        <f>IF(Tabela3[[#This Row],[Lucro/Ação]]&gt;0,Tabela3[[#This Row],[Cotação]]/(Tabela3[[#This Row],[Lucro/Ação]]/[Ref]*4),0)</f>
        <v>6.5706041655495975</v>
      </c>
      <c r="AF66" s="93" t="e">
        <f>IF([Div. Mínimo]=0,0,[Lucro Distribuir]*#REF!/[Total Ações])</f>
        <v>#REF!</v>
      </c>
      <c r="AG66" s="96">
        <f>[Lucro Distribuir]/[Total Ações]</f>
        <v>1.8521127880151464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6" s="14" t="str">
        <f>IF(AND([% A.A.]&gt;=8%,SUMPRODUCT(N([Nome]=Tabela3[[#This Row],[Nome]]),[PL])&gt;0),"Sim","Não")</f>
        <v>Não</v>
      </c>
      <c r="AJ66" s="43">
        <f>IF([Cotação]&gt;0,Tabela3[[#This Row],[Lucro]]/Tabela3[[#This Row],[Cotação]],0)</f>
        <v>0</v>
      </c>
      <c r="AK66" s="19">
        <f>((1+Tabela3[[#This Row],[% Yield]])^(1/(3*Tabela3[[#This Row],[Ref]])))^(12)-1</f>
        <v>0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17.079999999999998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92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109304516</v>
      </c>
      <c r="G67" s="106">
        <v>0.25</v>
      </c>
      <c r="H67" s="15"/>
      <c r="I67" s="19"/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58010272.134157814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31</v>
      </c>
      <c r="AD67" s="45">
        <f>[Cotação]/[VPA]</f>
        <v>2.0994595704050751</v>
      </c>
      <c r="AE67" s="41">
        <f>IF(Tabela3[[#This Row],[Lucro/Ação]]&gt;0,Tabela3[[#This Row],[Cotação]]/(Tabela3[[#This Row],[Lucro/Ação]]/[Ref]*4),0)</f>
        <v>10.080743001281082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A.A.]&gt;=8%,SUMPRODUCT(N([Nome]=Tabela3[[#This Row],[Nome]]),[PL])&gt;0),"Sim","Não")</f>
        <v>Não</v>
      </c>
      <c r="AJ67" s="43">
        <f>IF([Cotação]&gt;0,Tabela3[[#This Row],[Lucro]]/Tabela3[[#This Row],[Cotação]],0)</f>
        <v>1.7120052945496459E-2</v>
      </c>
      <c r="AK67" s="19">
        <f>((1+Tabela3[[#This Row],[% Yield]])^(1/(3*Tabela3[[#This Row],[Ref]])))^(12)-1</f>
        <v>2.2891623710324271E-2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31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93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19557556</v>
      </c>
      <c r="G68" s="100">
        <v>0.25</v>
      </c>
      <c r="H68" s="15"/>
      <c r="I68" s="19">
        <v>0.1</v>
      </c>
      <c r="J68" s="19"/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8" s="6">
        <f>[Div Base]*[Ações]</f>
        <v>10379618.22033987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32.01</v>
      </c>
      <c r="AD68" s="45">
        <f>[Cotação]/[VPA]</f>
        <v>2.1678613176989177</v>
      </c>
      <c r="AE68" s="41">
        <f>IF(Tabela3[[#This Row],[Lucro/Ação]]&gt;0,Tabela3[[#This Row],[Cotação]]/(Tabela3[[#This Row],[Lucro/Ação]]/[Ref]*4),0)</f>
        <v>10.409180111967981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8" s="15" t="str">
        <f>IF(AND([% A.A.]&gt;=8%,SUMPRODUCT(N([Nome]=Tabela3[[#This Row],[Nome]]),[PL])&gt;0),"Sim","Não")</f>
        <v>Não</v>
      </c>
      <c r="AJ68" s="43">
        <f>IF([Cotação]&gt;0,Tabela3[[#This Row],[Lucro]]/Tabela3[[#This Row],[Cotação]],0)</f>
        <v>1.6579870081549212E-2</v>
      </c>
      <c r="AK68" s="19">
        <f>((1+Tabela3[[#This Row],[% Yield]])^(1/(3*Tabela3[[#This Row],[Ref]])))^(12)-1</f>
        <v>2.2167357044462044E-2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32.01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539</v>
      </c>
      <c r="C69" s="14" t="str">
        <f>LEFT([PAPEL],LEN([PAPEL])-(LEN([PAPEL])-4))</f>
        <v>CEEB</v>
      </c>
      <c r="D69" s="15">
        <v>3</v>
      </c>
      <c r="E69" s="6">
        <v>542163250.52999997</v>
      </c>
      <c r="F69" s="8">
        <v>59315266</v>
      </c>
      <c r="G69" s="100">
        <v>0.25</v>
      </c>
      <c r="H69" s="15"/>
      <c r="I69" s="19"/>
      <c r="J69" s="19">
        <v>0.1</v>
      </c>
      <c r="K69" s="108"/>
      <c r="L69" s="108"/>
      <c r="M69" s="110">
        <v>2778571000</v>
      </c>
      <c r="N69" s="110">
        <v>434008000</v>
      </c>
      <c r="O69" s="6">
        <f>Tabela3[[#This Row],[Capital Social]]*20%</f>
        <v>108432650.10600001</v>
      </c>
      <c r="P69" s="6">
        <f>IF(([Lucro Líquido]*5%)&gt;[Teto R. Legal],[Teto R. Legal],[Lucro Líquido]*5%)</f>
        <v>21700400</v>
      </c>
      <c r="Q69" s="110">
        <f>IF([Lucro Líquido]&lt;0,0,[Lucro Líquido]-[Reserva Legal])</f>
        <v>412307600</v>
      </c>
      <c r="R69" s="110">
        <f>Tabela3[[#This Row],[Lucro Distribuir]]*[%Div]</f>
        <v>103076900</v>
      </c>
      <c r="S69" s="57">
        <f>SUMPRODUCT(N([Nome]=Tabela3[[#This Row],[Nome]]),[Ações])</f>
        <v>188177338</v>
      </c>
      <c r="T69" s="6">
        <f>[Capital Social]/[Total Ações]</f>
        <v>2.8811293447566997</v>
      </c>
      <c r="U69" s="96">
        <f>Tabela3[[#This Row],[Lucro Líquido]]/Tabela3[[#This Row],[Total Ações]]</f>
        <v>2.3063776149283184</v>
      </c>
      <c r="V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9" s="6">
        <f>[Div Base]*[Ações]</f>
        <v>34627884.9063472</v>
      </c>
      <c r="AA69" s="6">
        <f>SUMPRODUCT(N([Nome]=Tabela3[[#This Row],[Nome]]),[Div Base]*[Ações])</f>
        <v>103017775.26084489</v>
      </c>
      <c r="AB69" s="110">
        <f>[Patrimônio Líquido]/[Total Ações]</f>
        <v>14.765704677999006</v>
      </c>
      <c r="AC69" s="49">
        <f>MAX(Tabela3[[#This Row],[Cotação 1]:[Cotação 3]])</f>
        <v>0</v>
      </c>
      <c r="AD69" s="45">
        <f>[Cotação]/[VPA]</f>
        <v>0</v>
      </c>
      <c r="AE69" s="41">
        <f>IF(Tabela3[[#This Row],[Lucro/Ação]]&gt;0,Tabela3[[#This Row],[Cotação]]/(Tabela3[[#This Row],[Lucro/Ação]]/[Ref]*4),0)</f>
        <v>0</v>
      </c>
      <c r="AF69" s="41" t="e">
        <f>IF([Div. Mínimo]=0,0,[Lucro Distribuir]*#REF!/[Total Ações])</f>
        <v>#REF!</v>
      </c>
      <c r="AG69" s="96">
        <f>[Lucro Distribuir]/[Total Ações]</f>
        <v>2.1910587341819023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9" s="15" t="str">
        <f>IF(AND([% A.A.]&gt;=8%,SUMPRODUCT(N([Nome]=Tabela3[[#This Row],[Nome]]),[PL])&gt;0),"Sim","Não")</f>
        <v>Não</v>
      </c>
      <c r="AJ69" s="43">
        <f>IF([Cotação]&gt;0,Tabela3[[#This Row],[Lucro]]/Tabela3[[#This Row],[Cotação]],0)</f>
        <v>0</v>
      </c>
      <c r="AK69" s="19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0</v>
      </c>
      <c r="AM69" s="17">
        <f>Tabela3[[#This Row],[Ativos]]*[Lucro]</f>
        <v>0</v>
      </c>
      <c r="AN69" s="5">
        <f>SUMPRODUCT(N(Tabela1[Código]=Tabela3[[#This Row],[PAPEL]]),Tabela1[Fechamento])</f>
        <v>0</v>
      </c>
      <c r="AO69" s="5">
        <f>SUMPRODUCT(N(Tabela17[Código]=Tabela3[[#This Row],[PAPEL]]),Tabela17[Fechamento])</f>
        <v>0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550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380669270</v>
      </c>
      <c r="G70" s="106">
        <v>0.5</v>
      </c>
      <c r="H70" s="15"/>
      <c r="I70" s="19"/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0" s="13">
        <f>[Div Base]*[Ações]</f>
        <v>0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</v>
      </c>
      <c r="AD70" s="45">
        <f>[Cotação]/[VPA]</f>
        <v>0.8884882362389005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0" s="14" t="str">
        <f>IF(AND([% A.A.]&gt;=8%,SUMPRODUCT(N([Nome]=Tabela3[[#This Row],[Nome]]),[PL])&gt;0),"Sim","Não")</f>
        <v>Não</v>
      </c>
      <c r="AJ70" s="43">
        <f>IF([Cotação]&gt;0,Tabela3[[#This Row],[Lucro]]/Tabela3[[#This Row],[Cotação]],0)</f>
        <v>0</v>
      </c>
      <c r="AK70" s="43">
        <f>((1+Tabela3[[#This Row],[% Yield]])^(1/(3*Tabela3[[#This Row],[Ref]])))^(12)-1</f>
        <v>0</v>
      </c>
      <c r="AL70" s="14">
        <f>IF([Cotação]&gt;0,($AR$1/Tabela3[[#This Row],[Cotação]]-MOD($AR$1/Tabela3[[#This Row],[Cotação]],100)),)</f>
        <v>300</v>
      </c>
      <c r="AM70" s="17">
        <f>Tabela3[[#This Row],[Ativos]]*[Lucro]</f>
        <v>0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</v>
      </c>
      <c r="AP70" s="7">
        <f>SUMPRODUCT(N(Tabela176[Código]=Tabela3[[#This Row],[PAPEL]]),Tabela176[Fechamento])</f>
        <v>0</v>
      </c>
    </row>
    <row r="71" spans="1:42" hidden="1">
      <c r="A71" s="4" t="s">
        <v>12</v>
      </c>
      <c r="B71" s="65" t="s">
        <v>551</v>
      </c>
      <c r="C71" s="15" t="str">
        <f>LEFT([PAPEL],LEN([PAPEL])-(LEN([PAPEL])-4))</f>
        <v>CEED</v>
      </c>
      <c r="D71" s="15">
        <v>3</v>
      </c>
      <c r="E71" s="6">
        <v>23702962.149999999</v>
      </c>
      <c r="F71" s="8">
        <v>6560558</v>
      </c>
      <c r="G71" s="106">
        <v>0.5</v>
      </c>
      <c r="H71" s="15"/>
      <c r="I71" s="19">
        <v>0.1</v>
      </c>
      <c r="J71" s="19"/>
      <c r="K71" s="108"/>
      <c r="L71" s="108"/>
      <c r="M71" s="114">
        <v>435830000</v>
      </c>
      <c r="N71" s="115">
        <v>-212063000</v>
      </c>
      <c r="O71" s="13">
        <f>Tabela3[[#This Row],[Capital Social]]*20%</f>
        <v>4740592.43</v>
      </c>
      <c r="P71" s="13">
        <f>IF(([Lucro Líquido]*5%)&gt;[Teto R. Legal],[Teto R. Legal],[Lucro Líquido]*5%)</f>
        <v>-10603150</v>
      </c>
      <c r="Q71" s="13">
        <f>IF([Lucro Líquido]&lt;0,0,[Lucro Líquido]-[Reserva Legal])</f>
        <v>0</v>
      </c>
      <c r="R71" s="13">
        <f>Tabela3[[#This Row],[Lucro Distribuir]]*[%Div]</f>
        <v>0</v>
      </c>
      <c r="S71" s="57">
        <f>SUMPRODUCT(N([Nome]=Tabela3[[#This Row],[Nome]]),[Ações])</f>
        <v>387229828</v>
      </c>
      <c r="T71" s="6">
        <f>[Capital Social]/[Total Ações]</f>
        <v>6.1211612422584341E-2</v>
      </c>
      <c r="U71" s="96">
        <f>Tabela3[[#This Row],[Lucro Líquido]]/Tabela3[[#This Row],[Total Ações]]</f>
        <v>-0.54764118016239183</v>
      </c>
      <c r="V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1" s="13">
        <f>[Div Base]*[Ações]</f>
        <v>40158.23335718851</v>
      </c>
      <c r="AA71" s="13">
        <f>SUMPRODUCT(N([Nome]=Tabela3[[#This Row],[Nome]]),[Div Base]*[Ações])</f>
        <v>40158.23335718851</v>
      </c>
      <c r="AB71" s="113">
        <f>[Patrimônio Líquido]/[Total Ações]</f>
        <v>1.1255073046697219</v>
      </c>
      <c r="AC71" s="49">
        <f>MAX(Tabela3[[#This Row],[Cotação 1]:[Cotação 3]])</f>
        <v>1.6</v>
      </c>
      <c r="AD71" s="45">
        <f>[Cotação]/[VPA]</f>
        <v>1.4215811779822407</v>
      </c>
      <c r="AE71" s="41">
        <f>IF(Tabela3[[#This Row],[Lucro/Ação]]&gt;0,Tabela3[[#This Row],[Cotação]]/(Tabela3[[#This Row],[Lucro/Ação]]/[Ref]*4),0)</f>
        <v>0</v>
      </c>
      <c r="AF71" s="109">
        <f>IF([Div. Mínimo]=0,0,[Lucro Distribuir]*#REF!/[Total Ações])</f>
        <v>0</v>
      </c>
      <c r="AG71" s="96">
        <f>[Lucro Distribuir]/[Total Ações]</f>
        <v>0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1" s="14" t="str">
        <f>IF(AND([% A.A.]&gt;=8%,SUMPRODUCT(N([Nome]=Tabela3[[#This Row],[Nome]]),[PL])&gt;0),"Sim","Não")</f>
        <v>Não</v>
      </c>
      <c r="AJ71" s="43">
        <f>IF([Cotação]&gt;0,Tabela3[[#This Row],[Lucro]]/Tabela3[[#This Row],[Cotação]],0)</f>
        <v>3.8257257764115213E-3</v>
      </c>
      <c r="AK71" s="43">
        <f>((1+Tabela3[[#This Row],[% Yield]])^(1/(3*Tabela3[[#This Row],[Ref]])))^(12)-1</f>
        <v>5.1042174250828243E-3</v>
      </c>
      <c r="AL71" s="14">
        <f>IF([Cotação]&gt;0,($AR$1/Tabela3[[#This Row],[Cotação]]-MOD($AR$1/Tabela3[[#This Row],[Cotação]],100)),)</f>
        <v>100</v>
      </c>
      <c r="AM71" s="17">
        <f>Tabela3[[#This Row],[Ativos]]*[Lucro]</f>
        <v>0.61211612422584349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1.6</v>
      </c>
      <c r="AP71" s="7">
        <f>SUMPRODUCT(N(Tabela176[Código]=Tabela3[[#This Row],[PAPEL]]),Tabela176[Fechamento])</f>
        <v>0</v>
      </c>
    </row>
    <row r="72" spans="1:42" hidden="1">
      <c r="A72" s="4" t="s">
        <v>581</v>
      </c>
      <c r="B72" s="65" t="s">
        <v>586</v>
      </c>
      <c r="C72" s="15" t="str">
        <f>LEFT([PAPEL],LEN([PAPEL])-(LEN([PAPEL])-4))</f>
        <v>CEGR</v>
      </c>
      <c r="D72" s="15">
        <v>3</v>
      </c>
      <c r="E72" s="6">
        <v>362342011.75999999</v>
      </c>
      <c r="F72" s="8">
        <v>51927546</v>
      </c>
      <c r="G72" s="106">
        <v>0.25</v>
      </c>
      <c r="H72" s="15"/>
      <c r="I72" s="19"/>
      <c r="J72" s="19"/>
      <c r="K72" s="108"/>
      <c r="L72" s="108"/>
      <c r="M72" s="114">
        <v>922580000</v>
      </c>
      <c r="N72" s="115">
        <v>252179000</v>
      </c>
      <c r="O72" s="13">
        <f>Tabela3[[#This Row],[Capital Social]]*20%</f>
        <v>72468402.351999998</v>
      </c>
      <c r="P72" s="13">
        <f>IF(([Lucro Líquido]*5%)&gt;[Teto R. Legal],[Teto R. Legal],[Lucro Líquido]*5%)</f>
        <v>12608950</v>
      </c>
      <c r="Q72" s="13">
        <f>IF([Lucro Líquido]&lt;0,0,[Lucro Líquido]-[Reserva Legal])</f>
        <v>239570050</v>
      </c>
      <c r="R72" s="13">
        <f>Tabela3[[#This Row],[Lucro Distribuir]]*[%Div]</f>
        <v>59892512.5</v>
      </c>
      <c r="S72" s="57">
        <f>SUMPRODUCT(N([Nome]=Tabela3[[#This Row],[Nome]]),[Ações])</f>
        <v>51927546</v>
      </c>
      <c r="T72" s="6">
        <f>[Capital Social]/[Total Ações]</f>
        <v>6.9778381547242763</v>
      </c>
      <c r="U72" s="96">
        <f>Tabela3[[#This Row],[Lucro Líquido]]/Tabela3[[#This Row],[Total Ações]]</f>
        <v>4.8563627482030443</v>
      </c>
      <c r="V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2" s="13">
        <f>[Div Base]*[Ações]</f>
        <v>59892512.5</v>
      </c>
      <c r="AA72" s="13">
        <f>SUMPRODUCT(N([Nome]=Tabela3[[#This Row],[Nome]]),[Div Base]*[Ações])</f>
        <v>59892512.5</v>
      </c>
      <c r="AB72" s="113">
        <f>[Patrimônio Líquido]/[Total Ações]</f>
        <v>17.766678209673149</v>
      </c>
      <c r="AC72" s="49">
        <f>MAX(Tabela3[[#This Row],[Cotação 1]:[Cotação 3]])</f>
        <v>90</v>
      </c>
      <c r="AD72" s="45">
        <f>[Cotação]/[VPA]</f>
        <v>5.0656627501138107</v>
      </c>
      <c r="AE72" s="41">
        <f>IF(Tabela3[[#This Row],[Lucro/Ação]]&gt;0,Tabela3[[#This Row],[Cotação]]/(Tabela3[[#This Row],[Lucro/Ação]]/[Ref]*4),0)</f>
        <v>13.899291197918938</v>
      </c>
      <c r="AF72" s="109" t="e">
        <f>IF([Div. Mínimo]=0,0,[Lucro Distribuir]*#REF!/[Total Ações])</f>
        <v>#REF!</v>
      </c>
      <c r="AG72" s="96">
        <f>[Lucro Distribuir]/[Total Ações]</f>
        <v>4.6135446107928919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2" s="14" t="str">
        <f>IF(AND([% A.A.]&gt;=8%,SUMPRODUCT(N([Nome]=Tabela3[[#This Row],[Nome]]),[PL])&gt;0),"Sim","Não")</f>
        <v>Não</v>
      </c>
      <c r="AJ72" s="43">
        <f>IF([Cotação]&gt;0,Tabela3[[#This Row],[Lucro]]/Tabela3[[#This Row],[Cotação]],0)</f>
        <v>1.2815401696646921E-2</v>
      </c>
      <c r="AK72" s="43">
        <f>((1+Tabela3[[#This Row],[% Yield]])^(1/(3*Tabela3[[#This Row],[Ref]])))^(12)-1</f>
        <v>1.7123595436225214E-2</v>
      </c>
      <c r="AL72" s="14">
        <f>IF([Cotação]&gt;0,($AR$1/Tabela3[[#This Row],[Cotação]]-MOD($AR$1/Tabela3[[#This Row],[Cotação]],100)),)</f>
        <v>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90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524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1902996369</v>
      </c>
      <c r="G73" s="100">
        <v>0.25</v>
      </c>
      <c r="H73" s="15"/>
      <c r="I73" s="19"/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3" s="13">
        <f>[Div Base]*[Ações]</f>
        <v>0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1.25</v>
      </c>
      <c r="AD73" s="45">
        <f>[Cotação]/[VPA]</f>
        <v>5.0214759157622941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3" s="14" t="str">
        <f>IF(AND([% A.A.]&gt;=8%,SUMPRODUCT(N([Nome]=Tabela3[[#This Row],[Nome]]),[PL])&gt;0),"Sim","Não")</f>
        <v>Não</v>
      </c>
      <c r="AJ73" s="43">
        <f>IF([Cotação]&gt;0,Tabela3[[#This Row],[Lucro]]/Tabela3[[#This Row],[Cotação]],0)</f>
        <v>0</v>
      </c>
      <c r="AK73" s="43">
        <f>((1+Tabela3[[#This Row],[% Yield]])^(1/(3*Tabela3[[#This Row],[Ref]])))^(12)-1</f>
        <v>0</v>
      </c>
      <c r="AL73" s="14">
        <f>IF([Cotação]&gt;0,($AR$1/Tabela3[[#This Row],[Cotação]]-MOD($AR$1/Tabela3[[#This Row],[Cotação]],100)),)</f>
        <v>200</v>
      </c>
      <c r="AM73" s="17">
        <f>Tabela3[[#This Row],[Ativos]]*[Lucro]</f>
        <v>0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1.25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525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2166816</v>
      </c>
      <c r="G74" s="100">
        <v>0.25</v>
      </c>
      <c r="H74" s="15"/>
      <c r="I74" s="19">
        <v>0.06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4" s="13">
        <f>[Div Base]*[Ações]</f>
        <v>63014.179766173576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1</v>
      </c>
      <c r="AD74" s="45">
        <f>[Cotação]/[VPA]</f>
        <v>4.0171807326098357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4" s="14" t="str">
        <f>IF(AND([% A.A.]&gt;=8%,SUMPRODUCT(N([Nome]=Tabela3[[#This Row],[Nome]]),[PL])&gt;0),"Sim","Não")</f>
        <v>Não</v>
      </c>
      <c r="AJ74" s="43">
        <f>IF([Cotação]&gt;0,Tabela3[[#This Row],[Lucro]]/Tabela3[[#This Row],[Cotação]],0)</f>
        <v>2.9081463200462603E-2</v>
      </c>
      <c r="AK74" s="43">
        <f>((1+Tabela3[[#This Row],[% Yield]])^(1/(3*Tabela3[[#This Row],[Ref]])))^(12)-1</f>
        <v>3.8962024520756255E-2</v>
      </c>
      <c r="AL74" s="14">
        <f>IF([Cotação]&gt;0,($AR$1/Tabela3[[#This Row],[Cotação]]-MOD($AR$1/Tabela3[[#This Row],[Cotação]],100)),)</f>
        <v>300</v>
      </c>
      <c r="AM74" s="17">
        <f>Tabela3[[#This Row],[Ativos]]*[Lucro]</f>
        <v>8.7244389601387802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1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526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1085373</v>
      </c>
      <c r="G75" s="100">
        <v>0.25</v>
      </c>
      <c r="H75" s="15"/>
      <c r="I75" s="19">
        <v>0.1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5" s="13">
        <f>[Div Base]*[Ações]</f>
        <v>52607.058263792838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0.75</v>
      </c>
      <c r="AD75" s="45">
        <f>[Cotação]/[VPA]</f>
        <v>3.0128855494573767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5" s="14" t="str">
        <f>IF(AND([% A.A.]&gt;=8%,SUMPRODUCT(N([Nome]=Tabela3[[#This Row],[Nome]]),[PL])&gt;0),"Sim","Não")</f>
        <v>Não</v>
      </c>
      <c r="AJ75" s="43">
        <f>IF([Cotação]&gt;0,Tabela3[[#This Row],[Lucro]]/Tabela3[[#This Row],[Cotação]],0)</f>
        <v>6.46254737788058E-2</v>
      </c>
      <c r="AK75" s="43">
        <f>((1+Tabela3[[#This Row],[% Yield]])^(1/(3*Tabela3[[#This Row],[Ref]])))^(12)-1</f>
        <v>8.7082417136864709E-2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19.387642133641737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0.75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527</v>
      </c>
      <c r="C76" s="15" t="str">
        <f>LEFT([PAPEL],LEN([PAPEL])-(LEN([PAPEL])-4))</f>
        <v>CELP</v>
      </c>
      <c r="D76" s="15">
        <v>3</v>
      </c>
      <c r="E76" s="6">
        <v>924523856.14999998</v>
      </c>
      <c r="F76" s="8">
        <v>1201249</v>
      </c>
      <c r="G76" s="100">
        <v>0.25</v>
      </c>
      <c r="H76" s="15"/>
      <c r="I76" s="19">
        <v>0.03</v>
      </c>
      <c r="J76" s="19"/>
      <c r="K76" s="108"/>
      <c r="L76" s="108"/>
      <c r="M76" s="114">
        <v>474823000</v>
      </c>
      <c r="N76" s="115">
        <v>-117999000</v>
      </c>
      <c r="O76" s="13">
        <f>Tabela3[[#This Row],[Capital Social]]*20%</f>
        <v>184904771.23000002</v>
      </c>
      <c r="P76" s="13">
        <f>IF(([Lucro Líquido]*5%)&gt;[Teto R. Legal],[Teto R. Legal],[Lucro Líquido]*5%)</f>
        <v>-5899950</v>
      </c>
      <c r="Q76" s="13">
        <f>IF([Lucro Líquido]&lt;0,0,[Lucro Líquido]-[Reserva Legal])</f>
        <v>0</v>
      </c>
      <c r="R76" s="13">
        <f>Tabela3[[#This Row],[Lucro Distribuir]]*[%Div]</f>
        <v>0</v>
      </c>
      <c r="S76" s="57">
        <f>SUMPRODUCT(N([Nome]=Tabela3[[#This Row],[Nome]]),[Ações])</f>
        <v>1907449807</v>
      </c>
      <c r="T76" s="6">
        <f>[Capital Social]/[Total Ações]</f>
        <v>0.4846910533410434</v>
      </c>
      <c r="U76" s="96">
        <f>Tabela3[[#This Row],[Lucro Líquido]]/Tabela3[[#This Row],[Total Ações]]</f>
        <v>-6.1862178269102938E-2</v>
      </c>
      <c r="V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6" s="13">
        <f>[Div Base]*[Ações]</f>
        <v>17467.039294046252</v>
      </c>
      <c r="AA76" s="13">
        <f>SUMPRODUCT(N([Nome]=Tabela3[[#This Row],[Nome]]),[Div Base]*[Ações])</f>
        <v>133088.27732401268</v>
      </c>
      <c r="AB76" s="113">
        <f>[Patrimônio Líquido]/[Total Ações]</f>
        <v>0.24893079663616019</v>
      </c>
      <c r="AC76" s="49">
        <f>MAX(Tabela3[[#This Row],[Cotação 1]:[Cotação 3]])</f>
        <v>0.49</v>
      </c>
      <c r="AD76" s="45">
        <f>[Cotação]/[VPA]</f>
        <v>1.9684185589788195</v>
      </c>
      <c r="AE76" s="41">
        <f>IF(Tabela3[[#This Row],[Lucro/Ação]]&gt;0,Tabela3[[#This Row],[Cotação]]/(Tabela3[[#This Row],[Lucro/Ação]]/[Ref]*4),0)</f>
        <v>0</v>
      </c>
      <c r="AF76" s="109">
        <f>IF([Div. Mínimo]=0,0,[Lucro Distribuir]*#REF!/[Total Ações])</f>
        <v>0</v>
      </c>
      <c r="AG76" s="96">
        <f>[Lucro Distribuir]/[Total Ações]</f>
        <v>0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6" s="14" t="str">
        <f>IF(AND([% A.A.]&gt;=8%,SUMPRODUCT(N([Nome]=Tabela3[[#This Row],[Nome]]),[PL])&gt;0),"Sim","Não")</f>
        <v>Não</v>
      </c>
      <c r="AJ76" s="43">
        <f>IF([Cotação]&gt;0,Tabela3[[#This Row],[Lucro]]/Tabela3[[#This Row],[Cotação]],0)</f>
        <v>2.9674962449451635E-2</v>
      </c>
      <c r="AK76" s="43">
        <f>((1+Tabela3[[#This Row],[% Yield]])^(1/(3*Tabela3[[#This Row],[Ref]])))^(12)-1</f>
        <v>3.9761031488032561E-2</v>
      </c>
      <c r="AL76" s="14">
        <f>IF([Cotação]&gt;0,($AR$1/Tabela3[[#This Row],[Cotação]]-MOD($AR$1/Tabela3[[#This Row],[Cotação]],100)),)</f>
        <v>600</v>
      </c>
      <c r="AM76" s="17">
        <f>Tabela3[[#This Row],[Ativos]]*[Lucro]</f>
        <v>8.7244389601387802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0.49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540</v>
      </c>
      <c r="C77" s="15" t="str">
        <f>LEFT([PAPEL],LEN([PAPEL])-(LEN([PAPEL])-4))</f>
        <v>CEPE</v>
      </c>
      <c r="D77" s="15">
        <v>3</v>
      </c>
      <c r="E77" s="6">
        <v>590173759.38999999</v>
      </c>
      <c r="F77" s="8">
        <v>66302693</v>
      </c>
      <c r="G77" s="106">
        <v>0.25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13">
        <f>Tabela3[[#This Row],[Capital Social]]*20%</f>
        <v>118034751.87800001</v>
      </c>
      <c r="P77" s="13">
        <f>IF(([Lucro Líquido]*5%)&gt;[Teto R. Legal],[Teto R. Legal],[Lucro Líquido]*5%)</f>
        <v>3159000</v>
      </c>
      <c r="Q77" s="13">
        <f>IF([Lucro Líquido]&lt;0,0,[Lucro Líquido]-[Reserva Legal])</f>
        <v>60021000</v>
      </c>
      <c r="R77" s="13">
        <f>Tabela3[[#This Row],[Lucro Distribuir]]*[%Div]</f>
        <v>15005250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7" s="13">
        <f>[Div Base]*[Ações]</f>
        <v>12919218.189796571</v>
      </c>
      <c r="AA77" s="13">
        <f>SUMPRODUCT(N([Nome]=Tabela3[[#This Row],[Nome]]),[Div Base]*[Ações])</f>
        <v>13668149.085004007</v>
      </c>
      <c r="AB77" s="113">
        <f>[Patrimônio Líquido]/[Total Ações]</f>
        <v>49.69571540854583</v>
      </c>
      <c r="AC77" s="49">
        <f>MAX(Tabela3[[#This Row],[Cotação 1]:[Cotação 3]])</f>
        <v>24.53</v>
      </c>
      <c r="AD77" s="45">
        <f>[Cotação]/[VPA]</f>
        <v>0.49360392135096914</v>
      </c>
      <c r="AE77" s="41">
        <f>IF(Tabela3[[#This Row],[Lucro/Ação]]&gt;0,Tabela3[[#This Row],[Cotação]]/(Tabela3[[#This Row],[Lucro/Ação]]/[Ref]*4),0)</f>
        <v>21.726518015669516</v>
      </c>
      <c r="AF77" s="109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7" s="14" t="str">
        <f>IF(AND([% A.A.]&gt;=8%,SUMPRODUCT(N([Nome]=Tabela3[[#This Row],[Nome]]),[PL])&gt;0),"Sim","Não")</f>
        <v>Não</v>
      </c>
      <c r="AJ77" s="43">
        <f>IF([Cotação]&gt;0,Tabela3[[#This Row],[Lucro]]/Tabela3[[#This Row],[Cotação]],0)</f>
        <v>7.9434198239867731E-3</v>
      </c>
      <c r="AK77" s="43">
        <f>((1+Tabela3[[#This Row],[% Yield]])^(1/(3*Tabela3[[#This Row],[Ref]])))^(12)-1</f>
        <v>1.0605223521953366E-2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17">
        <f>SUMPRODUCT(N(Tabela1[Código]=Tabela3[[#This Row],[PAPEL]]),Tabela1[Fechamento])</f>
        <v>0</v>
      </c>
      <c r="AO77" s="17">
        <f>SUMPRODUCT(N(Tabela17[Código]=Tabela3[[#This Row],[PAPEL]]),Tabela17[Fechamento])</f>
        <v>24.53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70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7567254</v>
      </c>
      <c r="G78" s="106">
        <v>0.1</v>
      </c>
      <c r="H78" s="15"/>
      <c r="I78" s="19"/>
      <c r="J78" s="19"/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6002100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8" s="6">
        <f>[Div Base]*[Ações]</f>
        <v>589798.09778532444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18</v>
      </c>
      <c r="AD78" s="45">
        <f>[Cotação]/[VPA]</f>
        <v>0.36220426352700547</v>
      </c>
      <c r="AE78" s="41">
        <f>IF(Tabela3[[#This Row],[Lucro/Ação]]&gt;0,Tabela3[[#This Row],[Cotação]]/(Tabela3[[#This Row],[Lucro/Ação]]/[Ref]*4),0)</f>
        <v>15.942817948717947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8" s="14" t="str">
        <f>IF(AND([% A.A.]&gt;=8%,SUMPRODUCT(N([Nome]=Tabela3[[#This Row],[Nome]]),[PL])&gt;0),"Sim","Não")</f>
        <v>Não</v>
      </c>
      <c r="AJ78" s="43">
        <f>IF([Cotação]&gt;0,Tabela3[[#This Row],[Lucro]]/Tabela3[[#This Row],[Cotação]],0)</f>
        <v>4.3300464062754574E-3</v>
      </c>
      <c r="AK78" s="19">
        <f>((1+Tabela3[[#This Row],[% Yield]])^(1/(3*Tabela3[[#This Row],[Ref]])))^(12)-1</f>
        <v>5.7775577179606241E-3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18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96</v>
      </c>
      <c r="C79" s="14" t="str">
        <f>LEFT([PAPEL],LEN([PAPEL])-(LEN([PAPEL])-4))</f>
        <v>CEPE</v>
      </c>
      <c r="D79" s="15">
        <v>3</v>
      </c>
      <c r="E79" s="6">
        <v>590173759.38999999</v>
      </c>
      <c r="F79" s="8">
        <v>742441</v>
      </c>
      <c r="G79" s="100">
        <v>0.25</v>
      </c>
      <c r="H79" s="15"/>
      <c r="I79" s="19"/>
      <c r="J79" s="19">
        <v>0.1</v>
      </c>
      <c r="K79" s="108"/>
      <c r="L79" s="108"/>
      <c r="M79" s="110">
        <v>3707916000</v>
      </c>
      <c r="N79" s="110">
        <v>63180000</v>
      </c>
      <c r="O79" s="6">
        <f>Tabela3[[#This Row],[Capital Social]]*20%</f>
        <v>118034751.87800001</v>
      </c>
      <c r="P79" s="6">
        <f>IF(([Lucro Líquido]*5%)&gt;[Teto R. Legal],[Teto R. Legal],[Lucro Líquido]*5%)</f>
        <v>3159000</v>
      </c>
      <c r="Q79" s="110">
        <f>IF([Lucro Líquido]&lt;0,0,[Lucro Líquido]-[Reserva Legal])</f>
        <v>60021000</v>
      </c>
      <c r="R79" s="110">
        <f>Tabela3[[#This Row],[Lucro Distribuir]]*[%Div]</f>
        <v>15005250</v>
      </c>
      <c r="S79" s="57">
        <f>SUMPRODUCT(N([Nome]=Tabela3[[#This Row],[Nome]]),[Ações])</f>
        <v>74612388</v>
      </c>
      <c r="T79" s="6">
        <f>[Capital Social]/[Total Ações]</f>
        <v>7.9098628955556283</v>
      </c>
      <c r="U79" s="96">
        <f>Tabela3[[#This Row],[Lucro Líquido]]/Tabela3[[#This Row],[Total Ações]]</f>
        <v>0.84677627527482435</v>
      </c>
      <c r="V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9" s="6">
        <f>[Div Base]*[Ações]</f>
        <v>159132.79742211231</v>
      </c>
      <c r="AA79" s="6">
        <f>SUMPRODUCT(N([Nome]=Tabela3[[#This Row],[Nome]]),[Div Base]*[Ações])</f>
        <v>13668149.085004007</v>
      </c>
      <c r="AB79" s="110">
        <f>[Patrimônio Líquido]/[Total Ações]</f>
        <v>49.69571540854583</v>
      </c>
      <c r="AC79" s="49">
        <f>MAX(Tabela3[[#This Row],[Cotação 1]:[Cotação 3]])</f>
        <v>21.51</v>
      </c>
      <c r="AD79" s="45">
        <f>[Cotação]/[VPA]</f>
        <v>0.43283409491477154</v>
      </c>
      <c r="AE79" s="41">
        <f>IF(Tabela3[[#This Row],[Lucro/Ação]]&gt;0,Tabela3[[#This Row],[Cotação]]/(Tabela3[[#This Row],[Lucro/Ação]]/[Ref]*4),0)</f>
        <v>19.05166744871795</v>
      </c>
      <c r="AF79" s="41" t="e">
        <f>IF([Div. Mínimo]=0,0,[Lucro Distribuir]*#REF!/[Total Ações])</f>
        <v>#REF!</v>
      </c>
      <c r="AG79" s="96">
        <f>[Lucro Distribuir]/[Total Ações]</f>
        <v>0.80443746151108309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9" s="15" t="str">
        <f>IF(AND([% A.A.]&gt;=8%,SUMPRODUCT(N([Nome]=Tabela3[[#This Row],[Nome]]),[PL])&gt;0),"Sim","Não")</f>
        <v>Não</v>
      </c>
      <c r="AJ79" s="43">
        <f>IF([Cotação]&gt;0,Tabela3[[#This Row],[Lucro]]/Tabela3[[#This Row],[Cotação]],0)</f>
        <v>9.9645419527779992E-3</v>
      </c>
      <c r="AK79" s="19">
        <f>((1+Tabela3[[#This Row],[% Yield]])^(1/(3*Tabela3[[#This Row],[Ref]])))^(12)-1</f>
        <v>1.3308072189847087E-2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21.51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 hidden="1">
      <c r="A80" s="4" t="s">
        <v>12</v>
      </c>
      <c r="B80" s="65" t="s">
        <v>72</v>
      </c>
      <c r="C80" s="101" t="str">
        <f>LEFT([PAPEL],LEN([PAPEL])-(LEN([PAPEL])-4))</f>
        <v>CESP</v>
      </c>
      <c r="D80" s="15">
        <v>3</v>
      </c>
      <c r="E80" s="6">
        <v>5975433454.4300003</v>
      </c>
      <c r="F80" s="8">
        <v>109167558</v>
      </c>
      <c r="G80" s="106">
        <v>0.25</v>
      </c>
      <c r="H80" s="19"/>
      <c r="I80" s="19"/>
      <c r="J80" s="19"/>
      <c r="K80" s="108"/>
      <c r="L80" s="108"/>
      <c r="M80" s="110">
        <v>10479149000</v>
      </c>
      <c r="N80" s="110">
        <v>795212000</v>
      </c>
      <c r="O80" s="6">
        <f>Tabela3[[#This Row],[Capital Social]]*20%</f>
        <v>1195086690.8860002</v>
      </c>
      <c r="P80" s="6">
        <f>IF(([Lucro Líquido]*5%)&gt;[Teto R. Legal],[Teto R. Legal],[Lucro Líquido]*5%)</f>
        <v>39760600</v>
      </c>
      <c r="Q80" s="110">
        <f>IF([Lucro Líquido]&lt;0,0,[Lucro Líquido]-[Reserva Legal])</f>
        <v>755451400</v>
      </c>
      <c r="R80" s="110">
        <f>Tabela3[[#This Row],[Lucro Distribuir]]*[%Div]</f>
        <v>188862850</v>
      </c>
      <c r="S80" s="57">
        <f>SUMPRODUCT(N([Nome]=Tabela3[[#This Row],[Nome]]),[Ações])</f>
        <v>327502673</v>
      </c>
      <c r="T80" s="6">
        <f>[Capital Social]/[Total Ações]</f>
        <v>18.245449417843378</v>
      </c>
      <c r="U80" s="96">
        <f>Tabela3[[#This Row],[Lucro Líquido]]/Tabela3[[#This Row],[Total Ações]]</f>
        <v>2.4281084264616064</v>
      </c>
      <c r="V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0" s="6">
        <f>[Div Base]*[Ações]</f>
        <v>59673113.618054219</v>
      </c>
      <c r="AA80" s="6">
        <f>SUMPRODUCT(N([Nome]=Tabela3[[#This Row],[Nome]]),[Div Base]*[Ações])</f>
        <v>188862850</v>
      </c>
      <c r="AB80" s="110">
        <f>[Patrimônio Líquido]/[Total Ações]</f>
        <v>31.99714037143141</v>
      </c>
      <c r="AC80" s="49">
        <f>MAX(Tabela3[[#This Row],[Cotação 1]:[Cotação 3]])</f>
        <v>19.64</v>
      </c>
      <c r="AD80" s="45">
        <f>[Cotação]/[VPA]</f>
        <v>0.61380485168404419</v>
      </c>
      <c r="AE80" s="41">
        <f>IF(Tabela3[[#This Row],[Lucro/Ação]]&gt;0,Tabela3[[#This Row],[Cotação]]/(Tabela3[[#This Row],[Lucro/Ação]]/[Ref]*4),0)</f>
        <v>6.0664506738957655</v>
      </c>
      <c r="AF80" s="93" t="e">
        <f>IF([Div. Mínimo]=0,0,[Lucro Distribuir]*#REF!/[Total Ações])</f>
        <v>#REF!</v>
      </c>
      <c r="AG80" s="96">
        <f>[Lucro Distribuir]/[Total Ações]</f>
        <v>2.3067030051385262</v>
      </c>
      <c r="AH80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0" s="14" t="str">
        <f>IF(AND([% A.A.]&gt;=8%,SUMPRODUCT(N([Nome]=Tabela3[[#This Row],[Nome]]),[PL])&gt;0),"Sim","Não")</f>
        <v>Não</v>
      </c>
      <c r="AJ80" s="43">
        <f>IF([Cotação]&gt;0,Tabela3[[#This Row],[Lucro]]/Tabela3[[#This Row],[Cotação]],0)</f>
        <v>2.7831949004784948E-2</v>
      </c>
      <c r="AK80" s="19">
        <f>((1+Tabela3[[#This Row],[% Yield]])^(1/(3*Tabela3[[#This Row],[Ref]])))^(12)-1</f>
        <v>3.728035005511865E-2</v>
      </c>
      <c r="AL80" s="14">
        <f>IF([Cotação]&gt;0,($AR$1/Tabela3[[#This Row],[Cotação]]-MOD($AR$1/Tabela3[[#This Row],[Cotação]],100)),)</f>
        <v>0</v>
      </c>
      <c r="AM80" s="17">
        <f>Tabela3[[#This Row],[Ativos]]*[Lucro]</f>
        <v>0</v>
      </c>
      <c r="AN80" s="5">
        <f>SUMPRODUCT(N(Tabela1[Código]=Tabela3[[#This Row],[PAPEL]]),Tabela1[Fechamento])</f>
        <v>19.64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>
      <c r="A81" s="4" t="s">
        <v>12</v>
      </c>
      <c r="B81" s="65" t="s">
        <v>103</v>
      </c>
      <c r="C81" s="14" t="str">
        <f>LEFT([PAPEL],LEN([PAPEL])-(LEN([PAPEL])-4))</f>
        <v>CPLE</v>
      </c>
      <c r="D81" s="15">
        <v>3</v>
      </c>
      <c r="E81" s="6">
        <v>6910000000</v>
      </c>
      <c r="F81" s="8">
        <v>381702</v>
      </c>
      <c r="G81" s="100">
        <v>0.25</v>
      </c>
      <c r="H81" s="19"/>
      <c r="I81" s="19">
        <v>0.1</v>
      </c>
      <c r="J81" s="19"/>
      <c r="K81" s="108"/>
      <c r="L81" s="108"/>
      <c r="M81" s="111">
        <v>12828375000</v>
      </c>
      <c r="N81" s="116">
        <v>898498000</v>
      </c>
      <c r="O81" s="29">
        <f>Tabela3[[#This Row],[Capital Social]]*20%</f>
        <v>1382000000</v>
      </c>
      <c r="P81" s="29">
        <f>IF(([Lucro Líquido]*5%)&gt;[Teto R. Legal],[Teto R. Legal],[Lucro Líquido]*5%)</f>
        <v>44924900</v>
      </c>
      <c r="Q81" s="111">
        <f>IF([Lucro Líquido]&lt;0,0,[Lucro Líquido]-[Reserva Legal])</f>
        <v>853573100</v>
      </c>
      <c r="R81" s="111">
        <f>Tabela3[[#This Row],[Lucro Distribuir]]*[%Div]</f>
        <v>213393275</v>
      </c>
      <c r="S81" s="57">
        <f>SUMPRODUCT(N([Nome]=Tabela3[[#This Row],[Nome]]),[Ações])</f>
        <v>273655375</v>
      </c>
      <c r="T81" s="6">
        <f>[Capital Social]/[Total Ações]</f>
        <v>25.250737355332415</v>
      </c>
      <c r="U81" s="96">
        <f>Tabela3[[#This Row],[Lucro Líquido]]/Tabela3[[#This Row],[Total Ações]]</f>
        <v>3.2833193939640322</v>
      </c>
      <c r="V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81" s="6">
        <f>[Div Base]*[Ações]</f>
        <v>963825.69500050927</v>
      </c>
      <c r="AA81" s="6">
        <f>SUMPRODUCT(N([Nome]=Tabela3[[#This Row],[Nome]]),[Div Base]*[Ações])</f>
        <v>216148879.24719858</v>
      </c>
      <c r="AB81" s="110">
        <f>[Patrimônio Líquido]/[Total Ações]</f>
        <v>46.877847730927996</v>
      </c>
      <c r="AC81" s="49">
        <f>MAX(Tabela3[[#This Row],[Cotação 1]:[Cotação 3]])</f>
        <v>30</v>
      </c>
      <c r="AD81" s="45">
        <f>[Cotação]/[VPA]</f>
        <v>0.63996112134233685</v>
      </c>
      <c r="AE81" s="41">
        <f>IF(Tabela3[[#This Row],[Lucro/Ação]]&gt;0,Tabela3[[#This Row],[Cotação]]/(Tabela3[[#This Row],[Lucro/Ação]]/[Ref]*4),0)</f>
        <v>6.8528209717773443</v>
      </c>
      <c r="AF81" s="93" t="e">
        <f>IF([Div. Mínimo]=0,0,[Lucro Distribuir]*#REF!/[Total Ações])</f>
        <v>#REF!</v>
      </c>
      <c r="AG81" s="96">
        <f>[Lucro Distribuir]/[Total Ações]</f>
        <v>3.1191534242658308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81" s="15" t="str">
        <f>IF(AND([% A.A.]&gt;=8%,SUMPRODUCT(N([Nome]=Tabela3[[#This Row],[Nome]]),[PL])&gt;0),"Sim","Não")</f>
        <v>Sim</v>
      </c>
      <c r="AJ81" s="43">
        <f>IF([Cotação]&gt;0,Tabela3[[#This Row],[Lucro]]/Tabela3[[#This Row],[Cotação]],0)</f>
        <v>8.416912451777471E-2</v>
      </c>
      <c r="AK81" s="19">
        <f>((1+Tabela3[[#This Row],[% Yield]])^(1/(3*Tabela3[[#This Row],[Ref]])))^(12)-1</f>
        <v>0.11377136181616954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30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12</v>
      </c>
      <c r="B82" s="65" t="s">
        <v>91</v>
      </c>
      <c r="C82" s="14" t="str">
        <f>LEFT([PAPEL],LEN([PAPEL])-(LEN([PAPEL])-4))</f>
        <v>CESP</v>
      </c>
      <c r="D82" s="15">
        <v>3</v>
      </c>
      <c r="E82" s="6">
        <v>5975433454.4300003</v>
      </c>
      <c r="F82" s="8">
        <v>210632389</v>
      </c>
      <c r="G82" s="106">
        <v>0.25</v>
      </c>
      <c r="H82" s="19"/>
      <c r="I82" s="19"/>
      <c r="J82" s="19"/>
      <c r="K82" s="108"/>
      <c r="L82" s="108"/>
      <c r="M82" s="110">
        <v>10479149000</v>
      </c>
      <c r="N82" s="110">
        <v>795212000</v>
      </c>
      <c r="O82" s="6">
        <f>Tabela3[[#This Row],[Capital Social]]*20%</f>
        <v>1195086690.8860002</v>
      </c>
      <c r="P82" s="6">
        <f>IF(([Lucro Líquido]*5%)&gt;[Teto R. Legal],[Teto R. Legal],[Lucro Líquido]*5%)</f>
        <v>39760600</v>
      </c>
      <c r="Q82" s="110">
        <f>IF([Lucro Líquido]&lt;0,0,[Lucro Líquido]-[Reserva Legal])</f>
        <v>755451400</v>
      </c>
      <c r="R82" s="110">
        <f>Tabela3[[#This Row],[Lucro Distribuir]]*[%Div]</f>
        <v>188862850</v>
      </c>
      <c r="S82" s="57">
        <f>SUMPRODUCT(N([Nome]=Tabela3[[#This Row],[Nome]]),[Ações])</f>
        <v>327502673</v>
      </c>
      <c r="T82" s="6">
        <f>[Capital Social]/[Total Ações]</f>
        <v>18.245449417843378</v>
      </c>
      <c r="U82" s="96">
        <f>Tabela3[[#This Row],[Lucro Líquido]]/Tabela3[[#This Row],[Total Ações]]</f>
        <v>2.4281084264616064</v>
      </c>
      <c r="V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2" s="6">
        <f>[Div Base]*[Ações]</f>
        <v>115135766.62069507</v>
      </c>
      <c r="AA82" s="6">
        <f>SUMPRODUCT(N([Nome]=Tabela3[[#This Row],[Nome]]),[Div Base]*[Ações])</f>
        <v>188862850</v>
      </c>
      <c r="AB82" s="110">
        <f>[Patrimônio Líquido]/[Total Ações]</f>
        <v>31.99714037143141</v>
      </c>
      <c r="AC82" s="49">
        <f>MAX(Tabela3[[#This Row],[Cotação 1]:[Cotação 3]])</f>
        <v>21.72</v>
      </c>
      <c r="AD82" s="45">
        <f>[Cotação]/[VPA]</f>
        <v>0.67881066082369856</v>
      </c>
      <c r="AE82" s="41">
        <f>IF(Tabela3[[#This Row],[Lucro/Ação]]&gt;0,Tabela3[[#This Row],[Cotação]]/(Tabela3[[#This Row],[Lucro/Ação]]/[Ref]*4),0)</f>
        <v>6.70892610168106</v>
      </c>
      <c r="AF82" s="93" t="e">
        <f>IF([Div. Mínimo]=0,0,[Lucro Distribuir]*#REF!/[Total Ações])</f>
        <v>#REF!</v>
      </c>
      <c r="AG82" s="96">
        <f>[Lucro Distribuir]/[Total Ações]</f>
        <v>2.3067030051385262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2" s="15" t="str">
        <f>IF(AND([% A.A.]&gt;=8%,SUMPRODUCT(N([Nome]=Tabela3[[#This Row],[Nome]]),[PL])&gt;0),"Sim","Não")</f>
        <v>Não</v>
      </c>
      <c r="AJ82" s="43">
        <f>IF([Cotação]&gt;0,Tabela3[[#This Row],[Lucro]]/Tabela3[[#This Row],[Cotação]],0)</f>
        <v>2.5166642654418803E-2</v>
      </c>
      <c r="AK82" s="19">
        <f>((1+Tabela3[[#This Row],[% Yield]])^(1/(3*Tabela3[[#This Row],[Ref]])))^(12)-1</f>
        <v>3.3695491191226612E-2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5">
        <f>SUMPRODUCT(N(Tabela1[Código]=Tabela3[[#This Row],[PAPEL]]),Tabela1[Fechamento])</f>
        <v>21.72</v>
      </c>
      <c r="AO82" s="5">
        <f>SUMPRODUCT(N(Tabela17[Código]=Tabela3[[#This Row],[PAPEL]]),Tabela17[Fechamento])</f>
        <v>0</v>
      </c>
      <c r="AP82" s="7">
        <f>SUMPRODUCT(N(Tabela176[Código]=Tabela3[[#This Row],[PAPEL]]),Tabela176[Fechamento])</f>
        <v>0</v>
      </c>
    </row>
    <row r="83" spans="1:42" hidden="1">
      <c r="A83" s="4" t="s">
        <v>581</v>
      </c>
      <c r="B83" s="65" t="s">
        <v>582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93910898</v>
      </c>
      <c r="G83" s="100">
        <v>0.25</v>
      </c>
      <c r="H83" s="15"/>
      <c r="I83" s="19"/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82891763.549675152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51</v>
      </c>
      <c r="AD83" s="45">
        <f>[Cotação]/[VPA]</f>
        <v>2.3337414434685773</v>
      </c>
      <c r="AE83" s="41">
        <f>IF(Tabela3[[#This Row],[Lucro/Ação]]&gt;0,Tabela3[[#This Row],[Cotação]]/(Tabela3[[#This Row],[Lucro/Ação]]/[Ref]*4),0)</f>
        <v>10.291997388950394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A.A.]&gt;=8%,SUMPRODUCT(N([Nome]=Tabela3[[#This Row],[Nome]]),[PL])&gt;0),"Sim","Não")</f>
        <v>Não</v>
      </c>
      <c r="AJ83" s="43">
        <f>IF([Cotação]&gt;0,Tabela3[[#This Row],[Lucro]]/Tabela3[[#This Row],[Cotação]],0)</f>
        <v>1.730713614358638E-2</v>
      </c>
      <c r="AK83" s="43">
        <f>((1+Tabela3[[#This Row],[% Yield]])^(1/(3*Tabela3[[#This Row],[Ref]])))^(12)-1</f>
        <v>2.3142491117009723E-2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51</v>
      </c>
      <c r="AP83" s="7">
        <f>SUMPRODUCT(N(Tabela176[Código]=Tabela3[[#This Row],[PAPEL]]),Tabela176[Fechamento])</f>
        <v>0</v>
      </c>
    </row>
    <row r="84" spans="1:42" hidden="1">
      <c r="A84" s="4" t="s">
        <v>581</v>
      </c>
      <c r="B84" s="65" t="s">
        <v>583</v>
      </c>
      <c r="C84" s="15" t="str">
        <f>LEFT([PAPEL],LEN([PAPEL])-(LEN([PAPEL])-4))</f>
        <v>CGAS</v>
      </c>
      <c r="D84" s="15">
        <v>3</v>
      </c>
      <c r="E84" s="6">
        <v>764155232.40999997</v>
      </c>
      <c r="F84" s="8">
        <v>25911899</v>
      </c>
      <c r="G84" s="100">
        <v>0.25</v>
      </c>
      <c r="H84" s="15"/>
      <c r="I84" s="19">
        <v>0.1</v>
      </c>
      <c r="J84" s="19"/>
      <c r="K84" s="108"/>
      <c r="L84" s="108"/>
      <c r="M84" s="114">
        <v>2618526000</v>
      </c>
      <c r="N84" s="114">
        <v>445319000</v>
      </c>
      <c r="O84" s="13">
        <f>Tabela3[[#This Row],[Capital Social]]*20%</f>
        <v>152831046.48199999</v>
      </c>
      <c r="P84" s="13">
        <f>IF(([Lucro Líquido]*5%)&gt;[Teto R. Legal],[Teto R. Legal],[Lucro Líquido]*5%)</f>
        <v>22265950</v>
      </c>
      <c r="Q84" s="13">
        <f>IF([Lucro Líquido]&lt;0,0,[Lucro Líquido]-[Reserva Legal])</f>
        <v>423053050</v>
      </c>
      <c r="R84" s="13">
        <f>Tabela3[[#This Row],[Lucro Distribuir]]*[%Div]</f>
        <v>105763262.5</v>
      </c>
      <c r="S84" s="57">
        <f>SUMPRODUCT(N([Nome]=Tabela3[[#This Row],[Nome]]),[Ações])</f>
        <v>119822797</v>
      </c>
      <c r="T84" s="6">
        <f>[Capital Social]/[Total Ações]</f>
        <v>6.3773776905741899</v>
      </c>
      <c r="U84" s="96">
        <f>Tabela3[[#This Row],[Lucro Líquido]]/Tabela3[[#This Row],[Total Ações]]</f>
        <v>3.7164797613596017</v>
      </c>
      <c r="V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4" s="13">
        <f>[Div Base]*[Ações]</f>
        <v>22871498.950324848</v>
      </c>
      <c r="AA84" s="13">
        <f>SUMPRODUCT(N([Nome]=Tabela3[[#This Row],[Nome]]),[Div Base]*[Ações])</f>
        <v>105763262.5</v>
      </c>
      <c r="AB84" s="113">
        <f>[Patrimônio Líquido]/[Total Ações]</f>
        <v>21.853320616443298</v>
      </c>
      <c r="AC84" s="49">
        <f>MAX(Tabela3[[#This Row],[Cotação 1]:[Cotação 3]])</f>
        <v>53.32</v>
      </c>
      <c r="AD84" s="45">
        <f>[Cotação]/[VPA]</f>
        <v>2.4399037993283241</v>
      </c>
      <c r="AE84" s="41">
        <f>IF(Tabela3[[#This Row],[Lucro/Ação]]&gt;0,Tabela3[[#This Row],[Cotação]]/(Tabela3[[#This Row],[Lucro/Ação]]/[Ref]*4),0)</f>
        <v>10.760182368212451</v>
      </c>
      <c r="AF84" s="109" t="e">
        <f>IF([Div. Mínimo]=0,0,[Lucro Distribuir]*#REF!/[Total Ações])</f>
        <v>#REF!</v>
      </c>
      <c r="AG84" s="96">
        <f>[Lucro Distribuir]/[Total Ações]</f>
        <v>3.5306557732916217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4" s="14" t="str">
        <f>IF(AND([% A.A.]&gt;=8%,SUMPRODUCT(N([Nome]=Tabela3[[#This Row],[Nome]]),[PL])&gt;0),"Sim","Não")</f>
        <v>Não</v>
      </c>
      <c r="AJ84" s="43">
        <f>IF([Cotação]&gt;0,Tabela3[[#This Row],[Lucro]]/Tabela3[[#This Row],[Cotação]],0)</f>
        <v>1.6554087459169271E-2</v>
      </c>
      <c r="AK84" s="43">
        <f>((1+Tabela3[[#This Row],[% Yield]])^(1/(3*Tabela3[[#This Row],[Ref]])))^(12)-1</f>
        <v>2.2132791413367991E-2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7">
        <f>SUMPRODUCT(N(Tabela1[Código]=Tabela3[[#This Row],[PAPEL]]),Tabela1[Fechamento])</f>
        <v>0</v>
      </c>
      <c r="AO84" s="17">
        <f>SUMPRODUCT(N(Tabela17[Código]=Tabela3[[#This Row],[PAPEL]]),Tabela17[Fechamento])</f>
        <v>53.32</v>
      </c>
      <c r="AP84" s="7">
        <f>SUMPRODUCT(N(Tabela176[Código]=Tabela3[[#This Row],[PAPEL]]),Tabela176[Fechamento])</f>
        <v>0</v>
      </c>
    </row>
    <row r="85" spans="1:42" hidden="1">
      <c r="A85" s="4" t="s">
        <v>404</v>
      </c>
      <c r="B85" s="65" t="s">
        <v>407</v>
      </c>
      <c r="C85" s="101" t="str">
        <f>LEFT([PAPEL],LEN([PAPEL])-(LEN([PAPEL])-4))</f>
        <v>CIEL</v>
      </c>
      <c r="D85" s="15">
        <v>3</v>
      </c>
      <c r="E85" s="6">
        <v>1000000000</v>
      </c>
      <c r="F85" s="39">
        <v>786115469</v>
      </c>
      <c r="G85" s="100">
        <v>0.5</v>
      </c>
      <c r="H85" s="15"/>
      <c r="I85" s="19"/>
      <c r="J85" s="19"/>
      <c r="K85" s="108"/>
      <c r="L85" s="108"/>
      <c r="M85" s="6">
        <v>2947112000</v>
      </c>
      <c r="N85" s="6">
        <v>1953406000</v>
      </c>
      <c r="O85" s="6">
        <f>Tabela3[[#This Row],[Capital Social]]*20%</f>
        <v>200000000</v>
      </c>
      <c r="P85" s="6">
        <f>IF(([Lucro Líquido]*5%)&gt;[Teto R. Legal],[Teto R. Legal],[Lucro Líquido]*5%)</f>
        <v>97670300</v>
      </c>
      <c r="Q85" s="6">
        <f>IF([Lucro Líquido]&lt;0,0,[Lucro Líquido]-[Reserva Legal])</f>
        <v>1855735700</v>
      </c>
      <c r="R85" s="6">
        <f>Tabela3[[#This Row],[Lucro Distribuir]]*[%Div]</f>
        <v>927867850</v>
      </c>
      <c r="S85" s="57">
        <f>SUMPRODUCT(N([Nome]=Tabela3[[#This Row],[Nome]]),[Ações])</f>
        <v>786115469</v>
      </c>
      <c r="T85" s="6">
        <f>[Capital Social]/[Total Ações]</f>
        <v>1.2720777537580805</v>
      </c>
      <c r="U85" s="96">
        <f>Tabela3[[#This Row],[Lucro Líquido]]/Tabela3[[#This Row],[Total Ações]]</f>
        <v>2.4848843166575572</v>
      </c>
      <c r="V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1.1803200504123397</v>
      </c>
      <c r="W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1.1803200504123397</v>
      </c>
      <c r="Z85" s="6">
        <f>[Div Base]*[Ações]</f>
        <v>927867850</v>
      </c>
      <c r="AA85" s="6">
        <f>SUMPRODUCT(N([Nome]=Tabela3[[#This Row],[Nome]]),[Div Base]*[Ações])</f>
        <v>927867850</v>
      </c>
      <c r="AB85" s="6">
        <f>[Patrimônio Líquido]/[Total Ações]</f>
        <v>3.7489556130334845</v>
      </c>
      <c r="AC85" s="49">
        <f>MAX(Tabela3[[#This Row],[Cotação 1]:[Cotação 3]])</f>
        <v>63</v>
      </c>
      <c r="AD85" s="45">
        <f>[Cotação]/[VPA]</f>
        <v>16.804680157048661</v>
      </c>
      <c r="AE85" s="41">
        <f>IF(Tabela3[[#This Row],[Lucro/Ação]]&gt;0,Tabela3[[#This Row],[Cotação]]/(Tabela3[[#This Row],[Lucro/Ação]]/[Ref]*4),0)</f>
        <v>19.014969704326699</v>
      </c>
      <c r="AF85" s="41" t="e">
        <f>IF([Div. Mínimo]=0,0,[Lucro Distribuir]*#REF!/[Total Ações])</f>
        <v>#REF!</v>
      </c>
      <c r="AG85" s="96">
        <f>[Lucro Distribuir]/[Total Ações]</f>
        <v>2.3606401008246793</v>
      </c>
      <c r="AH85" s="96">
        <f>IF([Unit ON]&gt;0,SUMPRODUCT(N([Nome]=Tabela3[[#This Row],[Nome]]),N(RIGHT([PAPEL],1)="3"),[Div Base])*[Unit ON]+SUMPRODUCT(N([Nome]=Tabela3[[#This Row],[Nome]]),N(RIGHT([PAPEL],1)="4"),[Div Base])*[Unit PN],[Div Base])</f>
        <v>1.1803200504123397</v>
      </c>
      <c r="AI85" s="15" t="str">
        <f>IF(AND([% A.A.]&gt;=8%,SUMPRODUCT(N([Nome]=Tabela3[[#This Row],[Nome]]),[PL])&gt;0),"Sim","Não")</f>
        <v>Não</v>
      </c>
      <c r="AJ85" s="43">
        <f>IF([Cotação]&gt;0,Tabela3[[#This Row],[Lucro]]/Tabela3[[#This Row],[Cotação]],0)</f>
        <v>1.8735238895433964E-2</v>
      </c>
      <c r="AK85" s="19">
        <f>((1+Tabela3[[#This Row],[% Yield]])^(1/(3*Tabela3[[#This Row],[Ref]])))^(12)-1</f>
        <v>2.5057998323918085E-2</v>
      </c>
      <c r="AL85" s="14">
        <f>IF([Cotação]&gt;0,($AR$1/Tabela3[[#This Row],[Cotação]]-MOD($AR$1/Tabela3[[#This Row],[Cotação]],100)),)</f>
        <v>0</v>
      </c>
      <c r="AM85" s="17">
        <f>Tabela3[[#This Row],[Ativos]]*[Lucro]</f>
        <v>0</v>
      </c>
      <c r="AN85" s="13">
        <f>SUMPRODUCT(N(Tabela1[Código]=Tabela3[[#This Row],[PAPEL]]),Tabela1[Fechamento])</f>
        <v>0</v>
      </c>
      <c r="AO85" s="56">
        <f>SUMPRODUCT(N(Tabela17[Código]=Tabela3[[#This Row],[PAPEL]]),Tabela17[Fechamento])</f>
        <v>63</v>
      </c>
      <c r="AP85" s="7">
        <f>SUMPRODUCT(N(Tabela176[Código]=Tabela3[[#This Row],[PAPEL]]),Tabela176[Fechamento])</f>
        <v>0</v>
      </c>
    </row>
    <row r="86" spans="1:42" hidden="1">
      <c r="A86" s="3" t="s">
        <v>297</v>
      </c>
      <c r="B86" s="66" t="s">
        <v>294</v>
      </c>
      <c r="C86" s="102" t="str">
        <f>LEFT([PAPEL],LEN([PAPEL])-(LEN([PAPEL])-4))</f>
        <v>CIQU</v>
      </c>
      <c r="D86" s="16">
        <v>3</v>
      </c>
      <c r="E86" s="5"/>
      <c r="G86" s="106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7.08</v>
      </c>
      <c r="AD86" s="54">
        <f>[Cotação]/[VPA]</f>
        <v>0.66775231837651272</v>
      </c>
      <c r="AE86" s="38">
        <f>IF(Tabela3[[#This Row],[Lucro/Ação]]&gt;0,Tabela3[[#This Row],[Cotação]]/(Tabela3[[#This Row],[Lucro/Ação]]/[Ref]*4),0)</f>
        <v>3.5627539466960707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A.A.]&gt;=8%,SUMPRODUCT(N([Nome]=Tabela3[[#This Row],[Nome]]),[PL])&gt;0),"Sim","Não")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7.08</v>
      </c>
      <c r="AP86" s="7">
        <f>SUMPRODUCT(N(Tabela176[Código]=Tabela3[[#This Row],[PAPEL]]),Tabela176[Fechamento])</f>
        <v>0</v>
      </c>
    </row>
    <row r="87" spans="1:42" hidden="1">
      <c r="A87" s="3" t="s">
        <v>297</v>
      </c>
      <c r="B87" s="66" t="s">
        <v>295</v>
      </c>
      <c r="C87" s="102" t="str">
        <f>LEFT([PAPEL],LEN([PAPEL])-(LEN([PAPEL])-4))</f>
        <v>CIQU</v>
      </c>
      <c r="D87" s="16">
        <v>3</v>
      </c>
      <c r="E87" s="5"/>
      <c r="G87" s="100">
        <v>0.25</v>
      </c>
      <c r="H87" s="16"/>
      <c r="I87" s="18"/>
      <c r="K87" s="107"/>
      <c r="L87" s="107"/>
      <c r="M87" s="5">
        <v>264517000</v>
      </c>
      <c r="N87" s="5">
        <v>37183000</v>
      </c>
      <c r="O87" s="5">
        <f>Tabela3[[#This Row],[Capital Social]]*20%</f>
        <v>0</v>
      </c>
      <c r="P87" s="5">
        <f>IF(([Lucro Líquido]*5%)&gt;[Teto R. Legal],[Teto R. Legal],[Lucro Líquido]*5%)</f>
        <v>0</v>
      </c>
      <c r="Q87" s="5">
        <f>IF([Lucro Líquido]&lt;0,0,[Lucro Líquido]-[Reserva Legal])</f>
        <v>37183000</v>
      </c>
      <c r="R87" s="5">
        <f>Tabela3[[#This Row],[Lucro Distribuir]]*[%Div]</f>
        <v>9295750</v>
      </c>
      <c r="S87" s="21">
        <v>24948000</v>
      </c>
      <c r="T87" s="5">
        <f>[Capital Social]/[Total Ações]</f>
        <v>0</v>
      </c>
      <c r="U87" s="95">
        <f>Tabela3[[#This Row],[Lucro Líquido]]/Tabela3[[#This Row],[Total Ações]]</f>
        <v>1.490420073753407</v>
      </c>
      <c r="V8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7" s="5">
        <f>[Div Base]*[Ações]</f>
        <v>0</v>
      </c>
      <c r="AA87" s="5">
        <f>SUMPRODUCT(N([Nome]=Tabela3[[#This Row],[Nome]]),[Div Base]*[Ações])</f>
        <v>0</v>
      </c>
      <c r="AB87" s="5">
        <f>[Patrimônio Líquido]/[Total Ações]</f>
        <v>10.602733686067019</v>
      </c>
      <c r="AC87" s="53">
        <f>MAX(Tabela3[[#This Row],[Cotação 1]:[Cotação 3]])</f>
        <v>12.6</v>
      </c>
      <c r="AD87" s="54">
        <f>[Cotação]/[VPA]</f>
        <v>1.1883727699920987</v>
      </c>
      <c r="AE87" s="38">
        <f>IF(Tabela3[[#This Row],[Lucro/Ação]]&gt;0,Tabela3[[#This Row],[Cotação]]/(Tabela3[[#This Row],[Lucro/Ação]]/[Ref]*4),0)</f>
        <v>6.3404943119167356</v>
      </c>
      <c r="AF87" s="38">
        <f>IF([Div. Mínimo]=0,0,[Lucro Distribuir]*#REF!/[Total Ações])</f>
        <v>0</v>
      </c>
      <c r="AG87" s="95">
        <f>[Lucro Distribuir]/[Total Ações]</f>
        <v>1.490420073753407</v>
      </c>
      <c r="AH8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7" s="16" t="str">
        <f>IF(AND([% A.A.]&gt;=8%,SUMPRODUCT(N([Nome]=Tabela3[[#This Row],[Nome]]),[PL])&gt;0),"Sim","Não")</f>
        <v>Não</v>
      </c>
      <c r="AJ87" s="22">
        <f>IF([Cotação]&gt;0,Tabela3[[#This Row],[Lucro]]/Tabela3[[#This Row],[Cotação]],0)</f>
        <v>0</v>
      </c>
      <c r="AK87" s="18">
        <f>((1+Tabela3[[#This Row],[% Yield]])^(1/(3*Tabela3[[#This Row],[Ref]])))^(12)-1</f>
        <v>0</v>
      </c>
      <c r="AL87" s="10">
        <f>IF([Cotação]&gt;0,($AR$1/Tabela3[[#This Row],[Cotação]]-MOD($AR$1/Tabela3[[#This Row],[Cotação]],100)),)</f>
        <v>0</v>
      </c>
      <c r="AM87" s="7">
        <f>Tabela3[[#This Row],[Ativos]]*[Lucro]</f>
        <v>0</v>
      </c>
      <c r="AN87" s="48">
        <f>SUMPRODUCT(N(Tabela1[Código]=Tabela3[[#This Row],[PAPEL]]),Tabela1[Fechamento])</f>
        <v>0</v>
      </c>
      <c r="AO87" s="55">
        <f>SUMPRODUCT(N(Tabela17[Código]=Tabela3[[#This Row],[PAPEL]]),Tabela17[Fechamento])</f>
        <v>12.6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521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15527137</v>
      </c>
      <c r="G88" s="106">
        <v>0.25</v>
      </c>
      <c r="H88" s="19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14298239.757422438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38.44</v>
      </c>
      <c r="AD88" s="45">
        <f>[Cotação]/[VPA]</f>
        <v>0.76933116964708215</v>
      </c>
      <c r="AE88" s="41">
        <f>IF(Tabela3[[#This Row],[Lucro/Ação]]&gt;0,Tabela3[[#This Row],[Cotação]]/(Tabela3[[#This Row],[Lucro/Ação]]/[Ref]*4),0)</f>
        <v>7.4356179316362754</v>
      </c>
      <c r="AF88" s="93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5" t="str">
        <f>IF(AND([% A.A.]&gt;=8%,SUMPRODUCT(N([Nome]=Tabela3[[#This Row],[Nome]]),[PL])&gt;0),"Sim","Não")</f>
        <v>Não</v>
      </c>
      <c r="AJ88" s="43">
        <f>IF([Cotação]&gt;0,Tabela3[[#This Row],[Lucro]]/Tabela3[[#This Row],[Cotação]],0)</f>
        <v>2.3955641836051408E-2</v>
      </c>
      <c r="AK88" s="19">
        <f>((1+Tabela3[[#This Row],[% Yield]])^(1/(3*Tabela3[[#This Row],[Ref]])))^(12)-1</f>
        <v>3.2067710867486054E-2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0</v>
      </c>
      <c r="AO88" s="5">
        <f>SUMPRODUCT(N(Tabela17[Código]=Tabela3[[#This Row],[PAPEL]]),Tabela17[Fechamento])</f>
        <v>38.44</v>
      </c>
      <c r="AP88" s="7">
        <f>SUMPRODUCT(N(Tabela176[Código]=Tabela3[[#This Row],[PAPEL]]),Tabela176[Fechamento])</f>
        <v>0</v>
      </c>
    </row>
    <row r="89" spans="1:42">
      <c r="A89" s="4" t="s">
        <v>12</v>
      </c>
      <c r="B89" s="65" t="s">
        <v>90</v>
      </c>
      <c r="C89" s="103" t="str">
        <f>LEFT([PAPEL],LEN([PAPEL])-(LEN([PAPEL])-4))</f>
        <v>CESP</v>
      </c>
      <c r="D89" s="15">
        <v>3</v>
      </c>
      <c r="E89" s="6">
        <v>5975433454.4300003</v>
      </c>
      <c r="F89" s="8">
        <v>7702726</v>
      </c>
      <c r="G89" s="100">
        <v>0.25</v>
      </c>
      <c r="H89" s="15"/>
      <c r="I89" s="19">
        <v>0.1</v>
      </c>
      <c r="J89" s="19"/>
      <c r="K89" s="108"/>
      <c r="L89" s="108"/>
      <c r="M89" s="110">
        <v>10479149000</v>
      </c>
      <c r="N89" s="110">
        <v>795212000</v>
      </c>
      <c r="O89" s="13">
        <f>Tabela3[[#This Row],[Capital Social]]*20%</f>
        <v>1195086690.8860002</v>
      </c>
      <c r="P89" s="13">
        <f>IF(([Lucro Líquido]*5%)&gt;[Teto R. Legal],[Teto R. Legal],[Lucro Líquido]*5%)</f>
        <v>39760600</v>
      </c>
      <c r="Q89" s="110">
        <f>IF([Lucro Líquido]&lt;0,0,[Lucro Líquido]-[Reserva Legal])</f>
        <v>755451400</v>
      </c>
      <c r="R89" s="110">
        <f>Tabela3[[#This Row],[Lucro Distribuir]]*[%Div]</f>
        <v>188862850</v>
      </c>
      <c r="S89" s="57">
        <f>SUMPRODUCT(N([Nome]=Tabela3[[#This Row],[Nome]]),[Ações])</f>
        <v>327502673</v>
      </c>
      <c r="T89" s="6">
        <f>[Capital Social]/[Total Ações]</f>
        <v>18.245449417843378</v>
      </c>
      <c r="U89" s="96">
        <f>Tabela3[[#This Row],[Lucro Líquido]]/Tabela3[[#This Row],[Total Ações]]</f>
        <v>2.4281084264616064</v>
      </c>
      <c r="V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89" s="13">
        <f>[Div Base]*[Ações]</f>
        <v>14053969.761250706</v>
      </c>
      <c r="AA89" s="13">
        <f>SUMPRODUCT(N([Nome]=Tabela3[[#This Row],[Nome]]),[Div Base]*[Ações])</f>
        <v>188862850</v>
      </c>
      <c r="AB89" s="110">
        <f>[Patrimônio Líquido]/[Total Ações]</f>
        <v>31.99714037143141</v>
      </c>
      <c r="AC89" s="49">
        <f>MAX(Tabela3[[#This Row],[Cotação 1]:[Cotação 3]])</f>
        <v>21.91</v>
      </c>
      <c r="AD89" s="45">
        <f>[Cotação]/[VPA]</f>
        <v>0.68474869146626316</v>
      </c>
      <c r="AE89" s="41">
        <f>IF(Tabela3[[#This Row],[Lucro/Ação]]&gt;0,Tabela3[[#This Row],[Cotação]]/(Tabela3[[#This Row],[Lucro/Ação]]/[Ref]*4),0)</f>
        <v>6.7676137609499101</v>
      </c>
      <c r="AF89" s="93" t="e">
        <f>IF([Div. Mínimo]=0,0,[Lucro Distribuir]*#REF!/[Total Ações])</f>
        <v>#REF!</v>
      </c>
      <c r="AG89" s="96">
        <f>[Lucro Distribuir]/[Total Ações]</f>
        <v>2.3067030051385262</v>
      </c>
      <c r="AH89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89" s="14" t="str">
        <f>IF(AND([% A.A.]&gt;=8%,SUMPRODUCT(N([Nome]=Tabela3[[#This Row],[Nome]]),[PL])&gt;0),"Sim","Não")</f>
        <v>Sim</v>
      </c>
      <c r="AJ89" s="43">
        <f>IF([Cotação]&gt;0,Tabela3[[#This Row],[Lucro]]/Tabela3[[#This Row],[Cotação]],0)</f>
        <v>8.3274529520051946E-2</v>
      </c>
      <c r="AK89" s="19">
        <f>((1+Tabela3[[#This Row],[% Yield]])^(1/(3*Tabela3[[#This Row],[Ref]])))^(12)-1</f>
        <v>0.11254616891228775</v>
      </c>
      <c r="AL89" s="14">
        <f>IF([Cotação]&gt;0,($AR$1/Tabela3[[#This Row],[Cotação]]-MOD($AR$1/Tabela3[[#This Row],[Cotação]],100)),)</f>
        <v>0</v>
      </c>
      <c r="AM89" s="17">
        <f>Tabela3[[#This Row],[Ativos]]*[Lucro]</f>
        <v>0</v>
      </c>
      <c r="AN89" s="48">
        <f>SUMPRODUCT(N(Tabela1[Código]=Tabela3[[#This Row],[PAPEL]]),Tabela1[Fechamento])</f>
        <v>21.91</v>
      </c>
      <c r="AO89" s="48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>
      <c r="A90" s="4" t="s">
        <v>14</v>
      </c>
      <c r="B90" s="65" t="s">
        <v>78</v>
      </c>
      <c r="C90" s="15" t="str">
        <f>LEFT([PAPEL],LEN([PAPEL])-(LEN([PAPEL])-4))</f>
        <v>BRGE</v>
      </c>
      <c r="D90" s="16">
        <v>3</v>
      </c>
      <c r="E90" s="5">
        <v>303375520</v>
      </c>
      <c r="F90" s="57">
        <v>2330271</v>
      </c>
      <c r="G90" s="106">
        <v>0.25</v>
      </c>
      <c r="H90" s="16"/>
      <c r="I90" s="18">
        <v>0.12</v>
      </c>
      <c r="K90" s="107"/>
      <c r="L90" s="107"/>
      <c r="M90" s="5">
        <v>843867000</v>
      </c>
      <c r="N90" s="5">
        <v>34502000</v>
      </c>
      <c r="O90" s="5">
        <f>Tabela3[[#This Row],[Capital Social]]*20%</f>
        <v>60675104</v>
      </c>
      <c r="P90" s="5">
        <f>IF(([Lucro Líquido]*5%)&gt;[Teto R. Legal],[Teto R. Legal],[Lucro Líquido]*5%)</f>
        <v>1725100</v>
      </c>
      <c r="Q90" s="5">
        <f>IF([Lucro Líquido]&lt;0,0,[Lucro Líquido]-[Reserva Legal])</f>
        <v>32776900</v>
      </c>
      <c r="R90" s="5">
        <f>Tabela3[[#This Row],[Lucro Distribuir]]*[%Div]</f>
        <v>8194225</v>
      </c>
      <c r="S90" s="21">
        <f>SUMPRODUCT(N([Nome]=Tabela3[[#This Row],[Nome]]),[Ações])</f>
        <v>73646388</v>
      </c>
      <c r="T90" s="5">
        <f>[Capital Social]/[Total Ações]</f>
        <v>4.1193536877871049</v>
      </c>
      <c r="U90" s="95">
        <f>Tabela3[[#This Row],[Lucro Líquido]]/Tabela3[[#This Row],[Total Ações]]</f>
        <v>0.46848190300928266</v>
      </c>
      <c r="V9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9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90" s="5">
        <f>[Div Base]*[Ações]</f>
        <v>1151905.2524872012</v>
      </c>
      <c r="AA90" s="5">
        <f>SUMPRODUCT(N([Nome]=Tabela3[[#This Row],[Nome]]),[Div Base]*[Ações])</f>
        <v>8194224.9999999991</v>
      </c>
      <c r="AB90" s="5">
        <f>[Patrimônio Líquido]/[Total Ações]</f>
        <v>11.45836235716</v>
      </c>
      <c r="AC90" s="53">
        <f>MAX(Tabela3[[#This Row],[Cotação 1]:[Cotação 3]])</f>
        <v>5.97</v>
      </c>
      <c r="AD90" s="54">
        <f>[Cotação]/[VPA]</f>
        <v>0.5210168620884571</v>
      </c>
      <c r="AE90" s="38">
        <f>IF(Tabela3[[#This Row],[Lucro/Ação]]&gt;0,Tabela3[[#This Row],[Cotação]]/(Tabela3[[#This Row],[Lucro/Ação]]/[Ref]*4),0)</f>
        <v>9.5574662996348039</v>
      </c>
      <c r="AF90" s="38" t="e">
        <f>IF([Div. Mínimo]=0,0,[Lucro Distribuir]*#REF!/[Total Ações])</f>
        <v>#REF!</v>
      </c>
      <c r="AG90" s="95">
        <f>[Lucro Distribuir]/[Total Ações]</f>
        <v>0.44505780785881854</v>
      </c>
      <c r="AH90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90" s="16" t="str">
        <f>IF(AND([% A.A.]&gt;=8%,SUMPRODUCT(N([Nome]=Tabela3[[#This Row],[Nome]]),[PL])&gt;0),"Sim","Não")</f>
        <v>Sim</v>
      </c>
      <c r="AJ90" s="22">
        <f>IF([Cotação]&gt;0,Tabela3[[#This Row],[Lucro]]/Tabela3[[#This Row],[Cotação]],0)</f>
        <v>8.280107915149959E-2</v>
      </c>
      <c r="AK90" s="18">
        <f>((1+Tabela3[[#This Row],[% Yield]])^(1/(3*Tabela3[[#This Row],[Ref]])))^(12)-1</f>
        <v>0.11189789123577554</v>
      </c>
      <c r="AL90" s="10">
        <f>IF([Cotação]&gt;0,($AR$1/Tabela3[[#This Row],[Cotação]]-MOD($AR$1/Tabela3[[#This Row],[Cotação]],100)),)</f>
        <v>0</v>
      </c>
      <c r="AM90" s="7">
        <f>Tabela3[[#This Row],[Ativos]]*[Lucro]</f>
        <v>0</v>
      </c>
      <c r="AN90" s="5">
        <f>SUMPRODUCT(N(Tabela1[Código]=Tabela3[[#This Row],[PAPEL]]),Tabela1[Fechamento])</f>
        <v>5.97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>
      <c r="A91" s="4" t="s">
        <v>14</v>
      </c>
      <c r="B91" s="65" t="s">
        <v>240</v>
      </c>
      <c r="C91" s="15" t="str">
        <f>LEFT([PAPEL],LEN([PAPEL])-(LEN([PAPEL])-4))</f>
        <v>BRGE</v>
      </c>
      <c r="D91" s="16">
        <v>3</v>
      </c>
      <c r="E91" s="5">
        <v>303375520</v>
      </c>
      <c r="F91" s="57">
        <v>219863</v>
      </c>
      <c r="G91" s="100">
        <v>0.25</v>
      </c>
      <c r="H91" s="16"/>
      <c r="I91" s="18">
        <v>7.0000000000000007E-2</v>
      </c>
      <c r="K91" s="107"/>
      <c r="L91" s="107"/>
      <c r="M91" s="5">
        <v>843867000</v>
      </c>
      <c r="N91" s="5">
        <v>34502000</v>
      </c>
      <c r="O91" s="5">
        <f>Tabela3[[#This Row],[Capital Social]]*20%</f>
        <v>60675104</v>
      </c>
      <c r="P91" s="5">
        <f>IF(([Lucro Líquido]*5%)&gt;[Teto R. Legal],[Teto R. Legal],[Lucro Líquido]*5%)</f>
        <v>1725100</v>
      </c>
      <c r="Q91" s="5">
        <f>IF([Lucro Líquido]&lt;0,0,[Lucro Líquido]-[Reserva Legal])</f>
        <v>32776900</v>
      </c>
      <c r="R91" s="5">
        <f>Tabela3[[#This Row],[Lucro Distribuir]]*[%Div]</f>
        <v>8194225</v>
      </c>
      <c r="S91" s="21">
        <f>SUMPRODUCT(N([Nome]=Tabela3[[#This Row],[Nome]]),[Ações])</f>
        <v>73646388</v>
      </c>
      <c r="T91" s="5">
        <f>[Capital Social]/[Total Ações]</f>
        <v>4.1193536877871049</v>
      </c>
      <c r="U91" s="95">
        <f>Tabela3[[#This Row],[Lucro Líquido]]/Tabela3[[#This Row],[Total Ações]]</f>
        <v>0.46848190300928266</v>
      </c>
      <c r="V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91" s="5">
        <f>[Div Base]*[Ações]</f>
        <v>63398.542190055545</v>
      </c>
      <c r="AA91" s="5">
        <f>SUMPRODUCT(N([Nome]=Tabela3[[#This Row],[Nome]]),[Div Base]*[Ações])</f>
        <v>8194224.9999999991</v>
      </c>
      <c r="AB91" s="5">
        <f>[Patrimônio Líquido]/[Total Ações]</f>
        <v>11.45836235716</v>
      </c>
      <c r="AC91" s="53">
        <f>MAX(Tabela3[[#This Row],[Cotação 1]:[Cotação 3]])</f>
        <v>3.6</v>
      </c>
      <c r="AD91" s="54">
        <f>[Cotação]/[VPA]</f>
        <v>0.31418102236489875</v>
      </c>
      <c r="AE91" s="38">
        <f>IF(Tabela3[[#This Row],[Lucro/Ação]]&gt;0,Tabela3[[#This Row],[Cotação]]/(Tabela3[[#This Row],[Lucro/Ação]]/[Ref]*4),0)</f>
        <v>5.7632962610863148</v>
      </c>
      <c r="AF91" s="38" t="e">
        <f>IF([Div. Mínimo]=0,0,[Lucro Distribuir]*#REF!/[Total Ações])</f>
        <v>#REF!</v>
      </c>
      <c r="AG91" s="95">
        <f>[Lucro Distribuir]/[Total Ações]</f>
        <v>0.44505780785881854</v>
      </c>
      <c r="AH91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91" s="16" t="str">
        <f>IF(AND([% A.A.]&gt;=8%,SUMPRODUCT(N([Nome]=Tabela3[[#This Row],[Nome]]),[PL])&gt;0),"Sim","Não")</f>
        <v>Sim</v>
      </c>
      <c r="AJ91" s="22">
        <f>IF([Cotação]&gt;0,Tabela3[[#This Row],[Lucro]]/Tabela3[[#This Row],[Cotação]],0)</f>
        <v>8.0098543929193716E-2</v>
      </c>
      <c r="AK91" s="18">
        <f>((1+Tabela3[[#This Row],[% Yield]])^(1/(3*Tabela3[[#This Row],[Ref]])))^(12)-1</f>
        <v>0.10819922169540064</v>
      </c>
      <c r="AL91" s="10">
        <f>IF([Cotação]&gt;0,($AR$1/Tabela3[[#This Row],[Cotação]]-MOD($AR$1/Tabela3[[#This Row],[Cotação]],100)),)</f>
        <v>0</v>
      </c>
      <c r="AM91" s="7">
        <f>Tabela3[[#This Row],[Ativos]]*[Lucro]</f>
        <v>0</v>
      </c>
      <c r="AN91" s="5">
        <f>SUMPRODUCT(N(Tabela1[Código]=Tabela3[[#This Row],[PAPEL]]),Tabela1[Fechamento])</f>
        <v>3.6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4" t="s">
        <v>12</v>
      </c>
      <c r="B92" s="65" t="s">
        <v>97</v>
      </c>
      <c r="C92" s="14" t="str">
        <f>LEFT([PAPEL],LEN([PAPEL])-(LEN([PAPEL])-4))</f>
        <v>COCE</v>
      </c>
      <c r="D92" s="15">
        <v>3</v>
      </c>
      <c r="E92" s="6">
        <v>442946885.76999998</v>
      </c>
      <c r="F92" s="8">
        <v>48067937</v>
      </c>
      <c r="G92" s="100">
        <v>0.25</v>
      </c>
      <c r="H92" s="15"/>
      <c r="I92" s="19"/>
      <c r="J92" s="19"/>
      <c r="K92" s="108"/>
      <c r="L92" s="108"/>
      <c r="M92" s="87">
        <v>1597704000</v>
      </c>
      <c r="N92" s="87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6">
        <f>Tabela3[[#This Row],[Lucro Líquido]]/Tabela3[[#This Row],[Total Ações]]</f>
        <v>1.9344091145292499</v>
      </c>
      <c r="V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22083475.66923672</v>
      </c>
      <c r="AA92" s="5">
        <f>SUMPRODUCT(N([Nome]=Tabela3[[#This Row],[Nome]]),[Div Base]*[Ações])</f>
        <v>35768450</v>
      </c>
      <c r="AB92" s="110">
        <f>[Patrimônio Líquido]/[Total Ações]</f>
        <v>20.52145480810497</v>
      </c>
      <c r="AC92" s="49">
        <f>MAX(Tabela3[[#This Row],[Cotação 1]:[Cotação 3]])</f>
        <v>48.2</v>
      </c>
      <c r="AD92" s="45">
        <f>[Cotação]/[VPA]</f>
        <v>2.3487613549193092</v>
      </c>
      <c r="AE92" s="41">
        <f>IF(Tabela3[[#This Row],[Lucro/Ação]]&gt;0,Tabela3[[#This Row],[Cotação]]/(Tabela3[[#This Row],[Lucro/Ação]]/[Ref]*4),0)</f>
        <v>18.687877206780698</v>
      </c>
      <c r="AF92" s="41" t="e">
        <f>IF([Div. Mínimo]=0,0,[Lucro Distribuir]*#REF!/[Total Ações])</f>
        <v>#REF!</v>
      </c>
      <c r="AG92" s="96">
        <f>[Lucro Distribuir]/[Total Ações]</f>
        <v>1.8376886588027874</v>
      </c>
      <c r="AH92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5" t="str">
        <f>IF(AND([% A.A.]&gt;=8%,SUMPRODUCT(N([Nome]=Tabela3[[#This Row],[Nome]]),[PL])&gt;0),"Sim","Não")</f>
        <v>Não</v>
      </c>
      <c r="AJ92" s="43">
        <f>IF([Cotação]&gt;0,Tabela3[[#This Row],[Lucro]]/Tabela3[[#This Row],[Cotação]],0)</f>
        <v>9.5315801805123824E-3</v>
      </c>
      <c r="AK92" s="19">
        <f>((1+Tabela3[[#This Row],[% Yield]])^(1/(3*Tabela3[[#This Row],[Ref]])))^(12)-1</f>
        <v>1.2728920095560703E-2</v>
      </c>
      <c r="AL92" s="14">
        <f>IF([Cotação]&gt;0,($AR$1/Tabela3[[#This Row],[Cotação]]-MOD($AR$1/Tabela3[[#This Row],[Cotação]],100)),)</f>
        <v>0</v>
      </c>
      <c r="AM92" s="17">
        <f>Tabela3[[#This Row],[Ativos]]*[Lucro]</f>
        <v>0</v>
      </c>
      <c r="AN92" s="5">
        <f>SUMPRODUCT(N(Tabela1[Código]=Tabela3[[#This Row],[PAPEL]]),Tabela1[Fechamento])</f>
        <v>48.2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82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28164488</v>
      </c>
      <c r="G93" s="106">
        <v>0.25</v>
      </c>
      <c r="H93" s="16"/>
      <c r="I93" s="18">
        <v>0.06</v>
      </c>
      <c r="K93" s="107"/>
      <c r="L93" s="107"/>
      <c r="M93" s="87">
        <v>1597704000</v>
      </c>
      <c r="N93" s="110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12939390.0446468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47.79</v>
      </c>
      <c r="AD93" s="54">
        <f>[Cotação]/[VPA]</f>
        <v>2.3287822645558878</v>
      </c>
      <c r="AE93" s="38">
        <f>IF(Tabela3[[#This Row],[Lucro/Ação]]&gt;0,Tabela3[[#This Row],[Cotação]]/(Tabela3[[#This Row],[Lucro/Ação]]/[Ref]*4),0)</f>
        <v>18.528913935934639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A.A.]&gt;=8%,SUMPRODUCT(N([Nome]=Tabela3[[#This Row],[Nome]]),[PL])&gt;0),"Sim","Não")</f>
        <v>Não</v>
      </c>
      <c r="AJ93" s="22">
        <f>IF([Cotação]&gt;0,Tabela3[[#This Row],[Lucro]]/Tabela3[[#This Row],[Cotação]],0)</f>
        <v>9.6133535195793447E-3</v>
      </c>
      <c r="AK93" s="18">
        <f>((1+Tabela3[[#This Row],[% Yield]])^(1/(3*Tabela3[[#This Row],[Ref]])))^(12)-1</f>
        <v>1.2838298009015592E-2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47.79</v>
      </c>
      <c r="AO93" s="5">
        <f>SUMPRODUCT(N(Tabela17[Código]=Tabela3[[#This Row],[PAPEL]]),Tabela17[Fechamento])</f>
        <v>0</v>
      </c>
      <c r="AP93" s="7">
        <f>SUMPRODUCT(N(Tabela176[Código]=Tabela3[[#This Row],[PAPEL]]),Tabela176[Fechamento])</f>
        <v>0</v>
      </c>
    </row>
    <row r="94" spans="1:42" hidden="1">
      <c r="A94" s="3" t="s">
        <v>12</v>
      </c>
      <c r="B94" s="66" t="s">
        <v>543</v>
      </c>
      <c r="C94" s="10" t="str">
        <f>LEFT([PAPEL],LEN([PAPEL])-(LEN([PAPEL])-4))</f>
        <v>COCE</v>
      </c>
      <c r="D94" s="16">
        <v>3</v>
      </c>
      <c r="E94" s="6">
        <v>442946885.76999998</v>
      </c>
      <c r="F94" s="57">
        <v>1622874</v>
      </c>
      <c r="G94" s="106">
        <v>0.25</v>
      </c>
      <c r="H94" s="16"/>
      <c r="I94" s="18">
        <v>0.1</v>
      </c>
      <c r="K94" s="107"/>
      <c r="L94" s="107"/>
      <c r="M94" s="87">
        <v>1597704000</v>
      </c>
      <c r="N94" s="87">
        <v>150604000</v>
      </c>
      <c r="O94" s="5">
        <f>Tabela3[[#This Row],[Capital Social]]*20%</f>
        <v>88589377.153999999</v>
      </c>
      <c r="P94" s="5">
        <f>IF(([Lucro Líquido]*5%)&gt;[Teto R. Legal],[Teto R. Legal],[Lucro Líquido]*5%)</f>
        <v>7530200</v>
      </c>
      <c r="Q94" s="87">
        <f>IF([Lucro Líquido]&lt;0,0,[Lucro Líquido]-[Reserva Legal])</f>
        <v>143073800</v>
      </c>
      <c r="R94" s="87">
        <f>Tabela3[[#This Row],[Lucro Distribuir]]*[%Div]</f>
        <v>35768450</v>
      </c>
      <c r="S94" s="57">
        <f>SUMPRODUCT(N([Nome]=Tabela3[[#This Row],[Nome]]),[Ações])</f>
        <v>77855299</v>
      </c>
      <c r="T94" s="5">
        <f>[Capital Social]/[Total Ações]</f>
        <v>5.6893607944399518</v>
      </c>
      <c r="U94" s="95">
        <f>Tabela3[[#This Row],[Lucro Líquido]]/Tabela3[[#This Row],[Total Ações]]</f>
        <v>1.9344091145292499</v>
      </c>
      <c r="V9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4" s="5">
        <f>[Div Base]*[Ações]</f>
        <v>745584.28611647873</v>
      </c>
      <c r="AA94" s="5">
        <f>SUMPRODUCT(N([Nome]=Tabela3[[#This Row],[Nome]]),[Div Base]*[Ações])</f>
        <v>35768450</v>
      </c>
      <c r="AB94" s="87">
        <f>[Patrimônio Líquido]/[Total Ações]</f>
        <v>20.52145480810497</v>
      </c>
      <c r="AC94" s="53">
        <f>MAX(Tabela3[[#This Row],[Cotação 1]:[Cotação 3]])</f>
        <v>35</v>
      </c>
      <c r="AD94" s="54">
        <f>[Cotação]/[VPA]</f>
        <v>1.7055321041945191</v>
      </c>
      <c r="AE94" s="38">
        <f>IF(Tabela3[[#This Row],[Lucro/Ação]]&gt;0,Tabela3[[#This Row],[Cotação]]/(Tabela3[[#This Row],[Lucro/Ação]]/[Ref]*4),0)</f>
        <v>13.570035316127063</v>
      </c>
      <c r="AF94" s="38" t="e">
        <f>IF([Div. Mínimo]=0,0,[Lucro Distribuir]*#REF!/[Total Ações])</f>
        <v>#REF!</v>
      </c>
      <c r="AG94" s="95">
        <f>[Lucro Distribuir]/[Total Ações]</f>
        <v>1.8376886588027874</v>
      </c>
      <c r="AH94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4" s="10" t="str">
        <f>IF(AND([% A.A.]&gt;=8%,SUMPRODUCT(N([Nome]=Tabela3[[#This Row],[Nome]]),[PL])&gt;0),"Sim","Não")</f>
        <v>Não</v>
      </c>
      <c r="AJ94" s="22">
        <f>IF([Cotação]&gt;0,Tabela3[[#This Row],[Lucro]]/Tabela3[[#This Row],[Cotação]],0)</f>
        <v>1.3126347562877052E-2</v>
      </c>
      <c r="AK94" s="18">
        <f>((1+Tabela3[[#This Row],[% Yield]])^(1/(3*Tabela3[[#This Row],[Ref]])))^(12)-1</f>
        <v>1.7539974780264478E-2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0</v>
      </c>
      <c r="AO94" s="5">
        <f>SUMPRODUCT(N(Tabela17[Código]=Tabela3[[#This Row],[PAPEL]]),Tabela17[Fechamento])</f>
        <v>35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32</v>
      </c>
      <c r="C95" s="15" t="str">
        <f>LEFT([PAPEL],LEN([PAPEL])-(LEN([PAPEL])-4))</f>
        <v>CPFE</v>
      </c>
      <c r="D95" s="16">
        <v>3</v>
      </c>
      <c r="E95" s="5">
        <v>4793424356.6199999</v>
      </c>
      <c r="F95" s="57">
        <v>962274260</v>
      </c>
      <c r="G95" s="100">
        <v>0.25</v>
      </c>
      <c r="H95" s="16"/>
      <c r="I95" s="18"/>
      <c r="K95" s="107"/>
      <c r="L95" s="107"/>
      <c r="M95" s="111">
        <v>6763474000</v>
      </c>
      <c r="N95" s="118">
        <v>636489000</v>
      </c>
      <c r="O95" s="29">
        <f>Tabela3[[#This Row],[Capital Social]]*20%</f>
        <v>958684871.324</v>
      </c>
      <c r="P95" s="29">
        <f>IF(([Lucro Líquido]*5%)&gt;[Teto R. Legal],[Teto R. Legal],[Lucro Líquido]*5%)</f>
        <v>31824450</v>
      </c>
      <c r="Q95" s="111">
        <f>IF([Lucro Líquido]&lt;0,0,[Lucro Líquido]-[Reserva Legal])</f>
        <v>604664550</v>
      </c>
      <c r="R95" s="111">
        <f>Tabela3[[#This Row],[Lucro Distribuir]]*[%Div]</f>
        <v>151166137.5</v>
      </c>
      <c r="S95" s="57">
        <f>SUMPRODUCT(N([Nome]=Tabela3[[#This Row],[Nome]]),[Ações])</f>
        <v>962274260</v>
      </c>
      <c r="T95" s="29">
        <f>[Capital Social]/[Total Ações]</f>
        <v>4.9813494508519849</v>
      </c>
      <c r="U95" s="97">
        <f>Tabela3[[#This Row],[Lucro Líquido]]/Tabela3[[#This Row],[Total Ações]]</f>
        <v>0.6614424041644843</v>
      </c>
      <c r="V95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5" s="29">
        <f>[Div Base]*[Ações]</f>
        <v>151166137.5</v>
      </c>
      <c r="AA95" s="29">
        <f>SUMPRODUCT(N([Nome]=Tabela3[[#This Row],[Nome]]),[Div Base]*[Ações])</f>
        <v>151166137.5</v>
      </c>
      <c r="AB95" s="111">
        <f>[Patrimônio Líquido]/[Total Ações]</f>
        <v>7.0286344352596526</v>
      </c>
      <c r="AC95" s="30">
        <f>MAX(Tabela3[[#This Row],[Cotação 1]:[Cotação 3]])</f>
        <v>18.440000000000001</v>
      </c>
      <c r="AD95" s="31">
        <f>[Cotação]/[VPA]</f>
        <v>2.6235537172760628</v>
      </c>
      <c r="AE95" s="36">
        <f>IF(Tabela3[[#This Row],[Lucro/Ação]]&gt;0,Tabela3[[#This Row],[Cotação]]/(Tabela3[[#This Row],[Lucro/Ação]]/[Ref]*4),0)</f>
        <v>20.908849981382239</v>
      </c>
      <c r="AF95" s="36" t="e">
        <f>IF([Div. Mínimo]=0,0,[Lucro Distribuir]*#REF!/[Total Ações])</f>
        <v>#REF!</v>
      </c>
      <c r="AG95" s="96">
        <f>[Lucro Distribuir]/[Total Ações]</f>
        <v>0.62837028395626005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5" s="26" t="str">
        <f>IF(AND([% A.A.]&gt;=8%,SUMPRODUCT(N([Nome]=Tabela3[[#This Row],[Nome]]),[PL])&gt;0),"Sim","Não")</f>
        <v>Não</v>
      </c>
      <c r="AJ95" s="28">
        <f>IF([Cotação]&gt;0,Tabela3[[#This Row],[Lucro]]/Tabela3[[#This Row],[Cotação]],0)</f>
        <v>8.5191199017931128E-3</v>
      </c>
      <c r="AK95" s="50">
        <f>((1+Tabela3[[#This Row],[% Yield]])^(1/(3*Tabela3[[#This Row],[Ref]])))^(12)-1</f>
        <v>1.1374923978872742E-2</v>
      </c>
      <c r="AL95" s="10">
        <f>IF([Cotação]&gt;0,($AR$1/Tabela3[[#This Row],[Cotação]]-MOD($AR$1/Tabela3[[#This Row],[Cotação]],100)),)</f>
        <v>0</v>
      </c>
      <c r="AM95" s="7">
        <f>Tabela3[[#This Row],[Ativos]]*[Lucro]</f>
        <v>0</v>
      </c>
      <c r="AN95" s="5">
        <f>SUMPRODUCT(N(Tabela1[Código]=Tabela3[[#This Row],[PAPEL]]),Tabela1[Fechamento])</f>
        <v>18.440000000000001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 hidden="1">
      <c r="A96" s="25" t="s">
        <v>12</v>
      </c>
      <c r="B96" s="65" t="s">
        <v>34</v>
      </c>
      <c r="C96" s="15" t="str">
        <f>LEFT([PAPEL],LEN([PAPEL])-(LEN([PAPEL])-4))</f>
        <v>CPLE</v>
      </c>
      <c r="D96" s="15">
        <v>3</v>
      </c>
      <c r="E96" s="6">
        <v>6910000000</v>
      </c>
      <c r="F96" s="8">
        <v>145031080</v>
      </c>
      <c r="G96" s="106">
        <v>0.25</v>
      </c>
      <c r="H96" s="15"/>
      <c r="I96" s="19"/>
      <c r="J96" s="19"/>
      <c r="K96" s="108"/>
      <c r="L96" s="108"/>
      <c r="M96" s="111">
        <v>12828375000</v>
      </c>
      <c r="N96" s="118">
        <v>898498000</v>
      </c>
      <c r="O96" s="29">
        <f>Tabela3[[#This Row],[Capital Social]]*20%</f>
        <v>1382000000</v>
      </c>
      <c r="P96" s="29">
        <f>IF(([Lucro Líquido]*5%)&gt;[Teto R. Legal],[Teto R. Legal],[Lucro Líquido]*5%)</f>
        <v>44924900</v>
      </c>
      <c r="Q96" s="111">
        <f>IF([Lucro Líquido]&lt;0,0,[Lucro Líquido]-[Reserva Legal])</f>
        <v>853573100</v>
      </c>
      <c r="R96" s="111">
        <f>Tabela3[[#This Row],[Lucro Distribuir]]*[%Div]</f>
        <v>213393275</v>
      </c>
      <c r="S96" s="57">
        <f>SUMPRODUCT(N([Nome]=Tabela3[[#This Row],[Nome]]),[Ações])</f>
        <v>273655375</v>
      </c>
      <c r="T96" s="29">
        <f>[Capital Social]/[Total Ações]</f>
        <v>25.250737355332415</v>
      </c>
      <c r="U96" s="97">
        <f>Tabela3[[#This Row],[Lucro Líquido]]/Tabela3[[#This Row],[Total Ações]]</f>
        <v>3.2833193939640322</v>
      </c>
      <c r="V96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6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6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6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6" s="29">
        <f>[Div Base]*[Ações]</f>
        <v>112739994.73966645</v>
      </c>
      <c r="AA96" s="29">
        <f>SUMPRODUCT(N([Nome]=Tabela3[[#This Row],[Nome]]),[Div Base]*[Ações])</f>
        <v>216148879.24719858</v>
      </c>
      <c r="AB96" s="111">
        <f>[Patrimônio Líquido]/[Total Ações]</f>
        <v>46.877847730927996</v>
      </c>
      <c r="AC96" s="30">
        <f>MAX(Tabela3[[#This Row],[Cotação 1]:[Cotação 3]])</f>
        <v>21.14</v>
      </c>
      <c r="AD96" s="31">
        <f>[Cotação]/[VPA]</f>
        <v>0.45095927017256671</v>
      </c>
      <c r="AE96" s="36">
        <f>IF(Tabela3[[#This Row],[Lucro/Ação]]&gt;0,Tabela3[[#This Row],[Cotação]]/(Tabela3[[#This Row],[Lucro/Ação]]/[Ref]*4),0)</f>
        <v>4.8289545114457688</v>
      </c>
      <c r="AF96" s="36" t="e">
        <f>IF([Div. Mínimo]=0,0,[Lucro Distribuir]*#REF!/[Total Ações])</f>
        <v>#REF!</v>
      </c>
      <c r="AG96" s="96">
        <f>[Lucro Distribuir]/[Total Ações]</f>
        <v>3.1191534242658308</v>
      </c>
      <c r="AH96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6" s="26" t="str">
        <f>IF(AND([% A.A.]&gt;=8%,SUMPRODUCT(N([Nome]=Tabela3[[#This Row],[Nome]]),[PL])&gt;0),"Sim","Não")</f>
        <v>Não</v>
      </c>
      <c r="AJ96" s="28">
        <f>IF([Cotação]&gt;0,Tabela3[[#This Row],[Lucro]]/Tabela3[[#This Row],[Cotação]],0)</f>
        <v>3.6771550805309423E-2</v>
      </c>
      <c r="AK96" s="50">
        <f>((1+Tabela3[[#This Row],[% Yield]])^(1/(3*Tabela3[[#This Row],[Ref]])))^(12)-1</f>
        <v>4.9326793069236041E-2</v>
      </c>
      <c r="AL96" s="10">
        <f>IF([Cotação]&gt;0,($AR$1/Tabela3[[#This Row],[Cotação]]-MOD($AR$1/Tabela3[[#This Row],[Cotação]],100)),)</f>
        <v>0</v>
      </c>
      <c r="AM96" s="5">
        <f>Tabela3[[#This Row],[Ativos]]*[Lucro]</f>
        <v>0</v>
      </c>
      <c r="AN96" s="5">
        <f>SUMPRODUCT(N(Tabela1[Código]=Tabela3[[#This Row],[PAPEL]]),Tabela1[Fechamento])</f>
        <v>21.14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>
      <c r="A97" s="4" t="s">
        <v>390</v>
      </c>
      <c r="B97" s="65" t="s">
        <v>395</v>
      </c>
      <c r="C97" s="101" t="str">
        <f>LEFT([PAPEL],LEN([PAPEL])-(LEN([PAPEL])-4))</f>
        <v>CRIV</v>
      </c>
      <c r="D97" s="15">
        <v>3</v>
      </c>
      <c r="E97" s="6">
        <v>331000000</v>
      </c>
      <c r="F97" s="8">
        <v>46326898</v>
      </c>
      <c r="G97" s="106">
        <v>0.25</v>
      </c>
      <c r="H97" s="15"/>
      <c r="I97" s="19">
        <v>0.08</v>
      </c>
      <c r="J97" s="19"/>
      <c r="K97" s="108"/>
      <c r="L97" s="108"/>
      <c r="M97" s="6">
        <v>735745000</v>
      </c>
      <c r="N97" s="6">
        <v>39503000</v>
      </c>
      <c r="O97" s="6">
        <f>Tabela3[[#This Row],[Capital Social]]*20%</f>
        <v>66200000</v>
      </c>
      <c r="P97" s="6">
        <f>IF(([Lucro Líquido]*5%)&gt;[Teto R. Legal],[Teto R. Legal],[Lucro Líquido]*5%)</f>
        <v>1975150</v>
      </c>
      <c r="Q97" s="6">
        <f>IF([Lucro Líquido]&lt;0,0,[Lucro Líquido]-[Reserva Legal])</f>
        <v>37527850</v>
      </c>
      <c r="R97" s="6">
        <f>Tabela3[[#This Row],[Lucro Distribuir]]*[%Div]</f>
        <v>9381962.5</v>
      </c>
      <c r="S97" s="57">
        <f>SUMPRODUCT(N([Nome]=Tabela3[[#This Row],[Nome]]),[Ações])</f>
        <v>105765903</v>
      </c>
      <c r="T97" s="6">
        <f>[Capital Social]/[Total Ações]</f>
        <v>3.1295530091583483</v>
      </c>
      <c r="U97" s="96">
        <f>Tabela3[[#This Row],[Lucro Líquido]]/Tabela3[[#This Row],[Total Ações]]</f>
        <v>0.37349466018363214</v>
      </c>
      <c r="V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0.25036424073266789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Z97" s="6">
        <f>[Div Base]*[Ações]</f>
        <v>11598598.643269751</v>
      </c>
      <c r="AA97" s="6">
        <f>SUMPRODUCT(N([Nome]=Tabela3[[#This Row],[Nome]]),[Div Base]*[Ações])</f>
        <v>11598598.643269751</v>
      </c>
      <c r="AB97" s="6">
        <f>[Patrimônio Líquido]/[Total Ações]</f>
        <v>6.9563534100399069</v>
      </c>
      <c r="AC97" s="49">
        <f>MAX(Tabela3[[#This Row],[Cotação 1]:[Cotação 3]])</f>
        <v>3.84</v>
      </c>
      <c r="AD97" s="45">
        <f>[Cotação]/[VPA]</f>
        <v>0.55201335723654255</v>
      </c>
      <c r="AE97" s="41">
        <f>IF(Tabela3[[#This Row],[Lucro/Ação]]&gt;0,Tabela3[[#This Row],[Cotação]]/(Tabela3[[#This Row],[Lucro/Ação]]/[Ref]*4),0)</f>
        <v>7.710953614662178</v>
      </c>
      <c r="AF97" s="41" t="e">
        <f>IF([Div. Mínimo]=0,0,[Lucro Distribuir]*#REF!/[Total Ações])</f>
        <v>#REF!</v>
      </c>
      <c r="AG97" s="96">
        <f>[Lucro Distribuir]/[Total Ações]</f>
        <v>0.35481992717445054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I97" s="15" t="str">
        <f>IF(AND([% A.A.]&gt;=8%,SUMPRODUCT(N([Nome]=Tabela3[[#This Row],[Nome]]),[PL])&gt;0),"Sim","Não")</f>
        <v>Sim</v>
      </c>
      <c r="AJ97" s="43">
        <f>IF([Cotação]&gt;0,Tabela3[[#This Row],[Lucro]]/Tabela3[[#This Row],[Cotação]],0)</f>
        <v>6.5199021024132262E-2</v>
      </c>
      <c r="AK97" s="19">
        <f>((1+Tabela3[[#This Row],[% Yield]])^(1/(3*Tabela3[[#This Row],[Ref]])))^(12)-1</f>
        <v>8.7863347917387591E-2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13">
        <f>SUMPRODUCT(N(Tabela1[Código]=Tabela3[[#This Row],[PAPEL]]),Tabela1[Fechamento])</f>
        <v>0</v>
      </c>
      <c r="AO97" s="56">
        <f>SUMPRODUCT(N(Tabela17[Código]=Tabela3[[#This Row],[PAPEL]]),Tabela17[Fechamento])</f>
        <v>3.84</v>
      </c>
      <c r="AP97" s="7">
        <f>SUMPRODUCT(N(Tabela176[Código]=Tabela3[[#This Row],[PAPEL]]),Tabela176[Fechamento])</f>
        <v>0</v>
      </c>
    </row>
    <row r="98" spans="1:42" hidden="1">
      <c r="A98" s="4" t="s">
        <v>12</v>
      </c>
      <c r="B98" s="65" t="s">
        <v>104</v>
      </c>
      <c r="C98" s="14" t="str">
        <f>LEFT([PAPEL],LEN([PAPEL])-(LEN([PAPEL])-4))</f>
        <v>CPLE</v>
      </c>
      <c r="D98" s="15">
        <v>3</v>
      </c>
      <c r="E98" s="6">
        <v>6910000000</v>
      </c>
      <c r="F98" s="8">
        <v>128242593</v>
      </c>
      <c r="G98" s="106">
        <v>0.25</v>
      </c>
      <c r="H98" s="15"/>
      <c r="I98" s="19"/>
      <c r="J98" s="19">
        <v>0.1</v>
      </c>
      <c r="K98" s="108"/>
      <c r="L98" s="108"/>
      <c r="M98" s="110">
        <v>13116477000</v>
      </c>
      <c r="N98" s="87">
        <v>923222000</v>
      </c>
      <c r="O98" s="6">
        <f>Tabela3[[#This Row],[Capital Social]]*20%</f>
        <v>1382000000</v>
      </c>
      <c r="P98" s="6">
        <f>IF(([Lucro Líquido]*5%)&gt;[Teto R. Legal],[Teto R. Legal],[Lucro Líquido]*5%)</f>
        <v>46161100</v>
      </c>
      <c r="Q98" s="110">
        <f>IF([Lucro Líquido]&lt;0,0,[Lucro Líquido]-[Reserva Legal])</f>
        <v>877060900</v>
      </c>
      <c r="R98" s="110">
        <f>Tabela3[[#This Row],[Lucro Distribuir]]*[%Div]</f>
        <v>219265225</v>
      </c>
      <c r="S98" s="57">
        <f>SUMPRODUCT(N([Nome]=Tabela3[[#This Row],[Nome]]),[Ações])</f>
        <v>273655375</v>
      </c>
      <c r="T98" s="6">
        <f>[Capital Social]/[Total Ações]</f>
        <v>25.250737355332415</v>
      </c>
      <c r="U98" s="96">
        <f>Tabela3[[#This Row],[Lucro Líquido]]/Tabela3[[#This Row],[Total Ações]]</f>
        <v>3.3736666053060351</v>
      </c>
      <c r="V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0.85394761714314282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8" s="6">
        <f>[Div Base]*[Ações]</f>
        <v>102445058.81253162</v>
      </c>
      <c r="AA98" s="6">
        <f>SUMPRODUCT(N([Nome]=Tabela3[[#This Row],[Nome]]),[Div Base]*[Ações])</f>
        <v>216148879.24719858</v>
      </c>
      <c r="AB98" s="110">
        <f>[Patrimônio Líquido]/[Total Ações]</f>
        <v>47.930639038242902</v>
      </c>
      <c r="AC98" s="49">
        <f>MAX(Tabela3[[#This Row],[Cotação 1]:[Cotação 3]])</f>
        <v>28.92</v>
      </c>
      <c r="AD98" s="45">
        <f>[Cotação]/[VPA]</f>
        <v>0.60337188446257328</v>
      </c>
      <c r="AE98" s="41">
        <f>IF(Tabela3[[#This Row],[Lucro/Ação]]&gt;0,Tabela3[[#This Row],[Cotação]]/(Tabela3[[#This Row],[Lucro/Ação]]/[Ref]*4),0)</f>
        <v>6.4292067170734661</v>
      </c>
      <c r="AF98" s="41" t="e">
        <f>IF([Div. Mínimo]=0,0,[Lucro Distribuir]*#REF!/[Total Ações])</f>
        <v>#REF!</v>
      </c>
      <c r="AG98" s="96">
        <f>[Lucro Distribuir]/[Total Ações]</f>
        <v>3.2049832750407332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8" s="15" t="str">
        <f>IF(AND([% A.A.]&gt;=8%,SUMPRODUCT(N([Nome]=Tabela3[[#This Row],[Nome]]),[PL])&gt;0),"Sim","Não")</f>
        <v>Não</v>
      </c>
      <c r="AJ98" s="43">
        <f>IF([Cotação]&gt;0,Tabela3[[#This Row],[Lucro]]/Tabela3[[#This Row],[Cotação]],0)</f>
        <v>2.7622338104370942E-2</v>
      </c>
      <c r="AK98" s="19">
        <f>((1+Tabela3[[#This Row],[% Yield]])^(1/(3*Tabela3[[#This Row],[Ref]])))^(12)-1</f>
        <v>3.6998309295532161E-2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5">
        <f>SUMPRODUCT(N(Tabela1[Código]=Tabela3[[#This Row],[PAPEL]]),Tabela1[Fechamento])</f>
        <v>28.92</v>
      </c>
      <c r="AO98" s="5">
        <f>SUMPRODUCT(N(Tabela17[Código]=Tabela3[[#This Row],[PAPEL]]),Tabela17[Fechamento])</f>
        <v>0</v>
      </c>
      <c r="AP98" s="7">
        <f>SUMPRODUCT(N(Tabela176[Código]=Tabela3[[#This Row],[PAPEL]]),Tabela176[Fechamento])</f>
        <v>0</v>
      </c>
    </row>
    <row r="99" spans="1:42" hidden="1">
      <c r="A99" s="4" t="s">
        <v>390</v>
      </c>
      <c r="B99" s="65" t="s">
        <v>394</v>
      </c>
      <c r="C99" s="101" t="str">
        <f>LEFT([PAPEL],LEN([PAPEL])-(LEN([PAPEL])-4))</f>
        <v>CRIV</v>
      </c>
      <c r="D99" s="15">
        <v>3</v>
      </c>
      <c r="E99" s="6">
        <v>331000000</v>
      </c>
      <c r="F99" s="8">
        <v>59439005</v>
      </c>
      <c r="G99" s="100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66200000</v>
      </c>
      <c r="P99" s="6">
        <f>IF(([Lucro Líquido]*5%)&gt;[Teto R. Legal],[Teto R. Legal],[Lucro Líquido]*5%)</f>
        <v>1975150</v>
      </c>
      <c r="Q99" s="6">
        <f>IF([Lucro Líquido]&lt;0,0,[Lucro Líquido]-[Reserva Legal])</f>
        <v>37527850</v>
      </c>
      <c r="R99" s="6">
        <f>Tabela3[[#This Row],[Lucro Distribuir]]*[%Div]</f>
        <v>9381962.5</v>
      </c>
      <c r="S99" s="57">
        <f>SUMPRODUCT(N([Nome]=Tabela3[[#This Row],[Nome]]),[Ações])</f>
        <v>105765903</v>
      </c>
      <c r="T99" s="6">
        <f>[Capital Social]/[Total Ações]</f>
        <v>3.1295530091583483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11598598.643269751</v>
      </c>
      <c r="AB99" s="6">
        <f>[Patrimônio Líquido]/[Total Ações]</f>
        <v>6.9563534100399069</v>
      </c>
      <c r="AC99" s="49">
        <f>MAX(Tabela3[[#This Row],[Cotação 1]:[Cotação 3]])</f>
        <v>3.89</v>
      </c>
      <c r="AD99" s="45">
        <f>[Cotação]/[VPA]</f>
        <v>0.55920103115889341</v>
      </c>
      <c r="AE99" s="41">
        <f>IF(Tabela3[[#This Row],[Lucro/Ação]]&gt;0,Tabela3[[#This Row],[Cotação]]/(Tabela3[[#This Row],[Lucro/Ação]]/[Ref]*4),0)</f>
        <v>7.8113566565197585</v>
      </c>
      <c r="AF99" s="41" t="e">
        <f>IF([Div. Mínimo]=0,0,[Lucro Distribuir]*#REF!/[Total Ações])</f>
        <v>#REF!</v>
      </c>
      <c r="AG99" s="96">
        <f>[Lucro Distribuir]/[Total Ações]</f>
        <v>0.35481992717445054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A.A.]&gt;=8%,SUMPRODUCT(N([Nome]=Tabela3[[#This Row],[Nome]]),[PL])&gt;0),"Sim","Não")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3.89</v>
      </c>
      <c r="AP99" s="7">
        <f>SUMPRODUCT(N(Tabela176[Código]=Tabela3[[#This Row],[PAPEL]]),Tabela176[Fechamento])</f>
        <v>0</v>
      </c>
    </row>
    <row r="100" spans="1:42">
      <c r="A100" s="4" t="s">
        <v>14</v>
      </c>
      <c r="B100" s="65" t="s">
        <v>242</v>
      </c>
      <c r="C100" s="15" t="str">
        <f>LEFT([PAPEL],LEN([PAPEL])-(LEN([PAPEL])-4))</f>
        <v>BRGE</v>
      </c>
      <c r="D100" s="16">
        <v>3</v>
      </c>
      <c r="E100" s="5">
        <v>303375520</v>
      </c>
      <c r="F100" s="57">
        <v>6759345</v>
      </c>
      <c r="G100" s="106">
        <v>0.25</v>
      </c>
      <c r="H100" s="16"/>
      <c r="I100" s="18">
        <v>0.06</v>
      </c>
      <c r="K100" s="107"/>
      <c r="L100" s="107"/>
      <c r="M100" s="5">
        <v>843867000</v>
      </c>
      <c r="N100" s="5">
        <v>34502000</v>
      </c>
      <c r="O100" s="5">
        <f>Tabela3[[#This Row],[Capital Social]]*20%</f>
        <v>60675104</v>
      </c>
      <c r="P100" s="5">
        <f>IF(([Lucro Líquido]*5%)&gt;[Teto R. Legal],[Teto R. Legal],[Lucro Líquido]*5%)</f>
        <v>1725100</v>
      </c>
      <c r="Q100" s="5">
        <f>IF([Lucro Líquido]&lt;0,0,[Lucro Líquido]-[Reserva Legal])</f>
        <v>32776900</v>
      </c>
      <c r="R100" s="5">
        <f>Tabela3[[#This Row],[Lucro Distribuir]]*[%Div]</f>
        <v>8194225</v>
      </c>
      <c r="S100" s="21">
        <f>SUMPRODUCT(N([Nome]=Tabela3[[#This Row],[Nome]]),[Ações])</f>
        <v>73646388</v>
      </c>
      <c r="T100" s="5">
        <f>[Capital Social]/[Total Ações]</f>
        <v>4.1193536877871049</v>
      </c>
      <c r="U100" s="95">
        <f>Tabela3[[#This Row],[Lucro Líquido]]/Tabela3[[#This Row],[Total Ações]]</f>
        <v>0.46848190300928266</v>
      </c>
      <c r="V1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1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100" s="5">
        <f>[Div Base]*[Ações]</f>
        <v>1670647.9651665196</v>
      </c>
      <c r="AA100" s="5">
        <f>SUMPRODUCT(N([Nome]=Tabela3[[#This Row],[Nome]]),[Div Base]*[Ações])</f>
        <v>8194224.9999999991</v>
      </c>
      <c r="AB100" s="5">
        <f>[Patrimônio Líquido]/[Total Ações]</f>
        <v>11.45836235716</v>
      </c>
      <c r="AC100" s="53">
        <f>MAX(Tabela3[[#This Row],[Cotação 1]:[Cotação 3]])</f>
        <v>3.82</v>
      </c>
      <c r="AD100" s="54">
        <f>[Cotação]/[VPA]</f>
        <v>0.33338097373164255</v>
      </c>
      <c r="AE100" s="38">
        <f>IF(Tabela3[[#This Row],[Lucro/Ação]]&gt;0,Tabela3[[#This Row],[Cotação]]/(Tabela3[[#This Row],[Lucro/Ação]]/[Ref]*4),0)</f>
        <v>6.1154976992638108</v>
      </c>
      <c r="AF100" s="38" t="e">
        <f>IF([Div. Mínimo]=0,0,[Lucro Distribuir]*#REF!/[Total Ações])</f>
        <v>#REF!</v>
      </c>
      <c r="AG100" s="95">
        <f>[Lucro Distribuir]/[Total Ações]</f>
        <v>0.44505780785881854</v>
      </c>
      <c r="AH100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100" s="16" t="str">
        <f>IF(AND([% A.A.]&gt;=8%,SUMPRODUCT(N([Nome]=Tabela3[[#This Row],[Nome]]),[PL])&gt;0),"Sim","Não")</f>
        <v>Sim</v>
      </c>
      <c r="AJ100" s="22">
        <f>IF([Cotação]&gt;0,Tabela3[[#This Row],[Lucro]]/Tabela3[[#This Row],[Cotação]],0)</f>
        <v>6.4701890384090646E-2</v>
      </c>
      <c r="AK100" s="18">
        <f>((1+Tabela3[[#This Row],[% Yield]])^(1/(3*Tabela3[[#This Row],[Ref]])))^(12)-1</f>
        <v>8.7186456405498713E-2</v>
      </c>
      <c r="AL100" s="10">
        <f>IF([Cotação]&gt;0,($AR$1/Tabela3[[#This Row],[Cotação]]-MOD($AR$1/Tabela3[[#This Row],[Cotação]],100)),)</f>
        <v>0</v>
      </c>
      <c r="AM100" s="7">
        <f>Tabela3[[#This Row],[Ativos]]*[Lucro]</f>
        <v>0</v>
      </c>
      <c r="AN100" s="5">
        <f>SUMPRODUCT(N(Tabela1[Código]=Tabela3[[#This Row],[PAPEL]]),Tabela1[Fechamento])</f>
        <v>3.82</v>
      </c>
      <c r="AO100" s="5">
        <f>SUMPRODUCT(N(Tabela17[Código]=Tabela3[[#This Row],[PAPEL]]),Tabela17[Fechamento])</f>
        <v>0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268</v>
      </c>
      <c r="C101" s="101" t="str">
        <f>LEFT([PAPEL],LEN([PAPEL])-(LEN([PAPEL])-4))</f>
        <v>CSAB</v>
      </c>
      <c r="D101" s="15">
        <v>3</v>
      </c>
      <c r="E101" s="6">
        <v>100000000</v>
      </c>
      <c r="F101" s="8">
        <v>3840000</v>
      </c>
      <c r="G101" s="100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20000000</v>
      </c>
      <c r="P101" s="6">
        <f>IF(([Lucro Líquido]*5%)&gt;[Teto R. Legal],[Teto R. Legal],[Lucro Líquido]*5%)</f>
        <v>45050</v>
      </c>
      <c r="Q101" s="6">
        <f>IF([Lucro Líquido]&lt;0,0,[Lucro Líquido]-[Reserva Legal])</f>
        <v>855950</v>
      </c>
      <c r="R101" s="6">
        <f>Tabela3[[#This Row],[Lucro Distribuir]]*[%Div]</f>
        <v>213987.5</v>
      </c>
      <c r="S101" s="21">
        <f>SUMPRODUCT(N([Nome]=Tabela3[[#This Row],[Nome]]),[Ações])</f>
        <v>7680000</v>
      </c>
      <c r="T101" s="6">
        <f>[Capital Social]/[Total Ações]</f>
        <v>13.020833333333334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1" s="6">
        <f>[Div Base]*[Ações]</f>
        <v>106993.75</v>
      </c>
      <c r="AA101" s="6">
        <f>SUMPRODUCT(N([Nome]=Tabela3[[#This Row],[Nome]]),[Div Base]*[Ações])</f>
        <v>213987.5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 t="e">
        <f>IF([Div. Mínimo]=0,0,[Lucro Distribuir]*#REF!/[Total Ações])</f>
        <v>#REF!</v>
      </c>
      <c r="AG101" s="96">
        <f>[Lucro Distribuir]/[Total Ações]</f>
        <v>0.11145182291666667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1" s="15" t="str">
        <f>IF(AND([% A.A.]&gt;=8%,SUMPRODUCT(N([Nome]=Tabela3[[#This Row],[Nome]]),[PL])&gt;0),"Sim","Não")</f>
        <v>Não</v>
      </c>
      <c r="AJ101" s="43">
        <f>IF([Cotação]&gt;0,Tabela3[[#This Row],[Lucro]]/Tabela3[[#This Row],[Cotação]],0)</f>
        <v>9.2845570573697647E-4</v>
      </c>
      <c r="AK101" s="19">
        <f>((1+Tabela3[[#This Row],[% Yield]])^(1/(3*Tabela3[[#This Row],[Ref]])))^(12)-1</f>
        <v>1.2381324636974167E-3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4" t="s">
        <v>26</v>
      </c>
      <c r="B102" s="65" t="s">
        <v>269</v>
      </c>
      <c r="C102" s="101" t="str">
        <f>LEFT([PAPEL],LEN([PAPEL])-(LEN([PAPEL])-4))</f>
        <v>CSAB</v>
      </c>
      <c r="D102" s="15">
        <v>3</v>
      </c>
      <c r="E102" s="6">
        <v>100000000</v>
      </c>
      <c r="F102" s="8">
        <v>3840000</v>
      </c>
      <c r="G102" s="106">
        <v>0.25</v>
      </c>
      <c r="H102" s="15"/>
      <c r="I102" s="19"/>
      <c r="J102" s="19"/>
      <c r="K102" s="108"/>
      <c r="L102" s="108"/>
      <c r="M102" s="6">
        <v>168049000</v>
      </c>
      <c r="N102" s="6">
        <v>901000</v>
      </c>
      <c r="O102" s="6">
        <f>Tabela3[[#This Row],[Capital Social]]*20%</f>
        <v>20000000</v>
      </c>
      <c r="P102" s="6">
        <f>IF(([Lucro Líquido]*5%)&gt;[Teto R. Legal],[Teto R. Legal],[Lucro Líquido]*5%)</f>
        <v>45050</v>
      </c>
      <c r="Q102" s="6">
        <f>IF([Lucro Líquido]&lt;0,0,[Lucro Líquido]-[Reserva Legal])</f>
        <v>855950</v>
      </c>
      <c r="R102" s="6">
        <f>Tabela3[[#This Row],[Lucro Distribuir]]*[%Div]</f>
        <v>213987.5</v>
      </c>
      <c r="S102" s="21">
        <f>SUMPRODUCT(N([Nome]=Tabela3[[#This Row],[Nome]]),[Ações])</f>
        <v>7680000</v>
      </c>
      <c r="T102" s="6">
        <f>[Capital Social]/[Total Ações]</f>
        <v>13.020833333333334</v>
      </c>
      <c r="U102" s="96">
        <f>Tabela3[[#This Row],[Lucro Líquido]]/Tabela3[[#This Row],[Total Ações]]</f>
        <v>0.11731770833333334</v>
      </c>
      <c r="V1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2" s="6">
        <f>[Div Base]*[Ações]</f>
        <v>106993.75</v>
      </c>
      <c r="AA102" s="6">
        <f>SUMPRODUCT(N([Nome]=Tabela3[[#This Row],[Nome]]),[Div Base]*[Ações])</f>
        <v>213987.5</v>
      </c>
      <c r="AB102" s="6">
        <f>[Patrimônio Líquido]/[Total Ações]</f>
        <v>21.881380208333333</v>
      </c>
      <c r="AC102" s="49">
        <f>MAX(Tabela3[[#This Row],[Cotação 1]:[Cotação 3]])</f>
        <v>30.01</v>
      </c>
      <c r="AD102" s="45">
        <f>[Cotação]/[VPA]</f>
        <v>1.3714856976239074</v>
      </c>
      <c r="AE102" s="41">
        <f>IF(Tabela3[[#This Row],[Lucro/Ação]]&gt;0,Tabela3[[#This Row],[Cotação]]/(Tabela3[[#This Row],[Lucro/Ação]]/[Ref]*4),0)</f>
        <v>191.85083240843508</v>
      </c>
      <c r="AF102" s="41" t="e">
        <f>IF([Div. Mínimo]=0,0,[Lucro Distribuir]*#REF!/[Total Ações])</f>
        <v>#REF!</v>
      </c>
      <c r="AG102" s="96">
        <f>[Lucro Distribuir]/[Total Ações]</f>
        <v>0.11145182291666667</v>
      </c>
      <c r="AH102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2" s="15" t="str">
        <f>IF(AND([% A.A.]&gt;=8%,SUMPRODUCT(N([Nome]=Tabela3[[#This Row],[Nome]]),[PL])&gt;0),"Sim","Não")</f>
        <v>Não</v>
      </c>
      <c r="AJ102" s="43">
        <f>IF([Cotação]&gt;0,Tabela3[[#This Row],[Lucro]]/Tabela3[[#This Row],[Cotação]],0)</f>
        <v>9.2845570573697647E-4</v>
      </c>
      <c r="AK102" s="19">
        <f>((1+Tabela3[[#This Row],[% Yield]])^(1/(3*Tabela3[[#This Row],[Ref]])))^(12)-1</f>
        <v>1.2381324636974167E-3</v>
      </c>
      <c r="AL102" s="14">
        <f>IF([Cotação]&gt;0,($AR$1/Tabela3[[#This Row],[Cotação]]-MOD($AR$1/Tabela3[[#This Row],[Cotação]],100)),)</f>
        <v>0</v>
      </c>
      <c r="AM102" s="17">
        <f>Tabela3[[#This Row],[Ativos]]*[Lucro]</f>
        <v>0</v>
      </c>
      <c r="AN102" s="13">
        <f>SUMPRODUCT(N(Tabela1[Código]=Tabela3[[#This Row],[PAPEL]]),Tabela1[Fechamento])</f>
        <v>0</v>
      </c>
      <c r="AO102" s="13">
        <f>SUMPRODUCT(N(Tabela17[Código]=Tabela3[[#This Row],[PAPEL]]),Tabela17[Fechamento])</f>
        <v>30.01</v>
      </c>
      <c r="AP102" s="7">
        <f>SUMPRODUCT(N(Tabela176[Código]=Tabela3[[#This Row],[PAPEL]]),Tabela176[Fechamento])</f>
        <v>0</v>
      </c>
    </row>
    <row r="103" spans="1:42" hidden="1">
      <c r="A103" s="3" t="s">
        <v>289</v>
      </c>
      <c r="B103" s="66" t="s">
        <v>290</v>
      </c>
      <c r="C103" s="102" t="str">
        <f>LEFT([PAPEL],LEN([PAPEL])-(LEN([PAPEL])-4))</f>
        <v>CSAN</v>
      </c>
      <c r="D103" s="16">
        <v>3</v>
      </c>
      <c r="E103" s="5"/>
      <c r="G103" s="100">
        <v>0.25</v>
      </c>
      <c r="H103" s="16"/>
      <c r="I103" s="18"/>
      <c r="K103" s="107"/>
      <c r="L103" s="107"/>
      <c r="M103" s="5">
        <v>9543805000</v>
      </c>
      <c r="N103" s="6">
        <v>10847000</v>
      </c>
      <c r="O103" s="5">
        <f>Tabela3[[#This Row],[Capital Social]]*20%</f>
        <v>0</v>
      </c>
      <c r="P103" s="5">
        <f>IF(([Lucro Líquido]*5%)&gt;[Teto R. Legal],[Teto R. Legal],[Lucro Líquido]*5%)</f>
        <v>0</v>
      </c>
      <c r="Q103" s="5">
        <f>IF([Lucro Líquido]&lt;0,0,[Lucro Líquido]-[Reserva Legal])</f>
        <v>10847000</v>
      </c>
      <c r="R103" s="5">
        <f>Tabela3[[#This Row],[Lucro Distribuir]]*[%Div]</f>
        <v>2711750</v>
      </c>
      <c r="S103" s="21">
        <v>407214353</v>
      </c>
      <c r="T103" s="5">
        <f>[Capital Social]/[Total Ações]</f>
        <v>0</v>
      </c>
      <c r="U103" s="95">
        <f>Tabela3[[#This Row],[Lucro Líquido]]/Tabela3[[#This Row],[Total Ações]]</f>
        <v>2.6637076812466874E-2</v>
      </c>
      <c r="V1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3" s="5">
        <f>[Div Base]*[Ações]</f>
        <v>0</v>
      </c>
      <c r="AA103" s="5">
        <f>SUMPRODUCT(N([Nome]=Tabela3[[#This Row],[Nome]]),[Div Base]*[Ações])</f>
        <v>0</v>
      </c>
      <c r="AB103" s="5">
        <f>[Patrimônio Líquido]/[Total Ações]</f>
        <v>23.436808967290993</v>
      </c>
      <c r="AC103" s="53">
        <f>MAX(Tabela3[[#This Row],[Cotação 1]:[Cotação 3]])</f>
        <v>36.619999999999997</v>
      </c>
      <c r="AD103" s="54">
        <f>[Cotação]/[VPA]</f>
        <v>1.5624994021629737</v>
      </c>
      <c r="AE103" s="38">
        <f>IF(Tabela3[[#This Row],[Lucro/Ação]]&gt;0,Tabela3[[#This Row],[Cotação]]/(Tabela3[[#This Row],[Lucro/Ação]]/[Ref]*4),0)</f>
        <v>1031.0816082921542</v>
      </c>
      <c r="AF103" s="38">
        <f>IF([Div. Mínimo]=0,0,[Lucro Distribuir]*#REF!/[Total Ações])</f>
        <v>0</v>
      </c>
      <c r="AG103" s="95">
        <f>[Lucro Distribuir]/[Total Ações]</f>
        <v>2.6637076812466874E-2</v>
      </c>
      <c r="AH10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3" s="16" t="str">
        <f>IF(AND([% A.A.]&gt;=8%,SUMPRODUCT(N([Nome]=Tabela3[[#This Row],[Nome]]),[PL])&gt;0),"Sim","Não")</f>
        <v>Não</v>
      </c>
      <c r="AJ103" s="22">
        <f>IF([Cotação]&gt;0,Tabela3[[#This Row],[Lucro]]/Tabela3[[#This Row],[Cotação]],0)</f>
        <v>0</v>
      </c>
      <c r="AK103" s="18">
        <f>((1+Tabela3[[#This Row],[% Yield]])^(1/(3*Tabela3[[#This Row],[Ref]])))^(12)-1</f>
        <v>0</v>
      </c>
      <c r="AL103" s="10">
        <f>IF([Cotação]&gt;0,($AR$1/Tabela3[[#This Row],[Cotação]]-MOD($AR$1/Tabela3[[#This Row],[Cotação]],100)),)</f>
        <v>0</v>
      </c>
      <c r="AM103" s="7">
        <f>Tabela3[[#This Row],[Ativos]]*[Lucro]</f>
        <v>0</v>
      </c>
      <c r="AN103" s="48">
        <f>SUMPRODUCT(N(Tabela1[Código]=Tabela3[[#This Row],[PAPEL]]),Tabela1[Fechamento])</f>
        <v>0</v>
      </c>
      <c r="AO103" s="55">
        <f>SUMPRODUCT(N(Tabela17[Código]=Tabela3[[#This Row],[PAPEL]]),Tabela17[Fechamento])</f>
        <v>36.619999999999997</v>
      </c>
      <c r="AP103" s="7">
        <f>SUMPRODUCT(N(Tabela176[Código]=Tabela3[[#This Row],[PAPEL]]),Tabela176[Fechamento])</f>
        <v>0</v>
      </c>
    </row>
    <row r="104" spans="1:42" hidden="1">
      <c r="A104" s="4" t="s">
        <v>37</v>
      </c>
      <c r="B104" s="65" t="s">
        <v>191</v>
      </c>
      <c r="C104" s="14" t="str">
        <f>LEFT([PAPEL],LEN([PAPEL])-(LEN([PAPEL])-4))</f>
        <v>CSMG</v>
      </c>
      <c r="D104" s="15">
        <v>3</v>
      </c>
      <c r="E104" s="6">
        <v>2773985614.6599998</v>
      </c>
      <c r="F104" s="8">
        <v>119684430</v>
      </c>
      <c r="G104" s="106">
        <v>0.25</v>
      </c>
      <c r="H104" s="15"/>
      <c r="I104" s="19"/>
      <c r="J104" s="19"/>
      <c r="K104" s="108"/>
      <c r="L104" s="108"/>
      <c r="M104" s="6">
        <v>5136809000</v>
      </c>
      <c r="N104" s="6">
        <v>318427000</v>
      </c>
      <c r="O104" s="6">
        <f>Tabela3[[#This Row],[Capital Social]]*20%</f>
        <v>554797122.93200004</v>
      </c>
      <c r="P104" s="6">
        <f>IF(([Lucro Líquido]*5%)&gt;[Teto R. Legal],[Teto R. Legal],[Lucro Líquido]*5%)</f>
        <v>15921350</v>
      </c>
      <c r="Q104" s="6">
        <f>IF([Lucro Líquido]&lt;0,0,[Lucro Líquido]-[Reserva Legal])</f>
        <v>302505650</v>
      </c>
      <c r="R104" s="6">
        <f>Tabela3[[#This Row],[Lucro Distribuir]]*[%Div]</f>
        <v>75626412.5</v>
      </c>
      <c r="S104" s="21">
        <f>SUMPRODUCT(N([Nome]=Tabela3[[#This Row],[Nome]]),[Ações])</f>
        <v>119684430</v>
      </c>
      <c r="T104" s="6">
        <f>[Capital Social]/[Total Ações]</f>
        <v>23.177497813708932</v>
      </c>
      <c r="U104" s="96">
        <f>Tabela3[[#This Row],[Lucro Líquido]]/Tabela3[[#This Row],[Total Ações]]</f>
        <v>2.6605549276543323</v>
      </c>
      <c r="V1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0.63188179531790389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4" s="6">
        <f>[Div Base]*[Ações]</f>
        <v>75626412.5</v>
      </c>
      <c r="AA104" s="6">
        <f>SUMPRODUCT(N([Nome]=Tabela3[[#This Row],[Nome]]),[Div Base]*[Ações])</f>
        <v>75626412.5</v>
      </c>
      <c r="AB104" s="6">
        <f>[Patrimônio Líquido]/[Total Ações]</f>
        <v>42.919609509775</v>
      </c>
      <c r="AC104" s="49">
        <f>MAX(Tabela3[[#This Row],[Cotação 1]:[Cotação 3]])</f>
        <v>32.53</v>
      </c>
      <c r="AD104" s="45">
        <f>[Cotação]/[VPA]</f>
        <v>0.75792861052454941</v>
      </c>
      <c r="AE104" s="41">
        <f>IF(Tabela3[[#This Row],[Lucro/Ação]]&gt;0,Tabela3[[#This Row],[Cotação]]/(Tabela3[[#This Row],[Lucro/Ação]]/[Ref]*4),0)</f>
        <v>9.1700794245619885</v>
      </c>
      <c r="AF104" s="41" t="e">
        <f>IF([Div. Mínimo]=0,0,[Lucro Distribuir]*#REF!/[Total Ações])</f>
        <v>#REF!</v>
      </c>
      <c r="AG104" s="96">
        <f>[Lucro Distribuir]/[Total Ações]</f>
        <v>2.5275271812716156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4" s="15" t="str">
        <f>IF(AND([% A.A.]&gt;=8%,SUMPRODUCT(N([Nome]=Tabela3[[#This Row],[Nome]]),[PL])&gt;0),"Sim","Não")</f>
        <v>Não</v>
      </c>
      <c r="AJ104" s="43">
        <f>IF([Cotação]&gt;0,Tabela3[[#This Row],[Lucro]]/Tabela3[[#This Row],[Cotação]],0)</f>
        <v>1.9424586391574052E-2</v>
      </c>
      <c r="AK104" s="19">
        <f>((1+Tabela3[[#This Row],[% Yield]])^(1/(3*Tabela3[[#This Row],[Ref]])))^(12)-1</f>
        <v>2.598293716589728E-2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32.53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259</v>
      </c>
      <c r="B105" s="65" t="s">
        <v>665</v>
      </c>
      <c r="C105" s="15" t="str">
        <f>LEFT([PAPEL],LEN([PAPEL])-(LEN([PAPEL])-4))</f>
        <v>CSNA</v>
      </c>
      <c r="D105" s="15">
        <v>3</v>
      </c>
      <c r="E105" s="6">
        <v>4540000000</v>
      </c>
      <c r="F105" s="8">
        <v>1457970108</v>
      </c>
      <c r="G105" s="106">
        <v>0.25</v>
      </c>
      <c r="H105" s="15"/>
      <c r="I105" s="19"/>
      <c r="J105" s="19"/>
      <c r="K105" s="108"/>
      <c r="L105" s="108"/>
      <c r="M105" s="114">
        <v>8507300000</v>
      </c>
      <c r="N105" s="115">
        <v>1021477000</v>
      </c>
      <c r="O105" s="13">
        <f>Tabela3[[#This Row],[Capital Social]]*20%</f>
        <v>908000000</v>
      </c>
      <c r="P105" s="13">
        <f>IF(([Lucro Líquido]*5%)&gt;[Teto R. Legal],[Teto R. Legal],[Lucro Líquido]*5%)</f>
        <v>51073850</v>
      </c>
      <c r="Q105" s="13">
        <f>IF([Lucro Líquido]&lt;0,0,[Lucro Líquido]-[Reserva Legal])</f>
        <v>970403150</v>
      </c>
      <c r="R105" s="13">
        <f>Tabela3[[#This Row],[Lucro Distribuir]]*[%Div]</f>
        <v>242600787.5</v>
      </c>
      <c r="S105" s="57">
        <f>SUMPRODUCT(N([Nome]=Tabela3[[#This Row],[Nome]]),[Ações])</f>
        <v>1457970108</v>
      </c>
      <c r="T105" s="6">
        <f>[Capital Social]/[Total Ações]</f>
        <v>3.1139184370712765</v>
      </c>
      <c r="U105" s="96">
        <f>Tabela3[[#This Row],[Lucro Líquido]]/Tabela3[[#This Row],[Total Ações]]</f>
        <v>0.70061587298331629</v>
      </c>
      <c r="V1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Z105" s="13">
        <f>[Div Base]*[Ações]</f>
        <v>242600787.50000003</v>
      </c>
      <c r="AA105" s="13">
        <f>SUMPRODUCT(N([Nome]=Tabela3[[#This Row],[Nome]]),[Div Base]*[Ações])</f>
        <v>242600787.50000003</v>
      </c>
      <c r="AB105" s="113">
        <f>[Patrimônio Líquido]/[Total Ações]</f>
        <v>5.8350304668934951</v>
      </c>
      <c r="AC105" s="49">
        <f>MAX(Tabela3[[#This Row],[Cotação 1]:[Cotação 3]])</f>
        <v>11.35</v>
      </c>
      <c r="AD105" s="45">
        <f>[Cotação]/[VPA]</f>
        <v>1.9451483697295264</v>
      </c>
      <c r="AE105" s="41">
        <f>IF(Tabela3[[#This Row],[Lucro/Ação]]&gt;0,Tabela3[[#This Row],[Cotação]]/(Tabela3[[#This Row],[Lucro/Ação]]/[Ref]*4),0)</f>
        <v>12.150024468832877</v>
      </c>
      <c r="AF105" s="109" t="e">
        <f>IF([Div. Mínimo]=0,0,[Lucro Distribuir]*#REF!/[Total Ações])</f>
        <v>#REF!</v>
      </c>
      <c r="AG105" s="96">
        <f>[Lucro Distribuir]/[Total Ações]</f>
        <v>0.66558507933415056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I105" s="14" t="str">
        <f>IF(AND([% A.A.]&gt;=8%,SUMPRODUCT(N([Nome]=Tabela3[[#This Row],[Nome]]),[PL])&gt;0),"Sim","Não")</f>
        <v>Não</v>
      </c>
      <c r="AJ105" s="43">
        <f>IF([Cotação]&gt;0,Tabela3[[#This Row],[Lucro]]/Tabela3[[#This Row],[Cotação]],0)</f>
        <v>1.4660464302514329E-2</v>
      </c>
      <c r="AK105" s="43">
        <f>((1+Tabela3[[#This Row],[% Yield]])^(1/(3*Tabela3[[#This Row],[Ref]])))^(12)-1</f>
        <v>1.9594893124220691E-2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17">
        <f>SUMPRODUCT(N(Tabela1[Código]=Tabela3[[#This Row],[PAPEL]]),Tabela1[Fechamento])</f>
        <v>0</v>
      </c>
      <c r="AO105" s="17">
        <f>SUMPRODUCT(N(Tabela17[Código]=Tabela3[[#This Row],[PAPEL]]),Tabela17[Fechamento])</f>
        <v>0</v>
      </c>
      <c r="AP105" s="17">
        <f>SUMPRODUCT(N(Tabela176[Código]=Tabela3[[#This Row],[PAPEL]]),Tabela176[Fechamento])</f>
        <v>11.35</v>
      </c>
    </row>
    <row r="106" spans="1:42" hidden="1">
      <c r="A106" s="4" t="s">
        <v>12</v>
      </c>
      <c r="B106" s="65" t="s">
        <v>99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129746219</v>
      </c>
      <c r="G106" s="100">
        <v>0.25</v>
      </c>
      <c r="H106" s="15"/>
      <c r="I106" s="19"/>
      <c r="J106" s="19"/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6" s="6">
        <f>[Div Base]*[Ações]</f>
        <v>27463204.538879864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9.5</v>
      </c>
      <c r="AD106" s="45">
        <f>[Cotação]/[VPA]</f>
        <v>1.8046065757753509</v>
      </c>
      <c r="AE106" s="41">
        <f>IF(Tabela3[[#This Row],[Lucro/Ação]]&gt;0,Tabela3[[#This Row],[Cotação]]/(Tabela3[[#This Row],[Lucro/Ação]]/[Ref]*4),0)</f>
        <v>7.745772745207109</v>
      </c>
      <c r="AF106" s="41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6" s="15" t="str">
        <f>IF(AND([% A.A.]&gt;=8%,SUMPRODUCT(N([Nome]=Tabela3[[#This Row],[Nome]]),[PL])&gt;0),"Sim","Não")</f>
        <v>Não</v>
      </c>
      <c r="AJ106" s="43">
        <f>IF([Cotação]&gt;0,Tabela3[[#This Row],[Lucro]]/Tabela3[[#This Row],[Cotação]],0)</f>
        <v>2.22809085147334E-2</v>
      </c>
      <c r="AK106" s="19">
        <f>((1+Tabela3[[#This Row],[% Yield]])^(1/(3*Tabela3[[#This Row],[Ref]])))^(12)-1</f>
        <v>2.9817656555644501E-2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9.5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12</v>
      </c>
      <c r="B107" s="65" t="s">
        <v>100</v>
      </c>
      <c r="C107" s="14" t="str">
        <f>LEFT([PAPEL],LEN([PAPEL])-(LEN([PAPEL])-4))</f>
        <v>CSRN</v>
      </c>
      <c r="D107" s="15">
        <v>3</v>
      </c>
      <c r="E107" s="6">
        <v>179787268.58000001</v>
      </c>
      <c r="F107" s="8">
        <v>20606128</v>
      </c>
      <c r="G107" s="106">
        <v>0.25</v>
      </c>
      <c r="H107" s="15"/>
      <c r="I107" s="19"/>
      <c r="J107" s="19">
        <v>0.1</v>
      </c>
      <c r="K107" s="108"/>
      <c r="L107" s="108"/>
      <c r="M107" s="110">
        <v>884793000</v>
      </c>
      <c r="N107" s="110">
        <v>154604000</v>
      </c>
      <c r="O107" s="6">
        <f>Tabela3[[#This Row],[Capital Social]]*20%</f>
        <v>35957453.716000006</v>
      </c>
      <c r="P107" s="6">
        <f>IF(([Lucro Líquido]*5%)&gt;[Teto R. Legal],[Teto R. Legal],[Lucro Líquido]*5%)</f>
        <v>7730200</v>
      </c>
      <c r="Q107" s="110">
        <f>IF([Lucro Líquido]&lt;0,0,[Lucro Líquido]-[Reserva Legal])</f>
        <v>146873800</v>
      </c>
      <c r="R107" s="110">
        <f>Tabela3[[#This Row],[Lucro Distribuir]]*[%Div]</f>
        <v>36718450</v>
      </c>
      <c r="S107" s="57">
        <f>SUMPRODUCT(N([Nome]=Tabela3[[#This Row],[Nome]]),[Ações])</f>
        <v>168074028</v>
      </c>
      <c r="T107" s="6">
        <f>[Capital Social]/[Total Ações]</f>
        <v>1.0696909612947458</v>
      </c>
      <c r="U107" s="96">
        <f>Tabela3[[#This Row],[Lucro Líquido]]/Tabela3[[#This Row],[Total Ações]]</f>
        <v>0.91985657653186015</v>
      </c>
      <c r="V1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7" s="6">
        <f>[Div Base]*[Ações]</f>
        <v>4797837.9984462978</v>
      </c>
      <c r="AA107" s="6">
        <f>SUMPRODUCT(N([Nome]=Tabela3[[#This Row],[Nome]]),[Div Base]*[Ações])</f>
        <v>36387278.892751291</v>
      </c>
      <c r="AB107" s="110">
        <f>[Patrimônio Líquido]/[Total Ações]</f>
        <v>5.2643053214622784</v>
      </c>
      <c r="AC107" s="49">
        <f>MAX(Tabela3[[#This Row],[Cotação 1]:[Cotação 3]])</f>
        <v>10.119999999999999</v>
      </c>
      <c r="AD107" s="45">
        <f>[Cotação]/[VPA]</f>
        <v>1.9223808996680578</v>
      </c>
      <c r="AE107" s="41">
        <f>IF(Tabela3[[#This Row],[Lucro/Ação]]&gt;0,Tabela3[[#This Row],[Cotação]]/(Tabela3[[#This Row],[Lucro/Ação]]/[Ref]*4),0)</f>
        <v>8.25128633489431</v>
      </c>
      <c r="AF107" s="41" t="e">
        <f>IF([Div. Mínimo]=0,0,[Lucro Distribuir]*#REF!/[Total Ações])</f>
        <v>#REF!</v>
      </c>
      <c r="AG107" s="96">
        <f>[Lucro Distribuir]/[Total Ações]</f>
        <v>0.87386374770526709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7" s="15" t="str">
        <f>IF(AND([% A.A.]&gt;=8%,SUMPRODUCT(N([Nome]=Tabela3[[#This Row],[Nome]]),[PL])&gt;0),"Sim","Não")</f>
        <v>Não</v>
      </c>
      <c r="AJ107" s="43">
        <f>IF([Cotação]&gt;0,Tabela3[[#This Row],[Lucro]]/Tabela3[[#This Row],[Cotação]],0)</f>
        <v>2.3007459910862088E-2</v>
      </c>
      <c r="AK107" s="19">
        <f>((1+Tabela3[[#This Row],[% Yield]])^(1/(3*Tabela3[[#This Row],[Ref]])))^(12)-1</f>
        <v>3.0793649310691951E-2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5">
        <f>SUMPRODUCT(N(Tabela1[Código]=Tabela3[[#This Row],[PAPEL]]),Tabela1[Fechamento])</f>
        <v>10.119999999999999</v>
      </c>
      <c r="AO107" s="5">
        <f>SUMPRODUCT(N(Tabela17[Código]=Tabela3[[#This Row],[PAPEL]]),Tabela17[Fechamento])</f>
        <v>0</v>
      </c>
      <c r="AP107" s="7">
        <f>SUMPRODUCT(N(Tabela176[Código]=Tabela3[[#This Row],[PAPEL]]),Tabela176[Fechamento])</f>
        <v>0</v>
      </c>
    </row>
    <row r="108" spans="1:42" hidden="1">
      <c r="A108" s="4" t="s">
        <v>12</v>
      </c>
      <c r="B108" s="65" t="s">
        <v>68</v>
      </c>
      <c r="C108" s="14" t="str">
        <f>LEFT([PAPEL],LEN([PAPEL])-(LEN([PAPEL])-4))</f>
        <v>CSRN</v>
      </c>
      <c r="D108" s="15">
        <v>3</v>
      </c>
      <c r="E108" s="6">
        <v>179787268.58000001</v>
      </c>
      <c r="F108" s="8">
        <v>17721681</v>
      </c>
      <c r="G108" s="100">
        <v>0.25</v>
      </c>
      <c r="H108" s="15"/>
      <c r="I108" s="19"/>
      <c r="J108" s="19">
        <v>0.1</v>
      </c>
      <c r="K108" s="108"/>
      <c r="L108" s="108"/>
      <c r="M108" s="110">
        <v>884793000</v>
      </c>
      <c r="N108" s="110">
        <v>154604000</v>
      </c>
      <c r="O108" s="6">
        <f>Tabela3[[#This Row],[Capital Social]]*20%</f>
        <v>35957453.716000006</v>
      </c>
      <c r="P108" s="6">
        <f>IF(([Lucro Líquido]*5%)&gt;[Teto R. Legal],[Teto R. Legal],[Lucro Líquido]*5%)</f>
        <v>7730200</v>
      </c>
      <c r="Q108" s="110">
        <f>IF([Lucro Líquido]&lt;0,0,[Lucro Líquido]-[Reserva Legal])</f>
        <v>146873800</v>
      </c>
      <c r="R108" s="110">
        <f>Tabela3[[#This Row],[Lucro Distribuir]]*[%Div]</f>
        <v>36718450</v>
      </c>
      <c r="S108" s="57">
        <f>SUMPRODUCT(N([Nome]=Tabela3[[#This Row],[Nome]]),[Ações])</f>
        <v>168074028</v>
      </c>
      <c r="T108" s="6">
        <f>[Capital Social]/[Total Ações]</f>
        <v>1.0696909612947458</v>
      </c>
      <c r="U108" s="96">
        <f>Tabela3[[#This Row],[Lucro Líquido]]/Tabela3[[#This Row],[Total Ações]]</f>
        <v>0.91985657653186015</v>
      </c>
      <c r="V1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8" s="6">
        <f>[Div Base]*[Ações]</f>
        <v>4126236.3554251334</v>
      </c>
      <c r="AA108" s="6">
        <f>SUMPRODUCT(N([Nome]=Tabela3[[#This Row],[Nome]]),[Div Base]*[Ações])</f>
        <v>36387278.892751291</v>
      </c>
      <c r="AB108" s="110">
        <f>[Patrimônio Líquido]/[Total Ações]</f>
        <v>5.2643053214622784</v>
      </c>
      <c r="AC108" s="49">
        <f>MAX(Tabela3[[#This Row],[Cotação 1]:[Cotação 3]])</f>
        <v>9</v>
      </c>
      <c r="AD108" s="45">
        <f>[Cotação]/[VPA]</f>
        <v>1.7096272823134904</v>
      </c>
      <c r="AE108" s="41">
        <f>IF(Tabela3[[#This Row],[Lucro/Ação]]&gt;0,Tabela3[[#This Row],[Cotação]]/(Tabela3[[#This Row],[Lucro/Ação]]/[Ref]*4),0)</f>
        <v>7.3381004954593667</v>
      </c>
      <c r="AF108" s="93" t="e">
        <f>IF([Div. Mínimo]=0,0,[Lucro Distribuir]*#REF!/[Total Ações])</f>
        <v>#REF!</v>
      </c>
      <c r="AG108" s="96">
        <f>[Lucro Distribuir]/[Total Ações]</f>
        <v>0.87386374770526709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8" s="14" t="str">
        <f>IF(AND([% A.A.]&gt;=8%,SUMPRODUCT(N([Nome]=Tabela3[[#This Row],[Nome]]),[PL])&gt;0),"Sim","Não")</f>
        <v>Não</v>
      </c>
      <c r="AJ108" s="43">
        <f>IF([Cotação]&gt;0,Tabela3[[#This Row],[Lucro]]/Tabela3[[#This Row],[Cotação]],0)</f>
        <v>2.5870610477547143E-2</v>
      </c>
      <c r="AK108" s="19">
        <f>((1+Tabela3[[#This Row],[% Yield]])^(1/(3*Tabela3[[#This Row],[Ref]])))^(12)-1</f>
        <v>3.4642032113114229E-2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5">
        <f>SUMPRODUCT(N(Tabela1[Código]=Tabela3[[#This Row],[PAPEL]]),Tabela1[Fechamento])</f>
        <v>9</v>
      </c>
      <c r="AO108" s="5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404</v>
      </c>
      <c r="B109" s="65" t="s">
        <v>406</v>
      </c>
      <c r="C109" s="101" t="str">
        <f>LEFT([PAPEL],LEN([PAPEL])-(LEN([PAPEL])-4))</f>
        <v>CTIP</v>
      </c>
      <c r="D109" s="15">
        <v>3</v>
      </c>
      <c r="E109" s="6">
        <v>588599499.64999998</v>
      </c>
      <c r="F109" s="39">
        <v>260498279</v>
      </c>
      <c r="G109" s="106">
        <v>0.25</v>
      </c>
      <c r="H109" s="15"/>
      <c r="I109" s="19"/>
      <c r="J109" s="19"/>
      <c r="K109" s="108"/>
      <c r="L109" s="108"/>
      <c r="M109" s="6">
        <v>1632971000</v>
      </c>
      <c r="N109" s="6">
        <v>264743000</v>
      </c>
      <c r="O109" s="6">
        <f>Tabela3[[#This Row],[Capital Social]]*20%</f>
        <v>117719899.93000001</v>
      </c>
      <c r="P109" s="6">
        <f>IF(([Lucro Líquido]*5%)&gt;[Teto R. Legal],[Teto R. Legal],[Lucro Líquido]*5%)</f>
        <v>13237150</v>
      </c>
      <c r="Q109" s="6">
        <f>IF([Lucro Líquido]&lt;0,0,[Lucro Líquido]-[Reserva Legal])</f>
        <v>251505850</v>
      </c>
      <c r="R109" s="6">
        <f>Tabela3[[#This Row],[Lucro Distribuir]]*[%Div]</f>
        <v>62876462.5</v>
      </c>
      <c r="S109" s="57">
        <f>SUMPRODUCT(N([Nome]=Tabela3[[#This Row],[Nome]]),[Ações])</f>
        <v>260498279</v>
      </c>
      <c r="T109" s="6">
        <f>[Capital Social]/[Total Ações]</f>
        <v>2.2595139665010993</v>
      </c>
      <c r="U109" s="96">
        <f>Tabela3[[#This Row],[Lucro Líquido]]/Tabela3[[#This Row],[Total Ações]]</f>
        <v>1.0162946220462363</v>
      </c>
      <c r="V1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Z109" s="6">
        <f>[Div Base]*[Ações]</f>
        <v>62876462.5</v>
      </c>
      <c r="AA109" s="6">
        <f>SUMPRODUCT(N([Nome]=Tabela3[[#This Row],[Nome]]),[Div Base]*[Ações])</f>
        <v>62876462.5</v>
      </c>
      <c r="AB109" s="6">
        <f>[Patrimônio Líquido]/[Total Ações]</f>
        <v>6.2686441010998006</v>
      </c>
      <c r="AC109" s="49">
        <f>MAX(Tabela3[[#This Row],[Cotação 1]:[Cotação 3]])</f>
        <v>22.8</v>
      </c>
      <c r="AD109" s="45">
        <f>[Cotação]/[VPA]</f>
        <v>3.6371501767024643</v>
      </c>
      <c r="AE109" s="41">
        <f>IF(Tabela3[[#This Row],[Lucro/Ação]]&gt;0,Tabela3[[#This Row],[Cotação]]/(Tabela3[[#This Row],[Lucro/Ação]]/[Ref]*4),0)</f>
        <v>16.825829468201235</v>
      </c>
      <c r="AF109" s="41" t="e">
        <f>IF([Div. Mínimo]=0,0,[Lucro Distribuir]*#REF!/[Total Ações])</f>
        <v>#REF!</v>
      </c>
      <c r="AG109" s="96">
        <f>[Lucro Distribuir]/[Total Ações]</f>
        <v>0.96547989094392439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I109" s="15" t="str">
        <f>IF(AND([% A.A.]&gt;=8%,SUMPRODUCT(N([Nome]=Tabela3[[#This Row],[Nome]]),[PL])&gt;0),"Sim","Não")</f>
        <v>Não</v>
      </c>
      <c r="AJ109" s="43">
        <f>IF([Cotação]&gt;0,Tabela3[[#This Row],[Lucro]]/Tabela3[[#This Row],[Cotação]],0)</f>
        <v>1.0586402312981627E-2</v>
      </c>
      <c r="AK109" s="19">
        <f>((1+Tabela3[[#This Row],[% Yield]])^(1/(3*Tabela3[[#This Row],[Ref]])))^(12)-1</f>
        <v>1.4140049621176543E-2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13">
        <f>SUMPRODUCT(N(Tabela1[Código]=Tabela3[[#This Row],[PAPEL]]),Tabela1[Fechamento])</f>
        <v>0</v>
      </c>
      <c r="AO109" s="56">
        <f>SUMPRODUCT(N(Tabela17[Código]=Tabela3[[#This Row],[PAPEL]]),Tabela17[Fechamento])</f>
        <v>22.8</v>
      </c>
      <c r="AP109" s="7">
        <f>SUMPRODUCT(N(Tabela176[Código]=Tabela3[[#This Row],[PAPEL]]),Tabela176[Fechamento])</f>
        <v>0</v>
      </c>
    </row>
    <row r="110" spans="1:42" hidden="1">
      <c r="A110" s="4" t="s">
        <v>14</v>
      </c>
      <c r="B110" s="65" t="s">
        <v>609</v>
      </c>
      <c r="C110" s="101" t="str">
        <f>LEFT([PAPEL],LEN([PAPEL])-(LEN([PAPEL])-4))</f>
        <v>DAYC</v>
      </c>
      <c r="D110" s="15">
        <v>3</v>
      </c>
      <c r="E110" s="6">
        <v>1737409389.22</v>
      </c>
      <c r="F110" s="8">
        <v>160869792</v>
      </c>
      <c r="G110" s="100">
        <v>0.25</v>
      </c>
      <c r="H110" s="15"/>
      <c r="I110" s="19"/>
      <c r="J110" s="19"/>
      <c r="K110" s="108"/>
      <c r="L110" s="108"/>
      <c r="M110" s="6">
        <v>2365276000</v>
      </c>
      <c r="N110" s="6">
        <v>168016000</v>
      </c>
      <c r="O110" s="6">
        <f>Tabela3[[#This Row],[Capital Social]]*20%</f>
        <v>347481877.84400004</v>
      </c>
      <c r="P110" s="6">
        <f>IF(([Lucro Líquido]*5%)&gt;[Teto R. Legal],[Teto R. Legal],[Lucro Líquido]*5%)</f>
        <v>8400800</v>
      </c>
      <c r="Q110" s="6">
        <f>IF([Lucro Líquido]&lt;0,0,[Lucro Líquido]-[Reserva Legal])</f>
        <v>159615200</v>
      </c>
      <c r="R110" s="6">
        <f>Tabela3[[#This Row],[Lucro Distribuir]]*[%Div]</f>
        <v>39903800</v>
      </c>
      <c r="S110" s="21">
        <f>SUMPRODUCT(N([Nome]=Tabela3[[#This Row],[Nome]]),[Ações])</f>
        <v>255844293</v>
      </c>
      <c r="T110" s="6">
        <f>[Capital Social]/[Total Ações]</f>
        <v>6.7908858503245959</v>
      </c>
      <c r="U110" s="96">
        <f>Tabela3[[#This Row],[Lucro Líquido]]/Tabela3[[#This Row],[Total Ações]]</f>
        <v>0.65671193220635959</v>
      </c>
      <c r="V1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0" s="6">
        <f>[Div Base]*[Ações]</f>
        <v>25090714.085264351</v>
      </c>
      <c r="AA110" s="6">
        <f>SUMPRODUCT(N([Nome]=Tabela3[[#This Row],[Nome]]),[Div Base]*[Ações])</f>
        <v>39903800</v>
      </c>
      <c r="AB110" s="6">
        <f>[Patrimônio Líquido]/[Total Ações]</f>
        <v>9.2449824550121971</v>
      </c>
      <c r="AC110" s="49">
        <f>MAX(Tabela3[[#This Row],[Cotação 1]:[Cotação 3]])</f>
        <v>0</v>
      </c>
      <c r="AD110" s="45">
        <f>[Cotação]/[VPA]</f>
        <v>0</v>
      </c>
      <c r="AE110" s="41">
        <f>IF(Tabela3[[#This Row],[Lucro/Ação]]&gt;0,Tabela3[[#This Row],[Cotação]]/(Tabela3[[#This Row],[Lucro/Ação]]/[Ref]*4),0)</f>
        <v>0</v>
      </c>
      <c r="AF110" s="41" t="e">
        <f>IF([Div. Mínimo]=0,0,[Lucro Distribuir]*#REF!/[Total Ações])</f>
        <v>#REF!</v>
      </c>
      <c r="AG110" s="96">
        <f>[Lucro Distribuir]/[Total Ações]</f>
        <v>0.62387633559604161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0" s="15" t="str">
        <f>IF(AND([% A.A.]&gt;=8%,SUMPRODUCT(N([Nome]=Tabela3[[#This Row],[Nome]]),[PL])&gt;0),"Sim","Não")</f>
        <v>Não</v>
      </c>
      <c r="AJ110" s="43">
        <f>IF([Cotação]&gt;0,Tabela3[[#This Row],[Lucro]]/Tabela3[[#This Row],[Cotação]],0)</f>
        <v>0</v>
      </c>
      <c r="AK110" s="19">
        <f>((1+Tabela3[[#This Row],[% Yield]])^(1/(3*Tabela3[[#This Row],[Ref]])))^(12)-1</f>
        <v>0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0</v>
      </c>
      <c r="AP110" s="7">
        <f>SUMPRODUCT(N(Tabela176[Código]=Tabela3[[#This Row],[PAPEL]]),Tabela176[Fechamento])</f>
        <v>0</v>
      </c>
    </row>
    <row r="111" spans="1:42" hidden="1">
      <c r="A111" s="4" t="s">
        <v>14</v>
      </c>
      <c r="B111" s="65" t="s">
        <v>15</v>
      </c>
      <c r="C111" s="14" t="str">
        <f>LEFT([PAPEL],LEN([PAPEL])-(LEN([PAPEL])-4))</f>
        <v>DAYC</v>
      </c>
      <c r="D111" s="15">
        <v>3</v>
      </c>
      <c r="E111" s="6">
        <v>1737409389.22</v>
      </c>
      <c r="F111" s="8">
        <v>94974501</v>
      </c>
      <c r="G111" s="100">
        <v>0.25</v>
      </c>
      <c r="H111" s="15"/>
      <c r="I111" s="19"/>
      <c r="J111" s="19"/>
      <c r="K111" s="108"/>
      <c r="L111" s="108"/>
      <c r="M111" s="6">
        <v>2365276000</v>
      </c>
      <c r="N111" s="6">
        <v>168016000</v>
      </c>
      <c r="O111" s="6">
        <f>Tabela3[[#This Row],[Capital Social]]*20%</f>
        <v>347481877.84400004</v>
      </c>
      <c r="P111" s="6">
        <f>IF(([Lucro Líquido]*5%)&gt;[Teto R. Legal],[Teto R. Legal],[Lucro Líquido]*5%)</f>
        <v>8400800</v>
      </c>
      <c r="Q111" s="6">
        <f>IF([Lucro Líquido]&lt;0,0,[Lucro Líquido]-[Reserva Legal])</f>
        <v>159615200</v>
      </c>
      <c r="R111" s="6">
        <f>Tabela3[[#This Row],[Lucro Distribuir]]*[%Div]</f>
        <v>39903800</v>
      </c>
      <c r="S111" s="21">
        <f>SUMPRODUCT(N([Nome]=Tabela3[[#This Row],[Nome]]),[Ações])</f>
        <v>255844293</v>
      </c>
      <c r="T111" s="6">
        <f>[Capital Social]/[Total Ações]</f>
        <v>6.7908858503245959</v>
      </c>
      <c r="U111" s="96">
        <f>Tabela3[[#This Row],[Lucro Líquido]]/Tabela3[[#This Row],[Total Ações]]</f>
        <v>0.65671193220635959</v>
      </c>
      <c r="V1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1" s="6">
        <f>[Div Base]*[Ações]</f>
        <v>14813085.914735647</v>
      </c>
      <c r="AA111" s="6">
        <f>SUMPRODUCT(N([Nome]=Tabela3[[#This Row],[Nome]]),[Div Base]*[Ações])</f>
        <v>39903800</v>
      </c>
      <c r="AB111" s="6">
        <f>[Patrimônio Líquido]/[Total Ações]</f>
        <v>9.2449824550121971</v>
      </c>
      <c r="AC111" s="49">
        <f>MAX(Tabela3[[#This Row],[Cotação 1]:[Cotação 3]])</f>
        <v>7.75</v>
      </c>
      <c r="AD111" s="45">
        <f>[Cotação]/[VPA]</f>
        <v>0.83829255898677368</v>
      </c>
      <c r="AE111" s="41">
        <f>IF(Tabela3[[#This Row],[Lucro/Ação]]&gt;0,Tabela3[[#This Row],[Cotação]]/(Tabela3[[#This Row],[Lucro/Ação]]/[Ref]*4),0)</f>
        <v>8.8509127289216512</v>
      </c>
      <c r="AF111" s="41" t="e">
        <f>IF([Div. Mínimo]=0,0,[Lucro Distribuir]*#REF!/[Total Ações])</f>
        <v>#REF!</v>
      </c>
      <c r="AG111" s="96">
        <f>[Lucro Distribuir]/[Total Ações]</f>
        <v>0.62387633559604161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1" s="15" t="str">
        <f>IF(AND([% A.A.]&gt;=8%,SUMPRODUCT(N([Nome]=Tabela3[[#This Row],[Nome]]),[PL])&gt;0),"Sim","Não")</f>
        <v>Não</v>
      </c>
      <c r="AJ111" s="43">
        <f>IF([Cotação]&gt;0,Tabela3[[#This Row],[Lucro]]/Tabela3[[#This Row],[Cotação]],0)</f>
        <v>2.0125043083743278E-2</v>
      </c>
      <c r="AK111" s="19">
        <f>((1+Tabela3[[#This Row],[% Yield]])^(1/(3*Tabela3[[#This Row],[Ref]])))^(12)-1</f>
        <v>2.6922995457294041E-2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5">
        <f>SUMPRODUCT(N(Tabela1[Código]=Tabela3[[#This Row],[PAPEL]]),Tabela1[Fechamento])</f>
        <v>7.75</v>
      </c>
      <c r="AO111" s="5">
        <f>SUMPRODUCT(N(Tabela17[Código]=Tabela3[[#This Row],[PAPEL]]),Tabela17[Fechamento])</f>
        <v>0</v>
      </c>
      <c r="AP111" s="7">
        <f>SUMPRODUCT(N(Tabela176[Código]=Tabela3[[#This Row],[PAPEL]]),Tabela176[Fechamento])</f>
        <v>0</v>
      </c>
    </row>
    <row r="112" spans="1:42" hidden="1">
      <c r="A112" s="4" t="s">
        <v>345</v>
      </c>
      <c r="B112" s="65" t="s">
        <v>344</v>
      </c>
      <c r="C112" s="101" t="str">
        <f>LEFT([PAPEL],LEN([PAPEL])-(LEN([PAPEL])-4))</f>
        <v>DTEX</v>
      </c>
      <c r="D112" s="15">
        <v>3</v>
      </c>
      <c r="E112" s="6">
        <v>1705271709.4400001</v>
      </c>
      <c r="F112" s="39">
        <v>605059489</v>
      </c>
      <c r="G112" s="106">
        <v>0.3</v>
      </c>
      <c r="H112" s="15"/>
      <c r="I112" s="19"/>
      <c r="J112" s="19"/>
      <c r="K112" s="108"/>
      <c r="L112" s="108"/>
      <c r="M112" s="6">
        <v>4373556000</v>
      </c>
      <c r="N112" s="6">
        <v>449642000</v>
      </c>
      <c r="O112" s="6">
        <f>Tabela3[[#This Row],[Capital Social]]*20%</f>
        <v>341054341.88800001</v>
      </c>
      <c r="P112" s="6">
        <f>IF(([Lucro Líquido]*5%)&gt;[Teto R. Legal],[Teto R. Legal],[Lucro Líquido]*5%)</f>
        <v>22482100</v>
      </c>
      <c r="Q112" s="6">
        <f>IF([Lucro Líquido]&lt;0,0,[Lucro Líquido]-[Reserva Legal])</f>
        <v>427159900</v>
      </c>
      <c r="R112" s="6">
        <f>Tabela3[[#This Row],[Lucro Distribuir]]*[%Div]</f>
        <v>128147970</v>
      </c>
      <c r="S112" s="39">
        <v>605059489</v>
      </c>
      <c r="T112" s="6">
        <f>[Capital Social]/[Total Ações]</f>
        <v>2.8183537989931433</v>
      </c>
      <c r="U112" s="96">
        <f>Tabela3[[#This Row],[Lucro Líquido]]/Tabela3[[#This Row],[Total Ações]]</f>
        <v>0.7431368455077646</v>
      </c>
      <c r="V1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0.2117940009697129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0.2117940009697129</v>
      </c>
      <c r="Z112" s="6">
        <f>[Div Base]*[Ações]</f>
        <v>128147970</v>
      </c>
      <c r="AA112" s="6">
        <f>SUMPRODUCT(N([Nome]=Tabela3[[#This Row],[Nome]]),[Div Base]*[Ações])</f>
        <v>128147970</v>
      </c>
      <c r="AB112" s="6">
        <f>[Patrimônio Líquido]/[Total Ações]</f>
        <v>7.2283074301145289</v>
      </c>
      <c r="AC112" s="49">
        <f>MAX(Tabela3[[#This Row],[Cotação 1]:[Cotação 3]])</f>
        <v>12.4</v>
      </c>
      <c r="AD112" s="45">
        <f>[Cotação]/[VPA]</f>
        <v>1.715477671624646</v>
      </c>
      <c r="AE112" s="41">
        <f>IF(Tabela3[[#This Row],[Lucro/Ação]]&gt;0,Tabela3[[#This Row],[Cotação]]/(Tabela3[[#This Row],[Lucro/Ação]]/[Ref]*4),0)</f>
        <v>12.514518767597334</v>
      </c>
      <c r="AF112" s="41" t="e">
        <f>IF([Div. Mínimo]=0,0,[Lucro Distribuir]*#REF!/[Total Ações])</f>
        <v>#REF!</v>
      </c>
      <c r="AG112" s="96">
        <f>[Lucro Distribuir]/[Total Ações]</f>
        <v>0.70598000323237642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0.2117940009697129</v>
      </c>
      <c r="AI112" s="15" t="str">
        <f>IF(AND([% A.A.]&gt;=8%,SUMPRODUCT(N([Nome]=Tabela3[[#This Row],[Nome]]),[PL])&gt;0),"Sim","Não")</f>
        <v>Não</v>
      </c>
      <c r="AJ112" s="43">
        <f>IF([Cotação]&gt;0,Tabela3[[#This Row],[Lucro]]/Tabela3[[#This Row],[Cotação]],0)</f>
        <v>1.7080161368525235E-2</v>
      </c>
      <c r="AK112" s="19">
        <f>((1+Tabela3[[#This Row],[% Yield]])^(1/(3*Tabela3[[#This Row],[Ref]])))^(12)-1</f>
        <v>2.2838133475037825E-2</v>
      </c>
      <c r="AL112" s="14">
        <f>IF([Cotação]&gt;0,($AR$1/Tabela3[[#This Row],[Cotação]]-MOD($AR$1/Tabela3[[#This Row],[Cotação]],100)),)</f>
        <v>0</v>
      </c>
      <c r="AM112" s="17">
        <f>Tabela3[[#This Row],[Ativos]]*[Lucro]</f>
        <v>0</v>
      </c>
      <c r="AN112" s="13">
        <f>SUMPRODUCT(N(Tabela1[Código]=Tabela3[[#This Row],[PAPEL]]),Tabela1[Fechamento])</f>
        <v>0</v>
      </c>
      <c r="AO112" s="56">
        <f>SUMPRODUCT(N(Tabela17[Código]=Tabela3[[#This Row],[PAPEL]]),Tabela17[Fechamento])</f>
        <v>12.4</v>
      </c>
      <c r="AP112" s="7">
        <f>SUMPRODUCT(N(Tabela176[Código]=Tabela3[[#This Row],[PAPEL]]),Tabela176[Fechamento])</f>
        <v>0</v>
      </c>
    </row>
    <row r="113" spans="1:42" hidden="1">
      <c r="A113" s="4" t="s">
        <v>360</v>
      </c>
      <c r="B113" s="65" t="s">
        <v>693</v>
      </c>
      <c r="C113" s="15" t="str">
        <f>LEFT([PAPEL],LEN([PAPEL])-(LEN([PAPEL])-4))</f>
        <v>DUQE</v>
      </c>
      <c r="D113" s="15">
        <v>3</v>
      </c>
      <c r="E113" s="6">
        <v>45000000</v>
      </c>
      <c r="F113" s="8">
        <v>1077753</v>
      </c>
      <c r="G113" s="106">
        <v>0.25</v>
      </c>
      <c r="H113" s="9"/>
      <c r="I113" s="19"/>
      <c r="J113" s="19"/>
      <c r="K113" s="108"/>
      <c r="L113" s="108"/>
      <c r="M113" s="114">
        <v>78931000</v>
      </c>
      <c r="N113" s="115">
        <v>75000</v>
      </c>
      <c r="O113" s="13">
        <f>Tabela3[[#This Row],[Capital Social]]*20%</f>
        <v>9000000</v>
      </c>
      <c r="P113" s="13">
        <f>IF(([Lucro Líquido]*5%)&gt;[Teto R. Legal],[Teto R. Legal],[Lucro Líquido]*5%)</f>
        <v>3750</v>
      </c>
      <c r="Q113" s="13">
        <f>IF([Lucro Líquido]&lt;0,0,[Lucro Líquido]-[Reserva Legal])</f>
        <v>71250</v>
      </c>
      <c r="R113" s="13">
        <f>Tabela3[[#This Row],[Lucro Distribuir]]*[%Div]</f>
        <v>17812.5</v>
      </c>
      <c r="S113" s="57">
        <f>SUMPRODUCT(N([Nome]=Tabela3[[#This Row],[Nome]]),[Ações])</f>
        <v>2816004</v>
      </c>
      <c r="T113" s="6">
        <f>[Capital Social]/[Total Ações]</f>
        <v>15.980090937370827</v>
      </c>
      <c r="U113" s="96">
        <f>Tabela3[[#This Row],[Lucro Líquido]]/Tabela3[[#This Row],[Total Ações]]</f>
        <v>2.6633484895618047E-2</v>
      </c>
      <c r="V1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Z113" s="13">
        <f>[Div Base]*[Ações]</f>
        <v>6605.1642168152111</v>
      </c>
      <c r="AA113" s="13">
        <f>SUMPRODUCT(N([Nome]=Tabela3[[#This Row],[Nome]]),[Div Base]*[Ações])</f>
        <v>18323.597524677756</v>
      </c>
      <c r="AB113" s="113">
        <f>[Patrimônio Líquido]/[Total Ações]</f>
        <v>28.029434617280373</v>
      </c>
      <c r="AC113" s="49">
        <f>MAX(Tabela3[[#This Row],[Cotação 1]:[Cotação 3]])</f>
        <v>28</v>
      </c>
      <c r="AD113" s="45">
        <f>[Cotação]/[VPA]</f>
        <v>0.99894986760588367</v>
      </c>
      <c r="AE113" s="41">
        <f>IF(Tabela3[[#This Row],[Lucro/Ação]]&gt;0,Tabela3[[#This Row],[Cotação]]/(Tabela3[[#This Row],[Lucro/Ação]]/[Ref]*4),0)</f>
        <v>788.48112000000003</v>
      </c>
      <c r="AF113" s="109" t="e">
        <f>IF([Div. Mínimo]=0,0,[Lucro Distribuir]*#REF!/[Total Ações])</f>
        <v>#REF!</v>
      </c>
      <c r="AG113" s="96">
        <f>[Lucro Distribuir]/[Total Ações]</f>
        <v>2.5301810650837142E-2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I113" s="14" t="str">
        <f>IF(AND([% A.A.]&gt;=8%,SUMPRODUCT(N([Nome]=Tabela3[[#This Row],[Nome]]),[PL])&gt;0),"Sim","Não")</f>
        <v>Não</v>
      </c>
      <c r="AJ113" s="43">
        <f>IF([Cotação]&gt;0,Tabela3[[#This Row],[Lucro]]/Tabela3[[#This Row],[Cotação]],0)</f>
        <v>2.1888013490021802E-4</v>
      </c>
      <c r="AK113" s="43">
        <f>((1+Tabela3[[#This Row],[% Yield]])^(1/(3*Tabela3[[#This Row],[Ref]])))^(12)-1</f>
        <v>2.9185082568461418E-4</v>
      </c>
      <c r="AL113" s="14">
        <f>IF([Cotação]&gt;0,($AR$1/Tabela3[[#This Row],[Cotação]]-MOD($AR$1/Tabela3[[#This Row],[Cotação]],100)),)</f>
        <v>0</v>
      </c>
      <c r="AM113" s="17">
        <f>Tabela3[[#This Row],[Ativos]]*[Lucro]</f>
        <v>0</v>
      </c>
      <c r="AN113" s="17">
        <f>SUMPRODUCT(N(Tabela1[Código]=Tabela3[[#This Row],[PAPEL]]),Tabela1[Fechamento])</f>
        <v>0</v>
      </c>
      <c r="AO113" s="17">
        <f>SUMPRODUCT(N(Tabela17[Código]=Tabela3[[#This Row],[PAPEL]]),Tabela17[Fechamento])</f>
        <v>0</v>
      </c>
      <c r="AP113" s="17">
        <f>SUMPRODUCT(N(Tabela176[Código]=Tabela3[[#This Row],[PAPEL]]),Tabela176[Fechamento])</f>
        <v>28</v>
      </c>
    </row>
    <row r="114" spans="1:42" hidden="1">
      <c r="A114" s="4" t="s">
        <v>360</v>
      </c>
      <c r="B114" s="65" t="s">
        <v>694</v>
      </c>
      <c r="C114" s="15" t="str">
        <f>LEFT([PAPEL],LEN([PAPEL])-(LEN([PAPEL])-4))</f>
        <v>DUQE</v>
      </c>
      <c r="D114" s="15">
        <v>3</v>
      </c>
      <c r="E114" s="6">
        <v>45000000</v>
      </c>
      <c r="F114" s="8">
        <v>1738251</v>
      </c>
      <c r="G114" s="106">
        <v>0.25</v>
      </c>
      <c r="H114" s="9"/>
      <c r="I114" s="19"/>
      <c r="J114" s="19">
        <v>0.1</v>
      </c>
      <c r="K114" s="108"/>
      <c r="L114" s="108"/>
      <c r="M114" s="114">
        <v>78931000</v>
      </c>
      <c r="N114" s="115">
        <v>75000</v>
      </c>
      <c r="O114" s="13">
        <f>Tabela3[[#This Row],[Capital Social]]*20%</f>
        <v>9000000</v>
      </c>
      <c r="P114" s="13">
        <f>IF(([Lucro Líquido]*5%)&gt;[Teto R. Legal],[Teto R. Legal],[Lucro Líquido]*5%)</f>
        <v>3750</v>
      </c>
      <c r="Q114" s="13">
        <f>IF([Lucro Líquido]&lt;0,0,[Lucro Líquido]-[Reserva Legal])</f>
        <v>71250</v>
      </c>
      <c r="R114" s="13">
        <f>Tabela3[[#This Row],[Lucro Distribuir]]*[%Div]</f>
        <v>17812.5</v>
      </c>
      <c r="S114" s="57">
        <f>SUMPRODUCT(N([Nome]=Tabela3[[#This Row],[Nome]]),[Ações])</f>
        <v>2816004</v>
      </c>
      <c r="T114" s="6">
        <f>[Capital Social]/[Total Ações]</f>
        <v>15.980090937370827</v>
      </c>
      <c r="U114" s="96">
        <f>Tabela3[[#This Row],[Lucro Líquido]]/Tabela3[[#This Row],[Total Ações]]</f>
        <v>2.6633484895618047E-2</v>
      </c>
      <c r="V1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Z114" s="13">
        <f>[Div Base]*[Ações]</f>
        <v>11718.433307862546</v>
      </c>
      <c r="AA114" s="13">
        <f>SUMPRODUCT(N([Nome]=Tabela3[[#This Row],[Nome]]),[Div Base]*[Ações])</f>
        <v>18323.597524677756</v>
      </c>
      <c r="AB114" s="113">
        <f>[Patrimônio Líquido]/[Total Ações]</f>
        <v>28.029434617280373</v>
      </c>
      <c r="AC114" s="49">
        <f>MAX(Tabela3[[#This Row],[Cotação 1]:[Cotação 3]])</f>
        <v>5</v>
      </c>
      <c r="AD114" s="45">
        <f>[Cotação]/[VPA]</f>
        <v>0.17838390492962208</v>
      </c>
      <c r="AE114" s="41">
        <f>IF(Tabela3[[#This Row],[Lucro/Ação]]&gt;0,Tabela3[[#This Row],[Cotação]]/(Tabela3[[#This Row],[Lucro/Ação]]/[Ref]*4),0)</f>
        <v>140.80019999999999</v>
      </c>
      <c r="AF114" s="109" t="e">
        <f>IF([Div. Mínimo]=0,0,[Lucro Distribuir]*#REF!/[Total Ações])</f>
        <v>#REF!</v>
      </c>
      <c r="AG114" s="96">
        <f>[Lucro Distribuir]/[Total Ações]</f>
        <v>2.5301810650837142E-2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I114" s="14" t="str">
        <f>IF(AND([% A.A.]&gt;=8%,SUMPRODUCT(N([Nome]=Tabela3[[#This Row],[Nome]]),[PL])&gt;0),"Sim","Não")</f>
        <v>Não</v>
      </c>
      <c r="AJ114" s="43">
        <f>IF([Cotação]&gt;0,Tabela3[[#This Row],[Lucro]]/Tabela3[[#This Row],[Cotação]],0)</f>
        <v>1.3483016328323751E-3</v>
      </c>
      <c r="AK114" s="43">
        <f>((1+Tabela3[[#This Row],[% Yield]])^(1/(3*Tabela3[[#This Row],[Ref]])))^(12)-1</f>
        <v>1.7981393710906346E-3</v>
      </c>
      <c r="AL114" s="14">
        <f>IF([Cotação]&gt;0,($AR$1/Tabela3[[#This Row],[Cotação]]-MOD($AR$1/Tabela3[[#This Row],[Cotação]],100)),)</f>
        <v>0</v>
      </c>
      <c r="AM114" s="17">
        <f>Tabela3[[#This Row],[Ativos]]*[Lucro]</f>
        <v>0</v>
      </c>
      <c r="AN114" s="17">
        <f>SUMPRODUCT(N(Tabela1[Código]=Tabela3[[#This Row],[PAPEL]]),Tabela1[Fechamento])</f>
        <v>0</v>
      </c>
      <c r="AO114" s="17">
        <f>SUMPRODUCT(N(Tabela17[Código]=Tabela3[[#This Row],[PAPEL]]),Tabela17[Fechamento])</f>
        <v>0</v>
      </c>
      <c r="AP114" s="17">
        <f>SUMPRODUCT(N(Tabela176[Código]=Tabela3[[#This Row],[PAPEL]]),Tabela176[Fechamento])</f>
        <v>5</v>
      </c>
    </row>
    <row r="115" spans="1:42" hidden="1">
      <c r="A115" s="4" t="s">
        <v>313</v>
      </c>
      <c r="B115" s="65" t="s">
        <v>593</v>
      </c>
      <c r="C115" s="101" t="str">
        <f>LEFT([PAPEL],LEN([PAPEL])-(LEN([PAPEL])-4))</f>
        <v>EBTP</v>
      </c>
      <c r="D115" s="15">
        <v>3</v>
      </c>
      <c r="E115" s="6">
        <v>7373355808.1999998</v>
      </c>
      <c r="F115" s="8">
        <v>638224661</v>
      </c>
      <c r="G115" s="106">
        <v>0.25</v>
      </c>
      <c r="H115" s="19"/>
      <c r="I115" s="19"/>
      <c r="J115" s="19"/>
      <c r="K115" s="108"/>
      <c r="L115" s="108"/>
      <c r="M115" s="6">
        <v>11657711000</v>
      </c>
      <c r="N115" s="6">
        <v>411188000</v>
      </c>
      <c r="O115" s="6">
        <f>Tabela3[[#This Row],[Capital Social]]*20%</f>
        <v>1474671161.6400001</v>
      </c>
      <c r="P115" s="6">
        <f>IF(([Lucro Líquido]*5%)&gt;[Teto R. Legal],[Teto R. Legal],[Lucro Líquido]*5%)</f>
        <v>20559400</v>
      </c>
      <c r="Q115" s="6">
        <f>IF([Lucro Líquido]&lt;0,0,[Lucro Líquido]-[Reserva Legal])</f>
        <v>390628600</v>
      </c>
      <c r="R115" s="6">
        <f>Tabela3[[#This Row],[Lucro Distribuir]]*[%Div]</f>
        <v>97657150</v>
      </c>
      <c r="S115" s="57">
        <f>SUMPRODUCT(N([Nome]=Tabela3[[#This Row],[Nome]]),[Ações])</f>
        <v>1231364635</v>
      </c>
      <c r="T115" s="6">
        <f>[Capital Social]/[Total Ações]</f>
        <v>5.9879548255825945</v>
      </c>
      <c r="U115" s="96">
        <f>Tabela3[[#This Row],[Lucro Líquido]]/Tabela3[[#This Row],[Total Ações]]</f>
        <v>0.33392870666616148</v>
      </c>
      <c r="V1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5" s="6">
        <f>[Div Base]*[Ações]</f>
        <v>0</v>
      </c>
      <c r="AA115" s="6">
        <f>SUMPRODUCT(N([Nome]=Tabela3[[#This Row],[Nome]]),[Div Base]*[Ações])</f>
        <v>213101722.17355406</v>
      </c>
      <c r="AB115" s="6">
        <f>[Patrimônio Líquido]/[Total Ações]</f>
        <v>9.4673102252932573</v>
      </c>
      <c r="AC115" s="49">
        <f>MAX(Tabela3[[#This Row],[Cotação 1]:[Cotação 3]])</f>
        <v>8.1999999999999993</v>
      </c>
      <c r="AD115" s="45">
        <f>[Cotação]/[VPA]</f>
        <v>0.86613830167860562</v>
      </c>
      <c r="AE115" s="41">
        <f>IF(Tabela3[[#This Row],[Lucro/Ação]]&gt;0,Tabela3[[#This Row],[Cotação]]/(Tabela3[[#This Row],[Lucro/Ação]]/[Ref]*4),0)</f>
        <v>18.417104840729785</v>
      </c>
      <c r="AF115" s="41" t="e">
        <f>IF([Div. Mínimo]=0,0,[Lucro Distribuir]*#REF!/[Total Ações])</f>
        <v>#REF!</v>
      </c>
      <c r="AG115" s="96">
        <f>[Lucro Distribuir]/[Total Ações]</f>
        <v>0.31723227133285342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5" s="15" t="str">
        <f>IF(AND([% A.A.]&gt;=8%,SUMPRODUCT(N([Nome]=Tabela3[[#This Row],[Nome]]),[PL])&gt;0),"Sim","Não")</f>
        <v>Não</v>
      </c>
      <c r="AJ115" s="43">
        <f>IF([Cotação]&gt;0,Tabela3[[#This Row],[Lucro]]/Tabela3[[#This Row],[Cotação]],0)</f>
        <v>0</v>
      </c>
      <c r="AK115" s="19">
        <f>((1+Tabela3[[#This Row],[% Yield]])^(1/(3*Tabela3[[#This Row],[Ref]])))^(12)-1</f>
        <v>0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3">
        <f>SUMPRODUCT(N(Tabela1[Código]=Tabela3[[#This Row],[PAPEL]]),Tabela1[Fechamento])</f>
        <v>0</v>
      </c>
      <c r="AO115" s="56">
        <f>SUMPRODUCT(N(Tabela17[Código]=Tabela3[[#This Row],[PAPEL]]),Tabela17[Fechamento])</f>
        <v>8.1999999999999993</v>
      </c>
      <c r="AP115" s="56">
        <f>SUMPRODUCT(N(Tabela176[Código]=Tabela3[[#This Row],[PAPEL]]),Tabela176[Fechamento])</f>
        <v>0</v>
      </c>
    </row>
    <row r="116" spans="1:42" hidden="1">
      <c r="A116" s="4" t="s">
        <v>313</v>
      </c>
      <c r="B116" s="65" t="s">
        <v>412</v>
      </c>
      <c r="C116" s="101" t="str">
        <f>LEFT([PAPEL],LEN([PAPEL])-(LEN([PAPEL])-4))</f>
        <v>EBTP</v>
      </c>
      <c r="D116" s="15">
        <v>3</v>
      </c>
      <c r="E116" s="6">
        <v>7373355808.1999998</v>
      </c>
      <c r="F116" s="8">
        <v>593139974</v>
      </c>
      <c r="G116" s="100">
        <v>0.25</v>
      </c>
      <c r="H116" s="19"/>
      <c r="I116" s="19">
        <v>0.06</v>
      </c>
      <c r="J116" s="19">
        <v>0.1</v>
      </c>
      <c r="K116" s="108"/>
      <c r="L116" s="108"/>
      <c r="M116" s="6">
        <v>11657711000</v>
      </c>
      <c r="N116" s="6">
        <v>411188000</v>
      </c>
      <c r="O116" s="6">
        <f>Tabela3[[#This Row],[Capital Social]]*20%</f>
        <v>1474671161.6400001</v>
      </c>
      <c r="P116" s="6">
        <f>IF(([Lucro Líquido]*5%)&gt;[Teto R. Legal],[Teto R. Legal],[Lucro Líquido]*5%)</f>
        <v>20559400</v>
      </c>
      <c r="Q116" s="6">
        <f>IF([Lucro Líquido]&lt;0,0,[Lucro Líquido]-[Reserva Legal])</f>
        <v>390628600</v>
      </c>
      <c r="R116" s="6">
        <f>Tabela3[[#This Row],[Lucro Distribuir]]*[%Div]</f>
        <v>97657150</v>
      </c>
      <c r="S116" s="57">
        <f>SUMPRODUCT(N([Nome]=Tabela3[[#This Row],[Nome]]),[Ações])</f>
        <v>1231364635</v>
      </c>
      <c r="T116" s="6">
        <f>[Capital Social]/[Total Ações]</f>
        <v>5.9879548255825945</v>
      </c>
      <c r="U116" s="96">
        <f>Tabela3[[#This Row],[Lucro Líquido]]/Tabela3[[#This Row],[Total Ações]]</f>
        <v>0.33392870666616148</v>
      </c>
      <c r="V1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6" s="6">
        <f>[Div Base]*[Ações]</f>
        <v>213101722.17355406</v>
      </c>
      <c r="AA116" s="6">
        <f>SUMPRODUCT(N([Nome]=Tabela3[[#This Row],[Nome]]),[Div Base]*[Ações])</f>
        <v>213101722.17355406</v>
      </c>
      <c r="AB116" s="6">
        <f>[Patrimônio Líquido]/[Total Ações]</f>
        <v>9.4673102252932573</v>
      </c>
      <c r="AC116" s="49">
        <f>MAX(Tabela3[[#This Row],[Cotação 1]:[Cotação 3]])</f>
        <v>8.4</v>
      </c>
      <c r="AD116" s="45">
        <f>[Cotação]/[VPA]</f>
        <v>0.88726362610979126</v>
      </c>
      <c r="AE116" s="41">
        <f>IF(Tabela3[[#This Row],[Lucro/Ação]]&gt;0,Tabela3[[#This Row],[Cotação]]/(Tabela3[[#This Row],[Lucro/Ação]]/[Ref]*4),0)</f>
        <v>18.866302519771978</v>
      </c>
      <c r="AF116" s="41" t="e">
        <f>IF([Div. Mínimo]=0,0,[Lucro Distribuir]*#REF!/[Total Ações])</f>
        <v>#REF!</v>
      </c>
      <c r="AG116" s="96">
        <f>[Lucro Distribuir]/[Total Ações]</f>
        <v>0.31723227133285342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6" s="15" t="str">
        <f>IF(AND([% A.A.]&gt;=8%,SUMPRODUCT(N([Nome]=Tabela3[[#This Row],[Nome]]),[PL])&gt;0),"Sim","Não")</f>
        <v>Não</v>
      </c>
      <c r="AJ116" s="43">
        <f>IF([Cotação]&gt;0,Tabela3[[#This Row],[Lucro]]/Tabela3[[#This Row],[Cotação]],0)</f>
        <v>4.2771105897018526E-2</v>
      </c>
      <c r="AK116" s="19">
        <f>((1+Tabela3[[#This Row],[% Yield]])^(1/(3*Tabela3[[#This Row],[Ref]])))^(12)-1</f>
        <v>5.7430870731240757E-2</v>
      </c>
      <c r="AL116" s="14">
        <f>IF([Cotação]&gt;0,($AR$1/Tabela3[[#This Row],[Cotação]]-MOD($AR$1/Tabela3[[#This Row],[Cotação]],100)),)</f>
        <v>0</v>
      </c>
      <c r="AM116" s="13">
        <f>Tabela3[[#This Row],[Ativos]]*[Lucro]</f>
        <v>0</v>
      </c>
      <c r="AN116" s="56">
        <f>SUMPRODUCT(N(Tabela1[Código]=Tabela3[[#This Row],[PAPEL]]),Tabela1[Fechamento])</f>
        <v>0</v>
      </c>
      <c r="AO116" s="17">
        <f>SUMPRODUCT(N(Tabela17[Código]=Tabela3[[#This Row],[PAPEL]]),Tabela17[Fechamento])</f>
        <v>8.4</v>
      </c>
      <c r="AP116" s="7">
        <f>SUMPRODUCT(N(Tabela176[Código]=Tabela3[[#This Row],[PAPEL]]),Tabela176[Fechamento])</f>
        <v>0</v>
      </c>
    </row>
    <row r="117" spans="1:42" hidden="1">
      <c r="A117" s="4" t="s">
        <v>12</v>
      </c>
      <c r="B117" s="65" t="s">
        <v>101</v>
      </c>
      <c r="C117" s="14" t="str">
        <f>LEFT([PAPEL],LEN([PAPEL])-(LEN([PAPEL])-4))</f>
        <v>EEEL</v>
      </c>
      <c r="D117" s="15">
        <v>3</v>
      </c>
      <c r="E117" s="6">
        <v>588447186.05999994</v>
      </c>
      <c r="F117" s="8">
        <v>380669270</v>
      </c>
      <c r="G117" s="106">
        <v>0.5</v>
      </c>
      <c r="H117" s="15"/>
      <c r="I117" s="19"/>
      <c r="J117" s="19"/>
      <c r="K117" s="108"/>
      <c r="L117" s="108"/>
      <c r="M117" s="110">
        <v>1791505000</v>
      </c>
      <c r="N117" s="110">
        <v>-38094000</v>
      </c>
      <c r="O117" s="6">
        <f>Tabela3[[#This Row],[Capital Social]]*20%</f>
        <v>117689437.212</v>
      </c>
      <c r="P117" s="6">
        <f>IF(([Lucro Líquido]*5%)&gt;[Teto R. Legal],[Teto R. Legal],[Lucro Líquido]*5%)</f>
        <v>-1904700</v>
      </c>
      <c r="Q117" s="110">
        <f>IF([Lucro Líquido]&lt;0,0,[Lucro Líquido]-[Reserva Legal])</f>
        <v>0</v>
      </c>
      <c r="R117" s="110">
        <f>Tabela3[[#This Row],[Lucro Distribuir]]*[%Div]</f>
        <v>0</v>
      </c>
      <c r="S117" s="8">
        <v>387229828</v>
      </c>
      <c r="T117" s="6">
        <f>[Capital Social]/[Total Ações]</f>
        <v>1.5196328988891836</v>
      </c>
      <c r="U117" s="96">
        <f>Tabela3[[#This Row],[Lucro Líquido]]/Tabela3[[#This Row],[Total Ações]]</f>
        <v>-9.8375686079637439E-2</v>
      </c>
      <c r="V1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7" s="6">
        <f>[Div Base]*[Ações]</f>
        <v>0</v>
      </c>
      <c r="AA117" s="6">
        <f>SUMPRODUCT(N([Nome]=Tabela3[[#This Row],[Nome]]),[Div Base]*[Ações])</f>
        <v>996963.97718706238</v>
      </c>
      <c r="AB117" s="110">
        <f>[Patrimônio Líquido]/[Total Ações]</f>
        <v>4.6264643642069849</v>
      </c>
      <c r="AC117" s="49">
        <f>MAX(Tabela3[[#This Row],[Cotação 1]:[Cotação 3]])</f>
        <v>1.59</v>
      </c>
      <c r="AD117" s="45">
        <f>[Cotação]/[VPA]</f>
        <v>0.34367496965958788</v>
      </c>
      <c r="AE117" s="41">
        <f>IF(Tabela3[[#This Row],[Lucro/Ação]]&gt;0,Tabela3[[#This Row],[Cotação]]/(Tabela3[[#This Row],[Lucro/Ação]]/[Ref]*4),0)</f>
        <v>0</v>
      </c>
      <c r="AF117" s="41">
        <f>IF([Div. Mínimo]=0,0,[Lucro Distribuir]*#REF!/[Total Ações])</f>
        <v>0</v>
      </c>
      <c r="AG117" s="96">
        <f>[Lucro Distribuir]/[Total Ações]</f>
        <v>0</v>
      </c>
      <c r="AH11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7" s="15" t="str">
        <f>IF(AND([% A.A.]&gt;=8%,SUMPRODUCT(N([Nome]=Tabela3[[#This Row],[Nome]]),[PL])&gt;0),"Sim","Não")</f>
        <v>Não</v>
      </c>
      <c r="AJ117" s="43">
        <f>IF([Cotação]&gt;0,Tabela3[[#This Row],[Lucro]]/Tabela3[[#This Row],[Cotação]],0)</f>
        <v>0</v>
      </c>
      <c r="AK117" s="19">
        <f>((1+Tabela3[[#This Row],[% Yield]])^(1/(3*Tabela3[[#This Row],[Ref]])))^(12)-1</f>
        <v>0</v>
      </c>
      <c r="AL117" s="14">
        <f>IF([Cotação]&gt;0,($AR$1/Tabela3[[#This Row],[Cotação]]-MOD($AR$1/Tabela3[[#This Row],[Cotação]],100)),)</f>
        <v>100</v>
      </c>
      <c r="AM117" s="17">
        <f>Tabela3[[#This Row],[Ativos]]*[Lucro]</f>
        <v>0</v>
      </c>
      <c r="AN117" s="5">
        <f>SUMPRODUCT(N(Tabela1[Código]=Tabela3[[#This Row],[PAPEL]]),Tabela1[Fechamento])</f>
        <v>1.59</v>
      </c>
      <c r="AO117" s="5">
        <f>SUMPRODUCT(N(Tabela17[Código]=Tabela3[[#This Row],[PAPEL]]),Tabela17[Fechamento])</f>
        <v>0</v>
      </c>
      <c r="AP117" s="7">
        <f>SUMPRODUCT(N(Tabela176[Código]=Tabela3[[#This Row],[PAPEL]]),Tabela176[Fechamento])</f>
        <v>0</v>
      </c>
    </row>
    <row r="118" spans="1:42" hidden="1">
      <c r="A118" s="4" t="s">
        <v>12</v>
      </c>
      <c r="B118" s="65" t="s">
        <v>102</v>
      </c>
      <c r="C118" s="14" t="str">
        <f>LEFT([PAPEL],LEN([PAPEL])-(LEN([PAPEL])-4))</f>
        <v>EEEL</v>
      </c>
      <c r="D118" s="15">
        <v>3</v>
      </c>
      <c r="E118" s="6">
        <v>588447186.05999994</v>
      </c>
      <c r="F118" s="8">
        <v>6560558</v>
      </c>
      <c r="G118" s="100">
        <v>0.5</v>
      </c>
      <c r="H118" s="15"/>
      <c r="I118" s="19">
        <v>0.1</v>
      </c>
      <c r="J118" s="19"/>
      <c r="K118" s="108"/>
      <c r="L118" s="108"/>
      <c r="M118" s="110">
        <v>1791505000</v>
      </c>
      <c r="N118" s="110">
        <v>-38094000</v>
      </c>
      <c r="O118" s="6">
        <f>Tabela3[[#This Row],[Capital Social]]*20%</f>
        <v>117689437.212</v>
      </c>
      <c r="P118" s="6">
        <f>IF(([Lucro Líquido]*5%)&gt;[Teto R. Legal],[Teto R. Legal],[Lucro Líquido]*5%)</f>
        <v>-1904700</v>
      </c>
      <c r="Q118" s="110">
        <f>IF([Lucro Líquido]&lt;0,0,[Lucro Líquido]-[Reserva Legal])</f>
        <v>0</v>
      </c>
      <c r="R118" s="110">
        <f>Tabela3[[#This Row],[Lucro Distribuir]]*[%Div]</f>
        <v>0</v>
      </c>
      <c r="S118" s="8">
        <v>387229828</v>
      </c>
      <c r="T118" s="6">
        <f>[Capital Social]/[Total Ações]</f>
        <v>1.5196328988891836</v>
      </c>
      <c r="U118" s="96">
        <f>Tabela3[[#This Row],[Lucro Líquido]]/Tabela3[[#This Row],[Total Ações]]</f>
        <v>-9.8375686079637439E-2</v>
      </c>
      <c r="V1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8" s="6">
        <f>[Div Base]*[Ações]</f>
        <v>996963.97718706238</v>
      </c>
      <c r="AA118" s="6">
        <f>SUMPRODUCT(N([Nome]=Tabela3[[#This Row],[Nome]]),[Div Base]*[Ações])</f>
        <v>996963.97718706238</v>
      </c>
      <c r="AB118" s="110">
        <f>[Patrimônio Líquido]/[Total Ações]</f>
        <v>4.6264643642069849</v>
      </c>
      <c r="AC118" s="49">
        <f>MAX(Tabela3[[#This Row],[Cotação 1]:[Cotação 3]])</f>
        <v>1.85</v>
      </c>
      <c r="AD118" s="45">
        <f>[Cotação]/[VPA]</f>
        <v>0.39987339237121861</v>
      </c>
      <c r="AE118" s="41">
        <f>IF(Tabela3[[#This Row],[Lucro/Ação]]&gt;0,Tabela3[[#This Row],[Cotação]]/(Tabela3[[#This Row],[Lucro/Ação]]/[Ref]*4),0)</f>
        <v>0</v>
      </c>
      <c r="AF118" s="41">
        <f>IF([Div. Mínimo]=0,0,[Lucro Distribuir]*#REF!/[Total Ações])</f>
        <v>0</v>
      </c>
      <c r="AG118" s="96">
        <f>[Lucro Distribuir]/[Total Ações]</f>
        <v>0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8" s="15" t="str">
        <f>IF(AND([% A.A.]&gt;=8%,SUMPRODUCT(N([Nome]=Tabela3[[#This Row],[Nome]]),[PL])&gt;0),"Sim","Não")</f>
        <v>Não</v>
      </c>
      <c r="AJ118" s="43">
        <f>IF([Cotação]&gt;0,Tabela3[[#This Row],[Lucro]]/Tabela3[[#This Row],[Cotação]],0)</f>
        <v>8.2142318858874783E-2</v>
      </c>
      <c r="AK118" s="19">
        <f>((1+Tabela3[[#This Row],[% Yield]])^(1/(3*Tabela3[[#This Row],[Ref]])))^(12)-1</f>
        <v>0.11099603288196014</v>
      </c>
      <c r="AL118" s="14">
        <f>IF([Cotação]&gt;0,($AR$1/Tabela3[[#This Row],[Cotação]]-MOD($AR$1/Tabela3[[#This Row],[Cotação]],100)),)</f>
        <v>100</v>
      </c>
      <c r="AM118" s="17">
        <f>Tabela3[[#This Row],[Ativos]]*[Lucro]</f>
        <v>15.196328988891835</v>
      </c>
      <c r="AN118" s="5">
        <f>SUMPRODUCT(N(Tabela1[Código]=Tabela3[[#This Row],[PAPEL]]),Tabela1[Fechamento])</f>
        <v>1.85</v>
      </c>
      <c r="AO118" s="5">
        <f>SUMPRODUCT(N(Tabela17[Código]=Tabela3[[#This Row],[PAPEL]]),Tabela17[Fechamento])</f>
        <v>0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557</v>
      </c>
      <c r="C119" s="15" t="str">
        <f>LEFT([PAPEL],LEN([PAPEL])-(LEN([PAPEL])-4))</f>
        <v>EKTR</v>
      </c>
      <c r="D119" s="15">
        <v>3</v>
      </c>
      <c r="E119" s="6">
        <v>952491950.13999999</v>
      </c>
      <c r="F119" s="8">
        <v>91880972</v>
      </c>
      <c r="G119" s="100">
        <v>0.25</v>
      </c>
      <c r="H119" s="15"/>
      <c r="I119" s="19"/>
      <c r="J119" s="19"/>
      <c r="K119" s="108"/>
      <c r="L119" s="108"/>
      <c r="M119" s="114">
        <v>2125304000</v>
      </c>
      <c r="N119" s="114">
        <v>226464000</v>
      </c>
      <c r="O119" s="13">
        <f>Tabela3[[#This Row],[Capital Social]]*20%</f>
        <v>190498390.028</v>
      </c>
      <c r="P119" s="13">
        <f>IF(([Lucro Líquido]*5%)&gt;[Teto R. Legal],[Teto R. Legal],[Lucro Líquido]*5%)</f>
        <v>11323200</v>
      </c>
      <c r="Q119" s="13">
        <f>IF([Lucro Líquido]&lt;0,0,[Lucro Líquido]-[Reserva Legal])</f>
        <v>215140800</v>
      </c>
      <c r="R119" s="13">
        <f>Tabela3[[#This Row],[Lucro Distribuir]]*[%Div]</f>
        <v>53785200</v>
      </c>
      <c r="S119" s="57">
        <f>SUMPRODUCT(N([Nome]=Tabela3[[#This Row],[Nome]]),[Ações])</f>
        <v>193759265</v>
      </c>
      <c r="T119" s="6">
        <f>[Capital Social]/[Total Ações]</f>
        <v>4.9158524117027387</v>
      </c>
      <c r="U119" s="96">
        <f>Tabela3[[#This Row],[Lucro Líquido]]/Tabela3[[#This Row],[Total Ações]]</f>
        <v>1.1687905608023441</v>
      </c>
      <c r="V1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0.26895094747803922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9" s="13">
        <f>[Div Base]*[Ações]</f>
        <v>24711474.474603191</v>
      </c>
      <c r="AA119" s="13">
        <f>SUMPRODUCT(N([Nome]=Tabela3[[#This Row],[Nome]]),[Div Base]*[Ações])</f>
        <v>54851764.288667053</v>
      </c>
      <c r="AB119" s="113">
        <f>[Patrimônio Líquido]/[Total Ações]</f>
        <v>10.968786447450654</v>
      </c>
      <c r="AC119" s="49">
        <f>MAX(Tabela3[[#This Row],[Cotação 1]:[Cotação 3]])</f>
        <v>21</v>
      </c>
      <c r="AD119" s="45">
        <f>[Cotação]/[VPA]</f>
        <v>1.9145235528658491</v>
      </c>
      <c r="AE119" s="41">
        <f>IF(Tabela3[[#This Row],[Lucro/Ação]]&gt;0,Tabela3[[#This Row],[Cotação]]/(Tabela3[[#This Row],[Lucro/Ação]]/[Ref]*4),0)</f>
        <v>13.475468170437685</v>
      </c>
      <c r="AF119" s="109" t="e">
        <f>IF([Div. Mínimo]=0,0,[Lucro Distribuir]*#REF!/[Total Ações])</f>
        <v>#REF!</v>
      </c>
      <c r="AG119" s="96">
        <f>[Lucro Distribuir]/[Total Ações]</f>
        <v>1.1103510327622268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9" s="14" t="str">
        <f>IF(AND([% A.A.]&gt;=8%,SUMPRODUCT(N([Nome]=Tabela3[[#This Row],[Nome]]),[PL])&gt;0),"Sim","Não")</f>
        <v>Não</v>
      </c>
      <c r="AJ119" s="43">
        <f>IF([Cotação]&gt;0,Tabela3[[#This Row],[Lucro]]/Tabela3[[#This Row],[Cotação]],0)</f>
        <v>1.2807187975144725E-2</v>
      </c>
      <c r="AK119" s="43">
        <f>((1+Tabela3[[#This Row],[% Yield]])^(1/(3*Tabela3[[#This Row],[Ref]])))^(12)-1</f>
        <v>1.7112597237684213E-2</v>
      </c>
      <c r="AL119" s="14">
        <f>IF([Cotação]&gt;0,($AR$1/Tabela3[[#This Row],[Cotação]]-MOD($AR$1/Tabela3[[#This Row],[Cotação]],100)),)</f>
        <v>0</v>
      </c>
      <c r="AM119" s="17">
        <f>Tabela3[[#This Row],[Ativos]]*[Lucro]</f>
        <v>0</v>
      </c>
      <c r="AN119" s="17">
        <f>SUMPRODUCT(N(Tabela1[Código]=Tabela3[[#This Row],[PAPEL]]),Tabela1[Fechamento])</f>
        <v>0</v>
      </c>
      <c r="AO119" s="17">
        <f>SUMPRODUCT(N(Tabela17[Código]=Tabela3[[#This Row],[PAPEL]]),Tabela17[Fechamento])</f>
        <v>21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558</v>
      </c>
      <c r="C120" s="15" t="str">
        <f>LEFT([PAPEL],LEN([PAPEL])-(LEN([PAPEL])-4))</f>
        <v>EKTR</v>
      </c>
      <c r="D120" s="15">
        <v>3</v>
      </c>
      <c r="E120" s="6">
        <v>952491950.13999999</v>
      </c>
      <c r="F120" s="8">
        <v>101878293</v>
      </c>
      <c r="G120" s="100">
        <v>0.25</v>
      </c>
      <c r="H120" s="15"/>
      <c r="I120" s="19"/>
      <c r="J120" s="19">
        <v>0.1</v>
      </c>
      <c r="K120" s="108"/>
      <c r="L120" s="108"/>
      <c r="M120" s="114">
        <v>2125304000</v>
      </c>
      <c r="N120" s="114">
        <v>226464000</v>
      </c>
      <c r="O120" s="13">
        <f>Tabela3[[#This Row],[Capital Social]]*20%</f>
        <v>190498390.028</v>
      </c>
      <c r="P120" s="13">
        <f>IF(([Lucro Líquido]*5%)&gt;[Teto R. Legal],[Teto R. Legal],[Lucro Líquido]*5%)</f>
        <v>11323200</v>
      </c>
      <c r="Q120" s="13">
        <f>IF([Lucro Líquido]&lt;0,0,[Lucro Líquido]-[Reserva Legal])</f>
        <v>215140800</v>
      </c>
      <c r="R120" s="13">
        <f>Tabela3[[#This Row],[Lucro Distribuir]]*[%Div]</f>
        <v>53785200</v>
      </c>
      <c r="S120" s="57">
        <f>SUMPRODUCT(N([Nome]=Tabela3[[#This Row],[Nome]]),[Ações])</f>
        <v>193759265</v>
      </c>
      <c r="T120" s="6">
        <f>[Capital Social]/[Total Ações]</f>
        <v>4.9158524117027387</v>
      </c>
      <c r="U120" s="96">
        <f>Tabela3[[#This Row],[Lucro Líquido]]/Tabela3[[#This Row],[Total Ações]]</f>
        <v>1.1687905608023441</v>
      </c>
      <c r="V1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0.29584604263112124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20" s="13">
        <f>[Div Base]*[Ações]</f>
        <v>30140289.814063862</v>
      </c>
      <c r="AA120" s="13">
        <f>SUMPRODUCT(N([Nome]=Tabela3[[#This Row],[Nome]]),[Div Base]*[Ações])</f>
        <v>54851764.288667053</v>
      </c>
      <c r="AB120" s="113">
        <f>[Patrimônio Líquido]/[Total Ações]</f>
        <v>10.968786447450654</v>
      </c>
      <c r="AC120" s="49">
        <f>MAX(Tabela3[[#This Row],[Cotação 1]:[Cotação 3]])</f>
        <v>17</v>
      </c>
      <c r="AD120" s="45">
        <f>[Cotação]/[VPA]</f>
        <v>1.5498523999390206</v>
      </c>
      <c r="AE120" s="41">
        <f>IF(Tabela3[[#This Row],[Lucro/Ação]]&gt;0,Tabela3[[#This Row],[Cotação]]/(Tabela3[[#This Row],[Lucro/Ação]]/[Ref]*4),0)</f>
        <v>10.908712328449553</v>
      </c>
      <c r="AF120" s="109" t="e">
        <f>IF([Div. Mínimo]=0,0,[Lucro Distribuir]*#REF!/[Total Ações])</f>
        <v>#REF!</v>
      </c>
      <c r="AG120" s="96">
        <f>[Lucro Distribuir]/[Total Ações]</f>
        <v>1.1103510327622268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20" s="14" t="str">
        <f>IF(AND([% A.A.]&gt;=8%,SUMPRODUCT(N([Nome]=Tabela3[[#This Row],[Nome]]),[PL])&gt;0),"Sim","Não")</f>
        <v>Não</v>
      </c>
      <c r="AJ120" s="43">
        <f>IF([Cotação]&gt;0,Tabela3[[#This Row],[Lucro]]/Tabela3[[#This Row],[Cotação]],0)</f>
        <v>1.7402708390065955E-2</v>
      </c>
      <c r="AK120" s="43">
        <f>((1+Tabela3[[#This Row],[% Yield]])^(1/(3*Tabela3[[#This Row],[Ref]])))^(12)-1</f>
        <v>2.3270653732359481E-2</v>
      </c>
      <c r="AL120" s="14">
        <f>IF([Cotação]&gt;0,($AR$1/Tabela3[[#This Row],[Cotação]]-MOD($AR$1/Tabela3[[#This Row],[Cotação]],100)),)</f>
        <v>0</v>
      </c>
      <c r="AM120" s="17">
        <f>Tabela3[[#This Row],[Ativos]]*[Lucro]</f>
        <v>0</v>
      </c>
      <c r="AN120" s="17">
        <f>SUMPRODUCT(N(Tabela1[Código]=Tabela3[[#This Row],[PAPEL]]),Tabela1[Fechamento])</f>
        <v>0</v>
      </c>
      <c r="AO120" s="17">
        <f>SUMPRODUCT(N(Tabela17[Código]=Tabela3[[#This Row],[PAPEL]]),Tabela17[Fechamento])</f>
        <v>17</v>
      </c>
      <c r="AP120" s="7">
        <f>SUMPRODUCT(N(Tabela176[Código]=Tabela3[[#This Row],[PAPEL]]),Tabela176[Fechamento])</f>
        <v>0</v>
      </c>
    </row>
    <row r="121" spans="1:42" hidden="1">
      <c r="A121" s="3" t="s">
        <v>40</v>
      </c>
      <c r="B121" s="65" t="s">
        <v>280</v>
      </c>
      <c r="C121" s="14" t="str">
        <f>LEFT([PAPEL],LEN([PAPEL])-(LEN([PAPEL])-4))</f>
        <v>ELEK</v>
      </c>
      <c r="D121" s="16">
        <v>3</v>
      </c>
      <c r="E121" s="5">
        <v>321000000</v>
      </c>
      <c r="F121" s="57">
        <v>14518150</v>
      </c>
      <c r="G121" s="106">
        <v>0.25</v>
      </c>
      <c r="H121" s="16"/>
      <c r="I121" s="18"/>
      <c r="K121" s="107"/>
      <c r="L121" s="107"/>
      <c r="M121" s="5">
        <v>509526000</v>
      </c>
      <c r="N121" s="5">
        <v>33359000</v>
      </c>
      <c r="O121" s="5">
        <f>Tabela3[[#This Row],[Capital Social]]*20%</f>
        <v>64200000</v>
      </c>
      <c r="P121" s="5">
        <f>IF(([Lucro Líquido]*5%)&gt;[Teto R. Legal],[Teto R. Legal],[Lucro Líquido]*5%)</f>
        <v>1667950</v>
      </c>
      <c r="Q121" s="5">
        <f>IF([Lucro Líquido]&lt;0,0,[Lucro Líquido]-[Reserva Legal])</f>
        <v>31691050</v>
      </c>
      <c r="R121" s="5">
        <f>Tabela3[[#This Row],[Lucro Distribuir]]*[%Div]</f>
        <v>7922762.5</v>
      </c>
      <c r="S121" s="21">
        <f>SUMPRODUCT(N([Nome]=Tabela3[[#This Row],[Nome]]),[Ações])</f>
        <v>31485170</v>
      </c>
      <c r="T121" s="5">
        <f>[Capital Social]/[Total Ações]</f>
        <v>10.195276061714134</v>
      </c>
      <c r="U121" s="95">
        <f>Tabela3[[#This Row],[Lucro Líquido]]/Tabela3[[#This Row],[Total Ações]]</f>
        <v>1.0595146858028717</v>
      </c>
      <c r="V12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1" s="5">
        <f>[Div Base]*[Ações]</f>
        <v>3653270.8697261284</v>
      </c>
      <c r="AA121" s="5">
        <f>SUMPRODUCT(N([Nome]=Tabela3[[#This Row],[Nome]]),[Div Base]*[Ações])</f>
        <v>7922762.5</v>
      </c>
      <c r="AB121" s="5">
        <f>[Patrimônio Líquido]/[Total Ações]</f>
        <v>16.183047447417309</v>
      </c>
      <c r="AC121" s="53">
        <f>MAX(Tabela3[[#This Row],[Cotação 1]:[Cotação 3]])</f>
        <v>10</v>
      </c>
      <c r="AD121" s="54">
        <f>[Cotação]/[VPA]</f>
        <v>0.61793058646663757</v>
      </c>
      <c r="AE121" s="38">
        <f>IF(Tabela3[[#This Row],[Lucro/Ação]]&gt;0,Tabela3[[#This Row],[Cotação]]/(Tabela3[[#This Row],[Lucro/Ação]]/[Ref]*4),0)</f>
        <v>7.0787126412662245</v>
      </c>
      <c r="AF121" s="38" t="e">
        <f>IF([Div. Mínimo]=0,0,[Lucro Distribuir]*#REF!/[Total Ações])</f>
        <v>#REF!</v>
      </c>
      <c r="AG121" s="95">
        <f>[Lucro Distribuir]/[Total Ações]</f>
        <v>1.0065389515127281</v>
      </c>
      <c r="AH121" s="95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1" s="16" t="str">
        <f>IF(AND([% A.A.]&gt;=8%,SUMPRODUCT(N([Nome]=Tabela3[[#This Row],[Nome]]),[PL])&gt;0),"Sim","Não")</f>
        <v>Não</v>
      </c>
      <c r="AJ121" s="22">
        <f>IF([Cotação]&gt;0,Tabela3[[#This Row],[Lucro]]/Tabela3[[#This Row],[Cotação]],0)</f>
        <v>2.5163473787818202E-2</v>
      </c>
      <c r="AK121" s="18">
        <f>((1+Tabela3[[#This Row],[% Yield]])^(1/(3*Tabela3[[#This Row],[Ref]])))^(12)-1</f>
        <v>3.3691230886878643E-2</v>
      </c>
      <c r="AL121" s="10">
        <f>IF([Cotação]&gt;0,($AR$1/Tabela3[[#This Row],[Cotação]]-MOD($AR$1/Tabela3[[#This Row],[Cotação]],100)),)</f>
        <v>0</v>
      </c>
      <c r="AM121" s="7">
        <f>Tabela3[[#This Row],[Ativos]]*[Lucro]</f>
        <v>0</v>
      </c>
      <c r="AN121" s="48">
        <f>SUMPRODUCT(N(Tabela1[Código]=Tabela3[[#This Row],[PAPEL]]),Tabela1[Fechamento])</f>
        <v>0</v>
      </c>
      <c r="AO121" s="48">
        <f>SUMPRODUCT(N(Tabela17[Código]=Tabela3[[#This Row],[PAPEL]]),Tabela17[Fechamento])</f>
        <v>10</v>
      </c>
      <c r="AP121" s="7">
        <f>SUMPRODUCT(N(Tabela176[Código]=Tabela3[[#This Row],[PAPEL]]),Tabela176[Fechamento])</f>
        <v>0</v>
      </c>
    </row>
    <row r="122" spans="1:42" hidden="1">
      <c r="A122" s="4" t="s">
        <v>40</v>
      </c>
      <c r="B122" s="65" t="s">
        <v>281</v>
      </c>
      <c r="C122" s="14" t="str">
        <f>LEFT([PAPEL],LEN([PAPEL])-(LEN([PAPEL])-4))</f>
        <v>ELEK</v>
      </c>
      <c r="D122" s="15">
        <v>3</v>
      </c>
      <c r="E122" s="5">
        <v>321000000</v>
      </c>
      <c r="F122" s="8">
        <v>16967020</v>
      </c>
      <c r="G122" s="100">
        <v>0.25</v>
      </c>
      <c r="H122" s="15"/>
      <c r="I122" s="19"/>
      <c r="J122" s="19"/>
      <c r="K122" s="108"/>
      <c r="L122" s="108"/>
      <c r="M122" s="5">
        <v>509526000</v>
      </c>
      <c r="N122" s="5">
        <v>33359000</v>
      </c>
      <c r="O122" s="5">
        <f>Tabela3[[#This Row],[Capital Social]]*20%</f>
        <v>64200000</v>
      </c>
      <c r="P122" s="5">
        <f>IF(([Lucro Líquido]*5%)&gt;[Teto R. Legal],[Teto R. Legal],[Lucro Líquido]*5%)</f>
        <v>1667950</v>
      </c>
      <c r="Q122" s="5">
        <f>IF([Lucro Líquido]&lt;0,0,[Lucro Líquido]-[Reserva Legal])</f>
        <v>31691050</v>
      </c>
      <c r="R122" s="5">
        <f>Tabela3[[#This Row],[Lucro Distribuir]]*[%Div]</f>
        <v>7922762.5</v>
      </c>
      <c r="S122" s="21">
        <f>SUMPRODUCT(N([Nome]=Tabela3[[#This Row],[Nome]]),[Ações])</f>
        <v>31485170</v>
      </c>
      <c r="T122" s="5">
        <f>[Capital Social]/[Total Ações]</f>
        <v>10.195276061714134</v>
      </c>
      <c r="U122" s="96">
        <f>Tabela3[[#This Row],[Lucro Líquido]]/Tabela3[[#This Row],[Total Ações]]</f>
        <v>1.0595146858028717</v>
      </c>
      <c r="V1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2" s="5">
        <f>[Div Base]*[Ações]</f>
        <v>4269491.6302738721</v>
      </c>
      <c r="AA122" s="5">
        <f>SUMPRODUCT(N([Nome]=Tabela3[[#This Row],[Nome]]),[Div Base]*[Ações])</f>
        <v>7922762.5</v>
      </c>
      <c r="AB122" s="6">
        <f>[Patrimônio Líquido]/[Total Ações]</f>
        <v>16.183047447417309</v>
      </c>
      <c r="AC122" s="49">
        <f>MAX(Tabela3[[#This Row],[Cotação 1]:[Cotação 3]])</f>
        <v>9.5</v>
      </c>
      <c r="AD122" s="45">
        <f>[Cotação]/[VPA]</f>
        <v>0.5870340571433057</v>
      </c>
      <c r="AE122" s="41">
        <f>IF(Tabela3[[#This Row],[Lucro/Ação]]&gt;0,Tabela3[[#This Row],[Cotação]]/(Tabela3[[#This Row],[Lucro/Ação]]/[Ref]*4),0)</f>
        <v>6.7247770092029135</v>
      </c>
      <c r="AF122" s="41" t="e">
        <f>IF([Div. Mínimo]=0,0,[Lucro Distribuir]*#REF!/[Total Ações])</f>
        <v>#REF!</v>
      </c>
      <c r="AG122" s="96">
        <f>[Lucro Distribuir]/[Total Ações]</f>
        <v>1.0065389515127281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2" s="15" t="str">
        <f>IF(AND([% A.A.]&gt;=8%,SUMPRODUCT(N([Nome]=Tabela3[[#This Row],[Nome]]),[PL])&gt;0),"Sim","Não")</f>
        <v>Não</v>
      </c>
      <c r="AJ122" s="43">
        <f>IF([Cotação]&gt;0,Tabela3[[#This Row],[Lucro]]/Tabela3[[#This Row],[Cotação]],0)</f>
        <v>2.6487867145071793E-2</v>
      </c>
      <c r="AK122" s="19">
        <f>((1+Tabela3[[#This Row],[% Yield]])^(1/(3*Tabela3[[#This Row],[Ref]])))^(12)-1</f>
        <v>3.5472161139332714E-2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3">
        <f>SUMPRODUCT(N(Tabela1[Código]=Tabela3[[#This Row],[PAPEL]]),Tabela1[Fechamento])</f>
        <v>0</v>
      </c>
      <c r="AO122" s="13">
        <f>SUMPRODUCT(N(Tabela17[Código]=Tabela3[[#This Row],[PAPEL]]),Tabela17[Fechamento])</f>
        <v>9.5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2</v>
      </c>
      <c r="C123" s="15" t="str">
        <f>LEFT([PAPEL],LEN([PAPEL])-(LEN([PAPEL])-4))</f>
        <v>ELET</v>
      </c>
      <c r="D123" s="15">
        <v>3</v>
      </c>
      <c r="E123" s="6">
        <v>31305331463.740002</v>
      </c>
      <c r="F123" s="8">
        <v>1087050297</v>
      </c>
      <c r="G123" s="106">
        <v>0.25</v>
      </c>
      <c r="H123" s="15"/>
      <c r="I123" s="19"/>
      <c r="J123" s="19"/>
      <c r="K123" s="108"/>
      <c r="L123" s="108"/>
      <c r="M123" s="110">
        <v>65493746000</v>
      </c>
      <c r="N123" s="110">
        <v>-787071000</v>
      </c>
      <c r="O123" s="6">
        <f>Tabela3[[#This Row],[Capital Social]]*20%</f>
        <v>6261066292.7480011</v>
      </c>
      <c r="P123" s="6">
        <f>IF(([Lucro Líquido]*5%)&gt;[Teto R. Legal],[Teto R. Legal],[Lucro Líquido]*5%)</f>
        <v>-39353550</v>
      </c>
      <c r="Q123" s="110">
        <f>IF([Lucro Líquido]&lt;0,0,[Lucro Líquido]-[Reserva Legal])</f>
        <v>0</v>
      </c>
      <c r="R123" s="110">
        <f>Tabela3[[#This Row],[Lucro Distribuir]]*[%Div]</f>
        <v>0</v>
      </c>
      <c r="S123" s="57">
        <f>SUMPRODUCT(N([Nome]=Tabela3[[#This Row],[Nome]]),[Ações])</f>
        <v>1352634100</v>
      </c>
      <c r="T123" s="6">
        <f>[Capital Social]/[Total Ações]</f>
        <v>23.143976234031069</v>
      </c>
      <c r="U123" s="96">
        <f>Tabela3[[#This Row],[Lucro Líquido]]/Tabela3[[#This Row],[Total Ações]]</f>
        <v>-0.58188019953067871</v>
      </c>
      <c r="V1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3" s="6">
        <f>[Div Base]*[Ações]</f>
        <v>0</v>
      </c>
      <c r="AA123" s="6">
        <f>SUMPRODUCT(N([Nome]=Tabela3[[#This Row],[Nome]]),[Div Base]*[Ações])</f>
        <v>368867919.74630135</v>
      </c>
      <c r="AB123" s="110">
        <f>[Patrimônio Líquido]/[Total Ações]</f>
        <v>48.419410689113931</v>
      </c>
      <c r="AC123" s="11">
        <f>MAX(Tabela3[[#This Row],[Cotação 1]:[Cotação 3]])</f>
        <v>5.22</v>
      </c>
      <c r="AD123" s="9">
        <f>[Cotação]/[VPA]</f>
        <v>0.1078080035611339</v>
      </c>
      <c r="AE123" s="37">
        <f>IF(Tabela3[[#This Row],[Lucro/Ação]]&gt;0,Tabela3[[#This Row],[Cotação]]/(Tabela3[[#This Row],[Lucro/Ação]]/[Ref]*4),0)</f>
        <v>0</v>
      </c>
      <c r="AF123" s="37">
        <f>IF([Div. Mínimo]=0,0,[Lucro Distribuir]*#REF!/[Total Ações])</f>
        <v>0</v>
      </c>
      <c r="AG123" s="96">
        <f>[Lucro Distribuir]/[Total Ações]</f>
        <v>0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3" s="14" t="str">
        <f>IF(AND([% A.A.]&gt;=8%,SUMPRODUCT(N([Nome]=Tabela3[[#This Row],[Nome]]),[PL])&gt;0),"Sim","Não")</f>
        <v>Não</v>
      </c>
      <c r="AJ123" s="19">
        <f>IF([Cotação]&gt;0,Tabela3[[#This Row],[Lucro]]/Tabela3[[#This Row],[Cotação]],0)</f>
        <v>0</v>
      </c>
      <c r="AK123" s="19">
        <f>((1+Tabela3[[#This Row],[% Yield]])^(1/(3*Tabela3[[#This Row],[Ref]])))^(12)-1</f>
        <v>0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5.22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520</v>
      </c>
      <c r="C124" s="15" t="str">
        <f>LEFT([PAPEL],LEN([PAPEL])-(LEN([PAPEL])-4))</f>
        <v>ELET</v>
      </c>
      <c r="D124" s="15">
        <v>3</v>
      </c>
      <c r="E124" s="6">
        <v>31305331463.740002</v>
      </c>
      <c r="F124" s="8">
        <v>146920</v>
      </c>
      <c r="G124" s="106">
        <v>0.25</v>
      </c>
      <c r="H124" s="15"/>
      <c r="I124" s="19">
        <v>0.08</v>
      </c>
      <c r="J124" s="19"/>
      <c r="K124" s="108"/>
      <c r="L124" s="108"/>
      <c r="M124" s="110">
        <v>65493746000</v>
      </c>
      <c r="N124" s="110">
        <v>-787071000</v>
      </c>
      <c r="O124" s="6">
        <f>Tabela3[[#This Row],[Capital Social]]*20%</f>
        <v>6261066292.7480011</v>
      </c>
      <c r="P124" s="6">
        <f>IF(([Lucro Líquido]*5%)&gt;[Teto R. Legal],[Teto R. Legal],[Lucro Líquido]*5%)</f>
        <v>-39353550</v>
      </c>
      <c r="Q124" s="110">
        <f>IF([Lucro Líquido]&lt;0,0,[Lucro Líquido]-[Reserva Legal])</f>
        <v>0</v>
      </c>
      <c r="R124" s="110">
        <f>Tabela3[[#This Row],[Lucro Distribuir]]*[%Div]</f>
        <v>0</v>
      </c>
      <c r="S124" s="57">
        <f>SUMPRODUCT(N([Nome]=Tabela3[[#This Row],[Nome]]),[Ações])</f>
        <v>1352634100</v>
      </c>
      <c r="T124" s="6">
        <f>[Capital Social]/[Total Ações]</f>
        <v>23.143976234031069</v>
      </c>
      <c r="U124" s="96">
        <f>Tabela3[[#This Row],[Lucro Líquido]]/Tabela3[[#This Row],[Total Ações]]</f>
        <v>-0.58188019953067871</v>
      </c>
      <c r="V1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4" s="6">
        <f>[Div Base]*[Ações]</f>
        <v>272025.03906430758</v>
      </c>
      <c r="AA124" s="6">
        <f>SUMPRODUCT(N([Nome]=Tabela3[[#This Row],[Nome]]),[Div Base]*[Ações])</f>
        <v>368867919.74630135</v>
      </c>
      <c r="AB124" s="110">
        <f>[Patrimônio Líquido]/[Total Ações]</f>
        <v>48.419410689113931</v>
      </c>
      <c r="AC124" s="11">
        <f>MAX(Tabela3[[#This Row],[Cotação 1]:[Cotação 3]])</f>
        <v>23.01</v>
      </c>
      <c r="AD124" s="9">
        <f>[Cotação]/[VPA]</f>
        <v>0.47522263638729723</v>
      </c>
      <c r="AE124" s="37">
        <f>IF(Tabela3[[#This Row],[Lucro/Ação]]&gt;0,Tabela3[[#This Row],[Cotação]]/(Tabela3[[#This Row],[Lucro/Ação]]/[Ref]*4),0)</f>
        <v>0</v>
      </c>
      <c r="AF124" s="37">
        <f>IF([Div. Mínimo]=0,0,[Lucro Distribuir]*#REF!/[Total Ações])</f>
        <v>0</v>
      </c>
      <c r="AG124" s="96">
        <f>[Lucro Distribuir]/[Total Ações]</f>
        <v>0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4" s="14" t="str">
        <f>IF(AND([% A.A.]&gt;=8%,SUMPRODUCT(N([Nome]=Tabela3[[#This Row],[Nome]]),[PL])&gt;0),"Sim","Não")</f>
        <v>Não</v>
      </c>
      <c r="AJ124" s="19">
        <f>IF([Cotação]&gt;0,Tabela3[[#This Row],[Lucro]]/Tabela3[[#This Row],[Cotação]],0)</f>
        <v>8.0465801769773374E-2</v>
      </c>
      <c r="AK124" s="19">
        <f>((1+Tabela3[[#This Row],[% Yield]])^(1/(3*Tabela3[[#This Row],[Ref]])))^(12)-1</f>
        <v>0.10870166710430107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23.01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27</v>
      </c>
      <c r="C125" s="15" t="str">
        <f>LEFT([PAPEL],LEN([PAPEL])-(LEN([PAPEL])-4))</f>
        <v>ELET</v>
      </c>
      <c r="D125" s="15">
        <v>3</v>
      </c>
      <c r="E125" s="6">
        <v>31305331463.740002</v>
      </c>
      <c r="F125" s="8">
        <v>265436883</v>
      </c>
      <c r="G125" s="100">
        <v>0.25</v>
      </c>
      <c r="H125" s="15"/>
      <c r="I125" s="19">
        <v>0.06</v>
      </c>
      <c r="J125" s="19"/>
      <c r="K125" s="108"/>
      <c r="L125" s="108"/>
      <c r="M125" s="110">
        <v>65493746000</v>
      </c>
      <c r="N125" s="110">
        <v>-787071000</v>
      </c>
      <c r="O125" s="6">
        <f>Tabela3[[#This Row],[Capital Social]]*20%</f>
        <v>6261066292.7480011</v>
      </c>
      <c r="P125" s="6">
        <f>IF(([Lucro Líquido]*5%)&gt;[Teto R. Legal],[Teto R. Legal],[Lucro Líquido]*5%)</f>
        <v>-39353550</v>
      </c>
      <c r="Q125" s="110">
        <f>IF([Lucro Líquido]&lt;0,0,[Lucro Líquido]-[Reserva Legal])</f>
        <v>0</v>
      </c>
      <c r="R125" s="110">
        <f>Tabela3[[#This Row],[Lucro Distribuir]]*[%Div]</f>
        <v>0</v>
      </c>
      <c r="S125" s="57">
        <f>SUMPRODUCT(N([Nome]=Tabela3[[#This Row],[Nome]]),[Ações])</f>
        <v>1352634100</v>
      </c>
      <c r="T125" s="6">
        <f>[Capital Social]/[Total Ações]</f>
        <v>23.143976234031069</v>
      </c>
      <c r="U125" s="96">
        <f>Tabela3[[#This Row],[Lucro Líquido]]/Tabela3[[#This Row],[Total Ações]]</f>
        <v>-0.58188019953067871</v>
      </c>
      <c r="V1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5" s="6">
        <f>[Div Base]*[Ações]</f>
        <v>368595894.70723706</v>
      </c>
      <c r="AA125" s="6">
        <f>SUMPRODUCT(N([Nome]=Tabela3[[#This Row],[Nome]]),[Div Base]*[Ações])</f>
        <v>368867919.74630135</v>
      </c>
      <c r="AB125" s="111">
        <f>[Patrimônio Líquido]/[Total Ações]</f>
        <v>48.419410689113931</v>
      </c>
      <c r="AC125" s="30">
        <f>MAX(Tabela3[[#This Row],[Cotação 1]:[Cotação 3]])</f>
        <v>9.02</v>
      </c>
      <c r="AD125" s="31">
        <f>[Cotação]/[VPA]</f>
        <v>0.18628892569376013</v>
      </c>
      <c r="AE125" s="36">
        <f>IF(Tabela3[[#This Row],[Lucro/Ação]]&gt;0,Tabela3[[#This Row],[Cotação]]/(Tabela3[[#This Row],[Lucro/Ação]]/[Ref]*4),0)</f>
        <v>0</v>
      </c>
      <c r="AF125" s="36">
        <f>IF([Div. Mínimo]=0,0,[Lucro Distribuir]*#REF!/[Total Ações])</f>
        <v>0</v>
      </c>
      <c r="AG125" s="96">
        <f>[Lucro Distribuir]/[Total Ações]</f>
        <v>0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5" s="26" t="str">
        <f>IF(AND([% A.A.]&gt;=8%,SUMPRODUCT(N([Nome]=Tabela3[[#This Row],[Nome]]),[PL])&gt;0),"Sim","Não")</f>
        <v>Não</v>
      </c>
      <c r="AJ125" s="28">
        <f>IF([Cotação]&gt;0,Tabela3[[#This Row],[Lucro]]/Tabela3[[#This Row],[Cotação]],0)</f>
        <v>0.15395106142370996</v>
      </c>
      <c r="AK125" s="50">
        <f>((1+Tabela3[[#This Row],[% Yield]])^(1/(3*Tabela3[[#This Row],[Ref]])))^(12)-1</f>
        <v>0.21036545856447963</v>
      </c>
      <c r="AL125" s="10">
        <f>IF([Cotação]&gt;0,($AR$1/Tabela3[[#This Row],[Cotação]]-MOD($AR$1/Tabela3[[#This Row],[Cotação]],100)),)</f>
        <v>0</v>
      </c>
      <c r="AM125" s="5">
        <f>Tabela3[[#This Row],[Ativos]]*[Lucro]</f>
        <v>0</v>
      </c>
      <c r="AN125" s="5">
        <f>SUMPRODUCT(N(Tabela1[Código]=Tabela3[[#This Row],[PAPEL]]),Tabela1[Fechamento])</f>
        <v>9.02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177</v>
      </c>
      <c r="C126" s="103" t="str">
        <f>LEFT([PAPEL],LEN([PAPEL])-(LEN([PAPEL])-4))</f>
        <v>ELPL</v>
      </c>
      <c r="D126" s="15">
        <v>3</v>
      </c>
      <c r="E126" s="5">
        <v>1257629316.47</v>
      </c>
      <c r="F126" s="8">
        <v>66604817</v>
      </c>
      <c r="G126" s="106">
        <v>0.25</v>
      </c>
      <c r="H126" s="15"/>
      <c r="I126" s="19"/>
      <c r="J126" s="19"/>
      <c r="K126" s="108"/>
      <c r="L126" s="108"/>
      <c r="M126" s="110">
        <v>2577741000</v>
      </c>
      <c r="N126" s="110">
        <v>271448000</v>
      </c>
      <c r="O126" s="13">
        <f>Tabela3[[#This Row],[Capital Social]]*20%</f>
        <v>251525863.29400003</v>
      </c>
      <c r="P126" s="13">
        <f>IF(([Lucro Líquido]*5%)&gt;[Teto R. Legal],[Teto R. Legal],[Lucro Líquido]*5%)</f>
        <v>13572400</v>
      </c>
      <c r="Q126" s="110">
        <f>IF([Lucro Líquido]&lt;0,0,[Lucro Líquido]-[Reserva Legal])</f>
        <v>257875600</v>
      </c>
      <c r="R126" s="110">
        <f>Tabela3[[#This Row],[Lucro Distribuir]]*[%Div]</f>
        <v>64468900</v>
      </c>
      <c r="S126" s="57">
        <f>SUMPRODUCT(N([Nome]=Tabela3[[#This Row],[Nome]]),[Ações])</f>
        <v>167343887</v>
      </c>
      <c r="T126" s="5">
        <f>[Capital Social]/[Total Ações]</f>
        <v>7.5152390626016716</v>
      </c>
      <c r="U126" s="96">
        <f>Tabela3[[#This Row],[Lucro Líquido]]/Tabela3[[#This Row],[Total Ações]]</f>
        <v>1.6220968979882724</v>
      </c>
      <c r="V1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6" s="13">
        <f>[Div Base]*[Ações]</f>
        <v>24861012.744067561</v>
      </c>
      <c r="AA126" s="13">
        <f>SUMPRODUCT(N([Nome]=Tabela3[[#This Row],[Nome]]),[Div Base]*[Ações])</f>
        <v>66223228.890972093</v>
      </c>
      <c r="AB126" s="110">
        <f>[Patrimônio Líquido]/[Total Ações]</f>
        <v>15.403855176377013</v>
      </c>
      <c r="AC126" s="49">
        <f>MAX(Tabela3[[#This Row],[Cotação 1]:[Cotação 3]])</f>
        <v>11</v>
      </c>
      <c r="AD126" s="45">
        <f>[Cotação]/[VPA]</f>
        <v>0.71410694751722537</v>
      </c>
      <c r="AE126" s="41">
        <f>IF(Tabela3[[#This Row],[Lucro/Ação]]&gt;0,Tabela3[[#This Row],[Cotação]]/(Tabela3[[#This Row],[Lucro/Ação]]/[Ref]*4),0)</f>
        <v>5.0860093563039701</v>
      </c>
      <c r="AF126" s="93" t="e">
        <f>IF([Div. Mínimo]=0,0,[Lucro Distribuir]*#REF!/[Total Ações])</f>
        <v>#REF!</v>
      </c>
      <c r="AG126" s="96">
        <f>[Lucro Distribuir]/[Total Ações]</f>
        <v>1.5409920530888588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6" s="14" t="str">
        <f>IF(AND([% A.A.]&gt;=8%,SUMPRODUCT(N([Nome]=Tabela3[[#This Row],[Nome]]),[PL])&gt;0),"Sim","Não")</f>
        <v>Não</v>
      </c>
      <c r="AJ126" s="43">
        <f>IF([Cotação]&gt;0,Tabela3[[#This Row],[Lucro]]/Tabela3[[#This Row],[Cotação]],0)</f>
        <v>3.393286205774735E-2</v>
      </c>
      <c r="AK126" s="19">
        <f>((1+Tabela3[[#This Row],[% Yield]])^(1/(3*Tabela3[[#This Row],[Ref]])))^(12)-1</f>
        <v>4.5497788772074443E-2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17">
        <f>SUMPRODUCT(N(Tabela1[Código]=Tabela3[[#This Row],[PAPEL]]),Tabela1[Fechamento])</f>
        <v>11</v>
      </c>
      <c r="AO126" s="17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1</v>
      </c>
      <c r="C127" s="101" t="str">
        <f>LEFT([PAPEL],LEN([PAPEL])-(LEN([PAPEL])-4))</f>
        <v>ELPL</v>
      </c>
      <c r="D127" s="16">
        <v>3</v>
      </c>
      <c r="E127" s="5">
        <v>1257629316.47</v>
      </c>
      <c r="F127" s="57">
        <v>100739070</v>
      </c>
      <c r="G127" s="100">
        <v>0.25</v>
      </c>
      <c r="H127" s="18"/>
      <c r="I127" s="18"/>
      <c r="J127" s="18">
        <v>0.1</v>
      </c>
      <c r="K127" s="107"/>
      <c r="L127" s="107"/>
      <c r="M127" s="110">
        <v>2577741000</v>
      </c>
      <c r="N127" s="110">
        <v>271448000</v>
      </c>
      <c r="O127" s="6">
        <f>Tabela3[[#This Row],[Capital Social]]*20%</f>
        <v>251525863.29400003</v>
      </c>
      <c r="P127" s="6">
        <f>IF(([Lucro Líquido]*5%)&gt;[Teto R. Legal],[Teto R. Legal],[Lucro Líquido]*5%)</f>
        <v>13572400</v>
      </c>
      <c r="Q127" s="110">
        <f>IF([Lucro Líquido]&lt;0,0,[Lucro Líquido]-[Reserva Legal])</f>
        <v>257875600</v>
      </c>
      <c r="R127" s="110">
        <f>Tabela3[[#This Row],[Lucro Distribuir]]*[%Div]</f>
        <v>64468900</v>
      </c>
      <c r="S127" s="57">
        <f>SUMPRODUCT(N([Nome]=Tabela3[[#This Row],[Nome]]),[Ações])</f>
        <v>167343887</v>
      </c>
      <c r="T127" s="6">
        <f>[Capital Social]/[Total Ações]</f>
        <v>7.5152390626016716</v>
      </c>
      <c r="U127" s="96">
        <f>Tabela3[[#This Row],[Lucro Líquido]]/Tabela3[[#This Row],[Total Ações]]</f>
        <v>1.6220968979882724</v>
      </c>
      <c r="V1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7" s="6">
        <f>[Div Base]*[Ações]</f>
        <v>41362216.146904536</v>
      </c>
      <c r="AA127" s="6">
        <f>SUMPRODUCT(N([Nome]=Tabela3[[#This Row],[Nome]]),[Div Base]*[Ações])</f>
        <v>66223228.890972093</v>
      </c>
      <c r="AB127" s="110">
        <f>[Patrimônio Líquido]/[Total Ações]</f>
        <v>15.403855176377013</v>
      </c>
      <c r="AC127" s="11">
        <f>MAX(Tabela3[[#This Row],[Cotação 1]:[Cotação 3]])</f>
        <v>8.86</v>
      </c>
      <c r="AD127" s="9">
        <f>[Cotação]/[VPA]</f>
        <v>0.57518068681841972</v>
      </c>
      <c r="AE127" s="37">
        <f>IF(Tabela3[[#This Row],[Lucro/Ação]]&gt;0,Tabela3[[#This Row],[Cotação]]/(Tabela3[[#This Row],[Lucro/Ação]]/[Ref]*4),0)</f>
        <v>4.0965493542593796</v>
      </c>
      <c r="AF127" s="93" t="e">
        <f>IF([Div. Mínimo]=0,0,[Lucro Distribuir]*#REF!/[Total Ações])</f>
        <v>#REF!</v>
      </c>
      <c r="AG127" s="96">
        <f>[Lucro Distribuir]/[Total Ações]</f>
        <v>1.5409920530888588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7" s="14" t="str">
        <f>IF(AND([% A.A.]&gt;=8%,SUMPRODUCT(N([Nome]=Tabela3[[#This Row],[Nome]]),[PL])&gt;0),"Sim","Não")</f>
        <v>Não</v>
      </c>
      <c r="AJ127" s="19">
        <f>IF([Cotação]&gt;0,Tabela3[[#This Row],[Lucro]]/Tabela3[[#This Row],[Cotação]],0)</f>
        <v>4.6341719126546846E-2</v>
      </c>
      <c r="AK127" s="19">
        <f>((1+Tabela3[[#This Row],[% Yield]])^(1/(3*Tabela3[[#This Row],[Ref]])))^(12)-1</f>
        <v>6.2261371244182406E-2</v>
      </c>
      <c r="AL127" s="10">
        <f>IF([Cotação]&gt;0,($AR$1/Tabela3[[#This Row],[Cotação]]-MOD($AR$1/Tabela3[[#This Row],[Cotação]],100)),)</f>
        <v>0</v>
      </c>
      <c r="AM127" s="5">
        <f>Tabela3[[#This Row],[Ativos]]*[Lucro]</f>
        <v>0</v>
      </c>
      <c r="AN127" s="5">
        <f>SUMPRODUCT(N(Tabela1[Código]=Tabela3[[#This Row],[PAPEL]]),Tabela1[Fechamento])</f>
        <v>8.86</v>
      </c>
      <c r="AO127" s="5">
        <f>SUMPRODUCT(N(Tabela17[Código]=Tabela3[[#This Row],[PAPEL]]),Tabela17[Fechamento])</f>
        <v>0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561</v>
      </c>
      <c r="C128" s="101" t="str">
        <f>LEFT([PAPEL],LEN([PAPEL])-(LEN([PAPEL])-4))</f>
        <v>EMAE</v>
      </c>
      <c r="D128" s="16">
        <v>3</v>
      </c>
      <c r="E128" s="5">
        <v>285411308.35000002</v>
      </c>
      <c r="F128" s="57">
        <v>14705370</v>
      </c>
      <c r="G128" s="100">
        <v>0.25</v>
      </c>
      <c r="H128" s="18"/>
      <c r="I128" s="18"/>
      <c r="K128" s="107"/>
      <c r="L128" s="107"/>
      <c r="M128" s="110">
        <v>672379000</v>
      </c>
      <c r="N128" s="110">
        <v>25747000</v>
      </c>
      <c r="O128" s="6">
        <f>Tabela3[[#This Row],[Capital Social]]*20%</f>
        <v>57082261.670000009</v>
      </c>
      <c r="P128" s="6">
        <f>IF(([Lucro Líquido]*5%)&gt;[Teto R. Legal],[Teto R. Legal],[Lucro Líquido]*5%)</f>
        <v>1287350</v>
      </c>
      <c r="Q128" s="110">
        <f>IF([Lucro Líquido]&lt;0,0,[Lucro Líquido]-[Reserva Legal])</f>
        <v>24459650</v>
      </c>
      <c r="R128" s="110">
        <f>Tabela3[[#This Row],[Lucro Distribuir]]*[%Div]</f>
        <v>6114912.5</v>
      </c>
      <c r="S128" s="57">
        <f>SUMPRODUCT(N([Nome]=Tabela3[[#This Row],[Nome]]),[Ações])</f>
        <v>36947084</v>
      </c>
      <c r="T128" s="6">
        <f>[Capital Social]/[Total Ações]</f>
        <v>7.7248669570242683</v>
      </c>
      <c r="U128" s="96">
        <f>Tabela3[[#This Row],[Lucro Líquido]]/Tabela3[[#This Row],[Total Ações]]</f>
        <v>0.69686148979984452</v>
      </c>
      <c r="V1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8" s="6">
        <f>[Div Base]*[Ações]</f>
        <v>2358081.4629703746</v>
      </c>
      <c r="AA128" s="6">
        <f>SUMPRODUCT(N([Nome]=Tabela3[[#This Row],[Nome]]),[Div Base]*[Ações])</f>
        <v>6281311.6105919778</v>
      </c>
      <c r="AB128" s="110">
        <f>[Patrimônio Líquido]/[Total Ações]</f>
        <v>18.198432114426133</v>
      </c>
      <c r="AC128" s="11">
        <f>MAX(Tabela3[[#This Row],[Cotação 1]:[Cotação 3]])</f>
        <v>0</v>
      </c>
      <c r="AD128" s="9">
        <f>[Cotação]/[VPA]</f>
        <v>0</v>
      </c>
      <c r="AE128" s="37">
        <f>IF(Tabela3[[#This Row],[Lucro/Ação]]&gt;0,Tabela3[[#This Row],[Cotação]]/(Tabela3[[#This Row],[Lucro/Ação]]/[Ref]*4),0)</f>
        <v>0</v>
      </c>
      <c r="AF128" s="93" t="e">
        <f>IF([Div. Mínimo]=0,0,[Lucro Distribuir]*#REF!/[Total Ações])</f>
        <v>#REF!</v>
      </c>
      <c r="AG128" s="96">
        <f>[Lucro Distribuir]/[Total Ações]</f>
        <v>0.66201841530985228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8" s="14" t="str">
        <f>IF(AND([% A.A.]&gt;=8%,SUMPRODUCT(N([Nome]=Tabela3[[#This Row],[Nome]]),[PL])&gt;0),"Sim","Não")</f>
        <v>Não</v>
      </c>
      <c r="AJ128" s="19">
        <f>IF([Cotação]&gt;0,Tabela3[[#This Row],[Lucro]]/Tabela3[[#This Row],[Cotação]],0)</f>
        <v>0</v>
      </c>
      <c r="AK128" s="19">
        <f>((1+Tabela3[[#This Row],[% Yield]])^(1/(3*Tabela3[[#This Row],[Ref]])))^(12)-1</f>
        <v>0</v>
      </c>
      <c r="AL128" s="10">
        <f>IF([Cotação]&gt;0,($AR$1/Tabela3[[#This Row],[Cotação]]-MOD($AR$1/Tabela3[[#This Row],[Cotação]],100)),)</f>
        <v>0</v>
      </c>
      <c r="AM128" s="5">
        <f>Tabela3[[#This Row],[Ativos]]*[Lucro]</f>
        <v>0</v>
      </c>
      <c r="AN128" s="5">
        <f>SUMPRODUCT(N(Tabela1[Código]=Tabela3[[#This Row],[PAPEL]]),Tabela1[Fechamento])</f>
        <v>0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179</v>
      </c>
      <c r="C129" s="14" t="str">
        <f>LEFT([PAPEL],LEN([PAPEL])-(LEN([PAPEL])-4))</f>
        <v>EMAE</v>
      </c>
      <c r="D129" s="15">
        <v>3</v>
      </c>
      <c r="E129" s="5">
        <v>285411308.35000002</v>
      </c>
      <c r="F129" s="8">
        <v>22241714</v>
      </c>
      <c r="G129" s="106">
        <v>0.25</v>
      </c>
      <c r="H129" s="15"/>
      <c r="I129" s="19"/>
      <c r="J129" s="19">
        <v>0.1</v>
      </c>
      <c r="K129" s="108"/>
      <c r="L129" s="108"/>
      <c r="M129" s="110">
        <v>672379000</v>
      </c>
      <c r="N129" s="110">
        <v>25747000</v>
      </c>
      <c r="O129" s="6">
        <f>Tabela3[[#This Row],[Capital Social]]*20%</f>
        <v>57082261.670000009</v>
      </c>
      <c r="P129" s="6">
        <f>IF(([Lucro Líquido]*5%)&gt;[Teto R. Legal],[Teto R. Legal],[Lucro Líquido]*5%)</f>
        <v>1287350</v>
      </c>
      <c r="Q129" s="110">
        <f>IF([Lucro Líquido]&lt;0,0,[Lucro Líquido]-[Reserva Legal])</f>
        <v>24459650</v>
      </c>
      <c r="R129" s="110">
        <f>Tabela3[[#This Row],[Lucro Distribuir]]*[%Div]</f>
        <v>6114912.5</v>
      </c>
      <c r="S129" s="57">
        <f>SUMPRODUCT(N([Nome]=Tabela3[[#This Row],[Nome]]),[Ações])</f>
        <v>36947084</v>
      </c>
      <c r="T129" s="6">
        <f>[Capital Social]/[Total Ações]</f>
        <v>7.7248669570242683</v>
      </c>
      <c r="U129" s="96">
        <f>Tabela3[[#This Row],[Lucro Líquido]]/Tabela3[[#This Row],[Total Ações]]</f>
        <v>0.69686148979984452</v>
      </c>
      <c r="V1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9" s="6">
        <f>[Div Base]*[Ações]</f>
        <v>3923230.1476216028</v>
      </c>
      <c r="AA129" s="6">
        <f>SUMPRODUCT(N([Nome]=Tabela3[[#This Row],[Nome]]),[Div Base]*[Ações])</f>
        <v>6281311.6105919778</v>
      </c>
      <c r="AB129" s="110">
        <f>[Patrimônio Líquido]/[Total Ações]</f>
        <v>18.198432114426133</v>
      </c>
      <c r="AC129" s="49">
        <f>MAX(Tabela3[[#This Row],[Cotação 1]:[Cotação 3]])</f>
        <v>5.5</v>
      </c>
      <c r="AD129" s="45">
        <f>[Cotação]/[VPA]</f>
        <v>0.30222383804372238</v>
      </c>
      <c r="AE129" s="41">
        <f>IF(Tabela3[[#This Row],[Lucro/Ação]]&gt;0,Tabela3[[#This Row],[Cotação]]/(Tabela3[[#This Row],[Lucro/Ação]]/[Ref]*4),0)</f>
        <v>5.9193972695848069</v>
      </c>
      <c r="AF129" s="41" t="e">
        <f>IF([Div. Mínimo]=0,0,[Lucro Distribuir]*#REF!/[Total Ações])</f>
        <v>#REF!</v>
      </c>
      <c r="AG129" s="96">
        <f>[Lucro Distribuir]/[Total Ações]</f>
        <v>0.66201841530985228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9" s="15" t="str">
        <f>IF(AND([% A.A.]&gt;=8%,SUMPRODUCT(N([Nome]=Tabela3[[#This Row],[Nome]]),[PL])&gt;0),"Sim","Não")</f>
        <v>Não</v>
      </c>
      <c r="AJ129" s="43">
        <f>IF([Cotação]&gt;0,Tabela3[[#This Row],[Lucro]]/Tabela3[[#This Row],[Cotação]],0)</f>
        <v>3.2071025294850786E-2</v>
      </c>
      <c r="AK129" s="19">
        <f>((1+Tabela3[[#This Row],[% Yield]])^(1/(3*Tabela3[[#This Row],[Ref]])))^(12)-1</f>
        <v>4.2988326304974844E-2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5.5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28</v>
      </c>
      <c r="C130" s="14" t="str">
        <f>LEFT([PAPEL],LEN([PAPEL])-(LEN([PAPEL])-4))</f>
        <v>ENBR</v>
      </c>
      <c r="D130" s="15">
        <v>3</v>
      </c>
      <c r="E130" s="6">
        <v>3182715945.1199999</v>
      </c>
      <c r="F130" s="8">
        <v>476415612</v>
      </c>
      <c r="G130" s="100">
        <v>0.25</v>
      </c>
      <c r="H130" s="19"/>
      <c r="I130" s="19"/>
      <c r="J130" s="19"/>
      <c r="K130" s="108"/>
      <c r="L130" s="108"/>
      <c r="M130" s="110">
        <v>6277330000</v>
      </c>
      <c r="N130" s="110">
        <v>451384000</v>
      </c>
      <c r="O130" s="6">
        <f>Tabela3[[#This Row],[Capital Social]]*20%</f>
        <v>636543189.02400005</v>
      </c>
      <c r="P130" s="6">
        <f>IF(([Lucro Líquido]*5%)&gt;[Teto R. Legal],[Teto R. Legal],[Lucro Líquido]*5%)</f>
        <v>22569200</v>
      </c>
      <c r="Q130" s="110">
        <f>IF([Lucro Líquido]&lt;0,0,[Lucro Líquido]-[Reserva Legal])</f>
        <v>428814800</v>
      </c>
      <c r="R130" s="110">
        <f>Tabela3[[#This Row],[Lucro Distribuir]]*[%Div]</f>
        <v>107203700</v>
      </c>
      <c r="S130" s="57">
        <f>SUMPRODUCT(N([Nome]=Tabela3[[#This Row],[Nome]]),[Ações])</f>
        <v>476415612</v>
      </c>
      <c r="T130" s="6">
        <f>[Capital Social]/[Total Ações]</f>
        <v>6.6805450219376938</v>
      </c>
      <c r="U130" s="96">
        <f>Tabela3[[#This Row],[Lucro Líquido]]/Tabela3[[#This Row],[Total Ações]]</f>
        <v>0.94745845566454689</v>
      </c>
      <c r="V1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30" s="6">
        <f>[Div Base]*[Ações]</f>
        <v>107203700</v>
      </c>
      <c r="AA130" s="6">
        <f>SUMPRODUCT(N([Nome]=Tabela3[[#This Row],[Nome]]),[Div Base]*[Ações])</f>
        <v>107203700</v>
      </c>
      <c r="AB130" s="110">
        <f>[Patrimônio Líquido]/[Total Ações]</f>
        <v>13.176163504902101</v>
      </c>
      <c r="AC130" s="49">
        <f>MAX(Tabela3[[#This Row],[Cotação 1]:[Cotação 3]])</f>
        <v>9.3000000000000007</v>
      </c>
      <c r="AD130" s="45">
        <f>[Cotação]/[VPA]</f>
        <v>0.70582002086874529</v>
      </c>
      <c r="AE130" s="41">
        <f>IF(Tabela3[[#This Row],[Lucro/Ação]]&gt;0,Tabela3[[#This Row],[Cotação]]/(Tabela3[[#This Row],[Lucro/Ação]]/[Ref]*4),0)</f>
        <v>7.3618003600038993</v>
      </c>
      <c r="AF130" s="93" t="e">
        <f>IF([Div. Mínimo]=0,0,[Lucro Distribuir]*#REF!/[Total Ações])</f>
        <v>#REF!</v>
      </c>
      <c r="AG130" s="96">
        <f>[Lucro Distribuir]/[Total Ações]</f>
        <v>0.90008553288131965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30" s="15" t="str">
        <f>IF(AND([% A.A.]&gt;=8%,SUMPRODUCT(N([Nome]=Tabela3[[#This Row],[Nome]]),[PL])&gt;0),"Sim","Não")</f>
        <v>Não</v>
      </c>
      <c r="AJ130" s="43">
        <f>IF([Cotação]&gt;0,Tabela3[[#This Row],[Lucro]]/Tabela3[[#This Row],[Cotação]],0)</f>
        <v>2.4195847658099987E-2</v>
      </c>
      <c r="AK130" s="19">
        <f>((1+Tabela3[[#This Row],[% Yield]])^(1/(3*Tabela3[[#This Row],[Ref]])))^(12)-1</f>
        <v>3.2390535222920791E-2</v>
      </c>
      <c r="AL130" s="14">
        <f>IF([Cotação]&gt;0,($AR$1/Tabela3[[#This Row],[Cotação]]-MOD($AR$1/Tabela3[[#This Row],[Cotação]],100)),)</f>
        <v>0</v>
      </c>
      <c r="AM130" s="17">
        <f>Tabela3[[#This Row],[Ativos]]*[Lucro]</f>
        <v>0</v>
      </c>
      <c r="AN130" s="5">
        <f>SUMPRODUCT(N(Tabela1[Código]=Tabela3[[#This Row],[PAPEL]]),Tabela1[Fechamento])</f>
        <v>9.3000000000000007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562</v>
      </c>
      <c r="C131" s="15" t="str">
        <f>LEFT([PAPEL],LEN([PAPEL])-(LEN([PAPEL])-4))</f>
        <v>ENEV</v>
      </c>
      <c r="D131" s="15">
        <v>3</v>
      </c>
      <c r="E131" s="6">
        <v>3736568320.8499999</v>
      </c>
      <c r="F131" s="8">
        <v>578479962</v>
      </c>
      <c r="G131" s="100">
        <v>0.25</v>
      </c>
      <c r="H131" s="15"/>
      <c r="I131" s="19"/>
      <c r="J131" s="19"/>
      <c r="K131" s="108"/>
      <c r="L131" s="108"/>
      <c r="M131" s="114">
        <v>2723103000</v>
      </c>
      <c r="N131" s="115">
        <v>-662181000</v>
      </c>
      <c r="O131" s="13">
        <f>Tabela3[[#This Row],[Capital Social]]*20%</f>
        <v>747313664.17000008</v>
      </c>
      <c r="P131" s="13">
        <f>IF(([Lucro Líquido]*5%)&gt;[Teto R. Legal],[Teto R. Legal],[Lucro Líquido]*5%)</f>
        <v>-33109050</v>
      </c>
      <c r="Q131" s="13">
        <f>IF([Lucro Líquido]&lt;0,0,[Lucro Líquido]-[Reserva Legal])</f>
        <v>0</v>
      </c>
      <c r="R131" s="13">
        <f>Tabela3[[#This Row],[Lucro Distribuir]]*[%Div]</f>
        <v>0</v>
      </c>
      <c r="S131" s="57">
        <f>SUMPRODUCT(N([Nome]=Tabela3[[#This Row],[Nome]]),[Ações])</f>
        <v>578479962</v>
      </c>
      <c r="T131" s="6">
        <f>[Capital Social]/[Total Ações]</f>
        <v>6.4592873847028773</v>
      </c>
      <c r="U131" s="96">
        <f>Tabela3[[#This Row],[Lucro Líquido]]/Tabela3[[#This Row],[Total Ações]]</f>
        <v>-1.1446913350474879</v>
      </c>
      <c r="V1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1" s="13">
        <f>[Div Base]*[Ações]</f>
        <v>0</v>
      </c>
      <c r="AA131" s="13">
        <f>SUMPRODUCT(N([Nome]=Tabela3[[#This Row],[Nome]]),[Div Base]*[Ações])</f>
        <v>0</v>
      </c>
      <c r="AB131" s="113">
        <f>[Patrimônio Líquido]/[Total Ações]</f>
        <v>4.707341963212202</v>
      </c>
      <c r="AC131" s="49">
        <f>MAX(Tabela3[[#This Row],[Cotação 1]:[Cotação 3]])</f>
        <v>3.01</v>
      </c>
      <c r="AD131" s="45">
        <f>[Cotação]/[VPA]</f>
        <v>0.63942667083103355</v>
      </c>
      <c r="AE131" s="41">
        <f>IF(Tabela3[[#This Row],[Lucro/Ação]]&gt;0,Tabela3[[#This Row],[Cotação]]/(Tabela3[[#This Row],[Lucro/Ação]]/[Ref]*4),0)</f>
        <v>0</v>
      </c>
      <c r="AF131" s="109">
        <f>IF([Div. Mínimo]=0,0,[Lucro Distribuir]*#REF!/[Total Ações])</f>
        <v>0</v>
      </c>
      <c r="AG131" s="96">
        <f>[Lucro Distribuir]/[Total Ações]</f>
        <v>0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1" s="14" t="str">
        <f>IF(AND([% A.A.]&gt;=8%,SUMPRODUCT(N([Nome]=Tabela3[[#This Row],[Nome]]),[PL])&gt;0),"Sim","Não")</f>
        <v>Não</v>
      </c>
      <c r="AJ131" s="43">
        <f>IF([Cotação]&gt;0,Tabela3[[#This Row],[Lucro]]/Tabela3[[#This Row],[Cotação]],0)</f>
        <v>0</v>
      </c>
      <c r="AK131" s="43">
        <f>((1+Tabela3[[#This Row],[% Yield]])^(1/(3*Tabela3[[#This Row],[Ref]])))^(12)-1</f>
        <v>0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17">
        <f>SUMPRODUCT(N(Tabela1[Código]=Tabela3[[#This Row],[PAPEL]]),Tabela1[Fechamento])</f>
        <v>0</v>
      </c>
      <c r="AO131" s="17">
        <f>SUMPRODUCT(N(Tabela17[Código]=Tabela3[[#This Row],[PAPEL]]),Tabela17[Fechamento])</f>
        <v>3.01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88</v>
      </c>
      <c r="C132" s="14" t="str">
        <f>LEFT([PAPEL],LEN([PAPEL])-(LEN([PAPEL])-4))</f>
        <v>ENGI</v>
      </c>
      <c r="D132" s="15">
        <v>3</v>
      </c>
      <c r="E132" s="6"/>
      <c r="F132" s="8"/>
      <c r="G132" s="106">
        <v>0.25</v>
      </c>
      <c r="H132" s="15"/>
      <c r="I132" s="19"/>
      <c r="J132" s="19"/>
      <c r="K132" s="108">
        <v>1</v>
      </c>
      <c r="L132" s="108">
        <v>4</v>
      </c>
      <c r="M132" s="110"/>
      <c r="N132" s="110"/>
      <c r="O132" s="6"/>
      <c r="P132" s="6"/>
      <c r="Q132" s="110">
        <f>IF([Lucro Líquido]&lt;0,0,[Lucro Líquido]-[Reserva Legal])</f>
        <v>0</v>
      </c>
      <c r="R132" s="110">
        <f>Tabela3[[#This Row],[Lucro Distribuir]]*[%Div]</f>
        <v>0</v>
      </c>
      <c r="S132" s="57">
        <f>SUMPRODUCT(N([Nome]=Tabela3[[#This Row],[Nome]]),[Ações])</f>
        <v>1245690889</v>
      </c>
      <c r="T132" s="6">
        <f>[Capital Social]/[Total Ações]</f>
        <v>0</v>
      </c>
      <c r="U132" s="96">
        <f>Tabela3[[#This Row],[Lucro Líquido]]/Tabela3[[#This Row],[Total Ações]]</f>
        <v>0</v>
      </c>
      <c r="V1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2" s="6">
        <f>[Div Base]*[Ações]</f>
        <v>0</v>
      </c>
      <c r="AA132" s="6">
        <f>SUMPRODUCT(N([Nome]=Tabela3[[#This Row],[Nome]]),[Div Base]*[Ações])</f>
        <v>45131175</v>
      </c>
      <c r="AB132" s="110">
        <f>[Patrimônio Líquido]/[Total Ações]</f>
        <v>0</v>
      </c>
      <c r="AC132" s="49">
        <f>MAX(Tabela3[[#This Row],[Cotação 1]:[Cotação 3]])</f>
        <v>12.4</v>
      </c>
      <c r="AD132" s="45" t="e">
        <f>[Cotação]/[VPA]</f>
        <v>#DIV/0!</v>
      </c>
      <c r="AE132" s="41">
        <f>IF(Tabela3[[#This Row],[Lucro/Ação]]&gt;0,Tabela3[[#This Row],[Cotação]]/(Tabela3[[#This Row],[Lucro/Ação]]/[Ref]*4),0)</f>
        <v>0</v>
      </c>
      <c r="AF132" s="41">
        <f>IF([Div. Mínimo]=0,0,[Lucro Distribuir]*#REF!/[Total Ações])</f>
        <v>0</v>
      </c>
      <c r="AG132" s="96">
        <f>[Lucro Distribuir]/[Total Ações]</f>
        <v>0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32" s="14" t="str">
        <f>IF(AND([% A.A.]&gt;=8%,SUMPRODUCT(N([Nome]=Tabela3[[#This Row],[Nome]]),[PL])&gt;0),"Sim","Não")</f>
        <v>Não</v>
      </c>
      <c r="AJ132" s="43">
        <f>IF([Cotação]&gt;0,Tabela3[[#This Row],[Lucro]]/Tabela3[[#This Row],[Cotação]],0)</f>
        <v>1.4608804315886645E-2</v>
      </c>
      <c r="AK132" s="19">
        <f>((1+Tabela3[[#This Row],[% Yield]])^(1/(3*Tabela3[[#This Row],[Ref]])))^(12)-1</f>
        <v>1.9525678756868725E-2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5">
        <f>SUMPRODUCT(N(Tabela1[Código]=Tabela3[[#This Row],[PAPEL]]),Tabela1[Fechamento])</f>
        <v>12.4</v>
      </c>
      <c r="AO132" s="5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181</v>
      </c>
      <c r="C133" s="14" t="str">
        <f>LEFT([PAPEL],LEN([PAPEL])-(LEN([PAPEL])-4))</f>
        <v>ENGI</v>
      </c>
      <c r="D133" s="15">
        <v>3</v>
      </c>
      <c r="E133" s="6">
        <v>1010000001.6</v>
      </c>
      <c r="F133" s="8">
        <v>592714397</v>
      </c>
      <c r="G133" s="100">
        <v>0.25</v>
      </c>
      <c r="H133" s="15"/>
      <c r="I133" s="19"/>
      <c r="J133" s="19"/>
      <c r="K133" s="108"/>
      <c r="L133" s="108"/>
      <c r="M133" s="110">
        <v>1825587000</v>
      </c>
      <c r="N133" s="110">
        <v>190026000</v>
      </c>
      <c r="O133" s="6">
        <f>Tabela3[[#This Row],[Capital Social]]*20%</f>
        <v>202000000.32000002</v>
      </c>
      <c r="P133" s="6">
        <f>IF(([Lucro Líquido]*5%)&gt;[Teto R. Legal],[Teto R. Legal],[Lucro Líquido]*5%)</f>
        <v>9501300</v>
      </c>
      <c r="Q133" s="110">
        <f>IF([Lucro Líquido]&lt;0,0,[Lucro Líquido]-[Reserva Legal])</f>
        <v>180524700</v>
      </c>
      <c r="R133" s="110">
        <f>Tabela3[[#This Row],[Lucro Distribuir]]*[%Div]</f>
        <v>45131175</v>
      </c>
      <c r="S133" s="57">
        <f>SUMPRODUCT(N([Nome]=Tabela3[[#This Row],[Nome]]),[Ações])</f>
        <v>1245690889</v>
      </c>
      <c r="T133" s="6">
        <f>[Capital Social]/[Total Ações]</f>
        <v>0.81079504596103702</v>
      </c>
      <c r="U133" s="96">
        <f>Tabela3[[#This Row],[Lucro Líquido]]/Tabela3[[#This Row],[Total Ações]]</f>
        <v>0.15254667243536371</v>
      </c>
      <c r="V1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3" s="6">
        <f>[Div Base]*[Ações]</f>
        <v>21473944.629634738</v>
      </c>
      <c r="AA133" s="6">
        <f>SUMPRODUCT(N([Nome]=Tabela3[[#This Row],[Nome]]),[Div Base]*[Ações])</f>
        <v>45131175</v>
      </c>
      <c r="AB133" s="110">
        <f>[Patrimônio Líquido]/[Total Ações]</f>
        <v>1.4655216764614227</v>
      </c>
      <c r="AC133" s="49">
        <f>MAX(Tabela3[[#This Row],[Cotação 1]:[Cotação 3]])</f>
        <v>3.4</v>
      </c>
      <c r="AD133" s="45">
        <f>[Cotação]/[VPA]</f>
        <v>2.3199929790253764</v>
      </c>
      <c r="AE133" s="41">
        <f>IF(Tabela3[[#This Row],[Lucro/Ação]]&gt;0,Tabela3[[#This Row],[Cotação]]/(Tabela3[[#This Row],[Lucro/Ação]]/[Ref]*4),0)</f>
        <v>16.716195504562531</v>
      </c>
      <c r="AF133" s="41" t="e">
        <f>IF([Div. Mínimo]=0,0,[Lucro Distribuir]*#REF!/[Total Ações])</f>
        <v>#REF!</v>
      </c>
      <c r="AG133" s="96">
        <f>[Lucro Distribuir]/[Total Ações]</f>
        <v>0.14491933881359551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3" s="15" t="str">
        <f>IF(AND([% A.A.]&gt;=8%,SUMPRODUCT(N([Nome]=Tabela3[[#This Row],[Nome]]),[PL])&gt;0),"Sim","Não")</f>
        <v>Não</v>
      </c>
      <c r="AJ133" s="43">
        <f>IF([Cotação]&gt;0,Tabela3[[#This Row],[Lucro]]/Tabela3[[#This Row],[Cotação]],0)</f>
        <v>1.0655833736293788E-2</v>
      </c>
      <c r="AK133" s="19">
        <f>((1+Tabela3[[#This Row],[% Yield]])^(1/(3*Tabela3[[#This Row],[Ref]])))^(12)-1</f>
        <v>1.4232951449515419E-2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5">
        <f>SUMPRODUCT(N(Tabela1[Código]=Tabela3[[#This Row],[PAPEL]]),Tabela1[Fechamento])</f>
        <v>3.4</v>
      </c>
      <c r="AO133" s="5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4" t="s">
        <v>12</v>
      </c>
      <c r="B134" s="65" t="s">
        <v>64</v>
      </c>
      <c r="C134" s="14" t="str">
        <f>LEFT([PAPEL],LEN([PAPEL])-(LEN([PAPEL])-4))</f>
        <v>ENGI</v>
      </c>
      <c r="D134" s="15">
        <v>3</v>
      </c>
      <c r="E134" s="6">
        <v>1010000001.6</v>
      </c>
      <c r="F134" s="8">
        <v>652976492</v>
      </c>
      <c r="G134" s="106">
        <v>0.25</v>
      </c>
      <c r="H134" s="15"/>
      <c r="I134" s="19"/>
      <c r="J134" s="19"/>
      <c r="K134" s="108"/>
      <c r="L134" s="108"/>
      <c r="M134" s="110">
        <v>1825587000</v>
      </c>
      <c r="N134" s="110">
        <v>190026000</v>
      </c>
      <c r="O134" s="6">
        <f>Tabela3[[#This Row],[Capital Social]]*20%</f>
        <v>202000000.32000002</v>
      </c>
      <c r="P134" s="6">
        <f>IF(([Lucro Líquido]*5%)&gt;[Teto R. Legal],[Teto R. Legal],[Lucro Líquido]*5%)</f>
        <v>9501300</v>
      </c>
      <c r="Q134" s="110">
        <f>IF([Lucro Líquido]&lt;0,0,[Lucro Líquido]-[Reserva Legal])</f>
        <v>180524700</v>
      </c>
      <c r="R134" s="110">
        <f>Tabela3[[#This Row],[Lucro Distribuir]]*[%Div]</f>
        <v>45131175</v>
      </c>
      <c r="S134" s="57">
        <f>SUMPRODUCT(N([Nome]=Tabela3[[#This Row],[Nome]]),[Ações])</f>
        <v>1245690889</v>
      </c>
      <c r="T134" s="6">
        <f>[Capital Social]/[Total Ações]</f>
        <v>0.81079504596103702</v>
      </c>
      <c r="U134" s="96">
        <f>Tabela3[[#This Row],[Lucro Líquido]]/Tabela3[[#This Row],[Total Ações]]</f>
        <v>0.15254667243536371</v>
      </c>
      <c r="V1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4" s="6">
        <f>[Div Base]*[Ações]</f>
        <v>23657230.370365258</v>
      </c>
      <c r="AA134" s="6">
        <f>SUMPRODUCT(N([Nome]=Tabela3[[#This Row],[Nome]]),[Div Base]*[Ações])</f>
        <v>45131175</v>
      </c>
      <c r="AB134" s="110">
        <f>[Patrimônio Líquido]/[Total Ações]</f>
        <v>1.4655216764614227</v>
      </c>
      <c r="AC134" s="49">
        <f>MAX(Tabela3[[#This Row],[Cotação 1]:[Cotação 3]])</f>
        <v>2.2999999999999998</v>
      </c>
      <c r="AD134" s="45">
        <f>[Cotação]/[VPA]</f>
        <v>1.5694070152230486</v>
      </c>
      <c r="AE134" s="41">
        <f>IF(Tabela3[[#This Row],[Lucro/Ação]]&gt;0,Tabela3[[#This Row],[Cotação]]/(Tabela3[[#This Row],[Lucro/Ação]]/[Ref]*4),0)</f>
        <v>11.308014606027594</v>
      </c>
      <c r="AF134" s="41" t="e">
        <f>IF([Div. Mínimo]=0,0,[Lucro Distribuir]*#REF!/[Total Ações])</f>
        <v>#REF!</v>
      </c>
      <c r="AG134" s="96">
        <f>[Lucro Distribuir]/[Total Ações]</f>
        <v>0.14491933881359551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4" s="14" t="str">
        <f>IF(AND([% A.A.]&gt;=8%,SUMPRODUCT(N([Nome]=Tabela3[[#This Row],[Nome]]),[PL])&gt;0),"Sim","Não")</f>
        <v>Não</v>
      </c>
      <c r="AJ134" s="43">
        <f>IF([Cotação]&gt;0,Tabela3[[#This Row],[Lucro]]/Tabela3[[#This Row],[Cotação]],0)</f>
        <v>1.5752102044956036E-2</v>
      </c>
      <c r="AK134" s="19">
        <f>((1+Tabela3[[#This Row],[% Yield]])^(1/(3*Tabela3[[#This Row],[Ref]])))^(12)-1</f>
        <v>2.1057750683431076E-2</v>
      </c>
      <c r="AL134" s="14">
        <f>IF([Cotação]&gt;0,($AR$1/Tabela3[[#This Row],[Cotação]]-MOD($AR$1/Tabela3[[#This Row],[Cotação]],100)),)</f>
        <v>100</v>
      </c>
      <c r="AM134" s="17">
        <f>Tabela3[[#This Row],[Ativos]]*[Lucro]</f>
        <v>3.6229834703398875</v>
      </c>
      <c r="AN134" s="5">
        <f>SUMPRODUCT(N(Tabela1[Código]=Tabela3[[#This Row],[PAPEL]]),Tabela1[Fechamento])</f>
        <v>2.2999999999999998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12</v>
      </c>
      <c r="B135" s="65" t="s">
        <v>98</v>
      </c>
      <c r="C135" s="14" t="str">
        <f>LEFT([PAPEL],LEN([PAPEL])-(LEN([PAPEL])-4))</f>
        <v>ENMA</v>
      </c>
      <c r="D135" s="15">
        <v>3</v>
      </c>
      <c r="E135" s="6">
        <v>618549815.79999995</v>
      </c>
      <c r="F135" s="8">
        <v>161318939</v>
      </c>
      <c r="G135" s="100">
        <v>0.25</v>
      </c>
      <c r="H135" s="15"/>
      <c r="I135" s="19"/>
      <c r="J135" s="19"/>
      <c r="K135" s="108"/>
      <c r="L135" s="108"/>
      <c r="M135" s="110">
        <v>1380983000</v>
      </c>
      <c r="N135" s="110">
        <v>154788000</v>
      </c>
      <c r="O135" s="6">
        <f>Tabela3[[#This Row],[Capital Social]]*20%</f>
        <v>123709963.16</v>
      </c>
      <c r="P135" s="6">
        <f>IF(([Lucro Líquido]*5%)&gt;[Teto R. Legal],[Teto R. Legal],[Lucro Líquido]*5%)</f>
        <v>7739400</v>
      </c>
      <c r="Q135" s="110">
        <f>IF([Lucro Líquido]&lt;0,0,[Lucro Líquido]-[Reserva Legal])</f>
        <v>147048600</v>
      </c>
      <c r="R135" s="110">
        <f>Tabela3[[#This Row],[Lucro Distribuir]]*[%Div]</f>
        <v>36762150</v>
      </c>
      <c r="S135" s="57">
        <f>SUMPRODUCT(N([Nome]=Tabela3[[#This Row],[Nome]]),[Ações])</f>
        <v>164183899</v>
      </c>
      <c r="T135" s="6">
        <f>[Capital Social]/[Total Ações]</f>
        <v>3.7674206762503548</v>
      </c>
      <c r="U135" s="96">
        <f>Tabela3[[#This Row],[Lucro Líquido]]/Tabela3[[#This Row],[Total Ações]]</f>
        <v>0.94277210458986604</v>
      </c>
      <c r="V1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5" s="6">
        <f>[Div Base]*[Ações]</f>
        <v>35869547.225618996</v>
      </c>
      <c r="AA135" s="6">
        <f>SUMPRODUCT(N([Nome]=Tabela3[[#This Row],[Nome]]),[Div Base]*[Ações])</f>
        <v>36762150</v>
      </c>
      <c r="AB135" s="110">
        <f>[Patrimônio Líquido]/[Total Ações]</f>
        <v>8.4111962769260344</v>
      </c>
      <c r="AC135" s="49">
        <f>MAX(Tabela3[[#This Row],[Cotação 1]:[Cotação 3]])</f>
        <v>14.97</v>
      </c>
      <c r="AD135" s="45">
        <f>[Cotação]/[VPA]</f>
        <v>1.7797706184869764</v>
      </c>
      <c r="AE135" s="41">
        <f>IF(Tabela3[[#This Row],[Lucro/Ação]]&gt;0,Tabela3[[#This Row],[Cotação]]/(Tabela3[[#This Row],[Lucro/Ação]]/[Ref]*4),0)</f>
        <v>11.909028645776804</v>
      </c>
      <c r="AF135" s="41" t="e">
        <f>IF([Div. Mínimo]=0,0,[Lucro Distribuir]*#REF!/[Total Ações])</f>
        <v>#REF!</v>
      </c>
      <c r="AG135" s="96">
        <f>[Lucro Distribuir]/[Total Ações]</f>
        <v>0.89563349936037273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5" s="15" t="str">
        <f>IF(AND([% A.A.]&gt;=8%,SUMPRODUCT(N([Nome]=Tabela3[[#This Row],[Nome]]),[PL])&gt;0),"Sim","Não")</f>
        <v>Não</v>
      </c>
      <c r="AJ135" s="43">
        <f>IF([Cotação]&gt;0,Tabela3[[#This Row],[Lucro]]/Tabela3[[#This Row],[Cotação]],0)</f>
        <v>1.4853155828484002E-2</v>
      </c>
      <c r="AK135" s="19">
        <f>((1+Tabela3[[#This Row],[% Yield]])^(1/(3*Tabela3[[#This Row],[Ref]])))^(12)-1</f>
        <v>1.9853072775980252E-2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5">
        <f>SUMPRODUCT(N(Tabela1[Código]=Tabela3[[#This Row],[PAPEL]]),Tabela1[Fechamento])</f>
        <v>14.97</v>
      </c>
      <c r="AO135" s="5">
        <f>SUMPRODUCT(N(Tabela17[Código]=Tabela3[[#This Row],[PAPEL]]),Tabela17[Fechamento])</f>
        <v>0</v>
      </c>
      <c r="AP135" s="7">
        <f>SUMPRODUCT(N(Tabela176[Código]=Tabela3[[#This Row],[PAPEL]]),Tabela176[Fechamento])</f>
        <v>0</v>
      </c>
    </row>
    <row r="136" spans="1:42" hidden="1">
      <c r="A136" s="4" t="s">
        <v>12</v>
      </c>
      <c r="B136" s="65" t="s">
        <v>546</v>
      </c>
      <c r="C136" s="101" t="str">
        <f>LEFT([PAPEL],LEN([PAPEL])-(LEN([PAPEL])-4))</f>
        <v>ENMA</v>
      </c>
      <c r="D136" s="15">
        <v>3</v>
      </c>
      <c r="E136" s="6">
        <v>618549815.79999995</v>
      </c>
      <c r="F136" s="8">
        <v>1239231</v>
      </c>
      <c r="G136" s="100">
        <v>0.25</v>
      </c>
      <c r="H136" s="15"/>
      <c r="I136" s="19">
        <v>0.06</v>
      </c>
      <c r="J136" s="19"/>
      <c r="K136" s="108"/>
      <c r="L136" s="108"/>
      <c r="M136" s="110">
        <v>1380983000</v>
      </c>
      <c r="N136" s="110">
        <v>154788000</v>
      </c>
      <c r="O136" s="6">
        <f>Tabela3[[#This Row],[Capital Social]]*20%</f>
        <v>123709963.16</v>
      </c>
      <c r="P136" s="6">
        <f>IF(([Lucro Líquido]*5%)&gt;[Teto R. Legal],[Teto R. Legal],[Lucro Líquido]*5%)</f>
        <v>7739400</v>
      </c>
      <c r="Q136" s="6">
        <f>IF([Lucro Líquido]&lt;0,0,[Lucro Líquido]-[Reserva Legal])</f>
        <v>147048600</v>
      </c>
      <c r="R136" s="6">
        <f>Tabela3[[#This Row],[Lucro Distribuir]]*[%Div]</f>
        <v>36762150</v>
      </c>
      <c r="S136" s="57">
        <f>SUMPRODUCT(N([Nome]=Tabela3[[#This Row],[Nome]]),[Ações])</f>
        <v>164183899</v>
      </c>
      <c r="T136" s="6">
        <f>[Capital Social]/[Total Ações]</f>
        <v>3.7674206762503548</v>
      </c>
      <c r="U136" s="96">
        <f>Tabela3[[#This Row],[Lucro Líquido]]/Tabela3[[#This Row],[Total Ações]]</f>
        <v>0.94277210458986604</v>
      </c>
      <c r="V1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6" s="6">
        <f>[Div Base]*[Ações]</f>
        <v>280122.26952302421</v>
      </c>
      <c r="AA136" s="6">
        <f>SUMPRODUCT(N([Nome]=Tabela3[[#This Row],[Nome]]),[Div Base]*[Ações])</f>
        <v>36762150</v>
      </c>
      <c r="AB136" s="6">
        <f>[Patrimônio Líquido]/[Total Ações]</f>
        <v>8.4111962769260344</v>
      </c>
      <c r="AC136" s="49">
        <f>MAX(Tabela3[[#This Row],[Cotação 1]:[Cotação 3]])</f>
        <v>0</v>
      </c>
      <c r="AD136" s="45">
        <f>[Cotação]/[VPA]</f>
        <v>0</v>
      </c>
      <c r="AE136" s="41">
        <f>IF(Tabela3[[#This Row],[Lucro/Ação]]&gt;0,Tabela3[[#This Row],[Cotação]]/(Tabela3[[#This Row],[Lucro/Ação]]/[Ref]*4),0)</f>
        <v>0</v>
      </c>
      <c r="AF136" s="41" t="e">
        <f>IF([Div. Mínimo]=0,0,[Lucro Distribuir]*#REF!/[Total Ações])</f>
        <v>#REF!</v>
      </c>
      <c r="AG136" s="96">
        <f>[Lucro Distribuir]/[Total Ações]</f>
        <v>0.89563349936037273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6" s="15" t="str">
        <f>IF(AND([% A.A.]&gt;=8%,SUMPRODUCT(N([Nome]=Tabela3[[#This Row],[Nome]]),[PL])&gt;0),"Sim","Não")</f>
        <v>Não</v>
      </c>
      <c r="AJ136" s="43">
        <f>IF([Cotação]&gt;0,Tabela3[[#This Row],[Lucro]]/Tabela3[[#This Row],[Cotação]],0)</f>
        <v>0</v>
      </c>
      <c r="AK136" s="19">
        <f>((1+Tabela3[[#This Row],[% Yield]])^(1/(3*Tabela3[[#This Row],[Ref]])))^(12)-1</f>
        <v>0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0</v>
      </c>
      <c r="AP136" s="7">
        <f>SUMPRODUCT(N(Tabela176[Código]=Tabela3[[#This Row],[PAPEL]]),Tabela176[Fechamento])</f>
        <v>0</v>
      </c>
    </row>
    <row r="137" spans="1:42" hidden="1">
      <c r="A137" s="4" t="s">
        <v>12</v>
      </c>
      <c r="B137" s="65" t="s">
        <v>547</v>
      </c>
      <c r="C137" s="101" t="str">
        <f>LEFT([PAPEL],LEN([PAPEL])-(LEN([PAPEL])-4))</f>
        <v>ENMA</v>
      </c>
      <c r="D137" s="15">
        <v>3</v>
      </c>
      <c r="E137" s="6">
        <v>618549815.79999995</v>
      </c>
      <c r="F137" s="8">
        <v>1625729</v>
      </c>
      <c r="G137" s="100">
        <v>0.25</v>
      </c>
      <c r="H137" s="15"/>
      <c r="I137" s="19">
        <v>0.1</v>
      </c>
      <c r="J137" s="19"/>
      <c r="K137" s="108"/>
      <c r="L137" s="108"/>
      <c r="M137" s="110">
        <v>1380983000</v>
      </c>
      <c r="N137" s="110">
        <v>154788000</v>
      </c>
      <c r="O137" s="6">
        <f>Tabela3[[#This Row],[Capital Social]]*20%</f>
        <v>123709963.16</v>
      </c>
      <c r="P137" s="6">
        <f>IF(([Lucro Líquido]*5%)&gt;[Teto R. Legal],[Teto R. Legal],[Lucro Líquido]*5%)</f>
        <v>7739400</v>
      </c>
      <c r="Q137" s="6">
        <f>IF([Lucro Líquido]&lt;0,0,[Lucro Líquido]-[Reserva Legal])</f>
        <v>147048600</v>
      </c>
      <c r="R137" s="6">
        <f>Tabela3[[#This Row],[Lucro Distribuir]]*[%Div]</f>
        <v>36762150</v>
      </c>
      <c r="S137" s="57">
        <f>SUMPRODUCT(N([Nome]=Tabela3[[#This Row],[Nome]]),[Ações])</f>
        <v>164183899</v>
      </c>
      <c r="T137" s="6">
        <f>[Capital Social]/[Total Ações]</f>
        <v>3.7674206762503548</v>
      </c>
      <c r="U137" s="96">
        <f>Tabela3[[#This Row],[Lucro Líquido]]/Tabela3[[#This Row],[Total Ações]]</f>
        <v>0.94277210458986604</v>
      </c>
      <c r="V1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7" s="6">
        <f>[Div Base]*[Ações]</f>
        <v>612480.50485798134</v>
      </c>
      <c r="AA137" s="6">
        <f>SUMPRODUCT(N([Nome]=Tabela3[[#This Row],[Nome]]),[Div Base]*[Ações])</f>
        <v>36762150</v>
      </c>
      <c r="AB137" s="6">
        <f>[Patrimônio Líquido]/[Total Ações]</f>
        <v>8.4111962769260344</v>
      </c>
      <c r="AC137" s="49">
        <f>MAX(Tabela3[[#This Row],[Cotação 1]:[Cotação 3]])</f>
        <v>0</v>
      </c>
      <c r="AD137" s="45">
        <f>[Cotação]/[VPA]</f>
        <v>0</v>
      </c>
      <c r="AE137" s="41">
        <f>IF(Tabela3[[#This Row],[Lucro/Ação]]&gt;0,Tabela3[[#This Row],[Cotação]]/(Tabela3[[#This Row],[Lucro/Ação]]/[Ref]*4),0)</f>
        <v>0</v>
      </c>
      <c r="AF137" s="41" t="e">
        <f>IF([Div. Mínimo]=0,0,[Lucro Distribuir]*#REF!/[Total Ações])</f>
        <v>#REF!</v>
      </c>
      <c r="AG137" s="96">
        <f>[Lucro Distribuir]/[Total Ações]</f>
        <v>0.89563349936037273</v>
      </c>
      <c r="AH137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7" s="15" t="str">
        <f>IF(AND([% A.A.]&gt;=8%,SUMPRODUCT(N([Nome]=Tabela3[[#This Row],[Nome]]),[PL])&gt;0),"Sim","Não")</f>
        <v>Não</v>
      </c>
      <c r="AJ137" s="43">
        <f>IF([Cotação]&gt;0,Tabela3[[#This Row],[Lucro]]/Tabela3[[#This Row],[Cotação]],0)</f>
        <v>0</v>
      </c>
      <c r="AK137" s="19">
        <f>((1+Tabela3[[#This Row],[% Yield]])^(1/(3*Tabela3[[#This Row],[Ref]])))^(12)-1</f>
        <v>0</v>
      </c>
      <c r="AL137" s="14">
        <f>IF([Cotação]&gt;0,($AR$1/Tabela3[[#This Row],[Cotação]]-MOD($AR$1/Tabela3[[#This Row],[Cotação]],100)),)</f>
        <v>0</v>
      </c>
      <c r="AM137" s="17">
        <f>Tabela3[[#This Row],[Ativos]]*[Lucro]</f>
        <v>0</v>
      </c>
      <c r="AN137" s="13">
        <f>SUMPRODUCT(N(Tabela1[Código]=Tabela3[[#This Row],[PAPEL]]),Tabela1[Fechamento])</f>
        <v>0</v>
      </c>
      <c r="AO137" s="56">
        <f>SUMPRODUCT(N(Tabela17[Código]=Tabela3[[#This Row],[PAPEL]]),Tabela17[Fechamento])</f>
        <v>0</v>
      </c>
      <c r="AP137" s="7">
        <f>SUMPRODUCT(N(Tabela176[Código]=Tabela3[[#This Row],[PAPEL]]),Tabela176[Fechamento])</f>
        <v>0</v>
      </c>
    </row>
    <row r="138" spans="1:42" hidden="1">
      <c r="A138" s="25" t="s">
        <v>12</v>
      </c>
      <c r="B138" s="69" t="s">
        <v>35</v>
      </c>
      <c r="C138" s="15" t="str">
        <f>LEFT([PAPEL],LEN([PAPEL])-(LEN([PAPEL])-4))</f>
        <v>EQTL</v>
      </c>
      <c r="D138" s="16">
        <v>3</v>
      </c>
      <c r="E138" s="5">
        <v>2011701957.72</v>
      </c>
      <c r="F138" s="57">
        <v>198447352</v>
      </c>
      <c r="G138" s="106">
        <v>0.25</v>
      </c>
      <c r="H138" s="16"/>
      <c r="I138" s="18"/>
      <c r="K138" s="107"/>
      <c r="L138" s="107"/>
      <c r="M138" s="111">
        <v>2881205000</v>
      </c>
      <c r="N138" s="111">
        <v>130778000</v>
      </c>
      <c r="O138" s="29">
        <f>Tabela3[[#This Row],[Capital Social]]*20%</f>
        <v>402340391.54400003</v>
      </c>
      <c r="P138" s="29">
        <f>IF(([Lucro Líquido]*5%)&gt;[Teto R. Legal],[Teto R. Legal],[Lucro Líquido]*5%)</f>
        <v>6538900</v>
      </c>
      <c r="Q138" s="111">
        <f>IF([Lucro Líquido]&lt;0,0,[Lucro Líquido]-[Reserva Legal])</f>
        <v>124239100</v>
      </c>
      <c r="R138" s="111">
        <f>Tabela3[[#This Row],[Lucro Distribuir]]*[%Div]</f>
        <v>31059775</v>
      </c>
      <c r="S138" s="57">
        <f>SUMPRODUCT(N([Nome]=Tabela3[[#This Row],[Nome]]),[Ações])</f>
        <v>198447352</v>
      </c>
      <c r="T138" s="29">
        <f>[Capital Social]/[Total Ações]</f>
        <v>10.137207362283171</v>
      </c>
      <c r="U138" s="97">
        <f>Tabela3[[#This Row],[Lucro Líquido]]/Tabela3[[#This Row],[Total Ações]]</f>
        <v>0.65900602190952895</v>
      </c>
      <c r="V138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W138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8" s="29">
        <f>[Div Base]*[Ações]</f>
        <v>31059775</v>
      </c>
      <c r="AA138" s="29">
        <f>SUMPRODUCT(N([Nome]=Tabela3[[#This Row],[Nome]]),[Div Base]*[Ações])</f>
        <v>31059775</v>
      </c>
      <c r="AB138" s="111">
        <f>[Patrimônio Líquido]/[Total Ações]</f>
        <v>14.518737443269083</v>
      </c>
      <c r="AC138" s="30">
        <f>MAX(Tabela3[[#This Row],[Cotação 1]:[Cotação 3]])</f>
        <v>22.5</v>
      </c>
      <c r="AD138" s="31">
        <f>[Cotação]/[VPA]</f>
        <v>1.5497215297071887</v>
      </c>
      <c r="AE138" s="36">
        <f>IF(Tabela3[[#This Row],[Lucro/Ação]]&gt;0,Tabela3[[#This Row],[Cotação]]/(Tabela3[[#This Row],[Lucro/Ação]]/[Ref]*4),0)</f>
        <v>25.606746279955342</v>
      </c>
      <c r="AF138" s="36" t="e">
        <f>IF([Div. Mínimo]=0,0,[Lucro Distribuir]*#REF!/[Total Ações])</f>
        <v>#REF!</v>
      </c>
      <c r="AG138" s="96">
        <f>[Lucro Distribuir]/[Total Ações]</f>
        <v>0.62605572081405247</v>
      </c>
      <c r="AH138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8" s="26" t="str">
        <f>IF(AND([% A.A.]&gt;=8%,SUMPRODUCT(N([Nome]=Tabela3[[#This Row],[Nome]]),[PL])&gt;0),"Sim","Não")</f>
        <v>Não</v>
      </c>
      <c r="AJ138" s="28">
        <f>IF([Cotação]&gt;0,Tabela3[[#This Row],[Lucro]]/Tabela3[[#This Row],[Cotação]],0)</f>
        <v>6.9561746757116939E-3</v>
      </c>
      <c r="AK138" s="50">
        <f>((1+Tabela3[[#This Row],[% Yield]])^(1/(3*Tabela3[[#This Row],[Ref]])))^(12)-1</f>
        <v>9.2856359637432107E-3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22.5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4" t="s">
        <v>365</v>
      </c>
      <c r="B139" s="65" t="s">
        <v>364</v>
      </c>
      <c r="C139" s="101" t="str">
        <f>LEFT([PAPEL],LEN([PAPEL])-(LEN([PAPEL])-4))</f>
        <v>ETER</v>
      </c>
      <c r="D139" s="15">
        <v>3</v>
      </c>
      <c r="E139" s="6">
        <v>334251231.39999998</v>
      </c>
      <c r="F139" s="8">
        <v>89500000</v>
      </c>
      <c r="G139" s="100">
        <v>0.25</v>
      </c>
      <c r="H139" s="19"/>
      <c r="I139" s="19"/>
      <c r="J139" s="19"/>
      <c r="K139" s="108"/>
      <c r="L139" s="108"/>
      <c r="M139" s="6">
        <v>502819000</v>
      </c>
      <c r="N139" s="6">
        <v>76981000</v>
      </c>
      <c r="O139" s="6">
        <f>Tabela3[[#This Row],[Capital Social]]*20%</f>
        <v>66850246.280000001</v>
      </c>
      <c r="P139" s="6">
        <f>IF(([Lucro Líquido]*5%)&gt;[Teto R. Legal],[Teto R. Legal],[Lucro Líquido]*5%)</f>
        <v>3849050</v>
      </c>
      <c r="Q139" s="6">
        <f>IF([Lucro Líquido]&lt;0,0,[Lucro Líquido]-[Reserva Legal])</f>
        <v>73131950</v>
      </c>
      <c r="R139" s="6">
        <f>Tabela3[[#This Row],[Lucro Distribuir]]*[%Div]</f>
        <v>18282987.5</v>
      </c>
      <c r="S139" s="21">
        <f>SUMPRODUCT(N([Nome]=Tabela3[[#This Row],[Nome]]),[Ações])</f>
        <v>89500000</v>
      </c>
      <c r="T139" s="6">
        <f>[Capital Social]/[Total Ações]</f>
        <v>3.7346506301675975</v>
      </c>
      <c r="U139" s="96">
        <f>Tabela3[[#This Row],[Lucro Líquido]]/Tabela3[[#This Row],[Total Ações]]</f>
        <v>0.86012290502793298</v>
      </c>
      <c r="V1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W1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9" s="6">
        <f>[Div Base]*[Ações]</f>
        <v>18282987.5</v>
      </c>
      <c r="AA139" s="6">
        <f>SUMPRODUCT(N([Nome]=Tabela3[[#This Row],[Nome]]),[Div Base]*[Ações])</f>
        <v>18282987.5</v>
      </c>
      <c r="AB139" s="6">
        <f>[Patrimônio Líquido]/[Total Ações]</f>
        <v>5.6180893854748604</v>
      </c>
      <c r="AC139" s="49">
        <f>MAX(Tabela3[[#This Row],[Cotação 1]:[Cotação 3]])</f>
        <v>8.1</v>
      </c>
      <c r="AD139" s="45">
        <f>[Cotação]/[VPA]</f>
        <v>1.4417712934475426</v>
      </c>
      <c r="AE139" s="41">
        <f>IF(Tabela3[[#This Row],[Lucro/Ação]]&gt;0,Tabela3[[#This Row],[Cotação]]/(Tabela3[[#This Row],[Lucro/Ação]]/[Ref]*4),0)</f>
        <v>7.0629441030903717</v>
      </c>
      <c r="AF139" s="93" t="e">
        <f>IF([Div. Mínimo]=0,0,[Lucro Distribuir]*#REF!/[Total Ações])</f>
        <v>#REF!</v>
      </c>
      <c r="AG139" s="96">
        <f>[Lucro Distribuir]/[Total Ações]</f>
        <v>0.81711675977653631</v>
      </c>
      <c r="AH139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9" s="15" t="str">
        <f>IF(AND([% A.A.]&gt;=8%,SUMPRODUCT(N([Nome]=Tabela3[[#This Row],[Nome]]),[PL])&gt;0),"Sim","Não")</f>
        <v>Não</v>
      </c>
      <c r="AJ139" s="43">
        <f>IF([Cotação]&gt;0,Tabela3[[#This Row],[Lucro]]/Tabela3[[#This Row],[Cotação]],0)</f>
        <v>2.5219653079522727E-2</v>
      </c>
      <c r="AK139" s="19">
        <f>((1+Tabela3[[#This Row],[% Yield]])^(1/(3*Tabela3[[#This Row],[Ref]])))^(12)-1</f>
        <v>3.3766760397458517E-2</v>
      </c>
      <c r="AL139" s="14">
        <f>IF([Cotação]&gt;0,($AR$1/Tabela3[[#This Row],[Cotação]]-MOD($AR$1/Tabela3[[#This Row],[Cotação]],100)),)</f>
        <v>0</v>
      </c>
      <c r="AM139" s="17">
        <f>Tabela3[[#This Row],[Ativos]]*[Lucro]</f>
        <v>0</v>
      </c>
      <c r="AN139" s="13">
        <f>SUMPRODUCT(N(Tabela1[Código]=Tabela3[[#This Row],[PAPEL]]),Tabela1[Fechamento])</f>
        <v>0</v>
      </c>
      <c r="AO139" s="56">
        <f>SUMPRODUCT(N(Tabela17[Código]=Tabela3[[#This Row],[PAPEL]]),Tabela17[Fechamento])</f>
        <v>8.1</v>
      </c>
      <c r="AP139" s="7">
        <f>SUMPRODUCT(N(Tabela176[Código]=Tabela3[[#This Row],[PAPEL]]),Tabela176[Fechamento])</f>
        <v>0</v>
      </c>
    </row>
    <row r="140" spans="1:42" hidden="1">
      <c r="A140" s="4" t="s">
        <v>345</v>
      </c>
      <c r="B140" s="65" t="s">
        <v>766</v>
      </c>
      <c r="C140" s="101" t="str">
        <f>LEFT([PAPEL],LEN([PAPEL])-(LEN([PAPEL])-4))</f>
        <v>EUCA</v>
      </c>
      <c r="D140" s="15">
        <v>3</v>
      </c>
      <c r="E140" s="6">
        <v>488183378.76999998</v>
      </c>
      <c r="F140" s="8">
        <v>31257700</v>
      </c>
      <c r="G140" s="100">
        <v>0.25</v>
      </c>
      <c r="H140" s="19"/>
      <c r="I140" s="19"/>
      <c r="J140" s="19"/>
      <c r="K140" s="108"/>
      <c r="L140" s="108"/>
      <c r="M140" s="6">
        <v>1148966000</v>
      </c>
      <c r="N140" s="6">
        <v>80315000</v>
      </c>
      <c r="O140" s="6">
        <f>Tabela3[[#This Row],[Capital Social]]*20%</f>
        <v>97636675.754000008</v>
      </c>
      <c r="P140" s="6">
        <f>IF(([Lucro Líquido]*5%)&gt;[Teto R. Legal],[Teto R. Legal],[Lucro Líquido]*5%)</f>
        <v>4015750</v>
      </c>
      <c r="Q140" s="6">
        <f>IF([Lucro Líquido]&lt;0,0,[Lucro Líquido]-[Reserva Legal])</f>
        <v>76299250</v>
      </c>
      <c r="R140" s="6">
        <f>Tabela3[[#This Row],[Lucro Distribuir]]*[%Div]</f>
        <v>19074812.5</v>
      </c>
      <c r="S140" s="57">
        <f>SUMPRODUCT(N([Nome]=Tabela3[[#This Row],[Nome]]),[Ações])</f>
        <v>92619256</v>
      </c>
      <c r="T140" s="6">
        <f>[Capital Social]/[Total Ações]</f>
        <v>5.2708626678020387</v>
      </c>
      <c r="U140" s="96">
        <f>Tabela3[[#This Row],[Lucro Líquido]]/Tabela3[[#This Row],[Total Ações]]</f>
        <v>0.86715229066404942</v>
      </c>
      <c r="V1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0.1995408227986952</v>
      </c>
      <c r="W1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0.1995408227986952</v>
      </c>
      <c r="Z140" s="6">
        <f>[Div Base]*[Ações]</f>
        <v>6237187.1767947748</v>
      </c>
      <c r="AA140" s="6">
        <f>SUMPRODUCT(N([Nome]=Tabela3[[#This Row],[Nome]]),[Div Base]*[Ações])</f>
        <v>19705736.104938313</v>
      </c>
      <c r="AB140" s="6">
        <f>[Patrimônio Líquido]/[Total Ações]</f>
        <v>12.40526052163494</v>
      </c>
      <c r="AC140" s="49">
        <f>MAX(Tabela3[[#This Row],[Cotação 1]:[Cotação 3]])</f>
        <v>7.11</v>
      </c>
      <c r="AD140" s="45">
        <f>[Cotação]/[VPA]</f>
        <v>0.57314394869822083</v>
      </c>
      <c r="AE140" s="41">
        <f>IF(Tabela3[[#This Row],[Lucro/Ação]]&gt;0,Tabela3[[#This Row],[Cotação]]/(Tabela3[[#This Row],[Lucro/Ação]]/[Ref]*4),0)</f>
        <v>6.1494388672103595</v>
      </c>
      <c r="AF140" s="93" t="e">
        <f>IF([Div. Mínimo]=0,0,[Lucro Distribuir]*#REF!/[Total Ações])</f>
        <v>#REF!</v>
      </c>
      <c r="AG140" s="96">
        <f>[Lucro Distribuir]/[Total Ações]</f>
        <v>0.82379467613084689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0.1995408227986952</v>
      </c>
      <c r="AI140" s="15" t="str">
        <f>IF(AND([% A.A.]&gt;=8%,SUMPRODUCT(N([Nome]=Tabela3[[#This Row],[Nome]]),[PL])&gt;0),"Sim","Não")</f>
        <v>Não</v>
      </c>
      <c r="AJ140" s="43">
        <f>IF([Cotação]&gt;0,Tabela3[[#This Row],[Lucro]]/Tabela3[[#This Row],[Cotação]],0)</f>
        <v>2.8064813333149814E-2</v>
      </c>
      <c r="AK140" s="19">
        <f>((1+Tabela3[[#This Row],[% Yield]])^(1/(3*Tabela3[[#This Row],[Ref]])))^(12)-1</f>
        <v>3.759370181465238E-2</v>
      </c>
      <c r="AL140" s="14">
        <f>IF([Cotação]&gt;0,($AR$1/Tabela3[[#This Row],[Cotação]]-MOD($AR$1/Tabela3[[#This Row],[Cotação]],100)),)</f>
        <v>0</v>
      </c>
      <c r="AM140" s="17">
        <f>Tabela3[[#This Row],[Ativos]]*[Lucro]</f>
        <v>0</v>
      </c>
      <c r="AN140" s="13">
        <f>SUMPRODUCT(N(Tabela1[Código]=Tabela3[[#This Row],[PAPEL]]),Tabela1[Fechamento])</f>
        <v>0</v>
      </c>
      <c r="AO140" s="56">
        <f>SUMPRODUCT(N(Tabela17[Código]=Tabela3[[#This Row],[PAPEL]]),Tabela17[Fechamento])</f>
        <v>0</v>
      </c>
      <c r="AP140" s="7">
        <f>SUMPRODUCT(N(Tabela176[Código]=Tabela3[[#This Row],[PAPEL]]),Tabela176[Fechamento])</f>
        <v>7.11</v>
      </c>
    </row>
    <row r="141" spans="1:42" hidden="1">
      <c r="A141" s="4" t="s">
        <v>345</v>
      </c>
      <c r="B141" s="65" t="s">
        <v>347</v>
      </c>
      <c r="C141" s="101" t="str">
        <f>LEFT([PAPEL],LEN([PAPEL])-(LEN([PAPEL])-4))</f>
        <v>EUCA</v>
      </c>
      <c r="D141" s="15">
        <v>3</v>
      </c>
      <c r="E141" s="6">
        <v>488183378.76999998</v>
      </c>
      <c r="F141" s="8">
        <v>61361556</v>
      </c>
      <c r="G141" s="106">
        <v>0.25</v>
      </c>
      <c r="H141" s="15"/>
      <c r="I141" s="19"/>
      <c r="J141" s="19">
        <v>0.1</v>
      </c>
      <c r="K141" s="108"/>
      <c r="L141" s="108"/>
      <c r="M141" s="6">
        <v>1148966000</v>
      </c>
      <c r="N141" s="6">
        <v>80315000</v>
      </c>
      <c r="O141" s="6">
        <f>Tabela3[[#This Row],[Capital Social]]*20%</f>
        <v>97636675.754000008</v>
      </c>
      <c r="P141" s="6">
        <f>IF(([Lucro Líquido]*5%)&gt;[Teto R. Legal],[Teto R. Legal],[Lucro Líquido]*5%)</f>
        <v>4015750</v>
      </c>
      <c r="Q141" s="6">
        <f>IF([Lucro Líquido]&lt;0,0,[Lucro Líquido]-[Reserva Legal])</f>
        <v>76299250</v>
      </c>
      <c r="R141" s="6">
        <f>Tabela3[[#This Row],[Lucro Distribuir]]*[%Div]</f>
        <v>19074812.5</v>
      </c>
      <c r="S141" s="57">
        <f>SUMPRODUCT(N([Nome]=Tabela3[[#This Row],[Nome]]),[Ações])</f>
        <v>92619256</v>
      </c>
      <c r="T141" s="6">
        <f>[Capital Social]/[Total Ações]</f>
        <v>5.2708626678020387</v>
      </c>
      <c r="U141" s="96">
        <f>Tabela3[[#This Row],[Lucro Líquido]]/Tabela3[[#This Row],[Total Ações]]</f>
        <v>0.86715229066404942</v>
      </c>
      <c r="V1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0.21949490537924979</v>
      </c>
      <c r="W1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0.21949490537924979</v>
      </c>
      <c r="Z141" s="6">
        <f>[Div Base]*[Ações]</f>
        <v>13468548.928143537</v>
      </c>
      <c r="AA141" s="6">
        <f>SUMPRODUCT(N([Nome]=Tabela3[[#This Row],[Nome]]),[Div Base]*[Ações])</f>
        <v>19705736.104938313</v>
      </c>
      <c r="AB141" s="6">
        <f>[Patrimônio Líquido]/[Total Ações]</f>
        <v>12.40526052163494</v>
      </c>
      <c r="AC141" s="49">
        <f>MAX(Tabela3[[#This Row],[Cotação 1]:[Cotação 3]])</f>
        <v>6.13</v>
      </c>
      <c r="AD141" s="45">
        <f>[Cotação]/[VPA]</f>
        <v>0.4941452047144998</v>
      </c>
      <c r="AE141" s="41">
        <f>IF(Tabela3[[#This Row],[Lucro/Ação]]&gt;0,Tabela3[[#This Row],[Cotação]]/(Tabela3[[#This Row],[Lucro/Ação]]/[Ref]*4),0)</f>
        <v>5.3018368855132918</v>
      </c>
      <c r="AF141" s="41" t="e">
        <f>IF([Div. Mínimo]=0,0,[Lucro Distribuir]*#REF!/[Total Ações])</f>
        <v>#REF!</v>
      </c>
      <c r="AG141" s="96">
        <f>[Lucro Distribuir]/[Total Ações]</f>
        <v>0.82379467613084689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0.21949490537924979</v>
      </c>
      <c r="AI141" s="15" t="str">
        <f>IF(AND([% A.A.]&gt;=8%,SUMPRODUCT(N([Nome]=Tabela3[[#This Row],[Nome]]),[PL])&gt;0),"Sim","Não")</f>
        <v>Não</v>
      </c>
      <c r="AJ141" s="43">
        <f>IF([Cotação]&gt;0,Tabela3[[#This Row],[Lucro]]/Tabela3[[#This Row],[Cotação]],0)</f>
        <v>3.5806672981933081E-2</v>
      </c>
      <c r="AK141" s="19">
        <f>((1+Tabela3[[#This Row],[% Yield]])^(1/(3*Tabela3[[#This Row],[Ref]])))^(12)-1</f>
        <v>4.8024911827190264E-2</v>
      </c>
      <c r="AL141" s="14">
        <f>IF([Cotação]&gt;0,($AR$1/Tabela3[[#This Row],[Cotação]]-MOD($AR$1/Tabela3[[#This Row],[Cotação]],100)),)</f>
        <v>0</v>
      </c>
      <c r="AM141" s="17">
        <f>Tabela3[[#This Row],[Ativos]]*[Lucro]</f>
        <v>0</v>
      </c>
      <c r="AN141" s="13">
        <f>SUMPRODUCT(N(Tabela1[Código]=Tabela3[[#This Row],[PAPEL]]),Tabela1[Fechamento])</f>
        <v>0</v>
      </c>
      <c r="AO141" s="56">
        <f>SUMPRODUCT(N(Tabela17[Código]=Tabela3[[#This Row],[PAPEL]]),Tabela17[Fechamento])</f>
        <v>6.13</v>
      </c>
      <c r="AP141" s="7">
        <f>SUMPRODUCT(N(Tabela176[Código]=Tabela3[[#This Row],[PAPEL]]),Tabela176[Fechamento])</f>
        <v>0</v>
      </c>
    </row>
    <row r="142" spans="1:42" hidden="1">
      <c r="A142" s="4" t="s">
        <v>360</v>
      </c>
      <c r="B142" s="65" t="s">
        <v>682</v>
      </c>
      <c r="C142" s="16" t="str">
        <f>LEFT([PAPEL],LEN([PAPEL])-(LEN([PAPEL])-4))</f>
        <v>FBMC</v>
      </c>
      <c r="D142" s="16">
        <v>3</v>
      </c>
      <c r="E142" s="5">
        <v>23748768.84</v>
      </c>
      <c r="F142" s="57">
        <v>265160</v>
      </c>
      <c r="G142" s="100">
        <v>0.25</v>
      </c>
      <c r="I142" s="18"/>
      <c r="K142" s="107"/>
      <c r="L142" s="107"/>
      <c r="M142" s="112">
        <v>21037000</v>
      </c>
      <c r="N142" s="88">
        <v>-2365000</v>
      </c>
      <c r="O142" s="48">
        <f>Tabela3[[#This Row],[Capital Social]]*20%</f>
        <v>4749753.7680000002</v>
      </c>
      <c r="P142" s="48">
        <f>IF(([Lucro Líquido]*5%)&gt;[Teto R. Legal],[Teto R. Legal],[Lucro Líquido]*5%)</f>
        <v>-118250</v>
      </c>
      <c r="Q142" s="48">
        <f>IF([Lucro Líquido]&lt;0,0,[Lucro Líquido]-[Reserva Legal])</f>
        <v>0</v>
      </c>
      <c r="R142" s="48">
        <f>Tabela3[[#This Row],[Lucro Distribuir]]*[%Div]</f>
        <v>0</v>
      </c>
      <c r="S142" s="57">
        <f>SUMPRODUCT(N([Nome]=Tabela3[[#This Row],[Nome]]),[Ações])</f>
        <v>726514</v>
      </c>
      <c r="T142" s="5">
        <f>[Capital Social]/[Total Ações]</f>
        <v>32.688659599126787</v>
      </c>
      <c r="U142" s="95">
        <f>Tabela3[[#This Row],[Lucro Líquido]]/Tabela3[[#This Row],[Total Ações]]</f>
        <v>-3.2552710615349465</v>
      </c>
      <c r="V14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2" s="48">
        <f>[Div Base]*[Ações]</f>
        <v>0</v>
      </c>
      <c r="AA142" s="48">
        <f>SUMPRODUCT(N([Nome]=Tabela3[[#This Row],[Nome]]),[Div Base]*[Ações])</f>
        <v>1206483.5088556432</v>
      </c>
      <c r="AB142" s="89">
        <f>[Patrimônio Líquido]/[Total Ações]</f>
        <v>28.956083434042565</v>
      </c>
      <c r="AC142" s="53">
        <f>MAX(Tabela3[[#This Row],[Cotação 1]:[Cotação 3]])</f>
        <v>80</v>
      </c>
      <c r="AD142" s="54">
        <f>[Cotação]/[VPA]</f>
        <v>2.7628045824024339</v>
      </c>
      <c r="AE142" s="38">
        <f>IF(Tabela3[[#This Row],[Lucro/Ação]]&gt;0,Tabela3[[#This Row],[Cotação]]/(Tabela3[[#This Row],[Lucro/Ação]]/[Ref]*4),0)</f>
        <v>0</v>
      </c>
      <c r="AF142" s="67">
        <f>IF([Div. Mínimo]=0,0,[Lucro Distribuir]*#REF!/[Total Ações])</f>
        <v>0</v>
      </c>
      <c r="AG142" s="95">
        <f>[Lucro Distribuir]/[Total Ações]</f>
        <v>0</v>
      </c>
      <c r="AH14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2" s="10" t="str">
        <f>IF(AND([% A.A.]&gt;=8%,SUMPRODUCT(N([Nome]=Tabela3[[#This Row],[Nome]]),[PL])&gt;0),"Sim","Não")</f>
        <v>Não</v>
      </c>
      <c r="AJ142" s="22">
        <f>IF([Cotação]&gt;0,Tabela3[[#This Row],[Lucro]]/Tabela3[[#This Row],[Cotação]],0)</f>
        <v>0</v>
      </c>
      <c r="AK142" s="22">
        <f>((1+Tabela3[[#This Row],[% Yield]])^(1/(3*Tabela3[[#This Row],[Ref]])))^(12)-1</f>
        <v>0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7">
        <f>SUMPRODUCT(N(Tabela1[Código]=Tabela3[[#This Row],[PAPEL]]),Tabela1[Fechamento])</f>
        <v>0</v>
      </c>
      <c r="AO142" s="7">
        <f>SUMPRODUCT(N(Tabela17[Código]=Tabela3[[#This Row],[PAPEL]]),Tabela17[Fechamento])</f>
        <v>0</v>
      </c>
      <c r="AP142" s="7">
        <f>SUMPRODUCT(N(Tabela176[Código]=Tabela3[[#This Row],[PAPEL]]),Tabela176[Fechamento])</f>
        <v>80</v>
      </c>
    </row>
    <row r="143" spans="1:42" hidden="1">
      <c r="A143" s="4" t="s">
        <v>360</v>
      </c>
      <c r="B143" s="65" t="s">
        <v>683</v>
      </c>
      <c r="C143" s="15" t="str">
        <f>LEFT([PAPEL],LEN([PAPEL])-(LEN([PAPEL])-4))</f>
        <v>FBMC</v>
      </c>
      <c r="D143" s="15">
        <v>3</v>
      </c>
      <c r="E143" s="5">
        <v>23748768.84</v>
      </c>
      <c r="F143" s="8">
        <v>461354</v>
      </c>
      <c r="G143" s="106">
        <v>0.25</v>
      </c>
      <c r="H143" s="9"/>
      <c r="I143" s="19">
        <v>0.08</v>
      </c>
      <c r="J143" s="19"/>
      <c r="K143" s="108"/>
      <c r="L143" s="108"/>
      <c r="M143" s="112">
        <v>21037000</v>
      </c>
      <c r="N143" s="88">
        <v>-2365000</v>
      </c>
      <c r="O143" s="13">
        <f>Tabela3[[#This Row],[Capital Social]]*20%</f>
        <v>4749753.7680000002</v>
      </c>
      <c r="P143" s="13">
        <f>IF(([Lucro Líquido]*5%)&gt;[Teto R. Legal],[Teto R. Legal],[Lucro Líquido]*5%)</f>
        <v>-118250</v>
      </c>
      <c r="Q143" s="13">
        <f>IF([Lucro Líquido]&lt;0,0,[Lucro Líquido]-[Reserva Legal])</f>
        <v>0</v>
      </c>
      <c r="R143" s="13">
        <f>Tabela3[[#This Row],[Lucro Distribuir]]*[%Div]</f>
        <v>0</v>
      </c>
      <c r="S143" s="57">
        <f>SUMPRODUCT(N([Nome]=Tabela3[[#This Row],[Nome]]),[Ações])</f>
        <v>726514</v>
      </c>
      <c r="T143" s="6">
        <f>[Capital Social]/[Total Ações]</f>
        <v>32.688659599126787</v>
      </c>
      <c r="U143" s="96">
        <f>Tabela3[[#This Row],[Lucro Líquido]]/Tabela3[[#This Row],[Total Ações]]</f>
        <v>-3.2552710615349465</v>
      </c>
      <c r="V1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2.6150927679301432</v>
      </c>
      <c r="Y1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2.6150927679301432</v>
      </c>
      <c r="Z143" s="13">
        <f>[Div Base]*[Ações]</f>
        <v>1206483.5088556432</v>
      </c>
      <c r="AA143" s="13">
        <f>SUMPRODUCT(N([Nome]=Tabela3[[#This Row],[Nome]]),[Div Base]*[Ações])</f>
        <v>1206483.5088556432</v>
      </c>
      <c r="AB143" s="113">
        <f>[Patrimônio Líquido]/[Total Ações]</f>
        <v>28.956083434042565</v>
      </c>
      <c r="AC143" s="49">
        <f>MAX(Tabela3[[#This Row],[Cotação 1]:[Cotação 3]])</f>
        <v>25.8</v>
      </c>
      <c r="AD143" s="45">
        <f>[Cotação]/[VPA]</f>
        <v>0.89100447782478487</v>
      </c>
      <c r="AE143" s="41">
        <f>IF(Tabela3[[#This Row],[Lucro/Ação]]&gt;0,Tabela3[[#This Row],[Cotação]]/(Tabela3[[#This Row],[Lucro/Ação]]/[Ref]*4),0)</f>
        <v>0</v>
      </c>
      <c r="AF143" s="109">
        <f>IF([Div. Mínimo]=0,0,[Lucro Distribuir]*#REF!/[Total Ações])</f>
        <v>0</v>
      </c>
      <c r="AG143" s="96">
        <f>[Lucro Distribuir]/[Total Ações]</f>
        <v>0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2.6150927679301432</v>
      </c>
      <c r="AI143" s="14" t="str">
        <f>IF(AND([% A.A.]&gt;=8%,SUMPRODUCT(N([Nome]=Tabela3[[#This Row],[Nome]]),[PL])&gt;0),"Sim","Não")</f>
        <v>Não</v>
      </c>
      <c r="AJ143" s="43">
        <f>IF([Cotação]&gt;0,Tabela3[[#This Row],[Lucro]]/Tabela3[[#This Row],[Cotação]],0)</f>
        <v>0.10136018480349392</v>
      </c>
      <c r="AK143" s="43">
        <f>((1+Tabela3[[#This Row],[% Yield]])^(1/(3*Tabela3[[#This Row],[Ref]])))^(12)-1</f>
        <v>0.13738063502044073</v>
      </c>
      <c r="AL143" s="14">
        <f>IF([Cotação]&gt;0,($AR$1/Tabela3[[#This Row],[Cotação]]-MOD($AR$1/Tabela3[[#This Row],[Cotação]],100)),)</f>
        <v>0</v>
      </c>
      <c r="AM143" s="17">
        <f>Tabela3[[#This Row],[Ativos]]*[Lucro]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0</v>
      </c>
      <c r="AP143" s="17">
        <f>SUMPRODUCT(N(Tabela176[Código]=Tabela3[[#This Row],[PAPEL]]),Tabela176[Fechamento])</f>
        <v>25.8</v>
      </c>
    </row>
    <row r="144" spans="1:42" hidden="1">
      <c r="A144" s="3" t="s">
        <v>259</v>
      </c>
      <c r="B144" s="65" t="s">
        <v>256</v>
      </c>
      <c r="C144" s="14" t="str">
        <f>LEFT([PAPEL],LEN([PAPEL])-(LEN([PAPEL])-4))</f>
        <v>FESA</v>
      </c>
      <c r="D144" s="16">
        <v>3</v>
      </c>
      <c r="E144" s="5">
        <v>897734673.07000005</v>
      </c>
      <c r="F144" s="57">
        <v>29440000</v>
      </c>
      <c r="G144" s="100">
        <v>0.25</v>
      </c>
      <c r="H144" s="16"/>
      <c r="I144" s="18"/>
      <c r="K144" s="107"/>
      <c r="L144" s="107"/>
      <c r="M144" s="5">
        <v>1206918000</v>
      </c>
      <c r="N144" s="5">
        <v>49929000</v>
      </c>
      <c r="O144" s="5">
        <f>Tabela3[[#This Row],[Capital Social]]*20%</f>
        <v>179546934.61400002</v>
      </c>
      <c r="P144" s="5">
        <f>IF(([Lucro Líquido]*5%)&gt;[Teto R. Legal],[Teto R. Legal],[Lucro Líquido]*5%)</f>
        <v>2496450</v>
      </c>
      <c r="Q144" s="5">
        <f>IF([Lucro Líquido]&lt;0,0,[Lucro Líquido]-[Reserva Legal])</f>
        <v>47432550</v>
      </c>
      <c r="R144" s="5">
        <f>Tabela3[[#This Row],[Lucro Distribuir]]*[%Div]</f>
        <v>11858137.5</v>
      </c>
      <c r="S144" s="57">
        <f>SUMPRODUCT(N([Nome]=Tabela3[[#This Row],[Nome]]),[Ações])</f>
        <v>88320000</v>
      </c>
      <c r="T144" s="5">
        <f>[Capital Social]/[Total Ações]</f>
        <v>10.164568309216486</v>
      </c>
      <c r="U144" s="95">
        <f>Tabela3[[#This Row],[Lucro Líquido]]/Tabela3[[#This Row],[Total Ações]]</f>
        <v>0.56531929347826082</v>
      </c>
      <c r="V1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W1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Z144" s="5">
        <f>[Div Base]*[Ações]</f>
        <v>3829728.583540448</v>
      </c>
      <c r="AA144" s="5">
        <f>SUMPRODUCT(N([Nome]=Tabela3[[#This Row],[Nome]]),[Div Base]*[Ações])</f>
        <v>12255131.478871353</v>
      </c>
      <c r="AB144" s="5">
        <f>[Patrimônio Líquido]/[Total Ações]</f>
        <v>13.665285326086957</v>
      </c>
      <c r="AC144" s="53">
        <f>MAX(Tabela3[[#This Row],[Cotação 1]:[Cotação 3]])</f>
        <v>19</v>
      </c>
      <c r="AD144" s="54">
        <f>[Cotação]/[VPA]</f>
        <v>1.3903844337394917</v>
      </c>
      <c r="AE144" s="38">
        <f>IF(Tabela3[[#This Row],[Lucro/Ação]]&gt;0,Tabela3[[#This Row],[Cotação]]/(Tabela3[[#This Row],[Lucro/Ação]]/[Ref]*4),0)</f>
        <v>25.206993931382566</v>
      </c>
      <c r="AF144" s="38" t="e">
        <f>IF([Div. Mínimo]=0,0,[Lucro Distribuir]*#REF!/[Total Ações])</f>
        <v>#REF!</v>
      </c>
      <c r="AG144" s="95">
        <f>[Lucro Distribuir]/[Total Ações]</f>
        <v>0.53705332880434786</v>
      </c>
      <c r="AH144" s="95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I144" s="16" t="str">
        <f>IF(AND([% A.A.]&gt;=8%,SUMPRODUCT(N([Nome]=Tabela3[[#This Row],[Nome]]),[PL])&gt;0),"Sim","Não")</f>
        <v>Não</v>
      </c>
      <c r="AJ144" s="22">
        <f>IF([Cotação]&gt;0,Tabela3[[#This Row],[Lucro]]/Tabela3[[#This Row],[Cotação]],0)</f>
        <v>6.8466257571875855E-3</v>
      </c>
      <c r="AK144" s="18">
        <f>((1+Tabela3[[#This Row],[% Yield]])^(1/(3*Tabela3[[#This Row],[Ref]])))^(12)-1</f>
        <v>9.1392354909176632E-3</v>
      </c>
      <c r="AL144" s="10">
        <f>IF([Cotação]&gt;0,($AR$1/Tabela3[[#This Row],[Cotação]]-MOD($AR$1/Tabela3[[#This Row],[Cotação]],100)),)</f>
        <v>0</v>
      </c>
      <c r="AM144" s="7">
        <f>Tabela3[[#This Row],[Ativos]]*[Lucro]</f>
        <v>0</v>
      </c>
      <c r="AN144" s="5">
        <f>SUMPRODUCT(N(Tabela1[Código]=Tabela3[[#This Row],[PAPEL]]),Tabela1[Fechamento])</f>
        <v>19</v>
      </c>
      <c r="AO144" s="5">
        <f>SUMPRODUCT(N(Tabela17[Código]=Tabela3[[#This Row],[PAPEL]]),Tabela17[Fechamento])</f>
        <v>0</v>
      </c>
      <c r="AP144" s="7">
        <f>SUMPRODUCT(N(Tabela176[Código]=Tabela3[[#This Row],[PAPEL]]),Tabela176[Fechamento])</f>
        <v>0</v>
      </c>
    </row>
    <row r="145" spans="1:42" hidden="1">
      <c r="A145" s="3" t="s">
        <v>259</v>
      </c>
      <c r="B145" s="65" t="s">
        <v>80</v>
      </c>
      <c r="C145" s="15" t="str">
        <f>LEFT([PAPEL],LEN([PAPEL])-(LEN([PAPEL])-4))</f>
        <v>FESA</v>
      </c>
      <c r="D145" s="16">
        <v>3</v>
      </c>
      <c r="E145" s="5">
        <v>897734673.07000005</v>
      </c>
      <c r="F145" s="57">
        <v>58880000</v>
      </c>
      <c r="G145" s="106">
        <v>0.25</v>
      </c>
      <c r="H145" s="16"/>
      <c r="I145" s="18"/>
      <c r="J145" s="18">
        <v>0.1</v>
      </c>
      <c r="K145" s="107"/>
      <c r="L145" s="107"/>
      <c r="M145" s="5">
        <v>1206918000</v>
      </c>
      <c r="N145" s="5">
        <v>49929000</v>
      </c>
      <c r="O145" s="5">
        <f>Tabela3[[#This Row],[Capital Social]]*20%</f>
        <v>179546934.61400002</v>
      </c>
      <c r="P145" s="5">
        <f>IF(([Lucro Líquido]*5%)&gt;[Teto R. Legal],[Teto R. Legal],[Lucro Líquido]*5%)</f>
        <v>2496450</v>
      </c>
      <c r="Q145" s="5">
        <f>IF([Lucro Líquido]&lt;0,0,[Lucro Líquido]-[Reserva Legal])</f>
        <v>47432550</v>
      </c>
      <c r="R145" s="5">
        <f>Tabela3[[#This Row],[Lucro Distribuir]]*[%Div]</f>
        <v>11858137.5</v>
      </c>
      <c r="S145" s="57">
        <f>SUMPRODUCT(N([Nome]=Tabela3[[#This Row],[Nome]]),[Ações])</f>
        <v>88320000</v>
      </c>
      <c r="T145" s="5">
        <f>[Capital Social]/[Total Ações]</f>
        <v>10.164568309216486</v>
      </c>
      <c r="U145" s="95">
        <f>Tabela3[[#This Row],[Lucro Líquido]]/Tabela3[[#This Row],[Total Ações]]</f>
        <v>0.56531929347826082</v>
      </c>
      <c r="V14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W14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Z145" s="5">
        <f>[Div Base]*[Ações]</f>
        <v>8425402.8953309041</v>
      </c>
      <c r="AA145" s="5">
        <f>SUMPRODUCT(N([Nome]=Tabela3[[#This Row],[Nome]]),[Div Base]*[Ações])</f>
        <v>12255131.478871353</v>
      </c>
      <c r="AB145" s="5">
        <f>[Patrimônio Líquido]/[Total Ações]</f>
        <v>13.665285326086957</v>
      </c>
      <c r="AC145" s="53">
        <f>MAX(Tabela3[[#This Row],[Cotação 1]:[Cotação 3]])</f>
        <v>12.72</v>
      </c>
      <c r="AD145" s="54">
        <f>[Cotação]/[VPA]</f>
        <v>0.93082578932454396</v>
      </c>
      <c r="AE145" s="38">
        <f>IF(Tabela3[[#This Row],[Lucro/Ação]]&gt;0,Tabela3[[#This Row],[Cotação]]/(Tabela3[[#This Row],[Lucro/Ação]]/[Ref]*4),0)</f>
        <v>16.875419095115067</v>
      </c>
      <c r="AF145" s="38" t="e">
        <f>IF([Div. Mínimo]=0,0,[Lucro Distribuir]*#REF!/[Total Ações])</f>
        <v>#REF!</v>
      </c>
      <c r="AG145" s="95">
        <f>[Lucro Distribuir]/[Total Ações]</f>
        <v>0.53705332880434786</v>
      </c>
      <c r="AH145" s="95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I145" s="16" t="str">
        <f>IF(AND([% A.A.]&gt;=8%,SUMPRODUCT(N([Nome]=Tabela3[[#This Row],[Nome]]),[PL])&gt;0),"Sim","Não")</f>
        <v>Não</v>
      </c>
      <c r="AJ145" s="22">
        <f>IF([Cotação]&gt;0,Tabela3[[#This Row],[Lucro]]/Tabela3[[#This Row],[Cotação]],0)</f>
        <v>1.1249565921481524E-2</v>
      </c>
      <c r="AK145" s="18">
        <f>((1+Tabela3[[#This Row],[% Yield]])^(1/(3*Tabela3[[#This Row],[Ref]])))^(12)-1</f>
        <v>1.5027474081505732E-2</v>
      </c>
      <c r="AL145" s="10">
        <f>IF([Cotação]&gt;0,($AR$1/Tabela3[[#This Row],[Cotação]]-MOD($AR$1/Tabela3[[#This Row],[Cotação]],100)),)</f>
        <v>0</v>
      </c>
      <c r="AM145" s="7">
        <f>Tabela3[[#This Row],[Ativos]]*[Lucro]</f>
        <v>0</v>
      </c>
      <c r="AN145" s="5">
        <f>SUMPRODUCT(N(Tabela1[Código]=Tabela3[[#This Row],[PAPEL]]),Tabela1[Fechamento])</f>
        <v>12.72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4" t="s">
        <v>732</v>
      </c>
      <c r="B146" s="65" t="s">
        <v>733</v>
      </c>
      <c r="C146" s="15" t="str">
        <f>LEFT([PAPEL],LEN([PAPEL])-(LEN([PAPEL])-4))</f>
        <v>FHER</v>
      </c>
      <c r="D146" s="15">
        <v>3</v>
      </c>
      <c r="E146" s="6">
        <v>448746223.56</v>
      </c>
      <c r="F146" s="8">
        <v>48471407</v>
      </c>
      <c r="G146" s="106">
        <v>0.25</v>
      </c>
      <c r="H146" s="15"/>
      <c r="I146" s="19"/>
      <c r="J146" s="19"/>
      <c r="K146" s="108"/>
      <c r="L146" s="108"/>
      <c r="M146" s="114">
        <v>417901000</v>
      </c>
      <c r="N146" s="115">
        <v>-53244000</v>
      </c>
      <c r="O146" s="13">
        <f>Tabela3[[#This Row],[Capital Social]]*20%</f>
        <v>89749244.712000012</v>
      </c>
      <c r="P146" s="13">
        <f>IF(([Lucro Líquido]*5%)&gt;[Teto R. Legal],[Teto R. Legal],[Lucro Líquido]*5%)</f>
        <v>-2662200</v>
      </c>
      <c r="Q146" s="13">
        <f>IF([Lucro Líquido]&lt;0,0,[Lucro Líquido]-[Reserva Legal])</f>
        <v>0</v>
      </c>
      <c r="R146" s="13">
        <f>Tabela3[[#This Row],[Lucro Distribuir]]*[%Div]</f>
        <v>0</v>
      </c>
      <c r="S146" s="57">
        <f>SUMPRODUCT(N([Nome]=Tabela3[[#This Row],[Nome]]),[Ações])</f>
        <v>48471407</v>
      </c>
      <c r="T146" s="6">
        <f>[Capital Social]/[Total Ações]</f>
        <v>9.2579574502551569</v>
      </c>
      <c r="U146" s="96">
        <f>Tabela3[[#This Row],[Lucro Líquido]]/Tabela3[[#This Row],[Total Ações]]</f>
        <v>-1.098462027314371</v>
      </c>
      <c r="V1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6" s="13">
        <f>[Div Base]*[Ações]</f>
        <v>0</v>
      </c>
      <c r="AA146" s="13">
        <f>SUMPRODUCT(N([Nome]=Tabela3[[#This Row],[Nome]]),[Div Base]*[Ações])</f>
        <v>0</v>
      </c>
      <c r="AB146" s="113">
        <f>[Patrimônio Líquido]/[Total Ações]</f>
        <v>8.6215982960841231</v>
      </c>
      <c r="AC146" s="49">
        <f>MAX(Tabela3[[#This Row],[Cotação 1]:[Cotação 3]])</f>
        <v>0</v>
      </c>
      <c r="AD146" s="45">
        <f>[Cotação]/[VPA]</f>
        <v>0</v>
      </c>
      <c r="AE146" s="41">
        <f>IF(Tabela3[[#This Row],[Lucro/Ação]]&gt;0,Tabela3[[#This Row],[Cotação]]/(Tabela3[[#This Row],[Lucro/Ação]]/[Ref]*4),0)</f>
        <v>0</v>
      </c>
      <c r="AF146" s="109">
        <f>IF([Div. Mínimo]=0,0,[Lucro Distribuir]*#REF!/[Total Ações])</f>
        <v>0</v>
      </c>
      <c r="AG146" s="96">
        <f>[Lucro Distribuir]/[Total Ações]</f>
        <v>0</v>
      </c>
      <c r="AH1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6" s="14" t="str">
        <f>IF(AND([% A.A.]&gt;=8%,SUMPRODUCT(N([Nome]=Tabela3[[#This Row],[Nome]]),[PL])&gt;0),"Sim","Não")</f>
        <v>Não</v>
      </c>
      <c r="AJ146" s="43">
        <f>IF([Cotação]&gt;0,Tabela3[[#This Row],[Lucro]]/Tabela3[[#This Row],[Cotação]],0)</f>
        <v>0</v>
      </c>
      <c r="AK146" s="43">
        <f>((1+Tabela3[[#This Row],[% Yield]])^(1/(3*Tabela3[[#This Row],[Ref]])))^(12)-1</f>
        <v>0</v>
      </c>
      <c r="AL146" s="14">
        <f>IF([Cotação]&gt;0,($AR$1/Tabela3[[#This Row],[Cotação]]-MOD($AR$1/Tabela3[[#This Row],[Cotação]],100)),)</f>
        <v>0</v>
      </c>
      <c r="AM146" s="17">
        <f>Tabela3[[#This Row],[Ativos]]*[Lucro]</f>
        <v>0</v>
      </c>
      <c r="AN146" s="17">
        <f>SUMPRODUCT(N(Tabela1[Código]=Tabela3[[#This Row],[PAPEL]]),Tabela1[Fechamento])</f>
        <v>0</v>
      </c>
      <c r="AO146" s="17">
        <f>SUMPRODUCT(N(Tabela17[Código]=Tabela3[[#This Row],[PAPEL]]),Tabela17[Fechamento])</f>
        <v>0</v>
      </c>
      <c r="AP146" s="17">
        <f>SUMPRODUCT(N(Tabela176[Código]=Tabela3[[#This Row],[PAPEL]]),Tabela176[Fechamento])</f>
        <v>0</v>
      </c>
    </row>
    <row r="147" spans="1:42" hidden="1">
      <c r="A147" s="4" t="s">
        <v>19</v>
      </c>
      <c r="B147" s="65" t="s">
        <v>760</v>
      </c>
      <c r="C147" s="15" t="str">
        <f>LEFT([PAPEL],LEN([PAPEL])-(LEN([PAPEL])-4))</f>
        <v>FIBR</v>
      </c>
      <c r="D147" s="15">
        <v>3</v>
      </c>
      <c r="E147" s="6">
        <v>9740777179.5900002</v>
      </c>
      <c r="F147" s="8">
        <v>553934646</v>
      </c>
      <c r="G147" s="106">
        <v>0.25</v>
      </c>
      <c r="H147" s="15"/>
      <c r="I147" s="19"/>
      <c r="J147" s="19"/>
      <c r="K147" s="108"/>
      <c r="L147" s="108"/>
      <c r="M147" s="114">
        <v>14614300000</v>
      </c>
      <c r="N147" s="115">
        <v>-519417000</v>
      </c>
      <c r="O147" s="13">
        <f>Tabela3[[#This Row],[Capital Social]]*20%</f>
        <v>1948155435.9180002</v>
      </c>
      <c r="P147" s="13">
        <f>IF(([Lucro Líquido]*5%)&gt;[Teto R. Legal],[Teto R. Legal],[Lucro Líquido]*5%)</f>
        <v>-25970850</v>
      </c>
      <c r="Q147" s="13">
        <f>IF([Lucro Líquido]&lt;0,0,[Lucro Líquido]-[Reserva Legal])</f>
        <v>0</v>
      </c>
      <c r="R147" s="13">
        <f>Tabela3[[#This Row],[Lucro Distribuir]]*[%Div]</f>
        <v>0</v>
      </c>
      <c r="S147" s="57">
        <f>SUMPRODUCT(N([Nome]=Tabela3[[#This Row],[Nome]]),[Ações])</f>
        <v>553934646</v>
      </c>
      <c r="T147" s="6">
        <f>[Capital Social]/[Total Ações]</f>
        <v>17.584704711880399</v>
      </c>
      <c r="U147" s="96">
        <f>Tabela3[[#This Row],[Lucro Líquido]]/Tabela3[[#This Row],[Total Ações]]</f>
        <v>-0.93768642880662134</v>
      </c>
      <c r="V1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7" s="13">
        <f>[Div Base]*[Ações]</f>
        <v>0</v>
      </c>
      <c r="AA147" s="13">
        <f>SUMPRODUCT(N([Nome]=Tabela3[[#This Row],[Nome]]),[Div Base]*[Ações])</f>
        <v>0</v>
      </c>
      <c r="AB147" s="113">
        <f>[Patrimônio Líquido]/[Total Ações]</f>
        <v>26.382715191279082</v>
      </c>
      <c r="AC147" s="49">
        <f>MAX(Tabela3[[#This Row],[Cotação 1]:[Cotação 3]])</f>
        <v>25.55</v>
      </c>
      <c r="AD147" s="45">
        <f>[Cotação]/[VPA]</f>
        <v>0.96843709279951828</v>
      </c>
      <c r="AE147" s="41">
        <f>IF(Tabela3[[#This Row],[Lucro/Ação]]&gt;0,Tabela3[[#This Row],[Cotação]]/(Tabela3[[#This Row],[Lucro/Ação]]/[Ref]*4),0)</f>
        <v>0</v>
      </c>
      <c r="AF147" s="109">
        <f>IF([Div. Mínimo]=0,0,[Lucro Distribuir]*#REF!/[Total Ações])</f>
        <v>0</v>
      </c>
      <c r="AG147" s="96">
        <f>[Lucro Distribuir]/[Total Ações]</f>
        <v>0</v>
      </c>
      <c r="AH14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7" s="14" t="str">
        <f>IF(AND([% A.A.]&gt;=8%,SUMPRODUCT(N([Nome]=Tabela3[[#This Row],[Nome]]),[PL])&gt;0),"Sim","Não")</f>
        <v>Não</v>
      </c>
      <c r="AJ147" s="43">
        <f>IF([Cotação]&gt;0,Tabela3[[#This Row],[Lucro]]/Tabela3[[#This Row],[Cotação]],0)</f>
        <v>0</v>
      </c>
      <c r="AK147" s="43">
        <f>((1+Tabela3[[#This Row],[% Yield]])^(1/(3*Tabela3[[#This Row],[Ref]])))^(12)-1</f>
        <v>0</v>
      </c>
      <c r="AL147" s="14">
        <f>IF([Cotação]&gt;0,($AR$1/Tabela3[[#This Row],[Cotação]]-MOD($AR$1/Tabela3[[#This Row],[Cotação]],100)),)</f>
        <v>0</v>
      </c>
      <c r="AM147" s="17">
        <f>Tabela3[[#This Row],[Ativos]]*[Lucro]</f>
        <v>0</v>
      </c>
      <c r="AN147" s="17">
        <f>SUMPRODUCT(N(Tabela1[Código]=Tabela3[[#This Row],[PAPEL]]),Tabela1[Fechamento])</f>
        <v>0</v>
      </c>
      <c r="AO147" s="17">
        <f>SUMPRODUCT(N(Tabela17[Código]=Tabela3[[#This Row],[PAPEL]]),Tabela17[Fechamento])</f>
        <v>0</v>
      </c>
      <c r="AP147" s="17">
        <f>SUMPRODUCT(N(Tabela176[Código]=Tabela3[[#This Row],[PAPEL]]),Tabela176[Fechamento])</f>
        <v>25.55</v>
      </c>
    </row>
    <row r="148" spans="1:42" hidden="1">
      <c r="A148" s="4" t="s">
        <v>12</v>
      </c>
      <c r="B148" s="69" t="s">
        <v>172</v>
      </c>
      <c r="C148" s="14" t="str">
        <f>LEFT([PAPEL],LEN([PAPEL])-(LEN([PAPEL])-4))</f>
        <v>GEPA</v>
      </c>
      <c r="D148" s="15">
        <v>3</v>
      </c>
      <c r="E148" s="6">
        <v>1339137503.8</v>
      </c>
      <c r="F148" s="8">
        <v>31477761</v>
      </c>
      <c r="G148" s="100">
        <v>0.25</v>
      </c>
      <c r="H148" s="15"/>
      <c r="I148" s="19"/>
      <c r="J148" s="19"/>
      <c r="K148" s="108"/>
      <c r="L148" s="108"/>
      <c r="M148" s="110">
        <v>2745488000</v>
      </c>
      <c r="N148" s="110">
        <v>276732000</v>
      </c>
      <c r="O148" s="6">
        <f>Tabela3[[#This Row],[Capital Social]]*20%</f>
        <v>267827500.75999999</v>
      </c>
      <c r="P148" s="6">
        <f>IF(([Lucro Líquido]*5%)&gt;[Teto R. Legal],[Teto R. Legal],[Lucro Líquido]*5%)</f>
        <v>13836600</v>
      </c>
      <c r="Q148" s="110">
        <f>IF([Lucro Líquido]&lt;0,0,[Lucro Líquido]-[Reserva Legal])</f>
        <v>262895400</v>
      </c>
      <c r="R148" s="110">
        <f>Tabela3[[#This Row],[Lucro Distribuir]]*[%Div]</f>
        <v>65723850</v>
      </c>
      <c r="S148" s="57">
        <f>SUMPRODUCT(N([Nome]=Tabela3[[#This Row],[Nome]]),[Ações])</f>
        <v>94433283</v>
      </c>
      <c r="T148" s="6">
        <f>[Capital Social]/[Total Ações]</f>
        <v>14.180778865858132</v>
      </c>
      <c r="U148" s="96">
        <f>Tabela3[[#This Row],[Lucro Líquido]]/Tabela3[[#This Row],[Total Ações]]</f>
        <v>2.9304498499750347</v>
      </c>
      <c r="V1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8" s="6">
        <f>[Div Base]*[Ações]</f>
        <v>0</v>
      </c>
      <c r="AA148" s="6">
        <f>SUMPRODUCT(N([Nome]=Tabela3[[#This Row],[Nome]]),[Div Base]*[Ações])</f>
        <v>89275833.586666673</v>
      </c>
      <c r="AB148" s="110">
        <f>[Patrimônio Líquido]/[Total Ações]</f>
        <v>29.073308824813388</v>
      </c>
      <c r="AC148" s="49">
        <f>MAX(Tabela3[[#This Row],[Cotação 1]:[Cotação 3]])</f>
        <v>62.04</v>
      </c>
      <c r="AD148" s="45">
        <f>[Cotação]/[VPA]</f>
        <v>2.1339160387224418</v>
      </c>
      <c r="AE148" s="41">
        <f>IF(Tabela3[[#This Row],[Lucro/Ação]]&gt;0,Tabela3[[#This Row],[Cotação]]/(Tabela3[[#This Row],[Lucro/Ação]]/[Ref]*4),0)</f>
        <v>15.878108270781841</v>
      </c>
      <c r="AF148" s="41" t="e">
        <f>IF([Div. Mínimo]=0,0,[Lucro Distribuir]*#REF!/[Total Ações])</f>
        <v>#REF!</v>
      </c>
      <c r="AG148" s="96">
        <f>[Lucro Distribuir]/[Total Ações]</f>
        <v>2.7839273574762831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8" s="15" t="str">
        <f>IF(AND([% A.A.]&gt;=8%,SUMPRODUCT(N([Nome]=Tabela3[[#This Row],[Nome]]),[PL])&gt;0),"Sim","Não")</f>
        <v>Não</v>
      </c>
      <c r="AJ148" s="43">
        <f>IF([Cotação]&gt;0,Tabela3[[#This Row],[Lucro]]/Tabela3[[#This Row],[Cotação]],0)</f>
        <v>0</v>
      </c>
      <c r="AK148" s="19">
        <f>((1+Tabela3[[#This Row],[% Yield]])^(1/(3*Tabela3[[#This Row],[Ref]])))^(12)-1</f>
        <v>0</v>
      </c>
      <c r="AL148" s="14">
        <f>IF([Cotação]&gt;0,($AR$1/Tabela3[[#This Row],[Cotação]]-MOD($AR$1/Tabela3[[#This Row],[Cotação]],100)),)</f>
        <v>0</v>
      </c>
      <c r="AM148" s="17">
        <f>Tabela3[[#This Row],[Ativos]]*[Lucro]</f>
        <v>0</v>
      </c>
      <c r="AN148" s="5">
        <f>SUMPRODUCT(N(Tabela1[Código]=Tabela3[[#This Row],[PAPEL]]),Tabela1[Fechamento])</f>
        <v>62.04</v>
      </c>
      <c r="AO148" s="5">
        <f>SUMPRODUCT(N(Tabela17[Código]=Tabela3[[#This Row],[PAPEL]]),Tabela17[Fechamento])</f>
        <v>0</v>
      </c>
      <c r="AP148" s="7">
        <f>SUMPRODUCT(N(Tabela176[Código]=Tabela3[[#This Row],[PAPEL]]),Tabela176[Fechamento])</f>
        <v>0</v>
      </c>
    </row>
    <row r="149" spans="1:42" hidden="1">
      <c r="A149" s="25" t="s">
        <v>12</v>
      </c>
      <c r="B149" s="69" t="s">
        <v>38</v>
      </c>
      <c r="C149" s="15" t="str">
        <f>LEFT([PAPEL],LEN([PAPEL])-(LEN([PAPEL])-4))</f>
        <v>GEPA</v>
      </c>
      <c r="D149" s="15">
        <v>3</v>
      </c>
      <c r="E149" s="6">
        <v>1339137503.8</v>
      </c>
      <c r="F149" s="8">
        <v>62955522</v>
      </c>
      <c r="G149" s="106">
        <v>0.25</v>
      </c>
      <c r="H149" s="15"/>
      <c r="I149" s="19">
        <v>0.1</v>
      </c>
      <c r="J149" s="19"/>
      <c r="K149" s="108"/>
      <c r="L149" s="108"/>
      <c r="M149" s="111">
        <v>2745488000</v>
      </c>
      <c r="N149" s="111">
        <v>276732000</v>
      </c>
      <c r="O149" s="29">
        <f>Tabela3[[#This Row],[Capital Social]]*20%</f>
        <v>267827500.75999999</v>
      </c>
      <c r="P149" s="29">
        <f>IF(([Lucro Líquido]*5%)&gt;[Teto R. Legal],[Teto R. Legal],[Lucro Líquido]*5%)</f>
        <v>13836600</v>
      </c>
      <c r="Q149" s="111">
        <f>IF([Lucro Líquido]&lt;0,0,[Lucro Líquido]-[Reserva Legal])</f>
        <v>262895400</v>
      </c>
      <c r="R149" s="111">
        <f>Tabela3[[#This Row],[Lucro Distribuir]]*[%Div]</f>
        <v>65723850</v>
      </c>
      <c r="S149" s="57">
        <f>SUMPRODUCT(N([Nome]=Tabela3[[#This Row],[Nome]]),[Ações])</f>
        <v>94433283</v>
      </c>
      <c r="T149" s="29">
        <f>[Capital Social]/[Total Ações]</f>
        <v>14.180778865858132</v>
      </c>
      <c r="U149" s="97">
        <f>Tabela3[[#This Row],[Lucro Líquido]]/Tabela3[[#This Row],[Total Ações]]</f>
        <v>2.9304498499750347</v>
      </c>
      <c r="V149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9" s="29">
        <f>[Div Base]*[Ações]</f>
        <v>89275833.586666673</v>
      </c>
      <c r="AA149" s="29">
        <f>SUMPRODUCT(N([Nome]=Tabela3[[#This Row],[Nome]]),[Div Base]*[Ações])</f>
        <v>89275833.586666673</v>
      </c>
      <c r="AB149" s="111">
        <f>[Patrimônio Líquido]/[Total Ações]</f>
        <v>29.073308824813388</v>
      </c>
      <c r="AC149" s="30">
        <f>MAX(Tabela3[[#This Row],[Cotação 1]:[Cotação 3]])</f>
        <v>56.66</v>
      </c>
      <c r="AD149" s="31">
        <f>[Cotação]/[VPA]</f>
        <v>1.9488665821085358</v>
      </c>
      <c r="AE149" s="36">
        <f>IF(Tabela3[[#This Row],[Lucro/Ação]]&gt;0,Tabela3[[#This Row],[Cotação]]/(Tabela3[[#This Row],[Lucro/Ação]]/[Ref]*4),0)</f>
        <v>14.501186567093795</v>
      </c>
      <c r="AF149" s="36" t="e">
        <f>IF([Div. Mínimo]=0,0,[Lucro Distribuir]*#REF!/[Total Ações])</f>
        <v>#REF!</v>
      </c>
      <c r="AG149" s="96">
        <f>[Lucro Distribuir]/[Total Ações]</f>
        <v>2.7839273574762831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9" s="26" t="str">
        <f>IF(AND([% A.A.]&gt;=8%,SUMPRODUCT(N([Nome]=Tabela3[[#This Row],[Nome]]),[PL])&gt;0),"Sim","Não")</f>
        <v>Não</v>
      </c>
      <c r="AJ149" s="28">
        <f>IF([Cotação]&gt;0,Tabela3[[#This Row],[Lucro]]/Tabela3[[#This Row],[Cotação]],0)</f>
        <v>2.5027848333671256E-2</v>
      </c>
      <c r="AK149" s="50">
        <f>((1+Tabela3[[#This Row],[% Yield]])^(1/(3*Tabela3[[#This Row],[Ref]])))^(12)-1</f>
        <v>3.3508896712972858E-2</v>
      </c>
      <c r="AL149" s="10">
        <f>IF([Cotação]&gt;0,($AR$1/Tabela3[[#This Row],[Cotação]]-MOD($AR$1/Tabela3[[#This Row],[Cotação]],100)),)</f>
        <v>0</v>
      </c>
      <c r="AM149" s="7">
        <f>Tabela3[[#This Row],[Ativos]]*[Lucro]</f>
        <v>0</v>
      </c>
      <c r="AN149" s="5">
        <f>SUMPRODUCT(N(Tabela1[Código]=Tabela3[[#This Row],[PAPEL]]),Tabela1[Fechamento])</f>
        <v>56.66</v>
      </c>
      <c r="AO149" s="5">
        <f>SUMPRODUCT(N(Tabela17[Código]=Tabela3[[#This Row],[PAPEL]]),Tabela17[Fechamento])</f>
        <v>0</v>
      </c>
      <c r="AP149" s="7">
        <f>SUMPRODUCT(N(Tabela176[Código]=Tabela3[[#This Row],[PAPEL]]),Tabela176[Fechamento])</f>
        <v>0</v>
      </c>
    </row>
    <row r="150" spans="1:42" hidden="1">
      <c r="A150" s="25" t="s">
        <v>12</v>
      </c>
      <c r="B150" s="65" t="s">
        <v>29</v>
      </c>
      <c r="C150" s="15" t="str">
        <f>LEFT([PAPEL],LEN([PAPEL])-(LEN([PAPEL])-4))</f>
        <v>GETI</v>
      </c>
      <c r="D150" s="16">
        <v>3</v>
      </c>
      <c r="E150" s="6">
        <v>207227038.81</v>
      </c>
      <c r="F150" s="57">
        <v>197461211</v>
      </c>
      <c r="G150" s="100">
        <v>0.25</v>
      </c>
      <c r="H150" s="16"/>
      <c r="I150" s="18"/>
      <c r="K150" s="107"/>
      <c r="L150" s="107"/>
      <c r="M150" s="111">
        <v>1813045000</v>
      </c>
      <c r="N150" s="111">
        <v>650993000</v>
      </c>
      <c r="O150" s="29">
        <f>Tabela3[[#This Row],[Capital Social]]*20%</f>
        <v>41445407.762000002</v>
      </c>
      <c r="P150" s="29">
        <f>IF(([Lucro Líquido]*5%)&gt;[Teto R. Legal],[Teto R. Legal],[Lucro Líquido]*5%)</f>
        <v>32549650</v>
      </c>
      <c r="Q150" s="111">
        <f>IF([Lucro Líquido]&lt;0,0,[Lucro Líquido]-[Reserva Legal])</f>
        <v>618443350</v>
      </c>
      <c r="R150" s="111">
        <f>Tabela3[[#This Row],[Lucro Distribuir]]*[%Div]</f>
        <v>154610837.5</v>
      </c>
      <c r="S150" s="57">
        <f>SUMPRODUCT(N([Nome]=Tabela3[[#This Row],[Nome]]),[Ações])</f>
        <v>381253493</v>
      </c>
      <c r="T150" s="29">
        <f>[Capital Social]/[Total Ações]</f>
        <v>0.54354135139687754</v>
      </c>
      <c r="U150" s="97">
        <f>Tabela3[[#This Row],[Lucro Líquido]]/Tabela3[[#This Row],[Total Ações]]</f>
        <v>1.7075069788278634</v>
      </c>
      <c r="V150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W15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50" s="29">
        <f>[Div Base]*[Ações]</f>
        <v>77585518.447432414</v>
      </c>
      <c r="AA150" s="29">
        <f>SUMPRODUCT(N([Nome]=Tabela3[[#This Row],[Nome]]),[Div Base]*[Ações])</f>
        <v>157021785.3285009</v>
      </c>
      <c r="AB150" s="111">
        <f>[Patrimônio Líquido]/[Total Ações]</f>
        <v>4.7554842992612265</v>
      </c>
      <c r="AC150" s="30">
        <f>MAX(Tabela3[[#This Row],[Cotação 1]:[Cotação 3]])</f>
        <v>16.61</v>
      </c>
      <c r="AD150" s="31">
        <f>[Cotação]/[VPA]</f>
        <v>3.4928093449031876</v>
      </c>
      <c r="AE150" s="36">
        <f>IF(Tabela3[[#This Row],[Lucro/Ação]]&gt;0,Tabela3[[#This Row],[Cotação]]/(Tabela3[[#This Row],[Lucro/Ação]]/[Ref]*4),0)</f>
        <v>7.2957242075529232</v>
      </c>
      <c r="AF150" s="36" t="e">
        <f>IF([Div. Mínimo]=0,0,[Lucro Distribuir]*#REF!/[Total Ações])</f>
        <v>#REF!</v>
      </c>
      <c r="AG150" s="96">
        <f>[Lucro Distribuir]/[Total Ações]</f>
        <v>1.6221316298864703</v>
      </c>
      <c r="AH150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50" s="26" t="str">
        <f>IF(AND([% A.A.]&gt;=8%,SUMPRODUCT(N([Nome]=Tabela3[[#This Row],[Nome]]),[PL])&gt;0),"Sim","Não")</f>
        <v>Não</v>
      </c>
      <c r="AJ150" s="28">
        <f>IF([Cotação]&gt;0,Tabela3[[#This Row],[Lucro]]/Tabela3[[#This Row],[Cotação]],0)</f>
        <v>2.3655342362476919E-2</v>
      </c>
      <c r="AK150" s="50">
        <f>((1+Tabela3[[#This Row],[% Yield]])^(1/(3*Tabela3[[#This Row],[Ref]])))^(12)-1</f>
        <v>3.1664159219241927E-2</v>
      </c>
      <c r="AL150" s="10">
        <f>IF([Cotação]&gt;0,($AR$1/Tabela3[[#This Row],[Cotação]]-MOD($AR$1/Tabela3[[#This Row],[Cotação]],100)),)</f>
        <v>0</v>
      </c>
      <c r="AM150" s="7">
        <f>Tabela3[[#This Row],[Ativos]]*[Lucro]</f>
        <v>0</v>
      </c>
      <c r="AN150" s="5">
        <f>SUMPRODUCT(N(Tabela1[Código]=Tabela3[[#This Row],[PAPEL]]),Tabela1[Fechamento])</f>
        <v>16.61</v>
      </c>
      <c r="AO150" s="5">
        <f>SUMPRODUCT(N(Tabela17[Código]=Tabela3[[#This Row],[PAPEL]]),Tabela17[Fechamento])</f>
        <v>0</v>
      </c>
      <c r="AP150" s="7">
        <f>SUMPRODUCT(N(Tabela176[Código]=Tabela3[[#This Row],[PAPEL]]),Tabela176[Fechamento])</f>
        <v>0</v>
      </c>
    </row>
    <row r="151" spans="1:42" hidden="1">
      <c r="A151" s="25" t="s">
        <v>12</v>
      </c>
      <c r="B151" s="65" t="s">
        <v>33</v>
      </c>
      <c r="C151" s="15" t="str">
        <f>LEFT([PAPEL],LEN([PAPEL])-(LEN([PAPEL])-4))</f>
        <v>GETI</v>
      </c>
      <c r="D151" s="15">
        <v>3</v>
      </c>
      <c r="E151" s="6">
        <v>207227038.81</v>
      </c>
      <c r="F151" s="8">
        <v>183792282</v>
      </c>
      <c r="G151" s="106">
        <v>0.25</v>
      </c>
      <c r="H151" s="15"/>
      <c r="I151" s="19"/>
      <c r="J151" s="19">
        <v>0.1</v>
      </c>
      <c r="K151" s="108"/>
      <c r="L151" s="108"/>
      <c r="M151" s="111">
        <v>1813045000</v>
      </c>
      <c r="N151" s="111">
        <v>650993000</v>
      </c>
      <c r="O151" s="29">
        <f>Tabela3[[#This Row],[Capital Social]]*20%</f>
        <v>41445407.762000002</v>
      </c>
      <c r="P151" s="29">
        <f>IF(([Lucro Líquido]*5%)&gt;[Teto R. Legal],[Teto R. Legal],[Lucro Líquido]*5%)</f>
        <v>32549650</v>
      </c>
      <c r="Q151" s="111">
        <f>IF([Lucro Líquido]&lt;0,0,[Lucro Líquido]-[Reserva Legal])</f>
        <v>618443350</v>
      </c>
      <c r="R151" s="111">
        <f>Tabela3[[#This Row],[Lucro Distribuir]]*[%Div]</f>
        <v>154610837.5</v>
      </c>
      <c r="S151" s="57">
        <f>SUMPRODUCT(N([Nome]=Tabela3[[#This Row],[Nome]]),[Ações])</f>
        <v>381253493</v>
      </c>
      <c r="T151" s="29">
        <f>[Capital Social]/[Total Ações]</f>
        <v>0.54354135139687754</v>
      </c>
      <c r="U151" s="97">
        <f>Tabela3[[#This Row],[Lucro Líquido]]/Tabela3[[#This Row],[Total Ações]]</f>
        <v>1.7075069788278634</v>
      </c>
      <c r="V151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W15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51" s="29">
        <f>[Div Base]*[Ações]</f>
        <v>79436266.881068483</v>
      </c>
      <c r="AA151" s="29">
        <f>SUMPRODUCT(N([Nome]=Tabela3[[#This Row],[Nome]]),[Div Base]*[Ações])</f>
        <v>157021785.3285009</v>
      </c>
      <c r="AB151" s="111">
        <f>[Patrimônio Líquido]/[Total Ações]</f>
        <v>4.7554842992612265</v>
      </c>
      <c r="AC151" s="30">
        <f>MAX(Tabela3[[#This Row],[Cotação 1]:[Cotação 3]])</f>
        <v>18</v>
      </c>
      <c r="AD151" s="31">
        <f>[Cotação]/[VPA]</f>
        <v>3.7851034442057423</v>
      </c>
      <c r="AE151" s="36">
        <f>IF(Tabela3[[#This Row],[Lucro/Ação]]&gt;0,Tabela3[[#This Row],[Cotação]]/(Tabela3[[#This Row],[Lucro/Ação]]/[Ref]*4),0)</f>
        <v>7.9062634398526566</v>
      </c>
      <c r="AF151" s="36" t="e">
        <f>IF([Div. Mínimo]=0,0,[Lucro Distribuir]*#REF!/[Total Ações])</f>
        <v>#REF!</v>
      </c>
      <c r="AG151" s="96">
        <f>[Lucro Distribuir]/[Total Ações]</f>
        <v>1.6221316298864703</v>
      </c>
      <c r="AH151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51" s="26" t="str">
        <f>IF(AND([% A.A.]&gt;=8%,SUMPRODUCT(N([Nome]=Tabela3[[#This Row],[Nome]]),[PL])&gt;0),"Sim","Não")</f>
        <v>Não</v>
      </c>
      <c r="AJ151" s="28">
        <f>IF([Cotação]&gt;0,Tabela3[[#This Row],[Lucro]]/Tabela3[[#This Row],[Cotação]],0)</f>
        <v>2.4011486716494099E-2</v>
      </c>
      <c r="AK151" s="50">
        <f>((1+Tabela3[[#This Row],[% Yield]])^(1/(3*Tabela3[[#This Row],[Ref]])))^(12)-1</f>
        <v>3.2142761282374588E-2</v>
      </c>
      <c r="AL151" s="10">
        <f>IF([Cotação]&gt;0,($AR$1/Tabela3[[#This Row],[Cotação]]-MOD($AR$1/Tabela3[[#This Row],[Cotação]],100)),)</f>
        <v>0</v>
      </c>
      <c r="AM151" s="7">
        <f>Tabela3[[#This Row],[Ativos]]*[Lucro]</f>
        <v>0</v>
      </c>
      <c r="AN151" s="5">
        <f>SUMPRODUCT(N(Tabela1[Código]=Tabela3[[#This Row],[PAPEL]]),Tabela1[Fechamento])</f>
        <v>18</v>
      </c>
      <c r="AO151" s="5">
        <f>SUMPRODUCT(N(Tabela17[Código]=Tabela3[[#This Row],[PAPEL]]),Tabela17[Fechamento])</f>
        <v>0</v>
      </c>
      <c r="AP151" s="7">
        <f>SUMPRODUCT(N(Tabela176[Código]=Tabela3[[#This Row],[PAPEL]]),Tabela176[Fechamento])</f>
        <v>0</v>
      </c>
    </row>
    <row r="152" spans="1:42" hidden="1">
      <c r="A152" s="4" t="s">
        <v>259</v>
      </c>
      <c r="B152" s="65" t="s">
        <v>674</v>
      </c>
      <c r="C152" s="15" t="str">
        <f>LEFT([PAPEL],LEN([PAPEL])-(LEN([PAPEL])-4))</f>
        <v>GGBR</v>
      </c>
      <c r="D152" s="15">
        <v>3</v>
      </c>
      <c r="E152" s="6">
        <v>19323246666</v>
      </c>
      <c r="F152" s="8">
        <v>573627483</v>
      </c>
      <c r="G152" s="106">
        <v>0</v>
      </c>
      <c r="H152" s="15"/>
      <c r="I152" s="19"/>
      <c r="J152" s="19"/>
      <c r="K152" s="108"/>
      <c r="L152" s="108"/>
      <c r="M152" s="114">
        <v>29203110000</v>
      </c>
      <c r="N152" s="115">
        <v>1133637000</v>
      </c>
      <c r="O152" s="13">
        <f>Tabela3[[#This Row],[Capital Social]]*20%</f>
        <v>3864649333.2000003</v>
      </c>
      <c r="P152" s="13">
        <f>IF(([Lucro Líquido]*5%)&gt;[Teto R. Legal],[Teto R. Legal],[Lucro Líquido]*5%)</f>
        <v>56681850</v>
      </c>
      <c r="Q152" s="13">
        <f>IF([Lucro Líquido]&lt;0,0,[Lucro Líquido]-[Reserva Legal])</f>
        <v>1076955150</v>
      </c>
      <c r="R152" s="13">
        <f>Tabela3[[#This Row],[Lucro Distribuir]]*[%Div]</f>
        <v>0</v>
      </c>
      <c r="S152" s="57">
        <f>SUMPRODUCT(N([Nome]=Tabela3[[#This Row],[Nome]]),[Ações])</f>
        <v>1719658728</v>
      </c>
      <c r="T152" s="6">
        <f>[Capital Social]/[Total Ações]</f>
        <v>11.236675249206773</v>
      </c>
      <c r="U152" s="96">
        <f>Tabela3[[#This Row],[Lucro Líquido]]/Tabela3[[#This Row],[Total Ações]]</f>
        <v>0.65922207792847609</v>
      </c>
      <c r="V1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323086545</v>
      </c>
      <c r="AB152" s="113">
        <f>[Patrimônio Líquido]/[Total Ações]</f>
        <v>16.981921775818765</v>
      </c>
      <c r="AC152" s="49">
        <f>MAX(Tabela3[[#This Row],[Cotação 1]:[Cotação 3]])</f>
        <v>13.59</v>
      </c>
      <c r="AD152" s="45">
        <f>[Cotação]/[VPA]</f>
        <v>0.80026278411854079</v>
      </c>
      <c r="AE152" s="41">
        <f>IF(Tabela3[[#This Row],[Lucro/Ação]]&gt;0,Tabela3[[#This Row],[Cotação]]/(Tabela3[[#This Row],[Lucro/Ação]]/[Ref]*4),0)</f>
        <v>15.461405710240578</v>
      </c>
      <c r="AF152" s="109">
        <f>IF([Div. Mínimo]=0,0,[Lucro Distribuir]*#REF!/[Total Ações])</f>
        <v>0</v>
      </c>
      <c r="AG152" s="96">
        <f>[Lucro Distribuir]/[Total Ações]</f>
        <v>0.62626097403205228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A.A.]&gt;=8%,SUMPRODUCT(N([Nome]=Tabela3[[#This Row],[Nome]]),[PL])&gt;0),"Sim","Não")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</v>
      </c>
      <c r="AP152" s="17">
        <f>SUMPRODUCT(N(Tabela176[Código]=Tabela3[[#This Row],[PAPEL]]),Tabela176[Fechamento])</f>
        <v>13.59</v>
      </c>
    </row>
    <row r="153" spans="1:42" hidden="1">
      <c r="A153" s="4" t="s">
        <v>259</v>
      </c>
      <c r="B153" s="65" t="s">
        <v>675</v>
      </c>
      <c r="C153" s="15" t="str">
        <f>LEFT([PAPEL],LEN([PAPEL])-(LEN([PAPEL])-4))</f>
        <v>GGBR</v>
      </c>
      <c r="D153" s="15">
        <v>3</v>
      </c>
      <c r="E153" s="6">
        <v>19323246666</v>
      </c>
      <c r="F153" s="8">
        <v>1146031245</v>
      </c>
      <c r="G153" s="106">
        <v>0.3</v>
      </c>
      <c r="H153" s="15"/>
      <c r="I153" s="19"/>
      <c r="J153" s="19"/>
      <c r="K153" s="108"/>
      <c r="L153" s="108"/>
      <c r="M153" s="114">
        <v>29203110000</v>
      </c>
      <c r="N153" s="115">
        <v>1133637000</v>
      </c>
      <c r="O153" s="13">
        <f>Tabela3[[#This Row],[Capital Social]]*20%</f>
        <v>3864649333.2000003</v>
      </c>
      <c r="P153" s="13">
        <f>IF(([Lucro Líquido]*5%)&gt;[Teto R. Legal],[Teto R. Legal],[Lucro Líquido]*5%)</f>
        <v>56681850</v>
      </c>
      <c r="Q153" s="13">
        <f>IF([Lucro Líquido]&lt;0,0,[Lucro Líquido]-[Reserva Legal])</f>
        <v>1076955150</v>
      </c>
      <c r="R153" s="13">
        <f>Tabela3[[#This Row],[Lucro Distribuir]]*[%Div]</f>
        <v>323086545</v>
      </c>
      <c r="S153" s="57">
        <f>SUMPRODUCT(N([Nome]=Tabela3[[#This Row],[Nome]]),[Ações])</f>
        <v>1719658728</v>
      </c>
      <c r="T153" s="6">
        <f>[Capital Social]/[Total Ações]</f>
        <v>11.236675249206773</v>
      </c>
      <c r="U153" s="96">
        <f>Tabela3[[#This Row],[Lucro Líquido]]/Tabela3[[#This Row],[Total Ações]]</f>
        <v>0.65922207792847609</v>
      </c>
      <c r="V1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W1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Z153" s="13">
        <f>[Div Base]*[Ações]</f>
        <v>323086545</v>
      </c>
      <c r="AA153" s="13">
        <f>SUMPRODUCT(N([Nome]=Tabela3[[#This Row],[Nome]]),[Div Base]*[Ações])</f>
        <v>323086545</v>
      </c>
      <c r="AB153" s="113">
        <f>[Patrimônio Líquido]/[Total Ações]</f>
        <v>16.981921775818765</v>
      </c>
      <c r="AC153" s="49">
        <f>MAX(Tabela3[[#This Row],[Cotação 1]:[Cotação 3]])</f>
        <v>16.71</v>
      </c>
      <c r="AD153" s="45">
        <f>[Cotação]/[VPA]</f>
        <v>0.98398757340844867</v>
      </c>
      <c r="AE153" s="41">
        <f>IF(Tabela3[[#This Row],[Lucro/Ação]]&gt;0,Tabela3[[#This Row],[Cotação]]/(Tabela3[[#This Row],[Lucro/Ação]]/[Ref]*4),0)</f>
        <v>19.011044107293603</v>
      </c>
      <c r="AF153" s="109" t="e">
        <f>IF([Div. Mínimo]=0,0,[Lucro Distribuir]*#REF!/[Total Ações])</f>
        <v>#REF!</v>
      </c>
      <c r="AG153" s="96">
        <f>[Lucro Distribuir]/[Total Ações]</f>
        <v>0.62626097403205228</v>
      </c>
      <c r="AH153" s="96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I153" s="14" t="str">
        <f>IF(AND([% A.A.]&gt;=8%,SUMPRODUCT(N([Nome]=Tabela3[[#This Row],[Nome]]),[PL])&gt;0),"Sim","Não")</f>
        <v>Não</v>
      </c>
      <c r="AJ153" s="43">
        <f>IF([Cotação]&gt;0,Tabela3[[#This Row],[Lucro]]/Tabela3[[#This Row],[Cotação]],0)</f>
        <v>1.6871199618167534E-2</v>
      </c>
      <c r="AK153" s="43">
        <f>((1+Tabela3[[#This Row],[% Yield]])^(1/(3*Tabela3[[#This Row],[Ref]])))^(12)-1</f>
        <v>2.2557950082373601E-2</v>
      </c>
      <c r="AL153" s="14">
        <f>IF([Cotação]&gt;0,($AR$1/Tabela3[[#This Row],[Cotação]]-MOD($AR$1/Tabela3[[#This Row],[Cotação]],100)),)</f>
        <v>0</v>
      </c>
      <c r="AM153" s="17">
        <f>Tabela3[[#This Row],[Ativos]]*[Lucro]</f>
        <v>0</v>
      </c>
      <c r="AN153" s="17">
        <f>SUMPRODUCT(N(Tabela1[Código]=Tabela3[[#This Row],[PAPEL]]),Tabela1[Fechamento])</f>
        <v>0</v>
      </c>
      <c r="AO153" s="17">
        <f>SUMPRODUCT(N(Tabela17[Código]=Tabela3[[#This Row],[PAPEL]]),Tabela17[Fechamento])</f>
        <v>0</v>
      </c>
      <c r="AP153" s="17">
        <f>SUMPRODUCT(N(Tabela176[Código]=Tabela3[[#This Row],[PAPEL]]),Tabela176[Fechamento])</f>
        <v>16.71</v>
      </c>
    </row>
    <row r="154" spans="1:42" hidden="1">
      <c r="A154" s="4" t="s">
        <v>259</v>
      </c>
      <c r="B154" s="65" t="s">
        <v>678</v>
      </c>
      <c r="C154" s="15" t="str">
        <f>LEFT([PAPEL],LEN([PAPEL])-(LEN([PAPEL])-4))</f>
        <v>GOAU</v>
      </c>
      <c r="D154" s="15">
        <v>3</v>
      </c>
      <c r="E154" s="6">
        <v>6900000000</v>
      </c>
      <c r="F154" s="8">
        <v>137618994</v>
      </c>
      <c r="G154" s="106">
        <v>0</v>
      </c>
      <c r="H154" s="15"/>
      <c r="I154" s="19"/>
      <c r="J154" s="19"/>
      <c r="K154" s="108"/>
      <c r="L154" s="108"/>
      <c r="M154" s="114">
        <v>10689802000</v>
      </c>
      <c r="N154" s="115">
        <v>374359000</v>
      </c>
      <c r="O154" s="13">
        <f>Tabela3[[#This Row],[Capital Social]]*20%</f>
        <v>1380000000</v>
      </c>
      <c r="P154" s="13">
        <f>IF(([Lucro Líquido]*5%)&gt;[Teto R. Legal],[Teto R. Legal],[Lucro Líquido]*5%)</f>
        <v>18717950</v>
      </c>
      <c r="Q154" s="13">
        <f>IF([Lucro Líquido]&lt;0,0,[Lucro Líquido]-[Reserva Legal])</f>
        <v>355641050</v>
      </c>
      <c r="R154" s="13">
        <f>Tabela3[[#This Row],[Lucro Distribuir]]*[%Div]</f>
        <v>0</v>
      </c>
      <c r="S154" s="57">
        <f>SUMPRODUCT(N([Nome]=Tabela3[[#This Row],[Nome]]),[Ações])</f>
        <v>412681538</v>
      </c>
      <c r="T154" s="6">
        <f>[Capital Social]/[Total Ações]</f>
        <v>16.719914424667092</v>
      </c>
      <c r="U154" s="96">
        <f>Tabela3[[#This Row],[Lucro Líquido]]/Tabela3[[#This Row],[Total Ações]]</f>
        <v>0.90713774552231119</v>
      </c>
      <c r="V1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4" s="13">
        <f>[Div Base]*[Ações]</f>
        <v>0</v>
      </c>
      <c r="AA154" s="13">
        <f>SUMPRODUCT(N([Nome]=Tabela3[[#This Row],[Nome]]),[Div Base]*[Ações])</f>
        <v>106692315</v>
      </c>
      <c r="AB154" s="113">
        <f>[Patrimônio Líquido]/[Total Ações]</f>
        <v>25.903271689367408</v>
      </c>
      <c r="AC154" s="49">
        <f>MAX(Tabela3[[#This Row],[Cotação 1]:[Cotação 3]])</f>
        <v>16.5</v>
      </c>
      <c r="AD154" s="45">
        <f>[Cotação]/[VPA]</f>
        <v>0.6369851730649454</v>
      </c>
      <c r="AE154" s="41">
        <f>IF(Tabela3[[#This Row],[Lucro/Ação]]&gt;0,Tabela3[[#This Row],[Cotação]]/(Tabela3[[#This Row],[Lucro/Ação]]/[Ref]*4),0)</f>
        <v>13.641809153112385</v>
      </c>
      <c r="AF154" s="109">
        <f>IF([Div. Mínimo]=0,0,[Lucro Distribuir]*#REF!/[Total Ações])</f>
        <v>0</v>
      </c>
      <c r="AG154" s="96">
        <f>[Lucro Distribuir]/[Total Ações]</f>
        <v>0.86178085824619566</v>
      </c>
      <c r="AH1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4" s="14" t="str">
        <f>IF(AND([% A.A.]&gt;=8%,SUMPRODUCT(N([Nome]=Tabela3[[#This Row],[Nome]]),[PL])&gt;0),"Sim","Não")</f>
        <v>Não</v>
      </c>
      <c r="AJ154" s="43">
        <f>IF([Cotação]&gt;0,Tabela3[[#This Row],[Lucro]]/Tabela3[[#This Row],[Cotação]],0)</f>
        <v>0</v>
      </c>
      <c r="AK154" s="43">
        <f>((1+Tabela3[[#This Row],[% Yield]])^(1/(3*Tabela3[[#This Row],[Ref]])))^(12)-1</f>
        <v>0</v>
      </c>
      <c r="AL154" s="14">
        <f>IF([Cotação]&gt;0,($AR$1/Tabela3[[#This Row],[Cotação]]-MOD($AR$1/Tabela3[[#This Row],[Cotação]],100)),)</f>
        <v>0</v>
      </c>
      <c r="AM154" s="17">
        <f>Tabela3[[#This Row],[Ativos]]*[Lucro]</f>
        <v>0</v>
      </c>
      <c r="AN154" s="17">
        <f>SUMPRODUCT(N(Tabela1[Código]=Tabela3[[#This Row],[PAPEL]]),Tabela1[Fechamento])</f>
        <v>0</v>
      </c>
      <c r="AO154" s="17">
        <f>SUMPRODUCT(N(Tabela17[Código]=Tabela3[[#This Row],[PAPEL]]),Tabela17[Fechamento])</f>
        <v>0</v>
      </c>
      <c r="AP154" s="17">
        <f>SUMPRODUCT(N(Tabela176[Código]=Tabela3[[#This Row],[PAPEL]]),Tabela176[Fechamento])</f>
        <v>16.5</v>
      </c>
    </row>
    <row r="155" spans="1:42" hidden="1">
      <c r="A155" s="4" t="s">
        <v>259</v>
      </c>
      <c r="B155" s="65" t="s">
        <v>679</v>
      </c>
      <c r="C155" s="15" t="str">
        <f>LEFT([PAPEL],LEN([PAPEL])-(LEN([PAPEL])-4))</f>
        <v>GOAU</v>
      </c>
      <c r="D155" s="15">
        <v>3</v>
      </c>
      <c r="E155" s="6">
        <v>6900000000</v>
      </c>
      <c r="F155" s="8">
        <v>275062544</v>
      </c>
      <c r="G155" s="106">
        <v>0.3</v>
      </c>
      <c r="H155" s="15"/>
      <c r="I155" s="19"/>
      <c r="J155" s="19"/>
      <c r="K155" s="108"/>
      <c r="L155" s="108"/>
      <c r="M155" s="114">
        <v>10689802000</v>
      </c>
      <c r="N155" s="115">
        <v>374359000</v>
      </c>
      <c r="O155" s="13">
        <f>Tabela3[[#This Row],[Capital Social]]*20%</f>
        <v>1380000000</v>
      </c>
      <c r="P155" s="13">
        <f>IF(([Lucro Líquido]*5%)&gt;[Teto R. Legal],[Teto R. Legal],[Lucro Líquido]*5%)</f>
        <v>18717950</v>
      </c>
      <c r="Q155" s="13">
        <f>IF([Lucro Líquido]&lt;0,0,[Lucro Líquido]-[Reserva Legal])</f>
        <v>355641050</v>
      </c>
      <c r="R155" s="13">
        <f>Tabela3[[#This Row],[Lucro Distribuir]]*[%Div]</f>
        <v>106692315</v>
      </c>
      <c r="S155" s="57">
        <f>SUMPRODUCT(N([Nome]=Tabela3[[#This Row],[Nome]]),[Ações])</f>
        <v>412681538</v>
      </c>
      <c r="T155" s="6">
        <f>[Capital Social]/[Total Ações]</f>
        <v>16.719914424667092</v>
      </c>
      <c r="U155" s="96">
        <f>Tabela3[[#This Row],[Lucro Líquido]]/Tabela3[[#This Row],[Total Ações]]</f>
        <v>0.90713774552231119</v>
      </c>
      <c r="V1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W1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Z155" s="13">
        <f>[Div Base]*[Ações]</f>
        <v>106692315</v>
      </c>
      <c r="AA155" s="13">
        <f>SUMPRODUCT(N([Nome]=Tabela3[[#This Row],[Nome]]),[Div Base]*[Ações])</f>
        <v>106692315</v>
      </c>
      <c r="AB155" s="113">
        <f>[Patrimônio Líquido]/[Total Ações]</f>
        <v>25.903271689367408</v>
      </c>
      <c r="AC155" s="49">
        <f>MAX(Tabela3[[#This Row],[Cotação 1]:[Cotação 3]])</f>
        <v>20.83</v>
      </c>
      <c r="AD155" s="45">
        <f>[Cotação]/[VPA]</f>
        <v>0.80414552454198862</v>
      </c>
      <c r="AE155" s="41">
        <f>IF(Tabela3[[#This Row],[Lucro/Ação]]&gt;0,Tabela3[[#This Row],[Cotação]]/(Tabela3[[#This Row],[Lucro/Ação]]/[Ref]*4),0)</f>
        <v>17.221750585414</v>
      </c>
      <c r="AF155" s="109" t="e">
        <f>IF([Div. Mínimo]=0,0,[Lucro Distribuir]*#REF!/[Total Ações])</f>
        <v>#REF!</v>
      </c>
      <c r="AG155" s="96">
        <f>[Lucro Distribuir]/[Total Ações]</f>
        <v>0.86178085824619566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I155" s="14" t="str">
        <f>IF(AND([% A.A.]&gt;=8%,SUMPRODUCT(N([Nome]=Tabela3[[#This Row],[Nome]]),[PL])&gt;0),"Sim","Não")</f>
        <v>Não</v>
      </c>
      <c r="AJ155" s="43">
        <f>IF([Cotação]&gt;0,Tabela3[[#This Row],[Lucro]]/Tabela3[[#This Row],[Cotação]],0)</f>
        <v>1.8621403603769831E-2</v>
      </c>
      <c r="AK155" s="43">
        <f>((1+Tabela3[[#This Row],[% Yield]])^(1/(3*Tabela3[[#This Row],[Ref]])))^(12)-1</f>
        <v>2.4905278757469285E-2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17">
        <f>SUMPRODUCT(N(Tabela1[Código]=Tabela3[[#This Row],[PAPEL]]),Tabela1[Fechamento])</f>
        <v>0</v>
      </c>
      <c r="AO155" s="17">
        <f>SUMPRODUCT(N(Tabela17[Código]=Tabela3[[#This Row],[PAPEL]]),Tabela17[Fechamento])</f>
        <v>0</v>
      </c>
      <c r="AP155" s="17">
        <f>SUMPRODUCT(N(Tabela176[Código]=Tabela3[[#This Row],[PAPEL]]),Tabela176[Fechamento])</f>
        <v>20.83</v>
      </c>
    </row>
    <row r="156" spans="1:42" hidden="1">
      <c r="A156" s="4" t="s">
        <v>12</v>
      </c>
      <c r="B156" s="65" t="s">
        <v>535</v>
      </c>
      <c r="C156" s="15" t="str">
        <f>LEFT([PAPEL],LEN([PAPEL])-(LEN([PAPEL])-4))</f>
        <v>GPAR</v>
      </c>
      <c r="D156" s="15">
        <v>3</v>
      </c>
      <c r="E156" s="6">
        <v>973764337.52999997</v>
      </c>
      <c r="F156" s="8">
        <v>32774246</v>
      </c>
      <c r="G156" s="100">
        <v>0.25</v>
      </c>
      <c r="H156" s="15"/>
      <c r="I156" s="19"/>
      <c r="J156" s="19"/>
      <c r="K156" s="108"/>
      <c r="L156" s="108"/>
      <c r="M156" s="114">
        <v>-2079468000</v>
      </c>
      <c r="N156" s="115">
        <v>39671000</v>
      </c>
      <c r="O156" s="13">
        <f>Tabela3[[#This Row],[Capital Social]]*20%</f>
        <v>194752867.50600001</v>
      </c>
      <c r="P156" s="13">
        <f>IF(([Lucro Líquido]*5%)&gt;[Teto R. Legal],[Teto R. Legal],[Lucro Líquido]*5%)</f>
        <v>1983550</v>
      </c>
      <c r="Q156" s="13">
        <f>IF([Lucro Líquido]&lt;0,0,[Lucro Líquido]-[Reserva Legal])</f>
        <v>37687450</v>
      </c>
      <c r="R156" s="13">
        <f>Tabela3[[#This Row],[Lucro Distribuir]]*[%Div]</f>
        <v>9421862.5</v>
      </c>
      <c r="S156" s="57">
        <f>SUMPRODUCT(N([Nome]=Tabela3[[#This Row],[Nome]]),[Ações])</f>
        <v>32774246</v>
      </c>
      <c r="T156" s="6">
        <f>[Capital Social]/[Total Ações]</f>
        <v>29.711265898535085</v>
      </c>
      <c r="U156" s="96">
        <f>Tabela3[[#This Row],[Lucro Líquido]]/Tabela3[[#This Row],[Total Ações]]</f>
        <v>1.2104321179501734</v>
      </c>
      <c r="V1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56" s="13">
        <f>[Div Base]*[Ações]</f>
        <v>9421862.5</v>
      </c>
      <c r="AA156" s="13">
        <f>SUMPRODUCT(N([Nome]=Tabela3[[#This Row],[Nome]]),[Div Base]*[Ações])</f>
        <v>9421862.5</v>
      </c>
      <c r="AB156" s="113">
        <f>[Patrimônio Líquido]/[Total Ações]</f>
        <v>-63.448233103516706</v>
      </c>
      <c r="AC156" s="49">
        <f>MAX(Tabela3[[#This Row],[Cotação 1]:[Cotação 3]])</f>
        <v>15</v>
      </c>
      <c r="AD156" s="45">
        <f>[Cotação]/[VPA]</f>
        <v>-0.2364132027999469</v>
      </c>
      <c r="AE156" s="41">
        <f>IF(Tabela3[[#This Row],[Lucro/Ação]]&gt;0,Tabela3[[#This Row],[Cotação]]/(Tabela3[[#This Row],[Lucro/Ação]]/[Ref]*4),0)</f>
        <v>9.2942014947946863</v>
      </c>
      <c r="AF156" s="109" t="e">
        <f>IF([Div. Mínimo]=0,0,[Lucro Distribuir]*#REF!/[Total Ações])</f>
        <v>#REF!</v>
      </c>
      <c r="AG156" s="96">
        <f>[Lucro Distribuir]/[Total Ações]</f>
        <v>1.1499105120526647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56" s="14" t="str">
        <f>IF(AND([% A.A.]&gt;=8%,SUMPRODUCT(N([Nome]=Tabela3[[#This Row],[Nome]]),[PL])&gt;0),"Sim","Não")</f>
        <v>Não</v>
      </c>
      <c r="AJ156" s="43">
        <f>IF([Cotação]&gt;0,Tabela3[[#This Row],[Lucro]]/Tabela3[[#This Row],[Cotação]],0)</f>
        <v>1.9165175200877745E-2</v>
      </c>
      <c r="AK156" s="43">
        <f>((1+Tabela3[[#This Row],[% Yield]])^(1/(3*Tabela3[[#This Row],[Ref]])))^(12)-1</f>
        <v>2.5634845153429398E-2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17">
        <f>SUMPRODUCT(N(Tabela1[Código]=Tabela3[[#This Row],[PAPEL]]),Tabela1[Fechamento])</f>
        <v>0</v>
      </c>
      <c r="AO156" s="17">
        <f>SUMPRODUCT(N(Tabela17[Código]=Tabela3[[#This Row],[PAPEL]]),Tabela17[Fechamento])</f>
        <v>15</v>
      </c>
      <c r="AP156" s="7">
        <f>SUMPRODUCT(N(Tabela176[Código]=Tabela3[[#This Row],[PAPEL]]),Tabela176[Fechamento])</f>
        <v>0</v>
      </c>
    </row>
    <row r="157" spans="1:42" hidden="1">
      <c r="A157" s="4" t="s">
        <v>40</v>
      </c>
      <c r="B157" s="65" t="s">
        <v>728</v>
      </c>
      <c r="C157" s="15" t="str">
        <f>LEFT([PAPEL],LEN([PAPEL])-(LEN([PAPEL])-4))</f>
        <v>GPCP</v>
      </c>
      <c r="D157" s="15">
        <v>3</v>
      </c>
      <c r="E157" s="6">
        <v>210200000</v>
      </c>
      <c r="F157" s="8">
        <v>358849702</v>
      </c>
      <c r="G157" s="106">
        <v>0.25</v>
      </c>
      <c r="H157" s="15"/>
      <c r="I157" s="19"/>
      <c r="J157" s="19"/>
      <c r="K157" s="108"/>
      <c r="L157" s="108"/>
      <c r="M157" s="114">
        <v>69900000</v>
      </c>
      <c r="N157" s="115">
        <v>-65107000</v>
      </c>
      <c r="O157" s="13">
        <f>Tabela3[[#This Row],[Capital Social]]*20%</f>
        <v>42040000</v>
      </c>
      <c r="P157" s="13">
        <f>IF(([Lucro Líquido]*5%)&gt;[Teto R. Legal],[Teto R. Legal],[Lucro Líquido]*5%)</f>
        <v>-3255350</v>
      </c>
      <c r="Q157" s="13">
        <f>IF([Lucro Líquido]&lt;0,0,[Lucro Líquido]-[Reserva Legal])</f>
        <v>0</v>
      </c>
      <c r="R157" s="13">
        <f>Tabela3[[#This Row],[Lucro Distribuir]]*[%Div]</f>
        <v>0</v>
      </c>
      <c r="S157" s="57">
        <f>SUMPRODUCT(N([Nome]=Tabela3[[#This Row],[Nome]]),[Ações])</f>
        <v>358849702</v>
      </c>
      <c r="T157" s="6">
        <f>[Capital Social]/[Total Ações]</f>
        <v>0.58576055331376586</v>
      </c>
      <c r="U157" s="96">
        <f>Tabela3[[#This Row],[Lucro Líquido]]/Tabela3[[#This Row],[Total Ações]]</f>
        <v>-0.18143250401807495</v>
      </c>
      <c r="V1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7" s="13">
        <f>[Div Base]*[Ações]</f>
        <v>0</v>
      </c>
      <c r="AA157" s="13">
        <f>SUMPRODUCT(N([Nome]=Tabela3[[#This Row],[Nome]]),[Div Base]*[Ações])</f>
        <v>0</v>
      </c>
      <c r="AB157" s="113">
        <f>[Patrimônio Líquido]/[Total Ações]</f>
        <v>0.19478907077370236</v>
      </c>
      <c r="AC157" s="49">
        <f>MAX(Tabela3[[#This Row],[Cotação 1]:[Cotação 3]])</f>
        <v>0.49</v>
      </c>
      <c r="AD157" s="45">
        <f>[Cotação]/[VPA]</f>
        <v>2.5155415447782548</v>
      </c>
      <c r="AE157" s="41">
        <f>IF(Tabela3[[#This Row],[Lucro/Ação]]&gt;0,Tabela3[[#This Row],[Cotação]]/(Tabela3[[#This Row],[Lucro/Ação]]/[Ref]*4),0)</f>
        <v>0</v>
      </c>
      <c r="AF157" s="109">
        <f>IF([Div. Mínimo]=0,0,[Lucro Distribuir]*#REF!/[Total Ações])</f>
        <v>0</v>
      </c>
      <c r="AG157" s="96">
        <f>[Lucro Distribuir]/[Total Ações]</f>
        <v>0</v>
      </c>
      <c r="AH15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7" s="14" t="str">
        <f>IF(AND([% A.A.]&gt;=8%,SUMPRODUCT(N([Nome]=Tabela3[[#This Row],[Nome]]),[PL])&gt;0),"Sim","Não")</f>
        <v>Não</v>
      </c>
      <c r="AJ157" s="43">
        <f>IF([Cotação]&gt;0,Tabela3[[#This Row],[Lucro]]/Tabela3[[#This Row],[Cotação]],0)</f>
        <v>0</v>
      </c>
      <c r="AK157" s="43">
        <f>((1+Tabela3[[#This Row],[% Yield]])^(1/(3*Tabela3[[#This Row],[Ref]])))^(12)-1</f>
        <v>0</v>
      </c>
      <c r="AL157" s="14">
        <f>IF([Cotação]&gt;0,($AR$1/Tabela3[[#This Row],[Cotação]]-MOD($AR$1/Tabela3[[#This Row],[Cotação]],100)),)</f>
        <v>600</v>
      </c>
      <c r="AM157" s="17">
        <f>Tabela3[[#This Row],[Ativos]]*[Lucro]</f>
        <v>0</v>
      </c>
      <c r="AN157" s="17">
        <f>SUMPRODUCT(N(Tabela1[Código]=Tabela3[[#This Row],[PAPEL]]),Tabela1[Fechamento])</f>
        <v>0</v>
      </c>
      <c r="AO157" s="17">
        <f>SUMPRODUCT(N(Tabela17[Código]=Tabela3[[#This Row],[PAPEL]]),Tabela17[Fechamento])</f>
        <v>0</v>
      </c>
      <c r="AP157" s="17">
        <f>SUMPRODUCT(N(Tabela176[Código]=Tabela3[[#This Row],[PAPEL]]),Tabela176[Fechamento])</f>
        <v>0.49</v>
      </c>
    </row>
    <row r="158" spans="1:42" hidden="1">
      <c r="A158" s="4" t="s">
        <v>12</v>
      </c>
      <c r="B158" s="65" t="s">
        <v>183</v>
      </c>
      <c r="C158" s="14" t="str">
        <f>LEFT([PAPEL],LEN([PAPEL])-(LEN([PAPEL])-4))</f>
        <v>GTDP</v>
      </c>
      <c r="D158" s="15">
        <v>3</v>
      </c>
      <c r="E158" s="6">
        <v>9056481.0600000005</v>
      </c>
      <c r="F158" s="8">
        <v>84761786</v>
      </c>
      <c r="G158" s="100">
        <v>0.25</v>
      </c>
      <c r="H158" s="15"/>
      <c r="I158" s="19"/>
      <c r="J158" s="19"/>
      <c r="K158" s="108"/>
      <c r="L158" s="108"/>
      <c r="M158" s="110">
        <v>20809000</v>
      </c>
      <c r="N158" s="110">
        <v>1860000</v>
      </c>
      <c r="O158" s="6">
        <f>Tabela3[[#This Row],[Capital Social]]*20%</f>
        <v>1811296.2120000003</v>
      </c>
      <c r="P158" s="6">
        <f>IF(([Lucro Líquido]*5%)&gt;[Teto R. Legal],[Teto R. Legal],[Lucro Líquido]*5%)</f>
        <v>93000</v>
      </c>
      <c r="Q158" s="110">
        <f>IF([Lucro Líquido]&lt;0,0,[Lucro Líquido]-[Reserva Legal])</f>
        <v>1767000</v>
      </c>
      <c r="R158" s="110">
        <f>Tabela3[[#This Row],[Lucro Distribuir]]*[%Div]</f>
        <v>441750</v>
      </c>
      <c r="S158" s="57">
        <f>SUMPRODUCT(N([Nome]=Tabela3[[#This Row],[Nome]]),[Ações])</f>
        <v>166355563</v>
      </c>
      <c r="T158" s="6">
        <f>[Capital Social]/[Total Ações]</f>
        <v>5.4440506206576332E-2</v>
      </c>
      <c r="U158" s="96">
        <f>Tabela3[[#This Row],[Lucro Líquido]]/Tabela3[[#This Row],[Total Ações]]</f>
        <v>1.1180870458777505E-2</v>
      </c>
      <c r="V1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2.5728353773263961E-3</v>
      </c>
      <c r="W1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58" s="6">
        <f>[Div Base]*[Ações]</f>
        <v>218078.12166616923</v>
      </c>
      <c r="AA158" s="6">
        <f>SUMPRODUCT(N([Nome]=Tabela3[[#This Row],[Nome]]),[Div Base]*[Ações])</f>
        <v>448998.2136213145</v>
      </c>
      <c r="AB158" s="110">
        <f>[Patrimônio Líquido]/[Total Ações]</f>
        <v>0.12508749106274253</v>
      </c>
      <c r="AC158" s="49">
        <f>MAX(Tabela3[[#This Row],[Cotação 1]:[Cotação 3]])</f>
        <v>0.13</v>
      </c>
      <c r="AD158" s="45">
        <f>[Cotação]/[VPA]</f>
        <v>1.0392725834975252</v>
      </c>
      <c r="AE158" s="41">
        <f>IF(Tabela3[[#This Row],[Lucro/Ação]]&gt;0,Tabela3[[#This Row],[Cotação]]/(Tabela3[[#This Row],[Lucro/Ação]]/[Ref]*4),0)</f>
        <v>8.7202512862903223</v>
      </c>
      <c r="AF158" s="41" t="e">
        <f>IF([Div. Mínimo]=0,0,[Lucro Distribuir]*#REF!/[Total Ações])</f>
        <v>#REF!</v>
      </c>
      <c r="AG158" s="96">
        <f>[Lucro Distribuir]/[Total Ações]</f>
        <v>1.062182693583863E-2</v>
      </c>
      <c r="AH158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58" s="15" t="str">
        <f>IF(AND([% A.A.]&gt;=8%,SUMPRODUCT(N([Nome]=Tabela3[[#This Row],[Nome]]),[PL])&gt;0),"Sim","Não")</f>
        <v>Não</v>
      </c>
      <c r="AJ158" s="43">
        <f>IF([Cotação]&gt;0,Tabela3[[#This Row],[Lucro]]/Tabela3[[#This Row],[Cotação]],0)</f>
        <v>1.9791041364049199E-2</v>
      </c>
      <c r="AK158" s="19">
        <f>((1+Tabela3[[#This Row],[% Yield]])^(1/(3*Tabela3[[#This Row],[Ref]])))^(12)-1</f>
        <v>2.647471664979939E-2</v>
      </c>
      <c r="AL158" s="14">
        <f>IF([Cotação]&gt;0,($AR$1/Tabela3[[#This Row],[Cotação]]-MOD($AR$1/Tabela3[[#This Row],[Cotação]],100)),)</f>
        <v>2300</v>
      </c>
      <c r="AM158" s="17">
        <f>Tabela3[[#This Row],[Ativos]]*[Lucro]</f>
        <v>5.9175213678507115</v>
      </c>
      <c r="AN158" s="5">
        <f>SUMPRODUCT(N(Tabela1[Código]=Tabela3[[#This Row],[PAPEL]]),Tabela1[Fechamento])</f>
        <v>0.13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</row>
    <row r="159" spans="1:42" hidden="1">
      <c r="A159" s="4" t="s">
        <v>12</v>
      </c>
      <c r="B159" s="65" t="s">
        <v>184</v>
      </c>
      <c r="C159" s="101" t="str">
        <f>LEFT([PAPEL],LEN([PAPEL])-(LEN([PAPEL])-4))</f>
        <v>GTDP</v>
      </c>
      <c r="D159" s="15">
        <v>3</v>
      </c>
      <c r="E159" s="6">
        <v>9056481.0600000005</v>
      </c>
      <c r="F159" s="8">
        <v>81593777</v>
      </c>
      <c r="G159" s="106">
        <v>0.25</v>
      </c>
      <c r="H159" s="19"/>
      <c r="I159" s="19"/>
      <c r="J159" s="19">
        <v>0.1</v>
      </c>
      <c r="K159" s="108"/>
      <c r="L159" s="108"/>
      <c r="M159" s="110">
        <v>20809000</v>
      </c>
      <c r="N159" s="110">
        <v>1860000</v>
      </c>
      <c r="O159" s="6">
        <f>Tabela3[[#This Row],[Capital Social]]*20%</f>
        <v>1811296.2120000003</v>
      </c>
      <c r="P159" s="6">
        <f>IF(([Lucro Líquido]*5%)&gt;[Teto R. Legal],[Teto R. Legal],[Lucro Líquido]*5%)</f>
        <v>93000</v>
      </c>
      <c r="Q159" s="110">
        <f>IF([Lucro Líquido]&lt;0,0,[Lucro Líquido]-[Reserva Legal])</f>
        <v>1767000</v>
      </c>
      <c r="R159" s="110">
        <f>Tabela3[[#This Row],[Lucro Distribuir]]*[%Div]</f>
        <v>441750</v>
      </c>
      <c r="S159" s="57">
        <f>SUMPRODUCT(N([Nome]=Tabela3[[#This Row],[Nome]]),[Ações])</f>
        <v>166355563</v>
      </c>
      <c r="T159" s="6">
        <f>[Capital Social]/[Total Ações]</f>
        <v>5.4440506206576332E-2</v>
      </c>
      <c r="U159" s="96">
        <f>Tabela3[[#This Row],[Lucro Líquido]]/Tabela3[[#This Row],[Total Ações]]</f>
        <v>1.1180870458777505E-2</v>
      </c>
      <c r="V1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2.8301189189360023E-3</v>
      </c>
      <c r="W1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59" s="6">
        <f>[Div Base]*[Ações]</f>
        <v>230920.09195514524</v>
      </c>
      <c r="AA159" s="6">
        <f>SUMPRODUCT(N([Nome]=Tabela3[[#This Row],[Nome]]),[Div Base]*[Ações])</f>
        <v>448998.2136213145</v>
      </c>
      <c r="AB159" s="110">
        <f>[Patrimônio Líquido]/[Total Ações]</f>
        <v>0.12508749106274253</v>
      </c>
      <c r="AC159" s="49">
        <f>MAX(Tabela3[[#This Row],[Cotação 1]:[Cotação 3]])</f>
        <v>0.13</v>
      </c>
      <c r="AD159" s="45">
        <f>[Cotação]/[VPA]</f>
        <v>1.0392725834975252</v>
      </c>
      <c r="AE159" s="41">
        <f>IF(Tabela3[[#This Row],[Lucro/Ação]]&gt;0,Tabela3[[#This Row],[Cotação]]/(Tabela3[[#This Row],[Lucro/Ação]]/[Ref]*4),0)</f>
        <v>8.7202512862903223</v>
      </c>
      <c r="AF159" s="93" t="e">
        <f>IF([Div. Mínimo]=0,0,[Lucro Distribuir]*#REF!/[Total Ações])</f>
        <v>#REF!</v>
      </c>
      <c r="AG159" s="96">
        <f>[Lucro Distribuir]/[Total Ações]</f>
        <v>1.062182693583863E-2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59" s="15" t="str">
        <f>IF(AND([% A.A.]&gt;=8%,SUMPRODUCT(N([Nome]=Tabela3[[#This Row],[Nome]]),[PL])&gt;0),"Sim","Não")</f>
        <v>Não</v>
      </c>
      <c r="AJ159" s="43">
        <f>IF([Cotação]&gt;0,Tabela3[[#This Row],[Lucro]]/Tabela3[[#This Row],[Cotação]],0)</f>
        <v>2.1770145530276942E-2</v>
      </c>
      <c r="AK159" s="19">
        <f>((1+Tabela3[[#This Row],[% Yield]])^(1/(3*Tabela3[[#This Row],[Ref]])))^(12)-1</f>
        <v>2.9131675588827122E-2</v>
      </c>
      <c r="AL159" s="14">
        <f>IF([Cotação]&gt;0,($AR$1/Tabela3[[#This Row],[Cotação]]-MOD($AR$1/Tabela3[[#This Row],[Cotação]],100)),)</f>
        <v>2300</v>
      </c>
      <c r="AM159" s="17">
        <f>Tabela3[[#This Row],[Ativos]]*[Lucro]</f>
        <v>6.509273513552805</v>
      </c>
      <c r="AN159" s="5">
        <f>SUMPRODUCT(N(Tabela1[Código]=Tabela3[[#This Row],[PAPEL]]),Tabela1[Fechamento])</f>
        <v>0.13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3" t="s">
        <v>318</v>
      </c>
      <c r="B160" s="66" t="s">
        <v>804</v>
      </c>
      <c r="C160" s="101" t="str">
        <f>LEFT([PAPEL],LEN([PAPEL])-(LEN([PAPEL])-4))</f>
        <v>HBTS</v>
      </c>
      <c r="D160" s="16">
        <v>3</v>
      </c>
      <c r="E160" s="6">
        <v>127181809.47</v>
      </c>
      <c r="F160" s="8">
        <v>3152764</v>
      </c>
      <c r="G160" s="106">
        <v>0.25</v>
      </c>
      <c r="H160" s="19"/>
      <c r="I160" s="19"/>
      <c r="J160" s="19"/>
      <c r="K160" s="108"/>
      <c r="L160" s="108"/>
      <c r="M160" s="5">
        <v>500173000</v>
      </c>
      <c r="N160" s="5">
        <v>5129000</v>
      </c>
      <c r="O160" s="6">
        <f>Tabela3[[#This Row],[Capital Social]]*20%</f>
        <v>25436361.894000001</v>
      </c>
      <c r="P160" s="6">
        <f>IF(([Lucro Líquido]*5%)&gt;[Teto R. Legal],[Teto R. Legal],[Lucro Líquido]*5%)</f>
        <v>256450</v>
      </c>
      <c r="Q160" s="110">
        <f>IF([Lucro Líquido]&lt;0,0,[Lucro Líquido]-[Reserva Legal])</f>
        <v>4872550</v>
      </c>
      <c r="R160" s="110">
        <f>Tabela3[[#This Row],[Lucro Distribuir]]*[%Div]</f>
        <v>1218137.5</v>
      </c>
      <c r="S160" s="57">
        <f>SUMPRODUCT(N([Nome]=Tabela3[[#This Row],[Nome]]),[Ações])</f>
        <v>9133687</v>
      </c>
      <c r="T160" s="6">
        <f>[Capital Social]/[Total Ações]</f>
        <v>13.924476443083718</v>
      </c>
      <c r="U160" s="96">
        <f>Tabela3[[#This Row],[Lucro Líquido]]/Tabela3[[#This Row],[Total Ações]]</f>
        <v>0.56154759846708124</v>
      </c>
      <c r="V1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W1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Z160" s="6">
        <f>[Div Base]*[Ações]</f>
        <v>407393.80453804228</v>
      </c>
      <c r="AA160" s="6">
        <f>SUMPRODUCT(N([Nome]=Tabela3[[#This Row],[Nome]]),[Div Base]*[Ações])</f>
        <v>1257520.8920246579</v>
      </c>
      <c r="AB160" s="110">
        <f>[Patrimônio Líquido]/[Total Ações]</f>
        <v>54.761346650043954</v>
      </c>
      <c r="AC160" s="49">
        <f>MAX(Tabela3[[#This Row],[Cotação 1]:[Cotação 3]])</f>
        <v>0</v>
      </c>
      <c r="AD160" s="45">
        <f>[Cotação]/[VPA]</f>
        <v>0</v>
      </c>
      <c r="AE160" s="41">
        <f>IF(Tabela3[[#This Row],[Lucro/Ação]]&gt;0,Tabela3[[#This Row],[Cotação]]/(Tabela3[[#This Row],[Lucro/Ação]]/[Ref]*4),0)</f>
        <v>0</v>
      </c>
      <c r="AF160" s="93" t="e">
        <f>IF([Div. Mínimo]=0,0,[Lucro Distribuir]*#REF!/[Total Ações])</f>
        <v>#REF!</v>
      </c>
      <c r="AG160" s="96">
        <f>[Lucro Distribuir]/[Total Ações]</f>
        <v>0.53347021854372723</v>
      </c>
      <c r="AH160" s="96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I160" s="15" t="str">
        <f>IF(AND([% A.A.]&gt;=8%,SUMPRODUCT(N([Nome]=Tabela3[[#This Row],[Nome]]),[PL])&gt;0),"Sim","Não")</f>
        <v>Não</v>
      </c>
      <c r="AJ160" s="43">
        <f>IF([Cotação]&gt;0,Tabela3[[#This Row],[Lucro]]/Tabela3[[#This Row],[Cotação]],0)</f>
        <v>0</v>
      </c>
      <c r="AK160" s="19">
        <f>((1+Tabela3[[#This Row],[% Yield]])^(1/(3*Tabela3[[#This Row],[Ref]])))^(12)-1</f>
        <v>0</v>
      </c>
      <c r="AL160" s="14">
        <f>IF([Cotação]&gt;0,($AR$1/Tabela3[[#This Row],[Cotação]]-MOD($AR$1/Tabela3[[#This Row],[Cotação]],100)),)</f>
        <v>0</v>
      </c>
      <c r="AM160" s="17">
        <f>Tabela3[[#This Row],[Ativos]]*[Lucro]</f>
        <v>0</v>
      </c>
      <c r="AN160" s="5">
        <f>SUMPRODUCT(N(Tabela1[Código]=Tabela3[[#This Row],[PAPEL]]),Tabela1[Fechamento])</f>
        <v>0</v>
      </c>
      <c r="AO160" s="5">
        <f>SUMPRODUCT(N(Tabela17[Código]=Tabela3[[#This Row],[PAPEL]]),Tabela17[Fechamento])</f>
        <v>0</v>
      </c>
      <c r="AP160" s="7">
        <f>SUMPRODUCT(N(Tabela176[Código]=Tabela3[[#This Row],[PAPEL]]),Tabela176[Fechamento])</f>
        <v>0</v>
      </c>
    </row>
    <row r="161" spans="1:42" hidden="1">
      <c r="A161" s="3" t="s">
        <v>318</v>
      </c>
      <c r="B161" s="66" t="s">
        <v>325</v>
      </c>
      <c r="C161" s="101" t="str">
        <f>LEFT([PAPEL],LEN([PAPEL])-(LEN([PAPEL])-4))</f>
        <v>HBTS</v>
      </c>
      <c r="D161" s="16">
        <v>3</v>
      </c>
      <c r="E161" s="6">
        <v>127181809.47</v>
      </c>
      <c r="F161" s="8">
        <v>5950327</v>
      </c>
      <c r="G161" s="106">
        <v>0.25</v>
      </c>
      <c r="H161" s="19"/>
      <c r="I161" s="19"/>
      <c r="J161" s="19">
        <v>0.1</v>
      </c>
      <c r="K161" s="108"/>
      <c r="L161" s="108"/>
      <c r="M161" s="5">
        <v>500173000</v>
      </c>
      <c r="N161" s="5">
        <v>5129000</v>
      </c>
      <c r="O161" s="6">
        <f>Tabela3[[#This Row],[Capital Social]]*20%</f>
        <v>25436361.894000001</v>
      </c>
      <c r="P161" s="6">
        <f>IF(([Lucro Líquido]*5%)&gt;[Teto R. Legal],[Teto R. Legal],[Lucro Líquido]*5%)</f>
        <v>256450</v>
      </c>
      <c r="Q161" s="110">
        <f>IF([Lucro Líquido]&lt;0,0,[Lucro Líquido]-[Reserva Legal])</f>
        <v>4872550</v>
      </c>
      <c r="R161" s="110">
        <f>Tabela3[[#This Row],[Lucro Distribuir]]*[%Div]</f>
        <v>1218137.5</v>
      </c>
      <c r="S161" s="57">
        <f>SUMPRODUCT(N([Nome]=Tabela3[[#This Row],[Nome]]),[Ações])</f>
        <v>9133687</v>
      </c>
      <c r="T161" s="6">
        <f>[Capital Social]/[Total Ações]</f>
        <v>13.924476443083718</v>
      </c>
      <c r="U161" s="96">
        <f>Tabela3[[#This Row],[Lucro Líquido]]/Tabela3[[#This Row],[Total Ações]]</f>
        <v>0.56154759846708124</v>
      </c>
      <c r="V1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1" s="6">
        <f>[Div Base]*[Ações]</f>
        <v>845778.17873645423</v>
      </c>
      <c r="AA161" s="6">
        <f>SUMPRODUCT(N([Nome]=Tabela3[[#This Row],[Nome]]),[Div Base]*[Ações])</f>
        <v>1257520.8920246579</v>
      </c>
      <c r="AB161" s="110">
        <f>[Patrimônio Líquido]/[Total Ações]</f>
        <v>54.761346650043954</v>
      </c>
      <c r="AC161" s="49">
        <f>MAX(Tabela3[[#This Row],[Cotação 1]:[Cotação 3]])</f>
        <v>17.55</v>
      </c>
      <c r="AD161" s="45">
        <f>[Cotação]/[VPA]</f>
        <v>0.32048152709162631</v>
      </c>
      <c r="AE161" s="41">
        <f>IF(Tabela3[[#This Row],[Lucro/Ação]]&gt;0,Tabela3[[#This Row],[Cotação]]/(Tabela3[[#This Row],[Lucro/Ação]]/[Ref]*4),0)</f>
        <v>23.439687100311954</v>
      </c>
      <c r="AF161" s="93" t="e">
        <f>IF([Div. Mínimo]=0,0,[Lucro Distribuir]*#REF!/[Total Ações])</f>
        <v>#REF!</v>
      </c>
      <c r="AG161" s="96">
        <f>[Lucro Distribuir]/[Total Ações]</f>
        <v>0.53347021854372723</v>
      </c>
      <c r="AH161" s="9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1" s="15" t="str">
        <f>IF(AND([% A.A.]&gt;=8%,SUMPRODUCT(N([Nome]=Tabela3[[#This Row],[Nome]]),[PL])&gt;0),"Sim","Não")</f>
        <v>Não</v>
      </c>
      <c r="AJ161" s="43">
        <f>IF([Cotação]&gt;0,Tabela3[[#This Row],[Lucro]]/Tabela3[[#This Row],[Cotação]],0)</f>
        <v>8.0991328404122955E-3</v>
      </c>
      <c r="AK161" s="19">
        <f>((1+Tabela3[[#This Row],[% Yield]])^(1/(3*Tabela3[[#This Row],[Ref]])))^(12)-1</f>
        <v>1.0813394518191854E-2</v>
      </c>
      <c r="AL161" s="14">
        <f>IF([Cotação]&gt;0,($AR$1/Tabela3[[#This Row],[Cotação]]-MOD($AR$1/Tabela3[[#This Row],[Cotação]],100)),)</f>
        <v>0</v>
      </c>
      <c r="AM161" s="17">
        <f>Tabela3[[#This Row],[Ativos]]*[Lucro]</f>
        <v>0</v>
      </c>
      <c r="AN161" s="5">
        <f>SUMPRODUCT(N(Tabela1[Código]=Tabela3[[#This Row],[PAPEL]]),Tabela1[Fechamento])</f>
        <v>0</v>
      </c>
      <c r="AO161" s="5">
        <f>SUMPRODUCT(N(Tabela17[Código]=Tabela3[[#This Row],[PAPEL]]),Tabela17[Fechamento])</f>
        <v>17.55</v>
      </c>
      <c r="AP161" s="7">
        <f>SUMPRODUCT(N(Tabela176[Código]=Tabela3[[#This Row],[PAPEL]]),Tabela176[Fechamento])</f>
        <v>0</v>
      </c>
    </row>
    <row r="162" spans="1:42" hidden="1">
      <c r="A162" s="3" t="s">
        <v>318</v>
      </c>
      <c r="B162" s="66" t="s">
        <v>805</v>
      </c>
      <c r="C162" s="102" t="str">
        <f>LEFT([PAPEL],LEN([PAPEL])-(LEN([PAPEL])-4))</f>
        <v>HBTS</v>
      </c>
      <c r="D162" s="16">
        <v>3</v>
      </c>
      <c r="E162" s="6">
        <v>127181809.47</v>
      </c>
      <c r="F162" s="57">
        <v>30596</v>
      </c>
      <c r="G162" s="100">
        <v>0.25</v>
      </c>
      <c r="H162" s="16"/>
      <c r="I162" s="18"/>
      <c r="J162" s="18">
        <v>0.1</v>
      </c>
      <c r="K162" s="107"/>
      <c r="L162" s="107"/>
      <c r="M162" s="5">
        <v>500173000</v>
      </c>
      <c r="N162" s="5">
        <v>5129000</v>
      </c>
      <c r="O162" s="5">
        <f>Tabela3[[#This Row],[Capital Social]]*20%</f>
        <v>25436361.894000001</v>
      </c>
      <c r="P162" s="5">
        <f>IF(([Lucro Líquido]*5%)&gt;[Teto R. Legal],[Teto R. Legal],[Lucro Líquido]*5%)</f>
        <v>256450</v>
      </c>
      <c r="Q162" s="5">
        <f>IF([Lucro Líquido]&lt;0,0,[Lucro Líquido]-[Reserva Legal])</f>
        <v>4872550</v>
      </c>
      <c r="R162" s="5">
        <f>Tabela3[[#This Row],[Lucro Distribuir]]*[%Div]</f>
        <v>1218137.5</v>
      </c>
      <c r="S162" s="57">
        <f>SUMPRODUCT(N([Nome]=Tabela3[[#This Row],[Nome]]),[Ações])</f>
        <v>9133687</v>
      </c>
      <c r="T162" s="5">
        <f>[Capital Social]/[Total Ações]</f>
        <v>13.924476443083718</v>
      </c>
      <c r="U162" s="95">
        <f>Tabela3[[#This Row],[Lucro Líquido]]/Tabela3[[#This Row],[Total Ações]]</f>
        <v>0.56154759846708124</v>
      </c>
      <c r="V1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2" s="5">
        <f>[Div Base]*[Ações]</f>
        <v>4348.9087501612184</v>
      </c>
      <c r="AA162" s="5">
        <f>SUMPRODUCT(N([Nome]=Tabela3[[#This Row],[Nome]]),[Div Base]*[Ações])</f>
        <v>1257520.8920246579</v>
      </c>
      <c r="AB162" s="5">
        <f>[Patrimônio Líquido]/[Total Ações]</f>
        <v>54.761346650043954</v>
      </c>
      <c r="AC162" s="53">
        <f>MAX(Tabela3[[#This Row],[Cotação 1]:[Cotação 3]])</f>
        <v>0</v>
      </c>
      <c r="AD162" s="54">
        <f>[Cotação]/[VPA]</f>
        <v>0</v>
      </c>
      <c r="AE162" s="38">
        <f>IF(Tabela3[[#This Row],[Lucro/Ação]]&gt;0,Tabela3[[#This Row],[Cotação]]/(Tabela3[[#This Row],[Lucro/Ação]]/[Ref]*4),0)</f>
        <v>0</v>
      </c>
      <c r="AF162" s="38" t="e">
        <f>IF([Div. Mínimo]=0,0,[Lucro Distribuir]*#REF!/[Total Ações])</f>
        <v>#REF!</v>
      </c>
      <c r="AG162" s="95">
        <f>[Lucro Distribuir]/[Total Ações]</f>
        <v>0.53347021854372723</v>
      </c>
      <c r="AH162" s="95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2" s="16" t="str">
        <f>IF(AND([% A.A.]&gt;=8%,SUMPRODUCT(N([Nome]=Tabela3[[#This Row],[Nome]]),[PL])&gt;0),"Sim","Não")</f>
        <v>Não</v>
      </c>
      <c r="AJ162" s="22">
        <f>IF([Cotação]&gt;0,Tabela3[[#This Row],[Lucro]]/Tabela3[[#This Row],[Cotação]],0)</f>
        <v>0</v>
      </c>
      <c r="AK162" s="18">
        <f>((1+Tabela3[[#This Row],[% Yield]])^(1/(3*Tabela3[[#This Row],[Ref]])))^(12)-1</f>
        <v>0</v>
      </c>
      <c r="AL162" s="10">
        <f>IF([Cotação]&gt;0,($AR$1/Tabela3[[#This Row],[Cotação]]-MOD($AR$1/Tabela3[[#This Row],[Cotação]],100)),)</f>
        <v>0</v>
      </c>
      <c r="AM162" s="7">
        <f>Tabela3[[#This Row],[Ativos]]*[Lucro]</f>
        <v>0</v>
      </c>
      <c r="AN162" s="48">
        <f>SUMPRODUCT(N(Tabela1[Código]=Tabela3[[#This Row],[PAPEL]]),Tabela1[Fechamento])</f>
        <v>0</v>
      </c>
      <c r="AO162" s="55">
        <f>SUMPRODUCT(N(Tabela17[Código]=Tabela3[[#This Row],[PAPEL]]),Tabela17[Fechamento])</f>
        <v>0</v>
      </c>
      <c r="AP162" s="7">
        <f>SUMPRODUCT(N(Tabela176[Código]=Tabela3[[#This Row],[PAPEL]]),Tabela176[Fechamento])</f>
        <v>0</v>
      </c>
    </row>
    <row r="163" spans="1:42" hidden="1">
      <c r="A163" s="4" t="s">
        <v>639</v>
      </c>
      <c r="B163" s="65" t="s">
        <v>637</v>
      </c>
      <c r="C163" s="15" t="str">
        <f>LEFT([PAPEL],LEN([PAPEL])-(LEN([PAPEL])-4))</f>
        <v>IDNT</v>
      </c>
      <c r="D163" s="15">
        <v>3</v>
      </c>
      <c r="E163" s="6">
        <v>103029730.59999999</v>
      </c>
      <c r="F163" s="8">
        <v>122269681</v>
      </c>
      <c r="G163" s="106">
        <v>0.25</v>
      </c>
      <c r="H163" s="15"/>
      <c r="I163" s="19"/>
      <c r="J163" s="19"/>
      <c r="K163" s="108"/>
      <c r="L163" s="108"/>
      <c r="M163" s="114">
        <v>151280000</v>
      </c>
      <c r="N163" s="115">
        <v>349000</v>
      </c>
      <c r="O163" s="13">
        <f>Tabela3[[#This Row],[Capital Social]]*20%</f>
        <v>20605946.120000001</v>
      </c>
      <c r="P163" s="13">
        <f>IF(([Lucro Líquido]*5%)&gt;[Teto R. Legal],[Teto R. Legal],[Lucro Líquido]*5%)</f>
        <v>17450</v>
      </c>
      <c r="Q163" s="13">
        <f>IF([Lucro Líquido]&lt;0,0,[Lucro Líquido]-[Reserva Legal])</f>
        <v>331550</v>
      </c>
      <c r="R163" s="13">
        <f>Tabela3[[#This Row],[Lucro Distribuir]]*[%Div]</f>
        <v>82887.5</v>
      </c>
      <c r="S163" s="57">
        <f>SUMPRODUCT(N([Nome]=Tabela3[[#This Row],[Nome]]),[Ações])</f>
        <v>122269681</v>
      </c>
      <c r="T163" s="6">
        <f>[Capital Social]/[Total Ações]</f>
        <v>0.84264332545367482</v>
      </c>
      <c r="U163" s="96">
        <f>Tabela3[[#This Row],[Lucro Líquido]]/Tabela3[[#This Row],[Total Ações]]</f>
        <v>2.8543462054178418E-3</v>
      </c>
      <c r="V1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W1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63" s="13">
        <f>[Div Base]*[Ações]</f>
        <v>82887.5</v>
      </c>
      <c r="AA163" s="13">
        <f>SUMPRODUCT(N([Nome]=Tabela3[[#This Row],[Nome]]),[Div Base]*[Ações])</f>
        <v>82887.5</v>
      </c>
      <c r="AB163" s="113">
        <f>[Patrimônio Líquido]/[Total Ações]</f>
        <v>1.2372650256607769</v>
      </c>
      <c r="AC163" s="49">
        <f>MAX(Tabela3[[#This Row],[Cotação 1]:[Cotação 3]])</f>
        <v>1.43</v>
      </c>
      <c r="AD163" s="45">
        <f>[Cotação]/[VPA]</f>
        <v>1.155775012096774</v>
      </c>
      <c r="AE163" s="41">
        <f>IF(Tabela3[[#This Row],[Lucro/Ação]]&gt;0,Tabela3[[#This Row],[Cotação]]/(Tabela3[[#This Row],[Lucro/Ação]]/[Ref]*4),0)</f>
        <v>375.74278760028653</v>
      </c>
      <c r="AF163" s="109" t="e">
        <f>IF([Div. Mínimo]=0,0,[Lucro Distribuir]*#REF!/[Total Ações])</f>
        <v>#REF!</v>
      </c>
      <c r="AG163" s="96">
        <f>[Lucro Distribuir]/[Total Ações]</f>
        <v>2.7116288951469498E-3</v>
      </c>
      <c r="AH163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63" s="14" t="str">
        <f>IF(AND([% A.A.]&gt;=8%,SUMPRODUCT(N([Nome]=Tabela3[[#This Row],[Nome]]),[PL])&gt;0),"Sim","Não")</f>
        <v>Não</v>
      </c>
      <c r="AJ163" s="43">
        <f>IF([Cotação]&gt;0,Tabela3[[#This Row],[Lucro]]/Tabela3[[#This Row],[Cotação]],0)</f>
        <v>4.7406099565506116E-4</v>
      </c>
      <c r="AK163" s="43">
        <f>((1+Tabela3[[#This Row],[% Yield]])^(1/(3*Tabela3[[#This Row],[Ref]])))^(12)-1</f>
        <v>6.3213126313010903E-4</v>
      </c>
      <c r="AL163" s="14">
        <f>IF([Cotação]&gt;0,($AR$1/Tabela3[[#This Row],[Cotação]]-MOD($AR$1/Tabela3[[#This Row],[Cotação]],100)),)</f>
        <v>200</v>
      </c>
      <c r="AM163" s="17">
        <f>Tabela3[[#This Row],[Ativos]]*[Lucro]</f>
        <v>0.13558144475734749</v>
      </c>
      <c r="AN163" s="17">
        <f>SUMPRODUCT(N(Tabela1[Código]=Tabela3[[#This Row],[PAPEL]]),Tabela1[Fechamento])</f>
        <v>0</v>
      </c>
      <c r="AO163" s="17">
        <f>SUMPRODUCT(N(Tabela17[Código]=Tabela3[[#This Row],[PAPEL]]),Tabela17[Fechamento])</f>
        <v>0</v>
      </c>
      <c r="AP163" s="17">
        <f>SUMPRODUCT(N(Tabela176[Código]=Tabela3[[#This Row],[PAPEL]]),Tabela176[Fechamento])</f>
        <v>1.43</v>
      </c>
    </row>
    <row r="164" spans="1:42" hidden="1">
      <c r="A164" s="4" t="s">
        <v>14</v>
      </c>
      <c r="B164" s="65" t="s">
        <v>610</v>
      </c>
      <c r="C164" s="15" t="str">
        <f>LEFT([PAPEL],LEN([PAPEL])-(LEN([PAPEL])-4))</f>
        <v>IDVL</v>
      </c>
      <c r="D164" s="15">
        <v>3</v>
      </c>
      <c r="E164" s="6">
        <v>662383583.21000004</v>
      </c>
      <c r="F164" s="8">
        <v>44410897</v>
      </c>
      <c r="G164" s="106">
        <v>0.25</v>
      </c>
      <c r="H164" s="15"/>
      <c r="I164" s="19"/>
      <c r="J164" s="19"/>
      <c r="K164" s="108"/>
      <c r="L164" s="108"/>
      <c r="M164" s="114">
        <v>573642000</v>
      </c>
      <c r="N164" s="115">
        <v>-109956000</v>
      </c>
      <c r="O164" s="13">
        <f>Tabela3[[#This Row],[Capital Social]]*20%</f>
        <v>132476716.64200002</v>
      </c>
      <c r="P164" s="13">
        <f>IF(([Lucro Líquido]*5%)&gt;[Teto R. Legal],[Teto R. Legal],[Lucro Líquido]*5%)</f>
        <v>-5497800</v>
      </c>
      <c r="Q164" s="13">
        <f>IF([Lucro Líquido]&lt;0,0,[Lucro Líquido]-[Reserva Legal])</f>
        <v>0</v>
      </c>
      <c r="R164" s="13">
        <f>Tabela3[[#This Row],[Lucro Distribuir]]*[%Div]</f>
        <v>0</v>
      </c>
      <c r="S164" s="57">
        <f>SUMPRODUCT(N([Nome]=Tabela3[[#This Row],[Nome]]),[Ações])</f>
        <v>75432804</v>
      </c>
      <c r="T164" s="6">
        <f>[Capital Social]/[Total Ações]</f>
        <v>8.7811077950913781</v>
      </c>
      <c r="U164" s="96">
        <f>Tabela3[[#This Row],[Lucro Líquido]]/Tabela3[[#This Row],[Total Ações]]</f>
        <v>-1.4576682049364094</v>
      </c>
      <c r="V1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4" s="13">
        <f>[Div Base]*[Ações]</f>
        <v>0</v>
      </c>
      <c r="AA164" s="13">
        <f>SUMPRODUCT(N([Nome]=Tabela3[[#This Row],[Nome]]),[Div Base]*[Ações])</f>
        <v>0</v>
      </c>
      <c r="AB164" s="113">
        <f>[Patrimônio Líquido]/[Total Ações]</f>
        <v>7.6046755467289797</v>
      </c>
      <c r="AC164" s="49">
        <f>MAX(Tabela3[[#This Row],[Cotação 1]:[Cotação 3]])</f>
        <v>6.25</v>
      </c>
      <c r="AD164" s="45">
        <f>[Cotação]/[VPA]</f>
        <v>0.82186280816258228</v>
      </c>
      <c r="AE164" s="41">
        <f>IF(Tabela3[[#This Row],[Lucro/Ação]]&gt;0,Tabela3[[#This Row],[Cotação]]/(Tabela3[[#This Row],[Lucro/Ação]]/[Ref]*4),0)</f>
        <v>0</v>
      </c>
      <c r="AF164" s="109">
        <f>IF([Div. Mínimo]=0,0,[Lucro Distribuir]*#REF!/[Total Ações])</f>
        <v>0</v>
      </c>
      <c r="AG164" s="96">
        <f>[Lucro Distribuir]/[Total Ações]</f>
        <v>0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4" s="14" t="str">
        <f>IF(AND([% A.A.]&gt;=8%,SUMPRODUCT(N([Nome]=Tabela3[[#This Row],[Nome]]),[PL])&gt;0),"Sim","Não")</f>
        <v>Não</v>
      </c>
      <c r="AJ164" s="43">
        <f>IF([Cotação]&gt;0,Tabela3[[#This Row],[Lucro]]/Tabela3[[#This Row],[Cotação]],0)</f>
        <v>0</v>
      </c>
      <c r="AK164" s="43">
        <f>((1+Tabela3[[#This Row],[% Yield]])^(1/(3*Tabela3[[#This Row],[Ref]])))^(12)-1</f>
        <v>0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0</v>
      </c>
      <c r="AP164" s="17">
        <f>SUMPRODUCT(N(Tabela176[Código]=Tabela3[[#This Row],[PAPEL]]),Tabela176[Fechamento])</f>
        <v>6.25</v>
      </c>
    </row>
    <row r="165" spans="1:42" hidden="1">
      <c r="A165" s="4" t="s">
        <v>14</v>
      </c>
      <c r="B165" s="65" t="s">
        <v>611</v>
      </c>
      <c r="C165" s="15" t="str">
        <f>LEFT([PAPEL],LEN([PAPEL])-(LEN([PAPEL])-4))</f>
        <v>IDVL</v>
      </c>
      <c r="D165" s="15">
        <v>3</v>
      </c>
      <c r="E165" s="6">
        <v>662383583.21000004</v>
      </c>
      <c r="F165" s="8">
        <v>31021907</v>
      </c>
      <c r="G165" s="106">
        <v>0.25</v>
      </c>
      <c r="H165" s="15"/>
      <c r="I165" s="19"/>
      <c r="J165" s="19"/>
      <c r="K165" s="108"/>
      <c r="L165" s="108"/>
      <c r="M165" s="114">
        <v>573642000</v>
      </c>
      <c r="N165" s="115">
        <v>-109956000</v>
      </c>
      <c r="O165" s="13">
        <f>Tabela3[[#This Row],[Capital Social]]*20%</f>
        <v>132476716.64200002</v>
      </c>
      <c r="P165" s="13">
        <f>IF(([Lucro Líquido]*5%)&gt;[Teto R. Legal],[Teto R. Legal],[Lucro Líquido]*5%)</f>
        <v>-5497800</v>
      </c>
      <c r="Q165" s="13">
        <f>IF([Lucro Líquido]&lt;0,0,[Lucro Líquido]-[Reserva Legal])</f>
        <v>0</v>
      </c>
      <c r="R165" s="13">
        <f>Tabela3[[#This Row],[Lucro Distribuir]]*[%Div]</f>
        <v>0</v>
      </c>
      <c r="S165" s="57">
        <f>SUMPRODUCT(N([Nome]=Tabela3[[#This Row],[Nome]]),[Ações])</f>
        <v>75432804</v>
      </c>
      <c r="T165" s="6">
        <f>[Capital Social]/[Total Ações]</f>
        <v>8.7811077950913781</v>
      </c>
      <c r="U165" s="96">
        <f>Tabela3[[#This Row],[Lucro Líquido]]/Tabela3[[#This Row],[Total Ações]]</f>
        <v>-1.4576682049364094</v>
      </c>
      <c r="V1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5" s="13">
        <f>[Div Base]*[Ações]</f>
        <v>0</v>
      </c>
      <c r="AA165" s="13">
        <f>SUMPRODUCT(N([Nome]=Tabela3[[#This Row],[Nome]]),[Div Base]*[Ações])</f>
        <v>0</v>
      </c>
      <c r="AB165" s="113">
        <f>[Patrimônio Líquido]/[Total Ações]</f>
        <v>7.6046755467289797</v>
      </c>
      <c r="AC165" s="49">
        <f>MAX(Tabela3[[#This Row],[Cotação 1]:[Cotação 3]])</f>
        <v>5.25</v>
      </c>
      <c r="AD165" s="45">
        <f>[Cotação]/[VPA]</f>
        <v>0.69036475885656912</v>
      </c>
      <c r="AE165" s="41">
        <f>IF(Tabela3[[#This Row],[Lucro/Ação]]&gt;0,Tabela3[[#This Row],[Cotação]]/(Tabela3[[#This Row],[Lucro/Ação]]/[Ref]*4),0)</f>
        <v>0</v>
      </c>
      <c r="AF165" s="109">
        <f>IF([Div. Mínimo]=0,0,[Lucro Distribuir]*#REF!/[Total Ações])</f>
        <v>0</v>
      </c>
      <c r="AG165" s="96">
        <f>[Lucro Distribuir]/[Total Ações]</f>
        <v>0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5" s="14" t="str">
        <f>IF(AND([% A.A.]&gt;=8%,SUMPRODUCT(N([Nome]=Tabela3[[#This Row],[Nome]]),[PL])&gt;0),"Sim","Não")</f>
        <v>Não</v>
      </c>
      <c r="AJ165" s="43">
        <f>IF([Cotação]&gt;0,Tabela3[[#This Row],[Lucro]]/Tabela3[[#This Row],[Cotação]],0)</f>
        <v>0</v>
      </c>
      <c r="AK165" s="43">
        <f>((1+Tabela3[[#This Row],[% Yield]])^(1/(3*Tabela3[[#This Row],[Ref]])))^(12)-1</f>
        <v>0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17">
        <f>SUMPRODUCT(N(Tabela1[Código]=Tabela3[[#This Row],[PAPEL]]),Tabela1[Fechamento])</f>
        <v>0</v>
      </c>
      <c r="AO165" s="17">
        <f>SUMPRODUCT(N(Tabela17[Código]=Tabela3[[#This Row],[PAPEL]]),Tabela17[Fechamento])</f>
        <v>0</v>
      </c>
      <c r="AP165" s="17">
        <f>SUMPRODUCT(N(Tabela176[Código]=Tabela3[[#This Row],[PAPEL]]),Tabela176[Fechamento])</f>
        <v>5.25</v>
      </c>
    </row>
    <row r="166" spans="1:42" hidden="1">
      <c r="A166" s="3" t="s">
        <v>371</v>
      </c>
      <c r="B166" s="66" t="s">
        <v>380</v>
      </c>
      <c r="C166" s="102" t="str">
        <f>LEFT([PAPEL],LEN([PAPEL])-(LEN([PAPEL])-4))</f>
        <v>IGTA</v>
      </c>
      <c r="D166" s="16">
        <v>3</v>
      </c>
      <c r="E166" s="5">
        <v>1261727567.1199999</v>
      </c>
      <c r="F166" s="21">
        <v>176611578</v>
      </c>
      <c r="G166" s="106">
        <v>0.25</v>
      </c>
      <c r="H166" s="16"/>
      <c r="I166" s="18"/>
      <c r="K166" s="107"/>
      <c r="L166" s="107"/>
      <c r="M166" s="5">
        <v>2302519000</v>
      </c>
      <c r="N166" s="5">
        <v>128087000</v>
      </c>
      <c r="O166" s="5">
        <f>Tabela3[[#This Row],[Capital Social]]*20%</f>
        <v>252345513.42399999</v>
      </c>
      <c r="P166" s="5">
        <f>IF(([Lucro Líquido]*5%)&gt;[Teto R. Legal],[Teto R. Legal],[Lucro Líquido]*5%)</f>
        <v>6404350</v>
      </c>
      <c r="Q166" s="5">
        <f>IF([Lucro Líquido]&lt;0,0,[Lucro Líquido]-[Reserva Legal])</f>
        <v>121682650</v>
      </c>
      <c r="R166" s="5">
        <f>Tabela3[[#This Row],[Lucro Distribuir]]*[%Div]</f>
        <v>30420662.5</v>
      </c>
      <c r="S166" s="57">
        <f>SUMPRODUCT(N([Nome]=Tabela3[[#This Row],[Nome]]),[Ações])</f>
        <v>176611578</v>
      </c>
      <c r="T166" s="5">
        <f>[Capital Social]/[Total Ações]</f>
        <v>7.1440818399799353</v>
      </c>
      <c r="U166" s="95">
        <f>Tabela3[[#This Row],[Lucro Líquido]]/Tabela3[[#This Row],[Total Ações]]</f>
        <v>0.72524690312205919</v>
      </c>
      <c r="V1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W1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Z166" s="5">
        <f>[Div Base]*[Ações]</f>
        <v>30420662.5</v>
      </c>
      <c r="AA166" s="5">
        <f>SUMPRODUCT(N([Nome]=Tabela3[[#This Row],[Nome]]),[Div Base]*[Ações])</f>
        <v>30420662.5</v>
      </c>
      <c r="AB166" s="5">
        <f>[Patrimônio Líquido]/[Total Ações]</f>
        <v>13.037191706650173</v>
      </c>
      <c r="AC166" s="53">
        <f>MAX(Tabela3[[#This Row],[Cotação 1]:[Cotação 3]])</f>
        <v>20.94</v>
      </c>
      <c r="AD166" s="54">
        <f>[Cotação]/[VPA]</f>
        <v>1.6061741263894023</v>
      </c>
      <c r="AE166" s="38">
        <f>IF(Tabela3[[#This Row],[Lucro/Ação]]&gt;0,Tabela3[[#This Row],[Cotação]]/(Tabela3[[#This Row],[Lucro/Ação]]/[Ref]*4),0)</f>
        <v>21.654694328776536</v>
      </c>
      <c r="AF166" s="38" t="e">
        <f>IF([Div. Mínimo]=0,0,[Lucro Distribuir]*#REF!/[Total Ações])</f>
        <v>#REF!</v>
      </c>
      <c r="AG166" s="95">
        <f>[Lucro Distribuir]/[Total Ações]</f>
        <v>0.68898455796595626</v>
      </c>
      <c r="AH166" s="95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I166" s="16" t="str">
        <f>IF(AND([% A.A.]&gt;=8%,SUMPRODUCT(N([Nome]=Tabela3[[#This Row],[Nome]]),[PL])&gt;0),"Sim","Não")</f>
        <v>Não</v>
      </c>
      <c r="AJ166" s="22">
        <f>IF([Cotação]&gt;0,Tabela3[[#This Row],[Lucro]]/Tabela3[[#This Row],[Cotação]],0)</f>
        <v>8.2256991161169558E-3</v>
      </c>
      <c r="AK166" s="18">
        <f>((1+Tabela3[[#This Row],[% Yield]])^(1/(3*Tabela3[[#This Row],[Ref]])))^(12)-1</f>
        <v>1.0982607458412508E-2</v>
      </c>
      <c r="AL166" s="10">
        <f>IF([Cotação]&gt;0,($AR$1/Tabela3[[#This Row],[Cotação]]-MOD($AR$1/Tabela3[[#This Row],[Cotação]],100)),)</f>
        <v>0</v>
      </c>
      <c r="AM166" s="7">
        <f>Tabela3[[#This Row],[Ativos]]*[Lucro]</f>
        <v>0</v>
      </c>
      <c r="AN166" s="48">
        <f>SUMPRODUCT(N(Tabela1[Código]=Tabela3[[#This Row],[PAPEL]]),Tabela1[Fechamento])</f>
        <v>0</v>
      </c>
      <c r="AO166" s="55">
        <f>SUMPRODUCT(N(Tabela17[Código]=Tabela3[[#This Row],[PAPEL]]),Tabela17[Fechamento])</f>
        <v>20.94</v>
      </c>
      <c r="AP166" s="7">
        <f>SUMPRODUCT(N(Tabela176[Código]=Tabela3[[#This Row],[PAPEL]]),Tabela176[Fechamento])</f>
        <v>0</v>
      </c>
    </row>
    <row r="167" spans="1:42" hidden="1">
      <c r="A167" s="4" t="s">
        <v>307</v>
      </c>
      <c r="B167" s="65" t="s">
        <v>589</v>
      </c>
      <c r="C167" s="15" t="str">
        <f>LEFT([PAPEL],LEN([PAPEL])-(LEN([PAPEL])-4))</f>
        <v>INET</v>
      </c>
      <c r="D167" s="15">
        <v>3</v>
      </c>
      <c r="E167" s="6">
        <v>235691425.78</v>
      </c>
      <c r="F167" s="8">
        <v>313484914</v>
      </c>
      <c r="G167" s="106">
        <v>0.25</v>
      </c>
      <c r="H167" s="19"/>
      <c r="I167" s="19"/>
      <c r="J167" s="19"/>
      <c r="K167" s="108"/>
      <c r="L167" s="108"/>
      <c r="M167" s="114">
        <v>-24474000</v>
      </c>
      <c r="N167" s="115">
        <v>-1152000</v>
      </c>
      <c r="O167" s="13">
        <f>Tabela3[[#This Row],[Capital Social]]*20%</f>
        <v>47138285.156000003</v>
      </c>
      <c r="P167" s="13">
        <f>IF(([Lucro Líquido]*5%)&gt;[Teto R. Legal],[Teto R. Legal],[Lucro Líquido]*5%)</f>
        <v>-57600</v>
      </c>
      <c r="Q167" s="13">
        <f>IF([Lucro Líquido]&lt;0,0,[Lucro Líquido]-[Reserva Legal])</f>
        <v>0</v>
      </c>
      <c r="R167" s="13">
        <f>Tabela3[[#This Row],[Lucro Distribuir]]*[%Div]</f>
        <v>0</v>
      </c>
      <c r="S167" s="57">
        <f>SUMPRODUCT(N([Nome]=Tabela3[[#This Row],[Nome]]),[Ações])</f>
        <v>313484914</v>
      </c>
      <c r="T167" s="6">
        <f>[Capital Social]/[Total Ações]</f>
        <v>0.75184296039202703</v>
      </c>
      <c r="U167" s="96">
        <f>Tabela3[[#This Row],[Lucro Líquido]]/Tabela3[[#This Row],[Total Ações]]</f>
        <v>-3.6748179850211228E-3</v>
      </c>
      <c r="V1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7" s="13">
        <f>[Div Base]*[Ações]</f>
        <v>0</v>
      </c>
      <c r="AA167" s="13">
        <f>SUMPRODUCT(N([Nome]=Tabela3[[#This Row],[Nome]]),[Div Base]*[Ações])</f>
        <v>0</v>
      </c>
      <c r="AB167" s="113">
        <f>[Patrimônio Líquido]/[Total Ações]</f>
        <v>-7.8070742504693549E-2</v>
      </c>
      <c r="AC167" s="49">
        <f>MAX(Tabela3[[#This Row],[Cotação 1]:[Cotação 3]])</f>
        <v>0.17</v>
      </c>
      <c r="AD167" s="45">
        <f>[Cotação]/[VPA]</f>
        <v>-2.177512273433031</v>
      </c>
      <c r="AE167" s="41">
        <f>IF(Tabela3[[#This Row],[Lucro/Ação]]&gt;0,Tabela3[[#This Row],[Cotação]]/(Tabela3[[#This Row],[Lucro/Ação]]/[Ref]*4),0)</f>
        <v>0</v>
      </c>
      <c r="AF167" s="109">
        <f>IF([Div. Mínimo]=0,0,[Lucro Distribuir]*#REF!/[Total Ações])</f>
        <v>0</v>
      </c>
      <c r="AG167" s="96">
        <f>[Lucro Distribuir]/[Total Ações]</f>
        <v>0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7" s="14" t="str">
        <f>IF(AND([% A.A.]&gt;=8%,SUMPRODUCT(N([Nome]=Tabela3[[#This Row],[Nome]]),[PL])&gt;0),"Sim","Não")</f>
        <v>Não</v>
      </c>
      <c r="AJ167" s="43">
        <f>IF([Cotação]&gt;0,Tabela3[[#This Row],[Lucro]]/Tabela3[[#This Row],[Cotação]],0)</f>
        <v>0</v>
      </c>
      <c r="AK167" s="43">
        <f>((1+Tabela3[[#This Row],[% Yield]])^(1/(3*Tabela3[[#This Row],[Ref]])))^(12)-1</f>
        <v>0</v>
      </c>
      <c r="AL167" s="14">
        <f>IF([Cotação]&gt;0,($AR$1/Tabela3[[#This Row],[Cotação]]-MOD($AR$1/Tabela3[[#This Row],[Cotação]],100)),)</f>
        <v>1700</v>
      </c>
      <c r="AM167" s="17">
        <f>Tabela3[[#This Row],[Ativos]]*[Lucro]</f>
        <v>0</v>
      </c>
      <c r="AN167" s="17">
        <f>SUMPRODUCT(N(Tabela1[Código]=Tabela3[[#This Row],[PAPEL]]),Tabela1[Fechamento])</f>
        <v>0</v>
      </c>
      <c r="AO167" s="17">
        <f>SUMPRODUCT(N(Tabela17[Código]=Tabela3[[#This Row],[PAPEL]]),Tabela17[Fechamento])</f>
        <v>0.17</v>
      </c>
      <c r="AP167" s="7">
        <f>SUMPRODUCT(N(Tabela176[Código]=Tabela3[[#This Row],[PAPEL]]),Tabela176[Fechamento])</f>
        <v>0</v>
      </c>
    </row>
    <row r="168" spans="1:42" hidden="1">
      <c r="A168" s="4" t="s">
        <v>650</v>
      </c>
      <c r="B168" s="65" t="s">
        <v>652</v>
      </c>
      <c r="C168" s="15" t="str">
        <f>LEFT([PAPEL],LEN([PAPEL])-(LEN([PAPEL])-4))</f>
        <v>ITEC</v>
      </c>
      <c r="D168" s="15">
        <v>3</v>
      </c>
      <c r="E168" s="6">
        <v>280000000</v>
      </c>
      <c r="F168" s="8">
        <v>11651126</v>
      </c>
      <c r="G168" s="106">
        <v>0.25</v>
      </c>
      <c r="H168" s="15"/>
      <c r="I168" s="19"/>
      <c r="J168" s="19"/>
      <c r="K168" s="108"/>
      <c r="L168" s="108"/>
      <c r="M168" s="114">
        <v>218627000</v>
      </c>
      <c r="N168" s="115">
        <v>-324262000</v>
      </c>
      <c r="O168" s="13">
        <f>Tabela3[[#This Row],[Capital Social]]*20%</f>
        <v>56000000</v>
      </c>
      <c r="P168" s="13">
        <f>IF(([Lucro Líquido]*5%)&gt;[Teto R. Legal],[Teto R. Legal],[Lucro Líquido]*5%)</f>
        <v>-16213100</v>
      </c>
      <c r="Q168" s="13">
        <f>IF([Lucro Líquido]&lt;0,0,[Lucro Líquido]-[Reserva Legal])</f>
        <v>0</v>
      </c>
      <c r="R168" s="13">
        <f>Tabela3[[#This Row],[Lucro Distribuir]]*[%Div]</f>
        <v>0</v>
      </c>
      <c r="S168" s="57">
        <f>SUMPRODUCT(N([Nome]=Tabela3[[#This Row],[Nome]]),[Ações])</f>
        <v>11651126</v>
      </c>
      <c r="T168" s="6">
        <f>[Capital Social]/[Total Ações]</f>
        <v>24.032012013259489</v>
      </c>
      <c r="U168" s="96">
        <f>Tabela3[[#This Row],[Lucro Líquido]]/Tabela3[[#This Row],[Total Ações]]</f>
        <v>-27.830958140869818</v>
      </c>
      <c r="V1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8" s="13">
        <f>[Div Base]*[Ações]</f>
        <v>0</v>
      </c>
      <c r="AA168" s="13">
        <f>SUMPRODUCT(N([Nome]=Tabela3[[#This Row],[Nome]]),[Div Base]*[Ações])</f>
        <v>0</v>
      </c>
      <c r="AB168" s="113">
        <f>[Patrimônio Líquido]/[Total Ações]</f>
        <v>18.764452465796008</v>
      </c>
      <c r="AC168" s="49">
        <f>MAX(Tabela3[[#This Row],[Cotação 1]:[Cotação 3]])</f>
        <v>19.8</v>
      </c>
      <c r="AD168" s="45">
        <f>[Cotação]/[VPA]</f>
        <v>1.0551866640442398</v>
      </c>
      <c r="AE168" s="41">
        <f>IF(Tabela3[[#This Row],[Lucro/Ação]]&gt;0,Tabela3[[#This Row],[Cotação]]/(Tabela3[[#This Row],[Lucro/Ação]]/[Ref]*4),0)</f>
        <v>0</v>
      </c>
      <c r="AF168" s="109">
        <f>IF([Div. Mínimo]=0,0,[Lucro Distribuir]*#REF!/[Total Ações])</f>
        <v>0</v>
      </c>
      <c r="AG168" s="96">
        <f>[Lucro Distribuir]/[Total Ações]</f>
        <v>0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8" s="14" t="str">
        <f>IF(AND([% A.A.]&gt;=8%,SUMPRODUCT(N([Nome]=Tabela3[[#This Row],[Nome]]),[PL])&gt;0),"Sim","Não")</f>
        <v>Não</v>
      </c>
      <c r="AJ168" s="43">
        <f>IF([Cotação]&gt;0,Tabela3[[#This Row],[Lucro]]/Tabela3[[#This Row],[Cotação]],0)</f>
        <v>0</v>
      </c>
      <c r="AK168" s="43">
        <f>((1+Tabela3[[#This Row],[% Yield]])^(1/(3*Tabela3[[#This Row],[Ref]])))^(12)-1</f>
        <v>0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7">
        <f>SUMPRODUCT(N(Tabela1[Código]=Tabela3[[#This Row],[PAPEL]]),Tabela1[Fechamento])</f>
        <v>0</v>
      </c>
      <c r="AO168" s="17">
        <f>SUMPRODUCT(N(Tabela17[Código]=Tabela3[[#This Row],[PAPEL]]),Tabela17[Fechamento])</f>
        <v>0</v>
      </c>
      <c r="AP168" s="17">
        <f>SUMPRODUCT(N(Tabela176[Código]=Tabela3[[#This Row],[PAPEL]]),Tabela176[Fechamento])</f>
        <v>19.8</v>
      </c>
    </row>
    <row r="169" spans="1:42" hidden="1">
      <c r="A169" s="4" t="s">
        <v>14</v>
      </c>
      <c r="B169" s="65" t="s">
        <v>251</v>
      </c>
      <c r="C169" s="15" t="str">
        <f>LEFT([PAPEL],LEN([PAPEL])-(LEN([PAPEL])-4))</f>
        <v>ITSA</v>
      </c>
      <c r="D169" s="16">
        <v>3</v>
      </c>
      <c r="E169" s="5">
        <v>22000000010</v>
      </c>
      <c r="F169" s="57">
        <f>2052918509+53308194</f>
        <v>2106226703</v>
      </c>
      <c r="G169" s="100">
        <v>0.25</v>
      </c>
      <c r="H169" s="16"/>
      <c r="I169" s="18"/>
      <c r="K169" s="107"/>
      <c r="L169" s="107"/>
      <c r="M169" s="6">
        <v>32199000000</v>
      </c>
      <c r="N169" s="5">
        <v>3922000000</v>
      </c>
      <c r="O169" s="5">
        <f>Tabela3[[#This Row],[Capital Social]]*20%</f>
        <v>4400000002</v>
      </c>
      <c r="P169" s="5">
        <f>IF(([Lucro Líquido]*5%)&gt;[Teto R. Legal],[Teto R. Legal],[Lucro Líquido]*5%)</f>
        <v>196100000</v>
      </c>
      <c r="Q169" s="5">
        <f>IF([Lucro Líquido]&lt;0,0,[Lucro Líquido]-[Reserva Legal])</f>
        <v>3725900000</v>
      </c>
      <c r="R169" s="5">
        <f>Tabela3[[#This Row],[Lucro Distribuir]]*[%Div]</f>
        <v>931475000</v>
      </c>
      <c r="S169" s="21">
        <f>SUMPRODUCT(N([Nome]=Tabela3[[#This Row],[Nome]]),[Ações])</f>
        <v>5470667261</v>
      </c>
      <c r="T169" s="5">
        <f>[Capital Social]/[Total Ações]</f>
        <v>4.0214472861174437</v>
      </c>
      <c r="U169" s="95">
        <f>Tabela3[[#This Row],[Lucro Líquido]]/Tabela3[[#This Row],[Total Ações]]</f>
        <v>0.71691437495379418</v>
      </c>
      <c r="V16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6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6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69" s="5">
        <f>[Div Base]*[Ações]</f>
        <v>358621247.56940597</v>
      </c>
      <c r="AA169" s="5">
        <f>SUMPRODUCT(N([Nome]=Tabela3[[#This Row],[Nome]]),[Div Base]*[Ações])</f>
        <v>931475000</v>
      </c>
      <c r="AB169" s="5">
        <f>[Patrimônio Líquido]/[Total Ações]</f>
        <v>5.8857536866744562</v>
      </c>
      <c r="AC169" s="53">
        <f>MAX(Tabela3[[#This Row],[Cotação 1]:[Cotação 3]])</f>
        <v>9.6</v>
      </c>
      <c r="AD169" s="54">
        <f>[Cotação]/[VPA]</f>
        <v>1.6310570423180843</v>
      </c>
      <c r="AE169" s="38">
        <f>IF(Tabela3[[#This Row],[Lucro/Ação]]&gt;0,Tabela3[[#This Row],[Cotação]]/(Tabela3[[#This Row],[Lucro/Ação]]/[Ref]*4),0)</f>
        <v>10.043040356756755</v>
      </c>
      <c r="AF169" s="38" t="e">
        <f>IF([Div. Mínimo]=0,0,[Lucro Distribuir]*#REF!/[Total Ações])</f>
        <v>#REF!</v>
      </c>
      <c r="AG169" s="95">
        <f>[Lucro Distribuir]/[Total Ações]</f>
        <v>0.68106865620610446</v>
      </c>
      <c r="AH169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69" s="16" t="str">
        <f>IF(AND([% A.A.]&gt;=8%,SUMPRODUCT(N([Nome]=Tabela3[[#This Row],[Nome]]),[PL])&gt;0),"Sim","Não")</f>
        <v>Não</v>
      </c>
      <c r="AJ169" s="22">
        <f>IF([Cotação]&gt;0,Tabela3[[#This Row],[Lucro]]/Tabela3[[#This Row],[Cotação]],0)</f>
        <v>1.773616292203397E-2</v>
      </c>
      <c r="AK169" s="18">
        <f>((1+Tabela3[[#This Row],[% Yield]])^(1/(3*Tabela3[[#This Row],[Ref]])))^(12)-1</f>
        <v>2.3717848498165495E-2</v>
      </c>
      <c r="AL169" s="10">
        <f>IF([Cotação]&gt;0,($AR$1/Tabela3[[#This Row],[Cotação]]-MOD($AR$1/Tabela3[[#This Row],[Cotação]],100)),)</f>
        <v>0</v>
      </c>
      <c r="AM169" s="7">
        <f>Tabela3[[#This Row],[Ativos]]*[Lucro]</f>
        <v>0</v>
      </c>
      <c r="AN169" s="5">
        <f>SUMPRODUCT(N(Tabela1[Código]=Tabela3[[#This Row],[PAPEL]]),Tabela1[Fechamento])</f>
        <v>9.6</v>
      </c>
      <c r="AO169" s="5">
        <f>SUMPRODUCT(N(Tabela17[Código]=Tabela3[[#This Row],[PAPEL]]),Tabela17[Fechamento])</f>
        <v>0</v>
      </c>
      <c r="AP169" s="7">
        <f>SUMPRODUCT(N(Tabela176[Código]=Tabela3[[#This Row],[PAPEL]]),Tabela176[Fechamento])</f>
        <v>0</v>
      </c>
    </row>
    <row r="170" spans="1:42" hidden="1">
      <c r="A170" s="4" t="s">
        <v>14</v>
      </c>
      <c r="B170" s="65" t="s">
        <v>16</v>
      </c>
      <c r="C170" s="15" t="str">
        <f>LEFT([PAPEL],LEN([PAPEL])-(LEN([PAPEL])-4))</f>
        <v>ITSA</v>
      </c>
      <c r="D170" s="15">
        <v>3</v>
      </c>
      <c r="E170" s="5">
        <v>22000000010</v>
      </c>
      <c r="F170" s="8">
        <f>3279287212+85153346</f>
        <v>3364440558</v>
      </c>
      <c r="G170" s="106">
        <v>0.25</v>
      </c>
      <c r="H170" s="15"/>
      <c r="I170" s="19">
        <v>2.5000000000000001E-3</v>
      </c>
      <c r="J170" s="19"/>
      <c r="K170" s="108"/>
      <c r="L170" s="108"/>
      <c r="M170" s="6">
        <v>32199000000</v>
      </c>
      <c r="N170" s="5">
        <v>3922000000</v>
      </c>
      <c r="O170" s="5">
        <f>Tabela3[[#This Row],[Capital Social]]*20%</f>
        <v>4400000002</v>
      </c>
      <c r="P170" s="5">
        <f>IF(([Lucro Líquido]*5%)&gt;[Teto R. Legal],[Teto R. Legal],[Lucro Líquido]*5%)</f>
        <v>196100000</v>
      </c>
      <c r="Q170" s="5">
        <f>IF([Lucro Líquido]&lt;0,0,[Lucro Líquido]-[Reserva Legal])</f>
        <v>3725900000</v>
      </c>
      <c r="R170" s="5">
        <f>Tabela3[[#This Row],[Lucro Distribuir]]*[%Div]</f>
        <v>931475000</v>
      </c>
      <c r="S170" s="21">
        <f>SUMPRODUCT(N([Nome]=Tabela3[[#This Row],[Nome]]),[Ações])</f>
        <v>5470667261</v>
      </c>
      <c r="T170" s="5">
        <f>[Capital Social]/[Total Ações]</f>
        <v>4.0214472861174437</v>
      </c>
      <c r="U170" s="96">
        <f>Tabela3[[#This Row],[Lucro Líquido]]/Tabela3[[#This Row],[Total Ações]]</f>
        <v>0.71691437495379418</v>
      </c>
      <c r="V1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7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7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70" s="5">
        <f>[Div Base]*[Ações]</f>
        <v>572853752.43059409</v>
      </c>
      <c r="AA170" s="5">
        <f>SUMPRODUCT(N([Nome]=Tabela3[[#This Row],[Nome]]),[Div Base]*[Ações])</f>
        <v>931475000</v>
      </c>
      <c r="AB170" s="6">
        <f>[Patrimônio Líquido]/[Total Ações]</f>
        <v>5.8857536866744562</v>
      </c>
      <c r="AC170" s="49">
        <f>MAX(Tabela3[[#This Row],[Cotação 1]:[Cotação 3]])</f>
        <v>8.3699999999999992</v>
      </c>
      <c r="AD170" s="45">
        <f>[Cotação]/[VPA]</f>
        <v>1.4220778587710798</v>
      </c>
      <c r="AE170" s="41">
        <f>IF(Tabela3[[#This Row],[Lucro/Ação]]&gt;0,Tabela3[[#This Row],[Cotação]]/(Tabela3[[#This Row],[Lucro/Ação]]/[Ref]*4),0)</f>
        <v>8.7562758110472956</v>
      </c>
      <c r="AF170" s="41" t="e">
        <f>IF([Div. Mínimo]=0,0,[Lucro Distribuir]*#REF!/[Total Ações])</f>
        <v>#REF!</v>
      </c>
      <c r="AG170" s="96">
        <f>[Lucro Distribuir]/[Total Ações]</f>
        <v>0.68106865620610446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70" s="15" t="str">
        <f>IF(AND([% A.A.]&gt;=8%,SUMPRODUCT(N([Nome]=Tabela3[[#This Row],[Nome]]),[PL])&gt;0),"Sim","Não")</f>
        <v>Não</v>
      </c>
      <c r="AJ170" s="43">
        <f>IF([Cotação]&gt;0,Tabela3[[#This Row],[Lucro]]/Tabela3[[#This Row],[Cotação]],0)</f>
        <v>2.0342552455379467E-2</v>
      </c>
      <c r="AK170" s="19">
        <f>((1+Tabela3[[#This Row],[% Yield]])^(1/(3*Tabela3[[#This Row],[Ref]])))^(12)-1</f>
        <v>2.7214950924516979E-2</v>
      </c>
      <c r="AL170" s="14">
        <f>IF([Cotação]&gt;0,($AR$1/Tabela3[[#This Row],[Cotação]]-MOD($AR$1/Tabela3[[#This Row],[Cotação]],100)),)</f>
        <v>0</v>
      </c>
      <c r="AM170" s="17">
        <f>Tabela3[[#This Row],[Ativos]]*[Lucro]</f>
        <v>0</v>
      </c>
      <c r="AN170" s="5">
        <f>SUMPRODUCT(N(Tabela1[Código]=Tabela3[[#This Row],[PAPEL]]),Tabela1[Fechamento])</f>
        <v>8.3699999999999992</v>
      </c>
      <c r="AO170" s="5">
        <f>SUMPRODUCT(N(Tabela17[Código]=Tabela3[[#This Row],[PAPEL]]),Tabela17[Fechamento])</f>
        <v>0</v>
      </c>
      <c r="AP170" s="7">
        <f>SUMPRODUCT(N(Tabela176[Código]=Tabela3[[#This Row],[PAPEL]]),Tabela176[Fechamento])</f>
        <v>0</v>
      </c>
    </row>
    <row r="171" spans="1:42" hidden="1">
      <c r="A171" s="4" t="s">
        <v>14</v>
      </c>
      <c r="B171" s="69" t="s">
        <v>249</v>
      </c>
      <c r="C171" s="14" t="str">
        <f>LEFT([PAPEL],LEN([PAPEL])-(LEN([PAPEL])-4))</f>
        <v>ITUB</v>
      </c>
      <c r="D171" s="15">
        <v>3</v>
      </c>
      <c r="E171" s="6">
        <v>60000000000</v>
      </c>
      <c r="F171" s="8">
        <v>2518215040</v>
      </c>
      <c r="G171" s="100">
        <v>0.25</v>
      </c>
      <c r="H171" s="15"/>
      <c r="I171" s="19"/>
      <c r="J171" s="19"/>
      <c r="K171" s="108"/>
      <c r="L171" s="108"/>
      <c r="M171" s="6">
        <v>80340000000</v>
      </c>
      <c r="N171" s="6">
        <v>11516000000</v>
      </c>
      <c r="O171" s="6">
        <f>Tabela3[[#This Row],[Capital Social]]*20%</f>
        <v>12000000000</v>
      </c>
      <c r="P171" s="6">
        <f>IF(([Lucro Líquido]*5%)&gt;[Teto R. Legal],[Teto R. Legal],[Lucro Líquido]*5%)</f>
        <v>575800000</v>
      </c>
      <c r="Q171" s="6">
        <f>IF([Lucro Líquido]&lt;0,0,[Lucro Líquido]-[Reserva Legal])</f>
        <v>10940200000</v>
      </c>
      <c r="R171" s="6">
        <f>Tabela3[[#This Row],[Lucro Distribuir]]*[%Div]</f>
        <v>2735050000</v>
      </c>
      <c r="S171" s="21">
        <f>SUMPRODUCT(N([Nome]=Tabela3[[#This Row],[Nome]]),[Ações])</f>
        <v>5028029710</v>
      </c>
      <c r="T171" s="6">
        <f>[Capital Social]/[Total Ações]</f>
        <v>11.933103712706583</v>
      </c>
      <c r="U171" s="96">
        <f>Tabela3[[#This Row],[Lucro Líquido]]/Tabela3[[#This Row],[Total Ações]]</f>
        <v>2.2903603725921502</v>
      </c>
      <c r="V1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1" s="6">
        <f>[Div Base]*[Ações]</f>
        <v>1369809735.1043696</v>
      </c>
      <c r="AA171" s="6">
        <f>SUMPRODUCT(N([Nome]=Tabela3[[#This Row],[Nome]]),[Div Base]*[Ações])</f>
        <v>2735050000</v>
      </c>
      <c r="AB171" s="6">
        <f>[Patrimônio Líquido]/[Total Ações]</f>
        <v>15.978425871314114</v>
      </c>
      <c r="AC171" s="49">
        <f>MAX(Tabela3[[#This Row],[Cotação 1]:[Cotação 3]])</f>
        <v>27.1</v>
      </c>
      <c r="AD171" s="45">
        <f>[Cotação]/[VPA]</f>
        <v>1.6960369074060244</v>
      </c>
      <c r="AE171" s="41">
        <f>IF(Tabela3[[#This Row],[Lucro/Ação]]&gt;0,Tabela3[[#This Row],[Cotação]]/(Tabela3[[#This Row],[Lucro/Ação]]/[Ref]*4),0)</f>
        <v>8.8741493448897195</v>
      </c>
      <c r="AF171" s="41" t="e">
        <f>IF([Div. Mínimo]=0,0,[Lucro Distribuir]*#REF!/[Total Ações])</f>
        <v>#REF!</v>
      </c>
      <c r="AG171" s="96">
        <f>[Lucro Distribuir]/[Total Ações]</f>
        <v>2.1758423539625427</v>
      </c>
      <c r="AH171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1" s="15" t="str">
        <f>IF(AND([% A.A.]&gt;=8%,SUMPRODUCT(N([Nome]=Tabela3[[#This Row],[Nome]]),[PL])&gt;0),"Sim","Não")</f>
        <v>Não</v>
      </c>
      <c r="AJ171" s="43">
        <f>IF([Cotação]&gt;0,Tabela3[[#This Row],[Lucro]]/Tabela3[[#This Row],[Cotação]],0)</f>
        <v>2.0072346438768842E-2</v>
      </c>
      <c r="AK171" s="19">
        <f>((1+Tabela3[[#This Row],[% Yield]])^(1/(3*Tabela3[[#This Row],[Ref]])))^(12)-1</f>
        <v>2.6852265656784446E-2</v>
      </c>
      <c r="AL171" s="14">
        <f>IF([Cotação]&gt;0,($AR$1/Tabela3[[#This Row],[Cotação]]-MOD($AR$1/Tabela3[[#This Row],[Cotação]],100)),)</f>
        <v>0</v>
      </c>
      <c r="AM171" s="17">
        <f>Tabela3[[#This Row],[Ativos]]*[Lucro]</f>
        <v>0</v>
      </c>
      <c r="AN171" s="5">
        <f>SUMPRODUCT(N(Tabela1[Código]=Tabela3[[#This Row],[PAPEL]]),Tabela1[Fechamento])</f>
        <v>27.1</v>
      </c>
      <c r="AO171" s="5">
        <f>SUMPRODUCT(N(Tabela17[Código]=Tabela3[[#This Row],[PAPEL]]),Tabela17[Fechamento])</f>
        <v>0</v>
      </c>
      <c r="AP171" s="7">
        <f>SUMPRODUCT(N(Tabela176[Código]=Tabela3[[#This Row],[PAPEL]]),Tabela176[Fechamento])</f>
        <v>0</v>
      </c>
    </row>
    <row r="172" spans="1:42" hidden="1">
      <c r="A172" s="4" t="s">
        <v>14</v>
      </c>
      <c r="B172" s="69" t="s">
        <v>81</v>
      </c>
      <c r="C172" s="14" t="str">
        <f>LEFT([PAPEL],LEN([PAPEL])-(LEN([PAPEL])-4))</f>
        <v>ITUB</v>
      </c>
      <c r="D172" s="15">
        <v>3</v>
      </c>
      <c r="E172" s="6">
        <v>60000000000</v>
      </c>
      <c r="F172" s="8">
        <v>2509814670</v>
      </c>
      <c r="G172" s="106">
        <v>0.25</v>
      </c>
      <c r="H172" s="15"/>
      <c r="I172" s="19">
        <v>0.02</v>
      </c>
      <c r="J172" s="19"/>
      <c r="K172" s="108"/>
      <c r="L172" s="108"/>
      <c r="M172" s="6">
        <v>80340000000</v>
      </c>
      <c r="N172" s="6">
        <v>11516000000</v>
      </c>
      <c r="O172" s="6">
        <f>Tabela3[[#This Row],[Capital Social]]*20%</f>
        <v>12000000000</v>
      </c>
      <c r="P172" s="6">
        <f>IF(([Lucro Líquido]*5%)&gt;[Teto R. Legal],[Teto R. Legal],[Lucro Líquido]*5%)</f>
        <v>575800000</v>
      </c>
      <c r="Q172" s="6">
        <f>IF([Lucro Líquido]&lt;0,0,[Lucro Líquido]-[Reserva Legal])</f>
        <v>10940200000</v>
      </c>
      <c r="R172" s="6">
        <f>Tabela3[[#This Row],[Lucro Distribuir]]*[%Div]</f>
        <v>2735050000</v>
      </c>
      <c r="S172" s="21">
        <f>SUMPRODUCT(N([Nome]=Tabela3[[#This Row],[Nome]]),[Ações])</f>
        <v>5028029710</v>
      </c>
      <c r="T172" s="6">
        <f>[Capital Social]/[Total Ações]</f>
        <v>11.933103712706583</v>
      </c>
      <c r="U172" s="96">
        <f>Tabela3[[#This Row],[Lucro Líquido]]/Tabela3[[#This Row],[Total Ações]]</f>
        <v>2.2903603725921502</v>
      </c>
      <c r="V1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2" s="6">
        <f>[Div Base]*[Ações]</f>
        <v>1365240264.8956306</v>
      </c>
      <c r="AA172" s="6">
        <f>SUMPRODUCT(N([Nome]=Tabela3[[#This Row],[Nome]]),[Div Base]*[Ações])</f>
        <v>2735050000</v>
      </c>
      <c r="AB172" s="6">
        <f>[Patrimônio Líquido]/[Total Ações]</f>
        <v>15.978425871314114</v>
      </c>
      <c r="AC172" s="49">
        <f>MAX(Tabela3[[#This Row],[Cotação 1]:[Cotação 3]])</f>
        <v>29.85</v>
      </c>
      <c r="AD172" s="45">
        <f>[Cotação]/[VPA]</f>
        <v>1.8681439736557133</v>
      </c>
      <c r="AE172" s="41">
        <f>IF(Tabela3[[#This Row],[Lucro/Ação]]&gt;0,Tabela3[[#This Row],[Cotação]]/(Tabela3[[#This Row],[Lucro/Ação]]/[Ref]*4),0)</f>
        <v>9.7746626547955024</v>
      </c>
      <c r="AF172" s="41" t="e">
        <f>IF([Div. Mínimo]=0,0,[Lucro Distribuir]*#REF!/[Total Ações])</f>
        <v>#REF!</v>
      </c>
      <c r="AG172" s="96">
        <f>[Lucro Distribuir]/[Total Ações]</f>
        <v>2.1758423539625427</v>
      </c>
      <c r="AH172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2" s="15" t="str">
        <f>IF(AND([% A.A.]&gt;=8%,SUMPRODUCT(N([Nome]=Tabela3[[#This Row],[Nome]]),[PL])&gt;0),"Sim","Não")</f>
        <v>Não</v>
      </c>
      <c r="AJ172" s="43">
        <f>IF([Cotação]&gt;0,Tabela3[[#This Row],[Lucro]]/Tabela3[[#This Row],[Cotação]],0)</f>
        <v>1.8223135292818615E-2</v>
      </c>
      <c r="AK172" s="19">
        <f>((1+Tabela3[[#This Row],[% Yield]])^(1/(3*Tabela3[[#This Row],[Ref]])))^(12)-1</f>
        <v>2.4371013273890574E-2</v>
      </c>
      <c r="AL172" s="14">
        <f>IF([Cotação]&gt;0,($AR$1/Tabela3[[#This Row],[Cotação]]-MOD($AR$1/Tabela3[[#This Row],[Cotação]],100)),)</f>
        <v>0</v>
      </c>
      <c r="AM172" s="17">
        <f>Tabela3[[#This Row],[Ativos]]*[Lucro]</f>
        <v>0</v>
      </c>
      <c r="AN172" s="5">
        <f>SUMPRODUCT(N(Tabela1[Código]=Tabela3[[#This Row],[PAPEL]]),Tabela1[Fechamento])</f>
        <v>29.85</v>
      </c>
      <c r="AO172" s="5">
        <f>SUMPRODUCT(N(Tabela17[Código]=Tabela3[[#This Row],[PAPEL]]),Tabela17[Fechamento])</f>
        <v>0</v>
      </c>
      <c r="AP172" s="7">
        <f>SUMPRODUCT(N(Tabela176[Código]=Tabela3[[#This Row],[PAPEL]]),Tabela176[Fechamento])</f>
        <v>0</v>
      </c>
    </row>
    <row r="173" spans="1:42" hidden="1">
      <c r="A173" s="3" t="s">
        <v>299</v>
      </c>
      <c r="B173" s="66" t="s">
        <v>301</v>
      </c>
      <c r="C173" s="102" t="str">
        <f>LEFT([PAPEL],LEN([PAPEL])-(LEN([PAPEL])-4))</f>
        <v>JBSS</v>
      </c>
      <c r="D173" s="16">
        <v>3</v>
      </c>
      <c r="E173" s="5"/>
      <c r="G173" s="100">
        <v>0.25</v>
      </c>
      <c r="H173" s="16"/>
      <c r="I173" s="18"/>
      <c r="K173" s="107"/>
      <c r="L173" s="107"/>
      <c r="M173" s="5">
        <v>21913989000</v>
      </c>
      <c r="N173" s="5">
        <v>786184000</v>
      </c>
      <c r="O173" s="5">
        <f>Tabela3[[#This Row],[Capital Social]]*20%</f>
        <v>0</v>
      </c>
      <c r="P173" s="5">
        <f>IF(([Lucro Líquido]*5%)&gt;[Teto R. Legal],[Teto R. Legal],[Lucro Líquido]*5%)</f>
        <v>0</v>
      </c>
      <c r="Q173" s="5">
        <f>IF([Lucro Líquido]&lt;0,0,[Lucro Líquido]-[Reserva Legal])</f>
        <v>786184000</v>
      </c>
      <c r="R173" s="5">
        <f>Tabela3[[#This Row],[Lucro Distribuir]]*[%Div]</f>
        <v>196546000</v>
      </c>
      <c r="S173" s="21">
        <v>2943644008</v>
      </c>
      <c r="T173" s="5">
        <f>[Capital Social]/[Total Ações]</f>
        <v>0</v>
      </c>
      <c r="U173" s="95">
        <f>Tabela3[[#This Row],[Lucro Líquido]]/Tabela3[[#This Row],[Total Ações]]</f>
        <v>0.26707849110265103</v>
      </c>
      <c r="V1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0</v>
      </c>
      <c r="AB173" s="5">
        <f>[Patrimônio Líquido]/[Total Ações]</f>
        <v>7.4445105931437077</v>
      </c>
      <c r="AC173" s="53">
        <f>MAX(Tabela3[[#This Row],[Cotação 1]:[Cotação 3]])</f>
        <v>8.42</v>
      </c>
      <c r="AD173" s="54">
        <f>[Cotação]/[VPA]</f>
        <v>1.1310347261450209</v>
      </c>
      <c r="AE173" s="38">
        <f>IF(Tabela3[[#This Row],[Lucro/Ação]]&gt;0,Tabela3[[#This Row],[Cotação]]/(Tabela3[[#This Row],[Lucro/Ação]]/[Ref]*4),0)</f>
        <v>23.64473445213843</v>
      </c>
      <c r="AF173" s="38">
        <f>IF([Div. Mínimo]=0,0,[Lucro Distribuir]*#REF!/[Total Ações])</f>
        <v>0</v>
      </c>
      <c r="AG173" s="95">
        <f>[Lucro Distribuir]/[Total Ações]</f>
        <v>0.26707849110265103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A.A.]&gt;=8%,SUMPRODUCT(N([Nome]=Tabela3[[#This Row],[Nome]]),[PL])&gt;0),"Sim","Não")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8.42</v>
      </c>
      <c r="AP173" s="7">
        <f>SUMPRODUCT(N(Tabela176[Código]=Tabela3[[#This Row],[PAPEL]]),Tabela176[Fechamento])</f>
        <v>0</v>
      </c>
    </row>
    <row r="174" spans="1:42">
      <c r="A174" s="25" t="s">
        <v>12</v>
      </c>
      <c r="B174" s="65" t="s">
        <v>30</v>
      </c>
      <c r="C174" s="101" t="str">
        <f>LEFT([PAPEL],LEN([PAPEL])-(LEN([PAPEL])-4))</f>
        <v>CMIG</v>
      </c>
      <c r="D174" s="15">
        <v>3</v>
      </c>
      <c r="E174" s="6">
        <v>6294208270</v>
      </c>
      <c r="F174" s="8">
        <v>838076946</v>
      </c>
      <c r="G174" s="106">
        <v>0.5</v>
      </c>
      <c r="H174" s="19">
        <v>0.03</v>
      </c>
      <c r="I174" s="19">
        <v>0.1</v>
      </c>
      <c r="J174" s="19"/>
      <c r="K174" s="108"/>
      <c r="L174" s="108"/>
      <c r="M174" s="111">
        <v>13197926000</v>
      </c>
      <c r="N174" s="111">
        <v>2271426000</v>
      </c>
      <c r="O174" s="29">
        <f>Tabela3[[#This Row],[Capital Social]]*20%</f>
        <v>1258841654</v>
      </c>
      <c r="P174" s="29">
        <f>IF(([Lucro Líquido]*5%)&gt;[Teto R. Legal],[Teto R. Legal],[Lucro Líquido]*5%)</f>
        <v>113571300</v>
      </c>
      <c r="Q174" s="111">
        <f>IF([Lucro Líquido]&lt;0,0,[Lucro Líquido]-[Reserva Legal])</f>
        <v>2157854700</v>
      </c>
      <c r="R174" s="111">
        <f>Tabela3[[#This Row],[Lucro Distribuir]]*[%Div]</f>
        <v>1078927350</v>
      </c>
      <c r="S174" s="57">
        <f>SUMPRODUCT(N([Nome]=Tabela3[[#This Row],[Nome]]),[Ações])</f>
        <v>1258841654</v>
      </c>
      <c r="T174" s="29">
        <f>[Capital Social]/[Total Ações]</f>
        <v>5</v>
      </c>
      <c r="U174" s="97">
        <f>Tabela3[[#This Row],[Lucro Líquido]]/Tabela3[[#This Row],[Total Ações]]</f>
        <v>1.8043778522759304</v>
      </c>
      <c r="V174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17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17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17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174" s="29">
        <f>[Div Base]*[Ações]</f>
        <v>718298552.93608928</v>
      </c>
      <c r="AA174" s="29">
        <f>SUMPRODUCT(N([Nome]=Tabela3[[#This Row],[Nome]]),[Div Base]*[Ações])</f>
        <v>1078927350</v>
      </c>
      <c r="AB174" s="111">
        <f>[Patrimônio Líquido]/[Total Ações]</f>
        <v>10.484182786662062</v>
      </c>
      <c r="AC174" s="30">
        <f>MAX(Tabela3[[#This Row],[Cotação 1]:[Cotação 3]])</f>
        <v>13.47</v>
      </c>
      <c r="AD174" s="31">
        <f>[Cotação]/[VPA]</f>
        <v>1.2847925559955407</v>
      </c>
      <c r="AE174" s="36">
        <f>IF(Tabela3[[#This Row],[Lucro/Ação]]&gt;0,Tabela3[[#This Row],[Cotação]]/(Tabela3[[#This Row],[Lucro/Ação]]/[Ref]*4),0)</f>
        <v>5.5988827324927168</v>
      </c>
      <c r="AF174" s="94" t="e">
        <f>IF([Div. Mínimo]=0,0,[Lucro Distribuir]*#REF!/[Total Ações])</f>
        <v>#REF!</v>
      </c>
      <c r="AG174" s="96">
        <f>[Lucro Distribuir]/[Total Ações]</f>
        <v>1.7141589596621341</v>
      </c>
      <c r="AH174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174" s="26" t="str">
        <f>IF(AND([% A.A.]&gt;=8%,SUMPRODUCT(N([Nome]=Tabela3[[#This Row],[Nome]]),[PL])&gt;0),"Sim","Não")</f>
        <v>Sim</v>
      </c>
      <c r="AJ174" s="28">
        <f>IF([Cotação]&gt;0,Tabela3[[#This Row],[Lucro]]/Tabela3[[#This Row],[Cotação]],0)</f>
        <v>6.3628766134451897E-2</v>
      </c>
      <c r="AK174" s="50">
        <f>((1+Tabela3[[#This Row],[% Yield]])^(1/(3*Tabela3[[#This Row],[Ref]])))^(12)-1</f>
        <v>8.5725652987514112E-2</v>
      </c>
      <c r="AL174" s="10">
        <f>IF([Cotação]&gt;0,($AR$1/Tabela3[[#This Row],[Cotação]]-MOD($AR$1/Tabela3[[#This Row],[Cotação]],100)),)</f>
        <v>0</v>
      </c>
      <c r="AM174" s="7">
        <f>Tabela3[[#This Row],[Ativos]]*[Lucro]</f>
        <v>0</v>
      </c>
      <c r="AN174" s="5">
        <f>SUMPRODUCT(N(Tabela1[Código]=Tabela3[[#This Row],[PAPEL]]),Tabela1[Fechamento])</f>
        <v>13.47</v>
      </c>
      <c r="AO174" s="5">
        <f>SUMPRODUCT(N(Tabela17[Código]=Tabela3[[#This Row],[PAPEL]]),Tabela17[Fechamento])</f>
        <v>0</v>
      </c>
      <c r="AP174" s="7">
        <f>SUMPRODUCT(N(Tabela176[Código]=Tabela3[[#This Row],[PAPEL]]),Tabela176[Fechamento])</f>
        <v>0</v>
      </c>
    </row>
    <row r="175" spans="1:42" hidden="1">
      <c r="A175" s="4" t="s">
        <v>19</v>
      </c>
      <c r="B175" s="66" t="s">
        <v>199</v>
      </c>
      <c r="C175" s="14" t="str">
        <f>LEFT([PAPEL],LEN([PAPEL])-(LEN([PAPEL])-4))</f>
        <v>KLBN</v>
      </c>
      <c r="D175" s="15">
        <v>3</v>
      </c>
      <c r="E175" s="6">
        <v>2271500000</v>
      </c>
      <c r="F175" s="8">
        <v>345102174</v>
      </c>
      <c r="G175" s="106">
        <v>0.25</v>
      </c>
      <c r="H175" s="15"/>
      <c r="I175" s="19"/>
      <c r="J175" s="19"/>
      <c r="K175" s="108"/>
      <c r="L175" s="108"/>
      <c r="M175" s="6">
        <v>5466325000</v>
      </c>
      <c r="N175" s="6">
        <v>268577000</v>
      </c>
      <c r="O175" s="6">
        <f>Tabela3[[#This Row],[Capital Social]]*20%</f>
        <v>454300000</v>
      </c>
      <c r="P175" s="6">
        <f>IF(([Lucro Líquido]*5%)&gt;[Teto R. Legal],[Teto R. Legal],[Lucro Líquido]*5%)</f>
        <v>13428850</v>
      </c>
      <c r="Q175" s="6">
        <f>IF([Lucro Líquido]&lt;0,0,[Lucro Líquido]-[Reserva Legal])</f>
        <v>255148150</v>
      </c>
      <c r="R175" s="6">
        <f>Tabela3[[#This Row],[Lucro Distribuir]]*[%Div]</f>
        <v>63787037.5</v>
      </c>
      <c r="S175" s="57">
        <f>SUMPRODUCT(N([Nome]=Tabela3[[#This Row],[Nome]]),[Ações])</f>
        <v>945957907</v>
      </c>
      <c r="T175" s="6">
        <f>[Capital Social]/[Total Ações]</f>
        <v>2.4012696370431628</v>
      </c>
      <c r="U175" s="96">
        <f>Tabela3[[#This Row],[Lucro Líquido]]/Tabela3[[#This Row],[Total Ações]]</f>
        <v>0.28392066709581404</v>
      </c>
      <c r="V1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5" s="6">
        <f>[Div Base]*[Ações]</f>
        <v>23270639.371345226</v>
      </c>
      <c r="AA175" s="6">
        <f>SUMPRODUCT(N([Nome]=Tabela3[[#This Row],[Nome]]),[Div Base]*[Ações])</f>
        <v>63787037.5</v>
      </c>
      <c r="AB175" s="6">
        <f>[Patrimônio Líquido]/[Total Ações]</f>
        <v>5.7786133606471353</v>
      </c>
      <c r="AC175" s="49">
        <f>MAX(Tabela3[[#This Row],[Cotação 1]:[Cotação 3]])</f>
        <v>12.5</v>
      </c>
      <c r="AD175" s="45">
        <f>[Cotação]/[VPA]</f>
        <v>2.1631487036537345</v>
      </c>
      <c r="AE175" s="41">
        <f>IF(Tabela3[[#This Row],[Lucro/Ação]]&gt;0,Tabela3[[#This Row],[Cotação]]/(Tabela3[[#This Row],[Lucro/Ação]]/[Ref]*4),0)</f>
        <v>33.01978716764652</v>
      </c>
      <c r="AF175" s="41" t="e">
        <f>IF([Div. Mínimo]=0,0,[Lucro Distribuir]*#REF!/[Total Ações])</f>
        <v>#REF!</v>
      </c>
      <c r="AG175" s="96">
        <f>[Lucro Distribuir]/[Total Ações]</f>
        <v>0.26972463374102335</v>
      </c>
      <c r="AH175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5" s="15" t="str">
        <f>IF(AND([% A.A.]&gt;=8%,SUMPRODUCT(N([Nome]=Tabela3[[#This Row],[Nome]]),[PL])&gt;0),"Sim","Não")</f>
        <v>Não</v>
      </c>
      <c r="AJ175" s="43">
        <f>IF([Cotação]&gt;0,Tabela3[[#This Row],[Lucro]]/Tabela3[[#This Row],[Cotação]],0)</f>
        <v>5.3944926748204667E-3</v>
      </c>
      <c r="AK175" s="19">
        <f>((1+Tabela3[[#This Row],[% Yield]])^(1/(3*Tabela3[[#This Row],[Ref]])))^(12)-1</f>
        <v>7.1991159540603089E-3</v>
      </c>
      <c r="AL175" s="14">
        <f>IF([Cotação]&gt;0,($AR$1/Tabela3[[#This Row],[Cotação]]-MOD($AR$1/Tabela3[[#This Row],[Cotação]],100)),)</f>
        <v>0</v>
      </c>
      <c r="AM175" s="17">
        <f>Tabela3[[#This Row],[Ativos]]*[Lucro]</f>
        <v>0</v>
      </c>
      <c r="AN175" s="5">
        <f>SUMPRODUCT(N(Tabela1[Código]=Tabela3[[#This Row],[PAPEL]]),Tabela1[Fechamento])</f>
        <v>12.5</v>
      </c>
      <c r="AO175" s="5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</row>
    <row r="176" spans="1:42" hidden="1">
      <c r="A176" s="4" t="s">
        <v>19</v>
      </c>
      <c r="B176" s="66" t="s">
        <v>54</v>
      </c>
      <c r="C176" s="14" t="str">
        <f>LEFT([PAPEL],LEN([PAPEL])-(LEN([PAPEL])-4))</f>
        <v>KLBN</v>
      </c>
      <c r="D176" s="15">
        <v>3</v>
      </c>
      <c r="E176" s="6">
        <v>2271500000</v>
      </c>
      <c r="F176" s="8">
        <v>600855733</v>
      </c>
      <c r="G176" s="100">
        <v>0.25</v>
      </c>
      <c r="H176" s="15"/>
      <c r="I176" s="19"/>
      <c r="J176" s="19"/>
      <c r="K176" s="108"/>
      <c r="L176" s="108"/>
      <c r="M176" s="6">
        <v>5466325000</v>
      </c>
      <c r="N176" s="6">
        <v>268577000</v>
      </c>
      <c r="O176" s="6">
        <f>Tabela3[[#This Row],[Capital Social]]*20%</f>
        <v>454300000</v>
      </c>
      <c r="P176" s="6">
        <f>IF(([Lucro Líquido]*5%)&gt;[Teto R. Legal],[Teto R. Legal],[Lucro Líquido]*5%)</f>
        <v>13428850</v>
      </c>
      <c r="Q176" s="6">
        <f>IF([Lucro Líquido]&lt;0,0,[Lucro Líquido]-[Reserva Legal])</f>
        <v>255148150</v>
      </c>
      <c r="R176" s="6">
        <f>Tabela3[[#This Row],[Lucro Distribuir]]*[%Div]</f>
        <v>63787037.5</v>
      </c>
      <c r="S176" s="57">
        <f>SUMPRODUCT(N([Nome]=Tabela3[[#This Row],[Nome]]),[Ações])</f>
        <v>945957907</v>
      </c>
      <c r="T176" s="6">
        <f>[Capital Social]/[Total Ações]</f>
        <v>2.4012696370431628</v>
      </c>
      <c r="U176" s="96">
        <f>Tabela3[[#This Row],[Lucro Líquido]]/Tabela3[[#This Row],[Total Ações]]</f>
        <v>0.28392066709581404</v>
      </c>
      <c r="V1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6" s="6">
        <f>[Div Base]*[Ações]</f>
        <v>40516398.128654778</v>
      </c>
      <c r="AA176" s="6">
        <f>SUMPRODUCT(N([Nome]=Tabela3[[#This Row],[Nome]]),[Div Base]*[Ações])</f>
        <v>63787037.5</v>
      </c>
      <c r="AB176" s="6">
        <f>[Patrimônio Líquido]/[Total Ações]</f>
        <v>5.7786133606471353</v>
      </c>
      <c r="AC176" s="49">
        <f>MAX(Tabela3[[#This Row],[Cotação 1]:[Cotação 3]])</f>
        <v>12.6</v>
      </c>
      <c r="AD176" s="45">
        <f>[Cotação]/[VPA]</f>
        <v>2.180453893282964</v>
      </c>
      <c r="AE176" s="41">
        <f>IF(Tabela3[[#This Row],[Lucro/Ação]]&gt;0,Tabela3[[#This Row],[Cotação]]/(Tabela3[[#This Row],[Lucro/Ação]]/[Ref]*4),0)</f>
        <v>33.283945464987688</v>
      </c>
      <c r="AF176" s="41" t="e">
        <f>IF([Div. Mínimo]=0,0,[Lucro Distribuir]*#REF!/[Total Ações])</f>
        <v>#REF!</v>
      </c>
      <c r="AG176" s="96">
        <f>[Lucro Distribuir]/[Total Ações]</f>
        <v>0.26972463374102335</v>
      </c>
      <c r="AH176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6" s="15" t="str">
        <f>IF(AND([% A.A.]&gt;=8%,SUMPRODUCT(N([Nome]=Tabela3[[#This Row],[Nome]]),[PL])&gt;0),"Sim","Não")</f>
        <v>Não</v>
      </c>
      <c r="AJ176" s="43">
        <f>IF([Cotação]&gt;0,Tabela3[[#This Row],[Lucro]]/Tabela3[[#This Row],[Cotação]],0)</f>
        <v>5.3516792408933207E-3</v>
      </c>
      <c r="AK176" s="19">
        <f>((1+Tabela3[[#This Row],[% Yield]])^(1/(3*Tabela3[[#This Row],[Ref]])))^(12)-1</f>
        <v>7.1419293179493248E-3</v>
      </c>
      <c r="AL176" s="14">
        <f>IF([Cotação]&gt;0,($AR$1/Tabela3[[#This Row],[Cotação]]-MOD($AR$1/Tabela3[[#This Row],[Cotação]],100)),)</f>
        <v>0</v>
      </c>
      <c r="AM176" s="17">
        <f>Tabela3[[#This Row],[Ativos]]*[Lucro]</f>
        <v>0</v>
      </c>
      <c r="AN176" s="5">
        <f>SUMPRODUCT(N(Tabela1[Código]=Tabela3[[#This Row],[PAPEL]]),Tabela1[Fechamento])</f>
        <v>12.6</v>
      </c>
      <c r="AO176" s="5">
        <f>SUMPRODUCT(N(Tabela17[Código]=Tabela3[[#This Row],[PAPEL]]),Tabela17[Fechamento])</f>
        <v>0</v>
      </c>
      <c r="AP176" s="7">
        <f>SUMPRODUCT(N(Tabela176[Código]=Tabela3[[#This Row],[PAPEL]]),Tabela176[Fechamento])</f>
        <v>0</v>
      </c>
    </row>
    <row r="177" spans="1:42" hidden="1">
      <c r="A177" s="3" t="s">
        <v>337</v>
      </c>
      <c r="B177" s="66" t="s">
        <v>338</v>
      </c>
      <c r="C177" s="102" t="str">
        <f>LEFT([PAPEL],LEN([PAPEL])-(LEN([PAPEL])-4))</f>
        <v>LCAM</v>
      </c>
      <c r="D177" s="16">
        <v>3</v>
      </c>
      <c r="E177" s="5"/>
      <c r="G177" s="106">
        <v>0.25</v>
      </c>
      <c r="H177" s="16"/>
      <c r="I177" s="18"/>
      <c r="K177" s="107"/>
      <c r="L177" s="107"/>
      <c r="M177" s="5">
        <v>314080000</v>
      </c>
      <c r="N177" s="5">
        <v>22535000</v>
      </c>
      <c r="O177" s="5">
        <f>Tabela3[[#This Row],[Capital Social]]*20%</f>
        <v>0</v>
      </c>
      <c r="P177" s="5">
        <f>IF(([Lucro Líquido]*5%)&gt;[Teto R. Legal],[Teto R. Legal],[Lucro Líquido]*5%)</f>
        <v>0</v>
      </c>
      <c r="Q177" s="5">
        <f>IF([Lucro Líquido]&lt;0,0,[Lucro Líquido]-[Reserva Legal])</f>
        <v>22535000</v>
      </c>
      <c r="R177" s="5">
        <f>Tabela3[[#This Row],[Lucro Distribuir]]*[%Div]</f>
        <v>5633750</v>
      </c>
      <c r="S177" s="21">
        <v>65075322</v>
      </c>
      <c r="T177" s="5">
        <f>[Capital Social]/[Total Ações]</f>
        <v>0</v>
      </c>
      <c r="U177" s="95">
        <f>Tabela3[[#This Row],[Lucro Líquido]]/Tabela3[[#This Row],[Total Ações]]</f>
        <v>0.34629102565178238</v>
      </c>
      <c r="V17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7" s="5">
        <f>[Div Base]*[Ações]</f>
        <v>0</v>
      </c>
      <c r="AA177" s="5">
        <f>SUMPRODUCT(N([Nome]=Tabela3[[#This Row],[Nome]]),[Div Base]*[Ações])</f>
        <v>0</v>
      </c>
      <c r="AB177" s="5">
        <f>[Patrimônio Líquido]/[Total Ações]</f>
        <v>4.8264071593837059</v>
      </c>
      <c r="AC177" s="53">
        <f>MAX(Tabela3[[#This Row],[Cotação 1]:[Cotação 3]])</f>
        <v>5.0999999999999996</v>
      </c>
      <c r="AD177" s="54">
        <f>[Cotação]/[VPA]</f>
        <v>1.0566866473509933</v>
      </c>
      <c r="AE177" s="38">
        <f>IF(Tabela3[[#This Row],[Lucro/Ação]]&gt;0,Tabela3[[#This Row],[Cotação]]/(Tabela3[[#This Row],[Lucro/Ação]]/[Ref]*4),0)</f>
        <v>11.04562266030619</v>
      </c>
      <c r="AF177" s="38">
        <f>IF([Div. Mínimo]=0,0,[Lucro Distribuir]*#REF!/[Total Ações])</f>
        <v>0</v>
      </c>
      <c r="AG177" s="95">
        <f>[Lucro Distribuir]/[Total Ações]</f>
        <v>0.34629102565178238</v>
      </c>
      <c r="AH17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7" s="16" t="str">
        <f>IF(AND([% A.A.]&gt;=8%,SUMPRODUCT(N([Nome]=Tabela3[[#This Row],[Nome]]),[PL])&gt;0),"Sim","Não")</f>
        <v>Não</v>
      </c>
      <c r="AJ177" s="22">
        <f>IF([Cotação]&gt;0,Tabela3[[#This Row],[Lucro]]/Tabela3[[#This Row],[Cotação]],0)</f>
        <v>0</v>
      </c>
      <c r="AK177" s="18">
        <f>((1+Tabela3[[#This Row],[% Yield]])^(1/(3*Tabela3[[#This Row],[Ref]])))^(12)-1</f>
        <v>0</v>
      </c>
      <c r="AL177" s="10">
        <f>IF([Cotação]&gt;0,($AR$1/Tabela3[[#This Row],[Cotação]]-MOD($AR$1/Tabela3[[#This Row],[Cotação]],100)),)</f>
        <v>0</v>
      </c>
      <c r="AM177" s="7">
        <f>Tabela3[[#This Row],[Ativos]]*[Lucro]</f>
        <v>0</v>
      </c>
      <c r="AN177" s="48">
        <f>SUMPRODUCT(N(Tabela1[Código]=Tabela3[[#This Row],[PAPEL]]),Tabela1[Fechamento])</f>
        <v>0</v>
      </c>
      <c r="AO177" s="55">
        <f>SUMPRODUCT(N(Tabela17[Código]=Tabela3[[#This Row],[PAPEL]]),Tabela17[Fechamento])</f>
        <v>5.0999999999999996</v>
      </c>
      <c r="AP177" s="7">
        <f>SUMPRODUCT(N(Tabela176[Código]=Tabela3[[#This Row],[PAPEL]]),Tabela176[Fechamento])</f>
        <v>0</v>
      </c>
    </row>
    <row r="178" spans="1:42" hidden="1">
      <c r="A178" s="4" t="s">
        <v>313</v>
      </c>
      <c r="B178" s="65" t="s">
        <v>602</v>
      </c>
      <c r="C178" s="16" t="str">
        <f>LEFT([PAPEL],LEN([PAPEL])-(LEN([PAPEL])-4))</f>
        <v>LFFE</v>
      </c>
      <c r="D178" s="16">
        <v>3</v>
      </c>
      <c r="E178" s="5">
        <v>226047458.49000001</v>
      </c>
      <c r="F178" s="57">
        <v>336676262</v>
      </c>
      <c r="G178" s="100">
        <v>0.25</v>
      </c>
      <c r="H178" s="18"/>
      <c r="I178" s="18"/>
      <c r="K178" s="107"/>
      <c r="L178" s="107"/>
      <c r="M178" s="112">
        <v>708697000</v>
      </c>
      <c r="N178" s="88">
        <v>-95683000</v>
      </c>
      <c r="O178" s="48">
        <f>Tabela3[[#This Row],[Capital Social]]*20%</f>
        <v>45209491.698000006</v>
      </c>
      <c r="P178" s="48">
        <f>IF(([Lucro Líquido]*5%)&gt;[Teto R. Legal],[Teto R. Legal],[Lucro Líquido]*5%)</f>
        <v>-4784150</v>
      </c>
      <c r="Q178" s="48">
        <f>IF([Lucro Líquido]&lt;0,0,[Lucro Líquido]-[Reserva Legal])</f>
        <v>0</v>
      </c>
      <c r="R178" s="48">
        <f>Tabela3[[#This Row],[Lucro Distribuir]]*[%Div]</f>
        <v>0</v>
      </c>
      <c r="S178" s="57">
        <f>SUMPRODUCT(N([Nome]=Tabela3[[#This Row],[Nome]]),[Ações])</f>
        <v>543801447</v>
      </c>
      <c r="T178" s="5">
        <f>[Capital Social]/[Total Ações]</f>
        <v>0.41568013424208489</v>
      </c>
      <c r="U178" s="95">
        <f>Tabela3[[#This Row],[Lucro Líquido]]/Tabela3[[#This Row],[Total Ações]]</f>
        <v>-0.17595208789505115</v>
      </c>
      <c r="V17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8" s="48">
        <f>[Div Base]*[Ações]</f>
        <v>0</v>
      </c>
      <c r="AA178" s="48">
        <f>SUMPRODUCT(N([Nome]=Tabela3[[#This Row],[Nome]]),[Div Base]*[Ações])</f>
        <v>0</v>
      </c>
      <c r="AB178" s="89">
        <f>[Patrimônio Líquido]/[Total Ações]</f>
        <v>1.3032274995031412</v>
      </c>
      <c r="AC178" s="53">
        <f>MAX(Tabela3[[#This Row],[Cotação 1]:[Cotação 3]])</f>
        <v>1.7</v>
      </c>
      <c r="AD178" s="54">
        <f>[Cotação]/[VPA]</f>
        <v>1.3044537508977745</v>
      </c>
      <c r="AE178" s="38">
        <f>IF(Tabela3[[#This Row],[Lucro/Ação]]&gt;0,Tabela3[[#This Row],[Cotação]]/(Tabela3[[#This Row],[Lucro/Ação]]/[Ref]*4),0)</f>
        <v>0</v>
      </c>
      <c r="AF178" s="67">
        <f>IF([Div. Mínimo]=0,0,[Lucro Distribuir]*#REF!/[Total Ações])</f>
        <v>0</v>
      </c>
      <c r="AG178" s="95">
        <f>[Lucro Distribuir]/[Total Ações]</f>
        <v>0</v>
      </c>
      <c r="AH17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8" s="10" t="str">
        <f>IF(AND([% A.A.]&gt;=8%,SUMPRODUCT(N([Nome]=Tabela3[[#This Row],[Nome]]),[PL])&gt;0),"Sim","Não")</f>
        <v>Não</v>
      </c>
      <c r="AJ178" s="22">
        <f>IF([Cotação]&gt;0,Tabela3[[#This Row],[Lucro]]/Tabela3[[#This Row],[Cotação]],0)</f>
        <v>0</v>
      </c>
      <c r="AK178" s="22">
        <f>((1+Tabela3[[#This Row],[% Yield]])^(1/(3*Tabela3[[#This Row],[Ref]])))^(12)-1</f>
        <v>0</v>
      </c>
      <c r="AL178" s="10">
        <f>IF([Cotação]&gt;0,($AR$1/Tabela3[[#This Row],[Cotação]]-MOD($AR$1/Tabela3[[#This Row],[Cotação]],100)),)</f>
        <v>100</v>
      </c>
      <c r="AM178" s="7">
        <f>Tabela3[[#This Row],[Ativos]]*[Lucro]</f>
        <v>0</v>
      </c>
      <c r="AN178" s="7">
        <f>SUMPRODUCT(N(Tabela1[Código]=Tabela3[[#This Row],[PAPEL]]),Tabela1[Fechamento])</f>
        <v>0</v>
      </c>
      <c r="AO178" s="7">
        <f>SUMPRODUCT(N(Tabela17[Código]=Tabela3[[#This Row],[PAPEL]]),Tabela17[Fechamento])</f>
        <v>1.7</v>
      </c>
      <c r="AP178" s="7">
        <f>SUMPRODUCT(N(Tabela176[Código]=Tabela3[[#This Row],[PAPEL]]),Tabela176[Fechamento])</f>
        <v>0</v>
      </c>
    </row>
    <row r="179" spans="1:42" hidden="1">
      <c r="A179" s="4" t="s">
        <v>313</v>
      </c>
      <c r="B179" s="65" t="s">
        <v>603</v>
      </c>
      <c r="C179" s="15" t="str">
        <f>LEFT([PAPEL],LEN([PAPEL])-(LEN([PAPEL])-4))</f>
        <v>LFFE</v>
      </c>
      <c r="D179" s="15">
        <v>3</v>
      </c>
      <c r="E179" s="5">
        <v>226047458.49000001</v>
      </c>
      <c r="F179" s="8">
        <v>207125185</v>
      </c>
      <c r="G179" s="106">
        <v>0.25</v>
      </c>
      <c r="H179" s="19"/>
      <c r="I179" s="19"/>
      <c r="J179" s="19">
        <v>0.1</v>
      </c>
      <c r="K179" s="108"/>
      <c r="L179" s="108"/>
      <c r="M179" s="112">
        <v>708697000</v>
      </c>
      <c r="N179" s="88">
        <v>-95683000</v>
      </c>
      <c r="O179" s="13">
        <f>Tabela3[[#This Row],[Capital Social]]*20%</f>
        <v>45209491.698000006</v>
      </c>
      <c r="P179" s="13">
        <f>IF(([Lucro Líquido]*5%)&gt;[Teto R. Legal],[Teto R. Legal],[Lucro Líquido]*5%)</f>
        <v>-4784150</v>
      </c>
      <c r="Q179" s="13">
        <f>IF([Lucro Líquido]&lt;0,0,[Lucro Líquido]-[Reserva Legal])</f>
        <v>0</v>
      </c>
      <c r="R179" s="13">
        <f>Tabela3[[#This Row],[Lucro Distribuir]]*[%Div]</f>
        <v>0</v>
      </c>
      <c r="S179" s="57">
        <f>SUMPRODUCT(N([Nome]=Tabela3[[#This Row],[Nome]]),[Ações])</f>
        <v>543801447</v>
      </c>
      <c r="T179" s="6">
        <f>[Capital Social]/[Total Ações]</f>
        <v>0.41568013424208489</v>
      </c>
      <c r="U179" s="96">
        <f>Tabela3[[#This Row],[Lucro Líquido]]/Tabela3[[#This Row],[Total Ações]]</f>
        <v>-0.17595208789505115</v>
      </c>
      <c r="V1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9" s="13">
        <f>[Div Base]*[Ações]</f>
        <v>0</v>
      </c>
      <c r="AA179" s="13">
        <f>SUMPRODUCT(N([Nome]=Tabela3[[#This Row],[Nome]]),[Div Base]*[Ações])</f>
        <v>0</v>
      </c>
      <c r="AB179" s="113">
        <f>[Patrimônio Líquido]/[Total Ações]</f>
        <v>1.3032274995031412</v>
      </c>
      <c r="AC179" s="49">
        <f>MAX(Tabela3[[#This Row],[Cotação 1]:[Cotação 3]])</f>
        <v>3.69</v>
      </c>
      <c r="AD179" s="45">
        <f>[Cotação]/[VPA]</f>
        <v>2.8314319651839925</v>
      </c>
      <c r="AE179" s="41">
        <f>IF(Tabela3[[#This Row],[Lucro/Ação]]&gt;0,Tabela3[[#This Row],[Cotação]]/(Tabela3[[#This Row],[Lucro/Ação]]/[Ref]*4),0)</f>
        <v>0</v>
      </c>
      <c r="AF179" s="109">
        <f>IF([Div. Mínimo]=0,0,[Lucro Distribuir]*#REF!/[Total Ações])</f>
        <v>0</v>
      </c>
      <c r="AG179" s="96">
        <f>[Lucro Distribuir]/[Total Ações]</f>
        <v>0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9" s="14" t="str">
        <f>IF(AND([% A.A.]&gt;=8%,SUMPRODUCT(N([Nome]=Tabela3[[#This Row],[Nome]]),[PL])&gt;0),"Sim","Não")</f>
        <v>Não</v>
      </c>
      <c r="AJ179" s="43">
        <f>IF([Cotação]&gt;0,Tabela3[[#This Row],[Lucro]]/Tabela3[[#This Row],[Cotação]],0)</f>
        <v>0</v>
      </c>
      <c r="AK179" s="43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7">
        <f>SUMPRODUCT(N(Tabela1[Código]=Tabela3[[#This Row],[PAPEL]]),Tabela1[Fechamento])</f>
        <v>0</v>
      </c>
      <c r="AO179" s="17">
        <f>SUMPRODUCT(N(Tabela17[Código]=Tabela3[[#This Row],[PAPEL]]),Tabela17[Fechamento])</f>
        <v>3.69</v>
      </c>
      <c r="AP179" s="7">
        <f>SUMPRODUCT(N(Tabela176[Código]=Tabela3[[#This Row],[PAPEL]]),Tabela176[Fechamento])</f>
        <v>0</v>
      </c>
    </row>
    <row r="180" spans="1:42" hidden="1">
      <c r="A180" s="4" t="s">
        <v>12</v>
      </c>
      <c r="B180" s="69" t="s">
        <v>55</v>
      </c>
      <c r="C180" s="44" t="str">
        <f>LEFT([PAPEL],LEN([PAPEL])-(LEN([PAPEL])-4))</f>
        <v>LIGT</v>
      </c>
      <c r="D180" s="16">
        <v>3</v>
      </c>
      <c r="E180" s="5">
        <v>2225822197.8899999</v>
      </c>
      <c r="F180" s="57">
        <v>203934060</v>
      </c>
      <c r="G180" s="100">
        <v>0.25</v>
      </c>
      <c r="H180" s="18"/>
      <c r="I180" s="18"/>
      <c r="K180" s="107"/>
      <c r="L180" s="107"/>
      <c r="M180" s="110">
        <v>3392238000</v>
      </c>
      <c r="N180" s="110">
        <v>458325000</v>
      </c>
      <c r="O180" s="6">
        <f>Tabela3[[#This Row],[Capital Social]]*20%</f>
        <v>445164439.57800001</v>
      </c>
      <c r="P180" s="6">
        <f>IF(([Lucro Líquido]*5%)&gt;[Teto R. Legal],[Teto R. Legal],[Lucro Líquido]*5%)</f>
        <v>22916250</v>
      </c>
      <c r="Q180" s="110">
        <f>IF([Lucro Líquido]&lt;0,0,[Lucro Líquido]-[Reserva Legal])</f>
        <v>435408750</v>
      </c>
      <c r="R180" s="110">
        <f>Tabela3[[#This Row],[Lucro Distribuir]]*[%Div]</f>
        <v>108852187.5</v>
      </c>
      <c r="S180" s="57">
        <f>SUMPRODUCT(N([Nome]=Tabela3[[#This Row],[Nome]]),[Ações])</f>
        <v>203934060</v>
      </c>
      <c r="T180" s="6">
        <f>[Capital Social]/[Total Ações]</f>
        <v>10.914421053010958</v>
      </c>
      <c r="U180" s="96">
        <f>Tabela3[[#This Row],[Lucro Líquido]]/Tabela3[[#This Row],[Total Ações]]</f>
        <v>2.2474176211663712</v>
      </c>
      <c r="V1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80" s="6">
        <f>[Div Base]*[Ações]</f>
        <v>108852187.5</v>
      </c>
      <c r="AA180" s="6">
        <f>SUMPRODUCT(N([Nome]=Tabela3[[#This Row],[Nome]]),[Div Base]*[Ações])</f>
        <v>108852187.5</v>
      </c>
      <c r="AB180" s="110">
        <f>[Patrimônio Líquido]/[Total Ações]</f>
        <v>16.633994341112025</v>
      </c>
      <c r="AC180" s="40">
        <f>MAX(Tabela3[[#This Row],[Cotação 1]:[Cotação 3]])</f>
        <v>19.399999999999999</v>
      </c>
      <c r="AD180" s="45">
        <f>[Cotação]/[VPA]</f>
        <v>1.1662863171746791</v>
      </c>
      <c r="AE180" s="41">
        <f>IF(Tabela3[[#This Row],[Lucro/Ação]]&gt;0,Tabela3[[#This Row],[Cotação]]/(Tabela3[[#This Row],[Lucro/Ação]]/[Ref]*4),0)</f>
        <v>6.4740971428571417</v>
      </c>
      <c r="AF180" s="93" t="e">
        <f>IF([Div. Mínimo]=0,0,[Lucro Distribuir]*#REF!/[Total Ações])</f>
        <v>#REF!</v>
      </c>
      <c r="AG180" s="96">
        <f>[Lucro Distribuir]/[Total Ações]</f>
        <v>2.1350467401080526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80" s="14" t="str">
        <f>IF(AND([% A.A.]&gt;=8%,SUMPRODUCT(N([Nome]=Tabela3[[#This Row],[Nome]]),[PL])&gt;0),"Sim","Não")</f>
        <v>Não</v>
      </c>
      <c r="AJ180" s="42">
        <f>IF([Cotação]&gt;0,Tabela3[[#This Row],[Lucro]]/Tabela3[[#This Row],[Cotação]],0)</f>
        <v>2.7513488918918205E-2</v>
      </c>
      <c r="AK180" s="19">
        <f>((1+Tabela3[[#This Row],[% Yield]])^(1/(3*Tabela3[[#This Row],[Ref]])))^(12)-1</f>
        <v>3.6851855454994364E-2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5">
        <f>SUMPRODUCT(N(Tabela1[Código]=Tabela3[[#This Row],[PAPEL]]),Tabela1[Fechamento])</f>
        <v>19.399999999999999</v>
      </c>
      <c r="AO180" s="5">
        <f>SUMPRODUCT(N(Tabela17[Código]=Tabela3[[#This Row],[PAPEL]]),Tabela17[Fechamento])</f>
        <v>0</v>
      </c>
      <c r="AP180" s="7">
        <f>SUMPRODUCT(N(Tabela176[Código]=Tabela3[[#This Row],[PAPEL]]),Tabela176[Fechamento])</f>
        <v>0</v>
      </c>
    </row>
    <row r="181" spans="1:42" hidden="1">
      <c r="A181" s="4" t="s">
        <v>639</v>
      </c>
      <c r="B181" s="65" t="s">
        <v>640</v>
      </c>
      <c r="C181" s="15" t="str">
        <f>LEFT([PAPEL],LEN([PAPEL])-(LEN([PAPEL])-4))</f>
        <v>LINX</v>
      </c>
      <c r="D181" s="15">
        <v>3</v>
      </c>
      <c r="E181" s="6">
        <v>346482097.77999997</v>
      </c>
      <c r="F181" s="8">
        <v>46556463</v>
      </c>
      <c r="G181" s="106">
        <v>0.25</v>
      </c>
      <c r="H181" s="15"/>
      <c r="I181" s="19"/>
      <c r="J181" s="19"/>
      <c r="K181" s="108"/>
      <c r="L181" s="108"/>
      <c r="M181" s="6">
        <v>582947000</v>
      </c>
      <c r="N181" s="115">
        <v>44314000</v>
      </c>
      <c r="O181" s="13">
        <f>Tabela3[[#This Row],[Capital Social]]*20%</f>
        <v>69296419.555999994</v>
      </c>
      <c r="P181" s="13">
        <f>IF(([Lucro Líquido]*5%)&gt;[Teto R. Legal],[Teto R. Legal],[Lucro Líquido]*5%)</f>
        <v>2215700</v>
      </c>
      <c r="Q181" s="13">
        <f>IF([Lucro Líquido]&lt;0,0,[Lucro Líquido]-[Reserva Legal])</f>
        <v>42098300</v>
      </c>
      <c r="R181" s="13">
        <f>Tabela3[[#This Row],[Lucro Distribuir]]*[%Div]</f>
        <v>10524575</v>
      </c>
      <c r="S181" s="57">
        <f>SUMPRODUCT(N([Nome]=Tabela3[[#This Row],[Nome]]),[Ações])</f>
        <v>46556463</v>
      </c>
      <c r="T181" s="6">
        <f>[Capital Social]/[Total Ações]</f>
        <v>7.4421911686031645</v>
      </c>
      <c r="U181" s="96">
        <f>Tabela3[[#This Row],[Lucro Líquido]]/Tabela3[[#This Row],[Total Ações]]</f>
        <v>0.9518334758377156</v>
      </c>
      <c r="V1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0.22606045051145746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81" s="13">
        <f>[Div Base]*[Ações]</f>
        <v>10524575</v>
      </c>
      <c r="AA181" s="13">
        <f>SUMPRODUCT(N([Nome]=Tabela3[[#This Row],[Nome]]),[Div Base]*[Ações])</f>
        <v>10524575</v>
      </c>
      <c r="AB181" s="113">
        <f>[Patrimônio Líquido]/[Total Ações]</f>
        <v>12.521290545632731</v>
      </c>
      <c r="AC181" s="49">
        <f>MAX(Tabela3[[#This Row],[Cotação 1]:[Cotação 3]])</f>
        <v>41.46</v>
      </c>
      <c r="AD181" s="45">
        <f>[Cotação]/[VPA]</f>
        <v>3.3111602872645367</v>
      </c>
      <c r="AE181" s="41">
        <f>IF(Tabela3[[#This Row],[Lucro/Ação]]&gt;0,Tabela3[[#This Row],[Cotação]]/(Tabela3[[#This Row],[Lucro/Ação]]/[Ref]*4),0)</f>
        <v>32.668529516292821</v>
      </c>
      <c r="AF181" s="109" t="e">
        <f>IF([Div. Mínimo]=0,0,[Lucro Distribuir]*#REF!/[Total Ações])</f>
        <v>#REF!</v>
      </c>
      <c r="AG181" s="96">
        <f>[Lucro Distribuir]/[Total Ações]</f>
        <v>0.90424180204582982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81" s="14" t="str">
        <f>IF(AND([% A.A.]&gt;=8%,SUMPRODUCT(N([Nome]=Tabela3[[#This Row],[Nome]]),[PL])&gt;0),"Sim","Não")</f>
        <v>Não</v>
      </c>
      <c r="AJ181" s="43">
        <f>IF([Cotação]&gt;0,Tabela3[[#This Row],[Lucro]]/Tabela3[[#This Row],[Cotação]],0)</f>
        <v>5.4524951884094902E-3</v>
      </c>
      <c r="AK181" s="43">
        <f>((1+Tabela3[[#This Row],[% Yield]])^(1/(3*Tabela3[[#This Row],[Ref]])))^(12)-1</f>
        <v>7.2765921985298299E-3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0</v>
      </c>
      <c r="AP181" s="17">
        <f>SUMPRODUCT(N(Tabela176[Código]=Tabela3[[#This Row],[PAPEL]]),Tabela176[Fechamento])</f>
        <v>41.46</v>
      </c>
    </row>
    <row r="182" spans="1:42" hidden="1">
      <c r="A182" s="4" t="s">
        <v>12</v>
      </c>
      <c r="B182" s="69" t="s">
        <v>174</v>
      </c>
      <c r="C182" s="14" t="str">
        <f>LEFT([PAPEL],LEN([PAPEL])-(LEN([PAPEL])-4))</f>
        <v>LIPR</v>
      </c>
      <c r="D182" s="15">
        <v>3</v>
      </c>
      <c r="E182" s="6">
        <v>118054887.48</v>
      </c>
      <c r="F182" s="8">
        <v>11764889</v>
      </c>
      <c r="G182" s="106">
        <v>0.25</v>
      </c>
      <c r="H182" s="15"/>
      <c r="I182" s="19"/>
      <c r="J182" s="19"/>
      <c r="K182" s="108"/>
      <c r="L182" s="108"/>
      <c r="M182" s="110">
        <v>143016000</v>
      </c>
      <c r="N182" s="110">
        <v>5000000</v>
      </c>
      <c r="O182" s="6">
        <f>Tabela3[[#This Row],[Capital Social]]*20%</f>
        <v>23610977.496000003</v>
      </c>
      <c r="P182" s="6">
        <f>IF(([Lucro Líquido]*5%)&gt;[Teto R. Legal],[Teto R. Legal],[Lucro Líquido]*5%)</f>
        <v>250000</v>
      </c>
      <c r="Q182" s="110">
        <f>IF([Lucro Líquido]&lt;0,0,[Lucro Líquido]-[Reserva Legal])</f>
        <v>4750000</v>
      </c>
      <c r="R182" s="110">
        <f>Tabela3[[#This Row],[Lucro Distribuir]]*[%Div]</f>
        <v>1187500</v>
      </c>
      <c r="S182" s="57">
        <f>SUMPRODUCT(N([Nome]=Tabela3[[#This Row],[Nome]]),[Ações])</f>
        <v>11764889</v>
      </c>
      <c r="T182" s="6">
        <f>[Capital Social]/[Total Ações]</f>
        <v>10.034509248663545</v>
      </c>
      <c r="U182" s="96">
        <f>Tabela3[[#This Row],[Lucro Líquido]]/Tabela3[[#This Row],[Total Ações]]</f>
        <v>0.4249933849779628</v>
      </c>
      <c r="V1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82" s="6">
        <f>[Div Base]*[Ações]</f>
        <v>1187500</v>
      </c>
      <c r="AA182" s="6">
        <f>SUMPRODUCT(N([Nome]=Tabela3[[#This Row],[Nome]]),[Div Base]*[Ações])</f>
        <v>1187500</v>
      </c>
      <c r="AB182" s="110">
        <f>[Patrimônio Líquido]/[Total Ações]</f>
        <v>12.156170789201665</v>
      </c>
      <c r="AC182" s="49">
        <f>MAX(Tabela3[[#This Row],[Cotação 1]:[Cotação 3]])</f>
        <v>49.6</v>
      </c>
      <c r="AD182" s="45">
        <f>[Cotação]/[VPA]</f>
        <v>4.0802322425462894</v>
      </c>
      <c r="AE182" s="41">
        <f>IF(Tabela3[[#This Row],[Lucro/Ação]]&gt;0,Tabela3[[#This Row],[Cotação]]/(Tabela3[[#This Row],[Lucro/Ação]]/[Ref]*4),0)</f>
        <v>87.530774160000007</v>
      </c>
      <c r="AF182" s="41" t="e">
        <f>IF([Div. Mínimo]=0,0,[Lucro Distribuir]*#REF!/[Total Ações])</f>
        <v>#REF!</v>
      </c>
      <c r="AG182" s="96">
        <f>[Lucro Distribuir]/[Total Ações]</f>
        <v>0.4037437157290647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82" s="15" t="str">
        <f>IF(AND([% A.A.]&gt;=8%,SUMPRODUCT(N([Nome]=Tabela3[[#This Row],[Nome]]),[PL])&gt;0),"Sim","Não")</f>
        <v>Não</v>
      </c>
      <c r="AJ182" s="43">
        <f>IF([Cotação]&gt;0,Tabela3[[#This Row],[Lucro]]/Tabela3[[#This Row],[Cotação]],0)</f>
        <v>2.0349985671827856E-3</v>
      </c>
      <c r="AK182" s="19">
        <f>((1+Tabela3[[#This Row],[% Yield]])^(1/(3*Tabela3[[#This Row],[Ref]])))^(12)-1</f>
        <v>2.7142512780218286E-3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49.6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349</v>
      </c>
      <c r="B183" s="65" t="s">
        <v>352</v>
      </c>
      <c r="C183" s="101" t="str">
        <f>LEFT([PAPEL],LEN([PAPEL])-(LEN([PAPEL])-4))</f>
        <v>MAGG</v>
      </c>
      <c r="D183" s="15">
        <v>3</v>
      </c>
      <c r="E183" s="6">
        <v>2528146113.6500001</v>
      </c>
      <c r="F183" s="8">
        <v>291981934</v>
      </c>
      <c r="G183" s="100">
        <v>0.25</v>
      </c>
      <c r="H183" s="15"/>
      <c r="I183" s="19"/>
      <c r="J183" s="19"/>
      <c r="K183" s="108"/>
      <c r="L183" s="108"/>
      <c r="M183" s="6">
        <v>2907030000</v>
      </c>
      <c r="N183" s="6">
        <v>25088000</v>
      </c>
      <c r="O183" s="6">
        <f>Tabela3[[#This Row],[Capital Social]]*20%</f>
        <v>505629222.73000002</v>
      </c>
      <c r="P183" s="6">
        <f>IF(([Lucro Líquido]*5%)&gt;[Teto R. Legal],[Teto R. Legal],[Lucro Líquido]*5%)</f>
        <v>1254400</v>
      </c>
      <c r="Q183" s="6">
        <f>IF([Lucro Líquido]&lt;0,0,[Lucro Líquido]-[Reserva Legal])</f>
        <v>23833600</v>
      </c>
      <c r="R183" s="6">
        <f>Tabela3[[#This Row],[Lucro Distribuir]]*[%Div]</f>
        <v>5958400</v>
      </c>
      <c r="S183" s="21">
        <f>SUMPRODUCT(N([Nome]=Tabela3[[#This Row],[Nome]]),[Ações])</f>
        <v>291981934</v>
      </c>
      <c r="T183" s="6">
        <f>[Capital Social]/[Total Ações]</f>
        <v>8.6585703403485237</v>
      </c>
      <c r="U183" s="96">
        <f>Tabela3[[#This Row],[Lucro Líquido]]/Tabela3[[#This Row],[Total Ações]]</f>
        <v>8.5923124271106446E-2</v>
      </c>
      <c r="V1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83" s="6">
        <f>[Div Base]*[Ações]</f>
        <v>5958400</v>
      </c>
      <c r="AA183" s="6">
        <f>SUMPRODUCT(N([Nome]=Tabela3[[#This Row],[Nome]]),[Div Base]*[Ações])</f>
        <v>5958400</v>
      </c>
      <c r="AB183" s="6">
        <f>[Patrimônio Líquido]/[Total Ações]</f>
        <v>9.9561981803983812</v>
      </c>
      <c r="AC183" s="49">
        <f>MAX(Tabela3[[#This Row],[Cotação 1]:[Cotação 3]])</f>
        <v>5.3</v>
      </c>
      <c r="AD183" s="45">
        <f>[Cotação]/[VPA]</f>
        <v>0.53233170975187727</v>
      </c>
      <c r="AE183" s="41">
        <f>IF(Tabela3[[#This Row],[Lucro/Ação]]&gt;0,Tabela3[[#This Row],[Cotação]]/(Tabela3[[#This Row],[Lucro/Ação]]/[Ref]*4),0)</f>
        <v>46.262284265385837</v>
      </c>
      <c r="AF183" s="41" t="e">
        <f>IF([Div. Mínimo]=0,0,[Lucro Distribuir]*#REF!/[Total Ações])</f>
        <v>#REF!</v>
      </c>
      <c r="AG183" s="96">
        <f>[Lucro Distribuir]/[Total Ações]</f>
        <v>8.1626968057551125E-2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83" s="15" t="str">
        <f>IF(AND([% A.A.]&gt;=8%,SUMPRODUCT(N([Nome]=Tabela3[[#This Row],[Nome]]),[PL])&gt;0),"Sim","Não")</f>
        <v>Não</v>
      </c>
      <c r="AJ183" s="43">
        <f>IF([Cotação]&gt;0,Tabela3[[#This Row],[Lucro]]/Tabela3[[#This Row],[Cotação]],0)</f>
        <v>3.8503286819599586E-3</v>
      </c>
      <c r="AK183" s="19">
        <f>((1+Tabela3[[#This Row],[% Yield]])^(1/(3*Tabela3[[#This Row],[Ref]])))^(12)-1</f>
        <v>5.1370632129574822E-3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13">
        <f>SUMPRODUCT(N(Tabela1[Código]=Tabela3[[#This Row],[PAPEL]]),Tabela1[Fechamento])</f>
        <v>0</v>
      </c>
      <c r="AO183" s="56">
        <f>SUMPRODUCT(N(Tabela17[Código]=Tabela3[[#This Row],[PAPEL]]),Tabela17[Fechamento])</f>
        <v>5.3</v>
      </c>
      <c r="AP183" s="7">
        <f>SUMPRODUCT(N(Tabela176[Código]=Tabela3[[#This Row],[PAPEL]]),Tabela176[Fechamento])</f>
        <v>0</v>
      </c>
    </row>
    <row r="184" spans="1:42" hidden="1">
      <c r="A184" s="4" t="s">
        <v>390</v>
      </c>
      <c r="B184" s="65" t="s">
        <v>388</v>
      </c>
      <c r="C184" s="14" t="str">
        <f>LEFT([PAPEL],LEN([PAPEL])-(LEN([PAPEL])-4))</f>
        <v>MERC</v>
      </c>
      <c r="D184" s="15">
        <v>3</v>
      </c>
      <c r="E184" s="6">
        <v>75263993.599999994</v>
      </c>
      <c r="F184" s="8">
        <v>6646956</v>
      </c>
      <c r="G184" s="106">
        <v>0.25</v>
      </c>
      <c r="H184" s="15"/>
      <c r="I184" s="19"/>
      <c r="J184" s="19"/>
      <c r="K184" s="108"/>
      <c r="L184" s="108"/>
      <c r="M184" s="5">
        <v>162348000</v>
      </c>
      <c r="N184" s="5">
        <v>18569000</v>
      </c>
      <c r="O184" s="6">
        <f>Tabela3[[#This Row],[Capital Social]]*20%</f>
        <v>15052798.719999999</v>
      </c>
      <c r="P184" s="6">
        <f>IF(([Lucro Líquido]*5%)&gt;[Teto R. Legal],[Teto R. Legal],[Lucro Líquido]*5%)</f>
        <v>928450</v>
      </c>
      <c r="Q184" s="6">
        <f>IF([Lucro Líquido]&lt;0,0,[Lucro Líquido]-[Reserva Legal])</f>
        <v>17640550</v>
      </c>
      <c r="R184" s="6">
        <f>Tabela3[[#This Row],[Lucro Distribuir]]*[%Div]</f>
        <v>4410137.5</v>
      </c>
      <c r="S184" s="57">
        <f>SUMPRODUCT(N([Nome]=Tabela3[[#This Row],[Nome]]),[Ações])</f>
        <v>11759999</v>
      </c>
      <c r="T184" s="6">
        <f>[Capital Social]/[Total Ações]</f>
        <v>6.3999999999999995</v>
      </c>
      <c r="U184" s="96">
        <f>Tabela3[[#This Row],[Lucro Líquido]]/Tabela3[[#This Row],[Total Ações]]</f>
        <v>1.5789967329078856</v>
      </c>
      <c r="V1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0.36334368331035932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0.36809766575858183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0.36334368331035932</v>
      </c>
      <c r="Z184" s="6">
        <f>[Div Base]*[Ações]</f>
        <v>2415129.4758418929</v>
      </c>
      <c r="AA184" s="6">
        <f>SUMPRODUCT(N([Nome]=Tabela3[[#This Row],[Nome]]),[Div Base]*[Ações])</f>
        <v>4458700.5428400459</v>
      </c>
      <c r="AB184" s="6">
        <f>[Patrimônio Líquido]/[Total Ações]</f>
        <v>13.805103214719662</v>
      </c>
      <c r="AC184" s="49">
        <f>MAX(Tabela3[[#This Row],[Cotação 1]:[Cotação 3]])</f>
        <v>83.91</v>
      </c>
      <c r="AD184" s="45">
        <f>[Cotação]/[VPA]</f>
        <v>6.0781870801611353</v>
      </c>
      <c r="AE184" s="41">
        <f>IF(Tabela3[[#This Row],[Lucro/Ação]]&gt;0,Tabela3[[#This Row],[Cotação]]/(Tabela3[[#This Row],[Lucro/Ação]]/[Ref]*4),0)</f>
        <v>39.856003934918412</v>
      </c>
      <c r="AF184" s="41" t="e">
        <f>IF([Div. Mínimo]=0,0,[Lucro Distribuir]*#REF!/[Total Ações])</f>
        <v>#REF!</v>
      </c>
      <c r="AG184" s="96">
        <f>[Lucro Distribuir]/[Total Ações]</f>
        <v>1.5000468962624911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0.36334368331035932</v>
      </c>
      <c r="AI184" s="15" t="str">
        <f>IF(AND([% A.A.]&gt;=8%,SUMPRODUCT(N([Nome]=Tabela3[[#This Row],[Nome]]),[PL])&gt;0),"Sim","Não")</f>
        <v>Não</v>
      </c>
      <c r="AJ184" s="43">
        <f>IF([Cotação]&gt;0,Tabela3[[#This Row],[Lucro]]/Tabela3[[#This Row],[Cotação]],0)</f>
        <v>4.3301594960119096E-3</v>
      </c>
      <c r="AK184" s="19">
        <f>((1+Tabela3[[#This Row],[% Yield]])^(1/(3*Tabela3[[#This Row],[Ref]])))^(12)-1</f>
        <v>5.7777087216022149E-3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5">
        <f>SUMPRODUCT(N(Tabela1[Código]=Tabela3[[#This Row],[PAPEL]]),Tabela1[Fechamento])</f>
        <v>0</v>
      </c>
      <c r="AO184" s="5">
        <f>SUMPRODUCT(N(Tabela17[Código]=Tabela3[[#This Row],[PAPEL]]),Tabela17[Fechamento])</f>
        <v>83.91</v>
      </c>
      <c r="AP184" s="7">
        <f>SUMPRODUCT(N(Tabela176[Código]=Tabela3[[#This Row],[PAPEL]]),Tabela176[Fechamento])</f>
        <v>0</v>
      </c>
    </row>
    <row r="185" spans="1:42">
      <c r="A185" s="4" t="s">
        <v>14</v>
      </c>
      <c r="B185" s="65" t="s">
        <v>210</v>
      </c>
      <c r="C185" s="14" t="str">
        <f>LEFT([PAPEL],LEN([PAPEL])-(LEN([PAPEL])-4))</f>
        <v>BRIV</v>
      </c>
      <c r="D185" s="15">
        <v>3</v>
      </c>
      <c r="E185" s="6">
        <v>524000000</v>
      </c>
      <c r="F185" s="8">
        <v>36275493</v>
      </c>
      <c r="G185" s="100">
        <v>0.25</v>
      </c>
      <c r="H185" s="15"/>
      <c r="I185" s="19">
        <v>0.06</v>
      </c>
      <c r="J185" s="19"/>
      <c r="K185" s="108"/>
      <c r="L185" s="108"/>
      <c r="M185" s="6">
        <v>1179411000</v>
      </c>
      <c r="N185" s="6">
        <v>46761000</v>
      </c>
      <c r="O185" s="6">
        <f>Tabela3[[#This Row],[Capital Social]]*20%</f>
        <v>104800000</v>
      </c>
      <c r="P185" s="6">
        <f>IF(([Lucro Líquido]*5%)&gt;[Teto R. Legal],[Teto R. Legal],[Lucro Líquido]*5%)</f>
        <v>2338050</v>
      </c>
      <c r="Q185" s="6">
        <f>IF([Lucro Líquido]&lt;0,0,[Lucro Líquido]-[Reserva Legal])</f>
        <v>44422950</v>
      </c>
      <c r="R185" s="6">
        <f>Tabela3[[#This Row],[Lucro Distribuir]]*[%Div]</f>
        <v>11105737.5</v>
      </c>
      <c r="S185" s="21">
        <f>SUMPRODUCT(N([Nome]=Tabela3[[#This Row],[Nome]]),[Ações])</f>
        <v>90224492</v>
      </c>
      <c r="T185" s="6">
        <f>[Capital Social]/[Total Ações]</f>
        <v>5.8077356645022729</v>
      </c>
      <c r="U185" s="96">
        <f>Tabela3[[#This Row],[Lucro Líquido]]/Tabela3[[#This Row],[Total Ações]]</f>
        <v>0.51827390726677625</v>
      </c>
      <c r="V1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1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1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185" s="6">
        <f>[Div Base]*[Ações]</f>
        <v>12640708.466610152</v>
      </c>
      <c r="AA185" s="6">
        <f>SUMPRODUCT(N([Nome]=Tabela3[[#This Row],[Nome]]),[Div Base]*[Ações])</f>
        <v>12640708.466610152</v>
      </c>
      <c r="AB185" s="6">
        <f>[Patrimônio Líquido]/[Total Ações]</f>
        <v>13.071960549248645</v>
      </c>
      <c r="AC185" s="49">
        <f>MAX(Tabela3[[#This Row],[Cotação 1]:[Cotação 3]])</f>
        <v>5.5</v>
      </c>
      <c r="AD185" s="45">
        <f>[Cotação]/[VPA]</f>
        <v>0.42074790382657107</v>
      </c>
      <c r="AE185" s="41">
        <f>IF(Tabela3[[#This Row],[Lucro/Ação]]&gt;0,Tabela3[[#This Row],[Cotação]]/(Tabela3[[#This Row],[Lucro/Ação]]/[Ref]*4),0)</f>
        <v>7.9591118560338758</v>
      </c>
      <c r="AF185" s="41" t="e">
        <f>IF([Div. Mínimo]=0,0,[Lucro Distribuir]*#REF!/[Total Ações])</f>
        <v>#REF!</v>
      </c>
      <c r="AG185" s="96">
        <f>[Lucro Distribuir]/[Total Ações]</f>
        <v>0.49236021190343748</v>
      </c>
      <c r="AH185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185" s="15" t="str">
        <f>IF(AND([% A.A.]&gt;=8%,SUMPRODUCT(N([Nome]=Tabela3[[#This Row],[Nome]]),[PL])&gt;0),"Sim","Não")</f>
        <v>Sim</v>
      </c>
      <c r="AJ185" s="43">
        <f>IF([Cotação]&gt;0,Tabela3[[#This Row],[Lucro]]/Tabela3[[#This Row],[Cotação]],0)</f>
        <v>6.3357116340024791E-2</v>
      </c>
      <c r="AK185" s="19">
        <f>((1+Tabela3[[#This Row],[% Yield]])^(1/(3*Tabela3[[#This Row],[Ref]])))^(12)-1</f>
        <v>8.5355944301339859E-2</v>
      </c>
      <c r="AL185" s="14">
        <f>IF([Cotação]&gt;0,($AR$1/Tabela3[[#This Row],[Cotação]]-MOD($AR$1/Tabela3[[#This Row],[Cotação]],100)),)</f>
        <v>0</v>
      </c>
      <c r="AM185" s="17">
        <f>Tabela3[[#This Row],[Ativos]]*[Lucro]</f>
        <v>0</v>
      </c>
      <c r="AN185" s="5">
        <f>SUMPRODUCT(N(Tabela1[Código]=Tabela3[[#This Row],[PAPEL]]),Tabela1[Fechamento])</f>
        <v>5.5</v>
      </c>
      <c r="AO185" s="5">
        <f>SUMPRODUCT(N(Tabela17[Código]=Tabela3[[#This Row],[PAPEL]]),Tabela17[Fechamento])</f>
        <v>0</v>
      </c>
      <c r="AP185" s="7">
        <f>SUMPRODUCT(N(Tabela176[Código]=Tabela3[[#This Row],[PAPEL]]),Tabela176[Fechamento])</f>
        <v>0</v>
      </c>
    </row>
    <row r="186" spans="1:42" hidden="1">
      <c r="A186" s="4" t="s">
        <v>360</v>
      </c>
      <c r="B186" s="65" t="s">
        <v>687</v>
      </c>
      <c r="C186" s="15" t="str">
        <f>LEFT([PAPEL],LEN([PAPEL])-(LEN([PAPEL])-4))</f>
        <v>MGEL</v>
      </c>
      <c r="D186" s="15">
        <v>3</v>
      </c>
      <c r="E186" s="6">
        <v>171272996.66999999</v>
      </c>
      <c r="F186" s="8">
        <v>6201730</v>
      </c>
      <c r="G186" s="106">
        <v>0.25</v>
      </c>
      <c r="H186" s="9"/>
      <c r="I186" s="19"/>
      <c r="J186" s="19"/>
      <c r="K186" s="108"/>
      <c r="L186" s="108"/>
      <c r="M186" s="114">
        <v>-64885000</v>
      </c>
      <c r="N186" s="115">
        <v>-32917000</v>
      </c>
      <c r="O186" s="13">
        <f>Tabela3[[#This Row],[Capital Social]]*20%</f>
        <v>34254599.333999999</v>
      </c>
      <c r="P186" s="13">
        <f>IF(([Lucro Líquido]*5%)&gt;[Teto R. Legal],[Teto R. Legal],[Lucro Líquido]*5%)</f>
        <v>-1645850</v>
      </c>
      <c r="Q186" s="13">
        <f>IF([Lucro Líquido]&lt;0,0,[Lucro Líquido]-[Reserva Legal])</f>
        <v>0</v>
      </c>
      <c r="R186" s="13">
        <f>Tabela3[[#This Row],[Lucro Distribuir]]*[%Div]</f>
        <v>0</v>
      </c>
      <c r="S186" s="57">
        <f>SUMPRODUCT(N([Nome]=Tabela3[[#This Row],[Nome]]),[Ações])</f>
        <v>17349638</v>
      </c>
      <c r="T186" s="6">
        <f>[Capital Social]/[Total Ações]</f>
        <v>9.871848431073893</v>
      </c>
      <c r="U186" s="96">
        <f>Tabela3[[#This Row],[Lucro Líquido]]/Tabela3[[#This Row],[Total Ações]]</f>
        <v>-1.8972730151487887</v>
      </c>
      <c r="V1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6" s="13">
        <f>[Div Base]*[Ações]</f>
        <v>0</v>
      </c>
      <c r="AA186" s="13">
        <f>SUMPRODUCT(N([Nome]=Tabela3[[#This Row],[Nome]]),[Div Base]*[Ações])</f>
        <v>0</v>
      </c>
      <c r="AB186" s="113">
        <f>[Patrimônio Líquido]/[Total Ações]</f>
        <v>-3.7398474826967569</v>
      </c>
      <c r="AC186" s="49">
        <f>MAX(Tabela3[[#This Row],[Cotação 1]:[Cotação 3]])</f>
        <v>25</v>
      </c>
      <c r="AD186" s="45">
        <f>[Cotação]/[VPA]</f>
        <v>-6.684764583493874</v>
      </c>
      <c r="AE186" s="41">
        <f>IF(Tabela3[[#This Row],[Lucro/Ação]]&gt;0,Tabela3[[#This Row],[Cotação]]/(Tabela3[[#This Row],[Lucro/Ação]]/[Ref]*4),0)</f>
        <v>0</v>
      </c>
      <c r="AF186" s="109">
        <f>IF([Div. Mínimo]=0,0,[Lucro Distribuir]*#REF!/[Total Ações])</f>
        <v>0</v>
      </c>
      <c r="AG186" s="96">
        <f>[Lucro Distribuir]/[Total Ações]</f>
        <v>0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6" s="14" t="str">
        <f>IF(AND([% A.A.]&gt;=8%,SUMPRODUCT(N([Nome]=Tabela3[[#This Row],[Nome]]),[PL])&gt;0),"Sim","Não")</f>
        <v>Não</v>
      </c>
      <c r="AJ186" s="43">
        <f>IF([Cotação]&gt;0,Tabela3[[#This Row],[Lucro]]/Tabela3[[#This Row],[Cotação]],0)</f>
        <v>0</v>
      </c>
      <c r="AK186" s="43">
        <f>((1+Tabela3[[#This Row],[% Yield]])^(1/(3*Tabela3[[#This Row],[Ref]])))^(12)-1</f>
        <v>0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7">
        <f>SUMPRODUCT(N(Tabela1[Código]=Tabela3[[#This Row],[PAPEL]]),Tabela1[Fechamento])</f>
        <v>0</v>
      </c>
      <c r="AO186" s="17">
        <f>SUMPRODUCT(N(Tabela17[Código]=Tabela3[[#This Row],[PAPEL]]),Tabela17[Fechamento])</f>
        <v>0</v>
      </c>
      <c r="AP186" s="17">
        <f>SUMPRODUCT(N(Tabela176[Código]=Tabela3[[#This Row],[PAPEL]]),Tabela176[Fechamento])</f>
        <v>25</v>
      </c>
    </row>
    <row r="187" spans="1:42" hidden="1">
      <c r="A187" s="4" t="s">
        <v>360</v>
      </c>
      <c r="B187" s="65" t="s">
        <v>688</v>
      </c>
      <c r="C187" s="15" t="str">
        <f>LEFT([PAPEL],LEN([PAPEL])-(LEN([PAPEL])-4))</f>
        <v>MGEL</v>
      </c>
      <c r="D187" s="15">
        <v>3</v>
      </c>
      <c r="E187" s="6">
        <v>171272996.66999999</v>
      </c>
      <c r="F187" s="8">
        <v>11147908</v>
      </c>
      <c r="G187" s="106">
        <v>0.25</v>
      </c>
      <c r="H187" s="9"/>
      <c r="I187" s="19"/>
      <c r="J187" s="19">
        <v>0.1</v>
      </c>
      <c r="K187" s="108"/>
      <c r="L187" s="108"/>
      <c r="M187" s="114">
        <v>-64885000</v>
      </c>
      <c r="N187" s="115">
        <v>-32917000</v>
      </c>
      <c r="O187" s="13">
        <f>Tabela3[[#This Row],[Capital Social]]*20%</f>
        <v>34254599.333999999</v>
      </c>
      <c r="P187" s="13">
        <f>IF(([Lucro Líquido]*5%)&gt;[Teto R. Legal],[Teto R. Legal],[Lucro Líquido]*5%)</f>
        <v>-1645850</v>
      </c>
      <c r="Q187" s="13">
        <f>IF([Lucro Líquido]&lt;0,0,[Lucro Líquido]-[Reserva Legal])</f>
        <v>0</v>
      </c>
      <c r="R187" s="13">
        <f>Tabela3[[#This Row],[Lucro Distribuir]]*[%Div]</f>
        <v>0</v>
      </c>
      <c r="S187" s="57">
        <f>SUMPRODUCT(N([Nome]=Tabela3[[#This Row],[Nome]]),[Ações])</f>
        <v>17349638</v>
      </c>
      <c r="T187" s="6">
        <f>[Capital Social]/[Total Ações]</f>
        <v>9.871848431073893</v>
      </c>
      <c r="U187" s="96">
        <f>Tabela3[[#This Row],[Lucro Líquido]]/Tabela3[[#This Row],[Total Ações]]</f>
        <v>-1.8972730151487887</v>
      </c>
      <c r="V1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7" s="13">
        <f>[Div Base]*[Ações]</f>
        <v>0</v>
      </c>
      <c r="AA187" s="13">
        <f>SUMPRODUCT(N([Nome]=Tabela3[[#This Row],[Nome]]),[Div Base]*[Ações])</f>
        <v>0</v>
      </c>
      <c r="AB187" s="113">
        <f>[Patrimônio Líquido]/[Total Ações]</f>
        <v>-3.7398474826967569</v>
      </c>
      <c r="AC187" s="49">
        <f>MAX(Tabela3[[#This Row],[Cotação 1]:[Cotação 3]])</f>
        <v>0.57999999999999996</v>
      </c>
      <c r="AD187" s="45">
        <f>[Cotação]/[VPA]</f>
        <v>-0.15508653833705788</v>
      </c>
      <c r="AE187" s="41">
        <f>IF(Tabela3[[#This Row],[Lucro/Ação]]&gt;0,Tabela3[[#This Row],[Cotação]]/(Tabela3[[#This Row],[Lucro/Ação]]/[Ref]*4),0)</f>
        <v>0</v>
      </c>
      <c r="AF187" s="109">
        <f>IF([Div. Mínimo]=0,0,[Lucro Distribuir]*#REF!/[Total Ações])</f>
        <v>0</v>
      </c>
      <c r="AG187" s="96">
        <f>[Lucro Distribuir]/[Total Ações]</f>
        <v>0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7" s="14" t="str">
        <f>IF(AND([% A.A.]&gt;=8%,SUMPRODUCT(N([Nome]=Tabela3[[#This Row],[Nome]]),[PL])&gt;0),"Sim","Não")</f>
        <v>Não</v>
      </c>
      <c r="AJ187" s="43">
        <f>IF([Cotação]&gt;0,Tabela3[[#This Row],[Lucro]]/Tabela3[[#This Row],[Cotação]],0)</f>
        <v>0</v>
      </c>
      <c r="AK187" s="43">
        <f>((1+Tabela3[[#This Row],[% Yield]])^(1/(3*Tabela3[[#This Row],[Ref]])))^(12)-1</f>
        <v>0</v>
      </c>
      <c r="AL187" s="14">
        <f>IF([Cotação]&gt;0,($AR$1/Tabela3[[#This Row],[Cotação]]-MOD($AR$1/Tabela3[[#This Row],[Cotação]],100)),)</f>
        <v>500</v>
      </c>
      <c r="AM187" s="17">
        <f>Tabela3[[#This Row],[Ativos]]*[Lucro]</f>
        <v>0</v>
      </c>
      <c r="AN187" s="17">
        <f>SUMPRODUCT(N(Tabela1[Código]=Tabela3[[#This Row],[PAPEL]]),Tabela1[Fechamento])</f>
        <v>0</v>
      </c>
      <c r="AO187" s="17">
        <f>SUMPRODUCT(N(Tabela17[Código]=Tabela3[[#This Row],[PAPEL]]),Tabela17[Fechamento])</f>
        <v>0</v>
      </c>
      <c r="AP187" s="17">
        <f>SUMPRODUCT(N(Tabela176[Código]=Tabela3[[#This Row],[PAPEL]]),Tabela176[Fechamento])</f>
        <v>0.57999999999999996</v>
      </c>
    </row>
    <row r="188" spans="1:42" hidden="1">
      <c r="A188" s="4" t="s">
        <v>313</v>
      </c>
      <c r="B188" s="65" t="s">
        <v>595</v>
      </c>
      <c r="C188" s="15" t="str">
        <f>LEFT([PAPEL],LEN([PAPEL])-(LEN([PAPEL])-4))</f>
        <v>MLFT</v>
      </c>
      <c r="D188" s="15">
        <v>3</v>
      </c>
      <c r="E188" s="6">
        <v>784003710.15999997</v>
      </c>
      <c r="F188" s="8">
        <v>385822906</v>
      </c>
      <c r="G188" s="106">
        <v>0.25</v>
      </c>
      <c r="H188" s="19"/>
      <c r="I188" s="19"/>
      <c r="J188" s="19"/>
      <c r="K188" s="108"/>
      <c r="L188" s="108"/>
      <c r="M188" s="114">
        <v>1718473000</v>
      </c>
      <c r="N188" s="115">
        <v>-19305000</v>
      </c>
      <c r="O188" s="13">
        <f>Tabela3[[#This Row],[Capital Social]]*20%</f>
        <v>156800742.03200001</v>
      </c>
      <c r="P188" s="13">
        <f>IF(([Lucro Líquido]*5%)&gt;[Teto R. Legal],[Teto R. Legal],[Lucro Líquido]*5%)</f>
        <v>-965250</v>
      </c>
      <c r="Q188" s="13">
        <f>IF([Lucro Líquido]&lt;0,0,[Lucro Líquido]-[Reserva Legal])</f>
        <v>0</v>
      </c>
      <c r="R188" s="13">
        <f>Tabela3[[#This Row],[Lucro Distribuir]]*[%Div]</f>
        <v>0</v>
      </c>
      <c r="S188" s="57">
        <f>SUMPRODUCT(N([Nome]=Tabela3[[#This Row],[Nome]]),[Ações])</f>
        <v>963938751</v>
      </c>
      <c r="T188" s="6">
        <f>[Capital Social]/[Total Ações]</f>
        <v>0.81333353322155211</v>
      </c>
      <c r="U188" s="96">
        <f>Tabela3[[#This Row],[Lucro Líquido]]/Tabela3[[#This Row],[Total Ações]]</f>
        <v>-2.0027206064672464E-2</v>
      </c>
      <c r="V1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8" s="13">
        <f>[Div Base]*[Ações]</f>
        <v>0</v>
      </c>
      <c r="AA188" s="13">
        <f>SUMPRODUCT(N([Nome]=Tabela3[[#This Row],[Nome]]),[Div Base]*[Ações])</f>
        <v>0</v>
      </c>
      <c r="AB188" s="113">
        <f>[Patrimônio Líquido]/[Total Ações]</f>
        <v>1.782761610338041</v>
      </c>
      <c r="AC188" s="49">
        <f>MAX(Tabela3[[#This Row],[Cotação 1]:[Cotação 3]])</f>
        <v>1.87</v>
      </c>
      <c r="AD188" s="45">
        <f>[Cotação]/[VPA]</f>
        <v>1.0489344111720116</v>
      </c>
      <c r="AE188" s="41">
        <f>IF(Tabela3[[#This Row],[Lucro/Ação]]&gt;0,Tabela3[[#This Row],[Cotação]]/(Tabela3[[#This Row],[Lucro/Ação]]/[Ref]*4),0)</f>
        <v>0</v>
      </c>
      <c r="AF188" s="109">
        <f>IF([Div. Mínimo]=0,0,[Lucro Distribuir]*#REF!/[Total Ações])</f>
        <v>0</v>
      </c>
      <c r="AG188" s="96">
        <f>[Lucro Distribuir]/[Total Ações]</f>
        <v>0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8" s="14" t="str">
        <f>IF(AND([% A.A.]&gt;=8%,SUMPRODUCT(N([Nome]=Tabela3[[#This Row],[Nome]]),[PL])&gt;0),"Sim","Não")</f>
        <v>Não</v>
      </c>
      <c r="AJ188" s="43">
        <f>IF([Cotação]&gt;0,Tabela3[[#This Row],[Lucro]]/Tabela3[[#This Row],[Cotação]],0)</f>
        <v>0</v>
      </c>
      <c r="AK188" s="43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100</v>
      </c>
      <c r="AM188" s="17">
        <f>Tabela3[[#This Row],[Ativos]]*[Lucro]</f>
        <v>0</v>
      </c>
      <c r="AN188" s="17">
        <f>SUMPRODUCT(N(Tabela1[Código]=Tabela3[[#This Row],[PAPEL]]),Tabela1[Fechamento])</f>
        <v>0</v>
      </c>
      <c r="AO188" s="17">
        <f>SUMPRODUCT(N(Tabela17[Código]=Tabela3[[#This Row],[PAPEL]]),Tabela17[Fechamento])</f>
        <v>1.87</v>
      </c>
      <c r="AP188" s="7">
        <f>SUMPRODUCT(N(Tabela176[Código]=Tabela3[[#This Row],[PAPEL]]),Tabela176[Fechamento])</f>
        <v>0</v>
      </c>
    </row>
    <row r="189" spans="1:42" hidden="1">
      <c r="A189" s="4" t="s">
        <v>313</v>
      </c>
      <c r="B189" s="65" t="s">
        <v>596</v>
      </c>
      <c r="C189" s="15" t="str">
        <f>LEFT([PAPEL],LEN([PAPEL])-(LEN([PAPEL])-4))</f>
        <v>MLFT</v>
      </c>
      <c r="D189" s="15">
        <v>3</v>
      </c>
      <c r="E189" s="6">
        <v>784003710.15999997</v>
      </c>
      <c r="F189" s="8">
        <v>578115845</v>
      </c>
      <c r="G189" s="106">
        <v>0.25</v>
      </c>
      <c r="H189" s="19"/>
      <c r="I189" s="19"/>
      <c r="J189" s="19"/>
      <c r="K189" s="108"/>
      <c r="L189" s="108"/>
      <c r="M189" s="114">
        <v>1718473000</v>
      </c>
      <c r="N189" s="115">
        <v>-19305000</v>
      </c>
      <c r="O189" s="13">
        <f>Tabela3[[#This Row],[Capital Social]]*20%</f>
        <v>156800742.03200001</v>
      </c>
      <c r="P189" s="13">
        <f>IF(([Lucro Líquido]*5%)&gt;[Teto R. Legal],[Teto R. Legal],[Lucro Líquido]*5%)</f>
        <v>-965250</v>
      </c>
      <c r="Q189" s="13">
        <f>IF([Lucro Líquido]&lt;0,0,[Lucro Líquido]-[Reserva Legal])</f>
        <v>0</v>
      </c>
      <c r="R189" s="13">
        <f>Tabela3[[#This Row],[Lucro Distribuir]]*[%Div]</f>
        <v>0</v>
      </c>
      <c r="S189" s="57">
        <f>SUMPRODUCT(N([Nome]=Tabela3[[#This Row],[Nome]]),[Ações])</f>
        <v>963938751</v>
      </c>
      <c r="T189" s="6">
        <f>[Capital Social]/[Total Ações]</f>
        <v>0.81333353322155211</v>
      </c>
      <c r="U189" s="96">
        <f>Tabela3[[#This Row],[Lucro Líquido]]/Tabela3[[#This Row],[Total Ações]]</f>
        <v>-2.0027206064672464E-2</v>
      </c>
      <c r="V1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9" s="13">
        <f>[Div Base]*[Ações]</f>
        <v>0</v>
      </c>
      <c r="AA189" s="13">
        <f>SUMPRODUCT(N([Nome]=Tabela3[[#This Row],[Nome]]),[Div Base]*[Ações])</f>
        <v>0</v>
      </c>
      <c r="AB189" s="113">
        <f>[Patrimônio Líquido]/[Total Ações]</f>
        <v>1.782761610338041</v>
      </c>
      <c r="AC189" s="49">
        <f>MAX(Tabela3[[#This Row],[Cotação 1]:[Cotação 3]])</f>
        <v>1.69</v>
      </c>
      <c r="AD189" s="45">
        <f>[Cotação]/[VPA]</f>
        <v>0.94796746250304775</v>
      </c>
      <c r="AE189" s="41">
        <f>IF(Tabela3[[#This Row],[Lucro/Ação]]&gt;0,Tabela3[[#This Row],[Cotação]]/(Tabela3[[#This Row],[Lucro/Ação]]/[Ref]*4),0)</f>
        <v>0</v>
      </c>
      <c r="AF189" s="109">
        <f>IF([Div. Mínimo]=0,0,[Lucro Distribuir]*#REF!/[Total Ações])</f>
        <v>0</v>
      </c>
      <c r="AG189" s="96">
        <f>[Lucro Distribuir]/[Total Ações]</f>
        <v>0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9" s="14" t="str">
        <f>IF(AND([% A.A.]&gt;=8%,SUMPRODUCT(N([Nome]=Tabela3[[#This Row],[Nome]]),[PL])&gt;0),"Sim","Não")</f>
        <v>Não</v>
      </c>
      <c r="AJ189" s="43">
        <f>IF([Cotação]&gt;0,Tabela3[[#This Row],[Lucro]]/Tabela3[[#This Row],[Cotação]],0)</f>
        <v>0</v>
      </c>
      <c r="AK189" s="43">
        <f>((1+Tabela3[[#This Row],[% Yield]])^(1/(3*Tabela3[[#This Row],[Ref]])))^(12)-1</f>
        <v>0</v>
      </c>
      <c r="AL189" s="14">
        <f>IF([Cotação]&gt;0,($AR$1/Tabela3[[#This Row],[Cotação]]-MOD($AR$1/Tabela3[[#This Row],[Cotação]],100)),)</f>
        <v>100</v>
      </c>
      <c r="AM189" s="17">
        <f>Tabela3[[#This Row],[Ativos]]*[Lucro]</f>
        <v>0</v>
      </c>
      <c r="AN189" s="17">
        <f>SUMPRODUCT(N(Tabela1[Código]=Tabela3[[#This Row],[PAPEL]]),Tabela1[Fechamento])</f>
        <v>0</v>
      </c>
      <c r="AO189" s="17">
        <f>SUMPRODUCT(N(Tabela17[Código]=Tabela3[[#This Row],[PAPEL]]),Tabela17[Fechamento])</f>
        <v>1.69</v>
      </c>
      <c r="AP189" s="7">
        <f>SUMPRODUCT(N(Tabela176[Código]=Tabela3[[#This Row],[PAPEL]]),Tabela176[Fechamento])</f>
        <v>0</v>
      </c>
    </row>
    <row r="190" spans="1:42" hidden="1">
      <c r="A190" s="4" t="s">
        <v>354</v>
      </c>
      <c r="B190" s="65" t="s">
        <v>739</v>
      </c>
      <c r="C190" s="15" t="str">
        <f>LEFT([PAPEL],LEN([PAPEL])-(LEN([PAPEL])-4))</f>
        <v>MMXM</v>
      </c>
      <c r="D190" s="15">
        <v>3</v>
      </c>
      <c r="E190" s="6">
        <v>5404850055.3100004</v>
      </c>
      <c r="F190" s="8">
        <v>973227439</v>
      </c>
      <c r="G190" s="106">
        <v>0.25</v>
      </c>
      <c r="H190" s="15"/>
      <c r="I190" s="19"/>
      <c r="J190" s="19"/>
      <c r="K190" s="108"/>
      <c r="L190" s="108"/>
      <c r="M190" s="114">
        <v>1751287000</v>
      </c>
      <c r="N190" s="115">
        <v>-1703865000</v>
      </c>
      <c r="O190" s="13">
        <f>Tabela3[[#This Row],[Capital Social]]*20%</f>
        <v>1080970011.062</v>
      </c>
      <c r="P190" s="13">
        <f>IF(([Lucro Líquido]*5%)&gt;[Teto R. Legal],[Teto R. Legal],[Lucro Líquido]*5%)</f>
        <v>-85193250</v>
      </c>
      <c r="Q190" s="13">
        <f>IF([Lucro Líquido]&lt;0,0,[Lucro Líquido]-[Reserva Legal])</f>
        <v>0</v>
      </c>
      <c r="R190" s="13">
        <f>Tabela3[[#This Row],[Lucro Distribuir]]*[%Div]</f>
        <v>0</v>
      </c>
      <c r="S190" s="57">
        <f>SUMPRODUCT(N([Nome]=Tabela3[[#This Row],[Nome]]),[Ações])</f>
        <v>973227439</v>
      </c>
      <c r="T190" s="6">
        <f>[Capital Social]/[Total Ações]</f>
        <v>5.5535323386109345</v>
      </c>
      <c r="U190" s="96">
        <f>Tabela3[[#This Row],[Lucro Líquido]]/Tabela3[[#This Row],[Total Ações]]</f>
        <v>-1.7507367052358662</v>
      </c>
      <c r="V1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0" s="13">
        <f>[Div Base]*[Ações]</f>
        <v>0</v>
      </c>
      <c r="AA190" s="13">
        <f>SUMPRODUCT(N([Nome]=Tabela3[[#This Row],[Nome]]),[Div Base]*[Ações])</f>
        <v>0</v>
      </c>
      <c r="AB190" s="113">
        <f>[Patrimônio Líquido]/[Total Ações]</f>
        <v>1.7994632393425563</v>
      </c>
      <c r="AC190" s="49">
        <f>MAX(Tabela3[[#This Row],[Cotação 1]:[Cotação 3]])</f>
        <v>0.68</v>
      </c>
      <c r="AD190" s="45">
        <f>[Cotação]/[VPA]</f>
        <v>0.37789046485241995</v>
      </c>
      <c r="AE190" s="41">
        <f>IF(Tabela3[[#This Row],[Lucro/Ação]]&gt;0,Tabela3[[#This Row],[Cotação]]/(Tabela3[[#This Row],[Lucro/Ação]]/[Ref]*4),0)</f>
        <v>0</v>
      </c>
      <c r="AF190" s="109">
        <f>IF([Div. Mínimo]=0,0,[Lucro Distribuir]*#REF!/[Total Ações])</f>
        <v>0</v>
      </c>
      <c r="AG190" s="96">
        <f>[Lucro Distribuir]/[Total Ações]</f>
        <v>0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0" s="14" t="str">
        <f>IF(AND([% A.A.]&gt;=8%,SUMPRODUCT(N([Nome]=Tabela3[[#This Row],[Nome]]),[PL])&gt;0),"Sim","Não")</f>
        <v>Não</v>
      </c>
      <c r="AJ190" s="43">
        <f>IF([Cotação]&gt;0,Tabela3[[#This Row],[Lucro]]/Tabela3[[#This Row],[Cotação]],0)</f>
        <v>0</v>
      </c>
      <c r="AK190" s="43">
        <f>((1+Tabela3[[#This Row],[% Yield]])^(1/(3*Tabela3[[#This Row],[Ref]])))^(12)-1</f>
        <v>0</v>
      </c>
      <c r="AL190" s="14">
        <f>IF([Cotação]&gt;0,($AR$1/Tabela3[[#This Row],[Cotação]]-MOD($AR$1/Tabela3[[#This Row],[Cotação]],100)),)</f>
        <v>400</v>
      </c>
      <c r="AM190" s="17">
        <f>Tabela3[[#This Row],[Ativos]]*[Lucro]</f>
        <v>0</v>
      </c>
      <c r="AN190" s="17">
        <f>SUMPRODUCT(N(Tabela1[Código]=Tabela3[[#This Row],[PAPEL]]),Tabela1[Fechamento])</f>
        <v>0</v>
      </c>
      <c r="AO190" s="17">
        <f>SUMPRODUCT(N(Tabela17[Código]=Tabela3[[#This Row],[PAPEL]]),Tabela17[Fechamento])</f>
        <v>0</v>
      </c>
      <c r="AP190" s="17">
        <f>SUMPRODUCT(N(Tabela176[Código]=Tabela3[[#This Row],[PAPEL]]),Tabela176[Fechamento])</f>
        <v>0.68</v>
      </c>
    </row>
    <row r="191" spans="1:42" hidden="1">
      <c r="A191" s="3" t="s">
        <v>318</v>
      </c>
      <c r="B191" s="66" t="s">
        <v>327</v>
      </c>
      <c r="C191" s="102" t="str">
        <f>LEFT([PAPEL],LEN([PAPEL])-(LEN([PAPEL])-4))</f>
        <v>MOAR</v>
      </c>
      <c r="D191" s="16">
        <v>3</v>
      </c>
      <c r="E191" s="5">
        <v>627358000</v>
      </c>
      <c r="F191" s="21">
        <v>12251221</v>
      </c>
      <c r="G191" s="106">
        <v>0.25</v>
      </c>
      <c r="H191" s="16"/>
      <c r="I191" s="18"/>
      <c r="K191" s="107"/>
      <c r="L191" s="107"/>
      <c r="M191" s="5">
        <v>1185190000</v>
      </c>
      <c r="N191" s="5">
        <v>90444000</v>
      </c>
      <c r="O191" s="5">
        <f>Tabela3[[#This Row],[Capital Social]]*20%</f>
        <v>125471600</v>
      </c>
      <c r="P191" s="5">
        <f>IF(([Lucro Líquido]*5%)&gt;[Teto R. Legal],[Teto R. Legal],[Lucro Líquido]*5%)</f>
        <v>4522200</v>
      </c>
      <c r="Q191" s="5">
        <f>IF([Lucro Líquido]&lt;0,0,[Lucro Líquido]-[Reserva Legal])</f>
        <v>85921800</v>
      </c>
      <c r="R191" s="5">
        <f>Tabela3[[#This Row],[Lucro Distribuir]]*[%Div]</f>
        <v>21480450</v>
      </c>
      <c r="S191" s="57">
        <f>SUMPRODUCT(N([Nome]=Tabela3[[#This Row],[Nome]]),[Ações])</f>
        <v>12251221</v>
      </c>
      <c r="T191" s="5">
        <f>[Capital Social]/[Total Ações]</f>
        <v>51.207793900705894</v>
      </c>
      <c r="U191" s="95">
        <f>Tabela3[[#This Row],[Lucro Líquido]]/Tabela3[[#This Row],[Total Ações]]</f>
        <v>7.3824478392806725</v>
      </c>
      <c r="V1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W1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Z191" s="5">
        <f>[Div Base]*[Ações]</f>
        <v>21480450</v>
      </c>
      <c r="AA191" s="5">
        <f>SUMPRODUCT(N([Nome]=Tabela3[[#This Row],[Nome]]),[Div Base]*[Ações])</f>
        <v>21480450</v>
      </c>
      <c r="AB191" s="5">
        <f>[Patrimônio Líquido]/[Total Ações]</f>
        <v>96.740561614226039</v>
      </c>
      <c r="AC191" s="53">
        <f>MAX(Tabela3[[#This Row],[Cotação 1]:[Cotação 3]])</f>
        <v>158</v>
      </c>
      <c r="AD191" s="54">
        <f>[Cotação]/[VPA]</f>
        <v>1.6332342645483005</v>
      </c>
      <c r="AE191" s="38">
        <f>IF(Tabela3[[#This Row],[Lucro/Ação]]&gt;0,Tabela3[[#This Row],[Cotação]]/(Tabela3[[#This Row],[Lucro/Ação]]/[Ref]*4),0)</f>
        <v>16.051586489982753</v>
      </c>
      <c r="AF191" s="38" t="e">
        <f>IF([Div. Mínimo]=0,0,[Lucro Distribuir]*#REF!/[Total Ações])</f>
        <v>#REF!</v>
      </c>
      <c r="AG191" s="95">
        <f>[Lucro Distribuir]/[Total Ações]</f>
        <v>7.0133254473166389</v>
      </c>
      <c r="AH191" s="95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I191" s="16" t="str">
        <f>IF(AND([% A.A.]&gt;=8%,SUMPRODUCT(N([Nome]=Tabela3[[#This Row],[Nome]]),[PL])&gt;0),"Sim","Não")</f>
        <v>Não</v>
      </c>
      <c r="AJ191" s="22">
        <f>IF([Cotação]&gt;0,Tabela3[[#This Row],[Lucro]]/Tabela3[[#This Row],[Cotação]],0)</f>
        <v>1.1097033935627594E-2</v>
      </c>
      <c r="AK191" s="18">
        <f>((1+Tabela3[[#This Row],[% Yield]])^(1/(3*Tabela3[[#This Row],[Ref]])))^(12)-1</f>
        <v>1.482334344385916E-2</v>
      </c>
      <c r="AL191" s="10">
        <f>IF([Cotação]&gt;0,($AR$1/Tabela3[[#This Row],[Cotação]]-MOD($AR$1/Tabela3[[#This Row],[Cotação]],100)),)</f>
        <v>0</v>
      </c>
      <c r="AM191" s="7">
        <f>Tabela3[[#This Row],[Ativos]]*[Lucro]</f>
        <v>0</v>
      </c>
      <c r="AN191" s="48">
        <f>SUMPRODUCT(N(Tabela1[Código]=Tabela3[[#This Row],[PAPEL]]),Tabela1[Fechamento])</f>
        <v>0</v>
      </c>
      <c r="AO191" s="55">
        <f>SUMPRODUCT(N(Tabela17[Código]=Tabela3[[#This Row],[PAPEL]]),Tabela17[Fechamento])</f>
        <v>158</v>
      </c>
      <c r="AP191" s="7">
        <f>SUMPRODUCT(N(Tabela176[Código]=Tabela3[[#This Row],[PAPEL]]),Tabela176[Fechamento])</f>
        <v>0</v>
      </c>
    </row>
    <row r="192" spans="1:42" hidden="1">
      <c r="A192" s="4" t="s">
        <v>19</v>
      </c>
      <c r="B192" s="65" t="s">
        <v>756</v>
      </c>
      <c r="C192" s="15" t="str">
        <f>LEFT([PAPEL],LEN([PAPEL])-(LEN([PAPEL])-4))</f>
        <v>MSPA</v>
      </c>
      <c r="D192" s="15">
        <v>3</v>
      </c>
      <c r="E192" s="6">
        <v>36152545</v>
      </c>
      <c r="F192" s="8">
        <v>5631445</v>
      </c>
      <c r="G192" s="106">
        <v>0.25</v>
      </c>
      <c r="H192" s="15"/>
      <c r="I192" s="19"/>
      <c r="J192" s="19"/>
      <c r="K192" s="108"/>
      <c r="L192" s="108"/>
      <c r="M192" s="114">
        <v>808776000</v>
      </c>
      <c r="N192" s="115">
        <v>-24517000</v>
      </c>
      <c r="O192" s="13">
        <f>Tabela3[[#This Row],[Capital Social]]*20%</f>
        <v>7230509</v>
      </c>
      <c r="P192" s="13">
        <f>IF(([Lucro Líquido]*5%)&gt;[Teto R. Legal],[Teto R. Legal],[Lucro Líquido]*5%)</f>
        <v>-1225850</v>
      </c>
      <c r="Q192" s="13">
        <f>IF([Lucro Líquido]&lt;0,0,[Lucro Líquido]-[Reserva Legal])</f>
        <v>0</v>
      </c>
      <c r="R192" s="13">
        <f>Tabela3[[#This Row],[Lucro Distribuir]]*[%Div]</f>
        <v>0</v>
      </c>
      <c r="S192" s="57">
        <f>SUMPRODUCT(N([Nome]=Tabela3[[#This Row],[Nome]]),[Ações])</f>
        <v>6404949</v>
      </c>
      <c r="T192" s="6">
        <f>[Capital Social]/[Total Ações]</f>
        <v>5.6444703931288132</v>
      </c>
      <c r="U192" s="96">
        <f>Tabela3[[#This Row],[Lucro Líquido]]/Tabela3[[#This Row],[Total Ações]]</f>
        <v>-3.8278212675854251</v>
      </c>
      <c r="V1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2" s="13">
        <f>[Div Base]*[Ações]</f>
        <v>0</v>
      </c>
      <c r="AA192" s="13">
        <f>SUMPRODUCT(N([Nome]=Tabela3[[#This Row],[Nome]]),[Div Base]*[Ações])</f>
        <v>0</v>
      </c>
      <c r="AB192" s="113">
        <f>[Patrimônio Líquido]/[Total Ações]</f>
        <v>126.27360498889219</v>
      </c>
      <c r="AC192" s="49">
        <f>MAX(Tabela3[[#This Row],[Cotação 1]:[Cotação 3]])</f>
        <v>27</v>
      </c>
      <c r="AD192" s="45">
        <f>[Cotação]/[VPA]</f>
        <v>0.21382140790527909</v>
      </c>
      <c r="AE192" s="41">
        <f>IF(Tabela3[[#This Row],[Lucro/Ação]]&gt;0,Tabela3[[#This Row],[Cotação]]/(Tabela3[[#This Row],[Lucro/Ação]]/[Ref]*4),0)</f>
        <v>0</v>
      </c>
      <c r="AF192" s="109">
        <f>IF([Div. Mínimo]=0,0,[Lucro Distribuir]*#REF!/[Total Ações])</f>
        <v>0</v>
      </c>
      <c r="AG192" s="96">
        <f>[Lucro Distribuir]/[Total Ações]</f>
        <v>0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2" s="14" t="str">
        <f>IF(AND([% A.A.]&gt;=8%,SUMPRODUCT(N([Nome]=Tabela3[[#This Row],[Nome]]),[PL])&gt;0),"Sim","Não")</f>
        <v>Não</v>
      </c>
      <c r="AJ192" s="43">
        <f>IF([Cotação]&gt;0,Tabela3[[#This Row],[Lucro]]/Tabela3[[#This Row],[Cotação]],0)</f>
        <v>0</v>
      </c>
      <c r="AK192" s="43">
        <f>((1+Tabela3[[#This Row],[% Yield]])^(1/(3*Tabela3[[#This Row],[Ref]])))^(12)-1</f>
        <v>0</v>
      </c>
      <c r="AL192" s="14">
        <f>IF([Cotação]&gt;0,($AR$1/Tabela3[[#This Row],[Cotação]]-MOD($AR$1/Tabela3[[#This Row],[Cotação]],100)),)</f>
        <v>0</v>
      </c>
      <c r="AM192" s="17">
        <f>Tabela3[[#This Row],[Ativos]]*[Lucro]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0</v>
      </c>
      <c r="AP192" s="17">
        <f>SUMPRODUCT(N(Tabela176[Código]=Tabela3[[#This Row],[PAPEL]]),Tabela176[Fechamento])</f>
        <v>27</v>
      </c>
    </row>
    <row r="193" spans="1:42" hidden="1">
      <c r="A193" s="4" t="s">
        <v>19</v>
      </c>
      <c r="B193" s="65" t="s">
        <v>757</v>
      </c>
      <c r="C193" s="15" t="str">
        <f>LEFT([PAPEL],LEN([PAPEL])-(LEN([PAPEL])-4))</f>
        <v>MSPA</v>
      </c>
      <c r="D193" s="15">
        <v>3</v>
      </c>
      <c r="E193" s="6">
        <v>36152545</v>
      </c>
      <c r="F193" s="8">
        <v>773504</v>
      </c>
      <c r="G193" s="106">
        <v>0.25</v>
      </c>
      <c r="H193" s="15"/>
      <c r="I193" s="19"/>
      <c r="J193" s="19">
        <v>0.1</v>
      </c>
      <c r="K193" s="108"/>
      <c r="L193" s="108"/>
      <c r="M193" s="114">
        <v>808776000</v>
      </c>
      <c r="N193" s="115">
        <v>-24517000</v>
      </c>
      <c r="O193" s="13">
        <f>Tabela3[[#This Row],[Capital Social]]*20%</f>
        <v>7230509</v>
      </c>
      <c r="P193" s="13">
        <f>IF(([Lucro Líquido]*5%)&gt;[Teto R. Legal],[Teto R. Legal],[Lucro Líquido]*5%)</f>
        <v>-1225850</v>
      </c>
      <c r="Q193" s="13">
        <f>IF([Lucro Líquido]&lt;0,0,[Lucro Líquido]-[Reserva Legal])</f>
        <v>0</v>
      </c>
      <c r="R193" s="13">
        <f>Tabela3[[#This Row],[Lucro Distribuir]]*[%Div]</f>
        <v>0</v>
      </c>
      <c r="S193" s="57">
        <f>SUMPRODUCT(N([Nome]=Tabela3[[#This Row],[Nome]]),[Ações])</f>
        <v>6404949</v>
      </c>
      <c r="T193" s="6">
        <f>[Capital Social]/[Total Ações]</f>
        <v>5.6444703931288132</v>
      </c>
      <c r="U193" s="96">
        <f>Tabela3[[#This Row],[Lucro Líquido]]/Tabela3[[#This Row],[Total Ações]]</f>
        <v>-3.8278212675854251</v>
      </c>
      <c r="V1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3" s="13">
        <f>[Div Base]*[Ações]</f>
        <v>0</v>
      </c>
      <c r="AA193" s="13">
        <f>SUMPRODUCT(N([Nome]=Tabela3[[#This Row],[Nome]]),[Div Base]*[Ações])</f>
        <v>0</v>
      </c>
      <c r="AB193" s="113">
        <f>[Patrimônio Líquido]/[Total Ações]</f>
        <v>126.27360498889219</v>
      </c>
      <c r="AC193" s="49">
        <f>MAX(Tabela3[[#This Row],[Cotação 1]:[Cotação 3]])</f>
        <v>27</v>
      </c>
      <c r="AD193" s="45">
        <f>[Cotação]/[VPA]</f>
        <v>0.21382140790527909</v>
      </c>
      <c r="AE193" s="41">
        <f>IF(Tabela3[[#This Row],[Lucro/Ação]]&gt;0,Tabela3[[#This Row],[Cotação]]/(Tabela3[[#This Row],[Lucro/Ação]]/[Ref]*4),0)</f>
        <v>0</v>
      </c>
      <c r="AF193" s="109">
        <f>IF([Div. Mínimo]=0,0,[Lucro Distribuir]*#REF!/[Total Ações])</f>
        <v>0</v>
      </c>
      <c r="AG193" s="96">
        <f>[Lucro Distribuir]/[Total Ações]</f>
        <v>0</v>
      </c>
      <c r="AH1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3" s="14" t="str">
        <f>IF(AND([% A.A.]&gt;=8%,SUMPRODUCT(N([Nome]=Tabela3[[#This Row],[Nome]]),[PL])&gt;0),"Sim","Não")</f>
        <v>Não</v>
      </c>
      <c r="AJ193" s="43">
        <f>IF([Cotação]&gt;0,Tabela3[[#This Row],[Lucro]]/Tabela3[[#This Row],[Cotação]],0)</f>
        <v>0</v>
      </c>
      <c r="AK193" s="43">
        <f>((1+Tabela3[[#This Row],[% Yield]])^(1/(3*Tabela3[[#This Row],[Ref]])))^(12)-1</f>
        <v>0</v>
      </c>
      <c r="AL193" s="14">
        <f>IF([Cotação]&gt;0,($AR$1/Tabela3[[#This Row],[Cotação]]-MOD($AR$1/Tabela3[[#This Row],[Cotação]],100)),)</f>
        <v>0</v>
      </c>
      <c r="AM193" s="17">
        <f>Tabela3[[#This Row],[Ativos]]*[Lucro]</f>
        <v>0</v>
      </c>
      <c r="AN193" s="17">
        <f>SUMPRODUCT(N(Tabela1[Código]=Tabela3[[#This Row],[PAPEL]]),Tabela1[Fechamento])</f>
        <v>0</v>
      </c>
      <c r="AO193" s="17">
        <f>SUMPRODUCT(N(Tabela17[Código]=Tabela3[[#This Row],[PAPEL]]),Tabela17[Fechamento])</f>
        <v>0</v>
      </c>
      <c r="AP193" s="17">
        <f>SUMPRODUCT(N(Tabela176[Código]=Tabela3[[#This Row],[PAPEL]]),Tabela176[Fechamento])</f>
        <v>27</v>
      </c>
    </row>
    <row r="194" spans="1:42" hidden="1">
      <c r="A194" s="4" t="s">
        <v>341</v>
      </c>
      <c r="B194" s="65" t="s">
        <v>770</v>
      </c>
      <c r="C194" s="15" t="str">
        <f>LEFT([PAPEL],LEN([PAPEL])-(LEN([PAPEL])-4))</f>
        <v>MTIG</v>
      </c>
      <c r="D194" s="16">
        <v>3</v>
      </c>
      <c r="E194" s="6">
        <v>48319313.140000001</v>
      </c>
      <c r="F194" s="8">
        <v>104172000</v>
      </c>
      <c r="G194" s="106">
        <v>0.25</v>
      </c>
      <c r="H194" s="15"/>
      <c r="I194" s="19"/>
      <c r="J194" s="19"/>
      <c r="K194" s="108"/>
      <c r="L194" s="108"/>
      <c r="M194" s="114">
        <v>26342000</v>
      </c>
      <c r="N194" s="115">
        <v>-19296000</v>
      </c>
      <c r="O194" s="13">
        <f>Tabela3[[#This Row],[Capital Social]]*20%</f>
        <v>9663862.6280000005</v>
      </c>
      <c r="P194" s="13">
        <f>IF(([Lucro Líquido]*5%)&gt;[Teto R. Legal],[Teto R. Legal],[Lucro Líquido]*5%)</f>
        <v>-964800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312516000</v>
      </c>
      <c r="T194" s="6">
        <f>[Capital Social]/[Total Ações]</f>
        <v>0.15461388581704616</v>
      </c>
      <c r="U194" s="96">
        <f>Tabela3[[#This Row],[Lucro Líquido]]/Tabela3[[#This Row],[Total Ações]]</f>
        <v>-6.1744038705218295E-2</v>
      </c>
      <c r="V1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8.4290084347681399E-2</v>
      </c>
      <c r="AC194" s="49">
        <f>MAX(Tabela3[[#This Row],[Cotação 1]:[Cotação 3]])</f>
        <v>0.61</v>
      </c>
      <c r="AD194" s="45">
        <f>[Cotação]/[VPA]</f>
        <v>7.236912914736922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A.A.]&gt;=8%,SUMPRODUCT(N([Nome]=Tabela3[[#This Row],[Nome]]),[PL])&gt;0),"Sim","Não")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400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0</v>
      </c>
      <c r="AP194" s="17">
        <f>SUMPRODUCT(N(Tabela176[Código]=Tabela3[[#This Row],[PAPEL]]),Tabela176[Fechamento])</f>
        <v>0.61</v>
      </c>
    </row>
    <row r="195" spans="1:42" hidden="1">
      <c r="A195" s="4" t="s">
        <v>341</v>
      </c>
      <c r="B195" s="65" t="s">
        <v>771</v>
      </c>
      <c r="C195" s="15" t="str">
        <f>LEFT([PAPEL],LEN([PAPEL])-(LEN([PAPEL])-4))</f>
        <v>MTIG</v>
      </c>
      <c r="D195" s="16">
        <v>3</v>
      </c>
      <c r="E195" s="6">
        <v>48319313.140000001</v>
      </c>
      <c r="F195" s="8">
        <v>208344000</v>
      </c>
      <c r="G195" s="106">
        <v>0.25</v>
      </c>
      <c r="H195" s="15"/>
      <c r="I195" s="19"/>
      <c r="J195" s="19"/>
      <c r="K195" s="108"/>
      <c r="L195" s="108"/>
      <c r="M195" s="114">
        <v>26342000</v>
      </c>
      <c r="N195" s="115">
        <v>-19296000</v>
      </c>
      <c r="O195" s="13">
        <f>Tabela3[[#This Row],[Capital Social]]*20%</f>
        <v>9663862.6280000005</v>
      </c>
      <c r="P195" s="13">
        <f>IF(([Lucro Líquido]*5%)&gt;[Teto R. Legal],[Teto R. Legal],[Lucro Líquido]*5%)</f>
        <v>-964800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312516000</v>
      </c>
      <c r="T195" s="6">
        <f>[Capital Social]/[Total Ações]</f>
        <v>0.15461388581704616</v>
      </c>
      <c r="U195" s="96">
        <f>Tabela3[[#This Row],[Lucro Líquido]]/Tabela3[[#This Row],[Total Ações]]</f>
        <v>-6.1744038705218295E-2</v>
      </c>
      <c r="V1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8.4290084347681399E-2</v>
      </c>
      <c r="AC195" s="49">
        <f>MAX(Tabela3[[#This Row],[Cotação 1]:[Cotação 3]])</f>
        <v>0.12</v>
      </c>
      <c r="AD195" s="45">
        <f>[Cotação]/[VPA]</f>
        <v>1.423654999620378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A.A.]&gt;=8%,SUMPRODUCT(N([Nome]=Tabela3[[#This Row],[Nome]]),[PL])&gt;0),"Sim","Não")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2500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0</v>
      </c>
      <c r="AP195" s="17">
        <f>SUMPRODUCT(N(Tabela176[Código]=Tabela3[[#This Row],[PAPEL]]),Tabela176[Fechamento])</f>
        <v>0.12</v>
      </c>
    </row>
    <row r="196" spans="1:42" hidden="1">
      <c r="A196" s="3" t="s">
        <v>371</v>
      </c>
      <c r="B196" s="66" t="s">
        <v>935</v>
      </c>
      <c r="C196" s="15" t="str">
        <f>LEFT([PAPEL],LEN([PAPEL])-(LEN([PAPEL])-4))</f>
        <v>MULT</v>
      </c>
      <c r="D196" s="16">
        <v>3</v>
      </c>
      <c r="E196" s="6">
        <v>2388062147.3800001</v>
      </c>
      <c r="F196" s="8">
        <v>11858347</v>
      </c>
      <c r="G196" s="100">
        <v>0.25</v>
      </c>
      <c r="H196" s="15"/>
      <c r="I196" s="19"/>
      <c r="J196" s="19"/>
      <c r="K196" s="108"/>
      <c r="L196" s="108"/>
      <c r="M196" s="5">
        <v>3824504000</v>
      </c>
      <c r="N196" s="5">
        <v>227417000</v>
      </c>
      <c r="O196" s="13">
        <f>Tabela3[[#This Row],[Capital Social]]*20%</f>
        <v>477612429.47600007</v>
      </c>
      <c r="P196" s="13">
        <f>IF(([Lucro Líquido]*5%)&gt;[Teto R. Legal],[Teto R. Legal],[Lucro Líquido]*5%)</f>
        <v>11370850</v>
      </c>
      <c r="Q196" s="13">
        <f>IF([Lucro Líquido]&lt;0,0,[Lucro Líquido]-[Reserva Legal])</f>
        <v>216046150</v>
      </c>
      <c r="R196" s="13">
        <f>Tabela3[[#This Row],[Lucro Distribuir]]*[%Div]</f>
        <v>54011537.5</v>
      </c>
      <c r="S196" s="57">
        <f>SUMPRODUCT(N([Nome]=Tabela3[[#This Row],[Nome]]),[Ações])</f>
        <v>189997214</v>
      </c>
      <c r="T196" s="6">
        <f>[Capital Social]/[Total Ações]</f>
        <v>12.568932444346263</v>
      </c>
      <c r="U196" s="96">
        <f>Tabela3[[#This Row],[Lucro Líquido]]/Tabela3[[#This Row],[Total Ações]]</f>
        <v>1.1969491300014536</v>
      </c>
      <c r="V1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W1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Z196" s="13">
        <f>[Div Base]*[Ações]</f>
        <v>3371036.5546650202</v>
      </c>
      <c r="AA196" s="13">
        <f>SUMPRODUCT(N([Nome]=Tabela3[[#This Row],[Nome]]),[Div Base]*[Ações])</f>
        <v>54011537.500000007</v>
      </c>
      <c r="AB196" s="113">
        <f>[Patrimônio Líquido]/[Total Ações]</f>
        <v>20.129263579622805</v>
      </c>
      <c r="AC196" s="49">
        <f>MAX(Tabela3[[#This Row],[Cotação 1]:[Cotação 3]])</f>
        <v>0</v>
      </c>
      <c r="AD196" s="45">
        <f>[Cotação]/[VPA]</f>
        <v>0</v>
      </c>
      <c r="AE196" s="41">
        <f>IF(Tabela3[[#This Row],[Lucro/Ação]]&gt;0,Tabela3[[#This Row],[Cotação]]/(Tabela3[[#This Row],[Lucro/Ação]]/[Ref]*4),0)</f>
        <v>0</v>
      </c>
      <c r="AF196" s="109" t="e">
        <f>IF([Div. Mínimo]=0,0,[Lucro Distribuir]*#REF!/[Total Ações])</f>
        <v>#REF!</v>
      </c>
      <c r="AG196" s="96">
        <f>[Lucro Distribuir]/[Total Ações]</f>
        <v>1.137101673501381</v>
      </c>
      <c r="AH196" s="96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I196" s="14" t="str">
        <f>IF(AND([% A.A.]&gt;=8%,SUMPRODUCT(N([Nome]=Tabela3[[#This Row],[Nome]]),[PL])&gt;0),"Sim","Não")</f>
        <v>Não</v>
      </c>
      <c r="AJ196" s="43">
        <f>IF([Cotação]&gt;0,Tabela3[[#This Row],[Lucro]]/Tabela3[[#This Row],[Cotação]],0)</f>
        <v>0</v>
      </c>
      <c r="AK196" s="43">
        <f>((1+Tabela3[[#This Row],[% Yield]])^(1/(3*Tabela3[[#This Row],[Ref]])))^(12)-1</f>
        <v>0</v>
      </c>
      <c r="AL196" s="14">
        <f>IF([Cotação]&gt;0,($AR$1/Tabela3[[#This Row],[Cotação]]-MOD($AR$1/Tabela3[[#This Row],[Cotação]],100)),)</f>
        <v>0</v>
      </c>
      <c r="AM196" s="17">
        <f>Tabela3[[#This Row],[Ativos]]*[Lucro]</f>
        <v>0</v>
      </c>
      <c r="AN196" s="17">
        <f>SUMPRODUCT(N(Tabela1[Código]=Tabela3[[#This Row],[PAPEL]]),Tabela1[Fechamento])</f>
        <v>0</v>
      </c>
      <c r="AO196" s="17">
        <f>SUMPRODUCT(N(Tabela17[Código]=Tabela3[[#This Row],[PAPEL]]),Tabela17[Fechamento])</f>
        <v>0</v>
      </c>
      <c r="AP196" s="17">
        <f>SUMPRODUCT(N(Tabela176[Código]=Tabela3[[#This Row],[PAPEL]]),Tabela176[Fechamento])</f>
        <v>0</v>
      </c>
    </row>
    <row r="197" spans="1:42" hidden="1">
      <c r="A197" s="3" t="s">
        <v>371</v>
      </c>
      <c r="B197" s="66" t="s">
        <v>382</v>
      </c>
      <c r="C197" s="102" t="str">
        <f>LEFT([PAPEL],LEN([PAPEL])-(LEN([PAPEL])-4))</f>
        <v>MULT</v>
      </c>
      <c r="D197" s="16">
        <v>3</v>
      </c>
      <c r="E197" s="6">
        <v>2388062147.3800001</v>
      </c>
      <c r="F197" s="21">
        <v>178138867</v>
      </c>
      <c r="G197" s="100">
        <v>0.25</v>
      </c>
      <c r="H197" s="16"/>
      <c r="I197" s="18"/>
      <c r="K197" s="107"/>
      <c r="L197" s="107"/>
      <c r="M197" s="5">
        <v>3824504000</v>
      </c>
      <c r="N197" s="5">
        <v>227417000</v>
      </c>
      <c r="O197" s="5">
        <f>Tabela3[[#This Row],[Capital Social]]*20%</f>
        <v>477612429.47600007</v>
      </c>
      <c r="P197" s="5">
        <f>IF(([Lucro Líquido]*5%)&gt;[Teto R. Legal],[Teto R. Legal],[Lucro Líquido]*5%)</f>
        <v>11370850</v>
      </c>
      <c r="Q197" s="5">
        <f>IF([Lucro Líquido]&lt;0,0,[Lucro Líquido]-[Reserva Legal])</f>
        <v>216046150</v>
      </c>
      <c r="R197" s="5">
        <f>Tabela3[[#This Row],[Lucro Distribuir]]*[%Div]</f>
        <v>54011537.5</v>
      </c>
      <c r="S197" s="57">
        <f>SUMPRODUCT(N([Nome]=Tabela3[[#This Row],[Nome]]),[Ações])</f>
        <v>189997214</v>
      </c>
      <c r="T197" s="5">
        <f>[Capital Social]/[Total Ações]</f>
        <v>12.568932444346263</v>
      </c>
      <c r="U197" s="95">
        <f>Tabela3[[#This Row],[Lucro Líquido]]/Tabela3[[#This Row],[Total Ações]]</f>
        <v>1.1969491300014536</v>
      </c>
      <c r="V19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W19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Z197" s="5">
        <f>[Div Base]*[Ações]</f>
        <v>50640500.945334986</v>
      </c>
      <c r="AA197" s="5">
        <f>SUMPRODUCT(N([Nome]=Tabela3[[#This Row],[Nome]]),[Div Base]*[Ações])</f>
        <v>54011537.500000007</v>
      </c>
      <c r="AB197" s="5">
        <f>[Patrimônio Líquido]/[Total Ações]</f>
        <v>20.129263579622805</v>
      </c>
      <c r="AC197" s="53">
        <f>MAX(Tabela3[[#This Row],[Cotação 1]:[Cotação 3]])</f>
        <v>45.67</v>
      </c>
      <c r="AD197" s="54">
        <f>[Cotação]/[VPA]</f>
        <v>2.2688361061669697</v>
      </c>
      <c r="AE197" s="38">
        <f>IF(Tabela3[[#This Row],[Lucro/Ação]]&gt;0,Tabela3[[#This Row],[Cotação]]/(Tabela3[[#This Row],[Lucro/Ação]]/[Ref]*4),0)</f>
        <v>28.616504362184884</v>
      </c>
      <c r="AF197" s="38" t="e">
        <f>IF([Div. Mínimo]=0,0,[Lucro Distribuir]*#REF!/[Total Ações])</f>
        <v>#REF!</v>
      </c>
      <c r="AG197" s="95">
        <f>[Lucro Distribuir]/[Total Ações]</f>
        <v>1.137101673501381</v>
      </c>
      <c r="AH197" s="95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I197" s="16" t="str">
        <f>IF(AND([% A.A.]&gt;=8%,SUMPRODUCT(N([Nome]=Tabela3[[#This Row],[Nome]]),[PL])&gt;0),"Sim","Não")</f>
        <v>Não</v>
      </c>
      <c r="AJ197" s="22">
        <f>IF([Cotação]&gt;0,Tabela3[[#This Row],[Lucro]]/Tabela3[[#This Row],[Cotação]],0)</f>
        <v>6.2245548144371629E-3</v>
      </c>
      <c r="AK197" s="18">
        <f>((1+Tabela3[[#This Row],[% Yield]])^(1/(3*Tabela3[[#This Row],[Ref]])))^(12)-1</f>
        <v>8.3080045587251572E-3</v>
      </c>
      <c r="AL197" s="10">
        <f>IF([Cotação]&gt;0,($AR$1/Tabela3[[#This Row],[Cotação]]-MOD($AR$1/Tabela3[[#This Row],[Cotação]],100)),)</f>
        <v>0</v>
      </c>
      <c r="AM197" s="7">
        <f>Tabela3[[#This Row],[Ativos]]*[Lucro]</f>
        <v>0</v>
      </c>
      <c r="AN197" s="48">
        <f>SUMPRODUCT(N(Tabela1[Código]=Tabela3[[#This Row],[PAPEL]]),Tabela1[Fechamento])</f>
        <v>0</v>
      </c>
      <c r="AO197" s="55">
        <f>SUMPRODUCT(N(Tabela17[Código]=Tabela3[[#This Row],[PAPEL]]),Tabela17[Fechamento])</f>
        <v>45.67</v>
      </c>
      <c r="AP197" s="7">
        <f>SUMPRODUCT(N(Tabela176[Código]=Tabela3[[#This Row],[PAPEL]]),Tabela176[Fechamento])</f>
        <v>0</v>
      </c>
    </row>
    <row r="198" spans="1:42" hidden="1">
      <c r="A198" s="4" t="s">
        <v>732</v>
      </c>
      <c r="B198" s="65" t="s">
        <v>357</v>
      </c>
      <c r="C198" s="15" t="str">
        <f>LEFT([PAPEL],LEN([PAPEL])-(LEN([PAPEL])-4))</f>
        <v>NUTR</v>
      </c>
      <c r="D198" s="15">
        <v>3</v>
      </c>
      <c r="E198" s="6">
        <v>22877961</v>
      </c>
      <c r="F198" s="8">
        <v>12414678</v>
      </c>
      <c r="G198" s="106">
        <v>0.25</v>
      </c>
      <c r="H198" s="15"/>
      <c r="I198" s="19"/>
      <c r="J198" s="19"/>
      <c r="K198" s="108"/>
      <c r="L198" s="108"/>
      <c r="M198" s="114">
        <v>30416000</v>
      </c>
      <c r="N198" s="115">
        <v>-2203000</v>
      </c>
      <c r="O198" s="13">
        <f>Tabela3[[#This Row],[Capital Social]]*20%</f>
        <v>4575592.2</v>
      </c>
      <c r="P198" s="13">
        <f>IF(([Lucro Líquido]*5%)&gt;[Teto R. Legal],[Teto R. Legal],[Lucro Líquido]*5%)</f>
        <v>-110150</v>
      </c>
      <c r="Q198" s="13">
        <f>IF([Lucro Líquido]&lt;0,0,[Lucro Líquido]-[Reserva Legal])</f>
        <v>0</v>
      </c>
      <c r="R198" s="13">
        <f>Tabela3[[#This Row],[Lucro Distribuir]]*[%Div]</f>
        <v>0</v>
      </c>
      <c r="S198" s="57">
        <f>SUMPRODUCT(N([Nome]=Tabela3[[#This Row],[Nome]]),[Ações])</f>
        <v>12414678</v>
      </c>
      <c r="T198" s="6">
        <f>[Capital Social]/[Total Ações]</f>
        <v>1.8428154963020387</v>
      </c>
      <c r="U198" s="96">
        <f>Tabela3[[#This Row],[Lucro Líquido]]/Tabela3[[#This Row],[Total Ações]]</f>
        <v>-0.177451239573028</v>
      </c>
      <c r="V1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8" s="13">
        <f>[Div Base]*[Ações]</f>
        <v>0</v>
      </c>
      <c r="AA198" s="13">
        <f>SUMPRODUCT(N([Nome]=Tabela3[[#This Row],[Nome]]),[Div Base]*[Ações])</f>
        <v>0</v>
      </c>
      <c r="AB198" s="113">
        <f>[Patrimônio Líquido]/[Total Ações]</f>
        <v>2.450003133387753</v>
      </c>
      <c r="AC198" s="49">
        <f>MAX(Tabela3[[#This Row],[Cotação 1]:[Cotação 3]])</f>
        <v>1.5</v>
      </c>
      <c r="AD198" s="45">
        <f>[Cotação]/[VPA]</f>
        <v>0.61224411493950548</v>
      </c>
      <c r="AE198" s="41">
        <f>IF(Tabela3[[#This Row],[Lucro/Ação]]&gt;0,Tabela3[[#This Row],[Cotação]]/(Tabela3[[#This Row],[Lucro/Ação]]/[Ref]*4),0)</f>
        <v>0</v>
      </c>
      <c r="AF198" s="109">
        <f>IF([Div. Mínimo]=0,0,[Lucro Distribuir]*#REF!/[Total Ações])</f>
        <v>0</v>
      </c>
      <c r="AG198" s="96">
        <f>[Lucro Distribuir]/[Total Ações]</f>
        <v>0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8" s="14" t="str">
        <f>IF(AND([% A.A.]&gt;=8%,SUMPRODUCT(N([Nome]=Tabela3[[#This Row],[Nome]]),[PL])&gt;0),"Sim","Não")</f>
        <v>Não</v>
      </c>
      <c r="AJ198" s="43">
        <f>IF([Cotação]&gt;0,Tabela3[[#This Row],[Lucro]]/Tabela3[[#This Row],[Cotação]],0)</f>
        <v>0</v>
      </c>
      <c r="AK198" s="43">
        <f>((1+Tabela3[[#This Row],[% Yield]])^(1/(3*Tabela3[[#This Row],[Ref]])))^(12)-1</f>
        <v>0</v>
      </c>
      <c r="AL198" s="14">
        <f>IF([Cotação]&gt;0,($AR$1/Tabela3[[#This Row],[Cotação]]-MOD($AR$1/Tabela3[[#This Row],[Cotação]],100)),)</f>
        <v>200</v>
      </c>
      <c r="AM198" s="17">
        <f>Tabela3[[#This Row],[Ativos]]*[Lucro]</f>
        <v>0</v>
      </c>
      <c r="AN198" s="17">
        <f>SUMPRODUCT(N(Tabela1[Código]=Tabela3[[#This Row],[PAPEL]]),Tabela1[Fechamento])</f>
        <v>0</v>
      </c>
      <c r="AO198" s="17">
        <f>SUMPRODUCT(N(Tabela17[Código]=Tabela3[[#This Row],[PAPEL]]),Tabela17[Fechamento])</f>
        <v>1.5</v>
      </c>
      <c r="AP198" s="17">
        <f>SUMPRODUCT(N(Tabela176[Código]=Tabela3[[#This Row],[PAPEL]]),Tabela176[Fechamento])</f>
        <v>1.5</v>
      </c>
    </row>
    <row r="199" spans="1:42" hidden="1">
      <c r="A199" s="4" t="s">
        <v>264</v>
      </c>
      <c r="B199" s="69" t="s">
        <v>657</v>
      </c>
      <c r="C199" s="15" t="str">
        <f>LEFT([PAPEL],LEN([PAPEL])-(LEN([PAPEL])-4))</f>
        <v>OGXP</v>
      </c>
      <c r="D199" s="15">
        <v>3</v>
      </c>
      <c r="E199" s="6">
        <v>9058105645.2999992</v>
      </c>
      <c r="F199" s="8">
        <v>3236016790</v>
      </c>
      <c r="G199" s="106">
        <v>1.0000000000000001E-5</v>
      </c>
      <c r="H199" s="9"/>
      <c r="I199" s="9"/>
      <c r="J199" s="19"/>
      <c r="K199" s="108"/>
      <c r="L199" s="108"/>
      <c r="M199" s="6">
        <v>61509000</v>
      </c>
      <c r="N199" s="115">
        <v>-7648799000</v>
      </c>
      <c r="O199" s="13">
        <f>Tabela3[[#This Row],[Capital Social]]*20%</f>
        <v>1811621129.0599999</v>
      </c>
      <c r="P199" s="13">
        <f>IF(([Lucro Líquido]*5%)&gt;[Teto R. Legal],[Teto R. Legal],[Lucro Líquido]*5%)</f>
        <v>-382439950</v>
      </c>
      <c r="Q199" s="13">
        <f>IF([Lucro Líquido]&lt;0,0,[Lucro Líquido]-[Reserva Legal])</f>
        <v>0</v>
      </c>
      <c r="R199" s="13">
        <f>Tabela3[[#This Row],[Lucro Distribuir]]*[%Div]</f>
        <v>0</v>
      </c>
      <c r="S199" s="57">
        <f>SUMPRODUCT(N([Nome]=Tabela3[[#This Row],[Nome]]),[Ações])</f>
        <v>3236016790</v>
      </c>
      <c r="T199" s="6">
        <f>[Capital Social]/[Total Ações]</f>
        <v>2.7991528577019524</v>
      </c>
      <c r="U199" s="96">
        <f>Tabela3[[#This Row],[Lucro Líquido]]/Tabela3[[#This Row],[Total Ações]]</f>
        <v>-2.3636462652593346</v>
      </c>
      <c r="V1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9" s="13">
        <f>[Div Base]*[Ações]</f>
        <v>0</v>
      </c>
      <c r="AA199" s="13">
        <f>SUMPRODUCT(N([Nome]=Tabela3[[#This Row],[Nome]]),[Div Base]*[Ações])</f>
        <v>0</v>
      </c>
      <c r="AB199" s="113">
        <f>[Patrimônio Líquido]/[Total Ações]</f>
        <v>1.9007626965989878E-2</v>
      </c>
      <c r="AC199" s="49">
        <f>MAX(Tabela3[[#This Row],[Cotação 1]:[Cotação 3]])</f>
        <v>0</v>
      </c>
      <c r="AD199" s="45">
        <f>[Cotação]/[VPA]</f>
        <v>0</v>
      </c>
      <c r="AE199" s="41">
        <f>IF(Tabela3[[#This Row],[Lucro/Ação]]&gt;0,Tabela3[[#This Row],[Cotação]]/(Tabela3[[#This Row],[Lucro/Ação]]/[Ref]*4),0)</f>
        <v>0</v>
      </c>
      <c r="AF199" s="109">
        <f>IF([Div. Mínimo]=0,0,[Lucro Distribuir]*#REF!/[Total Ações])</f>
        <v>0</v>
      </c>
      <c r="AG199" s="96">
        <f>[Lucro Distribuir]/[Total Ações]</f>
        <v>0</v>
      </c>
      <c r="AH1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9" s="14" t="str">
        <f>IF(AND([% A.A.]&gt;=8%,SUMPRODUCT(N([Nome]=Tabela3[[#This Row],[Nome]]),[PL])&gt;0),"Sim","Não")</f>
        <v>Não</v>
      </c>
      <c r="AJ199" s="43">
        <f>IF([Cotação]&gt;0,Tabela3[[#This Row],[Lucro]]/Tabela3[[#This Row],[Cotação]],0)</f>
        <v>0</v>
      </c>
      <c r="AK199" s="43">
        <f>((1+Tabela3[[#This Row],[% Yield]])^(1/(3*Tabela3[[#This Row],[Ref]])))^(12)-1</f>
        <v>0</v>
      </c>
      <c r="AL199" s="14">
        <f>IF([Cotação]&gt;0,($AR$1/Tabela3[[#This Row],[Cotação]]-MOD($AR$1/Tabela3[[#This Row],[Cotação]],100)),)</f>
        <v>0</v>
      </c>
      <c r="AM199" s="17">
        <f>Tabela3[[#This Row],[Ativos]]*[Lucro]</f>
        <v>0</v>
      </c>
      <c r="AN199" s="17">
        <f>SUMPRODUCT(N(Tabela1[Código]=Tabela3[[#This Row],[PAPEL]]),Tabela1[Fechamento])</f>
        <v>0</v>
      </c>
      <c r="AO199" s="17">
        <f>SUMPRODUCT(N(Tabela17[Código]=Tabela3[[#This Row],[PAPEL]]),Tabela17[Fechamento])</f>
        <v>0</v>
      </c>
      <c r="AP199" s="17">
        <f>SUMPRODUCT(N(Tabela176[Código]=Tabela3[[#This Row],[PAPEL]]),Tabela176[Fechamento])</f>
        <v>0</v>
      </c>
    </row>
    <row r="200" spans="1:42" hidden="1">
      <c r="A200" s="3" t="s">
        <v>313</v>
      </c>
      <c r="B200" s="65" t="s">
        <v>309</v>
      </c>
      <c r="C200" s="101" t="str">
        <f>LEFT([PAPEL],LEN([PAPEL])-(LEN([PAPEL])-4))</f>
        <v>OIBR</v>
      </c>
      <c r="D200" s="16">
        <v>3</v>
      </c>
      <c r="E200" s="5">
        <v>7471208836.6300001</v>
      </c>
      <c r="F200" s="57">
        <v>599088629</v>
      </c>
      <c r="G200" s="106">
        <v>0.25</v>
      </c>
      <c r="H200" s="18"/>
      <c r="I200" s="18"/>
      <c r="K200" s="107"/>
      <c r="L200" s="107"/>
      <c r="M200" s="5">
        <v>10322490000</v>
      </c>
      <c r="N200" s="5">
        <v>310353000</v>
      </c>
      <c r="O200" s="5">
        <f>Tabela3[[#This Row],[Capital Social]]*20%</f>
        <v>1494241767.3260002</v>
      </c>
      <c r="P200" s="5">
        <f>IF(([Lucro Líquido]*5%)&gt;[Teto R. Legal],[Teto R. Legal],[Lucro Líquido]*5%)</f>
        <v>15517650</v>
      </c>
      <c r="Q200" s="5">
        <f>IF([Lucro Líquido]&lt;0,0,[Lucro Líquido]-[Reserva Legal])</f>
        <v>294835350</v>
      </c>
      <c r="R200" s="5">
        <f>Tabela3[[#This Row],[Lucro Distribuir]]*[%Div]</f>
        <v>73708837.5</v>
      </c>
      <c r="S200" s="57">
        <f>SUMPRODUCT(N([Nome]=Tabela3[[#This Row],[Nome]]),[Ações])</f>
        <v>1797166404</v>
      </c>
      <c r="T200" s="5">
        <f>[Capital Social]/[Total Ações]</f>
        <v>4.1572159483958391</v>
      </c>
      <c r="U200" s="95">
        <f>Tabela3[[#This Row],[Lucro Líquido]]/Tabela3[[#This Row],[Total Ações]]</f>
        <v>0.17269018567743047</v>
      </c>
      <c r="V2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0" s="5">
        <f>[Div Base]*[Ações]</f>
        <v>0</v>
      </c>
      <c r="AA200" s="5">
        <f>SUMPRODUCT(N([Nome]=Tabela3[[#This Row],[Nome]]),[Div Base]*[Ações])</f>
        <v>298840082.01891607</v>
      </c>
      <c r="AB200" s="5">
        <f>[Patrimônio Líquido]/[Total Ações]</f>
        <v>5.7437586063399388</v>
      </c>
      <c r="AC200" s="53">
        <f>MAX(Tabela3[[#This Row],[Cotação 1]:[Cotação 3]])</f>
        <v>4.55</v>
      </c>
      <c r="AD200" s="54">
        <f>[Cotação]/[VPA]</f>
        <v>0.79216421020509586</v>
      </c>
      <c r="AE200" s="38">
        <f>IF(Tabela3[[#This Row],[Lucro/Ação]]&gt;0,Tabela3[[#This Row],[Cotação]]/(Tabela3[[#This Row],[Lucro/Ação]]/[Ref]*4),0)</f>
        <v>19.76082188234043</v>
      </c>
      <c r="AF200" s="38" t="e">
        <f>IF([Div. Mínimo]=0,0,[Lucro Distribuir]*#REF!/[Total Ações])</f>
        <v>#REF!</v>
      </c>
      <c r="AG200" s="95">
        <f>[Lucro Distribuir]/[Total Ações]</f>
        <v>0.16405567639355895</v>
      </c>
      <c r="AH20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0" s="16" t="str">
        <f>IF(AND([% A.A.]&gt;=8%,SUMPRODUCT(N([Nome]=Tabela3[[#This Row],[Nome]]),[PL])&gt;0),"Sim","Não")</f>
        <v>Não</v>
      </c>
      <c r="AJ200" s="22">
        <f>IF([Cotação]&gt;0,Tabela3[[#This Row],[Lucro]]/Tabela3[[#This Row],[Cotação]],0)</f>
        <v>0</v>
      </c>
      <c r="AK200" s="18">
        <f>((1+Tabela3[[#This Row],[% Yield]])^(1/(3*Tabela3[[#This Row],[Ref]])))^(12)-1</f>
        <v>0</v>
      </c>
      <c r="AL200" s="10">
        <f>IF([Cotação]&gt;0,($AR$1/Tabela3[[#This Row],[Cotação]]-MOD($AR$1/Tabela3[[#This Row],[Cotação]],100)),)</f>
        <v>0</v>
      </c>
      <c r="AM200" s="7">
        <f>Tabela3[[#This Row],[Ativos]]*[Lucro]</f>
        <v>0</v>
      </c>
      <c r="AN200" s="48">
        <f>SUMPRODUCT(N(Tabela1[Código]=Tabela3[[#This Row],[PAPEL]]),Tabela1[Fechamento])</f>
        <v>0</v>
      </c>
      <c r="AO200" s="55">
        <f>SUMPRODUCT(N(Tabela17[Código]=Tabela3[[#This Row],[PAPEL]]),Tabela17[Fechamento])</f>
        <v>4.55</v>
      </c>
      <c r="AP200" s="7">
        <f>SUMPRODUCT(N(Tabela176[Código]=Tabela3[[#This Row],[PAPEL]]),Tabela176[Fechamento])</f>
        <v>0</v>
      </c>
    </row>
    <row r="201" spans="1:42">
      <c r="A201" s="4" t="s">
        <v>14</v>
      </c>
      <c r="B201" s="65" t="s">
        <v>239</v>
      </c>
      <c r="C201" s="10" t="str">
        <f>LEFT([PAPEL],LEN([PAPEL])-(LEN([PAPEL])-4))</f>
        <v>BRGE</v>
      </c>
      <c r="D201" s="16">
        <v>3</v>
      </c>
      <c r="E201" s="5">
        <v>303375520</v>
      </c>
      <c r="F201" s="57">
        <v>164936</v>
      </c>
      <c r="G201" s="100">
        <v>0.25</v>
      </c>
      <c r="H201" s="16"/>
      <c r="I201" s="18">
        <v>0.05</v>
      </c>
      <c r="K201" s="107"/>
      <c r="L201" s="107"/>
      <c r="M201" s="5">
        <v>843867000</v>
      </c>
      <c r="N201" s="5">
        <v>34502000</v>
      </c>
      <c r="O201" s="5">
        <f>Tabela3[[#This Row],[Capital Social]]*20%</f>
        <v>60675104</v>
      </c>
      <c r="P201" s="5">
        <f>IF(([Lucro Líquido]*5%)&gt;[Teto R. Legal],[Teto R. Legal],[Lucro Líquido]*5%)</f>
        <v>1725100</v>
      </c>
      <c r="Q201" s="5">
        <f>IF([Lucro Líquido]&lt;0,0,[Lucro Líquido]-[Reserva Legal])</f>
        <v>32776900</v>
      </c>
      <c r="R201" s="5">
        <f>Tabela3[[#This Row],[Lucro Distribuir]]*[%Div]</f>
        <v>8194225</v>
      </c>
      <c r="S201" s="21">
        <f>SUMPRODUCT(N([Nome]=Tabela3[[#This Row],[Nome]]),[Ações])</f>
        <v>73646388</v>
      </c>
      <c r="T201" s="5">
        <f>[Capital Social]/[Total Ações]</f>
        <v>4.1193536877871049</v>
      </c>
      <c r="U201" s="95">
        <f>Tabela3[[#This Row],[Lucro Líquido]]/Tabela3[[#This Row],[Total Ações]]</f>
        <v>0.46848190300928266</v>
      </c>
      <c r="V20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20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20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201" s="5">
        <f>[Div Base]*[Ações]</f>
        <v>33971.4859924427</v>
      </c>
      <c r="AA201" s="5">
        <f>SUMPRODUCT(N([Nome]=Tabela3[[#This Row],[Nome]]),[Div Base]*[Ações])</f>
        <v>8194224.9999999991</v>
      </c>
      <c r="AB201" s="5">
        <f>[Patrimônio Líquido]/[Total Ações]</f>
        <v>11.45836235716</v>
      </c>
      <c r="AC201" s="53">
        <f>MAX(Tabela3[[#This Row],[Cotação 1]:[Cotação 3]])</f>
        <v>3.27</v>
      </c>
      <c r="AD201" s="54">
        <f>[Cotação]/[VPA]</f>
        <v>0.28538109531478301</v>
      </c>
      <c r="AE201" s="38">
        <f>IF(Tabela3[[#This Row],[Lucro/Ação]]&gt;0,Tabela3[[#This Row],[Cotação]]/(Tabela3[[#This Row],[Lucro/Ação]]/[Ref]*4),0)</f>
        <v>5.2349941038200694</v>
      </c>
      <c r="AF201" s="38" t="e">
        <f>IF([Div. Mínimo]=0,0,[Lucro Distribuir]*#REF!/[Total Ações])</f>
        <v>#REF!</v>
      </c>
      <c r="AG201" s="95">
        <f>[Lucro Distribuir]/[Total Ações]</f>
        <v>0.44505780785881854</v>
      </c>
      <c r="AH201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201" s="16" t="str">
        <f>IF(AND([% A.A.]&gt;=8%,SUMPRODUCT(N([Nome]=Tabela3[[#This Row],[Nome]]),[PL])&gt;0),"Sim","Não")</f>
        <v>Sim</v>
      </c>
      <c r="AJ201" s="22">
        <f>IF([Cotação]&gt;0,Tabela3[[#This Row],[Lucro]]/Tabela3[[#This Row],[Cotação]],0)</f>
        <v>6.2987059446286006E-2</v>
      </c>
      <c r="AK201" s="18">
        <f>((1+Tabela3[[#This Row],[% Yield]])^(1/(3*Tabela3[[#This Row],[Ref]])))^(12)-1</f>
        <v>8.4852356628532188E-2</v>
      </c>
      <c r="AL201" s="10">
        <f>IF([Cotação]&gt;0,($AR$1/Tabela3[[#This Row],[Cotação]]-MOD($AR$1/Tabela3[[#This Row],[Cotação]],100)),)</f>
        <v>0</v>
      </c>
      <c r="AM201" s="7">
        <f>Tabela3[[#This Row],[Ativos]]*[Lucro]</f>
        <v>0</v>
      </c>
      <c r="AN201" s="5">
        <f>SUMPRODUCT(N(Tabela1[Código]=Tabela3[[#This Row],[PAPEL]]),Tabela1[Fechamento])</f>
        <v>3.27</v>
      </c>
      <c r="AO201" s="5">
        <f>SUMPRODUCT(N(Tabela17[Código]=Tabela3[[#This Row],[PAPEL]]),Tabela17[Fechamento])</f>
        <v>0</v>
      </c>
      <c r="AP201" s="7">
        <f>SUMPRODUCT(N(Tabela176[Código]=Tabela3[[#This Row],[PAPEL]]),Tabela176[Fechamento])</f>
        <v>0</v>
      </c>
    </row>
    <row r="202" spans="1:42" hidden="1">
      <c r="A202" s="4" t="s">
        <v>663</v>
      </c>
      <c r="B202" s="65" t="s">
        <v>664</v>
      </c>
      <c r="C202" s="15" t="str">
        <f>LEFT([PAPEL],LEN([PAPEL])-(LEN([PAPEL])-4))</f>
        <v>OSXB</v>
      </c>
      <c r="D202" s="15">
        <v>3</v>
      </c>
      <c r="E202" s="6">
        <v>3775591929.5300002</v>
      </c>
      <c r="F202" s="8">
        <v>312563568</v>
      </c>
      <c r="G202" s="106">
        <v>1.0000000000000001E-5</v>
      </c>
      <c r="H202" s="9"/>
      <c r="I202" s="19"/>
      <c r="J202" s="19"/>
      <c r="K202" s="108"/>
      <c r="L202" s="108"/>
      <c r="M202" s="114">
        <v>2385412000</v>
      </c>
      <c r="N202" s="115">
        <v>-1939413000</v>
      </c>
      <c r="O202" s="13">
        <f>Tabela3[[#This Row],[Capital Social]]*20%</f>
        <v>755118385.90600014</v>
      </c>
      <c r="P202" s="13">
        <f>IF(([Lucro Líquido]*5%)&gt;[Teto R. Legal],[Teto R. Legal],[Lucro Líquido]*5%)</f>
        <v>-96970650</v>
      </c>
      <c r="Q202" s="13">
        <f>IF([Lucro Líquido]&lt;0,0,[Lucro Líquido]-[Reserva Legal])</f>
        <v>0</v>
      </c>
      <c r="R202" s="13">
        <f>Tabela3[[#This Row],[Lucro Distribuir]]*[%Div]</f>
        <v>0</v>
      </c>
      <c r="S202" s="57">
        <f>SUMPRODUCT(N([Nome]=Tabela3[[#This Row],[Nome]]),[Ações])</f>
        <v>312563568</v>
      </c>
      <c r="T202" s="6">
        <f>[Capital Social]/[Total Ações]</f>
        <v>12.079437004411211</v>
      </c>
      <c r="U202" s="96">
        <f>Tabela3[[#This Row],[Lucro Líquido]]/Tabela3[[#This Row],[Total Ações]]</f>
        <v>-6.2048594223879601</v>
      </c>
      <c r="V2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2" s="13">
        <f>[Div Base]*[Ações]</f>
        <v>0</v>
      </c>
      <c r="AA202" s="13">
        <f>SUMPRODUCT(N([Nome]=Tabela3[[#This Row],[Nome]]),[Div Base]*[Ações])</f>
        <v>0</v>
      </c>
      <c r="AB202" s="113">
        <f>[Patrimônio Líquido]/[Total Ações]</f>
        <v>7.6317659644837432</v>
      </c>
      <c r="AC202" s="49">
        <f>MAX(Tabela3[[#This Row],[Cotação 1]:[Cotação 3]])</f>
        <v>0</v>
      </c>
      <c r="AD202" s="45">
        <f>[Cotação]/[VPA]</f>
        <v>0</v>
      </c>
      <c r="AE202" s="41">
        <f>IF(Tabela3[[#This Row],[Lucro/Ação]]&gt;0,Tabela3[[#This Row],[Cotação]]/(Tabela3[[#This Row],[Lucro/Ação]]/[Ref]*4),0)</f>
        <v>0</v>
      </c>
      <c r="AF202" s="109">
        <f>IF([Div. Mínimo]=0,0,[Lucro Distribuir]*#REF!/[Total Ações])</f>
        <v>0</v>
      </c>
      <c r="AG202" s="96">
        <f>[Lucro Distribuir]/[Total Ações]</f>
        <v>0</v>
      </c>
      <c r="AH20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2" s="14" t="str">
        <f>IF(AND([% A.A.]&gt;=8%,SUMPRODUCT(N([Nome]=Tabela3[[#This Row],[Nome]]),[PL])&gt;0),"Sim","Não")</f>
        <v>Não</v>
      </c>
      <c r="AJ202" s="43">
        <f>IF([Cotação]&gt;0,Tabela3[[#This Row],[Lucro]]/Tabela3[[#This Row],[Cotação]],0)</f>
        <v>0</v>
      </c>
      <c r="AK202" s="43">
        <f>((1+Tabela3[[#This Row],[% Yield]])^(1/(3*Tabela3[[#This Row],[Ref]])))^(12)-1</f>
        <v>0</v>
      </c>
      <c r="AL202" s="14">
        <f>IF([Cotação]&gt;0,($AR$1/Tabela3[[#This Row],[Cotação]]-MOD($AR$1/Tabela3[[#This Row],[Cotação]],100)),)</f>
        <v>0</v>
      </c>
      <c r="AM202" s="17">
        <f>Tabela3[[#This Row],[Ativos]]*[Lucro]</f>
        <v>0</v>
      </c>
      <c r="AN202" s="17">
        <f>SUMPRODUCT(N(Tabela1[Código]=Tabela3[[#This Row],[PAPEL]]),Tabela1[Fechamento])</f>
        <v>0</v>
      </c>
      <c r="AO202" s="17">
        <f>SUMPRODUCT(N(Tabela17[Código]=Tabela3[[#This Row],[PAPEL]]),Tabela17[Fechamento])</f>
        <v>0</v>
      </c>
      <c r="AP202" s="17">
        <f>SUMPRODUCT(N(Tabela176[Código]=Tabela3[[#This Row],[PAPEL]]),Tabela176[Fechamento])</f>
        <v>0</v>
      </c>
    </row>
    <row r="203" spans="1:42" hidden="1">
      <c r="A203" s="4" t="s">
        <v>360</v>
      </c>
      <c r="B203" s="65" t="s">
        <v>464</v>
      </c>
      <c r="C203" s="101" t="str">
        <f>LEFT([PAPEL],LEN([PAPEL])-(LEN([PAPEL])-4))</f>
        <v>PATI</v>
      </c>
      <c r="D203" s="16">
        <v>3</v>
      </c>
      <c r="E203" s="5">
        <v>140000000</v>
      </c>
      <c r="F203" s="8">
        <v>11841369</v>
      </c>
      <c r="G203" s="106">
        <v>0.25</v>
      </c>
      <c r="I203" s="18"/>
      <c r="K203" s="107"/>
      <c r="L203" s="107"/>
      <c r="M203" s="6">
        <v>241884000</v>
      </c>
      <c r="N203" s="6">
        <v>56208000</v>
      </c>
      <c r="O203" s="6">
        <f>Tabela3[[#This Row],[Capital Social]]*20%</f>
        <v>28000000</v>
      </c>
      <c r="P203" s="6">
        <f>IF(([Lucro Líquido]*5%)&gt;[Teto R. Legal],[Teto R. Legal],[Lucro Líquido]*5%)</f>
        <v>2810400</v>
      </c>
      <c r="Q203" s="6">
        <f>IF([Lucro Líquido]&lt;0,0,[Lucro Líquido]-[Reserva Legal])</f>
        <v>53397600</v>
      </c>
      <c r="R203" s="6">
        <f>Tabela3[[#This Row],[Lucro Distribuir]]*[%Div]</f>
        <v>13349400</v>
      </c>
      <c r="S203" s="21">
        <f>SUMPRODUCT(N([Nome]=Tabela3[[#This Row],[Nome]]),[Ações])</f>
        <v>12587262</v>
      </c>
      <c r="T203" s="5">
        <f>[Capital Social]/[Total Ações]</f>
        <v>11.12235528266592</v>
      </c>
      <c r="U203" s="95">
        <f>Tabela3[[#This Row],[Lucro Líquido]]/Tabela3[[#This Row],[Total Ações]]</f>
        <v>4.4654667552006151</v>
      </c>
      <c r="V2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2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2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203" s="5">
        <f>[Div Base]*[Ações]</f>
        <v>12489389.701912936</v>
      </c>
      <c r="AA203" s="5">
        <f>SUMPRODUCT(N([Nome]=Tabela3[[#This Row],[Nome]]),[Div Base]*[Ações])</f>
        <v>13349400.000000002</v>
      </c>
      <c r="AB203" s="5">
        <f>[Patrimônio Líquido]/[Total Ações]</f>
        <v>19.216569894231167</v>
      </c>
      <c r="AC203" s="99">
        <f>MAX(Tabela3[[#This Row],[Cotação 1]:[Cotação 3]])</f>
        <v>18</v>
      </c>
      <c r="AD203" s="100">
        <f>[Cotação]/[VPA]</f>
        <v>0.93669162077690138</v>
      </c>
      <c r="AE203" s="35">
        <f>IF(Tabela3[[#This Row],[Lucro/Ação]]&gt;0,Tabela3[[#This Row],[Cotação]]/(Tabela3[[#This Row],[Lucro/Ação]]/[Ref]*4),0)</f>
        <v>3.0232002028181038</v>
      </c>
      <c r="AF203" s="35" t="e">
        <f>IF([Div. Mínimo]=0,0,[Lucro Distribuir]*#REF!/[Total Ações])</f>
        <v>#REF!</v>
      </c>
      <c r="AG203" s="95">
        <f>[Lucro Distribuir]/[Total Ações]</f>
        <v>4.2421934174405838</v>
      </c>
      <c r="AH203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203" s="10" t="str">
        <f>IF(AND([% A.A.]&gt;=8%,SUMPRODUCT(N([Nome]=Tabela3[[#This Row],[Nome]]),[PL])&gt;0),"Sim","Não")</f>
        <v>Não</v>
      </c>
      <c r="AJ203" s="22">
        <f>IF([Cotação]&gt;0,Tabela3[[#This Row],[Lucro]]/Tabela3[[#This Row],[Cotação]],0)</f>
        <v>5.8595841700364838E-2</v>
      </c>
      <c r="AK203" s="18">
        <f>((1+Tabela3[[#This Row],[% Yield]])^(1/(3*Tabela3[[#This Row],[Ref]])))^(12)-1</f>
        <v>7.8881082935229108E-2</v>
      </c>
      <c r="AL203" s="10">
        <f>IF([Cotação]&gt;0,($AR$1/Tabela3[[#This Row],[Cotação]]-MOD($AR$1/Tabela3[[#This Row],[Cotação]],100)),)</f>
        <v>0</v>
      </c>
      <c r="AM203" s="48">
        <f>Tabela3[[#This Row],[Ativos]]*[Lucro]</f>
        <v>0</v>
      </c>
      <c r="AN203" s="48">
        <f>SUMPRODUCT(N(Tabela1[Código]=Tabela3[[#This Row],[PAPEL]]),Tabela1[Fechamento])</f>
        <v>18</v>
      </c>
      <c r="AO203" s="48">
        <f>SUMPRODUCT(N(Tabela17[Código]=Tabela3[[#This Row],[PAPEL]]),Tabela17[Fechamento])</f>
        <v>0</v>
      </c>
      <c r="AP203" s="7">
        <f>SUMPRODUCT(N(Tabela176[Código]=Tabela3[[#This Row],[PAPEL]]),Tabela176[Fechamento])</f>
        <v>0</v>
      </c>
    </row>
    <row r="204" spans="1:42" hidden="1">
      <c r="A204" s="4" t="s">
        <v>360</v>
      </c>
      <c r="B204" s="65" t="s">
        <v>359</v>
      </c>
      <c r="C204" s="101" t="str">
        <f>LEFT([PAPEL],LEN([PAPEL])-(LEN([PAPEL])-4))</f>
        <v>PATI</v>
      </c>
      <c r="D204" s="15">
        <v>3</v>
      </c>
      <c r="E204" s="6">
        <v>140000000</v>
      </c>
      <c r="F204" s="8">
        <v>745893</v>
      </c>
      <c r="G204" s="100">
        <v>0.25</v>
      </c>
      <c r="H204" s="9">
        <v>0.06</v>
      </c>
      <c r="I204" s="19">
        <v>0.08</v>
      </c>
      <c r="J204" s="19"/>
      <c r="K204" s="108"/>
      <c r="L204" s="108"/>
      <c r="M204" s="6">
        <v>241884000</v>
      </c>
      <c r="N204" s="6">
        <v>56208000</v>
      </c>
      <c r="O204" s="6">
        <f>Tabela3[[#This Row],[Capital Social]]*20%</f>
        <v>28000000</v>
      </c>
      <c r="P204" s="6">
        <f>IF(([Lucro Líquido]*5%)&gt;[Teto R. Legal],[Teto R. Legal],[Lucro Líquido]*5%)</f>
        <v>2810400</v>
      </c>
      <c r="Q204" s="6">
        <f>IF([Lucro Líquido]&lt;0,0,[Lucro Líquido]-[Reserva Legal])</f>
        <v>53397600</v>
      </c>
      <c r="R204" s="6">
        <f>Tabela3[[#This Row],[Lucro Distribuir]]*[%Div]</f>
        <v>13349400</v>
      </c>
      <c r="S204" s="21">
        <f>SUMPRODUCT(N([Nome]=Tabela3[[#This Row],[Nome]]),[Ações])</f>
        <v>12587262</v>
      </c>
      <c r="T204" s="5">
        <f>[Capital Social]/[Total Ações]</f>
        <v>11.12235528266592</v>
      </c>
      <c r="U204" s="96">
        <f>Tabela3[[#This Row],[Lucro Líquido]]/Tabela3[[#This Row],[Total Ações]]</f>
        <v>4.4654667552006151</v>
      </c>
      <c r="V2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204" s="6">
        <f>[Div Base]*[Ações]</f>
        <v>860010.29808706616</v>
      </c>
      <c r="AA204" s="6">
        <f>SUMPRODUCT(N([Nome]=Tabela3[[#This Row],[Nome]]),[Div Base]*[Ações])</f>
        <v>13349400.000000002</v>
      </c>
      <c r="AB204" s="6">
        <f>[Patrimônio Líquido]/[Total Ações]</f>
        <v>19.216569894231167</v>
      </c>
      <c r="AC204" s="49">
        <f>MAX(Tabela3[[#This Row],[Cotação 1]:[Cotação 3]])</f>
        <v>20</v>
      </c>
      <c r="AD204" s="45">
        <f>[Cotação]/[VPA]</f>
        <v>1.0407684675298905</v>
      </c>
      <c r="AE204" s="41">
        <f>IF(Tabela3[[#This Row],[Lucro/Ação]]&gt;0,Tabela3[[#This Row],[Cotação]]/(Tabela3[[#This Row],[Lucro/Ação]]/[Ref]*4),0)</f>
        <v>3.3591113364645597</v>
      </c>
      <c r="AF204" s="93" t="e">
        <f>IF([Div. Mínimo]=0,0,[Lucro Distribuir]*#REF!/[Total Ações])</f>
        <v>#REF!</v>
      </c>
      <c r="AG204" s="96">
        <f>[Lucro Distribuir]/[Total Ações]</f>
        <v>4.2421934174405838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204" s="15" t="str">
        <f>IF(AND([% A.A.]&gt;=8%,SUMPRODUCT(N([Nome]=Tabela3[[#This Row],[Nome]]),[PL])&gt;0),"Sim","Não")</f>
        <v>Não</v>
      </c>
      <c r="AJ204" s="43">
        <f>IF([Cotação]&gt;0,Tabela3[[#This Row],[Lucro]]/Tabela3[[#This Row],[Cotação]],0)</f>
        <v>5.7649709682693506E-2</v>
      </c>
      <c r="AK204" s="19">
        <f>((1+Tabela3[[#This Row],[% Yield]])^(1/(3*Tabela3[[#This Row],[Ref]])))^(12)-1</f>
        <v>7.7595591579995737E-2</v>
      </c>
      <c r="AL204" s="14">
        <f>IF([Cotação]&gt;0,($AR$1/Tabela3[[#This Row],[Cotação]]-MOD($AR$1/Tabela3[[#This Row],[Cotação]],100)),)</f>
        <v>0</v>
      </c>
      <c r="AM204" s="17">
        <f>Tabela3[[#This Row],[Ativos]]*[Lucro]</f>
        <v>0</v>
      </c>
      <c r="AN204" s="13">
        <f>SUMPRODUCT(N(Tabela1[Código]=Tabela3[[#This Row],[PAPEL]]),Tabela1[Fechamento])</f>
        <v>0</v>
      </c>
      <c r="AO204" s="56">
        <f>SUMPRODUCT(N(Tabela17[Código]=Tabela3[[#This Row],[PAPEL]]),Tabela17[Fechamento])</f>
        <v>20</v>
      </c>
      <c r="AP204" s="7">
        <f>SUMPRODUCT(N(Tabela176[Código]=Tabela3[[#This Row],[PAPEL]]),Tabela176[Fechamento])</f>
        <v>0</v>
      </c>
    </row>
    <row r="205" spans="1:42" hidden="1">
      <c r="A205" s="4" t="s">
        <v>26</v>
      </c>
      <c r="B205" s="65" t="s">
        <v>785</v>
      </c>
      <c r="C205" s="15" t="str">
        <f>LEFT([PAPEL],LEN([PAPEL])-(LEN([PAPEL])-4))</f>
        <v>PEAB</v>
      </c>
      <c r="D205" s="15">
        <v>3</v>
      </c>
      <c r="E205" s="6">
        <v>400000000</v>
      </c>
      <c r="F205" s="8">
        <v>6425139</v>
      </c>
      <c r="G205" s="106">
        <v>0.25</v>
      </c>
      <c r="H205" s="15"/>
      <c r="I205" s="19"/>
      <c r="J205" s="19"/>
      <c r="K205" s="108"/>
      <c r="L205" s="108"/>
      <c r="M205" s="114">
        <v>525856000</v>
      </c>
      <c r="N205" s="115">
        <v>84000</v>
      </c>
      <c r="O205" s="13">
        <f>Tabela3[[#This Row],[Capital Social]]*20%</f>
        <v>80000000</v>
      </c>
      <c r="P205" s="13">
        <f>IF(([Lucro Líquido]*5%)&gt;[Teto R. Legal],[Teto R. Legal],[Lucro Líquido]*5%)</f>
        <v>4200</v>
      </c>
      <c r="Q205" s="13">
        <f>IF([Lucro Líquido]&lt;0,0,[Lucro Líquido]-[Reserva Legal])</f>
        <v>79800</v>
      </c>
      <c r="R205" s="13">
        <f>Tabela3[[#This Row],[Lucro Distribuir]]*[%Div]</f>
        <v>19950</v>
      </c>
      <c r="S205" s="57">
        <f>SUMPRODUCT(N([Nome]=Tabela3[[#This Row],[Nome]]),[Ações])</f>
        <v>12850278</v>
      </c>
      <c r="T205" s="6">
        <f>[Capital Social]/[Total Ações]</f>
        <v>31.127731244413546</v>
      </c>
      <c r="U205" s="96">
        <f>Tabela3[[#This Row],[Lucro Líquido]]/Tabela3[[#This Row],[Total Ações]]</f>
        <v>6.5368235613268441E-3</v>
      </c>
      <c r="V2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W2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Z205" s="13">
        <f>[Div Base]*[Ações]</f>
        <v>9664.6398190649998</v>
      </c>
      <c r="AA205" s="13">
        <f>SUMPRODUCT(N([Nome]=Tabela3[[#This Row],[Nome]]),[Div Base]*[Ações])</f>
        <v>20295.743634600003</v>
      </c>
      <c r="AB205" s="113">
        <f>[Patrimônio Líquido]/[Total Ações]</f>
        <v>40.921760603155825</v>
      </c>
      <c r="AC205" s="49">
        <f>MAX(Tabela3[[#This Row],[Cotação 1]:[Cotação 3]])</f>
        <v>30.23</v>
      </c>
      <c r="AD205" s="45">
        <f>[Cotação]/[VPA]</f>
        <v>0.73872676919156577</v>
      </c>
      <c r="AE205" s="41">
        <f>IF(Tabela3[[#This Row],[Lucro/Ação]]&gt;0,Tabela3[[#This Row],[Cotação]]/(Tabela3[[#This Row],[Lucro/Ação]]/[Ref]*4),0)</f>
        <v>3468.4277137500003</v>
      </c>
      <c r="AF205" s="109" t="e">
        <f>IF([Div. Mínimo]=0,0,[Lucro Distribuir]*#REF!/[Total Ações])</f>
        <v>#REF!</v>
      </c>
      <c r="AG205" s="96">
        <f>[Lucro Distribuir]/[Total Ações]</f>
        <v>6.2099823832605025E-3</v>
      </c>
      <c r="AH205" s="96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I205" s="14" t="str">
        <f>IF(AND([% A.A.]&gt;=8%,SUMPRODUCT(N([Nome]=Tabela3[[#This Row],[Nome]]),[PL])&gt;0),"Sim","Não")</f>
        <v>Não</v>
      </c>
      <c r="AJ205" s="43">
        <f>IF([Cotação]&gt;0,Tabela3[[#This Row],[Lucro]]/Tabela3[[#This Row],[Cotação]],0)</f>
        <v>4.975823864735575E-5</v>
      </c>
      <c r="AK205" s="43">
        <f>((1+Tabela3[[#This Row],[% Yield]])^(1/(3*Tabela3[[#This Row],[Ref]])))^(12)-1</f>
        <v>6.6344868386414291E-5</v>
      </c>
      <c r="AL205" s="14">
        <f>IF([Cotação]&gt;0,($AR$1/Tabela3[[#This Row],[Cotação]]-MOD($AR$1/Tabela3[[#This Row],[Cotação]],100)),)</f>
        <v>0</v>
      </c>
      <c r="AM205" s="17">
        <f>Tabela3[[#This Row],[Ativos]]*[Lucro]</f>
        <v>0</v>
      </c>
      <c r="AN205" s="17">
        <f>SUMPRODUCT(N(Tabela1[Código]=Tabela3[[#This Row],[PAPEL]]),Tabela1[Fechamento])</f>
        <v>0</v>
      </c>
      <c r="AO205" s="17">
        <f>SUMPRODUCT(N(Tabela17[Código]=Tabela3[[#This Row],[PAPEL]]),Tabela17[Fechamento])</f>
        <v>0</v>
      </c>
      <c r="AP205" s="17">
        <f>SUMPRODUCT(N(Tabela176[Código]=Tabela3[[#This Row],[PAPEL]]),Tabela176[Fechamento])</f>
        <v>30.23</v>
      </c>
    </row>
    <row r="206" spans="1:42" hidden="1">
      <c r="A206" s="4" t="s">
        <v>26</v>
      </c>
      <c r="B206" s="65" t="s">
        <v>786</v>
      </c>
      <c r="C206" s="15" t="str">
        <f>LEFT([PAPEL],LEN([PAPEL])-(LEN([PAPEL])-4))</f>
        <v>PEAB</v>
      </c>
      <c r="D206" s="15">
        <v>3</v>
      </c>
      <c r="E206" s="6">
        <v>400000000</v>
      </c>
      <c r="F206" s="8">
        <v>6425139</v>
      </c>
      <c r="G206" s="106">
        <v>0.25</v>
      </c>
      <c r="H206" s="15"/>
      <c r="I206" s="19"/>
      <c r="J206" s="19">
        <v>0.1</v>
      </c>
      <c r="K206" s="108"/>
      <c r="L206" s="108"/>
      <c r="M206" s="114">
        <v>525856000</v>
      </c>
      <c r="N206" s="115">
        <v>84000</v>
      </c>
      <c r="O206" s="13">
        <f>Tabela3[[#This Row],[Capital Social]]*20%</f>
        <v>80000000</v>
      </c>
      <c r="P206" s="13">
        <f>IF(([Lucro Líquido]*5%)&gt;[Teto R. Legal],[Teto R. Legal],[Lucro Líquido]*5%)</f>
        <v>4200</v>
      </c>
      <c r="Q206" s="13">
        <f>IF([Lucro Líquido]&lt;0,0,[Lucro Líquido]-[Reserva Legal])</f>
        <v>79800</v>
      </c>
      <c r="R206" s="13">
        <f>Tabela3[[#This Row],[Lucro Distribuir]]*[%Div]</f>
        <v>19950</v>
      </c>
      <c r="S206" s="57">
        <f>SUMPRODUCT(N([Nome]=Tabela3[[#This Row],[Nome]]),[Ações])</f>
        <v>12850278</v>
      </c>
      <c r="T206" s="6">
        <f>[Capital Social]/[Total Ações]</f>
        <v>31.127731244413546</v>
      </c>
      <c r="U206" s="96">
        <f>Tabela3[[#This Row],[Lucro Líquido]]/Tabela3[[#This Row],[Total Ações]]</f>
        <v>6.5368235613268441E-3</v>
      </c>
      <c r="V2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Z206" s="13">
        <f>[Div Base]*[Ações]</f>
        <v>10631.103815535002</v>
      </c>
      <c r="AA206" s="13">
        <f>SUMPRODUCT(N([Nome]=Tabela3[[#This Row],[Nome]]),[Div Base]*[Ações])</f>
        <v>20295.743634600003</v>
      </c>
      <c r="AB206" s="113">
        <f>[Patrimônio Líquido]/[Total Ações]</f>
        <v>40.921760603155825</v>
      </c>
      <c r="AC206" s="49">
        <f>MAX(Tabela3[[#This Row],[Cotação 1]:[Cotação 3]])</f>
        <v>30</v>
      </c>
      <c r="AD206" s="45">
        <f>[Cotação]/[VPA]</f>
        <v>0.73310628765289354</v>
      </c>
      <c r="AE206" s="41">
        <f>IF(Tabela3[[#This Row],[Lucro/Ação]]&gt;0,Tabela3[[#This Row],[Cotação]]/(Tabela3[[#This Row],[Lucro/Ação]]/[Ref]*4),0)</f>
        <v>3442.0387500000002</v>
      </c>
      <c r="AF206" s="109" t="e">
        <f>IF([Div. Mínimo]=0,0,[Lucro Distribuir]*#REF!/[Total Ações])</f>
        <v>#REF!</v>
      </c>
      <c r="AG206" s="96">
        <f>[Lucro Distribuir]/[Total Ações]</f>
        <v>6.2099823832605025E-3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I206" s="14" t="str">
        <f>IF(AND([% A.A.]&gt;=8%,SUMPRODUCT(N([Nome]=Tabela3[[#This Row],[Nome]]),[PL])&gt;0),"Sim","Não")</f>
        <v>Não</v>
      </c>
      <c r="AJ206" s="43">
        <f>IF([Cotação]&gt;0,Tabela3[[#This Row],[Lucro]]/Tabela3[[#This Row],[Cotação]],0)</f>
        <v>5.5153690400238815E-5</v>
      </c>
      <c r="AK206" s="43">
        <f>((1+Tabela3[[#This Row],[% Yield]])^(1/(3*Tabela3[[#This Row],[Ref]])))^(12)-1</f>
        <v>7.3538929842520417E-5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17">
        <f>SUMPRODUCT(N(Tabela1[Código]=Tabela3[[#This Row],[PAPEL]]),Tabela1[Fechamento])</f>
        <v>0</v>
      </c>
      <c r="AO206" s="17">
        <f>SUMPRODUCT(N(Tabela17[Código]=Tabela3[[#This Row],[PAPEL]]),Tabela17[Fechamento])</f>
        <v>0</v>
      </c>
      <c r="AP206" s="17">
        <f>SUMPRODUCT(N(Tabela176[Código]=Tabela3[[#This Row],[PAPEL]]),Tabela176[Fechamento])</f>
        <v>30</v>
      </c>
    </row>
    <row r="207" spans="1:42" hidden="1">
      <c r="A207" s="4" t="s">
        <v>264</v>
      </c>
      <c r="B207" s="65" t="s">
        <v>20</v>
      </c>
      <c r="C207" s="14" t="str">
        <f>LEFT([PAPEL],LEN([PAPEL])-(LEN([PAPEL])-4))</f>
        <v>PETR</v>
      </c>
      <c r="D207" s="15">
        <v>3</v>
      </c>
      <c r="E207" s="6">
        <v>205392136722.39001</v>
      </c>
      <c r="F207" s="8">
        <v>7442454142</v>
      </c>
      <c r="G207" s="106">
        <v>0.25</v>
      </c>
      <c r="H207" s="9"/>
      <c r="I207" s="9"/>
      <c r="J207" s="19"/>
      <c r="K207" s="108"/>
      <c r="L207" s="108"/>
      <c r="M207" s="6">
        <v>341312244000</v>
      </c>
      <c r="N207" s="6">
        <v>17288839000</v>
      </c>
      <c r="O207" s="6">
        <f>Tabela3[[#This Row],[Capital Social]]*20%</f>
        <v>41078427344.478004</v>
      </c>
      <c r="P207" s="6">
        <f>IF(([Lucro Líquido]*5%)&gt;[Teto R. Legal],[Teto R. Legal],[Lucro Líquido]*5%)</f>
        <v>864441950</v>
      </c>
      <c r="Q207" s="6">
        <f>IF([Lucro Líquido]&lt;0,0,[Lucro Líquido]-[Reserva Legal])</f>
        <v>16424397050</v>
      </c>
      <c r="R207" s="6">
        <f>Tabela3[[#This Row],[Lucro Distribuir]]*[%Div]</f>
        <v>4106099262.5</v>
      </c>
      <c r="S207" s="57">
        <f>SUMPRODUCT(N([Nome]=Tabela3[[#This Row],[Nome]]),[Ações])</f>
        <v>13044496930</v>
      </c>
      <c r="T207" s="6">
        <f>[Capital Social]/[Total Ações]</f>
        <v>15.745500790454019</v>
      </c>
      <c r="U207" s="96">
        <f>Tabela3[[#This Row],[Lucro Líquido]]/Tabela3[[#This Row],[Total Ações]]</f>
        <v>1.3253741476406633</v>
      </c>
      <c r="V2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7" s="6">
        <f>[Div Base]*[Ações]</f>
        <v>0</v>
      </c>
      <c r="AA207" s="6">
        <f>SUMPRODUCT(N([Nome]=Tabela3[[#This Row],[Nome]]),[Div Base]*[Ações])</f>
        <v>4410348457.3305616</v>
      </c>
      <c r="AB207" s="6">
        <f>[Patrimônio Líquido]/[Total Ações]</f>
        <v>26.165228588849843</v>
      </c>
      <c r="AC207" s="49">
        <f>MAX(Tabela3[[#This Row],[Cotação 1]:[Cotação 3]])</f>
        <v>14.02</v>
      </c>
      <c r="AD207" s="45">
        <f>[Cotação]/[VPA]</f>
        <v>0.53582562645657683</v>
      </c>
      <c r="AE207" s="41">
        <f>IF(Tabela3[[#This Row],[Lucro/Ação]]&gt;0,Tabela3[[#This Row],[Cotação]]/(Tabela3[[#This Row],[Lucro/Ação]]/[Ref]*4),0)</f>
        <v>7.9336087992345812</v>
      </c>
      <c r="AF207" s="41" t="e">
        <f>IF([Div. Mínimo]=0,0,[Lucro Distribuir]*#REF!/[Total Ações])</f>
        <v>#REF!</v>
      </c>
      <c r="AG207" s="96">
        <f>[Lucro Distribuir]/[Total Ações]</f>
        <v>1.2591054402586301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7" s="15" t="str">
        <f>IF(AND([% A.A.]&gt;=8%,SUMPRODUCT(N([Nome]=Tabela3[[#This Row],[Nome]]),[PL])&gt;0),"Sim","Não")</f>
        <v>Não</v>
      </c>
      <c r="AJ207" s="43">
        <f>IF([Cotação]&gt;0,Tabela3[[#This Row],[Lucro]]/Tabela3[[#This Row],[Cotação]],0)</f>
        <v>0</v>
      </c>
      <c r="AK207" s="19">
        <f>((1+Tabela3[[#This Row],[% Yield]])^(1/(3*Tabela3[[#This Row],[Ref]])))^(12)-1</f>
        <v>0</v>
      </c>
      <c r="AL207" s="14">
        <f>IF([Cotação]&gt;0,($AR$1/Tabela3[[#This Row],[Cotação]]-MOD($AR$1/Tabela3[[#This Row],[Cotação]],100)),)</f>
        <v>0</v>
      </c>
      <c r="AM207" s="17">
        <f>Tabela3[[#This Row],[Ativos]]*[Lucro]</f>
        <v>0</v>
      </c>
      <c r="AN207" s="13">
        <f>SUMPRODUCT(N(Tabela1[Código]=Tabela3[[#This Row],[PAPEL]]),Tabela1[Fechamento])</f>
        <v>0</v>
      </c>
      <c r="AO207" s="13">
        <f>SUMPRODUCT(N(Tabela17[Código]=Tabela3[[#This Row],[PAPEL]]),Tabela17[Fechamento])</f>
        <v>14.02</v>
      </c>
      <c r="AP207" s="7">
        <f>SUMPRODUCT(N(Tabela176[Código]=Tabela3[[#This Row],[PAPEL]]),Tabela176[Fechamento])</f>
        <v>0</v>
      </c>
    </row>
    <row r="208" spans="1:42" hidden="1">
      <c r="A208" s="4" t="s">
        <v>264</v>
      </c>
      <c r="B208" s="65" t="s">
        <v>21</v>
      </c>
      <c r="C208" s="14" t="str">
        <f>LEFT([PAPEL],LEN([PAPEL])-(LEN([PAPEL])-4))</f>
        <v>PETR</v>
      </c>
      <c r="D208" s="15">
        <v>3</v>
      </c>
      <c r="E208" s="6">
        <v>205392136722.39001</v>
      </c>
      <c r="F208" s="8">
        <v>5602042788</v>
      </c>
      <c r="G208" s="100">
        <v>0.25</v>
      </c>
      <c r="H208" s="9">
        <v>0.03</v>
      </c>
      <c r="I208" s="9">
        <v>0.05</v>
      </c>
      <c r="J208" s="19"/>
      <c r="K208" s="108"/>
      <c r="L208" s="108"/>
      <c r="M208" s="6">
        <v>341312244000</v>
      </c>
      <c r="N208" s="6">
        <v>17288839000</v>
      </c>
      <c r="O208" s="6">
        <f>Tabela3[[#This Row],[Capital Social]]*20%</f>
        <v>41078427344.478004</v>
      </c>
      <c r="P208" s="6">
        <f>IF(([Lucro Líquido]*5%)&gt;[Teto R. Legal],[Teto R. Legal],[Lucro Líquido]*5%)</f>
        <v>864441950</v>
      </c>
      <c r="Q208" s="6">
        <f>IF([Lucro Líquido]&lt;0,0,[Lucro Líquido]-[Reserva Legal])</f>
        <v>16424397050</v>
      </c>
      <c r="R208" s="6">
        <f>Tabela3[[#This Row],[Lucro Distribuir]]*[%Div]</f>
        <v>4106099262.5</v>
      </c>
      <c r="S208" s="57">
        <f>SUMPRODUCT(N([Nome]=Tabela3[[#This Row],[Nome]]),[Ações])</f>
        <v>13044496930</v>
      </c>
      <c r="T208" s="6">
        <f>[Capital Social]/[Total Ações]</f>
        <v>15.745500790454019</v>
      </c>
      <c r="U208" s="96">
        <f>Tabela3[[#This Row],[Lucro Líquido]]/Tabela3[[#This Row],[Total Ações]]</f>
        <v>1.3253741476406633</v>
      </c>
      <c r="V2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X2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0.78727503952270095</v>
      </c>
      <c r="Y2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Z208" s="6">
        <f>[Div Base]*[Ações]</f>
        <v>4410348457.3305616</v>
      </c>
      <c r="AA208" s="6">
        <f>SUMPRODUCT(N([Nome]=Tabela3[[#This Row],[Nome]]),[Div Base]*[Ações])</f>
        <v>4410348457.3305616</v>
      </c>
      <c r="AB208" s="6">
        <f>[Patrimônio Líquido]/[Total Ações]</f>
        <v>26.165228588849843</v>
      </c>
      <c r="AC208" s="49">
        <f>MAX(Tabela3[[#This Row],[Cotação 1]:[Cotação 3]])</f>
        <v>15.11</v>
      </c>
      <c r="AD208" s="45">
        <f>[Cotação]/[VPA]</f>
        <v>0.57748396688722359</v>
      </c>
      <c r="AE208" s="41">
        <f>IF(Tabela3[[#This Row],[Lucro/Ação]]&gt;0,Tabela3[[#This Row],[Cotação]]/(Tabela3[[#This Row],[Lucro/Ação]]/[Ref]*4),0)</f>
        <v>8.5504157600880539</v>
      </c>
      <c r="AF208" s="41" t="e">
        <f>IF([Div. Mínimo]=0,0,[Lucro Distribuir]*#REF!/[Total Ações])</f>
        <v>#REF!</v>
      </c>
      <c r="AG208" s="96">
        <f>[Lucro Distribuir]/[Total Ações]</f>
        <v>1.2591054402586301</v>
      </c>
      <c r="AH208" s="96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I208" s="15" t="str">
        <f>IF(AND([% A.A.]&gt;=8%,SUMPRODUCT(N([Nome]=Tabela3[[#This Row],[Nome]]),[PL])&gt;0),"Sim","Não")</f>
        <v>Não</v>
      </c>
      <c r="AJ208" s="43">
        <f>IF([Cotação]&gt;0,Tabela3[[#This Row],[Lucro]]/Tabela3[[#This Row],[Cotação]],0)</f>
        <v>5.2102914594487161E-2</v>
      </c>
      <c r="AK208" s="19">
        <f>((1+Tabela3[[#This Row],[% Yield]])^(1/(3*Tabela3[[#This Row],[Ref]])))^(12)-1</f>
        <v>7.0066985147602789E-2</v>
      </c>
      <c r="AL208" s="14">
        <f>IF([Cotação]&gt;0,($AR$1/Tabela3[[#This Row],[Cotação]]-MOD($AR$1/Tabela3[[#This Row],[Cotação]],100)),)</f>
        <v>0</v>
      </c>
      <c r="AM208" s="17">
        <f>Tabela3[[#This Row],[Ativos]]*[Lucro]</f>
        <v>0</v>
      </c>
      <c r="AN208" s="13">
        <f>SUMPRODUCT(N(Tabela1[Código]=Tabela3[[#This Row],[PAPEL]]),Tabela1[Fechamento])</f>
        <v>0</v>
      </c>
      <c r="AO208" s="13">
        <f>SUMPRODUCT(N(Tabela17[Código]=Tabela3[[#This Row],[PAPEL]]),Tabela17[Fechamento])</f>
        <v>15.11</v>
      </c>
      <c r="AP208" s="7">
        <f>SUMPRODUCT(N(Tabela176[Código]=Tabela3[[#This Row],[PAPEL]]),Tabela176[Fechamento])</f>
        <v>0</v>
      </c>
    </row>
    <row r="209" spans="1:42" hidden="1">
      <c r="A209" s="4" t="s">
        <v>14</v>
      </c>
      <c r="B209" s="65" t="s">
        <v>481</v>
      </c>
      <c r="C209" s="14" t="str">
        <f>LEFT([PAPEL],LEN([PAPEL])-(LEN([PAPEL])-4))</f>
        <v>PINE</v>
      </c>
      <c r="D209" s="15">
        <v>3</v>
      </c>
      <c r="E209" s="6">
        <v>1112258700.96</v>
      </c>
      <c r="F209" s="8">
        <v>65178483</v>
      </c>
      <c r="G209" s="106">
        <v>0.25</v>
      </c>
      <c r="H209" s="15"/>
      <c r="I209" s="19"/>
      <c r="J209" s="19"/>
      <c r="K209" s="108"/>
      <c r="L209" s="108"/>
      <c r="M209" s="6">
        <v>1277111000</v>
      </c>
      <c r="N209" s="6">
        <v>116149000</v>
      </c>
      <c r="O209" s="6">
        <f>Tabela3[[#This Row],[Capital Social]]*20%</f>
        <v>222451740.19200003</v>
      </c>
      <c r="P209" s="6">
        <f>IF(([Lucro Líquido]*5%)&gt;[Teto R. Legal],[Teto R. Legal],[Lucro Líquido]*5%)</f>
        <v>5807450</v>
      </c>
      <c r="Q209" s="6">
        <f>IF([Lucro Líquido]&lt;0,0,[Lucro Líquido]-[Reserva Legal])</f>
        <v>110341550</v>
      </c>
      <c r="R209" s="6">
        <f>Tabela3[[#This Row],[Lucro Distribuir]]*[%Div]</f>
        <v>27585387.5</v>
      </c>
      <c r="S209" s="21">
        <f>SUMPRODUCT(N([Nome]=Tabela3[[#This Row],[Nome]]),[Ações])</f>
        <v>123612756</v>
      </c>
      <c r="T209" s="6">
        <f>[Capital Social]/[Total Ações]</f>
        <v>8.9979281827516253</v>
      </c>
      <c r="U209" s="96">
        <f>Tabela3[[#This Row],[Lucro Líquido]]/Tabela3[[#This Row],[Total Ações]]</f>
        <v>0.93961985606080978</v>
      </c>
      <c r="V2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09" s="6">
        <f>[Div Base]*[Ações]</f>
        <v>14545211.743496461</v>
      </c>
      <c r="AA209" s="6">
        <f>SUMPRODUCT(N([Nome]=Tabela3[[#This Row],[Nome]]),[Div Base]*[Ações])</f>
        <v>27585387.5</v>
      </c>
      <c r="AB209" s="6">
        <f>[Patrimônio Líquido]/[Total Ações]</f>
        <v>10.331547012834177</v>
      </c>
      <c r="AC209" s="49">
        <f>MAX(Tabela3[[#This Row],[Cotação 1]:[Cotação 3]])</f>
        <v>0</v>
      </c>
      <c r="AD209" s="45">
        <f>[Cotação]/[VPA]</f>
        <v>0</v>
      </c>
      <c r="AE209" s="41">
        <f>IF(Tabela3[[#This Row],[Lucro/Ação]]&gt;0,Tabela3[[#This Row],[Cotação]]/(Tabela3[[#This Row],[Lucro/Ação]]/[Ref]*4),0)</f>
        <v>0</v>
      </c>
      <c r="AF209" s="41" t="e">
        <f>IF([Div. Mínimo]=0,0,[Lucro Distribuir]*#REF!/[Total Ações])</f>
        <v>#REF!</v>
      </c>
      <c r="AG209" s="96">
        <f>[Lucro Distribuir]/[Total Ações]</f>
        <v>0.89263886325776931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09" s="15" t="str">
        <f>IF(AND([% A.A.]&gt;=8%,SUMPRODUCT(N([Nome]=Tabela3[[#This Row],[Nome]]),[PL])&gt;0),"Sim","Não")</f>
        <v>Não</v>
      </c>
      <c r="AJ209" s="43">
        <f>IF([Cotação]&gt;0,Tabela3[[#This Row],[Lucro]]/Tabela3[[#This Row],[Cotação]],0)</f>
        <v>0</v>
      </c>
      <c r="AK209" s="19">
        <f>((1+Tabela3[[#This Row],[% Yield]])^(1/(3*Tabela3[[#This Row],[Ref]])))^(12)-1</f>
        <v>0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13">
        <f>SUMPRODUCT(N(Tabela1[Código]=Tabela3[[#This Row],[PAPEL]]),Tabela1[Fechamento])</f>
        <v>0</v>
      </c>
      <c r="AO209" s="13">
        <f>SUMPRODUCT(N(Tabela17[Código]=Tabela3[[#This Row],[PAPEL]]),Tabela17[Fechamento])</f>
        <v>0</v>
      </c>
      <c r="AP209" s="7">
        <f>SUMPRODUCT(N(Tabela176[Código]=Tabela3[[#This Row],[PAPEL]]),Tabela176[Fechamento])</f>
        <v>0</v>
      </c>
    </row>
    <row r="210" spans="1:42" hidden="1">
      <c r="A210" s="4" t="s">
        <v>14</v>
      </c>
      <c r="B210" s="65" t="s">
        <v>75</v>
      </c>
      <c r="C210" s="14" t="str">
        <f>LEFT([PAPEL],LEN([PAPEL])-(LEN([PAPEL])-4))</f>
        <v>PINE</v>
      </c>
      <c r="D210" s="15">
        <v>3</v>
      </c>
      <c r="E210" s="6">
        <v>1112258700.96</v>
      </c>
      <c r="F210" s="8">
        <v>58434273</v>
      </c>
      <c r="G210" s="100">
        <v>0.25</v>
      </c>
      <c r="H210" s="19"/>
      <c r="I210" s="19"/>
      <c r="J210" s="19"/>
      <c r="K210" s="108"/>
      <c r="L210" s="108"/>
      <c r="M210" s="6">
        <v>1277111000</v>
      </c>
      <c r="N210" s="6">
        <v>116149000</v>
      </c>
      <c r="O210" s="6">
        <f>Tabela3[[#This Row],[Capital Social]]*20%</f>
        <v>222451740.19200003</v>
      </c>
      <c r="P210" s="6">
        <f>IF(([Lucro Líquido]*5%)&gt;[Teto R. Legal],[Teto R. Legal],[Lucro Líquido]*5%)</f>
        <v>5807450</v>
      </c>
      <c r="Q210" s="6">
        <f>IF([Lucro Líquido]&lt;0,0,[Lucro Líquido]-[Reserva Legal])</f>
        <v>110341550</v>
      </c>
      <c r="R210" s="6">
        <f>Tabela3[[#This Row],[Lucro Distribuir]]*[%Div]</f>
        <v>27585387.5</v>
      </c>
      <c r="S210" s="21">
        <f>SUMPRODUCT(N([Nome]=Tabela3[[#This Row],[Nome]]),[Ações])</f>
        <v>123612756</v>
      </c>
      <c r="T210" s="6">
        <f>[Capital Social]/[Total Ações]</f>
        <v>8.9979281827516253</v>
      </c>
      <c r="U210" s="96">
        <f>Tabela3[[#This Row],[Lucro Líquido]]/Tabela3[[#This Row],[Total Ações]]</f>
        <v>0.93961985606080978</v>
      </c>
      <c r="V2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10" s="6">
        <f>[Div Base]*[Ações]</f>
        <v>13040175.756503541</v>
      </c>
      <c r="AA210" s="6">
        <f>SUMPRODUCT(N([Nome]=Tabela3[[#This Row],[Nome]]),[Div Base]*[Ações])</f>
        <v>27585387.5</v>
      </c>
      <c r="AB210" s="6">
        <f>[Patrimônio Líquido]/[Total Ações]</f>
        <v>10.331547012834177</v>
      </c>
      <c r="AC210" s="49">
        <f>MAX(Tabela3[[#This Row],[Cotação 1]:[Cotação 3]])</f>
        <v>8.33</v>
      </c>
      <c r="AD210" s="45">
        <f>[Cotação]/[VPA]</f>
        <v>0.80626841165724827</v>
      </c>
      <c r="AE210" s="41">
        <f>IF(Tabela3[[#This Row],[Lucro/Ação]]&gt;0,Tabela3[[#This Row],[Cotação]]/(Tabela3[[#This Row],[Lucro/Ação]]/[Ref]*4),0)</f>
        <v>6.648965493547081</v>
      </c>
      <c r="AF210" s="93" t="e">
        <f>IF([Div. Mínimo]=0,0,[Lucro Distribuir]*#REF!/[Total Ações])</f>
        <v>#REF!</v>
      </c>
      <c r="AG210" s="96">
        <f>[Lucro Distribuir]/[Total Ações]</f>
        <v>0.89263886325776931</v>
      </c>
      <c r="AH210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10" s="15" t="str">
        <f>IF(AND([% A.A.]&gt;=8%,SUMPRODUCT(N([Nome]=Tabela3[[#This Row],[Nome]]),[PL])&gt;0),"Sim","Não")</f>
        <v>Não</v>
      </c>
      <c r="AJ210" s="43">
        <f>IF([Cotação]&gt;0,Tabela3[[#This Row],[Lucro]]/Tabela3[[#This Row],[Cotação]],0)</f>
        <v>2.678988185047327E-2</v>
      </c>
      <c r="AK210" s="19">
        <f>((1+Tabela3[[#This Row],[% Yield]])^(1/(3*Tabela3[[#This Row],[Ref]])))^(12)-1</f>
        <v>3.5878391826717815E-2</v>
      </c>
      <c r="AL210" s="14">
        <f>IF([Cotação]&gt;0,($AR$1/Tabela3[[#This Row],[Cotação]]-MOD($AR$1/Tabela3[[#This Row],[Cotação]],100)),)</f>
        <v>0</v>
      </c>
      <c r="AM210" s="17">
        <f>Tabela3[[#This Row],[Ativos]]*[Lucro]</f>
        <v>0</v>
      </c>
      <c r="AN210" s="5">
        <f>SUMPRODUCT(N(Tabela1[Código]=Tabela3[[#This Row],[PAPEL]]),Tabela1[Fechamento])</f>
        <v>8.33</v>
      </c>
      <c r="AO210" s="5">
        <f>SUMPRODUCT(N(Tabela17[Código]=Tabela3[[#This Row],[PAPEL]]),Tabela17[Fechamento])</f>
        <v>0</v>
      </c>
      <c r="AP210" s="7">
        <f>SUMPRODUCT(N(Tabela176[Código]=Tabela3[[#This Row],[PAPEL]]),Tabela176[Fechamento])</f>
        <v>0</v>
      </c>
    </row>
    <row r="211" spans="1:42" hidden="1">
      <c r="A211" s="4" t="s">
        <v>702</v>
      </c>
      <c r="B211" s="65" t="s">
        <v>700</v>
      </c>
      <c r="C211" s="15" t="str">
        <f>LEFT([PAPEL],LEN([PAPEL])-(LEN([PAPEL])-4))</f>
        <v>PMAM</v>
      </c>
      <c r="D211" s="15">
        <v>3</v>
      </c>
      <c r="E211" s="6">
        <v>1382990468.48</v>
      </c>
      <c r="F211" s="8">
        <v>319176942</v>
      </c>
      <c r="G211" s="106">
        <v>0.25</v>
      </c>
      <c r="H211" s="15"/>
      <c r="I211" s="19"/>
      <c r="J211" s="19"/>
      <c r="K211" s="108"/>
      <c r="L211" s="108"/>
      <c r="M211" s="114">
        <v>1448120000</v>
      </c>
      <c r="N211" s="115">
        <v>11744000</v>
      </c>
      <c r="O211" s="13">
        <f>Tabela3[[#This Row],[Capital Social]]*20%</f>
        <v>276598093.69600004</v>
      </c>
      <c r="P211" s="13">
        <f>IF(([Lucro Líquido]*5%)&gt;[Teto R. Legal],[Teto R. Legal],[Lucro Líquido]*5%)</f>
        <v>587200</v>
      </c>
      <c r="Q211" s="13">
        <f>IF([Lucro Líquido]&lt;0,0,[Lucro Líquido]-[Reserva Legal])</f>
        <v>11156800</v>
      </c>
      <c r="R211" s="13">
        <f>Tabela3[[#This Row],[Lucro Distribuir]]*[%Div]</f>
        <v>2789200</v>
      </c>
      <c r="S211" s="57">
        <f>SUMPRODUCT(N([Nome]=Tabela3[[#This Row],[Nome]]),[Ações])</f>
        <v>319176942</v>
      </c>
      <c r="T211" s="6">
        <f>[Capital Social]/[Total Ações]</f>
        <v>4.3329899077734755</v>
      </c>
      <c r="U211" s="96">
        <f>Tabela3[[#This Row],[Lucro Líquido]]/Tabela3[[#This Row],[Total Ações]]</f>
        <v>3.6794637878321421E-2</v>
      </c>
      <c r="V2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W2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Z211" s="13">
        <f>[Div Base]*[Ações]</f>
        <v>2789200</v>
      </c>
      <c r="AA211" s="13">
        <f>SUMPRODUCT(N([Nome]=Tabela3[[#This Row],[Nome]]),[Div Base]*[Ações])</f>
        <v>2789200</v>
      </c>
      <c r="AB211" s="113">
        <f>[Patrimônio Líquido]/[Total Ações]</f>
        <v>4.5370445337495591</v>
      </c>
      <c r="AC211" s="49">
        <f>MAX(Tabela3[[#This Row],[Cotação 1]:[Cotação 3]])</f>
        <v>4.5199999999999996</v>
      </c>
      <c r="AD211" s="45">
        <f>[Cotação]/[VPA]</f>
        <v>0.99624325182995865</v>
      </c>
      <c r="AE211" s="41">
        <f>IF(Tabela3[[#This Row],[Lucro/Ação]]&gt;0,Tabela3[[#This Row],[Cotação]]/(Tabela3[[#This Row],[Lucro/Ação]]/[Ref]*4),0)</f>
        <v>92.132989899523167</v>
      </c>
      <c r="AF211" s="109" t="e">
        <f>IF([Div. Mínimo]=0,0,[Lucro Distribuir]*#REF!/[Total Ações])</f>
        <v>#REF!</v>
      </c>
      <c r="AG211" s="96">
        <f>[Lucro Distribuir]/[Total Ações]</f>
        <v>3.495490598440535E-2</v>
      </c>
      <c r="AH211" s="96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I211" s="14" t="str">
        <f>IF(AND([% A.A.]&gt;=8%,SUMPRODUCT(N([Nome]=Tabela3[[#This Row],[Nome]]),[PL])&gt;0),"Sim","Não")</f>
        <v>Não</v>
      </c>
      <c r="AJ211" s="43">
        <f>IF([Cotação]&gt;0,Tabela3[[#This Row],[Lucro]]/Tabela3[[#This Row],[Cotação]],0)</f>
        <v>1.9333465699339243E-3</v>
      </c>
      <c r="AK211" s="43">
        <f>((1+Tabela3[[#This Row],[% Yield]])^(1/(3*Tabela3[[#This Row],[Ref]])))^(12)-1</f>
        <v>2.578625698658632E-3</v>
      </c>
      <c r="AL211" s="14">
        <f>IF([Cotação]&gt;0,($AR$1/Tabela3[[#This Row],[Cotação]]-MOD($AR$1/Tabela3[[#This Row],[Cotação]],100)),)</f>
        <v>0</v>
      </c>
      <c r="AM211" s="17">
        <f>Tabela3[[#This Row],[Ativos]]*[Lucro]</f>
        <v>0</v>
      </c>
      <c r="AN211" s="17">
        <f>SUMPRODUCT(N(Tabela1[Código]=Tabela3[[#This Row],[PAPEL]]),Tabela1[Fechamento])</f>
        <v>0</v>
      </c>
      <c r="AO211" s="17">
        <f>SUMPRODUCT(N(Tabela17[Código]=Tabela3[[#This Row],[PAPEL]]),Tabela17[Fechamento])</f>
        <v>0</v>
      </c>
      <c r="AP211" s="17">
        <f>SUMPRODUCT(N(Tabela176[Código]=Tabela3[[#This Row],[PAPEL]]),Tabela176[Fechamento])</f>
        <v>4.5199999999999996</v>
      </c>
    </row>
    <row r="212" spans="1:42" hidden="1">
      <c r="A212" s="4" t="s">
        <v>650</v>
      </c>
      <c r="B212" s="65" t="s">
        <v>653</v>
      </c>
      <c r="C212" s="15" t="str">
        <f>LEFT([PAPEL],LEN([PAPEL])-(LEN([PAPEL])-4))</f>
        <v>POSI</v>
      </c>
      <c r="D212" s="15">
        <v>3</v>
      </c>
      <c r="E212" s="6">
        <v>389000000</v>
      </c>
      <c r="F212" s="8">
        <v>87800000</v>
      </c>
      <c r="G212" s="106">
        <v>0.25</v>
      </c>
      <c r="H212" s="15"/>
      <c r="I212" s="19"/>
      <c r="J212" s="19"/>
      <c r="K212" s="108"/>
      <c r="L212" s="108"/>
      <c r="M212" s="114">
        <v>621764000</v>
      </c>
      <c r="N212" s="115">
        <v>-15359000</v>
      </c>
      <c r="O212" s="13">
        <f>Tabela3[[#This Row],[Capital Social]]*20%</f>
        <v>77800000</v>
      </c>
      <c r="P212" s="13">
        <f>IF(([Lucro Líquido]*5%)&gt;[Teto R. Legal],[Teto R. Legal],[Lucro Líquido]*5%)</f>
        <v>-767950</v>
      </c>
      <c r="Q212" s="13">
        <f>IF([Lucro Líquido]&lt;0,0,[Lucro Líquido]-[Reserva Legal])</f>
        <v>0</v>
      </c>
      <c r="R212" s="13">
        <f>Tabela3[[#This Row],[Lucro Distribuir]]*[%Div]</f>
        <v>0</v>
      </c>
      <c r="S212" s="57">
        <f>SUMPRODUCT(N([Nome]=Tabela3[[#This Row],[Nome]]),[Ações])</f>
        <v>87800000</v>
      </c>
      <c r="T212" s="6">
        <f>[Capital Social]/[Total Ações]</f>
        <v>4.4305239179954441</v>
      </c>
      <c r="U212" s="96">
        <f>Tabela3[[#This Row],[Lucro Líquido]]/Tabela3[[#This Row],[Total Ações]]</f>
        <v>-0.17493166287015946</v>
      </c>
      <c r="V2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2" s="13">
        <f>[Div Base]*[Ações]</f>
        <v>0</v>
      </c>
      <c r="AA212" s="13">
        <f>SUMPRODUCT(N([Nome]=Tabela3[[#This Row],[Nome]]),[Div Base]*[Ações])</f>
        <v>0</v>
      </c>
      <c r="AB212" s="113">
        <f>[Patrimônio Líquido]/[Total Ações]</f>
        <v>7.0815945330296124</v>
      </c>
      <c r="AC212" s="49">
        <f>MAX(Tabela3[[#This Row],[Cotação 1]:[Cotação 3]])</f>
        <v>3.09</v>
      </c>
      <c r="AD212" s="45">
        <f>[Cotação]/[VPA]</f>
        <v>0.43634240644360239</v>
      </c>
      <c r="AE212" s="41">
        <f>IF(Tabela3[[#This Row],[Lucro/Ação]]&gt;0,Tabela3[[#This Row],[Cotação]]/(Tabela3[[#This Row],[Lucro/Ação]]/[Ref]*4),0)</f>
        <v>0</v>
      </c>
      <c r="AF212" s="109">
        <f>IF([Div. Mínimo]=0,0,[Lucro Distribuir]*#REF!/[Total Ações])</f>
        <v>0</v>
      </c>
      <c r="AG212" s="96">
        <f>[Lucro Distribuir]/[Total Ações]</f>
        <v>0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2" s="14" t="str">
        <f>IF(AND([% A.A.]&gt;=8%,SUMPRODUCT(N([Nome]=Tabela3[[#This Row],[Nome]]),[PL])&gt;0),"Sim","Não")</f>
        <v>Não</v>
      </c>
      <c r="AJ212" s="43">
        <f>IF([Cotação]&gt;0,Tabela3[[#This Row],[Lucro]]/Tabela3[[#This Row],[Cotação]],0)</f>
        <v>0</v>
      </c>
      <c r="AK212" s="43">
        <f>((1+Tabela3[[#This Row],[% Yield]])^(1/(3*Tabela3[[#This Row],[Ref]])))^(12)-1</f>
        <v>0</v>
      </c>
      <c r="AL212" s="14">
        <f>IF([Cotação]&gt;0,($AR$1/Tabela3[[#This Row],[Cotação]]-MOD($AR$1/Tabela3[[#This Row],[Cotação]],100)),)</f>
        <v>0</v>
      </c>
      <c r="AM212" s="17">
        <f>Tabela3[[#This Row],[Ativos]]*[Lucro]</f>
        <v>0</v>
      </c>
      <c r="AN212" s="17">
        <f>SUMPRODUCT(N(Tabela1[Código]=Tabela3[[#This Row],[PAPEL]]),Tabela1[Fechamento])</f>
        <v>0</v>
      </c>
      <c r="AO212" s="17">
        <f>SUMPRODUCT(N(Tabela17[Código]=Tabela3[[#This Row],[PAPEL]]),Tabela17[Fechamento])</f>
        <v>0</v>
      </c>
      <c r="AP212" s="17">
        <f>SUMPRODUCT(N(Tabela176[Código]=Tabela3[[#This Row],[PAPEL]]),Tabela176[Fechamento])</f>
        <v>3.09</v>
      </c>
    </row>
    <row r="213" spans="1:42" hidden="1">
      <c r="A213" s="4" t="s">
        <v>14</v>
      </c>
      <c r="B213" s="65" t="s">
        <v>636</v>
      </c>
      <c r="C213" s="14" t="str">
        <f>LEFT([PAPEL],LEN([PAPEL])-(LEN([PAPEL])-4))</f>
        <v>PRBC</v>
      </c>
      <c r="D213" s="15">
        <v>3</v>
      </c>
      <c r="E213" s="6">
        <v>763866648</v>
      </c>
      <c r="F213" s="8">
        <v>56724976</v>
      </c>
      <c r="G213" s="106">
        <v>0.25</v>
      </c>
      <c r="H213" s="19"/>
      <c r="I213" s="19"/>
      <c r="J213" s="19"/>
      <c r="K213" s="108"/>
      <c r="L213" s="108"/>
      <c r="M213" s="6">
        <v>1279731000</v>
      </c>
      <c r="N213" s="6">
        <v>103137000</v>
      </c>
      <c r="O213" s="6">
        <f>Tabela3[[#This Row],[Capital Social]]*20%</f>
        <v>152773329.59999999</v>
      </c>
      <c r="P213" s="6">
        <f>IF(([Lucro Líquido]*5%)&gt;[Teto R. Legal],[Teto R. Legal],[Lucro Líquido]*5%)</f>
        <v>5156850</v>
      </c>
      <c r="Q213" s="6">
        <f>IF([Lucro Líquido]&lt;0,0,[Lucro Líquido]-[Reserva Legal])</f>
        <v>97980150</v>
      </c>
      <c r="R213" s="6">
        <f>Tabela3[[#This Row],[Lucro Distribuir]]*[%Div]</f>
        <v>24495037.5</v>
      </c>
      <c r="S213" s="21">
        <f>SUMPRODUCT(N([Nome]=Tabela3[[#This Row],[Nome]]),[Ações])</f>
        <v>87289932</v>
      </c>
      <c r="T213" s="6">
        <f>[Capital Social]/[Total Ações]</f>
        <v>8.7509135417816566</v>
      </c>
      <c r="U213" s="96">
        <f>Tabela3[[#This Row],[Lucro Líquido]]/Tabela3[[#This Row],[Total Ações]]</f>
        <v>1.181545198133503</v>
      </c>
      <c r="V2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3" s="6">
        <f>[Div Base]*[Ações]</f>
        <v>15917991.714171574</v>
      </c>
      <c r="AA213" s="6">
        <f>SUMPRODUCT(N([Nome]=Tabela3[[#This Row],[Nome]]),[Div Base]*[Ações])</f>
        <v>24495037.5</v>
      </c>
      <c r="AB213" s="6">
        <f>[Patrimônio Líquido]/[Total Ações]</f>
        <v>14.660694202396675</v>
      </c>
      <c r="AC213" s="49">
        <f>MAX(Tabela3[[#This Row],[Cotação 1]:[Cotação 3]])</f>
        <v>0</v>
      </c>
      <c r="AD213" s="45">
        <f>[Cotação]/[VPA]</f>
        <v>0</v>
      </c>
      <c r="AE213" s="41">
        <f>IF(Tabela3[[#This Row],[Lucro/Ação]]&gt;0,Tabela3[[#This Row],[Cotação]]/(Tabela3[[#This Row],[Lucro/Ação]]/[Ref]*4),0)</f>
        <v>0</v>
      </c>
      <c r="AF213" s="93" t="e">
        <f>IF([Div. Mínimo]=0,0,[Lucro Distribuir]*#REF!/[Total Ações])</f>
        <v>#REF!</v>
      </c>
      <c r="AG213" s="96">
        <f>[Lucro Distribuir]/[Total Ações]</f>
        <v>1.1224679382268279</v>
      </c>
      <c r="AH213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3" s="15" t="str">
        <f>IF(AND([% A.A.]&gt;=8%,SUMPRODUCT(N([Nome]=Tabela3[[#This Row],[Nome]]),[PL])&gt;0),"Sim","Não")</f>
        <v>Não</v>
      </c>
      <c r="AJ213" s="43">
        <f>IF([Cotação]&gt;0,Tabela3[[#This Row],[Lucro]]/Tabela3[[#This Row],[Cotação]],0)</f>
        <v>0</v>
      </c>
      <c r="AK213" s="19">
        <f>((1+Tabela3[[#This Row],[% Yield]])^(1/(3*Tabela3[[#This Row],[Ref]])))^(12)-1</f>
        <v>0</v>
      </c>
      <c r="AL213" s="14">
        <f>IF([Cotação]&gt;0,($AR$1/Tabela3[[#This Row],[Cotação]]-MOD($AR$1/Tabela3[[#This Row],[Cotação]],100)),)</f>
        <v>0</v>
      </c>
      <c r="AM213" s="17">
        <f>Tabela3[[#This Row],[Ativos]]*[Lucro]</f>
        <v>0</v>
      </c>
      <c r="AN213" s="5">
        <f>SUMPRODUCT(N(Tabela1[Código]=Tabela3[[#This Row],[PAPEL]]),Tabela1[Fechamento])</f>
        <v>0</v>
      </c>
      <c r="AO213" s="5">
        <f>SUMPRODUCT(N(Tabela17[Código]=Tabela3[[#This Row],[PAPEL]]),Tabela17[Fechamento])</f>
        <v>0</v>
      </c>
      <c r="AP213" s="7">
        <f>SUMPRODUCT(N(Tabela176[Código]=Tabela3[[#This Row],[PAPEL]]),Tabela176[Fechamento])</f>
        <v>0</v>
      </c>
    </row>
    <row r="214" spans="1:42" hidden="1">
      <c r="A214" s="4" t="s">
        <v>14</v>
      </c>
      <c r="B214" s="65" t="s">
        <v>83</v>
      </c>
      <c r="C214" s="15" t="str">
        <f>LEFT([PAPEL],LEN([PAPEL])-(LEN([PAPEL])-4))</f>
        <v>PRBC</v>
      </c>
      <c r="D214" s="15">
        <v>3</v>
      </c>
      <c r="E214" s="6">
        <v>763866648</v>
      </c>
      <c r="F214" s="8">
        <v>30564956</v>
      </c>
      <c r="G214" s="106">
        <v>0.25</v>
      </c>
      <c r="H214" s="15"/>
      <c r="I214" s="19"/>
      <c r="J214" s="19"/>
      <c r="K214" s="108"/>
      <c r="L214" s="108"/>
      <c r="M214" s="6">
        <v>1279731000</v>
      </c>
      <c r="N214" s="6">
        <v>103137000</v>
      </c>
      <c r="O214" s="6">
        <f>Tabela3[[#This Row],[Capital Social]]*20%</f>
        <v>152773329.59999999</v>
      </c>
      <c r="P214" s="6">
        <f>IF(([Lucro Líquido]*5%)&gt;[Teto R. Legal],[Teto R. Legal],[Lucro Líquido]*5%)</f>
        <v>5156850</v>
      </c>
      <c r="Q214" s="6">
        <f>IF([Lucro Líquido]&lt;0,0,[Lucro Líquido]-[Reserva Legal])</f>
        <v>97980150</v>
      </c>
      <c r="R214" s="6">
        <f>Tabela3[[#This Row],[Lucro Distribuir]]*[%Div]</f>
        <v>24495037.5</v>
      </c>
      <c r="S214" s="21">
        <f>SUMPRODUCT(N([Nome]=Tabela3[[#This Row],[Nome]]),[Ações])</f>
        <v>87289932</v>
      </c>
      <c r="T214" s="6">
        <f>[Capital Social]/[Total Ações]</f>
        <v>8.7509135417816566</v>
      </c>
      <c r="U214" s="96">
        <f>Tabela3[[#This Row],[Lucro Líquido]]/Tabela3[[#This Row],[Total Ações]]</f>
        <v>1.181545198133503</v>
      </c>
      <c r="V2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4" s="6">
        <f>[Div Base]*[Ações]</f>
        <v>8577045.7858284283</v>
      </c>
      <c r="AA214" s="6">
        <f>SUMPRODUCT(N([Nome]=Tabela3[[#This Row],[Nome]]),[Div Base]*[Ações])</f>
        <v>24495037.5</v>
      </c>
      <c r="AB214" s="6">
        <f>[Patrimônio Líquido]/[Total Ações]</f>
        <v>14.660694202396675</v>
      </c>
      <c r="AC214" s="49">
        <f>MAX(Tabela3[[#This Row],[Cotação 1]:[Cotação 3]])</f>
        <v>11.6</v>
      </c>
      <c r="AD214" s="45">
        <f>[Cotação]/[VPA]</f>
        <v>0.79123129095098887</v>
      </c>
      <c r="AE214" s="41">
        <f>IF(Tabela3[[#This Row],[Lucro/Ação]]&gt;0,Tabela3[[#This Row],[Cotação]]/(Tabela3[[#This Row],[Lucro/Ação]]/[Ref]*4),0)</f>
        <v>7.3632392681578862</v>
      </c>
      <c r="AF214" s="41" t="e">
        <f>IF([Div. Mínimo]=0,0,[Lucro Distribuir]*#REF!/[Total Ações])</f>
        <v>#REF!</v>
      </c>
      <c r="AG214" s="96">
        <f>[Lucro Distribuir]/[Total Ações]</f>
        <v>1.1224679382268279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4" s="15" t="str">
        <f>IF(AND([% A.A.]&gt;=8%,SUMPRODUCT(N([Nome]=Tabela3[[#This Row],[Nome]]),[PL])&gt;0),"Sim","Não")</f>
        <v>Não</v>
      </c>
      <c r="AJ214" s="43">
        <f>IF([Cotação]&gt;0,Tabela3[[#This Row],[Lucro]]/Tabela3[[#This Row],[Cotação]],0)</f>
        <v>2.4191119358336809E-2</v>
      </c>
      <c r="AK214" s="19">
        <f>((1+Tabela3[[#This Row],[% Yield]])^(1/(3*Tabela3[[#This Row],[Ref]])))^(12)-1</f>
        <v>3.2384180386028971E-2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5">
        <f>SUMPRODUCT(N(Tabela1[Código]=Tabela3[[#This Row],[PAPEL]]),Tabela1[Fechamento])</f>
        <v>11.6</v>
      </c>
      <c r="AO214" s="5">
        <f>SUMPRODUCT(N(Tabela17[Código]=Tabela3[[#This Row],[PAPEL]]),Tabela17[Fechamento])</f>
        <v>0</v>
      </c>
      <c r="AP214" s="7">
        <f>SUMPRODUCT(N(Tabela176[Código]=Tabela3[[#This Row],[PAPEL]]),Tabela176[Fechamento])</f>
        <v>0</v>
      </c>
    </row>
    <row r="215" spans="1:42" hidden="1">
      <c r="A215" s="4" t="s">
        <v>349</v>
      </c>
      <c r="B215" s="65" t="s">
        <v>350</v>
      </c>
      <c r="C215" s="101" t="str">
        <f>LEFT([PAPEL],LEN([PAPEL])-(LEN([PAPEL])-4))</f>
        <v>PRVI</v>
      </c>
      <c r="D215" s="15">
        <v>3</v>
      </c>
      <c r="E215" s="6">
        <v>422268606.5</v>
      </c>
      <c r="F215" s="8">
        <v>80041132</v>
      </c>
      <c r="G215" s="100">
        <v>0.25</v>
      </c>
      <c r="H215" s="15"/>
      <c r="I215" s="19"/>
      <c r="J215" s="19"/>
      <c r="K215" s="108"/>
      <c r="L215" s="108"/>
      <c r="M215" s="6">
        <v>662099000</v>
      </c>
      <c r="N215" s="6">
        <v>23239000</v>
      </c>
      <c r="O215" s="6">
        <f>Tabela3[[#This Row],[Capital Social]]*20%</f>
        <v>84453721.300000012</v>
      </c>
      <c r="P215" s="6">
        <f>IF(([Lucro Líquido]*5%)&gt;[Teto R. Legal],[Teto R. Legal],[Lucro Líquido]*5%)</f>
        <v>1161950</v>
      </c>
      <c r="Q215" s="6">
        <f>IF([Lucro Líquido]&lt;0,0,[Lucro Líquido]-[Reserva Legal])</f>
        <v>22077050</v>
      </c>
      <c r="R215" s="6">
        <f>Tabela3[[#This Row],[Lucro Distribuir]]*[%Div]</f>
        <v>5519262.5</v>
      </c>
      <c r="S215" s="57">
        <f>SUMPRODUCT(N([Nome]=Tabela3[[#This Row],[Nome]]),[Ações])</f>
        <v>80041132</v>
      </c>
      <c r="T215" s="6">
        <f>[Capital Social]/[Total Ações]</f>
        <v>5.2756451083175584</v>
      </c>
      <c r="U215" s="96">
        <f>Tabela3[[#This Row],[Lucro Líquido]]/Tabela3[[#This Row],[Total Ações]]</f>
        <v>0.29033822260284875</v>
      </c>
      <c r="V2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Z215" s="6">
        <f>[Div Base]*[Ações]</f>
        <v>5519262.5000000009</v>
      </c>
      <c r="AA215" s="6">
        <f>SUMPRODUCT(N([Nome]=Tabela3[[#This Row],[Nome]]),[Div Base]*[Ações])</f>
        <v>5519262.5000000009</v>
      </c>
      <c r="AB215" s="6">
        <f>[Patrimônio Líquido]/[Total Ações]</f>
        <v>8.2719844591903069</v>
      </c>
      <c r="AC215" s="49">
        <f>MAX(Tabela3[[#This Row],[Cotação 1]:[Cotação 3]])</f>
        <v>8.5</v>
      </c>
      <c r="AD215" s="45">
        <f>[Cotação]/[VPA]</f>
        <v>1.0275647931804761</v>
      </c>
      <c r="AE215" s="41">
        <f>IF(Tabela3[[#This Row],[Lucro/Ação]]&gt;0,Tabela3[[#This Row],[Cotação]]/(Tabela3[[#This Row],[Lucro/Ação]]/[Ref]*4),0)</f>
        <v>21.957150329188</v>
      </c>
      <c r="AF215" s="41" t="e">
        <f>IF([Div. Mínimo]=0,0,[Lucro Distribuir]*#REF!/[Total Ações])</f>
        <v>#REF!</v>
      </c>
      <c r="AG215" s="96">
        <f>[Lucro Distribuir]/[Total Ações]</f>
        <v>0.27582131147270633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I215" s="15" t="str">
        <f>IF(AND([% A.A.]&gt;=8%,SUMPRODUCT(N([Nome]=Tabela3[[#This Row],[Nome]]),[PL])&gt;0),"Sim","Não")</f>
        <v>Não</v>
      </c>
      <c r="AJ215" s="43">
        <f>IF([Cotação]&gt;0,Tabela3[[#This Row],[Lucro]]/Tabela3[[#This Row],[Cotação]],0)</f>
        <v>8.1123915139031267E-3</v>
      </c>
      <c r="AK215" s="19">
        <f>((1+Tabela3[[#This Row],[% Yield]])^(1/(3*Tabela3[[#This Row],[Ref]])))^(12)-1</f>
        <v>1.0831120386213033E-2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13">
        <f>SUMPRODUCT(N(Tabela1[Código]=Tabela3[[#This Row],[PAPEL]]),Tabela1[Fechamento])</f>
        <v>0</v>
      </c>
      <c r="AO215" s="56">
        <f>SUMPRODUCT(N(Tabela17[Código]=Tabela3[[#This Row],[PAPEL]]),Tabela17[Fechamento])</f>
        <v>8.5</v>
      </c>
      <c r="AP215" s="7">
        <f>SUMPRODUCT(N(Tabela176[Código]=Tabela3[[#This Row],[PAPEL]]),Tabela176[Fechamento])</f>
        <v>0</v>
      </c>
    </row>
    <row r="216" spans="1:42" hidden="1">
      <c r="A216" s="4" t="s">
        <v>26</v>
      </c>
      <c r="B216" s="65" t="s">
        <v>253</v>
      </c>
      <c r="C216" s="14" t="str">
        <f>LEFT([PAPEL],LEN([PAPEL])-(LEN([PAPEL])-4))</f>
        <v>PSSA</v>
      </c>
      <c r="D216" s="15">
        <v>3</v>
      </c>
      <c r="E216" s="6">
        <v>2782000000</v>
      </c>
      <c r="F216" s="39">
        <v>323293030</v>
      </c>
      <c r="G216" s="106">
        <v>0.25</v>
      </c>
      <c r="H216" s="15"/>
      <c r="I216" s="19"/>
      <c r="J216" s="19"/>
      <c r="K216" s="108"/>
      <c r="L216" s="108"/>
      <c r="M216" s="6">
        <v>5318159000</v>
      </c>
      <c r="N216" s="6">
        <v>472452000</v>
      </c>
      <c r="O216" s="6">
        <f>Tabela3[[#This Row],[Capital Social]]*20%</f>
        <v>556400000</v>
      </c>
      <c r="P216" s="6">
        <f>IF(([Lucro Líquido]*5%)&gt;[Teto R. Legal],[Teto R. Legal],[Lucro Líquido]*5%)</f>
        <v>23622600</v>
      </c>
      <c r="Q216" s="6">
        <f>IF([Lucro Líquido]&lt;0,0,[Lucro Líquido]-[Reserva Legal])</f>
        <v>448829400</v>
      </c>
      <c r="R216" s="6">
        <f>Tabela3[[#This Row],[Lucro Distribuir]]*[%Div]</f>
        <v>112207350</v>
      </c>
      <c r="S216" s="57">
        <f>SUMPRODUCT(N([Nome]=Tabela3[[#This Row],[Nome]]),[Ações])</f>
        <v>323293030</v>
      </c>
      <c r="T216" s="6">
        <f>[Capital Social]/[Total Ações]</f>
        <v>8.6051963446288955</v>
      </c>
      <c r="U216" s="96">
        <f>Tabela3[[#This Row],[Lucro Líquido]]/Tabela3[[#This Row],[Total Ações]]</f>
        <v>1.4613739120821752</v>
      </c>
      <c r="V2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0.34707630411951657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0.34707630411951657</v>
      </c>
      <c r="Z216" s="6">
        <f>[Div Base]*[Ações]</f>
        <v>112207350</v>
      </c>
      <c r="AA216" s="6">
        <f>SUMPRODUCT(N([Nome]=Tabela3[[#This Row],[Nome]]),[Div Base]*[Ações])</f>
        <v>112207350</v>
      </c>
      <c r="AB216" s="6">
        <f>[Patrimônio Líquido]/[Total Ações]</f>
        <v>16.449964912636688</v>
      </c>
      <c r="AC216" s="49">
        <f>MAX(Tabela3[[#This Row],[Cotação 1]:[Cotação 3]])</f>
        <v>28.31</v>
      </c>
      <c r="AD216" s="45">
        <f>[Cotação]/[VPA]</f>
        <v>1.7209763151684634</v>
      </c>
      <c r="AE216" s="41">
        <f>IF(Tabela3[[#This Row],[Lucro/Ação]]&gt;0,Tabela3[[#This Row],[Cotação]]/(Tabela3[[#This Row],[Lucro/Ação]]/[Ref]*4),0)</f>
        <v>14.529135784111402</v>
      </c>
      <c r="AF216" s="41" t="e">
        <f>IF([Div. Mínimo]=0,0,[Lucro Distribuir]*#REF!/[Total Ações])</f>
        <v>#REF!</v>
      </c>
      <c r="AG216" s="96">
        <f>[Lucro Distribuir]/[Total Ações]</f>
        <v>1.3883052164780663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0.34707630411951657</v>
      </c>
      <c r="AI216" s="15" t="str">
        <f>IF(AND([% A.A.]&gt;=8%,SUMPRODUCT(N([Nome]=Tabela3[[#This Row],[Nome]]),[PL])&gt;0),"Sim","Não")</f>
        <v>Não</v>
      </c>
      <c r="AJ216" s="43">
        <f>IF([Cotação]&gt;0,Tabela3[[#This Row],[Lucro]]/Tabela3[[#This Row],[Cotação]],0)</f>
        <v>1.2259848255722945E-2</v>
      </c>
      <c r="AK216" s="19">
        <f>((1+Tabela3[[#This Row],[% Yield]])^(1/(3*Tabela3[[#This Row],[Ref]])))^(12)-1</f>
        <v>1.6379774667176772E-2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28.31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341</v>
      </c>
      <c r="B217" s="65" t="s">
        <v>769</v>
      </c>
      <c r="C217" s="14" t="str">
        <f>LEFT([PAPEL],LEN([PAPEL])-(LEN([PAPEL])-4))</f>
        <v>PTPA</v>
      </c>
      <c r="D217" s="15">
        <v>3</v>
      </c>
      <c r="E217" s="6">
        <v>536949301.21000004</v>
      </c>
      <c r="F217" s="8">
        <v>5962454</v>
      </c>
      <c r="G217" s="100">
        <v>0.3</v>
      </c>
      <c r="H217" s="15"/>
      <c r="I217" s="19"/>
      <c r="J217" s="19"/>
      <c r="K217" s="108"/>
      <c r="L217" s="108"/>
      <c r="M217" s="6">
        <v>719118000</v>
      </c>
      <c r="N217" s="6">
        <v>53337000</v>
      </c>
      <c r="O217" s="6">
        <f>Tabela3[[#This Row],[Capital Social]]*20%</f>
        <v>107389860.24200001</v>
      </c>
      <c r="P217" s="6">
        <f>IF(([Lucro Líquido]*5%)&gt;[Teto R. Legal],[Teto R. Legal],[Lucro Líquido]*5%)</f>
        <v>2666850</v>
      </c>
      <c r="Q217" s="6">
        <f>IF([Lucro Líquido]&lt;0,0,[Lucro Líquido]-[Reserva Legal])</f>
        <v>50670150</v>
      </c>
      <c r="R217" s="6">
        <f>Tabela3[[#This Row],[Lucro Distribuir]]*[%Div]</f>
        <v>15201045</v>
      </c>
      <c r="S217" s="57">
        <f>SUMPRODUCT(N([Nome]=Tabela3[[#This Row],[Nome]]),[Ações])</f>
        <v>17887362</v>
      </c>
      <c r="T217" s="6">
        <f>[Capital Social]/[Total Ações]</f>
        <v>30.018361634879422</v>
      </c>
      <c r="U217" s="96">
        <f>Tabela3[[#This Row],[Lucro Líquido]]/Tabela3[[#This Row],[Total Ações]]</f>
        <v>2.9818259394537887</v>
      </c>
      <c r="V2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7" s="6">
        <f>[Div Base]*[Ações]</f>
        <v>5067015</v>
      </c>
      <c r="AA217" s="6">
        <f>SUMPRODUCT(N([Nome]=Tabela3[[#This Row],[Nome]]),[Div Base]*[Ações])</f>
        <v>15201045</v>
      </c>
      <c r="AB217" s="6">
        <f>[Patrimônio Líquido]/[Total Ações]</f>
        <v>40.202574309168675</v>
      </c>
      <c r="AC217" s="49">
        <f>MAX(Tabela3[[#This Row],[Cotação 1]:[Cotação 3]])</f>
        <v>0</v>
      </c>
      <c r="AD217" s="45">
        <f>[Cotação]/[VPA]</f>
        <v>0</v>
      </c>
      <c r="AE217" s="41">
        <f>IF(Tabela3[[#This Row],[Lucro/Ação]]&gt;0,Tabela3[[#This Row],[Cotação]]/(Tabela3[[#This Row],[Lucro/Ação]]/[Ref]*4),0)</f>
        <v>0</v>
      </c>
      <c r="AF217" s="41" t="e">
        <f>IF([Div. Mínimo]=0,0,[Lucro Distribuir]*#REF!/[Total Ações])</f>
        <v>#REF!</v>
      </c>
      <c r="AG217" s="96">
        <f>[Lucro Distribuir]/[Total Ações]</f>
        <v>2.8327346424810993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7" s="15" t="str">
        <f>IF(AND([% A.A.]&gt;=8%,SUMPRODUCT(N([Nome]=Tabela3[[#This Row],[Nome]]),[PL])&gt;0),"Sim","Não")</f>
        <v>Não</v>
      </c>
      <c r="AJ217" s="43">
        <f>IF([Cotação]&gt;0,Tabela3[[#This Row],[Lucro]]/Tabela3[[#This Row],[Cotação]],0)</f>
        <v>0</v>
      </c>
      <c r="AK217" s="19">
        <f>((1+Tabela3[[#This Row],[% Yield]])^(1/(3*Tabela3[[#This Row],[Ref]])))^(12)-1</f>
        <v>0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5">
        <f>SUMPRODUCT(N(Tabela1[Código]=Tabela3[[#This Row],[PAPEL]]),Tabela1[Fechamento])</f>
        <v>0</v>
      </c>
      <c r="AO217" s="5">
        <f>SUMPRODUCT(N(Tabela17[Código]=Tabela3[[#This Row],[PAPEL]]),Tabela17[Fechamento])</f>
        <v>0</v>
      </c>
      <c r="AP217" s="7">
        <f>SUMPRODUCT(N(Tabela176[Código]=Tabela3[[#This Row],[PAPEL]]),Tabela176[Fechamento])</f>
        <v>0</v>
      </c>
    </row>
    <row r="218" spans="1:42" hidden="1">
      <c r="A218" s="4" t="s">
        <v>341</v>
      </c>
      <c r="B218" s="65" t="s">
        <v>340</v>
      </c>
      <c r="C218" s="101" t="str">
        <f>LEFT([PAPEL],LEN([PAPEL])-(LEN([PAPEL])-4))</f>
        <v>PTPA</v>
      </c>
      <c r="D218" s="15">
        <v>3</v>
      </c>
      <c r="E218" s="6">
        <v>536949301.21000004</v>
      </c>
      <c r="F218" s="8">
        <v>11924908</v>
      </c>
      <c r="G218" s="100">
        <v>0.3</v>
      </c>
      <c r="H218" s="15"/>
      <c r="I218" s="19"/>
      <c r="J218" s="19"/>
      <c r="K218" s="108"/>
      <c r="L218" s="108"/>
      <c r="M218" s="6">
        <v>719118000</v>
      </c>
      <c r="N218" s="6">
        <v>53337000</v>
      </c>
      <c r="O218" s="6">
        <f>Tabela3[[#This Row],[Capital Social]]*20%</f>
        <v>107389860.24200001</v>
      </c>
      <c r="P218" s="6">
        <f>IF(([Lucro Líquido]*5%)&gt;[Teto R. Legal],[Teto R. Legal],[Lucro Líquido]*5%)</f>
        <v>2666850</v>
      </c>
      <c r="Q218" s="6">
        <f>IF([Lucro Líquido]&lt;0,0,[Lucro Líquido]-[Reserva Legal])</f>
        <v>50670150</v>
      </c>
      <c r="R218" s="6">
        <f>Tabela3[[#This Row],[Lucro Distribuir]]*[%Div]</f>
        <v>15201045</v>
      </c>
      <c r="S218" s="57">
        <f>SUMPRODUCT(N([Nome]=Tabela3[[#This Row],[Nome]]),[Ações])</f>
        <v>17887362</v>
      </c>
      <c r="T218" s="6">
        <f>[Capital Social]/[Total Ações]</f>
        <v>30.018361634879422</v>
      </c>
      <c r="U218" s="96">
        <f>Tabela3[[#This Row],[Lucro Líquido]]/Tabela3[[#This Row],[Total Ações]]</f>
        <v>2.9818259394537887</v>
      </c>
      <c r="V2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8" s="6">
        <f>[Div Base]*[Ações]</f>
        <v>10134030</v>
      </c>
      <c r="AA218" s="6">
        <f>SUMPRODUCT(N([Nome]=Tabela3[[#This Row],[Nome]]),[Div Base]*[Ações])</f>
        <v>15201045</v>
      </c>
      <c r="AB218" s="6">
        <f>[Patrimônio Líquido]/[Total Ações]</f>
        <v>40.202574309168675</v>
      </c>
      <c r="AC218" s="49">
        <f>MAX(Tabela3[[#This Row],[Cotação 1]:[Cotação 3]])</f>
        <v>60</v>
      </c>
      <c r="AD218" s="45">
        <f>[Cotação]/[VPA]</f>
        <v>1.4924417411328879</v>
      </c>
      <c r="AE218" s="41">
        <f>IF(Tabela3[[#This Row],[Lucro/Ação]]&gt;0,Tabela3[[#This Row],[Cotação]]/(Tabela3[[#This Row],[Lucro/Ação]]/[Ref]*4),0)</f>
        <v>15.091424152089544</v>
      </c>
      <c r="AF218" s="41" t="e">
        <f>IF([Div. Mínimo]=0,0,[Lucro Distribuir]*#REF!/[Total Ações])</f>
        <v>#REF!</v>
      </c>
      <c r="AG218" s="96">
        <f>[Lucro Distribuir]/[Total Ações]</f>
        <v>2.8327346424810993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8" s="15" t="str">
        <f>IF(AND([% A.A.]&gt;=8%,SUMPRODUCT(N([Nome]=Tabela3[[#This Row],[Nome]]),[PL])&gt;0),"Sim","Não")</f>
        <v>Não</v>
      </c>
      <c r="AJ218" s="43">
        <f>IF([Cotação]&gt;0,Tabela3[[#This Row],[Lucro]]/Tabela3[[#This Row],[Cotação]],0)</f>
        <v>1.4163673212405496E-2</v>
      </c>
      <c r="AK218" s="19">
        <f>((1+Tabela3[[#This Row],[% Yield]])^(1/(3*Tabela3[[#This Row],[Ref]])))^(12)-1</f>
        <v>1.8929338043621291E-2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13">
        <f>SUMPRODUCT(N(Tabela1[Código]=Tabela3[[#This Row],[PAPEL]]),Tabela1[Fechamento])</f>
        <v>0</v>
      </c>
      <c r="AO218" s="56">
        <f>SUMPRODUCT(N(Tabela17[Código]=Tabela3[[#This Row],[PAPEL]]),Tabela17[Fechamento])</f>
        <v>60</v>
      </c>
      <c r="AP218" s="7">
        <f>SUMPRODUCT(N(Tabela176[Código]=Tabela3[[#This Row],[PAPEL]]),Tabela176[Fechamento])</f>
        <v>0</v>
      </c>
    </row>
    <row r="219" spans="1:42" hidden="1">
      <c r="A219" s="4" t="s">
        <v>264</v>
      </c>
      <c r="B219" s="65" t="s">
        <v>265</v>
      </c>
      <c r="C219" s="101" t="str">
        <f>LEFT([PAPEL],LEN([PAPEL])-(LEN([PAPEL])-4))</f>
        <v>QGEP</v>
      </c>
      <c r="D219" s="15">
        <v>3</v>
      </c>
      <c r="E219" s="6">
        <v>2135496103.8199999</v>
      </c>
      <c r="F219" s="8">
        <v>265806905</v>
      </c>
      <c r="G219" s="106">
        <v>1.0000000000000001E-5</v>
      </c>
      <c r="H219" s="9"/>
      <c r="I219" s="9"/>
      <c r="J219" s="19"/>
      <c r="K219" s="108"/>
      <c r="L219" s="108"/>
      <c r="M219" s="6">
        <v>2384232000</v>
      </c>
      <c r="N219" s="6">
        <v>171061000</v>
      </c>
      <c r="O219" s="6">
        <f>Tabela3[[#This Row],[Capital Social]]*20%</f>
        <v>427099220.764</v>
      </c>
      <c r="P219" s="6">
        <f>IF(([Lucro Líquido]*5%)&gt;[Teto R. Legal],[Teto R. Legal],[Lucro Líquido]*5%)</f>
        <v>8553050</v>
      </c>
      <c r="Q219" s="6">
        <f>IF([Lucro Líquido]&lt;0,0,[Lucro Líquido]-[Reserva Legal])</f>
        <v>162507950</v>
      </c>
      <c r="R219" s="6">
        <f>Tabela3[[#This Row],[Lucro Distribuir]]*[%Div]</f>
        <v>1625.0795000000001</v>
      </c>
      <c r="S219" s="57">
        <f>SUMPRODUCT(N([Nome]=Tabela3[[#This Row],[Nome]]),[Ações])</f>
        <v>265806905</v>
      </c>
      <c r="T219" s="6">
        <f>[Capital Social]/[Total Ações]</f>
        <v>8.034012900530179</v>
      </c>
      <c r="U219" s="96">
        <f>Tabela3[[#This Row],[Lucro Líquido]]/Tabela3[[#This Row],[Total Ações]]</f>
        <v>0.64355363529777376</v>
      </c>
      <c r="V2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Z219" s="6">
        <f>[Div Base]*[Ações]</f>
        <v>1625.0795000000001</v>
      </c>
      <c r="AA219" s="6">
        <f>SUMPRODUCT(N([Nome]=Tabela3[[#This Row],[Nome]]),[Div Base]*[Ações])</f>
        <v>1625.0795000000001</v>
      </c>
      <c r="AB219" s="6">
        <f>[Patrimônio Líquido]/[Total Ações]</f>
        <v>8.9697895545640538</v>
      </c>
      <c r="AC219" s="49">
        <f>MAX(Tabela3[[#This Row],[Cotação 1]:[Cotação 3]])</f>
        <v>9.1300000000000008</v>
      </c>
      <c r="AD219" s="45">
        <f>[Cotação]/[VPA]</f>
        <v>1.0178611152983437</v>
      </c>
      <c r="AE219" s="41">
        <f>IF(Tabela3[[#This Row],[Lucro/Ação]]&gt;0,Tabela3[[#This Row],[Cotação]]/(Tabela3[[#This Row],[Lucro/Ação]]/[Ref]*4),0)</f>
        <v>10.640138792521382</v>
      </c>
      <c r="AF219" s="41" t="e">
        <f>IF([Div. Mínimo]=0,0,[Lucro Distribuir]*#REF!/[Total Ações])</f>
        <v>#REF!</v>
      </c>
      <c r="AG219" s="96">
        <f>[Lucro Distribuir]/[Total Ações]</f>
        <v>0.6113759535328851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I219" s="15" t="str">
        <f>IF(AND([% A.A.]&gt;=8%,SUMPRODUCT(N([Nome]=Tabela3[[#This Row],[Nome]]),[PL])&gt;0),"Sim","Não")</f>
        <v>Não</v>
      </c>
      <c r="AJ219" s="43">
        <f>IF([Cotação]&gt;0,Tabela3[[#This Row],[Lucro]]/Tabela3[[#This Row],[Cotação]],0)</f>
        <v>6.6963412216088175E-7</v>
      </c>
      <c r="AK219" s="19">
        <f>((1+Tabela3[[#This Row],[% Yield]])^(1/(3*Tabela3[[#This Row],[Ref]])))^(12)-1</f>
        <v>8.9284559545710351E-7</v>
      </c>
      <c r="AL219" s="14">
        <f>IF([Cotação]&gt;0,($AR$1/Tabela3[[#This Row],[Cotação]]-MOD($AR$1/Tabela3[[#This Row],[Cotação]],100)),)</f>
        <v>0</v>
      </c>
      <c r="AM219" s="17">
        <f>Tabela3[[#This Row],[Ativos]]*[Lucro]</f>
        <v>0</v>
      </c>
      <c r="AN219" s="13">
        <f>SUMPRODUCT(N(Tabela1[Código]=Tabela3[[#This Row],[PAPEL]]),Tabela1[Fechamento])</f>
        <v>0</v>
      </c>
      <c r="AO219" s="13">
        <f>SUMPRODUCT(N(Tabela17[Código]=Tabela3[[#This Row],[PAPEL]]),Tabela17[Fechamento])</f>
        <v>9.1300000000000008</v>
      </c>
      <c r="AP219" s="7">
        <f>SUMPRODUCT(N(Tabela176[Código]=Tabela3[[#This Row],[PAPEL]]),Tabela176[Fechamento])</f>
        <v>0</v>
      </c>
    </row>
    <row r="220" spans="1:42" hidden="1">
      <c r="A220" s="4" t="s">
        <v>19</v>
      </c>
      <c r="B220" s="65" t="s">
        <v>195</v>
      </c>
      <c r="C220" s="14" t="str">
        <f>LEFT([PAPEL],LEN([PAPEL])-(LEN([PAPEL])-4))</f>
        <v>RANI</v>
      </c>
      <c r="D220" s="15">
        <v>3</v>
      </c>
      <c r="E220" s="6">
        <v>116894847.81</v>
      </c>
      <c r="F220" s="8">
        <v>153909975</v>
      </c>
      <c r="G220" s="100">
        <v>0.25</v>
      </c>
      <c r="H220" s="15"/>
      <c r="I220" s="19"/>
      <c r="J220" s="19"/>
      <c r="K220" s="108"/>
      <c r="L220" s="108"/>
      <c r="M220" s="6">
        <v>460223000</v>
      </c>
      <c r="N220" s="6">
        <v>24584000</v>
      </c>
      <c r="O220" s="6">
        <f>Tabela3[[#This Row],[Capital Social]]*20%</f>
        <v>23378969.562000003</v>
      </c>
      <c r="P220" s="6">
        <f>IF(([Lucro Líquido]*5%)&gt;[Teto R. Legal],[Teto R. Legal],[Lucro Líquido]*5%)</f>
        <v>1229200</v>
      </c>
      <c r="Q220" s="6">
        <f>IF([Lucro Líquido]&lt;0,0,[Lucro Líquido]-[Reserva Legal])</f>
        <v>23354800</v>
      </c>
      <c r="R220" s="6">
        <f>Tabela3[[#This Row],[Lucro Distribuir]]*[%Div]</f>
        <v>5838700</v>
      </c>
      <c r="S220" s="57">
        <f>SUMPRODUCT(N([Nome]=Tabela3[[#This Row],[Nome]]),[Ações])</f>
        <v>166720235</v>
      </c>
      <c r="T220" s="6">
        <f>[Capital Social]/[Total Ações]</f>
        <v>0.70114373225301663</v>
      </c>
      <c r="U220" s="96">
        <f>Tabela3[[#This Row],[Lucro Líquido]]/Tabela3[[#This Row],[Total Ações]]</f>
        <v>0.14745660597227445</v>
      </c>
      <c r="V2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0" s="6">
        <f>[Div Base]*[Ações]</f>
        <v>5390072.6029596832</v>
      </c>
      <c r="AA220" s="6">
        <f>SUMPRODUCT(N([Nome]=Tabela3[[#This Row],[Nome]]),[Div Base]*[Ações])</f>
        <v>5838700</v>
      </c>
      <c r="AB220" s="6">
        <f>[Patrimônio Líquido]/[Total Ações]</f>
        <v>2.760450763520097</v>
      </c>
      <c r="AC220" s="49">
        <f>MAX(Tabela3[[#This Row],[Cotação 1]:[Cotação 3]])</f>
        <v>3.2</v>
      </c>
      <c r="AD220" s="45">
        <f>[Cotação]/[VPA]</f>
        <v>1.1592309641195682</v>
      </c>
      <c r="AE220" s="41">
        <f>IF(Tabela3[[#This Row],[Lucro/Ação]]&gt;0,Tabela3[[#This Row],[Cotação]]/(Tabela3[[#This Row],[Lucro/Ação]]/[Ref]*4),0)</f>
        <v>16.275974780344942</v>
      </c>
      <c r="AF220" s="41" t="e">
        <f>IF([Div. Mínimo]=0,0,[Lucro Distribuir]*#REF!/[Total Ações])</f>
        <v>#REF!</v>
      </c>
      <c r="AG220" s="96">
        <f>[Lucro Distribuir]/[Total Ações]</f>
        <v>0.14008377567366073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0" s="15" t="str">
        <f>IF(AND([% A.A.]&gt;=8%,SUMPRODUCT(N([Nome]=Tabela3[[#This Row],[Nome]]),[PL])&gt;0),"Sim","Não")</f>
        <v>Não</v>
      </c>
      <c r="AJ220" s="43">
        <f>IF([Cotação]&gt;0,Tabela3[[#This Row],[Lucro]]/Tabela3[[#This Row],[Cotação]],0)</f>
        <v>1.0944044974504744E-2</v>
      </c>
      <c r="AK220" s="19">
        <f>((1+Tabela3[[#This Row],[% Yield]])^(1/(3*Tabela3[[#This Row],[Ref]])))^(12)-1</f>
        <v>1.4618611555779371E-2</v>
      </c>
      <c r="AL220" s="14">
        <f>IF([Cotação]&gt;0,($AR$1/Tabela3[[#This Row],[Cotação]]-MOD($AR$1/Tabela3[[#This Row],[Cotação]],100)),)</f>
        <v>0</v>
      </c>
      <c r="AM220" s="17">
        <f>Tabela3[[#This Row],[Ativos]]*[Lucro]</f>
        <v>0</v>
      </c>
      <c r="AN220" s="5">
        <f>SUMPRODUCT(N(Tabela1[Código]=Tabela3[[#This Row],[PAPEL]]),Tabela1[Fechamento])</f>
        <v>3.2</v>
      </c>
      <c r="AO220" s="5">
        <f>SUMPRODUCT(N(Tabela17[Código]=Tabela3[[#This Row],[PAPEL]]),Tabela17[Fechamento])</f>
        <v>0</v>
      </c>
      <c r="AP220" s="7">
        <f>SUMPRODUCT(N(Tabela176[Código]=Tabela3[[#This Row],[PAPEL]]),Tabela176[Fechamento])</f>
        <v>0</v>
      </c>
    </row>
    <row r="221" spans="1:42" hidden="1">
      <c r="A221" s="4" t="s">
        <v>19</v>
      </c>
      <c r="B221" s="65" t="s">
        <v>196</v>
      </c>
      <c r="C221" s="14" t="str">
        <f>LEFT([PAPEL],LEN([PAPEL])-(LEN([PAPEL])-4))</f>
        <v>RANI</v>
      </c>
      <c r="D221" s="15">
        <v>3</v>
      </c>
      <c r="E221" s="6">
        <v>116894847.81</v>
      </c>
      <c r="F221" s="8">
        <v>12810260</v>
      </c>
      <c r="G221" s="106">
        <v>0.25</v>
      </c>
      <c r="H221" s="15"/>
      <c r="I221" s="19"/>
      <c r="J221" s="19"/>
      <c r="K221" s="108"/>
      <c r="L221" s="108"/>
      <c r="M221" s="6">
        <v>460223000</v>
      </c>
      <c r="N221" s="6">
        <v>24584000</v>
      </c>
      <c r="O221" s="6">
        <f>Tabela3[[#This Row],[Capital Social]]*20%</f>
        <v>23378969.562000003</v>
      </c>
      <c r="P221" s="6">
        <f>IF(([Lucro Líquido]*5%)&gt;[Teto R. Legal],[Teto R. Legal],[Lucro Líquido]*5%)</f>
        <v>1229200</v>
      </c>
      <c r="Q221" s="6">
        <f>IF([Lucro Líquido]&lt;0,0,[Lucro Líquido]-[Reserva Legal])</f>
        <v>23354800</v>
      </c>
      <c r="R221" s="6">
        <f>Tabela3[[#This Row],[Lucro Distribuir]]*[%Div]</f>
        <v>5838700</v>
      </c>
      <c r="S221" s="57">
        <f>SUMPRODUCT(N([Nome]=Tabela3[[#This Row],[Nome]]),[Ações])</f>
        <v>166720235</v>
      </c>
      <c r="T221" s="6">
        <f>[Capital Social]/[Total Ações]</f>
        <v>0.70114373225301663</v>
      </c>
      <c r="U221" s="96">
        <f>Tabela3[[#This Row],[Lucro Líquido]]/Tabela3[[#This Row],[Total Ações]]</f>
        <v>0.14745660597227445</v>
      </c>
      <c r="V2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1" s="6">
        <f>[Div Base]*[Ações]</f>
        <v>448627.3970403173</v>
      </c>
      <c r="AA221" s="6">
        <f>SUMPRODUCT(N([Nome]=Tabela3[[#This Row],[Nome]]),[Div Base]*[Ações])</f>
        <v>5838700</v>
      </c>
      <c r="AB221" s="6">
        <f>[Patrimônio Líquido]/[Total Ações]</f>
        <v>2.760450763520097</v>
      </c>
      <c r="AC221" s="49">
        <f>MAX(Tabela3[[#This Row],[Cotação 1]:[Cotação 3]])</f>
        <v>3.45</v>
      </c>
      <c r="AD221" s="45">
        <f>[Cotação]/[VPA]</f>
        <v>1.2497958831914096</v>
      </c>
      <c r="AE221" s="41">
        <f>IF(Tabela3[[#This Row],[Lucro/Ação]]&gt;0,Tabela3[[#This Row],[Cotação]]/(Tabela3[[#This Row],[Lucro/Ação]]/[Ref]*4),0)</f>
        <v>17.547535310059391</v>
      </c>
      <c r="AF221" s="41" t="e">
        <f>IF([Div. Mínimo]=0,0,[Lucro Distribuir]*#REF!/[Total Ações])</f>
        <v>#REF!</v>
      </c>
      <c r="AG221" s="96">
        <f>[Lucro Distribuir]/[Total Ações]</f>
        <v>0.14008377567366073</v>
      </c>
      <c r="AH221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1" s="15" t="str">
        <f>IF(AND([% A.A.]&gt;=8%,SUMPRODUCT(N([Nome]=Tabela3[[#This Row],[Nome]]),[PL])&gt;0),"Sim","Não")</f>
        <v>Não</v>
      </c>
      <c r="AJ221" s="43">
        <f>IF([Cotação]&gt;0,Tabela3[[#This Row],[Lucro]]/Tabela3[[#This Row],[Cotação]],0)</f>
        <v>1.0150998237221792E-2</v>
      </c>
      <c r="AK221" s="19">
        <f>((1+Tabela3[[#This Row],[% Yield]])^(1/(3*Tabela3[[#This Row],[Ref]])))^(12)-1</f>
        <v>1.3557511272187739E-2</v>
      </c>
      <c r="AL221" s="14">
        <f>IF([Cotação]&gt;0,($AR$1/Tabela3[[#This Row],[Cotação]]-MOD($AR$1/Tabela3[[#This Row],[Cotação]],100)),)</f>
        <v>0</v>
      </c>
      <c r="AM221" s="17">
        <f>Tabela3[[#This Row],[Ativos]]*[Lucro]</f>
        <v>0</v>
      </c>
      <c r="AN221" s="5">
        <f>SUMPRODUCT(N(Tabela1[Código]=Tabela3[[#This Row],[PAPEL]]),Tabela1[Fechamento])</f>
        <v>3.45</v>
      </c>
      <c r="AO221" s="5">
        <f>SUMPRODUCT(N(Tabela17[Código]=Tabela3[[#This Row],[PAPEL]]),Tabela17[Fechamento])</f>
        <v>0</v>
      </c>
      <c r="AP221" s="7">
        <f>SUMPRODUCT(N(Tabela176[Código]=Tabela3[[#This Row],[PAPEL]]),Tabela176[Fechamento])</f>
        <v>0</v>
      </c>
    </row>
    <row r="222" spans="1:42" hidden="1">
      <c r="A222" s="4" t="s">
        <v>12</v>
      </c>
      <c r="B222" s="69" t="s">
        <v>65</v>
      </c>
      <c r="C222" s="14" t="str">
        <f>LEFT([PAPEL],LEN([PAPEL])-(LEN([PAPEL])-4))</f>
        <v>RDTR</v>
      </c>
      <c r="D222" s="15">
        <v>3</v>
      </c>
      <c r="E222" s="6">
        <v>250576343.34</v>
      </c>
      <c r="F222" s="8">
        <v>108480828</v>
      </c>
      <c r="G222" s="100">
        <v>0.25</v>
      </c>
      <c r="H222" s="15"/>
      <c r="I222" s="19"/>
      <c r="J222" s="19"/>
      <c r="K222" s="108"/>
      <c r="L222" s="108"/>
      <c r="M222" s="110">
        <v>463367000</v>
      </c>
      <c r="N222" s="110">
        <v>59974000</v>
      </c>
      <c r="O222" s="6">
        <f>Tabela3[[#This Row],[Capital Social]]*20%</f>
        <v>50115268.668000005</v>
      </c>
      <c r="P222" s="6">
        <f>IF(([Lucro Líquido]*5%)&gt;[Teto R. Legal],[Teto R. Legal],[Lucro Líquido]*5%)</f>
        <v>2998700</v>
      </c>
      <c r="Q222" s="110">
        <f>IF([Lucro Líquido]&lt;0,0,[Lucro Líquido]-[Reserva Legal])</f>
        <v>56975300</v>
      </c>
      <c r="R222" s="110">
        <f>Tabela3[[#This Row],[Lucro Distribuir]]*[%Div]</f>
        <v>14243825</v>
      </c>
      <c r="S222" s="57">
        <f>SUMPRODUCT(N([Nome]=Tabela3[[#This Row],[Nome]]),[Ações])</f>
        <v>108480828</v>
      </c>
      <c r="T222" s="6">
        <f>[Capital Social]/[Total Ações]</f>
        <v>2.3098675402809428</v>
      </c>
      <c r="U222" s="96">
        <f>Tabela3[[#This Row],[Lucro Líquido]]/Tabela3[[#This Row],[Total Ações]]</f>
        <v>0.55285344982801943</v>
      </c>
      <c r="V2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W2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222" s="6">
        <f>[Div Base]*[Ações]</f>
        <v>14243824.999999998</v>
      </c>
      <c r="AA222" s="6">
        <f>SUMPRODUCT(N([Nome]=Tabela3[[#This Row],[Nome]]),[Div Base]*[Ações])</f>
        <v>14243824.999999998</v>
      </c>
      <c r="AB222" s="110">
        <f>[Patrimônio Líquido]/[Total Ações]</f>
        <v>4.2714183560619574</v>
      </c>
      <c r="AC222" s="49">
        <f>MAX(Tabela3[[#This Row],[Cotação 1]:[Cotação 3]])</f>
        <v>5.9</v>
      </c>
      <c r="AD222" s="45">
        <f>[Cotação]/[VPA]</f>
        <v>1.381274206406585</v>
      </c>
      <c r="AE222" s="41">
        <f>IF(Tabela3[[#This Row],[Lucro/Ação]]&gt;0,Tabela3[[#This Row],[Cotação]]/(Tabela3[[#This Row],[Lucro/Ação]]/[Ref]*4),0)</f>
        <v>8.0039294344215826</v>
      </c>
      <c r="AF222" s="41" t="e">
        <f>IF([Div. Mínimo]=0,0,[Lucro Distribuir]*#REF!/[Total Ações])</f>
        <v>#REF!</v>
      </c>
      <c r="AG222" s="96">
        <f>[Lucro Distribuir]/[Total Ações]</f>
        <v>0.52521077733661836</v>
      </c>
      <c r="AH222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222" s="14" t="str">
        <f>IF(AND([% A.A.]&gt;=8%,SUMPRODUCT(N([Nome]=Tabela3[[#This Row],[Nome]]),[PL])&gt;0),"Sim","Não")</f>
        <v>Não</v>
      </c>
      <c r="AJ222" s="43">
        <f>IF([Cotação]&gt;0,Tabela3[[#This Row],[Lucro]]/Tabela3[[#This Row],[Cotação]],0)</f>
        <v>2.2254693954941455E-2</v>
      </c>
      <c r="AK222" s="19">
        <f>((1+Tabela3[[#This Row],[% Yield]])^(1/(3*Tabela3[[#This Row],[Ref]])))^(12)-1</f>
        <v>2.97824462712315E-2</v>
      </c>
      <c r="AL222" s="14">
        <f>IF([Cotação]&gt;0,($AR$1/Tabela3[[#This Row],[Cotação]]-MOD($AR$1/Tabela3[[#This Row],[Cotação]],100)),)</f>
        <v>0</v>
      </c>
      <c r="AM222" s="17">
        <f>Tabela3[[#This Row],[Ativos]]*[Lucro]</f>
        <v>0</v>
      </c>
      <c r="AN222" s="5">
        <f>SUMPRODUCT(N(Tabela1[Código]=Tabela3[[#This Row],[PAPEL]]),Tabela1[Fechamento])</f>
        <v>5.9</v>
      </c>
      <c r="AO222" s="5">
        <f>SUMPRODUCT(N(Tabela17[Código]=Tabela3[[#This Row],[PAPEL]]),Tabela17[Fechamento])</f>
        <v>0</v>
      </c>
      <c r="AP222" s="7">
        <f>SUMPRODUCT(N(Tabela176[Código]=Tabela3[[#This Row],[PAPEL]]),Tabela176[Fechamento])</f>
        <v>0</v>
      </c>
    </row>
    <row r="223" spans="1:42" hidden="1">
      <c r="A223" s="4" t="s">
        <v>12</v>
      </c>
      <c r="B223" s="65" t="s">
        <v>564</v>
      </c>
      <c r="C223" s="15" t="str">
        <f>LEFT([PAPEL],LEN([PAPEL])-(LEN([PAPEL])-4))</f>
        <v>REDE</v>
      </c>
      <c r="D223" s="15">
        <v>3</v>
      </c>
      <c r="E223" s="6">
        <v>1343973941.3399999</v>
      </c>
      <c r="F223" s="8">
        <v>294109630</v>
      </c>
      <c r="G223" s="106">
        <v>0.25</v>
      </c>
      <c r="H223" s="15"/>
      <c r="I223" s="19"/>
      <c r="J223" s="19"/>
      <c r="K223" s="108"/>
      <c r="L223" s="108"/>
      <c r="M223" s="114">
        <v>-169584000</v>
      </c>
      <c r="N223" s="115">
        <v>-121954000</v>
      </c>
      <c r="O223" s="13">
        <f>Tabela3[[#This Row],[Capital Social]]*20%</f>
        <v>268794788.26800001</v>
      </c>
      <c r="P223" s="13">
        <f>IF(([Lucro Líquido]*5%)&gt;[Teto R. Legal],[Teto R. Legal],[Lucro Líquido]*5%)</f>
        <v>-6097700</v>
      </c>
      <c r="Q223" s="13">
        <f>IF([Lucro Líquido]&lt;0,0,[Lucro Líquido]-[Reserva Legal])</f>
        <v>0</v>
      </c>
      <c r="R223" s="13">
        <f>Tabela3[[#This Row],[Lucro Distribuir]]*[%Div]</f>
        <v>0</v>
      </c>
      <c r="S223" s="57">
        <f>SUMPRODUCT(N([Nome]=Tabela3[[#This Row],[Nome]]),[Ações])</f>
        <v>426591684</v>
      </c>
      <c r="T223" s="6">
        <f>[Capital Social]/[Total Ações]</f>
        <v>3.1504925945532496</v>
      </c>
      <c r="U223" s="96">
        <f>Tabela3[[#This Row],[Lucro Líquido]]/Tabela3[[#This Row],[Total Ações]]</f>
        <v>-0.28587992821725988</v>
      </c>
      <c r="V2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3" s="13">
        <f>[Div Base]*[Ações]</f>
        <v>0</v>
      </c>
      <c r="AA223" s="13">
        <f>SUMPRODUCT(N([Nome]=Tabela3[[#This Row],[Nome]]),[Div Base]*[Ações])</f>
        <v>0</v>
      </c>
      <c r="AB223" s="113">
        <f>[Patrimônio Líquido]/[Total Ações]</f>
        <v>-0.39753236258585856</v>
      </c>
      <c r="AC223" s="49">
        <f>MAX(Tabela3[[#This Row],[Cotação 1]:[Cotação 3]])</f>
        <v>1.06</v>
      </c>
      <c r="AD223" s="45">
        <f>[Cotação]/[VPA]</f>
        <v>-2.6664495768468726</v>
      </c>
      <c r="AE223" s="41">
        <f>IF(Tabela3[[#This Row],[Lucro/Ação]]&gt;0,Tabela3[[#This Row],[Cotação]]/(Tabela3[[#This Row],[Lucro/Ação]]/[Ref]*4),0)</f>
        <v>0</v>
      </c>
      <c r="AF223" s="109">
        <f>IF([Div. Mínimo]=0,0,[Lucro Distribuir]*#REF!/[Total Ações])</f>
        <v>0</v>
      </c>
      <c r="AG223" s="96">
        <f>[Lucro Distribuir]/[Total Ações]</f>
        <v>0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3" s="14" t="str">
        <f>IF(AND([% A.A.]&gt;=8%,SUMPRODUCT(N([Nome]=Tabela3[[#This Row],[Nome]]),[PL])&gt;0),"Sim","Não")</f>
        <v>Não</v>
      </c>
      <c r="AJ223" s="43">
        <f>IF([Cotação]&gt;0,Tabela3[[#This Row],[Lucro]]/Tabela3[[#This Row],[Cotação]],0)</f>
        <v>0</v>
      </c>
      <c r="AK223" s="43">
        <f>((1+Tabela3[[#This Row],[% Yield]])^(1/(3*Tabela3[[#This Row],[Ref]])))^(12)-1</f>
        <v>0</v>
      </c>
      <c r="AL223" s="14">
        <f>IF([Cotação]&gt;0,($AR$1/Tabela3[[#This Row],[Cotação]]-MOD($AR$1/Tabela3[[#This Row],[Cotação]],100)),)</f>
        <v>200</v>
      </c>
      <c r="AM223" s="17">
        <f>Tabela3[[#This Row],[Ativos]]*[Lucro]</f>
        <v>0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1.06</v>
      </c>
      <c r="AP223" s="7">
        <f>SUMPRODUCT(N(Tabela176[Código]=Tabela3[[#This Row],[PAPEL]]),Tabela176[Fechamento])</f>
        <v>0</v>
      </c>
    </row>
    <row r="224" spans="1:42" hidden="1">
      <c r="A224" s="4" t="s">
        <v>12</v>
      </c>
      <c r="B224" s="65" t="s">
        <v>565</v>
      </c>
      <c r="C224" s="15" t="str">
        <f>LEFT([PAPEL],LEN([PAPEL])-(LEN([PAPEL])-4))</f>
        <v>REDE</v>
      </c>
      <c r="D224" s="15">
        <v>3</v>
      </c>
      <c r="E224" s="6">
        <v>1343973941.3399999</v>
      </c>
      <c r="F224" s="8">
        <v>132482054</v>
      </c>
      <c r="G224" s="106">
        <v>0.25</v>
      </c>
      <c r="H224" s="15"/>
      <c r="I224" s="19"/>
      <c r="J224" s="19">
        <v>0.1</v>
      </c>
      <c r="K224" s="108"/>
      <c r="L224" s="108"/>
      <c r="M224" s="114">
        <v>-169584000</v>
      </c>
      <c r="N224" s="115">
        <v>-121954000</v>
      </c>
      <c r="O224" s="13">
        <f>Tabela3[[#This Row],[Capital Social]]*20%</f>
        <v>268794788.26800001</v>
      </c>
      <c r="P224" s="13">
        <f>IF(([Lucro Líquido]*5%)&gt;[Teto R. Legal],[Teto R. Legal],[Lucro Líquido]*5%)</f>
        <v>-6097700</v>
      </c>
      <c r="Q224" s="13">
        <f>IF([Lucro Líquido]&lt;0,0,[Lucro Líquido]-[Reserva Legal])</f>
        <v>0</v>
      </c>
      <c r="R224" s="13">
        <f>Tabela3[[#This Row],[Lucro Distribuir]]*[%Div]</f>
        <v>0</v>
      </c>
      <c r="S224" s="57">
        <f>SUMPRODUCT(N([Nome]=Tabela3[[#This Row],[Nome]]),[Ações])</f>
        <v>426591684</v>
      </c>
      <c r="T224" s="6">
        <f>[Capital Social]/[Total Ações]</f>
        <v>3.1504925945532496</v>
      </c>
      <c r="U224" s="96">
        <f>Tabela3[[#This Row],[Lucro Líquido]]/Tabela3[[#This Row],[Total Ações]]</f>
        <v>-0.28587992821725988</v>
      </c>
      <c r="V2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4" s="13">
        <f>[Div Base]*[Ações]</f>
        <v>0</v>
      </c>
      <c r="AA224" s="13">
        <f>SUMPRODUCT(N([Nome]=Tabela3[[#This Row],[Nome]]),[Div Base]*[Ações])</f>
        <v>0</v>
      </c>
      <c r="AB224" s="113">
        <f>[Patrimônio Líquido]/[Total Ações]</f>
        <v>-0.39753236258585856</v>
      </c>
      <c r="AC224" s="49">
        <f>MAX(Tabela3[[#This Row],[Cotação 1]:[Cotação 3]])</f>
        <v>0.99</v>
      </c>
      <c r="AD224" s="45">
        <f>[Cotação]/[VPA]</f>
        <v>-2.49036328403623</v>
      </c>
      <c r="AE224" s="41">
        <f>IF(Tabela3[[#This Row],[Lucro/Ação]]&gt;0,Tabela3[[#This Row],[Cotação]]/(Tabela3[[#This Row],[Lucro/Ação]]/[Ref]*4),0)</f>
        <v>0</v>
      </c>
      <c r="AF224" s="109">
        <f>IF([Div. Mínimo]=0,0,[Lucro Distribuir]*#REF!/[Total Ações])</f>
        <v>0</v>
      </c>
      <c r="AG224" s="96">
        <f>[Lucro Distribuir]/[Total Ações]</f>
        <v>0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4" s="14" t="str">
        <f>IF(AND([% A.A.]&gt;=8%,SUMPRODUCT(N([Nome]=Tabela3[[#This Row],[Nome]]),[PL])&gt;0),"Sim","Não")</f>
        <v>Não</v>
      </c>
      <c r="AJ224" s="43">
        <f>IF([Cotação]&gt;0,Tabela3[[#This Row],[Lucro]]/Tabela3[[#This Row],[Cotação]],0)</f>
        <v>0</v>
      </c>
      <c r="AK224" s="43">
        <f>((1+Tabela3[[#This Row],[% Yield]])^(1/(3*Tabela3[[#This Row],[Ref]])))^(12)-1</f>
        <v>0</v>
      </c>
      <c r="AL224" s="14">
        <f>IF([Cotação]&gt;0,($AR$1/Tabela3[[#This Row],[Cotação]]-MOD($AR$1/Tabela3[[#This Row],[Cotação]],100)),)</f>
        <v>300</v>
      </c>
      <c r="AM224" s="17">
        <f>Tabela3[[#This Row],[Ativos]]*[Lucro]</f>
        <v>0</v>
      </c>
      <c r="AN224" s="17">
        <f>SUMPRODUCT(N(Tabela1[Código]=Tabela3[[#This Row],[PAPEL]]),Tabela1[Fechamento])</f>
        <v>0</v>
      </c>
      <c r="AO224" s="17">
        <f>SUMPRODUCT(N(Tabela17[Código]=Tabela3[[#This Row],[PAPEL]]),Tabela17[Fechamento])</f>
        <v>0.99</v>
      </c>
      <c r="AP224" s="7">
        <f>SUMPRODUCT(N(Tabela176[Código]=Tabela3[[#This Row],[PAPEL]]),Tabela176[Fechamento])</f>
        <v>0</v>
      </c>
    </row>
    <row r="225" spans="1:42" hidden="1">
      <c r="A225" s="4" t="s">
        <v>40</v>
      </c>
      <c r="B225" s="65" t="s">
        <v>730</v>
      </c>
      <c r="C225" s="15" t="str">
        <f>LEFT([PAPEL],LEN([PAPEL])-(LEN([PAPEL])-4))</f>
        <v>RHDS</v>
      </c>
      <c r="D225" s="15">
        <v>3</v>
      </c>
      <c r="E225" s="6">
        <v>523208741.57999998</v>
      </c>
      <c r="F225" s="8">
        <v>8024960477</v>
      </c>
      <c r="G225" s="106">
        <v>0.25</v>
      </c>
      <c r="H225" s="15"/>
      <c r="I225" s="19"/>
      <c r="J225" s="19"/>
      <c r="K225" s="108"/>
      <c r="L225" s="108"/>
      <c r="M225" s="114">
        <v>266825000</v>
      </c>
      <c r="N225" s="115">
        <v>-3092000</v>
      </c>
      <c r="O225" s="13">
        <f>Tabela3[[#This Row],[Capital Social]]*20%</f>
        <v>104641748.316</v>
      </c>
      <c r="P225" s="13">
        <f>IF(([Lucro Líquido]*5%)&gt;[Teto R. Legal],[Teto R. Legal],[Lucro Líquido]*5%)</f>
        <v>-154600</v>
      </c>
      <c r="Q225" s="13">
        <f>IF([Lucro Líquido]&lt;0,0,[Lucro Líquido]-[Reserva Legal])</f>
        <v>0</v>
      </c>
      <c r="R225" s="13">
        <f>Tabela3[[#This Row],[Lucro Distribuir]]*[%Div]</f>
        <v>0</v>
      </c>
      <c r="S225" s="57">
        <f>SUMPRODUCT(N([Nome]=Tabela3[[#This Row],[Nome]]),[Ações])</f>
        <v>8024960477</v>
      </c>
      <c r="T225" s="6">
        <f>[Capital Social]/[Total Ações]</f>
        <v>6.5197672073220359E-2</v>
      </c>
      <c r="U225" s="96">
        <f>Tabela3[[#This Row],[Lucro Líquido]]/Tabela3[[#This Row],[Total Ações]]</f>
        <v>-3.8529784774166186E-4</v>
      </c>
      <c r="V2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5" s="13">
        <f>[Div Base]*[Ações]</f>
        <v>0</v>
      </c>
      <c r="AA225" s="13">
        <f>SUMPRODUCT(N([Nome]=Tabela3[[#This Row],[Nome]]),[Div Base]*[Ações])</f>
        <v>0</v>
      </c>
      <c r="AB225" s="113">
        <f>[Patrimônio Líquido]/[Total Ações]</f>
        <v>3.3249384936503534E-2</v>
      </c>
      <c r="AC225" s="49">
        <f>MAX(Tabela3[[#This Row],[Cotação 1]:[Cotação 3]])</f>
        <v>0.08</v>
      </c>
      <c r="AD225" s="45">
        <f>[Cotação]/[VPA]</f>
        <v>2.4060595452450109</v>
      </c>
      <c r="AE225" s="41">
        <f>IF(Tabela3[[#This Row],[Lucro/Ação]]&gt;0,Tabela3[[#This Row],[Cotação]]/(Tabela3[[#This Row],[Lucro/Ação]]/[Ref]*4),0)</f>
        <v>0</v>
      </c>
      <c r="AF225" s="109">
        <f>IF([Div. Mínimo]=0,0,[Lucro Distribuir]*#REF!/[Total Ações])</f>
        <v>0</v>
      </c>
      <c r="AG225" s="96">
        <f>[Lucro Distribuir]/[Total Ações]</f>
        <v>0</v>
      </c>
      <c r="AH22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5" s="14" t="str">
        <f>IF(AND([% A.A.]&gt;=8%,SUMPRODUCT(N([Nome]=Tabela3[[#This Row],[Nome]]),[PL])&gt;0),"Sim","Não")</f>
        <v>Não</v>
      </c>
      <c r="AJ225" s="43">
        <f>IF([Cotação]&gt;0,Tabela3[[#This Row],[Lucro]]/Tabela3[[#This Row],[Cotação]],0)</f>
        <v>0</v>
      </c>
      <c r="AK225" s="43">
        <f>((1+Tabela3[[#This Row],[% Yield]])^(1/(3*Tabela3[[#This Row],[Ref]])))^(12)-1</f>
        <v>0</v>
      </c>
      <c r="AL225" s="14">
        <f>IF([Cotação]&gt;0,($AR$1/Tabela3[[#This Row],[Cotação]]-MOD($AR$1/Tabela3[[#This Row],[Cotação]],100)),)</f>
        <v>3700</v>
      </c>
      <c r="AM225" s="17">
        <f>Tabela3[[#This Row],[Ativos]]*[Lucro]</f>
        <v>0</v>
      </c>
      <c r="AN225" s="17">
        <f>SUMPRODUCT(N(Tabela1[Código]=Tabela3[[#This Row],[PAPEL]]),Tabela1[Fechamento])</f>
        <v>0</v>
      </c>
      <c r="AO225" s="17">
        <f>SUMPRODUCT(N(Tabela17[Código]=Tabela3[[#This Row],[PAPEL]]),Tabela17[Fechamento])</f>
        <v>0</v>
      </c>
      <c r="AP225" s="17">
        <f>SUMPRODUCT(N(Tabela176[Código]=Tabela3[[#This Row],[PAPEL]]),Tabela176[Fechamento])</f>
        <v>0.08</v>
      </c>
    </row>
    <row r="226" spans="1:42" hidden="1">
      <c r="A226" s="4" t="s">
        <v>12</v>
      </c>
      <c r="B226" s="66" t="s">
        <v>568</v>
      </c>
      <c r="C226" s="16" t="str">
        <f>LEFT([PAPEL],LEN([PAPEL])-(LEN([PAPEL])-4))</f>
        <v>RNEW</v>
      </c>
      <c r="D226" s="16">
        <v>3</v>
      </c>
      <c r="E226" s="5"/>
      <c r="G226" s="106">
        <v>0.25</v>
      </c>
      <c r="H226" s="16"/>
      <c r="I226" s="18"/>
      <c r="K226" s="107">
        <v>1</v>
      </c>
      <c r="L226" s="107">
        <v>2</v>
      </c>
      <c r="O226" s="48">
        <f>Tabela3[[#This Row],[Capital Social]]*20%</f>
        <v>0</v>
      </c>
      <c r="P226" s="48">
        <f>IF(([Lucro Líquido]*5%)&gt;[Teto R. Legal],[Teto R. Legal],[Lucro Líquido]*5%)</f>
        <v>0</v>
      </c>
      <c r="Q226" s="48">
        <f>IF([Lucro Líquido]&lt;0,0,[Lucro Líquido]-[Reserva Legal])</f>
        <v>0</v>
      </c>
      <c r="R226" s="48">
        <f>Tabela3[[#This Row],[Lucro Distribuir]]*[%Div]</f>
        <v>0</v>
      </c>
      <c r="S226" s="57">
        <f>SUMPRODUCT(N([Nome]=Tabela3[[#This Row],[Nome]]),[Ações])</f>
        <v>230031865</v>
      </c>
      <c r="T226" s="5">
        <f>[Capital Social]/[Total Ações]</f>
        <v>0</v>
      </c>
      <c r="U226" s="95">
        <f>Tabela3[[#This Row],[Lucro Líquido]]/Tabela3[[#This Row],[Total Ações]]</f>
        <v>0</v>
      </c>
      <c r="V22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6" s="48">
        <f>[Div Base]*[Ações]</f>
        <v>0</v>
      </c>
      <c r="AA226" s="48">
        <f>SUMPRODUCT(N([Nome]=Tabela3[[#This Row],[Nome]]),[Div Base]*[Ações])</f>
        <v>0</v>
      </c>
      <c r="AB226" s="89">
        <f>[Patrimônio Líquido]/[Total Ações]</f>
        <v>0</v>
      </c>
      <c r="AC226" s="53">
        <f>MAX(Tabela3[[#This Row],[Cotação 1]:[Cotação 3]])</f>
        <v>44.3</v>
      </c>
      <c r="AD226" s="54" t="e">
        <f>[Cotação]/[VPA]</f>
        <v>#DIV/0!</v>
      </c>
      <c r="AE226" s="38">
        <f>IF(Tabela3[[#This Row],[Lucro/Ação]]&gt;0,Tabela3[[#This Row],[Cotação]]/(Tabela3[[#This Row],[Lucro/Ação]]/[Ref]*4),0)</f>
        <v>0</v>
      </c>
      <c r="AF226" s="67">
        <f>IF([Div. Mínimo]=0,0,[Lucro Distribuir]*#REF!/[Total Ações])</f>
        <v>0</v>
      </c>
      <c r="AG226" s="95">
        <f>[Lucro Distribuir]/[Total Ações]</f>
        <v>0</v>
      </c>
      <c r="AH22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6" s="10" t="str">
        <f>IF(AND([% A.A.]&gt;=8%,SUMPRODUCT(N([Nome]=Tabela3[[#This Row],[Nome]]),[PL])&gt;0),"Sim","Não")</f>
        <v>Não</v>
      </c>
      <c r="AJ226" s="22">
        <f>IF([Cotação]&gt;0,Tabela3[[#This Row],[Lucro]]/Tabela3[[#This Row],[Cotação]],0)</f>
        <v>0</v>
      </c>
      <c r="AK226" s="22">
        <f>((1+Tabela3[[#This Row],[% Yield]])^(1/(3*Tabela3[[#This Row],[Ref]])))^(12)-1</f>
        <v>0</v>
      </c>
      <c r="AL226" s="10">
        <f>IF([Cotação]&gt;0,($AR$1/Tabela3[[#This Row],[Cotação]]-MOD($AR$1/Tabela3[[#This Row],[Cotação]],100)),)</f>
        <v>0</v>
      </c>
      <c r="AM226" s="7">
        <f>Tabela3[[#This Row],[Ativos]]*[Lucro]</f>
        <v>0</v>
      </c>
      <c r="AN226" s="7">
        <f>SUMPRODUCT(N(Tabela1[Código]=Tabela3[[#This Row],[PAPEL]]),Tabela1[Fechamento])</f>
        <v>0</v>
      </c>
      <c r="AO226" s="7">
        <f>SUMPRODUCT(N(Tabela17[Código]=Tabela3[[#This Row],[PAPEL]]),Tabela17[Fechamento])</f>
        <v>44.3</v>
      </c>
      <c r="AP226" s="7">
        <f>SUMPRODUCT(N(Tabela176[Código]=Tabela3[[#This Row],[PAPEL]]),Tabela176[Fechamento])</f>
        <v>0</v>
      </c>
    </row>
    <row r="227" spans="1:42" hidden="1">
      <c r="A227" s="4" t="s">
        <v>12</v>
      </c>
      <c r="B227" s="65" t="s">
        <v>569</v>
      </c>
      <c r="C227" s="15" t="str">
        <f>LEFT([PAPEL],LEN([PAPEL])-(LEN([PAPEL])-4))</f>
        <v>RNEW</v>
      </c>
      <c r="D227" s="15">
        <v>3</v>
      </c>
      <c r="E227" s="5">
        <v>1017569849.21</v>
      </c>
      <c r="F227" s="8">
        <v>156508015</v>
      </c>
      <c r="G227" s="106">
        <v>0.25</v>
      </c>
      <c r="H227" s="15"/>
      <c r="I227" s="19"/>
      <c r="J227" s="19"/>
      <c r="K227" s="108"/>
      <c r="L227" s="108"/>
      <c r="M227" s="112">
        <v>987025000</v>
      </c>
      <c r="N227" s="88">
        <v>-4451000</v>
      </c>
      <c r="O227" s="13">
        <f>Tabela3[[#This Row],[Capital Social]]*20%</f>
        <v>203513969.84200001</v>
      </c>
      <c r="P227" s="13">
        <f>IF(([Lucro Líquido]*5%)&gt;[Teto R. Legal],[Teto R. Legal],[Lucro Líquido]*5%)</f>
        <v>-222550</v>
      </c>
      <c r="Q227" s="13">
        <f>IF([Lucro Líquido]&lt;0,0,[Lucro Líquido]-[Reserva Legal])</f>
        <v>0</v>
      </c>
      <c r="R227" s="13">
        <f>Tabela3[[#This Row],[Lucro Distribuir]]*[%Div]</f>
        <v>0</v>
      </c>
      <c r="S227" s="57">
        <f>SUMPRODUCT(N([Nome]=Tabela3[[#This Row],[Nome]]),[Ações])</f>
        <v>230031865</v>
      </c>
      <c r="T227" s="6">
        <f>[Capital Social]/[Total Ações]</f>
        <v>4.4236038742284682</v>
      </c>
      <c r="U227" s="96">
        <f>Tabela3[[#This Row],[Lucro Líquido]]/Tabela3[[#This Row],[Total Ações]]</f>
        <v>-1.9349493166957544E-2</v>
      </c>
      <c r="V2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7" s="13">
        <f>[Div Base]*[Ações]</f>
        <v>0</v>
      </c>
      <c r="AA227" s="13">
        <f>SUMPRODUCT(N([Nome]=Tabela3[[#This Row],[Nome]]),[Div Base]*[Ações])</f>
        <v>0</v>
      </c>
      <c r="AB227" s="113">
        <f>[Patrimônio Líquido]/[Total Ações]</f>
        <v>4.2908185785478024</v>
      </c>
      <c r="AC227" s="49">
        <f>MAX(Tabela3[[#This Row],[Cotação 1]:[Cotação 3]])</f>
        <v>22.4</v>
      </c>
      <c r="AD227" s="45">
        <f>[Cotação]/[VPA]</f>
        <v>5.2204491031128892</v>
      </c>
      <c r="AE227" s="41">
        <f>IF(Tabela3[[#This Row],[Lucro/Ação]]&gt;0,Tabela3[[#This Row],[Cotação]]/(Tabela3[[#This Row],[Lucro/Ação]]/[Ref]*4),0)</f>
        <v>0</v>
      </c>
      <c r="AF227" s="109">
        <f>IF([Div. Mínimo]=0,0,[Lucro Distribuir]*#REF!/[Total Ações])</f>
        <v>0</v>
      </c>
      <c r="AG227" s="96">
        <f>[Lucro Distribuir]/[Total Ações]</f>
        <v>0</v>
      </c>
      <c r="AH2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7" s="14" t="str">
        <f>IF(AND([% A.A.]&gt;=8%,SUMPRODUCT(N([Nome]=Tabela3[[#This Row],[Nome]]),[PL])&gt;0),"Sim","Não")</f>
        <v>Não</v>
      </c>
      <c r="AJ227" s="43">
        <f>IF([Cotação]&gt;0,Tabela3[[#This Row],[Lucro]]/Tabela3[[#This Row],[Cotação]],0)</f>
        <v>0</v>
      </c>
      <c r="AK227" s="43">
        <f>((1+Tabela3[[#This Row],[% Yield]])^(1/(3*Tabela3[[#This Row],[Ref]])))^(12)-1</f>
        <v>0</v>
      </c>
      <c r="AL227" s="14">
        <f>IF([Cotação]&gt;0,($AR$1/Tabela3[[#This Row],[Cotação]]-MOD($AR$1/Tabela3[[#This Row],[Cotação]],100)),)</f>
        <v>0</v>
      </c>
      <c r="AM227" s="17">
        <f>Tabela3[[#This Row],[Ativos]]*[Lucro]</f>
        <v>0</v>
      </c>
      <c r="AN227" s="17">
        <f>SUMPRODUCT(N(Tabela1[Código]=Tabela3[[#This Row],[PAPEL]]),Tabela1[Fechamento])</f>
        <v>0</v>
      </c>
      <c r="AO227" s="17">
        <f>SUMPRODUCT(N(Tabela17[Código]=Tabela3[[#This Row],[PAPEL]]),Tabela17[Fechamento])</f>
        <v>22.4</v>
      </c>
      <c r="AP227" s="7">
        <f>SUMPRODUCT(N(Tabela176[Código]=Tabela3[[#This Row],[PAPEL]]),Tabela176[Fechamento])</f>
        <v>0</v>
      </c>
    </row>
    <row r="228" spans="1:42" hidden="1">
      <c r="A228" s="4" t="s">
        <v>12</v>
      </c>
      <c r="B228" s="65" t="s">
        <v>570</v>
      </c>
      <c r="C228" s="15" t="str">
        <f>LEFT([PAPEL],LEN([PAPEL])-(LEN([PAPEL])-4))</f>
        <v>RNEW</v>
      </c>
      <c r="D228" s="15">
        <v>3</v>
      </c>
      <c r="E228" s="5">
        <v>1017569849.21</v>
      </c>
      <c r="F228" s="8">
        <v>73523850</v>
      </c>
      <c r="G228" s="106">
        <v>0.25</v>
      </c>
      <c r="H228" s="15"/>
      <c r="I228" s="19"/>
      <c r="J228" s="19"/>
      <c r="K228" s="108"/>
      <c r="L228" s="108"/>
      <c r="M228" s="112">
        <v>987025000</v>
      </c>
      <c r="N228" s="88">
        <v>-4451000</v>
      </c>
      <c r="O228" s="13">
        <f>Tabela3[[#This Row],[Capital Social]]*20%</f>
        <v>203513969.84200001</v>
      </c>
      <c r="P228" s="13">
        <f>IF(([Lucro Líquido]*5%)&gt;[Teto R. Legal],[Teto R. Legal],[Lucro Líquido]*5%)</f>
        <v>-222550</v>
      </c>
      <c r="Q228" s="13">
        <f>IF([Lucro Líquido]&lt;0,0,[Lucro Líquido]-[Reserva Legal])</f>
        <v>0</v>
      </c>
      <c r="R228" s="13">
        <f>Tabela3[[#This Row],[Lucro Distribuir]]*[%Div]</f>
        <v>0</v>
      </c>
      <c r="S228" s="57">
        <f>SUMPRODUCT(N([Nome]=Tabela3[[#This Row],[Nome]]),[Ações])</f>
        <v>230031865</v>
      </c>
      <c r="T228" s="6">
        <f>[Capital Social]/[Total Ações]</f>
        <v>4.4236038742284682</v>
      </c>
      <c r="U228" s="96">
        <f>Tabela3[[#This Row],[Lucro Líquido]]/Tabela3[[#This Row],[Total Ações]]</f>
        <v>-1.9349493166957544E-2</v>
      </c>
      <c r="V2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8" s="13">
        <f>[Div Base]*[Ações]</f>
        <v>0</v>
      </c>
      <c r="AA228" s="13">
        <f>SUMPRODUCT(N([Nome]=Tabela3[[#This Row],[Nome]]),[Div Base]*[Ações])</f>
        <v>0</v>
      </c>
      <c r="AB228" s="113">
        <f>[Patrimônio Líquido]/[Total Ações]</f>
        <v>4.2908185785478024</v>
      </c>
      <c r="AC228" s="49">
        <f>MAX(Tabela3[[#This Row],[Cotação 1]:[Cotação 3]])</f>
        <v>0</v>
      </c>
      <c r="AD228" s="45">
        <f>[Cotação]/[VPA]</f>
        <v>0</v>
      </c>
      <c r="AE228" s="41">
        <f>IF(Tabela3[[#This Row],[Lucro/Ação]]&gt;0,Tabela3[[#This Row],[Cotação]]/(Tabela3[[#This Row],[Lucro/Ação]]/[Ref]*4),0)</f>
        <v>0</v>
      </c>
      <c r="AF228" s="109">
        <f>IF([Div. Mínimo]=0,0,[Lucro Distribuir]*#REF!/[Total Ações])</f>
        <v>0</v>
      </c>
      <c r="AG228" s="96">
        <f>[Lucro Distribuir]/[Total Ações]</f>
        <v>0</v>
      </c>
      <c r="AH2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8" s="14" t="str">
        <f>IF(AND([% A.A.]&gt;=8%,SUMPRODUCT(N([Nome]=Tabela3[[#This Row],[Nome]]),[PL])&gt;0),"Sim","Não")</f>
        <v>Não</v>
      </c>
      <c r="AJ228" s="43">
        <f>IF([Cotação]&gt;0,Tabela3[[#This Row],[Lucro]]/Tabela3[[#This Row],[Cotação]],0)</f>
        <v>0</v>
      </c>
      <c r="AK228" s="43">
        <f>((1+Tabela3[[#This Row],[% Yield]])^(1/(3*Tabela3[[#This Row],[Ref]])))^(12)-1</f>
        <v>0</v>
      </c>
      <c r="AL228" s="14">
        <f>IF([Cotação]&gt;0,($AR$1/Tabela3[[#This Row],[Cotação]]-MOD($AR$1/Tabela3[[#This Row],[Cotação]],100)),)</f>
        <v>0</v>
      </c>
      <c r="AM228" s="17">
        <f>Tabela3[[#This Row],[Ativos]]*[Lucro]</f>
        <v>0</v>
      </c>
      <c r="AN228" s="17">
        <f>SUMPRODUCT(N(Tabela1[Código]=Tabela3[[#This Row],[PAPEL]]),Tabela1[Fechamento])</f>
        <v>0</v>
      </c>
      <c r="AO228" s="17">
        <f>SUMPRODUCT(N(Tabela17[Código]=Tabela3[[#This Row],[PAPEL]]),Tabela17[Fechamento])</f>
        <v>0</v>
      </c>
      <c r="AP228" s="7">
        <f>SUMPRODUCT(N(Tabela176[Código]=Tabela3[[#This Row],[PAPEL]]),Tabela176[Fechamento])</f>
        <v>0</v>
      </c>
    </row>
    <row r="229" spans="1:42" hidden="1">
      <c r="A229" s="4" t="s">
        <v>14</v>
      </c>
      <c r="B229" s="65" t="s">
        <v>204</v>
      </c>
      <c r="C229" s="14" t="str">
        <f>LEFT([PAPEL],LEN([PAPEL])-(LEN([PAPEL])-4))</f>
        <v>RPAD</v>
      </c>
      <c r="D229" s="15">
        <v>3</v>
      </c>
      <c r="E229" s="6">
        <v>267646990</v>
      </c>
      <c r="F229" s="8">
        <v>46011632</v>
      </c>
      <c r="G229" s="106">
        <v>0.25</v>
      </c>
      <c r="H229" s="15"/>
      <c r="I229" s="19"/>
      <c r="J229" s="19"/>
      <c r="K229" s="108"/>
      <c r="L229" s="108"/>
      <c r="M229" s="6">
        <v>727021000</v>
      </c>
      <c r="N229" s="6">
        <v>31097000</v>
      </c>
      <c r="O229" s="6">
        <f>Tabela3[[#This Row],[Capital Social]]*20%</f>
        <v>53529398</v>
      </c>
      <c r="P229" s="6">
        <f>IF(([Lucro Líquido]*5%)&gt;[Teto R. Legal],[Teto R. Legal],[Lucro Líquido]*5%)</f>
        <v>1554850</v>
      </c>
      <c r="Q229" s="6">
        <f>IF([Lucro Líquido]&lt;0,0,[Lucro Líquido]-[Reserva Legal])</f>
        <v>29542150</v>
      </c>
      <c r="R229" s="6">
        <f>Tabela3[[#This Row],[Lucro Distribuir]]*[%Div]</f>
        <v>7385537.5</v>
      </c>
      <c r="S229" s="21">
        <f>SUMPRODUCT(N([Nome]=Tabela3[[#This Row],[Nome]]),[Ações])</f>
        <v>84682269</v>
      </c>
      <c r="T229" s="6">
        <f>[Capital Social]/[Total Ações]</f>
        <v>3.1606024869267495</v>
      </c>
      <c r="U229" s="96">
        <f>Tabela3[[#This Row],[Lucro Líquido]]/Tabela3[[#This Row],[Total Ações]]</f>
        <v>0.36721973049635692</v>
      </c>
      <c r="V2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29" s="6">
        <f>[Div Base]*[Ações]</f>
        <v>1279409.6115703406</v>
      </c>
      <c r="AA229" s="6">
        <f>SUMPRODUCT(N([Nome]=Tabela3[[#This Row],[Nome]]),[Div Base]*[Ações])</f>
        <v>7385537.5</v>
      </c>
      <c r="AB229" s="6">
        <f>[Patrimônio Líquido]/[Total Ações]</f>
        <v>8.5852801133611578</v>
      </c>
      <c r="AC229" s="49">
        <f>MAX(Tabela3[[#This Row],[Cotação 1]:[Cotação 3]])</f>
        <v>3.08</v>
      </c>
      <c r="AD229" s="45">
        <f>[Cotação]/[VPA]</f>
        <v>0.35875358279884623</v>
      </c>
      <c r="AE229" s="41">
        <f>IF(Tabela3[[#This Row],[Lucro/Ação]]&gt;0,Tabela3[[#This Row],[Cotação]]/(Tabela3[[#This Row],[Lucro/Ação]]/[Ref]*4),0)</f>
        <v>6.2905116696144328</v>
      </c>
      <c r="AF229" s="41" t="e">
        <f>IF([Div. Mínimo]=0,0,[Lucro Distribuir]*#REF!/[Total Ações])</f>
        <v>#REF!</v>
      </c>
      <c r="AG229" s="96">
        <f>[Lucro Distribuir]/[Total Ações]</f>
        <v>0.3488587439715391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29" s="15" t="str">
        <f>IF(AND([% A.A.]&gt;=8%,SUMPRODUCT(N([Nome]=Tabela3[[#This Row],[Nome]]),[PL])&gt;0),"Sim","Não")</f>
        <v>Não</v>
      </c>
      <c r="AJ229" s="43">
        <f>IF([Cotação]&gt;0,Tabela3[[#This Row],[Lucro]]/Tabela3[[#This Row],[Cotação]],0)</f>
        <v>9.0279938566258933E-3</v>
      </c>
      <c r="AK229" s="19">
        <f>((1+Tabela3[[#This Row],[% Yield]])^(1/(3*Tabela3[[#This Row],[Ref]])))^(12)-1</f>
        <v>1.2055401090800499E-2</v>
      </c>
      <c r="AL229" s="14">
        <f>IF([Cotação]&gt;0,($AR$1/Tabela3[[#This Row],[Cotação]]-MOD($AR$1/Tabela3[[#This Row],[Cotação]],100)),)</f>
        <v>0</v>
      </c>
      <c r="AM229" s="17">
        <f>Tabela3[[#This Row],[Ativos]]*[Lucro]</f>
        <v>0</v>
      </c>
      <c r="AN229" s="5">
        <f>SUMPRODUCT(N(Tabela1[Código]=Tabela3[[#This Row],[PAPEL]]),Tabela1[Fechamento])</f>
        <v>3.08</v>
      </c>
      <c r="AO229" s="5">
        <f>SUMPRODUCT(N(Tabela17[Código]=Tabela3[[#This Row],[PAPEL]]),Tabela17[Fechamento])</f>
        <v>0</v>
      </c>
      <c r="AP229" s="7">
        <f>SUMPRODUCT(N(Tabela176[Código]=Tabela3[[#This Row],[PAPEL]]),Tabela176[Fechamento])</f>
        <v>0</v>
      </c>
    </row>
    <row r="230" spans="1:42" hidden="1">
      <c r="A230" s="4" t="s">
        <v>14</v>
      </c>
      <c r="B230" s="65" t="s">
        <v>77</v>
      </c>
      <c r="C230" s="14" t="str">
        <f>LEFT([PAPEL],LEN([PAPEL])-(LEN([PAPEL])-4))</f>
        <v>RPAD</v>
      </c>
      <c r="D230" s="15">
        <v>3</v>
      </c>
      <c r="E230" s="6">
        <v>267646990</v>
      </c>
      <c r="F230" s="8">
        <v>14313881</v>
      </c>
      <c r="G230" s="100">
        <v>0.25</v>
      </c>
      <c r="H230" s="15"/>
      <c r="I230" s="19">
        <v>0.12</v>
      </c>
      <c r="J230" s="19"/>
      <c r="K230" s="108"/>
      <c r="L230" s="108"/>
      <c r="M230" s="6">
        <v>727021000</v>
      </c>
      <c r="N230" s="6">
        <v>31097000</v>
      </c>
      <c r="O230" s="6">
        <f>Tabela3[[#This Row],[Capital Social]]*20%</f>
        <v>53529398</v>
      </c>
      <c r="P230" s="6">
        <f>IF(([Lucro Líquido]*5%)&gt;[Teto R. Legal],[Teto R. Legal],[Lucro Líquido]*5%)</f>
        <v>1554850</v>
      </c>
      <c r="Q230" s="6">
        <f>IF([Lucro Líquido]&lt;0,0,[Lucro Líquido]-[Reserva Legal])</f>
        <v>29542150</v>
      </c>
      <c r="R230" s="6">
        <f>Tabela3[[#This Row],[Lucro Distribuir]]*[%Div]</f>
        <v>7385537.5</v>
      </c>
      <c r="S230" s="21">
        <f>SUMPRODUCT(N([Nome]=Tabela3[[#This Row],[Nome]]),[Ações])</f>
        <v>84682269</v>
      </c>
      <c r="T230" s="6">
        <f>[Capital Social]/[Total Ações]</f>
        <v>3.1606024869267495</v>
      </c>
      <c r="U230" s="96">
        <f>Tabela3[[#This Row],[Lucro Líquido]]/Tabela3[[#This Row],[Total Ações]]</f>
        <v>0.36721973049635692</v>
      </c>
      <c r="V2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230" s="6">
        <f>[Div Base]*[Ações]</f>
        <v>5428858.546340825</v>
      </c>
      <c r="AA230" s="6">
        <f>SUMPRODUCT(N([Nome]=Tabela3[[#This Row],[Nome]]),[Div Base]*[Ações])</f>
        <v>7385537.5</v>
      </c>
      <c r="AB230" s="6">
        <f>[Patrimônio Líquido]/[Total Ações]</f>
        <v>8.5852801133611578</v>
      </c>
      <c r="AC230" s="49">
        <f>MAX(Tabela3[[#This Row],[Cotação 1]:[Cotação 3]])</f>
        <v>6.8</v>
      </c>
      <c r="AD230" s="45">
        <f>[Cotação]/[VPA]</f>
        <v>0.79205336462082931</v>
      </c>
      <c r="AE230" s="41">
        <f>IF(Tabela3[[#This Row],[Lucro/Ação]]&gt;0,Tabela3[[#This Row],[Cotação]]/(Tabela3[[#This Row],[Lucro/Ação]]/[Ref]*4),0)</f>
        <v>13.888142647200693</v>
      </c>
      <c r="AF230" s="41" t="e">
        <f>IF([Div. Mínimo]=0,0,[Lucro Distribuir]*#REF!/[Total Ações])</f>
        <v>#REF!</v>
      </c>
      <c r="AG230" s="96">
        <f>[Lucro Distribuir]/[Total Ações]</f>
        <v>0.3488587439715391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230" s="15" t="str">
        <f>IF(AND([% A.A.]&gt;=8%,SUMPRODUCT(N([Nome]=Tabela3[[#This Row],[Nome]]),[PL])&gt;0),"Sim","Não")</f>
        <v>Não</v>
      </c>
      <c r="AJ230" s="43">
        <f>IF([Cotação]&gt;0,Tabela3[[#This Row],[Lucro]]/Tabela3[[#This Row],[Cotação]],0)</f>
        <v>5.5775338004589697E-2</v>
      </c>
      <c r="AK230" s="19">
        <f>((1+Tabela3[[#This Row],[% Yield]])^(1/(3*Tabela3[[#This Row],[Ref]])))^(12)-1</f>
        <v>7.5050050819538638E-2</v>
      </c>
      <c r="AL230" s="14">
        <f>IF([Cotação]&gt;0,($AR$1/Tabela3[[#This Row],[Cotação]]-MOD($AR$1/Tabela3[[#This Row],[Cotação]],100)),)</f>
        <v>0</v>
      </c>
      <c r="AM230" s="17">
        <f>Tabela3[[#This Row],[Ativos]]*[Lucro]</f>
        <v>0</v>
      </c>
      <c r="AN230" s="5">
        <f>SUMPRODUCT(N(Tabela1[Código]=Tabela3[[#This Row],[PAPEL]]),Tabela1[Fechamento])</f>
        <v>6.8</v>
      </c>
      <c r="AO230" s="5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4" t="s">
        <v>14</v>
      </c>
      <c r="B231" s="65" t="s">
        <v>205</v>
      </c>
      <c r="C231" s="14" t="str">
        <f>LEFT([PAPEL],LEN([PAPEL])-(LEN([PAPEL])-4))</f>
        <v>RPAD</v>
      </c>
      <c r="D231" s="15">
        <v>3</v>
      </c>
      <c r="E231" s="6">
        <v>267646990</v>
      </c>
      <c r="F231" s="8">
        <v>24356756</v>
      </c>
      <c r="G231" s="106">
        <v>0.25</v>
      </c>
      <c r="H231" s="15"/>
      <c r="I231" s="19"/>
      <c r="J231" s="19"/>
      <c r="K231" s="108"/>
      <c r="L231" s="108"/>
      <c r="M231" s="6">
        <v>727021000</v>
      </c>
      <c r="N231" s="6">
        <v>31097000</v>
      </c>
      <c r="O231" s="6">
        <f>Tabela3[[#This Row],[Capital Social]]*20%</f>
        <v>53529398</v>
      </c>
      <c r="P231" s="6">
        <f>IF(([Lucro Líquido]*5%)&gt;[Teto R. Legal],[Teto R. Legal],[Lucro Líquido]*5%)</f>
        <v>1554850</v>
      </c>
      <c r="Q231" s="6">
        <f>IF([Lucro Líquido]&lt;0,0,[Lucro Líquido]-[Reserva Legal])</f>
        <v>29542150</v>
      </c>
      <c r="R231" s="6">
        <f>Tabela3[[#This Row],[Lucro Distribuir]]*[%Div]</f>
        <v>7385537.5</v>
      </c>
      <c r="S231" s="21">
        <f>SUMPRODUCT(N([Nome]=Tabela3[[#This Row],[Nome]]),[Ações])</f>
        <v>84682269</v>
      </c>
      <c r="T231" s="6">
        <f>[Capital Social]/[Total Ações]</f>
        <v>3.1606024869267495</v>
      </c>
      <c r="U231" s="96">
        <f>Tabela3[[#This Row],[Lucro Líquido]]/Tabela3[[#This Row],[Total Ações]]</f>
        <v>0.36721973049635692</v>
      </c>
      <c r="V2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31" s="6">
        <f>[Div Base]*[Ações]</f>
        <v>677269.3420888345</v>
      </c>
      <c r="AA231" s="6">
        <f>SUMPRODUCT(N([Nome]=Tabela3[[#This Row],[Nome]]),[Div Base]*[Ações])</f>
        <v>7385537.5</v>
      </c>
      <c r="AB231" s="6">
        <f>[Patrimônio Líquido]/[Total Ações]</f>
        <v>8.5852801133611578</v>
      </c>
      <c r="AC231" s="49">
        <f>MAX(Tabela3[[#This Row],[Cotação 1]:[Cotação 3]])</f>
        <v>2.99</v>
      </c>
      <c r="AD231" s="45">
        <f>[Cotação]/[VPA]</f>
        <v>0.34827052356121763</v>
      </c>
      <c r="AE231" s="41">
        <f>IF(Tabela3[[#This Row],[Lucro/Ação]]&gt;0,Tabela3[[#This Row],[Cotação]]/(Tabela3[[#This Row],[Lucro/Ação]]/[Ref]*4),0)</f>
        <v>6.1066980169308938</v>
      </c>
      <c r="AF231" s="41" t="e">
        <f>IF([Div. Mínimo]=0,0,[Lucro Distribuir]*#REF!/[Total Ações])</f>
        <v>#REF!</v>
      </c>
      <c r="AG231" s="96">
        <f>[Lucro Distribuir]/[Total Ações]</f>
        <v>0.3488587439715391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31" s="15" t="str">
        <f>IF(AND([% A.A.]&gt;=8%,SUMPRODUCT(N([Nome]=Tabela3[[#This Row],[Nome]]),[PL])&gt;0),"Sim","Não")</f>
        <v>Não</v>
      </c>
      <c r="AJ231" s="43">
        <f>IF([Cotação]&gt;0,Tabela3[[#This Row],[Lucro]]/Tabela3[[#This Row],[Cotação]],0)</f>
        <v>9.2997394911062715E-3</v>
      </c>
      <c r="AK231" s="19">
        <f>((1+Tabela3[[#This Row],[% Yield]])^(1/(3*Tabela3[[#This Row],[Ref]])))^(12)-1</f>
        <v>1.2418832013202374E-2</v>
      </c>
      <c r="AL231" s="14">
        <f>IF([Cotação]&gt;0,($AR$1/Tabela3[[#This Row],[Cotação]]-MOD($AR$1/Tabela3[[#This Row],[Cotação]],100)),)</f>
        <v>100</v>
      </c>
      <c r="AM231" s="17">
        <f>Tabela3[[#This Row],[Ativos]]*[Lucro]</f>
        <v>2.7806221078407751</v>
      </c>
      <c r="AN231" s="5">
        <f>SUMPRODUCT(N(Tabela1[Código]=Tabela3[[#This Row],[PAPEL]]),Tabela1[Fechamento])</f>
        <v>2.99</v>
      </c>
      <c r="AO231" s="5">
        <f>SUMPRODUCT(N(Tabela17[Código]=Tabela3[[#This Row],[PAPEL]]),Tabela17[Fechamento])</f>
        <v>0</v>
      </c>
      <c r="AP231" s="7">
        <f>SUMPRODUCT(N(Tabela176[Código]=Tabela3[[#This Row],[PAPEL]]),Tabela176[Fechamento])</f>
        <v>0</v>
      </c>
    </row>
    <row r="232" spans="1:42" hidden="1">
      <c r="A232" s="4" t="s">
        <v>264</v>
      </c>
      <c r="B232" s="65" t="s">
        <v>658</v>
      </c>
      <c r="C232" s="15" t="str">
        <f>LEFT([PAPEL],LEN([PAPEL])-(LEN([PAPEL])-4))</f>
        <v>RPMG</v>
      </c>
      <c r="D232" s="15">
        <v>3</v>
      </c>
      <c r="E232" s="6">
        <v>148873356.06</v>
      </c>
      <c r="F232" s="8">
        <v>991541636</v>
      </c>
      <c r="G232" s="100">
        <v>0.25</v>
      </c>
      <c r="H232" s="15"/>
      <c r="I232" s="19">
        <v>0.1</v>
      </c>
      <c r="J232" s="19"/>
      <c r="K232" s="108"/>
      <c r="L232" s="108"/>
      <c r="M232" s="114">
        <v>-574737000</v>
      </c>
      <c r="N232" s="115">
        <v>-53772000</v>
      </c>
      <c r="O232" s="13">
        <f>Tabela3[[#This Row],[Capital Social]]*20%</f>
        <v>29774671.212000001</v>
      </c>
      <c r="P232" s="13">
        <f>IF(([Lucro Líquido]*5%)&gt;[Teto R. Legal],[Teto R. Legal],[Lucro Líquido]*5%)</f>
        <v>-2688600</v>
      </c>
      <c r="Q232" s="13">
        <f>IF([Lucro Líquido]&lt;0,0,[Lucro Líquido]-[Reserva Legal])</f>
        <v>0</v>
      </c>
      <c r="R232" s="13">
        <f>Tabela3[[#This Row],[Lucro Distribuir]]*[%Div]</f>
        <v>0</v>
      </c>
      <c r="S232" s="57">
        <f>SUMPRODUCT(N([Nome]=Tabela3[[#This Row],[Nome]]),[Ações])</f>
        <v>1142129842</v>
      </c>
      <c r="T232" s="6">
        <f>[Capital Social]/[Total Ações]</f>
        <v>0.13034713793950584</v>
      </c>
      <c r="U232" s="96">
        <f>Tabela3[[#This Row],[Lucro Líquido]]/Tabela3[[#This Row],[Total Ações]]</f>
        <v>-4.7080461452472931E-2</v>
      </c>
      <c r="V2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2" s="13">
        <f>[Div Base]*[Ações]</f>
        <v>12924461.440045528</v>
      </c>
      <c r="AA232" s="13">
        <f>SUMPRODUCT(N([Nome]=Tabela3[[#This Row],[Nome]]),[Div Base]*[Ações])</f>
        <v>14887335.606000001</v>
      </c>
      <c r="AB232" s="113">
        <f>[Patrimônio Líquido]/[Total Ações]</f>
        <v>-0.50321511518652706</v>
      </c>
      <c r="AC232" s="49">
        <f>MAX(Tabela3[[#This Row],[Cotação 1]:[Cotação 3]])</f>
        <v>0.25</v>
      </c>
      <c r="AD232" s="45">
        <f>[Cotação]/[VPA]</f>
        <v>-0.49680542665601835</v>
      </c>
      <c r="AE232" s="41">
        <f>IF(Tabela3[[#This Row],[Lucro/Ação]]&gt;0,Tabela3[[#This Row],[Cotação]]/(Tabela3[[#This Row],[Lucro/Ação]]/[Ref]*4),0)</f>
        <v>0</v>
      </c>
      <c r="AF232" s="109">
        <f>IF([Div. Mínimo]=0,0,[Lucro Distribuir]*#REF!/[Total Ações])</f>
        <v>0</v>
      </c>
      <c r="AG232" s="96">
        <f>[Lucro Distribuir]/[Total Ações]</f>
        <v>0</v>
      </c>
      <c r="AH232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2" s="14" t="str">
        <f>IF(AND([% A.A.]&gt;=8%,SUMPRODUCT(N([Nome]=Tabela3[[#This Row],[Nome]]),[PL])&gt;0),"Sim","Não")</f>
        <v>Não</v>
      </c>
      <c r="AJ232" s="43">
        <f>IF([Cotação]&gt;0,Tabela3[[#This Row],[Lucro]]/Tabela3[[#This Row],[Cotação]],0)</f>
        <v>5.2138855175802336E-2</v>
      </c>
      <c r="AK232" s="43">
        <f>((1+Tabela3[[#This Row],[% Yield]])^(1/(3*Tabela3[[#This Row],[Ref]])))^(12)-1</f>
        <v>7.0115724420693137E-2</v>
      </c>
      <c r="AL232" s="14">
        <f>IF([Cotação]&gt;0,($AR$1/Tabela3[[#This Row],[Cotação]]-MOD($AR$1/Tabela3[[#This Row],[Cotação]],100)),)</f>
        <v>1200</v>
      </c>
      <c r="AM232" s="17">
        <f>Tabela3[[#This Row],[Ativos]]*[Lucro]</f>
        <v>15.641656552740701</v>
      </c>
      <c r="AN232" s="17">
        <f>SUMPRODUCT(N(Tabela1[Código]=Tabela3[[#This Row],[PAPEL]]),Tabela1[Fechamento])</f>
        <v>0</v>
      </c>
      <c r="AO232" s="17">
        <f>SUMPRODUCT(N(Tabela17[Código]=Tabela3[[#This Row],[PAPEL]]),Tabela17[Fechamento])</f>
        <v>0</v>
      </c>
      <c r="AP232" s="17">
        <f>SUMPRODUCT(N(Tabela176[Código]=Tabela3[[#This Row],[PAPEL]]),Tabela176[Fechamento])</f>
        <v>0.25</v>
      </c>
    </row>
    <row r="233" spans="1:42" hidden="1">
      <c r="A233" s="4" t="s">
        <v>264</v>
      </c>
      <c r="B233" s="65" t="s">
        <v>659</v>
      </c>
      <c r="C233" s="15" t="str">
        <f>LEFT([PAPEL],LEN([PAPEL])-(LEN([PAPEL])-4))</f>
        <v>RPMG</v>
      </c>
      <c r="D233" s="15">
        <v>3</v>
      </c>
      <c r="E233" s="6">
        <v>148873356.06</v>
      </c>
      <c r="F233" s="8">
        <v>150588206</v>
      </c>
      <c r="G233" s="100">
        <v>0.25</v>
      </c>
      <c r="H233" s="15"/>
      <c r="I233" s="19">
        <v>0.1</v>
      </c>
      <c r="J233" s="19"/>
      <c r="K233" s="108"/>
      <c r="L233" s="108"/>
      <c r="M233" s="114">
        <v>-574737000</v>
      </c>
      <c r="N233" s="115">
        <v>-53772000</v>
      </c>
      <c r="O233" s="13">
        <f>Tabela3[[#This Row],[Capital Social]]*20%</f>
        <v>29774671.212000001</v>
      </c>
      <c r="P233" s="13">
        <f>IF(([Lucro Líquido]*5%)&gt;[Teto R. Legal],[Teto R. Legal],[Lucro Líquido]*5%)</f>
        <v>-2688600</v>
      </c>
      <c r="Q233" s="13">
        <f>IF([Lucro Líquido]&lt;0,0,[Lucro Líquido]-[Reserva Legal])</f>
        <v>0</v>
      </c>
      <c r="R233" s="13">
        <f>Tabela3[[#This Row],[Lucro Distribuir]]*[%Div]</f>
        <v>0</v>
      </c>
      <c r="S233" s="57">
        <f>SUMPRODUCT(N([Nome]=Tabela3[[#This Row],[Nome]]),[Ações])</f>
        <v>1142129842</v>
      </c>
      <c r="T233" s="6">
        <f>[Capital Social]/[Total Ações]</f>
        <v>0.13034713793950584</v>
      </c>
      <c r="U233" s="96">
        <f>Tabela3[[#This Row],[Lucro Líquido]]/Tabela3[[#This Row],[Total Ações]]</f>
        <v>-4.7080461452472931E-2</v>
      </c>
      <c r="V2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3" s="13">
        <f>[Div Base]*[Ações]</f>
        <v>1962874.165954472</v>
      </c>
      <c r="AA233" s="13">
        <f>SUMPRODUCT(N([Nome]=Tabela3[[#This Row],[Nome]]),[Div Base]*[Ações])</f>
        <v>14887335.606000001</v>
      </c>
      <c r="AB233" s="113">
        <f>[Patrimônio Líquido]/[Total Ações]</f>
        <v>-0.50321511518652706</v>
      </c>
      <c r="AC233" s="49">
        <f>MAX(Tabela3[[#This Row],[Cotação 1]:[Cotação 3]])</f>
        <v>0.25</v>
      </c>
      <c r="AD233" s="45">
        <f>[Cotação]/[VPA]</f>
        <v>-0.49680542665601835</v>
      </c>
      <c r="AE233" s="41">
        <f>IF(Tabela3[[#This Row],[Lucro/Ação]]&gt;0,Tabela3[[#This Row],[Cotação]]/(Tabela3[[#This Row],[Lucro/Ação]]/[Ref]*4),0)</f>
        <v>0</v>
      </c>
      <c r="AF233" s="109">
        <f>IF([Div. Mínimo]=0,0,[Lucro Distribuir]*#REF!/[Total Ações])</f>
        <v>0</v>
      </c>
      <c r="AG233" s="96">
        <f>[Lucro Distribuir]/[Total Ações]</f>
        <v>0</v>
      </c>
      <c r="AH233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3" s="14" t="str">
        <f>IF(AND([% A.A.]&gt;=8%,SUMPRODUCT(N([Nome]=Tabela3[[#This Row],[Nome]]),[PL])&gt;0),"Sim","Não")</f>
        <v>Não</v>
      </c>
      <c r="AJ233" s="43">
        <f>IF([Cotação]&gt;0,Tabela3[[#This Row],[Lucro]]/Tabela3[[#This Row],[Cotação]],0)</f>
        <v>5.2138855175802336E-2</v>
      </c>
      <c r="AK233" s="43">
        <f>((1+Tabela3[[#This Row],[% Yield]])^(1/(3*Tabela3[[#This Row],[Ref]])))^(12)-1</f>
        <v>7.0115724420693137E-2</v>
      </c>
      <c r="AL233" s="14">
        <f>IF([Cotação]&gt;0,($AR$1/Tabela3[[#This Row],[Cotação]]-MOD($AR$1/Tabela3[[#This Row],[Cotação]],100)),)</f>
        <v>1200</v>
      </c>
      <c r="AM233" s="17">
        <f>Tabela3[[#This Row],[Ativos]]*[Lucro]</f>
        <v>15.641656552740701</v>
      </c>
      <c r="AN233" s="17">
        <f>SUMPRODUCT(N(Tabela1[Código]=Tabela3[[#This Row],[PAPEL]]),Tabela1[Fechamento])</f>
        <v>0</v>
      </c>
      <c r="AO233" s="17">
        <f>SUMPRODUCT(N(Tabela17[Código]=Tabela3[[#This Row],[PAPEL]]),Tabela17[Fechamento])</f>
        <v>0</v>
      </c>
      <c r="AP233" s="17">
        <f>SUMPRODUCT(N(Tabela176[Código]=Tabela3[[#This Row],[PAPEL]]),Tabela176[Fechamento])</f>
        <v>0.25</v>
      </c>
    </row>
    <row r="234" spans="1:42" hidden="1">
      <c r="A234" s="4" t="s">
        <v>14</v>
      </c>
      <c r="B234" s="65" t="s">
        <v>627</v>
      </c>
      <c r="C234" s="15" t="str">
        <f>LEFT([PAPEL],LEN([PAPEL])-(LEN([PAPEL])-4))</f>
        <v>SANB</v>
      </c>
      <c r="D234" s="15">
        <v>3</v>
      </c>
      <c r="E234" s="6"/>
      <c r="F234" s="8"/>
      <c r="G234" s="106">
        <v>0.25</v>
      </c>
      <c r="H234" s="15"/>
      <c r="I234" s="19"/>
      <c r="J234" s="19"/>
      <c r="K234" s="108">
        <v>55</v>
      </c>
      <c r="L234" s="108">
        <v>50</v>
      </c>
      <c r="M234" s="114"/>
      <c r="N234" s="115"/>
      <c r="O234" s="13">
        <f>Tabela3[[#This Row],[Capital Social]]*20%</f>
        <v>0</v>
      </c>
      <c r="P234" s="13">
        <f>IF(([Lucro Líquido]*5%)&gt;[Teto R. Legal],[Teto R. Legal],[Lucro Líquido]*5%)</f>
        <v>0</v>
      </c>
      <c r="Q234" s="13">
        <f>IF([Lucro Líquido]&lt;0,0,[Lucro Líquido]-[Reserva Legal])</f>
        <v>0</v>
      </c>
      <c r="R234" s="13">
        <f>Tabela3[[#This Row],[Lucro Distribuir]]*[%Div]</f>
        <v>0</v>
      </c>
      <c r="S234" s="57">
        <f>SUMPRODUCT(N([Nome]=Tabela3[[#This Row],[Nome]]),[Ações])</f>
        <v>399044116905</v>
      </c>
      <c r="T234" s="6">
        <f>[Capital Social]/[Total Ações]</f>
        <v>0</v>
      </c>
      <c r="U234" s="96">
        <f>Tabela3[[#This Row],[Lucro Líquido]]/Tabela3[[#This Row],[Total Ações]]</f>
        <v>0</v>
      </c>
      <c r="V2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4" s="13">
        <f>[Div Base]*[Ações]</f>
        <v>0</v>
      </c>
      <c r="AA234" s="13">
        <f>SUMPRODUCT(N([Nome]=Tabela3[[#This Row],[Nome]]),[Div Base]*[Ações])</f>
        <v>1039699969.6124685</v>
      </c>
      <c r="AB234" s="113">
        <f>[Patrimônio Líquido]/[Total Ações]</f>
        <v>0</v>
      </c>
      <c r="AC234" s="49">
        <f>MAX(Tabela3[[#This Row],[Cotação 1]:[Cotação 3]])</f>
        <v>11.93</v>
      </c>
      <c r="AD234" s="45" t="e">
        <f>[Cotação]/[VPA]</f>
        <v>#DIV/0!</v>
      </c>
      <c r="AE234" s="41">
        <f>IF(Tabela3[[#This Row],[Lucro/Ação]]&gt;0,Tabela3[[#This Row],[Cotação]]/(Tabela3[[#This Row],[Lucro/Ação]]/[Ref]*4),0)</f>
        <v>0</v>
      </c>
      <c r="AF234" s="109">
        <f>IF([Div. Mínimo]=0,0,[Lucro Distribuir]*#REF!/[Total Ações])</f>
        <v>0</v>
      </c>
      <c r="AG234" s="96">
        <f>[Lucro Distribuir]/[Total Ações]</f>
        <v>0</v>
      </c>
      <c r="AH234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234" s="14" t="str">
        <f>IF(AND([% A.A.]&gt;=8%,SUMPRODUCT(N([Nome]=Tabela3[[#This Row],[Nome]]),[PL])&gt;0),"Sim","Não")</f>
        <v>Não</v>
      </c>
      <c r="AJ234" s="43">
        <f>IF([Cotação]&gt;0,Tabela3[[#This Row],[Lucro]]/Tabela3[[#This Row],[Cotação]],0)</f>
        <v>2.295265134733173E-2</v>
      </c>
      <c r="AK234" s="43">
        <f>((1+Tabela3[[#This Row],[% Yield]])^(1/(3*Tabela3[[#This Row],[Ref]])))^(12)-1</f>
        <v>3.0720015680506529E-2</v>
      </c>
      <c r="AL234" s="14">
        <f>IF([Cotação]&gt;0,($AR$1/Tabela3[[#This Row],[Cotação]]-MOD($AR$1/Tabela3[[#This Row],[Cotação]],100)),)</f>
        <v>0</v>
      </c>
      <c r="AM234" s="17">
        <f>Tabela3[[#This Row],[Ativos]]*[Lucro]</f>
        <v>0</v>
      </c>
      <c r="AN234" s="17">
        <f>SUMPRODUCT(N(Tabela1[Código]=Tabela3[[#This Row],[PAPEL]]),Tabela1[Fechamento])</f>
        <v>0</v>
      </c>
      <c r="AO234" s="17">
        <f>SUMPRODUCT(N(Tabela17[Código]=Tabela3[[#This Row],[PAPEL]]),Tabela17[Fechamento])</f>
        <v>0</v>
      </c>
      <c r="AP234" s="17">
        <f>SUMPRODUCT(N(Tabela176[Código]=Tabela3[[#This Row],[PAPEL]]),Tabela176[Fechamento])</f>
        <v>11.93</v>
      </c>
    </row>
    <row r="235" spans="1:42" hidden="1">
      <c r="A235" s="4" t="s">
        <v>14</v>
      </c>
      <c r="B235" s="65" t="s">
        <v>628</v>
      </c>
      <c r="C235" s="15" t="str">
        <f>LEFT([PAPEL],LEN([PAPEL])-(LEN([PAPEL])-4))</f>
        <v>SANB</v>
      </c>
      <c r="D235" s="15">
        <v>3</v>
      </c>
      <c r="E235" s="6">
        <v>62828201614.209999</v>
      </c>
      <c r="F235" s="8">
        <v>212841731754</v>
      </c>
      <c r="G235" s="106">
        <v>0.25</v>
      </c>
      <c r="H235" s="15"/>
      <c r="I235" s="19"/>
      <c r="J235" s="19"/>
      <c r="K235" s="108"/>
      <c r="L235" s="108"/>
      <c r="M235" s="114">
        <v>81370158000</v>
      </c>
      <c r="N235" s="115">
        <v>4316832000</v>
      </c>
      <c r="O235" s="13">
        <f>Tabela3[[#This Row],[Capital Social]]*20%</f>
        <v>12565640322.842001</v>
      </c>
      <c r="P235" s="13">
        <f>IF(([Lucro Líquido]*5%)&gt;[Teto R. Legal],[Teto R. Legal],[Lucro Líquido]*5%)</f>
        <v>215841600</v>
      </c>
      <c r="Q235" s="13">
        <f>IF([Lucro Líquido]&lt;0,0,[Lucro Líquido]-[Reserva Legal])</f>
        <v>4100990400</v>
      </c>
      <c r="R235" s="13">
        <f>Tabela3[[#This Row],[Lucro Distribuir]]*[%Div]</f>
        <v>1025247600</v>
      </c>
      <c r="S235" s="57">
        <f>SUMPRODUCT(N([Nome]=Tabela3[[#This Row],[Nome]]),[Ações])</f>
        <v>399044116905</v>
      </c>
      <c r="T235" s="6">
        <f>[Capital Social]/[Total Ações]</f>
        <v>0.15744675576602335</v>
      </c>
      <c r="U235" s="96">
        <f>Tabela3[[#This Row],[Lucro Líquido]]/Tabela3[[#This Row],[Total Ações]]</f>
        <v>1.0817931695075469E-2</v>
      </c>
      <c r="V2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2.4893193671464693E-3</v>
      </c>
      <c r="W2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35" s="13">
        <f>[Div Base]*[Ações]</f>
        <v>529831044.99222589</v>
      </c>
      <c r="AA235" s="13">
        <f>SUMPRODUCT(N([Nome]=Tabela3[[#This Row],[Nome]]),[Div Base]*[Ações])</f>
        <v>1039699969.6124685</v>
      </c>
      <c r="AB235" s="113">
        <f>[Patrimônio Líquido]/[Total Ações]</f>
        <v>0.20391268672524174</v>
      </c>
      <c r="AC235" s="49">
        <f>MAX(Tabela3[[#This Row],[Cotação 1]:[Cotação 3]])</f>
        <v>0.12</v>
      </c>
      <c r="AD235" s="45">
        <f>[Cotação]/[VPA]</f>
        <v>0.58848717030388453</v>
      </c>
      <c r="AE235" s="41">
        <f>IF(Tabela3[[#This Row],[Lucro/Ação]]&gt;0,Tabela3[[#This Row],[Cotação]]/(Tabela3[[#This Row],[Lucro/Ação]]/[Ref]*4),0)</f>
        <v>8.319520083582125</v>
      </c>
      <c r="AF235" s="109" t="e">
        <f>IF([Div. Mínimo]=0,0,[Lucro Distribuir]*#REF!/[Total Ações])</f>
        <v>#REF!</v>
      </c>
      <c r="AG235" s="96">
        <f>[Lucro Distribuir]/[Total Ações]</f>
        <v>1.0277035110321695E-2</v>
      </c>
      <c r="AH235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35" s="14" t="str">
        <f>IF(AND([% A.A.]&gt;=8%,SUMPRODUCT(N([Nome]=Tabela3[[#This Row],[Nome]]),[PL])&gt;0),"Sim","Não")</f>
        <v>Não</v>
      </c>
      <c r="AJ235" s="43">
        <f>IF([Cotação]&gt;0,Tabela3[[#This Row],[Lucro]]/Tabela3[[#This Row],[Cotação]],0)</f>
        <v>2.0744328059553913E-2</v>
      </c>
      <c r="AK235" s="43">
        <f>((1+Tabela3[[#This Row],[% Yield]])^(1/(3*Tabela3[[#This Row],[Ref]])))^(12)-1</f>
        <v>2.7754295270928209E-2</v>
      </c>
      <c r="AL235" s="14">
        <f>IF([Cotação]&gt;0,($AR$1/Tabela3[[#This Row],[Cotação]]-MOD($AR$1/Tabela3[[#This Row],[Cotação]],100)),)</f>
        <v>2500</v>
      </c>
      <c r="AM235" s="17">
        <f>Tabela3[[#This Row],[Ativos]]*[Lucro]</f>
        <v>6.2232984178661734</v>
      </c>
      <c r="AN235" s="17">
        <f>SUMPRODUCT(N(Tabela1[Código]=Tabela3[[#This Row],[PAPEL]]),Tabela1[Fechamento])</f>
        <v>0</v>
      </c>
      <c r="AO235" s="17">
        <f>SUMPRODUCT(N(Tabela17[Código]=Tabela3[[#This Row],[PAPEL]]),Tabela17[Fechamento])</f>
        <v>0</v>
      </c>
      <c r="AP235" s="17">
        <f>SUMPRODUCT(N(Tabela176[Código]=Tabela3[[#This Row],[PAPEL]]),Tabela176[Fechamento])</f>
        <v>0.12</v>
      </c>
    </row>
    <row r="236" spans="1:42" hidden="1">
      <c r="A236" s="4" t="s">
        <v>14</v>
      </c>
      <c r="B236" s="65" t="s">
        <v>629</v>
      </c>
      <c r="C236" s="15" t="str">
        <f>LEFT([PAPEL],LEN([PAPEL])-(LEN([PAPEL])-4))</f>
        <v>SANB</v>
      </c>
      <c r="D236" s="15">
        <v>3</v>
      </c>
      <c r="E236" s="6">
        <v>62828201614.209999</v>
      </c>
      <c r="F236" s="8">
        <v>186202385151</v>
      </c>
      <c r="G236" s="106">
        <v>0.25</v>
      </c>
      <c r="H236" s="15"/>
      <c r="I236" s="19"/>
      <c r="J236" s="19">
        <v>0.1</v>
      </c>
      <c r="K236" s="108"/>
      <c r="L236" s="108"/>
      <c r="M236" s="114">
        <v>81370158000</v>
      </c>
      <c r="N236" s="115">
        <v>4316832000</v>
      </c>
      <c r="O236" s="13">
        <f>Tabela3[[#This Row],[Capital Social]]*20%</f>
        <v>12565640322.842001</v>
      </c>
      <c r="P236" s="13">
        <f>IF(([Lucro Líquido]*5%)&gt;[Teto R. Legal],[Teto R. Legal],[Lucro Líquido]*5%)</f>
        <v>215841600</v>
      </c>
      <c r="Q236" s="13">
        <f>IF([Lucro Líquido]&lt;0,0,[Lucro Líquido]-[Reserva Legal])</f>
        <v>4100990400</v>
      </c>
      <c r="R236" s="13">
        <f>Tabela3[[#This Row],[Lucro Distribuir]]*[%Div]</f>
        <v>1025247600</v>
      </c>
      <c r="S236" s="57">
        <f>SUMPRODUCT(N([Nome]=Tabela3[[#This Row],[Nome]]),[Ações])</f>
        <v>399044116905</v>
      </c>
      <c r="T236" s="6">
        <f>[Capital Social]/[Total Ações]</f>
        <v>0.15744675576602335</v>
      </c>
      <c r="U236" s="96">
        <f>Tabela3[[#This Row],[Lucro Líquido]]/Tabela3[[#This Row],[Total Ações]]</f>
        <v>1.0817931695075469E-2</v>
      </c>
      <c r="V2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2.738251307612234E-3</v>
      </c>
      <c r="W2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36" s="13">
        <f>[Div Base]*[Ações]</f>
        <v>509868924.6202426</v>
      </c>
      <c r="AA236" s="13">
        <f>SUMPRODUCT(N([Nome]=Tabela3[[#This Row],[Nome]]),[Div Base]*[Ações])</f>
        <v>1039699969.6124685</v>
      </c>
      <c r="AB236" s="113">
        <f>[Patrimônio Líquido]/[Total Ações]</f>
        <v>0.20391268672524174</v>
      </c>
      <c r="AC236" s="49">
        <f>MAX(Tabela3[[#This Row],[Cotação 1]:[Cotação 3]])</f>
        <v>0.12</v>
      </c>
      <c r="AD236" s="45">
        <f>[Cotação]/[VPA]</f>
        <v>0.58848717030388453</v>
      </c>
      <c r="AE236" s="41">
        <f>IF(Tabela3[[#This Row],[Lucro/Ação]]&gt;0,Tabela3[[#This Row],[Cotação]]/(Tabela3[[#This Row],[Lucro/Ação]]/[Ref]*4),0)</f>
        <v>8.319520083582125</v>
      </c>
      <c r="AF236" s="109" t="e">
        <f>IF([Div. Mínimo]=0,0,[Lucro Distribuir]*#REF!/[Total Ações])</f>
        <v>#REF!</v>
      </c>
      <c r="AG236" s="96">
        <f>[Lucro Distribuir]/[Total Ações]</f>
        <v>1.0277035110321695E-2</v>
      </c>
      <c r="AH236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36" s="14" t="str">
        <f>IF(AND([% A.A.]&gt;=8%,SUMPRODUCT(N([Nome]=Tabela3[[#This Row],[Nome]]),[PL])&gt;0),"Sim","Não")</f>
        <v>Não</v>
      </c>
      <c r="AJ236" s="43">
        <f>IF([Cotação]&gt;0,Tabela3[[#This Row],[Lucro]]/Tabela3[[#This Row],[Cotação]],0)</f>
        <v>2.2818760896768618E-2</v>
      </c>
      <c r="AK236" s="43">
        <f>((1+Tabela3[[#This Row],[% Yield]])^(1/(3*Tabela3[[#This Row],[Ref]])))^(12)-1</f>
        <v>3.0540143482027382E-2</v>
      </c>
      <c r="AL236" s="14">
        <f>IF([Cotação]&gt;0,($AR$1/Tabela3[[#This Row],[Cotação]]-MOD($AR$1/Tabela3[[#This Row],[Cotação]],100)),)</f>
        <v>2500</v>
      </c>
      <c r="AM236" s="17">
        <f>Tabela3[[#This Row],[Ativos]]*[Lucro]</f>
        <v>6.845628269030585</v>
      </c>
      <c r="AN236" s="17">
        <f>SUMPRODUCT(N(Tabela1[Código]=Tabela3[[#This Row],[PAPEL]]),Tabela1[Fechamento])</f>
        <v>0</v>
      </c>
      <c r="AO236" s="17">
        <f>SUMPRODUCT(N(Tabela17[Código]=Tabela3[[#This Row],[PAPEL]]),Tabela17[Fechamento])</f>
        <v>0</v>
      </c>
      <c r="AP236" s="17">
        <f>SUMPRODUCT(N(Tabela176[Código]=Tabela3[[#This Row],[PAPEL]]),Tabela176[Fechamento])</f>
        <v>0.12</v>
      </c>
    </row>
    <row r="237" spans="1:42" hidden="1">
      <c r="A237" s="4" t="s">
        <v>37</v>
      </c>
      <c r="B237" s="65" t="s">
        <v>193</v>
      </c>
      <c r="C237" s="14" t="str">
        <f>LEFT([PAPEL],LEN([PAPEL])-(LEN([PAPEL])-4))</f>
        <v>SAPR</v>
      </c>
      <c r="D237" s="15">
        <v>3</v>
      </c>
      <c r="E237" s="6">
        <v>2597359806</v>
      </c>
      <c r="F237" s="8">
        <v>289836870</v>
      </c>
      <c r="G237" s="100">
        <v>0.25</v>
      </c>
      <c r="H237" s="15"/>
      <c r="I237" s="19"/>
      <c r="J237" s="19"/>
      <c r="K237" s="108"/>
      <c r="L237" s="108"/>
      <c r="M237" s="6">
        <v>3403126000</v>
      </c>
      <c r="N237" s="6">
        <v>314887000</v>
      </c>
      <c r="O237" s="6">
        <f>Tabela3[[#This Row],[Capital Social]]*20%</f>
        <v>519471961.20000005</v>
      </c>
      <c r="P237" s="6">
        <f>IF(([Lucro Líquido]*5%)&gt;[Teto R. Legal],[Teto R. Legal],[Lucro Líquido]*5%)</f>
        <v>15744350</v>
      </c>
      <c r="Q237" s="6">
        <f>IF([Lucro Líquido]&lt;0,0,[Lucro Líquido]-[Reserva Legal])</f>
        <v>299142650</v>
      </c>
      <c r="R237" s="6">
        <f>Tabela3[[#This Row],[Lucro Distribuir]]*[%Div]</f>
        <v>74785662.5</v>
      </c>
      <c r="S237" s="21">
        <f>SUMPRODUCT(N([Nome]=Tabela3[[#This Row],[Nome]]),[Ações])</f>
        <v>476620206</v>
      </c>
      <c r="T237" s="6">
        <f>[Capital Social]/[Total Ações]</f>
        <v>5.4495377520775943</v>
      </c>
      <c r="U237" s="96">
        <f>Tabela3[[#This Row],[Lucro Líquido]]/Tabela3[[#This Row],[Total Ações]]</f>
        <v>0.66066649301897196</v>
      </c>
      <c r="V2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W2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37" s="6">
        <f>[Div Base]*[Ações]</f>
        <v>44062820.708204009</v>
      </c>
      <c r="AA237" s="6">
        <f>SUMPRODUCT(N([Nome]=Tabela3[[#This Row],[Nome]]),[Div Base]*[Ações])</f>
        <v>75298393.747600317</v>
      </c>
      <c r="AB237" s="6">
        <f>[Patrimônio Líquido]/[Total Ações]</f>
        <v>7.1401211219316201</v>
      </c>
      <c r="AC237" s="49">
        <f>MAX(Tabela3[[#This Row],[Cotação 1]:[Cotação 3]])</f>
        <v>8.19</v>
      </c>
      <c r="AD237" s="45">
        <f>[Cotação]/[VPA]</f>
        <v>1.1470393653188273</v>
      </c>
      <c r="AE237" s="41">
        <f>IF(Tabela3[[#This Row],[Lucro/Ação]]&gt;0,Tabela3[[#This Row],[Cotação]]/(Tabela3[[#This Row],[Lucro/Ação]]/[Ref]*4),0)</f>
        <v>9.2974292852832914</v>
      </c>
      <c r="AF237" s="41" t="e">
        <f>IF([Div. Mínimo]=0,0,[Lucro Distribuir]*#REF!/[Total Ações])</f>
        <v>#REF!</v>
      </c>
      <c r="AG237" s="96">
        <f>[Lucro Distribuir]/[Total Ações]</f>
        <v>0.62763316836802341</v>
      </c>
      <c r="AH237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37" s="15" t="str">
        <f>IF(AND([% A.A.]&gt;=8%,SUMPRODUCT(N([Nome]=Tabela3[[#This Row],[Nome]]),[PL])&gt;0),"Sim","Não")</f>
        <v>Não</v>
      </c>
      <c r="AJ237" s="43">
        <f>IF([Cotação]&gt;0,Tabela3[[#This Row],[Lucro]]/Tabela3[[#This Row],[Cotação]],0)</f>
        <v>1.856242716307107E-2</v>
      </c>
      <c r="AK237" s="19">
        <f>((1+Tabela3[[#This Row],[% Yield]])^(1/(3*Tabela3[[#This Row],[Ref]])))^(12)-1</f>
        <v>2.4826159165840522E-2</v>
      </c>
      <c r="AL237" s="14">
        <f>IF([Cotação]&gt;0,($AR$1/Tabela3[[#This Row],[Cotação]]-MOD($AR$1/Tabela3[[#This Row],[Cotação]],100)),)</f>
        <v>0</v>
      </c>
      <c r="AM237" s="17">
        <f>Tabela3[[#This Row],[Ativos]]*[Lucro]</f>
        <v>0</v>
      </c>
      <c r="AN237" s="5">
        <f>SUMPRODUCT(N(Tabela1[Código]=Tabela3[[#This Row],[PAPEL]]),Tabela1[Fechamento])</f>
        <v>8.19</v>
      </c>
      <c r="AO237" s="5">
        <f>SUMPRODUCT(N(Tabela17[Código]=Tabela3[[#This Row],[PAPEL]]),Tabela17[Fechamento])</f>
        <v>0</v>
      </c>
      <c r="AP237" s="7">
        <f>SUMPRODUCT(N(Tabela176[Código]=Tabela3[[#This Row],[PAPEL]]),Tabela176[Fechamento])</f>
        <v>0</v>
      </c>
    </row>
    <row r="238" spans="1:42" hidden="1">
      <c r="A238" s="4" t="s">
        <v>37</v>
      </c>
      <c r="B238" s="65" t="s">
        <v>66</v>
      </c>
      <c r="C238" s="14" t="str">
        <f>LEFT([PAPEL],LEN([PAPEL])-(LEN([PAPEL])-4))</f>
        <v>SAPR</v>
      </c>
      <c r="D238" s="15">
        <v>3</v>
      </c>
      <c r="E238" s="6">
        <v>2597359806</v>
      </c>
      <c r="F238" s="8">
        <v>186783336</v>
      </c>
      <c r="G238" s="106">
        <v>0.25</v>
      </c>
      <c r="H238" s="15"/>
      <c r="I238" s="19"/>
      <c r="J238" s="19">
        <v>0.1</v>
      </c>
      <c r="K238" s="108"/>
      <c r="L238" s="108"/>
      <c r="M238" s="6">
        <v>3403126000</v>
      </c>
      <c r="N238" s="6">
        <v>314887000</v>
      </c>
      <c r="O238" s="6">
        <f>Tabela3[[#This Row],[Capital Social]]*20%</f>
        <v>519471961.20000005</v>
      </c>
      <c r="P238" s="6">
        <f>IF(([Lucro Líquido]*5%)&gt;[Teto R. Legal],[Teto R. Legal],[Lucro Líquido]*5%)</f>
        <v>15744350</v>
      </c>
      <c r="Q238" s="6">
        <f>IF([Lucro Líquido]&lt;0,0,[Lucro Líquido]-[Reserva Legal])</f>
        <v>299142650</v>
      </c>
      <c r="R238" s="6">
        <f>Tabela3[[#This Row],[Lucro Distribuir]]*[%Div]</f>
        <v>74785662.5</v>
      </c>
      <c r="S238" s="21">
        <f>SUMPRODUCT(N([Nome]=Tabela3[[#This Row],[Nome]]),[Ações])</f>
        <v>476620206</v>
      </c>
      <c r="T238" s="6">
        <f>[Capital Social]/[Total Ações]</f>
        <v>5.4495377520775943</v>
      </c>
      <c r="U238" s="96">
        <f>Tabela3[[#This Row],[Lucro Líquido]]/Tabela3[[#This Row],[Total Ações]]</f>
        <v>0.66066649301897196</v>
      </c>
      <c r="V23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W23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38" s="6">
        <f>[Div Base]*[Ações]</f>
        <v>31235573.039396316</v>
      </c>
      <c r="AA238" s="6">
        <f>SUMPRODUCT(N([Nome]=Tabela3[[#This Row],[Nome]]),[Div Base]*[Ações])</f>
        <v>75298393.747600317</v>
      </c>
      <c r="AB238" s="6">
        <f>[Patrimônio Líquido]/[Total Ações]</f>
        <v>7.1401211219316201</v>
      </c>
      <c r="AC238" s="49">
        <f>MAX(Tabela3[[#This Row],[Cotação 1]:[Cotação 3]])</f>
        <v>5.7</v>
      </c>
      <c r="AD238" s="45">
        <f>[Cotação]/[VPA]</f>
        <v>0.7983057853867298</v>
      </c>
      <c r="AE238" s="41">
        <f>IF(Tabela3[[#This Row],[Lucro/Ação]]&gt;0,Tabela3[[#This Row],[Cotação]]/(Tabela3[[#This Row],[Lucro/Ação]]/[Ref]*4),0)</f>
        <v>6.4707383304169435</v>
      </c>
      <c r="AF238" s="41" t="e">
        <f>IF([Div. Mínimo]=0,0,[Lucro Distribuir]*#REF!/[Total Ações])</f>
        <v>#REF!</v>
      </c>
      <c r="AG238" s="96">
        <f>[Lucro Distribuir]/[Total Ações]</f>
        <v>0.62763316836802341</v>
      </c>
      <c r="AH238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38" s="15" t="str">
        <f>IF(AND([% A.A.]&gt;=8%,SUMPRODUCT(N([Nome]=Tabela3[[#This Row],[Nome]]),[PL])&gt;0),"Sim","Não")</f>
        <v>Não</v>
      </c>
      <c r="AJ238" s="43">
        <f>IF([Cotação]&gt;0,Tabela3[[#This Row],[Lucro]]/Tabela3[[#This Row],[Cotação]],0)</f>
        <v>2.9338404656349709E-2</v>
      </c>
      <c r="AK238" s="19">
        <f>((1+Tabela3[[#This Row],[% Yield]])^(1/(3*Tabela3[[#This Row],[Ref]])))^(12)-1</f>
        <v>3.9307916830768397E-2</v>
      </c>
      <c r="AL238" s="14">
        <f>IF([Cotação]&gt;0,($AR$1/Tabela3[[#This Row],[Cotação]]-MOD($AR$1/Tabela3[[#This Row],[Cotação]],100)),)</f>
        <v>0</v>
      </c>
      <c r="AM238" s="17">
        <f>Tabela3[[#This Row],[Ativos]]*[Lucro]</f>
        <v>0</v>
      </c>
      <c r="AN238" s="5">
        <f>SUMPRODUCT(N(Tabela1[Código]=Tabela3[[#This Row],[PAPEL]]),Tabela1[Fechamento])</f>
        <v>5.7</v>
      </c>
      <c r="AO238" s="5">
        <f>SUMPRODUCT(N(Tabela17[Código]=Tabela3[[#This Row],[PAPEL]]),Tabela17[Fechamento])</f>
        <v>0</v>
      </c>
      <c r="AP238" s="7">
        <f>SUMPRODUCT(N(Tabela176[Código]=Tabela3[[#This Row],[PAPEL]]),Tabela176[Fechamento])</f>
        <v>0</v>
      </c>
    </row>
    <row r="239" spans="1:42" hidden="1">
      <c r="A239" s="4" t="s">
        <v>37</v>
      </c>
      <c r="B239" s="65" t="s">
        <v>36</v>
      </c>
      <c r="C239" s="14" t="str">
        <f>LEFT([PAPEL],LEN([PAPEL])-(LEN([PAPEL])-4))</f>
        <v>SBSP</v>
      </c>
      <c r="D239" s="15">
        <v>3</v>
      </c>
      <c r="E239" s="6">
        <v>6203688565.2299995</v>
      </c>
      <c r="F239" s="8">
        <v>683509869</v>
      </c>
      <c r="G239" s="100">
        <v>0.25</v>
      </c>
      <c r="H239" s="19"/>
      <c r="I239" s="19"/>
      <c r="J239" s="19"/>
      <c r="K239" s="108"/>
      <c r="L239" s="108"/>
      <c r="M239" s="6">
        <v>12509395000</v>
      </c>
      <c r="N239" s="6">
        <v>1332834000</v>
      </c>
      <c r="O239" s="6">
        <f>Tabela3[[#This Row],[Capital Social]]*20%</f>
        <v>1240737713.046</v>
      </c>
      <c r="P239" s="6">
        <f>IF(([Lucro Líquido]*5%)&gt;[Teto R. Legal],[Teto R. Legal],[Lucro Líquido]*5%)</f>
        <v>66641700</v>
      </c>
      <c r="Q239" s="6">
        <f>IF([Lucro Líquido]&lt;0,0,[Lucro Líquido]-[Reserva Legal])</f>
        <v>1266192300</v>
      </c>
      <c r="R239" s="6">
        <f>Tabela3[[#This Row],[Lucro Distribuir]]*[%Div]</f>
        <v>316548075</v>
      </c>
      <c r="S239" s="21">
        <f>SUMPRODUCT(N([Nome]=Tabela3[[#This Row],[Nome]]),[Ações])</f>
        <v>683509869</v>
      </c>
      <c r="T239" s="6">
        <f>[Capital Social]/[Total Ações]</f>
        <v>9.0762238361038197</v>
      </c>
      <c r="U239" s="96">
        <f>Tabela3[[#This Row],[Lucro Líquido]]/Tabela3[[#This Row],[Total Ações]]</f>
        <v>1.9499850118477222</v>
      </c>
      <c r="V2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W2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39" s="6">
        <f>[Div Base]*[Ações]</f>
        <v>316548075</v>
      </c>
      <c r="AA239" s="6">
        <f>SUMPRODUCT(N([Nome]=Tabela3[[#This Row],[Nome]]),[Div Base]*[Ações])</f>
        <v>316548075</v>
      </c>
      <c r="AB239" s="6">
        <f>[Patrimônio Líquido]/[Total Ações]</f>
        <v>18.301703555943828</v>
      </c>
      <c r="AC239" s="49">
        <f>MAX(Tabela3[[#This Row],[Cotação 1]:[Cotação 3]])</f>
        <v>22.7</v>
      </c>
      <c r="AD239" s="45">
        <f>[Cotação]/[VPA]</f>
        <v>1.240321696317048</v>
      </c>
      <c r="AE239" s="41">
        <f>IF(Tabela3[[#This Row],[Lucro/Ação]]&gt;0,Tabela3[[#This Row],[Cotação]]/(Tabela3[[#This Row],[Lucro/Ação]]/[Ref]*4),0)</f>
        <v>8.7308363380023319</v>
      </c>
      <c r="AF239" s="93" t="e">
        <f>IF([Div. Mínimo]=0,0,[Lucro Distribuir]*#REF!/[Total Ações])</f>
        <v>#REF!</v>
      </c>
      <c r="AG239" s="96">
        <f>[Lucro Distribuir]/[Total Ações]</f>
        <v>1.852485761255336</v>
      </c>
      <c r="AH239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39" s="15" t="str">
        <f>IF(AND([% A.A.]&gt;=8%,SUMPRODUCT(N([Nome]=Tabela3[[#This Row],[Nome]]),[PL])&gt;0),"Sim","Não")</f>
        <v>Não</v>
      </c>
      <c r="AJ239" s="43">
        <f>IF([Cotação]&gt;0,Tabela3[[#This Row],[Lucro]]/Tabela3[[#This Row],[Cotação]],0)</f>
        <v>2.0401825564486081E-2</v>
      </c>
      <c r="AK239" s="19">
        <f>((1+Tabela3[[#This Row],[% Yield]])^(1/(3*Tabela3[[#This Row],[Ref]])))^(12)-1</f>
        <v>2.7294514809804715E-2</v>
      </c>
      <c r="AL239" s="14">
        <f>IF([Cotação]&gt;0,($AR$1/Tabela3[[#This Row],[Cotação]]-MOD($AR$1/Tabela3[[#This Row],[Cotação]],100)),)</f>
        <v>0</v>
      </c>
      <c r="AM239" s="17">
        <f>Tabela3[[#This Row],[Ativos]]*[Lucro]</f>
        <v>0</v>
      </c>
      <c r="AN239" s="5">
        <f>SUMPRODUCT(N(Tabela1[Código]=Tabela3[[#This Row],[PAPEL]]),Tabela1[Fechamento])</f>
        <v>22.7</v>
      </c>
      <c r="AO239" s="5">
        <f>SUMPRODUCT(N(Tabela17[Código]=Tabela3[[#This Row],[PAPEL]]),Tabela17[Fechamento])</f>
        <v>0</v>
      </c>
      <c r="AP239" s="7">
        <f>SUMPRODUCT(N(Tabela176[Código]=Tabela3[[#This Row],[PAPEL]]),Tabela176[Fechamento])</f>
        <v>0</v>
      </c>
    </row>
    <row r="240" spans="1:42" hidden="1">
      <c r="A240" s="3" t="s">
        <v>371</v>
      </c>
      <c r="B240" s="65" t="s">
        <v>385</v>
      </c>
      <c r="C240" s="101" t="str">
        <f>LEFT([PAPEL],LEN([PAPEL])-(LEN([PAPEL])-4))</f>
        <v>SCAR</v>
      </c>
      <c r="D240" s="16">
        <v>3</v>
      </c>
      <c r="E240" s="5">
        <v>473911676.48000002</v>
      </c>
      <c r="F240" s="21">
        <v>57737317</v>
      </c>
      <c r="G240" s="106">
        <v>0.25</v>
      </c>
      <c r="H240" s="16"/>
      <c r="I240" s="18"/>
      <c r="K240" s="107"/>
      <c r="L240" s="107"/>
      <c r="M240" s="5">
        <v>984644000</v>
      </c>
      <c r="N240" s="5">
        <v>94588000</v>
      </c>
      <c r="O240" s="5">
        <f>Tabela3[[#This Row],[Capital Social]]*20%</f>
        <v>94782335.296000004</v>
      </c>
      <c r="P240" s="5">
        <f>IF(([Lucro Líquido]*5%)&gt;[Teto R. Legal],[Teto R. Legal],[Lucro Líquido]*5%)</f>
        <v>4729400</v>
      </c>
      <c r="Q240" s="5">
        <f>IF([Lucro Líquido]&lt;0,0,[Lucro Líquido]-[Reserva Legal])</f>
        <v>89858600</v>
      </c>
      <c r="R240" s="5">
        <f>Tabela3[[#This Row],[Lucro Distribuir]]*[%Div]</f>
        <v>22464650</v>
      </c>
      <c r="S240" s="21">
        <v>57737317</v>
      </c>
      <c r="T240" s="5">
        <f>[Capital Social]/[Total Ações]</f>
        <v>8.2080654437060172</v>
      </c>
      <c r="U240" s="95">
        <f>Tabela3[[#This Row],[Lucro Líquido]]/Tabela3[[#This Row],[Total Ações]]</f>
        <v>1.6382472361852214</v>
      </c>
      <c r="V2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W2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Z240" s="5">
        <f>[Div Base]*[Ações]</f>
        <v>22464650</v>
      </c>
      <c r="AA240" s="5">
        <f>SUMPRODUCT(N([Nome]=Tabela3[[#This Row],[Nome]]),[Div Base]*[Ações])</f>
        <v>22464650</v>
      </c>
      <c r="AB240" s="5">
        <f>[Patrimônio Líquido]/[Total Ações]</f>
        <v>17.053857906144131</v>
      </c>
      <c r="AC240" s="53">
        <f>MAX(Tabela3[[#This Row],[Cotação 1]:[Cotação 3]])</f>
        <v>35.14</v>
      </c>
      <c r="AD240" s="54">
        <f>[Cotação]/[VPA]</f>
        <v>2.0605308308180419</v>
      </c>
      <c r="AE240" s="38">
        <f>IF(Tabela3[[#This Row],[Lucro/Ação]]&gt;0,Tabela3[[#This Row],[Cotação]]/(Tabela3[[#This Row],[Lucro/Ação]]/[Ref]*4),0)</f>
        <v>16.087315405072527</v>
      </c>
      <c r="AF240" s="38" t="e">
        <f>IF([Div. Mínimo]=0,0,[Lucro Distribuir]*#REF!/[Total Ações])</f>
        <v>#REF!</v>
      </c>
      <c r="AG240" s="95">
        <f>[Lucro Distribuir]/[Total Ações]</f>
        <v>1.5563348743759604</v>
      </c>
      <c r="AH240" s="95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I240" s="16" t="str">
        <f>IF(AND([% A.A.]&gt;=8%,SUMPRODUCT(N([Nome]=Tabela3[[#This Row],[Nome]]),[PL])&gt;0),"Sim","Não")</f>
        <v>Não</v>
      </c>
      <c r="AJ240" s="22">
        <f>IF([Cotação]&gt;0,Tabela3[[#This Row],[Lucro]]/Tabela3[[#This Row],[Cotação]],0)</f>
        <v>1.1072388121627494E-2</v>
      </c>
      <c r="AK240" s="18">
        <f>((1+Tabela3[[#This Row],[% Yield]])^(1/(3*Tabela3[[#This Row],[Ref]])))^(12)-1</f>
        <v>1.4790361385867756E-2</v>
      </c>
      <c r="AL240" s="10">
        <f>IF([Cotação]&gt;0,($AR$1/Tabela3[[#This Row],[Cotação]]-MOD($AR$1/Tabela3[[#This Row],[Cotação]],100)),)</f>
        <v>0</v>
      </c>
      <c r="AM240" s="7">
        <f>Tabela3[[#This Row],[Ativos]]*[Lucro]</f>
        <v>0</v>
      </c>
      <c r="AN240" s="48">
        <f>SUMPRODUCT(N(Tabela1[Código]=Tabela3[[#This Row],[PAPEL]]),Tabela1[Fechamento])</f>
        <v>0</v>
      </c>
      <c r="AO240" s="55">
        <f>SUMPRODUCT(N(Tabela17[Código]=Tabela3[[#This Row],[PAPEL]]),Tabela17[Fechamento])</f>
        <v>35.14</v>
      </c>
      <c r="AP240" s="7">
        <f>SUMPRODUCT(N(Tabela176[Código]=Tabela3[[#This Row],[PAPEL]]),Tabela176[Fechamento])</f>
        <v>0</v>
      </c>
    </row>
    <row r="241" spans="1:42" hidden="1">
      <c r="A241" s="4" t="s">
        <v>14</v>
      </c>
      <c r="B241" s="65" t="s">
        <v>634</v>
      </c>
      <c r="C241" s="15" t="str">
        <f>LEFT([PAPEL],LEN([PAPEL])-(LEN([PAPEL])-4))</f>
        <v>SFSA</v>
      </c>
      <c r="D241" s="15">
        <v>3</v>
      </c>
      <c r="E241" s="6">
        <v>685700092.85000002</v>
      </c>
      <c r="F241" s="8">
        <v>97140150</v>
      </c>
      <c r="G241" s="106">
        <v>0.25</v>
      </c>
      <c r="H241" s="15"/>
      <c r="I241" s="19"/>
      <c r="J241" s="19"/>
      <c r="K241" s="108"/>
      <c r="L241" s="108"/>
      <c r="M241" s="6">
        <v>699911000</v>
      </c>
      <c r="N241" s="6">
        <v>6746000</v>
      </c>
      <c r="O241" s="13">
        <f>Tabela3[[#This Row],[Capital Social]]*20%</f>
        <v>137140018.57000002</v>
      </c>
      <c r="P241" s="13">
        <f>IF(([Lucro Líquido]*5%)&gt;[Teto R. Legal],[Teto R. Legal],[Lucro Líquido]*5%)</f>
        <v>337300</v>
      </c>
      <c r="Q241" s="13">
        <f>IF([Lucro Líquido]&lt;0,0,[Lucro Líquido]-[Reserva Legal])</f>
        <v>6408700</v>
      </c>
      <c r="R241" s="13">
        <f>Tabela3[[#This Row],[Lucro Distribuir]]*[%Div]</f>
        <v>1602175</v>
      </c>
      <c r="S241" s="57">
        <f>SUMPRODUCT(N([Nome]=Tabela3[[#This Row],[Nome]]),[Ações])</f>
        <v>137747421</v>
      </c>
      <c r="T241" s="6">
        <f>[Capital Social]/[Total Ações]</f>
        <v>4.9779523120799487</v>
      </c>
      <c r="U241" s="96">
        <f>Tabela3[[#This Row],[Lucro Líquido]]/Tabela3[[#This Row],[Total Ações]]</f>
        <v>4.8973693670823791E-2</v>
      </c>
      <c r="V2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1" s="13">
        <f>[Div Base]*[Ações]</f>
        <v>1129861.5879439951</v>
      </c>
      <c r="AA241" s="13">
        <f>SUMPRODUCT(N([Nome]=Tabela3[[#This Row],[Nome]]),[Div Base]*[Ações])</f>
        <v>1602175.0000000002</v>
      </c>
      <c r="AB241" s="113">
        <f>[Patrimônio Líquido]/[Total Ações]</f>
        <v>5.0811187238126223</v>
      </c>
      <c r="AC241" s="49">
        <f>MAX(Tabela3[[#This Row],[Cotação 1]:[Cotação 3]])</f>
        <v>0</v>
      </c>
      <c r="AD241" s="45">
        <f>[Cotação]/[VPA]</f>
        <v>0</v>
      </c>
      <c r="AE241" s="41">
        <f>IF(Tabela3[[#This Row],[Lucro/Ação]]&gt;0,Tabela3[[#This Row],[Cotação]]/(Tabela3[[#This Row],[Lucro/Ação]]/[Ref]*4),0)</f>
        <v>0</v>
      </c>
      <c r="AF241" s="109" t="e">
        <f>IF([Div. Mínimo]=0,0,[Lucro Distribuir]*#REF!/[Total Ações])</f>
        <v>#REF!</v>
      </c>
      <c r="AG241" s="96">
        <f>[Lucro Distribuir]/[Total Ações]</f>
        <v>4.6525008987282603E-2</v>
      </c>
      <c r="AH241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1" s="14" t="str">
        <f>IF(AND([% A.A.]&gt;=8%,SUMPRODUCT(N([Nome]=Tabela3[[#This Row],[Nome]]),[PL])&gt;0),"Sim","Não")</f>
        <v>Não</v>
      </c>
      <c r="AJ241" s="43">
        <f>IF([Cotação]&gt;0,Tabela3[[#This Row],[Lucro]]/Tabela3[[#This Row],[Cotação]],0)</f>
        <v>0</v>
      </c>
      <c r="AK241" s="43">
        <f>((1+Tabela3[[#This Row],[% Yield]])^(1/(3*Tabela3[[#This Row],[Ref]])))^(12)-1</f>
        <v>0</v>
      </c>
      <c r="AL241" s="14">
        <f>IF([Cotação]&gt;0,($AR$1/Tabela3[[#This Row],[Cotação]]-MOD($AR$1/Tabela3[[#This Row],[Cotação]],100)),)</f>
        <v>0</v>
      </c>
      <c r="AM241" s="17">
        <f>Tabela3[[#This Row],[Ativos]]*[Lucro]</f>
        <v>0</v>
      </c>
      <c r="AN241" s="17">
        <f>SUMPRODUCT(N(Tabela1[Código]=Tabela3[[#This Row],[PAPEL]]),Tabela1[Fechamento])</f>
        <v>0</v>
      </c>
      <c r="AO241" s="17">
        <f>SUMPRODUCT(N(Tabela17[Código]=Tabela3[[#This Row],[PAPEL]]),Tabela17[Fechamento])</f>
        <v>0</v>
      </c>
      <c r="AP241" s="17">
        <f>SUMPRODUCT(N(Tabela176[Código]=Tabela3[[#This Row],[PAPEL]]),Tabela176[Fechamento])</f>
        <v>0</v>
      </c>
    </row>
    <row r="242" spans="1:42" hidden="1">
      <c r="A242" s="4" t="s">
        <v>14</v>
      </c>
      <c r="B242" s="65" t="s">
        <v>76</v>
      </c>
      <c r="C242" s="14" t="str">
        <f>LEFT([PAPEL],LEN([PAPEL])-(LEN([PAPEL])-4))</f>
        <v>SFSA</v>
      </c>
      <c r="D242" s="15">
        <v>3</v>
      </c>
      <c r="E242" s="6">
        <v>685700092.85000002</v>
      </c>
      <c r="F242" s="8">
        <v>40607271</v>
      </c>
      <c r="G242" s="100">
        <v>0.25</v>
      </c>
      <c r="H242" s="15"/>
      <c r="I242" s="19"/>
      <c r="J242" s="19"/>
      <c r="K242" s="108"/>
      <c r="L242" s="108"/>
      <c r="M242" s="6">
        <v>699911000</v>
      </c>
      <c r="N242" s="6">
        <v>6746000</v>
      </c>
      <c r="O242" s="6">
        <f>Tabela3[[#This Row],[Capital Social]]*20%</f>
        <v>137140018.57000002</v>
      </c>
      <c r="P242" s="6">
        <f>IF(([Lucro Líquido]*5%)&gt;[Teto R. Legal],[Teto R. Legal],[Lucro Líquido]*5%)</f>
        <v>337300</v>
      </c>
      <c r="Q242" s="6">
        <f>IF([Lucro Líquido]&lt;0,0,[Lucro Líquido]-[Reserva Legal])</f>
        <v>6408700</v>
      </c>
      <c r="R242" s="6">
        <f>Tabela3[[#This Row],[Lucro Distribuir]]*[%Div]</f>
        <v>1602175</v>
      </c>
      <c r="S242" s="57">
        <f>SUMPRODUCT(N([Nome]=Tabela3[[#This Row],[Nome]]),[Ações])</f>
        <v>137747421</v>
      </c>
      <c r="T242" s="6">
        <f>[Capital Social]/[Total Ações]</f>
        <v>4.9779523120799487</v>
      </c>
      <c r="U242" s="96">
        <f>Tabela3[[#This Row],[Lucro Líquido]]/Tabela3[[#This Row],[Total Ações]]</f>
        <v>4.8973693670823791E-2</v>
      </c>
      <c r="V2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2" s="6">
        <f>[Div Base]*[Ações]</f>
        <v>472313.41205600504</v>
      </c>
      <c r="AA242" s="6">
        <f>SUMPRODUCT(N([Nome]=Tabela3[[#This Row],[Nome]]),[Div Base]*[Ações])</f>
        <v>1602175.0000000002</v>
      </c>
      <c r="AB242" s="6">
        <f>[Patrimônio Líquido]/[Total Ações]</f>
        <v>5.0811187238126223</v>
      </c>
      <c r="AC242" s="49">
        <f>MAX(Tabela3[[#This Row],[Cotação 1]:[Cotação 3]])</f>
        <v>3</v>
      </c>
      <c r="AD242" s="45">
        <f>[Cotação]/[VPA]</f>
        <v>0.59042115783292448</v>
      </c>
      <c r="AE242" s="41">
        <f>IF(Tabela3[[#This Row],[Lucro/Ação]]&gt;0,Tabela3[[#This Row],[Cotação]]/(Tabela3[[#This Row],[Lucro/Ação]]/[Ref]*4),0)</f>
        <v>45.943032500741182</v>
      </c>
      <c r="AF242" s="41" t="e">
        <f>IF([Div. Mínimo]=0,0,[Lucro Distribuir]*#REF!/[Total Ações])</f>
        <v>#REF!</v>
      </c>
      <c r="AG242" s="96">
        <f>[Lucro Distribuir]/[Total Ações]</f>
        <v>4.6525008987282603E-2</v>
      </c>
      <c r="AH242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2" s="15" t="str">
        <f>IF(AND([% A.A.]&gt;=8%,SUMPRODUCT(N([Nome]=Tabela3[[#This Row],[Nome]]),[PL])&gt;0),"Sim","Não")</f>
        <v>Não</v>
      </c>
      <c r="AJ242" s="43">
        <f>IF([Cotação]&gt;0,Tabela3[[#This Row],[Lucro]]/Tabela3[[#This Row],[Cotação]],0)</f>
        <v>3.8770840822735502E-3</v>
      </c>
      <c r="AK242" s="19">
        <f>((1+Tabela3[[#This Row],[% Yield]])^(1/(3*Tabela3[[#This Row],[Ref]])))^(12)-1</f>
        <v>5.1727829654462099E-3</v>
      </c>
      <c r="AL242" s="14">
        <f>IF([Cotação]&gt;0,($AR$1/Tabela3[[#This Row],[Cotação]]-MOD($AR$1/Tabela3[[#This Row],[Cotação]],100)),)</f>
        <v>100</v>
      </c>
      <c r="AM242" s="17">
        <f>Tabela3[[#This Row],[Ativos]]*[Lucro]</f>
        <v>1.1631252246820651</v>
      </c>
      <c r="AN242" s="5">
        <f>SUMPRODUCT(N(Tabela1[Código]=Tabela3[[#This Row],[PAPEL]]),Tabela1[Fechamento])</f>
        <v>3</v>
      </c>
      <c r="AO242" s="5">
        <f>SUMPRODUCT(N(Tabela17[Código]=Tabela3[[#This Row],[PAPEL]]),Tabela17[Fechamento])</f>
        <v>0</v>
      </c>
      <c r="AP242" s="7">
        <f>SUMPRODUCT(N(Tabela176[Código]=Tabela3[[#This Row],[PAPEL]]),Tabela176[Fechamento])</f>
        <v>0</v>
      </c>
    </row>
    <row r="243" spans="1:42" ht="15" hidden="1">
      <c r="A243" s="3" t="s">
        <v>289</v>
      </c>
      <c r="B243" s="117" t="s">
        <v>292</v>
      </c>
      <c r="C243" s="102" t="str">
        <f>LEFT([PAPEL],LEN([PAPEL])-(LEN([PAPEL])-4))</f>
        <v>SMTO</v>
      </c>
      <c r="D243" s="16">
        <v>3</v>
      </c>
      <c r="E243" s="5"/>
      <c r="G243" s="106">
        <v>0.25</v>
      </c>
      <c r="H243" s="16"/>
      <c r="I243" s="18"/>
      <c r="K243" s="107"/>
      <c r="L243" s="107"/>
      <c r="M243" s="5">
        <v>2075419000</v>
      </c>
      <c r="N243" s="5">
        <v>95615000</v>
      </c>
      <c r="O243" s="5">
        <f>Tabela3[[#This Row],[Capital Social]]*20%</f>
        <v>0</v>
      </c>
      <c r="P243" s="5">
        <f>IF(([Lucro Líquido]*5%)&gt;[Teto R. Legal],[Teto R. Legal],[Lucro Líquido]*5%)</f>
        <v>0</v>
      </c>
      <c r="Q243" s="5">
        <f>IF([Lucro Líquido]&lt;0,0,[Lucro Líquido]-[Reserva Legal])</f>
        <v>95615000</v>
      </c>
      <c r="R243" s="5">
        <f>Tabela3[[#This Row],[Lucro Distribuir]]*[%Div]</f>
        <v>23903750</v>
      </c>
      <c r="S243" s="21">
        <v>113000000</v>
      </c>
      <c r="T243" s="5">
        <f>[Capital Social]/[Total Ações]</f>
        <v>0</v>
      </c>
      <c r="U243" s="95">
        <f>Tabela3[[#This Row],[Lucro Líquido]]/Tabela3[[#This Row],[Total Ações]]</f>
        <v>0.84615044247787607</v>
      </c>
      <c r="V24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3" s="5">
        <f>[Div Base]*[Ações]</f>
        <v>0</v>
      </c>
      <c r="AA243" s="5">
        <f>SUMPRODUCT(N([Nome]=Tabela3[[#This Row],[Nome]]),[Div Base]*[Ações])</f>
        <v>0</v>
      </c>
      <c r="AB243" s="5">
        <f>[Patrimônio Líquido]/[Total Ações]</f>
        <v>18.36653982300885</v>
      </c>
      <c r="AC243" s="53">
        <f>MAX(Tabela3[[#This Row],[Cotação 1]:[Cotação 3]])</f>
        <v>25.12</v>
      </c>
      <c r="AD243" s="54">
        <f>[Cotação]/[VPA]</f>
        <v>1.3677045454435948</v>
      </c>
      <c r="AE243" s="38">
        <f>IF(Tabela3[[#This Row],[Lucro/Ação]]&gt;0,Tabela3[[#This Row],[Cotação]]/(Tabela3[[#This Row],[Lucro/Ação]]/[Ref]*4),0)</f>
        <v>22.265544109187889</v>
      </c>
      <c r="AF243" s="38">
        <f>IF([Div. Mínimo]=0,0,[Lucro Distribuir]*#REF!/[Total Ações])</f>
        <v>0</v>
      </c>
      <c r="AG243" s="95">
        <f>[Lucro Distribuir]/[Total Ações]</f>
        <v>0.84615044247787607</v>
      </c>
      <c r="AH24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3" s="16" t="str">
        <f>IF(AND([% A.A.]&gt;=8%,SUMPRODUCT(N([Nome]=Tabela3[[#This Row],[Nome]]),[PL])&gt;0),"Sim","Não")</f>
        <v>Não</v>
      </c>
      <c r="AJ243" s="22">
        <f>IF([Cotação]&gt;0,Tabela3[[#This Row],[Lucro]]/Tabela3[[#This Row],[Cotação]],0)</f>
        <v>0</v>
      </c>
      <c r="AK243" s="18">
        <f>((1+Tabela3[[#This Row],[% Yield]])^(1/(3*Tabela3[[#This Row],[Ref]])))^(12)-1</f>
        <v>0</v>
      </c>
      <c r="AL243" s="10">
        <f>IF([Cotação]&gt;0,($AR$1/Tabela3[[#This Row],[Cotação]]-MOD($AR$1/Tabela3[[#This Row],[Cotação]],100)),)</f>
        <v>0</v>
      </c>
      <c r="AM243" s="7">
        <f>Tabela3[[#This Row],[Ativos]]*[Lucro]</f>
        <v>0</v>
      </c>
      <c r="AN243" s="48">
        <f>SUMPRODUCT(N(Tabela1[Código]=Tabela3[[#This Row],[PAPEL]]),Tabela1[Fechamento])</f>
        <v>0</v>
      </c>
      <c r="AO243" s="55">
        <f>SUMPRODUCT(N(Tabela17[Código]=Tabela3[[#This Row],[PAPEL]]),Tabela17[Fechamento])</f>
        <v>25.12</v>
      </c>
      <c r="AP243" s="7">
        <f>SUMPRODUCT(N(Tabela176[Código]=Tabela3[[#This Row],[PAPEL]]),Tabela176[Fechamento])</f>
        <v>0</v>
      </c>
    </row>
    <row r="244" spans="1:42" hidden="1">
      <c r="A244" s="4" t="s">
        <v>639</v>
      </c>
      <c r="B244" s="65" t="s">
        <v>646</v>
      </c>
      <c r="C244" s="15" t="str">
        <f>LEFT([PAPEL],LEN([PAPEL])-(LEN([PAPEL])-4))</f>
        <v>SNSL</v>
      </c>
      <c r="D244" s="15">
        <v>3</v>
      </c>
      <c r="E244" s="6">
        <v>50150513.700000003</v>
      </c>
      <c r="F244" s="8">
        <v>11655683</v>
      </c>
      <c r="G244" s="106">
        <v>0.25</v>
      </c>
      <c r="H244" s="15"/>
      <c r="I244" s="19"/>
      <c r="J244" s="19"/>
      <c r="K244" s="108"/>
      <c r="L244" s="108"/>
      <c r="M244" s="114">
        <v>55043448</v>
      </c>
      <c r="N244" s="115">
        <v>4261171</v>
      </c>
      <c r="O244" s="13">
        <f>Tabela3[[#This Row],[Capital Social]]*20%</f>
        <v>10030102.74</v>
      </c>
      <c r="P244" s="13">
        <f>IF(([Lucro Líquido]*5%)&gt;[Teto R. Legal],[Teto R. Legal],[Lucro Líquido]*5%)</f>
        <v>213058.55000000002</v>
      </c>
      <c r="Q244" s="13">
        <f>IF([Lucro Líquido]&lt;0,0,[Lucro Líquido]-[Reserva Legal])</f>
        <v>4048112.45</v>
      </c>
      <c r="R244" s="13">
        <f>Tabela3[[#This Row],[Lucro Distribuir]]*[%Div]</f>
        <v>1012028.1125</v>
      </c>
      <c r="S244" s="57">
        <f>SUMPRODUCT(N([Nome]=Tabela3[[#This Row],[Nome]]),[Ações])</f>
        <v>11655683</v>
      </c>
      <c r="T244" s="6">
        <f>[Capital Social]/[Total Ações]</f>
        <v>4.3026662358610821</v>
      </c>
      <c r="U244" s="96">
        <f>Tabela3[[#This Row],[Lucro Líquido]]/Tabela3[[#This Row],[Total Ações]]</f>
        <v>0.3655874134531627</v>
      </c>
      <c r="V2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W2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44" s="13">
        <f>[Div Base]*[Ações]</f>
        <v>1012028.1125</v>
      </c>
      <c r="AA244" s="13">
        <f>SUMPRODUCT(N([Nome]=Tabela3[[#This Row],[Nome]]),[Div Base]*[Ações])</f>
        <v>1012028.1125</v>
      </c>
      <c r="AB244" s="113">
        <f>[Patrimônio Líquido]/[Total Ações]</f>
        <v>4.722455818333426</v>
      </c>
      <c r="AC244" s="49">
        <f>MAX(Tabela3[[#This Row],[Cotação 1]:[Cotação 3]])</f>
        <v>10.3</v>
      </c>
      <c r="AD244" s="45">
        <f>[Cotação]/[VPA]</f>
        <v>2.1810685787707196</v>
      </c>
      <c r="AE244" s="41">
        <f>IF(Tabela3[[#This Row],[Lucro/Ação]]&gt;0,Tabela3[[#This Row],[Cotação]]/(Tabela3[[#This Row],[Lucro/Ação]]/[Ref]*4),0)</f>
        <v>21.130377348151484</v>
      </c>
      <c r="AF244" s="109" t="e">
        <f>IF([Div. Mínimo]=0,0,[Lucro Distribuir]*#REF!/[Total Ações])</f>
        <v>#REF!</v>
      </c>
      <c r="AG244" s="96">
        <f>[Lucro Distribuir]/[Total Ações]</f>
        <v>0.34730804278050459</v>
      </c>
      <c r="AH244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44" s="14" t="str">
        <f>IF(AND([% A.A.]&gt;=8%,SUMPRODUCT(N([Nome]=Tabela3[[#This Row],[Nome]]),[PL])&gt;0),"Sim","Não")</f>
        <v>Não</v>
      </c>
      <c r="AJ244" s="43">
        <f>IF([Cotação]&gt;0,Tabela3[[#This Row],[Lucro]]/Tabela3[[#This Row],[Cotação]],0)</f>
        <v>8.4298068636044794E-3</v>
      </c>
      <c r="AK244" s="43">
        <f>((1+Tabela3[[#This Row],[% Yield]])^(1/(3*Tabela3[[#This Row],[Ref]])))^(12)-1</f>
        <v>1.1255504482615475E-2</v>
      </c>
      <c r="AL244" s="14">
        <f>IF([Cotação]&gt;0,($AR$1/Tabela3[[#This Row],[Cotação]]-MOD($AR$1/Tabela3[[#This Row],[Cotação]],100)),)</f>
        <v>0</v>
      </c>
      <c r="AM244" s="17">
        <f>Tabela3[[#This Row],[Ativos]]*[Lucro]</f>
        <v>0</v>
      </c>
      <c r="AN244" s="17">
        <f>SUMPRODUCT(N(Tabela1[Código]=Tabela3[[#This Row],[PAPEL]]),Tabela1[Fechamento])</f>
        <v>0</v>
      </c>
      <c r="AO244" s="17">
        <f>SUMPRODUCT(N(Tabela17[Código]=Tabela3[[#This Row],[PAPEL]]),Tabela17[Fechamento])</f>
        <v>0</v>
      </c>
      <c r="AP244" s="17">
        <f>SUMPRODUCT(N(Tabela176[Código]=Tabela3[[#This Row],[PAPEL]]),Tabela176[Fechamento])</f>
        <v>10.3</v>
      </c>
    </row>
    <row r="245" spans="1:42" hidden="1">
      <c r="A245" s="4" t="s">
        <v>349</v>
      </c>
      <c r="B245" s="65" t="s">
        <v>743</v>
      </c>
      <c r="C245" s="15" t="str">
        <f>LEFT([PAPEL],LEN([PAPEL])-(LEN([PAPEL])-4))</f>
        <v>SNSY</v>
      </c>
      <c r="D245" s="15">
        <v>3</v>
      </c>
      <c r="E245" s="6">
        <v>54625000</v>
      </c>
      <c r="F245" s="8">
        <v>6644806</v>
      </c>
      <c r="G245" s="100">
        <v>0.25</v>
      </c>
      <c r="H245" s="15"/>
      <c r="I245" s="19"/>
      <c r="J245" s="19"/>
      <c r="K245" s="108"/>
      <c r="L245" s="108"/>
      <c r="M245" s="114">
        <v>-350694000</v>
      </c>
      <c r="N245" s="115">
        <v>-43597000</v>
      </c>
      <c r="O245" s="13">
        <f>Tabela3[[#This Row],[Capital Social]]*20%</f>
        <v>10925000</v>
      </c>
      <c r="P245" s="13">
        <f>IF(([Lucro Líquido]*5%)&gt;[Teto R. Legal],[Teto R. Legal],[Lucro Líquido]*5%)</f>
        <v>-2179850</v>
      </c>
      <c r="Q245" s="13">
        <f>IF([Lucro Líquido]&lt;0,0,[Lucro Líquido]-[Reserva Legal])</f>
        <v>0</v>
      </c>
      <c r="R245" s="13">
        <f>Tabela3[[#This Row],[Lucro Distribuir]]*[%Div]</f>
        <v>0</v>
      </c>
      <c r="S245" s="57">
        <f>SUMPRODUCT(N([Nome]=Tabela3[[#This Row],[Nome]]),[Ações])</f>
        <v>19291122</v>
      </c>
      <c r="T245" s="6">
        <f>[Capital Social]/[Total Ações]</f>
        <v>2.8316134230035974</v>
      </c>
      <c r="U245" s="96">
        <f>Tabela3[[#This Row],[Lucro Líquido]]/Tabela3[[#This Row],[Total Ações]]</f>
        <v>-2.2599514947860473</v>
      </c>
      <c r="V2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5" s="13">
        <f>[Div Base]*[Ações]</f>
        <v>0</v>
      </c>
      <c r="AA245" s="13">
        <f>SUMPRODUCT(N([Nome]=Tabela3[[#This Row],[Nome]]),[Div Base]*[Ações])</f>
        <v>4493.0909150851885</v>
      </c>
      <c r="AB245" s="113">
        <f>[Patrimônio Líquido]/[Total Ações]</f>
        <v>-18.179035931658095</v>
      </c>
      <c r="AC245" s="49">
        <f>MAX(Tabela3[[#This Row],[Cotação 1]:[Cotação 3]])</f>
        <v>2</v>
      </c>
      <c r="AD245" s="45">
        <f>[Cotação]/[VPA]</f>
        <v>-0.11001683518965252</v>
      </c>
      <c r="AE245" s="41">
        <f>IF(Tabela3[[#This Row],[Lucro/Ação]]&gt;0,Tabela3[[#This Row],[Cotação]]/(Tabela3[[#This Row],[Lucro/Ação]]/[Ref]*4),0)</f>
        <v>0</v>
      </c>
      <c r="AF245" s="109">
        <f>IF([Div. Mínimo]=0,0,[Lucro Distribuir]*#REF!/[Total Ações])</f>
        <v>0</v>
      </c>
      <c r="AG245" s="96">
        <f>[Lucro Distribuir]/[Total Ações]</f>
        <v>0</v>
      </c>
      <c r="AH2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5" s="14" t="str">
        <f>IF(AND([% A.A.]&gt;=8%,SUMPRODUCT(N([Nome]=Tabela3[[#This Row],[Nome]]),[PL])&gt;0),"Sim","Não")</f>
        <v>Não</v>
      </c>
      <c r="AJ245" s="43">
        <f>IF([Cotação]&gt;0,Tabela3[[#This Row],[Lucro]]/Tabela3[[#This Row],[Cotação]],0)</f>
        <v>0</v>
      </c>
      <c r="AK245" s="43">
        <f>((1+Tabela3[[#This Row],[% Yield]])^(1/(3*Tabela3[[#This Row],[Ref]])))^(12)-1</f>
        <v>0</v>
      </c>
      <c r="AL245" s="14">
        <f>IF([Cotação]&gt;0,($AR$1/Tabela3[[#This Row],[Cotação]]-MOD($AR$1/Tabela3[[#This Row],[Cotação]],100)),)</f>
        <v>100</v>
      </c>
      <c r="AM245" s="17">
        <f>Tabela3[[#This Row],[Ativos]]*[Lucro]</f>
        <v>0</v>
      </c>
      <c r="AN245" s="17">
        <f>SUMPRODUCT(N(Tabela1[Código]=Tabela3[[#This Row],[PAPEL]]),Tabela1[Fechamento])</f>
        <v>0</v>
      </c>
      <c r="AO245" s="17">
        <f>SUMPRODUCT(N(Tabela17[Código]=Tabela3[[#This Row],[PAPEL]]),Tabela17[Fechamento])</f>
        <v>0</v>
      </c>
      <c r="AP245" s="17">
        <f>SUMPRODUCT(N(Tabela176[Código]=Tabela3[[#This Row],[PAPEL]]),Tabela176[Fechamento])</f>
        <v>2</v>
      </c>
    </row>
    <row r="246" spans="1:42" hidden="1">
      <c r="A246" s="4" t="s">
        <v>349</v>
      </c>
      <c r="B246" s="65" t="s">
        <v>744</v>
      </c>
      <c r="C246" s="15" t="str">
        <f>LEFT([PAPEL],LEN([PAPEL])-(LEN([PAPEL])-4))</f>
        <v>SNSY</v>
      </c>
      <c r="D246" s="15">
        <v>3</v>
      </c>
      <c r="E246" s="6">
        <v>54625000</v>
      </c>
      <c r="F246" s="8">
        <v>12619870</v>
      </c>
      <c r="G246" s="100">
        <v>0.25</v>
      </c>
      <c r="H246" s="15"/>
      <c r="I246" s="19"/>
      <c r="J246" s="19"/>
      <c r="K246" s="108"/>
      <c r="L246" s="108"/>
      <c r="M246" s="114">
        <v>-350694000</v>
      </c>
      <c r="N246" s="115">
        <v>-43597000</v>
      </c>
      <c r="O246" s="13">
        <f>Tabela3[[#This Row],[Capital Social]]*20%</f>
        <v>10925000</v>
      </c>
      <c r="P246" s="13">
        <f>IF(([Lucro Líquido]*5%)&gt;[Teto R. Legal],[Teto R. Legal],[Lucro Líquido]*5%)</f>
        <v>-2179850</v>
      </c>
      <c r="Q246" s="13">
        <f>IF([Lucro Líquido]&lt;0,0,[Lucro Líquido]-[Reserva Legal])</f>
        <v>0</v>
      </c>
      <c r="R246" s="13">
        <f>Tabela3[[#This Row],[Lucro Distribuir]]*[%Div]</f>
        <v>0</v>
      </c>
      <c r="S246" s="57">
        <f>SUMPRODUCT(N([Nome]=Tabela3[[#This Row],[Nome]]),[Ações])</f>
        <v>19291122</v>
      </c>
      <c r="T246" s="6">
        <f>[Capital Social]/[Total Ações]</f>
        <v>2.8316134230035974</v>
      </c>
      <c r="U246" s="96">
        <f>Tabela3[[#This Row],[Lucro Líquido]]/Tabela3[[#This Row],[Total Ações]]</f>
        <v>-2.2599514947860473</v>
      </c>
      <c r="V2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6" s="13">
        <f>[Div Base]*[Ações]</f>
        <v>0</v>
      </c>
      <c r="AA246" s="13">
        <f>SUMPRODUCT(N([Nome]=Tabela3[[#This Row],[Nome]]),[Div Base]*[Ações])</f>
        <v>4493.0909150851885</v>
      </c>
      <c r="AB246" s="113">
        <f>[Patrimônio Líquido]/[Total Ações]</f>
        <v>-18.179035931658095</v>
      </c>
      <c r="AC246" s="49">
        <f>MAX(Tabela3[[#This Row],[Cotação 1]:[Cotação 3]])</f>
        <v>0.8</v>
      </c>
      <c r="AD246" s="45">
        <f>[Cotação]/[VPA]</f>
        <v>-4.4006734075861011E-2</v>
      </c>
      <c r="AE246" s="41">
        <f>IF(Tabela3[[#This Row],[Lucro/Ação]]&gt;0,Tabela3[[#This Row],[Cotação]]/(Tabela3[[#This Row],[Lucro/Ação]]/[Ref]*4),0)</f>
        <v>0</v>
      </c>
      <c r="AF246" s="109">
        <f>IF([Div. Mínimo]=0,0,[Lucro Distribuir]*#REF!/[Total Ações])</f>
        <v>0</v>
      </c>
      <c r="AG246" s="96">
        <f>[Lucro Distribuir]/[Total Ações]</f>
        <v>0</v>
      </c>
      <c r="AH2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6" s="14" t="str">
        <f>IF(AND([% A.A.]&gt;=8%,SUMPRODUCT(N([Nome]=Tabela3[[#This Row],[Nome]]),[PL])&gt;0),"Sim","Não")</f>
        <v>Não</v>
      </c>
      <c r="AJ246" s="43">
        <f>IF([Cotação]&gt;0,Tabela3[[#This Row],[Lucro]]/Tabela3[[#This Row],[Cotação]],0)</f>
        <v>0</v>
      </c>
      <c r="AK246" s="43">
        <f>((1+Tabela3[[#This Row],[% Yield]])^(1/(3*Tabela3[[#This Row],[Ref]])))^(12)-1</f>
        <v>0</v>
      </c>
      <c r="AL246" s="14">
        <f>IF([Cotação]&gt;0,($AR$1/Tabela3[[#This Row],[Cotação]]-MOD($AR$1/Tabela3[[#This Row],[Cotação]],100)),)</f>
        <v>300</v>
      </c>
      <c r="AM246" s="17">
        <f>Tabela3[[#This Row],[Ativos]]*[Lucro]</f>
        <v>0</v>
      </c>
      <c r="AN246" s="17">
        <f>SUMPRODUCT(N(Tabela1[Código]=Tabela3[[#This Row],[PAPEL]]),Tabela1[Fechamento])</f>
        <v>0</v>
      </c>
      <c r="AO246" s="17">
        <f>SUMPRODUCT(N(Tabela17[Código]=Tabela3[[#This Row],[PAPEL]]),Tabela17[Fechamento])</f>
        <v>0</v>
      </c>
      <c r="AP246" s="17">
        <f>SUMPRODUCT(N(Tabela176[Código]=Tabela3[[#This Row],[PAPEL]]),Tabela176[Fechamento])</f>
        <v>0.8</v>
      </c>
    </row>
    <row r="247" spans="1:42" hidden="1">
      <c r="A247" s="4" t="s">
        <v>349</v>
      </c>
      <c r="B247" s="65" t="s">
        <v>745</v>
      </c>
      <c r="C247" s="15" t="str">
        <f>LEFT([PAPEL],LEN([PAPEL])-(LEN([PAPEL])-4))</f>
        <v>SNSY</v>
      </c>
      <c r="D247" s="15">
        <v>3</v>
      </c>
      <c r="E247" s="6">
        <v>54625000</v>
      </c>
      <c r="F247" s="8">
        <v>26446</v>
      </c>
      <c r="G247" s="100">
        <v>0.25</v>
      </c>
      <c r="H247" s="15"/>
      <c r="I247" s="19">
        <v>0.06</v>
      </c>
      <c r="J247" s="19"/>
      <c r="K247" s="108"/>
      <c r="L247" s="108"/>
      <c r="M247" s="114">
        <v>-350694000</v>
      </c>
      <c r="N247" s="115">
        <v>-43597000</v>
      </c>
      <c r="O247" s="13">
        <f>Tabela3[[#This Row],[Capital Social]]*20%</f>
        <v>10925000</v>
      </c>
      <c r="P247" s="13">
        <f>IF(([Lucro Líquido]*5%)&gt;[Teto R. Legal],[Teto R. Legal],[Lucro Líquido]*5%)</f>
        <v>-2179850</v>
      </c>
      <c r="Q247" s="13">
        <f>IF([Lucro Líquido]&lt;0,0,[Lucro Líquido]-[Reserva Legal])</f>
        <v>0</v>
      </c>
      <c r="R247" s="13">
        <f>Tabela3[[#This Row],[Lucro Distribuir]]*[%Div]</f>
        <v>0</v>
      </c>
      <c r="S247" s="57">
        <f>SUMPRODUCT(N([Nome]=Tabela3[[#This Row],[Nome]]),[Ações])</f>
        <v>19291122</v>
      </c>
      <c r="T247" s="6">
        <f>[Capital Social]/[Total Ações]</f>
        <v>2.8316134230035974</v>
      </c>
      <c r="U247" s="96">
        <f>Tabela3[[#This Row],[Lucro Líquido]]/Tabela3[[#This Row],[Total Ações]]</f>
        <v>-2.2599514947860473</v>
      </c>
      <c r="V2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0.16989680538021584</v>
      </c>
      <c r="Y2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0.16989680538021584</v>
      </c>
      <c r="Z247" s="13">
        <f>[Div Base]*[Ações]</f>
        <v>4493.0909150851885</v>
      </c>
      <c r="AA247" s="13">
        <f>SUMPRODUCT(N([Nome]=Tabela3[[#This Row],[Nome]]),[Div Base]*[Ações])</f>
        <v>4493.0909150851885</v>
      </c>
      <c r="AB247" s="113">
        <f>[Patrimônio Líquido]/[Total Ações]</f>
        <v>-18.179035931658095</v>
      </c>
      <c r="AC247" s="49">
        <f>MAX(Tabela3[[#This Row],[Cotação 1]:[Cotação 3]])</f>
        <v>3</v>
      </c>
      <c r="AD247" s="45">
        <f>[Cotação]/[VPA]</f>
        <v>-0.1650252527844788</v>
      </c>
      <c r="AE247" s="41">
        <f>IF(Tabela3[[#This Row],[Lucro/Ação]]&gt;0,Tabela3[[#This Row],[Cotação]]/(Tabela3[[#This Row],[Lucro/Ação]]/[Ref]*4),0)</f>
        <v>0</v>
      </c>
      <c r="AF247" s="109">
        <f>IF([Div. Mínimo]=0,0,[Lucro Distribuir]*#REF!/[Total Ações])</f>
        <v>0</v>
      </c>
      <c r="AG247" s="96">
        <f>[Lucro Distribuir]/[Total Ações]</f>
        <v>0</v>
      </c>
      <c r="AH247" s="96">
        <f>IF([Unit ON]&gt;0,SUMPRODUCT(N([Nome]=Tabela3[[#This Row],[Nome]]),N(RIGHT([PAPEL],1)="3"),[Div Base])*[Unit ON]+SUMPRODUCT(N([Nome]=Tabela3[[#This Row],[Nome]]),N(RIGHT([PAPEL],1)="4"),[Div Base])*[Unit PN],[Div Base])</f>
        <v>0.16989680538021584</v>
      </c>
      <c r="AI247" s="14" t="str">
        <f>IF(AND([% A.A.]&gt;=8%,SUMPRODUCT(N([Nome]=Tabela3[[#This Row],[Nome]]),[PL])&gt;0),"Sim","Não")</f>
        <v>Não</v>
      </c>
      <c r="AJ247" s="43">
        <f>IF([Cotação]&gt;0,Tabela3[[#This Row],[Lucro]]/Tabela3[[#This Row],[Cotação]],0)</f>
        <v>5.6632268460071945E-2</v>
      </c>
      <c r="AK247" s="43">
        <f>((1+Tabela3[[#This Row],[% Yield]])^(1/(3*Tabela3[[#This Row],[Ref]])))^(12)-1</f>
        <v>7.6213641464575765E-2</v>
      </c>
      <c r="AL247" s="14">
        <f>IF([Cotação]&gt;0,($AR$1/Tabela3[[#This Row],[Cotação]]-MOD($AR$1/Tabela3[[#This Row],[Cotação]],100)),)</f>
        <v>100</v>
      </c>
      <c r="AM247" s="17">
        <f>Tabela3[[#This Row],[Ativos]]*[Lucro]</f>
        <v>16.989680538021585</v>
      </c>
      <c r="AN247" s="17">
        <f>SUMPRODUCT(N(Tabela1[Código]=Tabela3[[#This Row],[PAPEL]]),Tabela1[Fechamento])</f>
        <v>0</v>
      </c>
      <c r="AO247" s="17">
        <f>SUMPRODUCT(N(Tabela17[Código]=Tabela3[[#This Row],[PAPEL]]),Tabela17[Fechamento])</f>
        <v>0</v>
      </c>
      <c r="AP247" s="17">
        <f>SUMPRODUCT(N(Tabela176[Código]=Tabela3[[#This Row],[PAPEL]]),Tabela176[Fechamento])</f>
        <v>3</v>
      </c>
    </row>
    <row r="248" spans="1:42" hidden="1">
      <c r="A248" s="3" t="s">
        <v>371</v>
      </c>
      <c r="B248" s="65" t="s">
        <v>384</v>
      </c>
      <c r="C248" s="101" t="str">
        <f>LEFT([PAPEL],LEN([PAPEL])-(LEN([PAPEL])-4))</f>
        <v>SSBR</v>
      </c>
      <c r="D248" s="16">
        <v>3</v>
      </c>
      <c r="E248" s="5">
        <v>997865823</v>
      </c>
      <c r="F248" s="57">
        <v>76423831</v>
      </c>
      <c r="G248" s="100">
        <v>0.25</v>
      </c>
      <c r="H248" s="16"/>
      <c r="I248" s="18"/>
      <c r="K248" s="107"/>
      <c r="L248" s="107"/>
      <c r="M248" s="5">
        <v>2243051000</v>
      </c>
      <c r="N248" s="5">
        <v>151349000</v>
      </c>
      <c r="O248" s="5">
        <f>Tabela3[[#This Row],[Capital Social]]*20%</f>
        <v>199573164.60000002</v>
      </c>
      <c r="P248" s="5">
        <f>IF(([Lucro Líquido]*5%)&gt;[Teto R. Legal],[Teto R. Legal],[Lucro Líquido]*5%)</f>
        <v>7567450</v>
      </c>
      <c r="Q248" s="5">
        <f>IF([Lucro Líquido]&lt;0,0,[Lucro Líquido]-[Reserva Legal])</f>
        <v>143781550</v>
      </c>
      <c r="R248" s="5">
        <f>Tabela3[[#This Row],[Lucro Distribuir]]*[%Div]</f>
        <v>35945387.5</v>
      </c>
      <c r="S248" s="21">
        <f>SUMPRODUCT(N([Nome]=Tabela3[[#This Row],[Nome]]),[Ações])</f>
        <v>76423831</v>
      </c>
      <c r="T248" s="5">
        <f>[Capital Social]/[Total Ações]</f>
        <v>13.056998189478358</v>
      </c>
      <c r="U248" s="95">
        <f>Tabela3[[#This Row],[Lucro Líquido]]/Tabela3[[#This Row],[Total Ações]]</f>
        <v>1.9803901220288211</v>
      </c>
      <c r="V2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W2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48" s="5">
        <f>[Div Base]*[Ações]</f>
        <v>35945387.5</v>
      </c>
      <c r="AA248" s="5">
        <f>SUMPRODUCT(N([Nome]=Tabela3[[#This Row],[Nome]]),[Div Base]*[Ações])</f>
        <v>35945387.5</v>
      </c>
      <c r="AB248" s="5">
        <f>[Patrimônio Líquido]/[Total Ações]</f>
        <v>29.350151263681088</v>
      </c>
      <c r="AC248" s="53">
        <f>MAX(Tabela3[[#This Row],[Cotação 1]:[Cotação 3]])</f>
        <v>16.2</v>
      </c>
      <c r="AD248" s="54">
        <f>[Cotação]/[VPA]</f>
        <v>0.55195626947403331</v>
      </c>
      <c r="AE248" s="38">
        <f>IF(Tabela3[[#This Row],[Lucro/Ação]]&gt;0,Tabela3[[#This Row],[Cotação]]/(Tabela3[[#This Row],[Lucro/Ação]]/[Ref]*4),0)</f>
        <v>6.1351548186641471</v>
      </c>
      <c r="AF248" s="38" t="e">
        <f>IF([Div. Mínimo]=0,0,[Lucro Distribuir]*#REF!/[Total Ações])</f>
        <v>#REF!</v>
      </c>
      <c r="AG248" s="95">
        <f>[Lucro Distribuir]/[Total Ações]</f>
        <v>1.88137061592738</v>
      </c>
      <c r="AH248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48" s="16" t="str">
        <f>IF(AND([% A.A.]&gt;=8%,SUMPRODUCT(N([Nome]=Tabela3[[#This Row],[Nome]]),[PL])&gt;0),"Sim","Não")</f>
        <v>Não</v>
      </c>
      <c r="AJ248" s="22">
        <f>IF([Cotação]&gt;0,Tabela3[[#This Row],[Lucro]]/Tabela3[[#This Row],[Cotação]],0)</f>
        <v>2.9033497159373148E-2</v>
      </c>
      <c r="AK248" s="18">
        <f>((1+Tabela3[[#This Row],[% Yield]])^(1/(3*Tabela3[[#This Row],[Ref]])))^(12)-1</f>
        <v>3.8897456249862072E-2</v>
      </c>
      <c r="AL248" s="10">
        <f>IF([Cotação]&gt;0,($AR$1/Tabela3[[#This Row],[Cotação]]-MOD($AR$1/Tabela3[[#This Row],[Cotação]],100)),)</f>
        <v>0</v>
      </c>
      <c r="AM248" s="7">
        <f>Tabela3[[#This Row],[Ativos]]*[Lucro]</f>
        <v>0</v>
      </c>
      <c r="AN248" s="48">
        <f>SUMPRODUCT(N(Tabela1[Código]=Tabela3[[#This Row],[PAPEL]]),Tabela1[Fechamento])</f>
        <v>0</v>
      </c>
      <c r="AO248" s="55">
        <f>SUMPRODUCT(N(Tabela17[Código]=Tabela3[[#This Row],[PAPEL]]),Tabela17[Fechamento])</f>
        <v>16.2</v>
      </c>
      <c r="AP248" s="7">
        <f>SUMPRODUCT(N(Tabela176[Código]=Tabela3[[#This Row],[PAPEL]]),Tabela176[Fechamento])</f>
        <v>0</v>
      </c>
    </row>
    <row r="249" spans="1:42" hidden="1">
      <c r="A249" s="4" t="s">
        <v>26</v>
      </c>
      <c r="B249" s="65" t="s">
        <v>57</v>
      </c>
      <c r="C249" s="101" t="str">
        <f>LEFT([PAPEL],LEN([PAPEL])-(LEN([PAPEL])-4))</f>
        <v>SULA</v>
      </c>
      <c r="D249" s="16">
        <v>3</v>
      </c>
      <c r="E249" s="5"/>
      <c r="G249" s="106"/>
      <c r="H249" s="16"/>
      <c r="I249" s="18"/>
      <c r="K249" s="107">
        <v>1</v>
      </c>
      <c r="L249" s="107">
        <v>2</v>
      </c>
      <c r="M249" s="6">
        <v>5318159000</v>
      </c>
      <c r="N249" s="6">
        <v>472452000</v>
      </c>
      <c r="O249" s="5">
        <f>Tabela3[[#This Row],[Capital Social]]*20%</f>
        <v>0</v>
      </c>
      <c r="P249" s="5">
        <f>IF(([Lucro Líquido]*5%)&gt;[Teto R. Legal],[Teto R. Legal],[Lucro Líquido]*5%)</f>
        <v>0</v>
      </c>
      <c r="Q249" s="5">
        <f>IF([Lucro Líquido]&lt;0,0,[Lucro Líquido]-[Reserva Legal])</f>
        <v>472452000</v>
      </c>
      <c r="R249" s="5">
        <f>Tabela3[[#This Row],[Lucro Distribuir]]*[%Div]</f>
        <v>0</v>
      </c>
      <c r="S249" s="57">
        <f>SUMPRODUCT(N([Nome]=Tabela3[[#This Row],[Nome]]),[Ações])</f>
        <v>1022205493</v>
      </c>
      <c r="T249" s="5">
        <f>[Capital Social]/[Total Ações]</f>
        <v>0</v>
      </c>
      <c r="U249" s="95">
        <f>Tabela3[[#This Row],[Lucro Líquido]]/Tabela3[[#This Row],[Total Ações]]</f>
        <v>0.46218886831984574</v>
      </c>
      <c r="V2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9" s="5">
        <f>[Div Base]*[Ações]</f>
        <v>0</v>
      </c>
      <c r="AA249" s="5">
        <f>SUMPRODUCT(N([Nome]=Tabela3[[#This Row],[Nome]]),[Div Base]*[Ações])</f>
        <v>78897402.643435329</v>
      </c>
      <c r="AB249" s="5">
        <f>[Patrimônio Líquido]/[Total Ações]</f>
        <v>5.2026319917261485</v>
      </c>
      <c r="AC249" s="53">
        <f>MAX(Tabela3[[#This Row],[Cotação 1]:[Cotação 3]])</f>
        <v>13.5</v>
      </c>
      <c r="AD249" s="54">
        <f>[Cotação]/[VPA]</f>
        <v>2.5948404618026655</v>
      </c>
      <c r="AE249" s="38">
        <f>IF(Tabela3[[#This Row],[Lucro/Ação]]&gt;0,Tabela3[[#This Row],[Cotação]]/(Tabela3[[#This Row],[Lucro/Ação]]/[Ref]*4),0)</f>
        <v>21.906628856741001</v>
      </c>
      <c r="AF249" s="38">
        <f>IF([Div. Mínimo]=0,0,[Lucro Distribuir]*#REF!/[Total Ações])</f>
        <v>0</v>
      </c>
      <c r="AG249" s="95">
        <f>[Lucro Distribuir]/[Total Ações]</f>
        <v>0.46218886831984574</v>
      </c>
      <c r="AH249" s="95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I249" s="16" t="str">
        <f>IF(AND([% A.A.]&gt;=8%,SUMPRODUCT(N([Nome]=Tabela3[[#This Row],[Nome]]),[PL])&gt;0),"Sim","Não")</f>
        <v>Não</v>
      </c>
      <c r="AJ249" s="22">
        <f>IF([Cotação]&gt;0,Tabela3[[#This Row],[Lucro]]/Tabela3[[#This Row],[Cotação]],0)</f>
        <v>1.4714226313556858E-2</v>
      </c>
      <c r="AK249" s="18">
        <f>((1+Tabela3[[#This Row],[% Yield]])^(1/(3*Tabela3[[#This Row],[Ref]])))^(12)-1</f>
        <v>1.9666925044115935E-2</v>
      </c>
      <c r="AL249" s="10">
        <f>IF([Cotação]&gt;0,($AR$1/Tabela3[[#This Row],[Cotação]]-MOD($AR$1/Tabela3[[#This Row],[Cotação]],100)),)</f>
        <v>0</v>
      </c>
      <c r="AM249" s="7">
        <f>Tabela3[[#This Row],[Ativos]]*[Lucro]</f>
        <v>0</v>
      </c>
      <c r="AN249" s="48">
        <f>SUMPRODUCT(N(Tabela1[Código]=Tabela3[[#This Row],[PAPEL]]),Tabela1[Fechamento])</f>
        <v>0</v>
      </c>
      <c r="AO249" s="55">
        <f>SUMPRODUCT(N(Tabela17[Código]=Tabela3[[#This Row],[PAPEL]]),Tabela17[Fechamento])</f>
        <v>13.5</v>
      </c>
      <c r="AP249" s="7">
        <f>SUMPRODUCT(N(Tabela176[Código]=Tabela3[[#This Row],[PAPEL]]),Tabela176[Fechamento])</f>
        <v>0</v>
      </c>
    </row>
    <row r="250" spans="1:42" hidden="1">
      <c r="A250" s="4" t="s">
        <v>26</v>
      </c>
      <c r="B250" s="65" t="s">
        <v>794</v>
      </c>
      <c r="C250" s="101" t="str">
        <f>LEFT([PAPEL],LEN([PAPEL])-(LEN([PAPEL])-4))</f>
        <v>SULA</v>
      </c>
      <c r="D250" s="16">
        <v>3</v>
      </c>
      <c r="E250" s="5">
        <v>2319882346.8499999</v>
      </c>
      <c r="F250" s="57">
        <v>512362664</v>
      </c>
      <c r="G250" s="106">
        <v>0.25</v>
      </c>
      <c r="H250" s="16"/>
      <c r="I250" s="18"/>
      <c r="K250" s="107"/>
      <c r="L250" s="107"/>
      <c r="M250" s="6">
        <v>5318159000</v>
      </c>
      <c r="N250" s="6">
        <v>472452000</v>
      </c>
      <c r="O250" s="5">
        <f>Tabela3[[#This Row],[Capital Social]]*20%</f>
        <v>463976469.37</v>
      </c>
      <c r="P250" s="5">
        <f>IF(([Lucro Líquido]*5%)&gt;[Teto R. Legal],[Teto R. Legal],[Lucro Líquido]*5%)</f>
        <v>23622600</v>
      </c>
      <c r="Q250" s="5">
        <f>IF([Lucro Líquido]&lt;0,0,[Lucro Líquido]-[Reserva Legal])</f>
        <v>448829400</v>
      </c>
      <c r="R250" s="5">
        <f>Tabela3[[#This Row],[Lucro Distribuir]]*[%Div]</f>
        <v>112207350</v>
      </c>
      <c r="S250" s="57">
        <f>SUMPRODUCT(N([Nome]=Tabela3[[#This Row],[Nome]]),[Ações])</f>
        <v>1022205493</v>
      </c>
      <c r="T250" s="5">
        <f>[Capital Social]/[Total Ações]</f>
        <v>2.2694872633109591</v>
      </c>
      <c r="U250" s="95">
        <f>Tabela3[[#This Row],[Lucro Líquido]]/Tabela3[[#This Row],[Total Ações]]</f>
        <v>0.46218886831984574</v>
      </c>
      <c r="V25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W2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Z250" s="5">
        <f>[Div Base]*[Ações]</f>
        <v>56241975.962831572</v>
      </c>
      <c r="AA250" s="5">
        <f>SUMPRODUCT(N([Nome]=Tabela3[[#This Row],[Nome]]),[Div Base]*[Ações])</f>
        <v>78897402.643435329</v>
      </c>
      <c r="AB250" s="5">
        <f>[Patrimônio Líquido]/[Total Ações]</f>
        <v>5.2026319917261485</v>
      </c>
      <c r="AC250" s="53">
        <f>MAX(Tabela3[[#This Row],[Cotação 1]:[Cotação 3]])</f>
        <v>0</v>
      </c>
      <c r="AD250" s="54">
        <f>[Cotação]/[VPA]</f>
        <v>0</v>
      </c>
      <c r="AE250" s="38">
        <f>IF(Tabela3[[#This Row],[Lucro/Ação]]&gt;0,Tabela3[[#This Row],[Cotação]]/(Tabela3[[#This Row],[Lucro/Ação]]/[Ref]*4),0)</f>
        <v>0</v>
      </c>
      <c r="AF250" s="38" t="e">
        <f>IF([Div. Mínimo]=0,0,[Lucro Distribuir]*#REF!/[Total Ações])</f>
        <v>#REF!</v>
      </c>
      <c r="AG250" s="95">
        <f>[Lucro Distribuir]/[Total Ações]</f>
        <v>0.43907942490385343</v>
      </c>
      <c r="AH250" s="95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I250" s="16" t="str">
        <f>IF(AND([% A.A.]&gt;=8%,SUMPRODUCT(N([Nome]=Tabela3[[#This Row],[Nome]]),[PL])&gt;0),"Sim","Não")</f>
        <v>Não</v>
      </c>
      <c r="AJ250" s="22">
        <f>IF([Cotação]&gt;0,Tabela3[[#This Row],[Lucro]]/Tabela3[[#This Row],[Cotação]],0)</f>
        <v>0</v>
      </c>
      <c r="AK250" s="18">
        <f>((1+Tabela3[[#This Row],[% Yield]])^(1/(3*Tabela3[[#This Row],[Ref]])))^(12)-1</f>
        <v>0</v>
      </c>
      <c r="AL250" s="10">
        <f>IF([Cotação]&gt;0,($AR$1/Tabela3[[#This Row],[Cotação]]-MOD($AR$1/Tabela3[[#This Row],[Cotação]],100)),)</f>
        <v>0</v>
      </c>
      <c r="AM250" s="7">
        <f>Tabela3[[#This Row],[Ativos]]*[Lucro]</f>
        <v>0</v>
      </c>
      <c r="AN250" s="48">
        <f>SUMPRODUCT(N(Tabela1[Código]=Tabela3[[#This Row],[PAPEL]]),Tabela1[Fechamento])</f>
        <v>0</v>
      </c>
      <c r="AO250" s="55">
        <f>SUMPRODUCT(N(Tabela17[Código]=Tabela3[[#This Row],[PAPEL]]),Tabela17[Fechamento])</f>
        <v>0</v>
      </c>
      <c r="AP250" s="7">
        <f>SUMPRODUCT(N(Tabela176[Código]=Tabela3[[#This Row],[PAPEL]]),Tabela176[Fechamento])</f>
        <v>0</v>
      </c>
    </row>
    <row r="251" spans="1:42" hidden="1">
      <c r="A251" s="4" t="s">
        <v>26</v>
      </c>
      <c r="B251" s="65" t="s">
        <v>795</v>
      </c>
      <c r="C251" s="101" t="str">
        <f>LEFT([PAPEL],LEN([PAPEL])-(LEN([PAPEL])-4))</f>
        <v>SULA</v>
      </c>
      <c r="D251" s="15">
        <v>3</v>
      </c>
      <c r="E251" s="5">
        <v>2319882346.8499999</v>
      </c>
      <c r="F251" s="8">
        <v>509842829</v>
      </c>
      <c r="G251" s="106">
        <v>0.25</v>
      </c>
      <c r="H251" s="15"/>
      <c r="I251" s="19"/>
      <c r="J251" s="19"/>
      <c r="K251" s="108"/>
      <c r="L251" s="108"/>
      <c r="M251" s="6">
        <v>3411209000</v>
      </c>
      <c r="N251" s="6">
        <v>191254000</v>
      </c>
      <c r="O251" s="6">
        <f>Tabela3[[#This Row],[Capital Social]]*20%</f>
        <v>463976469.37</v>
      </c>
      <c r="P251" s="6">
        <f>IF(([Lucro Líquido]*5%)&gt;[Teto R. Legal],[Teto R. Legal],[Lucro Líquido]*5%)</f>
        <v>9562700</v>
      </c>
      <c r="Q251" s="6">
        <f>IF([Lucro Líquido]&lt;0,0,[Lucro Líquido]-[Reserva Legal])</f>
        <v>181691300</v>
      </c>
      <c r="R251" s="6">
        <f>Tabela3[[#This Row],[Lucro Distribuir]]*[%Div]</f>
        <v>45422825</v>
      </c>
      <c r="S251" s="57">
        <f>SUMPRODUCT(N([Nome]=Tabela3[[#This Row],[Nome]]),[Ações])</f>
        <v>1022205493</v>
      </c>
      <c r="T251" s="6">
        <f>[Capital Social]/[Total Ações]</f>
        <v>2.2694872633109591</v>
      </c>
      <c r="U251" s="96">
        <f>Tabela3[[#This Row],[Lucro Líquido]]/Tabela3[[#This Row],[Total Ações]]</f>
        <v>0.18709936633064053</v>
      </c>
      <c r="V2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W2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Z251" s="6">
        <f>[Div Base]*[Ações]</f>
        <v>22655426.680603765</v>
      </c>
      <c r="AA251" s="6">
        <f>SUMPRODUCT(N([Nome]=Tabela3[[#This Row],[Nome]]),[Div Base]*[Ações])</f>
        <v>78897402.643435329</v>
      </c>
      <c r="AB251" s="6">
        <f>[Patrimônio Líquido]/[Total Ações]</f>
        <v>3.3371068961766968</v>
      </c>
      <c r="AC251" s="49">
        <f>MAX(Tabela3[[#This Row],[Cotação 1]:[Cotação 3]])</f>
        <v>0</v>
      </c>
      <c r="AD251" s="45">
        <f>[Cotação]/[VPA]</f>
        <v>0</v>
      </c>
      <c r="AE251" s="41">
        <f>IF(Tabela3[[#This Row],[Lucro/Ação]]&gt;0,Tabela3[[#This Row],[Cotação]]/(Tabela3[[#This Row],[Lucro/Ação]]/[Ref]*4),0)</f>
        <v>0</v>
      </c>
      <c r="AF251" s="41" t="e">
        <f>IF([Div. Mínimo]=0,0,[Lucro Distribuir]*#REF!/[Total Ações])</f>
        <v>#REF!</v>
      </c>
      <c r="AG251" s="96">
        <f>[Lucro Distribuir]/[Total Ações]</f>
        <v>0.17774439801410849</v>
      </c>
      <c r="AH251" s="96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I251" s="15" t="str">
        <f>IF(AND([% A.A.]&gt;=8%,SUMPRODUCT(N([Nome]=Tabela3[[#This Row],[Nome]]),[PL])&gt;0),"Sim","Não")</f>
        <v>Não</v>
      </c>
      <c r="AJ251" s="43">
        <f>IF([Cotação]&gt;0,Tabela3[[#This Row],[Lucro]]/Tabela3[[#This Row],[Cotação]],0)</f>
        <v>0</v>
      </c>
      <c r="AK251" s="19">
        <f>((1+Tabela3[[#This Row],[% Yield]])^(1/(3*Tabela3[[#This Row],[Ref]])))^(12)-1</f>
        <v>0</v>
      </c>
      <c r="AL251" s="14">
        <f>IF([Cotação]&gt;0,($AR$1/Tabela3[[#This Row],[Cotação]]-MOD($AR$1/Tabela3[[#This Row],[Cotação]],100)),)</f>
        <v>0</v>
      </c>
      <c r="AM251" s="17">
        <f>Tabela3[[#This Row],[Ativos]]*[Lucro]</f>
        <v>0</v>
      </c>
      <c r="AN251" s="13">
        <f>SUMPRODUCT(N(Tabela1[Código]=Tabela3[[#This Row],[PAPEL]]),Tabela1[Fechamento])</f>
        <v>0</v>
      </c>
      <c r="AO251" s="13">
        <f>SUMPRODUCT(N(Tabela17[Código]=Tabela3[[#This Row],[PAPEL]]),Tabela17[Fechamento])</f>
        <v>0</v>
      </c>
      <c r="AP251" s="7">
        <f>SUMPRODUCT(N(Tabela176[Código]=Tabela3[[#This Row],[PAPEL]]),Tabela176[Fechamento])</f>
        <v>0</v>
      </c>
    </row>
    <row r="252" spans="1:42" hidden="1">
      <c r="A252" s="4" t="s">
        <v>19</v>
      </c>
      <c r="B252" s="65" t="s">
        <v>764</v>
      </c>
      <c r="C252" s="101" t="str">
        <f>LEFT([PAPEL],LEN([PAPEL])-(LEN([PAPEL])-4))</f>
        <v>SUZB</v>
      </c>
      <c r="D252" s="15">
        <v>3</v>
      </c>
      <c r="E252" s="6">
        <v>6241753032.1599998</v>
      </c>
      <c r="F252" s="8">
        <v>371148532</v>
      </c>
      <c r="G252" s="100">
        <v>0.25</v>
      </c>
      <c r="H252" s="15"/>
      <c r="I252" s="19"/>
      <c r="J252" s="19"/>
      <c r="K252" s="108"/>
      <c r="L252" s="108"/>
      <c r="M252" s="6">
        <v>10702169000</v>
      </c>
      <c r="N252" s="6">
        <v>-162427000</v>
      </c>
      <c r="O252" s="6">
        <f>Tabela3[[#This Row],[Capital Social]]*20%</f>
        <v>1248350606.4319999</v>
      </c>
      <c r="P252" s="6">
        <f>IF(([Lucro Líquido]*5%)&gt;[Teto R. Legal],[Teto R. Legal],[Lucro Líquido]*5%)</f>
        <v>-8121350</v>
      </c>
      <c r="Q252" s="6">
        <f>IF([Lucro Líquido]&lt;0,0,[Lucro Líquido]-[Reserva Legal])</f>
        <v>0</v>
      </c>
      <c r="R252" s="6">
        <f>Tabela3[[#This Row],[Lucro Distribuir]]*[%Div]</f>
        <v>0</v>
      </c>
      <c r="S252" s="57">
        <f>SUMPRODUCT(N([Nome]=Tabela3[[#This Row],[Nome]]),[Ações])</f>
        <v>1107738677</v>
      </c>
      <c r="T252" s="6">
        <f>[Capital Social]/[Total Ações]</f>
        <v>5.6346800574518534</v>
      </c>
      <c r="U252" s="96">
        <f>Tabela3[[#This Row],[Lucro Líquido]]/Tabela3[[#This Row],[Total Ações]]</f>
        <v>-0.14662934803349834</v>
      </c>
      <c r="V2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2" s="6">
        <f>[Div Base]*[Ações]</f>
        <v>0</v>
      </c>
      <c r="AA252" s="6">
        <f>SUMPRODUCT(N([Nome]=Tabela3[[#This Row],[Nome]]),[Div Base]*[Ações])</f>
        <v>0</v>
      </c>
      <c r="AB252" s="6">
        <f>[Patrimônio Líquido]/[Total Ações]</f>
        <v>9.6612759148067546</v>
      </c>
      <c r="AC252" s="49">
        <f>MAX(Tabela3[[#This Row],[Cotação 1]:[Cotação 3]])</f>
        <v>4</v>
      </c>
      <c r="AD252" s="45">
        <f>[Cotação]/[VPA]</f>
        <v>0.41402398971647714</v>
      </c>
      <c r="AE252" s="41">
        <f>IF(Tabela3[[#This Row],[Lucro/Ação]]&gt;0,Tabela3[[#This Row],[Cotação]]/(Tabela3[[#This Row],[Lucro/Ação]]/[Ref]*4),0)</f>
        <v>0</v>
      </c>
      <c r="AF252" s="41">
        <f>IF([Div. Mínimo]=0,0,[Lucro Distribuir]*#REF!/[Total Ações])</f>
        <v>0</v>
      </c>
      <c r="AG252" s="96">
        <f>[Lucro Distribuir]/[Total Ações]</f>
        <v>0</v>
      </c>
      <c r="AH2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2" s="15" t="str">
        <f>IF(AND([% A.A.]&gt;=8%,SUMPRODUCT(N([Nome]=Tabela3[[#This Row],[Nome]]),[PL])&gt;0),"Sim","Não")</f>
        <v>Não</v>
      </c>
      <c r="AJ252" s="43">
        <f>IF([Cotação]&gt;0,Tabela3[[#This Row],[Lucro]]/Tabela3[[#This Row],[Cotação]],0)</f>
        <v>0</v>
      </c>
      <c r="AK252" s="19">
        <f>((1+Tabela3[[#This Row],[% Yield]])^(1/(3*Tabela3[[#This Row],[Ref]])))^(12)-1</f>
        <v>0</v>
      </c>
      <c r="AL252" s="14">
        <f>IF([Cotação]&gt;0,($AR$1/Tabela3[[#This Row],[Cotação]]-MOD($AR$1/Tabela3[[#This Row],[Cotação]],100)),)</f>
        <v>0</v>
      </c>
      <c r="AM252" s="17">
        <f>Tabela3[[#This Row],[Ativos]]*[Lucro]</f>
        <v>0</v>
      </c>
      <c r="AN252" s="13">
        <f>SUMPRODUCT(N(Tabela1[Código]=Tabela3[[#This Row],[PAPEL]]),Tabela1[Fechamento])</f>
        <v>0</v>
      </c>
      <c r="AO252" s="13">
        <f>SUMPRODUCT(N(Tabela17[Código]=Tabela3[[#This Row],[PAPEL]]),Tabela17[Fechamento])</f>
        <v>0</v>
      </c>
      <c r="AP252" s="7">
        <f>SUMPRODUCT(N(Tabela176[Código]=Tabela3[[#This Row],[PAPEL]]),Tabela176[Fechamento])</f>
        <v>4</v>
      </c>
    </row>
    <row r="253" spans="1:42" hidden="1">
      <c r="A253" s="4" t="s">
        <v>19</v>
      </c>
      <c r="B253" s="65" t="s">
        <v>18</v>
      </c>
      <c r="C253" s="14" t="str">
        <f>LEFT([PAPEL],LEN([PAPEL])-(LEN([PAPEL])-4))</f>
        <v>SUZB</v>
      </c>
      <c r="D253" s="15">
        <v>3</v>
      </c>
      <c r="E253" s="6">
        <v>6241753032.1599998</v>
      </c>
      <c r="F253" s="8">
        <v>734649326</v>
      </c>
      <c r="G253" s="100">
        <v>0.25</v>
      </c>
      <c r="H253" s="15"/>
      <c r="I253" s="19"/>
      <c r="J253" s="19"/>
      <c r="K253" s="108"/>
      <c r="L253" s="108"/>
      <c r="M253" s="6">
        <v>10702169000</v>
      </c>
      <c r="N253" s="6">
        <v>-162427000</v>
      </c>
      <c r="O253" s="6">
        <f>Tabela3[[#This Row],[Capital Social]]*20%</f>
        <v>1248350606.4319999</v>
      </c>
      <c r="P253" s="6">
        <f>IF(([Lucro Líquido]*5%)&gt;[Teto R. Legal],[Teto R. Legal],[Lucro Líquido]*5%)</f>
        <v>-8121350</v>
      </c>
      <c r="Q253" s="6">
        <f>IF([Lucro Líquido]&lt;0,0,[Lucro Líquido]-[Reserva Legal])</f>
        <v>0</v>
      </c>
      <c r="R253" s="6">
        <f>Tabela3[[#This Row],[Lucro Distribuir]]*[%Div]</f>
        <v>0</v>
      </c>
      <c r="S253" s="57">
        <f>SUMPRODUCT(N([Nome]=Tabela3[[#This Row],[Nome]]),[Ações])</f>
        <v>1107738677</v>
      </c>
      <c r="T253" s="6">
        <f>[Capital Social]/[Total Ações]</f>
        <v>5.6346800574518534</v>
      </c>
      <c r="U253" s="96">
        <f>Tabela3[[#This Row],[Lucro Líquido]]/Tabela3[[#This Row],[Total Ações]]</f>
        <v>-0.14662934803349834</v>
      </c>
      <c r="V2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3" s="6">
        <f>[Div Base]*[Ações]</f>
        <v>0</v>
      </c>
      <c r="AA253" s="6">
        <f>SUMPRODUCT(N([Nome]=Tabela3[[#This Row],[Nome]]),[Div Base]*[Ações])</f>
        <v>0</v>
      </c>
      <c r="AB253" s="6">
        <f>[Patrimônio Líquido]/[Total Ações]</f>
        <v>9.6612759148067546</v>
      </c>
      <c r="AC253" s="49">
        <f>MAX(Tabela3[[#This Row],[Cotação 1]:[Cotação 3]])</f>
        <v>9.15</v>
      </c>
      <c r="AD253" s="45">
        <f>[Cotação]/[VPA]</f>
        <v>0.94707987647644143</v>
      </c>
      <c r="AE253" s="41">
        <f>IF(Tabela3[[#This Row],[Lucro/Ação]]&gt;0,Tabela3[[#This Row],[Cotação]]/(Tabela3[[#This Row],[Lucro/Ação]]/[Ref]*4),0)</f>
        <v>0</v>
      </c>
      <c r="AF253" s="41">
        <f>IF([Div. Mínimo]=0,0,[Lucro Distribuir]*#REF!/[Total Ações])</f>
        <v>0</v>
      </c>
      <c r="AG253" s="96">
        <f>[Lucro Distribuir]/[Total Ações]</f>
        <v>0</v>
      </c>
      <c r="AH25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3" s="15" t="str">
        <f>IF(AND([% A.A.]&gt;=8%,SUMPRODUCT(N([Nome]=Tabela3[[#This Row],[Nome]]),[PL])&gt;0),"Sim","Não")</f>
        <v>Não</v>
      </c>
      <c r="AJ253" s="43">
        <f>IF([Cotação]&gt;0,Tabela3[[#This Row],[Lucro]]/Tabela3[[#This Row],[Cotação]],0)</f>
        <v>0</v>
      </c>
      <c r="AK253" s="19">
        <f>((1+Tabela3[[#This Row],[% Yield]])^(1/(3*Tabela3[[#This Row],[Ref]])))^(12)-1</f>
        <v>0</v>
      </c>
      <c r="AL253" s="14">
        <f>IF([Cotação]&gt;0,($AR$1/Tabela3[[#This Row],[Cotação]]-MOD($AR$1/Tabela3[[#This Row],[Cotação]],100)),)</f>
        <v>0</v>
      </c>
      <c r="AM253" s="17">
        <f>Tabela3[[#This Row],[Ativos]]*[Lucro]</f>
        <v>0</v>
      </c>
      <c r="AN253" s="5">
        <f>SUMPRODUCT(N(Tabela1[Código]=Tabela3[[#This Row],[PAPEL]]),Tabela1[Fechamento])</f>
        <v>9.15</v>
      </c>
      <c r="AO253" s="5">
        <f>SUMPRODUCT(N(Tabela17[Código]=Tabela3[[#This Row],[PAPEL]]),Tabela17[Fechamento])</f>
        <v>0</v>
      </c>
      <c r="AP253" s="7">
        <f>SUMPRODUCT(N(Tabela176[Código]=Tabela3[[#This Row],[PAPEL]]),Tabela176[Fechamento])</f>
        <v>0</v>
      </c>
    </row>
    <row r="254" spans="1:42" hidden="1">
      <c r="A254" s="4" t="s">
        <v>19</v>
      </c>
      <c r="B254" s="65" t="s">
        <v>201</v>
      </c>
      <c r="C254" s="14" t="str">
        <f>LEFT([PAPEL],LEN([PAPEL])-(LEN([PAPEL])-4))</f>
        <v>SUZB</v>
      </c>
      <c r="D254" s="15">
        <v>3</v>
      </c>
      <c r="E254" s="6">
        <v>6241753032.1599998</v>
      </c>
      <c r="F254" s="8">
        <v>1940819</v>
      </c>
      <c r="G254" s="106">
        <v>0.25</v>
      </c>
      <c r="H254" s="15"/>
      <c r="I254" s="19"/>
      <c r="J254" s="19"/>
      <c r="K254" s="108"/>
      <c r="L254" s="108"/>
      <c r="M254" s="6">
        <v>10702169000</v>
      </c>
      <c r="N254" s="6">
        <v>-162427000</v>
      </c>
      <c r="O254" s="6">
        <f>Tabela3[[#This Row],[Capital Social]]*20%</f>
        <v>1248350606.4319999</v>
      </c>
      <c r="P254" s="6">
        <f>IF(([Lucro Líquido]*5%)&gt;[Teto R. Legal],[Teto R. Legal],[Lucro Líquido]*5%)</f>
        <v>-8121350</v>
      </c>
      <c r="Q254" s="6">
        <f>IF([Lucro Líquido]&lt;0,0,[Lucro Líquido]-[Reserva Legal])</f>
        <v>0</v>
      </c>
      <c r="R254" s="6">
        <f>Tabela3[[#This Row],[Lucro Distribuir]]*[%Div]</f>
        <v>0</v>
      </c>
      <c r="S254" s="57">
        <f>SUMPRODUCT(N([Nome]=Tabela3[[#This Row],[Nome]]),[Ações])</f>
        <v>1107738677</v>
      </c>
      <c r="T254" s="6">
        <f>[Capital Social]/[Total Ações]</f>
        <v>5.6346800574518534</v>
      </c>
      <c r="U254" s="96">
        <f>Tabela3[[#This Row],[Lucro Líquido]]/Tabela3[[#This Row],[Total Ações]]</f>
        <v>-0.14662934803349834</v>
      </c>
      <c r="V2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4" s="6">
        <f>[Div Base]*[Ações]</f>
        <v>0</v>
      </c>
      <c r="AA254" s="6">
        <f>SUMPRODUCT(N([Nome]=Tabela3[[#This Row],[Nome]]),[Div Base]*[Ações])</f>
        <v>0</v>
      </c>
      <c r="AB254" s="6">
        <f>[Patrimônio Líquido]/[Total Ações]</f>
        <v>9.6612759148067546</v>
      </c>
      <c r="AC254" s="49">
        <f>MAX(Tabela3[[#This Row],[Cotação 1]:[Cotação 3]])</f>
        <v>8</v>
      </c>
      <c r="AD254" s="45">
        <f>[Cotação]/[VPA]</f>
        <v>0.82804797943295427</v>
      </c>
      <c r="AE254" s="41">
        <f>IF(Tabela3[[#This Row],[Lucro/Ação]]&gt;0,Tabela3[[#This Row],[Cotação]]/(Tabela3[[#This Row],[Lucro/Ação]]/[Ref]*4),0)</f>
        <v>0</v>
      </c>
      <c r="AF254" s="41">
        <f>IF([Div. Mínimo]=0,0,[Lucro Distribuir]*#REF!/[Total Ações])</f>
        <v>0</v>
      </c>
      <c r="AG254" s="96">
        <f>[Lucro Distribuir]/[Total Ações]</f>
        <v>0</v>
      </c>
      <c r="AH2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4" s="15" t="str">
        <f>IF(AND([% A.A.]&gt;=8%,SUMPRODUCT(N([Nome]=Tabela3[[#This Row],[Nome]]),[PL])&gt;0),"Sim","Não")</f>
        <v>Não</v>
      </c>
      <c r="AJ254" s="43">
        <f>IF([Cotação]&gt;0,Tabela3[[#This Row],[Lucro]]/Tabela3[[#This Row],[Cotação]],0)</f>
        <v>0</v>
      </c>
      <c r="AK254" s="19">
        <f>((1+Tabela3[[#This Row],[% Yield]])^(1/(3*Tabela3[[#This Row],[Ref]])))^(12)-1</f>
        <v>0</v>
      </c>
      <c r="AL254" s="14">
        <f>IF([Cotação]&gt;0,($AR$1/Tabela3[[#This Row],[Cotação]]-MOD($AR$1/Tabela3[[#This Row],[Cotação]],100)),)</f>
        <v>0</v>
      </c>
      <c r="AM254" s="17">
        <f>Tabela3[[#This Row],[Ativos]]*[Lucro]</f>
        <v>0</v>
      </c>
      <c r="AN254" s="5">
        <f>SUMPRODUCT(N(Tabela1[Código]=Tabela3[[#This Row],[PAPEL]]),Tabela1[Fechamento])</f>
        <v>8</v>
      </c>
      <c r="AO254" s="5">
        <f>SUMPRODUCT(N(Tabela17[Código]=Tabela3[[#This Row],[PAPEL]]),Tabela17[Fechamento])</f>
        <v>0</v>
      </c>
      <c r="AP254" s="7">
        <f>SUMPRODUCT(N(Tabela176[Código]=Tabela3[[#This Row],[PAPEL]]),Tabela176[Fechamento])</f>
        <v>0</v>
      </c>
    </row>
    <row r="255" spans="1:42" hidden="1">
      <c r="A255" s="4" t="s">
        <v>12</v>
      </c>
      <c r="B255" s="69" t="s">
        <v>56</v>
      </c>
      <c r="C255" s="14" t="str">
        <f>LEFT([PAPEL],LEN([PAPEL])-(LEN([PAPEL])-4))</f>
        <v>TAEE</v>
      </c>
      <c r="D255" s="15">
        <v>3</v>
      </c>
      <c r="E255" s="6"/>
      <c r="F255" s="8"/>
      <c r="G255" s="100">
        <v>0.5</v>
      </c>
      <c r="H255" s="15"/>
      <c r="I255" s="19"/>
      <c r="J255" s="19"/>
      <c r="K255" s="108">
        <v>1</v>
      </c>
      <c r="L255" s="108">
        <v>2</v>
      </c>
      <c r="M255" s="110"/>
      <c r="N255" s="110"/>
      <c r="O255" s="6">
        <f>Tabela3[[#This Row],[Capital Social]]*20%</f>
        <v>0</v>
      </c>
      <c r="P255" s="6">
        <f>IF(([Lucro Líquido]*5%)&gt;[Teto R. Legal],[Teto R. Legal],[Lucro Líquido]*5%)</f>
        <v>0</v>
      </c>
      <c r="Q255" s="110">
        <f>IF([Lucro Líquido]&lt;0,0,[Lucro Líquido]-[Reserva Legal])</f>
        <v>0</v>
      </c>
      <c r="R255" s="110">
        <f>Tabela3[[#This Row],[Lucro Distribuir]]*[%Div]</f>
        <v>0</v>
      </c>
      <c r="S255" s="57">
        <f>SUMPRODUCT(N([Nome]=Tabela3[[#This Row],[Nome]]),[Ações])</f>
        <v>1033496721</v>
      </c>
      <c r="T255" s="6">
        <f>[Capital Social]/[Total Ações]</f>
        <v>0</v>
      </c>
      <c r="U255" s="96">
        <f>Tabela3[[#This Row],[Lucro Líquido]]/Tabela3[[#This Row],[Total Ações]]</f>
        <v>0</v>
      </c>
      <c r="V2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5" s="6">
        <f>[Div Base]*[Ações]</f>
        <v>0</v>
      </c>
      <c r="AA255" s="6">
        <f>SUMPRODUCT(N([Nome]=Tabela3[[#This Row],[Nome]]),[Div Base]*[Ações])</f>
        <v>356960600</v>
      </c>
      <c r="AB255" s="110">
        <f>[Patrimônio Líquido]/[Total Ações]</f>
        <v>0</v>
      </c>
      <c r="AC255" s="49">
        <f>MAX(Tabela3[[#This Row],[Cotação 1]:[Cotação 3]])</f>
        <v>18.100000000000001</v>
      </c>
      <c r="AD255" s="45" t="e">
        <f>[Cotação]/[VPA]</f>
        <v>#DIV/0!</v>
      </c>
      <c r="AE255" s="41">
        <f>IF(Tabela3[[#This Row],[Lucro/Ação]]&gt;0,Tabela3[[#This Row],[Cotação]]/(Tabela3[[#This Row],[Lucro/Ação]]/[Ref]*4),0)</f>
        <v>0</v>
      </c>
      <c r="AF255" s="41">
        <f>IF([Div. Mínimo]=0,0,[Lucro Distribuir]*#REF!/[Total Ações])</f>
        <v>0</v>
      </c>
      <c r="AG255" s="96">
        <f>[Lucro Distribuir]/[Total Ações]</f>
        <v>0</v>
      </c>
      <c r="AH255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55" s="15" t="str">
        <f>IF(AND([% A.A.]&gt;=8%,SUMPRODUCT(N([Nome]=Tabela3[[#This Row],[Nome]]),[PL])&gt;0),"Sim","Não")</f>
        <v>Não</v>
      </c>
      <c r="AJ255" s="43">
        <f>IF([Cotação]&gt;0,Tabela3[[#This Row],[Lucro]]/Tabela3[[#This Row],[Cotação]],0)</f>
        <v>5.7247148567868278E-2</v>
      </c>
      <c r="AK255" s="19">
        <f>((1+Tabela3[[#This Row],[% Yield]])^(1/(3*Tabela3[[#This Row],[Ref]])))^(12)-1</f>
        <v>7.7048755757414655E-2</v>
      </c>
      <c r="AL255" s="14">
        <f>IF([Cotação]&gt;0,($AR$1/Tabela3[[#This Row],[Cotação]]-MOD($AR$1/Tabela3[[#This Row],[Cotação]],100)),)</f>
        <v>0</v>
      </c>
      <c r="AM255" s="17">
        <f>Tabela3[[#This Row],[Ativos]]*[Lucro]</f>
        <v>0</v>
      </c>
      <c r="AN255" s="5">
        <f>SUMPRODUCT(N(Tabela1[Código]=Tabela3[[#This Row],[PAPEL]]),Tabela1[Fechamento])</f>
        <v>18.100000000000001</v>
      </c>
      <c r="AO255" s="5">
        <f>SUMPRODUCT(N(Tabela17[Código]=Tabela3[[#This Row],[PAPEL]]),Tabela17[Fechamento])</f>
        <v>0</v>
      </c>
      <c r="AP255" s="7">
        <f>SUMPRODUCT(N(Tabela176[Código]=Tabela3[[#This Row],[PAPEL]]),Tabela176[Fechamento])</f>
        <v>0</v>
      </c>
    </row>
    <row r="256" spans="1:42" hidden="1">
      <c r="A256" s="4" t="s">
        <v>12</v>
      </c>
      <c r="B256" s="69" t="s">
        <v>574</v>
      </c>
      <c r="C256" s="14" t="str">
        <f>LEFT([PAPEL],LEN([PAPEL])-(LEN([PAPEL])-4))</f>
        <v>TAEE</v>
      </c>
      <c r="D256" s="15">
        <v>3</v>
      </c>
      <c r="E256" s="6">
        <v>3067535193.2800002</v>
      </c>
      <c r="F256" s="8">
        <v>691553133</v>
      </c>
      <c r="G256" s="100">
        <v>0.5</v>
      </c>
      <c r="H256" s="15"/>
      <c r="I256" s="19"/>
      <c r="J256" s="19"/>
      <c r="K256" s="108"/>
      <c r="L256" s="108"/>
      <c r="M256" s="110">
        <v>4589097000</v>
      </c>
      <c r="N256" s="110">
        <v>751496000</v>
      </c>
      <c r="O256" s="6">
        <f>Tabela3[[#This Row],[Capital Social]]*20%</f>
        <v>613507038.65600002</v>
      </c>
      <c r="P256" s="6">
        <f>IF(([Lucro Líquido]*5%)&gt;[Teto R. Legal],[Teto R. Legal],[Lucro Líquido]*5%)</f>
        <v>37574800</v>
      </c>
      <c r="Q256" s="110">
        <f>IF([Lucro Líquido]&lt;0,0,[Lucro Líquido]-[Reserva Legal])</f>
        <v>713921200</v>
      </c>
      <c r="R256" s="110">
        <f>Tabela3[[#This Row],[Lucro Distribuir]]*[%Div]</f>
        <v>356960600</v>
      </c>
      <c r="S256" s="57">
        <f>SUMPRODUCT(N([Nome]=Tabela3[[#This Row],[Nome]]),[Ações])</f>
        <v>1033496721</v>
      </c>
      <c r="T256" s="6">
        <f>[Capital Social]/[Total Ações]</f>
        <v>2.968113135677767</v>
      </c>
      <c r="U256" s="96">
        <f>Tabela3[[#This Row],[Lucro Líquido]]/Tabela3[[#This Row],[Total Ações]]</f>
        <v>0.72713922040590584</v>
      </c>
      <c r="V2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6" s="6">
        <f>[Div Base]*[Ações]</f>
        <v>238856317.84946883</v>
      </c>
      <c r="AA256" s="6">
        <f>SUMPRODUCT(N([Nome]=Tabela3[[#This Row],[Nome]]),[Div Base]*[Ações])</f>
        <v>356960600</v>
      </c>
      <c r="AB256" s="110">
        <f>[Patrimônio Líquido]/[Total Ações]</f>
        <v>4.4403595161478986</v>
      </c>
      <c r="AC256" s="49">
        <f>MAX(Tabela3[[#This Row],[Cotação 1]:[Cotação 3]])</f>
        <v>0</v>
      </c>
      <c r="AD256" s="45">
        <f>[Cotação]/[VPA]</f>
        <v>0</v>
      </c>
      <c r="AE256" s="41">
        <f>IF(Tabela3[[#This Row],[Lucro/Ação]]&gt;0,Tabela3[[#This Row],[Cotação]]/(Tabela3[[#This Row],[Lucro/Ação]]/[Ref]*4),0)</f>
        <v>0</v>
      </c>
      <c r="AF256" s="41" t="e">
        <f>IF([Div. Mínimo]=0,0,[Lucro Distribuir]*#REF!/[Total Ações])</f>
        <v>#REF!</v>
      </c>
      <c r="AG256" s="96">
        <f>[Lucro Distribuir]/[Total Ações]</f>
        <v>0.69078225938561055</v>
      </c>
      <c r="AH256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6" s="15" t="str">
        <f>IF(AND([% A.A.]&gt;=8%,SUMPRODUCT(N([Nome]=Tabela3[[#This Row],[Nome]]),[PL])&gt;0),"Sim","Não")</f>
        <v>Não</v>
      </c>
      <c r="AJ256" s="43">
        <f>IF([Cotação]&gt;0,Tabela3[[#This Row],[Lucro]]/Tabela3[[#This Row],[Cotação]],0)</f>
        <v>0</v>
      </c>
      <c r="AK256" s="19">
        <f>((1+Tabela3[[#This Row],[% Yield]])^(1/(3*Tabela3[[#This Row],[Ref]])))^(12)-1</f>
        <v>0</v>
      </c>
      <c r="AL256" s="14">
        <f>IF([Cotação]&gt;0,($AR$1/Tabela3[[#This Row],[Cotação]]-MOD($AR$1/Tabela3[[#This Row],[Cotação]],100)),)</f>
        <v>0</v>
      </c>
      <c r="AM256" s="17">
        <f>Tabela3[[#This Row],[Ativos]]*[Lucro]</f>
        <v>0</v>
      </c>
      <c r="AN256" s="5">
        <f>SUMPRODUCT(N(Tabela1[Código]=Tabela3[[#This Row],[PAPEL]]),Tabela1[Fechamento])</f>
        <v>0</v>
      </c>
      <c r="AO256" s="5">
        <f>SUMPRODUCT(N(Tabela17[Código]=Tabela3[[#This Row],[PAPEL]]),Tabela17[Fechamento])</f>
        <v>0</v>
      </c>
      <c r="AP256" s="7">
        <f>SUMPRODUCT(N(Tabela176[Código]=Tabela3[[#This Row],[PAPEL]]),Tabela176[Fechamento])</f>
        <v>0</v>
      </c>
    </row>
    <row r="257" spans="1:42" hidden="1">
      <c r="A257" s="4" t="s">
        <v>12</v>
      </c>
      <c r="B257" s="69" t="s">
        <v>575</v>
      </c>
      <c r="C257" s="14" t="str">
        <f>LEFT([PAPEL],LEN([PAPEL])-(LEN([PAPEL])-4))</f>
        <v>TAEE</v>
      </c>
      <c r="D257" s="15">
        <v>3</v>
      </c>
      <c r="E257" s="6">
        <v>3067535193.2800002</v>
      </c>
      <c r="F257" s="8">
        <v>341943588</v>
      </c>
      <c r="G257" s="100">
        <v>0.5</v>
      </c>
      <c r="H257" s="15"/>
      <c r="I257" s="19"/>
      <c r="J257" s="19"/>
      <c r="K257" s="108"/>
      <c r="L257" s="108"/>
      <c r="M257" s="110">
        <v>4589097000</v>
      </c>
      <c r="N257" s="110">
        <v>751496000</v>
      </c>
      <c r="O257" s="6">
        <f>Tabela3[[#This Row],[Capital Social]]*20%</f>
        <v>613507038.65600002</v>
      </c>
      <c r="P257" s="6">
        <f>IF(([Lucro Líquido]*5%)&gt;[Teto R. Legal],[Teto R. Legal],[Lucro Líquido]*5%)</f>
        <v>37574800</v>
      </c>
      <c r="Q257" s="110">
        <f>IF([Lucro Líquido]&lt;0,0,[Lucro Líquido]-[Reserva Legal])</f>
        <v>713921200</v>
      </c>
      <c r="R257" s="110">
        <f>Tabela3[[#This Row],[Lucro Distribuir]]*[%Div]</f>
        <v>356960600</v>
      </c>
      <c r="S257" s="57">
        <f>SUMPRODUCT(N([Nome]=Tabela3[[#This Row],[Nome]]),[Ações])</f>
        <v>1033496721</v>
      </c>
      <c r="T257" s="6">
        <f>[Capital Social]/[Total Ações]</f>
        <v>2.968113135677767</v>
      </c>
      <c r="U257" s="96">
        <f>Tabela3[[#This Row],[Lucro Líquido]]/Tabela3[[#This Row],[Total Ações]]</f>
        <v>0.72713922040590584</v>
      </c>
      <c r="V2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7" s="6">
        <f>[Div Base]*[Ações]</f>
        <v>118104282.15053117</v>
      </c>
      <c r="AA257" s="6">
        <f>SUMPRODUCT(N([Nome]=Tabela3[[#This Row],[Nome]]),[Div Base]*[Ações])</f>
        <v>356960600</v>
      </c>
      <c r="AB257" s="110">
        <f>[Patrimônio Líquido]/[Total Ações]</f>
        <v>4.4403595161478986</v>
      </c>
      <c r="AC257" s="49">
        <f>MAX(Tabela3[[#This Row],[Cotação 1]:[Cotação 3]])</f>
        <v>0</v>
      </c>
      <c r="AD257" s="45">
        <f>[Cotação]/[VPA]</f>
        <v>0</v>
      </c>
      <c r="AE257" s="41">
        <f>IF(Tabela3[[#This Row],[Lucro/Ação]]&gt;0,Tabela3[[#This Row],[Cotação]]/(Tabela3[[#This Row],[Lucro/Ação]]/[Ref]*4),0)</f>
        <v>0</v>
      </c>
      <c r="AF257" s="41" t="e">
        <f>IF([Div. Mínimo]=0,0,[Lucro Distribuir]*#REF!/[Total Ações])</f>
        <v>#REF!</v>
      </c>
      <c r="AG257" s="96">
        <f>[Lucro Distribuir]/[Total Ações]</f>
        <v>0.69078225938561055</v>
      </c>
      <c r="AH257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7" s="15" t="str">
        <f>IF(AND([% A.A.]&gt;=8%,SUMPRODUCT(N([Nome]=Tabela3[[#This Row],[Nome]]),[PL])&gt;0),"Sim","Não")</f>
        <v>Não</v>
      </c>
      <c r="AJ257" s="43">
        <f>IF([Cotação]&gt;0,Tabela3[[#This Row],[Lucro]]/Tabela3[[#This Row],[Cotação]],0)</f>
        <v>0</v>
      </c>
      <c r="AK257" s="19">
        <f>((1+Tabela3[[#This Row],[% Yield]])^(1/(3*Tabela3[[#This Row],[Ref]])))^(12)-1</f>
        <v>0</v>
      </c>
      <c r="AL257" s="14">
        <f>IF([Cotação]&gt;0,($AR$1/Tabela3[[#This Row],[Cotação]]-MOD($AR$1/Tabela3[[#This Row],[Cotação]],100)),)</f>
        <v>0</v>
      </c>
      <c r="AM257" s="17">
        <f>Tabela3[[#This Row],[Ativos]]*[Lucro]</f>
        <v>0</v>
      </c>
      <c r="AN257" s="5">
        <f>SUMPRODUCT(N(Tabela1[Código]=Tabela3[[#This Row],[PAPEL]]),Tabela1[Fechamento])</f>
        <v>0</v>
      </c>
      <c r="AO257" s="5">
        <f>SUMPRODUCT(N(Tabela17[Código]=Tabela3[[#This Row],[PAPEL]]),Tabela17[Fechamento])</f>
        <v>0</v>
      </c>
      <c r="AP257" s="7">
        <f>SUMPRODUCT(N(Tabela176[Código]=Tabela3[[#This Row],[PAPEL]]),Tabela176[Fechamento])</f>
        <v>0</v>
      </c>
    </row>
    <row r="258" spans="1:42" hidden="1">
      <c r="A258" s="4" t="s">
        <v>12</v>
      </c>
      <c r="B258" s="69" t="s">
        <v>187</v>
      </c>
      <c r="C258" s="14" t="str">
        <f>LEFT([PAPEL],LEN([PAPEL])-(LEN([PAPEL])-4))</f>
        <v>TBLE</v>
      </c>
      <c r="D258" s="15">
        <v>3</v>
      </c>
      <c r="E258" s="6">
        <v>2445766091.9000001</v>
      </c>
      <c r="F258" s="8">
        <v>652742192</v>
      </c>
      <c r="G258" s="106">
        <v>0.3</v>
      </c>
      <c r="H258" s="15"/>
      <c r="I258" s="19"/>
      <c r="J258" s="19"/>
      <c r="K258" s="108"/>
      <c r="L258" s="108"/>
      <c r="M258" s="110">
        <v>5308688000</v>
      </c>
      <c r="N258" s="110">
        <v>1150434000</v>
      </c>
      <c r="O258" s="6">
        <f>Tabela3[[#This Row],[Capital Social]]*20%</f>
        <v>489153218.38000005</v>
      </c>
      <c r="P258" s="6">
        <f>IF(([Lucro Líquido]*5%)&gt;[Teto R. Legal],[Teto R. Legal],[Lucro Líquido]*5%)</f>
        <v>57521700</v>
      </c>
      <c r="Q258" s="110">
        <f>IF([Lucro Líquido]&lt;0,0,[Lucro Líquido]-[Reserva Legal])</f>
        <v>1092912300</v>
      </c>
      <c r="R258" s="110">
        <f>Tabela3[[#This Row],[Lucro Distribuir]]*[%Div]</f>
        <v>327873690</v>
      </c>
      <c r="S258" s="57">
        <f>SUMPRODUCT(N([Nome]=Tabela3[[#This Row],[Nome]]),[Ações])</f>
        <v>652742192</v>
      </c>
      <c r="T258" s="6">
        <f>[Capital Social]/[Total Ações]</f>
        <v>3.7469097629589112</v>
      </c>
      <c r="U258" s="96">
        <f>Tabela3[[#This Row],[Lucro Líquido]]/Tabela3[[#This Row],[Total Ações]]</f>
        <v>1.7624630583095509</v>
      </c>
      <c r="V2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0.50230197161822199</v>
      </c>
      <c r="W2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58" s="6">
        <f>[Div Base]*[Ações]</f>
        <v>327873690</v>
      </c>
      <c r="AA258" s="6">
        <f>SUMPRODUCT(N([Nome]=Tabela3[[#This Row],[Nome]]),[Div Base]*[Ações])</f>
        <v>327873690</v>
      </c>
      <c r="AB258" s="110">
        <f>[Patrimônio Líquido]/[Total Ações]</f>
        <v>8.1329015728770297</v>
      </c>
      <c r="AC258" s="49">
        <f>MAX(Tabela3[[#This Row],[Cotação 1]:[Cotação 3]])</f>
        <v>33.799999999999997</v>
      </c>
      <c r="AD258" s="45">
        <f>[Cotação]/[VPA]</f>
        <v>4.155958325220845</v>
      </c>
      <c r="AE258" s="41">
        <f>IF(Tabela3[[#This Row],[Lucro/Ação]]&gt;0,Tabela3[[#This Row],[Cotação]]/(Tabela3[[#This Row],[Lucro/Ação]]/[Ref]*4),0)</f>
        <v>14.38328019443097</v>
      </c>
      <c r="AF258" s="41" t="e">
        <f>IF([Div. Mínimo]=0,0,[Lucro Distribuir]*#REF!/[Total Ações])</f>
        <v>#REF!</v>
      </c>
      <c r="AG258" s="96">
        <f>[Lucro Distribuir]/[Total Ações]</f>
        <v>1.6743399053940733</v>
      </c>
      <c r="AH258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58" s="15" t="str">
        <f>IF(AND([% A.A.]&gt;=8%,SUMPRODUCT(N([Nome]=Tabela3[[#This Row],[Nome]]),[PL])&gt;0),"Sim","Não")</f>
        <v>Não</v>
      </c>
      <c r="AJ258" s="43">
        <f>IF([Cotação]&gt;0,Tabela3[[#This Row],[Lucro]]/Tabela3[[#This Row],[Cotação]],0)</f>
        <v>1.4861005077462189E-2</v>
      </c>
      <c r="AK258" s="19">
        <f>((1+Tabela3[[#This Row],[% Yield]])^(1/(3*Tabela3[[#This Row],[Ref]])))^(12)-1</f>
        <v>1.9863590016445443E-2</v>
      </c>
      <c r="AL258" s="14">
        <f>IF([Cotação]&gt;0,($AR$1/Tabela3[[#This Row],[Cotação]]-MOD($AR$1/Tabela3[[#This Row],[Cotação]],100)),)</f>
        <v>0</v>
      </c>
      <c r="AM258" s="17">
        <f>Tabela3[[#This Row],[Ativos]]*[Lucro]</f>
        <v>0</v>
      </c>
      <c r="AN258" s="5">
        <f>SUMPRODUCT(N(Tabela1[Código]=Tabela3[[#This Row],[PAPEL]]),Tabela1[Fechamento])</f>
        <v>33.799999999999997</v>
      </c>
      <c r="AO258" s="5">
        <f>SUMPRODUCT(N(Tabela17[Código]=Tabela3[[#This Row],[PAPEL]]),Tabela17[Fechamento])</f>
        <v>0</v>
      </c>
      <c r="AP258" s="7">
        <f>SUMPRODUCT(N(Tabela176[Código]=Tabela3[[#This Row],[PAPEL]]),Tabela176[Fechamento])</f>
        <v>0</v>
      </c>
    </row>
    <row r="259" spans="1:42" hidden="1">
      <c r="A259" s="4" t="s">
        <v>639</v>
      </c>
      <c r="B259" s="65" t="s">
        <v>641</v>
      </c>
      <c r="C259" s="15" t="str">
        <f>LEFT([PAPEL],LEN([PAPEL])-(LEN([PAPEL])-4))</f>
        <v>TELB</v>
      </c>
      <c r="D259" s="15">
        <v>3</v>
      </c>
      <c r="E259" s="6">
        <v>263145011.81999999</v>
      </c>
      <c r="F259" s="8">
        <v>97439719</v>
      </c>
      <c r="G259" s="106">
        <v>0.25</v>
      </c>
      <c r="H259" s="15"/>
      <c r="I259" s="19"/>
      <c r="J259" s="19"/>
      <c r="K259" s="108"/>
      <c r="L259" s="108"/>
      <c r="M259" s="114">
        <v>133454000</v>
      </c>
      <c r="N259" s="115">
        <v>-128852000</v>
      </c>
      <c r="O259" s="13">
        <f>Tabela3[[#This Row],[Capital Social]]*20%</f>
        <v>52629002.364</v>
      </c>
      <c r="P259" s="13">
        <f>IF(([Lucro Líquido]*5%)&gt;[Teto R. Legal],[Teto R. Legal],[Lucro Líquido]*5%)</f>
        <v>-6442600</v>
      </c>
      <c r="Q259" s="13">
        <f>IF([Lucro Líquido]&lt;0,0,[Lucro Líquido]-[Reserva Legal])</f>
        <v>0</v>
      </c>
      <c r="R259" s="13">
        <f>Tabela3[[#This Row],[Lucro Distribuir]]*[%Div]</f>
        <v>0</v>
      </c>
      <c r="S259" s="57">
        <f>SUMPRODUCT(N([Nome]=Tabela3[[#This Row],[Nome]]),[Ações])</f>
        <v>118442718</v>
      </c>
      <c r="T259" s="6">
        <f>[Capital Social]/[Total Ações]</f>
        <v>2.2217069674135645</v>
      </c>
      <c r="U259" s="96">
        <f>Tabela3[[#This Row],[Lucro Líquido]]/Tabela3[[#This Row],[Total Ações]]</f>
        <v>-1.087884524905955</v>
      </c>
      <c r="V2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9" s="13">
        <f>[Div Base]*[Ações]</f>
        <v>0</v>
      </c>
      <c r="AA259" s="13">
        <f>SUMPRODUCT(N([Nome]=Tabela3[[#This Row],[Nome]]),[Div Base]*[Ações])</f>
        <v>2799750.5528928074</v>
      </c>
      <c r="AB259" s="113">
        <f>[Patrimônio Líquido]/[Total Ações]</f>
        <v>1.126738749781139</v>
      </c>
      <c r="AC259" s="49">
        <f>MAX(Tabela3[[#This Row],[Cotação 1]:[Cotação 3]])</f>
        <v>4.3499999999999996</v>
      </c>
      <c r="AD259" s="45">
        <f>[Cotação]/[VPA]</f>
        <v>3.8606997414839568</v>
      </c>
      <c r="AE259" s="41">
        <f>IF(Tabela3[[#This Row],[Lucro/Ação]]&gt;0,Tabela3[[#This Row],[Cotação]]/(Tabela3[[#This Row],[Lucro/Ação]]/[Ref]*4),0)</f>
        <v>0</v>
      </c>
      <c r="AF259" s="109">
        <f>IF([Div. Mínimo]=0,0,[Lucro Distribuir]*#REF!/[Total Ações])</f>
        <v>0</v>
      </c>
      <c r="AG259" s="96">
        <f>[Lucro Distribuir]/[Total Ações]</f>
        <v>0</v>
      </c>
      <c r="AH25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9" s="14" t="str">
        <f>IF(AND([% A.A.]&gt;=8%,SUMPRODUCT(N([Nome]=Tabela3[[#This Row],[Nome]]),[PL])&gt;0),"Sim","Não")</f>
        <v>Não</v>
      </c>
      <c r="AJ259" s="43">
        <f>IF([Cotação]&gt;0,Tabela3[[#This Row],[Lucro]]/Tabela3[[#This Row],[Cotação]],0)</f>
        <v>0</v>
      </c>
      <c r="AK259" s="43">
        <f>((1+Tabela3[[#This Row],[% Yield]])^(1/(3*Tabela3[[#This Row],[Ref]])))^(12)-1</f>
        <v>0</v>
      </c>
      <c r="AL259" s="14">
        <f>IF([Cotação]&gt;0,($AR$1/Tabela3[[#This Row],[Cotação]]-MOD($AR$1/Tabela3[[#This Row],[Cotação]],100)),)</f>
        <v>0</v>
      </c>
      <c r="AM259" s="17">
        <f>Tabela3[[#This Row],[Ativos]]*[Lucro]</f>
        <v>0</v>
      </c>
      <c r="AN259" s="17">
        <f>SUMPRODUCT(N(Tabela1[Código]=Tabela3[[#This Row],[PAPEL]]),Tabela1[Fechamento])</f>
        <v>0</v>
      </c>
      <c r="AO259" s="17">
        <f>SUMPRODUCT(N(Tabela17[Código]=Tabela3[[#This Row],[PAPEL]]),Tabela17[Fechamento])</f>
        <v>0</v>
      </c>
      <c r="AP259" s="17">
        <f>SUMPRODUCT(N(Tabela176[Código]=Tabela3[[#This Row],[PAPEL]]),Tabela176[Fechamento])</f>
        <v>4.3499999999999996</v>
      </c>
    </row>
    <row r="260" spans="1:42" hidden="1">
      <c r="A260" s="4" t="s">
        <v>639</v>
      </c>
      <c r="B260" s="65" t="s">
        <v>642</v>
      </c>
      <c r="C260" s="15" t="str">
        <f>LEFT([PAPEL],LEN([PAPEL])-(LEN([PAPEL])-4))</f>
        <v>TELB</v>
      </c>
      <c r="D260" s="15">
        <v>3</v>
      </c>
      <c r="E260" s="6">
        <v>263145011.81999999</v>
      </c>
      <c r="F260" s="8">
        <v>21002999</v>
      </c>
      <c r="G260" s="106">
        <v>0.25</v>
      </c>
      <c r="H260" s="15"/>
      <c r="I260" s="19">
        <v>0.06</v>
      </c>
      <c r="J260" s="19"/>
      <c r="K260" s="108"/>
      <c r="L260" s="108"/>
      <c r="M260" s="114">
        <v>133454000</v>
      </c>
      <c r="N260" s="115">
        <v>-128852000</v>
      </c>
      <c r="O260" s="13">
        <f>Tabela3[[#This Row],[Capital Social]]*20%</f>
        <v>52629002.364</v>
      </c>
      <c r="P260" s="13">
        <f>IF(([Lucro Líquido]*5%)&gt;[Teto R. Legal],[Teto R. Legal],[Lucro Líquido]*5%)</f>
        <v>-6442600</v>
      </c>
      <c r="Q260" s="13">
        <f>IF([Lucro Líquido]&lt;0,0,[Lucro Líquido]-[Reserva Legal])</f>
        <v>0</v>
      </c>
      <c r="R260" s="13">
        <f>Tabela3[[#This Row],[Lucro Distribuir]]*[%Div]</f>
        <v>0</v>
      </c>
      <c r="S260" s="57">
        <f>SUMPRODUCT(N([Nome]=Tabela3[[#This Row],[Nome]]),[Ações])</f>
        <v>118442718</v>
      </c>
      <c r="T260" s="6">
        <f>[Capital Social]/[Total Ações]</f>
        <v>2.2217069674135645</v>
      </c>
      <c r="U260" s="96">
        <f>Tabela3[[#This Row],[Lucro Líquido]]/Tabela3[[#This Row],[Total Ações]]</f>
        <v>-1.087884524905955</v>
      </c>
      <c r="V2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60" s="13">
        <f>[Div Base]*[Ações]</f>
        <v>2799750.5528928074</v>
      </c>
      <c r="AA260" s="13">
        <f>SUMPRODUCT(N([Nome]=Tabela3[[#This Row],[Nome]]),[Div Base]*[Ações])</f>
        <v>2799750.5528928074</v>
      </c>
      <c r="AB260" s="113">
        <f>[Patrimônio Líquido]/[Total Ações]</f>
        <v>1.126738749781139</v>
      </c>
      <c r="AC260" s="49">
        <f>MAX(Tabela3[[#This Row],[Cotação 1]:[Cotação 3]])</f>
        <v>2.5299999999999998</v>
      </c>
      <c r="AD260" s="45">
        <f>[Cotação]/[VPA]</f>
        <v>2.2454184703343474</v>
      </c>
      <c r="AE260" s="41">
        <f>IF(Tabela3[[#This Row],[Lucro/Ação]]&gt;0,Tabela3[[#This Row],[Cotação]]/(Tabela3[[#This Row],[Lucro/Ação]]/[Ref]*4),0)</f>
        <v>0</v>
      </c>
      <c r="AF260" s="109">
        <f>IF([Div. Mínimo]=0,0,[Lucro Distribuir]*#REF!/[Total Ações])</f>
        <v>0</v>
      </c>
      <c r="AG260" s="96">
        <f>[Lucro Distribuir]/[Total Ações]</f>
        <v>0</v>
      </c>
      <c r="AH260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60" s="14" t="str">
        <f>IF(AND([% A.A.]&gt;=8%,SUMPRODUCT(N([Nome]=Tabela3[[#This Row],[Nome]]),[PL])&gt;0),"Sim","Não")</f>
        <v>Não</v>
      </c>
      <c r="AJ260" s="43">
        <f>IF([Cotação]&gt;0,Tabela3[[#This Row],[Lucro]]/Tabela3[[#This Row],[Cotação]],0)</f>
        <v>5.2688702784511411E-2</v>
      </c>
      <c r="AK260" s="43">
        <f>((1+Tabela3[[#This Row],[% Yield]])^(1/(3*Tabela3[[#This Row],[Ref]])))^(12)-1</f>
        <v>7.0861445783665378E-2</v>
      </c>
      <c r="AL260" s="14">
        <f>IF([Cotação]&gt;0,($AR$1/Tabela3[[#This Row],[Cotação]]-MOD($AR$1/Tabela3[[#This Row],[Cotação]],100)),)</f>
        <v>100</v>
      </c>
      <c r="AM260" s="17">
        <f>Tabela3[[#This Row],[Ativos]]*[Lucro]</f>
        <v>13.330241804481386</v>
      </c>
      <c r="AN260" s="17">
        <f>SUMPRODUCT(N(Tabela1[Código]=Tabela3[[#This Row],[PAPEL]]),Tabela1[Fechamento])</f>
        <v>0</v>
      </c>
      <c r="AO260" s="17">
        <f>SUMPRODUCT(N(Tabela17[Código]=Tabela3[[#This Row],[PAPEL]]),Tabela17[Fechamento])</f>
        <v>0</v>
      </c>
      <c r="AP260" s="17">
        <f>SUMPRODUCT(N(Tabela176[Código]=Tabela3[[#This Row],[PAPEL]]),Tabela176[Fechamento])</f>
        <v>2.5299999999999998</v>
      </c>
    </row>
    <row r="261" spans="1:42" hidden="1">
      <c r="A261" s="4" t="s">
        <v>279</v>
      </c>
      <c r="B261" s="15" t="s">
        <v>79</v>
      </c>
      <c r="C261" s="15" t="str">
        <f>LEFT([PAPEL],LEN([PAPEL])-(LEN([PAPEL])-4))</f>
        <v>TERI</v>
      </c>
      <c r="D261" s="15">
        <v>3</v>
      </c>
      <c r="E261" s="6"/>
      <c r="F261" s="8"/>
      <c r="G261" s="100">
        <v>0.25</v>
      </c>
      <c r="H261" s="15"/>
      <c r="I261" s="19"/>
      <c r="J261" s="19"/>
      <c r="K261" s="108"/>
      <c r="L261" s="108"/>
      <c r="M261" s="6">
        <v>3566000000</v>
      </c>
      <c r="N261" s="6">
        <v>22000000</v>
      </c>
      <c r="O261" s="6">
        <f>Tabela3[[#This Row],[Capital Social]]*20%</f>
        <v>0</v>
      </c>
      <c r="P261" s="6">
        <f>IF(([Lucro Líquido]*5%)&gt;[Teto R. Legal],[Teto R. Legal],[Lucro Líquido]*5%)</f>
        <v>0</v>
      </c>
      <c r="Q261" s="6">
        <f>IF([Lucro Líquido]&lt;0,0,[Lucro Líquido]-[Reserva Legal])</f>
        <v>22000000</v>
      </c>
      <c r="R261" s="6">
        <f>Tabela3[[#This Row],[Lucro Distribuir]]*[%Div]</f>
        <v>5500000</v>
      </c>
      <c r="S261" s="39">
        <v>817720079</v>
      </c>
      <c r="T261" s="6">
        <f>[Capital Social]/[Total Ações]</f>
        <v>0</v>
      </c>
      <c r="U261" s="96">
        <f>Tabela3[[#This Row],[Lucro Líquido]]/Tabela3[[#This Row],[Total Ações]]</f>
        <v>2.6904072145206549E-2</v>
      </c>
      <c r="V2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1" s="6">
        <f>[Div Base]*[Ações]</f>
        <v>0</v>
      </c>
      <c r="AA261" s="6">
        <f>SUMPRODUCT(N([Nome]=Tabela3[[#This Row],[Nome]]),[Div Base]*[Ações])</f>
        <v>0</v>
      </c>
      <c r="AB261" s="6">
        <f>[Patrimônio Líquido]/[Total Ações]</f>
        <v>4.3609055122639342</v>
      </c>
      <c r="AC261" s="49">
        <f>MAX(Tabela3[[#This Row],[Cotação 1]:[Cotação 3]])</f>
        <v>2.25</v>
      </c>
      <c r="AD261" s="45">
        <f>[Cotação]/[VPA]</f>
        <v>0.51594789056365675</v>
      </c>
      <c r="AE261" s="41">
        <f>IF(Tabela3[[#This Row],[Lucro/Ação]]&gt;0,Tabela3[[#This Row],[Cotação]]/(Tabela3[[#This Row],[Lucro/Ação]]/[Ref]*4),0)</f>
        <v>62.722846968750005</v>
      </c>
      <c r="AF261" s="41">
        <f>IF([Div. Mínimo]=0,0,[Lucro Distribuir]*#REF!/[Total Ações])</f>
        <v>0</v>
      </c>
      <c r="AG261" s="96">
        <f>[Lucro Distribuir]/[Total Ações]</f>
        <v>2.6904072145206549E-2</v>
      </c>
      <c r="AH26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1" s="15" t="str">
        <f>IF(AND([% A.A.]&gt;=8%,SUMPRODUCT(N([Nome]=Tabela3[[#This Row],[Nome]]),[PL])&gt;0),"Sim","Não")</f>
        <v>Não</v>
      </c>
      <c r="AJ261" s="43">
        <f>IF([Cotação]&gt;0,Tabela3[[#This Row],[Lucro]]/Tabela3[[#This Row],[Cotação]],0)</f>
        <v>0</v>
      </c>
      <c r="AK261" s="19">
        <f>((1+Tabela3[[#This Row],[% Yield]])^(1/(3*Tabela3[[#This Row],[Ref]])))^(12)-1</f>
        <v>0</v>
      </c>
      <c r="AL261" s="14">
        <f>IF([Cotação]&gt;0,($AR$1/Tabela3[[#This Row],[Cotação]]-MOD($AR$1/Tabela3[[#This Row],[Cotação]],100)),)</f>
        <v>100</v>
      </c>
      <c r="AM261" s="17">
        <f>Tabela3[[#This Row],[Ativos]]*[Lucro]</f>
        <v>0</v>
      </c>
      <c r="AN261" s="13">
        <f>SUMPRODUCT(N(Tabela1[Código]=Tabela3[[#This Row],[PAPEL]]),Tabela1[Fechamento])</f>
        <v>0</v>
      </c>
      <c r="AO261" s="13">
        <f>SUMPRODUCT(N(Tabela17[Código]=Tabela3[[#This Row],[PAPEL]]),Tabela17[Fechamento])</f>
        <v>2.25</v>
      </c>
      <c r="AP261" s="7">
        <f>SUMPRODUCT(N(Tabela176[Código]=Tabela3[[#This Row],[PAPEL]]),Tabela176[Fechamento])</f>
        <v>0</v>
      </c>
    </row>
    <row r="262" spans="1:42" hidden="1">
      <c r="A262" s="4" t="s">
        <v>706</v>
      </c>
      <c r="B262" s="65" t="s">
        <v>703</v>
      </c>
      <c r="C262" s="15" t="str">
        <f>LEFT([PAPEL],LEN([PAPEL])-(LEN([PAPEL])-4))</f>
        <v>TIBR</v>
      </c>
      <c r="D262" s="15">
        <v>3</v>
      </c>
      <c r="E262" s="6">
        <v>162504983.90000001</v>
      </c>
      <c r="F262" s="8">
        <v>812671800</v>
      </c>
      <c r="G262" s="106">
        <v>0.25</v>
      </c>
      <c r="H262" s="15"/>
      <c r="I262" s="19"/>
      <c r="J262" s="19"/>
      <c r="K262" s="108"/>
      <c r="L262" s="108"/>
      <c r="M262" s="114">
        <v>392415000</v>
      </c>
      <c r="N262" s="115">
        <v>-19960000</v>
      </c>
      <c r="O262" s="13">
        <f>Tabela3[[#This Row],[Capital Social]]*20%</f>
        <v>32500996.780000001</v>
      </c>
      <c r="P262" s="13">
        <f>IF(([Lucro Líquido]*5%)&gt;[Teto R. Legal],[Teto R. Legal],[Lucro Líquido]*5%)</f>
        <v>-998000</v>
      </c>
      <c r="Q262" s="13">
        <f>IF([Lucro Líquido]&lt;0,0,[Lucro Líquido]-[Reserva Legal])</f>
        <v>0</v>
      </c>
      <c r="R262" s="13">
        <f>Tabela3[[#This Row],[Lucro Distribuir]]*[%Div]</f>
        <v>0</v>
      </c>
      <c r="S262" s="57">
        <f>SUMPRODUCT(N([Nome]=Tabela3[[#This Row],[Nome]]),[Ações])</f>
        <v>2321499600</v>
      </c>
      <c r="T262" s="6">
        <f>[Capital Social]/[Total Ações]</f>
        <v>7.0000005125997009E-2</v>
      </c>
      <c r="U262" s="96">
        <f>Tabela3[[#This Row],[Lucro Líquido]]/Tabela3[[#This Row],[Total Ações]]</f>
        <v>-8.5978907771511147E-3</v>
      </c>
      <c r="V2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2" s="13">
        <f>[Div Base]*[Ações]</f>
        <v>0</v>
      </c>
      <c r="AA262" s="13">
        <f>SUMPRODUCT(N([Nome]=Tabela3[[#This Row],[Nome]]),[Div Base]*[Ações])</f>
        <v>4146992.1036781077</v>
      </c>
      <c r="AB262" s="113">
        <f>[Patrimônio Líquido]/[Total Ações]</f>
        <v>0.16903513573726225</v>
      </c>
      <c r="AC262" s="49">
        <f>MAX(Tabela3[[#This Row],[Cotação 1]:[Cotação 3]])</f>
        <v>0.18</v>
      </c>
      <c r="AD262" s="45">
        <f>[Cotação]/[VPA]</f>
        <v>1.0648673674553724</v>
      </c>
      <c r="AE262" s="41">
        <f>IF(Tabela3[[#This Row],[Lucro/Ação]]&gt;0,Tabela3[[#This Row],[Cotação]]/(Tabela3[[#This Row],[Lucro/Ação]]/[Ref]*4),0)</f>
        <v>0</v>
      </c>
      <c r="AF262" s="109">
        <f>IF([Div. Mínimo]=0,0,[Lucro Distribuir]*#REF!/[Total Ações])</f>
        <v>0</v>
      </c>
      <c r="AG262" s="96">
        <f>[Lucro Distribuir]/[Total Ações]</f>
        <v>0</v>
      </c>
      <c r="AH2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2" s="14" t="str">
        <f>IF(AND([% A.A.]&gt;=8%,SUMPRODUCT(N([Nome]=Tabela3[[#This Row],[Nome]]),[PL])&gt;0),"Sim","Não")</f>
        <v>Não</v>
      </c>
      <c r="AJ262" s="43">
        <f>IF([Cotação]&gt;0,Tabela3[[#This Row],[Lucro]]/Tabela3[[#This Row],[Cotação]],0)</f>
        <v>0</v>
      </c>
      <c r="AK262" s="43">
        <f>((1+Tabela3[[#This Row],[% Yield]])^(1/(3*Tabela3[[#This Row],[Ref]])))^(12)-1</f>
        <v>0</v>
      </c>
      <c r="AL262" s="14">
        <f>IF([Cotação]&gt;0,($AR$1/Tabela3[[#This Row],[Cotação]]-MOD($AR$1/Tabela3[[#This Row],[Cotação]],100)),)</f>
        <v>1600</v>
      </c>
      <c r="AM262" s="17">
        <f>Tabela3[[#This Row],[Ativos]]*[Lucro]</f>
        <v>0</v>
      </c>
      <c r="AN262" s="17">
        <f>SUMPRODUCT(N(Tabela1[Código]=Tabela3[[#This Row],[PAPEL]]),Tabela1[Fechamento])</f>
        <v>0</v>
      </c>
      <c r="AO262" s="17">
        <f>SUMPRODUCT(N(Tabela17[Código]=Tabela3[[#This Row],[PAPEL]]),Tabela17[Fechamento])</f>
        <v>0</v>
      </c>
      <c r="AP262" s="17">
        <f>SUMPRODUCT(N(Tabela176[Código]=Tabela3[[#This Row],[PAPEL]]),Tabela176[Fechamento])</f>
        <v>0.18</v>
      </c>
    </row>
    <row r="263" spans="1:42" hidden="1">
      <c r="A263" s="4" t="s">
        <v>706</v>
      </c>
      <c r="B263" s="65" t="s">
        <v>704</v>
      </c>
      <c r="C263" s="15" t="str">
        <f>LEFT([PAPEL],LEN([PAPEL])-(LEN([PAPEL])-4))</f>
        <v>TIBR</v>
      </c>
      <c r="D263" s="15">
        <v>3</v>
      </c>
      <c r="E263" s="6">
        <v>162504983.90000001</v>
      </c>
      <c r="F263" s="8">
        <v>987379000</v>
      </c>
      <c r="G263" s="106">
        <v>0.25</v>
      </c>
      <c r="H263" s="15"/>
      <c r="I263" s="19">
        <v>0.06</v>
      </c>
      <c r="J263" s="19"/>
      <c r="K263" s="108"/>
      <c r="L263" s="108"/>
      <c r="M263" s="114">
        <v>392415000</v>
      </c>
      <c r="N263" s="115">
        <v>-19960000</v>
      </c>
      <c r="O263" s="13">
        <f>Tabela3[[#This Row],[Capital Social]]*20%</f>
        <v>32500996.780000001</v>
      </c>
      <c r="P263" s="13">
        <f>IF(([Lucro Líquido]*5%)&gt;[Teto R. Legal],[Teto R. Legal],[Lucro Líquido]*5%)</f>
        <v>-998000</v>
      </c>
      <c r="Q263" s="13">
        <f>IF([Lucro Líquido]&lt;0,0,[Lucro Líquido]-[Reserva Legal])</f>
        <v>0</v>
      </c>
      <c r="R263" s="13">
        <f>Tabela3[[#This Row],[Lucro Distribuir]]*[%Div]</f>
        <v>0</v>
      </c>
      <c r="S263" s="57">
        <f>SUMPRODUCT(N([Nome]=Tabela3[[#This Row],[Nome]]),[Ações])</f>
        <v>2321499600</v>
      </c>
      <c r="T263" s="6">
        <f>[Capital Social]/[Total Ações]</f>
        <v>7.0000005125997009E-2</v>
      </c>
      <c r="U263" s="96">
        <f>Tabela3[[#This Row],[Lucro Líquido]]/Tabela3[[#This Row],[Total Ações]]</f>
        <v>-8.5978907771511147E-3</v>
      </c>
      <c r="V2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4.2000003075598202E-3</v>
      </c>
      <c r="Y2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4.2000003075598202E-3</v>
      </c>
      <c r="Z263" s="13">
        <f>[Div Base]*[Ações]</f>
        <v>4146992.1036781077</v>
      </c>
      <c r="AA263" s="13">
        <f>SUMPRODUCT(N([Nome]=Tabela3[[#This Row],[Nome]]),[Div Base]*[Ações])</f>
        <v>4146992.1036781077</v>
      </c>
      <c r="AB263" s="113">
        <f>[Patrimônio Líquido]/[Total Ações]</f>
        <v>0.16903513573726225</v>
      </c>
      <c r="AC263" s="49">
        <f>MAX(Tabela3[[#This Row],[Cotação 1]:[Cotação 3]])</f>
        <v>0.24</v>
      </c>
      <c r="AD263" s="45">
        <f>[Cotação]/[VPA]</f>
        <v>1.4198231566071631</v>
      </c>
      <c r="AE263" s="41">
        <f>IF(Tabela3[[#This Row],[Lucro/Ação]]&gt;0,Tabela3[[#This Row],[Cotação]]/(Tabela3[[#This Row],[Lucro/Ação]]/[Ref]*4),0)</f>
        <v>0</v>
      </c>
      <c r="AF263" s="109">
        <f>IF([Div. Mínimo]=0,0,[Lucro Distribuir]*#REF!/[Total Ações])</f>
        <v>0</v>
      </c>
      <c r="AG263" s="96">
        <f>[Lucro Distribuir]/[Total Ações]</f>
        <v>0</v>
      </c>
      <c r="AH263" s="96">
        <f>IF([Unit ON]&gt;0,SUMPRODUCT(N([Nome]=Tabela3[[#This Row],[Nome]]),N(RIGHT([PAPEL],1)="3"),[Div Base])*[Unit ON]+SUMPRODUCT(N([Nome]=Tabela3[[#This Row],[Nome]]),N(RIGHT([PAPEL],1)="4"),[Div Base])*[Unit PN],[Div Base])</f>
        <v>4.2000003075598202E-3</v>
      </c>
      <c r="AI263" s="14" t="str">
        <f>IF(AND([% A.A.]&gt;=8%,SUMPRODUCT(N([Nome]=Tabela3[[#This Row],[Nome]]),[PL])&gt;0),"Sim","Não")</f>
        <v>Não</v>
      </c>
      <c r="AJ263" s="43">
        <f>IF([Cotação]&gt;0,Tabela3[[#This Row],[Lucro]]/Tabela3[[#This Row],[Cotação]],0)</f>
        <v>1.7500001281499252E-2</v>
      </c>
      <c r="AK263" s="43">
        <f>((1+Tabela3[[#This Row],[% Yield]])^(1/(3*Tabela3[[#This Row],[Ref]])))^(12)-1</f>
        <v>2.340112785896542E-2</v>
      </c>
      <c r="AL263" s="14">
        <f>IF([Cotação]&gt;0,($AR$1/Tabela3[[#This Row],[Cotação]]-MOD($AR$1/Tabela3[[#This Row],[Cotação]],100)),)</f>
        <v>1200</v>
      </c>
      <c r="AM263" s="17">
        <f>Tabela3[[#This Row],[Ativos]]*[Lucro]</f>
        <v>5.0400003690717838</v>
      </c>
      <c r="AN263" s="17">
        <f>SUMPRODUCT(N(Tabela1[Código]=Tabela3[[#This Row],[PAPEL]]),Tabela1[Fechamento])</f>
        <v>0</v>
      </c>
      <c r="AO263" s="17">
        <f>SUMPRODUCT(N(Tabela17[Código]=Tabela3[[#This Row],[PAPEL]]),Tabela17[Fechamento])</f>
        <v>0</v>
      </c>
      <c r="AP263" s="17">
        <f>SUMPRODUCT(N(Tabela176[Código]=Tabela3[[#This Row],[PAPEL]]),Tabela176[Fechamento])</f>
        <v>0.24</v>
      </c>
    </row>
    <row r="264" spans="1:42" hidden="1">
      <c r="A264" s="4" t="s">
        <v>706</v>
      </c>
      <c r="B264" s="65" t="s">
        <v>705</v>
      </c>
      <c r="C264" s="15" t="str">
        <f>LEFT([PAPEL],LEN([PAPEL])-(LEN([PAPEL])-4))</f>
        <v>TIBR</v>
      </c>
      <c r="D264" s="15">
        <v>3</v>
      </c>
      <c r="E264" s="6">
        <v>162504983.90000001</v>
      </c>
      <c r="F264" s="8">
        <v>521448800</v>
      </c>
      <c r="G264" s="106">
        <v>0.25</v>
      </c>
      <c r="H264" s="15"/>
      <c r="I264" s="19"/>
      <c r="J264" s="19"/>
      <c r="K264" s="108"/>
      <c r="L264" s="108"/>
      <c r="M264" s="114">
        <v>392415000</v>
      </c>
      <c r="N264" s="115">
        <v>-19960000</v>
      </c>
      <c r="O264" s="13">
        <f>Tabela3[[#This Row],[Capital Social]]*20%</f>
        <v>32500996.780000001</v>
      </c>
      <c r="P264" s="13">
        <f>IF(([Lucro Líquido]*5%)&gt;[Teto R. Legal],[Teto R. Legal],[Lucro Líquido]*5%)</f>
        <v>-998000</v>
      </c>
      <c r="Q264" s="13">
        <f>IF([Lucro Líquido]&lt;0,0,[Lucro Líquido]-[Reserva Legal])</f>
        <v>0</v>
      </c>
      <c r="R264" s="13">
        <f>Tabela3[[#This Row],[Lucro Distribuir]]*[%Div]</f>
        <v>0</v>
      </c>
      <c r="S264" s="57">
        <f>SUMPRODUCT(N([Nome]=Tabela3[[#This Row],[Nome]]),[Ações])</f>
        <v>2321499600</v>
      </c>
      <c r="T264" s="6">
        <f>[Capital Social]/[Total Ações]</f>
        <v>7.0000005125997009E-2</v>
      </c>
      <c r="U264" s="96">
        <f>Tabela3[[#This Row],[Lucro Líquido]]/Tabela3[[#This Row],[Total Ações]]</f>
        <v>-8.5978907771511147E-3</v>
      </c>
      <c r="V2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4" s="13">
        <f>[Div Base]*[Ações]</f>
        <v>0</v>
      </c>
      <c r="AA264" s="13">
        <f>SUMPRODUCT(N([Nome]=Tabela3[[#This Row],[Nome]]),[Div Base]*[Ações])</f>
        <v>4146992.1036781077</v>
      </c>
      <c r="AB264" s="113">
        <f>[Patrimônio Líquido]/[Total Ações]</f>
        <v>0.16903513573726225</v>
      </c>
      <c r="AC264" s="49">
        <f>MAX(Tabela3[[#This Row],[Cotação 1]:[Cotação 3]])</f>
        <v>0.2</v>
      </c>
      <c r="AD264" s="45">
        <f>[Cotação]/[VPA]</f>
        <v>1.1831859638393027</v>
      </c>
      <c r="AE264" s="41">
        <f>IF(Tabela3[[#This Row],[Lucro/Ação]]&gt;0,Tabela3[[#This Row],[Cotação]]/(Tabela3[[#This Row],[Lucro/Ação]]/[Ref]*4),0)</f>
        <v>0</v>
      </c>
      <c r="AF264" s="109">
        <f>IF([Div. Mínimo]=0,0,[Lucro Distribuir]*#REF!/[Total Ações])</f>
        <v>0</v>
      </c>
      <c r="AG264" s="96">
        <f>[Lucro Distribuir]/[Total Ações]</f>
        <v>0</v>
      </c>
      <c r="AH2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4" s="14" t="str">
        <f>IF(AND([% A.A.]&gt;=8%,SUMPRODUCT(N([Nome]=Tabela3[[#This Row],[Nome]]),[PL])&gt;0),"Sim","Não")</f>
        <v>Não</v>
      </c>
      <c r="AJ264" s="43">
        <f>IF([Cotação]&gt;0,Tabela3[[#This Row],[Lucro]]/Tabela3[[#This Row],[Cotação]],0)</f>
        <v>0</v>
      </c>
      <c r="AK264" s="43">
        <f>((1+Tabela3[[#This Row],[% Yield]])^(1/(3*Tabela3[[#This Row],[Ref]])))^(12)-1</f>
        <v>0</v>
      </c>
      <c r="AL264" s="14">
        <f>IF([Cotação]&gt;0,($AR$1/Tabela3[[#This Row],[Cotação]]-MOD($AR$1/Tabela3[[#This Row],[Cotação]],100)),)</f>
        <v>1500</v>
      </c>
      <c r="AM264" s="17">
        <f>Tabela3[[#This Row],[Ativos]]*[Lucro]</f>
        <v>0</v>
      </c>
      <c r="AN264" s="17">
        <f>SUMPRODUCT(N(Tabela1[Código]=Tabela3[[#This Row],[PAPEL]]),Tabela1[Fechamento])</f>
        <v>0</v>
      </c>
      <c r="AO264" s="17">
        <f>SUMPRODUCT(N(Tabela17[Código]=Tabela3[[#This Row],[PAPEL]]),Tabela17[Fechamento])</f>
        <v>0</v>
      </c>
      <c r="AP264" s="17">
        <f>SUMPRODUCT(N(Tabela176[Código]=Tabela3[[#This Row],[PAPEL]]),Tabela176[Fechamento])</f>
        <v>0.2</v>
      </c>
    </row>
    <row r="265" spans="1:42" hidden="1">
      <c r="A265" s="3" t="s">
        <v>307</v>
      </c>
      <c r="B265" s="66" t="s">
        <v>306</v>
      </c>
      <c r="C265" s="102" t="str">
        <f>LEFT([PAPEL],LEN([PAPEL])-(LEN([PAPEL])-4))</f>
        <v>TIMP</v>
      </c>
      <c r="D265" s="16">
        <v>3</v>
      </c>
      <c r="E265" s="5">
        <v>9886886593.4599991</v>
      </c>
      <c r="F265" s="57">
        <v>2417632647</v>
      </c>
      <c r="G265" s="106">
        <v>0.25</v>
      </c>
      <c r="H265" s="18"/>
      <c r="I265" s="18"/>
      <c r="K265" s="107"/>
      <c r="L265" s="107"/>
      <c r="M265" s="5">
        <v>14444342000</v>
      </c>
      <c r="N265" s="5">
        <v>1006640000</v>
      </c>
      <c r="O265" s="5">
        <f>Tabela3[[#This Row],[Capital Social]]*20%</f>
        <v>1977377318.6919999</v>
      </c>
      <c r="P265" s="5">
        <f>IF(([Lucro Líquido]*5%)&gt;[Teto R. Legal],[Teto R. Legal],[Lucro Líquido]*5%)</f>
        <v>50332000</v>
      </c>
      <c r="Q265" s="5">
        <f>IF([Lucro Líquido]&lt;0,0,[Lucro Líquido]-[Reserva Legal])</f>
        <v>956308000</v>
      </c>
      <c r="R265" s="5">
        <f>Tabela3[[#This Row],[Lucro Distribuir]]*[%Div]</f>
        <v>239077000</v>
      </c>
      <c r="S265" s="57">
        <f>SUMPRODUCT(N([Nome]=Tabela3[[#This Row],[Nome]]),[Ações])</f>
        <v>2417632647</v>
      </c>
      <c r="T265" s="5">
        <f>[Capital Social]/[Total Ações]</f>
        <v>4.089490852023558</v>
      </c>
      <c r="U265" s="95">
        <f>Tabela3[[#This Row],[Lucro Líquido]]/Tabela3[[#This Row],[Total Ações]]</f>
        <v>0.41637425820218088</v>
      </c>
      <c r="V26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9.8888886323017955E-2</v>
      </c>
      <c r="W26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65" s="5">
        <f>[Div Base]*[Ações]</f>
        <v>239077000</v>
      </c>
      <c r="AA265" s="5">
        <f>SUMPRODUCT(N([Nome]=Tabela3[[#This Row],[Nome]]),[Div Base]*[Ações])</f>
        <v>239077000</v>
      </c>
      <c r="AB265" s="5">
        <f>[Patrimônio Líquido]/[Total Ações]</f>
        <v>5.974580967842134</v>
      </c>
      <c r="AC265" s="53">
        <f>MAX(Tabela3[[#This Row],[Cotação 1]:[Cotação 3]])</f>
        <v>12.67</v>
      </c>
      <c r="AD265" s="54">
        <f>[Cotação]/[VPA]</f>
        <v>2.1206508152112433</v>
      </c>
      <c r="AE265" s="38">
        <f>IF(Tabela3[[#This Row],[Lucro/Ação]]&gt;0,Tabela3[[#This Row],[Cotação]]/(Tabela3[[#This Row],[Lucro/Ação]]/[Ref]*4),0)</f>
        <v>22.82201604160127</v>
      </c>
      <c r="AF265" s="38" t="e">
        <f>IF([Div. Mínimo]=0,0,[Lucro Distribuir]*#REF!/[Total Ações])</f>
        <v>#REF!</v>
      </c>
      <c r="AG265" s="95">
        <f>[Lucro Distribuir]/[Total Ações]</f>
        <v>0.39555554529207182</v>
      </c>
      <c r="AH265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65" s="16" t="str">
        <f>IF(AND([% A.A.]&gt;=8%,SUMPRODUCT(N([Nome]=Tabela3[[#This Row],[Nome]]),[PL])&gt;0),"Sim","Não")</f>
        <v>Não</v>
      </c>
      <c r="AJ265" s="22">
        <f>IF([Cotação]&gt;0,Tabela3[[#This Row],[Lucro]]/Tabela3[[#This Row],[Cotação]],0)</f>
        <v>7.8049634035531144E-3</v>
      </c>
      <c r="AK265" s="18">
        <f>((1+Tabela3[[#This Row],[% Yield]])^(1/(3*Tabela3[[#This Row],[Ref]])))^(12)-1</f>
        <v>1.0420131679950817E-2</v>
      </c>
      <c r="AL265" s="10">
        <f>IF([Cotação]&gt;0,($AR$1/Tabela3[[#This Row],[Cotação]]-MOD($AR$1/Tabela3[[#This Row],[Cotação]],100)),)</f>
        <v>0</v>
      </c>
      <c r="AM265" s="7">
        <f>Tabela3[[#This Row],[Ativos]]*[Lucro]</f>
        <v>0</v>
      </c>
      <c r="AN265" s="48">
        <f>SUMPRODUCT(N(Tabela1[Código]=Tabela3[[#This Row],[PAPEL]]),Tabela1[Fechamento])</f>
        <v>0</v>
      </c>
      <c r="AO265" s="55">
        <f>SUMPRODUCT(N(Tabela17[Código]=Tabela3[[#This Row],[PAPEL]]),Tabela17[Fechamento])</f>
        <v>12.67</v>
      </c>
      <c r="AP265" s="7">
        <f>SUMPRODUCT(N(Tabela176[Código]=Tabela3[[#This Row],[PAPEL]]),Tabela176[Fechamento])</f>
        <v>0</v>
      </c>
    </row>
    <row r="266" spans="1:42" hidden="1">
      <c r="A266" s="4" t="s">
        <v>360</v>
      </c>
      <c r="B266" s="65" t="s">
        <v>699</v>
      </c>
      <c r="C266" s="102" t="str">
        <f>LEFT([PAPEL],LEN([PAPEL])-(LEN([PAPEL])-4))</f>
        <v>TKNO</v>
      </c>
      <c r="D266" s="16">
        <v>3</v>
      </c>
      <c r="E266" s="5">
        <v>170000000</v>
      </c>
      <c r="F266" s="57">
        <v>1538371</v>
      </c>
      <c r="G266" s="100">
        <v>0.25</v>
      </c>
      <c r="I266" s="18"/>
      <c r="K266" s="107"/>
      <c r="L266" s="107"/>
      <c r="M266" s="6">
        <v>222307000</v>
      </c>
      <c r="N266" s="6">
        <v>18125000</v>
      </c>
      <c r="O266" s="5">
        <f>Tabela3[[#This Row],[Capital Social]]*20%</f>
        <v>34000000</v>
      </c>
      <c r="P266" s="5">
        <f>IF(([Lucro Líquido]*5%)&gt;[Teto R. Legal],[Teto R. Legal],[Lucro Líquido]*5%)</f>
        <v>906250</v>
      </c>
      <c r="Q266" s="5">
        <f>IF([Lucro Líquido]&lt;0,0,[Lucro Líquido]-[Reserva Legal])</f>
        <v>17218750</v>
      </c>
      <c r="R266" s="5">
        <f>Tabela3[[#This Row],[Lucro Distribuir]]*[%Div]</f>
        <v>4304687.5</v>
      </c>
      <c r="S266" s="21">
        <f>SUMPRODUCT(N([Nome]=Tabela3[[#This Row],[Nome]]),[Ações])</f>
        <v>2857301</v>
      </c>
      <c r="T266" s="5">
        <f>[Capital Social]/[Total Ações]</f>
        <v>59.496706857275448</v>
      </c>
      <c r="U266" s="95">
        <f>Tabela3[[#This Row],[Lucro Líquido]]/Tabela3[[#This Row],[Total Ações]]</f>
        <v>6.3433988928712797</v>
      </c>
      <c r="V2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X2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Z266" s="5">
        <f>[Div Base]*[Ações]</f>
        <v>1226180.4945077542</v>
      </c>
      <c r="AA266" s="5">
        <f>SUMPRODUCT(N([Nome]=Tabela3[[#This Row],[Nome]]),[Div Base]*[Ações])</f>
        <v>4304687.5</v>
      </c>
      <c r="AB266" s="5">
        <f>[Patrimônio Líquido]/[Total Ações]</f>
        <v>77.803143596001959</v>
      </c>
      <c r="AC266" s="53">
        <f>MAX(Tabela3[[#This Row],[Cotação 1]:[Cotação 3]])</f>
        <v>0</v>
      </c>
      <c r="AD266" s="54">
        <f>[Cotação]/[VPA]</f>
        <v>0</v>
      </c>
      <c r="AE266" s="38">
        <f>IF(Tabela3[[#This Row],[Lucro/Ação]]&gt;0,Tabela3[[#This Row],[Cotação]]/(Tabela3[[#This Row],[Lucro/Ação]]/[Ref]*4),0)</f>
        <v>0</v>
      </c>
      <c r="AF266" s="38" t="e">
        <f>IF([Div. Mínimo]=0,0,[Lucro Distribuir]*#REF!/[Total Ações])</f>
        <v>#REF!</v>
      </c>
      <c r="AG266" s="95">
        <f>[Lucro Distribuir]/[Total Ações]</f>
        <v>6.0262289482277156</v>
      </c>
      <c r="AH266" s="95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I266" s="16" t="str">
        <f>IF(AND([% A.A.]&gt;=8%,SUMPRODUCT(N([Nome]=Tabela3[[#This Row],[Nome]]),[PL])&gt;0),"Sim","Não")</f>
        <v>Não</v>
      </c>
      <c r="AJ266" s="22">
        <f>IF([Cotação]&gt;0,Tabela3[[#This Row],[Lucro]]/Tabela3[[#This Row],[Cotação]],0)</f>
        <v>0</v>
      </c>
      <c r="AK266" s="18">
        <f>((1+Tabela3[[#This Row],[% Yield]])^(1/(3*Tabela3[[#This Row],[Ref]])))^(12)-1</f>
        <v>0</v>
      </c>
      <c r="AL266" s="10">
        <f>IF([Cotação]&gt;0,($AR$1/Tabela3[[#This Row],[Cotação]]-MOD($AR$1/Tabela3[[#This Row],[Cotação]],100)),)</f>
        <v>0</v>
      </c>
      <c r="AM266" s="7">
        <f>Tabela3[[#This Row],[Ativos]]*[Lucro]</f>
        <v>0</v>
      </c>
      <c r="AN266" s="48">
        <f>SUMPRODUCT(N(Tabela1[Código]=Tabela3[[#This Row],[PAPEL]]),Tabela1[Fechamento])</f>
        <v>0</v>
      </c>
      <c r="AO266" s="55">
        <f>SUMPRODUCT(N(Tabela17[Código]=Tabela3[[#This Row],[PAPEL]]),Tabela17[Fechamento])</f>
        <v>0</v>
      </c>
      <c r="AP266" s="7">
        <f>SUMPRODUCT(N(Tabela176[Código]=Tabela3[[#This Row],[PAPEL]]),Tabela176[Fechamento])</f>
        <v>0</v>
      </c>
    </row>
    <row r="267" spans="1:42" hidden="1">
      <c r="A267" s="4" t="s">
        <v>360</v>
      </c>
      <c r="B267" s="65" t="s">
        <v>362</v>
      </c>
      <c r="C267" s="101" t="str">
        <f>LEFT([PAPEL],LEN([PAPEL])-(LEN([PAPEL])-4))</f>
        <v>TKNO</v>
      </c>
      <c r="D267" s="15">
        <v>3</v>
      </c>
      <c r="E267" s="5">
        <v>170000000</v>
      </c>
      <c r="F267" s="8">
        <v>1318930</v>
      </c>
      <c r="G267" s="100">
        <v>0.25</v>
      </c>
      <c r="H267" s="9">
        <v>0.03</v>
      </c>
      <c r="I267" s="19"/>
      <c r="J267" s="19"/>
      <c r="K267" s="108"/>
      <c r="L267" s="108"/>
      <c r="M267" s="6">
        <v>222307000</v>
      </c>
      <c r="N267" s="6">
        <v>18125000</v>
      </c>
      <c r="O267" s="6">
        <f>Tabela3[[#This Row],[Capital Social]]*20%</f>
        <v>34000000</v>
      </c>
      <c r="P267" s="6">
        <f>IF(([Lucro Líquido]*5%)&gt;[Teto R. Legal],[Teto R. Legal],[Lucro Líquido]*5%)</f>
        <v>906250</v>
      </c>
      <c r="Q267" s="6">
        <f>IF([Lucro Líquido]&lt;0,0,[Lucro Líquido]-[Reserva Legal])</f>
        <v>17218750</v>
      </c>
      <c r="R267" s="6">
        <f>Tabela3[[#This Row],[Lucro Distribuir]]*[%Div]</f>
        <v>4304687.5</v>
      </c>
      <c r="S267" s="21">
        <f>SUMPRODUCT(N([Nome]=Tabela3[[#This Row],[Nome]]),[Ações])</f>
        <v>2857301</v>
      </c>
      <c r="T267" s="6">
        <f>[Capital Social]/[Total Ações]</f>
        <v>59.496706857275448</v>
      </c>
      <c r="U267" s="96">
        <f>Tabela3[[#This Row],[Lucro Líquido]]/Tabela3[[#This Row],[Total Ações]]</f>
        <v>6.3433988928712797</v>
      </c>
      <c r="V2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X2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Z267" s="6">
        <f>[Div Base]*[Ações]</f>
        <v>3078507.0054922458</v>
      </c>
      <c r="AA267" s="6">
        <f>SUMPRODUCT(N([Nome]=Tabela3[[#This Row],[Nome]]),[Div Base]*[Ações])</f>
        <v>4304687.5</v>
      </c>
      <c r="AB267" s="6">
        <f>[Patrimônio Líquido]/[Total Ações]</f>
        <v>77.803143596001959</v>
      </c>
      <c r="AC267" s="49">
        <f>MAX(Tabela3[[#This Row],[Cotação 1]:[Cotação 3]])</f>
        <v>90</v>
      </c>
      <c r="AD267" s="45">
        <f>[Cotação]/[VPA]</f>
        <v>1.1567655989240104</v>
      </c>
      <c r="AE267" s="41">
        <f>IF(Tabela3[[#This Row],[Lucro/Ação]]&gt;0,Tabela3[[#This Row],[Cotação]]/(Tabela3[[#This Row],[Lucro/Ação]]/[Ref]*4),0)</f>
        <v>10.640983034482758</v>
      </c>
      <c r="AF267" s="41" t="e">
        <f>IF([Div. Mínimo]=0,0,[Lucro Distribuir]*#REF!/[Total Ações])</f>
        <v>#REF!</v>
      </c>
      <c r="AG267" s="96">
        <f>[Lucro Distribuir]/[Total Ações]</f>
        <v>6.0262289482277156</v>
      </c>
      <c r="AH267" s="96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I267" s="15" t="str">
        <f>IF(AND([% A.A.]&gt;=8%,SUMPRODUCT(N([Nome]=Tabela3[[#This Row],[Nome]]),[PL])&gt;0),"Sim","Não")</f>
        <v>Não</v>
      </c>
      <c r="AJ267" s="43">
        <f>IF([Cotação]&gt;0,Tabela3[[#This Row],[Lucro]]/Tabela3[[#This Row],[Cotação]],0)</f>
        <v>2.5934381198667318E-2</v>
      </c>
      <c r="AK267" s="19">
        <f>((1+Tabela3[[#This Row],[% Yield]])^(1/(3*Tabela3[[#This Row],[Ref]])))^(12)-1</f>
        <v>3.472778763482709E-2</v>
      </c>
      <c r="AL267" s="14">
        <f>IF([Cotação]&gt;0,($AR$1/Tabela3[[#This Row],[Cotação]]-MOD($AR$1/Tabela3[[#This Row],[Cotação]],100)),)</f>
        <v>0</v>
      </c>
      <c r="AM267" s="17">
        <f>Tabela3[[#This Row],[Ativos]]*[Lucro]</f>
        <v>0</v>
      </c>
      <c r="AN267" s="13">
        <f>SUMPRODUCT(N(Tabela1[Código]=Tabela3[[#This Row],[PAPEL]]),Tabela1[Fechamento])</f>
        <v>0</v>
      </c>
      <c r="AO267" s="56">
        <f>SUMPRODUCT(N(Tabela17[Código]=Tabela3[[#This Row],[PAPEL]]),Tabela17[Fechamento])</f>
        <v>90</v>
      </c>
      <c r="AP267" s="7">
        <f>SUMPRODUCT(N(Tabela176[Código]=Tabela3[[#This Row],[PAPEL]]),Tabela176[Fechamento])</f>
        <v>0</v>
      </c>
    </row>
    <row r="268" spans="1:42" hidden="1">
      <c r="A268" s="4" t="s">
        <v>639</v>
      </c>
      <c r="B268" s="65" t="s">
        <v>648</v>
      </c>
      <c r="C268" s="15" t="str">
        <f>LEFT([PAPEL],LEN([PAPEL])-(LEN([PAPEL])-4))</f>
        <v>TOTS</v>
      </c>
      <c r="D268" s="15">
        <v>3</v>
      </c>
      <c r="E268" s="6">
        <v>526592102.22000003</v>
      </c>
      <c r="F268" s="8">
        <v>163467071</v>
      </c>
      <c r="G268" s="106">
        <v>0.25</v>
      </c>
      <c r="H268" s="15"/>
      <c r="I268" s="19"/>
      <c r="J268" s="19"/>
      <c r="K268" s="108"/>
      <c r="L268" s="108"/>
      <c r="M268" s="114">
        <v>1035153000</v>
      </c>
      <c r="N268" s="115">
        <v>161860000</v>
      </c>
      <c r="O268" s="13">
        <f>Tabela3[[#This Row],[Capital Social]]*20%</f>
        <v>105318420.44400001</v>
      </c>
      <c r="P268" s="13">
        <f>IF(([Lucro Líquido]*5%)&gt;[Teto R. Legal],[Teto R. Legal],[Lucro Líquido]*5%)</f>
        <v>8093000</v>
      </c>
      <c r="Q268" s="13">
        <f>IF([Lucro Líquido]&lt;0,0,[Lucro Líquido]-[Reserva Legal])</f>
        <v>153767000</v>
      </c>
      <c r="R268" s="13">
        <f>Tabela3[[#This Row],[Lucro Distribuir]]*[%Div]</f>
        <v>38441750</v>
      </c>
      <c r="S268" s="57">
        <f>SUMPRODUCT(N([Nome]=Tabela3[[#This Row],[Nome]]),[Ações])</f>
        <v>163467071</v>
      </c>
      <c r="T268" s="6">
        <f>[Capital Social]/[Total Ações]</f>
        <v>3.2213955936116334</v>
      </c>
      <c r="U268" s="96">
        <f>Tabela3[[#This Row],[Lucro Líquido]]/Tabela3[[#This Row],[Total Ações]]</f>
        <v>0.9901688395701419</v>
      </c>
      <c r="V2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0.23516509939790869</v>
      </c>
      <c r="W2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68" s="13">
        <f>[Div Base]*[Ações]</f>
        <v>38441750</v>
      </c>
      <c r="AA268" s="13">
        <f>SUMPRODUCT(N([Nome]=Tabela3[[#This Row],[Nome]]),[Div Base]*[Ações])</f>
        <v>38441750</v>
      </c>
      <c r="AB268" s="113">
        <f>[Patrimônio Líquido]/[Total Ações]</f>
        <v>6.3324863758034793</v>
      </c>
      <c r="AC268" s="49">
        <f>MAX(Tabela3[[#This Row],[Cotação 1]:[Cotação 3]])</f>
        <v>32.36</v>
      </c>
      <c r="AD268" s="45">
        <f>[Cotação]/[VPA]</f>
        <v>5.1101570662114684</v>
      </c>
      <c r="AE268" s="41">
        <f>IF(Tabela3[[#This Row],[Lucro/Ação]]&gt;0,Tabela3[[#This Row],[Cotação]]/(Tabela3[[#This Row],[Lucro/Ação]]/[Ref]*4),0)</f>
        <v>24.510971291053995</v>
      </c>
      <c r="AF268" s="109" t="e">
        <f>IF([Div. Mínimo]=0,0,[Lucro Distribuir]*#REF!/[Total Ações])</f>
        <v>#REF!</v>
      </c>
      <c r="AG268" s="96">
        <f>[Lucro Distribuir]/[Total Ações]</f>
        <v>0.94066039759163478</v>
      </c>
      <c r="AH268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68" s="14" t="str">
        <f>IF(AND([% A.A.]&gt;=8%,SUMPRODUCT(N([Nome]=Tabela3[[#This Row],[Nome]]),[PL])&gt;0),"Sim","Não")</f>
        <v>Não</v>
      </c>
      <c r="AJ268" s="43">
        <f>IF([Cotação]&gt;0,Tabela3[[#This Row],[Lucro]]/Tabela3[[#This Row],[Cotação]],0)</f>
        <v>7.2671538750898853E-3</v>
      </c>
      <c r="AK268" s="43">
        <f>((1+Tabela3[[#This Row],[% Yield]])^(1/(3*Tabela3[[#This Row],[Ref]])))^(12)-1</f>
        <v>9.7012554992632616E-3</v>
      </c>
      <c r="AL268" s="14">
        <f>IF([Cotação]&gt;0,($AR$1/Tabela3[[#This Row],[Cotação]]-MOD($AR$1/Tabela3[[#This Row],[Cotação]],100)),)</f>
        <v>0</v>
      </c>
      <c r="AM268" s="17">
        <f>Tabela3[[#This Row],[Ativos]]*[Lucro]</f>
        <v>0</v>
      </c>
      <c r="AN268" s="17">
        <f>SUMPRODUCT(N(Tabela1[Código]=Tabela3[[#This Row],[PAPEL]]),Tabela1[Fechamento])</f>
        <v>0</v>
      </c>
      <c r="AO268" s="17">
        <f>SUMPRODUCT(N(Tabela17[Código]=Tabela3[[#This Row],[PAPEL]]),Tabela17[Fechamento])</f>
        <v>0</v>
      </c>
      <c r="AP268" s="17">
        <f>SUMPRODUCT(N(Tabela176[Código]=Tabela3[[#This Row],[PAPEL]]),Tabela176[Fechamento])</f>
        <v>32.36</v>
      </c>
    </row>
    <row r="269" spans="1:42" hidden="1">
      <c r="A269" s="4" t="s">
        <v>12</v>
      </c>
      <c r="B269" s="69" t="s">
        <v>165</v>
      </c>
      <c r="C269" s="14" t="str">
        <f>LEFT([PAPEL],LEN([PAPEL])-(LEN([PAPEL])-4))</f>
        <v>TRPL</v>
      </c>
      <c r="D269" s="15">
        <v>3</v>
      </c>
      <c r="E269" s="6">
        <v>2000000000</v>
      </c>
      <c r="F269" s="8">
        <v>64484433</v>
      </c>
      <c r="G269" s="106">
        <v>0.25</v>
      </c>
      <c r="H269" s="15"/>
      <c r="I269" s="19"/>
      <c r="J269" s="19"/>
      <c r="K269" s="108"/>
      <c r="L269" s="108"/>
      <c r="M269" s="110">
        <v>4953037000</v>
      </c>
      <c r="N269" s="110">
        <v>-126863000</v>
      </c>
      <c r="O269" s="6">
        <f>Tabela3[[#This Row],[Capital Social]]*20%</f>
        <v>400000000</v>
      </c>
      <c r="P269" s="6">
        <f>IF(([Lucro Líquido]*5%)&gt;[Teto R. Legal],[Teto R. Legal],[Lucro Líquido]*5%)</f>
        <v>-6343150</v>
      </c>
      <c r="Q269" s="110">
        <f>IF([Lucro Líquido]&lt;0,0,[Lucro Líquido]-[Reserva Legal])</f>
        <v>0</v>
      </c>
      <c r="R269" s="110">
        <f>Tabela3[[#This Row],[Lucro Distribuir]]*[%Div]</f>
        <v>0</v>
      </c>
      <c r="S269" s="57">
        <f>SUMPRODUCT(N([Nome]=Tabela3[[#This Row],[Nome]]),[Ações])</f>
        <v>152661565</v>
      </c>
      <c r="T269" s="6">
        <f>[Capital Social]/[Total Ações]</f>
        <v>13.100874473545453</v>
      </c>
      <c r="U269" s="96">
        <f>Tabela3[[#This Row],[Lucro Líquido]]/Tabela3[[#This Row],[Total Ações]]</f>
        <v>-0.83100811916869843</v>
      </c>
      <c r="V2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9" s="6">
        <f>[Div Base]*[Ações]</f>
        <v>0</v>
      </c>
      <c r="AA269" s="6">
        <f>SUMPRODUCT(N([Nome]=Tabela3[[#This Row],[Nome]]),[Div Base]*[Ações])</f>
        <v>115519753.7769248</v>
      </c>
      <c r="AB269" s="110">
        <f>[Patrimônio Líquido]/[Total Ações]</f>
        <v>32.444557999913073</v>
      </c>
      <c r="AC269" s="49">
        <f>MAX(Tabela3[[#This Row],[Cotação 1]:[Cotação 3]])</f>
        <v>45.8</v>
      </c>
      <c r="AD269" s="45">
        <f>[Cotação]/[VPA]</f>
        <v>1.4116388948840883</v>
      </c>
      <c r="AE269" s="41">
        <f>IF(Tabela3[[#This Row],[Lucro/Ação]]&gt;0,Tabela3[[#This Row],[Cotação]]/(Tabela3[[#This Row],[Lucro/Ação]]/[Ref]*4),0)</f>
        <v>0</v>
      </c>
      <c r="AF269" s="41">
        <f>IF([Div. Mínimo]=0,0,[Lucro Distribuir]*#REF!/[Total Ações])</f>
        <v>0</v>
      </c>
      <c r="AG269" s="96">
        <f>[Lucro Distribuir]/[Total Ações]</f>
        <v>0</v>
      </c>
      <c r="AH2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9" s="15" t="str">
        <f>IF(AND([% A.A.]&gt;=8%,SUMPRODUCT(N([Nome]=Tabela3[[#This Row],[Nome]]),[PL])&gt;0),"Sim","Não")</f>
        <v>Não</v>
      </c>
      <c r="AJ269" s="43">
        <f>IF([Cotação]&gt;0,Tabela3[[#This Row],[Lucro]]/Tabela3[[#This Row],[Cotação]],0)</f>
        <v>0</v>
      </c>
      <c r="AK269" s="19">
        <f>((1+Tabela3[[#This Row],[% Yield]])^(1/(3*Tabela3[[#This Row],[Ref]])))^(12)-1</f>
        <v>0</v>
      </c>
      <c r="AL269" s="14">
        <f>IF([Cotação]&gt;0,($AR$1/Tabela3[[#This Row],[Cotação]]-MOD($AR$1/Tabela3[[#This Row],[Cotação]],100)),)</f>
        <v>0</v>
      </c>
      <c r="AM269" s="17">
        <f>Tabela3[[#This Row],[Ativos]]*[Lucro]</f>
        <v>0</v>
      </c>
      <c r="AN269" s="5">
        <f>SUMPRODUCT(N(Tabela1[Código]=Tabela3[[#This Row],[PAPEL]]),Tabela1[Fechamento])</f>
        <v>45.8</v>
      </c>
      <c r="AO269" s="5">
        <f>SUMPRODUCT(N(Tabela17[Código]=Tabela3[[#This Row],[PAPEL]]),Tabela17[Fechamento])</f>
        <v>0</v>
      </c>
      <c r="AP269" s="7">
        <f>SUMPRODUCT(N(Tabela176[Código]=Tabela3[[#This Row],[PAPEL]]),Tabela176[Fechamento])</f>
        <v>0</v>
      </c>
    </row>
    <row r="270" spans="1:42" hidden="1">
      <c r="A270" s="4" t="s">
        <v>12</v>
      </c>
      <c r="B270" s="69" t="s">
        <v>166</v>
      </c>
      <c r="C270" s="14" t="str">
        <f>LEFT([PAPEL],LEN([PAPEL])-(LEN([PAPEL])-4))</f>
        <v>TRPL</v>
      </c>
      <c r="D270" s="15">
        <v>3</v>
      </c>
      <c r="E270" s="6">
        <v>2000000000</v>
      </c>
      <c r="F270" s="8">
        <v>88177132</v>
      </c>
      <c r="G270" s="100">
        <v>0.25</v>
      </c>
      <c r="H270" s="15"/>
      <c r="I270" s="19">
        <v>0.1</v>
      </c>
      <c r="J270" s="19"/>
      <c r="K270" s="108"/>
      <c r="L270" s="108"/>
      <c r="M270" s="110">
        <v>4953037000</v>
      </c>
      <c r="N270" s="110">
        <v>-126863000</v>
      </c>
      <c r="O270" s="6">
        <f>Tabela3[[#This Row],[Capital Social]]*20%</f>
        <v>400000000</v>
      </c>
      <c r="P270" s="6">
        <f>IF(([Lucro Líquido]*5%)&gt;[Teto R. Legal],[Teto R. Legal],[Lucro Líquido]*5%)</f>
        <v>-6343150</v>
      </c>
      <c r="Q270" s="110">
        <f>IF([Lucro Líquido]&lt;0,0,[Lucro Líquido]-[Reserva Legal])</f>
        <v>0</v>
      </c>
      <c r="R270" s="110">
        <f>Tabela3[[#This Row],[Lucro Distribuir]]*[%Div]</f>
        <v>0</v>
      </c>
      <c r="S270" s="57">
        <f>SUMPRODUCT(N([Nome]=Tabela3[[#This Row],[Nome]]),[Ações])</f>
        <v>152661565</v>
      </c>
      <c r="T270" s="6">
        <f>[Capital Social]/[Total Ações]</f>
        <v>13.100874473545453</v>
      </c>
      <c r="U270" s="96">
        <f>Tabela3[[#This Row],[Lucro Líquido]]/Tabela3[[#This Row],[Total Ações]]</f>
        <v>-0.83100811916869843</v>
      </c>
      <c r="V2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70" s="6">
        <f>[Div Base]*[Ações]</f>
        <v>115519753.7769248</v>
      </c>
      <c r="AA270" s="6">
        <f>SUMPRODUCT(N([Nome]=Tabela3[[#This Row],[Nome]]),[Div Base]*[Ações])</f>
        <v>115519753.7769248</v>
      </c>
      <c r="AB270" s="110">
        <f>[Patrimônio Líquido]/[Total Ações]</f>
        <v>32.444557999913073</v>
      </c>
      <c r="AC270" s="49">
        <f>MAX(Tabela3[[#This Row],[Cotação 1]:[Cotação 3]])</f>
        <v>25.33</v>
      </c>
      <c r="AD270" s="45">
        <f>[Cotação]/[VPA]</f>
        <v>0.78071644557672393</v>
      </c>
      <c r="AE270" s="41">
        <f>IF(Tabela3[[#This Row],[Lucro/Ação]]&gt;0,Tabela3[[#This Row],[Cotação]]/(Tabela3[[#This Row],[Lucro/Ação]]/[Ref]*4),0)</f>
        <v>0</v>
      </c>
      <c r="AF270" s="41">
        <f>IF([Div. Mínimo]=0,0,[Lucro Distribuir]*#REF!/[Total Ações])</f>
        <v>0</v>
      </c>
      <c r="AG270" s="96">
        <f>[Lucro Distribuir]/[Total Ações]</f>
        <v>0</v>
      </c>
      <c r="AH270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70" s="15" t="str">
        <f>IF(AND([% A.A.]&gt;=8%,SUMPRODUCT(N([Nome]=Tabela3[[#This Row],[Nome]]),[PL])&gt;0),"Sim","Não")</f>
        <v>Não</v>
      </c>
      <c r="AJ270" s="43">
        <f>IF([Cotação]&gt;0,Tabela3[[#This Row],[Lucro]]/Tabela3[[#This Row],[Cotação]],0)</f>
        <v>5.1720783551304599E-2</v>
      </c>
      <c r="AK270" s="19">
        <f>((1+Tabela3[[#This Row],[% Yield]])^(1/(3*Tabela3[[#This Row],[Ref]])))^(12)-1</f>
        <v>6.9548808896038983E-2</v>
      </c>
      <c r="AL270" s="14">
        <f>IF([Cotação]&gt;0,($AR$1/Tabela3[[#This Row],[Cotação]]-MOD($AR$1/Tabela3[[#This Row],[Cotação]],100)),)</f>
        <v>0</v>
      </c>
      <c r="AM270" s="17">
        <f>Tabela3[[#This Row],[Ativos]]*[Lucro]</f>
        <v>0</v>
      </c>
      <c r="AN270" s="5">
        <f>SUMPRODUCT(N(Tabela1[Código]=Tabela3[[#This Row],[PAPEL]]),Tabela1[Fechamento])</f>
        <v>25.33</v>
      </c>
      <c r="AO270" s="5">
        <f>SUMPRODUCT(N(Tabela17[Código]=Tabela3[[#This Row],[PAPEL]]),Tabela17[Fechamento])</f>
        <v>0</v>
      </c>
      <c r="AP270" s="7">
        <f>SUMPRODUCT(N(Tabela176[Código]=Tabela3[[#This Row],[PAPEL]]),Tabela176[Fechamento])</f>
        <v>0</v>
      </c>
    </row>
    <row r="271" spans="1:42" hidden="1">
      <c r="A271" s="4" t="s">
        <v>401</v>
      </c>
      <c r="B271" s="65" t="s">
        <v>400</v>
      </c>
      <c r="C271" s="101" t="str">
        <f>LEFT([PAPEL],LEN([PAPEL])-(LEN([PAPEL])-4))</f>
        <v>TRPN</v>
      </c>
      <c r="D271" s="15">
        <v>3</v>
      </c>
      <c r="E271" s="6">
        <v>6610322.96</v>
      </c>
      <c r="F271" s="39">
        <v>46288258</v>
      </c>
      <c r="G271" s="106">
        <v>0.25</v>
      </c>
      <c r="H271" s="15"/>
      <c r="I271" s="19"/>
      <c r="J271" s="19"/>
      <c r="K271" s="108"/>
      <c r="L271" s="108"/>
      <c r="M271" s="6">
        <v>39041000</v>
      </c>
      <c r="N271" s="6">
        <v>38084000</v>
      </c>
      <c r="O271" s="6">
        <f>Tabela3[[#This Row],[Capital Social]]*20%</f>
        <v>1322064.5920000002</v>
      </c>
      <c r="P271" s="6">
        <f>IF(([Lucro Líquido]*5%)&gt;[Teto R. Legal],[Teto R. Legal],[Lucro Líquido]*5%)</f>
        <v>1322064.5920000002</v>
      </c>
      <c r="Q271" s="6">
        <f>IF([Lucro Líquido]&lt;0,0,[Lucro Líquido]-[Reserva Legal])</f>
        <v>36761935.408</v>
      </c>
      <c r="R271" s="6">
        <f>Tabela3[[#This Row],[Lucro Distribuir]]*[%Div]</f>
        <v>9190483.852</v>
      </c>
      <c r="S271" s="57">
        <f>SUMPRODUCT(N([Nome]=Tabela3[[#This Row],[Nome]]),[Ações])</f>
        <v>46288258</v>
      </c>
      <c r="T271" s="6">
        <f>[Capital Social]/[Total Ações]</f>
        <v>0.14280777124946029</v>
      </c>
      <c r="U271" s="96">
        <f>Tabela3[[#This Row],[Lucro Líquido]]/Tabela3[[#This Row],[Total Ações]]</f>
        <v>0.82275725303812475</v>
      </c>
      <c r="V2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0.19854892469705815</v>
      </c>
      <c r="W2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0.19854892469705815</v>
      </c>
      <c r="Z271" s="6">
        <f>[Div Base]*[Ações]</f>
        <v>9190483.852</v>
      </c>
      <c r="AA271" s="6">
        <f>SUMPRODUCT(N([Nome]=Tabela3[[#This Row],[Nome]]),[Div Base]*[Ações])</f>
        <v>9190483.852</v>
      </c>
      <c r="AB271" s="6">
        <f>[Patrimônio Líquido]/[Total Ações]</f>
        <v>0.84343204274397188</v>
      </c>
      <c r="AC271" s="49">
        <f>MAX(Tabela3[[#This Row],[Cotação 1]:[Cotação 3]])</f>
        <v>14.7</v>
      </c>
      <c r="AD271" s="45">
        <f>[Cotação]/[VPA]</f>
        <v>17.428790056607156</v>
      </c>
      <c r="AE271" s="41">
        <f>IF(Tabela3[[#This Row],[Lucro/Ação]]&gt;0,Tabela3[[#This Row],[Cotação]]/(Tabela3[[#This Row],[Lucro/Ação]]/[Ref]*4),0)</f>
        <v>13.400064185747294</v>
      </c>
      <c r="AF271" s="41" t="e">
        <f>IF([Div. Mínimo]=0,0,[Lucro Distribuir]*#REF!/[Total Ações])</f>
        <v>#REF!</v>
      </c>
      <c r="AG271" s="96">
        <f>[Lucro Distribuir]/[Total Ações]</f>
        <v>0.7941956987882326</v>
      </c>
      <c r="AH271" s="96">
        <f>IF([Unit ON]&gt;0,SUMPRODUCT(N([Nome]=Tabela3[[#This Row],[Nome]]),N(RIGHT([PAPEL],1)="3"),[Div Base])*[Unit ON]+SUMPRODUCT(N([Nome]=Tabela3[[#This Row],[Nome]]),N(RIGHT([PAPEL],1)="4"),[Div Base])*[Unit PN],[Div Base])</f>
        <v>0.19854892469705815</v>
      </c>
      <c r="AI271" s="15" t="str">
        <f>IF(AND([% A.A.]&gt;=8%,SUMPRODUCT(N([Nome]=Tabela3[[#This Row],[Nome]]),[PL])&gt;0),"Sim","Não")</f>
        <v>Não</v>
      </c>
      <c r="AJ271" s="43">
        <f>IF([Cotação]&gt;0,Tabela3[[#This Row],[Lucro]]/Tabela3[[#This Row],[Cotação]],0)</f>
        <v>1.3506729571228447E-2</v>
      </c>
      <c r="AK271" s="19">
        <f>((1+Tabela3[[#This Row],[% Yield]])^(1/(3*Tabela3[[#This Row],[Ref]])))^(12)-1</f>
        <v>1.8049392147249099E-2</v>
      </c>
      <c r="AL271" s="14">
        <f>IF([Cotação]&gt;0,($AR$1/Tabela3[[#This Row],[Cotação]]-MOD($AR$1/Tabela3[[#This Row],[Cotação]],100)),)</f>
        <v>0</v>
      </c>
      <c r="AM271" s="17">
        <f>Tabela3[[#This Row],[Ativos]]*[Lucro]</f>
        <v>0</v>
      </c>
      <c r="AN271" s="13">
        <f>SUMPRODUCT(N(Tabela1[Código]=Tabela3[[#This Row],[PAPEL]]),Tabela1[Fechamento])</f>
        <v>0</v>
      </c>
      <c r="AO271" s="56">
        <f>SUMPRODUCT(N(Tabela17[Código]=Tabela3[[#This Row],[PAPEL]]),Tabela17[Fechamento])</f>
        <v>14.7</v>
      </c>
      <c r="AP271" s="7">
        <f>SUMPRODUCT(N(Tabela176[Código]=Tabela3[[#This Row],[PAPEL]]),Tabela176[Fechamento])</f>
        <v>0</v>
      </c>
    </row>
    <row r="272" spans="1:42" hidden="1">
      <c r="A272" s="3" t="s">
        <v>318</v>
      </c>
      <c r="B272" s="66" t="s">
        <v>328</v>
      </c>
      <c r="C272" s="102" t="str">
        <f>LEFT([PAPEL],LEN([PAPEL])-(LEN([PAPEL])-4))</f>
        <v>UGPA</v>
      </c>
      <c r="D272" s="16">
        <v>3</v>
      </c>
      <c r="E272" s="5">
        <v>3696772957.3200002</v>
      </c>
      <c r="F272" s="21">
        <v>544383996</v>
      </c>
      <c r="G272" s="100">
        <v>0.5</v>
      </c>
      <c r="H272" s="16"/>
      <c r="I272" s="18"/>
      <c r="K272" s="107"/>
      <c r="L272" s="107"/>
      <c r="M272" s="5">
        <v>6332530000</v>
      </c>
      <c r="N272" s="5">
        <v>852330000</v>
      </c>
      <c r="O272" s="5">
        <f>Tabela3[[#This Row],[Capital Social]]*20%</f>
        <v>739354591.46400011</v>
      </c>
      <c r="P272" s="5">
        <f>IF(([Lucro Líquido]*5%)&gt;[Teto R. Legal],[Teto R. Legal],[Lucro Líquido]*5%)</f>
        <v>42616500</v>
      </c>
      <c r="Q272" s="5">
        <f>IF([Lucro Líquido]&lt;0,0,[Lucro Líquido]-[Reserva Legal])</f>
        <v>809713500</v>
      </c>
      <c r="R272" s="5">
        <f>Tabela3[[#This Row],[Lucro Distribuir]]*[%Div]</f>
        <v>404856750</v>
      </c>
      <c r="S272" s="21">
        <f>SUMPRODUCT(N([Nome]=Tabela3[[#This Row],[Nome]]),[Ações])</f>
        <v>544383996</v>
      </c>
      <c r="T272" s="5">
        <f>[Capital Social]/[Total Ações]</f>
        <v>6.7907451072826914</v>
      </c>
      <c r="U272" s="95">
        <f>Tabela3[[#This Row],[Lucro Líquido]]/Tabela3[[#This Row],[Total Ações]]</f>
        <v>1.5656779153368057</v>
      </c>
      <c r="V27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0.74369700978498277</v>
      </c>
      <c r="W27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0.74369700978498277</v>
      </c>
      <c r="Z272" s="5">
        <f>[Div Base]*[Ações]</f>
        <v>404856750</v>
      </c>
      <c r="AA272" s="5">
        <f>SUMPRODUCT(N([Nome]=Tabela3[[#This Row],[Nome]]),[Div Base]*[Ações])</f>
        <v>404856750</v>
      </c>
      <c r="AB272" s="5">
        <f>[Patrimônio Líquido]/[Total Ações]</f>
        <v>11.632469077948427</v>
      </c>
      <c r="AC272" s="53">
        <f>MAX(Tabela3[[#This Row],[Cotação 1]:[Cotação 3]])</f>
        <v>51.85</v>
      </c>
      <c r="AD272" s="54">
        <f>[Cotação]/[VPA]</f>
        <v>4.4573511996942772</v>
      </c>
      <c r="AE272" s="38">
        <f>IF(Tabela3[[#This Row],[Lucro/Ação]]&gt;0,Tabela3[[#This Row],[Cotação]]/(Tabela3[[#This Row],[Lucro/Ação]]/[Ref]*4),0)</f>
        <v>24.837483890570557</v>
      </c>
      <c r="AF272" s="38" t="e">
        <f>IF([Div. Mínimo]=0,0,[Lucro Distribuir]*#REF!/[Total Ações])</f>
        <v>#REF!</v>
      </c>
      <c r="AG272" s="95">
        <f>[Lucro Distribuir]/[Total Ações]</f>
        <v>1.4873940195699655</v>
      </c>
      <c r="AH272" s="95">
        <f>IF([Unit ON]&gt;0,SUMPRODUCT(N([Nome]=Tabela3[[#This Row],[Nome]]),N(RIGHT([PAPEL],1)="3"),[Div Base])*[Unit ON]+SUMPRODUCT(N([Nome]=Tabela3[[#This Row],[Nome]]),N(RIGHT([PAPEL],1)="4"),[Div Base])*[Unit PN],[Div Base])</f>
        <v>0.74369700978498277</v>
      </c>
      <c r="AI272" s="16" t="str">
        <f>IF(AND([% A.A.]&gt;=8%,SUMPRODUCT(N([Nome]=Tabela3[[#This Row],[Nome]]),[PL])&gt;0),"Sim","Não")</f>
        <v>Não</v>
      </c>
      <c r="AJ272" s="22">
        <f>IF([Cotação]&gt;0,Tabela3[[#This Row],[Lucro]]/Tabela3[[#This Row],[Cotação]],0)</f>
        <v>1.4343240304435539E-2</v>
      </c>
      <c r="AK272" s="18">
        <f>((1+Tabela3[[#This Row],[% Yield]])^(1/(3*Tabela3[[#This Row],[Ref]])))^(12)-1</f>
        <v>1.9169893004847838E-2</v>
      </c>
      <c r="AL272" s="10">
        <f>IF([Cotação]&gt;0,($AR$1/Tabela3[[#This Row],[Cotação]]-MOD($AR$1/Tabela3[[#This Row],[Cotação]],100)),)</f>
        <v>0</v>
      </c>
      <c r="AM272" s="7">
        <f>Tabela3[[#This Row],[Ativos]]*[Lucro]</f>
        <v>0</v>
      </c>
      <c r="AN272" s="48">
        <f>SUMPRODUCT(N(Tabela1[Código]=Tabela3[[#This Row],[PAPEL]]),Tabela1[Fechamento])</f>
        <v>0</v>
      </c>
      <c r="AO272" s="55">
        <f>SUMPRODUCT(N(Tabela17[Código]=Tabela3[[#This Row],[PAPEL]]),Tabela17[Fechamento])</f>
        <v>51.85</v>
      </c>
      <c r="AP272" s="7">
        <f>SUMPRODUCT(N(Tabela176[Código]=Tabela3[[#This Row],[PAPEL]]),Tabela176[Fechamento])</f>
        <v>0</v>
      </c>
    </row>
    <row r="273" spans="1:42">
      <c r="A273" s="25" t="s">
        <v>12</v>
      </c>
      <c r="B273" s="65" t="s">
        <v>31</v>
      </c>
      <c r="C273" s="15" t="str">
        <f>LEFT([PAPEL],LEN([PAPEL])-(LEN([PAPEL])-4))</f>
        <v>CMIG</v>
      </c>
      <c r="D273" s="15">
        <v>3</v>
      </c>
      <c r="E273" s="6">
        <v>6294208270</v>
      </c>
      <c r="F273" s="8">
        <v>420764708</v>
      </c>
      <c r="G273" s="100">
        <v>0.5</v>
      </c>
      <c r="H273" s="15"/>
      <c r="I273" s="19">
        <v>0.1</v>
      </c>
      <c r="J273" s="19"/>
      <c r="K273" s="108"/>
      <c r="L273" s="108"/>
      <c r="M273" s="111">
        <v>13197926000</v>
      </c>
      <c r="N273" s="111">
        <v>2271426000</v>
      </c>
      <c r="O273" s="13">
        <f>Tabela3[[#This Row],[Capital Social]]*20%</f>
        <v>1258841654</v>
      </c>
      <c r="P273" s="13">
        <f>IF(([Lucro Líquido]*5%)&gt;[Teto R. Legal],[Teto R. Legal],[Lucro Líquido]*5%)</f>
        <v>113571300</v>
      </c>
      <c r="Q273" s="110">
        <f>IF([Lucro Líquido]&lt;0,0,[Lucro Líquido]-[Reserva Legal])</f>
        <v>2157854700</v>
      </c>
      <c r="R273" s="110">
        <f>Tabela3[[#This Row],[Lucro Distribuir]]*[%Div]</f>
        <v>1078927350</v>
      </c>
      <c r="S273" s="57">
        <f>SUMPRODUCT(N([Nome]=Tabela3[[#This Row],[Nome]]),[Ações])</f>
        <v>1258841654</v>
      </c>
      <c r="T273" s="6">
        <f>[Capital Social]/[Total Ações]</f>
        <v>5</v>
      </c>
      <c r="U273" s="96">
        <f>Tabela3[[#This Row],[Lucro Líquido]]/Tabela3[[#This Row],[Total Ações]]</f>
        <v>1.8043778522759304</v>
      </c>
      <c r="V2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2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73" s="13">
        <f>[Div Base]*[Ações]</f>
        <v>360628797.06391078</v>
      </c>
      <c r="AA273" s="13">
        <f>SUMPRODUCT(N([Nome]=Tabela3[[#This Row],[Nome]]),[Div Base]*[Ações])</f>
        <v>1078927350</v>
      </c>
      <c r="AB273" s="110">
        <f>[Patrimônio Líquido]/[Total Ações]</f>
        <v>10.484182786662062</v>
      </c>
      <c r="AC273" s="49">
        <f>MAX(Tabela3[[#This Row],[Cotação 1]:[Cotação 3]])</f>
        <v>13.81</v>
      </c>
      <c r="AD273" s="45">
        <f>[Cotação]/[VPA]</f>
        <v>1.3172223606754578</v>
      </c>
      <c r="AE273" s="41">
        <f>IF(Tabela3[[#This Row],[Lucro/Ação]]&gt;0,Tabela3[[#This Row],[Cotação]]/(Tabela3[[#This Row],[Lucro/Ação]]/[Ref]*4),0)</f>
        <v>5.740205681939452</v>
      </c>
      <c r="AF273" s="93" t="e">
        <f>IF([Div. Mínimo]=0,0,[Lucro Distribuir]*#REF!/[Total Ações])</f>
        <v>#REF!</v>
      </c>
      <c r="AG273" s="96">
        <f>[Lucro Distribuir]/[Total Ações]</f>
        <v>1.7141589596621341</v>
      </c>
      <c r="AH273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73" s="14" t="str">
        <f>IF(AND([% A.A.]&gt;=8%,SUMPRODUCT(N([Nome]=Tabela3[[#This Row],[Nome]]),[PL])&gt;0),"Sim","Não")</f>
        <v>Sim</v>
      </c>
      <c r="AJ273" s="43">
        <f>IF([Cotação]&gt;0,Tabela3[[#This Row],[Lucro]]/Tabela3[[#This Row],[Cotação]],0)</f>
        <v>6.2062236048592831E-2</v>
      </c>
      <c r="AK273" s="19">
        <f>((1+Tabela3[[#This Row],[% Yield]])^(1/(3*Tabela3[[#This Row],[Ref]])))^(12)-1</f>
        <v>8.3594076861177591E-2</v>
      </c>
      <c r="AL273" s="14">
        <f>IF([Cotação]&gt;0,($AR$1/Tabela3[[#This Row],[Cotação]]-MOD($AR$1/Tabela3[[#This Row],[Cotação]],100)),)</f>
        <v>0</v>
      </c>
      <c r="AM273" s="17">
        <f>Tabela3[[#This Row],[Ativos]]*[Lucro]</f>
        <v>0</v>
      </c>
      <c r="AN273" s="48">
        <f>SUMPRODUCT(N(Tabela1[Código]=Tabela3[[#This Row],[PAPEL]]),Tabela1[Fechamento])</f>
        <v>13.81</v>
      </c>
      <c r="AO273" s="48">
        <f>SUMPRODUCT(N(Tabela17[Código]=Tabela3[[#This Row],[PAPEL]]),Tabela17[Fechamento])</f>
        <v>0</v>
      </c>
      <c r="AP273" s="7">
        <f>SUMPRODUCT(N(Tabela176[Código]=Tabela3[[#This Row],[PAPEL]]),Tabela176[Fechamento])</f>
        <v>0</v>
      </c>
    </row>
    <row r="274" spans="1:42">
      <c r="A274" s="3" t="s">
        <v>313</v>
      </c>
      <c r="B274" s="66" t="s">
        <v>310</v>
      </c>
      <c r="C274" s="102" t="str">
        <f>LEFT([PAPEL],LEN([PAPEL])-(LEN([PAPEL])-4))</f>
        <v>OIBR</v>
      </c>
      <c r="D274" s="16">
        <v>3</v>
      </c>
      <c r="E274" s="5">
        <v>7471208836.6300001</v>
      </c>
      <c r="F274" s="57">
        <v>1198077775</v>
      </c>
      <c r="G274" s="100">
        <v>0.25</v>
      </c>
      <c r="H274" s="18">
        <v>0.03</v>
      </c>
      <c r="I274" s="18">
        <v>0.06</v>
      </c>
      <c r="K274" s="107"/>
      <c r="L274" s="107"/>
      <c r="M274" s="5">
        <v>10322490000</v>
      </c>
      <c r="N274" s="5">
        <v>310353000</v>
      </c>
      <c r="O274" s="5">
        <f>Tabela3[[#This Row],[Capital Social]]*20%</f>
        <v>1494241767.3260002</v>
      </c>
      <c r="P274" s="5">
        <f>IF(([Lucro Líquido]*5%)&gt;[Teto R. Legal],[Teto R. Legal],[Lucro Líquido]*5%)</f>
        <v>15517650</v>
      </c>
      <c r="Q274" s="5">
        <f>IF([Lucro Líquido]&lt;0,0,[Lucro Líquido]-[Reserva Legal])</f>
        <v>294835350</v>
      </c>
      <c r="R274" s="5">
        <f>Tabela3[[#This Row],[Lucro Distribuir]]*[%Div]</f>
        <v>73708837.5</v>
      </c>
      <c r="S274" s="57">
        <f>SUMPRODUCT(N([Nome]=Tabela3[[#This Row],[Nome]]),[Ações])</f>
        <v>1797166404</v>
      </c>
      <c r="T274" s="5">
        <f>[Capital Social]/[Total Ações]</f>
        <v>4.1572159483958391</v>
      </c>
      <c r="U274" s="95">
        <f>Tabela3[[#This Row],[Lucro Líquido]]/Tabela3[[#This Row],[Total Ações]]</f>
        <v>0.17269018567743047</v>
      </c>
      <c r="V27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7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27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27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274" s="5">
        <f>[Div Base]*[Ações]</f>
        <v>298840082.01891607</v>
      </c>
      <c r="AA274" s="5">
        <f>SUMPRODUCT(N([Nome]=Tabela3[[#This Row],[Nome]]),[Div Base]*[Ações])</f>
        <v>298840082.01891607</v>
      </c>
      <c r="AB274" s="5">
        <f>[Patrimônio Líquido]/[Total Ações]</f>
        <v>5.7437586063399388</v>
      </c>
      <c r="AC274" s="53">
        <f>MAX(Tabela3[[#This Row],[Cotação 1]:[Cotação 3]])</f>
        <v>4.04</v>
      </c>
      <c r="AD274" s="54">
        <f>[Cotação]/[VPA]</f>
        <v>0.70337217785243678</v>
      </c>
      <c r="AE274" s="38">
        <f>IF(Tabela3[[#This Row],[Lucro/Ação]]&gt;0,Tabela3[[#This Row],[Cotação]]/(Tabela3[[#This Row],[Lucro/Ação]]/[Ref]*4),0)</f>
        <v>17.545872616407767</v>
      </c>
      <c r="AF274" s="38" t="e">
        <f>IF([Div. Mínimo]=0,0,[Lucro Distribuir]*#REF!/[Total Ações])</f>
        <v>#REF!</v>
      </c>
      <c r="AG274" s="95">
        <f>[Lucro Distribuir]/[Total Ações]</f>
        <v>0.16405567639355895</v>
      </c>
      <c r="AH274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274" s="16" t="str">
        <f>IF(AND([% A.A.]&gt;=8%,SUMPRODUCT(N([Nome]=Tabela3[[#This Row],[Nome]]),[PL])&gt;0),"Sim","Não")</f>
        <v>Sim</v>
      </c>
      <c r="AJ274" s="22">
        <f>IF([Cotação]&gt;0,Tabela3[[#This Row],[Lucro]]/Tabela3[[#This Row],[Cotação]],0)</f>
        <v>6.1740830916769886E-2</v>
      </c>
      <c r="AK274" s="18">
        <f>((1+Tabela3[[#This Row],[% Yield]])^(1/(3*Tabela3[[#This Row],[Ref]])))^(12)-1</f>
        <v>8.3156870680989092E-2</v>
      </c>
      <c r="AL274" s="10">
        <f>IF([Cotação]&gt;0,($AR$1/Tabela3[[#This Row],[Cotação]]-MOD($AR$1/Tabela3[[#This Row],[Cotação]],100)),)</f>
        <v>0</v>
      </c>
      <c r="AM274" s="7">
        <f>Tabela3[[#This Row],[Ativos]]*[Lucro]</f>
        <v>0</v>
      </c>
      <c r="AN274" s="48">
        <f>SUMPRODUCT(N(Tabela1[Código]=Tabela3[[#This Row],[PAPEL]]),Tabela1[Fechamento])</f>
        <v>0</v>
      </c>
      <c r="AO274" s="55">
        <f>SUMPRODUCT(N(Tabela17[Código]=Tabela3[[#This Row],[PAPEL]]),Tabela17[Fechamento])</f>
        <v>4.04</v>
      </c>
      <c r="AP274" s="7">
        <f>SUMPRODUCT(N(Tabela176[Código]=Tabela3[[#This Row],[PAPEL]]),Tabela176[Fechamento])</f>
        <v>0</v>
      </c>
    </row>
    <row r="275" spans="1:42">
      <c r="A275" s="4" t="s">
        <v>390</v>
      </c>
      <c r="B275" s="65" t="s">
        <v>389</v>
      </c>
      <c r="C275" s="101" t="str">
        <f>LEFT([PAPEL],LEN([PAPEL])-(LEN([PAPEL])-4))</f>
        <v>MERC</v>
      </c>
      <c r="D275" s="15">
        <v>3</v>
      </c>
      <c r="E275" s="6">
        <v>75263993.599999994</v>
      </c>
      <c r="F275" s="8">
        <v>5113043</v>
      </c>
      <c r="G275" s="100">
        <v>0.25</v>
      </c>
      <c r="H275" s="19"/>
      <c r="I275" s="19">
        <v>0.06</v>
      </c>
      <c r="J275" s="19">
        <v>0.1</v>
      </c>
      <c r="K275" s="108"/>
      <c r="L275" s="108"/>
      <c r="M275" s="5">
        <v>162348000</v>
      </c>
      <c r="N275" s="5">
        <v>18569000</v>
      </c>
      <c r="O275" s="5">
        <f>Tabela3[[#This Row],[Capital Social]]*20%</f>
        <v>15052798.719999999</v>
      </c>
      <c r="P275" s="5">
        <f>IF(([Lucro Líquido]*5%)&gt;[Teto R. Legal],[Teto R. Legal],[Lucro Líquido]*5%)</f>
        <v>928450</v>
      </c>
      <c r="Q275" s="5">
        <f>IF([Lucro Líquido]&lt;0,0,[Lucro Líquido]-[Reserva Legal])</f>
        <v>17640550</v>
      </c>
      <c r="R275" s="5">
        <f>Tabela3[[#This Row],[Lucro Distribuir]]*[%Div]</f>
        <v>4410137.5</v>
      </c>
      <c r="S275" s="57">
        <f>SUMPRODUCT(N([Nome]=Tabela3[[#This Row],[Nome]]),[Ações])</f>
        <v>11759999</v>
      </c>
      <c r="T275" s="5">
        <f>[Capital Social]/[Total Ações]</f>
        <v>6.3999999999999995</v>
      </c>
      <c r="U275" s="96">
        <f>Tabela3[[#This Row],[Lucro Líquido]]/Tabela3[[#This Row],[Total Ações]]</f>
        <v>1.5789967329078856</v>
      </c>
      <c r="V2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0.39967805218891239</v>
      </c>
      <c r="W27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0.38399999999999995</v>
      </c>
      <c r="Y27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0.39967805218891239</v>
      </c>
      <c r="Z275" s="5">
        <f>[Div Base]*[Ações]</f>
        <v>2043571.0669981532</v>
      </c>
      <c r="AA275" s="5">
        <f>SUMPRODUCT(N([Nome]=Tabela3[[#This Row],[Nome]]),[Div Base]*[Ações])</f>
        <v>4458700.5428400459</v>
      </c>
      <c r="AB275" s="6">
        <f>[Patrimônio Líquido]/[Total Ações]</f>
        <v>13.805103214719662</v>
      </c>
      <c r="AC275" s="49">
        <f>MAX(Tabela3[[#This Row],[Cotação 1]:[Cotação 3]])</f>
        <v>6.58</v>
      </c>
      <c r="AD275" s="45">
        <f>[Cotação]/[VPA]</f>
        <v>0.47663533532904623</v>
      </c>
      <c r="AE275" s="41">
        <f>IF(Tabela3[[#This Row],[Lucro/Ação]]&gt;0,Tabela3[[#This Row],[Cotação]]/(Tabela3[[#This Row],[Lucro/Ação]]/[Ref]*4),0)</f>
        <v>3.1254022868759761</v>
      </c>
      <c r="AF275" s="41" t="e">
        <f>IF([Div. Mínimo]=0,0,[Lucro Distribuir]*#REF!/[Total Ações])</f>
        <v>#REF!</v>
      </c>
      <c r="AG275" s="96">
        <f>[Lucro Distribuir]/[Total Ações]</f>
        <v>1.5000468962624911</v>
      </c>
      <c r="AH275" s="96">
        <f>IF([Unit ON]&gt;0,SUMPRODUCT(N([Nome]=Tabela3[[#This Row],[Nome]]),N(RIGHT([PAPEL],1)="3"),[Div Base])*[Unit ON]+SUMPRODUCT(N([Nome]=Tabela3[[#This Row],[Nome]]),N(RIGHT([PAPEL],1)="4"),[Div Base])*[Unit PN],[Div Base])</f>
        <v>0.39967805218891239</v>
      </c>
      <c r="AI275" s="15" t="str">
        <f>IF(AND([% A.A.]&gt;=8%,SUMPRODUCT(N([Nome]=Tabela3[[#This Row],[Nome]]),[PL])&gt;0),"Sim","Não")</f>
        <v>Sim</v>
      </c>
      <c r="AJ275" s="43">
        <f>IF([Cotação]&gt;0,Tabela3[[#This Row],[Lucro]]/Tabela3[[#This Row],[Cotação]],0)</f>
        <v>6.0741345317463891E-2</v>
      </c>
      <c r="AK275" s="19">
        <f>((1+Tabela3[[#This Row],[% Yield]])^(1/(3*Tabela3[[#This Row],[Ref]])))^(12)-1</f>
        <v>8.1797556149731276E-2</v>
      </c>
      <c r="AL275" s="14">
        <f>IF([Cotação]&gt;0,($AR$1/Tabela3[[#This Row],[Cotação]]-MOD($AR$1/Tabela3[[#This Row],[Cotação]],100)),)</f>
        <v>0</v>
      </c>
      <c r="AM275" s="17">
        <f>Tabela3[[#This Row],[Ativos]]*[Lucro]</f>
        <v>0</v>
      </c>
      <c r="AN275" s="13">
        <f>SUMPRODUCT(N(Tabela1[Código]=Tabela3[[#This Row],[PAPEL]]),Tabela1[Fechamento])</f>
        <v>0</v>
      </c>
      <c r="AO275" s="56">
        <f>SUMPRODUCT(N(Tabela17[Código]=Tabela3[[#This Row],[PAPEL]]),Tabela17[Fechamento])</f>
        <v>6.58</v>
      </c>
      <c r="AP275" s="7">
        <f>SUMPRODUCT(N(Tabela176[Código]=Tabela3[[#This Row],[PAPEL]]),Tabela176[Fechamento])</f>
        <v>0</v>
      </c>
    </row>
    <row r="276" spans="1:42" hidden="1">
      <c r="A276" s="4" t="s">
        <v>259</v>
      </c>
      <c r="B276" s="65" t="s">
        <v>667</v>
      </c>
      <c r="C276" s="15" t="str">
        <f>LEFT([PAPEL],LEN([PAPEL])-(LEN([PAPEL])-4))</f>
        <v>USIM</v>
      </c>
      <c r="D276" s="15">
        <v>3</v>
      </c>
      <c r="E276" s="6">
        <v>12150000000</v>
      </c>
      <c r="F276" s="8">
        <v>505786684</v>
      </c>
      <c r="G276" s="106">
        <v>0.25</v>
      </c>
      <c r="H276" s="15"/>
      <c r="I276" s="19"/>
      <c r="J276" s="19"/>
      <c r="K276" s="108"/>
      <c r="L276" s="108"/>
      <c r="M276" s="114">
        <v>16600528000</v>
      </c>
      <c r="N276" s="115">
        <v>-142550000</v>
      </c>
      <c r="O276" s="13">
        <f>Tabela3[[#This Row],[Capital Social]]*20%</f>
        <v>2430000000</v>
      </c>
      <c r="P276" s="13">
        <f>IF(([Lucro Líquido]*5%)&gt;[Teto R. Legal],[Teto R. Legal],[Lucro Líquido]*5%)</f>
        <v>-7127500</v>
      </c>
      <c r="Q276" s="13">
        <f>IF([Lucro Líquido]&lt;0,0,[Lucro Líquido]-[Reserva Legal])</f>
        <v>0</v>
      </c>
      <c r="R276" s="13">
        <f>Tabela3[[#This Row],[Lucro Distribuir]]*[%Div]</f>
        <v>0</v>
      </c>
      <c r="S276" s="57">
        <f>SUMPRODUCT(N([Nome]=Tabela3[[#This Row],[Nome]]),[Ações])</f>
        <v>1014312190</v>
      </c>
      <c r="T276" s="6">
        <f>[Capital Social]/[Total Ações]</f>
        <v>11.978560565263443</v>
      </c>
      <c r="U276" s="96">
        <f>Tabela3[[#This Row],[Lucro Líquido]]/Tabela3[[#This Row],[Total Ações]]</f>
        <v>-0.14053858506817316</v>
      </c>
      <c r="V2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6" s="13">
        <f>[Div Base]*[Ações]</f>
        <v>0</v>
      </c>
      <c r="AA276" s="13">
        <f>SUMPRODUCT(N([Nome]=Tabela3[[#This Row],[Nome]]),[Div Base]*[Ações])</f>
        <v>0</v>
      </c>
      <c r="AB276" s="113">
        <f>[Patrimônio Líquido]/[Total Ações]</f>
        <v>16.366290540193546</v>
      </c>
      <c r="AC276" s="49">
        <f>MAX(Tabela3[[#This Row],[Cotação 1]:[Cotação 3]])</f>
        <v>11.5</v>
      </c>
      <c r="AD276" s="45">
        <f>[Cotação]/[VPA]</f>
        <v>0.7026638059343655</v>
      </c>
      <c r="AE276" s="41">
        <f>IF(Tabela3[[#This Row],[Lucro/Ação]]&gt;0,Tabela3[[#This Row],[Cotação]]/(Tabela3[[#This Row],[Lucro/Ação]]/[Ref]*4),0)</f>
        <v>0</v>
      </c>
      <c r="AF276" s="109">
        <f>IF([Div. Mínimo]=0,0,[Lucro Distribuir]*#REF!/[Total Ações])</f>
        <v>0</v>
      </c>
      <c r="AG276" s="96">
        <f>[Lucro Distribuir]/[Total Ações]</f>
        <v>0</v>
      </c>
      <c r="AH27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6" s="14" t="str">
        <f>IF(AND([% A.A.]&gt;=8%,SUMPRODUCT(N([Nome]=Tabela3[[#This Row],[Nome]]),[PL])&gt;0),"Sim","Não")</f>
        <v>Não</v>
      </c>
      <c r="AJ276" s="43">
        <f>IF([Cotação]&gt;0,Tabela3[[#This Row],[Lucro]]/Tabela3[[#This Row],[Cotação]],0)</f>
        <v>0</v>
      </c>
      <c r="AK276" s="43">
        <f>((1+Tabela3[[#This Row],[% Yield]])^(1/(3*Tabela3[[#This Row],[Ref]])))^(12)-1</f>
        <v>0</v>
      </c>
      <c r="AL276" s="14">
        <f>IF([Cotação]&gt;0,($AR$1/Tabela3[[#This Row],[Cotação]]-MOD($AR$1/Tabela3[[#This Row],[Cotação]],100)),)</f>
        <v>0</v>
      </c>
      <c r="AM276" s="17">
        <f>Tabela3[[#This Row],[Ativos]]*[Lucro]</f>
        <v>0</v>
      </c>
      <c r="AN276" s="17">
        <f>SUMPRODUCT(N(Tabela1[Código]=Tabela3[[#This Row],[PAPEL]]),Tabela1[Fechamento])</f>
        <v>0</v>
      </c>
      <c r="AO276" s="17">
        <f>SUMPRODUCT(N(Tabela17[Código]=Tabela3[[#This Row],[PAPEL]]),Tabela17[Fechamento])</f>
        <v>0</v>
      </c>
      <c r="AP276" s="17">
        <f>SUMPRODUCT(N(Tabela176[Código]=Tabela3[[#This Row],[PAPEL]]),Tabela176[Fechamento])</f>
        <v>11.5</v>
      </c>
    </row>
    <row r="277" spans="1:42" hidden="1">
      <c r="A277" s="4" t="s">
        <v>259</v>
      </c>
      <c r="B277" s="65" t="s">
        <v>668</v>
      </c>
      <c r="C277" s="15" t="str">
        <f>LEFT([PAPEL],LEN([PAPEL])-(LEN([PAPEL])-4))</f>
        <v>USIM</v>
      </c>
      <c r="D277" s="15">
        <v>3</v>
      </c>
      <c r="E277" s="6">
        <v>12150000000</v>
      </c>
      <c r="F277" s="8">
        <v>508438474</v>
      </c>
      <c r="G277" s="106">
        <v>0.25</v>
      </c>
      <c r="H277" s="15"/>
      <c r="I277" s="19"/>
      <c r="J277" s="19">
        <v>0.1</v>
      </c>
      <c r="K277" s="108"/>
      <c r="L277" s="108"/>
      <c r="M277" s="114">
        <v>16600528000</v>
      </c>
      <c r="N277" s="115">
        <v>-142550000</v>
      </c>
      <c r="O277" s="13">
        <f>Tabela3[[#This Row],[Capital Social]]*20%</f>
        <v>2430000000</v>
      </c>
      <c r="P277" s="13">
        <f>IF(([Lucro Líquido]*5%)&gt;[Teto R. Legal],[Teto R. Legal],[Lucro Líquido]*5%)</f>
        <v>-7127500</v>
      </c>
      <c r="Q277" s="13">
        <f>IF([Lucro Líquido]&lt;0,0,[Lucro Líquido]-[Reserva Legal])</f>
        <v>0</v>
      </c>
      <c r="R277" s="13">
        <f>Tabela3[[#This Row],[Lucro Distribuir]]*[%Div]</f>
        <v>0</v>
      </c>
      <c r="S277" s="57">
        <f>SUMPRODUCT(N([Nome]=Tabela3[[#This Row],[Nome]]),[Ações])</f>
        <v>1014312190</v>
      </c>
      <c r="T277" s="6">
        <f>[Capital Social]/[Total Ações]</f>
        <v>11.978560565263443</v>
      </c>
      <c r="U277" s="96">
        <f>Tabela3[[#This Row],[Lucro Líquido]]/Tabela3[[#This Row],[Total Ações]]</f>
        <v>-0.14053858506817316</v>
      </c>
      <c r="V2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7" s="13">
        <f>[Div Base]*[Ações]</f>
        <v>0</v>
      </c>
      <c r="AA277" s="13">
        <f>SUMPRODUCT(N([Nome]=Tabela3[[#This Row],[Nome]]),[Div Base]*[Ações])</f>
        <v>0</v>
      </c>
      <c r="AB277" s="113">
        <f>[Patrimônio Líquido]/[Total Ações]</f>
        <v>16.366290540193546</v>
      </c>
      <c r="AC277" s="49">
        <f>MAX(Tabela3[[#This Row],[Cotação 1]:[Cotação 3]])</f>
        <v>12.22</v>
      </c>
      <c r="AD277" s="45">
        <f>[Cotação]/[VPA]</f>
        <v>0.74665667030590843</v>
      </c>
      <c r="AE277" s="41">
        <f>IF(Tabela3[[#This Row],[Lucro/Ação]]&gt;0,Tabela3[[#This Row],[Cotação]]/(Tabela3[[#This Row],[Lucro/Ação]]/[Ref]*4),0)</f>
        <v>0</v>
      </c>
      <c r="AF277" s="109">
        <f>IF([Div. Mínimo]=0,0,[Lucro Distribuir]*#REF!/[Total Ações])</f>
        <v>0</v>
      </c>
      <c r="AG277" s="96">
        <f>[Lucro Distribuir]/[Total Ações]</f>
        <v>0</v>
      </c>
      <c r="AH27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7" s="14" t="str">
        <f>IF(AND([% A.A.]&gt;=8%,SUMPRODUCT(N([Nome]=Tabela3[[#This Row],[Nome]]),[PL])&gt;0),"Sim","Não")</f>
        <v>Não</v>
      </c>
      <c r="AJ277" s="43">
        <f>IF([Cotação]&gt;0,Tabela3[[#This Row],[Lucro]]/Tabela3[[#This Row],[Cotação]],0)</f>
        <v>0</v>
      </c>
      <c r="AK277" s="43">
        <f>((1+Tabela3[[#This Row],[% Yield]])^(1/(3*Tabela3[[#This Row],[Ref]])))^(12)-1</f>
        <v>0</v>
      </c>
      <c r="AL277" s="14">
        <f>IF([Cotação]&gt;0,($AR$1/Tabela3[[#This Row],[Cotação]]-MOD($AR$1/Tabela3[[#This Row],[Cotação]],100)),)</f>
        <v>0</v>
      </c>
      <c r="AM277" s="17">
        <f>Tabela3[[#This Row],[Ativos]]*[Lucro]</f>
        <v>0</v>
      </c>
      <c r="AN277" s="17">
        <f>SUMPRODUCT(N(Tabela1[Código]=Tabela3[[#This Row],[PAPEL]]),Tabela1[Fechamento])</f>
        <v>0</v>
      </c>
      <c r="AO277" s="17">
        <f>SUMPRODUCT(N(Tabela17[Código]=Tabela3[[#This Row],[PAPEL]]),Tabela17[Fechamento])</f>
        <v>0</v>
      </c>
      <c r="AP277" s="17">
        <f>SUMPRODUCT(N(Tabela176[Código]=Tabela3[[#This Row],[PAPEL]]),Tabela176[Fechamento])</f>
        <v>12.22</v>
      </c>
    </row>
    <row r="278" spans="1:42" hidden="1">
      <c r="A278" s="4" t="s">
        <v>259</v>
      </c>
      <c r="B278" s="65" t="s">
        <v>669</v>
      </c>
      <c r="C278" s="15" t="str">
        <f>LEFT([PAPEL],LEN([PAPEL])-(LEN([PAPEL])-4))</f>
        <v>USIM</v>
      </c>
      <c r="D278" s="15">
        <v>3</v>
      </c>
      <c r="E278" s="6">
        <v>12150000000</v>
      </c>
      <c r="F278" s="8">
        <v>87032</v>
      </c>
      <c r="G278" s="106">
        <v>0.25</v>
      </c>
      <c r="H278" s="15"/>
      <c r="I278" s="19"/>
      <c r="J278" s="19">
        <v>0.1</v>
      </c>
      <c r="K278" s="108"/>
      <c r="L278" s="108"/>
      <c r="M278" s="114">
        <v>16600528000</v>
      </c>
      <c r="N278" s="115">
        <v>-142550000</v>
      </c>
      <c r="O278" s="13">
        <f>Tabela3[[#This Row],[Capital Social]]*20%</f>
        <v>2430000000</v>
      </c>
      <c r="P278" s="13">
        <f>IF(([Lucro Líquido]*5%)&gt;[Teto R. Legal],[Teto R. Legal],[Lucro Líquido]*5%)</f>
        <v>-7127500</v>
      </c>
      <c r="Q278" s="13">
        <f>IF([Lucro Líquido]&lt;0,0,[Lucro Líquido]-[Reserva Legal])</f>
        <v>0</v>
      </c>
      <c r="R278" s="13">
        <f>Tabela3[[#This Row],[Lucro Distribuir]]*[%Div]</f>
        <v>0</v>
      </c>
      <c r="S278" s="57">
        <f>SUMPRODUCT(N([Nome]=Tabela3[[#This Row],[Nome]]),[Ações])</f>
        <v>1014312190</v>
      </c>
      <c r="T278" s="6">
        <f>[Capital Social]/[Total Ações]</f>
        <v>11.978560565263443</v>
      </c>
      <c r="U278" s="96">
        <f>Tabela3[[#This Row],[Lucro Líquido]]/Tabela3[[#This Row],[Total Ações]]</f>
        <v>-0.14053858506817316</v>
      </c>
      <c r="V2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8" s="13">
        <f>[Div Base]*[Ações]</f>
        <v>0</v>
      </c>
      <c r="AA278" s="13">
        <f>SUMPRODUCT(N([Nome]=Tabela3[[#This Row],[Nome]]),[Div Base]*[Ações])</f>
        <v>0</v>
      </c>
      <c r="AB278" s="113">
        <f>[Patrimônio Líquido]/[Total Ações]</f>
        <v>16.366290540193546</v>
      </c>
      <c r="AC278" s="49">
        <f>MAX(Tabela3[[#This Row],[Cotação 1]:[Cotação 3]])</f>
        <v>11.13</v>
      </c>
      <c r="AD278" s="45">
        <f>[Cotação]/[VPA]</f>
        <v>0.68005636174343376</v>
      </c>
      <c r="AE278" s="41">
        <f>IF(Tabela3[[#This Row],[Lucro/Ação]]&gt;0,Tabela3[[#This Row],[Cotação]]/(Tabela3[[#This Row],[Lucro/Ação]]/[Ref]*4),0)</f>
        <v>0</v>
      </c>
      <c r="AF278" s="109">
        <f>IF([Div. Mínimo]=0,0,[Lucro Distribuir]*#REF!/[Total Ações])</f>
        <v>0</v>
      </c>
      <c r="AG278" s="96">
        <f>[Lucro Distribuir]/[Total Ações]</f>
        <v>0</v>
      </c>
      <c r="AH27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8" s="14" t="str">
        <f>IF(AND([% A.A.]&gt;=8%,SUMPRODUCT(N([Nome]=Tabela3[[#This Row],[Nome]]),[PL])&gt;0),"Sim","Não")</f>
        <v>Não</v>
      </c>
      <c r="AJ278" s="43">
        <f>IF([Cotação]&gt;0,Tabela3[[#This Row],[Lucro]]/Tabela3[[#This Row],[Cotação]],0)</f>
        <v>0</v>
      </c>
      <c r="AK278" s="43">
        <f>((1+Tabela3[[#This Row],[% Yield]])^(1/(3*Tabela3[[#This Row],[Ref]])))^(12)-1</f>
        <v>0</v>
      </c>
      <c r="AL278" s="14">
        <f>IF([Cotação]&gt;0,($AR$1/Tabela3[[#This Row],[Cotação]]-MOD($AR$1/Tabela3[[#This Row],[Cotação]],100)),)</f>
        <v>0</v>
      </c>
      <c r="AM278" s="17">
        <f>Tabela3[[#This Row],[Ativos]]*[Lucro]</f>
        <v>0</v>
      </c>
      <c r="AN278" s="17">
        <f>SUMPRODUCT(N(Tabela1[Código]=Tabela3[[#This Row],[PAPEL]]),Tabela1[Fechamento])</f>
        <v>0</v>
      </c>
      <c r="AO278" s="17">
        <f>SUMPRODUCT(N(Tabela17[Código]=Tabela3[[#This Row],[PAPEL]]),Tabela17[Fechamento])</f>
        <v>0</v>
      </c>
      <c r="AP278" s="17">
        <f>SUMPRODUCT(N(Tabela176[Código]=Tabela3[[#This Row],[PAPEL]]),Tabela176[Fechamento])</f>
        <v>11.13</v>
      </c>
    </row>
    <row r="279" spans="1:42" hidden="1">
      <c r="A279" s="4" t="s">
        <v>354</v>
      </c>
      <c r="B279" s="65" t="s">
        <v>738</v>
      </c>
      <c r="C279" s="101" t="str">
        <f>LEFT([PAPEL],LEN([PAPEL])-(LEN([PAPEL])-4))</f>
        <v>VALE</v>
      </c>
      <c r="D279" s="15">
        <v>3</v>
      </c>
      <c r="E279" s="6">
        <v>75000000000</v>
      </c>
      <c r="F279" s="8">
        <v>3256724482</v>
      </c>
      <c r="G279" s="100">
        <v>0.25</v>
      </c>
      <c r="H279" s="9"/>
      <c r="I279" s="19"/>
      <c r="J279" s="19"/>
      <c r="K279" s="108"/>
      <c r="L279" s="108"/>
      <c r="M279" s="6">
        <v>165456334000</v>
      </c>
      <c r="N279" s="5">
        <v>14982201000</v>
      </c>
      <c r="O279" s="29">
        <f>Tabela3[[#This Row],[Capital Social]]*20%</f>
        <v>15000000000</v>
      </c>
      <c r="P279" s="29">
        <f>IF(([Lucro Líquido]*5%)&gt;[Teto R. Legal],[Teto R. Legal],[Lucro Líquido]*5%)</f>
        <v>749110050</v>
      </c>
      <c r="Q279" s="29">
        <f>IF([Lucro Líquido]&lt;0,0,[Lucro Líquido]-[Reserva Legal])</f>
        <v>14233090950</v>
      </c>
      <c r="R279" s="29">
        <f>Tabela3[[#This Row],[Lucro Distribuir]]*[%Div]</f>
        <v>3558272737.5</v>
      </c>
      <c r="S279" s="57">
        <f>SUMPRODUCT(N([Nome]=Tabela3[[#This Row],[Nome]]),[Ações])</f>
        <v>5365304100</v>
      </c>
      <c r="T279" s="5">
        <f>[Capital Social]/[Total Ações]</f>
        <v>13.97870439440702</v>
      </c>
      <c r="U279" s="96">
        <f>Tabela3[[#This Row],[Lucro Líquido]]/Tabela3[[#This Row],[Total Ações]]</f>
        <v>2.7924234527545231</v>
      </c>
      <c r="V2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7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X27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0.5495583298699136</v>
      </c>
      <c r="Y27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Z279" s="29">
        <f>[Div Base]*[Ações]</f>
        <v>1607528583.735815</v>
      </c>
      <c r="AA279" s="29">
        <f>SUMPRODUCT(N([Nome]=Tabela3[[#This Row],[Nome]]),[Div Base]*[Ações])</f>
        <v>3558272737.5</v>
      </c>
      <c r="AB279" s="6">
        <f>[Patrimônio Líquido]/[Total Ações]</f>
        <v>30.838202442243674</v>
      </c>
      <c r="AC279" s="49">
        <f>MAX(Tabela3[[#This Row],[Cotação 1]:[Cotação 3]])</f>
        <v>0</v>
      </c>
      <c r="AD279" s="45">
        <f>[Cotação]/[VPA]</f>
        <v>0</v>
      </c>
      <c r="AE279" s="41">
        <f>IF(Tabela3[[#This Row],[Lucro/Ação]]&gt;0,Tabela3[[#This Row],[Cotação]]/(Tabela3[[#This Row],[Lucro/Ação]]/[Ref]*4),0)</f>
        <v>0</v>
      </c>
      <c r="AF279" s="93" t="e">
        <f>IF([Div. Mínimo]=0,0,[Lucro Distribuir]*#REF!/[Total Ações])</f>
        <v>#REF!</v>
      </c>
      <c r="AG279" s="96">
        <f>[Lucro Distribuir]/[Total Ações]</f>
        <v>2.6528022801167972</v>
      </c>
      <c r="AH279" s="96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I279" s="14" t="str">
        <f>IF(AND([% A.A.]&gt;=8%,SUMPRODUCT(N([Nome]=Tabela3[[#This Row],[Nome]]),[PL])&gt;0),"Sim","Não")</f>
        <v>Não</v>
      </c>
      <c r="AJ279" s="43">
        <f>IF([Cotação]&gt;0,Tabela3[[#This Row],[Lucro]]/Tabela3[[#This Row],[Cotação]],0)</f>
        <v>0</v>
      </c>
      <c r="AK279" s="19">
        <f>((1+Tabela3[[#This Row],[% Yield]])^(1/(3*Tabela3[[#This Row],[Ref]])))^(12)-1</f>
        <v>0</v>
      </c>
      <c r="AL279" s="14">
        <f>IF([Cotação]&gt;0,($AR$1/Tabela3[[#This Row],[Cotação]]-MOD($AR$1/Tabela3[[#This Row],[Cotação]],100)),)</f>
        <v>0</v>
      </c>
      <c r="AM279" s="17">
        <f>Tabela3[[#This Row],[Ativos]]*[Lucro]</f>
        <v>0</v>
      </c>
      <c r="AN279" s="17">
        <f>SUMPRODUCT(N(Tabela1[Código]=Tabela3[[#This Row],[PAPEL]]),Tabela1[Fechamento])</f>
        <v>0</v>
      </c>
      <c r="AO279" s="17">
        <f>SUMPRODUCT(N(Tabela17[Código]=Tabela3[[#This Row],[PAPEL]]),Tabela17[Fechamento])</f>
        <v>0</v>
      </c>
      <c r="AP279" s="7">
        <f>SUMPRODUCT(N(Tabela176[Código]=Tabela3[[#This Row],[PAPEL]]),Tabela176[Fechamento])</f>
        <v>0</v>
      </c>
    </row>
    <row r="280" spans="1:42" hidden="1">
      <c r="A280" s="4" t="s">
        <v>354</v>
      </c>
      <c r="B280" s="65" t="s">
        <v>355</v>
      </c>
      <c r="C280" s="101" t="str">
        <f>LEFT([PAPEL],LEN([PAPEL])-(LEN([PAPEL])-4))</f>
        <v>VALE</v>
      </c>
      <c r="D280" s="15">
        <v>3</v>
      </c>
      <c r="E280" s="6">
        <v>75000000000</v>
      </c>
      <c r="F280" s="8">
        <v>2108579618</v>
      </c>
      <c r="G280" s="100">
        <v>0.25</v>
      </c>
      <c r="H280" s="9">
        <v>0.03</v>
      </c>
      <c r="I280" s="19">
        <v>0.06</v>
      </c>
      <c r="J280" s="19"/>
      <c r="K280" s="108"/>
      <c r="L280" s="108"/>
      <c r="M280" s="6">
        <v>165456334000</v>
      </c>
      <c r="N280" s="5">
        <v>14982201000</v>
      </c>
      <c r="O280" s="6">
        <f>Tabela3[[#This Row],[Capital Social]]*20%</f>
        <v>15000000000</v>
      </c>
      <c r="P280" s="6">
        <f>IF(([Lucro Líquido]*5%)&gt;[Teto R. Legal],[Teto R. Legal],[Lucro Líquido]*5%)</f>
        <v>749110050</v>
      </c>
      <c r="Q280" s="6">
        <f>IF([Lucro Líquido]&lt;0,0,[Lucro Líquido]-[Reserva Legal])</f>
        <v>14233090950</v>
      </c>
      <c r="R280" s="6">
        <f>Tabela3[[#This Row],[Lucro Distribuir]]*[%Div]</f>
        <v>3558272737.5</v>
      </c>
      <c r="S280" s="57">
        <f>SUMPRODUCT(N([Nome]=Tabela3[[#This Row],[Nome]]),[Ações])</f>
        <v>5365304100</v>
      </c>
      <c r="T280" s="6">
        <f>[Capital Social]/[Total Ações]</f>
        <v>13.97870439440702</v>
      </c>
      <c r="U280" s="96">
        <f>Tabela3[[#This Row],[Lucro Líquido]]/Tabela3[[#This Row],[Total Ações]]</f>
        <v>2.7924234527545231</v>
      </c>
      <c r="V2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X2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0.83872226366442115</v>
      </c>
      <c r="Y2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Z280" s="6">
        <f>[Div Base]*[Ações]</f>
        <v>1950744153.764185</v>
      </c>
      <c r="AA280" s="6">
        <f>SUMPRODUCT(N([Nome]=Tabela3[[#This Row],[Nome]]),[Div Base]*[Ações])</f>
        <v>3558272737.5</v>
      </c>
      <c r="AB280" s="6">
        <f>[Patrimônio Líquido]/[Total Ações]</f>
        <v>30.838202442243674</v>
      </c>
      <c r="AC280" s="49">
        <f>MAX(Tabela3[[#This Row],[Cotação 1]:[Cotação 3]])</f>
        <v>28.54</v>
      </c>
      <c r="AD280" s="45">
        <f>[Cotação]/[VPA]</f>
        <v>0.92547547326897739</v>
      </c>
      <c r="AE280" s="41">
        <f>IF(Tabela3[[#This Row],[Lucro/Ação]]&gt;0,Tabela3[[#This Row],[Cotação]]/(Tabela3[[#This Row],[Lucro/Ação]]/[Ref]*4),0)</f>
        <v>7.6653846961804888</v>
      </c>
      <c r="AF280" s="41" t="e">
        <f>IF([Div. Mínimo]=0,0,[Lucro Distribuir]*#REF!/[Total Ações])</f>
        <v>#REF!</v>
      </c>
      <c r="AG280" s="96">
        <f>[Lucro Distribuir]/[Total Ações]</f>
        <v>2.6528022801167972</v>
      </c>
      <c r="AH280" s="96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I280" s="15" t="str">
        <f>IF(AND([% A.A.]&gt;=8%,SUMPRODUCT(N([Nome]=Tabela3[[#This Row],[Nome]]),[PL])&gt;0),"Sim","Não")</f>
        <v>Não</v>
      </c>
      <c r="AJ280" s="43">
        <f>IF([Cotação]&gt;0,Tabela3[[#This Row],[Lucro]]/Tabela3[[#This Row],[Cotação]],0)</f>
        <v>3.2415769911258246E-2</v>
      </c>
      <c r="AK280" s="19">
        <f>((1+Tabela3[[#This Row],[% Yield]])^(1/(3*Tabela3[[#This Row],[Ref]])))^(12)-1</f>
        <v>4.3452873954433757E-2</v>
      </c>
      <c r="AL280" s="14">
        <f>IF([Cotação]&gt;0,($AR$1/Tabela3[[#This Row],[Cotação]]-MOD($AR$1/Tabela3[[#This Row],[Cotação]],100)),)</f>
        <v>0</v>
      </c>
      <c r="AM280" s="17">
        <f>Tabela3[[#This Row],[Ativos]]*[Lucro]</f>
        <v>0</v>
      </c>
      <c r="AN280" s="13">
        <f>SUMPRODUCT(N(Tabela1[Código]=Tabela3[[#This Row],[PAPEL]]),Tabela1[Fechamento])</f>
        <v>0</v>
      </c>
      <c r="AO280" s="56">
        <f>SUMPRODUCT(N(Tabela17[Código]=Tabela3[[#This Row],[PAPEL]]),Tabela17[Fechamento])</f>
        <v>28.54</v>
      </c>
      <c r="AP280" s="7">
        <f>SUMPRODUCT(N(Tabela176[Código]=Tabela3[[#This Row],[PAPEL]]),Tabela176[Fechamento])</f>
        <v>0</v>
      </c>
    </row>
    <row r="281" spans="1:42" hidden="1">
      <c r="A281" s="3" t="s">
        <v>305</v>
      </c>
      <c r="B281" s="66" t="s">
        <v>303</v>
      </c>
      <c r="C281" s="102" t="str">
        <f>LEFT([PAPEL],LEN([PAPEL])-(LEN([PAPEL])-4))</f>
        <v>VIGR</v>
      </c>
      <c r="D281" s="16">
        <v>3</v>
      </c>
      <c r="E281" s="5"/>
      <c r="G281" s="106">
        <v>0.25</v>
      </c>
      <c r="H281" s="16"/>
      <c r="I281" s="18"/>
      <c r="K281" s="107"/>
      <c r="L281" s="107"/>
      <c r="M281" s="5">
        <v>1326579000</v>
      </c>
      <c r="N281" s="5">
        <v>106731000</v>
      </c>
      <c r="O281" s="5">
        <f>Tabela3[[#This Row],[Capital Social]]*20%</f>
        <v>0</v>
      </c>
      <c r="P281" s="5">
        <f>IF(([Lucro Líquido]*5%)&gt;[Teto R. Legal],[Teto R. Legal],[Lucro Líquido]*5%)</f>
        <v>0</v>
      </c>
      <c r="Q281" s="5">
        <f>IF([Lucro Líquido]&lt;0,0,[Lucro Líquido]-[Reserva Legal])</f>
        <v>106731000</v>
      </c>
      <c r="R281" s="5">
        <f>Tabela3[[#This Row],[Lucro Distribuir]]*[%Div]</f>
        <v>26682750</v>
      </c>
      <c r="S281" s="21">
        <v>149714346</v>
      </c>
      <c r="T281" s="5">
        <f>[Capital Social]/[Total Ações]</f>
        <v>0</v>
      </c>
      <c r="U281" s="95">
        <f>Tabela3[[#This Row],[Lucro Líquido]]/Tabela3[[#This Row],[Total Ações]]</f>
        <v>0.71289761369962501</v>
      </c>
      <c r="V28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1" s="5">
        <f>[Div Base]*[Ações]</f>
        <v>0</v>
      </c>
      <c r="AA281" s="5">
        <f>SUMPRODUCT(N([Nome]=Tabela3[[#This Row],[Nome]]),[Div Base]*[Ações])</f>
        <v>0</v>
      </c>
      <c r="AB281" s="5">
        <f>[Patrimônio Líquido]/[Total Ações]</f>
        <v>8.8607340274525193</v>
      </c>
      <c r="AC281" s="53">
        <f>MAX(Tabela3[[#This Row],[Cotação 1]:[Cotação 3]])</f>
        <v>8.67</v>
      </c>
      <c r="AD281" s="54">
        <f>[Cotação]/[VPA]</f>
        <v>0.97847424075007972</v>
      </c>
      <c r="AE281" s="38">
        <f>IF(Tabela3[[#This Row],[Lucro/Ação]]&gt;0,Tabela3[[#This Row],[Cotação]]/(Tabela3[[#This Row],[Lucro/Ação]]/[Ref]*4),0)</f>
        <v>9.1212256501391344</v>
      </c>
      <c r="AF281" s="38">
        <f>IF([Div. Mínimo]=0,0,[Lucro Distribuir]*#REF!/[Total Ações])</f>
        <v>0</v>
      </c>
      <c r="AG281" s="95">
        <f>[Lucro Distribuir]/[Total Ações]</f>
        <v>0.71289761369962501</v>
      </c>
      <c r="AH28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1" s="16" t="str">
        <f>IF(AND([% A.A.]&gt;=8%,SUMPRODUCT(N([Nome]=Tabela3[[#This Row],[Nome]]),[PL])&gt;0),"Sim","Não")</f>
        <v>Não</v>
      </c>
      <c r="AJ281" s="22">
        <f>IF([Cotação]&gt;0,Tabela3[[#This Row],[Lucro]]/Tabela3[[#This Row],[Cotação]],0)</f>
        <v>0</v>
      </c>
      <c r="AK281" s="18">
        <f>((1+Tabela3[[#This Row],[% Yield]])^(1/(3*Tabela3[[#This Row],[Ref]])))^(12)-1</f>
        <v>0</v>
      </c>
      <c r="AL281" s="10">
        <f>IF([Cotação]&gt;0,($AR$1/Tabela3[[#This Row],[Cotação]]-MOD($AR$1/Tabela3[[#This Row],[Cotação]],100)),)</f>
        <v>0</v>
      </c>
      <c r="AM281" s="7">
        <f>Tabela3[[#This Row],[Ativos]]*[Lucro]</f>
        <v>0</v>
      </c>
      <c r="AN281" s="48">
        <f>SUMPRODUCT(N(Tabela1[Código]=Tabela3[[#This Row],[PAPEL]]),Tabela1[Fechamento])</f>
        <v>0</v>
      </c>
      <c r="AO281" s="55">
        <f>SUMPRODUCT(N(Tabela17[Código]=Tabela3[[#This Row],[PAPEL]]),Tabela17[Fechamento])</f>
        <v>8.67</v>
      </c>
      <c r="AP281" s="7">
        <f>SUMPRODUCT(N(Tabela176[Código]=Tabela3[[#This Row],[PAPEL]]),Tabela176[Fechamento])</f>
        <v>0</v>
      </c>
    </row>
    <row r="282" spans="1:42" hidden="1">
      <c r="A282" s="3" t="s">
        <v>313</v>
      </c>
      <c r="B282" s="66" t="s">
        <v>314</v>
      </c>
      <c r="C282" s="102" t="str">
        <f>LEFT([PAPEL],LEN([PAPEL])-(LEN([PAPEL])-4))</f>
        <v>VIVT</v>
      </c>
      <c r="D282" s="16">
        <v>3</v>
      </c>
      <c r="E282" s="5">
        <v>37798109745.029999</v>
      </c>
      <c r="F282" s="57">
        <v>381587111</v>
      </c>
      <c r="G282" s="100">
        <v>0.25</v>
      </c>
      <c r="H282" s="18"/>
      <c r="I282" s="18"/>
      <c r="K282" s="107"/>
      <c r="L282" s="107"/>
      <c r="M282" s="5">
        <v>43631075000</v>
      </c>
      <c r="N282" s="5">
        <v>2484629000</v>
      </c>
      <c r="O282" s="5">
        <f>Tabela3[[#This Row],[Capital Social]]*20%</f>
        <v>7559621949.0060005</v>
      </c>
      <c r="P282" s="5">
        <f>IF(([Lucro Líquido]*5%)&gt;[Teto R. Legal],[Teto R. Legal],[Lucro Líquido]*5%)</f>
        <v>124231450</v>
      </c>
      <c r="Q282" s="5">
        <f>IF([Lucro Líquido]&lt;0,0,[Lucro Líquido]-[Reserva Legal])</f>
        <v>2360397550</v>
      </c>
      <c r="R282" s="5">
        <f>Tabela3[[#This Row],[Lucro Distribuir]]*[%Div]</f>
        <v>590099387.5</v>
      </c>
      <c r="S282" s="57">
        <f>SUMPRODUCT(N([Nome]=Tabela3[[#This Row],[Nome]]),[Ações])</f>
        <v>1125601930</v>
      </c>
      <c r="T282" s="5">
        <f>[Capital Social]/[Total Ações]</f>
        <v>33.580352642989872</v>
      </c>
      <c r="U282" s="95">
        <f>Tabela3[[#This Row],[Lucro Líquido]]/Tabela3[[#This Row],[Total Ações]]</f>
        <v>2.2073780559349254</v>
      </c>
      <c r="V28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W28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82" s="5">
        <f>[Div Base]*[Ações]</f>
        <v>193823664.74888858</v>
      </c>
      <c r="AA282" s="5">
        <f>SUMPRODUCT(N([Nome]=Tabela3[[#This Row],[Nome]]),[Div Base]*[Ações])</f>
        <v>609530700.90182471</v>
      </c>
      <c r="AB282" s="5">
        <f>[Patrimônio Líquido]/[Total Ações]</f>
        <v>38.762437978406808</v>
      </c>
      <c r="AC282" s="53">
        <f>MAX(Tabela3[[#This Row],[Cotação 1]:[Cotação 3]])</f>
        <v>39.65</v>
      </c>
      <c r="AD282" s="54">
        <f>[Cotação]/[VPA]</f>
        <v>1.0228974767296015</v>
      </c>
      <c r="AE282" s="38">
        <f>IF(Tabela3[[#This Row],[Lucro/Ação]]&gt;0,Tabela3[[#This Row],[Cotação]]/(Tabela3[[#This Row],[Lucro/Ação]]/[Ref]*4),0)</f>
        <v>13.471865374418073</v>
      </c>
      <c r="AF282" s="38" t="e">
        <f>IF([Div. Mínimo]=0,0,[Lucro Distribuir]*#REF!/[Total Ações])</f>
        <v>#REF!</v>
      </c>
      <c r="AG282" s="95">
        <f>[Lucro Distribuir]/[Total Ações]</f>
        <v>2.0970091531381789</v>
      </c>
      <c r="AH282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82" s="16" t="str">
        <f>IF(AND([% A.A.]&gt;=8%,SUMPRODUCT(N([Nome]=Tabela3[[#This Row],[Nome]]),[PL])&gt;0),"Sim","Não")</f>
        <v>Não</v>
      </c>
      <c r="AJ282" s="22">
        <f>IF([Cotação]&gt;0,Tabela3[[#This Row],[Lucro]]/Tabela3[[#This Row],[Cotação]],0)</f>
        <v>1.2810613015744293E-2</v>
      </c>
      <c r="AK282" s="18">
        <f>((1+Tabela3[[#This Row],[% Yield]])^(1/(3*Tabela3[[#This Row],[Ref]])))^(12)-1</f>
        <v>1.7117183374046219E-2</v>
      </c>
      <c r="AL282" s="10">
        <f>IF([Cotação]&gt;0,($AR$1/Tabela3[[#This Row],[Cotação]]-MOD($AR$1/Tabela3[[#This Row],[Cotação]],100)),)</f>
        <v>0</v>
      </c>
      <c r="AM282" s="7">
        <f>Tabela3[[#This Row],[Ativos]]*[Lucro]</f>
        <v>0</v>
      </c>
      <c r="AN282" s="48">
        <f>SUMPRODUCT(N(Tabela1[Código]=Tabela3[[#This Row],[PAPEL]]),Tabela1[Fechamento])</f>
        <v>0</v>
      </c>
      <c r="AO282" s="55">
        <f>SUMPRODUCT(N(Tabela17[Código]=Tabela3[[#This Row],[PAPEL]]),Tabela17[Fechamento])</f>
        <v>39.65</v>
      </c>
      <c r="AP282" s="7">
        <f>SUMPRODUCT(N(Tabela176[Código]=Tabela3[[#This Row],[PAPEL]]),Tabela176[Fechamento])</f>
        <v>0</v>
      </c>
    </row>
    <row r="283" spans="1:42" hidden="1">
      <c r="A283" s="3" t="s">
        <v>313</v>
      </c>
      <c r="B283" s="66" t="s">
        <v>315</v>
      </c>
      <c r="C283" s="102" t="str">
        <f>LEFT([PAPEL],LEN([PAPEL])-(LEN([PAPEL])-4))</f>
        <v>VIVT</v>
      </c>
      <c r="D283" s="16">
        <v>3</v>
      </c>
      <c r="E283" s="5">
        <v>37798109745.029999</v>
      </c>
      <c r="F283" s="57">
        <v>744014819</v>
      </c>
      <c r="G283" s="106">
        <v>0.25</v>
      </c>
      <c r="H283" s="18"/>
      <c r="I283" s="18"/>
      <c r="J283" s="18">
        <v>0.1</v>
      </c>
      <c r="K283" s="107"/>
      <c r="L283" s="107"/>
      <c r="M283" s="5">
        <v>43631075000</v>
      </c>
      <c r="N283" s="5">
        <v>2484629000</v>
      </c>
      <c r="O283" s="5">
        <f>Tabela3[[#This Row],[Capital Social]]*20%</f>
        <v>7559621949.0060005</v>
      </c>
      <c r="P283" s="5">
        <f>IF(([Lucro Líquido]*5%)&gt;[Teto R. Legal],[Teto R. Legal],[Lucro Líquido]*5%)</f>
        <v>124231450</v>
      </c>
      <c r="Q283" s="5">
        <f>IF([Lucro Líquido]&lt;0,0,[Lucro Líquido]-[Reserva Legal])</f>
        <v>2360397550</v>
      </c>
      <c r="R283" s="5">
        <f>Tabela3[[#This Row],[Lucro Distribuir]]*[%Div]</f>
        <v>590099387.5</v>
      </c>
      <c r="S283" s="57">
        <f>SUMPRODUCT(N([Nome]=Tabela3[[#This Row],[Nome]]),[Ações])</f>
        <v>1125601930</v>
      </c>
      <c r="T283" s="5">
        <f>[Capital Social]/[Total Ações]</f>
        <v>33.580352642989872</v>
      </c>
      <c r="U283" s="95">
        <f>Tabela3[[#This Row],[Lucro Líquido]]/Tabela3[[#This Row],[Total Ações]]</f>
        <v>2.2073780559349254</v>
      </c>
      <c r="V28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W28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83" s="5">
        <f>[Div Base]*[Ações]</f>
        <v>415707036.15293616</v>
      </c>
      <c r="AA283" s="5">
        <f>SUMPRODUCT(N([Nome]=Tabela3[[#This Row],[Nome]]),[Div Base]*[Ações])</f>
        <v>609530700.90182471</v>
      </c>
      <c r="AB283" s="5">
        <f>[Patrimônio Líquido]/[Total Ações]</f>
        <v>38.762437978406808</v>
      </c>
      <c r="AC283" s="53">
        <f>MAX(Tabela3[[#This Row],[Cotação 1]:[Cotação 3]])</f>
        <v>45.9</v>
      </c>
      <c r="AD283" s="54">
        <f>[Cotação]/[VPA]</f>
        <v>1.1841360449404466</v>
      </c>
      <c r="AE283" s="38">
        <f>IF(Tabela3[[#This Row],[Lucro/Ação]]&gt;0,Tabela3[[#This Row],[Cotação]]/(Tabela3[[#This Row],[Lucro/Ação]]/[Ref]*4),0)</f>
        <v>15.595425490183846</v>
      </c>
      <c r="AF283" s="38" t="e">
        <f>IF([Div. Mínimo]=0,0,[Lucro Distribuir]*#REF!/[Total Ações])</f>
        <v>#REF!</v>
      </c>
      <c r="AG283" s="95">
        <f>[Lucro Distribuir]/[Total Ações]</f>
        <v>2.0970091531381789</v>
      </c>
      <c r="AH283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83" s="16" t="str">
        <f>IF(AND([% A.A.]&gt;=8%,SUMPRODUCT(N([Nome]=Tabela3[[#This Row],[Nome]]),[PL])&gt;0),"Sim","Não")</f>
        <v>Não</v>
      </c>
      <c r="AJ283" s="22">
        <f>IF([Cotação]&gt;0,Tabela3[[#This Row],[Lucro]]/Tabela3[[#This Row],[Cotação]],0)</f>
        <v>1.2172873364860469E-2</v>
      </c>
      <c r="AK283" s="18">
        <f>((1+Tabela3[[#This Row],[% Yield]])^(1/(3*Tabela3[[#This Row],[Ref]])))^(12)-1</f>
        <v>1.6263337826443847E-2</v>
      </c>
      <c r="AL283" s="10">
        <f>IF([Cotação]&gt;0,($AR$1/Tabela3[[#This Row],[Cotação]]-MOD($AR$1/Tabela3[[#This Row],[Cotação]],100)),)</f>
        <v>0</v>
      </c>
      <c r="AM283" s="7">
        <f>Tabela3[[#This Row],[Ativos]]*[Lucro]</f>
        <v>0</v>
      </c>
      <c r="AN283" s="48">
        <f>SUMPRODUCT(N(Tabela1[Código]=Tabela3[[#This Row],[PAPEL]]),Tabela1[Fechamento])</f>
        <v>0</v>
      </c>
      <c r="AO283" s="55">
        <f>SUMPRODUCT(N(Tabela17[Código]=Tabela3[[#This Row],[PAPEL]]),Tabela17[Fechamento])</f>
        <v>45.9</v>
      </c>
      <c r="AP283" s="7">
        <f>SUMPRODUCT(N(Tabela176[Código]=Tabela3[[#This Row],[PAPEL]]),Tabela176[Fechamento])</f>
        <v>0</v>
      </c>
    </row>
    <row r="284" spans="1:42" hidden="1">
      <c r="A284" s="4" t="s">
        <v>318</v>
      </c>
      <c r="B284" s="65" t="s">
        <v>799</v>
      </c>
      <c r="C284" s="15" t="str">
        <f>LEFT([PAPEL],LEN([PAPEL])-(LEN([PAPEL])-4))</f>
        <v>BTTL</v>
      </c>
      <c r="D284" s="16">
        <v>3</v>
      </c>
      <c r="E284" s="6">
        <v>151555970</v>
      </c>
      <c r="F284" s="8">
        <v>49911902</v>
      </c>
      <c r="G284" s="100">
        <v>0.25</v>
      </c>
      <c r="H284" s="15"/>
      <c r="I284" s="19"/>
      <c r="J284" s="19"/>
      <c r="K284" s="108"/>
      <c r="L284" s="108"/>
      <c r="M284" s="114">
        <v>-68334000</v>
      </c>
      <c r="N284" s="115">
        <v>-3348000</v>
      </c>
      <c r="O284" s="13">
        <f>Tabela3[[#This Row],[Capital Social]]*20%</f>
        <v>30311194</v>
      </c>
      <c r="P284" s="13">
        <f>IF(([Lucro Líquido]*5%)&gt;[Teto R. Legal],[Teto R. Legal],[Lucro Líquido]*5%)</f>
        <v>-167400</v>
      </c>
      <c r="Q284" s="13">
        <f>IF([Lucro Líquido]&lt;0,0,[Lucro Líquido]-[Reserva Legal])</f>
        <v>0</v>
      </c>
      <c r="R284" s="13">
        <f>Tabela3[[#This Row],[Lucro Distribuir]]*[%Div]</f>
        <v>0</v>
      </c>
      <c r="S284" s="21">
        <f>SUMPRODUCT(N([Nome]=Tabela3[[#This Row],[Nome]]),[Ações])</f>
        <v>149677728</v>
      </c>
      <c r="T284" s="6">
        <f>[Capital Social]/[Total Ações]</f>
        <v>1.0125485736929412</v>
      </c>
      <c r="U284" s="96">
        <f>Tabela3[[#This Row],[Lucro Líquido]]/Tabela3[[#This Row],[Total Ações]]</f>
        <v>-2.2368057323799036E-2</v>
      </c>
      <c r="V2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4" s="13">
        <f>[Div Base]*[Ações]</f>
        <v>0</v>
      </c>
      <c r="AA284" s="13">
        <f>SUMPRODUCT(N([Nome]=Tabela3[[#This Row],[Nome]]),[Div Base]*[Ações])</f>
        <v>0</v>
      </c>
      <c r="AB284" s="113">
        <f>[Patrimônio Líquido]/[Total Ações]</f>
        <v>-0.45654086892607026</v>
      </c>
      <c r="AC284" s="49">
        <f>MAX(Tabela3[[#This Row],[Cotação 1]:[Cotação 3]])</f>
        <v>0.77</v>
      </c>
      <c r="AD284" s="45">
        <f>[Cotação]/[VPA]</f>
        <v>-1.6865959926244622</v>
      </c>
      <c r="AE284" s="41">
        <f>IF(Tabela3[[#This Row],[Lucro/Ação]]&gt;0,Tabela3[[#This Row],[Cotação]]/(Tabela3[[#This Row],[Lucro/Ação]]/[Ref]*4),0)</f>
        <v>0</v>
      </c>
      <c r="AF284" s="109">
        <f>IF([Div. Mínimo]=0,0,[Lucro Distribuir]*#REF!/[Total Ações])</f>
        <v>0</v>
      </c>
      <c r="AG284" s="96">
        <f>[Lucro Distribuir]/[Total Ações]</f>
        <v>0</v>
      </c>
      <c r="AH2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4" s="14" t="str">
        <f>IF(AND([% A.A.]&gt;=8%,SUMPRODUCT(N([Nome]=Tabela3[[#This Row],[Nome]]),[PL])&gt;0),"Sim","Não")</f>
        <v>Não</v>
      </c>
      <c r="AJ284" s="43">
        <f>IF([Cotação]&gt;0,Tabela3[[#This Row],[Lucro]]/Tabela3[[#This Row],[Cotação]],0)</f>
        <v>0</v>
      </c>
      <c r="AK284" s="43">
        <f>((1+Tabela3[[#This Row],[% Yield]])^(1/(3*Tabela3[[#This Row],[Ref]])))^(12)-1</f>
        <v>0</v>
      </c>
      <c r="AL284" s="14">
        <f>IF([Cotação]&gt;0,($AR$1/Tabela3[[#This Row],[Cotação]]-MOD($AR$1/Tabela3[[#This Row],[Cotação]],100)),)</f>
        <v>300</v>
      </c>
      <c r="AM284" s="17">
        <f>Tabela3[[#This Row],[Ativos]]*[Lucro]</f>
        <v>0</v>
      </c>
      <c r="AN284" s="17">
        <f>SUMPRODUCT(N(Tabela1[Código]=Tabela3[[#This Row],[PAPEL]]),Tabela1[Fechamento])</f>
        <v>0</v>
      </c>
      <c r="AO284" s="17">
        <f>SUMPRODUCT(N(Tabela17[Código]=Tabela3[[#This Row],[PAPEL]]),Tabela17[Fechamento])</f>
        <v>0</v>
      </c>
      <c r="AP284" s="17">
        <f>SUMPRODUCT(N(Tabela176[Código]=Tabela3[[#This Row],[PAPEL]]),Tabela176[Fechamento])</f>
        <v>0.77</v>
      </c>
    </row>
    <row r="285" spans="1:42" hidden="1">
      <c r="A285" s="4" t="s">
        <v>318</v>
      </c>
      <c r="B285" s="65" t="s">
        <v>800</v>
      </c>
      <c r="C285" s="15" t="str">
        <f>LEFT([PAPEL],LEN([PAPEL])-(LEN([PAPEL])-4))</f>
        <v>BTTL</v>
      </c>
      <c r="D285" s="16">
        <v>3</v>
      </c>
      <c r="E285" s="6">
        <v>151555970</v>
      </c>
      <c r="F285" s="8">
        <v>99765826</v>
      </c>
      <c r="G285" s="100">
        <v>0.25</v>
      </c>
      <c r="H285" s="15"/>
      <c r="I285" s="19"/>
      <c r="J285" s="19"/>
      <c r="K285" s="108"/>
      <c r="L285" s="108"/>
      <c r="M285" s="114">
        <v>-68334000</v>
      </c>
      <c r="N285" s="115">
        <v>-3348000</v>
      </c>
      <c r="O285" s="13">
        <f>Tabela3[[#This Row],[Capital Social]]*20%</f>
        <v>30311194</v>
      </c>
      <c r="P285" s="13">
        <f>IF(([Lucro Líquido]*5%)&gt;[Teto R. Legal],[Teto R. Legal],[Lucro Líquido]*5%)</f>
        <v>-167400</v>
      </c>
      <c r="Q285" s="13">
        <f>IF([Lucro Líquido]&lt;0,0,[Lucro Líquido]-[Reserva Legal])</f>
        <v>0</v>
      </c>
      <c r="R285" s="13">
        <f>Tabela3[[#This Row],[Lucro Distribuir]]*[%Div]</f>
        <v>0</v>
      </c>
      <c r="S285" s="21">
        <f>SUMPRODUCT(N([Nome]=Tabela3[[#This Row],[Nome]]),[Ações])</f>
        <v>149677728</v>
      </c>
      <c r="T285" s="6">
        <f>[Capital Social]/[Total Ações]</f>
        <v>1.0125485736929412</v>
      </c>
      <c r="U285" s="96">
        <f>Tabela3[[#This Row],[Lucro Líquido]]/Tabela3[[#This Row],[Total Ações]]</f>
        <v>-2.2368057323799036E-2</v>
      </c>
      <c r="V2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5" s="13">
        <f>[Div Base]*[Ações]</f>
        <v>0</v>
      </c>
      <c r="AA285" s="13">
        <f>SUMPRODUCT(N([Nome]=Tabela3[[#This Row],[Nome]]),[Div Base]*[Ações])</f>
        <v>0</v>
      </c>
      <c r="AB285" s="113">
        <f>[Patrimônio Líquido]/[Total Ações]</f>
        <v>-0.45654086892607026</v>
      </c>
      <c r="AC285" s="49">
        <f>MAX(Tabela3[[#This Row],[Cotação 1]:[Cotação 3]])</f>
        <v>0.85</v>
      </c>
      <c r="AD285" s="45">
        <f>[Cotação]/[VPA]</f>
        <v>-1.8618267451049257</v>
      </c>
      <c r="AE285" s="41">
        <f>IF(Tabela3[[#This Row],[Lucro/Ação]]&gt;0,Tabela3[[#This Row],[Cotação]]/(Tabela3[[#This Row],[Lucro/Ação]]/[Ref]*4),0)</f>
        <v>0</v>
      </c>
      <c r="AF285" s="109">
        <f>IF([Div. Mínimo]=0,0,[Lucro Distribuir]*#REF!/[Total Ações])</f>
        <v>0</v>
      </c>
      <c r="AG285" s="96">
        <f>[Lucro Distribuir]/[Total Ações]</f>
        <v>0</v>
      </c>
      <c r="AH28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5" s="14" t="str">
        <f>IF(AND([% A.A.]&gt;=8%,SUMPRODUCT(N([Nome]=Tabela3[[#This Row],[Nome]]),[PL])&gt;0),"Sim","Não")</f>
        <v>Não</v>
      </c>
      <c r="AJ285" s="43">
        <f>IF([Cotação]&gt;0,Tabela3[[#This Row],[Lucro]]/Tabela3[[#This Row],[Cotação]],0)</f>
        <v>0</v>
      </c>
      <c r="AK285" s="43">
        <f>((1+Tabela3[[#This Row],[% Yield]])^(1/(3*Tabela3[[#This Row],[Ref]])))^(12)-1</f>
        <v>0</v>
      </c>
      <c r="AL285" s="14">
        <f>IF([Cotação]&gt;0,($AR$1/Tabela3[[#This Row],[Cotação]]-MOD($AR$1/Tabela3[[#This Row],[Cotação]],100)),)</f>
        <v>300</v>
      </c>
      <c r="AM285" s="17">
        <f>Tabela3[[#This Row],[Ativos]]*[Lucro]</f>
        <v>0</v>
      </c>
      <c r="AN285" s="17">
        <f>SUMPRODUCT(N(Tabela1[Código]=Tabela3[[#This Row],[PAPEL]]),Tabela1[Fechamento])</f>
        <v>0</v>
      </c>
      <c r="AO285" s="17">
        <f>SUMPRODUCT(N(Tabela17[Código]=Tabela3[[#This Row],[PAPEL]]),Tabela17[Fechamento])</f>
        <v>0</v>
      </c>
      <c r="AP285" s="17">
        <f>SUMPRODUCT(N(Tabela176[Código]=Tabela3[[#This Row],[PAPEL]]),Tabela176[Fechamento])</f>
        <v>0.85</v>
      </c>
    </row>
    <row r="286" spans="1:42" hidden="1">
      <c r="A286" s="4" t="s">
        <v>318</v>
      </c>
      <c r="B286" s="65" t="s">
        <v>808</v>
      </c>
      <c r="C286" s="15" t="str">
        <f>LEFT([PAPEL],LEN([PAPEL])-(LEN([PAPEL])-4))</f>
        <v>DOCA</v>
      </c>
      <c r="D286" s="15">
        <v>3</v>
      </c>
      <c r="E286" s="6">
        <v>231161118.28999999</v>
      </c>
      <c r="F286" s="8">
        <v>1100656</v>
      </c>
      <c r="G286" s="106">
        <v>0.25</v>
      </c>
      <c r="H286" s="15"/>
      <c r="I286" s="19"/>
      <c r="J286" s="19"/>
      <c r="K286" s="108"/>
      <c r="L286" s="108"/>
      <c r="M286" s="114">
        <v>-367598000</v>
      </c>
      <c r="N286" s="115">
        <v>-10261000</v>
      </c>
      <c r="O286" s="13">
        <f>Tabela3[[#This Row],[Capital Social]]*20%</f>
        <v>46232223.658</v>
      </c>
      <c r="P286" s="13">
        <f>IF(([Lucro Líquido]*5%)&gt;[Teto R. Legal],[Teto R. Legal],[Lucro Líquido]*5%)</f>
        <v>-513050</v>
      </c>
      <c r="Q286" s="13">
        <f>IF([Lucro Líquido]&lt;0,0,[Lucro Líquido]-[Reserva Legal])</f>
        <v>0</v>
      </c>
      <c r="R286" s="13">
        <f>Tabela3[[#This Row],[Lucro Distribuir]]*[%Div]</f>
        <v>0</v>
      </c>
      <c r="S286" s="21">
        <f>SUMPRODUCT(N([Nome]=Tabela3[[#This Row],[Nome]]),[Ações])</f>
        <v>1159044</v>
      </c>
      <c r="T286" s="6">
        <f>[Capital Social]/[Total Ações]</f>
        <v>199.4411931643665</v>
      </c>
      <c r="U286" s="96">
        <f>Tabela3[[#This Row],[Lucro Líquido]]/Tabela3[[#This Row],[Total Ações]]</f>
        <v>-8.8529857365207878</v>
      </c>
      <c r="V2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6" s="13">
        <f>[Div Base]*[Ações]</f>
        <v>0</v>
      </c>
      <c r="AA286" s="13">
        <f>SUMPRODUCT(N([Nome]=Tabela3[[#This Row],[Nome]]),[Div Base]*[Ações])</f>
        <v>0</v>
      </c>
      <c r="AB286" s="113">
        <f>[Patrimônio Líquido]/[Total Ações]</f>
        <v>-317.15620804732174</v>
      </c>
      <c r="AC286" s="49">
        <f>MAX(Tabela3[[#This Row],[Cotação 1]:[Cotação 3]])</f>
        <v>11</v>
      </c>
      <c r="AD286" s="45">
        <f>[Cotação]/[VPA]</f>
        <v>-3.4683224609491893E-2</v>
      </c>
      <c r="AE286" s="41">
        <f>IF(Tabela3[[#This Row],[Lucro/Ação]]&gt;0,Tabela3[[#This Row],[Cotação]]/(Tabela3[[#This Row],[Lucro/Ação]]/[Ref]*4),0)</f>
        <v>0</v>
      </c>
      <c r="AF286" s="109">
        <f>IF([Div. Mínimo]=0,0,[Lucro Distribuir]*#REF!/[Total Ações])</f>
        <v>0</v>
      </c>
      <c r="AG286" s="96">
        <f>[Lucro Distribuir]/[Total Ações]</f>
        <v>0</v>
      </c>
      <c r="AH2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6" s="14" t="str">
        <f>IF(AND([% A.A.]&gt;=8%,SUMPRODUCT(N([Nome]=Tabela3[[#This Row],[Nome]]),[PL])&gt;0),"Sim","Não")</f>
        <v>Não</v>
      </c>
      <c r="AJ286" s="43">
        <f>IF([Cotação]&gt;0,Tabela3[[#This Row],[Lucro]]/Tabela3[[#This Row],[Cotação]],0)</f>
        <v>0</v>
      </c>
      <c r="AK286" s="43">
        <f>((1+Tabela3[[#This Row],[% Yield]])^(1/(3*Tabela3[[#This Row],[Ref]])))^(12)-1</f>
        <v>0</v>
      </c>
      <c r="AL286" s="14">
        <f>IF([Cotação]&gt;0,($AR$1/Tabela3[[#This Row],[Cotação]]-MOD($AR$1/Tabela3[[#This Row],[Cotação]],100)),)</f>
        <v>0</v>
      </c>
      <c r="AM286" s="17">
        <f>Tabela3[[#This Row],[Ativos]]*[Lucro]</f>
        <v>0</v>
      </c>
      <c r="AN286" s="17">
        <f>SUMPRODUCT(N(Tabela1[Código]=Tabela3[[#This Row],[PAPEL]]),Tabela1[Fechamento])</f>
        <v>0</v>
      </c>
      <c r="AO286" s="17">
        <f>SUMPRODUCT(N(Tabela17[Código]=Tabela3[[#This Row],[PAPEL]]),Tabela17[Fechamento])</f>
        <v>0</v>
      </c>
      <c r="AP286" s="17">
        <f>SUMPRODUCT(N(Tabela176[Código]=Tabela3[[#This Row],[PAPEL]]),Tabela176[Fechamento])</f>
        <v>11</v>
      </c>
    </row>
    <row r="287" spans="1:42" hidden="1">
      <c r="A287" s="4" t="s">
        <v>318</v>
      </c>
      <c r="B287" s="65" t="s">
        <v>809</v>
      </c>
      <c r="C287" s="15" t="str">
        <f>LEFT([PAPEL],LEN([PAPEL])-(LEN([PAPEL])-4))</f>
        <v>DOCA</v>
      </c>
      <c r="D287" s="15">
        <v>3</v>
      </c>
      <c r="E287" s="6">
        <v>231161118.28999999</v>
      </c>
      <c r="F287" s="8">
        <v>58388</v>
      </c>
      <c r="G287" s="106">
        <v>0.25</v>
      </c>
      <c r="H287" s="15"/>
      <c r="I287" s="19"/>
      <c r="J287" s="19">
        <v>0.1</v>
      </c>
      <c r="K287" s="108"/>
      <c r="L287" s="108"/>
      <c r="M287" s="114">
        <v>-367598000</v>
      </c>
      <c r="N287" s="115">
        <v>-10261000</v>
      </c>
      <c r="O287" s="13">
        <f>Tabela3[[#This Row],[Capital Social]]*20%</f>
        <v>46232223.658</v>
      </c>
      <c r="P287" s="13">
        <f>IF(([Lucro Líquido]*5%)&gt;[Teto R. Legal],[Teto R. Legal],[Lucro Líquido]*5%)</f>
        <v>-513050</v>
      </c>
      <c r="Q287" s="13">
        <f>IF([Lucro Líquido]&lt;0,0,[Lucro Líquido]-[Reserva Legal])</f>
        <v>0</v>
      </c>
      <c r="R287" s="13">
        <f>Tabela3[[#This Row],[Lucro Distribuir]]*[%Div]</f>
        <v>0</v>
      </c>
      <c r="S287" s="21">
        <f>SUMPRODUCT(N([Nome]=Tabela3[[#This Row],[Nome]]),[Ações])</f>
        <v>1159044</v>
      </c>
      <c r="T287" s="6">
        <f>[Capital Social]/[Total Ações]</f>
        <v>199.4411931643665</v>
      </c>
      <c r="U287" s="96">
        <f>Tabela3[[#This Row],[Lucro Líquido]]/Tabela3[[#This Row],[Total Ações]]</f>
        <v>-8.8529857365207878</v>
      </c>
      <c r="V2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7" s="13">
        <f>[Div Base]*[Ações]</f>
        <v>0</v>
      </c>
      <c r="AA287" s="13">
        <f>SUMPRODUCT(N([Nome]=Tabela3[[#This Row],[Nome]]),[Div Base]*[Ações])</f>
        <v>0</v>
      </c>
      <c r="AB287" s="113">
        <f>[Patrimônio Líquido]/[Total Ações]</f>
        <v>-317.15620804732174</v>
      </c>
      <c r="AC287" s="49">
        <f>MAX(Tabela3[[#This Row],[Cotação 1]:[Cotação 3]])</f>
        <v>5.01</v>
      </c>
      <c r="AD287" s="45">
        <f>[Cotação]/[VPA]</f>
        <v>-1.5796632299414033E-2</v>
      </c>
      <c r="AE287" s="41">
        <f>IF(Tabela3[[#This Row],[Lucro/Ação]]&gt;0,Tabela3[[#This Row],[Cotação]]/(Tabela3[[#This Row],[Lucro/Ação]]/[Ref]*4),0)</f>
        <v>0</v>
      </c>
      <c r="AF287" s="109">
        <f>IF([Div. Mínimo]=0,0,[Lucro Distribuir]*#REF!/[Total Ações])</f>
        <v>0</v>
      </c>
      <c r="AG287" s="96">
        <f>[Lucro Distribuir]/[Total Ações]</f>
        <v>0</v>
      </c>
      <c r="AH2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7" s="14" t="str">
        <f>IF(AND([% A.A.]&gt;=8%,SUMPRODUCT(N([Nome]=Tabela3[[#This Row],[Nome]]),[PL])&gt;0),"Sim","Não")</f>
        <v>Não</v>
      </c>
      <c r="AJ287" s="43">
        <f>IF([Cotação]&gt;0,Tabela3[[#This Row],[Lucro]]/Tabela3[[#This Row],[Cotação]],0)</f>
        <v>0</v>
      </c>
      <c r="AK287" s="43">
        <f>((1+Tabela3[[#This Row],[% Yield]])^(1/(3*Tabela3[[#This Row],[Ref]])))^(12)-1</f>
        <v>0</v>
      </c>
      <c r="AL287" s="14">
        <f>IF([Cotação]&gt;0,($AR$1/Tabela3[[#This Row],[Cotação]]-MOD($AR$1/Tabela3[[#This Row],[Cotação]],100)),)</f>
        <v>0</v>
      </c>
      <c r="AM287" s="17">
        <f>Tabela3[[#This Row],[Ativos]]*[Lucro]</f>
        <v>0</v>
      </c>
      <c r="AN287" s="17">
        <f>SUMPRODUCT(N(Tabela1[Código]=Tabela3[[#This Row],[PAPEL]]),Tabela1[Fechamento])</f>
        <v>0</v>
      </c>
      <c r="AO287" s="17">
        <f>SUMPRODUCT(N(Tabela17[Código]=Tabela3[[#This Row],[PAPEL]]),Tabela17[Fechamento])</f>
        <v>0</v>
      </c>
      <c r="AP287" s="17">
        <f>SUMPRODUCT(N(Tabela176[Código]=Tabela3[[#This Row],[PAPEL]]),Tabela176[Fechamento])</f>
        <v>5.01</v>
      </c>
    </row>
    <row r="288" spans="1:42">
      <c r="A288" s="4" t="s">
        <v>12</v>
      </c>
      <c r="B288" s="65" t="s">
        <v>71</v>
      </c>
      <c r="C288" s="14" t="str">
        <f>LEFT([PAPEL],LEN([PAPEL])-(LEN([PAPEL])-4))</f>
        <v>CLSC</v>
      </c>
      <c r="D288" s="15">
        <v>3</v>
      </c>
      <c r="E288" s="6">
        <v>1017700000</v>
      </c>
      <c r="F288" s="8">
        <v>23044454</v>
      </c>
      <c r="G288" s="106">
        <v>0.25</v>
      </c>
      <c r="H288" s="15"/>
      <c r="I288" s="19"/>
      <c r="J288" s="19"/>
      <c r="K288" s="108"/>
      <c r="L288" s="108"/>
      <c r="M288" s="110">
        <v>1927248000</v>
      </c>
      <c r="N288" s="110">
        <v>149553000</v>
      </c>
      <c r="O288" s="6">
        <f>Tabela3[[#This Row],[Capital Social]]*20%</f>
        <v>203540000</v>
      </c>
      <c r="P288" s="6">
        <f>IF(([Lucro Líquido]*5%)&gt;[Teto R. Legal],[Teto R. Legal],[Lucro Líquido]*5%)</f>
        <v>7477650</v>
      </c>
      <c r="Q288" s="110">
        <f>IF([Lucro Líquido]&lt;0,0,[Lucro Líquido]-[Reserva Legal])</f>
        <v>142075350</v>
      </c>
      <c r="R288" s="110">
        <f>Tabela3[[#This Row],[Lucro Distribuir]]*[%Div]</f>
        <v>35518837.5</v>
      </c>
      <c r="S288" s="57">
        <f>SUMPRODUCT(N([Nome]=Tabela3[[#This Row],[Nome]]),[Ações])</f>
        <v>38571591</v>
      </c>
      <c r="T288" s="6">
        <f>[Capital Social]/[Total Ações]</f>
        <v>26.384703705895877</v>
      </c>
      <c r="U288" s="96">
        <f>Tabela3[[#This Row],[Lucro Líquido]]/Tabela3[[#This Row],[Total Ações]]</f>
        <v>3.8772836723276467</v>
      </c>
      <c r="V2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2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288" s="6">
        <f>[Div Base]*[Ações]</f>
        <v>21220597.74257756</v>
      </c>
      <c r="AA288" s="6">
        <f>SUMPRODUCT(N([Nome]=Tabela3[[#This Row],[Nome]]),[Div Base]*[Ações])</f>
        <v>35518837.5</v>
      </c>
      <c r="AB288" s="110">
        <f>[Patrimônio Líquido]/[Total Ações]</f>
        <v>49.965478478707297</v>
      </c>
      <c r="AC288" s="49">
        <f>MAX(Tabela3[[#This Row],[Cotação 1]:[Cotação 3]])</f>
        <v>15.4</v>
      </c>
      <c r="AD288" s="45">
        <f>[Cotação]/[VPA]</f>
        <v>0.30821279949440861</v>
      </c>
      <c r="AE288" s="41">
        <f>IF(Tabela3[[#This Row],[Lucro/Ação]]&gt;0,Tabela3[[#This Row],[Cotação]]/(Tabela3[[#This Row],[Lucro/Ação]]/[Ref]*4),0)</f>
        <v>2.9788895980020462</v>
      </c>
      <c r="AF288" s="41" t="e">
        <f>IF([Div. Mínimo]=0,0,[Lucro Distribuir]*#REF!/[Total Ações])</f>
        <v>#REF!</v>
      </c>
      <c r="AG288" s="96">
        <f>[Lucro Distribuir]/[Total Ações]</f>
        <v>3.6834194887112641</v>
      </c>
      <c r="AH2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288" s="14" t="str">
        <f>IF(AND([% A.A.]&gt;=8%,SUMPRODUCT(N([Nome]=Tabela3[[#This Row],[Nome]]),[PL])&gt;0),"Sim","Não")</f>
        <v>Sim</v>
      </c>
      <c r="AJ288" s="43">
        <f>IF([Cotação]&gt;0,Tabela3[[#This Row],[Lucro]]/Tabela3[[#This Row],[Cotação]],0)</f>
        <v>5.9795770920637405E-2</v>
      </c>
      <c r="AK288" s="19">
        <f>((1+Tabela3[[#This Row],[% Yield]])^(1/(3*Tabela3[[#This Row],[Ref]])))^(12)-1</f>
        <v>8.0511954566189203E-2</v>
      </c>
      <c r="AL288" s="14">
        <f>IF([Cotação]&gt;0,($AR$1/Tabela3[[#This Row],[Cotação]]-MOD($AR$1/Tabela3[[#This Row],[Cotação]],100)),)</f>
        <v>0</v>
      </c>
      <c r="AM288" s="17">
        <f>Tabela3[[#This Row],[Ativos]]*[Lucro]</f>
        <v>0</v>
      </c>
      <c r="AN288" s="5">
        <f>SUMPRODUCT(N(Tabela1[Código]=Tabela3[[#This Row],[PAPEL]]),Tabela1[Fechamento])</f>
        <v>15.4</v>
      </c>
      <c r="AO288" s="5">
        <f>SUMPRODUCT(N(Tabela17[Código]=Tabela3[[#This Row],[PAPEL]]),Tabela17[Fechamento])</f>
        <v>0</v>
      </c>
      <c r="AP288" s="7">
        <f>SUMPRODUCT(N(Tabela176[Código]=Tabela3[[#This Row],[PAPEL]]),Tabela176[Fechamento])</f>
        <v>0</v>
      </c>
    </row>
    <row r="289" spans="1:42">
      <c r="A289" s="4" t="s">
        <v>40</v>
      </c>
      <c r="B289" s="65" t="s">
        <v>285</v>
      </c>
      <c r="C289" s="15" t="str">
        <f>LEFT([PAPEL],LEN([PAPEL])-(LEN([PAPEL])-4))</f>
        <v>BRKM</v>
      </c>
      <c r="D289" s="15">
        <v>3</v>
      </c>
      <c r="E289" s="5">
        <v>8043222080.5</v>
      </c>
      <c r="F289" s="8">
        <v>593818</v>
      </c>
      <c r="G289" s="106">
        <v>0.25</v>
      </c>
      <c r="H289" s="15"/>
      <c r="I289" s="19">
        <v>0.06</v>
      </c>
      <c r="J289" s="19"/>
      <c r="K289" s="108"/>
      <c r="L289" s="108"/>
      <c r="M289" s="5">
        <v>8048177000</v>
      </c>
      <c r="N289" s="5">
        <v>485601000</v>
      </c>
      <c r="O289" s="5">
        <f>Tabela3[[#This Row],[Capital Social]]*20%</f>
        <v>1608644416.1000001</v>
      </c>
      <c r="P289" s="5">
        <f>IF(([Lucro Líquido]*5%)&gt;[Teto R. Legal],[Teto R. Legal],[Lucro Líquido]*5%)</f>
        <v>24280050</v>
      </c>
      <c r="Q289" s="5">
        <f>IF([Lucro Líquido]&lt;0,0,[Lucro Líquido]-[Reserva Legal])</f>
        <v>461320950</v>
      </c>
      <c r="R289" s="5">
        <f>Tabela3[[#This Row],[Lucro Distribuir]]*[%Div]</f>
        <v>115330237.5</v>
      </c>
      <c r="S289" s="21">
        <f>SUMPRODUCT(N([Nome]=Tabela3[[#This Row],[Nome]]),[Ações])</f>
        <v>797265348</v>
      </c>
      <c r="T289" s="5">
        <f>[Capital Social]/[Total Ações]</f>
        <v>10.088513317024283</v>
      </c>
      <c r="U289" s="96">
        <f>Tabela3[[#This Row],[Lucro Líquido]]/Tabela3[[#This Row],[Total Ações]]</f>
        <v>0.60908328854147065</v>
      </c>
      <c r="V2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28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28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289" s="5">
        <f>[Div Base]*[Ações]</f>
        <v>359444.44805332355</v>
      </c>
      <c r="AA289" s="5">
        <f>SUMPRODUCT(N([Nome]=Tabela3[[#This Row],[Nome]]),[Div Base]*[Ações])</f>
        <v>209193412.19493559</v>
      </c>
      <c r="AB289" s="6">
        <f>[Patrimônio Líquido]/[Total Ações]</f>
        <v>10.094728210864121</v>
      </c>
      <c r="AC289" s="49">
        <f>MAX(Tabela3[[#This Row],[Cotação 1]:[Cotação 3]])</f>
        <v>10.15</v>
      </c>
      <c r="AD289" s="45">
        <f>[Cotação]/[VPA]</f>
        <v>1.0054753122601552</v>
      </c>
      <c r="AE289" s="41">
        <f>IF(Tabela3[[#This Row],[Lucro/Ação]]&gt;0,Tabela3[[#This Row],[Cotação]]/(Tabela3[[#This Row],[Lucro/Ação]]/[Ref]*4),0)</f>
        <v>12.498290698845349</v>
      </c>
      <c r="AF289" s="41" t="e">
        <f>IF([Div. Mínimo]=0,0,[Lucro Distribuir]*#REF!/[Total Ações])</f>
        <v>#REF!</v>
      </c>
      <c r="AG289" s="96">
        <f>[Lucro Distribuir]/[Total Ações]</f>
        <v>0.57862912411439715</v>
      </c>
      <c r="AH289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289" s="15" t="str">
        <f>IF(AND([% A.A.]&gt;=8%,SUMPRODUCT(N([Nome]=Tabela3[[#This Row],[Nome]]),[PL])&gt;0),"Sim","Não")</f>
        <v>Sim</v>
      </c>
      <c r="AJ289" s="43">
        <f>IF([Cotação]&gt;0,Tabela3[[#This Row],[Lucro]]/Tabela3[[#This Row],[Cotação]],0)</f>
        <v>5.9636531923296258E-2</v>
      </c>
      <c r="AK289" s="19">
        <f>((1+Tabela3[[#This Row],[% Yield]])^(1/(3*Tabela3[[#This Row],[Ref]])))^(12)-1</f>
        <v>8.0295491059978019E-2</v>
      </c>
      <c r="AL289" s="14">
        <f>IF([Cotação]&gt;0,($AR$1/Tabela3[[#This Row],[Cotação]]-MOD($AR$1/Tabela3[[#This Row],[Cotação]],100)),)</f>
        <v>0</v>
      </c>
      <c r="AM289" s="17">
        <f>Tabela3[[#This Row],[Ativos]]*[Lucro]</f>
        <v>0</v>
      </c>
      <c r="AN289" s="13">
        <f>SUMPRODUCT(N(Tabela1[Código]=Tabela3[[#This Row],[PAPEL]]),Tabela1[Fechamento])</f>
        <v>0</v>
      </c>
      <c r="AO289" s="13">
        <f>SUMPRODUCT(N(Tabela17[Código]=Tabela3[[#This Row],[PAPEL]]),Tabela17[Fechamento])</f>
        <v>10.15</v>
      </c>
      <c r="AP289" s="7">
        <f>SUMPRODUCT(N(Tabela176[Código]=Tabela3[[#This Row],[PAPEL]]),Tabela176[Fechamento])</f>
        <v>0</v>
      </c>
    </row>
    <row r="290" spans="1:42" hidden="1">
      <c r="A290" s="3" t="s">
        <v>371</v>
      </c>
      <c r="B290" s="65" t="s">
        <v>832</v>
      </c>
      <c r="C290" s="15" t="str">
        <f>LEFT([PAPEL],LEN([PAPEL])-(LEN([PAPEL])-4))</f>
        <v>AGRO</v>
      </c>
      <c r="D290" s="15">
        <v>3</v>
      </c>
      <c r="E290" s="6">
        <v>584224000</v>
      </c>
      <c r="F290" s="8">
        <v>58422400</v>
      </c>
      <c r="G290" s="100">
        <v>0.25</v>
      </c>
      <c r="H290" s="15"/>
      <c r="I290" s="19"/>
      <c r="J290" s="19"/>
      <c r="K290" s="108"/>
      <c r="L290" s="108"/>
      <c r="M290" s="6">
        <v>583286000</v>
      </c>
      <c r="N290" s="115">
        <v>-3069000</v>
      </c>
      <c r="O290" s="13">
        <f>Tabela3[[#This Row],[Capital Social]]*20%</f>
        <v>116844800</v>
      </c>
      <c r="P290" s="13">
        <f>IF(([Lucro Líquido]*5%)&gt;[Teto R. Legal],[Teto R. Legal],[Lucro Líquido]*5%)</f>
        <v>-153450</v>
      </c>
      <c r="Q290" s="13">
        <f>IF([Lucro Líquido]&lt;0,0,[Lucro Líquido]-[Reserva Legal])</f>
        <v>0</v>
      </c>
      <c r="R290" s="13">
        <f>Tabela3[[#This Row],[Lucro Distribuir]]*[%Div]</f>
        <v>0</v>
      </c>
      <c r="S290" s="21">
        <f>SUMPRODUCT(N([Nome]=Tabela3[[#This Row],[Nome]]),[Ações])</f>
        <v>58422400</v>
      </c>
      <c r="T290" s="6">
        <f>[Capital Social]/[Total Ações]</f>
        <v>10</v>
      </c>
      <c r="U290" s="96">
        <f>Tabela3[[#This Row],[Lucro Líquido]]/Tabela3[[#This Row],[Total Ações]]</f>
        <v>-5.2531220901572001E-2</v>
      </c>
      <c r="V2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0" s="13">
        <f>[Div Base]*[Ações]</f>
        <v>0</v>
      </c>
      <c r="AA290" s="13">
        <f>SUMPRODUCT(N([Nome]=Tabela3[[#This Row],[Nome]]),[Div Base]*[Ações])</f>
        <v>0</v>
      </c>
      <c r="AB290" s="113">
        <f>[Patrimônio Líquido]/[Total Ações]</f>
        <v>9.9839445144328209</v>
      </c>
      <c r="AC290" s="49">
        <f>MAX(Tabela3[[#This Row],[Cotação 1]:[Cotação 3]])</f>
        <v>8.99</v>
      </c>
      <c r="AD290" s="45">
        <f>[Cotação]/[VPA]</f>
        <v>0.90044570930898393</v>
      </c>
      <c r="AE290" s="41">
        <f>IF(Tabela3[[#This Row],[Lucro/Ação]]&gt;0,Tabela3[[#This Row],[Cotação]]/(Tabela3[[#This Row],[Lucro/Ação]]/[Ref]*4),0)</f>
        <v>0</v>
      </c>
      <c r="AF290" s="109">
        <f>IF([Div. Mínimo]=0,0,[Lucro Distribuir]*#REF!/[Total Ações])</f>
        <v>0</v>
      </c>
      <c r="AG290" s="96">
        <f>[Lucro Distribuir]/[Total Ações]</f>
        <v>0</v>
      </c>
      <c r="AH2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0" s="14" t="str">
        <f>IF(AND([% A.A.]&gt;=8%,SUMPRODUCT(N([Nome]=Tabela3[[#This Row],[Nome]]),[PL])&gt;0),"Sim","Não")</f>
        <v>Não</v>
      </c>
      <c r="AJ290" s="43">
        <f>IF([Cotação]&gt;0,Tabela3[[#This Row],[Lucro]]/Tabela3[[#This Row],[Cotação]],0)</f>
        <v>0</v>
      </c>
      <c r="AK290" s="43">
        <f>((1+Tabela3[[#This Row],[% Yield]])^(1/(3*Tabela3[[#This Row],[Ref]])))^(12)-1</f>
        <v>0</v>
      </c>
      <c r="AL290" s="14">
        <f>IF([Cotação]&gt;0,($AR$1/Tabela3[[#This Row],[Cotação]]-MOD($AR$1/Tabela3[[#This Row],[Cotação]],100)),)</f>
        <v>0</v>
      </c>
      <c r="AM290" s="17">
        <f>Tabela3[[#This Row],[Ativos]]*[Lucro]</f>
        <v>0</v>
      </c>
      <c r="AN290" s="17">
        <f>SUMPRODUCT(N(Tabela1[Código]=Tabela3[[#This Row],[PAPEL]]),Tabela1[Fechamento])</f>
        <v>0</v>
      </c>
      <c r="AO290" s="17">
        <f>SUMPRODUCT(N(Tabela17[Código]=Tabela3[[#This Row],[PAPEL]]),Tabela17[Fechamento])</f>
        <v>0</v>
      </c>
      <c r="AP290" s="17">
        <f>SUMPRODUCT(N(Tabela176[Código]=Tabela3[[#This Row],[PAPEL]]),Tabela176[Fechamento])</f>
        <v>8.99</v>
      </c>
    </row>
    <row r="291" spans="1:42" hidden="1">
      <c r="A291" s="3" t="s">
        <v>371</v>
      </c>
      <c r="B291" s="65" t="s">
        <v>833</v>
      </c>
      <c r="C291" s="15" t="str">
        <f>LEFT([PAPEL],LEN([PAPEL])-(LEN([PAPEL])-4))</f>
        <v>CORR</v>
      </c>
      <c r="D291" s="15">
        <v>3</v>
      </c>
      <c r="E291" s="6">
        <v>10000</v>
      </c>
      <c r="F291" s="8">
        <v>7815</v>
      </c>
      <c r="G291" s="100">
        <v>0.25</v>
      </c>
      <c r="H291" s="15"/>
      <c r="I291" s="19"/>
      <c r="J291" s="19"/>
      <c r="K291" s="108"/>
      <c r="L291" s="108"/>
      <c r="M291" s="114">
        <v>7227000</v>
      </c>
      <c r="N291" s="115">
        <v>-199000</v>
      </c>
      <c r="O291" s="13">
        <f>Tabela3[[#This Row],[Capital Social]]*20%</f>
        <v>2000</v>
      </c>
      <c r="P291" s="13">
        <f>IF(([Lucro Líquido]*5%)&gt;[Teto R. Legal],[Teto R. Legal],[Lucro Líquido]*5%)</f>
        <v>-9950</v>
      </c>
      <c r="Q291" s="13">
        <f>IF([Lucro Líquido]&lt;0,0,[Lucro Líquido]-[Reserva Legal])</f>
        <v>0</v>
      </c>
      <c r="R291" s="13">
        <f>Tabela3[[#This Row],[Lucro Distribuir]]*[%Div]</f>
        <v>0</v>
      </c>
      <c r="S291" s="21">
        <f>SUMPRODUCT(N([Nome]=Tabela3[[#This Row],[Nome]]),[Ações])</f>
        <v>23153</v>
      </c>
      <c r="T291" s="6">
        <f>[Capital Social]/[Total Ações]</f>
        <v>0.431909471774716</v>
      </c>
      <c r="U291" s="96">
        <f>Tabela3[[#This Row],[Lucro Líquido]]/Tabela3[[#This Row],[Total Ações]]</f>
        <v>-8.5949984883168487</v>
      </c>
      <c r="V2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1" s="13">
        <f>[Div Base]*[Ações]</f>
        <v>0</v>
      </c>
      <c r="AA291" s="13">
        <f>SUMPRODUCT(N([Nome]=Tabela3[[#This Row],[Nome]]),[Div Base]*[Ações])</f>
        <v>662.46274780805936</v>
      </c>
      <c r="AB291" s="113">
        <f>[Patrimônio Líquido]/[Total Ações]</f>
        <v>312.14097525158729</v>
      </c>
      <c r="AC291" s="49">
        <f>MAX(Tabela3[[#This Row],[Cotação 1]:[Cotação 3]])</f>
        <v>0</v>
      </c>
      <c r="AD291" s="45">
        <f>[Cotação]/[VPA]</f>
        <v>0</v>
      </c>
      <c r="AE291" s="41">
        <f>IF(Tabela3[[#This Row],[Lucro/Ação]]&gt;0,Tabela3[[#This Row],[Cotação]]/(Tabela3[[#This Row],[Lucro/Ação]]/[Ref]*4),0)</f>
        <v>0</v>
      </c>
      <c r="AF291" s="109">
        <f>IF([Div. Mínimo]=0,0,[Lucro Distribuir]*#REF!/[Total Ações])</f>
        <v>0</v>
      </c>
      <c r="AG291" s="96">
        <f>[Lucro Distribuir]/[Total Ações]</f>
        <v>0</v>
      </c>
      <c r="AH29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1" s="14" t="str">
        <f>IF(AND([% A.A.]&gt;=8%,SUMPRODUCT(N([Nome]=Tabela3[[#This Row],[Nome]]),[PL])&gt;0),"Sim","Não")</f>
        <v>Não</v>
      </c>
      <c r="AJ291" s="43">
        <f>IF([Cotação]&gt;0,Tabela3[[#This Row],[Lucro]]/Tabela3[[#This Row],[Cotação]],0)</f>
        <v>0</v>
      </c>
      <c r="AK291" s="43">
        <f>((1+Tabela3[[#This Row],[% Yield]])^(1/(3*Tabela3[[#This Row],[Ref]])))^(12)-1</f>
        <v>0</v>
      </c>
      <c r="AL291" s="14">
        <f>IF([Cotação]&gt;0,($AR$1/Tabela3[[#This Row],[Cotação]]-MOD($AR$1/Tabela3[[#This Row],[Cotação]],100)),)</f>
        <v>0</v>
      </c>
      <c r="AM291" s="17">
        <f>Tabela3[[#This Row],[Ativos]]*[Lucro]</f>
        <v>0</v>
      </c>
      <c r="AN291" s="17">
        <f>SUMPRODUCT(N(Tabela1[Código]=Tabela3[[#This Row],[PAPEL]]),Tabela1[Fechamento])</f>
        <v>0</v>
      </c>
      <c r="AO291" s="17">
        <f>SUMPRODUCT(N(Tabela17[Código]=Tabela3[[#This Row],[PAPEL]]),Tabela17[Fechamento])</f>
        <v>0</v>
      </c>
      <c r="AP291" s="17">
        <f>SUMPRODUCT(N(Tabela176[Código]=Tabela3[[#This Row],[PAPEL]]),Tabela176[Fechamento])</f>
        <v>0</v>
      </c>
    </row>
    <row r="292" spans="1:42" hidden="1">
      <c r="A292" s="3" t="s">
        <v>371</v>
      </c>
      <c r="B292" s="65" t="s">
        <v>834</v>
      </c>
      <c r="C292" s="15" t="str">
        <f>LEFT([PAPEL],LEN([PAPEL])-(LEN([PAPEL])-4))</f>
        <v>CORR</v>
      </c>
      <c r="D292" s="15">
        <v>3</v>
      </c>
      <c r="E292" s="6">
        <v>10000</v>
      </c>
      <c r="F292" s="8">
        <v>15338</v>
      </c>
      <c r="G292" s="100">
        <v>0.25</v>
      </c>
      <c r="H292" s="15"/>
      <c r="I292" s="19">
        <v>0.1</v>
      </c>
      <c r="J292" s="19"/>
      <c r="K292" s="108"/>
      <c r="L292" s="108"/>
      <c r="M292" s="114">
        <v>7227000</v>
      </c>
      <c r="N292" s="115">
        <v>-199000</v>
      </c>
      <c r="O292" s="13">
        <f>Tabela3[[#This Row],[Capital Social]]*20%</f>
        <v>2000</v>
      </c>
      <c r="P292" s="13">
        <f>IF(([Lucro Líquido]*5%)&gt;[Teto R. Legal],[Teto R. Legal],[Lucro Líquido]*5%)</f>
        <v>-9950</v>
      </c>
      <c r="Q292" s="13">
        <f>IF([Lucro Líquido]&lt;0,0,[Lucro Líquido]-[Reserva Legal])</f>
        <v>0</v>
      </c>
      <c r="R292" s="13">
        <f>Tabela3[[#This Row],[Lucro Distribuir]]*[%Div]</f>
        <v>0</v>
      </c>
      <c r="S292" s="21">
        <f>SUMPRODUCT(N([Nome]=Tabela3[[#This Row],[Nome]]),[Ações])</f>
        <v>23153</v>
      </c>
      <c r="T292" s="6">
        <f>[Capital Social]/[Total Ações]</f>
        <v>0.431909471774716</v>
      </c>
      <c r="U292" s="96">
        <f>Tabela3[[#This Row],[Lucro Líquido]]/Tabela3[[#This Row],[Total Ações]]</f>
        <v>-8.5949984883168487</v>
      </c>
      <c r="V2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4.31909471774716E-2</v>
      </c>
      <c r="Y2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4.31909471774716E-2</v>
      </c>
      <c r="Z292" s="13">
        <f>[Div Base]*[Ações]</f>
        <v>662.46274780805936</v>
      </c>
      <c r="AA292" s="13">
        <f>SUMPRODUCT(N([Nome]=Tabela3[[#This Row],[Nome]]),[Div Base]*[Ações])</f>
        <v>662.46274780805936</v>
      </c>
      <c r="AB292" s="113">
        <f>[Patrimônio Líquido]/[Total Ações]</f>
        <v>312.14097525158729</v>
      </c>
      <c r="AC292" s="49">
        <f>MAX(Tabela3[[#This Row],[Cotação 1]:[Cotação 3]])</f>
        <v>210.01</v>
      </c>
      <c r="AD292" s="45">
        <f>[Cotação]/[VPA]</f>
        <v>0.67280497163414965</v>
      </c>
      <c r="AE292" s="41">
        <f>IF(Tabela3[[#This Row],[Lucro/Ação]]&gt;0,Tabela3[[#This Row],[Cotação]]/(Tabela3[[#This Row],[Lucro/Ação]]/[Ref]*4),0)</f>
        <v>0</v>
      </c>
      <c r="AF292" s="109">
        <f>IF([Div. Mínimo]=0,0,[Lucro Distribuir]*#REF!/[Total Ações])</f>
        <v>0</v>
      </c>
      <c r="AG292" s="96">
        <f>[Lucro Distribuir]/[Total Ações]</f>
        <v>0</v>
      </c>
      <c r="AH292" s="96">
        <f>IF([Unit ON]&gt;0,SUMPRODUCT(N([Nome]=Tabela3[[#This Row],[Nome]]),N(RIGHT([PAPEL],1)="3"),[Div Base])*[Unit ON]+SUMPRODUCT(N([Nome]=Tabela3[[#This Row],[Nome]]),N(RIGHT([PAPEL],1)="4"),[Div Base])*[Unit PN],[Div Base])</f>
        <v>4.31909471774716E-2</v>
      </c>
      <c r="AI292" s="14" t="str">
        <f>IF(AND([% A.A.]&gt;=8%,SUMPRODUCT(N([Nome]=Tabela3[[#This Row],[Nome]]),[PL])&gt;0),"Sim","Não")</f>
        <v>Não</v>
      </c>
      <c r="AJ292" s="43">
        <f>IF([Cotação]&gt;0,Tabela3[[#This Row],[Lucro]]/Tabela3[[#This Row],[Cotação]],0)</f>
        <v>2.0566138363635827E-4</v>
      </c>
      <c r="AK292" s="43">
        <f>((1+Tabela3[[#This Row],[% Yield]])^(1/(3*Tabela3[[#This Row],[Ref]])))^(12)-1</f>
        <v>2.7422457699688429E-4</v>
      </c>
      <c r="AL292" s="14">
        <f>IF([Cotação]&gt;0,($AR$1/Tabela3[[#This Row],[Cotação]]-MOD($AR$1/Tabela3[[#This Row],[Cotação]],100)),)</f>
        <v>0</v>
      </c>
      <c r="AM292" s="17">
        <f>Tabela3[[#This Row],[Ativos]]*[Lucro]</f>
        <v>0</v>
      </c>
      <c r="AN292" s="17">
        <f>SUMPRODUCT(N(Tabela1[Código]=Tabela3[[#This Row],[PAPEL]]),Tabela1[Fechamento])</f>
        <v>0</v>
      </c>
      <c r="AO292" s="17">
        <f>SUMPRODUCT(N(Tabela17[Código]=Tabela3[[#This Row],[PAPEL]]),Tabela17[Fechamento])</f>
        <v>0</v>
      </c>
      <c r="AP292" s="17">
        <f>SUMPRODUCT(N(Tabela176[Código]=Tabela3[[#This Row],[PAPEL]]),Tabela176[Fechamento])</f>
        <v>210.01</v>
      </c>
    </row>
    <row r="293" spans="1:42" hidden="1">
      <c r="A293" s="3" t="s">
        <v>371</v>
      </c>
      <c r="B293" s="65" t="s">
        <v>933</v>
      </c>
      <c r="C293" s="15" t="str">
        <f>LEFT([PAPEL],LEN([PAPEL])-(LEN([PAPEL])-4))</f>
        <v>GSHP</v>
      </c>
      <c r="D293" s="15">
        <v>3</v>
      </c>
      <c r="E293" s="6">
        <v>317813163</v>
      </c>
      <c r="F293" s="8">
        <v>50480600</v>
      </c>
      <c r="G293" s="100">
        <v>0.25</v>
      </c>
      <c r="H293" s="15"/>
      <c r="I293" s="19"/>
      <c r="J293" s="19"/>
      <c r="K293" s="108"/>
      <c r="L293" s="108"/>
      <c r="M293" s="114">
        <v>172998000</v>
      </c>
      <c r="N293" s="115">
        <v>-69875000</v>
      </c>
      <c r="O293" s="13">
        <f>Tabela3[[#This Row],[Capital Social]]*20%</f>
        <v>63562632.600000001</v>
      </c>
      <c r="P293" s="13">
        <f>IF(([Lucro Líquido]*5%)&gt;[Teto R. Legal],[Teto R. Legal],[Lucro Líquido]*5%)</f>
        <v>-3493750</v>
      </c>
      <c r="Q293" s="13">
        <f>IF([Lucro Líquido]&lt;0,0,[Lucro Líquido]-[Reserva Legal])</f>
        <v>0</v>
      </c>
      <c r="R293" s="13">
        <f>Tabela3[[#This Row],[Lucro Distribuir]]*[%Div]</f>
        <v>0</v>
      </c>
      <c r="S293" s="21">
        <f>SUMPRODUCT(N([Nome]=Tabela3[[#This Row],[Nome]]),[Ações])</f>
        <v>50480600</v>
      </c>
      <c r="T293" s="6">
        <f>[Capital Social]/[Total Ações]</f>
        <v>6.2957485251760081</v>
      </c>
      <c r="U293" s="96">
        <f>Tabela3[[#This Row],[Lucro Líquido]]/Tabela3[[#This Row],[Total Ações]]</f>
        <v>-1.3841951165398192</v>
      </c>
      <c r="V2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3" s="13">
        <f>[Div Base]*[Ações]</f>
        <v>0</v>
      </c>
      <c r="AA293" s="13">
        <f>SUMPRODUCT(N([Nome]=Tabela3[[#This Row],[Nome]]),[Div Base]*[Ações])</f>
        <v>0</v>
      </c>
      <c r="AB293" s="113">
        <f>[Patrimônio Líquido]/[Total Ações]</f>
        <v>3.4270194886748571</v>
      </c>
      <c r="AC293" s="49">
        <f>MAX(Tabela3[[#This Row],[Cotação 1]:[Cotação 3]])</f>
        <v>7.5</v>
      </c>
      <c r="AD293" s="45">
        <f>[Cotação]/[VPA]</f>
        <v>2.1884906183886521</v>
      </c>
      <c r="AE293" s="41">
        <f>IF(Tabela3[[#This Row],[Lucro/Ação]]&gt;0,Tabela3[[#This Row],[Cotação]]/(Tabela3[[#This Row],[Lucro/Ação]]/[Ref]*4),0)</f>
        <v>0</v>
      </c>
      <c r="AF293" s="109">
        <f>IF([Div. Mínimo]=0,0,[Lucro Distribuir]*#REF!/[Total Ações])</f>
        <v>0</v>
      </c>
      <c r="AG293" s="96">
        <f>[Lucro Distribuir]/[Total Ações]</f>
        <v>0</v>
      </c>
      <c r="AH2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3" s="14" t="str">
        <f>IF(AND([% A.A.]&gt;=8%,SUMPRODUCT(N([Nome]=Tabela3[[#This Row],[Nome]]),[PL])&gt;0),"Sim","Não")</f>
        <v>Não</v>
      </c>
      <c r="AJ293" s="43">
        <f>IF([Cotação]&gt;0,Tabela3[[#This Row],[Lucro]]/Tabela3[[#This Row],[Cotação]],0)</f>
        <v>0</v>
      </c>
      <c r="AK293" s="43">
        <f>((1+Tabela3[[#This Row],[% Yield]])^(1/(3*Tabela3[[#This Row],[Ref]])))^(12)-1</f>
        <v>0</v>
      </c>
      <c r="AL293" s="14">
        <f>IF([Cotação]&gt;0,($AR$1/Tabela3[[#This Row],[Cotação]]-MOD($AR$1/Tabela3[[#This Row],[Cotação]],100)),)</f>
        <v>0</v>
      </c>
      <c r="AM293" s="17">
        <f>Tabela3[[#This Row],[Ativos]]*[Lucro]</f>
        <v>0</v>
      </c>
      <c r="AN293" s="17">
        <f>SUMPRODUCT(N(Tabela1[Código]=Tabela3[[#This Row],[PAPEL]]),Tabela1[Fechamento])</f>
        <v>0</v>
      </c>
      <c r="AO293" s="17">
        <f>SUMPRODUCT(N(Tabela17[Código]=Tabela3[[#This Row],[PAPEL]]),Tabela17[Fechamento])</f>
        <v>0</v>
      </c>
      <c r="AP293" s="17">
        <f>SUMPRODUCT(N(Tabela176[Código]=Tabela3[[#This Row],[PAPEL]]),Tabela176[Fechamento])</f>
        <v>7.5</v>
      </c>
    </row>
    <row r="294" spans="1:42" hidden="1">
      <c r="A294" s="4" t="s">
        <v>938</v>
      </c>
      <c r="B294" s="65" t="s">
        <v>937</v>
      </c>
      <c r="C294" s="15" t="str">
        <f>LEFT([PAPEL],LEN([PAPEL])-(LEN([PAPEL])-4))</f>
        <v>TEMP</v>
      </c>
      <c r="D294" s="15">
        <v>3</v>
      </c>
      <c r="E294" s="6">
        <v>281257003.55000001</v>
      </c>
      <c r="F294" s="8">
        <v>157363935</v>
      </c>
      <c r="G294" s="106">
        <v>0.25</v>
      </c>
      <c r="H294" s="15"/>
      <c r="I294" s="19"/>
      <c r="J294" s="19"/>
      <c r="K294" s="108"/>
      <c r="L294" s="108"/>
      <c r="M294" s="114">
        <v>288046000</v>
      </c>
      <c r="N294" s="115">
        <v>17945000</v>
      </c>
      <c r="O294" s="13">
        <f>Tabela3[[#This Row],[Capital Social]]*20%</f>
        <v>56251400.710000008</v>
      </c>
      <c r="P294" s="13">
        <f>IF(([Lucro Líquido]*5%)&gt;[Teto R. Legal],[Teto R. Legal],[Lucro Líquido]*5%)</f>
        <v>897250</v>
      </c>
      <c r="Q294" s="13">
        <f>IF([Lucro Líquido]&lt;0,0,[Lucro Líquido]-[Reserva Legal])</f>
        <v>17047750</v>
      </c>
      <c r="R294" s="13">
        <f>Tabela3[[#This Row],[Lucro Distribuir]]*[%Div]</f>
        <v>4261937.5</v>
      </c>
      <c r="S294" s="57">
        <f>SUMPRODUCT(N([Nome]=Tabela3[[#This Row],[Nome]]),[Ações])</f>
        <v>157363935</v>
      </c>
      <c r="T294" s="6">
        <f>[Capital Social]/[Total Ações]</f>
        <v>1.7873028121087593</v>
      </c>
      <c r="U294" s="96">
        <f>Tabela3[[#This Row],[Lucro Líquido]]/Tabela3[[#This Row],[Total Ações]]</f>
        <v>0.11403502333619199</v>
      </c>
      <c r="V2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W2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Z294" s="13">
        <f>[Div Base]*[Ações]</f>
        <v>4261937.5</v>
      </c>
      <c r="AA294" s="13">
        <f>SUMPRODUCT(N([Nome]=Tabela3[[#This Row],[Nome]]),[Div Base]*[Ações])</f>
        <v>4261937.5</v>
      </c>
      <c r="AB294" s="113">
        <f>[Patrimônio Líquido]/[Total Ações]</f>
        <v>1.8304448220616751</v>
      </c>
      <c r="AC294" s="49">
        <f>MAX(Tabela3[[#This Row],[Cotação 1]:[Cotação 3]])</f>
        <v>3.43</v>
      </c>
      <c r="AD294" s="45">
        <f>[Cotação]/[VPA]</f>
        <v>1.8738614563298919</v>
      </c>
      <c r="AE294" s="41">
        <f>IF(Tabela3[[#This Row],[Lucro/Ação]]&gt;0,Tabela3[[#This Row],[Cotação]]/(Tabela3[[#This Row],[Lucro/Ação]]/[Ref]*4),0)</f>
        <v>22.558858890359431</v>
      </c>
      <c r="AF294" s="109" t="e">
        <f>IF([Div. Mínimo]=0,0,[Lucro Distribuir]*#REF!/[Total Ações])</f>
        <v>#REF!</v>
      </c>
      <c r="AG294" s="96">
        <f>[Lucro Distribuir]/[Total Ações]</f>
        <v>0.10833327216938239</v>
      </c>
      <c r="AH294" s="96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I294" s="14" t="str">
        <f>IF(AND([% A.A.]&gt;=8%,SUMPRODUCT(N([Nome]=Tabela3[[#This Row],[Nome]]),[PL])&gt;0),"Sim","Não")</f>
        <v>Não</v>
      </c>
      <c r="AJ294" s="43">
        <f>IF([Cotação]&gt;0,Tabela3[[#This Row],[Lucro]]/Tabela3[[#This Row],[Cotação]],0)</f>
        <v>7.8960110910628566E-3</v>
      </c>
      <c r="AK294" s="43">
        <f>((1+Tabela3[[#This Row],[% Yield]])^(1/(3*Tabela3[[#This Row],[Ref]])))^(12)-1</f>
        <v>1.0541845443911235E-2</v>
      </c>
      <c r="AL294" s="14">
        <f>IF([Cotação]&gt;0,($AR$1/Tabela3[[#This Row],[Cotação]]-MOD($AR$1/Tabela3[[#This Row],[Cotação]],100)),)</f>
        <v>0</v>
      </c>
      <c r="AM294" s="17">
        <f>Tabela3[[#This Row],[Ativos]]*[Lucro]</f>
        <v>0</v>
      </c>
      <c r="AN294" s="17">
        <f>SUMPRODUCT(N(Tabela1[Código]=Tabela3[[#This Row],[PAPEL]]),Tabela1[Fechamento])</f>
        <v>0</v>
      </c>
      <c r="AO294" s="17">
        <f>SUMPRODUCT(N(Tabela17[Código]=Tabela3[[#This Row],[PAPEL]]),Tabela17[Fechamento])</f>
        <v>0</v>
      </c>
      <c r="AP294" s="17">
        <f>SUMPRODUCT(N(Tabela176[Código]=Tabela3[[#This Row],[PAPEL]]),Tabela176[Fechamento])</f>
        <v>3.43</v>
      </c>
    </row>
    <row r="295" spans="1:42" hidden="1">
      <c r="A295" s="4" t="s">
        <v>938</v>
      </c>
      <c r="B295" s="65" t="s">
        <v>940</v>
      </c>
      <c r="C295" s="15" t="str">
        <f>LEFT([PAPEL],LEN([PAPEL])-(LEN([PAPEL])-4))</f>
        <v>DASA</v>
      </c>
      <c r="D295" s="15">
        <v>3</v>
      </c>
      <c r="E295" s="6">
        <v>2234134819.75</v>
      </c>
      <c r="F295" s="8">
        <v>311803015</v>
      </c>
      <c r="G295" s="106">
        <v>0.25</v>
      </c>
      <c r="H295" s="15"/>
      <c r="I295" s="19"/>
      <c r="J295" s="19"/>
      <c r="K295" s="108"/>
      <c r="L295" s="108"/>
      <c r="M295" s="114">
        <v>2701798000</v>
      </c>
      <c r="N295" s="115">
        <v>94591000</v>
      </c>
      <c r="O295" s="13">
        <f>Tabela3[[#This Row],[Capital Social]]*20%</f>
        <v>446826963.95000005</v>
      </c>
      <c r="P295" s="13">
        <f>IF(([Lucro Líquido]*5%)&gt;[Teto R. Legal],[Teto R. Legal],[Lucro Líquido]*5%)</f>
        <v>4729550</v>
      </c>
      <c r="Q295" s="13">
        <f>IF([Lucro Líquido]&lt;0,0,[Lucro Líquido]-[Reserva Legal])</f>
        <v>89861450</v>
      </c>
      <c r="R295" s="13">
        <f>Tabela3[[#This Row],[Lucro Distribuir]]*[%Div]</f>
        <v>22465362.5</v>
      </c>
      <c r="S295" s="57">
        <f>SUMPRODUCT(N([Nome]=Tabela3[[#This Row],[Nome]]),[Ações])</f>
        <v>311803015</v>
      </c>
      <c r="T295" s="6">
        <f>[Capital Social]/[Total Ações]</f>
        <v>7.1652123689374845</v>
      </c>
      <c r="U295" s="96">
        <f>Tabela3[[#This Row],[Lucro Líquido]]/Tabela3[[#This Row],[Total Ações]]</f>
        <v>0.30336781701742044</v>
      </c>
      <c r="V2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W2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Z295" s="13">
        <f>[Div Base]*[Ações]</f>
        <v>22465362.5</v>
      </c>
      <c r="AA295" s="13">
        <f>SUMPRODUCT(N([Nome]=Tabela3[[#This Row],[Nome]]),[Div Base]*[Ações])</f>
        <v>22465362.5</v>
      </c>
      <c r="AB295" s="113">
        <f>[Patrimônio Líquido]/[Total Ações]</f>
        <v>8.6650797780130517</v>
      </c>
      <c r="AC295" s="49">
        <f>MAX(Tabela3[[#This Row],[Cotação 1]:[Cotação 3]])</f>
        <v>14.73</v>
      </c>
      <c r="AD295" s="45">
        <f>[Cotação]/[VPA]</f>
        <v>1.6999266454968136</v>
      </c>
      <c r="AE295" s="41">
        <f>IF(Tabela3[[#This Row],[Lucro/Ação]]&gt;0,Tabela3[[#This Row],[Cotação]]/(Tabela3[[#This Row],[Lucro/Ação]]/[Ref]*4),0)</f>
        <v>36.416189787744074</v>
      </c>
      <c r="AF295" s="109" t="e">
        <f>IF([Div. Mínimo]=0,0,[Lucro Distribuir]*#REF!/[Total Ações])</f>
        <v>#REF!</v>
      </c>
      <c r="AG295" s="96">
        <f>[Lucro Distribuir]/[Total Ações]</f>
        <v>0.28819942616654942</v>
      </c>
      <c r="AH295" s="96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I295" s="14" t="str">
        <f>IF(AND([% A.A.]&gt;=8%,SUMPRODUCT(N([Nome]=Tabela3[[#This Row],[Nome]]),[PL])&gt;0),"Sim","Não")</f>
        <v>Não</v>
      </c>
      <c r="AJ295" s="43">
        <f>IF([Cotação]&gt;0,Tabela3[[#This Row],[Lucro]]/Tabela3[[#This Row],[Cotação]],0)</f>
        <v>4.8913684006542668E-3</v>
      </c>
      <c r="AK295" s="43">
        <f>((1+Tabela3[[#This Row],[% Yield]])^(1/(3*Tabela3[[#This Row],[Ref]])))^(12)-1</f>
        <v>6.5271355411815613E-3</v>
      </c>
      <c r="AL295" s="14">
        <f>IF([Cotação]&gt;0,($AR$1/Tabela3[[#This Row],[Cotação]]-MOD($AR$1/Tabela3[[#This Row],[Cotação]],100)),)</f>
        <v>0</v>
      </c>
      <c r="AM295" s="17">
        <f>Tabela3[[#This Row],[Ativos]]*[Lucro]</f>
        <v>0</v>
      </c>
      <c r="AN295" s="17">
        <f>SUMPRODUCT(N(Tabela1[Código]=Tabela3[[#This Row],[PAPEL]]),Tabela1[Fechamento])</f>
        <v>0</v>
      </c>
      <c r="AO295" s="17">
        <f>SUMPRODUCT(N(Tabela17[Código]=Tabela3[[#This Row],[PAPEL]]),Tabela17[Fechamento])</f>
        <v>0</v>
      </c>
      <c r="AP295" s="17">
        <f>SUMPRODUCT(N(Tabela176[Código]=Tabela3[[#This Row],[PAPEL]]),Tabela176[Fechamento])</f>
        <v>14.73</v>
      </c>
    </row>
    <row r="296" spans="1:42" hidden="1">
      <c r="A296" s="4" t="s">
        <v>938</v>
      </c>
      <c r="B296" s="65" t="s">
        <v>943</v>
      </c>
      <c r="C296" s="15" t="str">
        <f>LEFT([PAPEL],LEN([PAPEL])-(LEN([PAPEL])-4))</f>
        <v>FLRY</v>
      </c>
      <c r="D296" s="15">
        <v>3</v>
      </c>
      <c r="E296" s="6">
        <v>1402530425.1800001</v>
      </c>
      <c r="F296" s="8">
        <v>156293356</v>
      </c>
      <c r="G296" s="106">
        <v>0.25</v>
      </c>
      <c r="H296" s="15"/>
      <c r="I296" s="19"/>
      <c r="J296" s="19"/>
      <c r="K296" s="108"/>
      <c r="L296" s="108"/>
      <c r="M296" s="114">
        <v>1727199000</v>
      </c>
      <c r="N296" s="115">
        <v>61932000</v>
      </c>
      <c r="O296" s="13">
        <f>Tabela3[[#This Row],[Capital Social]]*20%</f>
        <v>280506085.03600001</v>
      </c>
      <c r="P296" s="13">
        <f>IF(([Lucro Líquido]*5%)&gt;[Teto R. Legal],[Teto R. Legal],[Lucro Líquido]*5%)</f>
        <v>3096600</v>
      </c>
      <c r="Q296" s="13">
        <f>IF([Lucro Líquido]&lt;0,0,[Lucro Líquido]-[Reserva Legal])</f>
        <v>58835400</v>
      </c>
      <c r="R296" s="13">
        <f>Tabela3[[#This Row],[Lucro Distribuir]]*[%Div]</f>
        <v>14708850</v>
      </c>
      <c r="S296" s="57">
        <f>SUMPRODUCT(N([Nome]=Tabela3[[#This Row],[Nome]]),[Ações])</f>
        <v>156293356</v>
      </c>
      <c r="T296" s="6">
        <f>[Capital Social]/[Total Ações]</f>
        <v>8.9737047119264624</v>
      </c>
      <c r="U296" s="96">
        <f>Tabela3[[#This Row],[Lucro Líquido]]/Tabela3[[#This Row],[Total Ações]]</f>
        <v>0.39625484783882942</v>
      </c>
      <c r="V2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W2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Z296" s="13">
        <f>[Div Base]*[Ações]</f>
        <v>14708850</v>
      </c>
      <c r="AA296" s="13">
        <f>SUMPRODUCT(N([Nome]=Tabela3[[#This Row],[Nome]]),[Div Base]*[Ações])</f>
        <v>14708850</v>
      </c>
      <c r="AB296" s="113">
        <f>[Patrimônio Líquido]/[Total Ações]</f>
        <v>11.051007184208137</v>
      </c>
      <c r="AC296" s="49">
        <f>MAX(Tabela3[[#This Row],[Cotação 1]:[Cotação 3]])</f>
        <v>18.510000000000002</v>
      </c>
      <c r="AD296" s="45">
        <f>[Cotação]/[VPA]</f>
        <v>1.6749604530572333</v>
      </c>
      <c r="AE296" s="41">
        <f>IF(Tabela3[[#This Row],[Lucro/Ação]]&gt;0,Tabela3[[#This Row],[Cotação]]/(Tabela3[[#This Row],[Lucro/Ação]]/[Ref]*4),0)</f>
        <v>35.034271695892272</v>
      </c>
      <c r="AF296" s="109" t="e">
        <f>IF([Div. Mínimo]=0,0,[Lucro Distribuir]*#REF!/[Total Ações])</f>
        <v>#REF!</v>
      </c>
      <c r="AG296" s="96">
        <f>[Lucro Distribuir]/[Total Ações]</f>
        <v>0.37644210544688794</v>
      </c>
      <c r="AH296" s="96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I296" s="14" t="str">
        <f>IF(AND([% A.A.]&gt;=8%,SUMPRODUCT(N([Nome]=Tabela3[[#This Row],[Nome]]),[PL])&gt;0),"Sim","Não")</f>
        <v>Não</v>
      </c>
      <c r="AJ296" s="43">
        <f>IF([Cotação]&gt;0,Tabela3[[#This Row],[Lucro]]/Tabela3[[#This Row],[Cotação]],0)</f>
        <v>5.0843072048472162E-3</v>
      </c>
      <c r="AK296" s="43">
        <f>((1+Tabela3[[#This Row],[% Yield]])^(1/(3*Tabela3[[#This Row],[Ref]])))^(12)-1</f>
        <v>6.7848142808497602E-3</v>
      </c>
      <c r="AL296" s="14">
        <f>IF([Cotação]&gt;0,($AR$1/Tabela3[[#This Row],[Cotação]]-MOD($AR$1/Tabela3[[#This Row],[Cotação]],100)),)</f>
        <v>0</v>
      </c>
      <c r="AM296" s="17">
        <f>Tabela3[[#This Row],[Ativos]]*[Lucro]</f>
        <v>0</v>
      </c>
      <c r="AN296" s="17">
        <f>SUMPRODUCT(N(Tabela1[Código]=Tabela3[[#This Row],[PAPEL]]),Tabela1[Fechamento])</f>
        <v>0</v>
      </c>
      <c r="AO296" s="17">
        <f>SUMPRODUCT(N(Tabela17[Código]=Tabela3[[#This Row],[PAPEL]]),Tabela17[Fechamento])</f>
        <v>0</v>
      </c>
      <c r="AP296" s="17">
        <f>SUMPRODUCT(N(Tabela176[Código]=Tabela3[[#This Row],[PAPEL]]),Tabela176[Fechamento])</f>
        <v>18.510000000000002</v>
      </c>
    </row>
    <row r="297" spans="1:42" hidden="1">
      <c r="A297" s="4" t="s">
        <v>938</v>
      </c>
      <c r="B297" s="65" t="s">
        <v>945</v>
      </c>
      <c r="C297" s="15" t="str">
        <f>LEFT([PAPEL],LEN([PAPEL])-(LEN([PAPEL])-4))</f>
        <v>ODPV</v>
      </c>
      <c r="D297" s="15">
        <v>3</v>
      </c>
      <c r="E297" s="6">
        <v>506557472.69999999</v>
      </c>
      <c r="F297" s="8">
        <v>531294792</v>
      </c>
      <c r="G297" s="106">
        <v>0.5</v>
      </c>
      <c r="H297" s="15"/>
      <c r="I297" s="19"/>
      <c r="J297" s="19"/>
      <c r="K297" s="108"/>
      <c r="L297" s="108"/>
      <c r="M297" s="114">
        <v>696873000</v>
      </c>
      <c r="N297" s="115">
        <v>140959000</v>
      </c>
      <c r="O297" s="13">
        <f>Tabela3[[#This Row],[Capital Social]]*20%</f>
        <v>101311494.54000001</v>
      </c>
      <c r="P297" s="13">
        <f>IF(([Lucro Líquido]*5%)&gt;[Teto R. Legal],[Teto R. Legal],[Lucro Líquido]*5%)</f>
        <v>7047950</v>
      </c>
      <c r="Q297" s="13">
        <f>IF([Lucro Líquido]&lt;0,0,[Lucro Líquido]-[Reserva Legal])</f>
        <v>133911050</v>
      </c>
      <c r="R297" s="13">
        <f>Tabela3[[#This Row],[Lucro Distribuir]]*[%Div]</f>
        <v>66955525</v>
      </c>
      <c r="S297" s="57">
        <f>SUMPRODUCT(N([Nome]=Tabela3[[#This Row],[Nome]]),[Ações])</f>
        <v>531294792</v>
      </c>
      <c r="T297" s="6">
        <f>[Capital Social]/[Total Ações]</f>
        <v>0.95343955997219709</v>
      </c>
      <c r="U297" s="96">
        <f>Tabela3[[#This Row],[Lucro Líquido]]/Tabela3[[#This Row],[Total Ações]]</f>
        <v>0.26531221860725485</v>
      </c>
      <c r="V2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0.12602330383844607</v>
      </c>
      <c r="W2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0.12602330383844607</v>
      </c>
      <c r="Z297" s="13">
        <f>[Div Base]*[Ações]</f>
        <v>66955525.000000007</v>
      </c>
      <c r="AA297" s="13">
        <f>SUMPRODUCT(N([Nome]=Tabela3[[#This Row],[Nome]]),[Div Base]*[Ações])</f>
        <v>66955525.000000007</v>
      </c>
      <c r="AB297" s="113">
        <f>[Patrimônio Líquido]/[Total Ações]</f>
        <v>1.3116503502259063</v>
      </c>
      <c r="AC297" s="49">
        <f>MAX(Tabela3[[#This Row],[Cotação 1]:[Cotação 3]])</f>
        <v>8.7100000000000009</v>
      </c>
      <c r="AD297" s="45">
        <f>[Cotação]/[VPA]</f>
        <v>6.6404892115493075</v>
      </c>
      <c r="AE297" s="41">
        <f>IF(Tabela3[[#This Row],[Lucro/Ação]]&gt;0,Tabela3[[#This Row],[Cotação]]/(Tabela3[[#This Row],[Lucro/Ação]]/[Ref]*4),0)</f>
        <v>24.621934241446098</v>
      </c>
      <c r="AF297" s="109" t="e">
        <f>IF([Div. Mínimo]=0,0,[Lucro Distribuir]*#REF!/[Total Ações])</f>
        <v>#REF!</v>
      </c>
      <c r="AG297" s="96">
        <f>[Lucro Distribuir]/[Total Ações]</f>
        <v>0.25204660767689213</v>
      </c>
      <c r="AH297" s="96">
        <f>IF([Unit ON]&gt;0,SUMPRODUCT(N([Nome]=Tabela3[[#This Row],[Nome]]),N(RIGHT([PAPEL],1)="3"),[Div Base])*[Unit ON]+SUMPRODUCT(N([Nome]=Tabela3[[#This Row],[Nome]]),N(RIGHT([PAPEL],1)="4"),[Div Base])*[Unit PN],[Div Base])</f>
        <v>0.12602330383844607</v>
      </c>
      <c r="AI297" s="14" t="str">
        <f>IF(AND([% A.A.]&gt;=8%,SUMPRODUCT(N([Nome]=Tabela3[[#This Row],[Nome]]),[PL])&gt;0),"Sim","Não")</f>
        <v>Não</v>
      </c>
      <c r="AJ297" s="43">
        <f>IF([Cotação]&gt;0,Tabela3[[#This Row],[Lucro]]/Tabela3[[#This Row],[Cotação]],0)</f>
        <v>1.4468806410843405E-2</v>
      </c>
      <c r="AK297" s="43">
        <f>((1+Tabela3[[#This Row],[% Yield]])^(1/(3*Tabela3[[#This Row],[Ref]])))^(12)-1</f>
        <v>1.9338114609247059E-2</v>
      </c>
      <c r="AL297" s="14">
        <f>IF([Cotação]&gt;0,($AR$1/Tabela3[[#This Row],[Cotação]]-MOD($AR$1/Tabela3[[#This Row],[Cotação]],100)),)</f>
        <v>0</v>
      </c>
      <c r="AM297" s="17">
        <f>Tabela3[[#This Row],[Ativos]]*[Lucro]</f>
        <v>0</v>
      </c>
      <c r="AN297" s="17">
        <f>SUMPRODUCT(N(Tabela1[Código]=Tabela3[[#This Row],[PAPEL]]),Tabela1[Fechamento])</f>
        <v>0</v>
      </c>
      <c r="AO297" s="17">
        <f>SUMPRODUCT(N(Tabela17[Código]=Tabela3[[#This Row],[PAPEL]]),Tabela17[Fechamento])</f>
        <v>0</v>
      </c>
      <c r="AP297" s="17">
        <f>SUMPRODUCT(N(Tabela176[Código]=Tabela3[[#This Row],[PAPEL]]),Tabela176[Fechamento])</f>
        <v>8.7100000000000009</v>
      </c>
    </row>
    <row r="298" spans="1:42" hidden="1">
      <c r="A298" s="4" t="s">
        <v>938</v>
      </c>
      <c r="B298" s="65" t="s">
        <v>948</v>
      </c>
      <c r="C298" s="15" t="str">
        <f>LEFT([PAPEL],LEN([PAPEL])-(LEN([PAPEL])-4))</f>
        <v>QUAL</v>
      </c>
      <c r="D298" s="15">
        <v>3</v>
      </c>
      <c r="E298" s="6">
        <v>1875873805.45</v>
      </c>
      <c r="F298" s="8">
        <v>266602637</v>
      </c>
      <c r="G298" s="106">
        <v>0.25</v>
      </c>
      <c r="H298" s="15"/>
      <c r="I298" s="19"/>
      <c r="J298" s="19"/>
      <c r="K298" s="108"/>
      <c r="L298" s="108"/>
      <c r="M298" s="114">
        <v>2050249000</v>
      </c>
      <c r="N298" s="115">
        <v>19889000</v>
      </c>
      <c r="O298" s="13">
        <f>Tabela3[[#This Row],[Capital Social]]*20%</f>
        <v>375174761.09000003</v>
      </c>
      <c r="P298" s="13">
        <f>IF(([Lucro Líquido]*5%)&gt;[Teto R. Legal],[Teto R. Legal],[Lucro Líquido]*5%)</f>
        <v>994450</v>
      </c>
      <c r="Q298" s="13">
        <f>IF([Lucro Líquido]&lt;0,0,[Lucro Líquido]-[Reserva Legal])</f>
        <v>18894550</v>
      </c>
      <c r="R298" s="13">
        <f>Tabela3[[#This Row],[Lucro Distribuir]]*[%Div]</f>
        <v>4723637.5</v>
      </c>
      <c r="S298" s="57">
        <f>SUMPRODUCT(N([Nome]=Tabela3[[#This Row],[Nome]]),[Ações])</f>
        <v>266602637</v>
      </c>
      <c r="T298" s="6">
        <f>[Capital Social]/[Total Ações]</f>
        <v>7.0362162451153853</v>
      </c>
      <c r="U298" s="96">
        <f>Tabela3[[#This Row],[Lucro Líquido]]/Tabela3[[#This Row],[Total Ações]]</f>
        <v>7.4601662698482604E-2</v>
      </c>
      <c r="V2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W2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Z298" s="13">
        <f>[Div Base]*[Ações]</f>
        <v>4723637.5</v>
      </c>
      <c r="AA298" s="13">
        <f>SUMPRODUCT(N([Nome]=Tabela3[[#This Row],[Nome]]),[Div Base]*[Ações])</f>
        <v>4723637.5</v>
      </c>
      <c r="AB298" s="113">
        <f>[Patrimônio Líquido]/[Total Ações]</f>
        <v>7.6902802728091544</v>
      </c>
      <c r="AC298" s="49">
        <f>MAX(Tabela3[[#This Row],[Cotação 1]:[Cotação 3]])</f>
        <v>20.85</v>
      </c>
      <c r="AD298" s="45">
        <f>[Cotação]/[VPA]</f>
        <v>2.7112145800095502</v>
      </c>
      <c r="AE298" s="41">
        <f>IF(Tabela3[[#This Row],[Lucro/Ação]]&gt;0,Tabela3[[#This Row],[Cotação]]/(Tabela3[[#This Row],[Lucro/Ação]]/[Ref]*4),0)</f>
        <v>209.61329056702201</v>
      </c>
      <c r="AF298" s="109" t="e">
        <f>IF([Div. Mínimo]=0,0,[Lucro Distribuir]*#REF!/[Total Ações])</f>
        <v>#REF!</v>
      </c>
      <c r="AG298" s="96">
        <f>[Lucro Distribuir]/[Total Ações]</f>
        <v>7.0871579563558482E-2</v>
      </c>
      <c r="AH298" s="96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I298" s="14" t="str">
        <f>IF(AND([% A.A.]&gt;=8%,SUMPRODUCT(N([Nome]=Tabela3[[#This Row],[Nome]]),[PL])&gt;0),"Sim","Não")</f>
        <v>Não</v>
      </c>
      <c r="AJ298" s="43">
        <f>IF([Cotação]&gt;0,Tabela3[[#This Row],[Lucro]]/Tabela3[[#This Row],[Cotação]],0)</f>
        <v>8.4977913145753566E-4</v>
      </c>
      <c r="AK298" s="43">
        <f>((1+Tabela3[[#This Row],[% Yield]])^(1/(3*Tabela3[[#This Row],[Ref]])))^(12)-1</f>
        <v>1.1331992837770866E-3</v>
      </c>
      <c r="AL298" s="14">
        <f>IF([Cotação]&gt;0,($AR$1/Tabela3[[#This Row],[Cotação]]-MOD($AR$1/Tabela3[[#This Row],[Cotação]],100)),)</f>
        <v>0</v>
      </c>
      <c r="AM298" s="17">
        <f>Tabela3[[#This Row],[Ativos]]*[Lucro]</f>
        <v>0</v>
      </c>
      <c r="AN298" s="17">
        <f>SUMPRODUCT(N(Tabela1[Código]=Tabela3[[#This Row],[PAPEL]]),Tabela1[Fechamento])</f>
        <v>0</v>
      </c>
      <c r="AO298" s="17">
        <f>SUMPRODUCT(N(Tabela17[Código]=Tabela3[[#This Row],[PAPEL]]),Tabela17[Fechamento])</f>
        <v>0</v>
      </c>
      <c r="AP298" s="17">
        <f>SUMPRODUCT(N(Tabela176[Código]=Tabela3[[#This Row],[PAPEL]]),Tabela176[Fechamento])</f>
        <v>20.85</v>
      </c>
    </row>
    <row r="299" spans="1:42" hidden="1">
      <c r="A299" s="4" t="s">
        <v>958</v>
      </c>
      <c r="B299" s="65" t="s">
        <v>955</v>
      </c>
      <c r="C299" s="15" t="str">
        <f>LEFT([PAPEL],LEN([PAPEL])-(LEN([PAPEL])-4))</f>
        <v>CREM</v>
      </c>
      <c r="D299" s="15">
        <v>3</v>
      </c>
      <c r="E299" s="6">
        <v>98407570.090000004</v>
      </c>
      <c r="F299" s="8">
        <v>29286632</v>
      </c>
      <c r="G299" s="106">
        <v>0.35</v>
      </c>
      <c r="H299" s="15"/>
      <c r="I299" s="19"/>
      <c r="J299" s="19"/>
      <c r="K299" s="108"/>
      <c r="L299" s="108"/>
      <c r="M299" s="114">
        <v>285071000</v>
      </c>
      <c r="N299" s="115">
        <v>27479000</v>
      </c>
      <c r="O299" s="13">
        <f>Tabela3[[#This Row],[Capital Social]]*20%</f>
        <v>19681514.018000003</v>
      </c>
      <c r="P299" s="13">
        <f>IF(([Lucro Líquido]*5%)&gt;[Teto R. Legal],[Teto R. Legal],[Lucro Líquido]*5%)</f>
        <v>1373950</v>
      </c>
      <c r="Q299" s="13">
        <f>IF([Lucro Líquido]&lt;0,0,[Lucro Líquido]-[Reserva Legal])</f>
        <v>26105050</v>
      </c>
      <c r="R299" s="13">
        <f>Tabela3[[#This Row],[Lucro Distribuir]]*[%Div]</f>
        <v>9136767.5</v>
      </c>
      <c r="S299" s="57">
        <f>SUMPRODUCT(N([Nome]=Tabela3[[#This Row],[Nome]]),[Ações])</f>
        <v>29286632</v>
      </c>
      <c r="T299" s="6">
        <f>[Capital Social]/[Total Ações]</f>
        <v>3.3601531951506067</v>
      </c>
      <c r="U299" s="96">
        <f>Tabela3[[#This Row],[Lucro Líquido]]/Tabela3[[#This Row],[Total Ações]]</f>
        <v>0.93827791464720145</v>
      </c>
      <c r="V2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W2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Z299" s="13">
        <f>[Div Base]*[Ações]</f>
        <v>9136767.5</v>
      </c>
      <c r="AA299" s="13">
        <f>SUMPRODUCT(N([Nome]=Tabela3[[#This Row],[Nome]]),[Div Base]*[Ações])</f>
        <v>9136767.5</v>
      </c>
      <c r="AB299" s="113">
        <f>[Patrimônio Líquido]/[Total Ações]</f>
        <v>9.7338266824263027</v>
      </c>
      <c r="AC299" s="49">
        <f>MAX(Tabela3[[#This Row],[Cotação 1]:[Cotação 3]])</f>
        <v>15.31</v>
      </c>
      <c r="AD299" s="45">
        <f>[Cotação]/[VPA]</f>
        <v>1.5728654823535191</v>
      </c>
      <c r="AE299" s="41">
        <f>IF(Tabela3[[#This Row],[Lucro/Ação]]&gt;0,Tabela3[[#This Row],[Cotação]]/(Tabela3[[#This Row],[Lucro/Ação]]/[Ref]*4),0)</f>
        <v>12.237845334255249</v>
      </c>
      <c r="AF299" s="109" t="e">
        <f>IF([Div. Mínimo]=0,0,[Lucro Distribuir]*#REF!/[Total Ações])</f>
        <v>#REF!</v>
      </c>
      <c r="AG299" s="96">
        <f>[Lucro Distribuir]/[Total Ações]</f>
        <v>0.89136401891484141</v>
      </c>
      <c r="AH299" s="96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I299" s="14" t="str">
        <f>IF(AND([% A.A.]&gt;=8%,SUMPRODUCT(N([Nome]=Tabela3[[#This Row],[Nome]]),[PL])&gt;0),"Sim","Não")</f>
        <v>Não</v>
      </c>
      <c r="AJ299" s="43">
        <f>IF([Cotação]&gt;0,Tabela3[[#This Row],[Lucro]]/Tabela3[[#This Row],[Cotação]],0)</f>
        <v>2.03773616342387E-2</v>
      </c>
      <c r="AK299" s="43">
        <f>((1+Tabela3[[#This Row],[% Yield]])^(1/(3*Tabela3[[#This Row],[Ref]])))^(12)-1</f>
        <v>2.7261676032892534E-2</v>
      </c>
      <c r="AL299" s="14">
        <f>IF([Cotação]&gt;0,($AR$1/Tabela3[[#This Row],[Cotação]]-MOD($AR$1/Tabela3[[#This Row],[Cotação]],100)),)</f>
        <v>0</v>
      </c>
      <c r="AM299" s="17">
        <f>Tabela3[[#This Row],[Ativos]]*[Lucro]</f>
        <v>0</v>
      </c>
      <c r="AN299" s="17">
        <f>SUMPRODUCT(N(Tabela1[Código]=Tabela3[[#This Row],[PAPEL]]),Tabela1[Fechamento])</f>
        <v>0</v>
      </c>
      <c r="AO299" s="17">
        <f>SUMPRODUCT(N(Tabela17[Código]=Tabela3[[#This Row],[PAPEL]]),Tabela17[Fechamento])</f>
        <v>0</v>
      </c>
      <c r="AP299" s="17">
        <f>SUMPRODUCT(N(Tabela176[Código]=Tabela3[[#This Row],[PAPEL]]),Tabela176[Fechamento])</f>
        <v>15.31</v>
      </c>
    </row>
    <row r="300" spans="1:42" hidden="1">
      <c r="A300" s="4" t="s">
        <v>958</v>
      </c>
      <c r="B300" s="65" t="s">
        <v>952</v>
      </c>
      <c r="C300" s="15" t="str">
        <f>LEFT([PAPEL],LEN([PAPEL])-(LEN([PAPEL])-4))</f>
        <v>BIOM</v>
      </c>
      <c r="D300" s="15">
        <v>3</v>
      </c>
      <c r="E300" s="6">
        <v>13062247.32</v>
      </c>
      <c r="F300" s="8">
        <v>17338833</v>
      </c>
      <c r="G300" s="106">
        <v>0.25</v>
      </c>
      <c r="H300" s="15"/>
      <c r="I300" s="19"/>
      <c r="J300" s="19"/>
      <c r="K300" s="108"/>
      <c r="L300" s="108"/>
      <c r="M300" s="114">
        <v>-30201000</v>
      </c>
      <c r="N300" s="115">
        <v>-8750000</v>
      </c>
      <c r="O300" s="13">
        <f>Tabela3[[#This Row],[Capital Social]]*20%</f>
        <v>2612449.4640000002</v>
      </c>
      <c r="P300" s="13">
        <f>IF(([Lucro Líquido]*5%)&gt;[Teto R. Legal],[Teto R. Legal],[Lucro Líquido]*5%)</f>
        <v>-437500</v>
      </c>
      <c r="Q300" s="13">
        <f>IF([Lucro Líquido]&lt;0,0,[Lucro Líquido]-[Reserva Legal])</f>
        <v>0</v>
      </c>
      <c r="R300" s="13">
        <f>Tabela3[[#This Row],[Lucro Distribuir]]*[%Div]</f>
        <v>0</v>
      </c>
      <c r="S300" s="57">
        <f>SUMPRODUCT(N([Nome]=Tabela3[[#This Row],[Nome]]),[Ações])</f>
        <v>17338833</v>
      </c>
      <c r="T300" s="6">
        <f>[Capital Social]/[Total Ações]</f>
        <v>0.75335216159011398</v>
      </c>
      <c r="U300" s="96">
        <f>Tabela3[[#This Row],[Lucro Líquido]]/Tabela3[[#This Row],[Total Ações]]</f>
        <v>-0.50464757345549149</v>
      </c>
      <c r="V3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00" s="13">
        <f>[Div Base]*[Ações]</f>
        <v>0</v>
      </c>
      <c r="AA300" s="13">
        <f>SUMPRODUCT(N([Nome]=Tabela3[[#This Row],[Nome]]),[Div Base]*[Ações])</f>
        <v>0</v>
      </c>
      <c r="AB300" s="113">
        <f>[Patrimônio Líquido]/[Total Ações]</f>
        <v>-1.741812727534777</v>
      </c>
      <c r="AC300" s="49">
        <f>MAX(Tabela3[[#This Row],[Cotação 1]:[Cotação 3]])</f>
        <v>9.48</v>
      </c>
      <c r="AD300" s="45">
        <f>[Cotação]/[VPA]</f>
        <v>-5.442605769345386</v>
      </c>
      <c r="AE300" s="41">
        <f>IF(Tabela3[[#This Row],[Lucro/Ação]]&gt;0,Tabela3[[#This Row],[Cotação]]/(Tabela3[[#This Row],[Lucro/Ação]]/[Ref]*4),0)</f>
        <v>0</v>
      </c>
      <c r="AF300" s="109">
        <f>IF([Div. Mínimo]=0,0,[Lucro Distribuir]*#REF!/[Total Ações])</f>
        <v>0</v>
      </c>
      <c r="AG300" s="96">
        <f>[Lucro Distribuir]/[Total Ações]</f>
        <v>0</v>
      </c>
      <c r="AH30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00" s="14" t="str">
        <f>IF(AND([% A.A.]&gt;=8%,SUMPRODUCT(N([Nome]=Tabela3[[#This Row],[Nome]]),[PL])&gt;0),"Sim","Não")</f>
        <v>Não</v>
      </c>
      <c r="AJ300" s="43">
        <f>IF([Cotação]&gt;0,Tabela3[[#This Row],[Lucro]]/Tabela3[[#This Row],[Cotação]],0)</f>
        <v>0</v>
      </c>
      <c r="AK300" s="43">
        <f>((1+Tabela3[[#This Row],[% Yield]])^(1/(3*Tabela3[[#This Row],[Ref]])))^(12)-1</f>
        <v>0</v>
      </c>
      <c r="AL300" s="14">
        <f>IF([Cotação]&gt;0,($AR$1/Tabela3[[#This Row],[Cotação]]-MOD($AR$1/Tabela3[[#This Row],[Cotação]],100)),)</f>
        <v>0</v>
      </c>
      <c r="AM300" s="17">
        <f>Tabela3[[#This Row],[Ativos]]*[Lucro]</f>
        <v>0</v>
      </c>
      <c r="AN300" s="17">
        <f>SUMPRODUCT(N(Tabela1[Código]=Tabela3[[#This Row],[PAPEL]]),Tabela1[Fechamento])</f>
        <v>0</v>
      </c>
      <c r="AO300" s="17">
        <f>SUMPRODUCT(N(Tabela17[Código]=Tabela3[[#This Row],[PAPEL]]),Tabela17[Fechamento])</f>
        <v>0</v>
      </c>
      <c r="AP300" s="17">
        <f>SUMPRODUCT(N(Tabela176[Código]=Tabela3[[#This Row],[PAPEL]]),Tabela176[Fechamento])</f>
        <v>9.48</v>
      </c>
    </row>
  </sheetData>
  <hyperlinks>
    <hyperlink ref="B9" r:id="rId1"/>
    <hyperlink ref="B4" r:id="rId2"/>
    <hyperlink ref="B209" r:id="rId3" display="PINE4"/>
    <hyperlink ref="B29" r:id="rId4"/>
    <hyperlink ref="B28" r:id="rId5"/>
    <hyperlink ref="B55" r:id="rId6"/>
    <hyperlink ref="B54" r:id="rId7"/>
    <hyperlink ref="B53" r:id="rId8"/>
    <hyperlink ref="B289" r:id="rId9" display="BRKM3"/>
    <hyperlink ref="B49" r:id="rId10" display="BRKM3"/>
    <hyperlink ref="B185" r:id="rId11"/>
    <hyperlink ref="B46" r:id="rId12"/>
    <hyperlink ref="B57" r:id="rId13"/>
    <hyperlink ref="B56" r:id="rId14"/>
    <hyperlink ref="B44" r:id="rId15" display="BRGE3"/>
    <hyperlink ref="B91" r:id="rId16" display="BRGE3"/>
    <hyperlink ref="B90" r:id="rId17" display="BRGE3"/>
    <hyperlink ref="B201" r:id="rId18" display="BRGE3"/>
    <hyperlink ref="B40" r:id="rId19"/>
    <hyperlink ref="B39" r:id="rId20"/>
    <hyperlink ref="B100" r:id="rId21"/>
    <hyperlink ref="B98" r:id="rId22" display="CPLE3"/>
    <hyperlink ref="B81" r:id="rId23" display="CPLE3"/>
    <hyperlink ref="B96" r:id="rId24"/>
    <hyperlink ref="B30" r:id="rId25" display="BNBR4"/>
    <hyperlink ref="B31" r:id="rId26"/>
    <hyperlink ref="B180" r:id="rId27"/>
    <hyperlink ref="B130" r:id="rId28"/>
    <hyperlink ref="B15" r:id="rId29"/>
    <hyperlink ref="B158" r:id="rId30" display="GTDP4B"/>
    <hyperlink ref="B66" r:id="rId31" display="CEBR3"/>
    <hyperlink ref="B65" r:id="rId32" display="CEBR3"/>
    <hyperlink ref="B64" r:id="rId33"/>
    <hyperlink ref="B184" r:id="rId34" display="MERC4"/>
    <hyperlink ref="B273" r:id="rId35" display="CMIG4"/>
    <hyperlink ref="B82" r:id="rId36" display="CESP3"/>
    <hyperlink ref="B89" r:id="rId37" display="CESP3"/>
    <hyperlink ref="B126" r:id="rId38" display="ELPL4"/>
    <hyperlink ref="B203" r:id="rId39" display="PATI4"/>
    <hyperlink ref="B116" r:id="rId40"/>
    <hyperlink ref="B109" r:id="rId41"/>
    <hyperlink ref="B85" r:id="rId42"/>
    <hyperlink ref="B58" r:id="rId43"/>
    <hyperlink ref="B45" r:id="rId44"/>
    <hyperlink ref="B97" r:id="rId45"/>
    <hyperlink ref="B99" r:id="rId46"/>
    <hyperlink ref="B275" r:id="rId47"/>
    <hyperlink ref="B197" r:id="rId48"/>
    <hyperlink ref="B166" r:id="rId49"/>
    <hyperlink ref="B62" r:id="rId50"/>
    <hyperlink ref="B52" r:id="rId51"/>
    <hyperlink ref="B51" r:id="rId52"/>
    <hyperlink ref="B139" r:id="rId53"/>
    <hyperlink ref="B204" r:id="rId54"/>
    <hyperlink ref="B183" r:id="rId55"/>
    <hyperlink ref="B141" r:id="rId56"/>
    <hyperlink ref="B112" r:id="rId57"/>
    <hyperlink ref="B159" r:id="rId58"/>
    <hyperlink ref="B174" r:id="rId59"/>
    <hyperlink ref="B80" r:id="rId60"/>
    <hyperlink ref="B127" r:id="rId61"/>
    <hyperlink ref="B177" r:id="rId62"/>
    <hyperlink ref="B13" r:id="rId63"/>
    <hyperlink ref="B191" r:id="rId64"/>
    <hyperlink ref="B162" r:id="rId65" display="HBTS5"/>
    <hyperlink ref="B36" r:id="rId66"/>
    <hyperlink ref="B35" r:id="rId67"/>
    <hyperlink ref="B274" r:id="rId68"/>
    <hyperlink ref="B200" r:id="rId69"/>
    <hyperlink ref="B173" r:id="rId70"/>
    <hyperlink ref="B37" r:id="rId71"/>
    <hyperlink ref="B87" r:id="rId72"/>
    <hyperlink ref="B86" r:id="rId73"/>
    <hyperlink ref="B103" r:id="rId74"/>
    <hyperlink ref="B48" r:id="rId75"/>
    <hyperlink ref="B18" r:id="rId76"/>
    <hyperlink ref="B102" r:id="rId77"/>
    <hyperlink ref="B101" r:id="rId78"/>
    <hyperlink ref="B231" r:id="rId79"/>
    <hyperlink ref="B230" r:id="rId80"/>
    <hyperlink ref="B229" r:id="rId81"/>
    <hyperlink ref="B210" r:id="rId82"/>
    <hyperlink ref="B239" r:id="rId83"/>
    <hyperlink ref="B271" r:id="rId84"/>
    <hyperlink ref="B240" r:id="rId85"/>
    <hyperlink ref="B248" r:id="rId86"/>
    <hyperlink ref="B267" r:id="rId87"/>
    <hyperlink ref="B215" r:id="rId88"/>
    <hyperlink ref="B218" r:id="rId89"/>
    <hyperlink ref="B272" r:id="rId90"/>
    <hyperlink ref="B265" r:id="rId91"/>
    <hyperlink ref="B243" r:id="rId92"/>
    <hyperlink ref="B251" r:id="rId93" display="SULA11"/>
    <hyperlink ref="B219" r:id="rId94"/>
    <hyperlink ref="B280" r:id="rId95"/>
    <hyperlink ref="B283" r:id="rId96"/>
    <hyperlink ref="B282" r:id="rId97"/>
    <hyperlink ref="B281" r:id="rId98"/>
    <hyperlink ref="B43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8" r:id="rId117"/>
    <hyperlink ref="B288" r:id="rId118"/>
    <hyperlink ref="B156" r:id="rId119"/>
    <hyperlink ref="B62:B64" r:id="rId120" display="CEEB3"/>
    <hyperlink ref="B69:B71" r:id="rId121" display="CEPE3"/>
    <hyperlink ref="B92:B94" r:id="rId122" display="COCE3"/>
    <hyperlink ref="B168:B173" r:id="rId123" display="ENMA3B"/>
    <hyperlink ref="B95" r:id="rId124"/>
    <hyperlink ref="B186:B187" r:id="rId125" display="GEPA3"/>
    <hyperlink ref="B182" r:id="rId126"/>
    <hyperlink ref="B127:B128" r:id="rId127" display="EMAE3"/>
    <hyperlink ref="B131" r:id="rId128"/>
    <hyperlink ref="B138" r:id="rId129"/>
    <hyperlink ref="B258" r:id="rId130"/>
    <hyperlink ref="B210:B211" r:id="rId131" display="TRPL3"/>
    <hyperlink ref="B255" r:id="rId132"/>
    <hyperlink ref="B222" r:id="rId133"/>
    <hyperlink ref="B223" r:id="rId134" display="EKTR3"/>
    <hyperlink ref="B59" r:id="rId135"/>
    <hyperlink ref="B60" r:id="rId136" display="CASN3"/>
    <hyperlink ref="B104" r:id="rId137"/>
    <hyperlink ref="B237" r:id="rId138"/>
    <hyperlink ref="B238" r:id="rId139" display="SAPR3"/>
    <hyperlink ref="B83" r:id="rId140"/>
    <hyperlink ref="B84" r:id="rId141" display="CGAS3"/>
    <hyperlink ref="B72" r:id="rId142"/>
    <hyperlink ref="B167" r:id="rId143"/>
    <hyperlink ref="B115" r:id="rId144" display="EBTP4"/>
    <hyperlink ref="B188" r:id="rId145"/>
    <hyperlink ref="B189" r:id="rId146" display="MLFT3"/>
    <hyperlink ref="B178" r:id="rId147"/>
    <hyperlink ref="B179" r:id="rId148" display="LFFE3"/>
    <hyperlink ref="B111" r:id="rId149"/>
    <hyperlink ref="B110" r:id="rId150" display="DAYC4"/>
    <hyperlink ref="B164" r:id="rId151"/>
    <hyperlink ref="B165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234" r:id="rId158"/>
    <hyperlink ref="B235" r:id="rId159" display="SANB11"/>
    <hyperlink ref="B236" r:id="rId160" display="SANB11"/>
    <hyperlink ref="B242" r:id="rId161"/>
    <hyperlink ref="B241" r:id="rId162" display="SFSA4"/>
    <hyperlink ref="B171" r:id="rId163"/>
    <hyperlink ref="B172" r:id="rId164" display="ITUB3"/>
    <hyperlink ref="B214" r:id="rId165"/>
    <hyperlink ref="B213" r:id="rId166" display="PRBC4"/>
    <hyperlink ref="B169" r:id="rId167"/>
    <hyperlink ref="B170" r:id="rId168" display="ITSA3"/>
    <hyperlink ref="B163" r:id="rId169"/>
    <hyperlink ref="B181" r:id="rId170"/>
    <hyperlink ref="B259" r:id="rId171"/>
    <hyperlink ref="B260" r:id="rId172" display="TELB3"/>
    <hyperlink ref="B244" r:id="rId173"/>
    <hyperlink ref="B268" r:id="rId174"/>
    <hyperlink ref="B21" r:id="rId175"/>
    <hyperlink ref="B168" r:id="rId176"/>
    <hyperlink ref="B212" r:id="rId177"/>
    <hyperlink ref="B199" r:id="rId178"/>
    <hyperlink ref="B207" r:id="rId179"/>
    <hyperlink ref="B208" r:id="rId180" display="PETR3"/>
    <hyperlink ref="B232" r:id="rId181"/>
    <hyperlink ref="B233" r:id="rId182"/>
    <hyperlink ref="B202" r:id="rId183"/>
    <hyperlink ref="B144" r:id="rId184"/>
    <hyperlink ref="B145" r:id="rId185" display="FESA3"/>
    <hyperlink ref="B105" r:id="rId186"/>
    <hyperlink ref="B276" r:id="rId187"/>
    <hyperlink ref="B277" r:id="rId188" display="USIM3"/>
    <hyperlink ref="B278" r:id="rId189" display="USIM3"/>
    <hyperlink ref="B152" r:id="rId190"/>
    <hyperlink ref="B153" r:id="rId191" display="GGBR3"/>
    <hyperlink ref="B154" r:id="rId192"/>
    <hyperlink ref="B155" r:id="rId193"/>
    <hyperlink ref="B142" r:id="rId194"/>
    <hyperlink ref="B143" r:id="rId195" display="FBMC3"/>
    <hyperlink ref="B186" r:id="rId196"/>
    <hyperlink ref="B187" r:id="rId197" display="MGEL3"/>
    <hyperlink ref="B113" r:id="rId198"/>
    <hyperlink ref="B114" r:id="rId199"/>
    <hyperlink ref="B266" r:id="rId200" display="TKNO4"/>
    <hyperlink ref="B211" r:id="rId201"/>
    <hyperlink ref="B262" r:id="rId202"/>
    <hyperlink ref="B263" r:id="rId203" display="TIBR3"/>
    <hyperlink ref="B264" r:id="rId204" display="TIBR3"/>
    <hyperlink ref="B121" r:id="rId205"/>
    <hyperlink ref="B122" r:id="rId206" display="ELEK3"/>
    <hyperlink ref="B157" r:id="rId207"/>
    <hyperlink ref="B225" r:id="rId208"/>
    <hyperlink ref="B146" r:id="rId209"/>
    <hyperlink ref="B198" r:id="rId210"/>
    <hyperlink ref="B63" r:id="rId211"/>
    <hyperlink ref="B279" r:id="rId212" display="VALE5"/>
    <hyperlink ref="B190" r:id="rId213"/>
    <hyperlink ref="B245" r:id="rId214"/>
    <hyperlink ref="B246" r:id="rId215" display="SNSY3"/>
    <hyperlink ref="B247" r:id="rId216" display="SNSY3"/>
    <hyperlink ref="B220" r:id="rId217"/>
    <hyperlink ref="B221" r:id="rId218" display="RANI3"/>
    <hyperlink ref="B192" r:id="rId219"/>
    <hyperlink ref="B193" r:id="rId220" display="MSPA3"/>
    <hyperlink ref="B147" r:id="rId221"/>
    <hyperlink ref="B38" r:id="rId222"/>
    <hyperlink ref="B175" r:id="rId223" display="KLBN11"/>
    <hyperlink ref="B176" r:id="rId224" display="KLBN11"/>
    <hyperlink ref="B252" r:id="rId225"/>
    <hyperlink ref="B253" r:id="rId226" display="SUZB3"/>
    <hyperlink ref="B254" r:id="rId227" display="SUZB3"/>
    <hyperlink ref="B140" r:id="rId228" display="EUCA4"/>
    <hyperlink ref="B217" r:id="rId229" display="PTPA4"/>
    <hyperlink ref="B194" r:id="rId230"/>
    <hyperlink ref="B195" r:id="rId231" display="MTIG3"/>
    <hyperlink ref="B205" r:id="rId232"/>
    <hyperlink ref="B206" r:id="rId233" display="PEAB3"/>
    <hyperlink ref="B216" r:id="rId234"/>
    <hyperlink ref="B250" r:id="rId235" display="SULA11"/>
    <hyperlink ref="B249" r:id="rId236"/>
    <hyperlink ref="B284" r:id="rId237"/>
    <hyperlink ref="B285" r:id="rId238" display="BTTL3"/>
    <hyperlink ref="B161" r:id="rId239"/>
    <hyperlink ref="B160" r:id="rId240" display="HBTS5"/>
    <hyperlink ref="B286" r:id="rId241"/>
    <hyperlink ref="B287" r:id="rId242" display="DOCA3"/>
    <hyperlink ref="B42" r:id="rId243"/>
    <hyperlink ref="B41" r:id="rId244" display="JBDU3"/>
    <hyperlink ref="B290" r:id="rId245"/>
    <hyperlink ref="B291" r:id="rId246"/>
    <hyperlink ref="B292" r:id="rId247" display="CORR3"/>
    <hyperlink ref="B293" r:id="rId248"/>
    <hyperlink ref="B196" r:id="rId249" display="MULT3"/>
    <hyperlink ref="B294" r:id="rId250"/>
    <hyperlink ref="B295" r:id="rId251"/>
    <hyperlink ref="B296" r:id="rId252"/>
    <hyperlink ref="B297" r:id="rId253"/>
    <hyperlink ref="B298" r:id="rId254"/>
    <hyperlink ref="B299" r:id="rId255"/>
    <hyperlink ref="B300" r:id="rId256"/>
  </hyperlinks>
  <pageMargins left="0.7" right="0.7" top="0.75" bottom="0.75" header="0.3" footer="0.3"/>
  <pageSetup paperSize="9" orientation="portrait" r:id="rId257"/>
  <tableParts count="1">
    <tablePart r:id="rId25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466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959</v>
      </c>
      <c r="E7" s="3" t="s">
        <v>960</v>
      </c>
      <c r="F7" s="3" t="s">
        <v>961</v>
      </c>
      <c r="G7" s="3" t="s">
        <v>962</v>
      </c>
      <c r="H7" s="20">
        <v>41666</v>
      </c>
      <c r="J7" s="3">
        <f>IF($A7="",0,VALUE(CONCATENATE(LEFT(D7,LEN(D7)-3),",",RIGHT(D7,2))))</f>
        <v>11.91</v>
      </c>
      <c r="K7" s="3">
        <f t="shared" ref="K7:M22" si="0">IF($A7="",0,VALUE(CONCATENATE(LEFT(E7,LEN(E7)-3),",",RIGHT(E7,2))))</f>
        <v>11.9</v>
      </c>
      <c r="L7" s="3">
        <f t="shared" si="0"/>
        <v>12.17</v>
      </c>
      <c r="M7" s="3">
        <f t="shared" si="0"/>
        <v>11.86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41666</v>
      </c>
      <c r="S7" s="5">
        <f t="shared" ref="S7:S38" si="3">J7</f>
        <v>11.91</v>
      </c>
      <c r="T7" s="5">
        <f t="shared" ref="T7:T38" si="4">K7</f>
        <v>11.9</v>
      </c>
      <c r="U7" s="5">
        <f t="shared" ref="U7:U38" si="5">L7</f>
        <v>12.17</v>
      </c>
      <c r="V7" s="5">
        <f t="shared" ref="V7:V38" si="6">M7</f>
        <v>11.86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859</v>
      </c>
      <c r="E8" s="3" t="s">
        <v>860</v>
      </c>
      <c r="F8" s="3" t="s">
        <v>860</v>
      </c>
      <c r="G8" s="3" t="s">
        <v>859</v>
      </c>
      <c r="H8" s="20">
        <v>41662</v>
      </c>
      <c r="J8" s="3">
        <f t="shared" ref="J8:M71" si="7">IF($A8="",0,VALUE(CONCATENATE(LEFT(D8,LEN(D8)-3),",",RIGHT(D8,2))))</f>
        <v>7.5</v>
      </c>
      <c r="K8" s="3">
        <f t="shared" si="0"/>
        <v>7.68</v>
      </c>
      <c r="L8" s="3">
        <f t="shared" si="0"/>
        <v>7.68</v>
      </c>
      <c r="M8" s="3">
        <f t="shared" si="0"/>
        <v>7.5</v>
      </c>
      <c r="P8" s="14" t="s">
        <v>67</v>
      </c>
      <c r="Q8" s="10" t="str">
        <f t="shared" si="1"/>
        <v>AES ELPA    -ON</v>
      </c>
      <c r="R8" s="20">
        <f t="shared" si="2"/>
        <v>41662</v>
      </c>
      <c r="S8" s="5">
        <f t="shared" si="3"/>
        <v>7.5</v>
      </c>
      <c r="T8" s="5">
        <f t="shared" si="4"/>
        <v>7.68</v>
      </c>
      <c r="U8" s="5">
        <f t="shared" si="5"/>
        <v>7.68</v>
      </c>
      <c r="V8" s="5">
        <f t="shared" si="6"/>
        <v>7.5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819</v>
      </c>
      <c r="E9" s="3" t="s">
        <v>819</v>
      </c>
      <c r="F9" s="3" t="s">
        <v>819</v>
      </c>
      <c r="G9" s="3" t="s">
        <v>819</v>
      </c>
      <c r="H9" s="20">
        <v>41666</v>
      </c>
      <c r="J9" s="3">
        <f t="shared" si="7"/>
        <v>0.31</v>
      </c>
      <c r="K9" s="3">
        <f t="shared" si="0"/>
        <v>0.31</v>
      </c>
      <c r="L9" s="3">
        <f t="shared" si="0"/>
        <v>0.31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41666</v>
      </c>
      <c r="S9" s="5">
        <f t="shared" si="3"/>
        <v>0.31</v>
      </c>
      <c r="T9" s="5">
        <f t="shared" si="4"/>
        <v>0.31</v>
      </c>
      <c r="U9" s="5">
        <f t="shared" si="5"/>
        <v>0.31</v>
      </c>
      <c r="V9" s="5">
        <f t="shared" si="6"/>
        <v>0.31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951</v>
      </c>
      <c r="E10" s="3" t="s">
        <v>963</v>
      </c>
      <c r="F10" s="3" t="s">
        <v>963</v>
      </c>
      <c r="G10" s="3" t="s">
        <v>490</v>
      </c>
      <c r="H10" s="20">
        <v>41666</v>
      </c>
      <c r="J10" s="3">
        <f t="shared" si="7"/>
        <v>21.2</v>
      </c>
      <c r="K10" s="3">
        <f t="shared" si="0"/>
        <v>21.43</v>
      </c>
      <c r="L10" s="3">
        <f t="shared" si="0"/>
        <v>21.43</v>
      </c>
      <c r="M10" s="3">
        <f t="shared" si="0"/>
        <v>21</v>
      </c>
      <c r="P10" s="15" t="s">
        <v>24</v>
      </c>
      <c r="Q10" s="10" t="str">
        <f t="shared" si="1"/>
        <v xml:space="preserve">BRASIL      -ON  </v>
      </c>
      <c r="R10" s="20">
        <f t="shared" si="2"/>
        <v>41666</v>
      </c>
      <c r="S10" s="5">
        <f t="shared" si="3"/>
        <v>21.2</v>
      </c>
      <c r="T10" s="5">
        <f t="shared" si="4"/>
        <v>21.43</v>
      </c>
      <c r="U10" s="5">
        <f t="shared" si="5"/>
        <v>21.43</v>
      </c>
      <c r="V10" s="5">
        <f t="shared" si="6"/>
        <v>21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213</v>
      </c>
      <c r="D11" s="3" t="s">
        <v>861</v>
      </c>
      <c r="E11" s="3" t="s">
        <v>964</v>
      </c>
      <c r="F11" s="3" t="s">
        <v>965</v>
      </c>
      <c r="G11" s="3" t="s">
        <v>966</v>
      </c>
      <c r="H11" s="20">
        <v>41666</v>
      </c>
      <c r="J11" s="3">
        <f t="shared" si="7"/>
        <v>28.59</v>
      </c>
      <c r="K11" s="3">
        <f t="shared" si="0"/>
        <v>28.6</v>
      </c>
      <c r="L11" s="3">
        <f t="shared" si="0"/>
        <v>29.01</v>
      </c>
      <c r="M11" s="3">
        <f t="shared" si="0"/>
        <v>28.46</v>
      </c>
      <c r="P11" s="14" t="s">
        <v>211</v>
      </c>
      <c r="Q11" s="10" t="str">
        <f t="shared" si="1"/>
        <v xml:space="preserve">BRADESCO    -ON  </v>
      </c>
      <c r="R11" s="20">
        <f t="shared" si="2"/>
        <v>41666</v>
      </c>
      <c r="S11" s="5">
        <f t="shared" si="3"/>
        <v>28.59</v>
      </c>
      <c r="T11" s="5">
        <f t="shared" si="4"/>
        <v>28.6</v>
      </c>
      <c r="U11" s="5">
        <f t="shared" si="5"/>
        <v>29.01</v>
      </c>
      <c r="V11" s="5">
        <f t="shared" si="6"/>
        <v>28.46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214</v>
      </c>
      <c r="D12" s="3" t="s">
        <v>967</v>
      </c>
      <c r="E12" s="3" t="s">
        <v>885</v>
      </c>
      <c r="F12" s="3" t="s">
        <v>968</v>
      </c>
      <c r="G12" s="3" t="s">
        <v>969</v>
      </c>
      <c r="H12" s="20">
        <v>41666</v>
      </c>
      <c r="J12" s="3">
        <f t="shared" si="7"/>
        <v>26.45</v>
      </c>
      <c r="K12" s="3">
        <f t="shared" si="0"/>
        <v>26.47</v>
      </c>
      <c r="L12" s="3">
        <f t="shared" si="0"/>
        <v>26.69</v>
      </c>
      <c r="M12" s="3">
        <f t="shared" si="0"/>
        <v>26.2</v>
      </c>
      <c r="P12" s="14" t="s">
        <v>212</v>
      </c>
      <c r="Q12" s="10" t="str">
        <f t="shared" si="1"/>
        <v xml:space="preserve">BRADESCO    -PN  </v>
      </c>
      <c r="R12" s="52">
        <f t="shared" si="2"/>
        <v>41666</v>
      </c>
      <c r="S12" s="5">
        <f t="shared" si="3"/>
        <v>26.45</v>
      </c>
      <c r="T12" s="5">
        <f t="shared" si="4"/>
        <v>26.47</v>
      </c>
      <c r="U12" s="5">
        <f t="shared" si="5"/>
        <v>26.69</v>
      </c>
      <c r="V12" s="5">
        <f t="shared" si="6"/>
        <v>26.2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717</v>
      </c>
      <c r="D13" s="3" t="s">
        <v>776</v>
      </c>
      <c r="E13" s="3" t="s">
        <v>776</v>
      </c>
      <c r="F13" s="3" t="s">
        <v>776</v>
      </c>
      <c r="G13" s="3" t="s">
        <v>862</v>
      </c>
      <c r="H13" s="20">
        <v>41666</v>
      </c>
      <c r="J13" s="3">
        <f t="shared" si="7"/>
        <v>0.45</v>
      </c>
      <c r="K13" s="3">
        <f t="shared" si="0"/>
        <v>0.45</v>
      </c>
      <c r="L13" s="3">
        <f t="shared" si="0"/>
        <v>0.45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2">
        <f t="shared" si="2"/>
        <v>41666</v>
      </c>
      <c r="S13" s="5">
        <f t="shared" si="3"/>
        <v>0.45</v>
      </c>
      <c r="T13" s="5">
        <f t="shared" si="4"/>
        <v>0.45</v>
      </c>
      <c r="U13" s="5">
        <f t="shared" si="5"/>
        <v>0.45</v>
      </c>
      <c r="V13" s="5">
        <f t="shared" si="6"/>
        <v>0.44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718</v>
      </c>
      <c r="D14" s="3" t="s">
        <v>776</v>
      </c>
      <c r="E14" s="3" t="s">
        <v>410</v>
      </c>
      <c r="F14" s="3" t="s">
        <v>410</v>
      </c>
      <c r="G14" s="3" t="s">
        <v>863</v>
      </c>
      <c r="H14" s="20">
        <v>41662</v>
      </c>
      <c r="J14" s="3">
        <f t="shared" si="7"/>
        <v>0.45</v>
      </c>
      <c r="K14" s="3">
        <f t="shared" si="0"/>
        <v>0.46</v>
      </c>
      <c r="L14" s="3">
        <f t="shared" si="0"/>
        <v>0.46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41662</v>
      </c>
      <c r="S14" s="5">
        <f t="shared" si="3"/>
        <v>0.45</v>
      </c>
      <c r="T14" s="5">
        <f t="shared" si="4"/>
        <v>0.46</v>
      </c>
      <c r="U14" s="5">
        <f t="shared" si="5"/>
        <v>0.46</v>
      </c>
      <c r="V14" s="5">
        <f t="shared" si="6"/>
        <v>0.43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436</v>
      </c>
      <c r="D15" s="3" t="s">
        <v>429</v>
      </c>
      <c r="E15" s="3" t="s">
        <v>431</v>
      </c>
      <c r="F15" s="3" t="s">
        <v>431</v>
      </c>
      <c r="G15" s="3" t="s">
        <v>429</v>
      </c>
      <c r="H15" s="20">
        <v>41648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216</v>
      </c>
      <c r="Q15" s="10" t="str">
        <f t="shared" si="1"/>
        <v>BANESE      -ON</v>
      </c>
      <c r="R15" s="52">
        <f t="shared" si="2"/>
        <v>41648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437</v>
      </c>
      <c r="D16" s="3" t="s">
        <v>864</v>
      </c>
      <c r="E16" s="3" t="s">
        <v>864</v>
      </c>
      <c r="F16" s="3" t="s">
        <v>864</v>
      </c>
      <c r="G16" s="3" t="s">
        <v>864</v>
      </c>
      <c r="H16" s="20">
        <v>41662</v>
      </c>
      <c r="J16" s="3">
        <f t="shared" si="7"/>
        <v>43.02</v>
      </c>
      <c r="K16" s="3">
        <f t="shared" si="0"/>
        <v>43.02</v>
      </c>
      <c r="L16" s="3">
        <f t="shared" si="0"/>
        <v>43.02</v>
      </c>
      <c r="M16" s="3">
        <f t="shared" si="0"/>
        <v>43.02</v>
      </c>
      <c r="P16" s="15" t="s">
        <v>217</v>
      </c>
      <c r="Q16" s="10" t="str">
        <f t="shared" si="1"/>
        <v>BANESE      -PN</v>
      </c>
      <c r="R16" s="52">
        <f t="shared" si="2"/>
        <v>41662</v>
      </c>
      <c r="S16" s="5">
        <f t="shared" si="3"/>
        <v>43.02</v>
      </c>
      <c r="T16" s="5">
        <f t="shared" si="4"/>
        <v>43.02</v>
      </c>
      <c r="U16" s="5">
        <f t="shared" si="5"/>
        <v>43.02</v>
      </c>
      <c r="V16" s="5">
        <f t="shared" si="6"/>
        <v>43.02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224</v>
      </c>
      <c r="D17" s="3" t="s">
        <v>225</v>
      </c>
      <c r="E17" s="3" t="s">
        <v>226</v>
      </c>
      <c r="F17" s="3" t="s">
        <v>225</v>
      </c>
      <c r="G17" s="3" t="s">
        <v>226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223</v>
      </c>
      <c r="Q17" s="10" t="str">
        <f t="shared" si="1"/>
        <v xml:space="preserve">BICBANCO    -ON  </v>
      </c>
      <c r="R17" s="52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970</v>
      </c>
      <c r="E18" s="3" t="s">
        <v>971</v>
      </c>
      <c r="F18" s="3" t="s">
        <v>972</v>
      </c>
      <c r="G18" s="3" t="s">
        <v>973</v>
      </c>
      <c r="H18" s="20">
        <v>41666</v>
      </c>
      <c r="J18" s="3">
        <f t="shared" si="7"/>
        <v>7.26</v>
      </c>
      <c r="K18" s="3">
        <f t="shared" si="0"/>
        <v>7.24</v>
      </c>
      <c r="L18" s="3">
        <f t="shared" si="0"/>
        <v>7.32</v>
      </c>
      <c r="M18" s="3">
        <f t="shared" si="0"/>
        <v>7.22</v>
      </c>
      <c r="P18" s="14" t="s">
        <v>10</v>
      </c>
      <c r="Q18" s="10" t="str">
        <f t="shared" si="1"/>
        <v xml:space="preserve">BICBANCO    -PN  </v>
      </c>
      <c r="R18" s="52">
        <f t="shared" si="2"/>
        <v>41666</v>
      </c>
      <c r="S18" s="5">
        <f t="shared" si="3"/>
        <v>7.26</v>
      </c>
      <c r="T18" s="5">
        <f t="shared" si="4"/>
        <v>7.24</v>
      </c>
      <c r="U18" s="5">
        <f t="shared" si="5"/>
        <v>7.32</v>
      </c>
      <c r="V18" s="5">
        <f t="shared" si="6"/>
        <v>7.22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228</v>
      </c>
      <c r="D19" s="3" t="s">
        <v>167</v>
      </c>
      <c r="E19" s="3" t="s">
        <v>167</v>
      </c>
      <c r="F19" s="3" t="s">
        <v>167</v>
      </c>
      <c r="G19" s="3" t="s">
        <v>167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227</v>
      </c>
      <c r="Q19" s="10" t="str">
        <f t="shared" si="1"/>
        <v>MERC INVEST -ON</v>
      </c>
      <c r="R19" s="52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41666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41666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231</v>
      </c>
      <c r="D21" s="3" t="s">
        <v>215</v>
      </c>
      <c r="E21" s="3" t="s">
        <v>215</v>
      </c>
      <c r="F21" s="3" t="s">
        <v>215</v>
      </c>
      <c r="G21" s="3" t="s">
        <v>215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229</v>
      </c>
      <c r="Q21" s="10" t="str">
        <f t="shared" si="1"/>
        <v>NORD BRASIL -ON</v>
      </c>
      <c r="R21" s="52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232</v>
      </c>
      <c r="D22" s="3" t="s">
        <v>719</v>
      </c>
      <c r="E22" s="3" t="s">
        <v>696</v>
      </c>
      <c r="F22" s="3" t="s">
        <v>696</v>
      </c>
      <c r="G22" s="3" t="s">
        <v>719</v>
      </c>
      <c r="H22" s="20">
        <v>41656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230</v>
      </c>
      <c r="Q22" s="10" t="str">
        <f t="shared" si="1"/>
        <v>NORD BRASIL -PN</v>
      </c>
      <c r="R22" s="52">
        <f t="shared" si="2"/>
        <v>41656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865</v>
      </c>
      <c r="D23" s="3" t="s">
        <v>169</v>
      </c>
      <c r="E23" s="3" t="s">
        <v>169</v>
      </c>
      <c r="F23" s="3" t="s">
        <v>169</v>
      </c>
      <c r="G23" s="3" t="s">
        <v>169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242</v>
      </c>
      <c r="Q23" s="10" t="str">
        <f t="shared" si="1"/>
        <v xml:space="preserve">ALFA CONSORC-PNE </v>
      </c>
      <c r="R23" s="52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248</v>
      </c>
      <c r="D24" s="3" t="s">
        <v>202</v>
      </c>
      <c r="E24" s="3" t="s">
        <v>202</v>
      </c>
      <c r="F24" s="3" t="s">
        <v>202</v>
      </c>
      <c r="G24" s="3" t="s">
        <v>202</v>
      </c>
      <c r="H24" s="20">
        <v>41642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243</v>
      </c>
      <c r="Q24" s="10" t="str">
        <f t="shared" si="1"/>
        <v>ALFA CONSORC-PNF</v>
      </c>
      <c r="R24" s="52">
        <f t="shared" si="2"/>
        <v>41642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244</v>
      </c>
      <c r="D25" s="3" t="s">
        <v>245</v>
      </c>
      <c r="E25" s="3" t="s">
        <v>245</v>
      </c>
      <c r="F25" s="3" t="s">
        <v>245</v>
      </c>
      <c r="G25" s="3" t="s">
        <v>245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238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866</v>
      </c>
      <c r="D26" s="3" t="s">
        <v>492</v>
      </c>
      <c r="E26" s="3" t="s">
        <v>246</v>
      </c>
      <c r="F26" s="3" t="s">
        <v>246</v>
      </c>
      <c r="G26" s="3" t="s">
        <v>246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239</v>
      </c>
      <c r="Q26" s="10" t="str">
        <f t="shared" si="1"/>
        <v xml:space="preserve">ALFA CONSORC-PNA 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867</v>
      </c>
      <c r="D27" s="3" t="s">
        <v>432</v>
      </c>
      <c r="E27" s="3" t="s">
        <v>432</v>
      </c>
      <c r="F27" s="3" t="s">
        <v>432</v>
      </c>
      <c r="G27" s="3" t="s">
        <v>432</v>
      </c>
      <c r="H27" s="20">
        <v>41648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 xml:space="preserve">ALFA CONSORC-PNB </v>
      </c>
      <c r="R27" s="20">
        <f t="shared" si="2"/>
        <v>41648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868</v>
      </c>
      <c r="D28" s="3" t="s">
        <v>492</v>
      </c>
      <c r="E28" s="3" t="s">
        <v>247</v>
      </c>
      <c r="F28" s="3" t="s">
        <v>247</v>
      </c>
      <c r="G28" s="3" t="s">
        <v>247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240</v>
      </c>
      <c r="Q28" s="10" t="str">
        <f t="shared" si="1"/>
        <v xml:space="preserve">ALFA CONSORC-PNC 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869</v>
      </c>
      <c r="D29" s="3" t="s">
        <v>433</v>
      </c>
      <c r="E29" s="3" t="s">
        <v>433</v>
      </c>
      <c r="F29" s="3" t="s">
        <v>433</v>
      </c>
      <c r="G29" s="3" t="s">
        <v>433</v>
      </c>
      <c r="H29" s="20">
        <v>41648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241</v>
      </c>
      <c r="Q29" s="10" t="str">
        <f t="shared" si="1"/>
        <v xml:space="preserve">ALFA CONSORC-PND </v>
      </c>
      <c r="R29" s="20">
        <f t="shared" si="2"/>
        <v>41648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870</v>
      </c>
      <c r="D30" s="3" t="s">
        <v>871</v>
      </c>
      <c r="E30" s="3" t="s">
        <v>871</v>
      </c>
      <c r="F30" s="3" t="s">
        <v>871</v>
      </c>
      <c r="G30" s="3" t="s">
        <v>871</v>
      </c>
      <c r="H30" s="20">
        <v>41662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209</v>
      </c>
      <c r="Q30" s="10" t="str">
        <f t="shared" si="1"/>
        <v xml:space="preserve">ALFA INVEST -ON  </v>
      </c>
      <c r="R30" s="20">
        <f t="shared" si="2"/>
        <v>41662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872</v>
      </c>
      <c r="D31" s="3" t="s">
        <v>974</v>
      </c>
      <c r="E31" s="3" t="s">
        <v>974</v>
      </c>
      <c r="F31" s="3" t="s">
        <v>974</v>
      </c>
      <c r="G31" s="3" t="s">
        <v>974</v>
      </c>
      <c r="H31" s="20">
        <v>41666</v>
      </c>
      <c r="J31" s="3">
        <f t="shared" si="7"/>
        <v>5.5</v>
      </c>
      <c r="K31" s="3">
        <f t="shared" si="7"/>
        <v>5.5</v>
      </c>
      <c r="L31" s="3">
        <f t="shared" si="7"/>
        <v>5.5</v>
      </c>
      <c r="M31" s="3">
        <f t="shared" si="7"/>
        <v>5.5</v>
      </c>
      <c r="P31" s="10" t="s">
        <v>210</v>
      </c>
      <c r="Q31" s="10" t="str">
        <f t="shared" si="1"/>
        <v xml:space="preserve">ALFA INVEST -PN  </v>
      </c>
      <c r="R31" s="20">
        <f t="shared" si="2"/>
        <v>41666</v>
      </c>
      <c r="S31" s="5">
        <f t="shared" si="3"/>
        <v>5.5</v>
      </c>
      <c r="T31" s="5">
        <f t="shared" si="4"/>
        <v>5.5</v>
      </c>
      <c r="U31" s="5">
        <f t="shared" si="5"/>
        <v>5.5</v>
      </c>
      <c r="V31" s="5">
        <f t="shared" si="6"/>
        <v>5.5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220</v>
      </c>
      <c r="D32" s="3" t="s">
        <v>445</v>
      </c>
      <c r="E32" s="3" t="s">
        <v>445</v>
      </c>
      <c r="F32" s="3" t="s">
        <v>445</v>
      </c>
      <c r="G32" s="3" t="s">
        <v>445</v>
      </c>
      <c r="H32" s="20">
        <v>41653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218</v>
      </c>
      <c r="Q32" s="10" t="str">
        <f t="shared" si="1"/>
        <v xml:space="preserve">BANRISUL    -ON  </v>
      </c>
      <c r="R32" s="20">
        <f t="shared" si="2"/>
        <v>41653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221</v>
      </c>
      <c r="D33" s="3" t="s">
        <v>222</v>
      </c>
      <c r="E33" s="3" t="s">
        <v>222</v>
      </c>
      <c r="F33" s="3" t="s">
        <v>222</v>
      </c>
      <c r="G33" s="3" t="s">
        <v>222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219</v>
      </c>
      <c r="Q33" s="10" t="str">
        <f t="shared" si="1"/>
        <v xml:space="preserve">BANRISUL    -PNA </v>
      </c>
      <c r="R33" s="52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114</v>
      </c>
      <c r="D34" s="3" t="s">
        <v>975</v>
      </c>
      <c r="E34" s="3" t="s">
        <v>976</v>
      </c>
      <c r="F34" s="3" t="s">
        <v>977</v>
      </c>
      <c r="G34" s="3" t="s">
        <v>978</v>
      </c>
      <c r="H34" s="20">
        <v>41666</v>
      </c>
      <c r="J34" s="3">
        <f t="shared" si="7"/>
        <v>11.38</v>
      </c>
      <c r="K34" s="3">
        <f t="shared" si="7"/>
        <v>11.18</v>
      </c>
      <c r="L34" s="3">
        <f t="shared" si="7"/>
        <v>11.64</v>
      </c>
      <c r="M34" s="3">
        <f t="shared" si="7"/>
        <v>11.1</v>
      </c>
      <c r="P34" s="10" t="s">
        <v>23</v>
      </c>
      <c r="Q34" s="10" t="str">
        <f t="shared" si="1"/>
        <v xml:space="preserve">BANRISUL    -PNB </v>
      </c>
      <c r="R34" s="20">
        <f t="shared" si="2"/>
        <v>41666</v>
      </c>
      <c r="S34" s="5">
        <f t="shared" si="3"/>
        <v>11.38</v>
      </c>
      <c r="T34" s="5">
        <f t="shared" si="4"/>
        <v>11.18</v>
      </c>
      <c r="U34" s="5">
        <f t="shared" si="5"/>
        <v>11.64</v>
      </c>
      <c r="V34" s="5">
        <f t="shared" si="6"/>
        <v>11.1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235</v>
      </c>
      <c r="D35" s="3" t="s">
        <v>453</v>
      </c>
      <c r="E35" s="3" t="s">
        <v>453</v>
      </c>
      <c r="F35" s="3" t="s">
        <v>453</v>
      </c>
      <c r="G35" s="3" t="s">
        <v>453</v>
      </c>
      <c r="H35" s="20">
        <v>41654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233</v>
      </c>
      <c r="Q35" s="10" t="str">
        <f t="shared" si="1"/>
        <v>BRB BANCO   -ON</v>
      </c>
      <c r="R35" s="20">
        <f t="shared" si="2"/>
        <v>41654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236</v>
      </c>
      <c r="D36" s="3" t="s">
        <v>237</v>
      </c>
      <c r="E36" s="3" t="s">
        <v>237</v>
      </c>
      <c r="F36" s="3" t="s">
        <v>237</v>
      </c>
      <c r="G36" s="3" t="s">
        <v>237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234</v>
      </c>
      <c r="Q36" s="10" t="str">
        <f t="shared" si="1"/>
        <v>BRB BANCO   -PN</v>
      </c>
      <c r="R36" s="52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190</v>
      </c>
      <c r="D37" s="3" t="s">
        <v>492</v>
      </c>
      <c r="E37" s="3" t="s">
        <v>168</v>
      </c>
      <c r="F37" s="3" t="s">
        <v>168</v>
      </c>
      <c r="G37" s="3" t="s">
        <v>168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189</v>
      </c>
      <c r="Q37" s="10" t="str">
        <f t="shared" si="1"/>
        <v>CASAN       -ON</v>
      </c>
      <c r="R37" s="52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115</v>
      </c>
      <c r="D38" s="3" t="s">
        <v>482</v>
      </c>
      <c r="E38" s="3" t="s">
        <v>798</v>
      </c>
      <c r="F38" s="3" t="s">
        <v>798</v>
      </c>
      <c r="G38" s="3" t="s">
        <v>482</v>
      </c>
      <c r="H38" s="20">
        <v>41660</v>
      </c>
      <c r="J38" s="3">
        <f t="shared" si="7"/>
        <v>16.600000000000001</v>
      </c>
      <c r="K38" s="3">
        <f t="shared" si="7"/>
        <v>17.190000000000001</v>
      </c>
      <c r="L38" s="3">
        <f t="shared" si="7"/>
        <v>17.190000000000001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41660</v>
      </c>
      <c r="S38" s="5">
        <f t="shared" si="3"/>
        <v>16.600000000000001</v>
      </c>
      <c r="T38" s="5">
        <f t="shared" si="4"/>
        <v>17.190000000000001</v>
      </c>
      <c r="U38" s="5">
        <f t="shared" si="5"/>
        <v>17.190000000000001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116</v>
      </c>
      <c r="D39" s="3" t="s">
        <v>537</v>
      </c>
      <c r="E39" s="3" t="s">
        <v>477</v>
      </c>
      <c r="F39" s="3" t="s">
        <v>477</v>
      </c>
      <c r="G39" s="3" t="s">
        <v>537</v>
      </c>
      <c r="H39" s="20">
        <v>41656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41656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117</v>
      </c>
      <c r="D40" s="3" t="s">
        <v>118</v>
      </c>
      <c r="E40" s="3" t="s">
        <v>118</v>
      </c>
      <c r="F40" s="3" t="s">
        <v>118</v>
      </c>
      <c r="G40" s="3" t="s">
        <v>118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720</v>
      </c>
      <c r="D41" s="3" t="s">
        <v>979</v>
      </c>
      <c r="E41" s="3" t="s">
        <v>979</v>
      </c>
      <c r="F41" s="3" t="s">
        <v>979</v>
      </c>
      <c r="G41" s="3" t="s">
        <v>979</v>
      </c>
      <c r="H41" s="20">
        <v>41666</v>
      </c>
      <c r="J41" s="3">
        <f t="shared" si="7"/>
        <v>31</v>
      </c>
      <c r="K41" s="3">
        <f t="shared" si="7"/>
        <v>31</v>
      </c>
      <c r="L41" s="3">
        <f t="shared" si="7"/>
        <v>31</v>
      </c>
      <c r="M41" s="3">
        <f t="shared" si="7"/>
        <v>31</v>
      </c>
      <c r="P41" s="14" t="s">
        <v>92</v>
      </c>
      <c r="Q41" s="10" t="str">
        <f t="shared" si="8"/>
        <v>COELBA      -ON</v>
      </c>
      <c r="R41" s="47">
        <f t="shared" si="9"/>
        <v>41666</v>
      </c>
      <c r="S41" s="6">
        <f t="shared" si="10"/>
        <v>31</v>
      </c>
      <c r="T41" s="6">
        <f t="shared" si="11"/>
        <v>31</v>
      </c>
      <c r="U41" s="6">
        <f t="shared" si="12"/>
        <v>31</v>
      </c>
      <c r="V41" s="6">
        <f t="shared" si="13"/>
        <v>31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721</v>
      </c>
      <c r="D42" s="3" t="s">
        <v>119</v>
      </c>
      <c r="E42" s="3" t="s">
        <v>119</v>
      </c>
      <c r="F42" s="3" t="s">
        <v>119</v>
      </c>
      <c r="G42" s="3" t="s">
        <v>119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>COELBA      -PNA</v>
      </c>
      <c r="R42" s="52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120</v>
      </c>
      <c r="D43" s="3" t="s">
        <v>121</v>
      </c>
      <c r="E43" s="3" t="s">
        <v>121</v>
      </c>
      <c r="F43" s="3" t="s">
        <v>121</v>
      </c>
      <c r="G43" s="3" t="s">
        <v>121</v>
      </c>
      <c r="H43" s="20">
        <v>41666</v>
      </c>
      <c r="J43" s="3">
        <f t="shared" si="7"/>
        <v>18</v>
      </c>
      <c r="K43" s="3">
        <f t="shared" si="7"/>
        <v>18</v>
      </c>
      <c r="L43" s="3">
        <f t="shared" si="7"/>
        <v>18</v>
      </c>
      <c r="M43" s="3">
        <f t="shared" si="7"/>
        <v>18</v>
      </c>
      <c r="P43" s="14" t="s">
        <v>70</v>
      </c>
      <c r="Q43" s="10" t="str">
        <f t="shared" si="8"/>
        <v>CELPE       -PNA</v>
      </c>
      <c r="R43" s="52">
        <f t="shared" si="9"/>
        <v>41666</v>
      </c>
      <c r="S43" s="5">
        <f t="shared" si="10"/>
        <v>18</v>
      </c>
      <c r="T43" s="5">
        <f t="shared" si="11"/>
        <v>18</v>
      </c>
      <c r="U43" s="5">
        <f t="shared" si="12"/>
        <v>18</v>
      </c>
      <c r="V43" s="5">
        <f t="shared" si="13"/>
        <v>18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122</v>
      </c>
      <c r="D44" s="3" t="s">
        <v>492</v>
      </c>
      <c r="E44" s="3" t="s">
        <v>123</v>
      </c>
      <c r="F44" s="3" t="s">
        <v>123</v>
      </c>
      <c r="G44" s="3" t="s">
        <v>123</v>
      </c>
      <c r="H44" s="20">
        <v>41380</v>
      </c>
      <c r="J44" s="3" t="e">
        <f t="shared" si="7"/>
        <v>#VALUE!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41380</v>
      </c>
      <c r="S44" s="5" t="e">
        <f t="shared" si="10"/>
        <v>#VALUE!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124</v>
      </c>
      <c r="D45" s="3" t="s">
        <v>980</v>
      </c>
      <c r="E45" s="3" t="s">
        <v>981</v>
      </c>
      <c r="F45" s="3" t="s">
        <v>980</v>
      </c>
      <c r="G45" s="3" t="s">
        <v>982</v>
      </c>
      <c r="H45" s="20">
        <v>41666</v>
      </c>
      <c r="J45" s="3">
        <f t="shared" si="7"/>
        <v>19.77</v>
      </c>
      <c r="K45" s="3">
        <f t="shared" si="7"/>
        <v>19.64</v>
      </c>
      <c r="L45" s="3">
        <f t="shared" si="7"/>
        <v>19.77</v>
      </c>
      <c r="M45" s="3">
        <f t="shared" si="7"/>
        <v>19.23</v>
      </c>
      <c r="P45" s="14" t="s">
        <v>72</v>
      </c>
      <c r="Q45" s="10" t="str">
        <f t="shared" si="8"/>
        <v xml:space="preserve">CESP        -ON  </v>
      </c>
      <c r="R45" s="47">
        <f t="shared" si="9"/>
        <v>41666</v>
      </c>
      <c r="S45" s="6">
        <f t="shared" si="10"/>
        <v>19.77</v>
      </c>
      <c r="T45" s="6">
        <f t="shared" si="11"/>
        <v>19.64</v>
      </c>
      <c r="U45" s="6">
        <f t="shared" si="12"/>
        <v>19.77</v>
      </c>
      <c r="V45" s="6">
        <f t="shared" si="13"/>
        <v>19.23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125</v>
      </c>
      <c r="D46" s="3" t="s">
        <v>874</v>
      </c>
      <c r="E46" s="3" t="s">
        <v>874</v>
      </c>
      <c r="F46" s="3" t="s">
        <v>874</v>
      </c>
      <c r="G46" s="3" t="s">
        <v>874</v>
      </c>
      <c r="H46" s="20">
        <v>41663</v>
      </c>
      <c r="J46" s="3">
        <f t="shared" si="7"/>
        <v>21.91</v>
      </c>
      <c r="K46" s="3">
        <f t="shared" si="7"/>
        <v>21.91</v>
      </c>
      <c r="L46" s="3">
        <f t="shared" si="7"/>
        <v>21.91</v>
      </c>
      <c r="M46" s="3">
        <f t="shared" si="7"/>
        <v>21.91</v>
      </c>
      <c r="P46" s="14" t="s">
        <v>90</v>
      </c>
      <c r="Q46" s="10" t="str">
        <f t="shared" si="8"/>
        <v xml:space="preserve">CESP        -PNA </v>
      </c>
      <c r="R46" s="47">
        <f t="shared" si="9"/>
        <v>41663</v>
      </c>
      <c r="S46" s="6">
        <f t="shared" si="10"/>
        <v>21.91</v>
      </c>
      <c r="T46" s="6">
        <f t="shared" si="11"/>
        <v>21.91</v>
      </c>
      <c r="U46" s="6">
        <f t="shared" si="12"/>
        <v>21.91</v>
      </c>
      <c r="V46" s="6">
        <f t="shared" si="13"/>
        <v>21.91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126</v>
      </c>
      <c r="D47" s="3" t="s">
        <v>791</v>
      </c>
      <c r="E47" s="3" t="s">
        <v>983</v>
      </c>
      <c r="F47" s="3" t="s">
        <v>984</v>
      </c>
      <c r="G47" s="3" t="s">
        <v>985</v>
      </c>
      <c r="H47" s="20">
        <v>41666</v>
      </c>
      <c r="J47" s="3">
        <f t="shared" si="7"/>
        <v>21.46</v>
      </c>
      <c r="K47" s="3">
        <f t="shared" si="7"/>
        <v>21.72</v>
      </c>
      <c r="L47" s="3">
        <f t="shared" si="7"/>
        <v>21.92</v>
      </c>
      <c r="M47" s="3">
        <f t="shared" si="7"/>
        <v>21.29</v>
      </c>
      <c r="P47" s="14" t="s">
        <v>91</v>
      </c>
      <c r="Q47" s="10" t="str">
        <f t="shared" si="8"/>
        <v xml:space="preserve">CESP        -PNB </v>
      </c>
      <c r="R47" s="20">
        <f t="shared" si="9"/>
        <v>41666</v>
      </c>
      <c r="S47" s="5">
        <f t="shared" si="10"/>
        <v>21.46</v>
      </c>
      <c r="T47" s="5">
        <f t="shared" si="11"/>
        <v>21.72</v>
      </c>
      <c r="U47" s="5">
        <f t="shared" si="12"/>
        <v>21.92</v>
      </c>
      <c r="V47" s="5">
        <f t="shared" si="13"/>
        <v>21.29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127</v>
      </c>
      <c r="D48" s="3" t="s">
        <v>986</v>
      </c>
      <c r="E48" s="3" t="s">
        <v>987</v>
      </c>
      <c r="F48" s="3" t="s">
        <v>988</v>
      </c>
      <c r="G48" s="3" t="s">
        <v>987</v>
      </c>
      <c r="H48" s="20">
        <v>41666</v>
      </c>
      <c r="J48" s="3">
        <f t="shared" si="7"/>
        <v>15.51</v>
      </c>
      <c r="K48" s="3">
        <f t="shared" si="7"/>
        <v>15.4</v>
      </c>
      <c r="L48" s="3">
        <f t="shared" si="7"/>
        <v>15.64</v>
      </c>
      <c r="M48" s="3">
        <f t="shared" si="7"/>
        <v>15.4</v>
      </c>
      <c r="P48" s="14" t="s">
        <v>71</v>
      </c>
      <c r="Q48" s="10" t="str">
        <f t="shared" si="8"/>
        <v xml:space="preserve">CELESC      -PN  </v>
      </c>
      <c r="R48" s="20">
        <f t="shared" si="9"/>
        <v>41666</v>
      </c>
      <c r="S48" s="5">
        <f t="shared" si="10"/>
        <v>15.51</v>
      </c>
      <c r="T48" s="5">
        <f t="shared" si="11"/>
        <v>15.4</v>
      </c>
      <c r="U48" s="5">
        <f t="shared" si="12"/>
        <v>15.64</v>
      </c>
      <c r="V48" s="5">
        <f t="shared" si="13"/>
        <v>15.4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128</v>
      </c>
      <c r="D49" s="3" t="s">
        <v>989</v>
      </c>
      <c r="E49" s="3" t="s">
        <v>990</v>
      </c>
      <c r="F49" s="3" t="s">
        <v>989</v>
      </c>
      <c r="G49" s="3" t="s">
        <v>991</v>
      </c>
      <c r="H49" s="20">
        <v>41666</v>
      </c>
      <c r="J49" s="3">
        <f t="shared" si="7"/>
        <v>14.1</v>
      </c>
      <c r="K49" s="3">
        <f t="shared" si="7"/>
        <v>13.81</v>
      </c>
      <c r="L49" s="3">
        <f t="shared" si="7"/>
        <v>14.1</v>
      </c>
      <c r="M49" s="3">
        <f t="shared" si="7"/>
        <v>13.71</v>
      </c>
      <c r="P49" s="27" t="s">
        <v>31</v>
      </c>
      <c r="Q49" s="10" t="str">
        <f t="shared" si="8"/>
        <v xml:space="preserve">CEMIG       -ON  </v>
      </c>
      <c r="R49" s="20">
        <f t="shared" si="9"/>
        <v>41666</v>
      </c>
      <c r="S49" s="5">
        <f t="shared" si="10"/>
        <v>14.1</v>
      </c>
      <c r="T49" s="5">
        <f t="shared" si="11"/>
        <v>13.81</v>
      </c>
      <c r="U49" s="5">
        <f t="shared" si="12"/>
        <v>14.1</v>
      </c>
      <c r="V49" s="5">
        <f t="shared" si="13"/>
        <v>13.71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129</v>
      </c>
      <c r="D50" s="3" t="s">
        <v>992</v>
      </c>
      <c r="E50" s="3" t="s">
        <v>993</v>
      </c>
      <c r="F50" s="3" t="s">
        <v>994</v>
      </c>
      <c r="G50" s="3" t="s">
        <v>995</v>
      </c>
      <c r="H50" s="20">
        <v>41666</v>
      </c>
      <c r="J50" s="3">
        <f t="shared" si="7"/>
        <v>13.68</v>
      </c>
      <c r="K50" s="3">
        <f t="shared" si="7"/>
        <v>13.47</v>
      </c>
      <c r="L50" s="3">
        <f t="shared" si="7"/>
        <v>13.74</v>
      </c>
      <c r="M50" s="3">
        <f t="shared" si="7"/>
        <v>13.37</v>
      </c>
      <c r="P50" s="27" t="s">
        <v>30</v>
      </c>
      <c r="Q50" s="10" t="str">
        <f t="shared" si="8"/>
        <v xml:space="preserve">CEMIG       -PN  </v>
      </c>
      <c r="R50" s="47">
        <f t="shared" si="9"/>
        <v>41666</v>
      </c>
      <c r="S50" s="6">
        <f t="shared" si="10"/>
        <v>13.68</v>
      </c>
      <c r="T50" s="6">
        <f t="shared" si="11"/>
        <v>13.47</v>
      </c>
      <c r="U50" s="6">
        <f t="shared" si="12"/>
        <v>13.74</v>
      </c>
      <c r="V50" s="6">
        <f t="shared" si="13"/>
        <v>13.37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130</v>
      </c>
      <c r="D51" s="3" t="s">
        <v>996</v>
      </c>
      <c r="E51" s="3" t="s">
        <v>997</v>
      </c>
      <c r="F51" s="3" t="s">
        <v>997</v>
      </c>
      <c r="G51" s="3" t="s">
        <v>998</v>
      </c>
      <c r="H51" s="20">
        <v>41666</v>
      </c>
      <c r="J51" s="3">
        <f t="shared" si="7"/>
        <v>47.99</v>
      </c>
      <c r="K51" s="3">
        <f t="shared" si="7"/>
        <v>48.2</v>
      </c>
      <c r="L51" s="3">
        <f t="shared" si="7"/>
        <v>48.2</v>
      </c>
      <c r="M51" s="3">
        <f t="shared" si="7"/>
        <v>47.9</v>
      </c>
      <c r="P51" s="14" t="s">
        <v>97</v>
      </c>
      <c r="Q51" s="10" t="str">
        <f t="shared" si="8"/>
        <v>COELCE      -ON</v>
      </c>
      <c r="R51" s="47">
        <f t="shared" si="9"/>
        <v>41666</v>
      </c>
      <c r="S51" s="6">
        <f t="shared" si="10"/>
        <v>47.99</v>
      </c>
      <c r="T51" s="6">
        <f t="shared" si="11"/>
        <v>48.2</v>
      </c>
      <c r="U51" s="6">
        <f t="shared" si="12"/>
        <v>48.2</v>
      </c>
      <c r="V51" s="6">
        <f t="shared" si="13"/>
        <v>47.9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131</v>
      </c>
      <c r="D52" s="3" t="s">
        <v>999</v>
      </c>
      <c r="E52" s="3" t="s">
        <v>1000</v>
      </c>
      <c r="F52" s="3" t="s">
        <v>1001</v>
      </c>
      <c r="G52" s="3" t="s">
        <v>1000</v>
      </c>
      <c r="H52" s="20">
        <v>41666</v>
      </c>
      <c r="J52" s="3">
        <f t="shared" si="7"/>
        <v>48.01</v>
      </c>
      <c r="K52" s="3">
        <f t="shared" si="7"/>
        <v>47.79</v>
      </c>
      <c r="L52" s="3">
        <f t="shared" si="7"/>
        <v>48.1</v>
      </c>
      <c r="M52" s="3">
        <f t="shared" si="7"/>
        <v>47.79</v>
      </c>
      <c r="P52" s="10" t="s">
        <v>82</v>
      </c>
      <c r="Q52" s="10" t="str">
        <f t="shared" si="8"/>
        <v>COELCE      -PNA</v>
      </c>
      <c r="R52" s="52">
        <f t="shared" si="9"/>
        <v>41666</v>
      </c>
      <c r="S52" s="5">
        <f t="shared" si="10"/>
        <v>48.01</v>
      </c>
      <c r="T52" s="5">
        <f t="shared" si="11"/>
        <v>47.79</v>
      </c>
      <c r="U52" s="5">
        <f t="shared" si="12"/>
        <v>48.1</v>
      </c>
      <c r="V52" s="5">
        <f t="shared" si="13"/>
        <v>47.79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132</v>
      </c>
      <c r="D53" s="3" t="s">
        <v>826</v>
      </c>
      <c r="E53" s="3" t="s">
        <v>1002</v>
      </c>
      <c r="F53" s="3" t="s">
        <v>882</v>
      </c>
      <c r="G53" s="3" t="s">
        <v>1003</v>
      </c>
      <c r="H53" s="20">
        <v>41666</v>
      </c>
      <c r="J53" s="3">
        <f t="shared" si="7"/>
        <v>18.28</v>
      </c>
      <c r="K53" s="3">
        <f t="shared" si="7"/>
        <v>18.440000000000001</v>
      </c>
      <c r="L53" s="3">
        <f t="shared" si="7"/>
        <v>18.649999999999999</v>
      </c>
      <c r="M53" s="3">
        <f t="shared" si="7"/>
        <v>18.190000000000001</v>
      </c>
      <c r="P53" s="27" t="s">
        <v>32</v>
      </c>
      <c r="Q53" s="10" t="str">
        <f t="shared" si="8"/>
        <v xml:space="preserve">CPFL ENERGIA-ON  </v>
      </c>
      <c r="R53" s="52">
        <f t="shared" si="9"/>
        <v>41666</v>
      </c>
      <c r="S53" s="5">
        <f t="shared" si="10"/>
        <v>18.28</v>
      </c>
      <c r="T53" s="5">
        <f t="shared" si="11"/>
        <v>18.440000000000001</v>
      </c>
      <c r="U53" s="5">
        <f t="shared" si="12"/>
        <v>18.649999999999999</v>
      </c>
      <c r="V53" s="5">
        <f t="shared" si="13"/>
        <v>18.190000000000001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133</v>
      </c>
      <c r="D54" s="3" t="s">
        <v>875</v>
      </c>
      <c r="E54" s="3" t="s">
        <v>1004</v>
      </c>
      <c r="F54" s="3" t="s">
        <v>875</v>
      </c>
      <c r="G54" s="3" t="s">
        <v>490</v>
      </c>
      <c r="H54" s="20">
        <v>41666</v>
      </c>
      <c r="J54" s="3">
        <f t="shared" si="7"/>
        <v>21.6</v>
      </c>
      <c r="K54" s="3">
        <f t="shared" si="7"/>
        <v>21.14</v>
      </c>
      <c r="L54" s="3">
        <f t="shared" si="7"/>
        <v>21.6</v>
      </c>
      <c r="M54" s="3">
        <f t="shared" si="7"/>
        <v>21</v>
      </c>
      <c r="P54" s="27" t="s">
        <v>34</v>
      </c>
      <c r="Q54" s="10" t="str">
        <f t="shared" si="8"/>
        <v xml:space="preserve">COPEL       -ON  </v>
      </c>
      <c r="R54" s="52">
        <f t="shared" si="9"/>
        <v>41666</v>
      </c>
      <c r="S54" s="5">
        <f t="shared" si="10"/>
        <v>21.6</v>
      </c>
      <c r="T54" s="5">
        <f t="shared" si="11"/>
        <v>21.14</v>
      </c>
      <c r="U54" s="5">
        <f t="shared" si="12"/>
        <v>21.6</v>
      </c>
      <c r="V54" s="5">
        <f t="shared" si="13"/>
        <v>21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134</v>
      </c>
      <c r="D55" s="3" t="s">
        <v>492</v>
      </c>
      <c r="E55" s="3" t="s">
        <v>135</v>
      </c>
      <c r="F55" s="3" t="s">
        <v>135</v>
      </c>
      <c r="G55" s="3" t="s">
        <v>135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136</v>
      </c>
      <c r="D56" s="3" t="s">
        <v>1005</v>
      </c>
      <c r="E56" s="3" t="s">
        <v>1006</v>
      </c>
      <c r="F56" s="3" t="s">
        <v>1007</v>
      </c>
      <c r="G56" s="3" t="s">
        <v>1008</v>
      </c>
      <c r="H56" s="20">
        <v>41666</v>
      </c>
      <c r="J56" s="3">
        <f t="shared" si="7"/>
        <v>29.48</v>
      </c>
      <c r="K56" s="3">
        <f t="shared" si="7"/>
        <v>28.92</v>
      </c>
      <c r="L56" s="3">
        <f t="shared" si="7"/>
        <v>29.94</v>
      </c>
      <c r="M56" s="3">
        <f t="shared" si="7"/>
        <v>28.88</v>
      </c>
      <c r="P56" s="14" t="s">
        <v>104</v>
      </c>
      <c r="Q56" s="10" t="str">
        <f t="shared" si="8"/>
        <v xml:space="preserve">COPEL       -PNB </v>
      </c>
      <c r="R56" s="52">
        <f t="shared" si="9"/>
        <v>41666</v>
      </c>
      <c r="S56" s="5">
        <f t="shared" si="10"/>
        <v>29.48</v>
      </c>
      <c r="T56" s="5">
        <f t="shared" si="11"/>
        <v>28.92</v>
      </c>
      <c r="U56" s="5">
        <f t="shared" si="12"/>
        <v>29.94</v>
      </c>
      <c r="V56" s="5">
        <f t="shared" si="13"/>
        <v>28.88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192</v>
      </c>
      <c r="D57" s="3" t="s">
        <v>1009</v>
      </c>
      <c r="E57" s="3" t="s">
        <v>1010</v>
      </c>
      <c r="F57" s="3" t="s">
        <v>1011</v>
      </c>
      <c r="G57" s="3" t="s">
        <v>1012</v>
      </c>
      <c r="H57" s="20">
        <v>41666</v>
      </c>
      <c r="J57" s="3">
        <f t="shared" si="7"/>
        <v>32.71</v>
      </c>
      <c r="K57" s="3">
        <f t="shared" si="7"/>
        <v>32.53</v>
      </c>
      <c r="L57" s="3">
        <f t="shared" si="7"/>
        <v>32.840000000000003</v>
      </c>
      <c r="M57" s="3">
        <f t="shared" si="7"/>
        <v>31.71</v>
      </c>
      <c r="P57" s="14" t="s">
        <v>191</v>
      </c>
      <c r="Q57" s="10" t="str">
        <f t="shared" si="8"/>
        <v xml:space="preserve">COPASA      -ON  </v>
      </c>
      <c r="R57" s="20">
        <f t="shared" si="9"/>
        <v>41666</v>
      </c>
      <c r="S57" s="5">
        <f t="shared" si="10"/>
        <v>32.71</v>
      </c>
      <c r="T57" s="5">
        <f t="shared" si="11"/>
        <v>32.53</v>
      </c>
      <c r="U57" s="5">
        <f t="shared" si="12"/>
        <v>32.840000000000003</v>
      </c>
      <c r="V57" s="5">
        <f t="shared" si="13"/>
        <v>31.71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722</v>
      </c>
      <c r="D58" s="3" t="s">
        <v>367</v>
      </c>
      <c r="E58" s="3" t="s">
        <v>367</v>
      </c>
      <c r="F58" s="3" t="s">
        <v>367</v>
      </c>
      <c r="G58" s="3" t="s">
        <v>367</v>
      </c>
      <c r="H58" s="20">
        <v>41642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>COSERN      -ON</v>
      </c>
      <c r="R58" s="52">
        <f t="shared" si="9"/>
        <v>41642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723</v>
      </c>
      <c r="D59" s="3" t="s">
        <v>137</v>
      </c>
      <c r="E59" s="3" t="s">
        <v>137</v>
      </c>
      <c r="F59" s="3" t="s">
        <v>137</v>
      </c>
      <c r="G59" s="3" t="s">
        <v>137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>COSERN      -PNA</v>
      </c>
      <c r="R59" s="52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724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2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138</v>
      </c>
      <c r="D61" s="3" t="s">
        <v>1013</v>
      </c>
      <c r="E61" s="3" t="s">
        <v>1014</v>
      </c>
      <c r="F61" s="3" t="s">
        <v>1015</v>
      </c>
      <c r="G61" s="3" t="s">
        <v>1013</v>
      </c>
      <c r="H61" s="20">
        <v>41666</v>
      </c>
      <c r="J61" s="3">
        <f t="shared" si="7"/>
        <v>7.65</v>
      </c>
      <c r="K61" s="3">
        <f t="shared" si="7"/>
        <v>7.75</v>
      </c>
      <c r="L61" s="3">
        <f t="shared" si="7"/>
        <v>7.79</v>
      </c>
      <c r="M61" s="3">
        <f t="shared" si="7"/>
        <v>7.65</v>
      </c>
      <c r="P61" s="10" t="s">
        <v>15</v>
      </c>
      <c r="Q61" s="10" t="str">
        <f t="shared" si="8"/>
        <v xml:space="preserve">DAYCOVAL    -PN  </v>
      </c>
      <c r="R61" s="52">
        <f t="shared" si="9"/>
        <v>41666</v>
      </c>
      <c r="S61" s="5">
        <f t="shared" si="10"/>
        <v>7.65</v>
      </c>
      <c r="T61" s="5">
        <f t="shared" si="11"/>
        <v>7.75</v>
      </c>
      <c r="U61" s="5">
        <f t="shared" si="12"/>
        <v>7.79</v>
      </c>
      <c r="V61" s="5">
        <f t="shared" si="13"/>
        <v>7.65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139</v>
      </c>
      <c r="D62" s="3" t="s">
        <v>538</v>
      </c>
      <c r="E62" s="3" t="s">
        <v>538</v>
      </c>
      <c r="F62" s="3" t="s">
        <v>538</v>
      </c>
      <c r="G62" s="3" t="s">
        <v>538</v>
      </c>
      <c r="H62" s="20">
        <v>41656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41656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140</v>
      </c>
      <c r="D63" s="3" t="s">
        <v>443</v>
      </c>
      <c r="E63" s="3" t="s">
        <v>443</v>
      </c>
      <c r="F63" s="3" t="s">
        <v>443</v>
      </c>
      <c r="G63" s="3" t="s">
        <v>443</v>
      </c>
      <c r="H63" s="20">
        <v>41652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41652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141</v>
      </c>
      <c r="D64" s="3" t="s">
        <v>873</v>
      </c>
      <c r="E64" s="3" t="s">
        <v>873</v>
      </c>
      <c r="F64" s="3" t="s">
        <v>878</v>
      </c>
      <c r="G64" s="3" t="s">
        <v>1016</v>
      </c>
      <c r="H64" s="20">
        <v>41666</v>
      </c>
      <c r="J64" s="3">
        <f t="shared" si="7"/>
        <v>5.22</v>
      </c>
      <c r="K64" s="3">
        <f t="shared" si="7"/>
        <v>5.22</v>
      </c>
      <c r="L64" s="3">
        <f t="shared" si="7"/>
        <v>5.27</v>
      </c>
      <c r="M64" s="3">
        <f t="shared" si="7"/>
        <v>5.07</v>
      </c>
      <c r="P64" s="15" t="s">
        <v>2</v>
      </c>
      <c r="Q64" s="10" t="str">
        <f t="shared" si="8"/>
        <v xml:space="preserve">ELETROBRAS  -ON  </v>
      </c>
      <c r="R64" s="52">
        <f t="shared" si="9"/>
        <v>41666</v>
      </c>
      <c r="S64" s="5">
        <f t="shared" si="10"/>
        <v>5.22</v>
      </c>
      <c r="T64" s="5">
        <f t="shared" si="11"/>
        <v>5.22</v>
      </c>
      <c r="U64" s="5">
        <f t="shared" si="12"/>
        <v>5.27</v>
      </c>
      <c r="V64" s="5">
        <f t="shared" si="13"/>
        <v>5.07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142</v>
      </c>
      <c r="D65" s="3" t="s">
        <v>879</v>
      </c>
      <c r="E65" s="3" t="s">
        <v>1017</v>
      </c>
      <c r="F65" s="3" t="s">
        <v>821</v>
      </c>
      <c r="G65" s="3" t="s">
        <v>1018</v>
      </c>
      <c r="H65" s="20">
        <v>41666</v>
      </c>
      <c r="J65" s="3">
        <f t="shared" si="7"/>
        <v>8.9600000000000009</v>
      </c>
      <c r="K65" s="3">
        <f t="shared" si="7"/>
        <v>9.02</v>
      </c>
      <c r="L65" s="3">
        <f t="shared" si="7"/>
        <v>9.08</v>
      </c>
      <c r="M65" s="3">
        <f t="shared" si="7"/>
        <v>8.82</v>
      </c>
      <c r="P65" s="27" t="s">
        <v>27</v>
      </c>
      <c r="Q65" s="10" t="str">
        <f t="shared" si="8"/>
        <v xml:space="preserve">ELETROBRAS  -PNB </v>
      </c>
      <c r="R65" s="52">
        <f t="shared" si="9"/>
        <v>41666</v>
      </c>
      <c r="S65" s="5">
        <f t="shared" si="10"/>
        <v>8.9600000000000009</v>
      </c>
      <c r="T65" s="5">
        <f t="shared" si="11"/>
        <v>9.02</v>
      </c>
      <c r="U65" s="5">
        <f t="shared" si="12"/>
        <v>9.08</v>
      </c>
      <c r="V65" s="5">
        <f t="shared" si="13"/>
        <v>8.82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178</v>
      </c>
      <c r="D66" s="3" t="s">
        <v>144</v>
      </c>
      <c r="E66" s="3" t="s">
        <v>144</v>
      </c>
      <c r="F66" s="3" t="s">
        <v>144</v>
      </c>
      <c r="G66" s="3" t="s">
        <v>144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177</v>
      </c>
      <c r="Q66" s="10" t="str">
        <f t="shared" si="8"/>
        <v xml:space="preserve">ELETROPAULO -ON  </v>
      </c>
      <c r="R66" s="52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143</v>
      </c>
      <c r="D67" s="3" t="s">
        <v>1019</v>
      </c>
      <c r="E67" s="3" t="s">
        <v>891</v>
      </c>
      <c r="F67" s="3" t="s">
        <v>1020</v>
      </c>
      <c r="G67" s="3" t="s">
        <v>1019</v>
      </c>
      <c r="H67" s="20">
        <v>41666</v>
      </c>
      <c r="J67" s="3">
        <f t="shared" si="7"/>
        <v>8.68</v>
      </c>
      <c r="K67" s="3">
        <f t="shared" si="7"/>
        <v>8.86</v>
      </c>
      <c r="L67" s="3">
        <f t="shared" si="7"/>
        <v>8.98</v>
      </c>
      <c r="M67" s="3">
        <f t="shared" si="7"/>
        <v>8.68</v>
      </c>
      <c r="P67" s="44" t="s">
        <v>1</v>
      </c>
      <c r="Q67" s="10" t="str">
        <f t="shared" si="8"/>
        <v xml:space="preserve">ELETROPAULO -PN  </v>
      </c>
      <c r="R67" s="52">
        <f t="shared" si="9"/>
        <v>41666</v>
      </c>
      <c r="S67" s="5">
        <f t="shared" si="10"/>
        <v>8.68</v>
      </c>
      <c r="T67" s="5">
        <f t="shared" si="11"/>
        <v>8.86</v>
      </c>
      <c r="U67" s="5">
        <f t="shared" si="12"/>
        <v>8.98</v>
      </c>
      <c r="V67" s="5">
        <f t="shared" si="13"/>
        <v>8.68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180</v>
      </c>
      <c r="D68" s="3" t="s">
        <v>974</v>
      </c>
      <c r="E68" s="3" t="s">
        <v>974</v>
      </c>
      <c r="F68" s="3" t="s">
        <v>974</v>
      </c>
      <c r="G68" s="3" t="s">
        <v>1021</v>
      </c>
      <c r="H68" s="20">
        <v>41666</v>
      </c>
      <c r="J68" s="3">
        <f t="shared" si="7"/>
        <v>5.5</v>
      </c>
      <c r="K68" s="3">
        <f t="shared" si="7"/>
        <v>5.5</v>
      </c>
      <c r="L68" s="3">
        <f t="shared" si="7"/>
        <v>5.5</v>
      </c>
      <c r="M68" s="3">
        <f t="shared" si="7"/>
        <v>5.04</v>
      </c>
      <c r="P68" s="14" t="s">
        <v>179</v>
      </c>
      <c r="Q68" s="10" t="str">
        <f t="shared" si="8"/>
        <v>EMAE        -PN</v>
      </c>
      <c r="R68" s="47">
        <f t="shared" si="9"/>
        <v>41666</v>
      </c>
      <c r="S68" s="6">
        <f t="shared" si="10"/>
        <v>5.5</v>
      </c>
      <c r="T68" s="6">
        <f t="shared" si="11"/>
        <v>5.5</v>
      </c>
      <c r="U68" s="6">
        <f t="shared" si="12"/>
        <v>5.5</v>
      </c>
      <c r="V68" s="6">
        <f t="shared" si="13"/>
        <v>5.04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145</v>
      </c>
      <c r="D69" s="3" t="s">
        <v>881</v>
      </c>
      <c r="E69" s="3" t="s">
        <v>922</v>
      </c>
      <c r="F69" s="3" t="s">
        <v>880</v>
      </c>
      <c r="G69" s="3" t="s">
        <v>922</v>
      </c>
      <c r="H69" s="20">
        <v>41666</v>
      </c>
      <c r="J69" s="3">
        <f t="shared" si="7"/>
        <v>9.6999999999999993</v>
      </c>
      <c r="K69" s="3">
        <f t="shared" si="7"/>
        <v>9.3000000000000007</v>
      </c>
      <c r="L69" s="3">
        <f t="shared" si="7"/>
        <v>9.75</v>
      </c>
      <c r="M69" s="3">
        <f t="shared" si="7"/>
        <v>9.3000000000000007</v>
      </c>
      <c r="P69" s="14" t="s">
        <v>28</v>
      </c>
      <c r="Q69" s="10" t="str">
        <f t="shared" si="8"/>
        <v xml:space="preserve">ENERGIAS BR -ON  </v>
      </c>
      <c r="R69" s="52">
        <f t="shared" si="9"/>
        <v>41666</v>
      </c>
      <c r="S69" s="5">
        <f t="shared" si="10"/>
        <v>9.6999999999999993</v>
      </c>
      <c r="T69" s="5">
        <f t="shared" si="11"/>
        <v>9.3000000000000007</v>
      </c>
      <c r="U69" s="5">
        <f t="shared" si="12"/>
        <v>9.75</v>
      </c>
      <c r="V69" s="5">
        <f t="shared" si="13"/>
        <v>9.3000000000000007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146</v>
      </c>
      <c r="D70" s="3" t="s">
        <v>1022</v>
      </c>
      <c r="E70" s="3" t="s">
        <v>1022</v>
      </c>
      <c r="F70" s="3" t="s">
        <v>1022</v>
      </c>
      <c r="G70" s="3" t="s">
        <v>1022</v>
      </c>
      <c r="H70" s="20">
        <v>41666</v>
      </c>
      <c r="J70" s="3">
        <f t="shared" si="7"/>
        <v>12.4</v>
      </c>
      <c r="K70" s="3">
        <f t="shared" si="7"/>
        <v>12.4</v>
      </c>
      <c r="L70" s="3">
        <f t="shared" si="7"/>
        <v>12.4</v>
      </c>
      <c r="M70" s="3">
        <f t="shared" si="7"/>
        <v>12.4</v>
      </c>
      <c r="P70" s="14" t="s">
        <v>88</v>
      </c>
      <c r="Q70" s="10" t="str">
        <f t="shared" si="8"/>
        <v>ENERGISA    -UNT</v>
      </c>
      <c r="R70" s="52">
        <f t="shared" si="9"/>
        <v>41666</v>
      </c>
      <c r="S70" s="5">
        <f t="shared" si="10"/>
        <v>12.4</v>
      </c>
      <c r="T70" s="5">
        <f t="shared" si="11"/>
        <v>12.4</v>
      </c>
      <c r="U70" s="5">
        <f t="shared" si="12"/>
        <v>12.4</v>
      </c>
      <c r="V70" s="5">
        <f t="shared" si="13"/>
        <v>12.4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182</v>
      </c>
      <c r="D71" s="3" t="s">
        <v>451</v>
      </c>
      <c r="E71" s="3" t="s">
        <v>452</v>
      </c>
      <c r="F71" s="3" t="s">
        <v>452</v>
      </c>
      <c r="G71" s="3" t="s">
        <v>451</v>
      </c>
      <c r="H71" s="20">
        <v>41654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181</v>
      </c>
      <c r="Q71" s="10" t="str">
        <f t="shared" ref="Q71:Q102" si="14">IF(A71="","",C71)</f>
        <v>ENERGISA    -ON</v>
      </c>
      <c r="R71" s="52">
        <f t="shared" ref="R71:R102" si="15">IF(A71="","",H71)</f>
        <v>41654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147</v>
      </c>
      <c r="D72" s="3" t="s">
        <v>925</v>
      </c>
      <c r="E72" s="3" t="s">
        <v>925</v>
      </c>
      <c r="F72" s="3" t="s">
        <v>925</v>
      </c>
      <c r="G72" s="3" t="s">
        <v>925</v>
      </c>
      <c r="H72" s="20">
        <v>41666</v>
      </c>
      <c r="J72" s="3">
        <f t="shared" ref="J72:M135" si="20">IF($A72="",0,VALUE(CONCATENATE(LEFT(D72,LEN(D72)-3),",",RIGHT(D72,2))))</f>
        <v>2.2999999999999998</v>
      </c>
      <c r="K72" s="3">
        <f t="shared" si="20"/>
        <v>2.2999999999999998</v>
      </c>
      <c r="L72" s="3">
        <f t="shared" si="20"/>
        <v>2.2999999999999998</v>
      </c>
      <c r="M72" s="3">
        <f t="shared" si="20"/>
        <v>2.2999999999999998</v>
      </c>
      <c r="P72" s="14" t="s">
        <v>64</v>
      </c>
      <c r="Q72" s="10" t="str">
        <f t="shared" si="14"/>
        <v>ENERGISA    -PN</v>
      </c>
      <c r="R72" s="47">
        <f t="shared" si="15"/>
        <v>41666</v>
      </c>
      <c r="S72" s="6">
        <f t="shared" si="16"/>
        <v>2.2999999999999998</v>
      </c>
      <c r="T72" s="6">
        <f t="shared" si="17"/>
        <v>2.2999999999999998</v>
      </c>
      <c r="U72" s="5">
        <f t="shared" si="18"/>
        <v>2.2999999999999998</v>
      </c>
      <c r="V72" s="5">
        <f t="shared" si="19"/>
        <v>2.2999999999999998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148</v>
      </c>
      <c r="D73" s="3" t="s">
        <v>1023</v>
      </c>
      <c r="E73" s="3" t="s">
        <v>1023</v>
      </c>
      <c r="F73" s="3" t="s">
        <v>1023</v>
      </c>
      <c r="G73" s="3" t="s">
        <v>1023</v>
      </c>
      <c r="H73" s="20">
        <v>41666</v>
      </c>
      <c r="J73" s="3">
        <f t="shared" si="20"/>
        <v>14.97</v>
      </c>
      <c r="K73" s="3">
        <f t="shared" si="20"/>
        <v>14.97</v>
      </c>
      <c r="L73" s="3">
        <f t="shared" si="20"/>
        <v>14.97</v>
      </c>
      <c r="M73" s="3">
        <f t="shared" si="20"/>
        <v>14.97</v>
      </c>
      <c r="P73" s="14" t="s">
        <v>98</v>
      </c>
      <c r="Q73" s="10" t="str">
        <f t="shared" si="14"/>
        <v xml:space="preserve">CEMAR       -ON  </v>
      </c>
      <c r="R73" s="52">
        <f t="shared" si="15"/>
        <v>41666</v>
      </c>
      <c r="S73" s="5">
        <f t="shared" si="16"/>
        <v>14.97</v>
      </c>
      <c r="T73" s="5">
        <f t="shared" si="17"/>
        <v>14.97</v>
      </c>
      <c r="U73" s="5">
        <f t="shared" si="18"/>
        <v>14.97</v>
      </c>
      <c r="V73" s="5">
        <f t="shared" si="19"/>
        <v>14.97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149</v>
      </c>
      <c r="D74" s="3" t="s">
        <v>1024</v>
      </c>
      <c r="E74" s="3" t="s">
        <v>1025</v>
      </c>
      <c r="F74" s="3" t="s">
        <v>1026</v>
      </c>
      <c r="G74" s="3" t="s">
        <v>1025</v>
      </c>
      <c r="H74" s="20">
        <v>41666</v>
      </c>
      <c r="J74" s="3">
        <f t="shared" si="20"/>
        <v>22.95</v>
      </c>
      <c r="K74" s="3">
        <f t="shared" si="20"/>
        <v>22.5</v>
      </c>
      <c r="L74" s="3">
        <f t="shared" si="20"/>
        <v>23.21</v>
      </c>
      <c r="M74" s="3">
        <f t="shared" si="20"/>
        <v>22.5</v>
      </c>
      <c r="P74" s="27" t="s">
        <v>35</v>
      </c>
      <c r="Q74" s="10" t="str">
        <f t="shared" si="14"/>
        <v xml:space="preserve">EQUATORIAL  -ON  </v>
      </c>
      <c r="R74" s="52">
        <f t="shared" si="15"/>
        <v>41666</v>
      </c>
      <c r="S74" s="5">
        <f t="shared" si="16"/>
        <v>22.95</v>
      </c>
      <c r="T74" s="5">
        <f t="shared" si="17"/>
        <v>22.5</v>
      </c>
      <c r="U74" s="5">
        <f t="shared" si="18"/>
        <v>23.21</v>
      </c>
      <c r="V74" s="5">
        <f t="shared" si="19"/>
        <v>22.5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258</v>
      </c>
      <c r="D75" s="3" t="s">
        <v>255</v>
      </c>
      <c r="E75" s="3" t="s">
        <v>255</v>
      </c>
      <c r="F75" s="3" t="s">
        <v>255</v>
      </c>
      <c r="G75" s="3" t="s">
        <v>255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256</v>
      </c>
      <c r="Q75" s="10" t="str">
        <f t="shared" si="14"/>
        <v xml:space="preserve">FERBASA     -ON  </v>
      </c>
      <c r="R75" s="52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257</v>
      </c>
      <c r="D76" s="3" t="s">
        <v>1027</v>
      </c>
      <c r="E76" s="3" t="s">
        <v>1028</v>
      </c>
      <c r="F76" s="3" t="s">
        <v>1029</v>
      </c>
      <c r="G76" s="3" t="s">
        <v>926</v>
      </c>
      <c r="H76" s="20">
        <v>41666</v>
      </c>
      <c r="J76" s="3">
        <f t="shared" si="20"/>
        <v>12.9</v>
      </c>
      <c r="K76" s="3">
        <f t="shared" si="20"/>
        <v>12.72</v>
      </c>
      <c r="L76" s="3">
        <f t="shared" si="20"/>
        <v>12.94</v>
      </c>
      <c r="M76" s="3">
        <f t="shared" si="20"/>
        <v>12.54</v>
      </c>
      <c r="P76" s="15" t="s">
        <v>80</v>
      </c>
      <c r="Q76" s="10" t="str">
        <f t="shared" si="14"/>
        <v xml:space="preserve">FERBASA     -PN  </v>
      </c>
      <c r="R76" s="52">
        <f t="shared" si="15"/>
        <v>41666</v>
      </c>
      <c r="S76" s="5">
        <f t="shared" si="16"/>
        <v>12.9</v>
      </c>
      <c r="T76" s="5">
        <f t="shared" si="17"/>
        <v>12.72</v>
      </c>
      <c r="U76" s="5">
        <f t="shared" si="18"/>
        <v>12.94</v>
      </c>
      <c r="V76" s="5">
        <f t="shared" si="19"/>
        <v>12.54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369</v>
      </c>
      <c r="D77" s="3" t="s">
        <v>173</v>
      </c>
      <c r="E77" s="3" t="s">
        <v>173</v>
      </c>
      <c r="F77" s="3" t="s">
        <v>173</v>
      </c>
      <c r="G77" s="3" t="s">
        <v>173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172</v>
      </c>
      <c r="Q77" s="10" t="str">
        <f t="shared" si="14"/>
        <v>GER PARANAP -ON</v>
      </c>
      <c r="R77" s="52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370</v>
      </c>
      <c r="D78" s="3" t="s">
        <v>1030</v>
      </c>
      <c r="E78" s="3" t="s">
        <v>1031</v>
      </c>
      <c r="F78" s="3" t="s">
        <v>1030</v>
      </c>
      <c r="G78" s="3" t="s">
        <v>1031</v>
      </c>
      <c r="H78" s="20">
        <v>41666</v>
      </c>
      <c r="J78" s="3">
        <f t="shared" si="20"/>
        <v>61.49</v>
      </c>
      <c r="K78" s="3">
        <f t="shared" si="20"/>
        <v>56.66</v>
      </c>
      <c r="L78" s="3">
        <f t="shared" si="20"/>
        <v>61.49</v>
      </c>
      <c r="M78" s="3">
        <f t="shared" si="20"/>
        <v>56.66</v>
      </c>
      <c r="P78" s="27" t="s">
        <v>38</v>
      </c>
      <c r="Q78" s="10" t="str">
        <f t="shared" si="14"/>
        <v>GER PARANAP -PN</v>
      </c>
      <c r="R78" s="52">
        <f t="shared" si="15"/>
        <v>41666</v>
      </c>
      <c r="S78" s="5">
        <f t="shared" si="16"/>
        <v>61.49</v>
      </c>
      <c r="T78" s="5">
        <f t="shared" si="17"/>
        <v>56.66</v>
      </c>
      <c r="U78" s="5">
        <f t="shared" si="18"/>
        <v>61.49</v>
      </c>
      <c r="V78" s="5">
        <f t="shared" si="19"/>
        <v>56.66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150</v>
      </c>
      <c r="D79" s="3" t="s">
        <v>1032</v>
      </c>
      <c r="E79" s="3" t="s">
        <v>1033</v>
      </c>
      <c r="F79" s="3" t="s">
        <v>1032</v>
      </c>
      <c r="G79" s="3" t="s">
        <v>1034</v>
      </c>
      <c r="H79" s="20">
        <v>41666</v>
      </c>
      <c r="J79" s="3">
        <f t="shared" si="20"/>
        <v>16.98</v>
      </c>
      <c r="K79" s="3">
        <f t="shared" si="20"/>
        <v>16.61</v>
      </c>
      <c r="L79" s="3">
        <f t="shared" si="20"/>
        <v>16.98</v>
      </c>
      <c r="M79" s="3">
        <f t="shared" si="20"/>
        <v>16.489999999999998</v>
      </c>
      <c r="P79" s="27" t="s">
        <v>29</v>
      </c>
      <c r="Q79" s="10" t="str">
        <f t="shared" si="14"/>
        <v>AES TIETE   -ON</v>
      </c>
      <c r="R79" s="52">
        <f t="shared" si="15"/>
        <v>41666</v>
      </c>
      <c r="S79" s="5">
        <f t="shared" si="16"/>
        <v>16.98</v>
      </c>
      <c r="T79" s="5">
        <f t="shared" si="17"/>
        <v>16.61</v>
      </c>
      <c r="U79" s="5">
        <f t="shared" si="18"/>
        <v>16.98</v>
      </c>
      <c r="V79" s="5">
        <f t="shared" si="19"/>
        <v>16.489999999999998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151</v>
      </c>
      <c r="D80" s="3" t="s">
        <v>1035</v>
      </c>
      <c r="E80" s="3" t="s">
        <v>121</v>
      </c>
      <c r="F80" s="3" t="s">
        <v>1036</v>
      </c>
      <c r="G80" s="3" t="s">
        <v>1037</v>
      </c>
      <c r="H80" s="20">
        <v>41666</v>
      </c>
      <c r="J80" s="3">
        <f t="shared" si="20"/>
        <v>18.25</v>
      </c>
      <c r="K80" s="3">
        <f t="shared" si="20"/>
        <v>18</v>
      </c>
      <c r="L80" s="3">
        <f t="shared" si="20"/>
        <v>18.34</v>
      </c>
      <c r="M80" s="3">
        <f t="shared" si="20"/>
        <v>17.91</v>
      </c>
      <c r="P80" s="27" t="s">
        <v>33</v>
      </c>
      <c r="Q80" s="10" t="str">
        <f t="shared" si="14"/>
        <v>AES TIETE   -PN</v>
      </c>
      <c r="R80" s="52">
        <f t="shared" si="15"/>
        <v>41666</v>
      </c>
      <c r="S80" s="5">
        <f t="shared" si="16"/>
        <v>18.25</v>
      </c>
      <c r="T80" s="5">
        <f t="shared" si="17"/>
        <v>18</v>
      </c>
      <c r="U80" s="5">
        <f t="shared" si="18"/>
        <v>18.34</v>
      </c>
      <c r="V80" s="5">
        <f t="shared" si="19"/>
        <v>17.91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185</v>
      </c>
      <c r="D81" s="3" t="s">
        <v>448</v>
      </c>
      <c r="E81" s="3" t="s">
        <v>483</v>
      </c>
      <c r="F81" s="3" t="s">
        <v>483</v>
      </c>
      <c r="G81" s="3" t="s">
        <v>448</v>
      </c>
      <c r="H81" s="20">
        <v>41666</v>
      </c>
      <c r="J81" s="3">
        <f t="shared" si="20"/>
        <v>0.12</v>
      </c>
      <c r="K81" s="3">
        <f t="shared" si="20"/>
        <v>0.13</v>
      </c>
      <c r="L81" s="3">
        <f t="shared" si="20"/>
        <v>0.13</v>
      </c>
      <c r="M81" s="3">
        <f t="shared" si="20"/>
        <v>0.12</v>
      </c>
      <c r="P81" s="14" t="s">
        <v>183</v>
      </c>
      <c r="Q81" s="10" t="str">
        <f t="shared" si="14"/>
        <v xml:space="preserve">GTD PART    -ON  </v>
      </c>
      <c r="R81" s="52">
        <f t="shared" si="15"/>
        <v>41666</v>
      </c>
      <c r="S81" s="5">
        <f t="shared" si="16"/>
        <v>0.12</v>
      </c>
      <c r="T81" s="5">
        <f t="shared" si="17"/>
        <v>0.13</v>
      </c>
      <c r="U81" s="5">
        <f t="shared" si="18"/>
        <v>0.13</v>
      </c>
      <c r="V81" s="5">
        <f t="shared" si="19"/>
        <v>0.12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186</v>
      </c>
      <c r="D82" s="3" t="s">
        <v>448</v>
      </c>
      <c r="E82" s="3" t="s">
        <v>483</v>
      </c>
      <c r="F82" s="3" t="s">
        <v>483</v>
      </c>
      <c r="G82" s="3" t="s">
        <v>632</v>
      </c>
      <c r="H82" s="20">
        <v>41666</v>
      </c>
      <c r="J82" s="3">
        <f t="shared" si="20"/>
        <v>0.12</v>
      </c>
      <c r="K82" s="3">
        <f t="shared" si="20"/>
        <v>0.13</v>
      </c>
      <c r="L82" s="3">
        <f t="shared" si="20"/>
        <v>0.13</v>
      </c>
      <c r="M82" s="3">
        <f t="shared" si="20"/>
        <v>0.11</v>
      </c>
      <c r="P82" s="14" t="s">
        <v>184</v>
      </c>
      <c r="Q82" s="10" t="str">
        <f t="shared" si="14"/>
        <v xml:space="preserve">GTD PART    -PN  </v>
      </c>
      <c r="R82" s="52">
        <f t="shared" si="15"/>
        <v>41666</v>
      </c>
      <c r="S82" s="5">
        <f t="shared" si="16"/>
        <v>0.12</v>
      </c>
      <c r="T82" s="5">
        <f t="shared" si="17"/>
        <v>0.13</v>
      </c>
      <c r="U82" s="5">
        <f t="shared" si="18"/>
        <v>0.13</v>
      </c>
      <c r="V82" s="5">
        <f t="shared" si="19"/>
        <v>0.11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252</v>
      </c>
      <c r="D83" s="3" t="s">
        <v>883</v>
      </c>
      <c r="E83" s="3" t="s">
        <v>1038</v>
      </c>
      <c r="F83" s="3" t="s">
        <v>883</v>
      </c>
      <c r="G83" s="3" t="s">
        <v>1038</v>
      </c>
      <c r="H83" s="20">
        <v>41666</v>
      </c>
      <c r="J83" s="3">
        <f t="shared" si="20"/>
        <v>9.9499999999999993</v>
      </c>
      <c r="K83" s="3">
        <f t="shared" si="20"/>
        <v>9.6</v>
      </c>
      <c r="L83" s="3">
        <f t="shared" si="20"/>
        <v>9.9499999999999993</v>
      </c>
      <c r="M83" s="3">
        <f t="shared" si="20"/>
        <v>9.6</v>
      </c>
      <c r="P83" s="15" t="s">
        <v>251</v>
      </c>
      <c r="Q83" s="10" t="str">
        <f t="shared" si="14"/>
        <v xml:space="preserve">ITAUSA      -ON  </v>
      </c>
      <c r="R83" s="52">
        <f t="shared" si="15"/>
        <v>41666</v>
      </c>
      <c r="S83" s="5">
        <f t="shared" si="16"/>
        <v>9.9499999999999993</v>
      </c>
      <c r="T83" s="5">
        <f t="shared" si="17"/>
        <v>9.6</v>
      </c>
      <c r="U83" s="5">
        <f t="shared" si="18"/>
        <v>9.9499999999999993</v>
      </c>
      <c r="V83" s="5">
        <f t="shared" si="19"/>
        <v>9.6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152</v>
      </c>
      <c r="D84" s="3" t="s">
        <v>884</v>
      </c>
      <c r="E84" s="3" t="s">
        <v>1039</v>
      </c>
      <c r="F84" s="3" t="s">
        <v>1040</v>
      </c>
      <c r="G84" s="3" t="s">
        <v>884</v>
      </c>
      <c r="H84" s="46">
        <v>41666</v>
      </c>
      <c r="J84" s="3">
        <f t="shared" si="20"/>
        <v>8.1999999999999993</v>
      </c>
      <c r="K84" s="3">
        <f t="shared" si="20"/>
        <v>8.3699999999999992</v>
      </c>
      <c r="L84" s="3">
        <f t="shared" si="20"/>
        <v>8.43</v>
      </c>
      <c r="M84" s="3">
        <f t="shared" si="20"/>
        <v>8.1999999999999993</v>
      </c>
      <c r="P84" s="15" t="s">
        <v>16</v>
      </c>
      <c r="Q84" s="10" t="str">
        <f t="shared" si="14"/>
        <v xml:space="preserve">ITAUSA      -PN  </v>
      </c>
      <c r="R84" s="52">
        <f t="shared" si="15"/>
        <v>41666</v>
      </c>
      <c r="S84" s="5">
        <f t="shared" si="16"/>
        <v>8.1999999999999993</v>
      </c>
      <c r="T84" s="5">
        <f t="shared" si="17"/>
        <v>8.3699999999999992</v>
      </c>
      <c r="U84" s="5">
        <f t="shared" si="18"/>
        <v>8.43</v>
      </c>
      <c r="V84" s="5">
        <f t="shared" si="19"/>
        <v>8.1999999999999993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250</v>
      </c>
      <c r="D85" s="3" t="s">
        <v>1041</v>
      </c>
      <c r="E85" s="3" t="s">
        <v>1042</v>
      </c>
      <c r="F85" s="3" t="s">
        <v>1043</v>
      </c>
      <c r="G85" s="3" t="s">
        <v>1041</v>
      </c>
      <c r="H85" s="46">
        <v>41666</v>
      </c>
      <c r="J85" s="3">
        <f t="shared" si="20"/>
        <v>26.65</v>
      </c>
      <c r="K85" s="3">
        <f t="shared" si="20"/>
        <v>27.1</v>
      </c>
      <c r="L85" s="3">
        <f t="shared" si="20"/>
        <v>27.33</v>
      </c>
      <c r="M85" s="3">
        <f t="shared" si="20"/>
        <v>26.65</v>
      </c>
      <c r="P85" s="10" t="s">
        <v>249</v>
      </c>
      <c r="Q85" s="10" t="str">
        <f t="shared" si="14"/>
        <v xml:space="preserve">ITAUUNIBANCO-ON  </v>
      </c>
      <c r="R85" s="52">
        <f t="shared" si="15"/>
        <v>41666</v>
      </c>
      <c r="S85" s="5">
        <f t="shared" si="16"/>
        <v>26.65</v>
      </c>
      <c r="T85" s="5">
        <f t="shared" si="17"/>
        <v>27.1</v>
      </c>
      <c r="U85" s="5">
        <f t="shared" si="18"/>
        <v>27.33</v>
      </c>
      <c r="V85" s="5">
        <f t="shared" si="19"/>
        <v>26.65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153</v>
      </c>
      <c r="D86" s="3" t="s">
        <v>1044</v>
      </c>
      <c r="E86" s="3" t="s">
        <v>1045</v>
      </c>
      <c r="F86" s="3" t="s">
        <v>1046</v>
      </c>
      <c r="G86" s="3" t="s">
        <v>1047</v>
      </c>
      <c r="H86" s="46">
        <v>41666</v>
      </c>
      <c r="J86" s="3">
        <f t="shared" si="20"/>
        <v>29.4</v>
      </c>
      <c r="K86" s="3">
        <f t="shared" si="20"/>
        <v>29.85</v>
      </c>
      <c r="L86" s="3">
        <f t="shared" si="20"/>
        <v>29.98</v>
      </c>
      <c r="M86" s="3">
        <f t="shared" si="20"/>
        <v>29.16</v>
      </c>
      <c r="P86" s="10" t="s">
        <v>81</v>
      </c>
      <c r="Q86" s="10" t="str">
        <f t="shared" si="14"/>
        <v xml:space="preserve">ITAUUNIBANCO-PN  </v>
      </c>
      <c r="R86" s="52">
        <f t="shared" si="15"/>
        <v>41666</v>
      </c>
      <c r="S86" s="5">
        <f t="shared" si="16"/>
        <v>29.4</v>
      </c>
      <c r="T86" s="5">
        <f t="shared" si="17"/>
        <v>29.85</v>
      </c>
      <c r="U86" s="5">
        <f t="shared" si="18"/>
        <v>29.98</v>
      </c>
      <c r="V86" s="5">
        <f t="shared" si="19"/>
        <v>29.16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200</v>
      </c>
      <c r="D87" s="3" t="s">
        <v>725</v>
      </c>
      <c r="E87" s="3" t="s">
        <v>725</v>
      </c>
      <c r="F87" s="3" t="s">
        <v>725</v>
      </c>
      <c r="G87" s="3" t="s">
        <v>725</v>
      </c>
      <c r="H87" s="46">
        <v>41656</v>
      </c>
      <c r="J87" s="3">
        <f t="shared" si="20"/>
        <v>12.5</v>
      </c>
      <c r="K87" s="3">
        <f t="shared" si="20"/>
        <v>12.5</v>
      </c>
      <c r="L87" s="3">
        <f t="shared" si="20"/>
        <v>12.5</v>
      </c>
      <c r="M87" s="3">
        <f t="shared" si="20"/>
        <v>12.5</v>
      </c>
      <c r="P87" s="15" t="s">
        <v>199</v>
      </c>
      <c r="Q87" s="10" t="str">
        <f t="shared" si="14"/>
        <v xml:space="preserve">KLABIN S/A  -ON  </v>
      </c>
      <c r="R87" s="52">
        <f t="shared" si="15"/>
        <v>41656</v>
      </c>
      <c r="S87" s="5">
        <f t="shared" si="16"/>
        <v>12.5</v>
      </c>
      <c r="T87" s="5">
        <f t="shared" si="17"/>
        <v>12.5</v>
      </c>
      <c r="U87" s="5">
        <f t="shared" si="18"/>
        <v>12.5</v>
      </c>
      <c r="V87" s="5">
        <f t="shared" si="19"/>
        <v>12.5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154</v>
      </c>
      <c r="D88" s="3" t="s">
        <v>1048</v>
      </c>
      <c r="E88" s="3" t="s">
        <v>822</v>
      </c>
      <c r="F88" s="3" t="s">
        <v>1049</v>
      </c>
      <c r="G88" s="3" t="s">
        <v>913</v>
      </c>
      <c r="H88" s="46">
        <v>41666</v>
      </c>
      <c r="J88" s="3">
        <f t="shared" si="20"/>
        <v>12.42</v>
      </c>
      <c r="K88" s="3">
        <f t="shared" si="20"/>
        <v>12.6</v>
      </c>
      <c r="L88" s="3">
        <f t="shared" si="20"/>
        <v>12.71</v>
      </c>
      <c r="M88" s="3">
        <f t="shared" si="20"/>
        <v>12.33</v>
      </c>
      <c r="P88" s="15" t="s">
        <v>54</v>
      </c>
      <c r="Q88" s="10" t="str">
        <f t="shared" si="14"/>
        <v xml:space="preserve">KLABIN S/A  -PN  </v>
      </c>
      <c r="R88" s="52">
        <f t="shared" si="15"/>
        <v>41666</v>
      </c>
      <c r="S88" s="5">
        <f t="shared" si="16"/>
        <v>12.42</v>
      </c>
      <c r="T88" s="5">
        <f t="shared" si="17"/>
        <v>12.6</v>
      </c>
      <c r="U88" s="5">
        <f t="shared" si="18"/>
        <v>12.71</v>
      </c>
      <c r="V88" s="5">
        <f t="shared" si="19"/>
        <v>12.33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155</v>
      </c>
      <c r="D89" s="3" t="s">
        <v>1050</v>
      </c>
      <c r="E89" s="3" t="s">
        <v>1051</v>
      </c>
      <c r="F89" s="3" t="s">
        <v>980</v>
      </c>
      <c r="G89" s="3" t="s">
        <v>1052</v>
      </c>
      <c r="H89" s="46">
        <v>41666</v>
      </c>
      <c r="J89" s="3">
        <f t="shared" si="20"/>
        <v>19.45</v>
      </c>
      <c r="K89" s="3">
        <f t="shared" si="20"/>
        <v>19.399999999999999</v>
      </c>
      <c r="L89" s="3">
        <f t="shared" si="20"/>
        <v>19.77</v>
      </c>
      <c r="M89" s="3">
        <f t="shared" si="20"/>
        <v>19.2</v>
      </c>
      <c r="P89" s="44" t="s">
        <v>55</v>
      </c>
      <c r="Q89" s="10" t="str">
        <f t="shared" si="14"/>
        <v xml:space="preserve">LIGHT S/A   -ON  </v>
      </c>
      <c r="R89" s="52">
        <f t="shared" si="15"/>
        <v>41666</v>
      </c>
      <c r="S89" s="5">
        <f t="shared" si="16"/>
        <v>19.45</v>
      </c>
      <c r="T89" s="5">
        <f t="shared" si="17"/>
        <v>19.399999999999999</v>
      </c>
      <c r="U89" s="5">
        <f t="shared" si="18"/>
        <v>19.77</v>
      </c>
      <c r="V89" s="5">
        <f t="shared" si="19"/>
        <v>19.2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175</v>
      </c>
      <c r="D90" s="3" t="s">
        <v>176</v>
      </c>
      <c r="E90" s="3" t="s">
        <v>368</v>
      </c>
      <c r="F90" s="3" t="s">
        <v>368</v>
      </c>
      <c r="G90" s="3" t="s">
        <v>176</v>
      </c>
      <c r="H90" s="46">
        <v>41642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174</v>
      </c>
      <c r="Q90" s="10" t="str">
        <f t="shared" si="14"/>
        <v>ELETROPAR   -ON</v>
      </c>
      <c r="R90" s="52">
        <f t="shared" si="15"/>
        <v>41642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156</v>
      </c>
      <c r="D91" s="3" t="s">
        <v>1053</v>
      </c>
      <c r="E91" s="73" t="s">
        <v>1053</v>
      </c>
      <c r="F91" s="73" t="s">
        <v>1054</v>
      </c>
      <c r="G91" s="3" t="s">
        <v>781</v>
      </c>
      <c r="H91" s="46">
        <v>41666</v>
      </c>
      <c r="J91" s="3">
        <f t="shared" si="20"/>
        <v>8.33</v>
      </c>
      <c r="K91" s="3">
        <f t="shared" si="20"/>
        <v>8.33</v>
      </c>
      <c r="L91" s="3">
        <f t="shared" si="20"/>
        <v>8.44</v>
      </c>
      <c r="M91" s="3">
        <f t="shared" si="20"/>
        <v>8.27</v>
      </c>
      <c r="P91" s="10" t="s">
        <v>75</v>
      </c>
      <c r="Q91" s="10" t="str">
        <f t="shared" si="14"/>
        <v xml:space="preserve">PINE        -PN  </v>
      </c>
      <c r="R91" s="52">
        <f t="shared" si="15"/>
        <v>41666</v>
      </c>
      <c r="S91" s="5">
        <f t="shared" si="16"/>
        <v>8.33</v>
      </c>
      <c r="T91" s="5">
        <f t="shared" si="17"/>
        <v>8.33</v>
      </c>
      <c r="U91" s="5">
        <f t="shared" si="18"/>
        <v>8.44</v>
      </c>
      <c r="V91" s="5">
        <f t="shared" si="19"/>
        <v>8.27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157</v>
      </c>
      <c r="D92" s="3" t="s">
        <v>1055</v>
      </c>
      <c r="E92" s="3" t="s">
        <v>1055</v>
      </c>
      <c r="F92" s="3" t="s">
        <v>1055</v>
      </c>
      <c r="G92" s="3" t="s">
        <v>1055</v>
      </c>
      <c r="H92" s="46">
        <v>41666</v>
      </c>
      <c r="J92" s="3">
        <f t="shared" si="20"/>
        <v>11.6</v>
      </c>
      <c r="K92" s="3">
        <f t="shared" si="20"/>
        <v>11.6</v>
      </c>
      <c r="L92" s="3">
        <f t="shared" si="20"/>
        <v>11.6</v>
      </c>
      <c r="M92" s="3">
        <f t="shared" si="20"/>
        <v>11.6</v>
      </c>
      <c r="P92" s="16" t="s">
        <v>83</v>
      </c>
      <c r="Q92" s="10" t="str">
        <f t="shared" si="14"/>
        <v xml:space="preserve">PARANA      -PN  </v>
      </c>
      <c r="R92" s="52">
        <f t="shared" si="15"/>
        <v>41666</v>
      </c>
      <c r="S92" s="5">
        <f t="shared" si="16"/>
        <v>11.6</v>
      </c>
      <c r="T92" s="5">
        <f t="shared" si="17"/>
        <v>11.6</v>
      </c>
      <c r="U92" s="5">
        <f t="shared" si="18"/>
        <v>11.6</v>
      </c>
      <c r="V92" s="5">
        <f t="shared" si="19"/>
        <v>11.6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254</v>
      </c>
      <c r="D93" s="3" t="s">
        <v>1056</v>
      </c>
      <c r="E93" s="3" t="s">
        <v>1057</v>
      </c>
      <c r="F93" s="3" t="s">
        <v>1058</v>
      </c>
      <c r="G93" s="3" t="s">
        <v>1059</v>
      </c>
      <c r="H93" s="46">
        <v>41666</v>
      </c>
      <c r="J93" s="3">
        <f t="shared" si="20"/>
        <v>28.98</v>
      </c>
      <c r="K93" s="3">
        <f t="shared" si="20"/>
        <v>28.31</v>
      </c>
      <c r="L93" s="3">
        <f t="shared" si="20"/>
        <v>29.06</v>
      </c>
      <c r="M93" s="3">
        <f t="shared" si="20"/>
        <v>28.17</v>
      </c>
      <c r="P93" s="16" t="s">
        <v>253</v>
      </c>
      <c r="Q93" s="10" t="str">
        <f t="shared" si="14"/>
        <v xml:space="preserve">PORTO SEGURO-ON  </v>
      </c>
      <c r="R93" s="52">
        <f t="shared" si="15"/>
        <v>41666</v>
      </c>
      <c r="S93" s="5">
        <f t="shared" si="16"/>
        <v>28.98</v>
      </c>
      <c r="T93" s="5">
        <f t="shared" si="17"/>
        <v>28.31</v>
      </c>
      <c r="U93" s="5">
        <f t="shared" si="18"/>
        <v>29.06</v>
      </c>
      <c r="V93" s="5">
        <f t="shared" si="19"/>
        <v>28.17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197</v>
      </c>
      <c r="D94" s="3" t="s">
        <v>929</v>
      </c>
      <c r="E94" s="3" t="s">
        <v>929</v>
      </c>
      <c r="F94" s="3" t="s">
        <v>929</v>
      </c>
      <c r="G94" s="3" t="s">
        <v>929</v>
      </c>
      <c r="H94" s="46">
        <v>41666</v>
      </c>
      <c r="J94" s="3">
        <f t="shared" si="20"/>
        <v>3.2</v>
      </c>
      <c r="K94" s="3">
        <f t="shared" si="20"/>
        <v>3.2</v>
      </c>
      <c r="L94" s="3">
        <f t="shared" si="20"/>
        <v>3.2</v>
      </c>
      <c r="M94" s="3">
        <f t="shared" si="20"/>
        <v>3.2</v>
      </c>
      <c r="P94" s="14" t="s">
        <v>195</v>
      </c>
      <c r="Q94" s="10" t="str">
        <f t="shared" si="14"/>
        <v>CELUL IRANI -ON</v>
      </c>
      <c r="R94" s="52">
        <f t="shared" si="15"/>
        <v>41666</v>
      </c>
      <c r="S94" s="5">
        <f t="shared" si="16"/>
        <v>3.2</v>
      </c>
      <c r="T94" s="5">
        <f t="shared" si="17"/>
        <v>3.2</v>
      </c>
      <c r="U94" s="5">
        <f t="shared" si="18"/>
        <v>3.2</v>
      </c>
      <c r="V94" s="5">
        <f t="shared" si="19"/>
        <v>3.2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198</v>
      </c>
      <c r="D95" s="3" t="s">
        <v>888</v>
      </c>
      <c r="E95" s="3" t="s">
        <v>888</v>
      </c>
      <c r="F95" s="3" t="s">
        <v>888</v>
      </c>
      <c r="G95" s="3" t="s">
        <v>888</v>
      </c>
      <c r="H95" s="46">
        <v>41662</v>
      </c>
      <c r="J95" s="3">
        <f t="shared" si="20"/>
        <v>3.45</v>
      </c>
      <c r="K95" s="3">
        <f t="shared" si="20"/>
        <v>3.45</v>
      </c>
      <c r="L95" s="3">
        <f t="shared" si="20"/>
        <v>3.45</v>
      </c>
      <c r="M95" s="3">
        <f t="shared" si="20"/>
        <v>3.45</v>
      </c>
      <c r="P95" s="14" t="s">
        <v>196</v>
      </c>
      <c r="Q95" s="10" t="str">
        <f t="shared" si="14"/>
        <v>CELUL IRANI -PN</v>
      </c>
      <c r="R95" s="52">
        <f t="shared" si="15"/>
        <v>41662</v>
      </c>
      <c r="S95" s="5">
        <f t="shared" si="16"/>
        <v>3.45</v>
      </c>
      <c r="T95" s="5">
        <f t="shared" si="17"/>
        <v>3.45</v>
      </c>
      <c r="U95" s="5">
        <f t="shared" si="18"/>
        <v>3.45</v>
      </c>
      <c r="V95" s="5">
        <f t="shared" si="19"/>
        <v>3.45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158</v>
      </c>
      <c r="D96" s="3" t="s">
        <v>698</v>
      </c>
      <c r="E96" s="3" t="s">
        <v>698</v>
      </c>
      <c r="F96" s="3" t="s">
        <v>698</v>
      </c>
      <c r="G96" s="3" t="s">
        <v>698</v>
      </c>
      <c r="H96" s="52">
        <v>41666</v>
      </c>
      <c r="J96" s="3">
        <f t="shared" si="20"/>
        <v>5.9</v>
      </c>
      <c r="K96" s="3">
        <f t="shared" si="20"/>
        <v>5.9</v>
      </c>
      <c r="L96" s="3">
        <f t="shared" si="20"/>
        <v>5.9</v>
      </c>
      <c r="M96" s="3">
        <f t="shared" si="20"/>
        <v>5.9</v>
      </c>
      <c r="P96" s="14" t="s">
        <v>65</v>
      </c>
      <c r="Q96" s="10" t="str">
        <f t="shared" si="14"/>
        <v>REDENTOR    -ON</v>
      </c>
      <c r="R96" s="52">
        <f t="shared" si="15"/>
        <v>41666</v>
      </c>
      <c r="S96" s="5">
        <f t="shared" si="16"/>
        <v>5.9</v>
      </c>
      <c r="T96" s="5">
        <f t="shared" si="17"/>
        <v>5.9</v>
      </c>
      <c r="U96" s="5">
        <f t="shared" si="18"/>
        <v>5.9</v>
      </c>
      <c r="V96" s="5">
        <f t="shared" si="19"/>
        <v>5.9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206</v>
      </c>
      <c r="D97" s="3" t="s">
        <v>207</v>
      </c>
      <c r="E97" s="3" t="s">
        <v>207</v>
      </c>
      <c r="F97" s="3" t="s">
        <v>207</v>
      </c>
      <c r="G97" s="3" t="s">
        <v>207</v>
      </c>
      <c r="H97" s="52">
        <v>41656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204</v>
      </c>
      <c r="Q97" s="10" t="str">
        <f t="shared" si="14"/>
        <v>ALFA HOLDING-ON</v>
      </c>
      <c r="R97" s="52">
        <f t="shared" si="15"/>
        <v>41656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889</v>
      </c>
      <c r="D98" s="3" t="s">
        <v>444</v>
      </c>
      <c r="E98" s="3" t="s">
        <v>446</v>
      </c>
      <c r="F98" s="3" t="s">
        <v>446</v>
      </c>
      <c r="G98" s="3" t="s">
        <v>444</v>
      </c>
      <c r="H98" s="52">
        <v>41652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 xml:space="preserve">ALFA HOLDING-PNA </v>
      </c>
      <c r="R98" s="52">
        <f t="shared" si="15"/>
        <v>41652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208</v>
      </c>
      <c r="D99" s="3" t="s">
        <v>435</v>
      </c>
      <c r="E99" s="3" t="s">
        <v>435</v>
      </c>
      <c r="F99" s="3" t="s">
        <v>435</v>
      </c>
      <c r="G99" s="3" t="s">
        <v>435</v>
      </c>
      <c r="H99" s="52">
        <v>41652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205</v>
      </c>
      <c r="Q99" s="10" t="str">
        <f t="shared" si="14"/>
        <v>ALFA HOLDING-PNB</v>
      </c>
      <c r="R99" s="52">
        <f t="shared" si="15"/>
        <v>41652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726</v>
      </c>
      <c r="D100" s="3" t="s">
        <v>194</v>
      </c>
      <c r="E100" s="3" t="s">
        <v>194</v>
      </c>
      <c r="F100" s="3" t="s">
        <v>194</v>
      </c>
      <c r="G100" s="3" t="s">
        <v>194</v>
      </c>
      <c r="H100" s="52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193</v>
      </c>
      <c r="Q100" s="10" t="str">
        <f t="shared" si="14"/>
        <v>SANEPAR     -ON</v>
      </c>
      <c r="R100" s="52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727</v>
      </c>
      <c r="D101" s="3" t="s">
        <v>1060</v>
      </c>
      <c r="E101" s="3" t="s">
        <v>1061</v>
      </c>
      <c r="F101" s="3" t="s">
        <v>1060</v>
      </c>
      <c r="G101" s="3" t="s">
        <v>1061</v>
      </c>
      <c r="H101" s="52">
        <v>41666</v>
      </c>
      <c r="J101" s="3">
        <f t="shared" si="20"/>
        <v>5.79</v>
      </c>
      <c r="K101" s="3">
        <f t="shared" si="20"/>
        <v>5.7</v>
      </c>
      <c r="L101" s="3">
        <f t="shared" si="20"/>
        <v>5.79</v>
      </c>
      <c r="M101" s="3">
        <f t="shared" si="20"/>
        <v>5.7</v>
      </c>
      <c r="P101" s="14" t="s">
        <v>66</v>
      </c>
      <c r="Q101" s="10" t="str">
        <f t="shared" si="14"/>
        <v>SANEPAR     -PN</v>
      </c>
      <c r="R101" s="52">
        <f t="shared" si="15"/>
        <v>41666</v>
      </c>
      <c r="S101" s="5">
        <f t="shared" si="16"/>
        <v>5.79</v>
      </c>
      <c r="T101" s="5">
        <f t="shared" si="17"/>
        <v>5.7</v>
      </c>
      <c r="U101" s="5">
        <f t="shared" si="18"/>
        <v>5.79</v>
      </c>
      <c r="V101" s="5">
        <f t="shared" si="19"/>
        <v>5.7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159</v>
      </c>
      <c r="D102" s="3" t="s">
        <v>890</v>
      </c>
      <c r="E102" s="3" t="s">
        <v>1062</v>
      </c>
      <c r="F102" s="3" t="s">
        <v>1063</v>
      </c>
      <c r="G102" s="3" t="s">
        <v>1064</v>
      </c>
      <c r="H102" s="52">
        <v>41666</v>
      </c>
      <c r="J102" s="3">
        <f t="shared" si="20"/>
        <v>23.5</v>
      </c>
      <c r="K102" s="3">
        <f t="shared" si="20"/>
        <v>22.7</v>
      </c>
      <c r="L102" s="3">
        <f t="shared" si="20"/>
        <v>23.87</v>
      </c>
      <c r="M102" s="3">
        <f t="shared" si="20"/>
        <v>22.69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41666</v>
      </c>
      <c r="S102" s="5">
        <f t="shared" si="16"/>
        <v>23.5</v>
      </c>
      <c r="T102" s="5">
        <f t="shared" si="17"/>
        <v>22.7</v>
      </c>
      <c r="U102" s="5">
        <f t="shared" si="18"/>
        <v>23.87</v>
      </c>
      <c r="V102" s="5">
        <f t="shared" si="19"/>
        <v>22.69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160</v>
      </c>
      <c r="D103" s="3" t="s">
        <v>755</v>
      </c>
      <c r="E103" s="3" t="s">
        <v>755</v>
      </c>
      <c r="F103" s="3" t="s">
        <v>755</v>
      </c>
      <c r="G103" s="3" t="s">
        <v>755</v>
      </c>
      <c r="H103" s="52">
        <v>41666</v>
      </c>
      <c r="J103" s="3">
        <f t="shared" si="20"/>
        <v>3</v>
      </c>
      <c r="K103" s="3">
        <f t="shared" si="20"/>
        <v>3</v>
      </c>
      <c r="L103" s="3">
        <f t="shared" si="20"/>
        <v>3</v>
      </c>
      <c r="M103" s="3">
        <f t="shared" si="20"/>
        <v>3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41666</v>
      </c>
      <c r="S103" s="5">
        <f t="shared" ref="S103:S112" si="23">J103</f>
        <v>3</v>
      </c>
      <c r="T103" s="5">
        <f t="shared" ref="T103:T112" si="24">K103</f>
        <v>3</v>
      </c>
      <c r="U103" s="5">
        <f t="shared" ref="U103:U112" si="25">L103</f>
        <v>3</v>
      </c>
      <c r="V103" s="5">
        <f t="shared" ref="V103:V112" si="26">M103</f>
        <v>3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161</v>
      </c>
      <c r="D104" s="3" t="s">
        <v>1065</v>
      </c>
      <c r="E104" s="3" t="s">
        <v>1066</v>
      </c>
      <c r="F104" s="3" t="s">
        <v>1067</v>
      </c>
      <c r="G104" s="3" t="s">
        <v>789</v>
      </c>
      <c r="H104" s="52">
        <v>41666</v>
      </c>
      <c r="J104" s="3">
        <f t="shared" si="20"/>
        <v>9.0500000000000007</v>
      </c>
      <c r="K104" s="3">
        <f t="shared" si="20"/>
        <v>9.15</v>
      </c>
      <c r="L104" s="3">
        <f t="shared" si="20"/>
        <v>9.1999999999999993</v>
      </c>
      <c r="M104" s="3">
        <f t="shared" si="20"/>
        <v>9.01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41666</v>
      </c>
      <c r="S104" s="5">
        <f t="shared" si="23"/>
        <v>9.0500000000000007</v>
      </c>
      <c r="T104" s="5">
        <f t="shared" si="24"/>
        <v>9.15</v>
      </c>
      <c r="U104" s="5">
        <f t="shared" si="25"/>
        <v>9.1999999999999993</v>
      </c>
      <c r="V104" s="5">
        <f t="shared" si="26"/>
        <v>9.01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203</v>
      </c>
      <c r="D105" s="3" t="s">
        <v>892</v>
      </c>
      <c r="E105" s="3" t="s">
        <v>892</v>
      </c>
      <c r="F105" s="3" t="s">
        <v>892</v>
      </c>
      <c r="G105" s="3" t="s">
        <v>892</v>
      </c>
      <c r="H105" s="52">
        <v>41661</v>
      </c>
      <c r="J105" s="3">
        <f t="shared" si="20"/>
        <v>8</v>
      </c>
      <c r="K105" s="3">
        <f t="shared" si="20"/>
        <v>8</v>
      </c>
      <c r="L105" s="3">
        <f t="shared" si="20"/>
        <v>8</v>
      </c>
      <c r="M105" s="3">
        <f t="shared" si="20"/>
        <v>8</v>
      </c>
      <c r="P105" s="15" t="s">
        <v>201</v>
      </c>
      <c r="Q105" s="10" t="str">
        <f t="shared" si="21"/>
        <v xml:space="preserve">SUZANO PAPEL-PNB </v>
      </c>
      <c r="R105" s="52">
        <f t="shared" si="22"/>
        <v>41661</v>
      </c>
      <c r="S105" s="5">
        <f t="shared" si="23"/>
        <v>8</v>
      </c>
      <c r="T105" s="5">
        <f t="shared" si="24"/>
        <v>8</v>
      </c>
      <c r="U105" s="5">
        <f t="shared" si="25"/>
        <v>8</v>
      </c>
      <c r="V105" s="5">
        <f t="shared" si="26"/>
        <v>8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162</v>
      </c>
      <c r="D106" s="3" t="s">
        <v>1068</v>
      </c>
      <c r="E106" s="3" t="s">
        <v>1069</v>
      </c>
      <c r="F106" s="3" t="s">
        <v>1070</v>
      </c>
      <c r="G106" s="3" t="s">
        <v>1071</v>
      </c>
      <c r="H106" s="52">
        <v>41666</v>
      </c>
      <c r="J106" s="3">
        <f t="shared" si="20"/>
        <v>17.54</v>
      </c>
      <c r="K106" s="3">
        <f t="shared" si="20"/>
        <v>18.100000000000001</v>
      </c>
      <c r="L106" s="3">
        <f t="shared" si="20"/>
        <v>18.14</v>
      </c>
      <c r="M106" s="3">
        <f t="shared" si="20"/>
        <v>17.41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41666</v>
      </c>
      <c r="S106" s="5">
        <f t="shared" si="23"/>
        <v>17.54</v>
      </c>
      <c r="T106" s="5">
        <f t="shared" si="24"/>
        <v>18.100000000000001</v>
      </c>
      <c r="U106" s="5">
        <f t="shared" si="25"/>
        <v>18.14</v>
      </c>
      <c r="V106" s="5">
        <f t="shared" si="26"/>
        <v>17.41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188</v>
      </c>
      <c r="D107" s="3" t="s">
        <v>1072</v>
      </c>
      <c r="E107" s="3" t="s">
        <v>1073</v>
      </c>
      <c r="F107" s="3" t="s">
        <v>1074</v>
      </c>
      <c r="G107" s="3" t="s">
        <v>1075</v>
      </c>
      <c r="H107" s="52">
        <v>41666</v>
      </c>
      <c r="J107" s="3">
        <f t="shared" si="20"/>
        <v>33.71</v>
      </c>
      <c r="K107" s="3">
        <f t="shared" si="20"/>
        <v>33.799999999999997</v>
      </c>
      <c r="L107" s="3">
        <f t="shared" si="20"/>
        <v>34.19</v>
      </c>
      <c r="M107" s="3">
        <f t="shared" si="20"/>
        <v>33.54</v>
      </c>
      <c r="P107" s="14" t="s">
        <v>187</v>
      </c>
      <c r="Q107" s="10" t="str">
        <f t="shared" si="21"/>
        <v xml:space="preserve">TRACTEBEL   -ON  </v>
      </c>
      <c r="R107" s="52">
        <f t="shared" si="22"/>
        <v>41666</v>
      </c>
      <c r="S107" s="5">
        <f t="shared" si="23"/>
        <v>33.71</v>
      </c>
      <c r="T107" s="5">
        <f t="shared" si="24"/>
        <v>33.799999999999997</v>
      </c>
      <c r="U107" s="5">
        <f t="shared" si="25"/>
        <v>34.19</v>
      </c>
      <c r="V107" s="5">
        <f t="shared" si="26"/>
        <v>33.54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170</v>
      </c>
      <c r="D108" s="3" t="s">
        <v>893</v>
      </c>
      <c r="E108" s="3" t="s">
        <v>894</v>
      </c>
      <c r="F108" s="3" t="s">
        <v>894</v>
      </c>
      <c r="G108" s="3" t="s">
        <v>788</v>
      </c>
      <c r="H108" s="52">
        <v>41662</v>
      </c>
      <c r="J108" s="3">
        <f t="shared" si="20"/>
        <v>45.79</v>
      </c>
      <c r="K108" s="3">
        <f t="shared" si="20"/>
        <v>45.8</v>
      </c>
      <c r="L108" s="3">
        <f t="shared" si="20"/>
        <v>45.8</v>
      </c>
      <c r="M108" s="3">
        <f t="shared" si="20"/>
        <v>44</v>
      </c>
      <c r="P108" s="14" t="s">
        <v>165</v>
      </c>
      <c r="Q108" s="10" t="str">
        <f t="shared" si="21"/>
        <v xml:space="preserve">TRAN PAULIST-ON  </v>
      </c>
      <c r="R108" s="52">
        <f t="shared" si="22"/>
        <v>41662</v>
      </c>
      <c r="S108" s="5">
        <f t="shared" si="23"/>
        <v>45.79</v>
      </c>
      <c r="T108" s="5">
        <f t="shared" si="24"/>
        <v>45.8</v>
      </c>
      <c r="U108" s="5">
        <f t="shared" si="25"/>
        <v>45.8</v>
      </c>
      <c r="V108" s="5">
        <f t="shared" si="26"/>
        <v>44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171</v>
      </c>
      <c r="D109" s="3" t="s">
        <v>1076</v>
      </c>
      <c r="E109" s="3" t="s">
        <v>1077</v>
      </c>
      <c r="F109" s="3" t="s">
        <v>1078</v>
      </c>
      <c r="G109" s="3" t="s">
        <v>1079</v>
      </c>
      <c r="H109" s="52">
        <v>41666</v>
      </c>
      <c r="J109" s="3">
        <f t="shared" si="20"/>
        <v>25.3</v>
      </c>
      <c r="K109" s="3">
        <f t="shared" si="20"/>
        <v>25.33</v>
      </c>
      <c r="L109" s="3">
        <f t="shared" si="20"/>
        <v>25.62</v>
      </c>
      <c r="M109" s="3">
        <f t="shared" si="20"/>
        <v>25.11</v>
      </c>
      <c r="P109" s="14" t="s">
        <v>166</v>
      </c>
      <c r="Q109" s="10" t="str">
        <f t="shared" si="21"/>
        <v xml:space="preserve">TRAN PAULIST-PN  </v>
      </c>
      <c r="R109" s="52">
        <f t="shared" si="22"/>
        <v>41666</v>
      </c>
      <c r="S109" s="5">
        <f t="shared" si="23"/>
        <v>25.3</v>
      </c>
      <c r="T109" s="5">
        <f t="shared" si="24"/>
        <v>25.33</v>
      </c>
      <c r="U109" s="5">
        <f t="shared" si="25"/>
        <v>25.62</v>
      </c>
      <c r="V109" s="5">
        <f t="shared" si="26"/>
        <v>25.11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163</v>
      </c>
      <c r="D110" s="3" t="s">
        <v>449</v>
      </c>
      <c r="E110" s="3" t="s">
        <v>741</v>
      </c>
      <c r="F110" s="3" t="s">
        <v>741</v>
      </c>
      <c r="G110" s="3" t="s">
        <v>895</v>
      </c>
      <c r="H110" s="52">
        <v>41666</v>
      </c>
      <c r="J110" s="3">
        <f t="shared" si="20"/>
        <v>0.66</v>
      </c>
      <c r="K110" s="3">
        <f t="shared" si="20"/>
        <v>0.67</v>
      </c>
      <c r="L110" s="3">
        <f t="shared" si="20"/>
        <v>0.67</v>
      </c>
      <c r="M110" s="3">
        <f t="shared" si="20"/>
        <v>0.64</v>
      </c>
      <c r="P110" s="15" t="s">
        <v>74</v>
      </c>
      <c r="Q110" s="10" t="str">
        <f t="shared" si="21"/>
        <v>UNIPAR      -PNA</v>
      </c>
      <c r="R110" s="52">
        <f t="shared" si="22"/>
        <v>41666</v>
      </c>
      <c r="S110" s="5">
        <f t="shared" si="23"/>
        <v>0.66</v>
      </c>
      <c r="T110" s="5">
        <f t="shared" si="24"/>
        <v>0.67</v>
      </c>
      <c r="U110" s="5">
        <f t="shared" si="25"/>
        <v>0.67</v>
      </c>
      <c r="V110" s="5">
        <f t="shared" si="26"/>
        <v>0.64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164</v>
      </c>
      <c r="D111" s="3" t="s">
        <v>438</v>
      </c>
      <c r="E111" s="3" t="s">
        <v>484</v>
      </c>
      <c r="F111" s="3" t="s">
        <v>438</v>
      </c>
      <c r="G111" s="3" t="s">
        <v>484</v>
      </c>
      <c r="H111" s="52">
        <v>41666</v>
      </c>
      <c r="J111" s="3">
        <f t="shared" si="20"/>
        <v>0.5</v>
      </c>
      <c r="K111" s="3">
        <f t="shared" si="20"/>
        <v>0.49</v>
      </c>
      <c r="L111" s="3">
        <f t="shared" si="20"/>
        <v>0.5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2">
        <f t="shared" si="22"/>
        <v>41666</v>
      </c>
      <c r="S111" s="5">
        <f t="shared" si="23"/>
        <v>0.5</v>
      </c>
      <c r="T111" s="5">
        <f t="shared" si="24"/>
        <v>0.49</v>
      </c>
      <c r="U111" s="5">
        <f t="shared" si="25"/>
        <v>0.5</v>
      </c>
      <c r="V111" s="5">
        <f t="shared" si="26"/>
        <v>0.49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467</v>
      </c>
      <c r="D112" s="3" t="s">
        <v>121</v>
      </c>
      <c r="E112" s="3" t="s">
        <v>121</v>
      </c>
      <c r="F112" s="3" t="s">
        <v>121</v>
      </c>
      <c r="G112" s="3" t="s">
        <v>121</v>
      </c>
      <c r="H112" s="52">
        <v>41653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464</v>
      </c>
      <c r="Q112" s="10" t="str">
        <f t="shared" si="21"/>
        <v>PANATLANTICA-ON</v>
      </c>
      <c r="R112" s="52">
        <f t="shared" si="22"/>
        <v>41653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604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491</v>
      </c>
      <c r="D7" s="3" t="s">
        <v>492</v>
      </c>
      <c r="E7" s="3" t="s">
        <v>493</v>
      </c>
      <c r="F7" s="3" t="s">
        <v>492</v>
      </c>
      <c r="G7" s="3" t="s">
        <v>492</v>
      </c>
      <c r="H7" s="52" t="s">
        <v>492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489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505</v>
      </c>
      <c r="D8" s="3" t="s">
        <v>506</v>
      </c>
      <c r="E8" s="3" t="s">
        <v>506</v>
      </c>
      <c r="F8" s="3" t="s">
        <v>506</v>
      </c>
      <c r="G8" s="3" t="s">
        <v>506</v>
      </c>
      <c r="H8" s="52">
        <v>41618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504</v>
      </c>
      <c r="Q8" s="10" t="str">
        <f t="shared" si="1"/>
        <v>AFLUENTE T  -ON</v>
      </c>
      <c r="R8" s="52">
        <f t="shared" si="2"/>
        <v>41618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500</v>
      </c>
      <c r="D9" s="3" t="s">
        <v>501</v>
      </c>
      <c r="E9" s="3" t="s">
        <v>501</v>
      </c>
      <c r="F9" s="3" t="s">
        <v>501</v>
      </c>
      <c r="G9" s="3" t="s">
        <v>501</v>
      </c>
      <c r="H9" s="52">
        <v>41550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497</v>
      </c>
      <c r="Q9" s="10" t="str">
        <f t="shared" si="1"/>
        <v>AFLUENTE    -ON</v>
      </c>
      <c r="R9" s="52">
        <f t="shared" si="2"/>
        <v>41550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502</v>
      </c>
      <c r="D10" s="3" t="s">
        <v>492</v>
      </c>
      <c r="E10" s="3" t="s">
        <v>493</v>
      </c>
      <c r="F10" s="3" t="s">
        <v>492</v>
      </c>
      <c r="G10" s="3" t="s">
        <v>492</v>
      </c>
      <c r="H10" s="52" t="s">
        <v>492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498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503</v>
      </c>
      <c r="D11" s="3" t="s">
        <v>492</v>
      </c>
      <c r="E11" s="3" t="s">
        <v>493</v>
      </c>
      <c r="F11" s="3" t="s">
        <v>492</v>
      </c>
      <c r="G11" s="3" t="s">
        <v>492</v>
      </c>
      <c r="H11" s="52" t="s">
        <v>492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499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373</v>
      </c>
      <c r="D12" s="3" t="s">
        <v>1080</v>
      </c>
      <c r="E12" s="3" t="s">
        <v>844</v>
      </c>
      <c r="F12" s="3" t="s">
        <v>1081</v>
      </c>
      <c r="G12" s="3" t="s">
        <v>1082</v>
      </c>
      <c r="H12" s="52">
        <v>41666</v>
      </c>
      <c r="J12" s="3">
        <f t="shared" si="7"/>
        <v>17.149999999999999</v>
      </c>
      <c r="K12" s="3">
        <f t="shared" si="0"/>
        <v>16.989999999999998</v>
      </c>
      <c r="L12" s="3">
        <f t="shared" si="0"/>
        <v>17.43</v>
      </c>
      <c r="M12" s="3">
        <f t="shared" si="0"/>
        <v>16.82</v>
      </c>
      <c r="P12" s="14" t="s">
        <v>372</v>
      </c>
      <c r="Q12" s="10" t="str">
        <f t="shared" si="1"/>
        <v xml:space="preserve">ALIANSCE    -ON  </v>
      </c>
      <c r="R12" s="47">
        <f t="shared" si="2"/>
        <v>41666</v>
      </c>
      <c r="S12" s="6">
        <f t="shared" si="3"/>
        <v>17.149999999999999</v>
      </c>
      <c r="T12" s="6">
        <f t="shared" si="4"/>
        <v>16.989999999999998</v>
      </c>
      <c r="U12" s="6">
        <f t="shared" si="5"/>
        <v>17.43</v>
      </c>
      <c r="V12" s="6">
        <f t="shared" si="6"/>
        <v>16.82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510</v>
      </c>
      <c r="D13" s="3" t="s">
        <v>1083</v>
      </c>
      <c r="E13" s="3" t="s">
        <v>1084</v>
      </c>
      <c r="F13" s="3" t="s">
        <v>1085</v>
      </c>
      <c r="G13" s="3" t="s">
        <v>1086</v>
      </c>
      <c r="H13" s="52">
        <v>41666</v>
      </c>
      <c r="J13" s="3">
        <f t="shared" si="7"/>
        <v>15.45</v>
      </c>
      <c r="K13" s="3">
        <f t="shared" si="0"/>
        <v>15.3</v>
      </c>
      <c r="L13" s="3">
        <f t="shared" si="0"/>
        <v>15.86</v>
      </c>
      <c r="M13" s="3">
        <f t="shared" si="0"/>
        <v>15.15</v>
      </c>
      <c r="P13" s="14" t="s">
        <v>507</v>
      </c>
      <c r="Q13" s="10" t="str">
        <f t="shared" si="1"/>
        <v xml:space="preserve">ALUPAR      -UNT </v>
      </c>
      <c r="R13" s="52">
        <f t="shared" si="2"/>
        <v>41666</v>
      </c>
      <c r="S13" s="5">
        <f t="shared" si="3"/>
        <v>15.45</v>
      </c>
      <c r="T13" s="5">
        <f t="shared" si="4"/>
        <v>15.3</v>
      </c>
      <c r="U13" s="5">
        <f t="shared" si="5"/>
        <v>15.86</v>
      </c>
      <c r="V13" s="5">
        <f t="shared" si="6"/>
        <v>15.15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511</v>
      </c>
      <c r="D14" s="3" t="s">
        <v>492</v>
      </c>
      <c r="E14" s="3" t="s">
        <v>493</v>
      </c>
      <c r="F14" s="3" t="s">
        <v>492</v>
      </c>
      <c r="G14" s="3" t="s">
        <v>492</v>
      </c>
      <c r="H14" s="52" t="s">
        <v>492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508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512</v>
      </c>
      <c r="D15" s="3" t="s">
        <v>492</v>
      </c>
      <c r="E15" s="3" t="s">
        <v>493</v>
      </c>
      <c r="F15" s="3" t="s">
        <v>492</v>
      </c>
      <c r="G15" s="3" t="s">
        <v>492</v>
      </c>
      <c r="H15" s="52" t="s">
        <v>492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509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331</v>
      </c>
      <c r="D16" s="3" t="s">
        <v>1087</v>
      </c>
      <c r="E16" s="3" t="s">
        <v>1088</v>
      </c>
      <c r="F16" s="3" t="s">
        <v>1089</v>
      </c>
      <c r="G16" s="3" t="s">
        <v>1088</v>
      </c>
      <c r="H16" s="52">
        <v>41666</v>
      </c>
      <c r="J16" s="3">
        <f t="shared" si="7"/>
        <v>4.75</v>
      </c>
      <c r="K16" s="3">
        <f t="shared" si="0"/>
        <v>4.5599999999999996</v>
      </c>
      <c r="L16" s="3">
        <f t="shared" si="0"/>
        <v>4.95</v>
      </c>
      <c r="M16" s="3">
        <f t="shared" si="0"/>
        <v>4.5599999999999996</v>
      </c>
      <c r="P16" s="14" t="s">
        <v>330</v>
      </c>
      <c r="Q16" s="10" t="str">
        <f t="shared" si="1"/>
        <v>BAHEMA      -ON</v>
      </c>
      <c r="R16" s="52">
        <f t="shared" si="2"/>
        <v>41666</v>
      </c>
      <c r="S16" s="5">
        <f t="shared" si="3"/>
        <v>4.75</v>
      </c>
      <c r="T16" s="5">
        <f t="shared" si="4"/>
        <v>4.5599999999999996</v>
      </c>
      <c r="U16" s="5">
        <f t="shared" si="5"/>
        <v>4.95</v>
      </c>
      <c r="V16" s="5">
        <f t="shared" si="6"/>
        <v>4.5599999999999996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273</v>
      </c>
      <c r="D17" s="3" t="s">
        <v>1090</v>
      </c>
      <c r="E17" s="3" t="s">
        <v>1091</v>
      </c>
      <c r="F17" s="3" t="s">
        <v>1092</v>
      </c>
      <c r="G17" s="3" t="s">
        <v>1093</v>
      </c>
      <c r="H17" s="52">
        <v>41666</v>
      </c>
      <c r="J17" s="3">
        <f t="shared" si="7"/>
        <v>23.45</v>
      </c>
      <c r="K17" s="3">
        <f t="shared" si="0"/>
        <v>23.03</v>
      </c>
      <c r="L17" s="3">
        <f t="shared" si="0"/>
        <v>23.57</v>
      </c>
      <c r="M17" s="3">
        <f t="shared" si="0"/>
        <v>22.91</v>
      </c>
      <c r="P17" s="15" t="s">
        <v>25</v>
      </c>
      <c r="Q17" s="10" t="str">
        <f t="shared" si="1"/>
        <v xml:space="preserve">BBSEGURIDADE-ON  </v>
      </c>
      <c r="R17" s="52">
        <f t="shared" si="2"/>
        <v>41666</v>
      </c>
      <c r="S17" s="5">
        <f t="shared" si="3"/>
        <v>23.45</v>
      </c>
      <c r="T17" s="5">
        <f t="shared" si="4"/>
        <v>23.03</v>
      </c>
      <c r="U17" s="5">
        <f t="shared" si="5"/>
        <v>23.57</v>
      </c>
      <c r="V17" s="5">
        <f t="shared" si="6"/>
        <v>22.91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319</v>
      </c>
      <c r="D18" s="3" t="s">
        <v>1094</v>
      </c>
      <c r="E18" s="3" t="s">
        <v>1095</v>
      </c>
      <c r="F18" s="3" t="s">
        <v>1094</v>
      </c>
      <c r="G18" s="3" t="s">
        <v>904</v>
      </c>
      <c r="H18" s="52">
        <v>41666</v>
      </c>
      <c r="J18" s="3">
        <f t="shared" si="7"/>
        <v>17.61</v>
      </c>
      <c r="K18" s="3">
        <f t="shared" si="0"/>
        <v>17.510000000000002</v>
      </c>
      <c r="L18" s="3">
        <f t="shared" si="0"/>
        <v>17.61</v>
      </c>
      <c r="M18" s="3">
        <f t="shared" si="0"/>
        <v>17.47</v>
      </c>
      <c r="P18" s="10" t="s">
        <v>316</v>
      </c>
      <c r="Q18" s="10" t="str">
        <f t="shared" si="1"/>
        <v xml:space="preserve">BRADESPAR   -ON  </v>
      </c>
      <c r="R18" s="52">
        <f t="shared" si="2"/>
        <v>41666</v>
      </c>
      <c r="S18" s="5">
        <f t="shared" si="3"/>
        <v>17.61</v>
      </c>
      <c r="T18" s="5">
        <f t="shared" si="4"/>
        <v>17.510000000000002</v>
      </c>
      <c r="U18" s="5">
        <f t="shared" si="5"/>
        <v>17.61</v>
      </c>
      <c r="V18" s="5">
        <f t="shared" si="6"/>
        <v>17.47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320</v>
      </c>
      <c r="D19" s="3" t="s">
        <v>897</v>
      </c>
      <c r="E19" s="3" t="s">
        <v>1096</v>
      </c>
      <c r="F19" s="3" t="s">
        <v>1097</v>
      </c>
      <c r="G19" s="3" t="s">
        <v>1098</v>
      </c>
      <c r="H19" s="52">
        <v>41666</v>
      </c>
      <c r="J19" s="3">
        <f t="shared" si="7"/>
        <v>21.36</v>
      </c>
      <c r="K19" s="3">
        <f t="shared" si="0"/>
        <v>21.19</v>
      </c>
      <c r="L19" s="3">
        <f t="shared" si="0"/>
        <v>21.45</v>
      </c>
      <c r="M19" s="3">
        <f t="shared" si="0"/>
        <v>20.88</v>
      </c>
      <c r="P19" s="10" t="s">
        <v>317</v>
      </c>
      <c r="Q19" s="10" t="str">
        <f t="shared" si="1"/>
        <v xml:space="preserve">BRADESPAR   -PN  </v>
      </c>
      <c r="R19" s="52">
        <f t="shared" si="2"/>
        <v>41666</v>
      </c>
      <c r="S19" s="5">
        <f t="shared" si="3"/>
        <v>21.36</v>
      </c>
      <c r="T19" s="5">
        <f t="shared" si="4"/>
        <v>21.19</v>
      </c>
      <c r="U19" s="5">
        <f t="shared" si="5"/>
        <v>21.45</v>
      </c>
      <c r="V19" s="5">
        <f t="shared" si="6"/>
        <v>20.88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300</v>
      </c>
      <c r="D20" s="3" t="s">
        <v>898</v>
      </c>
      <c r="E20" s="3" t="s">
        <v>1099</v>
      </c>
      <c r="F20" s="3" t="s">
        <v>1100</v>
      </c>
      <c r="G20" s="3" t="s">
        <v>1099</v>
      </c>
      <c r="H20" s="52">
        <v>41666</v>
      </c>
      <c r="J20" s="3">
        <f t="shared" si="7"/>
        <v>43.42</v>
      </c>
      <c r="K20" s="3">
        <f t="shared" si="0"/>
        <v>43.41</v>
      </c>
      <c r="L20" s="3">
        <f t="shared" si="0"/>
        <v>43.98</v>
      </c>
      <c r="M20" s="3">
        <f t="shared" si="0"/>
        <v>43.41</v>
      </c>
      <c r="P20" s="10" t="s">
        <v>298</v>
      </c>
      <c r="Q20" s="10" t="str">
        <f t="shared" si="1"/>
        <v xml:space="preserve">BRF SA      -ON  </v>
      </c>
      <c r="R20" s="52">
        <f t="shared" si="2"/>
        <v>41666</v>
      </c>
      <c r="S20" s="5">
        <f t="shared" si="3"/>
        <v>43.42</v>
      </c>
      <c r="T20" s="5">
        <f t="shared" si="4"/>
        <v>43.41</v>
      </c>
      <c r="U20" s="5">
        <f t="shared" si="5"/>
        <v>43.98</v>
      </c>
      <c r="V20" s="5">
        <f t="shared" si="6"/>
        <v>43.41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399</v>
      </c>
      <c r="D21" s="3" t="s">
        <v>900</v>
      </c>
      <c r="E21" s="3" t="s">
        <v>1101</v>
      </c>
      <c r="F21" s="3" t="s">
        <v>901</v>
      </c>
      <c r="G21" s="3" t="s">
        <v>1102</v>
      </c>
      <c r="H21" s="52">
        <v>41666</v>
      </c>
      <c r="J21" s="3">
        <f t="shared" si="7"/>
        <v>18.78</v>
      </c>
      <c r="K21" s="3">
        <f t="shared" si="0"/>
        <v>19.09</v>
      </c>
      <c r="L21" s="3">
        <f t="shared" si="0"/>
        <v>19.13</v>
      </c>
      <c r="M21" s="3">
        <f t="shared" si="0"/>
        <v>18.53</v>
      </c>
      <c r="P21" s="14" t="s">
        <v>397</v>
      </c>
      <c r="Q21" s="10" t="str">
        <f t="shared" si="1"/>
        <v xml:space="preserve">BR INSURANCE-ON  </v>
      </c>
      <c r="R21" s="52">
        <f t="shared" si="2"/>
        <v>41666</v>
      </c>
      <c r="S21" s="5">
        <f t="shared" si="3"/>
        <v>18.78</v>
      </c>
      <c r="T21" s="5">
        <f t="shared" si="4"/>
        <v>19.09</v>
      </c>
      <c r="U21" s="5">
        <f t="shared" si="5"/>
        <v>19.13</v>
      </c>
      <c r="V21" s="5">
        <f t="shared" si="6"/>
        <v>18.53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286</v>
      </c>
      <c r="D22" s="3" t="s">
        <v>1103</v>
      </c>
      <c r="E22" s="3" t="s">
        <v>1104</v>
      </c>
      <c r="F22" s="3" t="s">
        <v>1103</v>
      </c>
      <c r="G22" s="3" t="s">
        <v>1104</v>
      </c>
      <c r="H22" s="52">
        <v>41666</v>
      </c>
      <c r="J22" s="3">
        <f t="shared" si="7"/>
        <v>14.4</v>
      </c>
      <c r="K22" s="3">
        <f t="shared" si="0"/>
        <v>14.37</v>
      </c>
      <c r="L22" s="3">
        <f t="shared" si="0"/>
        <v>14.4</v>
      </c>
      <c r="M22" s="3">
        <f t="shared" si="0"/>
        <v>14.37</v>
      </c>
      <c r="P22" s="14" t="s">
        <v>283</v>
      </c>
      <c r="Q22" s="10" t="str">
        <f t="shared" si="1"/>
        <v xml:space="preserve">BRASKEM     -ON  </v>
      </c>
      <c r="R22" s="52">
        <f t="shared" si="2"/>
        <v>41666</v>
      </c>
      <c r="S22" s="5">
        <f t="shared" si="3"/>
        <v>14.4</v>
      </c>
      <c r="T22" s="5">
        <f t="shared" si="4"/>
        <v>14.37</v>
      </c>
      <c r="U22" s="5">
        <f t="shared" si="5"/>
        <v>14.4</v>
      </c>
      <c r="V22" s="5">
        <f t="shared" si="6"/>
        <v>14.37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287</v>
      </c>
      <c r="D23" s="3" t="s">
        <v>1105</v>
      </c>
      <c r="E23" s="3" t="s">
        <v>1106</v>
      </c>
      <c r="F23" s="3" t="s">
        <v>1107</v>
      </c>
      <c r="G23" s="3" t="s">
        <v>1108</v>
      </c>
      <c r="H23" s="52">
        <v>41666</v>
      </c>
      <c r="J23" s="3">
        <f t="shared" si="7"/>
        <v>18.84</v>
      </c>
      <c r="K23" s="3">
        <f t="shared" si="7"/>
        <v>18.63</v>
      </c>
      <c r="L23" s="3">
        <f t="shared" si="7"/>
        <v>19.28</v>
      </c>
      <c r="M23" s="3">
        <f t="shared" si="7"/>
        <v>18.46</v>
      </c>
      <c r="P23" s="14" t="s">
        <v>284</v>
      </c>
      <c r="Q23" s="10" t="str">
        <f t="shared" si="1"/>
        <v xml:space="preserve">BRASKEM     -PNA </v>
      </c>
      <c r="R23" s="52">
        <f t="shared" si="2"/>
        <v>41666</v>
      </c>
      <c r="S23" s="5">
        <f t="shared" si="3"/>
        <v>18.84</v>
      </c>
      <c r="T23" s="5">
        <f t="shared" si="4"/>
        <v>18.63</v>
      </c>
      <c r="U23" s="5">
        <f t="shared" si="5"/>
        <v>19.28</v>
      </c>
      <c r="V23" s="5">
        <f t="shared" si="6"/>
        <v>18.46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288</v>
      </c>
      <c r="D24" s="3" t="s">
        <v>902</v>
      </c>
      <c r="E24" s="3" t="s">
        <v>902</v>
      </c>
      <c r="F24" s="3" t="s">
        <v>902</v>
      </c>
      <c r="G24" s="3" t="s">
        <v>902</v>
      </c>
      <c r="H24" s="52">
        <v>41661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285</v>
      </c>
      <c r="Q24" s="10" t="str">
        <f t="shared" si="1"/>
        <v xml:space="preserve">BRASKEM     -PNB </v>
      </c>
      <c r="R24" s="52">
        <f t="shared" si="2"/>
        <v>41661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375</v>
      </c>
      <c r="D25" s="3" t="s">
        <v>903</v>
      </c>
      <c r="E25" s="3" t="s">
        <v>1109</v>
      </c>
      <c r="F25" s="3" t="s">
        <v>1110</v>
      </c>
      <c r="G25" s="3" t="s">
        <v>1111</v>
      </c>
      <c r="H25" s="52">
        <v>41666</v>
      </c>
      <c r="J25" s="3">
        <f t="shared" si="7"/>
        <v>16.3</v>
      </c>
      <c r="K25" s="3">
        <f t="shared" si="7"/>
        <v>16.34</v>
      </c>
      <c r="L25" s="3">
        <f t="shared" si="7"/>
        <v>16.559999999999999</v>
      </c>
      <c r="M25" s="3">
        <f t="shared" si="7"/>
        <v>16.149999999999999</v>
      </c>
      <c r="P25" s="10" t="s">
        <v>374</v>
      </c>
      <c r="Q25" s="10" t="str">
        <f t="shared" si="1"/>
        <v xml:space="preserve">BR MALLS PAR-ON  </v>
      </c>
      <c r="R25" s="52">
        <f t="shared" si="2"/>
        <v>41666</v>
      </c>
      <c r="S25" s="5">
        <f t="shared" si="3"/>
        <v>16.3</v>
      </c>
      <c r="T25" s="5">
        <f t="shared" si="4"/>
        <v>16.34</v>
      </c>
      <c r="U25" s="5">
        <f t="shared" si="5"/>
        <v>16.559999999999999</v>
      </c>
      <c r="V25" s="5">
        <f t="shared" si="6"/>
        <v>16.149999999999999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377</v>
      </c>
      <c r="D26" s="3" t="s">
        <v>905</v>
      </c>
      <c r="E26" s="3" t="s">
        <v>843</v>
      </c>
      <c r="F26" s="3" t="s">
        <v>904</v>
      </c>
      <c r="G26" s="3" t="s">
        <v>1112</v>
      </c>
      <c r="H26" s="52">
        <v>41666</v>
      </c>
      <c r="J26" s="3">
        <f t="shared" si="7"/>
        <v>17.12</v>
      </c>
      <c r="K26" s="3">
        <f t="shared" si="7"/>
        <v>17.37</v>
      </c>
      <c r="L26" s="3">
        <f t="shared" si="7"/>
        <v>17.47</v>
      </c>
      <c r="M26" s="3">
        <f t="shared" si="7"/>
        <v>17.07</v>
      </c>
      <c r="P26" s="15" t="s">
        <v>376</v>
      </c>
      <c r="Q26" s="10" t="str">
        <f t="shared" si="1"/>
        <v xml:space="preserve">BR PROPERT  -ON  </v>
      </c>
      <c r="R26" s="52">
        <f t="shared" si="2"/>
        <v>41666</v>
      </c>
      <c r="S26" s="5">
        <f t="shared" si="3"/>
        <v>17.12</v>
      </c>
      <c r="T26" s="5">
        <f t="shared" si="4"/>
        <v>17.37</v>
      </c>
      <c r="U26" s="5">
        <f t="shared" si="5"/>
        <v>17.47</v>
      </c>
      <c r="V26" s="5">
        <f t="shared" si="6"/>
        <v>17.07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405</v>
      </c>
      <c r="D27" s="3" t="s">
        <v>881</v>
      </c>
      <c r="E27" s="3" t="s">
        <v>1113</v>
      </c>
      <c r="F27" s="3" t="s">
        <v>1114</v>
      </c>
      <c r="G27" s="3" t="s">
        <v>881</v>
      </c>
      <c r="H27" s="52">
        <v>41666</v>
      </c>
      <c r="J27" s="3">
        <f t="shared" si="7"/>
        <v>9.6999999999999993</v>
      </c>
      <c r="K27" s="3">
        <f t="shared" si="7"/>
        <v>9.9</v>
      </c>
      <c r="L27" s="3">
        <f t="shared" si="7"/>
        <v>9.99</v>
      </c>
      <c r="M27" s="3">
        <f t="shared" si="7"/>
        <v>9.6999999999999993</v>
      </c>
      <c r="P27" s="15" t="s">
        <v>403</v>
      </c>
      <c r="Q27" s="10" t="str">
        <f t="shared" si="1"/>
        <v xml:space="preserve">BMFBOVESPA  -ON  </v>
      </c>
      <c r="R27" s="52">
        <f t="shared" si="2"/>
        <v>41666</v>
      </c>
      <c r="S27" s="5">
        <f t="shared" si="3"/>
        <v>9.6999999999999993</v>
      </c>
      <c r="T27" s="5">
        <f t="shared" si="4"/>
        <v>9.9</v>
      </c>
      <c r="U27" s="5">
        <f t="shared" si="5"/>
        <v>9.99</v>
      </c>
      <c r="V27" s="5">
        <f t="shared" si="6"/>
        <v>9.6999999999999993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514</v>
      </c>
      <c r="D28" s="3" t="s">
        <v>516</v>
      </c>
      <c r="E28" s="3" t="s">
        <v>516</v>
      </c>
      <c r="F28" s="3" t="s">
        <v>516</v>
      </c>
      <c r="G28" s="3" t="s">
        <v>516</v>
      </c>
      <c r="H28" s="52">
        <v>41659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513</v>
      </c>
      <c r="Q28" s="10" t="str">
        <f t="shared" si="1"/>
        <v>AMPLA ENERG -ON *</v>
      </c>
      <c r="R28" s="52">
        <f t="shared" si="2"/>
        <v>41659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379</v>
      </c>
      <c r="D29" s="3" t="s">
        <v>906</v>
      </c>
      <c r="E29" s="3" t="s">
        <v>823</v>
      </c>
      <c r="F29" s="3" t="s">
        <v>906</v>
      </c>
      <c r="G29" s="3" t="s">
        <v>823</v>
      </c>
      <c r="H29" s="52">
        <v>41662</v>
      </c>
      <c r="J29" s="3">
        <f>IF($A29="",0,VALUE(CONCATENATE(LEFT(D29,LEN(D29)-3),",",RIGHT(D29,2))))</f>
        <v>20.45</v>
      </c>
      <c r="K29" s="3">
        <f t="shared" si="7"/>
        <v>20.3</v>
      </c>
      <c r="L29" s="3">
        <f t="shared" si="7"/>
        <v>20.45</v>
      </c>
      <c r="M29" s="3">
        <f t="shared" si="7"/>
        <v>20.3</v>
      </c>
      <c r="P29" s="15" t="s">
        <v>378</v>
      </c>
      <c r="Q29" s="10" t="str">
        <f t="shared" si="1"/>
        <v xml:space="preserve">CYRE COM-CCP-ON  </v>
      </c>
      <c r="R29" s="52">
        <f t="shared" si="2"/>
        <v>41662</v>
      </c>
      <c r="S29" s="5">
        <f t="shared" si="3"/>
        <v>20.45</v>
      </c>
      <c r="T29" s="5">
        <f t="shared" si="4"/>
        <v>20.3</v>
      </c>
      <c r="U29" s="5">
        <f t="shared" si="5"/>
        <v>20.45</v>
      </c>
      <c r="V29" s="5">
        <f t="shared" si="6"/>
        <v>20.3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711</v>
      </c>
      <c r="D30" s="3" t="s">
        <v>492</v>
      </c>
      <c r="E30" s="3" t="s">
        <v>493</v>
      </c>
      <c r="F30" s="3" t="s">
        <v>492</v>
      </c>
      <c r="G30" s="3" t="s">
        <v>492</v>
      </c>
      <c r="H30" s="52" t="s">
        <v>492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539</v>
      </c>
      <c r="Q30" s="10" t="str">
        <f t="shared" si="1"/>
        <v>COELBA      -PNB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529</v>
      </c>
      <c r="D31" s="3" t="s">
        <v>907</v>
      </c>
      <c r="E31" s="3" t="s">
        <v>515</v>
      </c>
      <c r="F31" s="3" t="s">
        <v>515</v>
      </c>
      <c r="G31" s="3" t="s">
        <v>907</v>
      </c>
      <c r="H31" s="52">
        <v>41663</v>
      </c>
      <c r="J31" s="3">
        <f t="shared" si="7"/>
        <v>1.18</v>
      </c>
      <c r="K31" s="3">
        <f t="shared" si="7"/>
        <v>1.25</v>
      </c>
      <c r="L31" s="3">
        <f t="shared" si="7"/>
        <v>1.25</v>
      </c>
      <c r="M31" s="3">
        <f t="shared" si="7"/>
        <v>1.18</v>
      </c>
      <c r="P31" s="14" t="s">
        <v>524</v>
      </c>
      <c r="Q31" s="10" t="str">
        <f t="shared" si="1"/>
        <v>CELPA       -ON</v>
      </c>
      <c r="R31" s="52">
        <f t="shared" si="2"/>
        <v>41663</v>
      </c>
      <c r="S31" s="5">
        <f t="shared" si="3"/>
        <v>1.18</v>
      </c>
      <c r="T31" s="5">
        <f t="shared" si="4"/>
        <v>1.25</v>
      </c>
      <c r="U31" s="5">
        <f t="shared" si="5"/>
        <v>1.25</v>
      </c>
      <c r="V31" s="5">
        <f t="shared" si="6"/>
        <v>1.18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530</v>
      </c>
      <c r="D32" s="3" t="s">
        <v>531</v>
      </c>
      <c r="E32" s="3" t="s">
        <v>531</v>
      </c>
      <c r="F32" s="3" t="s">
        <v>531</v>
      </c>
      <c r="G32" s="3" t="s">
        <v>531</v>
      </c>
      <c r="H32" s="52">
        <v>41653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525</v>
      </c>
      <c r="Q32" s="10" t="str">
        <f t="shared" si="1"/>
        <v>CELPA       -PNA</v>
      </c>
      <c r="R32" s="52">
        <f t="shared" si="2"/>
        <v>41653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532</v>
      </c>
      <c r="D33" s="3" t="s">
        <v>533</v>
      </c>
      <c r="E33" s="3" t="s">
        <v>533</v>
      </c>
      <c r="F33" s="3" t="s">
        <v>533</v>
      </c>
      <c r="G33" s="3" t="s">
        <v>533</v>
      </c>
      <c r="H33" s="52">
        <v>41606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526</v>
      </c>
      <c r="Q33" s="10" t="str">
        <f t="shared" si="1"/>
        <v>CELPA       -PNB</v>
      </c>
      <c r="R33" s="52">
        <f t="shared" si="2"/>
        <v>41606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534</v>
      </c>
      <c r="D34" s="3" t="s">
        <v>484</v>
      </c>
      <c r="E34" s="3" t="s">
        <v>484</v>
      </c>
      <c r="F34" s="3" t="s">
        <v>484</v>
      </c>
      <c r="G34" s="3" t="s">
        <v>484</v>
      </c>
      <c r="H34" s="52">
        <v>41662</v>
      </c>
      <c r="J34" s="3">
        <f t="shared" si="7"/>
        <v>0.49</v>
      </c>
      <c r="K34" s="3">
        <f t="shared" si="7"/>
        <v>0.49</v>
      </c>
      <c r="L34" s="3">
        <f t="shared" si="7"/>
        <v>0.49</v>
      </c>
      <c r="M34" s="3">
        <f t="shared" si="7"/>
        <v>0.49</v>
      </c>
      <c r="P34" s="15" t="s">
        <v>527</v>
      </c>
      <c r="Q34" s="10" t="str">
        <f t="shared" si="1"/>
        <v>CELPA       -PNC</v>
      </c>
      <c r="R34" s="52">
        <f t="shared" si="2"/>
        <v>41662</v>
      </c>
      <c r="S34" s="5">
        <f t="shared" si="3"/>
        <v>0.49</v>
      </c>
      <c r="T34" s="5">
        <f t="shared" si="4"/>
        <v>0.49</v>
      </c>
      <c r="U34" s="5">
        <f t="shared" si="5"/>
        <v>0.49</v>
      </c>
      <c r="V34" s="5">
        <f t="shared" si="6"/>
        <v>0.49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409</v>
      </c>
      <c r="D35" s="3" t="s">
        <v>1115</v>
      </c>
      <c r="E35" s="3" t="s">
        <v>1116</v>
      </c>
      <c r="F35" s="3" t="s">
        <v>1117</v>
      </c>
      <c r="G35" s="3" t="s">
        <v>1118</v>
      </c>
      <c r="H35" s="52">
        <v>41666</v>
      </c>
      <c r="J35" s="3">
        <f t="shared" si="7"/>
        <v>64.02</v>
      </c>
      <c r="K35" s="3">
        <f t="shared" si="7"/>
        <v>63</v>
      </c>
      <c r="L35" s="3">
        <f t="shared" si="7"/>
        <v>64.569999999999993</v>
      </c>
      <c r="M35" s="3">
        <f t="shared" si="7"/>
        <v>62.6</v>
      </c>
      <c r="P35" s="44" t="s">
        <v>407</v>
      </c>
      <c r="Q35" s="10" t="str">
        <f t="shared" si="1"/>
        <v xml:space="preserve">CIELO       -ON  </v>
      </c>
      <c r="R35" s="52">
        <f t="shared" si="2"/>
        <v>41666</v>
      </c>
      <c r="S35" s="5">
        <f t="shared" si="3"/>
        <v>64.02</v>
      </c>
      <c r="T35" s="5">
        <f t="shared" si="4"/>
        <v>63</v>
      </c>
      <c r="U35" s="5">
        <f t="shared" si="5"/>
        <v>64.569999999999993</v>
      </c>
      <c r="V35" s="5">
        <f t="shared" si="6"/>
        <v>62.6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712</v>
      </c>
      <c r="D36" s="3" t="s">
        <v>296</v>
      </c>
      <c r="E36" s="3" t="s">
        <v>296</v>
      </c>
      <c r="F36" s="3" t="s">
        <v>296</v>
      </c>
      <c r="G36" s="3" t="s">
        <v>296</v>
      </c>
      <c r="H36" s="52">
        <v>41605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294</v>
      </c>
      <c r="Q36" s="10" t="str">
        <f t="shared" si="1"/>
        <v>CACIQUE     -ON</v>
      </c>
      <c r="R36" s="52">
        <f t="shared" si="2"/>
        <v>41605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713</v>
      </c>
      <c r="D37" s="3" t="s">
        <v>822</v>
      </c>
      <c r="E37" s="3" t="s">
        <v>822</v>
      </c>
      <c r="F37" s="3" t="s">
        <v>822</v>
      </c>
      <c r="G37" s="3" t="s">
        <v>822</v>
      </c>
      <c r="H37" s="52">
        <v>41663</v>
      </c>
      <c r="J37" s="3">
        <f t="shared" si="7"/>
        <v>12.6</v>
      </c>
      <c r="K37" s="3">
        <f t="shared" si="7"/>
        <v>12.6</v>
      </c>
      <c r="L37" s="3">
        <f t="shared" si="7"/>
        <v>12.6</v>
      </c>
      <c r="M37" s="3">
        <f t="shared" si="7"/>
        <v>12.6</v>
      </c>
      <c r="P37" s="15" t="s">
        <v>295</v>
      </c>
      <c r="Q37" s="10" t="str">
        <f t="shared" si="1"/>
        <v>CACIQUE     -PN</v>
      </c>
      <c r="R37" s="52">
        <f t="shared" si="2"/>
        <v>41663</v>
      </c>
      <c r="S37" s="5">
        <f t="shared" si="3"/>
        <v>12.6</v>
      </c>
      <c r="T37" s="5">
        <f t="shared" si="4"/>
        <v>12.6</v>
      </c>
      <c r="U37" s="5">
        <f t="shared" si="5"/>
        <v>12.6</v>
      </c>
      <c r="V37" s="5">
        <f t="shared" si="6"/>
        <v>12.6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523</v>
      </c>
      <c r="D38" s="3" t="s">
        <v>908</v>
      </c>
      <c r="E38" s="3" t="s">
        <v>908</v>
      </c>
      <c r="F38" s="3" t="s">
        <v>908</v>
      </c>
      <c r="G38" s="3" t="s">
        <v>908</v>
      </c>
      <c r="H38" s="52">
        <v>41662</v>
      </c>
      <c r="J38" s="3">
        <f t="shared" si="7"/>
        <v>38.44</v>
      </c>
      <c r="K38" s="3">
        <f t="shared" si="7"/>
        <v>38.44</v>
      </c>
      <c r="L38" s="3">
        <f t="shared" si="7"/>
        <v>38.44</v>
      </c>
      <c r="M38" s="3">
        <f t="shared" si="7"/>
        <v>38.44</v>
      </c>
      <c r="P38" s="15" t="s">
        <v>522</v>
      </c>
      <c r="Q38" s="10" t="str">
        <f t="shared" si="1"/>
        <v xml:space="preserve">CELESC      -ON  </v>
      </c>
      <c r="R38" s="52">
        <f t="shared" si="2"/>
        <v>41662</v>
      </c>
      <c r="S38" s="5">
        <f t="shared" si="3"/>
        <v>38.44</v>
      </c>
      <c r="T38" s="5">
        <f t="shared" si="4"/>
        <v>38.44</v>
      </c>
      <c r="U38" s="5">
        <f t="shared" si="5"/>
        <v>38.44</v>
      </c>
      <c r="V38" s="5">
        <f t="shared" si="6"/>
        <v>38.44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396</v>
      </c>
      <c r="D39" s="3" t="s">
        <v>909</v>
      </c>
      <c r="E39" s="3" t="s">
        <v>909</v>
      </c>
      <c r="F39" s="3" t="s">
        <v>909</v>
      </c>
      <c r="G39" s="3" t="s">
        <v>909</v>
      </c>
      <c r="H39" s="52">
        <v>41666</v>
      </c>
      <c r="J39" s="3">
        <f t="shared" si="7"/>
        <v>3.89</v>
      </c>
      <c r="K39" s="3">
        <f t="shared" si="7"/>
        <v>3.89</v>
      </c>
      <c r="L39" s="3">
        <f t="shared" si="7"/>
        <v>3.89</v>
      </c>
      <c r="M39" s="3">
        <f t="shared" si="7"/>
        <v>3.89</v>
      </c>
      <c r="P39" s="10" t="s">
        <v>394</v>
      </c>
      <c r="Q39" s="10" t="str">
        <f t="shared" ref="Q39:Q70" si="8">IF(A39="","",C39)</f>
        <v>ALFA FINANC -ON</v>
      </c>
      <c r="R39" s="52">
        <f t="shared" ref="R39:R70" si="9">IF(A39="","",H39)</f>
        <v>41666</v>
      </c>
      <c r="S39" s="5">
        <f t="shared" ref="S39:S70" si="10">J39</f>
        <v>3.89</v>
      </c>
      <c r="T39" s="5">
        <f t="shared" ref="T39:T70" si="11">K39</f>
        <v>3.89</v>
      </c>
      <c r="U39" s="5">
        <f t="shared" ref="U39:U70" si="12">L39</f>
        <v>3.89</v>
      </c>
      <c r="V39" s="5">
        <f t="shared" ref="V39:V70" si="13">M39</f>
        <v>3.89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910</v>
      </c>
      <c r="D40" s="3" t="s">
        <v>1119</v>
      </c>
      <c r="E40" s="3" t="s">
        <v>1119</v>
      </c>
      <c r="F40" s="3" t="s">
        <v>1119</v>
      </c>
      <c r="G40" s="3" t="s">
        <v>1119</v>
      </c>
      <c r="H40" s="52">
        <v>41666</v>
      </c>
      <c r="J40" s="3">
        <f t="shared" si="7"/>
        <v>3.84</v>
      </c>
      <c r="K40" s="3">
        <f t="shared" si="7"/>
        <v>3.84</v>
      </c>
      <c r="L40" s="3">
        <f t="shared" si="7"/>
        <v>3.84</v>
      </c>
      <c r="M40" s="3">
        <f t="shared" si="7"/>
        <v>3.84</v>
      </c>
      <c r="P40" s="14" t="s">
        <v>395</v>
      </c>
      <c r="Q40" s="10" t="str">
        <f t="shared" si="8"/>
        <v xml:space="preserve">ALFA FINANC -PN  </v>
      </c>
      <c r="R40" s="52">
        <f t="shared" si="9"/>
        <v>41666</v>
      </c>
      <c r="S40" s="5">
        <f t="shared" si="10"/>
        <v>3.84</v>
      </c>
      <c r="T40" s="5">
        <f t="shared" si="11"/>
        <v>3.84</v>
      </c>
      <c r="U40" s="5">
        <f t="shared" si="12"/>
        <v>3.84</v>
      </c>
      <c r="V40" s="5">
        <f t="shared" si="13"/>
        <v>3.84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270</v>
      </c>
      <c r="D41" s="3" t="s">
        <v>271</v>
      </c>
      <c r="E41" s="3" t="s">
        <v>271</v>
      </c>
      <c r="F41" s="3" t="s">
        <v>271</v>
      </c>
      <c r="G41" s="3" t="s">
        <v>271</v>
      </c>
      <c r="H41" s="52">
        <v>41619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268</v>
      </c>
      <c r="Q41" s="10" t="str">
        <f t="shared" si="8"/>
        <v>SEG AL BAHIA-ON</v>
      </c>
      <c r="R41" s="52">
        <f t="shared" si="9"/>
        <v>41619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272</v>
      </c>
      <c r="D42" s="3" t="s">
        <v>271</v>
      </c>
      <c r="E42" s="3" t="s">
        <v>271</v>
      </c>
      <c r="F42" s="3" t="s">
        <v>271</v>
      </c>
      <c r="G42" s="3" t="s">
        <v>271</v>
      </c>
      <c r="H42" s="52">
        <v>41656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269</v>
      </c>
      <c r="Q42" s="10" t="str">
        <f t="shared" si="8"/>
        <v>SEG AL BAHIA-PN</v>
      </c>
      <c r="R42" s="52">
        <f t="shared" si="9"/>
        <v>41656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291</v>
      </c>
      <c r="D43" s="3" t="s">
        <v>911</v>
      </c>
      <c r="E43" s="3" t="s">
        <v>1120</v>
      </c>
      <c r="F43" s="3" t="s">
        <v>1121</v>
      </c>
      <c r="G43" s="3" t="s">
        <v>911</v>
      </c>
      <c r="H43" s="52">
        <v>41666</v>
      </c>
      <c r="J43" s="3">
        <f t="shared" si="7"/>
        <v>36.200000000000003</v>
      </c>
      <c r="K43" s="3">
        <f t="shared" si="7"/>
        <v>36.619999999999997</v>
      </c>
      <c r="L43" s="3">
        <f t="shared" si="7"/>
        <v>36.9</v>
      </c>
      <c r="M43" s="3">
        <f t="shared" si="7"/>
        <v>36.200000000000003</v>
      </c>
      <c r="P43" s="14" t="s">
        <v>290</v>
      </c>
      <c r="Q43" s="10" t="str">
        <f t="shared" si="8"/>
        <v xml:space="preserve">COSAN       -ON  </v>
      </c>
      <c r="R43" s="52">
        <f t="shared" si="9"/>
        <v>41666</v>
      </c>
      <c r="S43" s="5">
        <f t="shared" si="10"/>
        <v>36.200000000000003</v>
      </c>
      <c r="T43" s="5">
        <f t="shared" si="11"/>
        <v>36.619999999999997</v>
      </c>
      <c r="U43" s="5">
        <f t="shared" si="12"/>
        <v>36.9</v>
      </c>
      <c r="V43" s="5">
        <f t="shared" si="13"/>
        <v>36.200000000000003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408</v>
      </c>
      <c r="D44" s="3" t="s">
        <v>1122</v>
      </c>
      <c r="E44" s="3" t="s">
        <v>1123</v>
      </c>
      <c r="F44" s="3" t="s">
        <v>912</v>
      </c>
      <c r="G44" s="3" t="s">
        <v>1124</v>
      </c>
      <c r="H44" s="52">
        <v>41666</v>
      </c>
      <c r="J44" s="3">
        <f t="shared" si="7"/>
        <v>22.89</v>
      </c>
      <c r="K44" s="3">
        <f t="shared" si="7"/>
        <v>22.8</v>
      </c>
      <c r="L44" s="3">
        <f t="shared" si="7"/>
        <v>22.96</v>
      </c>
      <c r="M44" s="3">
        <f t="shared" si="7"/>
        <v>22.63</v>
      </c>
      <c r="P44" s="14" t="s">
        <v>406</v>
      </c>
      <c r="Q44" s="10" t="str">
        <f t="shared" si="8"/>
        <v xml:space="preserve">CETIP       -ON  </v>
      </c>
      <c r="R44" s="52">
        <f t="shared" si="9"/>
        <v>41666</v>
      </c>
      <c r="S44" s="5">
        <f t="shared" si="10"/>
        <v>22.89</v>
      </c>
      <c r="T44" s="5">
        <f t="shared" si="11"/>
        <v>22.8</v>
      </c>
      <c r="U44" s="5">
        <f t="shared" si="12"/>
        <v>22.96</v>
      </c>
      <c r="V44" s="5">
        <f t="shared" si="13"/>
        <v>22.63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346</v>
      </c>
      <c r="D45" s="3" t="s">
        <v>1125</v>
      </c>
      <c r="E45" s="3" t="s">
        <v>1022</v>
      </c>
      <c r="F45" s="3" t="s">
        <v>778</v>
      </c>
      <c r="G45" s="3" t="s">
        <v>1126</v>
      </c>
      <c r="H45" s="52">
        <v>41666</v>
      </c>
      <c r="J45" s="3">
        <f t="shared" si="7"/>
        <v>12.38</v>
      </c>
      <c r="K45" s="3">
        <f t="shared" si="7"/>
        <v>12.4</v>
      </c>
      <c r="L45" s="3">
        <f t="shared" si="7"/>
        <v>12.45</v>
      </c>
      <c r="M45" s="3">
        <f t="shared" si="7"/>
        <v>12.23</v>
      </c>
      <c r="P45" s="14" t="s">
        <v>344</v>
      </c>
      <c r="Q45" s="10" t="str">
        <f t="shared" si="8"/>
        <v xml:space="preserve">DURATEX     -ON  </v>
      </c>
      <c r="R45" s="52">
        <f t="shared" si="9"/>
        <v>41666</v>
      </c>
      <c r="S45" s="5">
        <f t="shared" si="10"/>
        <v>12.38</v>
      </c>
      <c r="T45" s="5">
        <f t="shared" si="11"/>
        <v>12.4</v>
      </c>
      <c r="U45" s="5">
        <f t="shared" si="12"/>
        <v>12.45</v>
      </c>
      <c r="V45" s="5">
        <f t="shared" si="13"/>
        <v>12.23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413</v>
      </c>
      <c r="D46" s="3" t="s">
        <v>110</v>
      </c>
      <c r="E46" s="3" t="s">
        <v>915</v>
      </c>
      <c r="F46" s="3" t="s">
        <v>110</v>
      </c>
      <c r="G46" s="3" t="s">
        <v>1127</v>
      </c>
      <c r="H46" s="52">
        <v>41666</v>
      </c>
      <c r="J46" s="3">
        <f t="shared" si="7"/>
        <v>9</v>
      </c>
      <c r="K46" s="3">
        <f t="shared" si="7"/>
        <v>8.4</v>
      </c>
      <c r="L46" s="3">
        <f t="shared" si="7"/>
        <v>9</v>
      </c>
      <c r="M46" s="3">
        <f t="shared" si="7"/>
        <v>8.2799999999999994</v>
      </c>
      <c r="P46" s="14" t="s">
        <v>412</v>
      </c>
      <c r="Q46" s="10" t="str">
        <f t="shared" si="8"/>
        <v>EMBRATEL PAR-PN *</v>
      </c>
      <c r="R46" s="47">
        <f t="shared" si="9"/>
        <v>41666</v>
      </c>
      <c r="S46" s="6">
        <f t="shared" si="10"/>
        <v>9</v>
      </c>
      <c r="T46" s="6">
        <f t="shared" si="11"/>
        <v>8.4</v>
      </c>
      <c r="U46" s="6">
        <f t="shared" si="12"/>
        <v>9</v>
      </c>
      <c r="V46" s="6">
        <f t="shared" si="13"/>
        <v>8.2799999999999994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439</v>
      </c>
      <c r="D47" s="3" t="s">
        <v>282</v>
      </c>
      <c r="E47" s="3" t="s">
        <v>282</v>
      </c>
      <c r="F47" s="3" t="s">
        <v>282</v>
      </c>
      <c r="G47" s="3" t="s">
        <v>282</v>
      </c>
      <c r="H47" s="52">
        <v>41617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280</v>
      </c>
      <c r="Q47" s="10" t="str">
        <f t="shared" si="8"/>
        <v>ELEKEIROZ   -ON</v>
      </c>
      <c r="R47" s="52">
        <f t="shared" si="9"/>
        <v>41617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440</v>
      </c>
      <c r="D48" s="3" t="s">
        <v>367</v>
      </c>
      <c r="E48" s="3" t="s">
        <v>367</v>
      </c>
      <c r="F48" s="3" t="s">
        <v>367</v>
      </c>
      <c r="G48" s="3" t="s">
        <v>367</v>
      </c>
      <c r="H48" s="52">
        <v>41663</v>
      </c>
      <c r="J48" s="3">
        <f t="shared" si="7"/>
        <v>9.5</v>
      </c>
      <c r="K48" s="3">
        <f t="shared" si="7"/>
        <v>9.5</v>
      </c>
      <c r="L48" s="3">
        <f t="shared" si="7"/>
        <v>9.5</v>
      </c>
      <c r="M48" s="3">
        <f t="shared" si="7"/>
        <v>9.5</v>
      </c>
      <c r="P48" s="14" t="s">
        <v>281</v>
      </c>
      <c r="Q48" s="10" t="str">
        <f t="shared" si="8"/>
        <v>ELEKEIROZ   -PN</v>
      </c>
      <c r="R48" s="52">
        <f t="shared" si="9"/>
        <v>41663</v>
      </c>
      <c r="S48" s="5">
        <f t="shared" si="10"/>
        <v>9.5</v>
      </c>
      <c r="T48" s="5">
        <f t="shared" si="11"/>
        <v>9.5</v>
      </c>
      <c r="U48" s="5">
        <f t="shared" si="12"/>
        <v>9.5</v>
      </c>
      <c r="V48" s="5">
        <f t="shared" si="13"/>
        <v>9.5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518</v>
      </c>
      <c r="D49" s="3" t="s">
        <v>519</v>
      </c>
      <c r="E49" s="3" t="s">
        <v>519</v>
      </c>
      <c r="F49" s="3" t="s">
        <v>519</v>
      </c>
      <c r="G49" s="3" t="s">
        <v>519</v>
      </c>
      <c r="H49" s="52">
        <v>41556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517</v>
      </c>
      <c r="Q49" s="10" t="str">
        <f t="shared" si="8"/>
        <v xml:space="preserve">ELETROBRAS  -PNA </v>
      </c>
      <c r="R49" s="52">
        <f t="shared" si="9"/>
        <v>41556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366</v>
      </c>
      <c r="D50" s="3" t="s">
        <v>1128</v>
      </c>
      <c r="E50" s="3" t="s">
        <v>1129</v>
      </c>
      <c r="F50" s="3" t="s">
        <v>919</v>
      </c>
      <c r="G50" s="3" t="s">
        <v>1130</v>
      </c>
      <c r="H50" s="52">
        <v>41666</v>
      </c>
      <c r="J50" s="3">
        <f t="shared" si="7"/>
        <v>8.2200000000000006</v>
      </c>
      <c r="K50" s="3">
        <f t="shared" si="7"/>
        <v>8.1</v>
      </c>
      <c r="L50" s="3">
        <f t="shared" si="7"/>
        <v>8.25</v>
      </c>
      <c r="M50" s="3">
        <f t="shared" si="7"/>
        <v>8.06</v>
      </c>
      <c r="P50" s="15" t="s">
        <v>364</v>
      </c>
      <c r="Q50" s="10" t="str">
        <f t="shared" si="8"/>
        <v xml:space="preserve">ETERNIT     -ON  </v>
      </c>
      <c r="R50" s="47">
        <f t="shared" si="9"/>
        <v>41666</v>
      </c>
      <c r="S50" s="6">
        <f t="shared" si="10"/>
        <v>8.2200000000000006</v>
      </c>
      <c r="T50" s="6">
        <f t="shared" si="11"/>
        <v>8.1</v>
      </c>
      <c r="U50" s="6">
        <f t="shared" si="12"/>
        <v>8.25</v>
      </c>
      <c r="V50" s="6">
        <f t="shared" si="13"/>
        <v>8.06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348</v>
      </c>
      <c r="D51" s="3" t="s">
        <v>916</v>
      </c>
      <c r="E51" s="3" t="s">
        <v>1131</v>
      </c>
      <c r="F51" s="3" t="s">
        <v>916</v>
      </c>
      <c r="G51" s="3" t="s">
        <v>1132</v>
      </c>
      <c r="H51" s="52">
        <v>41666</v>
      </c>
      <c r="J51" s="3">
        <f t="shared" si="7"/>
        <v>6.18</v>
      </c>
      <c r="K51" s="3">
        <f t="shared" si="7"/>
        <v>6.13</v>
      </c>
      <c r="L51" s="3">
        <f t="shared" si="7"/>
        <v>6.18</v>
      </c>
      <c r="M51" s="3">
        <f t="shared" si="7"/>
        <v>6.08</v>
      </c>
      <c r="P51" s="14" t="s">
        <v>347</v>
      </c>
      <c r="Q51" s="10" t="str">
        <f t="shared" si="8"/>
        <v xml:space="preserve">EUCATEX     -PN  </v>
      </c>
      <c r="R51" s="52">
        <f t="shared" si="9"/>
        <v>41666</v>
      </c>
      <c r="S51" s="5">
        <f t="shared" si="10"/>
        <v>6.18</v>
      </c>
      <c r="T51" s="5">
        <f t="shared" si="11"/>
        <v>6.13</v>
      </c>
      <c r="U51" s="5">
        <f t="shared" si="12"/>
        <v>6.18</v>
      </c>
      <c r="V51" s="5">
        <f t="shared" si="13"/>
        <v>6.08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536</v>
      </c>
      <c r="D52" s="3" t="s">
        <v>447</v>
      </c>
      <c r="E52" s="3" t="s">
        <v>447</v>
      </c>
      <c r="F52" s="3" t="s">
        <v>447</v>
      </c>
      <c r="G52" s="3" t="s">
        <v>447</v>
      </c>
      <c r="H52" s="52">
        <v>41548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535</v>
      </c>
      <c r="Q52" s="10" t="str">
        <f t="shared" si="8"/>
        <v>CELGPAR     -ON</v>
      </c>
      <c r="R52" s="52">
        <f t="shared" si="9"/>
        <v>41548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326</v>
      </c>
      <c r="D53" s="3" t="s">
        <v>917</v>
      </c>
      <c r="E53" s="3" t="s">
        <v>918</v>
      </c>
      <c r="F53" s="3" t="s">
        <v>918</v>
      </c>
      <c r="G53" s="3" t="s">
        <v>917</v>
      </c>
      <c r="H53" s="52">
        <v>41661</v>
      </c>
      <c r="J53" s="3">
        <f t="shared" si="7"/>
        <v>17.18</v>
      </c>
      <c r="K53" s="3">
        <f t="shared" si="7"/>
        <v>17.55</v>
      </c>
      <c r="L53" s="3">
        <f t="shared" si="7"/>
        <v>17.55</v>
      </c>
      <c r="M53" s="3">
        <f t="shared" si="7"/>
        <v>17.18</v>
      </c>
      <c r="P53" s="14" t="s">
        <v>325</v>
      </c>
      <c r="Q53" s="10" t="str">
        <f t="shared" si="8"/>
        <v>HABITASUL   -PNA</v>
      </c>
      <c r="R53" s="52">
        <f t="shared" si="9"/>
        <v>41661</v>
      </c>
      <c r="S53" s="5">
        <f t="shared" si="10"/>
        <v>17.18</v>
      </c>
      <c r="T53" s="5">
        <f t="shared" si="11"/>
        <v>17.55</v>
      </c>
      <c r="U53" s="5">
        <f t="shared" si="12"/>
        <v>17.55</v>
      </c>
      <c r="V53" s="5">
        <f t="shared" si="13"/>
        <v>17.18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381</v>
      </c>
      <c r="D54" s="3" t="s">
        <v>1133</v>
      </c>
      <c r="E54" s="73" t="s">
        <v>1134</v>
      </c>
      <c r="F54" s="73" t="s">
        <v>1135</v>
      </c>
      <c r="G54" s="73" t="s">
        <v>1136</v>
      </c>
      <c r="H54" s="52">
        <v>41666</v>
      </c>
      <c r="J54" s="3">
        <f t="shared" si="7"/>
        <v>20.99</v>
      </c>
      <c r="K54" s="3">
        <f t="shared" si="7"/>
        <v>20.94</v>
      </c>
      <c r="L54" s="3">
        <f t="shared" si="7"/>
        <v>21.33</v>
      </c>
      <c r="M54" s="3">
        <f t="shared" si="7"/>
        <v>20.71</v>
      </c>
      <c r="P54" s="14" t="s">
        <v>380</v>
      </c>
      <c r="Q54" s="10" t="str">
        <f t="shared" si="8"/>
        <v xml:space="preserve">IGUATEMI    -ON  </v>
      </c>
      <c r="R54" s="52">
        <f t="shared" si="9"/>
        <v>41666</v>
      </c>
      <c r="S54" s="5">
        <f t="shared" si="10"/>
        <v>20.99</v>
      </c>
      <c r="T54" s="5">
        <f t="shared" si="11"/>
        <v>20.94</v>
      </c>
      <c r="U54" s="5">
        <f t="shared" si="12"/>
        <v>21.33</v>
      </c>
      <c r="V54" s="5">
        <f t="shared" si="13"/>
        <v>20.71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302</v>
      </c>
      <c r="D55" s="3" t="s">
        <v>919</v>
      </c>
      <c r="E55" s="3" t="s">
        <v>886</v>
      </c>
      <c r="F55" s="3" t="s">
        <v>886</v>
      </c>
      <c r="G55" s="3" t="s">
        <v>1137</v>
      </c>
      <c r="H55" s="52">
        <v>41666</v>
      </c>
      <c r="J55" s="3">
        <f t="shared" si="7"/>
        <v>8.25</v>
      </c>
      <c r="K55" s="3">
        <f t="shared" si="7"/>
        <v>8.42</v>
      </c>
      <c r="L55" s="3">
        <f t="shared" si="7"/>
        <v>8.42</v>
      </c>
      <c r="M55" s="3">
        <f t="shared" si="7"/>
        <v>8.18</v>
      </c>
      <c r="P55" s="44" t="s">
        <v>301</v>
      </c>
      <c r="Q55" s="10" t="str">
        <f t="shared" si="8"/>
        <v xml:space="preserve">JBS         -ON  </v>
      </c>
      <c r="R55" s="52">
        <f t="shared" si="9"/>
        <v>41666</v>
      </c>
      <c r="S55" s="5">
        <f t="shared" si="10"/>
        <v>8.25</v>
      </c>
      <c r="T55" s="5">
        <f t="shared" si="11"/>
        <v>8.42</v>
      </c>
      <c r="U55" s="5">
        <f t="shared" si="12"/>
        <v>8.42</v>
      </c>
      <c r="V55" s="5">
        <f t="shared" si="13"/>
        <v>8.18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276</v>
      </c>
      <c r="D56" s="3" t="s">
        <v>552</v>
      </c>
      <c r="E56" s="3" t="s">
        <v>552</v>
      </c>
      <c r="F56" s="3" t="s">
        <v>552</v>
      </c>
      <c r="G56" s="3" t="s">
        <v>552</v>
      </c>
      <c r="H56" s="52">
        <v>41656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274</v>
      </c>
      <c r="Q56" s="10" t="str">
        <f t="shared" si="8"/>
        <v>JOSAPAR     -ON</v>
      </c>
      <c r="R56" s="52">
        <f t="shared" si="9"/>
        <v>41656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277</v>
      </c>
      <c r="D57" s="3" t="s">
        <v>434</v>
      </c>
      <c r="E57" s="3" t="s">
        <v>434</v>
      </c>
      <c r="F57" s="3" t="s">
        <v>434</v>
      </c>
      <c r="G57" s="3" t="s">
        <v>434</v>
      </c>
      <c r="H57" s="52">
        <v>41653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275</v>
      </c>
      <c r="Q57" s="10" t="str">
        <f t="shared" si="8"/>
        <v>JOSAPAR     -PN</v>
      </c>
      <c r="R57" s="52">
        <f t="shared" si="9"/>
        <v>41653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339</v>
      </c>
      <c r="D58" s="3" t="s">
        <v>1138</v>
      </c>
      <c r="E58" s="3" t="s">
        <v>1139</v>
      </c>
      <c r="F58" s="3" t="s">
        <v>1140</v>
      </c>
      <c r="G58" s="3" t="s">
        <v>1141</v>
      </c>
      <c r="H58" s="52">
        <v>41666</v>
      </c>
      <c r="J58" s="3">
        <f t="shared" si="7"/>
        <v>5.31</v>
      </c>
      <c r="K58" s="3">
        <f t="shared" si="7"/>
        <v>5.0999999999999996</v>
      </c>
      <c r="L58" s="3">
        <f t="shared" si="7"/>
        <v>5.32</v>
      </c>
      <c r="M58" s="3">
        <f t="shared" si="7"/>
        <v>5.05</v>
      </c>
      <c r="P58" s="14" t="s">
        <v>338</v>
      </c>
      <c r="Q58" s="10" t="str">
        <f t="shared" si="8"/>
        <v xml:space="preserve">LOCAMERICA  -ON  </v>
      </c>
      <c r="R58" s="52">
        <f t="shared" si="9"/>
        <v>41666</v>
      </c>
      <c r="S58" s="5">
        <f t="shared" si="10"/>
        <v>5.31</v>
      </c>
      <c r="T58" s="5">
        <f t="shared" si="11"/>
        <v>5.0999999999999996</v>
      </c>
      <c r="U58" s="5">
        <f t="shared" si="12"/>
        <v>5.32</v>
      </c>
      <c r="V58" s="5">
        <f t="shared" si="13"/>
        <v>5.05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353</v>
      </c>
      <c r="D59" s="3" t="s">
        <v>1142</v>
      </c>
      <c r="E59" s="73" t="s">
        <v>1143</v>
      </c>
      <c r="F59" s="73" t="s">
        <v>1142</v>
      </c>
      <c r="G59" s="73" t="s">
        <v>877</v>
      </c>
      <c r="H59" s="52">
        <v>41666</v>
      </c>
      <c r="J59" s="3">
        <f t="shared" si="7"/>
        <v>5.46</v>
      </c>
      <c r="K59" s="3">
        <f t="shared" si="7"/>
        <v>5.3</v>
      </c>
      <c r="L59" s="3">
        <f t="shared" si="7"/>
        <v>5.46</v>
      </c>
      <c r="M59" s="3">
        <f t="shared" si="7"/>
        <v>5.25</v>
      </c>
      <c r="P59" s="14" t="s">
        <v>352</v>
      </c>
      <c r="Q59" s="10" t="str">
        <f t="shared" si="8"/>
        <v xml:space="preserve">MAGNESITA SA-ON  </v>
      </c>
      <c r="R59" s="47">
        <f t="shared" si="9"/>
        <v>41666</v>
      </c>
      <c r="S59" s="6">
        <f t="shared" si="10"/>
        <v>5.46</v>
      </c>
      <c r="T59" s="6">
        <f t="shared" si="11"/>
        <v>5.3</v>
      </c>
      <c r="U59" s="6">
        <f t="shared" si="12"/>
        <v>5.46</v>
      </c>
      <c r="V59" s="6">
        <f t="shared" si="13"/>
        <v>5.25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391</v>
      </c>
      <c r="D60" s="3" t="s">
        <v>392</v>
      </c>
      <c r="E60" s="73">
        <v>83591</v>
      </c>
      <c r="F60" s="73">
        <v>83591</v>
      </c>
      <c r="G60" s="73">
        <v>83591</v>
      </c>
      <c r="H60" s="52">
        <v>41603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388</v>
      </c>
      <c r="Q60" s="10" t="str">
        <f t="shared" si="8"/>
        <v>MERC FINANC -ON</v>
      </c>
      <c r="R60" s="52">
        <f t="shared" si="9"/>
        <v>41603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393</v>
      </c>
      <c r="D61" s="3" t="s">
        <v>430</v>
      </c>
      <c r="E61" s="3" t="s">
        <v>430</v>
      </c>
      <c r="F61" s="3" t="s">
        <v>430</v>
      </c>
      <c r="G61" s="3" t="s">
        <v>430</v>
      </c>
      <c r="H61" s="52">
        <v>41649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389</v>
      </c>
      <c r="Q61" s="10" t="str">
        <f t="shared" si="8"/>
        <v>MERC FINANC -PN</v>
      </c>
      <c r="R61" s="52">
        <f t="shared" si="9"/>
        <v>41649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441</v>
      </c>
      <c r="D62" s="3" t="s">
        <v>782</v>
      </c>
      <c r="E62" s="3" t="s">
        <v>782</v>
      </c>
      <c r="F62" s="3" t="s">
        <v>782</v>
      </c>
      <c r="G62" s="3" t="s">
        <v>782</v>
      </c>
      <c r="H62" s="52">
        <v>41660</v>
      </c>
      <c r="J62" s="3">
        <f t="shared" si="7"/>
        <v>158</v>
      </c>
      <c r="K62" s="3">
        <f t="shared" si="7"/>
        <v>158</v>
      </c>
      <c r="L62" s="3">
        <f t="shared" si="7"/>
        <v>158</v>
      </c>
      <c r="M62" s="3">
        <f t="shared" si="7"/>
        <v>158</v>
      </c>
      <c r="P62" s="14" t="s">
        <v>327</v>
      </c>
      <c r="Q62" s="10" t="str">
        <f t="shared" si="8"/>
        <v>MONT ARANHA -ON</v>
      </c>
      <c r="R62" s="52">
        <f t="shared" si="9"/>
        <v>41660</v>
      </c>
      <c r="S62" s="5">
        <f t="shared" si="10"/>
        <v>158</v>
      </c>
      <c r="T62" s="5">
        <f t="shared" si="11"/>
        <v>158</v>
      </c>
      <c r="U62" s="5">
        <f t="shared" si="12"/>
        <v>158</v>
      </c>
      <c r="V62" s="5">
        <f t="shared" si="13"/>
        <v>158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383</v>
      </c>
      <c r="D63" s="3" t="s">
        <v>1144</v>
      </c>
      <c r="E63" s="3" t="s">
        <v>1145</v>
      </c>
      <c r="F63" s="3" t="s">
        <v>1146</v>
      </c>
      <c r="G63" s="3" t="s">
        <v>1147</v>
      </c>
      <c r="H63" s="52">
        <v>41666</v>
      </c>
      <c r="J63" s="3">
        <f t="shared" si="7"/>
        <v>45.69</v>
      </c>
      <c r="K63" s="3">
        <f t="shared" si="7"/>
        <v>45.67</v>
      </c>
      <c r="L63" s="3">
        <f t="shared" si="7"/>
        <v>46.75</v>
      </c>
      <c r="M63" s="3">
        <f t="shared" si="7"/>
        <v>45.5</v>
      </c>
      <c r="P63" s="14" t="s">
        <v>382</v>
      </c>
      <c r="Q63" s="10" t="str">
        <f t="shared" si="8"/>
        <v xml:space="preserve">MULTIPLAN   -ON  </v>
      </c>
      <c r="R63" s="52">
        <f t="shared" si="9"/>
        <v>41666</v>
      </c>
      <c r="S63" s="5">
        <f t="shared" si="10"/>
        <v>45.69</v>
      </c>
      <c r="T63" s="5">
        <f t="shared" si="11"/>
        <v>45.67</v>
      </c>
      <c r="U63" s="5">
        <f t="shared" si="12"/>
        <v>46.75</v>
      </c>
      <c r="V63" s="5">
        <f t="shared" si="13"/>
        <v>45.5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358</v>
      </c>
      <c r="D64" s="3" t="s">
        <v>787</v>
      </c>
      <c r="E64" s="3" t="s">
        <v>554</v>
      </c>
      <c r="F64" s="3" t="s">
        <v>787</v>
      </c>
      <c r="G64" s="3" t="s">
        <v>554</v>
      </c>
      <c r="H64" s="52">
        <v>41666</v>
      </c>
      <c r="J64" s="3">
        <f t="shared" si="7"/>
        <v>1.51</v>
      </c>
      <c r="K64" s="3">
        <f t="shared" si="7"/>
        <v>1.5</v>
      </c>
      <c r="L64" s="3">
        <f t="shared" si="7"/>
        <v>1.51</v>
      </c>
      <c r="M64" s="3">
        <f t="shared" si="7"/>
        <v>1.5</v>
      </c>
      <c r="P64" s="14" t="s">
        <v>357</v>
      </c>
      <c r="Q64" s="10" t="str">
        <f t="shared" si="8"/>
        <v xml:space="preserve">NUTRIPLANT  -ON  </v>
      </c>
      <c r="R64" s="52">
        <f t="shared" si="9"/>
        <v>41666</v>
      </c>
      <c r="S64" s="5">
        <f t="shared" si="10"/>
        <v>1.51</v>
      </c>
      <c r="T64" s="5">
        <f t="shared" si="11"/>
        <v>1.5</v>
      </c>
      <c r="U64" s="5">
        <f t="shared" si="12"/>
        <v>1.51</v>
      </c>
      <c r="V64" s="5">
        <f t="shared" si="13"/>
        <v>1.5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311</v>
      </c>
      <c r="D65" s="3" t="s">
        <v>1148</v>
      </c>
      <c r="E65" s="3" t="s">
        <v>1149</v>
      </c>
      <c r="F65" s="3" t="s">
        <v>1087</v>
      </c>
      <c r="G65" s="3" t="s">
        <v>1150</v>
      </c>
      <c r="H65" s="52">
        <v>41666</v>
      </c>
      <c r="J65" s="3">
        <f t="shared" si="7"/>
        <v>4.6900000000000004</v>
      </c>
      <c r="K65" s="3">
        <f t="shared" si="7"/>
        <v>4.55</v>
      </c>
      <c r="L65" s="3">
        <f t="shared" si="7"/>
        <v>4.75</v>
      </c>
      <c r="M65" s="3">
        <f t="shared" si="7"/>
        <v>4.5</v>
      </c>
      <c r="P65" s="14" t="s">
        <v>309</v>
      </c>
      <c r="Q65" s="10" t="str">
        <f t="shared" si="8"/>
        <v xml:space="preserve">OI          -ON  </v>
      </c>
      <c r="R65" s="52">
        <f t="shared" si="9"/>
        <v>41666</v>
      </c>
      <c r="S65" s="5">
        <f t="shared" si="10"/>
        <v>4.6900000000000004</v>
      </c>
      <c r="T65" s="5">
        <f t="shared" si="11"/>
        <v>4.55</v>
      </c>
      <c r="U65" s="5">
        <f t="shared" si="12"/>
        <v>4.75</v>
      </c>
      <c r="V65" s="5">
        <f t="shared" si="13"/>
        <v>4.5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312</v>
      </c>
      <c r="D66" s="3" t="s">
        <v>1151</v>
      </c>
      <c r="E66" s="3" t="s">
        <v>1152</v>
      </c>
      <c r="F66" s="3" t="s">
        <v>1153</v>
      </c>
      <c r="G66" s="3" t="s">
        <v>1152</v>
      </c>
      <c r="H66" s="52">
        <v>41666</v>
      </c>
      <c r="J66" s="3">
        <f t="shared" si="7"/>
        <v>4.2699999999999996</v>
      </c>
      <c r="K66" s="3">
        <f t="shared" si="7"/>
        <v>4.04</v>
      </c>
      <c r="L66" s="3">
        <f t="shared" si="7"/>
        <v>4.29</v>
      </c>
      <c r="M66" s="3">
        <f t="shared" si="7"/>
        <v>4.04</v>
      </c>
      <c r="P66" s="10" t="s">
        <v>310</v>
      </c>
      <c r="Q66" s="10" t="str">
        <f t="shared" si="8"/>
        <v xml:space="preserve">OI          -PN  </v>
      </c>
      <c r="R66" s="52">
        <f t="shared" si="9"/>
        <v>41666</v>
      </c>
      <c r="S66" s="5">
        <f t="shared" si="10"/>
        <v>4.2699999999999996</v>
      </c>
      <c r="T66" s="5">
        <f t="shared" si="11"/>
        <v>4.04</v>
      </c>
      <c r="U66" s="5">
        <f t="shared" si="12"/>
        <v>4.29</v>
      </c>
      <c r="V66" s="5">
        <f t="shared" si="13"/>
        <v>4.04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361</v>
      </c>
      <c r="D67" s="3" t="s">
        <v>829</v>
      </c>
      <c r="E67" s="3" t="s">
        <v>450</v>
      </c>
      <c r="F67" s="3" t="s">
        <v>829</v>
      </c>
      <c r="G67" s="3" t="s">
        <v>450</v>
      </c>
      <c r="H67" s="52">
        <v>41661</v>
      </c>
      <c r="J67" s="3">
        <f t="shared" si="7"/>
        <v>20.04</v>
      </c>
      <c r="K67" s="3">
        <f t="shared" si="7"/>
        <v>20</v>
      </c>
      <c r="L67" s="3">
        <f t="shared" si="7"/>
        <v>20.04</v>
      </c>
      <c r="M67" s="3">
        <f t="shared" si="7"/>
        <v>20</v>
      </c>
      <c r="P67" s="14" t="s">
        <v>359</v>
      </c>
      <c r="Q67" s="10" t="str">
        <f t="shared" si="8"/>
        <v>PANATLANTICA-PN</v>
      </c>
      <c r="R67" s="52">
        <f t="shared" si="9"/>
        <v>41661</v>
      </c>
      <c r="S67" s="5">
        <f t="shared" si="10"/>
        <v>20.04</v>
      </c>
      <c r="T67" s="5">
        <f t="shared" si="11"/>
        <v>20</v>
      </c>
      <c r="U67" s="5">
        <f t="shared" si="12"/>
        <v>20.04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263</v>
      </c>
      <c r="D68" s="3" t="s">
        <v>1154</v>
      </c>
      <c r="E68" s="3" t="s">
        <v>830</v>
      </c>
      <c r="F68" s="3" t="s">
        <v>1155</v>
      </c>
      <c r="G68" s="3" t="s">
        <v>1156</v>
      </c>
      <c r="H68" s="52">
        <v>41666</v>
      </c>
      <c r="J68" s="3">
        <f t="shared" si="7"/>
        <v>14.17</v>
      </c>
      <c r="K68" s="3">
        <f t="shared" si="7"/>
        <v>14.02</v>
      </c>
      <c r="L68" s="3">
        <f t="shared" si="7"/>
        <v>14.26</v>
      </c>
      <c r="M68" s="3">
        <f t="shared" si="7"/>
        <v>13.92</v>
      </c>
      <c r="P68" s="14" t="s">
        <v>20</v>
      </c>
      <c r="Q68" s="10" t="str">
        <f t="shared" si="8"/>
        <v>PETROBRAS   -ON</v>
      </c>
      <c r="R68" s="52">
        <f t="shared" si="9"/>
        <v>41666</v>
      </c>
      <c r="S68" s="5">
        <f t="shared" si="10"/>
        <v>14.17</v>
      </c>
      <c r="T68" s="5">
        <f t="shared" si="11"/>
        <v>14.02</v>
      </c>
      <c r="U68" s="5">
        <f t="shared" si="12"/>
        <v>14.26</v>
      </c>
      <c r="V68" s="5">
        <f t="shared" si="13"/>
        <v>13.92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260</v>
      </c>
      <c r="D69" s="3" t="s">
        <v>1157</v>
      </c>
      <c r="E69" s="3" t="s">
        <v>1158</v>
      </c>
      <c r="F69" s="3" t="s">
        <v>1159</v>
      </c>
      <c r="G69" s="3" t="s">
        <v>896</v>
      </c>
      <c r="H69" s="52">
        <v>41666</v>
      </c>
      <c r="J69" s="3">
        <f t="shared" si="7"/>
        <v>15.21</v>
      </c>
      <c r="K69" s="3">
        <f t="shared" si="7"/>
        <v>15.11</v>
      </c>
      <c r="L69" s="3">
        <f t="shared" si="7"/>
        <v>15.29</v>
      </c>
      <c r="M69" s="3">
        <f t="shared" si="7"/>
        <v>15.04</v>
      </c>
      <c r="P69" s="14" t="s">
        <v>21</v>
      </c>
      <c r="Q69" s="10" t="str">
        <f t="shared" si="8"/>
        <v>PETROBRAS   -PN</v>
      </c>
      <c r="R69" s="52">
        <f t="shared" si="9"/>
        <v>41666</v>
      </c>
      <c r="S69" s="5">
        <f t="shared" si="10"/>
        <v>15.21</v>
      </c>
      <c r="T69" s="5">
        <f t="shared" si="11"/>
        <v>15.11</v>
      </c>
      <c r="U69" s="5">
        <f t="shared" si="12"/>
        <v>15.29</v>
      </c>
      <c r="V69" s="5">
        <f t="shared" si="13"/>
        <v>15.04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351</v>
      </c>
      <c r="D70" s="3" t="s">
        <v>820</v>
      </c>
      <c r="E70" s="3" t="s">
        <v>914</v>
      </c>
      <c r="F70" s="3" t="s">
        <v>1160</v>
      </c>
      <c r="G70" s="3" t="s">
        <v>1161</v>
      </c>
      <c r="H70" s="52">
        <v>41666</v>
      </c>
      <c r="J70" s="3">
        <f t="shared" si="7"/>
        <v>7.07</v>
      </c>
      <c r="K70" s="3">
        <f t="shared" si="7"/>
        <v>8.5</v>
      </c>
      <c r="L70" s="3">
        <f t="shared" si="7"/>
        <v>8.6999999999999993</v>
      </c>
      <c r="M70" s="3">
        <f t="shared" si="7"/>
        <v>7</v>
      </c>
      <c r="P70" s="14" t="s">
        <v>350</v>
      </c>
      <c r="Q70" s="10" t="str">
        <f t="shared" si="8"/>
        <v xml:space="preserve">PROVIDENCIA -ON  </v>
      </c>
      <c r="R70" s="52">
        <f t="shared" si="9"/>
        <v>41666</v>
      </c>
      <c r="S70" s="5">
        <f t="shared" si="10"/>
        <v>7.07</v>
      </c>
      <c r="T70" s="5">
        <f t="shared" si="11"/>
        <v>8.5</v>
      </c>
      <c r="U70" s="5">
        <f t="shared" si="12"/>
        <v>8.6999999999999993</v>
      </c>
      <c r="V70" s="5">
        <f t="shared" si="13"/>
        <v>7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442</v>
      </c>
      <c r="D71" s="3" t="s">
        <v>714</v>
      </c>
      <c r="E71" s="3" t="s">
        <v>714</v>
      </c>
      <c r="F71" s="3" t="s">
        <v>714</v>
      </c>
      <c r="G71" s="3" t="s">
        <v>714</v>
      </c>
      <c r="H71" s="52">
        <v>41659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340</v>
      </c>
      <c r="Q71" s="10" t="str">
        <f t="shared" ref="Q71:Q102" si="14">IF(A71="","",C71)</f>
        <v>EVORA       -PN</v>
      </c>
      <c r="R71" s="47">
        <f t="shared" ref="R71:R102" si="15">IF(A71="","",H71)</f>
        <v>41659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266</v>
      </c>
      <c r="D72" s="3" t="s">
        <v>922</v>
      </c>
      <c r="E72" s="3" t="s">
        <v>1162</v>
      </c>
      <c r="F72" s="3" t="s">
        <v>1163</v>
      </c>
      <c r="G72" s="3" t="s">
        <v>1164</v>
      </c>
      <c r="H72" s="52">
        <v>41666</v>
      </c>
      <c r="J72" s="3">
        <f t="shared" ref="J72:M135" si="20">IF($A72="",0,VALUE(CONCATENATE(LEFT(D72,LEN(D72)-3),",",RIGHT(D72,2))))</f>
        <v>9.3000000000000007</v>
      </c>
      <c r="K72" s="3">
        <f t="shared" si="20"/>
        <v>9.1300000000000008</v>
      </c>
      <c r="L72" s="3">
        <f t="shared" si="20"/>
        <v>9.4</v>
      </c>
      <c r="M72" s="3">
        <f t="shared" si="20"/>
        <v>9.07</v>
      </c>
      <c r="P72" s="15" t="s">
        <v>265</v>
      </c>
      <c r="Q72" s="10" t="str">
        <f t="shared" si="14"/>
        <v xml:space="preserve">QGEP PART   -ON  </v>
      </c>
      <c r="R72" s="52">
        <f t="shared" si="15"/>
        <v>41666</v>
      </c>
      <c r="S72" s="5">
        <f t="shared" si="16"/>
        <v>9.3000000000000007</v>
      </c>
      <c r="T72" s="5">
        <f t="shared" si="17"/>
        <v>9.1300000000000008</v>
      </c>
      <c r="U72" s="5">
        <f t="shared" si="18"/>
        <v>9.4</v>
      </c>
      <c r="V72" s="5">
        <f t="shared" si="19"/>
        <v>9.07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387</v>
      </c>
      <c r="D73" s="3" t="s">
        <v>1165</v>
      </c>
      <c r="E73" s="3" t="s">
        <v>1166</v>
      </c>
      <c r="F73" s="3" t="s">
        <v>1166</v>
      </c>
      <c r="G73" s="3" t="s">
        <v>1167</v>
      </c>
      <c r="H73" s="52">
        <v>41666</v>
      </c>
      <c r="J73" s="3">
        <f t="shared" si="20"/>
        <v>34.369999999999997</v>
      </c>
      <c r="K73" s="3">
        <f t="shared" si="20"/>
        <v>35.14</v>
      </c>
      <c r="L73" s="3">
        <f t="shared" si="20"/>
        <v>35.14</v>
      </c>
      <c r="M73" s="3">
        <f t="shared" si="20"/>
        <v>34.11</v>
      </c>
      <c r="P73" s="14" t="s">
        <v>385</v>
      </c>
      <c r="Q73" s="10" t="str">
        <f t="shared" si="14"/>
        <v xml:space="preserve">SAO CARLOS  -ON  </v>
      </c>
      <c r="R73" s="52">
        <f t="shared" si="15"/>
        <v>41666</v>
      </c>
      <c r="S73" s="5">
        <f t="shared" si="16"/>
        <v>34.369999999999997</v>
      </c>
      <c r="T73" s="5">
        <f t="shared" si="17"/>
        <v>35.14</v>
      </c>
      <c r="U73" s="5">
        <f t="shared" si="18"/>
        <v>35.14</v>
      </c>
      <c r="V73" s="5">
        <f t="shared" si="19"/>
        <v>34.11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293</v>
      </c>
      <c r="D74" s="3" t="s">
        <v>1168</v>
      </c>
      <c r="E74" s="3" t="s">
        <v>1169</v>
      </c>
      <c r="F74" s="3" t="s">
        <v>1168</v>
      </c>
      <c r="G74" s="3" t="s">
        <v>1170</v>
      </c>
      <c r="H74" s="52">
        <v>41666</v>
      </c>
      <c r="J74" s="3">
        <f t="shared" si="20"/>
        <v>25.35</v>
      </c>
      <c r="K74" s="3">
        <f t="shared" si="20"/>
        <v>25.12</v>
      </c>
      <c r="L74" s="3">
        <f t="shared" si="20"/>
        <v>25.35</v>
      </c>
      <c r="M74" s="3">
        <f t="shared" si="20"/>
        <v>24.92</v>
      </c>
      <c r="P74" s="15" t="s">
        <v>292</v>
      </c>
      <c r="Q74" s="10" t="str">
        <f t="shared" si="14"/>
        <v xml:space="preserve">SAO MARTINHO-ON  </v>
      </c>
      <c r="R74" s="52">
        <f t="shared" si="15"/>
        <v>41666</v>
      </c>
      <c r="S74" s="5">
        <f t="shared" si="16"/>
        <v>25.35</v>
      </c>
      <c r="T74" s="5">
        <f t="shared" si="17"/>
        <v>25.12</v>
      </c>
      <c r="U74" s="5">
        <f t="shared" si="18"/>
        <v>25.35</v>
      </c>
      <c r="V74" s="5">
        <f t="shared" si="19"/>
        <v>24.92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386</v>
      </c>
      <c r="D75" s="3" t="s">
        <v>1171</v>
      </c>
      <c r="E75" s="3" t="s">
        <v>1172</v>
      </c>
      <c r="F75" s="3" t="s">
        <v>710</v>
      </c>
      <c r="G75" s="3" t="s">
        <v>1173</v>
      </c>
      <c r="H75" s="52">
        <v>41666</v>
      </c>
      <c r="J75" s="3">
        <f t="shared" si="20"/>
        <v>16.309999999999999</v>
      </c>
      <c r="K75" s="3">
        <f t="shared" si="20"/>
        <v>16.2</v>
      </c>
      <c r="L75" s="3">
        <f t="shared" si="20"/>
        <v>17</v>
      </c>
      <c r="M75" s="3">
        <f t="shared" si="20"/>
        <v>16.05</v>
      </c>
      <c r="P75" s="14" t="s">
        <v>384</v>
      </c>
      <c r="Q75" s="10" t="str">
        <f t="shared" si="14"/>
        <v xml:space="preserve">SIERRABRASIL-ON  </v>
      </c>
      <c r="R75" s="52">
        <f t="shared" si="15"/>
        <v>41666</v>
      </c>
      <c r="S75" s="5">
        <f t="shared" si="16"/>
        <v>16.309999999999999</v>
      </c>
      <c r="T75" s="5">
        <f t="shared" si="17"/>
        <v>16.2</v>
      </c>
      <c r="U75" s="5">
        <f t="shared" si="18"/>
        <v>17</v>
      </c>
      <c r="V75" s="5">
        <f t="shared" si="19"/>
        <v>16.05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267</v>
      </c>
      <c r="D76" s="3" t="s">
        <v>831</v>
      </c>
      <c r="E76" s="3" t="s">
        <v>790</v>
      </c>
      <c r="F76" s="3" t="s">
        <v>831</v>
      </c>
      <c r="G76" s="3" t="s">
        <v>1174</v>
      </c>
      <c r="H76" s="52">
        <v>41666</v>
      </c>
      <c r="J76" s="3">
        <f t="shared" si="20"/>
        <v>13.9</v>
      </c>
      <c r="K76" s="3">
        <f t="shared" si="20"/>
        <v>13.5</v>
      </c>
      <c r="L76" s="3">
        <f t="shared" si="20"/>
        <v>13.9</v>
      </c>
      <c r="M76" s="3">
        <f t="shared" si="20"/>
        <v>13.44</v>
      </c>
      <c r="P76" s="14" t="s">
        <v>57</v>
      </c>
      <c r="Q76" s="10" t="str">
        <f t="shared" si="14"/>
        <v xml:space="preserve">SUL AMERICA -UNT </v>
      </c>
      <c r="R76" s="52">
        <f t="shared" si="15"/>
        <v>41666</v>
      </c>
      <c r="S76" s="5">
        <f t="shared" si="16"/>
        <v>13.9</v>
      </c>
      <c r="T76" s="5">
        <f t="shared" si="17"/>
        <v>13.5</v>
      </c>
      <c r="U76" s="5">
        <f t="shared" si="18"/>
        <v>13.9</v>
      </c>
      <c r="V76" s="5">
        <f t="shared" si="19"/>
        <v>13.44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278</v>
      </c>
      <c r="D77" s="3" t="s">
        <v>925</v>
      </c>
      <c r="E77" s="3" t="s">
        <v>924</v>
      </c>
      <c r="F77" s="3" t="s">
        <v>925</v>
      </c>
      <c r="G77" s="3" t="s">
        <v>1175</v>
      </c>
      <c r="H77" s="52">
        <v>41666</v>
      </c>
      <c r="J77" s="3">
        <f t="shared" si="20"/>
        <v>2.2999999999999998</v>
      </c>
      <c r="K77" s="3">
        <f t="shared" si="20"/>
        <v>2.25</v>
      </c>
      <c r="L77" s="3">
        <f t="shared" si="20"/>
        <v>2.2999999999999998</v>
      </c>
      <c r="M77" s="3">
        <f t="shared" si="20"/>
        <v>2.23</v>
      </c>
      <c r="P77" s="15" t="s">
        <v>79</v>
      </c>
      <c r="Q77" s="10" t="str">
        <f t="shared" si="14"/>
        <v xml:space="preserve">TEREOS      -ON  </v>
      </c>
      <c r="R77" s="52">
        <f t="shared" si="15"/>
        <v>41666</v>
      </c>
      <c r="S77" s="5">
        <f t="shared" si="16"/>
        <v>2.2999999999999998</v>
      </c>
      <c r="T77" s="5">
        <f t="shared" si="17"/>
        <v>2.25</v>
      </c>
      <c r="U77" s="5">
        <f t="shared" si="18"/>
        <v>2.2999999999999998</v>
      </c>
      <c r="V77" s="5">
        <f t="shared" si="19"/>
        <v>2.23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308</v>
      </c>
      <c r="D78" s="3" t="s">
        <v>1027</v>
      </c>
      <c r="E78" s="3" t="s">
        <v>1176</v>
      </c>
      <c r="F78" s="3" t="s">
        <v>1177</v>
      </c>
      <c r="G78" s="3" t="s">
        <v>1178</v>
      </c>
      <c r="H78" s="52">
        <v>41666</v>
      </c>
      <c r="J78" s="3">
        <f t="shared" si="20"/>
        <v>12.9</v>
      </c>
      <c r="K78" s="3">
        <f t="shared" si="20"/>
        <v>12.67</v>
      </c>
      <c r="L78" s="3">
        <f t="shared" si="20"/>
        <v>13.13</v>
      </c>
      <c r="M78" s="3">
        <f t="shared" si="20"/>
        <v>12.57</v>
      </c>
      <c r="P78" s="15" t="s">
        <v>306</v>
      </c>
      <c r="Q78" s="10" t="str">
        <f t="shared" si="14"/>
        <v xml:space="preserve">TIM PART S/A-ON  </v>
      </c>
      <c r="R78" s="52">
        <f t="shared" si="15"/>
        <v>41666</v>
      </c>
      <c r="S78" s="5">
        <f t="shared" si="16"/>
        <v>12.9</v>
      </c>
      <c r="T78" s="5">
        <f t="shared" si="17"/>
        <v>12.67</v>
      </c>
      <c r="U78" s="5">
        <f t="shared" si="18"/>
        <v>13.13</v>
      </c>
      <c r="V78" s="5">
        <f t="shared" si="19"/>
        <v>12.57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363</v>
      </c>
      <c r="D79" s="3" t="s">
        <v>588</v>
      </c>
      <c r="E79" s="3" t="s">
        <v>588</v>
      </c>
      <c r="F79" s="3" t="s">
        <v>588</v>
      </c>
      <c r="G79" s="3" t="s">
        <v>588</v>
      </c>
      <c r="H79" s="52">
        <v>41660</v>
      </c>
      <c r="J79" s="3">
        <f t="shared" si="20"/>
        <v>90</v>
      </c>
      <c r="K79" s="3">
        <f t="shared" si="20"/>
        <v>90</v>
      </c>
      <c r="L79" s="3">
        <f t="shared" si="20"/>
        <v>90</v>
      </c>
      <c r="M79" s="3">
        <f t="shared" si="20"/>
        <v>90</v>
      </c>
      <c r="P79" s="15" t="s">
        <v>362</v>
      </c>
      <c r="Q79" s="10" t="str">
        <f t="shared" si="14"/>
        <v>TEKNO       -PN</v>
      </c>
      <c r="R79" s="52">
        <f t="shared" si="15"/>
        <v>41660</v>
      </c>
      <c r="S79" s="5">
        <f t="shared" si="16"/>
        <v>90</v>
      </c>
      <c r="T79" s="5">
        <f t="shared" si="17"/>
        <v>90</v>
      </c>
      <c r="U79" s="5">
        <f t="shared" si="18"/>
        <v>90</v>
      </c>
      <c r="V79" s="5">
        <f t="shared" si="19"/>
        <v>90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402</v>
      </c>
      <c r="D80" s="3" t="s">
        <v>1179</v>
      </c>
      <c r="E80" s="3" t="s">
        <v>1180</v>
      </c>
      <c r="F80" s="3" t="s">
        <v>1179</v>
      </c>
      <c r="G80" s="3" t="s">
        <v>1180</v>
      </c>
      <c r="H80" s="52">
        <v>41666</v>
      </c>
      <c r="J80" s="3">
        <f t="shared" si="20"/>
        <v>14.8</v>
      </c>
      <c r="K80" s="3">
        <f t="shared" si="20"/>
        <v>14.7</v>
      </c>
      <c r="L80" s="3">
        <f t="shared" si="20"/>
        <v>14.8</v>
      </c>
      <c r="M80" s="3">
        <f t="shared" si="20"/>
        <v>14.7</v>
      </c>
      <c r="P80" s="15" t="s">
        <v>400</v>
      </c>
      <c r="Q80" s="10" t="str">
        <f t="shared" si="14"/>
        <v xml:space="preserve">TARPON INV  -ON  </v>
      </c>
      <c r="R80" s="52">
        <f t="shared" si="15"/>
        <v>41666</v>
      </c>
      <c r="S80" s="5">
        <f t="shared" si="16"/>
        <v>14.8</v>
      </c>
      <c r="T80" s="5">
        <f t="shared" si="17"/>
        <v>14.7</v>
      </c>
      <c r="U80" s="5">
        <f t="shared" si="18"/>
        <v>14.8</v>
      </c>
      <c r="V80" s="5">
        <f t="shared" si="19"/>
        <v>14.7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329</v>
      </c>
      <c r="D81" s="3" t="s">
        <v>1181</v>
      </c>
      <c r="E81" s="3" t="s">
        <v>1182</v>
      </c>
      <c r="F81" s="3" t="s">
        <v>1183</v>
      </c>
      <c r="G81" s="3" t="s">
        <v>1182</v>
      </c>
      <c r="H81" s="52">
        <v>41666</v>
      </c>
      <c r="J81" s="3">
        <f t="shared" si="20"/>
        <v>53.01</v>
      </c>
      <c r="K81" s="3">
        <f t="shared" si="20"/>
        <v>51.85</v>
      </c>
      <c r="L81" s="3">
        <f t="shared" si="20"/>
        <v>53.06</v>
      </c>
      <c r="M81" s="3">
        <f t="shared" si="20"/>
        <v>51.85</v>
      </c>
      <c r="P81" s="14" t="s">
        <v>328</v>
      </c>
      <c r="Q81" s="10" t="str">
        <f t="shared" si="14"/>
        <v xml:space="preserve">ULTRAPAR    -ON  </v>
      </c>
      <c r="R81" s="52">
        <f t="shared" si="15"/>
        <v>41666</v>
      </c>
      <c r="S81" s="5">
        <f t="shared" si="16"/>
        <v>53.01</v>
      </c>
      <c r="T81" s="5">
        <f t="shared" si="17"/>
        <v>51.85</v>
      </c>
      <c r="U81" s="5">
        <f t="shared" si="18"/>
        <v>53.06</v>
      </c>
      <c r="V81" s="5">
        <f t="shared" si="19"/>
        <v>51.85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474</v>
      </c>
      <c r="D82" s="3" t="s">
        <v>1184</v>
      </c>
      <c r="E82" s="3" t="s">
        <v>438</v>
      </c>
      <c r="F82" s="3" t="s">
        <v>475</v>
      </c>
      <c r="G82" s="3" t="s">
        <v>438</v>
      </c>
      <c r="H82" s="52">
        <v>41666</v>
      </c>
      <c r="J82" s="3">
        <f t="shared" si="20"/>
        <v>0.54</v>
      </c>
      <c r="K82" s="3">
        <f t="shared" si="20"/>
        <v>0.5</v>
      </c>
      <c r="L82" s="3">
        <f t="shared" si="20"/>
        <v>0.56999999999999995</v>
      </c>
      <c r="M82" s="3">
        <f t="shared" si="20"/>
        <v>0.5</v>
      </c>
      <c r="P82" s="14" t="s">
        <v>473</v>
      </c>
      <c r="Q82" s="10" t="str">
        <f t="shared" si="14"/>
        <v>UNIPAR      -ON</v>
      </c>
      <c r="R82" s="52">
        <f t="shared" si="15"/>
        <v>41666</v>
      </c>
      <c r="S82" s="5">
        <f t="shared" si="16"/>
        <v>0.54</v>
      </c>
      <c r="T82" s="5">
        <f t="shared" si="17"/>
        <v>0.5</v>
      </c>
      <c r="U82" s="5">
        <f t="shared" si="18"/>
        <v>0.56999999999999995</v>
      </c>
      <c r="V82" s="5">
        <f t="shared" si="19"/>
        <v>0.5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356</v>
      </c>
      <c r="D83" s="3" t="s">
        <v>928</v>
      </c>
      <c r="E83" s="3" t="s">
        <v>1185</v>
      </c>
      <c r="F83" s="3" t="s">
        <v>1186</v>
      </c>
      <c r="G83" s="3" t="s">
        <v>1187</v>
      </c>
      <c r="H83" s="52">
        <v>41666</v>
      </c>
      <c r="J83" s="3">
        <f t="shared" si="20"/>
        <v>28.63</v>
      </c>
      <c r="K83" s="3">
        <f t="shared" si="20"/>
        <v>28.54</v>
      </c>
      <c r="L83" s="3">
        <f t="shared" si="20"/>
        <v>28.86</v>
      </c>
      <c r="M83" s="3">
        <f t="shared" si="20"/>
        <v>28.23</v>
      </c>
      <c r="P83" s="14" t="s">
        <v>355</v>
      </c>
      <c r="Q83" s="10" t="str">
        <f t="shared" si="14"/>
        <v xml:space="preserve">VALE        -PNA </v>
      </c>
      <c r="R83" s="47">
        <f t="shared" si="15"/>
        <v>41666</v>
      </c>
      <c r="S83" s="6">
        <f t="shared" si="16"/>
        <v>28.63</v>
      </c>
      <c r="T83" s="6">
        <f t="shared" si="17"/>
        <v>28.54</v>
      </c>
      <c r="U83" s="6">
        <f t="shared" si="18"/>
        <v>28.86</v>
      </c>
      <c r="V83" s="6">
        <f t="shared" si="19"/>
        <v>28.23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304</v>
      </c>
      <c r="D84" s="3" t="s">
        <v>784</v>
      </c>
      <c r="E84" s="3" t="s">
        <v>784</v>
      </c>
      <c r="F84" s="3" t="s">
        <v>784</v>
      </c>
      <c r="G84" s="3" t="s">
        <v>784</v>
      </c>
      <c r="H84" s="52">
        <v>41659</v>
      </c>
      <c r="J84" s="3">
        <f t="shared" si="20"/>
        <v>8.67</v>
      </c>
      <c r="K84" s="3">
        <f t="shared" si="20"/>
        <v>8.67</v>
      </c>
      <c r="L84" s="3">
        <f t="shared" si="20"/>
        <v>8.67</v>
      </c>
      <c r="M84" s="3">
        <f t="shared" si="20"/>
        <v>8.67</v>
      </c>
      <c r="P84" s="44" t="s">
        <v>303</v>
      </c>
      <c r="Q84" s="10" t="str">
        <f t="shared" si="14"/>
        <v xml:space="preserve">VIGOR FOOD  -ON  </v>
      </c>
      <c r="R84" s="52">
        <f t="shared" si="15"/>
        <v>41659</v>
      </c>
      <c r="S84" s="5">
        <f t="shared" si="16"/>
        <v>8.67</v>
      </c>
      <c r="T84" s="5">
        <f t="shared" si="17"/>
        <v>8.67</v>
      </c>
      <c r="U84" s="5">
        <f t="shared" si="18"/>
        <v>8.67</v>
      </c>
      <c r="V84" s="5">
        <f t="shared" si="19"/>
        <v>8.67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715</v>
      </c>
      <c r="D85" s="3" t="s">
        <v>1188</v>
      </c>
      <c r="E85" s="3" t="s">
        <v>1189</v>
      </c>
      <c r="F85" s="3" t="s">
        <v>1190</v>
      </c>
      <c r="G85" s="3" t="s">
        <v>1189</v>
      </c>
      <c r="H85" s="52">
        <v>41666</v>
      </c>
      <c r="J85" s="3">
        <f t="shared" si="20"/>
        <v>40.56</v>
      </c>
      <c r="K85" s="3">
        <f t="shared" si="20"/>
        <v>39.65</v>
      </c>
      <c r="L85" s="3">
        <f t="shared" si="20"/>
        <v>41.06</v>
      </c>
      <c r="M85" s="3">
        <f t="shared" si="20"/>
        <v>39.65</v>
      </c>
      <c r="P85" s="15" t="s">
        <v>314</v>
      </c>
      <c r="Q85" s="10" t="str">
        <f t="shared" si="14"/>
        <v>TELEF BRASIL-ON</v>
      </c>
      <c r="R85" s="52">
        <f t="shared" si="15"/>
        <v>41666</v>
      </c>
      <c r="S85" s="5">
        <f t="shared" si="16"/>
        <v>40.56</v>
      </c>
      <c r="T85" s="5">
        <f t="shared" si="17"/>
        <v>39.65</v>
      </c>
      <c r="U85" s="5">
        <f t="shared" si="18"/>
        <v>41.06</v>
      </c>
      <c r="V85" s="5">
        <f t="shared" si="19"/>
        <v>39.65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716</v>
      </c>
      <c r="D86" s="3" t="s">
        <v>1191</v>
      </c>
      <c r="E86" s="3" t="s">
        <v>1192</v>
      </c>
      <c r="F86" s="3" t="s">
        <v>1193</v>
      </c>
      <c r="G86" s="3" t="s">
        <v>1194</v>
      </c>
      <c r="H86" s="52">
        <v>41666</v>
      </c>
      <c r="J86" s="3">
        <f t="shared" si="20"/>
        <v>46.8</v>
      </c>
      <c r="K86" s="3">
        <f t="shared" si="20"/>
        <v>45.9</v>
      </c>
      <c r="L86" s="3">
        <f t="shared" si="20"/>
        <v>46.86</v>
      </c>
      <c r="M86" s="3">
        <f t="shared" si="20"/>
        <v>45.68</v>
      </c>
      <c r="P86" s="15" t="s">
        <v>315</v>
      </c>
      <c r="Q86" s="10" t="str">
        <f t="shared" si="14"/>
        <v>TELEF BRASIL-PN</v>
      </c>
      <c r="R86" s="52">
        <f t="shared" si="15"/>
        <v>41666</v>
      </c>
      <c r="S86" s="5">
        <f t="shared" si="16"/>
        <v>46.8</v>
      </c>
      <c r="T86" s="5">
        <f t="shared" si="17"/>
        <v>45.9</v>
      </c>
      <c r="U86" s="5">
        <f t="shared" si="18"/>
        <v>46.86</v>
      </c>
      <c r="V86" s="5">
        <f t="shared" si="19"/>
        <v>45.68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541</v>
      </c>
      <c r="D87" s="3" t="s">
        <v>492</v>
      </c>
      <c r="E87" s="3" t="s">
        <v>542</v>
      </c>
      <c r="F87" s="3" t="s">
        <v>542</v>
      </c>
      <c r="G87" s="3" t="s">
        <v>542</v>
      </c>
      <c r="H87" s="52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540</v>
      </c>
      <c r="Q87" s="10" t="str">
        <f t="shared" si="14"/>
        <v>CELPE       -ON</v>
      </c>
      <c r="R87" s="52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544</v>
      </c>
      <c r="D88" s="3" t="s">
        <v>492</v>
      </c>
      <c r="E88" s="3" t="s">
        <v>545</v>
      </c>
      <c r="F88" s="3" t="s">
        <v>545</v>
      </c>
      <c r="G88" s="3" t="s">
        <v>545</v>
      </c>
      <c r="H88" s="52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543</v>
      </c>
      <c r="Q88" s="10" t="str">
        <f t="shared" si="14"/>
        <v>COELCE      -PNB</v>
      </c>
      <c r="R88" s="52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548</v>
      </c>
      <c r="D89" s="3" t="s">
        <v>492</v>
      </c>
      <c r="E89" s="3" t="s">
        <v>493</v>
      </c>
      <c r="F89" s="3" t="s">
        <v>492</v>
      </c>
      <c r="G89" s="3" t="s">
        <v>492</v>
      </c>
      <c r="H89" s="52" t="s">
        <v>492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546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549</v>
      </c>
      <c r="D90" s="3" t="s">
        <v>492</v>
      </c>
      <c r="E90" s="3" t="s">
        <v>493</v>
      </c>
      <c r="F90" s="3" t="s">
        <v>492</v>
      </c>
      <c r="G90" s="3" t="s">
        <v>492</v>
      </c>
      <c r="H90" s="52" t="s">
        <v>492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547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553</v>
      </c>
      <c r="D91" s="3" t="s">
        <v>531</v>
      </c>
      <c r="E91" s="3" t="s">
        <v>531</v>
      </c>
      <c r="F91" s="3" t="s">
        <v>531</v>
      </c>
      <c r="G91" s="3" t="s">
        <v>531</v>
      </c>
      <c r="H91" s="52">
        <v>41660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550</v>
      </c>
      <c r="Q91" s="10" t="str">
        <f t="shared" si="14"/>
        <v xml:space="preserve">CEEE-D      -ON  </v>
      </c>
      <c r="R91" s="52">
        <f t="shared" si="15"/>
        <v>41660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555</v>
      </c>
      <c r="D92" s="3" t="s">
        <v>556</v>
      </c>
      <c r="E92" s="3" t="s">
        <v>556</v>
      </c>
      <c r="F92" s="3" t="s">
        <v>556</v>
      </c>
      <c r="G92" s="3" t="s">
        <v>556</v>
      </c>
      <c r="H92" s="52">
        <v>41570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551</v>
      </c>
      <c r="Q92" s="10" t="str">
        <f t="shared" si="14"/>
        <v xml:space="preserve">CEEE-D      -PN  </v>
      </c>
      <c r="R92" s="52">
        <f t="shared" si="15"/>
        <v>41570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559</v>
      </c>
      <c r="D93" s="3" t="s">
        <v>492</v>
      </c>
      <c r="E93" s="3" t="s">
        <v>490</v>
      </c>
      <c r="F93" s="3" t="s">
        <v>490</v>
      </c>
      <c r="G93" s="3" t="s">
        <v>490</v>
      </c>
      <c r="H93" s="52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557</v>
      </c>
      <c r="Q93" s="10" t="str">
        <f t="shared" si="14"/>
        <v>ELEKTRO     -ON</v>
      </c>
      <c r="R93" s="52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560</v>
      </c>
      <c r="D94" s="3" t="s">
        <v>710</v>
      </c>
      <c r="E94" s="3" t="s">
        <v>710</v>
      </c>
      <c r="F94" s="3" t="s">
        <v>710</v>
      </c>
      <c r="G94" s="3" t="s">
        <v>710</v>
      </c>
      <c r="H94" s="52">
        <v>41663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558</v>
      </c>
      <c r="Q94" s="10" t="str">
        <f t="shared" si="14"/>
        <v>ELEKTRO     -PN</v>
      </c>
      <c r="R94" s="52">
        <f t="shared" si="15"/>
        <v>41663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563</v>
      </c>
      <c r="D95" s="3" t="s">
        <v>1195</v>
      </c>
      <c r="E95" s="3" t="s">
        <v>930</v>
      </c>
      <c r="F95" s="3" t="s">
        <v>1196</v>
      </c>
      <c r="G95" s="3" t="s">
        <v>1197</v>
      </c>
      <c r="H95" s="52">
        <v>41666</v>
      </c>
      <c r="J95" s="3">
        <f t="shared" si="20"/>
        <v>3.09</v>
      </c>
      <c r="K95" s="3">
        <f t="shared" si="20"/>
        <v>3.01</v>
      </c>
      <c r="L95" s="3">
        <f t="shared" si="20"/>
        <v>3.12</v>
      </c>
      <c r="M95" s="3">
        <f t="shared" si="20"/>
        <v>2.95</v>
      </c>
      <c r="P95" s="14" t="s">
        <v>562</v>
      </c>
      <c r="Q95" s="10" t="str">
        <f t="shared" si="14"/>
        <v xml:space="preserve">ENEVA       -ON  </v>
      </c>
      <c r="R95" s="52">
        <f t="shared" si="15"/>
        <v>41666</v>
      </c>
      <c r="S95" s="5">
        <f t="shared" si="16"/>
        <v>3.09</v>
      </c>
      <c r="T95" s="5">
        <f t="shared" si="17"/>
        <v>3.01</v>
      </c>
      <c r="U95" s="5">
        <f t="shared" si="18"/>
        <v>3.12</v>
      </c>
      <c r="V95" s="5">
        <f t="shared" si="19"/>
        <v>2.95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566</v>
      </c>
      <c r="D96" s="3" t="s">
        <v>849</v>
      </c>
      <c r="E96" s="3" t="s">
        <v>849</v>
      </c>
      <c r="F96" s="3" t="s">
        <v>849</v>
      </c>
      <c r="G96" s="3" t="s">
        <v>849</v>
      </c>
      <c r="H96" s="52">
        <v>41663</v>
      </c>
      <c r="J96" s="3">
        <f t="shared" si="20"/>
        <v>1.06</v>
      </c>
      <c r="K96" s="3">
        <f t="shared" si="20"/>
        <v>1.06</v>
      </c>
      <c r="L96" s="3">
        <f t="shared" si="20"/>
        <v>1.06</v>
      </c>
      <c r="M96" s="3">
        <f t="shared" si="20"/>
        <v>1.06</v>
      </c>
      <c r="P96" s="14" t="s">
        <v>564</v>
      </c>
      <c r="Q96" s="10" t="str">
        <f t="shared" si="14"/>
        <v>REDE ENERGIA-ON</v>
      </c>
      <c r="R96" s="52">
        <f t="shared" si="15"/>
        <v>41663</v>
      </c>
      <c r="S96" s="5">
        <f t="shared" si="16"/>
        <v>1.06</v>
      </c>
      <c r="T96" s="5">
        <f t="shared" si="17"/>
        <v>1.06</v>
      </c>
      <c r="U96" s="5">
        <f t="shared" si="18"/>
        <v>1.06</v>
      </c>
      <c r="V96" s="5">
        <f t="shared" si="19"/>
        <v>1.06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567</v>
      </c>
      <c r="D97" s="3" t="s">
        <v>1198</v>
      </c>
      <c r="E97" s="3" t="s">
        <v>1198</v>
      </c>
      <c r="F97" s="3" t="s">
        <v>1198</v>
      </c>
      <c r="G97" s="3" t="s">
        <v>1198</v>
      </c>
      <c r="H97" s="52">
        <v>41666</v>
      </c>
      <c r="J97" s="3">
        <f t="shared" si="20"/>
        <v>0.99</v>
      </c>
      <c r="K97" s="3">
        <f t="shared" si="20"/>
        <v>0.99</v>
      </c>
      <c r="L97" s="3">
        <f t="shared" si="20"/>
        <v>0.99</v>
      </c>
      <c r="M97" s="3">
        <f t="shared" si="20"/>
        <v>0.99</v>
      </c>
      <c r="P97" s="15" t="s">
        <v>565</v>
      </c>
      <c r="Q97" s="10" t="str">
        <f t="shared" si="14"/>
        <v>REDE ENERGIA-PN</v>
      </c>
      <c r="R97" s="52">
        <f t="shared" si="15"/>
        <v>41666</v>
      </c>
      <c r="S97" s="5">
        <f t="shared" si="16"/>
        <v>0.99</v>
      </c>
      <c r="T97" s="5">
        <f t="shared" si="17"/>
        <v>0.99</v>
      </c>
      <c r="U97" s="5">
        <f t="shared" si="18"/>
        <v>0.99</v>
      </c>
      <c r="V97" s="5">
        <f t="shared" si="19"/>
        <v>0.99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571</v>
      </c>
      <c r="D98" s="3" t="s">
        <v>1199</v>
      </c>
      <c r="E98" s="3" t="s">
        <v>1200</v>
      </c>
      <c r="F98" s="3" t="s">
        <v>1199</v>
      </c>
      <c r="G98" s="3" t="s">
        <v>1201</v>
      </c>
      <c r="H98" s="52">
        <v>41666</v>
      </c>
      <c r="J98" s="3">
        <f t="shared" si="20"/>
        <v>45</v>
      </c>
      <c r="K98" s="3">
        <f t="shared" si="20"/>
        <v>44.3</v>
      </c>
      <c r="L98" s="3">
        <f t="shared" si="20"/>
        <v>45</v>
      </c>
      <c r="M98" s="3">
        <f t="shared" si="20"/>
        <v>44.25</v>
      </c>
      <c r="P98" s="10" t="s">
        <v>568</v>
      </c>
      <c r="Q98" s="10" t="str">
        <f t="shared" si="14"/>
        <v xml:space="preserve">RENOVA      -UNT </v>
      </c>
      <c r="R98" s="52">
        <f t="shared" si="15"/>
        <v>41666</v>
      </c>
      <c r="S98" s="5">
        <f t="shared" si="16"/>
        <v>45</v>
      </c>
      <c r="T98" s="5">
        <f t="shared" si="17"/>
        <v>44.3</v>
      </c>
      <c r="U98" s="5">
        <f t="shared" si="18"/>
        <v>45</v>
      </c>
      <c r="V98" s="5">
        <f t="shared" si="19"/>
        <v>44.25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572</v>
      </c>
      <c r="D99" s="3" t="s">
        <v>485</v>
      </c>
      <c r="E99" s="3" t="s">
        <v>485</v>
      </c>
      <c r="F99" s="3" t="s">
        <v>485</v>
      </c>
      <c r="G99" s="3" t="s">
        <v>485</v>
      </c>
      <c r="H99" s="52">
        <v>41535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569</v>
      </c>
      <c r="Q99" s="10" t="str">
        <f t="shared" si="14"/>
        <v xml:space="preserve">RENOVA      -ON  </v>
      </c>
      <c r="R99" s="52">
        <f t="shared" si="15"/>
        <v>41535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573</v>
      </c>
      <c r="D100" s="3" t="s">
        <v>492</v>
      </c>
      <c r="E100" s="3" t="s">
        <v>493</v>
      </c>
      <c r="F100" s="3" t="s">
        <v>492</v>
      </c>
      <c r="G100" s="3" t="s">
        <v>492</v>
      </c>
      <c r="H100" s="52" t="s">
        <v>492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570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576</v>
      </c>
      <c r="D101" s="3" t="s">
        <v>492</v>
      </c>
      <c r="E101" s="3" t="s">
        <v>493</v>
      </c>
      <c r="F101" s="3" t="s">
        <v>492</v>
      </c>
      <c r="G101" s="3" t="s">
        <v>492</v>
      </c>
      <c r="H101" s="52" t="s">
        <v>492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574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577</v>
      </c>
      <c r="D102" s="3" t="s">
        <v>492</v>
      </c>
      <c r="E102" s="3" t="s">
        <v>493</v>
      </c>
      <c r="F102" s="3" t="s">
        <v>492</v>
      </c>
      <c r="G102" s="3" t="s">
        <v>492</v>
      </c>
      <c r="H102" s="52" t="s">
        <v>492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575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580</v>
      </c>
      <c r="D103" s="3" t="s">
        <v>492</v>
      </c>
      <c r="E103" s="3" t="s">
        <v>493</v>
      </c>
      <c r="F103" s="3" t="s">
        <v>492</v>
      </c>
      <c r="G103" s="3" t="s">
        <v>492</v>
      </c>
      <c r="H103" s="52" t="s">
        <v>492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579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584</v>
      </c>
      <c r="D104" s="3" t="s">
        <v>931</v>
      </c>
      <c r="E104" s="3" t="s">
        <v>931</v>
      </c>
      <c r="F104" s="3" t="s">
        <v>931</v>
      </c>
      <c r="G104" s="3" t="s">
        <v>931</v>
      </c>
      <c r="H104" s="52">
        <v>41663</v>
      </c>
      <c r="J104" s="3">
        <f t="shared" si="20"/>
        <v>51</v>
      </c>
      <c r="K104" s="3">
        <f t="shared" si="20"/>
        <v>51</v>
      </c>
      <c r="L104" s="3">
        <f t="shared" si="20"/>
        <v>51</v>
      </c>
      <c r="M104" s="3">
        <f t="shared" si="20"/>
        <v>51</v>
      </c>
      <c r="P104" s="15" t="s">
        <v>582</v>
      </c>
      <c r="Q104" s="10" t="str">
        <f t="shared" si="21"/>
        <v>COMGAS      -ON</v>
      </c>
      <c r="R104" s="52">
        <f t="shared" si="22"/>
        <v>41663</v>
      </c>
      <c r="S104" s="5">
        <f t="shared" si="23"/>
        <v>51</v>
      </c>
      <c r="T104" s="5">
        <f t="shared" si="24"/>
        <v>51</v>
      </c>
      <c r="U104" s="5">
        <f t="shared" si="25"/>
        <v>51</v>
      </c>
      <c r="V104" s="5">
        <f t="shared" si="26"/>
        <v>51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585</v>
      </c>
      <c r="D105" s="3" t="s">
        <v>1202</v>
      </c>
      <c r="E105" s="3" t="s">
        <v>1203</v>
      </c>
      <c r="F105" s="3" t="s">
        <v>1202</v>
      </c>
      <c r="G105" s="3" t="s">
        <v>1204</v>
      </c>
      <c r="H105" s="52">
        <v>41666</v>
      </c>
      <c r="J105" s="3">
        <f t="shared" si="20"/>
        <v>53.94</v>
      </c>
      <c r="K105" s="3">
        <f t="shared" si="20"/>
        <v>53.32</v>
      </c>
      <c r="L105" s="3">
        <f t="shared" si="20"/>
        <v>53.94</v>
      </c>
      <c r="M105" s="3">
        <f t="shared" si="20"/>
        <v>52.95</v>
      </c>
      <c r="P105" s="15" t="s">
        <v>583</v>
      </c>
      <c r="Q105" s="10" t="str">
        <f t="shared" si="21"/>
        <v>COMGAS      -PNA</v>
      </c>
      <c r="R105" s="52">
        <f t="shared" si="22"/>
        <v>41666</v>
      </c>
      <c r="S105" s="5">
        <f t="shared" si="23"/>
        <v>53.94</v>
      </c>
      <c r="T105" s="5">
        <f t="shared" si="24"/>
        <v>53.32</v>
      </c>
      <c r="U105" s="5">
        <f t="shared" si="25"/>
        <v>53.94</v>
      </c>
      <c r="V105" s="5">
        <f t="shared" si="26"/>
        <v>52.95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587</v>
      </c>
      <c r="D106" s="3" t="s">
        <v>588</v>
      </c>
      <c r="E106" s="3" t="s">
        <v>588</v>
      </c>
      <c r="F106" s="3" t="s">
        <v>588</v>
      </c>
      <c r="G106" s="3" t="s">
        <v>588</v>
      </c>
      <c r="H106" s="52">
        <v>41641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586</v>
      </c>
      <c r="Q106" s="10" t="str">
        <f t="shared" si="21"/>
        <v>CEG         -ON *</v>
      </c>
      <c r="R106" s="52">
        <f t="shared" si="22"/>
        <v>41641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590</v>
      </c>
      <c r="D107" s="3" t="s">
        <v>932</v>
      </c>
      <c r="E107" s="3" t="s">
        <v>932</v>
      </c>
      <c r="F107" s="3" t="s">
        <v>592</v>
      </c>
      <c r="G107" s="3" t="s">
        <v>591</v>
      </c>
      <c r="H107" s="52">
        <v>41666</v>
      </c>
      <c r="J107" s="3">
        <f t="shared" si="20"/>
        <v>0.17</v>
      </c>
      <c r="K107" s="3">
        <f t="shared" si="20"/>
        <v>0.17</v>
      </c>
      <c r="L107" s="3">
        <f t="shared" si="20"/>
        <v>0.18</v>
      </c>
      <c r="M107" s="3">
        <f t="shared" si="20"/>
        <v>0.16</v>
      </c>
      <c r="P107" s="14" t="s">
        <v>589</v>
      </c>
      <c r="Q107" s="10" t="str">
        <f t="shared" si="21"/>
        <v>INEPAR TEL  -ON</v>
      </c>
      <c r="R107" s="52">
        <f t="shared" si="22"/>
        <v>41666</v>
      </c>
      <c r="S107" s="5">
        <f t="shared" si="23"/>
        <v>0.17</v>
      </c>
      <c r="T107" s="5">
        <f t="shared" si="24"/>
        <v>0.17</v>
      </c>
      <c r="U107" s="5">
        <f t="shared" si="25"/>
        <v>0.18</v>
      </c>
      <c r="V107" s="5">
        <f t="shared" si="26"/>
        <v>0.16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594</v>
      </c>
      <c r="D108" s="3" t="s">
        <v>884</v>
      </c>
      <c r="E108" s="3" t="s">
        <v>884</v>
      </c>
      <c r="F108" s="3" t="s">
        <v>884</v>
      </c>
      <c r="G108" s="3" t="s">
        <v>884</v>
      </c>
      <c r="H108" s="52">
        <v>41666</v>
      </c>
      <c r="J108" s="3">
        <f t="shared" si="20"/>
        <v>8.1999999999999993</v>
      </c>
      <c r="K108" s="3">
        <f t="shared" si="20"/>
        <v>8.1999999999999993</v>
      </c>
      <c r="L108" s="3">
        <f t="shared" si="20"/>
        <v>8.1999999999999993</v>
      </c>
      <c r="M108" s="3">
        <f t="shared" si="20"/>
        <v>8.1999999999999993</v>
      </c>
      <c r="P108" s="14" t="s">
        <v>593</v>
      </c>
      <c r="Q108" s="10" t="str">
        <f t="shared" si="21"/>
        <v>EMBRATEL PAR-ON *</v>
      </c>
      <c r="R108" s="52">
        <f t="shared" si="22"/>
        <v>41666</v>
      </c>
      <c r="S108" s="5">
        <f t="shared" si="23"/>
        <v>8.1999999999999993</v>
      </c>
      <c r="T108" s="5">
        <f t="shared" si="24"/>
        <v>8.1999999999999993</v>
      </c>
      <c r="U108" s="5">
        <f t="shared" si="25"/>
        <v>8.1999999999999993</v>
      </c>
      <c r="V108" s="5">
        <f t="shared" si="26"/>
        <v>8.1999999999999993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597</v>
      </c>
      <c r="D109" s="3" t="s">
        <v>492</v>
      </c>
      <c r="E109" s="3" t="s">
        <v>598</v>
      </c>
      <c r="F109" s="3" t="s">
        <v>598</v>
      </c>
      <c r="G109" s="3" t="s">
        <v>598</v>
      </c>
      <c r="H109" s="52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595</v>
      </c>
      <c r="Q109" s="10" t="str">
        <f t="shared" si="21"/>
        <v>JEREISSATI  -ON</v>
      </c>
      <c r="R109" s="52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599</v>
      </c>
      <c r="D110" s="3" t="s">
        <v>600</v>
      </c>
      <c r="E110" s="3" t="s">
        <v>600</v>
      </c>
      <c r="F110" s="3" t="s">
        <v>600</v>
      </c>
      <c r="G110" s="3" t="s">
        <v>600</v>
      </c>
      <c r="H110" s="52">
        <v>41666</v>
      </c>
      <c r="J110" s="3">
        <f t="shared" si="20"/>
        <v>1.69</v>
      </c>
      <c r="K110" s="3">
        <f t="shared" si="20"/>
        <v>1.69</v>
      </c>
      <c r="L110" s="3">
        <f t="shared" si="20"/>
        <v>1.69</v>
      </c>
      <c r="M110" s="3">
        <f t="shared" si="20"/>
        <v>1.69</v>
      </c>
      <c r="P110" s="15" t="s">
        <v>596</v>
      </c>
      <c r="Q110" s="10" t="str">
        <f t="shared" si="21"/>
        <v>JEREISSATI  -PN</v>
      </c>
      <c r="R110" s="52">
        <f t="shared" si="22"/>
        <v>41666</v>
      </c>
      <c r="S110" s="5">
        <f t="shared" si="23"/>
        <v>1.69</v>
      </c>
      <c r="T110" s="5">
        <f t="shared" si="24"/>
        <v>1.69</v>
      </c>
      <c r="U110" s="5">
        <f t="shared" si="25"/>
        <v>1.69</v>
      </c>
      <c r="V110" s="5">
        <f t="shared" si="26"/>
        <v>1.69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605</v>
      </c>
      <c r="D111" s="3" t="s">
        <v>601</v>
      </c>
      <c r="E111" s="3" t="s">
        <v>601</v>
      </c>
      <c r="F111" s="3" t="s">
        <v>601</v>
      </c>
      <c r="G111" s="3" t="s">
        <v>601</v>
      </c>
      <c r="H111" s="52">
        <v>41627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602</v>
      </c>
      <c r="Q111" s="10" t="str">
        <f t="shared" si="21"/>
        <v>LA FONTE TEL-ON</v>
      </c>
      <c r="R111" s="52">
        <f t="shared" si="22"/>
        <v>41627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606</v>
      </c>
      <c r="D112" s="3" t="s">
        <v>607</v>
      </c>
      <c r="E112" s="3" t="s">
        <v>607</v>
      </c>
      <c r="F112" s="3" t="s">
        <v>607</v>
      </c>
      <c r="G112" s="3" t="s">
        <v>607</v>
      </c>
      <c r="H112" s="52">
        <v>41627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603</v>
      </c>
      <c r="Q112" s="10" t="str">
        <f t="shared" si="21"/>
        <v>LA FONTE TEL-PN</v>
      </c>
      <c r="R112" s="52">
        <f t="shared" si="22"/>
        <v>41627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956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612</v>
      </c>
      <c r="D7" s="3" t="s">
        <v>613</v>
      </c>
      <c r="E7" s="3" t="s">
        <v>613</v>
      </c>
      <c r="F7" s="3" t="s">
        <v>613</v>
      </c>
      <c r="G7" s="3" t="s">
        <v>613</v>
      </c>
      <c r="H7" s="52">
        <v>41541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610</v>
      </c>
      <c r="Q7" s="10" t="str">
        <f t="shared" ref="Q7:Q38" si="1">IF(A7="","",C7)</f>
        <v xml:space="preserve">INDUSVAL    -ON  </v>
      </c>
      <c r="R7" s="52">
        <f t="shared" ref="R7:R38" si="2">IF(A7="","",H7)</f>
        <v>41541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614</v>
      </c>
      <c r="D8" s="3" t="s">
        <v>1143</v>
      </c>
      <c r="E8" s="3" t="s">
        <v>877</v>
      </c>
      <c r="F8" s="3" t="s">
        <v>1143</v>
      </c>
      <c r="G8" s="3" t="s">
        <v>1205</v>
      </c>
      <c r="H8" s="52">
        <v>41666</v>
      </c>
      <c r="J8" s="3">
        <f t="shared" ref="J8:M71" si="7">IF($A8="",0,VALUE(CONCATENATE(LEFT(D8,LEN(D8)-3),",",RIGHT(D8,2))))</f>
        <v>5.3</v>
      </c>
      <c r="K8" s="3">
        <f t="shared" si="0"/>
        <v>5.25</v>
      </c>
      <c r="L8" s="3">
        <f t="shared" si="0"/>
        <v>5.3</v>
      </c>
      <c r="M8" s="3">
        <f t="shared" si="0"/>
        <v>5.14</v>
      </c>
      <c r="P8" s="15" t="s">
        <v>611</v>
      </c>
      <c r="Q8" s="10" t="str">
        <f t="shared" si="1"/>
        <v xml:space="preserve">INDUSVAL    -PN  </v>
      </c>
      <c r="R8" s="52">
        <f t="shared" si="2"/>
        <v>41666</v>
      </c>
      <c r="S8" s="5">
        <f t="shared" si="3"/>
        <v>5.3</v>
      </c>
      <c r="T8" s="5">
        <f t="shared" si="4"/>
        <v>5.25</v>
      </c>
      <c r="U8" s="5">
        <f t="shared" si="5"/>
        <v>5.3</v>
      </c>
      <c r="V8" s="5">
        <f t="shared" si="6"/>
        <v>5.14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617</v>
      </c>
      <c r="D9" s="3" t="s">
        <v>746</v>
      </c>
      <c r="E9" s="3" t="s">
        <v>746</v>
      </c>
      <c r="F9" s="3" t="s">
        <v>746</v>
      </c>
      <c r="G9" s="3" t="s">
        <v>746</v>
      </c>
      <c r="H9" s="52">
        <v>41662</v>
      </c>
      <c r="J9" s="3">
        <f t="shared" si="7"/>
        <v>12.7</v>
      </c>
      <c r="K9" s="3">
        <f t="shared" si="0"/>
        <v>12.7</v>
      </c>
      <c r="L9" s="3">
        <f t="shared" si="0"/>
        <v>12.7</v>
      </c>
      <c r="M9" s="3">
        <f t="shared" si="0"/>
        <v>12.7</v>
      </c>
      <c r="P9" s="14" t="s">
        <v>615</v>
      </c>
      <c r="Q9" s="10" t="str">
        <f t="shared" si="1"/>
        <v>MERC BRASIL -ON</v>
      </c>
      <c r="R9" s="52">
        <f t="shared" si="2"/>
        <v>41662</v>
      </c>
      <c r="S9" s="5">
        <f t="shared" si="3"/>
        <v>12.7</v>
      </c>
      <c r="T9" s="5">
        <f t="shared" si="4"/>
        <v>12.7</v>
      </c>
      <c r="U9" s="5">
        <f t="shared" si="5"/>
        <v>12.7</v>
      </c>
      <c r="V9" s="5">
        <f t="shared" si="6"/>
        <v>12.7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618</v>
      </c>
      <c r="D10" s="3" t="s">
        <v>841</v>
      </c>
      <c r="E10" s="3" t="s">
        <v>392</v>
      </c>
      <c r="F10" s="3" t="s">
        <v>841</v>
      </c>
      <c r="G10" s="3" t="s">
        <v>392</v>
      </c>
      <c r="H10" s="52">
        <v>41666</v>
      </c>
      <c r="J10" s="3">
        <f t="shared" si="7"/>
        <v>8.69</v>
      </c>
      <c r="K10" s="3">
        <f t="shared" si="0"/>
        <v>8.5500000000000007</v>
      </c>
      <c r="L10" s="3">
        <f t="shared" si="0"/>
        <v>8.69</v>
      </c>
      <c r="M10" s="3">
        <f t="shared" si="0"/>
        <v>8.5500000000000007</v>
      </c>
      <c r="P10" s="14" t="s">
        <v>616</v>
      </c>
      <c r="Q10" s="10" t="str">
        <f t="shared" si="1"/>
        <v>MERC BRASIL -PN</v>
      </c>
      <c r="R10" s="47">
        <f t="shared" si="2"/>
        <v>41666</v>
      </c>
      <c r="S10" s="6">
        <f t="shared" si="3"/>
        <v>8.69</v>
      </c>
      <c r="T10" s="6">
        <f t="shared" si="4"/>
        <v>8.5500000000000007</v>
      </c>
      <c r="U10" s="5">
        <f t="shared" si="5"/>
        <v>8.69</v>
      </c>
      <c r="V10" s="5">
        <f t="shared" si="6"/>
        <v>8.5500000000000007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621</v>
      </c>
      <c r="D11" s="3" t="s">
        <v>492</v>
      </c>
      <c r="E11" s="3" t="s">
        <v>493</v>
      </c>
      <c r="F11" s="3" t="s">
        <v>492</v>
      </c>
      <c r="G11" s="3" t="s">
        <v>492</v>
      </c>
      <c r="H11" s="52" t="s">
        <v>492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619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622</v>
      </c>
      <c r="D12" s="3" t="s">
        <v>528</v>
      </c>
      <c r="E12" s="3" t="s">
        <v>1206</v>
      </c>
      <c r="F12" s="3" t="s">
        <v>245</v>
      </c>
      <c r="G12" s="3" t="s">
        <v>1207</v>
      </c>
      <c r="H12" s="52">
        <v>41666</v>
      </c>
      <c r="J12" s="3">
        <f t="shared" si="7"/>
        <v>4.1500000000000004</v>
      </c>
      <c r="K12" s="3">
        <f t="shared" si="0"/>
        <v>4.08</v>
      </c>
      <c r="L12" s="3">
        <f t="shared" si="0"/>
        <v>4.2</v>
      </c>
      <c r="M12" s="3">
        <f t="shared" si="0"/>
        <v>4.0599999999999996</v>
      </c>
      <c r="P12" s="14" t="s">
        <v>620</v>
      </c>
      <c r="Q12" s="10" t="str">
        <f t="shared" si="1"/>
        <v xml:space="preserve">PANAMERICANO-PN  </v>
      </c>
      <c r="R12" s="47">
        <f t="shared" si="2"/>
        <v>41666</v>
      </c>
      <c r="S12" s="6">
        <f t="shared" si="3"/>
        <v>4.1500000000000004</v>
      </c>
      <c r="T12" s="6">
        <f t="shared" si="4"/>
        <v>4.08</v>
      </c>
      <c r="U12" s="6">
        <f t="shared" si="5"/>
        <v>4.2</v>
      </c>
      <c r="V12" s="6">
        <f t="shared" si="6"/>
        <v>4.0599999999999996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626</v>
      </c>
      <c r="D13" s="3" t="s">
        <v>492</v>
      </c>
      <c r="E13" s="3" t="s">
        <v>450</v>
      </c>
      <c r="F13" s="3" t="s">
        <v>450</v>
      </c>
      <c r="G13" s="3" t="s">
        <v>450</v>
      </c>
      <c r="H13" s="52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625</v>
      </c>
      <c r="Q13" s="10" t="str">
        <f t="shared" si="1"/>
        <v>PATAGONIA   -DR3</v>
      </c>
      <c r="R13" s="52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630</v>
      </c>
      <c r="D14" s="3" t="s">
        <v>836</v>
      </c>
      <c r="E14" s="3" t="s">
        <v>1208</v>
      </c>
      <c r="F14" s="3" t="s">
        <v>1209</v>
      </c>
      <c r="G14" s="3" t="s">
        <v>1210</v>
      </c>
      <c r="H14" s="52">
        <v>41666</v>
      </c>
      <c r="J14" s="3">
        <f t="shared" si="7"/>
        <v>12.09</v>
      </c>
      <c r="K14" s="3">
        <f t="shared" si="0"/>
        <v>11.93</v>
      </c>
      <c r="L14" s="3">
        <f t="shared" si="0"/>
        <v>12.16</v>
      </c>
      <c r="M14" s="3">
        <f t="shared" si="0"/>
        <v>11.89</v>
      </c>
      <c r="P14" s="15" t="s">
        <v>627</v>
      </c>
      <c r="Q14" s="10" t="str">
        <f t="shared" si="1"/>
        <v xml:space="preserve">SANTANDER BR-UNT </v>
      </c>
      <c r="R14" s="52">
        <f t="shared" si="2"/>
        <v>41666</v>
      </c>
      <c r="S14" s="5">
        <f t="shared" si="3"/>
        <v>12.09</v>
      </c>
      <c r="T14" s="5">
        <f t="shared" si="4"/>
        <v>11.93</v>
      </c>
      <c r="U14" s="5">
        <f t="shared" si="5"/>
        <v>12.16</v>
      </c>
      <c r="V14" s="5">
        <f t="shared" si="6"/>
        <v>11.89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631</v>
      </c>
      <c r="D15" s="3" t="s">
        <v>448</v>
      </c>
      <c r="E15" s="3" t="s">
        <v>448</v>
      </c>
      <c r="F15" s="3" t="s">
        <v>448</v>
      </c>
      <c r="G15" s="3" t="s">
        <v>632</v>
      </c>
      <c r="H15" s="52">
        <v>41666</v>
      </c>
      <c r="J15" s="3">
        <f t="shared" si="7"/>
        <v>0.12</v>
      </c>
      <c r="K15" s="3">
        <f t="shared" si="0"/>
        <v>0.12</v>
      </c>
      <c r="L15" s="3">
        <f t="shared" si="0"/>
        <v>0.12</v>
      </c>
      <c r="M15" s="3">
        <f t="shared" si="0"/>
        <v>0.11</v>
      </c>
      <c r="P15" s="14" t="s">
        <v>628</v>
      </c>
      <c r="Q15" s="10" t="str">
        <f t="shared" si="1"/>
        <v xml:space="preserve">SANTANDER BR-ON  </v>
      </c>
      <c r="R15" s="52">
        <f t="shared" si="2"/>
        <v>41666</v>
      </c>
      <c r="S15" s="5">
        <f t="shared" si="3"/>
        <v>0.12</v>
      </c>
      <c r="T15" s="5">
        <f t="shared" si="4"/>
        <v>0.12</v>
      </c>
      <c r="U15" s="5">
        <f t="shared" si="5"/>
        <v>0.12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633</v>
      </c>
      <c r="D16" s="3" t="s">
        <v>448</v>
      </c>
      <c r="E16" s="3" t="s">
        <v>448</v>
      </c>
      <c r="F16" s="3" t="s">
        <v>448</v>
      </c>
      <c r="G16" s="3" t="s">
        <v>632</v>
      </c>
      <c r="H16" s="52">
        <v>41666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629</v>
      </c>
      <c r="Q16" s="10" t="str">
        <f t="shared" si="1"/>
        <v xml:space="preserve">SANTANDER BR-PN  </v>
      </c>
      <c r="R16" s="52">
        <f t="shared" si="2"/>
        <v>41666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635</v>
      </c>
      <c r="D17" s="3" t="s">
        <v>492</v>
      </c>
      <c r="E17" s="3" t="s">
        <v>493</v>
      </c>
      <c r="F17" s="3" t="s">
        <v>492</v>
      </c>
      <c r="G17" s="3" t="s">
        <v>492</v>
      </c>
      <c r="H17" s="52" t="s">
        <v>492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634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638</v>
      </c>
      <c r="D18" s="3" t="s">
        <v>837</v>
      </c>
      <c r="E18" s="3" t="s">
        <v>838</v>
      </c>
      <c r="F18" s="3" t="s">
        <v>837</v>
      </c>
      <c r="G18" s="3" t="s">
        <v>1211</v>
      </c>
      <c r="H18" s="52">
        <v>41666</v>
      </c>
      <c r="J18" s="3">
        <f t="shared" si="7"/>
        <v>1.45</v>
      </c>
      <c r="K18" s="3">
        <f t="shared" si="0"/>
        <v>1.43</v>
      </c>
      <c r="L18" s="3">
        <f t="shared" si="0"/>
        <v>1.45</v>
      </c>
      <c r="M18" s="3">
        <f t="shared" si="0"/>
        <v>1.41</v>
      </c>
      <c r="P18" s="10" t="s">
        <v>637</v>
      </c>
      <c r="Q18" s="10" t="str">
        <f t="shared" si="1"/>
        <v xml:space="preserve">IDEIASNET   -ON  </v>
      </c>
      <c r="R18" s="52">
        <f t="shared" si="2"/>
        <v>41666</v>
      </c>
      <c r="S18" s="5">
        <f t="shared" si="3"/>
        <v>1.45</v>
      </c>
      <c r="T18" s="5">
        <f t="shared" si="4"/>
        <v>1.43</v>
      </c>
      <c r="U18" s="5">
        <f t="shared" si="5"/>
        <v>1.45</v>
      </c>
      <c r="V18" s="5">
        <f t="shared" si="6"/>
        <v>1.41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643</v>
      </c>
      <c r="D19" s="3" t="s">
        <v>1212</v>
      </c>
      <c r="E19" s="3" t="s">
        <v>1213</v>
      </c>
      <c r="F19" s="3" t="s">
        <v>1214</v>
      </c>
      <c r="G19" s="3" t="s">
        <v>1215</v>
      </c>
      <c r="H19" s="52">
        <v>41666</v>
      </c>
      <c r="J19" s="3">
        <f t="shared" si="7"/>
        <v>41.55</v>
      </c>
      <c r="K19" s="3">
        <f t="shared" si="0"/>
        <v>41.46</v>
      </c>
      <c r="L19" s="3">
        <f t="shared" si="0"/>
        <v>41.79</v>
      </c>
      <c r="M19" s="3">
        <f t="shared" si="0"/>
        <v>41.11</v>
      </c>
      <c r="P19" s="10" t="s">
        <v>640</v>
      </c>
      <c r="Q19" s="10" t="str">
        <f t="shared" si="1"/>
        <v xml:space="preserve">LINX        -ON  </v>
      </c>
      <c r="R19" s="52">
        <f t="shared" si="2"/>
        <v>41666</v>
      </c>
      <c r="S19" s="5">
        <f t="shared" si="3"/>
        <v>41.55</v>
      </c>
      <c r="T19" s="5">
        <f t="shared" si="4"/>
        <v>41.46</v>
      </c>
      <c r="U19" s="5">
        <f t="shared" si="5"/>
        <v>41.79</v>
      </c>
      <c r="V19" s="5">
        <f t="shared" si="6"/>
        <v>41.11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644</v>
      </c>
      <c r="D20" s="3" t="s">
        <v>828</v>
      </c>
      <c r="E20" s="3" t="s">
        <v>828</v>
      </c>
      <c r="F20" s="3" t="s">
        <v>828</v>
      </c>
      <c r="G20" s="3" t="s">
        <v>828</v>
      </c>
      <c r="H20" s="52">
        <v>41663</v>
      </c>
      <c r="J20" s="3">
        <f t="shared" si="7"/>
        <v>4.3499999999999996</v>
      </c>
      <c r="K20" s="3">
        <f t="shared" si="0"/>
        <v>4.3499999999999996</v>
      </c>
      <c r="L20" s="3">
        <f t="shared" si="0"/>
        <v>4.3499999999999996</v>
      </c>
      <c r="M20" s="3">
        <f t="shared" si="0"/>
        <v>4.3499999999999996</v>
      </c>
      <c r="P20" s="10" t="s">
        <v>641</v>
      </c>
      <c r="Q20" s="10" t="str">
        <f t="shared" si="1"/>
        <v>TELEBRAS    -ON</v>
      </c>
      <c r="R20" s="52">
        <f t="shared" si="2"/>
        <v>41663</v>
      </c>
      <c r="S20" s="5">
        <f t="shared" si="3"/>
        <v>4.3499999999999996</v>
      </c>
      <c r="T20" s="5">
        <f t="shared" si="4"/>
        <v>4.3499999999999996</v>
      </c>
      <c r="U20" s="5">
        <f t="shared" si="5"/>
        <v>4.3499999999999996</v>
      </c>
      <c r="V20" s="5">
        <f t="shared" si="6"/>
        <v>4.3499999999999996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645</v>
      </c>
      <c r="D21" s="3" t="s">
        <v>839</v>
      </c>
      <c r="E21" s="3" t="s">
        <v>1216</v>
      </c>
      <c r="F21" s="3" t="s">
        <v>839</v>
      </c>
      <c r="G21" s="3" t="s">
        <v>1217</v>
      </c>
      <c r="H21" s="52">
        <v>41666</v>
      </c>
      <c r="J21" s="3">
        <f t="shared" si="7"/>
        <v>2.63</v>
      </c>
      <c r="K21" s="3">
        <f t="shared" si="0"/>
        <v>2.5299999999999998</v>
      </c>
      <c r="L21" s="3">
        <f t="shared" si="0"/>
        <v>2.63</v>
      </c>
      <c r="M21" s="3">
        <f t="shared" si="0"/>
        <v>2.4900000000000002</v>
      </c>
      <c r="P21" s="14" t="s">
        <v>642</v>
      </c>
      <c r="Q21" s="10" t="str">
        <f t="shared" si="1"/>
        <v>TELEBRAS    -PN</v>
      </c>
      <c r="R21" s="52">
        <f t="shared" si="2"/>
        <v>41666</v>
      </c>
      <c r="S21" s="5">
        <f t="shared" si="3"/>
        <v>2.63</v>
      </c>
      <c r="T21" s="5">
        <f t="shared" si="4"/>
        <v>2.5299999999999998</v>
      </c>
      <c r="U21" s="5">
        <f t="shared" si="5"/>
        <v>2.63</v>
      </c>
      <c r="V21" s="5">
        <f t="shared" si="6"/>
        <v>2.4900000000000002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647</v>
      </c>
      <c r="D22" s="3" t="s">
        <v>840</v>
      </c>
      <c r="E22" s="3" t="s">
        <v>840</v>
      </c>
      <c r="F22" s="3" t="s">
        <v>840</v>
      </c>
      <c r="G22" s="3" t="s">
        <v>840</v>
      </c>
      <c r="H22" s="52">
        <v>41666</v>
      </c>
      <c r="J22" s="3">
        <f t="shared" si="7"/>
        <v>10.3</v>
      </c>
      <c r="K22" s="3">
        <f t="shared" si="0"/>
        <v>10.3</v>
      </c>
      <c r="L22" s="3">
        <f t="shared" si="0"/>
        <v>10.3</v>
      </c>
      <c r="M22" s="3">
        <f t="shared" si="0"/>
        <v>10.3</v>
      </c>
      <c r="P22" s="14" t="s">
        <v>646</v>
      </c>
      <c r="Q22" s="10" t="str">
        <f t="shared" si="1"/>
        <v xml:space="preserve">SENIOR SOL  -ON  </v>
      </c>
      <c r="R22" s="52">
        <f t="shared" si="2"/>
        <v>41666</v>
      </c>
      <c r="S22" s="5">
        <f t="shared" si="3"/>
        <v>10.3</v>
      </c>
      <c r="T22" s="5">
        <f t="shared" si="4"/>
        <v>10.3</v>
      </c>
      <c r="U22" s="5">
        <f t="shared" si="5"/>
        <v>10.3</v>
      </c>
      <c r="V22" s="5">
        <f t="shared" si="6"/>
        <v>10.3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649</v>
      </c>
      <c r="D23" s="3" t="s">
        <v>1218</v>
      </c>
      <c r="E23" s="3" t="s">
        <v>1219</v>
      </c>
      <c r="F23" s="3" t="s">
        <v>1220</v>
      </c>
      <c r="G23" s="3" t="s">
        <v>1221</v>
      </c>
      <c r="H23" s="52">
        <v>41666</v>
      </c>
      <c r="J23" s="3">
        <f t="shared" si="7"/>
        <v>33</v>
      </c>
      <c r="K23" s="3">
        <f t="shared" si="7"/>
        <v>32.36</v>
      </c>
      <c r="L23" s="3">
        <f t="shared" si="7"/>
        <v>33.61</v>
      </c>
      <c r="M23" s="3">
        <f t="shared" si="7"/>
        <v>32.33</v>
      </c>
      <c r="P23" s="14" t="s">
        <v>648</v>
      </c>
      <c r="Q23" s="10" t="str">
        <f t="shared" si="1"/>
        <v xml:space="preserve">TOTVS       -ON  </v>
      </c>
      <c r="R23" s="52">
        <f t="shared" si="2"/>
        <v>41666</v>
      </c>
      <c r="S23" s="5">
        <f t="shared" si="3"/>
        <v>33</v>
      </c>
      <c r="T23" s="5">
        <f t="shared" si="4"/>
        <v>32.36</v>
      </c>
      <c r="U23" s="5">
        <f t="shared" si="5"/>
        <v>33.61</v>
      </c>
      <c r="V23" s="5">
        <f t="shared" si="6"/>
        <v>32.33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654</v>
      </c>
      <c r="D24" s="3" t="s">
        <v>1160</v>
      </c>
      <c r="E24" s="3" t="s">
        <v>827</v>
      </c>
      <c r="F24" s="3" t="s">
        <v>855</v>
      </c>
      <c r="G24" s="3" t="s">
        <v>841</v>
      </c>
      <c r="H24" s="52">
        <v>41666</v>
      </c>
      <c r="J24" s="3">
        <f t="shared" si="7"/>
        <v>8.6999999999999993</v>
      </c>
      <c r="K24" s="3">
        <f t="shared" si="7"/>
        <v>8.74</v>
      </c>
      <c r="L24" s="3">
        <f t="shared" si="7"/>
        <v>8.8000000000000007</v>
      </c>
      <c r="M24" s="3">
        <f t="shared" si="7"/>
        <v>8.69</v>
      </c>
      <c r="P24" s="15" t="s">
        <v>651</v>
      </c>
      <c r="Q24" s="10" t="str">
        <f t="shared" si="1"/>
        <v xml:space="preserve">BEMATECH    -ON  </v>
      </c>
      <c r="R24" s="52">
        <f t="shared" si="2"/>
        <v>41666</v>
      </c>
      <c r="S24" s="5">
        <f t="shared" si="3"/>
        <v>8.6999999999999993</v>
      </c>
      <c r="T24" s="5">
        <f t="shared" si="4"/>
        <v>8.74</v>
      </c>
      <c r="U24" s="5">
        <f t="shared" si="5"/>
        <v>8.8000000000000007</v>
      </c>
      <c r="V24" s="5">
        <f t="shared" si="6"/>
        <v>8.69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655</v>
      </c>
      <c r="D25" s="3" t="s">
        <v>842</v>
      </c>
      <c r="E25" s="3" t="s">
        <v>777</v>
      </c>
      <c r="F25" s="3" t="s">
        <v>842</v>
      </c>
      <c r="G25" s="3" t="s">
        <v>777</v>
      </c>
      <c r="H25" s="52">
        <v>41662</v>
      </c>
      <c r="J25" s="3">
        <f t="shared" si="7"/>
        <v>20.100000000000001</v>
      </c>
      <c r="K25" s="3">
        <f t="shared" si="7"/>
        <v>19.8</v>
      </c>
      <c r="L25" s="3">
        <f t="shared" si="7"/>
        <v>20.100000000000001</v>
      </c>
      <c r="M25" s="3">
        <f t="shared" si="7"/>
        <v>19.8</v>
      </c>
      <c r="P25" s="10" t="s">
        <v>652</v>
      </c>
      <c r="Q25" s="10" t="str">
        <f t="shared" si="1"/>
        <v>ITAUTEC     -ON</v>
      </c>
      <c r="R25" s="52">
        <f t="shared" si="2"/>
        <v>41662</v>
      </c>
      <c r="S25" s="5">
        <f t="shared" si="3"/>
        <v>20.100000000000001</v>
      </c>
      <c r="T25" s="5">
        <f t="shared" si="4"/>
        <v>19.8</v>
      </c>
      <c r="U25" s="5">
        <f t="shared" si="5"/>
        <v>20.100000000000001</v>
      </c>
      <c r="V25" s="5">
        <f t="shared" si="6"/>
        <v>19.8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656</v>
      </c>
      <c r="D26" s="3" t="s">
        <v>755</v>
      </c>
      <c r="E26" s="3" t="s">
        <v>1195</v>
      </c>
      <c r="F26" s="3" t="s">
        <v>1195</v>
      </c>
      <c r="G26" s="3" t="s">
        <v>755</v>
      </c>
      <c r="H26" s="52">
        <v>41666</v>
      </c>
      <c r="J26" s="3">
        <f t="shared" si="7"/>
        <v>3</v>
      </c>
      <c r="K26" s="3">
        <f t="shared" si="7"/>
        <v>3.09</v>
      </c>
      <c r="L26" s="3">
        <f t="shared" si="7"/>
        <v>3.09</v>
      </c>
      <c r="M26" s="3">
        <f t="shared" si="7"/>
        <v>3</v>
      </c>
      <c r="P26" s="15" t="s">
        <v>653</v>
      </c>
      <c r="Q26" s="10" t="str">
        <f t="shared" si="1"/>
        <v xml:space="preserve">POSITIVO INF-ON  </v>
      </c>
      <c r="R26" s="52">
        <f t="shared" si="2"/>
        <v>41666</v>
      </c>
      <c r="S26" s="5">
        <f t="shared" si="3"/>
        <v>3</v>
      </c>
      <c r="T26" s="5">
        <f t="shared" si="4"/>
        <v>3.09</v>
      </c>
      <c r="U26" s="5">
        <f t="shared" si="5"/>
        <v>3.09</v>
      </c>
      <c r="V26" s="5">
        <f t="shared" si="6"/>
        <v>3</v>
      </c>
    </row>
    <row r="27" spans="1:22">
      <c r="A27" s="34" t="str">
        <f>IF(Tabela176[[#This Row],[Código]]="IBOV","^BVSP",IF(Tabela176[[#This Row],[Código]]="","",CONCATENATE(LEFT(Tabela176[[#This Row],[Código]],6),".SA")))</f>
        <v>RPMG3.SA</v>
      </c>
      <c r="C27" s="3" t="s">
        <v>660</v>
      </c>
      <c r="D27" s="3" t="s">
        <v>661</v>
      </c>
      <c r="E27" s="3" t="s">
        <v>661</v>
      </c>
      <c r="F27" s="3" t="s">
        <v>113</v>
      </c>
      <c r="G27" s="3" t="s">
        <v>818</v>
      </c>
      <c r="H27" s="52">
        <v>41666</v>
      </c>
      <c r="J27" s="3">
        <f t="shared" si="7"/>
        <v>0.25</v>
      </c>
      <c r="K27" s="3">
        <f t="shared" si="7"/>
        <v>0.25</v>
      </c>
      <c r="L27" s="3">
        <f t="shared" si="7"/>
        <v>0.26</v>
      </c>
      <c r="M27" s="3">
        <f t="shared" si="7"/>
        <v>0.24</v>
      </c>
      <c r="P27" s="15" t="s">
        <v>658</v>
      </c>
      <c r="Q27" s="10" t="str">
        <f t="shared" si="1"/>
        <v>PET MANGUINH-ON</v>
      </c>
      <c r="R27" s="52">
        <f t="shared" si="2"/>
        <v>41666</v>
      </c>
      <c r="S27" s="5">
        <f t="shared" si="3"/>
        <v>0.25</v>
      </c>
      <c r="T27" s="5">
        <f t="shared" si="4"/>
        <v>0.25</v>
      </c>
      <c r="U27" s="5">
        <f t="shared" si="5"/>
        <v>0.26</v>
      </c>
      <c r="V27" s="5">
        <f t="shared" si="6"/>
        <v>0.24</v>
      </c>
    </row>
    <row r="28" spans="1:22">
      <c r="A28" s="34" t="str">
        <f>IF(Tabela176[[#This Row],[Código]]="IBOV","^BVSP",IF(Tabela176[[#This Row],[Código]]="","",CONCATENATE(LEFT(Tabela176[[#This Row],[Código]],6),".SA")))</f>
        <v>RPMG4.SA</v>
      </c>
      <c r="C28" s="3" t="s">
        <v>662</v>
      </c>
      <c r="D28" s="3" t="s">
        <v>661</v>
      </c>
      <c r="E28" s="3" t="s">
        <v>661</v>
      </c>
      <c r="F28" s="3" t="s">
        <v>661</v>
      </c>
      <c r="G28" s="3" t="s">
        <v>818</v>
      </c>
      <c r="H28" s="52">
        <v>41666</v>
      </c>
      <c r="J28" s="3">
        <f t="shared" si="7"/>
        <v>0.25</v>
      </c>
      <c r="K28" s="3">
        <f t="shared" si="7"/>
        <v>0.25</v>
      </c>
      <c r="L28" s="3">
        <f t="shared" si="7"/>
        <v>0.25</v>
      </c>
      <c r="M28" s="3">
        <f t="shared" si="7"/>
        <v>0.24</v>
      </c>
      <c r="P28" s="15" t="s">
        <v>659</v>
      </c>
      <c r="Q28" s="10" t="str">
        <f t="shared" si="1"/>
        <v>PET MANGUINH-PN</v>
      </c>
      <c r="R28" s="52">
        <f t="shared" si="2"/>
        <v>41666</v>
      </c>
      <c r="S28" s="5">
        <f t="shared" si="3"/>
        <v>0.25</v>
      </c>
      <c r="T28" s="5">
        <f t="shared" si="4"/>
        <v>0.25</v>
      </c>
      <c r="U28" s="5">
        <f t="shared" si="5"/>
        <v>0.25</v>
      </c>
      <c r="V28" s="5">
        <f t="shared" si="6"/>
        <v>0.24</v>
      </c>
    </row>
    <row r="29" spans="1:22">
      <c r="A29" s="34" t="str">
        <f>IF(Tabela176[[#This Row],[Código]]="IBOV","^BVSP",IF(Tabela176[[#This Row],[Código]]="","",CONCATENATE(LEFT(Tabela176[[#This Row],[Código]],6),".SA")))</f>
        <v>CSNA3.SA</v>
      </c>
      <c r="C29" s="3" t="s">
        <v>666</v>
      </c>
      <c r="D29" s="3" t="s">
        <v>887</v>
      </c>
      <c r="E29" s="3" t="s">
        <v>1222</v>
      </c>
      <c r="F29" s="3" t="s">
        <v>1223</v>
      </c>
      <c r="G29" s="3" t="s">
        <v>1224</v>
      </c>
      <c r="H29" s="52">
        <v>41666</v>
      </c>
      <c r="J29" s="3">
        <f>IF($A29="",0,VALUE(CONCATENATE(LEFT(D29,LEN(D29)-3),",",RIGHT(D29,2))))</f>
        <v>11.84</v>
      </c>
      <c r="K29" s="3">
        <f t="shared" si="7"/>
        <v>11.35</v>
      </c>
      <c r="L29" s="3">
        <f t="shared" si="7"/>
        <v>12.05</v>
      </c>
      <c r="M29" s="3">
        <f t="shared" si="7"/>
        <v>11.32</v>
      </c>
      <c r="P29" s="15" t="s">
        <v>665</v>
      </c>
      <c r="Q29" s="10" t="str">
        <f t="shared" si="1"/>
        <v>SID NACIONAL-ON</v>
      </c>
      <c r="R29" s="52">
        <f t="shared" si="2"/>
        <v>41666</v>
      </c>
      <c r="S29" s="5">
        <f t="shared" si="3"/>
        <v>11.84</v>
      </c>
      <c r="T29" s="5">
        <f t="shared" si="4"/>
        <v>11.35</v>
      </c>
      <c r="U29" s="5">
        <f t="shared" si="5"/>
        <v>12.05</v>
      </c>
      <c r="V29" s="5">
        <f t="shared" si="6"/>
        <v>11.32</v>
      </c>
    </row>
    <row r="30" spans="1:22">
      <c r="A30" s="34" t="str">
        <f>IF(Tabela176[[#This Row],[Código]]="IBOV","^BVSP",IF(Tabela176[[#This Row],[Código]]="","",CONCATENATE(LEFT(Tabela176[[#This Row],[Código]],6),".SA")))</f>
        <v>USIM3.SA</v>
      </c>
      <c r="C30" s="3" t="s">
        <v>670</v>
      </c>
      <c r="D30" s="3" t="s">
        <v>1225</v>
      </c>
      <c r="E30" s="3" t="s">
        <v>1226</v>
      </c>
      <c r="F30" s="3" t="s">
        <v>1227</v>
      </c>
      <c r="G30" s="3" t="s">
        <v>1228</v>
      </c>
      <c r="H30" s="52">
        <v>41666</v>
      </c>
      <c r="J30" s="3">
        <f t="shared" si="7"/>
        <v>11.52</v>
      </c>
      <c r="K30" s="3">
        <f t="shared" si="7"/>
        <v>11.5</v>
      </c>
      <c r="L30" s="3">
        <f t="shared" si="7"/>
        <v>11.74</v>
      </c>
      <c r="M30" s="3">
        <f t="shared" si="7"/>
        <v>11.25</v>
      </c>
      <c r="P30" s="14" t="s">
        <v>667</v>
      </c>
      <c r="Q30" s="10" t="str">
        <f t="shared" si="1"/>
        <v xml:space="preserve">USIMINAS    -ON  </v>
      </c>
      <c r="R30" s="52">
        <f t="shared" si="2"/>
        <v>41666</v>
      </c>
      <c r="S30" s="5">
        <f t="shared" si="3"/>
        <v>11.52</v>
      </c>
      <c r="T30" s="5">
        <f t="shared" si="4"/>
        <v>11.5</v>
      </c>
      <c r="U30" s="5">
        <f t="shared" si="5"/>
        <v>11.74</v>
      </c>
      <c r="V30" s="5">
        <f t="shared" si="6"/>
        <v>11.25</v>
      </c>
    </row>
    <row r="31" spans="1:22">
      <c r="A31" s="34" t="str">
        <f>IF(Tabela176[[#This Row],[Código]]="IBOV","^BVSP",IF(Tabela176[[#This Row],[Código]]="","",CONCATENATE(LEFT(Tabela176[[#This Row],[Código]],6),".SA")))</f>
        <v>USIM5.SA</v>
      </c>
      <c r="C31" s="3" t="s">
        <v>671</v>
      </c>
      <c r="D31" s="3" t="s">
        <v>1229</v>
      </c>
      <c r="E31" s="3" t="s">
        <v>835</v>
      </c>
      <c r="F31" s="3" t="s">
        <v>1230</v>
      </c>
      <c r="G31" s="3" t="s">
        <v>1223</v>
      </c>
      <c r="H31" s="52">
        <v>41666</v>
      </c>
      <c r="J31" s="3">
        <f t="shared" si="7"/>
        <v>12.58</v>
      </c>
      <c r="K31" s="3">
        <f t="shared" si="7"/>
        <v>12.22</v>
      </c>
      <c r="L31" s="3">
        <f t="shared" si="7"/>
        <v>12.69</v>
      </c>
      <c r="M31" s="3">
        <f t="shared" si="7"/>
        <v>12.05</v>
      </c>
      <c r="P31" s="14" t="s">
        <v>668</v>
      </c>
      <c r="Q31" s="10" t="str">
        <f t="shared" si="1"/>
        <v xml:space="preserve">USIMINAS    -PNA </v>
      </c>
      <c r="R31" s="52">
        <f t="shared" si="2"/>
        <v>41666</v>
      </c>
      <c r="S31" s="5">
        <f t="shared" si="3"/>
        <v>12.58</v>
      </c>
      <c r="T31" s="5">
        <f t="shared" si="4"/>
        <v>12.22</v>
      </c>
      <c r="U31" s="5">
        <f t="shared" si="5"/>
        <v>12.69</v>
      </c>
      <c r="V31" s="5">
        <f t="shared" si="6"/>
        <v>12.05</v>
      </c>
    </row>
    <row r="32" spans="1:22">
      <c r="A32" s="34" t="str">
        <f>IF(Tabela176[[#This Row],[Código]]="IBOV","^BVSP",IF(Tabela176[[#This Row],[Código]]="","",CONCATENATE(LEFT(Tabela176[[#This Row],[Código]],6),".SA")))</f>
        <v>USIM6.SA</v>
      </c>
      <c r="C32" s="3" t="s">
        <v>672</v>
      </c>
      <c r="D32" s="3" t="s">
        <v>673</v>
      </c>
      <c r="E32" s="3" t="s">
        <v>673</v>
      </c>
      <c r="F32" s="3" t="s">
        <v>673</v>
      </c>
      <c r="G32" s="3" t="s">
        <v>673</v>
      </c>
      <c r="H32" s="52">
        <v>41620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669</v>
      </c>
      <c r="Q32" s="10" t="str">
        <f t="shared" si="1"/>
        <v xml:space="preserve">USIMINAS    -PNB </v>
      </c>
      <c r="R32" s="52">
        <f t="shared" si="2"/>
        <v>41620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4" t="str">
        <f>IF(Tabela176[[#This Row],[Código]]="IBOV","^BVSP",IF(Tabela176[[#This Row],[Código]]="","",CONCATENATE(LEFT(Tabela176[[#This Row],[Código]],6),".SA")))</f>
        <v>GGBR3.SA</v>
      </c>
      <c r="C33" s="3" t="s">
        <v>676</v>
      </c>
      <c r="D33" s="3" t="s">
        <v>1231</v>
      </c>
      <c r="E33" s="3" t="s">
        <v>923</v>
      </c>
      <c r="F33" s="3" t="s">
        <v>1231</v>
      </c>
      <c r="G33" s="3" t="s">
        <v>790</v>
      </c>
      <c r="H33" s="52">
        <v>41666</v>
      </c>
      <c r="J33" s="3">
        <f t="shared" si="7"/>
        <v>13.99</v>
      </c>
      <c r="K33" s="3">
        <f t="shared" si="7"/>
        <v>13.59</v>
      </c>
      <c r="L33" s="3">
        <f t="shared" si="7"/>
        <v>13.99</v>
      </c>
      <c r="M33" s="3">
        <f t="shared" si="7"/>
        <v>13.5</v>
      </c>
      <c r="P33" s="14" t="s">
        <v>674</v>
      </c>
      <c r="Q33" s="10" t="str">
        <f t="shared" si="1"/>
        <v xml:space="preserve">GERDAU      -ON  </v>
      </c>
      <c r="R33" s="52">
        <f t="shared" si="2"/>
        <v>41666</v>
      </c>
      <c r="S33" s="5">
        <f t="shared" si="3"/>
        <v>13.99</v>
      </c>
      <c r="T33" s="5">
        <f t="shared" si="4"/>
        <v>13.59</v>
      </c>
      <c r="U33" s="5">
        <f t="shared" si="5"/>
        <v>13.99</v>
      </c>
      <c r="V33" s="5">
        <f t="shared" si="6"/>
        <v>13.5</v>
      </c>
    </row>
    <row r="34" spans="1:22">
      <c r="A34" s="34" t="str">
        <f>IF(Tabela176[[#This Row],[Código]]="IBOV","^BVSP",IF(Tabela176[[#This Row],[Código]]="","",CONCATENATE(LEFT(Tabela176[[#This Row],[Código]],6),".SA")))</f>
        <v>GGBR4.SA</v>
      </c>
      <c r="C34" s="3" t="s">
        <v>677</v>
      </c>
      <c r="D34" s="3" t="s">
        <v>825</v>
      </c>
      <c r="E34" s="3" t="s">
        <v>1232</v>
      </c>
      <c r="F34" s="3" t="s">
        <v>917</v>
      </c>
      <c r="G34" s="3" t="s">
        <v>1233</v>
      </c>
      <c r="H34" s="52">
        <v>41666</v>
      </c>
      <c r="J34" s="3">
        <f t="shared" si="7"/>
        <v>16.850000000000001</v>
      </c>
      <c r="K34" s="3">
        <f t="shared" si="7"/>
        <v>16.71</v>
      </c>
      <c r="L34" s="3">
        <f t="shared" si="7"/>
        <v>17.18</v>
      </c>
      <c r="M34" s="3">
        <f t="shared" si="7"/>
        <v>16.7</v>
      </c>
      <c r="P34" s="14" t="s">
        <v>675</v>
      </c>
      <c r="Q34" s="10" t="str">
        <f t="shared" si="1"/>
        <v xml:space="preserve">GERDAU      -PN  </v>
      </c>
      <c r="R34" s="52">
        <f t="shared" si="2"/>
        <v>41666</v>
      </c>
      <c r="S34" s="5">
        <f t="shared" si="3"/>
        <v>16.850000000000001</v>
      </c>
      <c r="T34" s="5">
        <f t="shared" si="4"/>
        <v>16.71</v>
      </c>
      <c r="U34" s="5">
        <f t="shared" si="5"/>
        <v>17.18</v>
      </c>
      <c r="V34" s="5">
        <f t="shared" si="6"/>
        <v>16.7</v>
      </c>
    </row>
    <row r="35" spans="1:22">
      <c r="A35" s="34" t="str">
        <f>IF(Tabela176[[#This Row],[Código]]="IBOV","^BVSP",IF(Tabela176[[#This Row],[Código]]="","",CONCATENATE(LEFT(Tabela176[[#This Row],[Código]],6),".SA")))</f>
        <v>GOAU3.SA</v>
      </c>
      <c r="C35" s="3" t="s">
        <v>680</v>
      </c>
      <c r="D35" s="3" t="s">
        <v>1233</v>
      </c>
      <c r="E35" s="3" t="s">
        <v>1234</v>
      </c>
      <c r="F35" s="3" t="s">
        <v>1233</v>
      </c>
      <c r="G35" s="3" t="s">
        <v>1234</v>
      </c>
      <c r="H35" s="52">
        <v>41666</v>
      </c>
      <c r="J35" s="3">
        <f t="shared" si="7"/>
        <v>16.7</v>
      </c>
      <c r="K35" s="3">
        <f t="shared" si="7"/>
        <v>16.5</v>
      </c>
      <c r="L35" s="3">
        <f t="shared" si="7"/>
        <v>16.7</v>
      </c>
      <c r="M35" s="3">
        <f t="shared" si="7"/>
        <v>16.5</v>
      </c>
      <c r="P35" s="14" t="s">
        <v>678</v>
      </c>
      <c r="Q35" s="10" t="str">
        <f t="shared" si="1"/>
        <v xml:space="preserve">GERDAU MET  -ON  </v>
      </c>
      <c r="R35" s="52">
        <f t="shared" si="2"/>
        <v>41666</v>
      </c>
      <c r="S35" s="5">
        <f t="shared" si="3"/>
        <v>16.7</v>
      </c>
      <c r="T35" s="5">
        <f t="shared" si="4"/>
        <v>16.5</v>
      </c>
      <c r="U35" s="5">
        <f t="shared" si="5"/>
        <v>16.7</v>
      </c>
      <c r="V35" s="5">
        <f t="shared" si="6"/>
        <v>16.5</v>
      </c>
    </row>
    <row r="36" spans="1:22">
      <c r="A36" s="34" t="str">
        <f>IF(Tabela176[[#This Row],[Código]]="IBOV","^BVSP",IF(Tabela176[[#This Row],[Código]]="","",CONCATENATE(LEFT(Tabela176[[#This Row],[Código]],6),".SA")))</f>
        <v>GOAU4.SA</v>
      </c>
      <c r="C36" s="3" t="s">
        <v>681</v>
      </c>
      <c r="D36" s="3" t="s">
        <v>1235</v>
      </c>
      <c r="E36" s="3" t="s">
        <v>1236</v>
      </c>
      <c r="F36" s="3" t="s">
        <v>1237</v>
      </c>
      <c r="G36" s="3" t="s">
        <v>1236</v>
      </c>
      <c r="H36" s="52">
        <v>41666</v>
      </c>
      <c r="J36" s="3">
        <f t="shared" si="7"/>
        <v>21.26</v>
      </c>
      <c r="K36" s="3">
        <f t="shared" si="7"/>
        <v>20.83</v>
      </c>
      <c r="L36" s="3">
        <f t="shared" si="7"/>
        <v>21.54</v>
      </c>
      <c r="M36" s="3">
        <f t="shared" si="7"/>
        <v>20.83</v>
      </c>
      <c r="P36" s="14" t="s">
        <v>679</v>
      </c>
      <c r="Q36" s="10" t="str">
        <f t="shared" si="1"/>
        <v xml:space="preserve">GERDAU MET  -PN  </v>
      </c>
      <c r="R36" s="52">
        <f t="shared" si="2"/>
        <v>41666</v>
      </c>
      <c r="S36" s="5">
        <f t="shared" si="3"/>
        <v>21.26</v>
      </c>
      <c r="T36" s="5">
        <f t="shared" si="4"/>
        <v>20.83</v>
      </c>
      <c r="U36" s="5">
        <f t="shared" si="5"/>
        <v>21.54</v>
      </c>
      <c r="V36" s="5">
        <f t="shared" si="6"/>
        <v>20.83</v>
      </c>
    </row>
    <row r="37" spans="1:22">
      <c r="A37" s="34" t="str">
        <f>IF(Tabela176[[#This Row],[Código]]="IBOV","^BVSP",IF(Tabela176[[#This Row],[Código]]="","",CONCATENATE(LEFT(Tabela176[[#This Row],[Código]],6),".SA")))</f>
        <v>FBMC3.SA</v>
      </c>
      <c r="C37" s="3" t="s">
        <v>684</v>
      </c>
      <c r="D37" s="3" t="s">
        <v>492</v>
      </c>
      <c r="E37" s="3" t="s">
        <v>685</v>
      </c>
      <c r="F37" s="3" t="s">
        <v>685</v>
      </c>
      <c r="G37" s="3" t="s">
        <v>685</v>
      </c>
      <c r="H37" s="52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682</v>
      </c>
      <c r="Q37" s="10" t="str">
        <f t="shared" si="1"/>
        <v>FIBAM       -ON</v>
      </c>
      <c r="R37" s="52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4" t="str">
        <f>IF(Tabela176[[#This Row],[Código]]="IBOV","^BVSP",IF(Tabela176[[#This Row],[Código]]="","",CONCATENATE(LEFT(Tabela176[[#This Row],[Código]],6),".SA")))</f>
        <v>FBMC4.SA</v>
      </c>
      <c r="C38" s="3" t="s">
        <v>686</v>
      </c>
      <c r="D38" s="3" t="s">
        <v>690</v>
      </c>
      <c r="E38" s="3" t="s">
        <v>845</v>
      </c>
      <c r="F38" s="3" t="s">
        <v>846</v>
      </c>
      <c r="G38" s="3" t="s">
        <v>690</v>
      </c>
      <c r="H38" s="52">
        <v>41662</v>
      </c>
      <c r="J38" s="3">
        <f t="shared" si="7"/>
        <v>25</v>
      </c>
      <c r="K38" s="3">
        <f t="shared" si="7"/>
        <v>25.8</v>
      </c>
      <c r="L38" s="3">
        <f t="shared" si="7"/>
        <v>26.5</v>
      </c>
      <c r="M38" s="3">
        <f t="shared" si="7"/>
        <v>25</v>
      </c>
      <c r="P38" s="15" t="s">
        <v>683</v>
      </c>
      <c r="Q38" s="10" t="str">
        <f t="shared" si="1"/>
        <v>FIBAM       -PN</v>
      </c>
      <c r="R38" s="52">
        <f t="shared" si="2"/>
        <v>41662</v>
      </c>
      <c r="S38" s="5">
        <f t="shared" si="3"/>
        <v>25</v>
      </c>
      <c r="T38" s="5">
        <f t="shared" si="4"/>
        <v>25.8</v>
      </c>
      <c r="U38" s="5">
        <f t="shared" si="5"/>
        <v>26.5</v>
      </c>
      <c r="V38" s="5">
        <f t="shared" si="6"/>
        <v>25</v>
      </c>
    </row>
    <row r="39" spans="1:22">
      <c r="A39" s="34" t="str">
        <f>IF(Tabela176[[#This Row],[Código]]="IBOV","^BVSP",IF(Tabela176[[#This Row],[Código]]="","",CONCATENATE(LEFT(Tabela176[[#This Row],[Código]],6),".SA")))</f>
        <v>MGEL3.SA</v>
      </c>
      <c r="C39" s="3" t="s">
        <v>689</v>
      </c>
      <c r="D39" s="3" t="s">
        <v>492</v>
      </c>
      <c r="E39" s="3" t="s">
        <v>690</v>
      </c>
      <c r="F39" s="3" t="s">
        <v>690</v>
      </c>
      <c r="G39" s="3" t="s">
        <v>690</v>
      </c>
      <c r="H39" s="52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687</v>
      </c>
      <c r="Q39" s="10" t="str">
        <f t="shared" ref="Q39:Q70" si="8">IF(A39="","",C39)</f>
        <v xml:space="preserve">MANGELS INDL-ON  </v>
      </c>
      <c r="R39" s="52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4" t="str">
        <f>IF(Tabela176[[#This Row],[Código]]="IBOV","^BVSP",IF(Tabela176[[#This Row],[Código]]="","",CONCATENATE(LEFT(Tabela176[[#This Row],[Código]],6),".SA")))</f>
        <v>MGEL4.SA</v>
      </c>
      <c r="C40" s="3" t="s">
        <v>691</v>
      </c>
      <c r="D40" s="3" t="s">
        <v>692</v>
      </c>
      <c r="E40" s="3" t="s">
        <v>692</v>
      </c>
      <c r="F40" s="3" t="s">
        <v>692</v>
      </c>
      <c r="G40" s="3" t="s">
        <v>783</v>
      </c>
      <c r="H40" s="52">
        <v>41666</v>
      </c>
      <c r="J40" s="3">
        <f t="shared" si="7"/>
        <v>0.57999999999999996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0.56000000000000005</v>
      </c>
      <c r="P40" s="14" t="s">
        <v>688</v>
      </c>
      <c r="Q40" s="10" t="str">
        <f t="shared" si="8"/>
        <v xml:space="preserve">MANGELS INDL-PN  </v>
      </c>
      <c r="R40" s="52">
        <f t="shared" si="9"/>
        <v>41666</v>
      </c>
      <c r="S40" s="5">
        <f t="shared" si="10"/>
        <v>0.57999999999999996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0.56000000000000005</v>
      </c>
    </row>
    <row r="41" spans="1:22">
      <c r="A41" s="34" t="str">
        <f>IF(Tabela176[[#This Row],[Código]]="IBOV","^BVSP",IF(Tabela176[[#This Row],[Código]]="","",CONCATENATE(LEFT(Tabela176[[#This Row],[Código]],6),".SA")))</f>
        <v>DUQE3.SA</v>
      </c>
      <c r="C41" s="3" t="s">
        <v>695</v>
      </c>
      <c r="D41" s="3" t="s">
        <v>492</v>
      </c>
      <c r="E41" s="3" t="s">
        <v>696</v>
      </c>
      <c r="F41" s="3" t="s">
        <v>696</v>
      </c>
      <c r="G41" s="3" t="s">
        <v>696</v>
      </c>
      <c r="H41" s="52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693</v>
      </c>
      <c r="Q41" s="10" t="str">
        <f t="shared" si="8"/>
        <v>MET DUQUE   -ON</v>
      </c>
      <c r="R41" s="52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4" t="str">
        <f>IF(Tabela176[[#This Row],[Código]]="IBOV","^BVSP",IF(Tabela176[[#This Row],[Código]]="","",CONCATENATE(LEFT(Tabela176[[#This Row],[Código]],6),".SA")))</f>
        <v>DUQE4.SA</v>
      </c>
      <c r="C42" s="3" t="s">
        <v>697</v>
      </c>
      <c r="D42" s="3" t="s">
        <v>824</v>
      </c>
      <c r="E42" s="3" t="s">
        <v>847</v>
      </c>
      <c r="F42" s="3" t="s">
        <v>847</v>
      </c>
      <c r="G42" s="3" t="s">
        <v>824</v>
      </c>
      <c r="H42" s="52">
        <v>41662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694</v>
      </c>
      <c r="Q42" s="10" t="str">
        <f t="shared" si="8"/>
        <v>MET DUQUE   -PN</v>
      </c>
      <c r="R42" s="52">
        <f t="shared" si="9"/>
        <v>41662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>
      <c r="A43" s="34" t="str">
        <f>IF(Tabela176[[#This Row],[Código]]="IBOV","^BVSP",IF(Tabela176[[#This Row],[Código]]="","",CONCATENATE(LEFT(Tabela176[[#This Row],[Código]],6),".SA")))</f>
        <v>PMAM3.SA</v>
      </c>
      <c r="C43" s="3" t="s">
        <v>701</v>
      </c>
      <c r="D43" s="3" t="s">
        <v>1238</v>
      </c>
      <c r="E43" s="3" t="s">
        <v>1239</v>
      </c>
      <c r="F43" s="3" t="s">
        <v>848</v>
      </c>
      <c r="G43" s="3" t="s">
        <v>1150</v>
      </c>
      <c r="H43" s="52">
        <v>41666</v>
      </c>
      <c r="J43" s="3">
        <f t="shared" si="7"/>
        <v>4.7300000000000004</v>
      </c>
      <c r="K43" s="3">
        <f t="shared" si="7"/>
        <v>4.5199999999999996</v>
      </c>
      <c r="L43" s="3">
        <f t="shared" si="7"/>
        <v>4.74</v>
      </c>
      <c r="M43" s="3">
        <f t="shared" si="7"/>
        <v>4.5</v>
      </c>
      <c r="P43" s="14" t="s">
        <v>700</v>
      </c>
      <c r="Q43" s="10" t="str">
        <f t="shared" si="8"/>
        <v xml:space="preserve">PARANAPANEMA-ON  </v>
      </c>
      <c r="R43" s="52">
        <f t="shared" si="9"/>
        <v>41666</v>
      </c>
      <c r="S43" s="5">
        <f t="shared" si="10"/>
        <v>4.7300000000000004</v>
      </c>
      <c r="T43" s="5">
        <f t="shared" si="11"/>
        <v>4.5199999999999996</v>
      </c>
      <c r="U43" s="5">
        <f t="shared" si="12"/>
        <v>4.74</v>
      </c>
      <c r="V43" s="5">
        <f t="shared" si="13"/>
        <v>4.5</v>
      </c>
    </row>
    <row r="44" spans="1:22">
      <c r="A44" s="34" t="str">
        <f>IF(Tabela176[[#This Row],[Código]]="IBOV","^BVSP",IF(Tabela176[[#This Row],[Código]]="","",CONCATENATE(LEFT(Tabela176[[#This Row],[Código]],6),".SA")))</f>
        <v>TIBR3.SA</v>
      </c>
      <c r="C44" s="3" t="s">
        <v>707</v>
      </c>
      <c r="D44" s="3" t="s">
        <v>492</v>
      </c>
      <c r="E44" s="3" t="s">
        <v>592</v>
      </c>
      <c r="F44" s="3" t="s">
        <v>592</v>
      </c>
      <c r="G44" s="3" t="s">
        <v>592</v>
      </c>
      <c r="H44" s="52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703</v>
      </c>
      <c r="Q44" s="10" t="str">
        <f t="shared" si="8"/>
        <v>MILLENNIUM  -ON</v>
      </c>
      <c r="R44" s="52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4" t="str">
        <f>IF(Tabela176[[#This Row],[Código]]="IBOV","^BVSP",IF(Tabela176[[#This Row],[Código]]="","",CONCATENATE(LEFT(Tabela176[[#This Row],[Código]],6),".SA")))</f>
        <v>TIBR5.SA</v>
      </c>
      <c r="C45" s="3" t="s">
        <v>708</v>
      </c>
      <c r="D45" s="3" t="s">
        <v>853</v>
      </c>
      <c r="E45" s="3" t="s">
        <v>818</v>
      </c>
      <c r="F45" s="3" t="s">
        <v>818</v>
      </c>
      <c r="G45" s="3" t="s">
        <v>853</v>
      </c>
      <c r="H45" s="52">
        <v>41666</v>
      </c>
      <c r="J45" s="3">
        <f t="shared" si="7"/>
        <v>0.23</v>
      </c>
      <c r="K45" s="3">
        <f t="shared" si="7"/>
        <v>0.24</v>
      </c>
      <c r="L45" s="3">
        <f t="shared" si="7"/>
        <v>0.24</v>
      </c>
      <c r="M45" s="3">
        <f t="shared" si="7"/>
        <v>0.23</v>
      </c>
      <c r="P45" s="14" t="s">
        <v>704</v>
      </c>
      <c r="Q45" s="10" t="str">
        <f t="shared" si="8"/>
        <v>MILLENNIUM  -PNA</v>
      </c>
      <c r="R45" s="52">
        <f t="shared" si="9"/>
        <v>41666</v>
      </c>
      <c r="S45" s="5">
        <f t="shared" si="10"/>
        <v>0.23</v>
      </c>
      <c r="T45" s="5">
        <f t="shared" si="11"/>
        <v>0.24</v>
      </c>
      <c r="U45" s="5">
        <f t="shared" si="12"/>
        <v>0.24</v>
      </c>
      <c r="V45" s="5">
        <f t="shared" si="13"/>
        <v>0.23</v>
      </c>
    </row>
    <row r="46" spans="1:22">
      <c r="A46" s="34" t="str">
        <f>IF(Tabela176[[#This Row],[Código]]="IBOV","^BVSP",IF(Tabela176[[#This Row],[Código]]="","",CONCATENATE(LEFT(Tabela176[[#This Row],[Código]],6),".SA")))</f>
        <v>TIBR6.SA</v>
      </c>
      <c r="C46" s="3" t="s">
        <v>709</v>
      </c>
      <c r="D46" s="3" t="s">
        <v>1240</v>
      </c>
      <c r="E46" s="3" t="s">
        <v>736</v>
      </c>
      <c r="F46" s="3" t="s">
        <v>736</v>
      </c>
      <c r="G46" s="3" t="s">
        <v>1240</v>
      </c>
      <c r="H46" s="52">
        <v>41666</v>
      </c>
      <c r="J46" s="3">
        <f t="shared" si="7"/>
        <v>0.19</v>
      </c>
      <c r="K46" s="3">
        <f t="shared" si="7"/>
        <v>0.2</v>
      </c>
      <c r="L46" s="3">
        <f t="shared" si="7"/>
        <v>0.2</v>
      </c>
      <c r="M46" s="3">
        <f t="shared" si="7"/>
        <v>0.19</v>
      </c>
      <c r="P46" s="14" t="s">
        <v>705</v>
      </c>
      <c r="Q46" s="10" t="str">
        <f t="shared" si="8"/>
        <v>MILLENNIUM  -PNB</v>
      </c>
      <c r="R46" s="47">
        <f t="shared" si="9"/>
        <v>41666</v>
      </c>
      <c r="S46" s="6">
        <f t="shared" si="10"/>
        <v>0.19</v>
      </c>
      <c r="T46" s="6">
        <f t="shared" si="11"/>
        <v>0.2</v>
      </c>
      <c r="U46" s="6">
        <f t="shared" si="12"/>
        <v>0.2</v>
      </c>
      <c r="V46" s="6">
        <f t="shared" si="13"/>
        <v>0.19</v>
      </c>
    </row>
    <row r="47" spans="1:22">
      <c r="A47" s="34" t="str">
        <f>IF(Tabela176[[#This Row],[Código]]="IBOV","^BVSP",IF(Tabela176[[#This Row],[Código]]="","",CONCATENATE(LEFT(Tabela176[[#This Row],[Código]],6),".SA")))</f>
        <v>GPCP3.SA</v>
      </c>
      <c r="C47" s="3" t="s">
        <v>729</v>
      </c>
      <c r="D47" s="3" t="s">
        <v>484</v>
      </c>
      <c r="E47" s="3" t="s">
        <v>484</v>
      </c>
      <c r="F47" s="3" t="s">
        <v>438</v>
      </c>
      <c r="G47" s="3" t="s">
        <v>776</v>
      </c>
      <c r="H47" s="52">
        <v>41666</v>
      </c>
      <c r="J47" s="3">
        <f t="shared" si="7"/>
        <v>0.49</v>
      </c>
      <c r="K47" s="3">
        <f t="shared" si="7"/>
        <v>0.49</v>
      </c>
      <c r="L47" s="3">
        <f t="shared" si="7"/>
        <v>0.5</v>
      </c>
      <c r="M47" s="3">
        <f t="shared" si="7"/>
        <v>0.45</v>
      </c>
      <c r="P47" s="14" t="s">
        <v>728</v>
      </c>
      <c r="Q47" s="10" t="str">
        <f t="shared" si="8"/>
        <v>GPC PART    -ON</v>
      </c>
      <c r="R47" s="52">
        <f t="shared" si="9"/>
        <v>41666</v>
      </c>
      <c r="S47" s="5">
        <f t="shared" si="10"/>
        <v>0.49</v>
      </c>
      <c r="T47" s="5">
        <f t="shared" si="11"/>
        <v>0.49</v>
      </c>
      <c r="U47" s="5">
        <f t="shared" si="12"/>
        <v>0.5</v>
      </c>
      <c r="V47" s="5">
        <f t="shared" si="13"/>
        <v>0.45</v>
      </c>
    </row>
    <row r="48" spans="1:22">
      <c r="A48" s="34" t="str">
        <f>IF(Tabela176[[#This Row],[Código]]="IBOV","^BVSP",IF(Tabela176[[#This Row],[Código]]="","",CONCATENATE(LEFT(Tabela176[[#This Row],[Código]],6),".SA")))</f>
        <v>RHDS3.SA</v>
      </c>
      <c r="C48" s="3" t="s">
        <v>731</v>
      </c>
      <c r="D48" s="3" t="s">
        <v>749</v>
      </c>
      <c r="E48" s="3" t="s">
        <v>749</v>
      </c>
      <c r="F48" s="3" t="s">
        <v>749</v>
      </c>
      <c r="G48" s="3" t="s">
        <v>749</v>
      </c>
      <c r="H48" s="52">
        <v>41666</v>
      </c>
      <c r="J48" s="3">
        <f t="shared" si="7"/>
        <v>0.08</v>
      </c>
      <c r="K48" s="3">
        <f t="shared" si="7"/>
        <v>0.08</v>
      </c>
      <c r="L48" s="3">
        <f t="shared" si="7"/>
        <v>0.08</v>
      </c>
      <c r="M48" s="3">
        <f t="shared" si="7"/>
        <v>0.08</v>
      </c>
      <c r="P48" s="14" t="s">
        <v>730</v>
      </c>
      <c r="Q48" s="10" t="str">
        <f t="shared" si="8"/>
        <v>M G POLIEST -ON</v>
      </c>
      <c r="R48" s="52">
        <f t="shared" si="9"/>
        <v>41666</v>
      </c>
      <c r="S48" s="5">
        <f t="shared" si="10"/>
        <v>0.08</v>
      </c>
      <c r="T48" s="5">
        <f t="shared" si="11"/>
        <v>0.08</v>
      </c>
      <c r="U48" s="5">
        <f t="shared" si="12"/>
        <v>0.08</v>
      </c>
      <c r="V48" s="5">
        <f t="shared" si="13"/>
        <v>0.08</v>
      </c>
    </row>
    <row r="49" spans="1:22">
      <c r="A49" s="34" t="str">
        <f>IF(Tabela176[[#This Row],[Código]]="IBOV","^BVSP",IF(Tabela176[[#This Row],[Código]]="","",CONCATENATE(LEFT(Tabela176[[#This Row],[Código]],6),".SA")))</f>
        <v>NUTR3M.SA</v>
      </c>
      <c r="C49" s="3" t="s">
        <v>358</v>
      </c>
      <c r="D49" s="3" t="s">
        <v>787</v>
      </c>
      <c r="E49" s="3" t="s">
        <v>554</v>
      </c>
      <c r="F49" s="3" t="s">
        <v>787</v>
      </c>
      <c r="G49" s="3" t="s">
        <v>554</v>
      </c>
      <c r="H49" s="52">
        <v>41666</v>
      </c>
      <c r="J49" s="3">
        <f t="shared" si="7"/>
        <v>1.51</v>
      </c>
      <c r="K49" s="3">
        <f t="shared" si="7"/>
        <v>1.5</v>
      </c>
      <c r="L49" s="3">
        <f t="shared" si="7"/>
        <v>1.51</v>
      </c>
      <c r="M49" s="3">
        <f t="shared" si="7"/>
        <v>1.5</v>
      </c>
      <c r="P49" s="15" t="s">
        <v>357</v>
      </c>
      <c r="Q49" s="10" t="str">
        <f t="shared" si="8"/>
        <v xml:space="preserve">NUTRIPLANT  -ON  </v>
      </c>
      <c r="R49" s="52">
        <f t="shared" si="9"/>
        <v>41666</v>
      </c>
      <c r="S49" s="5">
        <f t="shared" si="10"/>
        <v>1.51</v>
      </c>
      <c r="T49" s="5">
        <f t="shared" si="11"/>
        <v>1.5</v>
      </c>
      <c r="U49" s="5">
        <f t="shared" si="12"/>
        <v>1.51</v>
      </c>
      <c r="V49" s="5">
        <f t="shared" si="13"/>
        <v>1.5</v>
      </c>
    </row>
    <row r="50" spans="1:22">
      <c r="A50" s="34" t="str">
        <f>IF(Tabela176[[#This Row],[Código]]="IBOV","^BVSP",IF(Tabela176[[#This Row],[Código]]="","",CONCATENATE(LEFT(Tabela176[[#This Row],[Código]],6),".SA")))</f>
        <v>CCXC3.SA</v>
      </c>
      <c r="C50" s="3" t="s">
        <v>737</v>
      </c>
      <c r="D50" s="3" t="s">
        <v>1241</v>
      </c>
      <c r="E50" s="3" t="s">
        <v>1242</v>
      </c>
      <c r="F50" s="3" t="s">
        <v>1243</v>
      </c>
      <c r="G50" s="3" t="s">
        <v>1242</v>
      </c>
      <c r="H50" s="52">
        <v>41666</v>
      </c>
      <c r="J50" s="3">
        <f t="shared" si="7"/>
        <v>1.21</v>
      </c>
      <c r="K50" s="3">
        <f t="shared" si="7"/>
        <v>1.17</v>
      </c>
      <c r="L50" s="3">
        <f t="shared" si="7"/>
        <v>1.28</v>
      </c>
      <c r="M50" s="3">
        <f t="shared" si="7"/>
        <v>1.17</v>
      </c>
      <c r="P50" s="15" t="s">
        <v>735</v>
      </c>
      <c r="Q50" s="10" t="str">
        <f t="shared" si="8"/>
        <v xml:space="preserve">CCX CARVAO  -ON  </v>
      </c>
      <c r="R50" s="47">
        <f t="shared" si="9"/>
        <v>41666</v>
      </c>
      <c r="S50" s="6">
        <f t="shared" si="10"/>
        <v>1.21</v>
      </c>
      <c r="T50" s="6">
        <f t="shared" si="11"/>
        <v>1.17</v>
      </c>
      <c r="U50" s="6">
        <f t="shared" si="12"/>
        <v>1.28</v>
      </c>
      <c r="V50" s="6">
        <f t="shared" si="13"/>
        <v>1.17</v>
      </c>
    </row>
    <row r="51" spans="1:22">
      <c r="A51" s="34" t="str">
        <f>IF(Tabela176[[#This Row],[Código]]="IBOV","^BVSP",IF(Tabela176[[#This Row],[Código]]="","",CONCATENATE(LEFT(Tabela176[[#This Row],[Código]],6),".SA")))</f>
        <v>MMXM3.SA</v>
      </c>
      <c r="C51" s="3" t="s">
        <v>740</v>
      </c>
      <c r="D51" s="3" t="s">
        <v>742</v>
      </c>
      <c r="E51" s="3" t="s">
        <v>742</v>
      </c>
      <c r="F51" s="3" t="s">
        <v>779</v>
      </c>
      <c r="G51" s="3" t="s">
        <v>449</v>
      </c>
      <c r="H51" s="52">
        <v>41666</v>
      </c>
      <c r="J51" s="3">
        <f t="shared" si="7"/>
        <v>0.68</v>
      </c>
      <c r="K51" s="3">
        <f t="shared" si="7"/>
        <v>0.68</v>
      </c>
      <c r="L51" s="3">
        <f t="shared" si="7"/>
        <v>0.69</v>
      </c>
      <c r="M51" s="3">
        <f t="shared" si="7"/>
        <v>0.66</v>
      </c>
      <c r="P51" s="14" t="s">
        <v>739</v>
      </c>
      <c r="Q51" s="10" t="str">
        <f t="shared" si="8"/>
        <v xml:space="preserve">MMX MINER   -ON  </v>
      </c>
      <c r="R51" s="52">
        <f t="shared" si="9"/>
        <v>41666</v>
      </c>
      <c r="S51" s="5">
        <f t="shared" si="10"/>
        <v>0.68</v>
      </c>
      <c r="T51" s="5">
        <f t="shared" si="11"/>
        <v>0.68</v>
      </c>
      <c r="U51" s="5">
        <f t="shared" si="12"/>
        <v>0.69</v>
      </c>
      <c r="V51" s="5">
        <f t="shared" si="13"/>
        <v>0.66</v>
      </c>
    </row>
    <row r="52" spans="1:22">
      <c r="A52" s="34" t="str">
        <f>IF(Tabela176[[#This Row],[Código]]="IBOV","^BVSP",IF(Tabela176[[#This Row],[Código]]="","",CONCATENATE(LEFT(Tabela176[[#This Row],[Código]],6),".SA")))</f>
        <v>SNSY3.SA</v>
      </c>
      <c r="C52" s="3" t="s">
        <v>750</v>
      </c>
      <c r="D52" s="3" t="s">
        <v>751</v>
      </c>
      <c r="E52" s="3" t="s">
        <v>752</v>
      </c>
      <c r="F52" s="3" t="s">
        <v>752</v>
      </c>
      <c r="G52" s="3" t="s">
        <v>751</v>
      </c>
      <c r="H52" s="52">
        <v>41585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743</v>
      </c>
      <c r="Q52" s="10" t="str">
        <f t="shared" si="8"/>
        <v>SANSUY      -ON</v>
      </c>
      <c r="R52" s="52">
        <f t="shared" si="9"/>
        <v>41585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4" t="str">
        <f>IF(Tabela176[[#This Row],[Código]]="IBOV","^BVSP",IF(Tabela176[[#This Row],[Código]]="","",CONCATENATE(LEFT(Tabela176[[#This Row],[Código]],6),".SA")))</f>
        <v>SNSY5.SA</v>
      </c>
      <c r="C53" s="3" t="s">
        <v>753</v>
      </c>
      <c r="D53" s="3" t="s">
        <v>1244</v>
      </c>
      <c r="E53" s="3" t="s">
        <v>1244</v>
      </c>
      <c r="F53" s="3" t="s">
        <v>1244</v>
      </c>
      <c r="G53" s="3" t="s">
        <v>1244</v>
      </c>
      <c r="H53" s="52">
        <v>41666</v>
      </c>
      <c r="J53" s="3">
        <f t="shared" si="7"/>
        <v>0.8</v>
      </c>
      <c r="K53" s="3">
        <f t="shared" si="7"/>
        <v>0.8</v>
      </c>
      <c r="L53" s="3">
        <f t="shared" si="7"/>
        <v>0.8</v>
      </c>
      <c r="M53" s="3">
        <f t="shared" si="7"/>
        <v>0.8</v>
      </c>
      <c r="P53" s="14" t="s">
        <v>744</v>
      </c>
      <c r="Q53" s="10" t="str">
        <f t="shared" si="8"/>
        <v>SANSUY      -PNA</v>
      </c>
      <c r="R53" s="52">
        <f t="shared" si="9"/>
        <v>41666</v>
      </c>
      <c r="S53" s="5">
        <f t="shared" si="10"/>
        <v>0.8</v>
      </c>
      <c r="T53" s="5">
        <f t="shared" si="11"/>
        <v>0.8</v>
      </c>
      <c r="U53" s="5">
        <f t="shared" si="12"/>
        <v>0.8</v>
      </c>
      <c r="V53" s="5">
        <f t="shared" si="13"/>
        <v>0.8</v>
      </c>
    </row>
    <row r="54" spans="1:22">
      <c r="A54" s="34" t="str">
        <f>IF(Tabela176[[#This Row],[Código]]="IBOV","^BVSP",IF(Tabela176[[#This Row],[Código]]="","",CONCATENATE(LEFT(Tabela176[[#This Row],[Código]],6),".SA")))</f>
        <v>SNSY6.SA</v>
      </c>
      <c r="C54" s="3" t="s">
        <v>754</v>
      </c>
      <c r="D54" s="3" t="s">
        <v>492</v>
      </c>
      <c r="E54" s="73" t="s">
        <v>755</v>
      </c>
      <c r="F54" s="73" t="s">
        <v>755</v>
      </c>
      <c r="G54" s="73" t="s">
        <v>755</v>
      </c>
      <c r="H54" s="52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745</v>
      </c>
      <c r="Q54" s="10" t="str">
        <f t="shared" si="8"/>
        <v>SANSUY      -PNB</v>
      </c>
      <c r="R54" s="52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4" t="str">
        <f>IF(Tabela176[[#This Row],[Código]]="IBOV","^BVSP",IF(Tabela176[[#This Row],[Código]]="","",CONCATENATE(LEFT(Tabela176[[#This Row],[Código]],6),".SA")))</f>
        <v>MSPA3.SA</v>
      </c>
      <c r="C55" s="3" t="s">
        <v>758</v>
      </c>
      <c r="D55" s="3" t="s">
        <v>477</v>
      </c>
      <c r="E55" s="3" t="s">
        <v>477</v>
      </c>
      <c r="F55" s="3" t="s">
        <v>477</v>
      </c>
      <c r="G55" s="3" t="s">
        <v>477</v>
      </c>
      <c r="H55" s="52">
        <v>41655</v>
      </c>
      <c r="J55" s="3">
        <f t="shared" si="7"/>
        <v>27</v>
      </c>
      <c r="K55" s="3">
        <f t="shared" si="7"/>
        <v>27</v>
      </c>
      <c r="L55" s="3">
        <f t="shared" si="7"/>
        <v>27</v>
      </c>
      <c r="M55" s="3">
        <f t="shared" si="7"/>
        <v>27</v>
      </c>
      <c r="P55" s="44" t="s">
        <v>756</v>
      </c>
      <c r="Q55" s="10" t="str">
        <f t="shared" si="8"/>
        <v>MELHOR SP   -ON</v>
      </c>
      <c r="R55" s="52">
        <f t="shared" si="9"/>
        <v>41655</v>
      </c>
      <c r="S55" s="5">
        <f t="shared" si="10"/>
        <v>27</v>
      </c>
      <c r="T55" s="5">
        <f t="shared" si="11"/>
        <v>27</v>
      </c>
      <c r="U55" s="5">
        <f t="shared" si="12"/>
        <v>27</v>
      </c>
      <c r="V55" s="5">
        <f t="shared" si="13"/>
        <v>27</v>
      </c>
    </row>
    <row r="56" spans="1:22">
      <c r="A56" s="34" t="str">
        <f>IF(Tabela176[[#This Row],[Código]]="IBOV","^BVSP",IF(Tabela176[[#This Row],[Código]]="","",CONCATENATE(LEFT(Tabela176[[#This Row],[Código]],6),".SA")))</f>
        <v>MSPA4.SA</v>
      </c>
      <c r="C56" s="3" t="s">
        <v>759</v>
      </c>
      <c r="D56" s="3" t="s">
        <v>477</v>
      </c>
      <c r="E56" s="3" t="s">
        <v>477</v>
      </c>
      <c r="F56" s="3" t="s">
        <v>477</v>
      </c>
      <c r="G56" s="3" t="s">
        <v>477</v>
      </c>
      <c r="H56" s="52">
        <v>41653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757</v>
      </c>
      <c r="Q56" s="10" t="str">
        <f t="shared" si="8"/>
        <v>MELHOR SP   -PN</v>
      </c>
      <c r="R56" s="52">
        <f t="shared" si="9"/>
        <v>41653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4" t="str">
        <f>IF(Tabela176[[#This Row],[Código]]="IBOV","^BVSP",IF(Tabela176[[#This Row],[Código]]="","",CONCATENATE(LEFT(Tabela176[[#This Row],[Código]],6),".SA")))</f>
        <v>FIBR3.SA</v>
      </c>
      <c r="C57" s="3" t="s">
        <v>761</v>
      </c>
      <c r="D57" s="3" t="s">
        <v>1245</v>
      </c>
      <c r="E57" s="3" t="s">
        <v>1246</v>
      </c>
      <c r="F57" s="3" t="s">
        <v>1247</v>
      </c>
      <c r="G57" s="3" t="s">
        <v>1248</v>
      </c>
      <c r="H57" s="52">
        <v>41666</v>
      </c>
      <c r="J57" s="3">
        <f t="shared" si="7"/>
        <v>25.4</v>
      </c>
      <c r="K57" s="3">
        <f t="shared" si="7"/>
        <v>25.55</v>
      </c>
      <c r="L57" s="3">
        <f t="shared" si="7"/>
        <v>25.75</v>
      </c>
      <c r="M57" s="3">
        <f t="shared" si="7"/>
        <v>25.04</v>
      </c>
      <c r="P57" s="10" t="s">
        <v>760</v>
      </c>
      <c r="Q57" s="10" t="str">
        <f t="shared" si="8"/>
        <v xml:space="preserve">FIBRIA      -ON  </v>
      </c>
      <c r="R57" s="52">
        <f t="shared" si="9"/>
        <v>41666</v>
      </c>
      <c r="S57" s="5">
        <f t="shared" si="10"/>
        <v>25.4</v>
      </c>
      <c r="T57" s="5">
        <f t="shared" si="11"/>
        <v>25.55</v>
      </c>
      <c r="U57" s="5">
        <f t="shared" si="12"/>
        <v>25.75</v>
      </c>
      <c r="V57" s="5">
        <f t="shared" si="13"/>
        <v>25.04</v>
      </c>
    </row>
    <row r="58" spans="1:22">
      <c r="A58" s="34" t="str">
        <f>IF(Tabela176[[#This Row],[Código]]="IBOV","^BVSP",IF(Tabela176[[#This Row],[Código]]="","",CONCATENATE(LEFT(Tabela176[[#This Row],[Código]],6),".SA")))</f>
        <v>KLBN11.SA</v>
      </c>
      <c r="C58" s="3" t="s">
        <v>763</v>
      </c>
      <c r="D58" s="3" t="s">
        <v>1116</v>
      </c>
      <c r="E58" s="3" t="s">
        <v>1116</v>
      </c>
      <c r="F58" s="3" t="s">
        <v>1116</v>
      </c>
      <c r="G58" s="3" t="s">
        <v>1116</v>
      </c>
      <c r="H58" s="52">
        <v>41666</v>
      </c>
      <c r="J58" s="3">
        <f t="shared" si="7"/>
        <v>63</v>
      </c>
      <c r="K58" s="3">
        <f t="shared" si="7"/>
        <v>63</v>
      </c>
      <c r="L58" s="3">
        <f t="shared" si="7"/>
        <v>63</v>
      </c>
      <c r="M58" s="3">
        <f t="shared" si="7"/>
        <v>63</v>
      </c>
      <c r="P58" s="14" t="s">
        <v>762</v>
      </c>
      <c r="Q58" s="10" t="str">
        <f t="shared" si="8"/>
        <v xml:space="preserve">KLABIN S/A  -UNT </v>
      </c>
      <c r="R58" s="52">
        <f t="shared" si="9"/>
        <v>41666</v>
      </c>
      <c r="S58" s="5">
        <f t="shared" si="10"/>
        <v>63</v>
      </c>
      <c r="T58" s="5">
        <f t="shared" si="11"/>
        <v>63</v>
      </c>
      <c r="U58" s="5">
        <f t="shared" si="12"/>
        <v>63</v>
      </c>
      <c r="V58" s="5">
        <f t="shared" si="13"/>
        <v>63</v>
      </c>
    </row>
    <row r="59" spans="1:22">
      <c r="A59" s="34" t="str">
        <f>IF(Tabela176[[#This Row],[Código]]="IBOV","^BVSP",IF(Tabela176[[#This Row],[Código]]="","",CONCATENATE(LEFT(Tabela176[[#This Row],[Código]],6),".SA")))</f>
        <v>SUZB3.SA</v>
      </c>
      <c r="C59" s="3" t="s">
        <v>765</v>
      </c>
      <c r="D59" s="3" t="s">
        <v>492</v>
      </c>
      <c r="E59" s="73" t="s">
        <v>202</v>
      </c>
      <c r="F59" s="73" t="s">
        <v>202</v>
      </c>
      <c r="G59" s="73" t="s">
        <v>202</v>
      </c>
      <c r="H59" s="52">
        <v>41666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764</v>
      </c>
      <c r="Q59" s="10" t="str">
        <f t="shared" si="8"/>
        <v xml:space="preserve">SUZANO PAPEL-ON  </v>
      </c>
      <c r="R59" s="47">
        <f t="shared" si="9"/>
        <v>41666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4" t="str">
        <f>IF(Tabela176[[#This Row],[Código]]="IBOV","^BVSP",IF(Tabela176[[#This Row],[Código]]="","",CONCATENATE(LEFT(Tabela176[[#This Row],[Código]],6),".SA")))</f>
        <v>EUCA3.SA</v>
      </c>
      <c r="C60" s="3" t="s">
        <v>767</v>
      </c>
      <c r="D60" s="3" t="s">
        <v>492</v>
      </c>
      <c r="E60" s="73" t="s">
        <v>768</v>
      </c>
      <c r="F60" s="73" t="s">
        <v>768</v>
      </c>
      <c r="G60" s="73" t="s">
        <v>768</v>
      </c>
      <c r="H60" s="52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766</v>
      </c>
      <c r="Q60" s="10" t="str">
        <f t="shared" si="8"/>
        <v xml:space="preserve">EUCATEX     -ON  </v>
      </c>
      <c r="R60" s="52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4" t="str">
        <f>IF(Tabela176[[#This Row],[Código]]="IBOV","^BVSP",IF(Tabela176[[#This Row],[Código]]="","",CONCATENATE(LEFT(Tabela176[[#This Row],[Código]],6),".SA")))</f>
        <v>MTIG3.SA</v>
      </c>
      <c r="C61" s="3" t="s">
        <v>772</v>
      </c>
      <c r="D61" s="3" t="s">
        <v>748</v>
      </c>
      <c r="E61" s="3" t="s">
        <v>748</v>
      </c>
      <c r="F61" s="3" t="s">
        <v>748</v>
      </c>
      <c r="G61" s="3" t="s">
        <v>748</v>
      </c>
      <c r="H61" s="52">
        <v>41655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770</v>
      </c>
      <c r="Q61" s="10" t="str">
        <f t="shared" si="8"/>
        <v>METAL IGUACU-ON</v>
      </c>
      <c r="R61" s="52">
        <f t="shared" si="9"/>
        <v>41655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4" t="str">
        <f>IF(Tabela176[[#This Row],[Código]]="IBOV","^BVSP",IF(Tabela176[[#This Row],[Código]]="","",CONCATENATE(LEFT(Tabela176[[#This Row],[Código]],6),".SA")))</f>
        <v>MTIG4.SA</v>
      </c>
      <c r="C62" s="3" t="s">
        <v>773</v>
      </c>
      <c r="D62" s="3" t="s">
        <v>632</v>
      </c>
      <c r="E62" s="3" t="s">
        <v>448</v>
      </c>
      <c r="F62" s="3" t="s">
        <v>448</v>
      </c>
      <c r="G62" s="3" t="s">
        <v>632</v>
      </c>
      <c r="H62" s="52">
        <v>41666</v>
      </c>
      <c r="J62" s="3">
        <f t="shared" si="7"/>
        <v>0.11</v>
      </c>
      <c r="K62" s="3">
        <f t="shared" si="7"/>
        <v>0.12</v>
      </c>
      <c r="L62" s="3">
        <f t="shared" si="7"/>
        <v>0.12</v>
      </c>
      <c r="M62" s="3">
        <f t="shared" si="7"/>
        <v>0.11</v>
      </c>
      <c r="P62" s="14" t="s">
        <v>771</v>
      </c>
      <c r="Q62" s="10" t="str">
        <f t="shared" si="8"/>
        <v>METAL IGUACU-PN</v>
      </c>
      <c r="R62" s="52">
        <f t="shared" si="9"/>
        <v>41666</v>
      </c>
      <c r="S62" s="5">
        <f t="shared" si="10"/>
        <v>0.11</v>
      </c>
      <c r="T62" s="5">
        <f t="shared" si="11"/>
        <v>0.12</v>
      </c>
      <c r="U62" s="5">
        <f t="shared" si="12"/>
        <v>0.12</v>
      </c>
      <c r="V62" s="5">
        <f t="shared" si="13"/>
        <v>0.11</v>
      </c>
    </row>
    <row r="63" spans="1:22">
      <c r="A63" s="34" t="str">
        <f>IF(Tabela176[[#This Row],[Código]]="IBOV","^BVSP",IF(Tabela176[[#This Row],[Código]]="","",CONCATENATE(LEFT(Tabela176[[#This Row],[Código]],6),".SA")))</f>
        <v>GPIV33.SA</v>
      </c>
      <c r="C63" s="3" t="s">
        <v>775</v>
      </c>
      <c r="D63" s="3" t="s">
        <v>1087</v>
      </c>
      <c r="E63" s="3" t="s">
        <v>848</v>
      </c>
      <c r="F63" s="3" t="s">
        <v>920</v>
      </c>
      <c r="G63" s="3" t="s">
        <v>848</v>
      </c>
      <c r="H63" s="52">
        <v>41666</v>
      </c>
      <c r="J63" s="3">
        <f t="shared" si="7"/>
        <v>4.75</v>
      </c>
      <c r="K63" s="3">
        <f t="shared" si="7"/>
        <v>4.74</v>
      </c>
      <c r="L63" s="3">
        <f t="shared" si="7"/>
        <v>4.83</v>
      </c>
      <c r="M63" s="3">
        <f t="shared" si="7"/>
        <v>4.74</v>
      </c>
      <c r="P63" s="14" t="s">
        <v>774</v>
      </c>
      <c r="Q63" s="10" t="str">
        <f t="shared" si="8"/>
        <v>GP INVEST   -DR3</v>
      </c>
      <c r="R63" s="52">
        <f t="shared" si="9"/>
        <v>41666</v>
      </c>
      <c r="S63" s="5">
        <f t="shared" si="10"/>
        <v>4.75</v>
      </c>
      <c r="T63" s="5">
        <f t="shared" si="11"/>
        <v>4.74</v>
      </c>
      <c r="U63" s="5">
        <f t="shared" si="12"/>
        <v>4.83</v>
      </c>
      <c r="V63" s="5">
        <f t="shared" si="13"/>
        <v>4.74</v>
      </c>
    </row>
    <row r="64" spans="1:22">
      <c r="A64" s="34" t="str">
        <f>IF(Tabela176[[#This Row],[Código]]="IBOV","^BVSP",IF(Tabela176[[#This Row],[Código]]="","",CONCATENATE(LEFT(Tabela176[[#This Row],[Código]],6),".SA")))</f>
        <v>PEAB3.SA</v>
      </c>
      <c r="C64" s="3" t="s">
        <v>792</v>
      </c>
      <c r="D64" s="3" t="s">
        <v>135</v>
      </c>
      <c r="E64" s="3" t="s">
        <v>850</v>
      </c>
      <c r="F64" s="3" t="s">
        <v>850</v>
      </c>
      <c r="G64" s="3" t="s">
        <v>135</v>
      </c>
      <c r="H64" s="52">
        <v>41661</v>
      </c>
      <c r="J64" s="3">
        <f t="shared" si="7"/>
        <v>30</v>
      </c>
      <c r="K64" s="3">
        <f t="shared" si="7"/>
        <v>30.23</v>
      </c>
      <c r="L64" s="3">
        <f t="shared" si="7"/>
        <v>30.23</v>
      </c>
      <c r="M64" s="3">
        <f t="shared" si="7"/>
        <v>30</v>
      </c>
      <c r="P64" s="14" t="s">
        <v>785</v>
      </c>
      <c r="Q64" s="10" t="str">
        <f t="shared" si="8"/>
        <v>PAR AL BAHIA-ON</v>
      </c>
      <c r="R64" s="52">
        <f t="shared" si="9"/>
        <v>41661</v>
      </c>
      <c r="S64" s="5">
        <f t="shared" si="10"/>
        <v>30</v>
      </c>
      <c r="T64" s="5">
        <f t="shared" si="11"/>
        <v>30.23</v>
      </c>
      <c r="U64" s="5">
        <f t="shared" si="12"/>
        <v>30.23</v>
      </c>
      <c r="V64" s="5">
        <f t="shared" si="13"/>
        <v>30</v>
      </c>
    </row>
    <row r="65" spans="1:22">
      <c r="A65" s="34" t="str">
        <f>IF(Tabela176[[#This Row],[Código]]="IBOV","^BVSP",IF(Tabela176[[#This Row],[Código]]="","",CONCATENATE(LEFT(Tabela176[[#This Row],[Código]],6),".SA")))</f>
        <v>PEAB4.SA</v>
      </c>
      <c r="C65" s="3" t="s">
        <v>793</v>
      </c>
      <c r="D65" s="3" t="s">
        <v>135</v>
      </c>
      <c r="E65" s="3" t="s">
        <v>135</v>
      </c>
      <c r="F65" s="3" t="s">
        <v>135</v>
      </c>
      <c r="G65" s="3" t="s">
        <v>135</v>
      </c>
      <c r="H65" s="52">
        <v>41662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786</v>
      </c>
      <c r="Q65" s="10" t="str">
        <f t="shared" si="8"/>
        <v>PAR AL BAHIA-PN</v>
      </c>
      <c r="R65" s="52">
        <f t="shared" si="9"/>
        <v>41662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4" t="str">
        <f>IF(Tabela176[[#This Row],[Código]]="IBOV","^BVSP",IF(Tabela176[[#This Row],[Código]]="","",CONCATENATE(LEFT(Tabela176[[#This Row],[Código]],6),".SA")))</f>
        <v>SULA3.SA</v>
      </c>
      <c r="C66" s="3" t="s">
        <v>796</v>
      </c>
      <c r="D66" s="3" t="s">
        <v>492</v>
      </c>
      <c r="E66" s="3" t="s">
        <v>493</v>
      </c>
      <c r="F66" s="3" t="s">
        <v>492</v>
      </c>
      <c r="G66" s="3" t="s">
        <v>492</v>
      </c>
      <c r="H66" s="52" t="s">
        <v>492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794</v>
      </c>
      <c r="Q66" s="10" t="str">
        <f t="shared" si="8"/>
        <v xml:space="preserve">SUL AMERICA -ON  </v>
      </c>
      <c r="R66" s="52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4" t="str">
        <f>IF(Tabela176[[#This Row],[Código]]="IBOV","^BVSP",IF(Tabela176[[#This Row],[Código]]="","",CONCATENATE(LEFT(Tabela176[[#This Row],[Código]],6),".SA")))</f>
        <v>SULA4.SA</v>
      </c>
      <c r="C67" s="3" t="s">
        <v>797</v>
      </c>
      <c r="D67" s="3" t="s">
        <v>492</v>
      </c>
      <c r="E67" s="3" t="s">
        <v>493</v>
      </c>
      <c r="F67" s="3" t="s">
        <v>492</v>
      </c>
      <c r="G67" s="3" t="s">
        <v>492</v>
      </c>
      <c r="H67" s="52" t="s">
        <v>492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795</v>
      </c>
      <c r="Q67" s="10" t="str">
        <f t="shared" si="8"/>
        <v xml:space="preserve">SUL AMERICA -PN  </v>
      </c>
      <c r="R67" s="52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4" t="str">
        <f>IF(Tabela176[[#This Row],[Código]]="IBOV","^BVSP",IF(Tabela176[[#This Row],[Código]]="","",CONCATENATE(LEFT(Tabela176[[#This Row],[Código]],6),".SA")))</f>
        <v>BTTL3.SA</v>
      </c>
      <c r="C68" s="3" t="s">
        <v>801</v>
      </c>
      <c r="D68" s="3" t="s">
        <v>1249</v>
      </c>
      <c r="E68" s="3" t="s">
        <v>851</v>
      </c>
      <c r="F68" s="3" t="s">
        <v>851</v>
      </c>
      <c r="G68" s="3" t="s">
        <v>1249</v>
      </c>
      <c r="H68" s="52">
        <v>41666</v>
      </c>
      <c r="J68" s="3">
        <f t="shared" si="7"/>
        <v>0.72</v>
      </c>
      <c r="K68" s="3">
        <f t="shared" si="7"/>
        <v>0.77</v>
      </c>
      <c r="L68" s="3">
        <f t="shared" si="7"/>
        <v>0.77</v>
      </c>
      <c r="M68" s="3">
        <f t="shared" si="7"/>
        <v>0.72</v>
      </c>
      <c r="P68" s="14" t="s">
        <v>799</v>
      </c>
      <c r="Q68" s="10" t="str">
        <f t="shared" si="8"/>
        <v>BATTISTELLA -ON</v>
      </c>
      <c r="R68" s="52">
        <f t="shared" si="9"/>
        <v>41666</v>
      </c>
      <c r="S68" s="5">
        <f t="shared" si="10"/>
        <v>0.72</v>
      </c>
      <c r="T68" s="5">
        <f t="shared" si="11"/>
        <v>0.77</v>
      </c>
      <c r="U68" s="5">
        <f t="shared" si="12"/>
        <v>0.77</v>
      </c>
      <c r="V68" s="5">
        <f t="shared" si="13"/>
        <v>0.72</v>
      </c>
    </row>
    <row r="69" spans="1:22">
      <c r="A69" s="34" t="str">
        <f>IF(Tabela176[[#This Row],[Código]]="IBOV","^BVSP",IF(Tabela176[[#This Row],[Código]]="","",CONCATENATE(LEFT(Tabela176[[#This Row],[Código]],6),".SA")))</f>
        <v>BTTL4.SA</v>
      </c>
      <c r="C69" s="3" t="s">
        <v>802</v>
      </c>
      <c r="D69" s="3" t="s">
        <v>803</v>
      </c>
      <c r="E69" s="3" t="s">
        <v>852</v>
      </c>
      <c r="F69" s="3" t="s">
        <v>852</v>
      </c>
      <c r="G69" s="3" t="s">
        <v>803</v>
      </c>
      <c r="H69" s="52">
        <v>41666</v>
      </c>
      <c r="J69" s="3">
        <f t="shared" si="7"/>
        <v>0.82</v>
      </c>
      <c r="K69" s="3">
        <f t="shared" si="7"/>
        <v>0.85</v>
      </c>
      <c r="L69" s="3">
        <f t="shared" si="7"/>
        <v>0.85</v>
      </c>
      <c r="M69" s="3">
        <f t="shared" si="7"/>
        <v>0.82</v>
      </c>
      <c r="P69" s="14" t="s">
        <v>800</v>
      </c>
      <c r="Q69" s="10" t="str">
        <f t="shared" si="8"/>
        <v>BATTISTELLA -PN</v>
      </c>
      <c r="R69" s="52">
        <f t="shared" si="9"/>
        <v>41666</v>
      </c>
      <c r="S69" s="5">
        <f t="shared" si="10"/>
        <v>0.82</v>
      </c>
      <c r="T69" s="5">
        <f t="shared" si="11"/>
        <v>0.85</v>
      </c>
      <c r="U69" s="5">
        <f t="shared" si="12"/>
        <v>0.85</v>
      </c>
      <c r="V69" s="5">
        <f t="shared" si="13"/>
        <v>0.82</v>
      </c>
    </row>
    <row r="70" spans="1:22">
      <c r="A70" s="34" t="str">
        <f>IF(Tabela176[[#This Row],[Código]]="IBOV","^BVSP",IF(Tabela176[[#This Row],[Código]]="","",CONCATENATE(LEFT(Tabela176[[#This Row],[Código]],6),".SA")))</f>
        <v>HBTS3.SA</v>
      </c>
      <c r="C70" s="3" t="s">
        <v>806</v>
      </c>
      <c r="D70" s="3" t="s">
        <v>492</v>
      </c>
      <c r="E70" s="3" t="s">
        <v>493</v>
      </c>
      <c r="F70" s="3" t="s">
        <v>492</v>
      </c>
      <c r="G70" s="3" t="s">
        <v>492</v>
      </c>
      <c r="H70" s="52" t="s">
        <v>492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804</v>
      </c>
      <c r="Q70" s="10" t="str">
        <f t="shared" si="8"/>
        <v>HABITASUL   -ON</v>
      </c>
      <c r="R70" s="52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4" t="str">
        <f>IF(Tabela176[[#This Row],[Código]]="IBOV","^BVSP",IF(Tabela176[[#This Row],[Código]]="","",CONCATENATE(LEFT(Tabela176[[#This Row],[Código]],6),".SA")))</f>
        <v>HBTS6.SA</v>
      </c>
      <c r="C71" s="3" t="s">
        <v>807</v>
      </c>
      <c r="D71" s="3" t="s">
        <v>492</v>
      </c>
      <c r="E71" s="3" t="s">
        <v>493</v>
      </c>
      <c r="F71" s="3" t="s">
        <v>492</v>
      </c>
      <c r="G71" s="3" t="s">
        <v>492</v>
      </c>
      <c r="H71" s="52" t="s">
        <v>492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805</v>
      </c>
      <c r="Q71" s="10" t="str">
        <f t="shared" ref="Q71:Q102" si="14">IF(A71="","",C71)</f>
        <v>HABITASUL   -PNB</v>
      </c>
      <c r="R71" s="47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4" t="str">
        <f>IF(Tabela176[[#This Row],[Código]]="IBOV","^BVSP",IF(Tabela176[[#This Row],[Código]]="","",CONCATENATE(LEFT(Tabela176[[#This Row],[Código]],6),".SA")))</f>
        <v>DOCA3.SA</v>
      </c>
      <c r="C72" s="3" t="s">
        <v>810</v>
      </c>
      <c r="D72" s="3" t="s">
        <v>492</v>
      </c>
      <c r="E72" s="3" t="s">
        <v>144</v>
      </c>
      <c r="F72" s="3" t="s">
        <v>144</v>
      </c>
      <c r="G72" s="3" t="s">
        <v>144</v>
      </c>
      <c r="H72" s="52">
        <v>41332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808</v>
      </c>
      <c r="Q72" s="10" t="str">
        <f t="shared" si="14"/>
        <v>DOCAS       -ON</v>
      </c>
      <c r="R72" s="52">
        <f t="shared" si="15"/>
        <v>41332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4" t="str">
        <f>IF(Tabela176[[#This Row],[Código]]="IBOV","^BVSP",IF(Tabela176[[#This Row],[Código]]="","",CONCATENATE(LEFT(Tabela176[[#This Row],[Código]],6),".SA")))</f>
        <v>DOCA4.SA</v>
      </c>
      <c r="C73" s="3" t="s">
        <v>811</v>
      </c>
      <c r="D73" s="3" t="s">
        <v>812</v>
      </c>
      <c r="E73" s="3" t="s">
        <v>812</v>
      </c>
      <c r="F73" s="3" t="s">
        <v>812</v>
      </c>
      <c r="G73" s="3" t="s">
        <v>812</v>
      </c>
      <c r="H73" s="52">
        <v>41642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809</v>
      </c>
      <c r="Q73" s="10" t="str">
        <f t="shared" si="14"/>
        <v>DOCAS       -PN</v>
      </c>
      <c r="R73" s="52">
        <f t="shared" si="15"/>
        <v>41642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4" t="str">
        <f>IF(Tabela176[[#This Row],[Código]]="IBOV","^BVSP",IF(Tabela176[[#This Row],[Código]]="","",CONCATENATE(LEFT(Tabela176[[#This Row],[Código]],6),".SA")))</f>
        <v>JBDU3.SA</v>
      </c>
      <c r="C74" s="3" t="s">
        <v>815</v>
      </c>
      <c r="D74" s="3" t="s">
        <v>816</v>
      </c>
      <c r="E74" s="3" t="s">
        <v>1250</v>
      </c>
      <c r="F74" s="3" t="s">
        <v>816</v>
      </c>
      <c r="G74" s="3" t="s">
        <v>1250</v>
      </c>
      <c r="H74" s="52">
        <v>41666</v>
      </c>
      <c r="J74" s="3">
        <f t="shared" si="20"/>
        <v>0.28000000000000003</v>
      </c>
      <c r="K74" s="3">
        <f t="shared" si="20"/>
        <v>0.27</v>
      </c>
      <c r="L74" s="3">
        <f t="shared" si="20"/>
        <v>0.28000000000000003</v>
      </c>
      <c r="M74" s="3">
        <f t="shared" si="20"/>
        <v>0.27</v>
      </c>
      <c r="P74" s="14" t="s">
        <v>813</v>
      </c>
      <c r="Q74" s="10" t="str">
        <f t="shared" si="14"/>
        <v>J B DUARTE  -ON</v>
      </c>
      <c r="R74" s="52">
        <f t="shared" si="15"/>
        <v>41666</v>
      </c>
      <c r="S74" s="5">
        <f t="shared" si="16"/>
        <v>0.28000000000000003</v>
      </c>
      <c r="T74" s="5">
        <f t="shared" si="17"/>
        <v>0.27</v>
      </c>
      <c r="U74" s="5">
        <f t="shared" si="18"/>
        <v>0.28000000000000003</v>
      </c>
      <c r="V74" s="5">
        <f t="shared" si="19"/>
        <v>0.27</v>
      </c>
    </row>
    <row r="75" spans="1:22">
      <c r="A75" s="34" t="str">
        <f>IF(Tabela176[[#This Row],[Código]]="IBOV","^BVSP",IF(Tabela176[[#This Row],[Código]]="","",CONCATENATE(LEFT(Tabela176[[#This Row],[Código]],6),".SA")))</f>
        <v>JBDU4.SA</v>
      </c>
      <c r="C75" s="3" t="s">
        <v>817</v>
      </c>
      <c r="D75" s="3" t="s">
        <v>818</v>
      </c>
      <c r="E75" s="3" t="s">
        <v>853</v>
      </c>
      <c r="F75" s="3" t="s">
        <v>818</v>
      </c>
      <c r="G75" s="3" t="s">
        <v>853</v>
      </c>
      <c r="H75" s="52">
        <v>41666</v>
      </c>
      <c r="J75" s="3">
        <f t="shared" si="20"/>
        <v>0.24</v>
      </c>
      <c r="K75" s="3">
        <f t="shared" si="20"/>
        <v>0.23</v>
      </c>
      <c r="L75" s="3">
        <f t="shared" si="20"/>
        <v>0.24</v>
      </c>
      <c r="M75" s="3">
        <f t="shared" si="20"/>
        <v>0.23</v>
      </c>
      <c r="P75" s="14" t="s">
        <v>814</v>
      </c>
      <c r="Q75" s="10" t="str">
        <f t="shared" si="14"/>
        <v>J B DUARTE  -PN</v>
      </c>
      <c r="R75" s="52">
        <f t="shared" si="15"/>
        <v>41666</v>
      </c>
      <c r="S75" s="5">
        <f t="shared" si="16"/>
        <v>0.24</v>
      </c>
      <c r="T75" s="5">
        <f t="shared" si="17"/>
        <v>0.23</v>
      </c>
      <c r="U75" s="5">
        <f t="shared" si="18"/>
        <v>0.24</v>
      </c>
      <c r="V75" s="5">
        <f t="shared" si="19"/>
        <v>0.23</v>
      </c>
    </row>
    <row r="76" spans="1:22">
      <c r="A76" s="34" t="str">
        <f>IF(Tabela176[[#This Row],[Código]]="IBOV","^BVSP",IF(Tabela176[[#This Row],[Código]]="","",CONCATENATE(LEFT(Tabela176[[#This Row],[Código]],6),".SA")))</f>
        <v>AGRO3.SA</v>
      </c>
      <c r="C76" s="3" t="s">
        <v>854</v>
      </c>
      <c r="D76" s="3" t="s">
        <v>747</v>
      </c>
      <c r="E76" s="3" t="s">
        <v>947</v>
      </c>
      <c r="F76" s="3" t="s">
        <v>110</v>
      </c>
      <c r="G76" s="3" t="s">
        <v>855</v>
      </c>
      <c r="H76" s="52">
        <v>41666</v>
      </c>
      <c r="J76" s="3">
        <f t="shared" si="20"/>
        <v>8.9</v>
      </c>
      <c r="K76" s="3">
        <f t="shared" si="20"/>
        <v>8.99</v>
      </c>
      <c r="L76" s="3">
        <f t="shared" si="20"/>
        <v>9</v>
      </c>
      <c r="M76" s="3">
        <f t="shared" si="20"/>
        <v>8.8000000000000007</v>
      </c>
      <c r="P76" s="14" t="s">
        <v>832</v>
      </c>
      <c r="Q76" s="10" t="str">
        <f t="shared" si="14"/>
        <v xml:space="preserve">BRASILAGRO  -ON  </v>
      </c>
      <c r="R76" s="52">
        <f t="shared" si="15"/>
        <v>41666</v>
      </c>
      <c r="S76" s="5">
        <f t="shared" si="16"/>
        <v>8.9</v>
      </c>
      <c r="T76" s="5">
        <f t="shared" si="17"/>
        <v>8.99</v>
      </c>
      <c r="U76" s="5">
        <f t="shared" si="18"/>
        <v>9</v>
      </c>
      <c r="V76" s="5">
        <f t="shared" si="19"/>
        <v>8.8000000000000007</v>
      </c>
    </row>
    <row r="77" spans="1:22">
      <c r="A77" s="34" t="str">
        <f>IF(Tabela176[[#This Row],[Código]]="IBOV","^BVSP",IF(Tabela176[[#This Row],[Código]]="","",CONCATENATE(LEFT(Tabela176[[#This Row],[Código]],6),".SA")))</f>
        <v>CORR3.SA</v>
      </c>
      <c r="C77" s="3" t="s">
        <v>856</v>
      </c>
      <c r="D77" s="3" t="s">
        <v>492</v>
      </c>
      <c r="E77" s="3" t="s">
        <v>493</v>
      </c>
      <c r="F77" s="3" t="s">
        <v>492</v>
      </c>
      <c r="G77" s="3" t="s">
        <v>492</v>
      </c>
      <c r="H77" s="52" t="s">
        <v>492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833</v>
      </c>
      <c r="Q77" s="10" t="str">
        <f t="shared" si="14"/>
        <v>COR RIBEIRO -ON</v>
      </c>
      <c r="R77" s="52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4" t="str">
        <f>IF(Tabela176[[#This Row],[Código]]="IBOV","^BVSP",IF(Tabela176[[#This Row],[Código]]="","",CONCATENATE(LEFT(Tabela176[[#This Row],[Código]],6),".SA")))</f>
        <v>CORR4.SA</v>
      </c>
      <c r="C78" s="3" t="s">
        <v>857</v>
      </c>
      <c r="D78" s="3" t="s">
        <v>492</v>
      </c>
      <c r="E78" s="3" t="s">
        <v>858</v>
      </c>
      <c r="F78" s="3" t="s">
        <v>858</v>
      </c>
      <c r="G78" s="3" t="s">
        <v>858</v>
      </c>
      <c r="H78" s="52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834</v>
      </c>
      <c r="Q78" s="10" t="str">
        <f t="shared" si="14"/>
        <v>COR RIBEIRO -PN</v>
      </c>
      <c r="R78" s="52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4" t="str">
        <f>IF(Tabela176[[#This Row],[Código]]="IBOV","^BVSP",IF(Tabela176[[#This Row],[Código]]="","",CONCATENATE(LEFT(Tabela176[[#This Row],[Código]],6),".SA")))</f>
        <v>GSHP3.SA</v>
      </c>
      <c r="C79" s="3" t="s">
        <v>934</v>
      </c>
      <c r="D79" s="3" t="s">
        <v>1251</v>
      </c>
      <c r="E79" s="3" t="s">
        <v>859</v>
      </c>
      <c r="F79" s="3" t="s">
        <v>876</v>
      </c>
      <c r="G79" s="3" t="s">
        <v>859</v>
      </c>
      <c r="H79" s="52">
        <v>41666</v>
      </c>
      <c r="J79" s="3">
        <f t="shared" si="20"/>
        <v>7.6</v>
      </c>
      <c r="K79" s="3">
        <f t="shared" si="20"/>
        <v>7.5</v>
      </c>
      <c r="L79" s="3">
        <f t="shared" si="20"/>
        <v>7.61</v>
      </c>
      <c r="M79" s="3">
        <f t="shared" si="20"/>
        <v>7.5</v>
      </c>
      <c r="P79" s="15" t="s">
        <v>933</v>
      </c>
      <c r="Q79" s="10" t="str">
        <f t="shared" si="14"/>
        <v xml:space="preserve">GENERALSHOPP-ON  </v>
      </c>
      <c r="R79" s="52">
        <f t="shared" si="15"/>
        <v>41666</v>
      </c>
      <c r="S79" s="5">
        <f t="shared" si="16"/>
        <v>7.6</v>
      </c>
      <c r="T79" s="5">
        <f t="shared" si="17"/>
        <v>7.5</v>
      </c>
      <c r="U79" s="5">
        <f t="shared" si="18"/>
        <v>7.61</v>
      </c>
      <c r="V79" s="5">
        <f t="shared" si="19"/>
        <v>7.5</v>
      </c>
    </row>
    <row r="80" spans="1:22">
      <c r="A80" s="34" t="str">
        <f>IF(Tabela176[[#This Row],[Código]]="IBOV","^BVSP",IF(Tabela176[[#This Row],[Código]]="","",CONCATENATE(LEFT(Tabela176[[#This Row],[Código]],6),".SA")))</f>
        <v>MULT4.SA</v>
      </c>
      <c r="C80" s="3" t="s">
        <v>936</v>
      </c>
      <c r="D80" s="3" t="s">
        <v>492</v>
      </c>
      <c r="E80" s="3" t="s">
        <v>493</v>
      </c>
      <c r="F80" s="3" t="s">
        <v>492</v>
      </c>
      <c r="G80" s="3" t="s">
        <v>492</v>
      </c>
      <c r="H80" s="52" t="s">
        <v>492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935</v>
      </c>
      <c r="Q80" s="10" t="str">
        <f t="shared" si="14"/>
        <v>MULT4.SA</v>
      </c>
      <c r="R80" s="52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4" t="str">
        <f>IF(Tabela176[[#This Row],[Código]]="IBOV","^BVSP",IF(Tabela176[[#This Row],[Código]]="","",CONCATENATE(LEFT(Tabela176[[#This Row],[Código]],6),".SA")))</f>
        <v>TEMP3.SA</v>
      </c>
      <c r="C81" s="3" t="s">
        <v>939</v>
      </c>
      <c r="D81" s="3" t="s">
        <v>888</v>
      </c>
      <c r="E81" s="3" t="s">
        <v>1252</v>
      </c>
      <c r="F81" s="3" t="s">
        <v>506</v>
      </c>
      <c r="G81" s="3" t="s">
        <v>1253</v>
      </c>
      <c r="H81" s="52">
        <v>41666</v>
      </c>
      <c r="J81" s="3">
        <f t="shared" si="20"/>
        <v>3.45</v>
      </c>
      <c r="K81" s="3">
        <f t="shared" si="20"/>
        <v>3.43</v>
      </c>
      <c r="L81" s="3">
        <f t="shared" si="20"/>
        <v>3.5</v>
      </c>
      <c r="M81" s="3">
        <f t="shared" si="20"/>
        <v>3.25</v>
      </c>
      <c r="P81" s="14" t="s">
        <v>937</v>
      </c>
      <c r="Q81" s="10" t="str">
        <f t="shared" si="14"/>
        <v xml:space="preserve">TEMPO PART  -ON  </v>
      </c>
      <c r="R81" s="52">
        <f t="shared" si="15"/>
        <v>41666</v>
      </c>
      <c r="S81" s="5">
        <f t="shared" si="16"/>
        <v>3.45</v>
      </c>
      <c r="T81" s="5">
        <f t="shared" si="17"/>
        <v>3.43</v>
      </c>
      <c r="U81" s="5">
        <f t="shared" si="18"/>
        <v>3.5</v>
      </c>
      <c r="V81" s="5">
        <f t="shared" si="19"/>
        <v>3.25</v>
      </c>
    </row>
    <row r="82" spans="1:22">
      <c r="A82" s="34" t="str">
        <f>IF(Tabela176[[#This Row],[Código]]="IBOV","^BVSP",IF(Tabela176[[#This Row],[Código]]="","",CONCATENATE(LEFT(Tabela176[[#This Row],[Código]],6),".SA")))</f>
        <v>DASA3.SA</v>
      </c>
      <c r="C82" s="3" t="s">
        <v>941</v>
      </c>
      <c r="D82" s="3" t="s">
        <v>1254</v>
      </c>
      <c r="E82" s="3" t="s">
        <v>927</v>
      </c>
      <c r="F82" s="3" t="s">
        <v>927</v>
      </c>
      <c r="G82" s="3" t="s">
        <v>942</v>
      </c>
      <c r="H82" s="52">
        <v>41666</v>
      </c>
      <c r="J82" s="3">
        <f t="shared" si="20"/>
        <v>14.69</v>
      </c>
      <c r="K82" s="3">
        <f t="shared" si="20"/>
        <v>14.73</v>
      </c>
      <c r="L82" s="3">
        <f t="shared" si="20"/>
        <v>14.73</v>
      </c>
      <c r="M82" s="3">
        <f t="shared" si="20"/>
        <v>14.65</v>
      </c>
      <c r="P82" s="14" t="s">
        <v>940</v>
      </c>
      <c r="Q82" s="10" t="str">
        <f t="shared" si="14"/>
        <v xml:space="preserve">DASA        -ON  </v>
      </c>
      <c r="R82" s="52">
        <f t="shared" si="15"/>
        <v>41666</v>
      </c>
      <c r="S82" s="5">
        <f t="shared" si="16"/>
        <v>14.69</v>
      </c>
      <c r="T82" s="5">
        <f t="shared" si="17"/>
        <v>14.73</v>
      </c>
      <c r="U82" s="5">
        <f t="shared" si="18"/>
        <v>14.73</v>
      </c>
      <c r="V82" s="5">
        <f t="shared" si="19"/>
        <v>14.65</v>
      </c>
    </row>
    <row r="83" spans="1:22">
      <c r="A83" s="34" t="str">
        <f>IF(Tabela176[[#This Row],[Código]]="IBOV","^BVSP",IF(Tabela176[[#This Row],[Código]]="","",CONCATENATE(LEFT(Tabela176[[#This Row],[Código]],6),".SA")))</f>
        <v>FLRY3.SA</v>
      </c>
      <c r="C83" s="3" t="s">
        <v>944</v>
      </c>
      <c r="D83" s="3" t="s">
        <v>1255</v>
      </c>
      <c r="E83" s="3" t="s">
        <v>899</v>
      </c>
      <c r="F83" s="3" t="s">
        <v>1255</v>
      </c>
      <c r="G83" s="3" t="s">
        <v>899</v>
      </c>
      <c r="H83" s="52">
        <v>41666</v>
      </c>
      <c r="J83" s="3">
        <f t="shared" si="20"/>
        <v>19.010000000000002</v>
      </c>
      <c r="K83" s="3">
        <f t="shared" si="20"/>
        <v>18.510000000000002</v>
      </c>
      <c r="L83" s="3">
        <f t="shared" si="20"/>
        <v>19.010000000000002</v>
      </c>
      <c r="M83" s="3">
        <f t="shared" si="20"/>
        <v>18.510000000000002</v>
      </c>
      <c r="P83" s="14" t="s">
        <v>943</v>
      </c>
      <c r="Q83" s="10" t="str">
        <f t="shared" si="14"/>
        <v xml:space="preserve">FLEURY      -ON  </v>
      </c>
      <c r="R83" s="47">
        <f t="shared" si="15"/>
        <v>41666</v>
      </c>
      <c r="S83" s="6">
        <f t="shared" si="16"/>
        <v>19.010000000000002</v>
      </c>
      <c r="T83" s="6">
        <f t="shared" si="17"/>
        <v>18.510000000000002</v>
      </c>
      <c r="U83" s="6">
        <f t="shared" si="18"/>
        <v>19.010000000000002</v>
      </c>
      <c r="V83" s="6">
        <f t="shared" si="19"/>
        <v>18.510000000000002</v>
      </c>
    </row>
    <row r="84" spans="1:22">
      <c r="A84" s="34" t="str">
        <f>IF(Tabela176[[#This Row],[Código]]="IBOV","^BVSP",IF(Tabela176[[#This Row],[Código]]="","",CONCATENATE(LEFT(Tabela176[[#This Row],[Código]],6),".SA")))</f>
        <v>ODPV3.SA</v>
      </c>
      <c r="C84" s="3" t="s">
        <v>946</v>
      </c>
      <c r="D84" s="3" t="s">
        <v>1256</v>
      </c>
      <c r="E84" s="3" t="s">
        <v>780</v>
      </c>
      <c r="F84" s="3" t="s">
        <v>1257</v>
      </c>
      <c r="G84" s="3" t="s">
        <v>1258</v>
      </c>
      <c r="H84" s="52">
        <v>41666</v>
      </c>
      <c r="J84" s="3">
        <f t="shared" si="20"/>
        <v>8.76</v>
      </c>
      <c r="K84" s="3">
        <f t="shared" si="20"/>
        <v>8.7100000000000009</v>
      </c>
      <c r="L84" s="3">
        <f t="shared" si="20"/>
        <v>8.9499999999999993</v>
      </c>
      <c r="M84" s="3">
        <f t="shared" si="20"/>
        <v>8.65</v>
      </c>
      <c r="P84" s="44" t="s">
        <v>945</v>
      </c>
      <c r="Q84" s="10" t="str">
        <f t="shared" si="14"/>
        <v xml:space="preserve">ODONTOPREV  -ON  </v>
      </c>
      <c r="R84" s="52">
        <f t="shared" si="15"/>
        <v>41666</v>
      </c>
      <c r="S84" s="5">
        <f t="shared" si="16"/>
        <v>8.76</v>
      </c>
      <c r="T84" s="5">
        <f t="shared" si="17"/>
        <v>8.7100000000000009</v>
      </c>
      <c r="U84" s="5">
        <f t="shared" si="18"/>
        <v>8.9499999999999993</v>
      </c>
      <c r="V84" s="5">
        <f t="shared" si="19"/>
        <v>8.65</v>
      </c>
    </row>
    <row r="85" spans="1:22">
      <c r="A85" s="34" t="str">
        <f>IF(Tabela176[[#This Row],[Código]]="IBOV","^BVSP",IF(Tabela176[[#This Row],[Código]]="","",CONCATENATE(LEFT(Tabela176[[#This Row],[Código]],6),".SA")))</f>
        <v>QUAL3.SA</v>
      </c>
      <c r="C85" s="3" t="s">
        <v>949</v>
      </c>
      <c r="D85" s="3" t="s">
        <v>950</v>
      </c>
      <c r="E85" s="3" t="s">
        <v>1259</v>
      </c>
      <c r="F85" s="3" t="s">
        <v>985</v>
      </c>
      <c r="G85" s="3" t="s">
        <v>1260</v>
      </c>
      <c r="H85" s="52">
        <v>41666</v>
      </c>
      <c r="J85" s="3">
        <f t="shared" si="20"/>
        <v>20.92</v>
      </c>
      <c r="K85" s="3">
        <f t="shared" si="20"/>
        <v>20.85</v>
      </c>
      <c r="L85" s="3">
        <f t="shared" si="20"/>
        <v>21.29</v>
      </c>
      <c r="M85" s="3">
        <f t="shared" si="20"/>
        <v>20.53</v>
      </c>
      <c r="P85" s="15" t="s">
        <v>948</v>
      </c>
      <c r="Q85" s="10" t="str">
        <f t="shared" si="14"/>
        <v xml:space="preserve">QUALICORP   -ON  </v>
      </c>
      <c r="R85" s="52">
        <f t="shared" si="15"/>
        <v>41666</v>
      </c>
      <c r="S85" s="5">
        <f t="shared" si="16"/>
        <v>20.92</v>
      </c>
      <c r="T85" s="5">
        <f t="shared" si="17"/>
        <v>20.85</v>
      </c>
      <c r="U85" s="5">
        <f t="shared" si="18"/>
        <v>21.29</v>
      </c>
      <c r="V85" s="5">
        <f t="shared" si="19"/>
        <v>20.53</v>
      </c>
    </row>
    <row r="86" spans="1:22">
      <c r="A86" s="34" t="str">
        <f>IF(Tabela176[[#This Row],[Código]]="IBOV","^BVSP",IF(Tabela176[[#This Row],[Código]]="","",CONCATENATE(LEFT(Tabela176[[#This Row],[Código]],6),".SA")))</f>
        <v>BIOM3M.SA</v>
      </c>
      <c r="C86" s="3" t="s">
        <v>953</v>
      </c>
      <c r="D86" s="3" t="s">
        <v>954</v>
      </c>
      <c r="E86" s="3" t="s">
        <v>921</v>
      </c>
      <c r="F86" s="3" t="s">
        <v>367</v>
      </c>
      <c r="G86" s="3" t="s">
        <v>954</v>
      </c>
      <c r="H86" s="52">
        <v>41663</v>
      </c>
      <c r="J86" s="3">
        <f t="shared" si="20"/>
        <v>9.4499999999999993</v>
      </c>
      <c r="K86" s="3">
        <f t="shared" si="20"/>
        <v>9.48</v>
      </c>
      <c r="L86" s="3">
        <f t="shared" si="20"/>
        <v>9.5</v>
      </c>
      <c r="M86" s="3">
        <f t="shared" si="20"/>
        <v>9.4499999999999993</v>
      </c>
      <c r="P86" s="15" t="s">
        <v>952</v>
      </c>
      <c r="Q86" s="10" t="str">
        <f t="shared" si="14"/>
        <v xml:space="preserve">BIOMM       -ON  </v>
      </c>
      <c r="R86" s="52">
        <f t="shared" si="15"/>
        <v>41663</v>
      </c>
      <c r="S86" s="5">
        <f t="shared" si="16"/>
        <v>9.4499999999999993</v>
      </c>
      <c r="T86" s="5">
        <f t="shared" si="17"/>
        <v>9.48</v>
      </c>
      <c r="U86" s="5">
        <f t="shared" si="18"/>
        <v>9.5</v>
      </c>
      <c r="V86" s="5">
        <f t="shared" si="19"/>
        <v>9.4499999999999993</v>
      </c>
    </row>
    <row r="87" spans="1:22">
      <c r="A87" s="34" t="str">
        <f>IF(Tabela176[[#This Row],[Código]]="IBOV","^BVSP",IF(Tabela176[[#This Row],[Código]]="","",CONCATENATE(LEFT(Tabela176[[#This Row],[Código]],6),".SA")))</f>
        <v>CREM3.SA</v>
      </c>
      <c r="C87" s="3" t="s">
        <v>957</v>
      </c>
      <c r="D87" s="3" t="s">
        <v>1261</v>
      </c>
      <c r="E87" s="3" t="s">
        <v>1262</v>
      </c>
      <c r="F87" s="3" t="s">
        <v>1263</v>
      </c>
      <c r="G87" s="3" t="s">
        <v>1264</v>
      </c>
      <c r="H87" s="52">
        <v>41666</v>
      </c>
      <c r="J87" s="3">
        <f t="shared" si="20"/>
        <v>15.28</v>
      </c>
      <c r="K87" s="3">
        <f t="shared" si="20"/>
        <v>15.31</v>
      </c>
      <c r="L87" s="3">
        <f t="shared" si="20"/>
        <v>15.77</v>
      </c>
      <c r="M87" s="3">
        <f t="shared" si="20"/>
        <v>15.24</v>
      </c>
      <c r="P87" s="15" t="s">
        <v>955</v>
      </c>
      <c r="Q87" s="10" t="str">
        <f t="shared" si="14"/>
        <v xml:space="preserve">CREMER      -ON  </v>
      </c>
      <c r="R87" s="52">
        <f t="shared" si="15"/>
        <v>41666</v>
      </c>
      <c r="S87" s="5">
        <f t="shared" si="16"/>
        <v>15.28</v>
      </c>
      <c r="T87" s="5">
        <f t="shared" si="17"/>
        <v>15.31</v>
      </c>
      <c r="U87" s="5">
        <f t="shared" si="18"/>
        <v>15.77</v>
      </c>
      <c r="V87" s="5">
        <f t="shared" si="19"/>
        <v>15.24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C88" s="3" t="s">
        <v>105</v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261</v>
      </c>
      <c r="K1" s="18" t="s">
        <v>262</v>
      </c>
      <c r="L1" s="18" t="s">
        <v>455</v>
      </c>
      <c r="M1" s="18" t="s">
        <v>456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11.9</v>
      </c>
      <c r="I2" s="19">
        <f>IF(Tabela2[[#This Row],[Dividendo / Ação]]&gt;0,Tabela2[[#This Row],[Dividendo / Ação]]/Tabela2[[#This Row],[Cotação]],"")</f>
        <v>5.2100840336134449E-2</v>
      </c>
      <c r="J2" s="6">
        <f>SUMPRODUCT(N(Tabela1[Código]=Tabela2[[#This Row],[Ativo]]),Tabela1[Fechamento])</f>
        <v>11.9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11.9</v>
      </c>
      <c r="I3" s="19">
        <f>IF(Tabela2[[#This Row],[Dividendo / Ação]]&gt;0,Tabela2[[#This Row],[Dividendo / Ação]]/Tabela2[[#This Row],[Cotação]],"")</f>
        <v>5.0420168067226885E-2</v>
      </c>
      <c r="J3" s="56">
        <f>SUMPRODUCT(N(Tabela1[Código]=Tabela2[[#This Row],[Ativo]]),Tabela1[Fechamento])</f>
        <v>11.9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11.9</v>
      </c>
      <c r="I4" s="19">
        <f>IF(Tabela2[[#This Row],[Dividendo / Ação]]&gt;0,Tabela2[[#This Row],[Dividendo / Ação]]/Tabela2[[#This Row],[Cotação]],"")</f>
        <v>4.53781512605042E-2</v>
      </c>
      <c r="J4" s="56">
        <f>SUMPRODUCT(N(Tabela1[Código]=Tabela2[[#This Row],[Ativo]]),Tabela1[Fechamento])</f>
        <v>11.9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11.9</v>
      </c>
      <c r="I5" s="19">
        <f>IF(Tabela2[[#This Row],[Dividendo / Ação]]&gt;0,Tabela2[[#This Row],[Dividendo / Ação]]/Tabela2[[#This Row],[Cotação]],"")</f>
        <v>4.2857142857142858E-2</v>
      </c>
      <c r="J5" s="56">
        <f>SUMPRODUCT(N(Tabela1[Código]=Tabela2[[#This Row],[Ativo]]),Tabela1[Fechamento])</f>
        <v>11.9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7.68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7.68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7.68</v>
      </c>
      <c r="I7" s="18">
        <f>IF(Tabela2[[#This Row],[Dividendo / Ação]]&gt;0,Tabela2[[#This Row],[Dividendo / Ação]]/Tabela2[[#This Row],[Cotação]],"")</f>
        <v>0.41964244374999998</v>
      </c>
      <c r="J7" s="55">
        <f>SUMPRODUCT(N(Tabela1[Código]=Tabela2[[#This Row],[Ativo]]),Tabela1[Fechamento])</f>
        <v>7.68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7.68</v>
      </c>
      <c r="I8" s="18">
        <f>IF(Tabela2[[#This Row],[Dividendo / Ação]]&gt;0,Tabela2[[#This Row],[Dividendo / Ação]]/Tabela2[[#This Row],[Cotação]],"")</f>
        <v>0.45741813046875002</v>
      </c>
      <c r="J8" s="55">
        <f>SUMPRODUCT(N(Tabela1[Código]=Tabela2[[#This Row],[Ativo]]),Tabela1[Fechamento])</f>
        <v>7.68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7.68</v>
      </c>
      <c r="I9" s="18">
        <f>IF(Tabela2[[#This Row],[Dividendo / Ação]]&gt;0,Tabela2[[#This Row],[Dividendo / Ação]]/Tabela2[[#This Row],[Cotação]],"")</f>
        <v>0.41652515950520835</v>
      </c>
      <c r="J9" s="55">
        <f>SUMPRODUCT(N(Tabela1[Código]=Tabela2[[#This Row],[Ativo]]),Tabela1[Fechamento])</f>
        <v>7.68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372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16.989999999999998</v>
      </c>
      <c r="I10" s="43">
        <f>IF(Tabela2[[#This Row],[Dividendo / Ação]]&gt;0,Tabela2[[#This Row],[Dividendo / Ação]]/Tabela2[[#This Row],[Cotação]],"")</f>
        <v>2.036997957622131E-2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16.989999999999998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372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16.989999999999998</v>
      </c>
      <c r="I11" s="43">
        <f>IF(Tabela2[[#This Row],[Dividendo / Ação]]&gt;0,Tabela2[[#This Row],[Dividendo / Ação]]/Tabela2[[#This Row],[Cotação]],"")</f>
        <v>1.0700105179517364E-2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16.989999999999998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372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16.989999999999998</v>
      </c>
      <c r="I12" s="43">
        <f>IF(Tabela2[[#This Row],[Dividendo / Ação]]&gt;0,Tabela2[[#This Row],[Dividendo / Ação]]/Tabela2[[#This Row],[Cotação]],"")</f>
        <v>5.4690284284873462E-3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16.989999999999998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372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16.989999999999998</v>
      </c>
      <c r="I13" s="43">
        <f>IF(Tabela2[[#This Row],[Dividendo / Ação]]&gt;0,Tabela2[[#This Row],[Dividendo / Ação]]/Tabela2[[#This Row],[Cotação]],"")</f>
        <v>4.7298457916421432E-3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16.989999999999998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330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4.5599999999999996</v>
      </c>
      <c r="I14" s="18">
        <f>IF(Tabela2[[#This Row],[Dividendo / Ação]]&gt;0,Tabela2[[#This Row],[Dividendo / Ação]]/Tabela2[[#This Row],[Cotação]],"")</f>
        <v>0.2192982456140351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4.5599999999999996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330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4.5599999999999996</v>
      </c>
      <c r="I15" s="18">
        <f>IF(Tabela2[[#This Row],[Dividendo / Ação]]&gt;0,Tabela2[[#This Row],[Dividendo / Ação]]/Tabela2[[#This Row],[Cotação]],"")</f>
        <v>0.2192982456140351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4.5599999999999996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330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4.5599999999999996</v>
      </c>
      <c r="I16" s="18">
        <f>IF(Tabela2[[#This Row],[Dividendo / Ação]]&gt;0,Tabela2[[#This Row],[Dividendo / Ação]]/Tabela2[[#This Row],[Cotação]],"")</f>
        <v>0.33199561403508776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4.5599999999999996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0.31</v>
      </c>
      <c r="I17" s="19">
        <f>IF(Tabela2[[#This Row],[Dividendo / Ação]]&gt;0,Tabela2[[#This Row],[Dividendo / Ação]]/Tabela2[[#This Row],[Cotação]],"")</f>
        <v>8.634193548387098E-2</v>
      </c>
      <c r="J17" s="56">
        <f>SUMPRODUCT(N(Tabela1[Código]=Tabela2[[#This Row],[Ativo]]),Tabela1[Fechamento])</f>
        <v>0.31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0.31</v>
      </c>
      <c r="I18" s="19">
        <f>IF(Tabela2[[#This Row],[Dividendo / Ação]]&gt;0,Tabela2[[#This Row],[Dividendo / Ação]]/Tabela2[[#This Row],[Cotação]],"")</f>
        <v>8.5419354838709674E-2</v>
      </c>
      <c r="J18" s="56">
        <f>SUMPRODUCT(N(Tabela1[Código]=Tabela2[[#This Row],[Ativo]]),Tabela1[Fechamento])</f>
        <v>0.31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0.31</v>
      </c>
      <c r="I19" s="19">
        <f>IF(Tabela2[[#This Row],[Dividendo / Ação]]&gt;0,Tabela2[[#This Row],[Dividendo / Ação]]/Tabela2[[#This Row],[Cotação]],"")</f>
        <v>0.12074193548387097</v>
      </c>
      <c r="J19" s="56">
        <f>SUMPRODUCT(N(Tabela1[Código]=Tabela2[[#This Row],[Ativo]]),Tabela1[Fechamento])</f>
        <v>0.31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21.43</v>
      </c>
      <c r="I20" s="19">
        <f>IF(Tabela2[[#This Row],[Dividendo / Ação]]&gt;0,Tabela2[[#This Row],[Dividendo / Ação]]/Tabela2[[#This Row],[Cotação]],"")</f>
        <v>8.0354643023798411E-2</v>
      </c>
      <c r="J20" s="56">
        <f>SUMPRODUCT(N(Tabela1[Código]=Tabela2[[#This Row],[Ativo]]),Tabela1[Fechamento])</f>
        <v>21.43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21.43</v>
      </c>
      <c r="I21" s="19">
        <f>IF(Tabela2[[#This Row],[Dividendo / Ação]]&gt;0,Tabela2[[#This Row],[Dividendo / Ação]]/Tabela2[[#This Row],[Cotação]],"")</f>
        <v>7.977951927204853E-2</v>
      </c>
      <c r="J21" s="56">
        <f>SUMPRODUCT(N(Tabela1[Código]=Tabela2[[#This Row],[Ativo]]),Tabela1[Fechamento])</f>
        <v>21.43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21.43</v>
      </c>
      <c r="I22" s="19">
        <f>IF(Tabela2[[#This Row],[Dividendo / Ação]]&gt;0,Tabela2[[#This Row],[Dividendo / Ação]]/Tabela2[[#This Row],[Cotação]],"")</f>
        <v>7.6630706579561364E-2</v>
      </c>
      <c r="J22" s="56">
        <f>SUMPRODUCT(N(Tabela1[Código]=Tabela2[[#This Row],[Ativo]]),Tabela1[Fechamento])</f>
        <v>21.43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21.43</v>
      </c>
      <c r="I23" s="19">
        <f>IF(Tabela2[[#This Row],[Dividendo / Ação]]&gt;0,Tabela2[[#This Row],[Dividendo / Ação]]/Tabela2[[#This Row],[Cotação]],"")</f>
        <v>6.61012971535231E-2</v>
      </c>
      <c r="J23" s="56">
        <f>SUMPRODUCT(N(Tabela1[Código]=Tabela2[[#This Row],[Ativo]]),Tabela1[Fechamento])</f>
        <v>21.43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211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28.6</v>
      </c>
      <c r="I24" s="19">
        <f>IF(Tabela2[[#This Row],[Dividendo / Ação]]&gt;0,Tabela2[[#This Row],[Dividendo / Ação]]/Tabela2[[#This Row],[Cotação]],"")</f>
        <v>3.3977112832167831E-2</v>
      </c>
      <c r="J24" s="56">
        <f>SUMPRODUCT(N(Tabela1[Código]=Tabela2[[#This Row],[Ativo]]),Tabela1[Fechamento])</f>
        <v>28.6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211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28.6</v>
      </c>
      <c r="I25" s="18">
        <f>IF(Tabela2[[#This Row],[Dividendo / Ação]]&gt;0,Tabela2[[#This Row],[Dividendo / Ação]]/Tabela2[[#This Row],[Cotação]],"")</f>
        <v>3.2635944055944055E-2</v>
      </c>
      <c r="J25" s="55">
        <f>SUMPRODUCT(N(Tabela1[Código]=Tabela2[[#This Row],[Ativo]]),Tabela1[Fechamento])</f>
        <v>28.6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211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28.6</v>
      </c>
      <c r="I26" s="18">
        <f>IF(Tabela2[[#This Row],[Dividendo / Ação]]&gt;0,Tabela2[[#This Row],[Dividendo / Ação]]/Tabela2[[#This Row],[Cotação]],"")</f>
        <v>3.0642797202797202E-2</v>
      </c>
      <c r="J26" s="55">
        <f>SUMPRODUCT(N(Tabela1[Código]=Tabela2[[#This Row],[Ativo]]),Tabela1[Fechamento])</f>
        <v>28.6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211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28.6</v>
      </c>
      <c r="I27" s="18">
        <f>IF(Tabela2[[#This Row],[Dividendo / Ação]]&gt;0,Tabela2[[#This Row],[Dividendo / Ação]]/Tabela2[[#This Row],[Cotação]],"")</f>
        <v>2.9165874125874125E-2</v>
      </c>
      <c r="J27" s="55">
        <f>SUMPRODUCT(N(Tabela1[Código]=Tabela2[[#This Row],[Ativo]]),Tabela1[Fechamento])</f>
        <v>28.6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212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26.47</v>
      </c>
      <c r="I28" s="19">
        <f>IF(Tabela2[[#This Row],[Dividendo / Ação]]&gt;0,Tabela2[[#This Row],[Dividendo / Ação]]/Tabela2[[#This Row],[Cotação]],"")</f>
        <v>4.0382318473743864E-2</v>
      </c>
      <c r="J28" s="56">
        <f>SUMPRODUCT(N(Tabela1[Código]=Tabela2[[#This Row],[Ativo]]),Tabela1[Fechamento])</f>
        <v>26.47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212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26.47</v>
      </c>
      <c r="I29" s="19">
        <f>IF(Tabela2[[#This Row],[Dividendo / Ação]]&gt;0,Tabela2[[#This Row],[Dividendo / Ação]]/Tabela2[[#This Row],[Cotação]],"")</f>
        <v>3.8788326407253493E-2</v>
      </c>
      <c r="J29" s="56">
        <f>SUMPRODUCT(N(Tabela1[Código]=Tabela2[[#This Row],[Ativo]]),Tabela1[Fechamento])</f>
        <v>26.47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212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26.47</v>
      </c>
      <c r="I30" s="19">
        <f>IF(Tabela2[[#This Row],[Dividendo / Ação]]&gt;0,Tabela2[[#This Row],[Dividendo / Ação]]/Tabela2[[#This Row],[Cotação]],"")</f>
        <v>3.6419418209293543E-2</v>
      </c>
      <c r="J30" s="56">
        <f>SUMPRODUCT(N(Tabela1[Código]=Tabela2[[#This Row],[Ativo]]),Tabela1[Fechamento])</f>
        <v>26.47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212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26.47</v>
      </c>
      <c r="I31" s="19">
        <f>IF(Tabela2[[#This Row],[Dividendo / Ação]]&gt;0,Tabela2[[#This Row],[Dividendo / Ação]]/Tabela2[[#This Row],[Cotação]],"")</f>
        <v>3.4664072534945224E-2</v>
      </c>
      <c r="J31" s="56">
        <f>SUMPRODUCT(N(Tabela1[Código]=Tabela2[[#This Row],[Ativo]]),Tabela1[Fechamento])</f>
        <v>26.47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23.03</v>
      </c>
      <c r="I32" s="19">
        <f>IF(Tabela2[[#This Row],[Dividendo / Ação]]&gt;0,Tabela2[[#This Row],[Dividendo / Ação]]/Tabela2[[#This Row],[Cotação]],"")</f>
        <v>1.0855405992184108E-2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23.03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0.45</v>
      </c>
      <c r="I33" s="19">
        <f>IF(Tabela2[[#This Row],[Dividendo / Ação]]&gt;0,Tabela2[[#This Row],[Dividendo / Ação]]/Tabela2[[#This Row],[Cotação]],"")</f>
        <v>4.4889099555555555E-2</v>
      </c>
      <c r="J33" s="56">
        <f>SUMPRODUCT(N(Tabela1[Código]=Tabela2[[#This Row],[Ativo]]),Tabela1[Fechamento])</f>
        <v>0.45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0.45</v>
      </c>
      <c r="I34" s="18">
        <f>IF(Tabela2[[#This Row],[Dividendo / Ação]]&gt;0,Tabela2[[#This Row],[Dividendo / Ação]]/Tabela2[[#This Row],[Cotação]],"")</f>
        <v>6.9183768888888886E-2</v>
      </c>
      <c r="J34" s="55">
        <f>SUMPRODUCT(N(Tabela1[Código]=Tabela2[[#This Row],[Ativo]]),Tabela1[Fechamento])</f>
        <v>0.45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0.45</v>
      </c>
      <c r="I35" s="18">
        <f>IF(Tabela2[[#This Row],[Dividendo / Ação]]&gt;0,Tabela2[[#This Row],[Dividendo / Ação]]/Tabela2[[#This Row],[Cotação]],"")</f>
        <v>5.8770419999999997E-2</v>
      </c>
      <c r="J35" s="55">
        <f>SUMPRODUCT(N(Tabela1[Código]=Tabela2[[#This Row],[Ativo]]),Tabela1[Fechamento])</f>
        <v>0.45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0.45</v>
      </c>
      <c r="I36" s="18">
        <f>IF(Tabela2[[#This Row],[Dividendo / Ação]]&gt;0,Tabela2[[#This Row],[Dividendo / Ação]]/Tabela2[[#This Row],[Cotação]],"")</f>
        <v>4.7055539733333332E-2</v>
      </c>
      <c r="J36" s="55">
        <f>SUMPRODUCT(N(Tabela1[Código]=Tabela2[[#This Row],[Ativo]]),Tabela1[Fechamento])</f>
        <v>0.45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216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216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216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216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217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43.02</v>
      </c>
      <c r="I45" s="19">
        <f>IF(Tabela2[[#This Row],[Dividendo / Ação]]&gt;0,Tabela2[[#This Row],[Dividendo / Ação]]/Tabela2[[#This Row],[Cotação]],"")</f>
        <v>0.12647686857275683</v>
      </c>
      <c r="J45" s="56">
        <f>SUMPRODUCT(N(Tabela1[Código]=Tabela2[[#This Row],[Ativo]]),Tabela1[Fechamento])</f>
        <v>43.02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217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43.02</v>
      </c>
      <c r="I46" s="19">
        <f>IF(Tabela2[[#This Row],[Dividendo / Ação]]&gt;0,Tabela2[[#This Row],[Dividendo / Ação]]/Tabela2[[#This Row],[Cotação]],"")</f>
        <v>0.14175449746629473</v>
      </c>
      <c r="J46" s="56">
        <f>SUMPRODUCT(N(Tabela1[Código]=Tabela2[[#This Row],[Ativo]]),Tabela1[Fechamento])</f>
        <v>43.02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217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43.02</v>
      </c>
      <c r="I47" s="19">
        <f>IF(Tabela2[[#This Row],[Dividendo / Ação]]&gt;0,Tabela2[[#This Row],[Dividendo / Ação]]/Tabela2[[#This Row],[Cotação]],"")</f>
        <v>5.8102136424918634E-2</v>
      </c>
      <c r="J47" s="56">
        <f>SUMPRODUCT(N(Tabela1[Código]=Tabela2[[#This Row],[Ativo]]),Tabela1[Fechamento])</f>
        <v>43.02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217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43.02</v>
      </c>
      <c r="I48" s="19">
        <f>IF(Tabela2[[#This Row],[Dividendo / Ação]]&gt;0,Tabela2[[#This Row],[Dividendo / Ação]]/Tabela2[[#This Row],[Cotação]],"")</f>
        <v>5.0652467015341693E-2</v>
      </c>
      <c r="J48" s="56">
        <f>SUMPRODUCT(N(Tabela1[Código]=Tabela2[[#This Row],[Ativo]]),Tabela1[Fechamento])</f>
        <v>43.02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223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223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223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7.24</v>
      </c>
      <c r="I52" s="19">
        <f>IF(Tabela2[[#This Row],[Dividendo / Ação]]&gt;0,Tabela2[[#This Row],[Dividendo / Ação]]/Tabela2[[#This Row],[Cotação]],"")</f>
        <v>6.7089076243093917E-2</v>
      </c>
      <c r="J52" s="56">
        <f>SUMPRODUCT(N(Tabela1[Código]=Tabela2[[#This Row],[Ativo]]),Tabela1[Fechamento])</f>
        <v>7.24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7.24</v>
      </c>
      <c r="I53" s="19">
        <f>IF(Tabela2[[#This Row],[Dividendo / Ação]]&gt;0,Tabela2[[#This Row],[Dividendo / Ação]]/Tabela2[[#This Row],[Cotação]],"")</f>
        <v>6.404936961325966E-2</v>
      </c>
      <c r="J53" s="56">
        <f>SUMPRODUCT(N(Tabela1[Código]=Tabela2[[#This Row],[Ativo]]),Tabela1[Fechamento])</f>
        <v>7.24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7.24</v>
      </c>
      <c r="I54" s="19">
        <f>IF(Tabela2[[#This Row],[Dividendo / Ação]]&gt;0,Tabela2[[#This Row],[Dividendo / Ação]]/Tabela2[[#This Row],[Cotação]],"")</f>
        <v>8.3286827348066306E-2</v>
      </c>
      <c r="J54" s="56">
        <f>SUMPRODUCT(N(Tabela1[Código]=Tabela2[[#This Row],[Ativo]]),Tabela1[Fechamento])</f>
        <v>7.24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227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227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227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229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229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229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229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230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28</v>
      </c>
      <c r="I65" s="19">
        <f>IF(Tabela2[[#This Row],[Dividendo / Ação]]&gt;0,Tabela2[[#This Row],[Dividendo / Ação]]/Tabela2[[#This Row],[Cotação]],"")</f>
        <v>8.2452605289321426E-2</v>
      </c>
      <c r="J65" s="56">
        <f>SUMPRODUCT(N(Tabela1[Código]=Tabela2[[#This Row],[Ativo]]),Tabela1[Fechamento])</f>
        <v>28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230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28</v>
      </c>
      <c r="I66" s="19">
        <f>IF(Tabela2[[#This Row],[Dividendo / Ação]]&gt;0,Tabela2[[#This Row],[Dividendo / Ação]]/Tabela2[[#This Row],[Cotação]],"")</f>
        <v>7.3182889000000001E-2</v>
      </c>
      <c r="J66" s="56">
        <f>SUMPRODUCT(N(Tabela1[Código]=Tabela2[[#This Row],[Ativo]]),Tabela1[Fechamento])</f>
        <v>28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230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28</v>
      </c>
      <c r="I67" s="19">
        <f>IF(Tabela2[[#This Row],[Dividendo / Ação]]&gt;0,Tabela2[[#This Row],[Dividendo / Ação]]/Tabela2[[#This Row],[Cotação]],"")</f>
        <v>8.9307216428571423E-2</v>
      </c>
      <c r="J67" s="56">
        <f>SUMPRODUCT(N(Tabela1[Código]=Tabela2[[#This Row],[Ativo]]),Tabela1[Fechamento])</f>
        <v>28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230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28</v>
      </c>
      <c r="I68" s="19">
        <f>IF(Tabela2[[#This Row],[Dividendo / Ação]]&gt;0,Tabela2[[#This Row],[Dividendo / Ação]]/Tabela2[[#This Row],[Cotação]],"")</f>
        <v>0.10398219875</v>
      </c>
      <c r="J68" s="56">
        <f>SUMPRODUCT(N(Tabela1[Código]=Tabela2[[#This Row],[Ativo]]),Tabela1[Fechamento])</f>
        <v>28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316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17.510000000000002</v>
      </c>
      <c r="I69" s="18">
        <f>IF(Tabela2[[#This Row],[Dividendo / Ação]]&gt;0,Tabela2[[#This Row],[Dividendo / Ação]]/Tabela2[[#This Row],[Cotação]],"")</f>
        <v>3.3757356824671618E-2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17.510000000000002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316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17.510000000000002</v>
      </c>
      <c r="I70" s="18">
        <f>IF(Tabela2[[#This Row],[Dividendo / Ação]]&gt;0,Tabela2[[#This Row],[Dividendo / Ação]]/Tabela2[[#This Row],[Cotação]],"")</f>
        <v>0.10154331496287836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17.510000000000002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316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17.510000000000002</v>
      </c>
      <c r="I71" s="18">
        <f>IF(Tabela2[[#This Row],[Dividendo / Ação]]&gt;0,Tabela2[[#This Row],[Dividendo / Ação]]/Tabela2[[#This Row],[Cotação]],"")</f>
        <v>8.7376621016561948E-2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17.510000000000002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316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17.510000000000002</v>
      </c>
      <c r="I72" s="22">
        <f>IF(Tabela2[[#This Row],[Dividendo / Ação]]&gt;0,Tabela2[[#This Row],[Dividendo / Ação]]/Tabela2[[#This Row],[Cotação]],"")</f>
        <v>4.9507364477441453E-2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17.510000000000002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317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21.19</v>
      </c>
      <c r="I73" s="18">
        <f>IF(Tabela2[[#This Row],[Dividendo / Ação]]&gt;0,Tabela2[[#This Row],[Dividendo / Ação]]/Tabela2[[#This Row],[Cotação]],"")</f>
        <v>3.0684306276545541E-2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21.19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317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21.19</v>
      </c>
      <c r="I74" s="18">
        <f>IF(Tabela2[[#This Row],[Dividendo / Ação]]&gt;0,Tabela2[[#This Row],[Dividendo / Ação]]/Tabela2[[#This Row],[Cotação]],"")</f>
        <v>9.229947107126002E-2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21.19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317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21.19</v>
      </c>
      <c r="I75" s="18">
        <f>IF(Tabela2[[#This Row],[Dividendo / Ação]]&gt;0,Tabela2[[#This Row],[Dividendo / Ação]]/Tabela2[[#This Row],[Cotação]],"")</f>
        <v>7.9422420953279838E-2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21.19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317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21.19</v>
      </c>
      <c r="I76" s="22">
        <f>IF(Tabela2[[#This Row],[Dividendo / Ação]]&gt;0,Tabela2[[#This Row],[Dividendo / Ação]]/Tabela2[[#This Row],[Cotação]],"")</f>
        <v>4.5000535582822083E-2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21.19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298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43.41</v>
      </c>
      <c r="I77" s="18">
        <f>IF(Tabela2[[#This Row],[Dividendo / Ação]]&gt;0,Tabela2[[#This Row],[Dividendo / Ação]]/Tabela2[[#This Row],[Cotação]],"")</f>
        <v>7.3715733701912008E-3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43.41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298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43.41</v>
      </c>
      <c r="I78" s="18">
        <f>IF(Tabela2[[#This Row],[Dividendo / Ação]]&gt;0,Tabela2[[#This Row],[Dividendo / Ação]]/Tabela2[[#This Row],[Cotação]],"")</f>
        <v>1.6690419235199264E-2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43.41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298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43.41</v>
      </c>
      <c r="I79" s="18">
        <f>IF(Tabela2[[#This Row],[Dividendo / Ação]]&gt;0,Tabela2[[#This Row],[Dividendo / Ação]]/Tabela2[[#This Row],[Cotação]],"")</f>
        <v>6.9308644321584897E-3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43.41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242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242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242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242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243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243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243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243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238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238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238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238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239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239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239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239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240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240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240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240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241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241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241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241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397</v>
      </c>
      <c r="B108" s="4">
        <v>2012</v>
      </c>
      <c r="C108" s="6">
        <v>109798096.84</v>
      </c>
      <c r="D108" s="71">
        <f>SUMPRODUCT(N(Tabela3[PAPEL]=Tabela2[[#This Row],[Ativo]]),Tabela3[Total Ações])</f>
        <v>98042555</v>
      </c>
      <c r="E108" s="61">
        <f>(Tabela2[[#This Row],[Lucro Líquido]])/Tabela2[[#This Row],[Total Ações]]</f>
        <v>1.1199024427708968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0.95764220528573207</v>
      </c>
      <c r="H108" s="56">
        <f>MAX(Tabela2[[#This Row],[Cotação 1]],Tabela2[[#This Row],[Cotação 2]])</f>
        <v>19.09</v>
      </c>
      <c r="I108" s="43">
        <f>IF(Tabela2[[#This Row],[Dividendo / Ação]]&gt;0,Tabela2[[#This Row],[Dividendo / Ação]]/Tabela2[[#This Row],[Cotação]],"")</f>
        <v>5.6179457569408064E-2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19.09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397</v>
      </c>
      <c r="B109" s="4">
        <v>2011</v>
      </c>
      <c r="C109" s="6">
        <v>106752609.08</v>
      </c>
      <c r="D109" s="71">
        <f>SUMPRODUCT(N(Tabela3[PAPEL]=Tabela2[[#This Row],[Ativo]]),Tabela3[Total Ações])</f>
        <v>98042555</v>
      </c>
      <c r="E109" s="61">
        <f>(Tabela2[[#This Row],[Lucro Líquido]])/Tabela2[[#This Row],[Total Ações]]</f>
        <v>1.0888395256529166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0.84053002985100489</v>
      </c>
      <c r="H109" s="56">
        <f>MAX(Tabela2[[#This Row],[Cotação 1]],Tabela2[[#This Row],[Cotação 2]])</f>
        <v>19.09</v>
      </c>
      <c r="I109" s="43">
        <f>IF(Tabela2[[#This Row],[Dividendo / Ação]]&gt;0,Tabela2[[#This Row],[Dividendo / Ação]]/Tabela2[[#This Row],[Cotação]],"")</f>
        <v>4.7941452016762705E-2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19.09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397</v>
      </c>
      <c r="B110" s="4">
        <v>2010</v>
      </c>
      <c r="C110" s="6">
        <v>13071107.109999999</v>
      </c>
      <c r="D110" s="71">
        <f>SUMPRODUCT(N(Tabela3[PAPEL]=Tabela2[[#This Row],[Ativo]]),Tabela3[Total Ações])</f>
        <v>98042555</v>
      </c>
      <c r="E110" s="61">
        <f>(Tabela2[[#This Row],[Lucro Líquido]])/Tabela2[[#This Row],[Total Ações]]</f>
        <v>0.1333207514838837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4.9896538430509431E-2</v>
      </c>
      <c r="H110" s="56">
        <f>MAX(Tabela2[[#This Row],[Cotação 1]],Tabela2[[#This Row],[Cotação 2]])</f>
        <v>19.09</v>
      </c>
      <c r="I110" s="43">
        <f>IF(Tabela2[[#This Row],[Dividendo / Ação]]&gt;0,Tabela2[[#This Row],[Dividendo / Ação]]/Tabela2[[#This Row],[Cotação]],"")</f>
        <v>3.4846746987951809E-4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19.09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209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6.61</v>
      </c>
      <c r="I111" s="19">
        <f>IF(Tabela2[[#This Row],[Dividendo / Ação]]&gt;0,Tabela2[[#This Row],[Dividendo / Ação]]/Tabela2[[#This Row],[Cotação]],"")</f>
        <v>1.2057488653555219E-2</v>
      </c>
      <c r="J111" s="56">
        <f>SUMPRODUCT(N(Tabela1[Código]=Tabela2[[#This Row],[Ativo]]),Tabela1[Fechamento])</f>
        <v>6.61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209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6.61</v>
      </c>
      <c r="I112" s="18">
        <f>IF(Tabela2[[#This Row],[Dividendo / Ação]]&gt;0,Tabela2[[#This Row],[Dividendo / Ação]]/Tabela2[[#This Row],[Cotação]],"")</f>
        <v>1.5007564296520422E-2</v>
      </c>
      <c r="J112" s="55">
        <f>SUMPRODUCT(N(Tabela1[Código]=Tabela2[[#This Row],[Ativo]]),Tabela1[Fechamento])</f>
        <v>6.61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209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6.61</v>
      </c>
      <c r="I113" s="18">
        <f>IF(Tabela2[[#This Row],[Dividendo / Ação]]&gt;0,Tabela2[[#This Row],[Dividendo / Ação]]/Tabela2[[#This Row],[Cotação]],"")</f>
        <v>2.8819969742813919E-2</v>
      </c>
      <c r="J113" s="55">
        <f>SUMPRODUCT(N(Tabela1[Código]=Tabela2[[#This Row],[Ativo]]),Tabela1[Fechamento])</f>
        <v>6.61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209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6.61</v>
      </c>
      <c r="I114" s="18">
        <f>IF(Tabela2[[#This Row],[Dividendo / Ação]]&gt;0,Tabela2[[#This Row],[Dividendo / Ação]]/Tabela2[[#This Row],[Cotação]],"")</f>
        <v>2.6732223903177001E-2</v>
      </c>
      <c r="J114" s="55">
        <f>SUMPRODUCT(N(Tabela1[Código]=Tabela2[[#This Row],[Ativo]]),Tabela1[Fechamento])</f>
        <v>6.61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210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5.5</v>
      </c>
      <c r="I115" s="19">
        <f>IF(Tabela2[[#This Row],[Dividendo / Ação]]&gt;0,Tabela2[[#This Row],[Dividendo / Ação]]/Tabela2[[#This Row],[Cotação]],"")</f>
        <v>7.112727272727272E-2</v>
      </c>
      <c r="J115" s="56">
        <f>SUMPRODUCT(N(Tabela1[Código]=Tabela2[[#This Row],[Ativo]]),Tabela1[Fechamento])</f>
        <v>5.5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210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5.5</v>
      </c>
      <c r="I116" s="19">
        <f>IF(Tabela2[[#This Row],[Dividendo / Ação]]&gt;0,Tabela2[[#This Row],[Dividendo / Ação]]/Tabela2[[#This Row],[Cotação]],"")</f>
        <v>6.7709090909090913E-2</v>
      </c>
      <c r="J116" s="56">
        <f>SUMPRODUCT(N(Tabela1[Código]=Tabela2[[#This Row],[Ativo]]),Tabela1[Fechamento])</f>
        <v>5.5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210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5.5</v>
      </c>
      <c r="I117" s="19">
        <f>IF(Tabela2[[#This Row],[Dividendo / Ação]]&gt;0,Tabela2[[#This Row],[Dividendo / Ação]]/Tabela2[[#This Row],[Cotação]],"")</f>
        <v>6.3436363636363638E-2</v>
      </c>
      <c r="J117" s="56">
        <f>SUMPRODUCT(N(Tabela1[Código]=Tabela2[[#This Row],[Ativo]]),Tabela1[Fechamento])</f>
        <v>5.5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210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5.5</v>
      </c>
      <c r="I118" s="19">
        <f>IF(Tabela2[[#This Row],[Dividendo / Ação]]&gt;0,Tabela2[[#This Row],[Dividendo / Ação]]/Tabela2[[#This Row],[Cotação]],"")</f>
        <v>5.9745454545454546E-2</v>
      </c>
      <c r="J118" s="56">
        <f>SUMPRODUCT(N(Tabela1[Código]=Tabela2[[#This Row],[Ativo]]),Tabela1[Fechamento])</f>
        <v>5.5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283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14.37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14.37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283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14.37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14.37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283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14.37</v>
      </c>
      <c r="I121" s="18">
        <f>IF(Tabela2[[#This Row],[Dividendo / Ação]]&gt;0,Tabela2[[#This Row],[Dividendo / Ação]]/Tabela2[[#This Row],[Cotação]],"")</f>
        <v>5.7985187195546281E-2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14.37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283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14.37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14.37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284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18.63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18.63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284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18.63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18.63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284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18.63</v>
      </c>
      <c r="I125" s="18">
        <f>IF(Tabela2[[#This Row],[Dividendo / Ação]]&gt;0,Tabela2[[#This Row],[Dividendo / Ação]]/Tabela2[[#This Row],[Cotação]],"")</f>
        <v>4.4726094471282882E-2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18.63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284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18.63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18.63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285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10.15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10.15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285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10.15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10.15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285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10.15</v>
      </c>
      <c r="I129" s="19">
        <f>IF(Tabela2[[#This Row],[Dividendo / Ação]]&gt;0,Tabela2[[#This Row],[Dividendo / Ação]]/Tabela2[[#This Row],[Cotação]],"")</f>
        <v>5.930919251231527E-2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10.15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285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10.15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10.15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374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16.34</v>
      </c>
      <c r="I131" s="43">
        <f>IF(Tabela2[[#This Row],[Dividendo / Ação]]&gt;0,Tabela2[[#This Row],[Dividendo / Ação]]/Tabela2[[#This Row],[Cotação]],"")</f>
        <v>2.9090482500992044E-2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16.34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374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16.34</v>
      </c>
      <c r="I132" s="43">
        <f>IF(Tabela2[[#This Row],[Dividendo / Ação]]&gt;0,Tabela2[[#This Row],[Dividendo / Ação]]/Tabela2[[#This Row],[Cotação]],"")</f>
        <v>9.2201377150071592E-3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16.34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374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16.34</v>
      </c>
      <c r="I133" s="43">
        <f>IF(Tabela2[[#This Row],[Dividendo / Ação]]&gt;0,Tabela2[[#This Row],[Dividendo / Ação]]/Tabela2[[#This Row],[Cotação]],"")</f>
        <v>1.0111319583432313E-2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16.34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374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16.34</v>
      </c>
      <c r="I134" s="43">
        <f>IF(Tabela2[[#This Row],[Dividendo / Ação]]&gt;0,Tabela2[[#This Row],[Dividendo / Ação]]/Tabela2[[#This Row],[Cotação]],"")</f>
        <v>1.4825459724671359E-2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16.34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376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17.37</v>
      </c>
      <c r="I135" s="43">
        <f>IF(Tabela2[[#This Row],[Dividendo / Ação]]&gt;0,Tabela2[[#This Row],[Dividendo / Ação]]/Tabela2[[#This Row],[Cotação]],"")</f>
        <v>2.9360967184801381E-2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17.37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376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17.37</v>
      </c>
      <c r="I136" s="43">
        <f>IF(Tabela2[[#This Row],[Dividendo / Ação]]&gt;0,Tabela2[[#This Row],[Dividendo / Ação]]/Tabela2[[#This Row],[Cotação]],"")</f>
        <v>1.0938399539435808E-2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17.37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376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17.37</v>
      </c>
      <c r="I137" s="43">
        <f>IF(Tabela2[[#This Row],[Dividendo / Ação]]&gt;0,Tabela2[[#This Row],[Dividendo / Ação]]/Tabela2[[#This Row],[Cotação]],"")</f>
        <v>6.3327576280944155E-3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17.37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218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218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219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219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11.18</v>
      </c>
      <c r="I142" s="19">
        <f>IF(Tabela2[[#This Row],[Dividendo / Ação]]&gt;0,Tabela2[[#This Row],[Dividendo / Ação]]/Tabela2[[#This Row],[Cotação]],"")</f>
        <v>7.1378085867620761E-2</v>
      </c>
      <c r="J142" s="56">
        <f>SUMPRODUCT(N(Tabela1[Código]=Tabela2[[#This Row],[Ativo]]),Tabela1[Fechamento])</f>
        <v>11.18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11.18</v>
      </c>
      <c r="I143" s="19">
        <f>IF(Tabela2[[#This Row],[Dividendo / Ação]]&gt;0,Tabela2[[#This Row],[Dividendo / Ação]]/Tabela2[[#This Row],[Cotação]],"")</f>
        <v>7.5186672629695889E-2</v>
      </c>
      <c r="J143" s="56">
        <f>SUMPRODUCT(N(Tabela1[Código]=Tabela2[[#This Row],[Ativo]]),Tabela1[Fechamento])</f>
        <v>11.18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233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233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233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233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234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234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234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234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403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9.9</v>
      </c>
      <c r="I152" s="43">
        <f>IF(Tabela2[[#This Row],[Dividendo / Ação]]&gt;0,Tabela2[[#This Row],[Dividendo / Ação]]/Tabela2[[#This Row],[Cotação]],"")</f>
        <v>3.5862626262626263E-2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9.9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403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9.9</v>
      </c>
      <c r="I153" s="43">
        <f>IF(Tabela2[[#This Row],[Dividendo / Ação]]&gt;0,Tabela2[[#This Row],[Dividendo / Ação]]/Tabela2[[#This Row],[Cotação]],"")</f>
        <v>4.7569797979797976E-2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9.9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403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9.9</v>
      </c>
      <c r="I154" s="43">
        <f>IF(Tabela2[[#This Row],[Dividendo / Ação]]&gt;0,Tabela2[[#This Row],[Dividendo / Ação]]/Tabela2[[#This Row],[Cotação]],"")</f>
        <v>5.8255858585858591E-2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9.9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189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189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189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189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378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20.3</v>
      </c>
      <c r="I159" s="43">
        <f>IF(Tabela2[[#This Row],[Dividendo / Ação]]&gt;0,Tabela2[[#This Row],[Dividendo / Ação]]/Tabela2[[#This Row],[Cotação]],"")</f>
        <v>4.3325873349753692E-2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20.3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378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20.3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20.3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378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20.3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20.3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17.190000000000001</v>
      </c>
      <c r="I162" s="19">
        <f>IF(Tabela2[[#This Row],[Dividendo / Ação]]&gt;0,Tabela2[[#This Row],[Dividendo / Ação]]/Tabela2[[#This Row],[Cotação]],"")</f>
        <v>0.14347876672484003</v>
      </c>
      <c r="J162" s="56">
        <f>SUMPRODUCT(N(Tabela1[Código]=Tabela2[[#This Row],[Ativo]]),Tabela1[Fechamento])</f>
        <v>17.190000000000001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17.190000000000001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17.190000000000001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17.190000000000001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17.190000000000001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17.190000000000001</v>
      </c>
      <c r="I165" s="18">
        <f>IF(Tabela2[[#This Row],[Dividendo / Ação]]&gt;0,Tabela2[[#This Row],[Dividendo / Ação]]/Tabela2[[#This Row],[Cotação]],"")</f>
        <v>0.16741977894124491</v>
      </c>
      <c r="J165" s="55">
        <f>SUMPRODUCT(N(Tabela1[Código]=Tabela2[[#This Row],[Ativo]]),Tabela1[Fechamento])</f>
        <v>17.190000000000001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</v>
      </c>
      <c r="I174" s="19">
        <f>IF(Tabela2[[#This Row],[Dividendo / Ação]]&gt;0,Tabela2[[#This Row],[Dividendo / Ação]]/Tabela2[[#This Row],[Cotação]],"")</f>
        <v>7.4815016058064523E-2</v>
      </c>
      <c r="J174" s="56">
        <f>SUMPRODUCT(N(Tabela1[Código]=Tabela2[[#This Row],[Ativo]]),Tabela1[Fechamento])</f>
        <v>31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</v>
      </c>
      <c r="I175" s="18">
        <f>IF(Tabela2[[#This Row],[Dividendo / Ação]]&gt;0,Tabela2[[#This Row],[Dividendo / Ação]]/Tabela2[[#This Row],[Cotação]],"")</f>
        <v>0.14250514961612903</v>
      </c>
      <c r="J175" s="55">
        <f>SUMPRODUCT(N(Tabela1[Código]=Tabela2[[#This Row],[Ativo]]),Tabela1[Fechamento])</f>
        <v>31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</v>
      </c>
      <c r="I176" s="18">
        <f>IF(Tabela2[[#This Row],[Dividendo / Ação]]&gt;0,Tabela2[[#This Row],[Dividendo / Ação]]/Tabela2[[#This Row],[Cotação]],"")</f>
        <v>0.11844736457741936</v>
      </c>
      <c r="J176" s="55">
        <f>SUMPRODUCT(N(Tabela1[Código]=Tabela2[[#This Row],[Ativo]]),Tabela1[Fechamento])</f>
        <v>31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</v>
      </c>
      <c r="I177" s="18">
        <f>IF(Tabela2[[#This Row],[Dividendo / Ação]]&gt;0,Tabela2[[#This Row],[Dividendo / Ação]]/Tabela2[[#This Row],[Cotação]],"")</f>
        <v>0.10462352645161291</v>
      </c>
      <c r="J177" s="55">
        <f>SUMPRODUCT(N(Tabela1[Código]=Tabela2[[#This Row],[Ativo]]),Tabela1[Fechamento])</f>
        <v>31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19.64</v>
      </c>
      <c r="I190" s="19">
        <f>IF(Tabela2[[#This Row],[Dividendo / Ação]]&gt;0,Tabela2[[#This Row],[Dividendo / Ação]]/Tabela2[[#This Row],[Cotação]],"")</f>
        <v>5.9063136456211807E-2</v>
      </c>
      <c r="J190" s="56">
        <f>SUMPRODUCT(N(Tabela1[Código]=Tabela2[[#This Row],[Ativo]]),Tabela1[Fechamento])</f>
        <v>19.64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19.64</v>
      </c>
      <c r="I191" s="18">
        <f>IF(Tabela2[[#This Row],[Dividendo / Ação]]&gt;0,Tabela2[[#This Row],[Dividendo / Ação]]/Tabela2[[#This Row],[Cotação]],"")</f>
        <v>8.6447836048879831E-2</v>
      </c>
      <c r="J191" s="55">
        <f>SUMPRODUCT(N(Tabela1[Código]=Tabela2[[#This Row],[Ativo]]),Tabela1[Fechamento])</f>
        <v>19.64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19.64</v>
      </c>
      <c r="I192" s="18">
        <f>IF(Tabela2[[#This Row],[Dividendo / Ação]]&gt;0,Tabela2[[#This Row],[Dividendo / Ação]]/Tabela2[[#This Row],[Cotação]],"")</f>
        <v>3.5810117107942969E-2</v>
      </c>
      <c r="J192" s="55">
        <f>SUMPRODUCT(N(Tabela1[Código]=Tabela2[[#This Row],[Ativo]]),Tabela1[Fechamento])</f>
        <v>19.64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21.91</v>
      </c>
      <c r="I193" s="19">
        <f>IF(Tabela2[[#This Row],[Dividendo / Ação]]&gt;0,Tabela2[[#This Row],[Dividendo / Ação]]/Tabela2[[#This Row],[Cotação]],"")</f>
        <v>8.3067092651757185E-2</v>
      </c>
      <c r="J193" s="56">
        <f>SUMPRODUCT(N(Tabela1[Código]=Tabela2[[#This Row],[Ativo]]),Tabela1[Fechamento])</f>
        <v>21.91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21.91</v>
      </c>
      <c r="I194" s="18">
        <f>IF(Tabela2[[#This Row],[Dividendo / Ação]]&gt;0,Tabela2[[#This Row],[Dividendo / Ação]]/Tabela2[[#This Row],[Cotação]],"")</f>
        <v>8.3274529502510269E-2</v>
      </c>
      <c r="J194" s="55">
        <f>SUMPRODUCT(N(Tabela1[Código]=Tabela2[[#This Row],[Ativo]]),Tabela1[Fechamento])</f>
        <v>21.91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21.91</v>
      </c>
      <c r="I195" s="18">
        <f>IF(Tabela2[[#This Row],[Dividendo / Ação]]&gt;0,Tabela2[[#This Row],[Dividendo / Ação]]/Tabela2[[#This Row],[Cotação]],"")</f>
        <v>8.3274529502510269E-2</v>
      </c>
      <c r="J195" s="55">
        <f>SUMPRODUCT(N(Tabela1[Código]=Tabela2[[#This Row],[Ativo]]),Tabela1[Fechamento])</f>
        <v>21.91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21.72</v>
      </c>
      <c r="I196" s="19">
        <f>IF(Tabela2[[#This Row],[Dividendo / Ação]]&gt;0,Tabela2[[#This Row],[Dividendo / Ação]]/Tabela2[[#This Row],[Cotação]],"")</f>
        <v>5.3406998158379376E-2</v>
      </c>
      <c r="J196" s="56">
        <f>SUMPRODUCT(N(Tabela1[Código]=Tabela2[[#This Row],[Ativo]]),Tabela1[Fechamento])</f>
        <v>21.72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21.72</v>
      </c>
      <c r="I197" s="19">
        <f>IF(Tabela2[[#This Row],[Dividendo / Ação]]&gt;0,Tabela2[[#This Row],[Dividendo / Ação]]/Tabela2[[#This Row],[Cotação]],"")</f>
        <v>6.4954627071823215E-2</v>
      </c>
      <c r="J197" s="56">
        <f>SUMPRODUCT(N(Tabela1[Código]=Tabela2[[#This Row],[Ativo]]),Tabela1[Fechamento])</f>
        <v>21.72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21.72</v>
      </c>
      <c r="I198" s="19">
        <f>IF(Tabela2[[#This Row],[Dividendo / Ação]]&gt;0,Tabela2[[#This Row],[Dividendo / Ação]]/Tabela2[[#This Row],[Cotação]],"")</f>
        <v>3.2380787292817681E-2</v>
      </c>
      <c r="J198" s="56">
        <f>SUMPRODUCT(N(Tabela1[Código]=Tabela2[[#This Row],[Ativo]]),Tabela1[Fechamento])</f>
        <v>21.72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407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63</v>
      </c>
      <c r="I199" s="43">
        <f>IF(Tabela2[[#This Row],[Dividendo / Ação]]&gt;0,Tabela2[[#This Row],[Dividendo / Ação]]/Tabela2[[#This Row],[Cotação]],"")</f>
        <v>3.8571428571428576E-2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63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407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63</v>
      </c>
      <c r="I200" s="43">
        <f>IF(Tabela2[[#This Row],[Dividendo / Ação]]&gt;0,Tabela2[[#This Row],[Dividendo / Ação]]/Tabela2[[#This Row],[Cotação]],"")</f>
        <v>3.5714285714285712E-2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63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407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63</v>
      </c>
      <c r="I201" s="43">
        <f>IF(Tabela2[[#This Row],[Dividendo / Ação]]&gt;0,Tabela2[[#This Row],[Dividendo / Ação]]/Tabela2[[#This Row],[Cotação]],"")</f>
        <v>1.8888888888888889E-2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63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294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294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294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294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295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12.6</v>
      </c>
      <c r="I206" s="18">
        <f>IF(Tabela2[[#This Row],[Dividendo / Ação]]&gt;0,Tabela2[[#This Row],[Dividendo / Ação]]/Tabela2[[#This Row],[Cotação]],"")</f>
        <v>4.4166666666666668E-3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12.6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295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12.6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12.6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295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12.6</v>
      </c>
      <c r="I208" s="18">
        <f>IF(Tabela2[[#This Row],[Dividendo / Ação]]&gt;0,Tabela2[[#This Row],[Dividendo / Ação]]/Tabela2[[#This Row],[Cotação]],"")</f>
        <v>8.6523809523809531E-3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12.6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295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12.6</v>
      </c>
      <c r="I209" s="18">
        <f>IF(Tabela2[[#This Row],[Dividendo / Ação]]&gt;0,Tabela2[[#This Row],[Dividendo / Ação]]/Tabela2[[#This Row],[Cotação]],"")</f>
        <v>7.2484126984126984E-3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12.6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15.4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15.4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15.4</v>
      </c>
      <c r="I211" s="19">
        <f>IF(Tabela2[[#This Row],[Dividendo / Ação]]&gt;0,Tabela2[[#This Row],[Dividendo / Ação]]/Tabela2[[#This Row],[Cotação]],"")</f>
        <v>0.14416525714285713</v>
      </c>
      <c r="J211" s="56">
        <f>SUMPRODUCT(N(Tabela1[Código]=Tabela2[[#This Row],[Ativo]]),Tabela1[Fechamento])</f>
        <v>15.4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15.4</v>
      </c>
      <c r="I212" s="19">
        <f>IF(Tabela2[[#This Row],[Dividendo / Ação]]&gt;0,Tabela2[[#This Row],[Dividendo / Ação]]/Tabela2[[#This Row],[Cotação]],"")</f>
        <v>0.13619226558441558</v>
      </c>
      <c r="J212" s="56">
        <f>SUMPRODUCT(N(Tabela1[Código]=Tabela2[[#This Row],[Ativo]]),Tabela1[Fechamento])</f>
        <v>15.4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15.4</v>
      </c>
      <c r="I213" s="19">
        <f>IF(Tabela2[[#This Row],[Dividendo / Ação]]&gt;0,Tabela2[[#This Row],[Dividendo / Ação]]/Tabela2[[#This Row],[Cotação]],"")</f>
        <v>6.3389690259740256E-2</v>
      </c>
      <c r="J213" s="56">
        <f>SUMPRODUCT(N(Tabela1[Código]=Tabela2[[#This Row],[Ativo]]),Tabela1[Fechamento])</f>
        <v>15.4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15.4</v>
      </c>
      <c r="I214" s="19">
        <f>IF(Tabela2[[#This Row],[Dividendo / Ação]]&gt;0,Tabela2[[#This Row],[Dividendo / Ação]]/Tabela2[[#This Row],[Cotação]],"")</f>
        <v>0.12871061818181817</v>
      </c>
      <c r="J214" s="56">
        <f>SUMPRODUCT(N(Tabela1[Código]=Tabela2[[#This Row],[Ativo]]),Tabela1[Fechamento])</f>
        <v>15.4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13.81</v>
      </c>
      <c r="I215" s="19">
        <f>IF(Tabela2[[#This Row],[Dividendo / Ação]]&gt;0,Tabela2[[#This Row],[Dividendo / Ação]]/Tabela2[[#This Row],[Cotação]],"")</f>
        <v>0.10344717595944967</v>
      </c>
      <c r="J215" s="56">
        <f>SUMPRODUCT(N(Tabela1[Código]=Tabela2[[#This Row],[Ativo]]),Tabela1[Fechamento])</f>
        <v>13.81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13.81</v>
      </c>
      <c r="I216" s="18">
        <f>IF(Tabela2[[#This Row],[Dividendo / Ação]]&gt;0,Tabela2[[#This Row],[Dividendo / Ação]]/Tabela2[[#This Row],[Cotação]],"")</f>
        <v>0.13758146270818247</v>
      </c>
      <c r="J216" s="55">
        <f>SUMPRODUCT(N(Tabela1[Código]=Tabela2[[#This Row],[Ativo]]),Tabela1[Fechamento])</f>
        <v>13.81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13.81</v>
      </c>
      <c r="I217" s="18">
        <f>IF(Tabela2[[#This Row],[Dividendo / Ação]]&gt;0,Tabela2[[#This Row],[Dividendo / Ação]]/Tabela2[[#This Row],[Cotação]],"")</f>
        <v>0.12671976828385229</v>
      </c>
      <c r="J217" s="55">
        <f>SUMPRODUCT(N(Tabela1[Código]=Tabela2[[#This Row],[Ativo]]),Tabela1[Fechamento])</f>
        <v>13.81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13.81</v>
      </c>
      <c r="I218" s="18">
        <f>IF(Tabela2[[#This Row],[Dividendo / Ação]]&gt;0,Tabela2[[#This Row],[Dividendo / Ação]]/Tabela2[[#This Row],[Cotação]],"")</f>
        <v>0.10861694424330195</v>
      </c>
      <c r="J218" s="55">
        <f>SUMPRODUCT(N(Tabela1[Código]=Tabela2[[#This Row],[Ativo]]),Tabela1[Fechamento])</f>
        <v>13.81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13.47</v>
      </c>
      <c r="I219" s="19">
        <f>IF(Tabela2[[#This Row],[Dividendo / Ação]]&gt;0,Tabela2[[#This Row],[Dividendo / Ação]]/Tabela2[[#This Row],[Cotação]],"")</f>
        <v>0.10605831477357089</v>
      </c>
      <c r="J219" s="56">
        <f>SUMPRODUCT(N(Tabela1[Código]=Tabela2[[#This Row],[Ativo]]),Tabela1[Fechamento])</f>
        <v>13.47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13.47</v>
      </c>
      <c r="I220" s="19">
        <f>IF(Tabela2[[#This Row],[Dividendo / Ação]]&gt;0,Tabela2[[#This Row],[Dividendo / Ação]]/Tabela2[[#This Row],[Cotação]],"")</f>
        <v>0.14105419450631029</v>
      </c>
      <c r="J220" s="56">
        <f>SUMPRODUCT(N(Tabela1[Código]=Tabela2[[#This Row],[Ativo]]),Tabela1[Fechamento])</f>
        <v>13.47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13.47</v>
      </c>
      <c r="I221" s="19">
        <f>IF(Tabela2[[#This Row],[Dividendo / Ação]]&gt;0,Tabela2[[#This Row],[Dividendo / Ação]]/Tabela2[[#This Row],[Cotação]],"")</f>
        <v>0.12991833704528583</v>
      </c>
      <c r="J221" s="56">
        <f>SUMPRODUCT(N(Tabela1[Código]=Tabela2[[#This Row],[Ativo]]),Tabela1[Fechamento])</f>
        <v>13.47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13.47</v>
      </c>
      <c r="I222" s="19">
        <f>IF(Tabela2[[#This Row],[Dividendo / Ação]]&gt;0,Tabela2[[#This Row],[Dividendo / Ação]]/Tabela2[[#This Row],[Cotação]],"")</f>
        <v>0.11135857461024498</v>
      </c>
      <c r="J222" s="56">
        <f>SUMPRODUCT(N(Tabela1[Código]=Tabela2[[#This Row],[Ativo]]),Tabela1[Fechamento])</f>
        <v>13.47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48.2</v>
      </c>
      <c r="I223" s="19">
        <f>IF(Tabela2[[#This Row],[Dividendo / Ação]]&gt;0,Tabela2[[#This Row],[Dividendo / Ação]]/Tabela2[[#This Row],[Cotação]],"")</f>
        <v>5.7025409284232366E-2</v>
      </c>
      <c r="J223" s="56">
        <f>SUMPRODUCT(N(Tabela1[Código]=Tabela2[[#This Row],[Ativo]]),Tabela1[Fechamento])</f>
        <v>48.2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48.2</v>
      </c>
      <c r="I224" s="18">
        <f>IF(Tabela2[[#This Row],[Dividendo / Ação]]&gt;0,Tabela2[[#This Row],[Dividendo / Ação]]/Tabela2[[#This Row],[Cotação]],"")</f>
        <v>7.3552483796680487E-2</v>
      </c>
      <c r="J224" s="55">
        <f>SUMPRODUCT(N(Tabela1[Código]=Tabela2[[#This Row],[Ativo]]),Tabela1[Fechamento])</f>
        <v>48.2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48.2</v>
      </c>
      <c r="I225" s="18">
        <f>IF(Tabela2[[#This Row],[Dividendo / Ação]]&gt;0,Tabela2[[#This Row],[Dividendo / Ação]]/Tabela2[[#This Row],[Cotação]],"")</f>
        <v>8.8643006825726137E-2</v>
      </c>
      <c r="J225" s="55">
        <f>SUMPRODUCT(N(Tabela1[Código]=Tabela2[[#This Row],[Ativo]]),Tabela1[Fechamento])</f>
        <v>48.2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47.79</v>
      </c>
      <c r="I226" s="19">
        <f>IF(Tabela2[[#This Row],[Dividendo / Ação]]&gt;0,Tabela2[[#This Row],[Dividendo / Ação]]/Tabela2[[#This Row],[Cotação]],"")</f>
        <v>5.751464171374765E-2</v>
      </c>
      <c r="J226" s="56">
        <f>SUMPRODUCT(N(Tabela1[Código]=Tabela2[[#This Row],[Ativo]]),Tabela1[Fechamento])</f>
        <v>47.79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47.79</v>
      </c>
      <c r="I227" s="19">
        <f>IF(Tabela2[[#This Row],[Dividendo / Ação]]&gt;0,Tabela2[[#This Row],[Dividendo / Ação]]/Tabela2[[#This Row],[Cotação]],"")</f>
        <v>7.4183505314919435E-2</v>
      </c>
      <c r="J227" s="56">
        <f>SUMPRODUCT(N(Tabela1[Código]=Tabela2[[#This Row],[Ativo]]),Tabela1[Fechamento])</f>
        <v>47.79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47.79</v>
      </c>
      <c r="I228" s="19">
        <f>IF(Tabela2[[#This Row],[Dividendo / Ação]]&gt;0,Tabela2[[#This Row],[Dividendo / Ação]]/Tabela2[[#This Row],[Cotação]],"")</f>
        <v>8.9403492969240425E-2</v>
      </c>
      <c r="J228" s="56">
        <f>SUMPRODUCT(N(Tabela1[Código]=Tabela2[[#This Row],[Ativo]]),Tabela1[Fechamento])</f>
        <v>47.79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18.440000000000001</v>
      </c>
      <c r="I229" s="19">
        <f>IF(Tabela2[[#This Row],[Dividendo / Ação]]&gt;0,Tabela2[[#This Row],[Dividendo / Ação]]/Tabela2[[#This Row],[Cotação]],"")</f>
        <v>6.177430764642082E-2</v>
      </c>
      <c r="J229" s="56">
        <f>SUMPRODUCT(N(Tabela1[Código]=Tabela2[[#This Row],[Ativo]]),Tabela1[Fechamento])</f>
        <v>18.440000000000001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18.440000000000001</v>
      </c>
      <c r="I230" s="19">
        <f>IF(Tabela2[[#This Row],[Dividendo / Ação]]&gt;0,Tabela2[[#This Row],[Dividendo / Ação]]/Tabela2[[#This Row],[Cotação]],"")</f>
        <v>8.4887651952277654E-2</v>
      </c>
      <c r="J230" s="56">
        <f>SUMPRODUCT(N(Tabela1[Código]=Tabela2[[#This Row],[Ativo]]),Tabela1[Fechamento])</f>
        <v>18.440000000000001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18.440000000000001</v>
      </c>
      <c r="I231" s="19">
        <f>IF(Tabela2[[#This Row],[Dividendo / Ação]]&gt;0,Tabela2[[#This Row],[Dividendo / Ação]]/Tabela2[[#This Row],[Cotação]],"")</f>
        <v>0.14206997662689802</v>
      </c>
      <c r="J231" s="56">
        <f>SUMPRODUCT(N(Tabela1[Código]=Tabela2[[#This Row],[Ativo]]),Tabela1[Fechamento])</f>
        <v>18.440000000000001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18.440000000000001</v>
      </c>
      <c r="I232" s="19">
        <f>IF(Tabela2[[#This Row],[Dividendo / Ação]]&gt;0,Tabela2[[#This Row],[Dividendo / Ação]]/Tabela2[[#This Row],[Cotação]],"")</f>
        <v>0.13861569354663772</v>
      </c>
      <c r="J232" s="56">
        <f>SUMPRODUCT(N(Tabela1[Código]=Tabela2[[#This Row],[Ativo]]),Tabela1[Fechamento])</f>
        <v>18.440000000000001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21.14</v>
      </c>
      <c r="I233" s="19">
        <f>IF(Tabela2[[#This Row],[Dividendo / Ação]]&gt;0,Tabela2[[#This Row],[Dividendo / Ação]]/Tabela2[[#This Row],[Cotação]],"")</f>
        <v>4.4241721854304639E-2</v>
      </c>
      <c r="J233" s="56">
        <f>SUMPRODUCT(N(Tabela1[Código]=Tabela2[[#This Row],[Ativo]]),Tabela1[Fechamento])</f>
        <v>21.14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21.14</v>
      </c>
      <c r="I234" s="18">
        <f>IF(Tabela2[[#This Row],[Dividendo / Ação]]&gt;0,Tabela2[[#This Row],[Dividendo / Ação]]/Tabela2[[#This Row],[Cotação]],"")</f>
        <v>6.9457426679280981E-2</v>
      </c>
      <c r="J234" s="55">
        <f>SUMPRODUCT(N(Tabela1[Código]=Tabela2[[#This Row],[Ativo]]),Tabela1[Fechamento])</f>
        <v>21.14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21.14</v>
      </c>
      <c r="I235" s="18">
        <f>IF(Tabela2[[#This Row],[Dividendo / Ação]]&gt;0,Tabela2[[#This Row],[Dividendo / Ação]]/Tabela2[[#This Row],[Cotação]],"")</f>
        <v>4.6370387890255438E-2</v>
      </c>
      <c r="J235" s="55">
        <f>SUMPRODUCT(N(Tabela1[Código]=Tabela2[[#This Row],[Ativo]]),Tabela1[Fechamento])</f>
        <v>21.14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21.14</v>
      </c>
      <c r="I236" s="18">
        <f>IF(Tabela2[[#This Row],[Dividendo / Ação]]&gt;0,Tabela2[[#This Row],[Dividendo / Ação]]/Tabela2[[#This Row],[Cotação]],"")</f>
        <v>4.1137653736991485E-2</v>
      </c>
      <c r="J236" s="55">
        <f>SUMPRODUCT(N(Tabela1[Código]=Tabela2[[#This Row],[Ativo]]),Tabela1[Fechamento])</f>
        <v>21.14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28.92</v>
      </c>
      <c r="I241" s="19">
        <f>IF(Tabela2[[#This Row],[Dividendo / Ação]]&gt;0,Tabela2[[#This Row],[Dividendo / Ação]]/Tabela2[[#This Row],[Cotação]],"")</f>
        <v>3.557710926694329E-2</v>
      </c>
      <c r="J241" s="56">
        <f>SUMPRODUCT(N(Tabela1[Código]=Tabela2[[#This Row],[Ativo]]),Tabela1[Fechamento])</f>
        <v>28.92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28.92</v>
      </c>
      <c r="I242" s="19">
        <f>IF(Tabela2[[#This Row],[Dividendo / Ação]]&gt;0,Tabela2[[#This Row],[Dividendo / Ação]]/Tabela2[[#This Row],[Cotação]],"")</f>
        <v>5.5859612724757944E-2</v>
      </c>
      <c r="J242" s="56">
        <f>SUMPRODUCT(N(Tabela1[Código]=Tabela2[[#This Row],[Ativo]]),Tabela1[Fechamento])</f>
        <v>28.92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28.92</v>
      </c>
      <c r="I243" s="19">
        <f>IF(Tabela2[[#This Row],[Dividendo / Ação]]&gt;0,Tabela2[[#This Row],[Dividendo / Ação]]/Tabela2[[#This Row],[Cotação]],"")</f>
        <v>3.7293914246196401E-2</v>
      </c>
      <c r="J243" s="56">
        <f>SUMPRODUCT(N(Tabela1[Código]=Tabela2[[#This Row],[Ativo]]),Tabela1[Fechamento])</f>
        <v>28.92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28.92</v>
      </c>
      <c r="I244" s="19">
        <f>IF(Tabela2[[#This Row],[Dividendo / Ação]]&gt;0,Tabela2[[#This Row],[Dividendo / Ação]]/Tabela2[[#This Row],[Cotação]],"")</f>
        <v>3.3084024896265558E-2</v>
      </c>
      <c r="J244" s="56">
        <f>SUMPRODUCT(N(Tabela1[Código]=Tabela2[[#This Row],[Ativo]]),Tabela1[Fechamento])</f>
        <v>28.92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394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3.89</v>
      </c>
      <c r="I245" s="43">
        <f>IF(Tabela2[[#This Row],[Dividendo / Ação]]&gt;0,Tabela2[[#This Row],[Dividendo / Ação]]/Tabela2[[#This Row],[Cotação]],"")</f>
        <v>6.1079691516709514E-2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3.89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394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3.89</v>
      </c>
      <c r="I246" s="22">
        <f>IF(Tabela2[[#This Row],[Dividendo / Ação]]&gt;0,Tabela2[[#This Row],[Dividendo / Ação]]/Tabela2[[#This Row],[Cotação]],"")</f>
        <v>4.4807197943444732E-2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3.89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394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3.89</v>
      </c>
      <c r="I247" s="22">
        <f>IF(Tabela2[[#This Row],[Dividendo / Ação]]&gt;0,Tabela2[[#This Row],[Dividendo / Ação]]/Tabela2[[#This Row],[Cotação]],"")</f>
        <v>2.9897172236503854E-2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3.89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394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3.89</v>
      </c>
      <c r="I248" s="43">
        <f>IF(Tabela2[[#This Row],[Dividendo / Ação]]&gt;0,Tabela2[[#This Row],[Dividendo / Ação]]/Tabela2[[#This Row],[Cotação]],"")</f>
        <v>4.2210796915167097E-2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3.89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395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3.84</v>
      </c>
      <c r="I249" s="43">
        <f>IF(Tabela2[[#This Row],[Dividendo / Ação]]&gt;0,Tabela2[[#This Row],[Dividendo / Ação]]/Tabela2[[#This Row],[Cotação]],"")</f>
        <v>6.8828125000000004E-2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3.84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395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3.84</v>
      </c>
      <c r="I250" s="43">
        <f>IF(Tabela2[[#This Row],[Dividendo / Ação]]&gt;0,Tabela2[[#This Row],[Dividendo / Ação]]/Tabela2[[#This Row],[Cotação]],"")</f>
        <v>6.2552083333333341E-2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3.84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395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3.84</v>
      </c>
      <c r="I251" s="43">
        <f>IF(Tabela2[[#This Row],[Dividendo / Ação]]&gt;0,Tabela2[[#This Row],[Dividendo / Ação]]/Tabela2[[#This Row],[Cotação]],"")</f>
        <v>5.7239583333333337E-2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3.84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395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3.84</v>
      </c>
      <c r="I252" s="43">
        <f>IF(Tabela2[[#This Row],[Dividendo / Ação]]&gt;0,Tabela2[[#This Row],[Dividendo / Ação]]/Tabela2[[#This Row],[Cotação]],"")</f>
        <v>5.1666666666666666E-2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3.84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268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268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268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269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269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269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290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36.619999999999997</v>
      </c>
      <c r="I259" s="18">
        <f>IF(Tabela2[[#This Row],[Dividendo / Ação]]&gt;0,Tabela2[[#This Row],[Dividendo / Ação]]/Tabela2[[#This Row],[Cotação]],"")</f>
        <v>2.022625070999454E-2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36.619999999999997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290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36.619999999999997</v>
      </c>
      <c r="I260" s="18">
        <f>IF(Tabela2[[#This Row],[Dividendo / Ação]]&gt;0,Tabela2[[#This Row],[Dividendo / Ação]]/Tabela2[[#This Row],[Cotação]],"")</f>
        <v>1.6885350136537414E-2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36.619999999999997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290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36.619999999999997</v>
      </c>
      <c r="I261" s="18">
        <f>IF(Tabela2[[#This Row],[Dividendo / Ação]]&gt;0,Tabela2[[#This Row],[Dividendo / Ação]]/Tabela2[[#This Row],[Cotação]],"")</f>
        <v>1.3442697023484437E-2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36.619999999999997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191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32.53</v>
      </c>
      <c r="I262" s="19">
        <f>IF(Tabela2[[#This Row],[Dividendo / Ação]]&gt;0,Tabela2[[#This Row],[Dividendo / Ação]]/Tabela2[[#This Row],[Cotação]],"")</f>
        <v>4.1696895173685827E-2</v>
      </c>
      <c r="J262" s="56">
        <f>SUMPRODUCT(N(Tabela1[Código]=Tabela2[[#This Row],[Ativo]]),Tabela1[Fechamento])</f>
        <v>32.53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191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32.53</v>
      </c>
      <c r="I263" s="19">
        <f>IF(Tabela2[[#This Row],[Dividendo / Ação]]&gt;0,Tabela2[[#This Row],[Dividendo / Ação]]/Tabela2[[#This Row],[Cotação]],"")</f>
        <v>4.0885336612357825E-2</v>
      </c>
      <c r="J263" s="56">
        <f>SUMPRODUCT(N(Tabela1[Código]=Tabela2[[#This Row],[Ativo]]),Tabela1[Fechamento])</f>
        <v>32.53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191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32.53</v>
      </c>
      <c r="I264" s="19">
        <f>IF(Tabela2[[#This Row],[Dividendo / Ação]]&gt;0,Tabela2[[#This Row],[Dividendo / Ação]]/Tabela2[[#This Row],[Cotação]],"")</f>
        <v>5.9944666461727636E-2</v>
      </c>
      <c r="J264" s="56">
        <f>SUMPRODUCT(N(Tabela1[Código]=Tabela2[[#This Row],[Ativo]]),Tabela1[Fechamento])</f>
        <v>32.53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191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32.53</v>
      </c>
      <c r="I265" s="19">
        <f>IF(Tabela2[[#This Row],[Dividendo / Ação]]&gt;0,Tabela2[[#This Row],[Dividendo / Ação]]/Tabela2[[#This Row],[Cotação]],"")</f>
        <v>4.6111281893636641E-2</v>
      </c>
      <c r="J265" s="56">
        <f>SUMPRODUCT(N(Tabela1[Código]=Tabela2[[#This Row],[Ativo]]),Tabela1[Fechamento])</f>
        <v>32.53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406</v>
      </c>
      <c r="B278" s="4">
        <v>2012</v>
      </c>
      <c r="C278" s="6">
        <v>275394800.88</v>
      </c>
      <c r="D278" s="71">
        <f>SUMPRODUCT(N(Tabela3[PAPEL]=Tabela2[[#This Row],[Ativo]]),Tabela3[Total Ações])</f>
        <v>260498279</v>
      </c>
      <c r="E278" s="61">
        <f>(Tabela2[[#This Row],[Lucro Líquido]])/Tabela2[[#This Row],[Total Ações]]</f>
        <v>1.0571847228211437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0.50596644886486442</v>
      </c>
      <c r="H278" s="56">
        <f>MAX(Tabela2[[#This Row],[Cotação 1]],Tabela2[[#This Row],[Cotação 2]])</f>
        <v>22.8</v>
      </c>
      <c r="I278" s="43">
        <f>IF(Tabela2[[#This Row],[Dividendo / Ação]]&gt;0,Tabela2[[#This Row],[Dividendo / Ação]]/Tabela2[[#This Row],[Cotação]],"")</f>
        <v>2.3460526315789473E-2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22.8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406</v>
      </c>
      <c r="B279" s="4">
        <v>2011</v>
      </c>
      <c r="C279" s="6">
        <v>220517318.09</v>
      </c>
      <c r="D279" s="71">
        <f>SUMPRODUCT(N(Tabela3[PAPEL]=Tabela2[[#This Row],[Ativo]]),Tabela3[Total Ações])</f>
        <v>260498279</v>
      </c>
      <c r="E279" s="61">
        <f>(Tabela2[[#This Row],[Lucro Líquido]])/Tabela2[[#This Row],[Total Ações]]</f>
        <v>0.84652120903263239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0.30005154896267766</v>
      </c>
      <c r="H279" s="56">
        <f>MAX(Tabela2[[#This Row],[Cotação 1]],Tabela2[[#This Row],[Cotação 2]])</f>
        <v>22.8</v>
      </c>
      <c r="I279" s="43">
        <f>IF(Tabela2[[#This Row],[Dividendo / Ação]]&gt;0,Tabela2[[#This Row],[Dividendo / Ação]]/Tabela2[[#This Row],[Cotação]],"")</f>
        <v>1.1140350877192982E-2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22.8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406</v>
      </c>
      <c r="B280" s="4">
        <v>2010</v>
      </c>
      <c r="C280" s="6">
        <v>112319339.34999999</v>
      </c>
      <c r="D280" s="71">
        <f>SUMPRODUCT(N(Tabela3[PAPEL]=Tabela2[[#This Row],[Ativo]]),Tabela3[Total Ações])</f>
        <v>260498279</v>
      </c>
      <c r="E280" s="61">
        <f>(Tabela2[[#This Row],[Lucro Líquido]])/Tabela2[[#This Row],[Total Ações]]</f>
        <v>0.43117113779473376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0.30359174936778149</v>
      </c>
      <c r="H280" s="56">
        <f>MAX(Tabela2[[#This Row],[Cotação 1]],Tabela2[[#This Row],[Cotação 2]])</f>
        <v>22.8</v>
      </c>
      <c r="I280" s="43">
        <f>IF(Tabela2[[#This Row],[Dividendo / Ação]]&gt;0,Tabela2[[#This Row],[Dividendo / Ação]]/Tabela2[[#This Row],[Cotação]],"")</f>
        <v>5.7412280701754376E-3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22.8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406</v>
      </c>
      <c r="B281" s="4">
        <v>2009</v>
      </c>
      <c r="C281" s="6">
        <v>66605139.840000004</v>
      </c>
      <c r="D281" s="71">
        <f>SUMPRODUCT(N(Tabela3[PAPEL]=Tabela2[[#This Row],[Ativo]]),Tabela3[Total Ações])</f>
        <v>260498279</v>
      </c>
      <c r="E281" s="61">
        <f>(Tabela2[[#This Row],[Lucro Líquido]])/Tabela2[[#This Row],[Total Ações]]</f>
        <v>0.25568360795197426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1.1655029526021634</v>
      </c>
      <c r="H281" s="56">
        <f>MAX(Tabela2[[#This Row],[Cotação 1]],Tabela2[[#This Row],[Cotação 2]])</f>
        <v>22.8</v>
      </c>
      <c r="I281" s="43">
        <f>IF(Tabela2[[#This Row],[Dividendo / Ação]]&gt;0,Tabela2[[#This Row],[Dividendo / Ação]]/Tabela2[[#This Row],[Cotação]],"")</f>
        <v>1.3070175438596491E-2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22.8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7.75</v>
      </c>
      <c r="I282" s="19">
        <f>IF(Tabela2[[#This Row],[Dividendo / Ação]]&gt;0,Tabela2[[#This Row],[Dividendo / Ação]]/Tabela2[[#This Row],[Cotação]],"")</f>
        <v>9.6086512516129041E-2</v>
      </c>
      <c r="J282" s="56">
        <f>SUMPRODUCT(N(Tabela1[Código]=Tabela2[[#This Row],[Ativo]]),Tabela1[Fechamento])</f>
        <v>7.75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7.75</v>
      </c>
      <c r="I283" s="19">
        <f>IF(Tabela2[[#This Row],[Dividendo / Ação]]&gt;0,Tabela2[[#This Row],[Dividendo / Ação]]/Tabela2[[#This Row],[Cotação]],"")</f>
        <v>8.199999999999999E-2</v>
      </c>
      <c r="J283" s="56">
        <f>SUMPRODUCT(N(Tabela1[Código]=Tabela2[[#This Row],[Ativo]]),Tabela1[Fechamento])</f>
        <v>7.75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7.75</v>
      </c>
      <c r="I284" s="19">
        <f>IF(Tabela2[[#This Row],[Dividendo / Ação]]&gt;0,Tabela2[[#This Row],[Dividendo / Ação]]/Tabela2[[#This Row],[Cotação]],"")</f>
        <v>7.4051612903225802E-2</v>
      </c>
      <c r="J284" s="56">
        <f>SUMPRODUCT(N(Tabela1[Código]=Tabela2[[#This Row],[Ativo]]),Tabela1[Fechamento])</f>
        <v>7.75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7.75</v>
      </c>
      <c r="I285" s="19">
        <f>IF(Tabela2[[#This Row],[Dividendo / Ação]]&gt;0,Tabela2[[#This Row],[Dividendo / Ação]]/Tabela2[[#This Row],[Cotação]],"")</f>
        <v>5.6270967741935483E-2</v>
      </c>
      <c r="J285" s="56">
        <f>SUMPRODUCT(N(Tabela1[Código]=Tabela2[[#This Row],[Ativo]]),Tabela1[Fechamento])</f>
        <v>7.75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344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12.4</v>
      </c>
      <c r="I286" s="43">
        <f>IF(Tabela2[[#This Row],[Dividendo / Ação]]&gt;0,Tabela2[[#This Row],[Dividendo / Ação]]/Tabela2[[#This Row],[Cotação]],"")</f>
        <v>2.3294015080645162E-2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12.4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344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12.4</v>
      </c>
      <c r="I287" s="43">
        <f>IF(Tabela2[[#This Row],[Dividendo / Ação]]&gt;0,Tabela2[[#This Row],[Dividendo / Ação]]/Tabela2[[#This Row],[Cotação]],"")</f>
        <v>1.8950864032258062E-2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12.4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344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12.4</v>
      </c>
      <c r="I288" s="43">
        <f>IF(Tabela2[[#This Row],[Dividendo / Ação]]&gt;0,Tabela2[[#This Row],[Dividendo / Ação]]/Tabela2[[#This Row],[Cotação]],"")</f>
        <v>2.7958318467741938E-2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12.4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344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12.4</v>
      </c>
      <c r="I289" s="43">
        <f>IF(Tabela2[[#This Row],[Dividendo / Ação]]&gt;0,Tabela2[[#This Row],[Dividendo / Ação]]/Tabela2[[#This Row],[Cotação]],"")</f>
        <v>6.3516774193548391E-3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12.4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412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8.4</v>
      </c>
      <c r="I290" s="43">
        <f>IF(Tabela2[[#This Row],[Dividendo / Ação]]&gt;0,Tabela2[[#This Row],[Dividendo / Ação]]/Tabela2[[#This Row],[Cotação]],"")</f>
        <v>3.9500471202380955E-2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8.4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412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8.4</v>
      </c>
      <c r="I291" s="43">
        <f>IF(Tabela2[[#This Row],[Dividendo / Ação]]&gt;0,Tabela2[[#This Row],[Dividendo / Ação]]/Tabela2[[#This Row],[Cotação]],"")</f>
        <v>3.9500471202380955E-2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8.4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412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8.4</v>
      </c>
      <c r="I292" s="43">
        <f>IF(Tabela2[[#This Row],[Dividendo / Ação]]&gt;0,Tabela2[[#This Row],[Dividendo / Ação]]/Tabela2[[#This Row],[Cotação]],"")</f>
        <v>3.9500471202380955E-2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8.4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280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280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280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280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281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281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281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281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5.22</v>
      </c>
      <c r="I305" s="19">
        <f>IF(Tabela2[[#This Row],[Dividendo / Ação]]&gt;0,Tabela2[[#This Row],[Dividendo / Ação]]/Tabela2[[#This Row],[Cotação]],"")</f>
        <v>7.8262088314176248E-2</v>
      </c>
      <c r="J305" s="56">
        <f>SUMPRODUCT(N(Tabela1[Código]=Tabela2[[#This Row],[Ativo]]),Tabela1[Fechamento])</f>
        <v>5.22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5.22</v>
      </c>
      <c r="I306" s="18">
        <f>IF(Tabela2[[#This Row],[Dividendo / Ação]]&gt;0,Tabela2[[#This Row],[Dividendo / Ação]]/Tabela2[[#This Row],[Cotação]],"")</f>
        <v>0.23597301962835251</v>
      </c>
      <c r="J306" s="55">
        <f>SUMPRODUCT(N(Tabela1[Código]=Tabela2[[#This Row],[Ativo]]),Tabela1[Fechamento])</f>
        <v>5.22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5.22</v>
      </c>
      <c r="I307" s="18">
        <f>IF(Tabela2[[#This Row],[Dividendo / Ação]]&gt;0,Tabela2[[#This Row],[Dividendo / Ação]]/Tabela2[[#This Row],[Cotação]],"")</f>
        <v>0.15943394052490423</v>
      </c>
      <c r="J307" s="55">
        <f>SUMPRODUCT(N(Tabela1[Código]=Tabela2[[#This Row],[Ativo]]),Tabela1[Fechamento])</f>
        <v>5.22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5.22</v>
      </c>
      <c r="I308" s="18">
        <f>IF(Tabela2[[#This Row],[Dividendo / Ação]]&gt;0,Tabela2[[#This Row],[Dividendo / Ação]]/Tabela2[[#This Row],[Cotação]],"")</f>
        <v>7.8544061302681989E-2</v>
      </c>
      <c r="J308" s="55">
        <f>SUMPRODUCT(N(Tabela1[Código]=Tabela2[[#This Row],[Ativo]]),Tabela1[Fechamento])</f>
        <v>5.22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5.22</v>
      </c>
      <c r="I309" s="18">
        <f>IF(Tabela2[[#This Row],[Dividendo / Ação]]&gt;0,Tabela2[[#This Row],[Dividendo / Ação]]/Tabela2[[#This Row],[Cotação]],"")</f>
        <v>0.29545589161302682</v>
      </c>
      <c r="J309" s="55">
        <f>SUMPRODUCT(N(Tabela1[Código]=Tabela2[[#This Row],[Ativo]]),Tabela1[Fechamento])</f>
        <v>5.22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9.02</v>
      </c>
      <c r="I310" s="19">
        <f>IF(Tabela2[[#This Row],[Dividendo / Ação]]&gt;0,Tabela2[[#This Row],[Dividendo / Ação]]/Tabela2[[#This Row],[Cotação]],"")</f>
        <v>0.18534606685144125</v>
      </c>
      <c r="J310" s="56">
        <f>SUMPRODUCT(N(Tabela1[Código]=Tabela2[[#This Row],[Ativo]]),Tabela1[Fechamento])</f>
        <v>9.02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9.02</v>
      </c>
      <c r="I311" s="19">
        <f>IF(Tabela2[[#This Row],[Dividendo / Ação]]&gt;0,Tabela2[[#This Row],[Dividendo / Ação]]/Tabela2[[#This Row],[Cotação]],"")</f>
        <v>0.18111889579268292</v>
      </c>
      <c r="J311" s="56">
        <f>SUMPRODUCT(N(Tabela1[Código]=Tabela2[[#This Row],[Ativo]]),Tabela1[Fechamento])</f>
        <v>9.02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9.02</v>
      </c>
      <c r="I312" s="19">
        <f>IF(Tabela2[[#This Row],[Dividendo / Ação]]&gt;0,Tabela2[[#This Row],[Dividendo / Ação]]/Tabela2[[#This Row],[Cotação]],"")</f>
        <v>0.18076865635476719</v>
      </c>
      <c r="J312" s="56">
        <f>SUMPRODUCT(N(Tabela1[Código]=Tabela2[[#This Row],[Ativo]]),Tabela1[Fechamento])</f>
        <v>9.02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9.02</v>
      </c>
      <c r="I313" s="19">
        <f>IF(Tabela2[[#This Row],[Dividendo / Ação]]&gt;0,Tabela2[[#This Row],[Dividendo / Ação]]/Tabela2[[#This Row],[Cotação]],"")</f>
        <v>0.18070953436807094</v>
      </c>
      <c r="J313" s="56">
        <f>SUMPRODUCT(N(Tabela1[Código]=Tabela2[[#This Row],[Ativo]]),Tabela1[Fechamento])</f>
        <v>9.02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9.02</v>
      </c>
      <c r="I314" s="19">
        <f>IF(Tabela2[[#This Row],[Dividendo / Ação]]&gt;0,Tabela2[[#This Row],[Dividendo / Ação]]/Tabela2[[#This Row],[Cotação]],"")</f>
        <v>0.18808289686474503</v>
      </c>
      <c r="J314" s="56">
        <f>SUMPRODUCT(N(Tabela1[Código]=Tabela2[[#This Row],[Ativo]]),Tabela1[Fechamento])</f>
        <v>9.02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177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177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177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177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8.86</v>
      </c>
      <c r="I319" s="19">
        <f>IF(Tabela2[[#This Row],[Dividendo / Ação]]&gt;0,Tabela2[[#This Row],[Dividendo / Ação]]/Tabela2[[#This Row],[Cotação]],"")</f>
        <v>3.8387314334085779E-2</v>
      </c>
      <c r="J319" s="56">
        <f>SUMPRODUCT(N(Tabela1[Código]=Tabela2[[#This Row],[Ativo]]),Tabela1[Fechamento])</f>
        <v>8.86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8.86</v>
      </c>
      <c r="I320" s="19">
        <f>IF(Tabela2[[#This Row],[Dividendo / Ação]]&gt;0,Tabela2[[#This Row],[Dividendo / Ação]]/Tabela2[[#This Row],[Cotação]],"")</f>
        <v>0.63755027415349896</v>
      </c>
      <c r="J320" s="56">
        <f>SUMPRODUCT(N(Tabela1[Código]=Tabela2[[#This Row],[Ativo]]),Tabela1[Fechamento])</f>
        <v>8.86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8.86</v>
      </c>
      <c r="I321" s="19">
        <f>IF(Tabela2[[#This Row],[Dividendo / Ação]]&gt;0,Tabela2[[#This Row],[Dividendo / Ação]]/Tabela2[[#This Row],[Cotação]],"")</f>
        <v>1.0789938900677201</v>
      </c>
      <c r="J321" s="56">
        <f>SUMPRODUCT(N(Tabela1[Código]=Tabela2[[#This Row],[Ativo]]),Tabela1[Fechamento])</f>
        <v>8.86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8.86</v>
      </c>
      <c r="I322" s="19">
        <f>IF(Tabela2[[#This Row],[Dividendo / Ação]]&gt;0,Tabela2[[#This Row],[Dividendo / Ação]]/Tabela2[[#This Row],[Cotação]],"")</f>
        <v>0.75564801772009038</v>
      </c>
      <c r="J322" s="56">
        <f>SUMPRODUCT(N(Tabela1[Código]=Tabela2[[#This Row],[Ativo]]),Tabela1[Fechamento])</f>
        <v>8.86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179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5.5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5.5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179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5.5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5.5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179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5.5</v>
      </c>
      <c r="I325" s="19">
        <f>IF(Tabela2[[#This Row],[Dividendo / Ação]]&gt;0,Tabela2[[#This Row],[Dividendo / Ação]]/Tabela2[[#This Row],[Cotação]],"")</f>
        <v>1.5937172400000001E-2</v>
      </c>
      <c r="J325" s="56">
        <f>SUMPRODUCT(N(Tabela1[Código]=Tabela2[[#This Row],[Ativo]]),Tabela1[Fechamento])</f>
        <v>5.5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179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5.5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5.5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179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5.5</v>
      </c>
      <c r="I327" s="19">
        <f>IF(Tabela2[[#This Row],[Dividendo / Ação]]&gt;0,Tabela2[[#This Row],[Dividendo / Ação]]/Tabela2[[#This Row],[Cotação]],"")</f>
        <v>6.637520218181818E-2</v>
      </c>
      <c r="J327" s="56">
        <f>SUMPRODUCT(N(Tabela1[Código]=Tabela2[[#This Row],[Ativo]]),Tabela1[Fechamento])</f>
        <v>5.5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9.3000000000000007</v>
      </c>
      <c r="I328" s="19">
        <f>IF(Tabela2[[#This Row],[Dividendo / Ação]]&gt;0,Tabela2[[#This Row],[Dividendo / Ação]]/Tabela2[[#This Row],[Cotação]],"")</f>
        <v>8.3712903225806448E-2</v>
      </c>
      <c r="J328" s="56">
        <f>SUMPRODUCT(N(Tabela1[Código]=Tabela2[[#This Row],[Ativo]]),Tabela1[Fechamento])</f>
        <v>9.3000000000000007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9.3000000000000007</v>
      </c>
      <c r="I329" s="19">
        <f>IF(Tabela2[[#This Row],[Dividendo / Ação]]&gt;0,Tabela2[[#This Row],[Dividendo / Ação]]/Tabela2[[#This Row],[Cotação]],"")</f>
        <v>0.25113860215053763</v>
      </c>
      <c r="J329" s="56">
        <f>SUMPRODUCT(N(Tabela1[Código]=Tabela2[[#This Row],[Ativo]]),Tabela1[Fechamento])</f>
        <v>9.3000000000000007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9.3000000000000007</v>
      </c>
      <c r="I330" s="19">
        <f>IF(Tabela2[[#This Row],[Dividendo / Ação]]&gt;0,Tabela2[[#This Row],[Dividendo / Ação]]/Tabela2[[#This Row],[Cotação]],"")</f>
        <v>0.2391795698924731</v>
      </c>
      <c r="J330" s="56">
        <f>SUMPRODUCT(N(Tabela1[Código]=Tabela2[[#This Row],[Ativo]]),Tabela1[Fechamento])</f>
        <v>9.3000000000000007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9.3000000000000007</v>
      </c>
      <c r="I331" s="19">
        <f>IF(Tabela2[[#This Row],[Dividendo / Ação]]&gt;0,Tabela2[[#This Row],[Dividendo / Ação]]/Tabela2[[#This Row],[Cotação]],"")</f>
        <v>0.20099129032258062</v>
      </c>
      <c r="J331" s="56">
        <f>SUMPRODUCT(N(Tabela1[Código]=Tabela2[[#This Row],[Ativo]]),Tabela1[Fechamento])</f>
        <v>9.3000000000000007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12.4</v>
      </c>
      <c r="I332" s="18">
        <f>IF(Tabela2[[#This Row],[Dividendo / Ação]]&gt;0,Tabela2[[#This Row],[Dividendo / Ação]]/Tabela2[[#This Row],[Cotação]],"")</f>
        <v>6.4112903225806456E-2</v>
      </c>
      <c r="J332" s="55">
        <f>SUMPRODUCT(N(Tabela1[Código]=Tabela2[[#This Row],[Ativo]]),Tabela1[Fechamento])</f>
        <v>12.4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12.4</v>
      </c>
      <c r="I333" s="18">
        <f>IF(Tabela2[[#This Row],[Dividendo / Ação]]&gt;0,Tabela2[[#This Row],[Dividendo / Ação]]/Tabela2[[#This Row],[Cotação]],"")</f>
        <v>7.7419354838709677E-3</v>
      </c>
      <c r="J333" s="55">
        <f>SUMPRODUCT(N(Tabela1[Código]=Tabela2[[#This Row],[Ativo]]),Tabela1[Fechamento])</f>
        <v>12.4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12.4</v>
      </c>
      <c r="I334" s="18">
        <f>IF(Tabela2[[#This Row],[Dividendo / Ação]]&gt;0,Tabela2[[#This Row],[Dividendo / Ação]]/Tabela2[[#This Row],[Cotação]],"")</f>
        <v>7.1774193548387087E-3</v>
      </c>
      <c r="J334" s="55">
        <f>SUMPRODUCT(N(Tabela1[Código]=Tabela2[[#This Row],[Ativo]]),Tabela1[Fechamento])</f>
        <v>12.4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12.4</v>
      </c>
      <c r="I335" s="18">
        <f>IF(Tabela2[[#This Row],[Dividendo / Ação]]&gt;0,Tabela2[[#This Row],[Dividendo / Ação]]/Tabela2[[#This Row],[Cotação]],"")</f>
        <v>9.112903225806452E-3</v>
      </c>
      <c r="J335" s="55">
        <f>SUMPRODUCT(N(Tabela1[Código]=Tabela2[[#This Row],[Ativo]]),Tabela1[Fechamento])</f>
        <v>12.4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181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181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181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181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2.2999999999999998</v>
      </c>
      <c r="I340" s="18">
        <f>IF(Tabela2[[#This Row],[Dividendo / Ação]]&gt;0,Tabela2[[#This Row],[Dividendo / Ação]]/Tabela2[[#This Row],[Cotação]],"")</f>
        <v>6.9130434782608705E-2</v>
      </c>
      <c r="J340" s="55">
        <f>SUMPRODUCT(N(Tabela1[Código]=Tabela2[[#This Row],[Ativo]]),Tabela1[Fechamento])</f>
        <v>2.2999999999999998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2.2999999999999998</v>
      </c>
      <c r="I341" s="18">
        <f>IF(Tabela2[[#This Row],[Dividendo / Ação]]&gt;0,Tabela2[[#This Row],[Dividendo / Ação]]/Tabela2[[#This Row],[Cotação]],"")</f>
        <v>4.1739130434782612E-2</v>
      </c>
      <c r="J341" s="55">
        <f>SUMPRODUCT(N(Tabela1[Código]=Tabela2[[#This Row],[Ativo]]),Tabela1[Fechamento])</f>
        <v>2.2999999999999998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2.2999999999999998</v>
      </c>
      <c r="I342" s="18">
        <f>IF(Tabela2[[#This Row],[Dividendo / Ação]]&gt;0,Tabela2[[#This Row],[Dividendo / Ação]]/Tabela2[[#This Row],[Cotação]],"")</f>
        <v>3.8695652173913048E-2</v>
      </c>
      <c r="J342" s="55">
        <f>SUMPRODUCT(N(Tabela1[Código]=Tabela2[[#This Row],[Ativo]]),Tabela1[Fechamento])</f>
        <v>2.2999999999999998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2.2999999999999998</v>
      </c>
      <c r="I343" s="18">
        <f>IF(Tabela2[[#This Row],[Dividendo / Ação]]&gt;0,Tabela2[[#This Row],[Dividendo / Ação]]/Tabela2[[#This Row],[Cotação]],"")</f>
        <v>4.9130434782608701E-2</v>
      </c>
      <c r="J343" s="55">
        <f>SUMPRODUCT(N(Tabela1[Código]=Tabela2[[#This Row],[Ativo]]),Tabela1[Fechamento])</f>
        <v>2.2999999999999998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14.97</v>
      </c>
      <c r="I344" s="19">
        <f>IF(Tabela2[[#This Row],[Dividendo / Ação]]&gt;0,Tabela2[[#This Row],[Dividendo / Ação]]/Tabela2[[#This Row],[Cotação]],"")</f>
        <v>3.0728122912491648E-2</v>
      </c>
      <c r="J344" s="56">
        <f>SUMPRODUCT(N(Tabela1[Código]=Tabela2[[#This Row],[Ativo]]),Tabela1[Fechamento])</f>
        <v>14.97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14.97</v>
      </c>
      <c r="I345" s="19">
        <f>IF(Tabela2[[#This Row],[Dividendo / Ação]]&gt;0,Tabela2[[#This Row],[Dividendo / Ação]]/Tabela2[[#This Row],[Cotação]],"")</f>
        <v>3.8076152304609215E-2</v>
      </c>
      <c r="J345" s="56">
        <f>SUMPRODUCT(N(Tabela1[Código]=Tabela2[[#This Row],[Ativo]]),Tabela1[Fechamento])</f>
        <v>14.97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14.97</v>
      </c>
      <c r="I346" s="19">
        <f>IF(Tabela2[[#This Row],[Dividendo / Ação]]&gt;0,Tabela2[[#This Row],[Dividendo / Ação]]/Tabela2[[#This Row],[Cotação]],"")</f>
        <v>0.10153640614562458</v>
      </c>
      <c r="J346" s="56">
        <f>SUMPRODUCT(N(Tabela1[Código]=Tabela2[[#This Row],[Ativo]]),Tabela1[Fechamento])</f>
        <v>14.97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22.5</v>
      </c>
      <c r="I347" s="19">
        <f>IF(Tabela2[[#This Row],[Dividendo / Ação]]&gt;0,Tabela2[[#This Row],[Dividendo / Ação]]/Tabela2[[#This Row],[Cotação]],"")</f>
        <v>7.5555555555555558E-3</v>
      </c>
      <c r="J347" s="56">
        <f>SUMPRODUCT(N(Tabela1[Código]=Tabela2[[#This Row],[Ativo]]),Tabela1[Fechamento])</f>
        <v>22.5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22.5</v>
      </c>
      <c r="I348" s="19">
        <f>IF(Tabela2[[#This Row],[Dividendo / Ação]]&gt;0,Tabela2[[#This Row],[Dividendo / Ação]]/Tabela2[[#This Row],[Cotação]],"")</f>
        <v>2.0444444444444446E-2</v>
      </c>
      <c r="J348" s="56">
        <f>SUMPRODUCT(N(Tabela1[Código]=Tabela2[[#This Row],[Ativo]]),Tabela1[Fechamento])</f>
        <v>22.5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22.5</v>
      </c>
      <c r="I349" s="19">
        <f>IF(Tabela2[[#This Row],[Dividendo / Ação]]&gt;0,Tabela2[[#This Row],[Dividendo / Ação]]/Tabela2[[#This Row],[Cotação]],"")</f>
        <v>0.08</v>
      </c>
      <c r="J349" s="56">
        <f>SUMPRODUCT(N(Tabela1[Código]=Tabela2[[#This Row],[Ativo]]),Tabela1[Fechamento])</f>
        <v>22.5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364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8.1</v>
      </c>
      <c r="I350" s="43">
        <f>IF(Tabela2[[#This Row],[Dividendo / Ação]]&gt;0,Tabela2[[#This Row],[Dividendo / Ação]]/Tabela2[[#This Row],[Cotação]],"")</f>
        <v>9.876543209876544E-2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8.1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364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8.1</v>
      </c>
      <c r="I351" s="43">
        <f>IF(Tabela2[[#This Row],[Dividendo / Ação]]&gt;0,Tabela2[[#This Row],[Dividendo / Ação]]/Tabela2[[#This Row],[Cotação]],"")</f>
        <v>0.11111111111111112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8.1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364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8.1</v>
      </c>
      <c r="I352" s="43">
        <f>IF(Tabela2[[#This Row],[Dividendo / Ação]]&gt;0,Tabela2[[#This Row],[Dividendo / Ação]]/Tabela2[[#This Row],[Cotação]],"")</f>
        <v>9.876543209876544E-2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8.1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347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6.13</v>
      </c>
      <c r="I353" s="43">
        <f>IF(Tabela2[[#This Row],[Dividendo / Ação]]&gt;0,Tabela2[[#This Row],[Dividendo / Ação]]/Tabela2[[#This Row],[Cotação]],"")</f>
        <v>3.1075530179445351E-2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6.13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347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6.13</v>
      </c>
      <c r="I354" s="43">
        <f>IF(Tabela2[[#This Row],[Dividendo / Ação]]&gt;0,Tabela2[[#This Row],[Dividendo / Ação]]/Tabela2[[#This Row],[Cotação]],"")</f>
        <v>4.7072756933115821E-2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6.13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347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6.13</v>
      </c>
      <c r="I355" s="43">
        <f>IF(Tabela2[[#This Row],[Dividendo / Ação]]&gt;0,Tabela2[[#This Row],[Dividendo / Ação]]/Tabela2[[#This Row],[Cotação]],"")</f>
        <v>4.5730016313213703E-2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6.13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256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256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256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12.72</v>
      </c>
      <c r="I359" s="18">
        <f>IF(Tabela2[[#This Row],[Dividendo / Ação]]&gt;0,Tabela2[[#This Row],[Dividendo / Ação]]/Tabela2[[#This Row],[Cotação]],"")</f>
        <v>1.9060534591194968E-2</v>
      </c>
      <c r="J359" s="55">
        <f>SUMPRODUCT(N(Tabela1[Código]=Tabela2[[#This Row],[Ativo]]),Tabela1[Fechamento])</f>
        <v>12.72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12.72</v>
      </c>
      <c r="I360" s="18">
        <f>IF(Tabela2[[#This Row],[Dividendo / Ação]]&gt;0,Tabela2[[#This Row],[Dividendo / Ação]]/Tabela2[[#This Row],[Cotação]],"")</f>
        <v>2.1118047248427672E-2</v>
      </c>
      <c r="J360" s="55">
        <f>SUMPRODUCT(N(Tabela1[Código]=Tabela2[[#This Row],[Ativo]]),Tabela1[Fechamento])</f>
        <v>12.72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12.72</v>
      </c>
      <c r="I361" s="18">
        <f>IF(Tabela2[[#This Row],[Dividendo / Ação]]&gt;0,Tabela2[[#This Row],[Dividendo / Ação]]/Tabela2[[#This Row],[Cotação]],"")</f>
        <v>2.7337924528301884E-2</v>
      </c>
      <c r="J361" s="55">
        <f>SUMPRODUCT(N(Tabela1[Código]=Tabela2[[#This Row],[Ativo]]),Tabela1[Fechamento])</f>
        <v>12.72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172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172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172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172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56.66</v>
      </c>
      <c r="I366" s="19">
        <f>IF(Tabela2[[#This Row],[Dividendo / Ação]]&gt;0,Tabela2[[#This Row],[Dividendo / Ação]]/Tabela2[[#This Row],[Cotação]],"")</f>
        <v>7.0547819325803035E-2</v>
      </c>
      <c r="J366" s="56">
        <f>SUMPRODUCT(N(Tabela1[Código]=Tabela2[[#This Row],[Ativo]]),Tabela1[Fechamento])</f>
        <v>56.66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56.66</v>
      </c>
      <c r="I367" s="19">
        <f>IF(Tabela2[[#This Row],[Dividendo / Ação]]&gt;0,Tabela2[[#This Row],[Dividendo / Ação]]/Tabela2[[#This Row],[Cotação]],"")</f>
        <v>6.376198782209673E-2</v>
      </c>
      <c r="J367" s="56">
        <f>SUMPRODUCT(N(Tabela1[Código]=Tabela2[[#This Row],[Ativo]]),Tabela1[Fechamento])</f>
        <v>56.66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56.66</v>
      </c>
      <c r="I368" s="18">
        <f>IF(Tabela2[[#This Row],[Dividendo / Ação]]&gt;0,Tabela2[[#This Row],[Dividendo / Ação]]/Tabela2[[#This Row],[Cotação]],"")</f>
        <v>4.6891905418284509E-2</v>
      </c>
      <c r="J368" s="55">
        <f>SUMPRODUCT(N(Tabela1[Código]=Tabela2[[#This Row],[Ativo]]),Tabela1[Fechamento])</f>
        <v>56.66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56.66</v>
      </c>
      <c r="I369" s="18">
        <f>IF(Tabela2[[#This Row],[Dividendo / Ação]]&gt;0,Tabela2[[#This Row],[Dividendo / Ação]]/Tabela2[[#This Row],[Cotação]],"")</f>
        <v>3.8501193822802683E-2</v>
      </c>
      <c r="J369" s="55">
        <f>SUMPRODUCT(N(Tabela1[Código]=Tabela2[[#This Row],[Ativo]]),Tabela1[Fechamento])</f>
        <v>56.66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16.61</v>
      </c>
      <c r="I370" s="19">
        <f>IF(Tabela2[[#This Row],[Dividendo / Ação]]&gt;0,Tabela2[[#This Row],[Dividendo / Ação]]/Tabela2[[#This Row],[Cotação]],"")</f>
        <v>0.14711553353401566</v>
      </c>
      <c r="J370" s="56">
        <f>SUMPRODUCT(N(Tabela1[Código]=Tabela2[[#This Row],[Ativo]]),Tabela1[Fechamento])</f>
        <v>16.61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16.61</v>
      </c>
      <c r="I371" s="18">
        <f>IF(Tabela2[[#This Row],[Dividendo / Ação]]&gt;0,Tabela2[[#This Row],[Dividendo / Ação]]/Tabela2[[#This Row],[Cotação]],"")</f>
        <v>0.13892549355809755</v>
      </c>
      <c r="J371" s="55">
        <f>SUMPRODUCT(N(Tabela1[Código]=Tabela2[[#This Row],[Ativo]]),Tabela1[Fechamento])</f>
        <v>16.61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16.61</v>
      </c>
      <c r="I372" s="18">
        <f>IF(Tabela2[[#This Row],[Dividendo / Ação]]&gt;0,Tabela2[[#This Row],[Dividendo / Ação]]/Tabela2[[#This Row],[Cotação]],"")</f>
        <v>0.12989330355207707</v>
      </c>
      <c r="J372" s="55">
        <f>SUMPRODUCT(N(Tabela1[Código]=Tabela2[[#This Row],[Ativo]]),Tabela1[Fechamento])</f>
        <v>16.61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16.61</v>
      </c>
      <c r="I373" s="18">
        <f>IF(Tabela2[[#This Row],[Dividendo / Ação]]&gt;0,Tabela2[[#This Row],[Dividendo / Ação]]/Tabela2[[#This Row],[Cotação]],"")</f>
        <v>0.11754255647200482</v>
      </c>
      <c r="J373" s="55">
        <f>SUMPRODUCT(N(Tabela1[Código]=Tabela2[[#This Row],[Ativo]]),Tabela1[Fechamento])</f>
        <v>16.61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</v>
      </c>
      <c r="I374" s="19">
        <f>IF(Tabela2[[#This Row],[Dividendo / Ação]]&gt;0,Tabela2[[#This Row],[Dividendo / Ação]]/Tabela2[[#This Row],[Cotação]],"")</f>
        <v>0.14933043966666668</v>
      </c>
      <c r="J374" s="56">
        <f>SUMPRODUCT(N(Tabela1[Código]=Tabela2[[#This Row],[Ativo]]),Tabela1[Fechamento])</f>
        <v>18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</v>
      </c>
      <c r="I375" s="19">
        <f>IF(Tabela2[[#This Row],[Dividendo / Ação]]&gt;0,Tabela2[[#This Row],[Dividendo / Ação]]/Tabela2[[#This Row],[Cotação]],"")</f>
        <v>0.14101709405555557</v>
      </c>
      <c r="J375" s="56">
        <f>SUMPRODUCT(N(Tabela1[Código]=Tabela2[[#This Row],[Ativo]]),Tabela1[Fechamento])</f>
        <v>18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</v>
      </c>
      <c r="I376" s="19">
        <f>IF(Tabela2[[#This Row],[Dividendo / Ação]]&gt;0,Tabela2[[#This Row],[Dividendo / Ação]]/Tabela2[[#This Row],[Cotação]],"")</f>
        <v>0.13184891938888887</v>
      </c>
      <c r="J376" s="56">
        <f>SUMPRODUCT(N(Tabela1[Código]=Tabela2[[#This Row],[Ativo]]),Tabela1[Fechamento])</f>
        <v>18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</v>
      </c>
      <c r="I377" s="19">
        <f>IF(Tabela2[[#This Row],[Dividendo / Ação]]&gt;0,Tabela2[[#This Row],[Dividendo / Ação]]/Tabela2[[#This Row],[Cotação]],"")</f>
        <v>0.11931222494444443</v>
      </c>
      <c r="J377" s="56">
        <f>SUMPRODUCT(N(Tabela1[Código]=Tabela2[[#This Row],[Ativo]]),Tabela1[Fechamento])</f>
        <v>18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183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0.13</v>
      </c>
      <c r="I378" s="19">
        <f>IF(Tabela2[[#This Row],[Dividendo / Ação]]&gt;0,Tabela2[[#This Row],[Dividendo / Ação]]/Tabela2[[#This Row],[Cotação]],"")</f>
        <v>0.12818777230769229</v>
      </c>
      <c r="J378" s="56">
        <f>SUMPRODUCT(N(Tabela1[Código]=Tabela2[[#This Row],[Ativo]]),Tabela1[Fechamento])</f>
        <v>0.13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183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0.13</v>
      </c>
      <c r="I379" s="18">
        <f>IF(Tabela2[[#This Row],[Dividendo / Ação]]&gt;0,Tabela2[[#This Row],[Dividendo / Ação]]/Tabela2[[#This Row],[Cotação]],"")</f>
        <v>0.11169999999999999</v>
      </c>
      <c r="J379" s="55">
        <f>SUMPRODUCT(N(Tabela1[Código]=Tabela2[[#This Row],[Ativo]]),Tabela1[Fechamento])</f>
        <v>0.13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183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0.13</v>
      </c>
      <c r="I380" s="18">
        <f>IF(Tabela2[[#This Row],[Dividendo / Ação]]&gt;0,Tabela2[[#This Row],[Dividendo / Ação]]/Tabela2[[#This Row],[Cotação]],"")</f>
        <v>2.0738461538461539E-2</v>
      </c>
      <c r="J380" s="55">
        <f>SUMPRODUCT(N(Tabela1[Código]=Tabela2[[#This Row],[Ativo]]),Tabela1[Fechamento])</f>
        <v>0.13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183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0.13</v>
      </c>
      <c r="I381" s="18">
        <f>IF(Tabela2[[#This Row],[Dividendo / Ação]]&gt;0,Tabela2[[#This Row],[Dividendo / Ação]]/Tabela2[[#This Row],[Cotação]],"")</f>
        <v>7.7692307692307686E-2</v>
      </c>
      <c r="J381" s="55">
        <f>SUMPRODUCT(N(Tabela1[Código]=Tabela2[[#This Row],[Ativo]]),Tabela1[Fechamento])</f>
        <v>0.13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184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184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184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184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325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17.55</v>
      </c>
      <c r="I386" s="22">
        <f>IF(Tabela2[[#This Row],[Dividendo / Ação]]&gt;0,Tabela2[[#This Row],[Dividendo / Ação]]/Tabela2[[#This Row],[Cotação]],"")</f>
        <v>7.688529857549857E-2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17.55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325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17.55</v>
      </c>
      <c r="I387" s="22">
        <f>IF(Tabela2[[#This Row],[Dividendo / Ação]]&gt;0,Tabela2[[#This Row],[Dividendo / Ação]]/Tabela2[[#This Row],[Cotação]],"")</f>
        <v>5.2280617094017087E-2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17.55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325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17.55</v>
      </c>
      <c r="I388" s="22">
        <f>IF(Tabela2[[#This Row],[Dividendo / Ação]]&gt;0,Tabela2[[#This Row],[Dividendo / Ação]]/Tabela2[[#This Row],[Cotação]],"")</f>
        <v>2.8762997150997147E-2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17.55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380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20.94</v>
      </c>
      <c r="I389" s="43">
        <f>IF(Tabela2[[#This Row],[Dividendo / Ação]]&gt;0,Tabela2[[#This Row],[Dividendo / Ação]]/Tabela2[[#This Row],[Cotação]],"")</f>
        <v>1.9197707736389683E-2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20.94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380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20.94</v>
      </c>
      <c r="I390" s="43">
        <f>IF(Tabela2[[#This Row],[Dividendo / Ação]]&gt;0,Tabela2[[#This Row],[Dividendo / Ação]]/Tabela2[[#This Row],[Cotação]],"")</f>
        <v>1.8147086914995225E-2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20.94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380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20.94</v>
      </c>
      <c r="I391" s="43">
        <f>IF(Tabela2[[#This Row],[Dividendo / Ação]]&gt;0,Tabela2[[#This Row],[Dividendo / Ação]]/Tabela2[[#This Row],[Cotação]],"")</f>
        <v>1.7430754536771727E-2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20.94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380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20.94</v>
      </c>
      <c r="I392" s="43">
        <f>IF(Tabela2[[#This Row],[Dividendo / Ação]]&gt;0,Tabela2[[#This Row],[Dividendo / Ação]]/Tabela2[[#This Row],[Cotação]],"")</f>
        <v>1.5042979942693409E-2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20.94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251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9.6</v>
      </c>
      <c r="I393" s="18">
        <f>IF(Tabela2[[#This Row],[Dividendo / Ação]]&gt;0,Tabela2[[#This Row],[Dividendo / Ação]]/Tabela2[[#This Row],[Cotação]],"")</f>
        <v>3.571875E-2</v>
      </c>
      <c r="J393" s="55">
        <f>SUMPRODUCT(N(Tabela1[Código]=Tabela2[[#This Row],[Ativo]]),Tabela1[Fechamento])</f>
        <v>9.6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251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9.6</v>
      </c>
      <c r="I394" s="18">
        <f>IF(Tabela2[[#This Row],[Dividendo / Ação]]&gt;0,Tabela2[[#This Row],[Dividendo / Ação]]/Tabela2[[#This Row],[Cotação]],"")</f>
        <v>3.4739583333333338E-2</v>
      </c>
      <c r="J394" s="55">
        <f>SUMPRODUCT(N(Tabela1[Código]=Tabela2[[#This Row],[Ativo]]),Tabela1[Fechamento])</f>
        <v>9.6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251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9.6</v>
      </c>
      <c r="I395" s="18">
        <f>IF(Tabela2[[#This Row],[Dividendo / Ação]]&gt;0,Tabela2[[#This Row],[Dividendo / Ação]]/Tabela2[[#This Row],[Cotação]],"")</f>
        <v>3.0885416666666665E-2</v>
      </c>
      <c r="J395" s="55">
        <f>SUMPRODUCT(N(Tabela1[Código]=Tabela2[[#This Row],[Ativo]]),Tabela1[Fechamento])</f>
        <v>9.6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251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9.6</v>
      </c>
      <c r="I396" s="18">
        <f>IF(Tabela2[[#This Row],[Dividendo / Ação]]&gt;0,Tabela2[[#This Row],[Dividendo / Ação]]/Tabela2[[#This Row],[Cotação]],"")</f>
        <v>2.684375E-2</v>
      </c>
      <c r="J396" s="55">
        <f>SUMPRODUCT(N(Tabela1[Código]=Tabela2[[#This Row],[Ativo]]),Tabela1[Fechamento])</f>
        <v>9.6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8.3699999999999992</v>
      </c>
      <c r="I397" s="19">
        <f>IF(Tabela2[[#This Row],[Dividendo / Ação]]&gt;0,Tabela2[[#This Row],[Dividendo / Ação]]/Tabela2[[#This Row],[Cotação]],"")</f>
        <v>4.0967741935483873E-2</v>
      </c>
      <c r="J397" s="56">
        <f>SUMPRODUCT(N(Tabela1[Código]=Tabela2[[#This Row],[Ativo]]),Tabela1[Fechamento])</f>
        <v>8.3699999999999992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8.3699999999999992</v>
      </c>
      <c r="I398" s="19">
        <f>IF(Tabela2[[#This Row],[Dividendo / Ação]]&gt;0,Tabela2[[#This Row],[Dividendo / Ação]]/Tabela2[[#This Row],[Cotação]],"")</f>
        <v>3.9844683393070499E-2</v>
      </c>
      <c r="J398" s="56">
        <f>SUMPRODUCT(N(Tabela1[Código]=Tabela2[[#This Row],[Ativo]]),Tabela1[Fechamento])</f>
        <v>8.3699999999999992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8.3699999999999992</v>
      </c>
      <c r="I399" s="19">
        <f>IF(Tabela2[[#This Row],[Dividendo / Ação]]&gt;0,Tabela2[[#This Row],[Dividendo / Ação]]/Tabela2[[#This Row],[Cotação]],"")</f>
        <v>3.5424133811230586E-2</v>
      </c>
      <c r="J399" s="56">
        <f>SUMPRODUCT(N(Tabela1[Código]=Tabela2[[#This Row],[Ativo]]),Tabela1[Fechamento])</f>
        <v>8.3699999999999992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8.3699999999999992</v>
      </c>
      <c r="I400" s="19">
        <f>IF(Tabela2[[#This Row],[Dividendo / Ação]]&gt;0,Tabela2[[#This Row],[Dividendo / Ação]]/Tabela2[[#This Row],[Cotação]],"")</f>
        <v>3.0788530465949822E-2</v>
      </c>
      <c r="J400" s="56">
        <f>SUMPRODUCT(N(Tabela1[Código]=Tabela2[[#This Row],[Ativo]]),Tabela1[Fechamento])</f>
        <v>8.3699999999999992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249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27.1</v>
      </c>
      <c r="I401" s="18">
        <f>IF(Tabela2[[#This Row],[Dividendo / Ação]]&gt;0,Tabela2[[#This Row],[Dividendo / Ação]]/Tabela2[[#This Row],[Cotação]],"")</f>
        <v>3.6900369003690037E-2</v>
      </c>
      <c r="J401" s="55">
        <f>SUMPRODUCT(N(Tabela1[Código]=Tabela2[[#This Row],[Ativo]]),Tabela1[Fechamento])</f>
        <v>27.1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249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27.1</v>
      </c>
      <c r="I402" s="18">
        <f>IF(Tabela2[[#This Row],[Dividendo / Ação]]&gt;0,Tabela2[[#This Row],[Dividendo / Ação]]/Tabela2[[#This Row],[Cotação]],"")</f>
        <v>3.5892988929889298E-2</v>
      </c>
      <c r="J402" s="55">
        <f>SUMPRODUCT(N(Tabela1[Código]=Tabela2[[#This Row],[Ativo]]),Tabela1[Fechamento])</f>
        <v>27.1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249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27.1</v>
      </c>
      <c r="I403" s="18">
        <f>IF(Tabela2[[#This Row],[Dividendo / Ação]]&gt;0,Tabela2[[#This Row],[Dividendo / Ação]]/Tabela2[[#This Row],[Cotação]],"")</f>
        <v>3.1760147601476017E-2</v>
      </c>
      <c r="J403" s="55">
        <f>SUMPRODUCT(N(Tabela1[Código]=Tabela2[[#This Row],[Ativo]]),Tabela1[Fechamento])</f>
        <v>27.1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29.85</v>
      </c>
      <c r="I404" s="19">
        <f>IF(Tabela2[[#This Row],[Dividendo / Ação]]&gt;0,Tabela2[[#This Row],[Dividendo / Ação]]/Tabela2[[#This Row],[Cotação]],"")</f>
        <v>3.350083752093802E-2</v>
      </c>
      <c r="J404" s="56">
        <f>SUMPRODUCT(N(Tabela1[Código]=Tabela2[[#This Row],[Ativo]]),Tabela1[Fechamento])</f>
        <v>29.85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29.85</v>
      </c>
      <c r="I405" s="19">
        <f>IF(Tabela2[[#This Row],[Dividendo / Ação]]&gt;0,Tabela2[[#This Row],[Dividendo / Ação]]/Tabela2[[#This Row],[Cotação]],"")</f>
        <v>3.2586264656616411E-2</v>
      </c>
      <c r="J405" s="56">
        <f>SUMPRODUCT(N(Tabela1[Código]=Tabela2[[#This Row],[Ativo]]),Tabela1[Fechamento])</f>
        <v>29.85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29.85</v>
      </c>
      <c r="I406" s="19">
        <f>IF(Tabela2[[#This Row],[Dividendo / Ação]]&gt;0,Tabela2[[#This Row],[Dividendo / Ação]]/Tabela2[[#This Row],[Cotação]],"")</f>
        <v>2.8834170854271358E-2</v>
      </c>
      <c r="J406" s="56">
        <f>SUMPRODUCT(N(Tabela1[Código]=Tabela2[[#This Row],[Ativo]]),Tabela1[Fechamento])</f>
        <v>29.85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301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8.42</v>
      </c>
      <c r="I407" s="18">
        <f>IF(Tabela2[[#This Row],[Dividendo / Ação]]&gt;0,Tabela2[[#This Row],[Dividendo / Ação]]/Tabela2[[#This Row],[Cotação]],"")</f>
        <v>6.8890408551068889E-3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8.42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301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8.42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8.42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301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8.42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8.42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199</v>
      </c>
      <c r="B410" s="4">
        <v>2012</v>
      </c>
      <c r="C410" s="6">
        <v>751965362.53999996</v>
      </c>
      <c r="D410" s="8">
        <f>SUMPRODUCT(N(Tabela3[PAPEL]=Tabela2[[#This Row],[Ativo]]),Tabela3[Total Ações])</f>
        <v>945957907</v>
      </c>
      <c r="E410" s="61">
        <f>(Tabela2[[#This Row],[Lucro Líquido]])/Tabela2[[#This Row],[Total Ações]]</f>
        <v>0.79492476036779924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0.259647214793639</v>
      </c>
      <c r="H410" s="6">
        <f>MAX(Tabela2[[#This Row],[Cotação 1]],Tabela2[[#This Row],[Cotação 2]])</f>
        <v>12.5</v>
      </c>
      <c r="I410" s="19">
        <f>IF(Tabela2[[#This Row],[Dividendo / Ação]]&gt;0,Tabela2[[#This Row],[Dividendo / Ação]]/Tabela2[[#This Row],[Cotação]],"")</f>
        <v>1.6511999999999999E-2</v>
      </c>
      <c r="J410" s="56">
        <f>SUMPRODUCT(N(Tabela1[Código]=Tabela2[[#This Row],[Ativo]]),Tabela1[Fechamento])</f>
        <v>12.5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199</v>
      </c>
      <c r="B411" s="3">
        <v>2011</v>
      </c>
      <c r="C411" s="5">
        <v>182710744</v>
      </c>
      <c r="D411" s="57">
        <f>SUMPRODUCT(N(Tabela3[PAPEL]=Tabela2[[#This Row],[Ativo]]),Tabela3[Total Ações])</f>
        <v>945957907</v>
      </c>
      <c r="E411" s="60">
        <f>(Tabela2[[#This Row],[Lucro Líquido]])/Tabela2[[#This Row],[Total Ações]]</f>
        <v>0.19314891566311523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0.74916289073235887</v>
      </c>
      <c r="H411" s="5">
        <f>MAX(Tabela2[[#This Row],[Cotação 1]],Tabela2[[#This Row],[Cotação 2]])</f>
        <v>12.5</v>
      </c>
      <c r="I411" s="18">
        <f>IF(Tabela2[[#This Row],[Dividendo / Ação]]&gt;0,Tabela2[[#This Row],[Dividendo / Ação]]/Tabela2[[#This Row],[Cotação]],"")</f>
        <v>1.1575999999999999E-2</v>
      </c>
      <c r="J411" s="55">
        <f>SUMPRODUCT(N(Tabela1[Código]=Tabela2[[#This Row],[Ativo]]),Tabela1[Fechamento])</f>
        <v>12.5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199</v>
      </c>
      <c r="B412" s="3">
        <v>2010</v>
      </c>
      <c r="C412" s="5">
        <v>559786811</v>
      </c>
      <c r="D412" s="57">
        <f>SUMPRODUCT(N(Tabela3[PAPEL]=Tabela2[[#This Row],[Ativo]]),Tabela3[Total Ações])</f>
        <v>945957907</v>
      </c>
      <c r="E412" s="60">
        <f>(Tabela2[[#This Row],[Lucro Líquido]])/Tabela2[[#This Row],[Total Ações]]</f>
        <v>0.5917671461463877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0.21140071870271337</v>
      </c>
      <c r="H412" s="5">
        <f>MAX(Tabela2[[#This Row],[Cotação 1]],Tabela2[[#This Row],[Cotação 2]])</f>
        <v>12.5</v>
      </c>
      <c r="I412" s="18">
        <f>IF(Tabela2[[#This Row],[Dividendo / Ação]]&gt;0,Tabela2[[#This Row],[Dividendo / Ação]]/Tabela2[[#This Row],[Cotação]],"")</f>
        <v>1.0008E-2</v>
      </c>
      <c r="J412" s="55">
        <f>SUMPRODUCT(N(Tabela1[Código]=Tabela2[[#This Row],[Ativo]]),Tabela1[Fechamento])</f>
        <v>12.5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945957907</v>
      </c>
      <c r="E413" s="61">
        <f>(Tabela2[[#This Row],[Lucro Líquido]])/Tabela2[[#This Row],[Total Ações]]</f>
        <v>0.79492476036779924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0.28556161704532973</v>
      </c>
      <c r="H413" s="6">
        <f>MAX(Tabela2[[#This Row],[Cotação 1]],Tabela2[[#This Row],[Cotação 2]])</f>
        <v>12.6</v>
      </c>
      <c r="I413" s="19">
        <f>IF(Tabela2[[#This Row],[Dividendo / Ação]]&gt;0,Tabela2[[#This Row],[Dividendo / Ação]]/Tabela2[[#This Row],[Cotação]],"")</f>
        <v>1.8015873015873016E-2</v>
      </c>
      <c r="J413" s="56">
        <f>SUMPRODUCT(N(Tabela1[Código]=Tabela2[[#This Row],[Ativo]]),Tabela1[Fechamento])</f>
        <v>12.6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945957907</v>
      </c>
      <c r="E414" s="61">
        <f>(Tabela2[[#This Row],[Lucro Líquido]])/Tabela2[[#This Row],[Total Ações]]</f>
        <v>0.19314891566311523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0.82423450037727397</v>
      </c>
      <c r="H414" s="6">
        <f>MAX(Tabela2[[#This Row],[Cotação 1]],Tabela2[[#This Row],[Cotação 2]])</f>
        <v>12.6</v>
      </c>
      <c r="I414" s="19">
        <f>IF(Tabela2[[#This Row],[Dividendo / Ação]]&gt;0,Tabela2[[#This Row],[Dividendo / Ação]]/Tabela2[[#This Row],[Cotação]],"")</f>
        <v>1.2634920634920636E-2</v>
      </c>
      <c r="J414" s="56">
        <f>SUMPRODUCT(N(Tabela1[Código]=Tabela2[[#This Row],[Ativo]]),Tabela1[Fechamento])</f>
        <v>12.6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945957907</v>
      </c>
      <c r="E415" s="61">
        <f>(Tabela2[[#This Row],[Lucro Líquido]])/Tabela2[[#This Row],[Total Ações]]</f>
        <v>0.5917671461463877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0.23252389203431947</v>
      </c>
      <c r="H415" s="6">
        <f>MAX(Tabela2[[#This Row],[Cotação 1]],Tabela2[[#This Row],[Cotação 2]])</f>
        <v>12.6</v>
      </c>
      <c r="I415" s="19">
        <f>IF(Tabela2[[#This Row],[Dividendo / Ação]]&gt;0,Tabela2[[#This Row],[Dividendo / Ação]]/Tabela2[[#This Row],[Cotação]],"")</f>
        <v>1.0920634920634921E-2</v>
      </c>
      <c r="J415" s="56">
        <f>SUMPRODUCT(N(Tabela1[Código]=Tabela2[[#This Row],[Ativo]]),Tabela1[Fechamento])</f>
        <v>12.6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338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5.0999999999999996</v>
      </c>
      <c r="I416" s="22">
        <f>IF(Tabela2[[#This Row],[Dividendo / Ação]]&gt;0,Tabela2[[#This Row],[Dividendo / Ação]]/Tabela2[[#This Row],[Cotação]],"")</f>
        <v>3.0377489803921569E-2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5.0999999999999996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338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5.0999999999999996</v>
      </c>
      <c r="I417" s="22">
        <f>IF(Tabela2[[#This Row],[Dividendo / Ação]]&gt;0,Tabela2[[#This Row],[Dividendo / Ação]]/Tabela2[[#This Row],[Cotação]],"")</f>
        <v>4.3439627450980393E-2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5.0999999999999996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19.399999999999999</v>
      </c>
      <c r="I418" s="19">
        <f>IF(Tabela2[[#This Row],[Dividendo / Ação]]&gt;0,Tabela2[[#This Row],[Dividendo / Ação]]/Tabela2[[#This Row],[Cotação]],"")</f>
        <v>8.8144329896907223E-2</v>
      </c>
      <c r="J418" s="56">
        <f>SUMPRODUCT(N(Tabela1[Código]=Tabela2[[#This Row],[Ativo]]),Tabela1[Fechamento])</f>
        <v>19.399999999999999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19.399999999999999</v>
      </c>
      <c r="I419" s="19">
        <f>IF(Tabela2[[#This Row],[Dividendo / Ação]]&gt;0,Tabela2[[#This Row],[Dividendo / Ação]]/Tabela2[[#This Row],[Cotação]],"")</f>
        <v>7.4742268041237112E-2</v>
      </c>
      <c r="J419" s="56">
        <f>SUMPRODUCT(N(Tabela1[Código]=Tabela2[[#This Row],[Ativo]]),Tabela1[Fechamento])</f>
        <v>19.399999999999999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19.399999999999999</v>
      </c>
      <c r="I420" s="19">
        <f>IF(Tabela2[[#This Row],[Dividendo / Ação]]&gt;0,Tabela2[[#This Row],[Dividendo / Ação]]/Tabela2[[#This Row],[Cotação]],"")</f>
        <v>8.8659793814432994E-2</v>
      </c>
      <c r="J420" s="56">
        <f>SUMPRODUCT(N(Tabela1[Código]=Tabela2[[#This Row],[Ativo]]),Tabela1[Fechamento])</f>
        <v>19.399999999999999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174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174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174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174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352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5.3</v>
      </c>
      <c r="I425" s="43">
        <f>IF(Tabela2[[#This Row],[Dividendo / Ação]]&gt;0,Tabela2[[#This Row],[Dividendo / Ação]]/Tabela2[[#This Row],[Cotação]],"")</f>
        <v>1.0854790566037737E-2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5.3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352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5.3</v>
      </c>
      <c r="I426" s="43">
        <f>IF(Tabela2[[#This Row],[Dividendo / Ação]]&gt;0,Tabela2[[#This Row],[Dividendo / Ação]]/Tabela2[[#This Row],[Cotação]],"")</f>
        <v>5.6603773584905656E-3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5.3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352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5.3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5.3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388</v>
      </c>
      <c r="B428" s="4">
        <v>2012</v>
      </c>
      <c r="C428" s="6">
        <v>16768000</v>
      </c>
      <c r="D428" s="71">
        <f>SUMPRODUCT(N(Tabela3[PAPEL]=Tabela2[[#This Row],[Ativo]]),Tabela3[Total Ações])</f>
        <v>11759999</v>
      </c>
      <c r="E428" s="61">
        <f>(Tabela2[[#This Row],[Lucro Líquido]])/Tabela2[[#This Row],[Total Ações]]</f>
        <v>1.4258504613818419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0.29736638692748091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388</v>
      </c>
      <c r="B429" s="3">
        <v>2011</v>
      </c>
      <c r="C429" s="5">
        <v>8649000</v>
      </c>
      <c r="D429" s="62">
        <f>SUMPRODUCT(N(Tabela3[PAPEL]=Tabela2[[#This Row],[Ativo]]),Tabela3[Total Ações])</f>
        <v>11759999</v>
      </c>
      <c r="E429" s="60">
        <f>(Tabela2[[#This Row],[Lucro Líquido]])/Tabela2[[#This Row],[Total Ações]]</f>
        <v>0.7354592462125209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0.25657437984738124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388</v>
      </c>
      <c r="B430" s="3">
        <v>2010</v>
      </c>
      <c r="C430" s="5">
        <v>24344000</v>
      </c>
      <c r="D430" s="62">
        <f>SUMPRODUCT(N(Tabela3[PAPEL]=Tabela2[[#This Row],[Ativo]]),Tabela3[Total Ações])</f>
        <v>11759999</v>
      </c>
      <c r="E430" s="60">
        <f>(Tabela2[[#This Row],[Lucro Líquido]])/Tabela2[[#This Row],[Total Ações]]</f>
        <v>2.0700682032370921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0.2611508157821229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389</v>
      </c>
      <c r="B431" s="4">
        <v>2012</v>
      </c>
      <c r="C431" s="6">
        <v>16768000</v>
      </c>
      <c r="D431" s="71">
        <f>SUMPRODUCT(N(Tabela3[PAPEL]=Tabela2[[#This Row],[Ativo]]),Tabela3[Total Ações])</f>
        <v>11759999</v>
      </c>
      <c r="E431" s="61">
        <f>(Tabela2[[#This Row],[Lucro Líquido]])/Tabela2[[#This Row],[Total Ações]]</f>
        <v>1.4258504613818419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0.36679863293177484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389</v>
      </c>
      <c r="B432" s="4">
        <v>2011</v>
      </c>
      <c r="C432" s="5">
        <v>8649000</v>
      </c>
      <c r="D432" s="71">
        <f>SUMPRODUCT(N(Tabela3[PAPEL]=Tabela2[[#This Row],[Ativo]]),Tabela3[Total Ações])</f>
        <v>11759999</v>
      </c>
      <c r="E432" s="61">
        <f>(Tabela2[[#This Row],[Lucro Líquido]])/Tabela2[[#This Row],[Total Ações]]</f>
        <v>0.7354592462125209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0.5223946832928662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389</v>
      </c>
      <c r="B433" s="4">
        <v>2010</v>
      </c>
      <c r="C433" s="5">
        <v>24344000</v>
      </c>
      <c r="D433" s="71">
        <f>SUMPRODUCT(N(Tabela3[PAPEL]=Tabela2[[#This Row],[Ativo]]),Tabela3[Total Ações])</f>
        <v>11759999</v>
      </c>
      <c r="E433" s="61">
        <f>(Tabela2[[#This Row],[Lucro Líquido]])/Tabela2[[#This Row],[Total Ações]]</f>
        <v>2.0700682032370921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0.3023765106005587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327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</v>
      </c>
      <c r="I434" s="22">
        <f>IF(Tabela2[[#This Row],[Dividendo / Ação]]&gt;0,Tabela2[[#This Row],[Dividendo / Ação]]/Tabela2[[#This Row],[Cotação]],"")</f>
        <v>2.4145322417721517E-2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327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</v>
      </c>
      <c r="I435" s="22">
        <f>IF(Tabela2[[#This Row],[Dividendo / Ação]]&gt;0,Tabela2[[#This Row],[Dividendo / Ação]]/Tabela2[[#This Row],[Cotação]],"")</f>
        <v>3.4701650670886076E-2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327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</v>
      </c>
      <c r="I436" s="22">
        <f>IF(Tabela2[[#This Row],[Dividendo / Ação]]&gt;0,Tabela2[[#This Row],[Dividendo / Ação]]/Tabela2[[#This Row],[Cotação]],"")</f>
        <v>2.3247502791139241E-2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327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</v>
      </c>
      <c r="I437" s="22">
        <f>IF(Tabela2[[#This Row],[Dividendo / Ação]]&gt;0,Tabela2[[#This Row],[Dividendo / Ação]]/Tabela2[[#This Row],[Cotação]],"")</f>
        <v>2.5313938202531645E-2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382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45.67</v>
      </c>
      <c r="I438" s="43">
        <f>IF(Tabela2[[#This Row],[Dividendo / Ação]]&gt;0,Tabela2[[#This Row],[Dividendo / Ação]]/Tabela2[[#This Row],[Cotação]],"")</f>
        <v>2.2563643047952706E-2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45.67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382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45.67</v>
      </c>
      <c r="I439" s="43">
        <f>IF(Tabela2[[#This Row],[Dividendo / Ação]]&gt;0,Tabela2[[#This Row],[Dividendo / Ação]]/Tabela2[[#This Row],[Cotação]],"")</f>
        <v>1.7175093825268228E-2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45.67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382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45.67</v>
      </c>
      <c r="I440" s="43">
        <f>IF(Tabela2[[#This Row],[Dividendo / Ação]]&gt;0,Tabela2[[#This Row],[Dividendo / Ação]]/Tabela2[[#This Row],[Cotação]],"")</f>
        <v>1.1867377206043354E-2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45.67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382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45.67</v>
      </c>
      <c r="I441" s="43">
        <f>IF(Tabela2[[#This Row],[Dividendo / Ação]]&gt;0,Tabela2[[#This Row],[Dividendo / Ação]]/Tabela2[[#This Row],[Cotação]],"")</f>
        <v>7.0172394788701551E-3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45.67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309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4.55</v>
      </c>
      <c r="I442" s="18">
        <f>IF(Tabela2[[#This Row],[Dividendo / Ação]]&gt;0,Tabela2[[#This Row],[Dividendo / Ação]]/Tabela2[[#This Row],[Cotação]],"")</f>
        <v>0.89450549450549466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4.55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309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4.55</v>
      </c>
      <c r="I443" s="18">
        <f>IF(Tabela2[[#This Row],[Dividendo / Ação]]&gt;0,Tabela2[[#This Row],[Dividendo / Ação]]/Tabela2[[#This Row],[Cotação]],"")</f>
        <v>0.2021978021978022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4.55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309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4.55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4.55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310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4.04</v>
      </c>
      <c r="I445" s="18">
        <f>IF(Tabela2[[#This Row],[Dividendo / Ação]]&gt;0,Tabela2[[#This Row],[Dividendo / Ação]]/Tabela2[[#This Row],[Cotação]],"")</f>
        <v>1.0074257425742574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4.04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310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4.04</v>
      </c>
      <c r="I446" s="18">
        <f>IF(Tabela2[[#This Row],[Dividendo / Ação]]&gt;0,Tabela2[[#This Row],[Dividendo / Ação]]/Tabela2[[#This Row],[Cotação]],"")</f>
        <v>0.22772277227722773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4.04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310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4.04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4.04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464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464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464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464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359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359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359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359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14.02</v>
      </c>
      <c r="I456" s="19">
        <f>IF(Tabela2[[#This Row],[Dividendo / Ação]]&gt;0,Tabela2[[#This Row],[Dividendo / Ação]]/Tabela2[[#This Row],[Cotação]],"")</f>
        <v>3.3523537803138374E-2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14.02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14.02</v>
      </c>
      <c r="I457" s="18">
        <f>IF(Tabela2[[#This Row],[Dividendo / Ação]]&gt;0,Tabela2[[#This Row],[Dividendo / Ação]]/Tabela2[[#This Row],[Cotação]],"")</f>
        <v>6.5620542082738945E-2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14.02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14.02</v>
      </c>
      <c r="I458" s="18">
        <f>IF(Tabela2[[#This Row],[Dividendo / Ação]]&gt;0,Tabela2[[#This Row],[Dividendo / Ação]]/Tabela2[[#This Row],[Cotação]],"")</f>
        <v>7.3466476462196867E-2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14.02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14.02</v>
      </c>
      <c r="I459" s="18">
        <f>IF(Tabela2[[#This Row],[Dividendo / Ação]]&gt;0,Tabela2[[#This Row],[Dividendo / Ação]]/Tabela2[[#This Row],[Cotação]],"")</f>
        <v>6.7760342368045651E-2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14.02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15.11</v>
      </c>
      <c r="I460" s="19">
        <f>IF(Tabela2[[#This Row],[Dividendo / Ação]]&gt;0,Tabela2[[#This Row],[Dividendo / Ação]]/Tabela2[[#This Row],[Cotação]],"")</f>
        <v>6.3534083388484444E-2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15.11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15.11</v>
      </c>
      <c r="I461" s="19">
        <f>IF(Tabela2[[#This Row],[Dividendo / Ação]]&gt;0,Tabela2[[#This Row],[Dividendo / Ação]]/Tabela2[[#This Row],[Cotação]],"")</f>
        <v>6.0886829913964269E-2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15.11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15.11</v>
      </c>
      <c r="I462" s="19">
        <f>IF(Tabela2[[#This Row],[Dividendo / Ação]]&gt;0,Tabela2[[#This Row],[Dividendo / Ação]]/Tabela2[[#This Row],[Cotação]],"")</f>
        <v>6.8166776968894782E-2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15.11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15.11</v>
      </c>
      <c r="I463" s="19">
        <f>IF(Tabela2[[#This Row],[Dividendo / Ação]]&gt;0,Tabela2[[#This Row],[Dividendo / Ação]]/Tabela2[[#This Row],[Cotação]],"")</f>
        <v>6.2872270019854404E-2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15.11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8.33</v>
      </c>
      <c r="I464" s="19">
        <f>IF(Tabela2[[#This Row],[Dividendo / Ação]]&gt;0,Tabela2[[#This Row],[Dividendo / Ação]]/Tabela2[[#This Row],[Cotação]],"")</f>
        <v>0.11153181272509004</v>
      </c>
      <c r="J464" s="56">
        <f>SUMPRODUCT(N(Tabela1[Código]=Tabela2[[#This Row],[Ativo]]),Tabela1[Fechamento])</f>
        <v>8.33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8.33</v>
      </c>
      <c r="I465" s="19">
        <f>IF(Tabela2[[#This Row],[Dividendo / Ação]]&gt;0,Tabela2[[#This Row],[Dividendo / Ação]]/Tabela2[[#This Row],[Cotação]],"")</f>
        <v>0.10037863145258102</v>
      </c>
      <c r="J465" s="56">
        <f>SUMPRODUCT(N(Tabela1[Código]=Tabela2[[#This Row],[Ativo]]),Tabela1[Fechamento])</f>
        <v>8.33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8.33</v>
      </c>
      <c r="I466" s="19">
        <f>IF(Tabela2[[#This Row],[Dividendo / Ação]]&gt;0,Tabela2[[#This Row],[Dividendo / Ação]]/Tabela2[[#This Row],[Cotação]],"")</f>
        <v>8.3648859543817539E-2</v>
      </c>
      <c r="J466" s="56">
        <f>SUMPRODUCT(N(Tabela1[Código]=Tabela2[[#This Row],[Ativo]]),Tabela1[Fechamento])</f>
        <v>8.33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8.33</v>
      </c>
      <c r="I467" s="19">
        <f>IF(Tabela2[[#This Row],[Dividendo / Ação]]&gt;0,Tabela2[[#This Row],[Dividendo / Ação]]/Tabela2[[#This Row],[Cotação]],"")</f>
        <v>8.3648859543817539E-2</v>
      </c>
      <c r="J467" s="56">
        <f>SUMPRODUCT(N(Tabela1[Código]=Tabela2[[#This Row],[Ativo]]),Tabela1[Fechamento])</f>
        <v>8.33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11.6</v>
      </c>
      <c r="I468" s="19">
        <f>IF(Tabela2[[#This Row],[Dividendo / Ação]]&gt;0,Tabela2[[#This Row],[Dividendo / Ação]]/Tabela2[[#This Row],[Cotação]],"")</f>
        <v>6.2068965517241378E-2</v>
      </c>
      <c r="J468" s="56">
        <f>SUMPRODUCT(N(Tabela1[Código]=Tabela2[[#This Row],[Ativo]]),Tabela1[Fechamento])</f>
        <v>11.6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11.6</v>
      </c>
      <c r="I469" s="19">
        <f>IF(Tabela2[[#This Row],[Dividendo / Ação]]&gt;0,Tabela2[[#This Row],[Dividendo / Ação]]/Tabela2[[#This Row],[Cotação]],"")</f>
        <v>9.3965517241379318E-2</v>
      </c>
      <c r="J469" s="56">
        <f>SUMPRODUCT(N(Tabela1[Código]=Tabela2[[#This Row],[Ativo]]),Tabela1[Fechamento])</f>
        <v>11.6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11.6</v>
      </c>
      <c r="I470" s="19">
        <f>IF(Tabela2[[#This Row],[Dividendo / Ação]]&gt;0,Tabela2[[#This Row],[Dividendo / Ação]]/Tabela2[[#This Row],[Cotação]],"")</f>
        <v>4.4827586206896558E-2</v>
      </c>
      <c r="J470" s="56">
        <f>SUMPRODUCT(N(Tabela1[Código]=Tabela2[[#This Row],[Ativo]]),Tabela1[Fechamento])</f>
        <v>11.6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350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8.5</v>
      </c>
      <c r="I471" s="43">
        <f>IF(Tabela2[[#This Row],[Dividendo / Ação]]&gt;0,Tabela2[[#This Row],[Dividendo / Ação]]/Tabela2[[#This Row],[Cotação]],"")</f>
        <v>7.7647058823529416E-2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8.5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350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8.5</v>
      </c>
      <c r="I472" s="43">
        <f>IF(Tabela2[[#This Row],[Dividendo / Ação]]&gt;0,Tabela2[[#This Row],[Dividendo / Ação]]/Tabela2[[#This Row],[Cotação]],"")</f>
        <v>5.8823529411764705E-2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8.5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350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8.5</v>
      </c>
      <c r="I473" s="43">
        <f>IF(Tabela2[[#This Row],[Dividendo / Ação]]&gt;0,Tabela2[[#This Row],[Dividendo / Ação]]/Tabela2[[#This Row],[Cotação]],"")</f>
        <v>4.8235294117647057E-2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8.5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253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28.31</v>
      </c>
      <c r="I474" s="19">
        <f>IF(Tabela2[[#This Row],[Dividendo / Ação]]&gt;0,Tabela2[[#This Row],[Dividendo / Ação]]/Tabela2[[#This Row],[Cotação]],"")</f>
        <v>3.7089367714588491E-2</v>
      </c>
      <c r="J474" s="56">
        <f>SUMPRODUCT(N(Tabela1[Código]=Tabela2[[#This Row],[Ativo]]),Tabela1[Fechamento])</f>
        <v>28.31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253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28.31</v>
      </c>
      <c r="I475" s="19">
        <f>IF(Tabela2[[#This Row],[Dividendo / Ação]]&gt;0,Tabela2[[#This Row],[Dividendo / Ação]]/Tabela2[[#This Row],[Cotação]],"")</f>
        <v>2.9671494171670788E-2</v>
      </c>
      <c r="J475" s="56">
        <f>SUMPRODUCT(N(Tabela1[Código]=Tabela2[[#This Row],[Ativo]]),Tabela1[Fechamento])</f>
        <v>28.31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253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28.31</v>
      </c>
      <c r="I476" s="19">
        <f>IF(Tabela2[[#This Row],[Dividendo / Ação]]&gt;0,Tabela2[[#This Row],[Dividendo / Ação]]/Tabela2[[#This Row],[Cotação]],"")</f>
        <v>2.5432709290003533E-2</v>
      </c>
      <c r="J476" s="56">
        <f>SUMPRODUCT(N(Tabela1[Código]=Tabela2[[#This Row],[Ativo]]),Tabela1[Fechamento])</f>
        <v>28.31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253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28.31</v>
      </c>
      <c r="I477" s="19">
        <f>IF(Tabela2[[#This Row],[Dividendo / Ação]]&gt;0,Tabela2[[#This Row],[Dividendo / Ação]]/Tabela2[[#This Row],[Cotação]],"")</f>
        <v>1.4129282938890852E-2</v>
      </c>
      <c r="J477" s="56">
        <f>SUMPRODUCT(N(Tabela1[Código]=Tabela2[[#This Row],[Ativo]]),Tabela1[Fechamento])</f>
        <v>28.31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340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60</v>
      </c>
      <c r="I478" s="43">
        <f>IF(Tabela2[[#This Row],[Dividendo / Ação]]&gt;0,Tabela2[[#This Row],[Dividendo / Ação]]/Tabela2[[#This Row],[Cotação]],"")</f>
        <v>8.472982083333333E-2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60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340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60</v>
      </c>
      <c r="I479" s="43">
        <f>IF(Tabela2[[#This Row],[Dividendo / Ação]]&gt;0,Tabela2[[#This Row],[Dividendo / Ação]]/Tabela2[[#This Row],[Cotação]],"")</f>
        <v>3.9753333333333335E-2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60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340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60</v>
      </c>
      <c r="I480" s="43">
        <f>IF(Tabela2[[#This Row],[Dividendo / Ação]]&gt;0,Tabela2[[#This Row],[Dividendo / Ação]]/Tabela2[[#This Row],[Cotação]],"")</f>
        <v>2.1168333333333334E-2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60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340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60</v>
      </c>
      <c r="I481" s="43">
        <f>IF(Tabela2[[#This Row],[Dividendo / Ação]]&gt;0,Tabela2[[#This Row],[Dividendo / Ação]]/Tabela2[[#This Row],[Cotação]],"")</f>
        <v>1.3311666666666666E-2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60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265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9.1300000000000008</v>
      </c>
      <c r="I482" s="19">
        <f>IF(Tabela2[[#This Row],[Dividendo / Ação]]&gt;0,Tabela2[[#This Row],[Dividendo / Ação]]/Tabela2[[#This Row],[Cotação]],"")</f>
        <v>3.2858707557502736E-7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9.1300000000000008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265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9.1300000000000008</v>
      </c>
      <c r="I483" s="19">
        <f>IF(Tabela2[[#This Row],[Dividendo / Ação]]&gt;0,Tabela2[[#This Row],[Dividendo / Ação]]/Tabela2[[#This Row],[Cotação]],"")</f>
        <v>3.2858707557502736E-7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9.1300000000000008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265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9.1300000000000008</v>
      </c>
      <c r="I484" s="19">
        <f>IF(Tabela2[[#This Row],[Dividendo / Ação]]&gt;0,Tabela2[[#This Row],[Dividendo / Ação]]/Tabela2[[#This Row],[Cotação]],"")</f>
        <v>1.990536692223439E-2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9.1300000000000008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195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3.2</v>
      </c>
      <c r="I485" s="19">
        <f>IF(Tabela2[[#This Row],[Dividendo / Ação]]&gt;0,Tabela2[[#This Row],[Dividendo / Ação]]/Tabela2[[#This Row],[Cotação]],"")</f>
        <v>1.9343749999999996E-2</v>
      </c>
      <c r="J485" s="56">
        <f>SUMPRODUCT(N(Tabela1[Código]=Tabela2[[#This Row],[Ativo]]),Tabela1[Fechamento])</f>
        <v>3.2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195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3.2</v>
      </c>
      <c r="I486" s="18">
        <f>IF(Tabela2[[#This Row],[Dividendo / Ação]]&gt;0,Tabela2[[#This Row],[Dividendo / Ação]]/Tabela2[[#This Row],[Cotação]],"")</f>
        <v>1.8859374999999998E-2</v>
      </c>
      <c r="J486" s="55">
        <f>SUMPRODUCT(N(Tabela1[Código]=Tabela2[[#This Row],[Ativo]]),Tabela1[Fechamento])</f>
        <v>3.2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195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3.2</v>
      </c>
      <c r="I487" s="18">
        <f>IF(Tabela2[[#This Row],[Dividendo / Ação]]&gt;0,Tabela2[[#This Row],[Dividendo / Ação]]/Tabela2[[#This Row],[Cotação]],"")</f>
        <v>1.8696874999999998E-2</v>
      </c>
      <c r="J487" s="55">
        <f>SUMPRODUCT(N(Tabela1[Código]=Tabela2[[#This Row],[Ativo]]),Tabela1[Fechamento])</f>
        <v>3.2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196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3.45</v>
      </c>
      <c r="I488" s="19">
        <f>IF(Tabela2[[#This Row],[Dividendo / Ação]]&gt;0,Tabela2[[#This Row],[Dividendo / Ação]]/Tabela2[[#This Row],[Cotação]],"")</f>
        <v>1.7942028985507244E-2</v>
      </c>
      <c r="J488" s="56">
        <f>SUMPRODUCT(N(Tabela1[Código]=Tabela2[[#This Row],[Ativo]]),Tabela1[Fechamento])</f>
        <v>3.45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196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3.45</v>
      </c>
      <c r="I489" s="19">
        <f>IF(Tabela2[[#This Row],[Dividendo / Ação]]&gt;0,Tabela2[[#This Row],[Dividendo / Ação]]/Tabela2[[#This Row],[Cotação]],"")</f>
        <v>1.9240579710144926E-2</v>
      </c>
      <c r="J489" s="56">
        <f>SUMPRODUCT(N(Tabela1[Código]=Tabela2[[#This Row],[Ativo]]),Tabela1[Fechamento])</f>
        <v>3.45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196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3.45</v>
      </c>
      <c r="I490" s="19">
        <f>IF(Tabela2[[#This Row],[Dividendo / Ação]]&gt;0,Tabela2[[#This Row],[Dividendo / Ação]]/Tabela2[[#This Row],[Cotação]],"")</f>
        <v>1.9075362318840577E-2</v>
      </c>
      <c r="J490" s="56">
        <f>SUMPRODUCT(N(Tabela1[Código]=Tabela2[[#This Row],[Ativo]]),Tabela1[Fechamento])</f>
        <v>3.45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</v>
      </c>
      <c r="I491" s="18">
        <f>IF(Tabela2[[#This Row],[Dividendo / Ação]]&gt;0,Tabela2[[#This Row],[Dividendo / Ação]]/Tabela2[[#This Row],[Cotação]],"")</f>
        <v>4.3387053898305085E-2</v>
      </c>
      <c r="J491" s="55">
        <f>SUMPRODUCT(N(Tabela1[Código]=Tabela2[[#This Row],[Ativo]]),Tabela1[Fechamento])</f>
        <v>5.9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</v>
      </c>
      <c r="I492" s="18">
        <f>IF(Tabela2[[#This Row],[Dividendo / Ação]]&gt;0,Tabela2[[#This Row],[Dividendo / Ação]]/Tabela2[[#This Row],[Cotação]],"")</f>
        <v>6.1440989322033894E-2</v>
      </c>
      <c r="J492" s="55">
        <f>SUMPRODUCT(N(Tabela1[Código]=Tabela2[[#This Row],[Ativo]]),Tabela1[Fechamento])</f>
        <v>5.9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</v>
      </c>
      <c r="I493" s="18">
        <f>IF(Tabela2[[#This Row],[Dividendo / Ação]]&gt;0,Tabela2[[#This Row],[Dividendo / Ação]]/Tabela2[[#This Row],[Cotação]],"")</f>
        <v>7.1016949152542364E-2</v>
      </c>
      <c r="J493" s="55">
        <f>SUMPRODUCT(N(Tabela1[Código]=Tabela2[[#This Row],[Ativo]]),Tabela1[Fechamento])</f>
        <v>5.9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204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204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204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204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205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205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205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205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193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193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193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193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5.7</v>
      </c>
      <c r="I510" s="19">
        <f>IF(Tabela2[[#This Row],[Dividendo / Ação]]&gt;0,Tabela2[[#This Row],[Dividendo / Ação]]/Tabela2[[#This Row],[Cotação]],"")</f>
        <v>7.1912280701754386E-2</v>
      </c>
      <c r="J510" s="56">
        <f>SUMPRODUCT(N(Tabela1[Código]=Tabela2[[#This Row],[Ativo]]),Tabela1[Fechamento])</f>
        <v>5.7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5.7</v>
      </c>
      <c r="I511" s="19">
        <f>IF(Tabela2[[#This Row],[Dividendo / Ação]]&gt;0,Tabela2[[#This Row],[Dividendo / Ação]]/Tabela2[[#This Row],[Cotação]],"")</f>
        <v>5.3649122807017544E-2</v>
      </c>
      <c r="J511" s="56">
        <f>SUMPRODUCT(N(Tabela1[Código]=Tabela2[[#This Row],[Ativo]]),Tabela1[Fechamento])</f>
        <v>5.7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5.7</v>
      </c>
      <c r="I512" s="19">
        <f>IF(Tabela2[[#This Row],[Dividendo / Ação]]&gt;0,Tabela2[[#This Row],[Dividendo / Ação]]/Tabela2[[#This Row],[Cotação]],"")</f>
        <v>1.682456140350877E-2</v>
      </c>
      <c r="J512" s="56">
        <f>SUMPRODUCT(N(Tabela1[Código]=Tabela2[[#This Row],[Ativo]]),Tabela1[Fechamento])</f>
        <v>5.7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5.7</v>
      </c>
      <c r="I513" s="19">
        <f>IF(Tabela2[[#This Row],[Dividendo / Ação]]&gt;0,Tabela2[[#This Row],[Dividendo / Ação]]/Tabela2[[#This Row],[Cotação]],"")</f>
        <v>1.7649122807017543E-2</v>
      </c>
      <c r="J513" s="56">
        <f>SUMPRODUCT(N(Tabela1[Código]=Tabela2[[#This Row],[Ativo]]),Tabela1[Fechamento])</f>
        <v>5.7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22.7</v>
      </c>
      <c r="I514" s="19">
        <f>IF(Tabela2[[#This Row],[Dividendo / Ação]]&gt;0,Tabela2[[#This Row],[Dividendo / Ação]]/Tabela2[[#This Row],[Cotação]],"")</f>
        <v>0.10330396475770927</v>
      </c>
      <c r="J514" s="56">
        <f>SUMPRODUCT(N(Tabela1[Código]=Tabela2[[#This Row],[Ativo]]),Tabela1[Fechamento])</f>
        <v>22.7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22.7</v>
      </c>
      <c r="I515" s="19">
        <f>IF(Tabela2[[#This Row],[Dividendo / Ação]]&gt;0,Tabela2[[#This Row],[Dividendo / Ação]]/Tabela2[[#This Row],[Cotação]],"")</f>
        <v>0.11189427312775331</v>
      </c>
      <c r="J515" s="56">
        <f>SUMPRODUCT(N(Tabela1[Código]=Tabela2[[#This Row],[Ativo]]),Tabela1[Fechamento])</f>
        <v>22.7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22.7</v>
      </c>
      <c r="I516" s="19">
        <f>IF(Tabela2[[#This Row],[Dividendo / Ação]]&gt;0,Tabela2[[#This Row],[Dividendo / Ação]]/Tabela2[[#This Row],[Cotação]],"")</f>
        <v>8.8105726872246701E-2</v>
      </c>
      <c r="J516" s="56">
        <f>SUMPRODUCT(N(Tabela1[Código]=Tabela2[[#This Row],[Ativo]]),Tabela1[Fechamento])</f>
        <v>22.7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385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35.14</v>
      </c>
      <c r="I517" s="43">
        <f>IF(Tabela2[[#This Row],[Dividendo / Ação]]&gt;0,Tabela2[[#This Row],[Dividendo / Ação]]/Tabela2[[#This Row],[Cotação]],"")</f>
        <v>2.8796050853727946E-2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35.14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385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35.14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35.14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385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35.14</v>
      </c>
      <c r="I519" s="43">
        <f>IF(Tabela2[[#This Row],[Dividendo / Ação]]&gt;0,Tabela2[[#This Row],[Dividendo / Ação]]/Tabela2[[#This Row],[Cotação]],"")</f>
        <v>2.12820874786568E-2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35.14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3</v>
      </c>
      <c r="I520" s="19">
        <f>IF(Tabela2[[#This Row],[Dividendo / Ação]]&gt;0,Tabela2[[#This Row],[Dividendo / Ação]]/Tabela2[[#This Row],[Cotação]],"")</f>
        <v>0.19736357666666668</v>
      </c>
      <c r="J520" s="56">
        <f>SUMPRODUCT(N(Tabela1[Código]=Tabela2[[#This Row],[Ativo]]),Tabela1[Fechamento])</f>
        <v>3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3</v>
      </c>
      <c r="I521" s="19">
        <f>IF(Tabela2[[#This Row],[Dividendo / Ação]]&gt;0,Tabela2[[#This Row],[Dividendo / Ação]]/Tabela2[[#This Row],[Cotação]],"")</f>
        <v>9.4546169999999999E-2</v>
      </c>
      <c r="J521" s="56">
        <f>SUMPRODUCT(N(Tabela1[Código]=Tabela2[[#This Row],[Ativo]]),Tabela1[Fechamento])</f>
        <v>3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3</v>
      </c>
      <c r="I522" s="19">
        <f>IF(Tabela2[[#This Row],[Dividendo / Ação]]&gt;0,Tabela2[[#This Row],[Dividendo / Ação]]/Tabela2[[#This Row],[Cotação]],"")</f>
        <v>0.23129660666666665</v>
      </c>
      <c r="J522" s="56">
        <f>SUMPRODUCT(N(Tabela1[Código]=Tabela2[[#This Row],[Ativo]]),Tabela1[Fechamento])</f>
        <v>3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292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25.12</v>
      </c>
      <c r="I523" s="18">
        <f>IF(Tabela2[[#This Row],[Dividendo / Ação]]&gt;0,Tabela2[[#This Row],[Dividendo / Ação]]/Tabela2[[#This Row],[Cotação]],"")</f>
        <v>1.0641003184713374E-2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25.12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292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25.12</v>
      </c>
      <c r="I524" s="18">
        <f>IF(Tabela2[[#This Row],[Dividendo / Ação]]&gt;0,Tabela2[[#This Row],[Dividendo / Ação]]/Tabela2[[#This Row],[Cotação]],"")</f>
        <v>1.2792316878980891E-2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25.12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292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25.12</v>
      </c>
      <c r="I525" s="18">
        <f>IF(Tabela2[[#This Row],[Dividendo / Ação]]&gt;0,Tabela2[[#This Row],[Dividendo / Ação]]/Tabela2[[#This Row],[Cotação]],"")</f>
        <v>1.6590406050955412E-2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25.12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292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25.12</v>
      </c>
      <c r="I526" s="18">
        <f>IF(Tabela2[[#This Row],[Dividendo / Ação]]&gt;0,Tabela2[[#This Row],[Dividendo / Ação]]/Tabela2[[#This Row],[Cotação]],"")</f>
        <v>9.9352308917197447E-3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25.12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384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16.2</v>
      </c>
      <c r="I527" s="43">
        <f>IF(Tabela2[[#This Row],[Dividendo / Ação]]&gt;0,Tabela2[[#This Row],[Dividendo / Ação]]/Tabela2[[#This Row],[Cotação]],"")</f>
        <v>2.1604938271604937E-2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16.2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384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16.2</v>
      </c>
      <c r="I528" s="43">
        <f>IF(Tabela2[[#This Row],[Dividendo / Ação]]&gt;0,Tabela2[[#This Row],[Dividendo / Ação]]/Tabela2[[#This Row],[Cotação]],"")</f>
        <v>1.9753086419753086E-2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16.2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384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16.2</v>
      </c>
      <c r="I529" s="43">
        <f>IF(Tabela2[[#This Row],[Dividendo / Ação]]&gt;0,Tabela2[[#This Row],[Dividendo / Ação]]/Tabela2[[#This Row],[Cotação]],"")</f>
        <v>1.6049382716049384E-2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16.2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13.5</v>
      </c>
      <c r="I530" s="19">
        <f>IF(Tabela2[[#This Row],[Dividendo / Ação]]&gt;0,Tabela2[[#This Row],[Dividendo / Ação]]/Tabela2[[#This Row],[Cotação]],"")</f>
        <v>2.2268518518518517E-2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13.5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13.5</v>
      </c>
      <c r="I531" s="19">
        <f>IF(Tabela2[[#This Row],[Dividendo / Ação]]&gt;0,Tabela2[[#This Row],[Dividendo / Ação]]/Tabela2[[#This Row],[Cotação]],"")</f>
        <v>5.6665005333333338E-2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13.5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13.5</v>
      </c>
      <c r="I532" s="19">
        <f>IF(Tabela2[[#This Row],[Dividendo / Ação]]&gt;0,Tabela2[[#This Row],[Dividendo / Ação]]/Tabela2[[#This Row],[Cotação]],"")</f>
        <v>7.7910653333333343E-2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13.5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13.5</v>
      </c>
      <c r="I533" s="19">
        <f>IF(Tabela2[[#This Row],[Dividendo / Ação]]&gt;0,Tabela2[[#This Row],[Dividendo / Ação]]/Tabela2[[#This Row],[Cotação]],"")</f>
        <v>0.15866177555555558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13.5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1107738677</v>
      </c>
      <c r="E534" s="61">
        <f>(Tabela2[[#This Row],[Lucro Líquido]])/Tabela2[[#This Row],[Total Ações]]</f>
        <v>-0.16441214549196426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9.15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9.15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1107738677</v>
      </c>
      <c r="E535" s="61">
        <f>(Tabela2[[#This Row],[Lucro Líquido]])/Tabela2[[#This Row],[Total Ações]]</f>
        <v>7.0426098338714951E-2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3.5329232467677829</v>
      </c>
      <c r="H535" s="6">
        <f>MAX(Tabela2[[#This Row],[Cotação 1]],Tabela2[[#This Row],[Cotação 2]])</f>
        <v>9.15</v>
      </c>
      <c r="I535" s="19">
        <f>IF(Tabela2[[#This Row],[Dividendo / Ação]]&gt;0,Tabela2[[#This Row],[Dividendo / Ação]]/Tabela2[[#This Row],[Cotação]],"")</f>
        <v>2.7192349726775956E-2</v>
      </c>
      <c r="J535" s="56">
        <f>SUMPRODUCT(N(Tabela1[Código]=Tabela2[[#This Row],[Ativo]]),Tabela1[Fechamento])</f>
        <v>9.15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1107738677</v>
      </c>
      <c r="E536" s="61">
        <f>(Tabela2[[#This Row],[Lucro Líquido]])/Tabela2[[#This Row],[Total Ações]]</f>
        <v>1.9776604396742572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0.32482320377799984</v>
      </c>
      <c r="H536" s="5">
        <f>MAX(Tabela2[[#This Row],[Cotação 1]],Tabela2[[#This Row],[Cotação 2]])</f>
        <v>9.15</v>
      </c>
      <c r="I536" s="18">
        <f>IF(Tabela2[[#This Row],[Dividendo / Ação]]&gt;0,Tabela2[[#This Row],[Dividendo / Ação]]/Tabela2[[#This Row],[Cotação]],"")</f>
        <v>7.0206557377049186E-2</v>
      </c>
      <c r="J536" s="55">
        <f>SUMPRODUCT(N(Tabela1[Código]=Tabela2[[#This Row],[Ativo]]),Tabela1[Fechamento])</f>
        <v>9.15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1107738677</v>
      </c>
      <c r="E537" s="61">
        <f>(Tabela2[[#This Row],[Lucro Líquido]])/Tabela2[[#This Row],[Total Ações]]</f>
        <v>2.8950296189757396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0.26825286860960018</v>
      </c>
      <c r="H537" s="5">
        <f>MAX(Tabela2[[#This Row],[Cotação 1]],Tabela2[[#This Row],[Cotação 2]])</f>
        <v>9.15</v>
      </c>
      <c r="I537" s="18">
        <f>IF(Tabela2[[#This Row],[Dividendo / Ação]]&gt;0,Tabela2[[#This Row],[Dividendo / Ação]]/Tabela2[[#This Row],[Cotação]],"")</f>
        <v>8.4874316939890698E-2</v>
      </c>
      <c r="J537" s="55">
        <f>SUMPRODUCT(N(Tabela1[Código]=Tabela2[[#This Row],[Ativo]]),Tabela1[Fechamento])</f>
        <v>9.15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201</v>
      </c>
      <c r="B538" s="4">
        <v>2012</v>
      </c>
      <c r="C538" s="6">
        <v>-182125692.53</v>
      </c>
      <c r="D538" s="8">
        <f>SUMPRODUCT(N(Tabela3[PAPEL]=Tabela2[[#This Row],[Ativo]]),Tabela3[Total Ações])</f>
        <v>1107738677</v>
      </c>
      <c r="E538" s="61">
        <f>(Tabela2[[#This Row],[Lucro Líquido]])/Tabela2[[#This Row],[Total Ações]]</f>
        <v>-0.16441214549196426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8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8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201</v>
      </c>
      <c r="B539" s="3">
        <v>2011</v>
      </c>
      <c r="C539" s="6">
        <v>78013713</v>
      </c>
      <c r="D539" s="57">
        <f>SUMPRODUCT(N(Tabela3[PAPEL]=Tabela2[[#This Row],[Ativo]]),Tabela3[Total Ações])</f>
        <v>1107738677</v>
      </c>
      <c r="E539" s="61">
        <f>(Tabela2[[#This Row],[Lucro Líquido]])/Tabela2[[#This Row],[Total Ações]]</f>
        <v>7.0426098338714951E-2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3.5329232467677829</v>
      </c>
      <c r="H539" s="5">
        <f>MAX(Tabela2[[#This Row],[Cotação 1]],Tabela2[[#This Row],[Cotação 2]])</f>
        <v>8</v>
      </c>
      <c r="I539" s="18">
        <f>IF(Tabela2[[#This Row],[Dividendo / Ação]]&gt;0,Tabela2[[#This Row],[Dividendo / Ação]]/Tabela2[[#This Row],[Cotação]],"")</f>
        <v>3.110125E-2</v>
      </c>
      <c r="J539" s="55">
        <f>SUMPRODUCT(N(Tabela1[Código]=Tabela2[[#This Row],[Ativo]]),Tabela1[Fechamento])</f>
        <v>8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201</v>
      </c>
      <c r="B540" s="4">
        <v>2010</v>
      </c>
      <c r="C540" s="5">
        <v>2190730959</v>
      </c>
      <c r="D540" s="8">
        <f>SUMPRODUCT(N(Tabela3[PAPEL]=Tabela2[[#This Row],[Ativo]]),Tabela3[Total Ações])</f>
        <v>1107738677</v>
      </c>
      <c r="E540" s="61">
        <f>(Tabela2[[#This Row],[Lucro Líquido]])/Tabela2[[#This Row],[Total Ações]]</f>
        <v>1.9776604396742572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0.30015263899285594</v>
      </c>
      <c r="H540" s="6">
        <f>MAX(Tabela2[[#This Row],[Cotação 1]],Tabela2[[#This Row],[Cotação 2]])</f>
        <v>8</v>
      </c>
      <c r="I540" s="19">
        <f>IF(Tabela2[[#This Row],[Dividendo / Ação]]&gt;0,Tabela2[[#This Row],[Dividendo / Ação]]/Tabela2[[#This Row],[Cotação]],"")</f>
        <v>7.4200000000000002E-2</v>
      </c>
      <c r="J540" s="56">
        <f>SUMPRODUCT(N(Tabela1[Código]=Tabela2[[#This Row],[Ativo]]),Tabela1[Fechamento])</f>
        <v>8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201</v>
      </c>
      <c r="B541" s="4">
        <v>2009</v>
      </c>
      <c r="C541" s="5">
        <v>3206936280</v>
      </c>
      <c r="D541" s="8">
        <f>SUMPRODUCT(N(Tabela3[PAPEL]=Tabela2[[#This Row],[Ativo]]),Tabela3[Total Ações])</f>
        <v>1107738677</v>
      </c>
      <c r="E541" s="61">
        <f>(Tabela2[[#This Row],[Lucro Líquido]])/Tabela2[[#This Row],[Total Ações]]</f>
        <v>2.8950296189757396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0.26825286860960018</v>
      </c>
      <c r="H541" s="6">
        <f>MAX(Tabela2[[#This Row],[Cotação 1]],Tabela2[[#This Row],[Cotação 2]])</f>
        <v>8</v>
      </c>
      <c r="I541" s="19">
        <f>IF(Tabela2[[#This Row],[Dividendo / Ação]]&gt;0,Tabela2[[#This Row],[Dividendo / Ação]]/Tabela2[[#This Row],[Cotação]],"")</f>
        <v>9.7074999999999995E-2</v>
      </c>
      <c r="J541" s="56">
        <f>SUMPRODUCT(N(Tabela1[Código]=Tabela2[[#This Row],[Ativo]]),Tabela1[Fechamento])</f>
        <v>8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18.100000000000001</v>
      </c>
      <c r="I542" s="19">
        <f>IF(Tabela2[[#This Row],[Dividendo / Ação]]&gt;0,Tabela2[[#This Row],[Dividendo / Ação]]/Tabela2[[#This Row],[Cotação]],"")</f>
        <v>8.3425414364640876E-2</v>
      </c>
      <c r="J542" s="56">
        <f>SUMPRODUCT(N(Tabela1[Código]=Tabela2[[#This Row],[Ativo]]),Tabela1[Fechamento])</f>
        <v>18.100000000000001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18.100000000000001</v>
      </c>
      <c r="I543" s="19">
        <f>IF(Tabela2[[#This Row],[Dividendo / Ação]]&gt;0,Tabela2[[#This Row],[Dividendo / Ação]]/Tabela2[[#This Row],[Cotação]],"")</f>
        <v>0.10386740331491712</v>
      </c>
      <c r="J543" s="56">
        <f>SUMPRODUCT(N(Tabela1[Código]=Tabela2[[#This Row],[Ativo]]),Tabela1[Fechamento])</f>
        <v>18.100000000000001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18.100000000000001</v>
      </c>
      <c r="I544" s="19">
        <f>IF(Tabela2[[#This Row],[Dividendo / Ação]]&gt;0,Tabela2[[#This Row],[Dividendo / Ação]]/Tabela2[[#This Row],[Cotação]],"")</f>
        <v>9.0055248618784514E-2</v>
      </c>
      <c r="J544" s="56">
        <f>SUMPRODUCT(N(Tabela1[Código]=Tabela2[[#This Row],[Ativo]]),Tabela1[Fechamento])</f>
        <v>18.100000000000001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18.100000000000001</v>
      </c>
      <c r="I545" s="19">
        <f>IF(Tabela2[[#This Row],[Dividendo / Ação]]&gt;0,Tabela2[[#This Row],[Dividendo / Ação]]/Tabela2[[#This Row],[Cotação]],"")</f>
        <v>6.0220994475138123E-2</v>
      </c>
      <c r="J545" s="56">
        <f>SUMPRODUCT(N(Tabela1[Código]=Tabela2[[#This Row],[Ativo]]),Tabela1[Fechamento])</f>
        <v>18.100000000000001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187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33.799999999999997</v>
      </c>
      <c r="I546" s="19">
        <f>IF(Tabela2[[#This Row],[Dividendo / Ação]]&gt;0,Tabela2[[#This Row],[Dividendo / Ação]]/Tabela2[[#This Row],[Cotação]],"")</f>
        <v>7.0090712032544383E-2</v>
      </c>
      <c r="J546" s="56">
        <f>SUMPRODUCT(N(Tabela1[Código]=Tabela2[[#This Row],[Ativo]]),Tabela1[Fechamento])</f>
        <v>33.799999999999997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187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33.799999999999997</v>
      </c>
      <c r="I547" s="19">
        <f>IF(Tabela2[[#This Row],[Dividendo / Ação]]&gt;0,Tabela2[[#This Row],[Dividendo / Ação]]/Tabela2[[#This Row],[Cotação]],"")</f>
        <v>6.478566894082842E-2</v>
      </c>
      <c r="J547" s="56">
        <f>SUMPRODUCT(N(Tabela1[Código]=Tabela2[[#This Row],[Ativo]]),Tabela1[Fechamento])</f>
        <v>33.799999999999997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187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33.799999999999997</v>
      </c>
      <c r="I548" s="19">
        <f>IF(Tabela2[[#This Row],[Dividendo / Ação]]&gt;0,Tabela2[[#This Row],[Dividendo / Ação]]/Tabela2[[#This Row],[Cotação]],"")</f>
        <v>3.011282322189349E-2</v>
      </c>
      <c r="J548" s="56">
        <f>SUMPRODUCT(N(Tabela1[Código]=Tabela2[[#This Row],[Ativo]]),Tabela1[Fechamento])</f>
        <v>33.799999999999997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2.25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2.25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2.25</v>
      </c>
      <c r="I550" s="19">
        <f>IF(Tabela2[[#This Row],[Dividendo / Ação]]&gt;0,Tabela2[[#This Row],[Dividendo / Ação]]/Tabela2[[#This Row],[Cotação]],"")</f>
        <v>2.9333333333333336E-2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2.25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2.25</v>
      </c>
      <c r="I551" s="19">
        <f>IF(Tabela2[[#This Row],[Dividendo / Ação]]&gt;0,Tabela2[[#This Row],[Dividendo / Ação]]/Tabela2[[#This Row],[Cotação]],"")</f>
        <v>2.9511111111111113E-2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2.25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2.25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2.25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306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12.67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12.67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306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12.67</v>
      </c>
      <c r="I554" s="18">
        <f>IF(Tabela2[[#This Row],[Dividendo / Ação]]&gt;0,Tabela2[[#This Row],[Dividendo / Ação]]/Tabela2[[#This Row],[Cotação]],"")</f>
        <v>1.7363851617995266E-2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12.67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306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12.67</v>
      </c>
      <c r="I555" s="18">
        <f>IF(Tabela2[[#This Row],[Dividendo / Ação]]&gt;0,Tabela2[[#This Row],[Dividendo / Ação]]/Tabela2[[#This Row],[Cotação]],"")</f>
        <v>1.5785319652722968E-2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12.67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362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90</v>
      </c>
      <c r="I556" s="43">
        <f>IF(Tabela2[[#This Row],[Dividendo / Ação]]&gt;0,Tabela2[[#This Row],[Dividendo / Ação]]/Tabela2[[#This Row],[Cotação]],"")</f>
        <v>6.3766666666666666E-2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90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362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90</v>
      </c>
      <c r="I557" s="43">
        <f>IF(Tabela2[[#This Row],[Dividendo / Ação]]&gt;0,Tabela2[[#This Row],[Dividendo / Ação]]/Tabela2[[#This Row],[Cotação]],"")</f>
        <v>0.10533333333333333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90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362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90</v>
      </c>
      <c r="I558" s="43">
        <f>IF(Tabela2[[#This Row],[Dividendo / Ação]]&gt;0,Tabela2[[#This Row],[Dividendo / Ação]]/Tabela2[[#This Row],[Cotação]],"")</f>
        <v>6.9666666666666668E-2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90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362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90</v>
      </c>
      <c r="I559" s="43">
        <f>IF(Tabela2[[#This Row],[Dividendo / Ação]]&gt;0,Tabela2[[#This Row],[Dividendo / Ação]]/Tabela2[[#This Row],[Cotação]],"")</f>
        <v>4.0333333333333332E-2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90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165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45.8</v>
      </c>
      <c r="I560" s="19">
        <f>IF(Tabela2[[#This Row],[Dividendo / Ação]]&gt;0,Tabela2[[#This Row],[Dividendo / Ação]]/Tabela2[[#This Row],[Cotação]],"")</f>
        <v>3.9371528384279479E-2</v>
      </c>
      <c r="J560" s="56">
        <f>SUMPRODUCT(N(Tabela1[Código]=Tabela2[[#This Row],[Ativo]]),Tabela1[Fechamento])</f>
        <v>45.8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165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45.8</v>
      </c>
      <c r="I561" s="18">
        <f>IF(Tabela2[[#This Row],[Dividendo / Ação]]&gt;0,Tabela2[[#This Row],[Dividendo / Ação]]/Tabela2[[#This Row],[Cotação]],"")</f>
        <v>0.10877510917030569</v>
      </c>
      <c r="J561" s="55">
        <f>SUMPRODUCT(N(Tabela1[Código]=Tabela2[[#This Row],[Ativo]]),Tabela1[Fechamento])</f>
        <v>45.8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165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45.8</v>
      </c>
      <c r="I562" s="18">
        <f>IF(Tabela2[[#This Row],[Dividendo / Ação]]&gt;0,Tabela2[[#This Row],[Dividendo / Ação]]/Tabela2[[#This Row],[Cotação]],"")</f>
        <v>0.1110349344978166</v>
      </c>
      <c r="J562" s="55">
        <f>SUMPRODUCT(N(Tabela1[Código]=Tabela2[[#This Row],[Ativo]]),Tabela1[Fechamento])</f>
        <v>45.8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166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25.33</v>
      </c>
      <c r="I563" s="19">
        <f>IF(Tabela2[[#This Row],[Dividendo / Ação]]&gt;0,Tabela2[[#This Row],[Dividendo / Ação]]/Tabela2[[#This Row],[Cotação]],"")</f>
        <v>7.1188945913936041E-2</v>
      </c>
      <c r="J563" s="56">
        <f>SUMPRODUCT(N(Tabela1[Código]=Tabela2[[#This Row],[Ativo]]),Tabela1[Fechamento])</f>
        <v>25.33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166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25.33</v>
      </c>
      <c r="I564" s="19">
        <f>IF(Tabela2[[#This Row],[Dividendo / Ação]]&gt;0,Tabela2[[#This Row],[Dividendo / Ação]]/Tabela2[[#This Row],[Cotação]],"")</f>
        <v>0.19667982629293332</v>
      </c>
      <c r="J564" s="56">
        <f>SUMPRODUCT(N(Tabela1[Código]=Tabela2[[#This Row],[Ativo]]),Tabela1[Fechamento])</f>
        <v>25.33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166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25.33</v>
      </c>
      <c r="I565" s="19">
        <f>IF(Tabela2[[#This Row],[Dividendo / Ação]]&gt;0,Tabela2[[#This Row],[Dividendo / Ação]]/Tabela2[[#This Row],[Cotação]],"")</f>
        <v>0.20076589024871694</v>
      </c>
      <c r="J565" s="56">
        <f>SUMPRODUCT(N(Tabela1[Código]=Tabela2[[#This Row],[Ativo]]),Tabela1[Fechamento])</f>
        <v>25.33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400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14.7</v>
      </c>
      <c r="I566" s="43">
        <f>IF(Tabela2[[#This Row],[Dividendo / Ação]]&gt;0,Tabela2[[#This Row],[Dividendo / Ação]]/Tabela2[[#This Row],[Cotação]],"")</f>
        <v>4.3276122448979597E-2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14.7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400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14.7</v>
      </c>
      <c r="I567" s="43">
        <f>IF(Tabela2[[#This Row],[Dividendo / Ação]]&gt;0,Tabela2[[#This Row],[Dividendo / Ação]]/Tabela2[[#This Row],[Cotação]],"")</f>
        <v>0.14543129251700682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14.7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400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14.7</v>
      </c>
      <c r="I568" s="43">
        <f>IF(Tabela2[[#This Row],[Dividendo / Ação]]&gt;0,Tabela2[[#This Row],[Dividendo / Ação]]/Tabela2[[#This Row],[Cotação]],"")</f>
        <v>0.22358503401360547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14.7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328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51.85</v>
      </c>
      <c r="I569" s="18">
        <f>IF(Tabela2[[#This Row],[Dividendo / Ação]]&gt;0,Tabela2[[#This Row],[Dividendo / Ação]]/Tabela2[[#This Row],[Cotação]],"")</f>
        <v>2.2565091610414655E-2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51.85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328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51.85</v>
      </c>
      <c r="I570" s="18">
        <f>IF(Tabela2[[#This Row],[Dividendo / Ação]]&gt;0,Tabela2[[#This Row],[Dividendo / Ação]]/Tabela2[[#This Row],[Cotação]],"")</f>
        <v>1.8900675024108003E-2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51.85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328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51.85</v>
      </c>
      <c r="I571" s="18">
        <f>IF(Tabela2[[#This Row],[Dividendo / Ação]]&gt;0,Tabela2[[#This Row],[Dividendo / Ação]]/Tabela2[[#This Row],[Cotação]],"")</f>
        <v>1.5429122468659595E-2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51.85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473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</v>
      </c>
      <c r="I572" s="43">
        <f>IF(Tabela2[[#This Row],[Dividendo / Ação]]&gt;0,Tabela2[[#This Row],[Dividendo / Ação]]/Tabela2[[#This Row],[Cotação]],"")</f>
        <v>1.7600000000000001E-2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473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473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0.67</v>
      </c>
      <c r="I575" s="43">
        <f>IF(Tabela2[[#This Row],[Dividendo / Ação]]&gt;0,Tabela2[[#This Row],[Dividendo / Ação]]/Tabela2[[#This Row],[Cotação]],"")</f>
        <v>6.8656716417910442E-3</v>
      </c>
      <c r="J575" s="17">
        <f>SUMPRODUCT(N(Tabela1[Código]=Tabela2[[#This Row],[Ativo]]),Tabela1[Fechamento])</f>
        <v>0.67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0.67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0.67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0.67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0.67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0.49</v>
      </c>
      <c r="I578" s="18">
        <f>IF(Tabela2[[#This Row],[Dividendo / Ação]]&gt;0,Tabela2[[#This Row],[Dividendo / Ação]]/Tabela2[[#This Row],[Cotação]],"")</f>
        <v>1.9755102040816326E-2</v>
      </c>
      <c r="J578" s="55">
        <f>SUMPRODUCT(N(Tabela1[Código]=Tabela2[[#This Row],[Ativo]]),Tabela1[Fechamento])</f>
        <v>0.49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0.49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0.49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0.49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0.49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355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28.54</v>
      </c>
      <c r="I581" s="43">
        <f>IF(Tabela2[[#This Row],[Dividendo / Ação]]&gt;0,Tabela2[[#This Row],[Dividendo / Ação]]/Tabela2[[#This Row],[Cotação]],"")</f>
        <v>6.4081308107918719E-2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28.54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355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28.54</v>
      </c>
      <c r="I582" s="43">
        <f>IF(Tabela2[[#This Row],[Dividendo / Ação]]&gt;0,Tabela2[[#This Row],[Dividendo / Ação]]/Tabela2[[#This Row],[Cotação]],"")</f>
        <v>6.1518310546601257E-2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28.54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355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28.54</v>
      </c>
      <c r="I583" s="43">
        <f>IF(Tabela2[[#This Row],[Dividendo / Ação]]&gt;0,Tabela2[[#This Row],[Dividendo / Ação]]/Tabela2[[#This Row],[Cotação]],"")</f>
        <v>6.5659531429572537E-2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28.54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303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8.67</v>
      </c>
      <c r="I584" s="18">
        <f>IF(Tabela2[[#This Row],[Dividendo / Ação]]&gt;0,Tabela2[[#This Row],[Dividendo / Ação]]/Tabela2[[#This Row],[Cotação]],"")</f>
        <v>5.617070357554787E-3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8.67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303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8.67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8.67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303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8.67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8.67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314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39.65</v>
      </c>
      <c r="I587" s="18">
        <f>IF(Tabela2[[#This Row],[Dividendo / Ação]]&gt;0,Tabela2[[#This Row],[Dividendo / Ação]]/Tabela2[[#This Row],[Cotação]],"")</f>
        <v>8.9960924893593947E-2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39.65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314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39.65</v>
      </c>
      <c r="I588" s="18">
        <f>IF(Tabela2[[#This Row],[Dividendo / Ação]]&gt;0,Tabela2[[#This Row],[Dividendo / Ação]]/Tabela2[[#This Row],[Cotação]],"")</f>
        <v>8.844892812105927E-2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39.65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314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39.65</v>
      </c>
      <c r="I589" s="18">
        <f>IF(Tabela2[[#This Row],[Dividendo / Ação]]&gt;0,Tabela2[[#This Row],[Dividendo / Ação]]/Tabela2[[#This Row],[Cotação]],"")</f>
        <v>0.1160327868852459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39.65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315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45.9</v>
      </c>
      <c r="I590" s="18">
        <f>IF(Tabela2[[#This Row],[Dividendo / Ação]]&gt;0,Tabela2[[#This Row],[Dividendo / Ação]]/Tabela2[[#This Row],[Cotação]],"")</f>
        <v>8.5482477978954252E-2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45.9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315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45.9</v>
      </c>
      <c r="I591" s="18">
        <f>IF(Tabela2[[#This Row],[Dividendo / Ação]]&gt;0,Tabela2[[#This Row],[Dividendo / Ação]]/Tabela2[[#This Row],[Cotação]],"")</f>
        <v>8.4045751633986934E-2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45.9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315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45.9</v>
      </c>
      <c r="I592" s="18">
        <f>IF(Tabela2[[#This Row],[Dividendo / Ação]]&gt;0,Tabela2[[#This Row],[Dividendo / Ação]]/Tabela2[[#This Row],[Cotação]],"")</f>
        <v>0.1102570806100218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45.9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481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342</v>
      </c>
      <c r="B4" t="s">
        <v>411</v>
      </c>
      <c r="C4" t="s">
        <v>324</v>
      </c>
      <c r="D4" t="s">
        <v>322</v>
      </c>
      <c r="E4" t="s">
        <v>321</v>
      </c>
      <c r="F4" t="s">
        <v>323</v>
      </c>
      <c r="G4" t="s">
        <v>454</v>
      </c>
      <c r="H4" t="s">
        <v>457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372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330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211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212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216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217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223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227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229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230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316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317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298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242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243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238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239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240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241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397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209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210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283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284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285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374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376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218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219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233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234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403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189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378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407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294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295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394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395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268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269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290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191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406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344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412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280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281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177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179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181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364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347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256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172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183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184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325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380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251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249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301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199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338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174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352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388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389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327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382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309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310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464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359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481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350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253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340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265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195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196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204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205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193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385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292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384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201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187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306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362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165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166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400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328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473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355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303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314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315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343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332</v>
      </c>
      <c r="B1" s="85" t="s">
        <v>422</v>
      </c>
      <c r="C1" s="85" t="s">
        <v>423</v>
      </c>
      <c r="D1" s="85" t="s">
        <v>424</v>
      </c>
      <c r="E1" s="32" t="s">
        <v>414</v>
      </c>
      <c r="F1" s="86" t="s">
        <v>335</v>
      </c>
      <c r="G1" s="86" t="s">
        <v>333</v>
      </c>
      <c r="H1" s="86" t="s">
        <v>334</v>
      </c>
      <c r="I1" s="86" t="s">
        <v>425</v>
      </c>
      <c r="J1" s="12" t="s">
        <v>426</v>
      </c>
      <c r="K1" s="80" t="s">
        <v>415</v>
      </c>
      <c r="L1" s="81" t="s">
        <v>416</v>
      </c>
      <c r="M1" s="81" t="s">
        <v>417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336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342</v>
      </c>
      <c r="B4" t="s">
        <v>418</v>
      </c>
      <c r="C4" t="s">
        <v>419</v>
      </c>
      <c r="D4" t="s">
        <v>427</v>
      </c>
      <c r="E4" t="s">
        <v>428</v>
      </c>
      <c r="F4" t="s">
        <v>420</v>
      </c>
      <c r="G4" t="s">
        <v>421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343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971</vt:i4>
      </vt:variant>
    </vt:vector>
  </HeadingPairs>
  <TitlesOfParts>
    <vt:vector size="979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Cotacao!DadosExternos_249</vt:lpstr>
      <vt:lpstr>'Cotacao 2'!DadosExternos_249</vt:lpstr>
      <vt:lpstr>'Cotacao 3'!DadosExternos_249</vt:lpstr>
      <vt:lpstr>Cotacao!DadosExternos_250</vt:lpstr>
      <vt:lpstr>'Cotacao 2'!DadosExternos_250</vt:lpstr>
      <vt:lpstr>'Cotacao 3'!DadosExternos_250</vt:lpstr>
      <vt:lpstr>Cotacao!DadosExternos_251</vt:lpstr>
      <vt:lpstr>'Cotacao 2'!DadosExternos_251</vt:lpstr>
      <vt:lpstr>'Cotacao 3'!DadosExternos_251</vt:lpstr>
      <vt:lpstr>Cotacao!DadosExternos_252</vt:lpstr>
      <vt:lpstr>Cotacao!DadosExternos_253</vt:lpstr>
      <vt:lpstr>'Cotacao 2'!DadosExternos_253</vt:lpstr>
      <vt:lpstr>'Cotacao 3'!DadosExternos_253</vt:lpstr>
      <vt:lpstr>Cotacao!DadosExternos_254</vt:lpstr>
      <vt:lpstr>Cotacao!DadosExternos_255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2'!DadosExternos_370</vt:lpstr>
      <vt:lpstr>'Cotacao 3'!DadosExternos_370</vt:lpstr>
      <vt:lpstr>'Cotacao 2'!DadosExternos_371</vt:lpstr>
      <vt:lpstr>'Cotacao 3'!DadosExternos_371</vt:lpstr>
      <vt:lpstr>'Cotacao 3'!DadosExternos_372</vt:lpstr>
      <vt:lpstr>'Cotacao 3'!DadosExternos_373</vt:lpstr>
      <vt:lpstr>'Cotacao 3'!DadosExternos_374</vt:lpstr>
      <vt:lpstr>'Cotacao 2'!DadosExternos_375</vt:lpstr>
      <vt:lpstr>'Cotacao 2'!DadosExternos_376</vt:lpstr>
      <vt:lpstr>'Cotacao 3'!DadosExternos_376</vt:lpstr>
      <vt:lpstr>'Cotacao 2'!DadosExternos_377</vt:lpstr>
      <vt:lpstr>'Cotacao 3'!DadosExternos_377</vt:lpstr>
      <vt:lpstr>'Cotacao 2'!DadosExternos_378</vt:lpstr>
      <vt:lpstr>'Cotacao 3'!DadosExternos_378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'Cotacao 3'!DadosExternos_400</vt:lpstr>
      <vt:lpstr>'Cotacao 3'!DadosExternos_401</vt:lpstr>
      <vt:lpstr>'Cotacao 3'!DadosExternos_402</vt:lpstr>
      <vt:lpstr>'Cotacao 3'!DadosExternos_403</vt:lpstr>
      <vt:lpstr>'Cotacao 3'!DadosExternos_404</vt:lpstr>
      <vt:lpstr>'Cotacao 3'!DadosExternos_408</vt:lpstr>
      <vt:lpstr>'Cotacao 3'!DadosExternos_409</vt:lpstr>
      <vt:lpstr>Cotacao!DadosExternos_41</vt:lpstr>
      <vt:lpstr>'Cotacao 2'!DadosExternos_41</vt:lpstr>
      <vt:lpstr>'Cotacao 3'!DadosExternos_41</vt:lpstr>
      <vt:lpstr>'Cotacao 3'!DadosExternos_410</vt:lpstr>
      <vt:lpstr>'Cotacao 3'!DadosExternos_411</vt:lpstr>
      <vt:lpstr>'Cotacao 3'!DadosExternos_414</vt:lpstr>
      <vt:lpstr>'Cotacao 3'!DadosExternos_415</vt:lpstr>
      <vt:lpstr>'Cotacao 3'!DadosExternos_416</vt:lpstr>
      <vt:lpstr>'Cotacao 3'!DadosExternos_418</vt:lpstr>
      <vt:lpstr>Cotacao!DadosExternos_42</vt:lpstr>
      <vt:lpstr>'Cotacao 2'!DadosExternos_42</vt:lpstr>
      <vt:lpstr>'Cotacao 3'!DadosExternos_42</vt:lpstr>
      <vt:lpstr>'Cotacao 3'!DadosExternos_421</vt:lpstr>
      <vt:lpstr>'Cotacao 3'!DadosExternos_423</vt:lpstr>
      <vt:lpstr>'Cotacao 3'!DadosExternos_424</vt:lpstr>
      <vt:lpstr>'Cotacao 3'!DadosExternos_425</vt:lpstr>
      <vt:lpstr>'Cotacao 3'!DadosExternos_426</vt:lpstr>
      <vt:lpstr>'Cotacao 3'!DadosExternos_428</vt:lpstr>
      <vt:lpstr>Cotacao!DadosExternos_43</vt:lpstr>
      <vt:lpstr>'Cotacao 2'!DadosExternos_43</vt:lpstr>
      <vt:lpstr>'Cotacao 3'!DadosExternos_43</vt:lpstr>
      <vt:lpstr>'Cotacao 3'!DadosExternos_431</vt:lpstr>
      <vt:lpstr>'Cotacao 3'!DadosExternos_432</vt:lpstr>
      <vt:lpstr>'Cotacao 3'!DadosExternos_433</vt:lpstr>
      <vt:lpstr>'Cotacao 3'!DadosExternos_434</vt:lpstr>
      <vt:lpstr>'Cotacao 3'!DadosExternos_435</vt:lpstr>
      <vt:lpstr>'Cotacao 3'!DadosExternos_437</vt:lpstr>
      <vt:lpstr>'Cotacao 3'!DadosExternos_438</vt:lpstr>
      <vt:lpstr>'Cotacao 3'!DadosExternos_439</vt:lpstr>
      <vt:lpstr>Cotacao!DadosExternos_44</vt:lpstr>
      <vt:lpstr>'Cotacao 2'!DadosExternos_44</vt:lpstr>
      <vt:lpstr>'Cotacao 3'!DadosExternos_44</vt:lpstr>
      <vt:lpstr>'Cotacao 3'!DadosExternos_440</vt:lpstr>
      <vt:lpstr>'Cotacao 3'!DadosExternos_441</vt:lpstr>
      <vt:lpstr>'Cotacao 3'!DadosExternos_442</vt:lpstr>
      <vt:lpstr>'Cotacao 3'!DadosExternos_444</vt:lpstr>
      <vt:lpstr>'Cotacao 3'!DadosExternos_445</vt:lpstr>
      <vt:lpstr>'Cotacao 3'!DadosExternos_446</vt:lpstr>
      <vt:lpstr>'Cotacao 3'!DadosExternos_447</vt:lpstr>
      <vt:lpstr>Cotacao!DadosExternos_45</vt:lpstr>
      <vt:lpstr>'Cotacao 2'!DadosExternos_45</vt:lpstr>
      <vt:lpstr>'Cotacao 3'!DadosExternos_45</vt:lpstr>
      <vt:lpstr>'Cotacao 3'!DadosExternos_450</vt:lpstr>
      <vt:lpstr>'Cotacao 3'!DadosExternos_451</vt:lpstr>
      <vt:lpstr>'Cotacao 3'!DadosExternos_452</vt:lpstr>
      <vt:lpstr>'Cotacao 3'!DadosExternos_453</vt:lpstr>
      <vt:lpstr>'Cotacao 3'!DadosExternos_454</vt:lpstr>
      <vt:lpstr>'Cotacao 3'!DadosExternos_455</vt:lpstr>
      <vt:lpstr>'Cotacao 3'!DadosExternos_456</vt:lpstr>
      <vt:lpstr>'Cotacao 3'!DadosExternos_457</vt:lpstr>
      <vt:lpstr>'Cotacao 3'!DadosExternos_458</vt:lpstr>
      <vt:lpstr>'Cotacao 3'!DadosExternos_459</vt:lpstr>
      <vt:lpstr>Cotacao!DadosExternos_46</vt:lpstr>
      <vt:lpstr>'Cotacao 2'!DadosExternos_46</vt:lpstr>
      <vt:lpstr>'Cotacao 3'!DadosExternos_46</vt:lpstr>
      <vt:lpstr>'Cotacao 3'!DadosExternos_460</vt:lpstr>
      <vt:lpstr>'Cotacao 3'!DadosExternos_461</vt:lpstr>
      <vt:lpstr>'Cotacao 3'!DadosExternos_462</vt:lpstr>
      <vt:lpstr>'Cotacao 3'!DadosExternos_463</vt:lpstr>
      <vt:lpstr>'Cotacao 3'!DadosExternos_464</vt:lpstr>
      <vt:lpstr>'Cotacao 3'!DadosExternos_465</vt:lpstr>
      <vt:lpstr>'Cotacao 3'!DadosExternos_466</vt:lpstr>
      <vt:lpstr>'Cotacao 3'!DadosExternos_467</vt:lpstr>
      <vt:lpstr>'Cotacao 3'!DadosExternos_468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Alan</cp:lastModifiedBy>
  <dcterms:created xsi:type="dcterms:W3CDTF">2013-12-06T00:58:41Z</dcterms:created>
  <dcterms:modified xsi:type="dcterms:W3CDTF">2014-01-27T21:18:51Z</dcterms:modified>
</cp:coreProperties>
</file>