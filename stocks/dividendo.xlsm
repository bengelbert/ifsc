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pivotTables/pivotTable2.xml" ContentType="application/vnd.openxmlformats-officedocument.spreadsheetml.pivot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 defaultThemeVersion="124226"/>
  <bookViews>
    <workbookView xWindow="240" yWindow="75" windowWidth="14190" windowHeight="7185" activeTab="5"/>
  </bookViews>
  <sheets>
    <sheet name="Patrimonio" sheetId="1" r:id="rId1"/>
    <sheet name="Proventos" sheetId="6" r:id="rId2"/>
    <sheet name="Tabela Proventos" sheetId="8" r:id="rId3"/>
    <sheet name="Cotacao" sheetId="9" r:id="rId4"/>
    <sheet name="Tabela LL" sheetId="13" r:id="rId5"/>
    <sheet name="Lucro Líquido" sheetId="12" r:id="rId6"/>
  </sheets>
  <externalReferences>
    <externalReference r:id="rId7"/>
  </externalReferences>
  <definedNames>
    <definedName name="DadosExternos_1" localSheetId="3">Cotacao!$C$7:$C$63</definedName>
    <definedName name="DadosExternos_10" localSheetId="3">Cotacao!$C$7:$C$63</definedName>
    <definedName name="DadosExternos_11" localSheetId="3">Cotacao!$C$7:$C$63</definedName>
    <definedName name="DadosExternos_12" localSheetId="3">Cotacao!$C$7:$C$63</definedName>
    <definedName name="DadosExternos_14" localSheetId="3">Cotacao!$C$7:$C$63</definedName>
    <definedName name="DadosExternos_15" localSheetId="3">Cotacao!$C$7:$C$63</definedName>
    <definedName name="DadosExternos_16" localSheetId="3">Cotacao!$C$7:$C$63</definedName>
    <definedName name="DadosExternos_17" localSheetId="3">Cotacao!$C$7:$C$63</definedName>
    <definedName name="DadosExternos_18" localSheetId="3">Cotacao!$C$7:$C$64</definedName>
    <definedName name="DadosExternos_2" localSheetId="3">Cotacao!$C$7:$C$63</definedName>
    <definedName name="DadosExternos_20" localSheetId="3">Cotacao!$C$7:$C$64</definedName>
    <definedName name="DadosExternos_21" localSheetId="3">Cotacao!$C$7:$C$63</definedName>
    <definedName name="DadosExternos_24" localSheetId="3">Cotacao!$C$7:$C$63</definedName>
    <definedName name="DadosExternos_26" localSheetId="3">Cotacao!$C$7:$C$64</definedName>
    <definedName name="DadosExternos_27" localSheetId="3">Cotacao!$C$7:$C$65</definedName>
    <definedName name="DadosExternos_28" localSheetId="3">Cotacao!$C$7:$C$65</definedName>
    <definedName name="DadosExternos_29" localSheetId="3">Cotacao!$C$7:$C$65</definedName>
    <definedName name="DadosExternos_3" localSheetId="3">Cotacao!$C$7:$C$63</definedName>
    <definedName name="DadosExternos_30" localSheetId="3">Cotacao!$C$7:$C$65</definedName>
    <definedName name="DadosExternos_31" localSheetId="3">Cotacao!$C$7:$C$65</definedName>
    <definedName name="DadosExternos_32" localSheetId="3">Cotacao!$C$7:$C$65</definedName>
    <definedName name="DadosExternos_33" localSheetId="3">Cotacao!$C$7:$C$65</definedName>
    <definedName name="DadosExternos_34" localSheetId="3">Cotacao!$C$7:$C$65</definedName>
    <definedName name="DadosExternos_35" localSheetId="3">Cotacao!$C$7:$C$66</definedName>
    <definedName name="DadosExternos_36" localSheetId="3">Cotacao!$C$7:$C$67</definedName>
    <definedName name="DadosExternos_37" localSheetId="3">Cotacao!$C$7:$C$68</definedName>
    <definedName name="DadosExternos_38" localSheetId="3">Cotacao!$C$7:$C$69</definedName>
    <definedName name="DadosExternos_39" localSheetId="3">Cotacao!$C$7:$C$70</definedName>
    <definedName name="DadosExternos_4" localSheetId="3">Cotacao!$C$7:$C$63</definedName>
    <definedName name="DadosExternos_40" localSheetId="3">Cotacao!$C$7:$C$71</definedName>
    <definedName name="DadosExternos_41" localSheetId="3">Cotacao!$C$7:$C$72</definedName>
    <definedName name="DadosExternos_42" localSheetId="3">Cotacao!$C$7:$C$73</definedName>
    <definedName name="DadosExternos_43" localSheetId="3">Cotacao!$C$7:$C$74</definedName>
    <definedName name="DadosExternos_44" localSheetId="3">Cotacao!$C$7:$C$75</definedName>
    <definedName name="DadosExternos_45" localSheetId="3">Cotacao!$C$7:$C$76</definedName>
    <definedName name="DadosExternos_46" localSheetId="3">Cotacao!$C$7:$C$77</definedName>
    <definedName name="DadosExternos_47" localSheetId="3">Cotacao!$C$7:$C$78</definedName>
    <definedName name="DadosExternos_48" localSheetId="3">Cotacao!$C$7:$C$79</definedName>
    <definedName name="DadosExternos_49" localSheetId="3">Cotacao!$C$7:$C$80</definedName>
    <definedName name="DadosExternos_50" localSheetId="3">Cotacao!$C$7:$C$81</definedName>
    <definedName name="DadosExternos_51" localSheetId="3">Cotacao!$C$7:$C$82</definedName>
    <definedName name="DadosExternos_52" localSheetId="3">Cotacao!$C$7:$C$83</definedName>
    <definedName name="DadosExternos_53" localSheetId="3">Cotacao!$C$7:$C$84</definedName>
    <definedName name="DadosExternos_54" localSheetId="3">Cotacao!$C$7:$C$96</definedName>
    <definedName name="DadosExternos_55" localSheetId="3">Cotacao!$C$7:$C$96</definedName>
    <definedName name="DadosExternos_56" localSheetId="3">Cotacao!$C$7:$C$96</definedName>
    <definedName name="DadosExternos_57" localSheetId="3">Cotacao!$C$7:$C$96</definedName>
    <definedName name="DadosExternos_58" localSheetId="3">Cotacao!$C$7:$C$96</definedName>
    <definedName name="DadosExternos_59" localSheetId="3">Cotacao!$C$7:$C$96</definedName>
    <definedName name="DadosExternos_6" localSheetId="3">Cotacao!$C$7:$C$63</definedName>
    <definedName name="DadosExternos_60" localSheetId="3">Cotacao!$C$7:$C$97</definedName>
    <definedName name="DadosExternos_61" localSheetId="3">Cotacao!$C$7:$C$97</definedName>
    <definedName name="DadosExternos_7" localSheetId="3">Cotacao!$C$7:$C$63</definedName>
    <definedName name="DadosExternos_8" localSheetId="3">Cotacao!$C$7:$C$63</definedName>
    <definedName name="DadosExternos_9" localSheetId="3">Cotacao!$C$7:$C$63</definedName>
    <definedName name="ExternalData_1" localSheetId="3">Cotacao!$C$7:$C$64</definedName>
    <definedName name="ExternalData_10" localSheetId="3">Cotacao!$C$7:$C$93</definedName>
    <definedName name="ExternalData_11" localSheetId="3">Cotacao!$C$7:$C$94</definedName>
    <definedName name="ExternalData_12" localSheetId="3">Cotacao!$C$7:$C$95</definedName>
    <definedName name="ExternalData_13" localSheetId="3">Cotacao!$C$7:$C$96</definedName>
    <definedName name="ExternalData_14" localSheetId="3">Cotacao!$C$7:$C$98</definedName>
    <definedName name="ExternalData_15" localSheetId="3">Cotacao!$C$7:$C$100</definedName>
    <definedName name="ExternalData_16" localSheetId="3">Cotacao!$C$7:$C$101</definedName>
    <definedName name="ExternalData_2" localSheetId="3">Cotacao!$C$7:$C$85</definedName>
    <definedName name="ExternalData_3" localSheetId="3">Cotacao!$C$7:$C$86</definedName>
    <definedName name="ExternalData_4" localSheetId="3">Cotacao!$C$7:$C$87</definedName>
    <definedName name="ExternalData_5" localSheetId="3">Cotacao!$C$7:$C$88</definedName>
    <definedName name="ExternalData_6" localSheetId="3">Cotacao!$C$7:$C$89</definedName>
    <definedName name="ExternalData_7" localSheetId="3">Cotacao!$C$7:$C$90</definedName>
    <definedName name="ExternalData_8" localSheetId="3">Cotacao!$C$7:$C$91</definedName>
    <definedName name="ExternalData_9" localSheetId="3">Cotacao!$C$7:$C$92</definedName>
  </definedNames>
  <calcPr calcId="144525"/>
  <pivotCaches>
    <pivotCache cacheId="5" r:id="rId8"/>
    <pivotCache cacheId="34" r:id="rId9"/>
  </pivotCaches>
</workbook>
</file>

<file path=xl/calcChain.xml><?xml version="1.0" encoding="utf-8"?>
<calcChain xmlns="http://schemas.openxmlformats.org/spreadsheetml/2006/main">
  <c r="J2" i="12" l="1"/>
  <c r="J3" i="12"/>
  <c r="J4" i="12"/>
  <c r="J5" i="12"/>
  <c r="J6" i="12"/>
  <c r="J7" i="12"/>
  <c r="J8" i="12"/>
  <c r="J9" i="12"/>
  <c r="J10" i="12"/>
  <c r="J11" i="12"/>
  <c r="J12" i="12"/>
  <c r="J13" i="12"/>
  <c r="J14" i="12"/>
  <c r="J15" i="12"/>
  <c r="J16" i="12"/>
  <c r="J17" i="12"/>
  <c r="J18" i="12"/>
  <c r="J19" i="12"/>
  <c r="J20" i="12"/>
  <c r="J21" i="12"/>
  <c r="J22" i="12"/>
  <c r="J23" i="12"/>
  <c r="J24" i="12"/>
  <c r="J25" i="12"/>
  <c r="J26" i="12"/>
  <c r="J27" i="12"/>
  <c r="J28" i="12"/>
  <c r="J29" i="12"/>
  <c r="J30" i="12"/>
  <c r="J31" i="12"/>
  <c r="J32" i="12"/>
  <c r="J33" i="12"/>
  <c r="J34" i="12"/>
  <c r="J35" i="12"/>
  <c r="J36" i="12"/>
  <c r="J37" i="12"/>
  <c r="J38" i="12"/>
  <c r="J39" i="12"/>
  <c r="J40" i="12"/>
  <c r="J41" i="12"/>
  <c r="J42" i="12"/>
  <c r="J43" i="12"/>
  <c r="J44" i="12"/>
  <c r="J45" i="12"/>
  <c r="J46" i="12"/>
  <c r="J47" i="12"/>
  <c r="J48" i="12"/>
  <c r="J49" i="12"/>
  <c r="J50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G93" i="1"/>
  <c r="H93" i="1" s="1"/>
  <c r="J93" i="1"/>
  <c r="G85" i="1"/>
  <c r="G86" i="1"/>
  <c r="H85" i="1"/>
  <c r="M85" i="1" s="1"/>
  <c r="H86" i="1"/>
  <c r="M86" i="1" s="1"/>
  <c r="J85" i="1"/>
  <c r="J86" i="1"/>
  <c r="D50" i="12"/>
  <c r="E50" i="12"/>
  <c r="D49" i="12"/>
  <c r="E49" i="12"/>
  <c r="I93" i="1"/>
  <c r="I85" i="1"/>
  <c r="I86" i="1"/>
  <c r="I78" i="1"/>
  <c r="I2" i="1"/>
  <c r="I3" i="1"/>
  <c r="I7" i="1"/>
  <c r="I5" i="1"/>
  <c r="I6" i="1"/>
  <c r="I8" i="1"/>
  <c r="I9" i="1"/>
  <c r="I10" i="1"/>
  <c r="I12" i="1"/>
  <c r="I11" i="1"/>
  <c r="I4" i="1"/>
  <c r="I13" i="1"/>
  <c r="I72" i="1"/>
  <c r="I15" i="1"/>
  <c r="I16" i="1"/>
  <c r="I17" i="1"/>
  <c r="I14" i="1"/>
  <c r="I18" i="1"/>
  <c r="I19" i="1"/>
  <c r="I20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6" i="1"/>
  <c r="I47" i="1"/>
  <c r="I48" i="1"/>
  <c r="I49" i="1"/>
  <c r="I50" i="1"/>
  <c r="I51" i="1"/>
  <c r="I55" i="1"/>
  <c r="I57" i="1"/>
  <c r="I54" i="1"/>
  <c r="I58" i="1"/>
  <c r="I56" i="1"/>
  <c r="I61" i="1"/>
  <c r="I66" i="1"/>
  <c r="I59" i="1"/>
  <c r="I60" i="1"/>
  <c r="I52" i="1"/>
  <c r="I62" i="1"/>
  <c r="I63" i="1"/>
  <c r="I65" i="1"/>
  <c r="I67" i="1"/>
  <c r="I68" i="1"/>
  <c r="I21" i="1"/>
  <c r="I69" i="1"/>
  <c r="I70" i="1"/>
  <c r="I71" i="1"/>
  <c r="I73" i="1"/>
  <c r="I74" i="1"/>
  <c r="I53" i="1"/>
  <c r="I75" i="1"/>
  <c r="I76" i="1"/>
  <c r="I77" i="1"/>
  <c r="I79" i="1"/>
  <c r="I80" i="1"/>
  <c r="I81" i="1"/>
  <c r="I82" i="1"/>
  <c r="I83" i="1"/>
  <c r="I84" i="1"/>
  <c r="I87" i="1"/>
  <c r="I88" i="1"/>
  <c r="I89" i="1"/>
  <c r="I90" i="1"/>
  <c r="I91" i="1"/>
  <c r="I92" i="1"/>
  <c r="I45" i="1"/>
  <c r="I64" i="1"/>
  <c r="Q93" i="1" l="1"/>
  <c r="Q86" i="1"/>
  <c r="F50" i="12"/>
  <c r="H50" i="12" s="1"/>
  <c r="Q85" i="1"/>
  <c r="F49" i="12"/>
  <c r="H49" i="12" s="1"/>
  <c r="D48" i="12"/>
  <c r="E48" i="12"/>
  <c r="D46" i="12"/>
  <c r="D47" i="12"/>
  <c r="E47" i="12"/>
  <c r="G64" i="1"/>
  <c r="H64" i="1" s="1"/>
  <c r="J64" i="1"/>
  <c r="E46" i="12"/>
  <c r="D45" i="12"/>
  <c r="E45" i="12"/>
  <c r="F45" i="12" s="1"/>
  <c r="H45" i="12" s="1"/>
  <c r="D44" i="12"/>
  <c r="E44" i="12"/>
  <c r="D43" i="12"/>
  <c r="E43" i="12"/>
  <c r="F43" i="12" s="1"/>
  <c r="H43" i="12" s="1"/>
  <c r="D42" i="12"/>
  <c r="E42" i="12"/>
  <c r="D2" i="12"/>
  <c r="D3" i="12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E41" i="12"/>
  <c r="E39" i="12"/>
  <c r="E40" i="12"/>
  <c r="E38" i="12"/>
  <c r="E37" i="12"/>
  <c r="E36" i="12"/>
  <c r="E35" i="12"/>
  <c r="E33" i="12"/>
  <c r="E34" i="12"/>
  <c r="G45" i="1"/>
  <c r="H45" i="1" s="1"/>
  <c r="J45" i="1"/>
  <c r="E32" i="12"/>
  <c r="E31" i="12"/>
  <c r="E30" i="12"/>
  <c r="E29" i="12"/>
  <c r="E28" i="12"/>
  <c r="E27" i="12"/>
  <c r="E26" i="12"/>
  <c r="E25" i="12"/>
  <c r="E19" i="12"/>
  <c r="E24" i="12"/>
  <c r="E18" i="12"/>
  <c r="E23" i="12"/>
  <c r="E22" i="12"/>
  <c r="E17" i="12"/>
  <c r="E21" i="12"/>
  <c r="E16" i="12"/>
  <c r="E12" i="12"/>
  <c r="E13" i="12"/>
  <c r="E14" i="12"/>
  <c r="E2" i="12"/>
  <c r="E3" i="12"/>
  <c r="E4" i="12"/>
  <c r="E5" i="12"/>
  <c r="E6" i="12"/>
  <c r="E7" i="12"/>
  <c r="E8" i="12"/>
  <c r="E9" i="12"/>
  <c r="E10" i="12"/>
  <c r="E11" i="12"/>
  <c r="E15" i="12"/>
  <c r="E20" i="12"/>
  <c r="O670" i="6"/>
  <c r="O672" i="6"/>
  <c r="N671" i="6"/>
  <c r="O671" i="6" s="1"/>
  <c r="G90" i="1"/>
  <c r="H90" i="1" s="1"/>
  <c r="J90" i="1"/>
  <c r="N2" i="6"/>
  <c r="N3" i="6"/>
  <c r="N4" i="6"/>
  <c r="N5" i="6"/>
  <c r="N6" i="6"/>
  <c r="N7" i="6"/>
  <c r="N8" i="6"/>
  <c r="O8" i="6" s="1"/>
  <c r="N9" i="6"/>
  <c r="O9" i="6" s="1"/>
  <c r="N10" i="6"/>
  <c r="O10" i="6" s="1"/>
  <c r="N11" i="6"/>
  <c r="O11" i="6" s="1"/>
  <c r="N12" i="6"/>
  <c r="O12" i="6" s="1"/>
  <c r="N13" i="6"/>
  <c r="O13" i="6" s="1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73" i="6"/>
  <c r="N74" i="6"/>
  <c r="N75" i="6"/>
  <c r="N76" i="6"/>
  <c r="N77" i="6"/>
  <c r="N78" i="6"/>
  <c r="N79" i="6"/>
  <c r="N80" i="6"/>
  <c r="N81" i="6"/>
  <c r="N82" i="6"/>
  <c r="N83" i="6"/>
  <c r="N84" i="6"/>
  <c r="N85" i="6"/>
  <c r="N86" i="6"/>
  <c r="N87" i="6"/>
  <c r="N88" i="6"/>
  <c r="N89" i="6"/>
  <c r="N90" i="6"/>
  <c r="N91" i="6"/>
  <c r="N92" i="6"/>
  <c r="N93" i="6"/>
  <c r="N94" i="6"/>
  <c r="N95" i="6"/>
  <c r="N96" i="6"/>
  <c r="N97" i="6"/>
  <c r="N98" i="6"/>
  <c r="N99" i="6"/>
  <c r="N100" i="6"/>
  <c r="N101" i="6"/>
  <c r="N102" i="6"/>
  <c r="N103" i="6"/>
  <c r="N104" i="6"/>
  <c r="N105" i="6"/>
  <c r="N106" i="6"/>
  <c r="N107" i="6"/>
  <c r="N108" i="6"/>
  <c r="N109" i="6"/>
  <c r="N110" i="6"/>
  <c r="N111" i="6"/>
  <c r="N112" i="6"/>
  <c r="N113" i="6"/>
  <c r="N114" i="6"/>
  <c r="N115" i="6"/>
  <c r="N116" i="6"/>
  <c r="N117" i="6"/>
  <c r="N118" i="6"/>
  <c r="N119" i="6"/>
  <c r="N120" i="6"/>
  <c r="N121" i="6"/>
  <c r="N122" i="6"/>
  <c r="N123" i="6"/>
  <c r="N124" i="6"/>
  <c r="N125" i="6"/>
  <c r="N126" i="6"/>
  <c r="N127" i="6"/>
  <c r="N128" i="6"/>
  <c r="N129" i="6"/>
  <c r="N130" i="6"/>
  <c r="N131" i="6"/>
  <c r="N132" i="6"/>
  <c r="N133" i="6"/>
  <c r="N134" i="6"/>
  <c r="N135" i="6"/>
  <c r="N136" i="6"/>
  <c r="N137" i="6"/>
  <c r="N138" i="6"/>
  <c r="N139" i="6"/>
  <c r="N140" i="6"/>
  <c r="N141" i="6"/>
  <c r="N142" i="6"/>
  <c r="N143" i="6"/>
  <c r="N144" i="6"/>
  <c r="N145" i="6"/>
  <c r="N146" i="6"/>
  <c r="N147" i="6"/>
  <c r="N148" i="6"/>
  <c r="N149" i="6"/>
  <c r="N150" i="6"/>
  <c r="N151" i="6"/>
  <c r="N152" i="6"/>
  <c r="N153" i="6"/>
  <c r="N154" i="6"/>
  <c r="N155" i="6"/>
  <c r="N156" i="6"/>
  <c r="N157" i="6"/>
  <c r="N158" i="6"/>
  <c r="N159" i="6"/>
  <c r="N160" i="6"/>
  <c r="N161" i="6"/>
  <c r="N162" i="6"/>
  <c r="N163" i="6"/>
  <c r="N164" i="6"/>
  <c r="N165" i="6"/>
  <c r="N166" i="6"/>
  <c r="N167" i="6"/>
  <c r="N168" i="6"/>
  <c r="N169" i="6"/>
  <c r="N170" i="6"/>
  <c r="N171" i="6"/>
  <c r="N172" i="6"/>
  <c r="N173" i="6"/>
  <c r="N174" i="6"/>
  <c r="N175" i="6"/>
  <c r="N176" i="6"/>
  <c r="N177" i="6"/>
  <c r="N178" i="6"/>
  <c r="N179" i="6"/>
  <c r="N180" i="6"/>
  <c r="N181" i="6"/>
  <c r="N182" i="6"/>
  <c r="N183" i="6"/>
  <c r="N184" i="6"/>
  <c r="N185" i="6"/>
  <c r="N186" i="6"/>
  <c r="N187" i="6"/>
  <c r="N188" i="6"/>
  <c r="N189" i="6"/>
  <c r="N190" i="6"/>
  <c r="N191" i="6"/>
  <c r="N192" i="6"/>
  <c r="N193" i="6"/>
  <c r="N194" i="6"/>
  <c r="N195" i="6"/>
  <c r="N196" i="6"/>
  <c r="N197" i="6"/>
  <c r="N198" i="6"/>
  <c r="N199" i="6"/>
  <c r="N200" i="6"/>
  <c r="N201" i="6"/>
  <c r="N202" i="6"/>
  <c r="N203" i="6"/>
  <c r="N204" i="6"/>
  <c r="N205" i="6"/>
  <c r="N206" i="6"/>
  <c r="N207" i="6"/>
  <c r="N208" i="6"/>
  <c r="N209" i="6"/>
  <c r="N210" i="6"/>
  <c r="N211" i="6"/>
  <c r="N212" i="6"/>
  <c r="N213" i="6"/>
  <c r="N214" i="6"/>
  <c r="N215" i="6"/>
  <c r="N216" i="6"/>
  <c r="N217" i="6"/>
  <c r="N218" i="6"/>
  <c r="N219" i="6"/>
  <c r="N220" i="6"/>
  <c r="N221" i="6"/>
  <c r="N222" i="6"/>
  <c r="N223" i="6"/>
  <c r="N224" i="6"/>
  <c r="N225" i="6"/>
  <c r="N226" i="6"/>
  <c r="N227" i="6"/>
  <c r="N228" i="6"/>
  <c r="N229" i="6"/>
  <c r="N230" i="6"/>
  <c r="N231" i="6"/>
  <c r="N232" i="6"/>
  <c r="N233" i="6"/>
  <c r="N234" i="6"/>
  <c r="N235" i="6"/>
  <c r="N236" i="6"/>
  <c r="N237" i="6"/>
  <c r="N238" i="6"/>
  <c r="N239" i="6"/>
  <c r="N240" i="6"/>
  <c r="N241" i="6"/>
  <c r="N242" i="6"/>
  <c r="N243" i="6"/>
  <c r="N244" i="6"/>
  <c r="N245" i="6"/>
  <c r="N246" i="6"/>
  <c r="N247" i="6"/>
  <c r="N248" i="6"/>
  <c r="N249" i="6"/>
  <c r="N250" i="6"/>
  <c r="N251" i="6"/>
  <c r="N252" i="6"/>
  <c r="N253" i="6"/>
  <c r="N254" i="6"/>
  <c r="N255" i="6"/>
  <c r="N256" i="6"/>
  <c r="N257" i="6"/>
  <c r="N258" i="6"/>
  <c r="N259" i="6"/>
  <c r="N260" i="6"/>
  <c r="N261" i="6"/>
  <c r="N262" i="6"/>
  <c r="N263" i="6"/>
  <c r="N264" i="6"/>
  <c r="N265" i="6"/>
  <c r="N266" i="6"/>
  <c r="N267" i="6"/>
  <c r="N268" i="6"/>
  <c r="N269" i="6"/>
  <c r="N270" i="6"/>
  <c r="N271" i="6"/>
  <c r="N272" i="6"/>
  <c r="N273" i="6"/>
  <c r="N274" i="6"/>
  <c r="N275" i="6"/>
  <c r="N276" i="6"/>
  <c r="N277" i="6"/>
  <c r="N278" i="6"/>
  <c r="N279" i="6"/>
  <c r="N280" i="6"/>
  <c r="N281" i="6"/>
  <c r="N282" i="6"/>
  <c r="N283" i="6"/>
  <c r="N284" i="6"/>
  <c r="N285" i="6"/>
  <c r="N286" i="6"/>
  <c r="N287" i="6"/>
  <c r="N288" i="6"/>
  <c r="N289" i="6"/>
  <c r="N290" i="6"/>
  <c r="N291" i="6"/>
  <c r="N292" i="6"/>
  <c r="N293" i="6"/>
  <c r="N294" i="6"/>
  <c r="N295" i="6"/>
  <c r="N296" i="6"/>
  <c r="N297" i="6"/>
  <c r="N298" i="6"/>
  <c r="N299" i="6"/>
  <c r="N300" i="6"/>
  <c r="N301" i="6"/>
  <c r="N302" i="6"/>
  <c r="N303" i="6"/>
  <c r="N304" i="6"/>
  <c r="N305" i="6"/>
  <c r="N306" i="6"/>
  <c r="N307" i="6"/>
  <c r="N308" i="6"/>
  <c r="N309" i="6"/>
  <c r="N310" i="6"/>
  <c r="N311" i="6"/>
  <c r="N312" i="6"/>
  <c r="N313" i="6"/>
  <c r="N314" i="6"/>
  <c r="N315" i="6"/>
  <c r="N316" i="6"/>
  <c r="N317" i="6"/>
  <c r="N318" i="6"/>
  <c r="N319" i="6"/>
  <c r="N320" i="6"/>
  <c r="N321" i="6"/>
  <c r="N322" i="6"/>
  <c r="N323" i="6"/>
  <c r="N324" i="6"/>
  <c r="N325" i="6"/>
  <c r="N326" i="6"/>
  <c r="N327" i="6"/>
  <c r="N328" i="6"/>
  <c r="N329" i="6"/>
  <c r="N330" i="6"/>
  <c r="N331" i="6"/>
  <c r="N332" i="6"/>
  <c r="N333" i="6"/>
  <c r="N334" i="6"/>
  <c r="N335" i="6"/>
  <c r="N336" i="6"/>
  <c r="N337" i="6"/>
  <c r="N338" i="6"/>
  <c r="N339" i="6"/>
  <c r="N340" i="6"/>
  <c r="N341" i="6"/>
  <c r="N342" i="6"/>
  <c r="N343" i="6"/>
  <c r="N344" i="6"/>
  <c r="N345" i="6"/>
  <c r="N346" i="6"/>
  <c r="N347" i="6"/>
  <c r="N348" i="6"/>
  <c r="N349" i="6"/>
  <c r="N350" i="6"/>
  <c r="N351" i="6"/>
  <c r="N352" i="6"/>
  <c r="N353" i="6"/>
  <c r="N354" i="6"/>
  <c r="N355" i="6"/>
  <c r="N356" i="6"/>
  <c r="N357" i="6"/>
  <c r="N358" i="6"/>
  <c r="N359" i="6"/>
  <c r="N360" i="6"/>
  <c r="N361" i="6"/>
  <c r="N362" i="6"/>
  <c r="N363" i="6"/>
  <c r="N364" i="6"/>
  <c r="N365" i="6"/>
  <c r="N366" i="6"/>
  <c r="N367" i="6"/>
  <c r="N368" i="6"/>
  <c r="N369" i="6"/>
  <c r="N370" i="6"/>
  <c r="N371" i="6"/>
  <c r="N372" i="6"/>
  <c r="N373" i="6"/>
  <c r="N374" i="6"/>
  <c r="N375" i="6"/>
  <c r="N376" i="6"/>
  <c r="N377" i="6"/>
  <c r="N378" i="6"/>
  <c r="N379" i="6"/>
  <c r="N380" i="6"/>
  <c r="N381" i="6"/>
  <c r="N382" i="6"/>
  <c r="N383" i="6"/>
  <c r="N384" i="6"/>
  <c r="N385" i="6"/>
  <c r="N386" i="6"/>
  <c r="N387" i="6"/>
  <c r="N388" i="6"/>
  <c r="N389" i="6"/>
  <c r="N390" i="6"/>
  <c r="N391" i="6"/>
  <c r="N392" i="6"/>
  <c r="N393" i="6"/>
  <c r="N394" i="6"/>
  <c r="N395" i="6"/>
  <c r="N396" i="6"/>
  <c r="N397" i="6"/>
  <c r="O397" i="6" s="1"/>
  <c r="N398" i="6"/>
  <c r="O398" i="6" s="1"/>
  <c r="N399" i="6"/>
  <c r="O399" i="6" s="1"/>
  <c r="N400" i="6"/>
  <c r="O400" i="6" s="1"/>
  <c r="N401" i="6"/>
  <c r="O401" i="6" s="1"/>
  <c r="N402" i="6"/>
  <c r="O402" i="6" s="1"/>
  <c r="N403" i="6"/>
  <c r="N404" i="6"/>
  <c r="N405" i="6"/>
  <c r="N406" i="6"/>
  <c r="N407" i="6"/>
  <c r="N408" i="6"/>
  <c r="N409" i="6"/>
  <c r="N410" i="6"/>
  <c r="N411" i="6"/>
  <c r="N412" i="6"/>
  <c r="N413" i="6"/>
  <c r="N414" i="6"/>
  <c r="N415" i="6"/>
  <c r="N416" i="6"/>
  <c r="N417" i="6"/>
  <c r="N418" i="6"/>
  <c r="N419" i="6"/>
  <c r="N420" i="6"/>
  <c r="N421" i="6"/>
  <c r="N422" i="6"/>
  <c r="N423" i="6"/>
  <c r="N424" i="6"/>
  <c r="N425" i="6"/>
  <c r="N426" i="6"/>
  <c r="N427" i="6"/>
  <c r="N428" i="6"/>
  <c r="N429" i="6"/>
  <c r="N430" i="6"/>
  <c r="N431" i="6"/>
  <c r="N432" i="6"/>
  <c r="N433" i="6"/>
  <c r="N434" i="6"/>
  <c r="N435" i="6"/>
  <c r="N436" i="6"/>
  <c r="N437" i="6"/>
  <c r="N438" i="6"/>
  <c r="N439" i="6"/>
  <c r="N440" i="6"/>
  <c r="N441" i="6"/>
  <c r="N442" i="6"/>
  <c r="N443" i="6"/>
  <c r="N444" i="6"/>
  <c r="N445" i="6"/>
  <c r="N446" i="6"/>
  <c r="N447" i="6"/>
  <c r="N448" i="6"/>
  <c r="N449" i="6"/>
  <c r="N450" i="6"/>
  <c r="N451" i="6"/>
  <c r="N452" i="6"/>
  <c r="N453" i="6"/>
  <c r="N454" i="6"/>
  <c r="N455" i="6"/>
  <c r="N456" i="6"/>
  <c r="N457" i="6"/>
  <c r="N458" i="6"/>
  <c r="N459" i="6"/>
  <c r="N460" i="6"/>
  <c r="N461" i="6"/>
  <c r="N462" i="6"/>
  <c r="N463" i="6"/>
  <c r="N464" i="6"/>
  <c r="N465" i="6"/>
  <c r="N466" i="6"/>
  <c r="N467" i="6"/>
  <c r="N468" i="6"/>
  <c r="N469" i="6"/>
  <c r="N470" i="6"/>
  <c r="N471" i="6"/>
  <c r="N472" i="6"/>
  <c r="N473" i="6"/>
  <c r="N474" i="6"/>
  <c r="N475" i="6"/>
  <c r="N476" i="6"/>
  <c r="N477" i="6"/>
  <c r="N478" i="6"/>
  <c r="N479" i="6"/>
  <c r="N480" i="6"/>
  <c r="N481" i="6"/>
  <c r="N482" i="6"/>
  <c r="N483" i="6"/>
  <c r="N484" i="6"/>
  <c r="N485" i="6"/>
  <c r="N486" i="6"/>
  <c r="N487" i="6"/>
  <c r="N488" i="6"/>
  <c r="N489" i="6"/>
  <c r="N490" i="6"/>
  <c r="N491" i="6"/>
  <c r="N492" i="6"/>
  <c r="N493" i="6"/>
  <c r="N494" i="6"/>
  <c r="N495" i="6"/>
  <c r="N496" i="6"/>
  <c r="N497" i="6"/>
  <c r="N498" i="6"/>
  <c r="N499" i="6"/>
  <c r="N500" i="6"/>
  <c r="N501" i="6"/>
  <c r="N502" i="6"/>
  <c r="N503" i="6"/>
  <c r="N504" i="6"/>
  <c r="N505" i="6"/>
  <c r="N506" i="6"/>
  <c r="N507" i="6"/>
  <c r="N508" i="6"/>
  <c r="N509" i="6"/>
  <c r="N510" i="6"/>
  <c r="N511" i="6"/>
  <c r="N512" i="6"/>
  <c r="N513" i="6"/>
  <c r="N514" i="6"/>
  <c r="N515" i="6"/>
  <c r="N516" i="6"/>
  <c r="N517" i="6"/>
  <c r="N518" i="6"/>
  <c r="N519" i="6"/>
  <c r="N520" i="6"/>
  <c r="N521" i="6"/>
  <c r="N522" i="6"/>
  <c r="N523" i="6"/>
  <c r="N524" i="6"/>
  <c r="N525" i="6"/>
  <c r="N526" i="6"/>
  <c r="N527" i="6"/>
  <c r="N528" i="6"/>
  <c r="N529" i="6"/>
  <c r="N530" i="6"/>
  <c r="N531" i="6"/>
  <c r="N532" i="6"/>
  <c r="N533" i="6"/>
  <c r="N534" i="6"/>
  <c r="N535" i="6"/>
  <c r="N536" i="6"/>
  <c r="N537" i="6"/>
  <c r="N538" i="6"/>
  <c r="N539" i="6"/>
  <c r="N540" i="6"/>
  <c r="N541" i="6"/>
  <c r="N542" i="6"/>
  <c r="N543" i="6"/>
  <c r="N544" i="6"/>
  <c r="N545" i="6"/>
  <c r="N546" i="6"/>
  <c r="N547" i="6"/>
  <c r="N548" i="6"/>
  <c r="N549" i="6"/>
  <c r="N550" i="6"/>
  <c r="N551" i="6"/>
  <c r="N552" i="6"/>
  <c r="N553" i="6"/>
  <c r="N554" i="6"/>
  <c r="N555" i="6"/>
  <c r="N556" i="6"/>
  <c r="N557" i="6"/>
  <c r="N558" i="6"/>
  <c r="N559" i="6"/>
  <c r="N560" i="6"/>
  <c r="N561" i="6"/>
  <c r="N562" i="6"/>
  <c r="N563" i="6"/>
  <c r="N564" i="6"/>
  <c r="N565" i="6"/>
  <c r="N566" i="6"/>
  <c r="N567" i="6"/>
  <c r="N568" i="6"/>
  <c r="N569" i="6"/>
  <c r="N570" i="6"/>
  <c r="N571" i="6"/>
  <c r="N572" i="6"/>
  <c r="N573" i="6"/>
  <c r="N574" i="6"/>
  <c r="N575" i="6"/>
  <c r="N576" i="6"/>
  <c r="N577" i="6"/>
  <c r="N578" i="6"/>
  <c r="N579" i="6"/>
  <c r="N580" i="6"/>
  <c r="N581" i="6"/>
  <c r="N582" i="6"/>
  <c r="N583" i="6"/>
  <c r="N584" i="6"/>
  <c r="N585" i="6"/>
  <c r="N586" i="6"/>
  <c r="N587" i="6"/>
  <c r="N588" i="6"/>
  <c r="N589" i="6"/>
  <c r="N590" i="6"/>
  <c r="N591" i="6"/>
  <c r="N592" i="6"/>
  <c r="N593" i="6"/>
  <c r="N594" i="6"/>
  <c r="N595" i="6"/>
  <c r="N596" i="6"/>
  <c r="N597" i="6"/>
  <c r="N598" i="6"/>
  <c r="N599" i="6"/>
  <c r="N600" i="6"/>
  <c r="N601" i="6"/>
  <c r="N602" i="6"/>
  <c r="N603" i="6"/>
  <c r="N604" i="6"/>
  <c r="N605" i="6"/>
  <c r="N606" i="6"/>
  <c r="N607" i="6"/>
  <c r="N608" i="6"/>
  <c r="N609" i="6"/>
  <c r="N610" i="6"/>
  <c r="N611" i="6"/>
  <c r="N612" i="6"/>
  <c r="N613" i="6"/>
  <c r="N614" i="6"/>
  <c r="N615" i="6"/>
  <c r="N616" i="6"/>
  <c r="N617" i="6"/>
  <c r="N618" i="6"/>
  <c r="N619" i="6"/>
  <c r="N620" i="6"/>
  <c r="N621" i="6"/>
  <c r="N622" i="6"/>
  <c r="N623" i="6"/>
  <c r="N624" i="6"/>
  <c r="N625" i="6"/>
  <c r="N626" i="6"/>
  <c r="N627" i="6"/>
  <c r="N628" i="6"/>
  <c r="N629" i="6"/>
  <c r="N630" i="6"/>
  <c r="N631" i="6"/>
  <c r="N632" i="6"/>
  <c r="N633" i="6"/>
  <c r="N634" i="6"/>
  <c r="N635" i="6"/>
  <c r="N636" i="6"/>
  <c r="N637" i="6"/>
  <c r="N638" i="6"/>
  <c r="N639" i="6"/>
  <c r="N640" i="6"/>
  <c r="N641" i="6"/>
  <c r="N642" i="6"/>
  <c r="N643" i="6"/>
  <c r="N644" i="6"/>
  <c r="N645" i="6"/>
  <c r="N646" i="6"/>
  <c r="N647" i="6"/>
  <c r="N648" i="6"/>
  <c r="N649" i="6"/>
  <c r="N650" i="6"/>
  <c r="N651" i="6"/>
  <c r="N652" i="6"/>
  <c r="N653" i="6"/>
  <c r="N654" i="6"/>
  <c r="N655" i="6"/>
  <c r="N656" i="6"/>
  <c r="N657" i="6"/>
  <c r="N658" i="6"/>
  <c r="N659" i="6"/>
  <c r="N660" i="6"/>
  <c r="N661" i="6"/>
  <c r="N662" i="6"/>
  <c r="N663" i="6"/>
  <c r="N664" i="6"/>
  <c r="N665" i="6"/>
  <c r="N666" i="6"/>
  <c r="N667" i="6"/>
  <c r="N668" i="6"/>
  <c r="N669" i="6"/>
  <c r="N670" i="6"/>
  <c r="N672" i="6"/>
  <c r="N673" i="6"/>
  <c r="N674" i="6"/>
  <c r="N675" i="6"/>
  <c r="N676" i="6"/>
  <c r="N677" i="6"/>
  <c r="N678" i="6"/>
  <c r="N679" i="6"/>
  <c r="N680" i="6"/>
  <c r="N681" i="6"/>
  <c r="N682" i="6"/>
  <c r="N683" i="6"/>
  <c r="N684" i="6"/>
  <c r="N685" i="6"/>
  <c r="N686" i="6"/>
  <c r="N687" i="6"/>
  <c r="N688" i="6"/>
  <c r="N689" i="6"/>
  <c r="N690" i="6"/>
  <c r="N691" i="6"/>
  <c r="N692" i="6"/>
  <c r="N693" i="6"/>
  <c r="N694" i="6"/>
  <c r="N695" i="6"/>
  <c r="N696" i="6"/>
  <c r="N697" i="6"/>
  <c r="N698" i="6"/>
  <c r="N699" i="6"/>
  <c r="N700" i="6"/>
  <c r="N701" i="6"/>
  <c r="N702" i="6"/>
  <c r="N703" i="6"/>
  <c r="N704" i="6"/>
  <c r="N705" i="6"/>
  <c r="N706" i="6"/>
  <c r="N707" i="6"/>
  <c r="N708" i="6"/>
  <c r="N709" i="6"/>
  <c r="N710" i="6"/>
  <c r="N711" i="6"/>
  <c r="N712" i="6"/>
  <c r="N713" i="6"/>
  <c r="N714" i="6"/>
  <c r="N715" i="6"/>
  <c r="N716" i="6"/>
  <c r="N717" i="6"/>
  <c r="N718" i="6"/>
  <c r="N719" i="6"/>
  <c r="N720" i="6"/>
  <c r="N721" i="6"/>
  <c r="N722" i="6"/>
  <c r="N723" i="6"/>
  <c r="N724" i="6"/>
  <c r="N725" i="6"/>
  <c r="N726" i="6"/>
  <c r="N727" i="6"/>
  <c r="N728" i="6"/>
  <c r="N729" i="6"/>
  <c r="N730" i="6"/>
  <c r="N731" i="6"/>
  <c r="N732" i="6"/>
  <c r="N733" i="6"/>
  <c r="N734" i="6"/>
  <c r="N735" i="6"/>
  <c r="N736" i="6"/>
  <c r="N737" i="6"/>
  <c r="N738" i="6"/>
  <c r="N739" i="6"/>
  <c r="N740" i="6"/>
  <c r="N741" i="6"/>
  <c r="N742" i="6"/>
  <c r="N743" i="6"/>
  <c r="N744" i="6"/>
  <c r="N745" i="6"/>
  <c r="N746" i="6"/>
  <c r="N747" i="6"/>
  <c r="N748" i="6"/>
  <c r="N749" i="6"/>
  <c r="N750" i="6"/>
  <c r="N751" i="6"/>
  <c r="N752" i="6"/>
  <c r="N753" i="6"/>
  <c r="N754" i="6"/>
  <c r="N755" i="6"/>
  <c r="N756" i="6"/>
  <c r="N757" i="6"/>
  <c r="N758" i="6"/>
  <c r="N759" i="6"/>
  <c r="N760" i="6"/>
  <c r="N761" i="6"/>
  <c r="N762" i="6"/>
  <c r="N763" i="6"/>
  <c r="N764" i="6"/>
  <c r="N765" i="6"/>
  <c r="N766" i="6"/>
  <c r="N767" i="6"/>
  <c r="N768" i="6"/>
  <c r="N769" i="6"/>
  <c r="N770" i="6"/>
  <c r="N771" i="6"/>
  <c r="N772" i="6"/>
  <c r="N773" i="6"/>
  <c r="N774" i="6"/>
  <c r="N775" i="6"/>
  <c r="N776" i="6"/>
  <c r="O776" i="6" s="1"/>
  <c r="N777" i="6"/>
  <c r="N778" i="6"/>
  <c r="N779" i="6"/>
  <c r="N780" i="6"/>
  <c r="N781" i="6"/>
  <c r="N782" i="6"/>
  <c r="O782" i="6" s="1"/>
  <c r="N783" i="6"/>
  <c r="N784" i="6"/>
  <c r="N785" i="6"/>
  <c r="N786" i="6"/>
  <c r="N787" i="6"/>
  <c r="N788" i="6"/>
  <c r="N789" i="6"/>
  <c r="N790" i="6"/>
  <c r="N791" i="6"/>
  <c r="N792" i="6"/>
  <c r="N793" i="6"/>
  <c r="N794" i="6"/>
  <c r="N795" i="6"/>
  <c r="N796" i="6"/>
  <c r="N797" i="6"/>
  <c r="N798" i="6"/>
  <c r="N799" i="6"/>
  <c r="N800" i="6"/>
  <c r="N801" i="6"/>
  <c r="N802" i="6"/>
  <c r="N803" i="6"/>
  <c r="N804" i="6"/>
  <c r="N805" i="6"/>
  <c r="N806" i="6"/>
  <c r="N807" i="6"/>
  <c r="N808" i="6"/>
  <c r="N809" i="6"/>
  <c r="N810" i="6"/>
  <c r="N811" i="6"/>
  <c r="N812" i="6"/>
  <c r="N813" i="6"/>
  <c r="N814" i="6"/>
  <c r="N815" i="6"/>
  <c r="N816" i="6"/>
  <c r="N817" i="6"/>
  <c r="N818" i="6"/>
  <c r="N819" i="6"/>
  <c r="N820" i="6"/>
  <c r="N821" i="6"/>
  <c r="N822" i="6"/>
  <c r="N823" i="6"/>
  <c r="N824" i="6"/>
  <c r="M1452" i="6"/>
  <c r="G325" i="6"/>
  <c r="F44" i="12" l="1"/>
  <c r="H44" i="12" s="1"/>
  <c r="N93" i="1"/>
  <c r="O93" i="1" s="1"/>
  <c r="N85" i="1"/>
  <c r="O85" i="1" s="1"/>
  <c r="N86" i="1"/>
  <c r="O86" i="1" s="1"/>
  <c r="F48" i="12"/>
  <c r="H48" i="12" s="1"/>
  <c r="F47" i="12"/>
  <c r="H47" i="12" s="1"/>
  <c r="Q64" i="1"/>
  <c r="F46" i="12"/>
  <c r="H46" i="12" s="1"/>
  <c r="F35" i="12"/>
  <c r="H35" i="12" s="1"/>
  <c r="F31" i="12"/>
  <c r="F27" i="12"/>
  <c r="H27" i="12" s="1"/>
  <c r="F23" i="12"/>
  <c r="H23" i="12" s="1"/>
  <c r="F15" i="12"/>
  <c r="H15" i="12" s="1"/>
  <c r="F19" i="12"/>
  <c r="H19" i="12" s="1"/>
  <c r="F11" i="12"/>
  <c r="H11" i="12" s="1"/>
  <c r="F7" i="12"/>
  <c r="H7" i="12" s="1"/>
  <c r="F3" i="12"/>
  <c r="H3" i="12" s="1"/>
  <c r="F38" i="12"/>
  <c r="H38" i="12" s="1"/>
  <c r="F22" i="12"/>
  <c r="H22" i="12" s="1"/>
  <c r="F10" i="12"/>
  <c r="H10" i="12" s="1"/>
  <c r="F6" i="12"/>
  <c r="H6" i="12" s="1"/>
  <c r="F2" i="12"/>
  <c r="H2" i="12" s="1"/>
  <c r="F34" i="12"/>
  <c r="H34" i="12" s="1"/>
  <c r="F30" i="12"/>
  <c r="H30" i="12" s="1"/>
  <c r="F26" i="12"/>
  <c r="H26" i="12" s="1"/>
  <c r="F18" i="12"/>
  <c r="H18" i="12" s="1"/>
  <c r="F14" i="12"/>
  <c r="H14" i="12" s="1"/>
  <c r="F41" i="12"/>
  <c r="H41" i="12" s="1"/>
  <c r="F37" i="12"/>
  <c r="H37" i="12" s="1"/>
  <c r="F33" i="12"/>
  <c r="H33" i="12" s="1"/>
  <c r="F29" i="12"/>
  <c r="H29" i="12" s="1"/>
  <c r="F25" i="12"/>
  <c r="H25" i="12" s="1"/>
  <c r="F21" i="12"/>
  <c r="H21" i="12" s="1"/>
  <c r="F17" i="12"/>
  <c r="H17" i="12" s="1"/>
  <c r="F13" i="12"/>
  <c r="H13" i="12" s="1"/>
  <c r="F9" i="12"/>
  <c r="H9" i="12" s="1"/>
  <c r="F5" i="12"/>
  <c r="H5" i="12" s="1"/>
  <c r="F39" i="12"/>
  <c r="H39" i="12" s="1"/>
  <c r="F40" i="12"/>
  <c r="H40" i="12" s="1"/>
  <c r="F36" i="12"/>
  <c r="H36" i="12" s="1"/>
  <c r="F32" i="12"/>
  <c r="H32" i="12" s="1"/>
  <c r="F28" i="12"/>
  <c r="H28" i="12" s="1"/>
  <c r="F24" i="12"/>
  <c r="H24" i="12" s="1"/>
  <c r="F20" i="12"/>
  <c r="H20" i="12" s="1"/>
  <c r="F16" i="12"/>
  <c r="H16" i="12" s="1"/>
  <c r="F12" i="12"/>
  <c r="H12" i="12" s="1"/>
  <c r="F8" i="12"/>
  <c r="H8" i="12" s="1"/>
  <c r="F4" i="12"/>
  <c r="H4" i="12" s="1"/>
  <c r="F42" i="12"/>
  <c r="H42" i="12" s="1"/>
  <c r="H31" i="12"/>
  <c r="Q45" i="1"/>
  <c r="Q90" i="1"/>
  <c r="G70" i="1"/>
  <c r="H70" i="1" s="1"/>
  <c r="J70" i="1"/>
  <c r="G2006" i="6"/>
  <c r="G2007" i="6"/>
  <c r="G2008" i="6"/>
  <c r="G2009" i="6"/>
  <c r="G2010" i="6"/>
  <c r="G2011" i="6"/>
  <c r="G2012" i="6"/>
  <c r="G2013" i="6"/>
  <c r="G2014" i="6"/>
  <c r="G2015" i="6"/>
  <c r="G2016" i="6"/>
  <c r="G2017" i="6"/>
  <c r="G2018" i="6"/>
  <c r="G2019" i="6"/>
  <c r="G2020" i="6"/>
  <c r="G2021" i="6"/>
  <c r="G2022" i="6"/>
  <c r="G2023" i="6"/>
  <c r="G2024" i="6"/>
  <c r="G2025" i="6"/>
  <c r="G2026" i="6"/>
  <c r="G2027" i="6"/>
  <c r="G2028" i="6"/>
  <c r="G2029" i="6"/>
  <c r="G2030" i="6"/>
  <c r="G2005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03" i="6"/>
  <c r="G32" i="1"/>
  <c r="H32" i="1" s="1"/>
  <c r="J32" i="1"/>
  <c r="G2397" i="6"/>
  <c r="G2398" i="6"/>
  <c r="G2399" i="6"/>
  <c r="G2400" i="6"/>
  <c r="G2401" i="6"/>
  <c r="G2402" i="6"/>
  <c r="G2403" i="6"/>
  <c r="G2404" i="6"/>
  <c r="G2405" i="6"/>
  <c r="G2406" i="6"/>
  <c r="G2407" i="6"/>
  <c r="G2408" i="6"/>
  <c r="G2409" i="6"/>
  <c r="G2410" i="6"/>
  <c r="G2411" i="6"/>
  <c r="G2412" i="6"/>
  <c r="G2413" i="6"/>
  <c r="G2414" i="6"/>
  <c r="G2415" i="6"/>
  <c r="G2416" i="6"/>
  <c r="G2417" i="6"/>
  <c r="G2418" i="6"/>
  <c r="G2419" i="6"/>
  <c r="G2420" i="6"/>
  <c r="G2421" i="6"/>
  <c r="G2422" i="6"/>
  <c r="G2423" i="6"/>
  <c r="G2424" i="6"/>
  <c r="G2425" i="6"/>
  <c r="G2426" i="6"/>
  <c r="G2427" i="6"/>
  <c r="G2428" i="6"/>
  <c r="G2429" i="6"/>
  <c r="G2430" i="6"/>
  <c r="G2431" i="6"/>
  <c r="G2432" i="6"/>
  <c r="G2433" i="6"/>
  <c r="G2434" i="6"/>
  <c r="G2435" i="6"/>
  <c r="G2436" i="6"/>
  <c r="G2437" i="6"/>
  <c r="G2438" i="6"/>
  <c r="G2439" i="6"/>
  <c r="G2440" i="6"/>
  <c r="G2441" i="6"/>
  <c r="G2442" i="6"/>
  <c r="G2443" i="6"/>
  <c r="G2444" i="6"/>
  <c r="G2445" i="6"/>
  <c r="G2446" i="6"/>
  <c r="G2447" i="6"/>
  <c r="G2448" i="6"/>
  <c r="G2449" i="6"/>
  <c r="G2450" i="6"/>
  <c r="G2451" i="6"/>
  <c r="G2452" i="6"/>
  <c r="G2453" i="6"/>
  <c r="G2454" i="6"/>
  <c r="G2455" i="6"/>
  <c r="G2456" i="6"/>
  <c r="G2457" i="6"/>
  <c r="G2458" i="6"/>
  <c r="G2459" i="6"/>
  <c r="G2460" i="6"/>
  <c r="G2396" i="6"/>
  <c r="G92" i="1"/>
  <c r="H92" i="1" s="1"/>
  <c r="J92" i="1"/>
  <c r="G1452" i="6"/>
  <c r="G1453" i="6"/>
  <c r="G1454" i="6"/>
  <c r="G1455" i="6"/>
  <c r="G1456" i="6"/>
  <c r="G1457" i="6"/>
  <c r="G1458" i="6"/>
  <c r="G1459" i="6"/>
  <c r="G1460" i="6"/>
  <c r="G1461" i="6"/>
  <c r="G1462" i="6"/>
  <c r="G1463" i="6"/>
  <c r="G1464" i="6"/>
  <c r="G1465" i="6"/>
  <c r="G1466" i="6"/>
  <c r="G1467" i="6"/>
  <c r="G1468" i="6"/>
  <c r="G1469" i="6"/>
  <c r="G1470" i="6"/>
  <c r="G1471" i="6"/>
  <c r="G1472" i="6"/>
  <c r="G1473" i="6"/>
  <c r="G1474" i="6"/>
  <c r="G1475" i="6"/>
  <c r="G1476" i="6"/>
  <c r="G1477" i="6"/>
  <c r="G1478" i="6"/>
  <c r="G1479" i="6"/>
  <c r="G1480" i="6"/>
  <c r="G1481" i="6"/>
  <c r="G1482" i="6"/>
  <c r="G1483" i="6"/>
  <c r="G1484" i="6"/>
  <c r="G1485" i="6"/>
  <c r="G1486" i="6"/>
  <c r="G1487" i="6"/>
  <c r="G1488" i="6"/>
  <c r="G1489" i="6"/>
  <c r="G1490" i="6"/>
  <c r="G1491" i="6"/>
  <c r="G1492" i="6"/>
  <c r="G1493" i="6"/>
  <c r="G1494" i="6"/>
  <c r="G1495" i="6"/>
  <c r="G1496" i="6"/>
  <c r="G1497" i="6"/>
  <c r="G1498" i="6"/>
  <c r="G1499" i="6"/>
  <c r="G1500" i="6"/>
  <c r="G1501" i="6"/>
  <c r="G1502" i="6"/>
  <c r="G1503" i="6"/>
  <c r="G1504" i="6"/>
  <c r="G1505" i="6"/>
  <c r="G1506" i="6"/>
  <c r="G1507" i="6"/>
  <c r="G1508" i="6"/>
  <c r="G1509" i="6"/>
  <c r="G1510" i="6"/>
  <c r="G1511" i="6"/>
  <c r="G1512" i="6"/>
  <c r="G1513" i="6"/>
  <c r="G1514" i="6"/>
  <c r="G1515" i="6"/>
  <c r="G1516" i="6"/>
  <c r="G1517" i="6"/>
  <c r="G1518" i="6"/>
  <c r="G1519" i="6"/>
  <c r="G1520" i="6"/>
  <c r="G1521" i="6"/>
  <c r="G1522" i="6"/>
  <c r="G1523" i="6"/>
  <c r="G1524" i="6"/>
  <c r="G1525" i="6"/>
  <c r="G1526" i="6"/>
  <c r="G1527" i="6"/>
  <c r="G1528" i="6"/>
  <c r="G1529" i="6"/>
  <c r="G1530" i="6"/>
  <c r="G1531" i="6"/>
  <c r="G1532" i="6"/>
  <c r="G1533" i="6"/>
  <c r="G1534" i="6"/>
  <c r="G1535" i="6"/>
  <c r="G1536" i="6"/>
  <c r="G1537" i="6"/>
  <c r="G1538" i="6"/>
  <c r="G1539" i="6"/>
  <c r="G1540" i="6"/>
  <c r="G1541" i="6"/>
  <c r="G1542" i="6"/>
  <c r="G1543" i="6"/>
  <c r="G1544" i="6"/>
  <c r="G1545" i="6"/>
  <c r="G1546" i="6"/>
  <c r="G1547" i="6"/>
  <c r="G1548" i="6"/>
  <c r="G1549" i="6"/>
  <c r="G1550" i="6"/>
  <c r="G1551" i="6"/>
  <c r="G1552" i="6"/>
  <c r="G1553" i="6"/>
  <c r="G1554" i="6"/>
  <c r="G1555" i="6"/>
  <c r="G1556" i="6"/>
  <c r="G1557" i="6"/>
  <c r="G1558" i="6"/>
  <c r="G1559" i="6"/>
  <c r="G1560" i="6"/>
  <c r="G1561" i="6"/>
  <c r="G1562" i="6"/>
  <c r="G1563" i="6"/>
  <c r="G1564" i="6"/>
  <c r="G1565" i="6"/>
  <c r="G1566" i="6"/>
  <c r="G1567" i="6"/>
  <c r="G1568" i="6"/>
  <c r="G1569" i="6"/>
  <c r="G1570" i="6"/>
  <c r="G1571" i="6"/>
  <c r="G1572" i="6"/>
  <c r="G1573" i="6"/>
  <c r="G1574" i="6"/>
  <c r="G1575" i="6"/>
  <c r="G1576" i="6"/>
  <c r="G1577" i="6"/>
  <c r="G1578" i="6"/>
  <c r="G1579" i="6"/>
  <c r="G1580" i="6"/>
  <c r="G1581" i="6"/>
  <c r="G1582" i="6"/>
  <c r="G1583" i="6"/>
  <c r="G1584" i="6"/>
  <c r="G1585" i="6"/>
  <c r="G1586" i="6"/>
  <c r="G1587" i="6"/>
  <c r="G1588" i="6"/>
  <c r="G1589" i="6"/>
  <c r="G1590" i="6"/>
  <c r="G1591" i="6"/>
  <c r="G1592" i="6"/>
  <c r="G1593" i="6"/>
  <c r="G1594" i="6"/>
  <c r="G1595" i="6"/>
  <c r="G1596" i="6"/>
  <c r="G1597" i="6"/>
  <c r="G1598" i="6"/>
  <c r="G1599" i="6"/>
  <c r="G1600" i="6"/>
  <c r="G1601" i="6"/>
  <c r="G1602" i="6"/>
  <c r="G1603" i="6"/>
  <c r="G1604" i="6"/>
  <c r="G1605" i="6"/>
  <c r="G1606" i="6"/>
  <c r="G1607" i="6"/>
  <c r="G1608" i="6"/>
  <c r="G1609" i="6"/>
  <c r="G1610" i="6"/>
  <c r="G1611" i="6"/>
  <c r="G1612" i="6"/>
  <c r="G1613" i="6"/>
  <c r="G1614" i="6"/>
  <c r="G1615" i="6"/>
  <c r="G1616" i="6"/>
  <c r="G1617" i="6"/>
  <c r="G1618" i="6"/>
  <c r="G1619" i="6"/>
  <c r="G1620" i="6"/>
  <c r="G1621" i="6"/>
  <c r="G1622" i="6"/>
  <c r="G1623" i="6"/>
  <c r="G1624" i="6"/>
  <c r="G1625" i="6"/>
  <c r="G1626" i="6"/>
  <c r="G1627" i="6"/>
  <c r="G1628" i="6"/>
  <c r="G1629" i="6"/>
  <c r="G1630" i="6"/>
  <c r="G1631" i="6"/>
  <c r="G1632" i="6"/>
  <c r="G1633" i="6"/>
  <c r="G1634" i="6"/>
  <c r="G1635" i="6"/>
  <c r="G1636" i="6"/>
  <c r="G1637" i="6"/>
  <c r="G1638" i="6"/>
  <c r="G1639" i="6"/>
  <c r="G1640" i="6"/>
  <c r="G1641" i="6"/>
  <c r="G1642" i="6"/>
  <c r="G1643" i="6"/>
  <c r="G1644" i="6"/>
  <c r="G1645" i="6"/>
  <c r="G1646" i="6"/>
  <c r="G1647" i="6"/>
  <c r="G1648" i="6"/>
  <c r="G1649" i="6"/>
  <c r="G1650" i="6"/>
  <c r="G1651" i="6"/>
  <c r="G1652" i="6"/>
  <c r="G1653" i="6"/>
  <c r="G1654" i="6"/>
  <c r="G1655" i="6"/>
  <c r="G1656" i="6"/>
  <c r="G1657" i="6"/>
  <c r="G1658" i="6"/>
  <c r="G1659" i="6"/>
  <c r="G1660" i="6"/>
  <c r="G1661" i="6"/>
  <c r="G1662" i="6"/>
  <c r="G1663" i="6"/>
  <c r="G1664" i="6"/>
  <c r="G1665" i="6"/>
  <c r="G1666" i="6"/>
  <c r="G1667" i="6"/>
  <c r="G1668" i="6"/>
  <c r="G1669" i="6"/>
  <c r="G1670" i="6"/>
  <c r="G1671" i="6"/>
  <c r="G1672" i="6"/>
  <c r="G1673" i="6"/>
  <c r="G1674" i="6"/>
  <c r="G1675" i="6"/>
  <c r="G1676" i="6"/>
  <c r="G1677" i="6"/>
  <c r="G1678" i="6"/>
  <c r="G1679" i="6"/>
  <c r="G1680" i="6"/>
  <c r="G1681" i="6"/>
  <c r="G1682" i="6"/>
  <c r="G1683" i="6"/>
  <c r="G1684" i="6"/>
  <c r="G1685" i="6"/>
  <c r="G1686" i="6"/>
  <c r="G1687" i="6"/>
  <c r="G1688" i="6"/>
  <c r="G1689" i="6"/>
  <c r="G1690" i="6"/>
  <c r="G1691" i="6"/>
  <c r="G1692" i="6"/>
  <c r="G1693" i="6"/>
  <c r="G1694" i="6"/>
  <c r="G1695" i="6"/>
  <c r="G1696" i="6"/>
  <c r="G1697" i="6"/>
  <c r="G1698" i="6"/>
  <c r="G1699" i="6"/>
  <c r="G1700" i="6"/>
  <c r="G1701" i="6"/>
  <c r="G1702" i="6"/>
  <c r="G1703" i="6"/>
  <c r="G1704" i="6"/>
  <c r="G1705" i="6"/>
  <c r="G1706" i="6"/>
  <c r="G1707" i="6"/>
  <c r="G1708" i="6"/>
  <c r="G1709" i="6"/>
  <c r="G1710" i="6"/>
  <c r="G1711" i="6"/>
  <c r="G1712" i="6"/>
  <c r="G1713" i="6"/>
  <c r="G1451" i="6"/>
  <c r="G58" i="1"/>
  <c r="H58" i="1" s="1"/>
  <c r="J58" i="1"/>
  <c r="G1168" i="6"/>
  <c r="G1169" i="6"/>
  <c r="G1170" i="6"/>
  <c r="G1171" i="6"/>
  <c r="G1172" i="6"/>
  <c r="G1173" i="6"/>
  <c r="G1174" i="6"/>
  <c r="G1175" i="6"/>
  <c r="G1176" i="6"/>
  <c r="G1177" i="6"/>
  <c r="G1178" i="6"/>
  <c r="G1179" i="6"/>
  <c r="G1180" i="6"/>
  <c r="G1181" i="6"/>
  <c r="G1182" i="6"/>
  <c r="G1183" i="6"/>
  <c r="G1184" i="6"/>
  <c r="G1185" i="6"/>
  <c r="G1186" i="6"/>
  <c r="G1187" i="6"/>
  <c r="G1188" i="6"/>
  <c r="G1189" i="6"/>
  <c r="G1190" i="6"/>
  <c r="G1191" i="6"/>
  <c r="G1192" i="6"/>
  <c r="G1193" i="6"/>
  <c r="G1167" i="6"/>
  <c r="G49" i="1"/>
  <c r="H49" i="1" s="1"/>
  <c r="J49" i="1"/>
  <c r="G2283" i="6"/>
  <c r="G2284" i="6"/>
  <c r="G2285" i="6"/>
  <c r="G2286" i="6"/>
  <c r="G2282" i="6"/>
  <c r="G84" i="1"/>
  <c r="H84" i="1" s="1"/>
  <c r="J84" i="1"/>
  <c r="N64" i="1" l="1"/>
  <c r="O64" i="1" s="1"/>
  <c r="N45" i="1"/>
  <c r="O45" i="1" s="1"/>
  <c r="N90" i="1"/>
  <c r="O90" i="1" s="1"/>
  <c r="Q70" i="1"/>
  <c r="Q32" i="1"/>
  <c r="Q92" i="1"/>
  <c r="Q58" i="1"/>
  <c r="Q49" i="1"/>
  <c r="Q84" i="1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57" i="6"/>
  <c r="G7" i="1"/>
  <c r="H7" i="1" s="1"/>
  <c r="J7" i="1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891" i="6"/>
  <c r="G35" i="1"/>
  <c r="J35" i="1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487" i="6"/>
  <c r="G20" i="1"/>
  <c r="H20" i="1" s="1"/>
  <c r="J20" i="1"/>
  <c r="G75" i="1"/>
  <c r="H75" i="1" s="1"/>
  <c r="J75" i="1"/>
  <c r="G2089" i="6"/>
  <c r="G2090" i="6"/>
  <c r="G2091" i="6"/>
  <c r="G2092" i="6"/>
  <c r="G2093" i="6"/>
  <c r="G2094" i="6"/>
  <c r="G2095" i="6"/>
  <c r="G2096" i="6"/>
  <c r="G2097" i="6"/>
  <c r="G2098" i="6"/>
  <c r="G2099" i="6"/>
  <c r="G2100" i="6"/>
  <c r="G2101" i="6"/>
  <c r="G2102" i="6"/>
  <c r="G2103" i="6"/>
  <c r="G2104" i="6"/>
  <c r="G2105" i="6"/>
  <c r="G2106" i="6"/>
  <c r="G2107" i="6"/>
  <c r="G2108" i="6"/>
  <c r="G2109" i="6"/>
  <c r="G2110" i="6"/>
  <c r="G2111" i="6"/>
  <c r="G2112" i="6"/>
  <c r="G2113" i="6"/>
  <c r="G2114" i="6"/>
  <c r="G2115" i="6"/>
  <c r="G2116" i="6"/>
  <c r="G2117" i="6"/>
  <c r="G2118" i="6"/>
  <c r="G2119" i="6"/>
  <c r="G2120" i="6"/>
  <c r="G2121" i="6"/>
  <c r="G2122" i="6"/>
  <c r="G2123" i="6"/>
  <c r="G2124" i="6"/>
  <c r="G2125" i="6"/>
  <c r="G2126" i="6"/>
  <c r="G2127" i="6"/>
  <c r="G2128" i="6"/>
  <c r="G2088" i="6"/>
  <c r="G79" i="1"/>
  <c r="H79" i="1" s="1"/>
  <c r="J79" i="1"/>
  <c r="G2202" i="6"/>
  <c r="G2203" i="6"/>
  <c r="G2204" i="6"/>
  <c r="G2205" i="6"/>
  <c r="G2206" i="6"/>
  <c r="G2207" i="6"/>
  <c r="G2208" i="6"/>
  <c r="G2209" i="6"/>
  <c r="G2210" i="6"/>
  <c r="G2211" i="6"/>
  <c r="G2212" i="6"/>
  <c r="G2213" i="6"/>
  <c r="G2214" i="6"/>
  <c r="G2201" i="6"/>
  <c r="G68" i="1"/>
  <c r="H68" i="1" s="1"/>
  <c r="J68" i="1"/>
  <c r="G1917" i="6"/>
  <c r="G1918" i="6"/>
  <c r="G1919" i="6"/>
  <c r="G1920" i="6"/>
  <c r="G1921" i="6"/>
  <c r="G1922" i="6"/>
  <c r="G1923" i="6"/>
  <c r="G1924" i="6"/>
  <c r="G1925" i="6"/>
  <c r="G1926" i="6"/>
  <c r="G1927" i="6"/>
  <c r="G1928" i="6"/>
  <c r="G1929" i="6"/>
  <c r="G1930" i="6"/>
  <c r="G1931" i="6"/>
  <c r="G1932" i="6"/>
  <c r="G1933" i="6"/>
  <c r="G1934" i="6"/>
  <c r="G1935" i="6"/>
  <c r="G1936" i="6"/>
  <c r="G1937" i="6"/>
  <c r="G1938" i="6"/>
  <c r="G1939" i="6"/>
  <c r="G1940" i="6"/>
  <c r="G1941" i="6"/>
  <c r="G1942" i="6"/>
  <c r="G1943" i="6"/>
  <c r="G1944" i="6"/>
  <c r="G1945" i="6"/>
  <c r="G1946" i="6"/>
  <c r="G1947" i="6"/>
  <c r="G1948" i="6"/>
  <c r="G1949" i="6"/>
  <c r="G1950" i="6"/>
  <c r="G1951" i="6"/>
  <c r="G1952" i="6"/>
  <c r="G1953" i="6"/>
  <c r="G1954" i="6"/>
  <c r="G1955" i="6"/>
  <c r="G1956" i="6"/>
  <c r="G1957" i="6"/>
  <c r="G1958" i="6"/>
  <c r="G1959" i="6"/>
  <c r="G1960" i="6"/>
  <c r="G1961" i="6"/>
  <c r="G1962" i="6"/>
  <c r="G1963" i="6"/>
  <c r="G1916" i="6"/>
  <c r="G2303" i="6"/>
  <c r="G2304" i="6"/>
  <c r="G2305" i="6"/>
  <c r="G2306" i="6"/>
  <c r="G2307" i="6"/>
  <c r="G2308" i="6"/>
  <c r="G2309" i="6"/>
  <c r="G2310" i="6"/>
  <c r="G2311" i="6"/>
  <c r="G2302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75" i="6"/>
  <c r="G28" i="1"/>
  <c r="H28" i="1" s="1"/>
  <c r="J28" i="1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696" i="6"/>
  <c r="G29" i="1"/>
  <c r="H29" i="1" s="1"/>
  <c r="J29" i="1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23" i="6"/>
  <c r="G27" i="1"/>
  <c r="H27" i="1" s="1"/>
  <c r="J27" i="1"/>
  <c r="G618" i="6"/>
  <c r="G619" i="6"/>
  <c r="G620" i="6"/>
  <c r="G621" i="6"/>
  <c r="G622" i="6"/>
  <c r="G617" i="6"/>
  <c r="G26" i="1"/>
  <c r="H26" i="1" s="1"/>
  <c r="J26" i="1"/>
  <c r="G1035" i="6"/>
  <c r="G1036" i="6"/>
  <c r="G1037" i="6"/>
  <c r="G1038" i="6"/>
  <c r="G1039" i="6"/>
  <c r="G1040" i="6"/>
  <c r="G1041" i="6"/>
  <c r="G1042" i="6"/>
  <c r="G1043" i="6"/>
  <c r="G1044" i="6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34" i="6"/>
  <c r="G40" i="1"/>
  <c r="H40" i="1" s="1"/>
  <c r="J40" i="1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27" i="6"/>
  <c r="G36" i="1"/>
  <c r="H36" i="1" s="1"/>
  <c r="J36" i="1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22" i="6"/>
  <c r="G3" i="1"/>
  <c r="H3" i="1" s="1"/>
  <c r="J3" i="1"/>
  <c r="G2143" i="6"/>
  <c r="G2144" i="6"/>
  <c r="G2145" i="6"/>
  <c r="G2146" i="6"/>
  <c r="G2147" i="6"/>
  <c r="G2148" i="6"/>
  <c r="G2149" i="6"/>
  <c r="G2150" i="6"/>
  <c r="G2151" i="6"/>
  <c r="G2152" i="6"/>
  <c r="G2153" i="6"/>
  <c r="G2154" i="6"/>
  <c r="G2155" i="6"/>
  <c r="G2156" i="6"/>
  <c r="G2157" i="6"/>
  <c r="G2158" i="6"/>
  <c r="G2159" i="6"/>
  <c r="G2160" i="6"/>
  <c r="G2161" i="6"/>
  <c r="G2162" i="6"/>
  <c r="G2163" i="6"/>
  <c r="G2164" i="6"/>
  <c r="G2165" i="6"/>
  <c r="G2166" i="6"/>
  <c r="G2167" i="6"/>
  <c r="G2142" i="6"/>
  <c r="G77" i="1"/>
  <c r="H77" i="1" s="1"/>
  <c r="J77" i="1"/>
  <c r="G2085" i="6"/>
  <c r="G2086" i="6"/>
  <c r="G2087" i="6"/>
  <c r="G2084" i="6"/>
  <c r="G74" i="1"/>
  <c r="H74" i="1" s="1"/>
  <c r="J74" i="1"/>
  <c r="G4" i="1"/>
  <c r="H4" i="1" s="1"/>
  <c r="J4" i="1"/>
  <c r="G37" i="6"/>
  <c r="G38" i="6"/>
  <c r="G39" i="6"/>
  <c r="G36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37" i="6"/>
  <c r="G46" i="1"/>
  <c r="H46" i="1" s="1"/>
  <c r="J46" i="1"/>
  <c r="G610" i="6"/>
  <c r="G611" i="6"/>
  <c r="G612" i="6"/>
  <c r="G613" i="6"/>
  <c r="G614" i="6"/>
  <c r="G615" i="6"/>
  <c r="G616" i="6"/>
  <c r="G609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75" i="6"/>
  <c r="G8" i="1"/>
  <c r="H8" i="1" s="1"/>
  <c r="J8" i="1"/>
  <c r="G17" i="1"/>
  <c r="H17" i="1" s="1"/>
  <c r="J17" i="1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387" i="6"/>
  <c r="G13" i="1"/>
  <c r="H13" i="1" s="1"/>
  <c r="J13" i="1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6" i="6"/>
  <c r="G327" i="6"/>
  <c r="G25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12" i="1"/>
  <c r="H12" i="1" s="1"/>
  <c r="J12" i="1"/>
  <c r="G81" i="1"/>
  <c r="H81" i="1" s="1"/>
  <c r="J81" i="1"/>
  <c r="G2222" i="6"/>
  <c r="G2223" i="6"/>
  <c r="G2224" i="6"/>
  <c r="G2225" i="6"/>
  <c r="G2226" i="6"/>
  <c r="G2227" i="6"/>
  <c r="G2228" i="6"/>
  <c r="G2229" i="6"/>
  <c r="G2230" i="6"/>
  <c r="G2231" i="6"/>
  <c r="G2232" i="6"/>
  <c r="G2233" i="6"/>
  <c r="G2234" i="6"/>
  <c r="G2235" i="6"/>
  <c r="G2221" i="6"/>
  <c r="G2220" i="6"/>
  <c r="G2219" i="6"/>
  <c r="G2218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344" i="6"/>
  <c r="G1345" i="6"/>
  <c r="G1346" i="6"/>
  <c r="G1347" i="6"/>
  <c r="G1348" i="6"/>
  <c r="G1349" i="6"/>
  <c r="G1350" i="6"/>
  <c r="G1351" i="6"/>
  <c r="G1352" i="6"/>
  <c r="G1353" i="6"/>
  <c r="G1354" i="6"/>
  <c r="G1355" i="6"/>
  <c r="G1356" i="6"/>
  <c r="G1357" i="6"/>
  <c r="G1358" i="6"/>
  <c r="G1359" i="6"/>
  <c r="G1360" i="6"/>
  <c r="G1361" i="6"/>
  <c r="G1362" i="6"/>
  <c r="G1363" i="6"/>
  <c r="G1364" i="6"/>
  <c r="G1365" i="6"/>
  <c r="G1366" i="6"/>
  <c r="G1367" i="6"/>
  <c r="G1368" i="6"/>
  <c r="G1369" i="6"/>
  <c r="G1370" i="6"/>
  <c r="G1371" i="6"/>
  <c r="G1372" i="6"/>
  <c r="G1373" i="6"/>
  <c r="G1374" i="6"/>
  <c r="G1375" i="6"/>
  <c r="G1376" i="6"/>
  <c r="G1377" i="6"/>
  <c r="G1378" i="6"/>
  <c r="G1379" i="6"/>
  <c r="G1380" i="6"/>
  <c r="G1381" i="6"/>
  <c r="G1382" i="6"/>
  <c r="G1383" i="6"/>
  <c r="G1384" i="6"/>
  <c r="G1385" i="6"/>
  <c r="G1386" i="6"/>
  <c r="G1387" i="6"/>
  <c r="G1388" i="6"/>
  <c r="G1389" i="6"/>
  <c r="G1390" i="6"/>
  <c r="G1391" i="6"/>
  <c r="G1392" i="6"/>
  <c r="G1393" i="6"/>
  <c r="G1394" i="6"/>
  <c r="G1395" i="6"/>
  <c r="G1396" i="6"/>
  <c r="G1397" i="6"/>
  <c r="G1398" i="6"/>
  <c r="G1399" i="6"/>
  <c r="G1400" i="6"/>
  <c r="G1401" i="6"/>
  <c r="G1402" i="6"/>
  <c r="G1403" i="6"/>
  <c r="G1404" i="6"/>
  <c r="G1405" i="6"/>
  <c r="G1406" i="6"/>
  <c r="G1407" i="6"/>
  <c r="G1408" i="6"/>
  <c r="G1409" i="6"/>
  <c r="G1410" i="6"/>
  <c r="G1411" i="6"/>
  <c r="G1412" i="6"/>
  <c r="G1413" i="6"/>
  <c r="G1414" i="6"/>
  <c r="G1415" i="6"/>
  <c r="G1416" i="6"/>
  <c r="G1417" i="6"/>
  <c r="G1418" i="6"/>
  <c r="G1419" i="6"/>
  <c r="G1420" i="6"/>
  <c r="G1421" i="6"/>
  <c r="G1422" i="6"/>
  <c r="G1423" i="6"/>
  <c r="G1424" i="6"/>
  <c r="G1425" i="6"/>
  <c r="G1426" i="6"/>
  <c r="G1427" i="6"/>
  <c r="G1428" i="6"/>
  <c r="G1429" i="6"/>
  <c r="G1430" i="6"/>
  <c r="G1431" i="6"/>
  <c r="G1432" i="6"/>
  <c r="G1433" i="6"/>
  <c r="G1434" i="6"/>
  <c r="G1435" i="6"/>
  <c r="G1436" i="6"/>
  <c r="G1437" i="6"/>
  <c r="G1438" i="6"/>
  <c r="G1439" i="6"/>
  <c r="G1440" i="6"/>
  <c r="G1441" i="6"/>
  <c r="G1442" i="6"/>
  <c r="G1443" i="6"/>
  <c r="G1444" i="6"/>
  <c r="G1445" i="6"/>
  <c r="G1446" i="6"/>
  <c r="G1447" i="6"/>
  <c r="G1448" i="6"/>
  <c r="G1449" i="6"/>
  <c r="G1450" i="6"/>
  <c r="G1194" i="6"/>
  <c r="G1195" i="6"/>
  <c r="G1196" i="6"/>
  <c r="G1197" i="6"/>
  <c r="G1198" i="6"/>
  <c r="G1199" i="6"/>
  <c r="G1200" i="6"/>
  <c r="G1201" i="6"/>
  <c r="G1202" i="6"/>
  <c r="G1203" i="6"/>
  <c r="G1204" i="6"/>
  <c r="G1205" i="6"/>
  <c r="G1206" i="6"/>
  <c r="G1207" i="6"/>
  <c r="G1208" i="6"/>
  <c r="G1209" i="6"/>
  <c r="G1210" i="6"/>
  <c r="G1211" i="6"/>
  <c r="G1212" i="6"/>
  <c r="G1213" i="6"/>
  <c r="G1214" i="6"/>
  <c r="G1215" i="6"/>
  <c r="G1216" i="6"/>
  <c r="G1217" i="6"/>
  <c r="G1218" i="6"/>
  <c r="G1219" i="6"/>
  <c r="G1220" i="6"/>
  <c r="G979" i="6"/>
  <c r="G980" i="6"/>
  <c r="G981" i="6"/>
  <c r="G982" i="6"/>
  <c r="G983" i="6"/>
  <c r="G984" i="6"/>
  <c r="G985" i="6"/>
  <c r="G986" i="6"/>
  <c r="G987" i="6"/>
  <c r="G1964" i="6"/>
  <c r="G1965" i="6"/>
  <c r="G1966" i="6"/>
  <c r="G1967" i="6"/>
  <c r="G1968" i="6"/>
  <c r="G1969" i="6"/>
  <c r="G1970" i="6"/>
  <c r="G1971" i="6"/>
  <c r="G1972" i="6"/>
  <c r="G1973" i="6"/>
  <c r="G1974" i="6"/>
  <c r="G1975" i="6"/>
  <c r="G1976" i="6"/>
  <c r="G1977" i="6"/>
  <c r="G1978" i="6"/>
  <c r="G1979" i="6"/>
  <c r="G1980" i="6"/>
  <c r="G1981" i="6"/>
  <c r="G1982" i="6"/>
  <c r="G1983" i="6"/>
  <c r="G1984" i="6"/>
  <c r="G1985" i="6"/>
  <c r="G1986" i="6"/>
  <c r="G1987" i="6"/>
  <c r="G1988" i="6"/>
  <c r="G1989" i="6"/>
  <c r="G1990" i="6"/>
  <c r="G1991" i="6"/>
  <c r="G1992" i="6"/>
  <c r="G1993" i="6"/>
  <c r="G1994" i="6"/>
  <c r="G1995" i="6"/>
  <c r="G1996" i="6"/>
  <c r="G1997" i="6"/>
  <c r="G1998" i="6"/>
  <c r="G1999" i="6"/>
  <c r="G2000" i="6"/>
  <c r="G2001" i="6"/>
  <c r="G2002" i="6"/>
  <c r="G2003" i="6"/>
  <c r="G2004" i="6"/>
  <c r="G376" i="6"/>
  <c r="G377" i="6"/>
  <c r="G378" i="6"/>
  <c r="G379" i="6"/>
  <c r="G380" i="6"/>
  <c r="G381" i="6"/>
  <c r="G382" i="6"/>
  <c r="G383" i="6"/>
  <c r="G384" i="6"/>
  <c r="G385" i="6"/>
  <c r="G386" i="6"/>
  <c r="G1801" i="6"/>
  <c r="G1802" i="6"/>
  <c r="G1803" i="6"/>
  <c r="G1804" i="6"/>
  <c r="G1805" i="6"/>
  <c r="G1806" i="6"/>
  <c r="G1807" i="6"/>
  <c r="G2129" i="6"/>
  <c r="G2130" i="6"/>
  <c r="G2131" i="6"/>
  <c r="G2132" i="6"/>
  <c r="G2133" i="6"/>
  <c r="G2134" i="6"/>
  <c r="G2135" i="6"/>
  <c r="G2136" i="6"/>
  <c r="G2137" i="6"/>
  <c r="G2138" i="6"/>
  <c r="G2139" i="6"/>
  <c r="G2140" i="6"/>
  <c r="G2141" i="6"/>
  <c r="G1316" i="6"/>
  <c r="G1317" i="6"/>
  <c r="G1318" i="6"/>
  <c r="G1319" i="6"/>
  <c r="G1320" i="6"/>
  <c r="G1321" i="6"/>
  <c r="G1714" i="6"/>
  <c r="G1715" i="6"/>
  <c r="G1716" i="6"/>
  <c r="G1717" i="6"/>
  <c r="G1718" i="6"/>
  <c r="G1719" i="6"/>
  <c r="G1720" i="6"/>
  <c r="G1721" i="6"/>
  <c r="G1722" i="6"/>
  <c r="G1723" i="6"/>
  <c r="G2042" i="6"/>
  <c r="G2043" i="6"/>
  <c r="G2044" i="6"/>
  <c r="G2045" i="6"/>
  <c r="G2046" i="6"/>
  <c r="G2047" i="6"/>
  <c r="G2048" i="6"/>
  <c r="G182" i="6"/>
  <c r="G183" i="6"/>
  <c r="G184" i="6"/>
  <c r="G185" i="6"/>
  <c r="G186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1322" i="6"/>
  <c r="G1323" i="6"/>
  <c r="G1324" i="6"/>
  <c r="G1325" i="6"/>
  <c r="G1326" i="6"/>
  <c r="G1327" i="6"/>
  <c r="G1328" i="6"/>
  <c r="G1329" i="6"/>
  <c r="G1330" i="6"/>
  <c r="G1161" i="6"/>
  <c r="G1162" i="6"/>
  <c r="G1163" i="6"/>
  <c r="G1164" i="6"/>
  <c r="G1165" i="6"/>
  <c r="G1166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102" i="6"/>
  <c r="G1103" i="6"/>
  <c r="G1104" i="6"/>
  <c r="G1105" i="6"/>
  <c r="G1106" i="6"/>
  <c r="G1107" i="6"/>
  <c r="G1108" i="6"/>
  <c r="G1109" i="6"/>
  <c r="G1110" i="6"/>
  <c r="G1111" i="6"/>
  <c r="G1112" i="6"/>
  <c r="G1113" i="6"/>
  <c r="G1114" i="6"/>
  <c r="G1115" i="6"/>
  <c r="G1116" i="6"/>
  <c r="G1117" i="6"/>
  <c r="G1118" i="6"/>
  <c r="G1119" i="6"/>
  <c r="G1120" i="6"/>
  <c r="G1121" i="6"/>
  <c r="G1122" i="6"/>
  <c r="G2300" i="6"/>
  <c r="G2301" i="6"/>
  <c r="G1769" i="6"/>
  <c r="G1770" i="6"/>
  <c r="G1771" i="6"/>
  <c r="G1772" i="6"/>
  <c r="G1773" i="6"/>
  <c r="G1774" i="6"/>
  <c r="G1775" i="6"/>
  <c r="G1776" i="6"/>
  <c r="G1777" i="6"/>
  <c r="G1778" i="6"/>
  <c r="G1779" i="6"/>
  <c r="G1780" i="6"/>
  <c r="G1781" i="6"/>
  <c r="G1782" i="6"/>
  <c r="G1783" i="6"/>
  <c r="G1784" i="6"/>
  <c r="G1785" i="6"/>
  <c r="G1786" i="6"/>
  <c r="G1787" i="6"/>
  <c r="G1788" i="6"/>
  <c r="G1789" i="6"/>
  <c r="G1790" i="6"/>
  <c r="G1791" i="6"/>
  <c r="G1792" i="6"/>
  <c r="G1793" i="6"/>
  <c r="G1794" i="6"/>
  <c r="G1795" i="6"/>
  <c r="G1796" i="6"/>
  <c r="G1797" i="6"/>
  <c r="G1798" i="6"/>
  <c r="G1799" i="6"/>
  <c r="G1800" i="6"/>
  <c r="G2031" i="6"/>
  <c r="G2032" i="6"/>
  <c r="G2033" i="6"/>
  <c r="G2034" i="6"/>
  <c r="G2035" i="6"/>
  <c r="G2036" i="6"/>
  <c r="G2037" i="6"/>
  <c r="G2038" i="6"/>
  <c r="G2039" i="6"/>
  <c r="G2040" i="6"/>
  <c r="G2041" i="6"/>
  <c r="G2236" i="6"/>
  <c r="G2237" i="6"/>
  <c r="G2238" i="6"/>
  <c r="G2239" i="6"/>
  <c r="G2240" i="6"/>
  <c r="G2241" i="6"/>
  <c r="G2242" i="6"/>
  <c r="G2243" i="6"/>
  <c r="G2244" i="6"/>
  <c r="G2245" i="6"/>
  <c r="G2246" i="6"/>
  <c r="G2247" i="6"/>
  <c r="G2248" i="6"/>
  <c r="G2249" i="6"/>
  <c r="G2250" i="6"/>
  <c r="G2251" i="6"/>
  <c r="G2252" i="6"/>
  <c r="G2253" i="6"/>
  <c r="G2254" i="6"/>
  <c r="G2255" i="6"/>
  <c r="G2256" i="6"/>
  <c r="G2257" i="6"/>
  <c r="G2258" i="6"/>
  <c r="G2259" i="6"/>
  <c r="G2260" i="6"/>
  <c r="G2261" i="6"/>
  <c r="G2262" i="6"/>
  <c r="G2263" i="6"/>
  <c r="G2264" i="6"/>
  <c r="G2265" i="6"/>
  <c r="G2266" i="6"/>
  <c r="G2267" i="6"/>
  <c r="G1808" i="6"/>
  <c r="G1809" i="6"/>
  <c r="G1810" i="6"/>
  <c r="G1811" i="6"/>
  <c r="G1812" i="6"/>
  <c r="G1813" i="6"/>
  <c r="G1814" i="6"/>
  <c r="G1815" i="6"/>
  <c r="G1816" i="6"/>
  <c r="G1817" i="6"/>
  <c r="G1818" i="6"/>
  <c r="G1819" i="6"/>
  <c r="G1820" i="6"/>
  <c r="G1821" i="6"/>
  <c r="G1822" i="6"/>
  <c r="G1823" i="6"/>
  <c r="G1824" i="6"/>
  <c r="G1825" i="6"/>
  <c r="G1826" i="6"/>
  <c r="G1827" i="6"/>
  <c r="G1828" i="6"/>
  <c r="G1829" i="6"/>
  <c r="G1830" i="6"/>
  <c r="G1831" i="6"/>
  <c r="G1832" i="6"/>
  <c r="G1833" i="6"/>
  <c r="G1834" i="6"/>
  <c r="G1835" i="6"/>
  <c r="G1836" i="6"/>
  <c r="G1837" i="6"/>
  <c r="G1838" i="6"/>
  <c r="G1839" i="6"/>
  <c r="G1840" i="6"/>
  <c r="G1841" i="6"/>
  <c r="G1842" i="6"/>
  <c r="G1843" i="6"/>
  <c r="G1844" i="6"/>
  <c r="G1845" i="6"/>
  <c r="G1846" i="6"/>
  <c r="G1847" i="6"/>
  <c r="G1848" i="6"/>
  <c r="G1849" i="6"/>
  <c r="G1850" i="6"/>
  <c r="G1851" i="6"/>
  <c r="G1852" i="6"/>
  <c r="G1853" i="6"/>
  <c r="G1854" i="6"/>
  <c r="G1855" i="6"/>
  <c r="G1856" i="6"/>
  <c r="G1857" i="6"/>
  <c r="G1858" i="6"/>
  <c r="G1859" i="6"/>
  <c r="G1860" i="6"/>
  <c r="G1861" i="6"/>
  <c r="G1862" i="6"/>
  <c r="G1863" i="6"/>
  <c r="G1864" i="6"/>
  <c r="G1865" i="6"/>
  <c r="G1866" i="6"/>
  <c r="G1867" i="6"/>
  <c r="G1868" i="6"/>
  <c r="G1869" i="6"/>
  <c r="G1870" i="6"/>
  <c r="G1871" i="6"/>
  <c r="G1872" i="6"/>
  <c r="G1873" i="6"/>
  <c r="G1874" i="6"/>
  <c r="G1875" i="6"/>
  <c r="G1876" i="6"/>
  <c r="G1877" i="6"/>
  <c r="G1878" i="6"/>
  <c r="G1879" i="6"/>
  <c r="G1880" i="6"/>
  <c r="G1881" i="6"/>
  <c r="G1882" i="6"/>
  <c r="G1883" i="6"/>
  <c r="G1884" i="6"/>
  <c r="G1885" i="6"/>
  <c r="G1886" i="6"/>
  <c r="G1887" i="6"/>
  <c r="G1888" i="6"/>
  <c r="G1889" i="6"/>
  <c r="G1890" i="6"/>
  <c r="G1891" i="6"/>
  <c r="G1892" i="6"/>
  <c r="G1893" i="6"/>
  <c r="G1894" i="6"/>
  <c r="G1895" i="6"/>
  <c r="G1896" i="6"/>
  <c r="G1897" i="6"/>
  <c r="G1898" i="6"/>
  <c r="G1899" i="6"/>
  <c r="G1900" i="6"/>
  <c r="G1901" i="6"/>
  <c r="G1902" i="6"/>
  <c r="G1903" i="6"/>
  <c r="G1904" i="6"/>
  <c r="G1905" i="6"/>
  <c r="G1906" i="6"/>
  <c r="G1907" i="6"/>
  <c r="G1908" i="6"/>
  <c r="G1909" i="6"/>
  <c r="G1910" i="6"/>
  <c r="G1911" i="6"/>
  <c r="G1912" i="6"/>
  <c r="G1913" i="6"/>
  <c r="G1914" i="6"/>
  <c r="G1915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2287" i="6"/>
  <c r="G2288" i="6"/>
  <c r="G2289" i="6"/>
  <c r="G2290" i="6"/>
  <c r="G2291" i="6"/>
  <c r="G2292" i="6"/>
  <c r="G2293" i="6"/>
  <c r="G2294" i="6"/>
  <c r="G2295" i="6"/>
  <c r="G2296" i="6"/>
  <c r="G2297" i="6"/>
  <c r="G2298" i="6"/>
  <c r="G2299" i="6"/>
  <c r="G1767" i="6"/>
  <c r="G1768" i="6"/>
  <c r="G2049" i="6"/>
  <c r="G2050" i="6"/>
  <c r="G2051" i="6"/>
  <c r="G2052" i="6"/>
  <c r="G2053" i="6"/>
  <c r="G2054" i="6"/>
  <c r="G2055" i="6"/>
  <c r="G2056" i="6"/>
  <c r="G2057" i="6"/>
  <c r="G2058" i="6"/>
  <c r="G2059" i="6"/>
  <c r="G2060" i="6"/>
  <c r="G2061" i="6"/>
  <c r="G2062" i="6"/>
  <c r="G2063" i="6"/>
  <c r="G2064" i="6"/>
  <c r="G2065" i="6"/>
  <c r="G2066" i="6"/>
  <c r="G2067" i="6"/>
  <c r="G2068" i="6"/>
  <c r="G2069" i="6"/>
  <c r="G2070" i="6"/>
  <c r="G2071" i="6"/>
  <c r="G2072" i="6"/>
  <c r="G2073" i="6"/>
  <c r="G2074" i="6"/>
  <c r="G2075" i="6"/>
  <c r="G2076" i="6"/>
  <c r="G2077" i="6"/>
  <c r="G2078" i="6"/>
  <c r="G2079" i="6"/>
  <c r="G2080" i="6"/>
  <c r="G2081" i="6"/>
  <c r="G2082" i="6"/>
  <c r="G2083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34" i="6"/>
  <c r="G535" i="6"/>
  <c r="G536" i="6"/>
  <c r="G537" i="6"/>
  <c r="G2215" i="6"/>
  <c r="G2216" i="6"/>
  <c r="G2217" i="6"/>
  <c r="G538" i="6"/>
  <c r="G539" i="6"/>
  <c r="G540" i="6"/>
  <c r="G541" i="6"/>
  <c r="G53" i="6"/>
  <c r="G54" i="6"/>
  <c r="G55" i="6"/>
  <c r="G56" i="6"/>
  <c r="G528" i="6"/>
  <c r="G529" i="6"/>
  <c r="G530" i="6"/>
  <c r="G531" i="6"/>
  <c r="G532" i="6"/>
  <c r="G533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1331" i="6"/>
  <c r="G1332" i="6"/>
  <c r="G1333" i="6"/>
  <c r="G1334" i="6"/>
  <c r="G1335" i="6"/>
  <c r="G1336" i="6"/>
  <c r="G1337" i="6"/>
  <c r="G1338" i="6"/>
  <c r="G1339" i="6"/>
  <c r="G1340" i="6"/>
  <c r="G1341" i="6"/>
  <c r="G1342" i="6"/>
  <c r="G1343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1081" i="6"/>
  <c r="G1082" i="6"/>
  <c r="G1083" i="6"/>
  <c r="G1084" i="6"/>
  <c r="G1085" i="6"/>
  <c r="G1086" i="6"/>
  <c r="G1087" i="6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254" i="6"/>
  <c r="G1255" i="6"/>
  <c r="G1256" i="6"/>
  <c r="G1257" i="6"/>
  <c r="G1258" i="6"/>
  <c r="G1259" i="6"/>
  <c r="G1260" i="6"/>
  <c r="G1261" i="6"/>
  <c r="G1262" i="6"/>
  <c r="G1263" i="6"/>
  <c r="G1264" i="6"/>
  <c r="G1265" i="6"/>
  <c r="G1266" i="6"/>
  <c r="G1267" i="6"/>
  <c r="G1268" i="6"/>
  <c r="G1269" i="6"/>
  <c r="G1270" i="6"/>
  <c r="G1271" i="6"/>
  <c r="G1272" i="6"/>
  <c r="G1273" i="6"/>
  <c r="G1274" i="6"/>
  <c r="G1275" i="6"/>
  <c r="G1276" i="6"/>
  <c r="G1277" i="6"/>
  <c r="G1278" i="6"/>
  <c r="G1279" i="6"/>
  <c r="G1280" i="6"/>
  <c r="G1281" i="6"/>
  <c r="G1282" i="6"/>
  <c r="G1283" i="6"/>
  <c r="G1284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1285" i="6"/>
  <c r="G1286" i="6"/>
  <c r="G1287" i="6"/>
  <c r="G1288" i="6"/>
  <c r="G1289" i="6"/>
  <c r="G1290" i="6"/>
  <c r="G1291" i="6"/>
  <c r="G1292" i="6"/>
  <c r="G1293" i="6"/>
  <c r="G1294" i="6"/>
  <c r="G1295" i="6"/>
  <c r="G1296" i="6"/>
  <c r="G1297" i="6"/>
  <c r="G1298" i="6"/>
  <c r="G1299" i="6"/>
  <c r="G1300" i="6"/>
  <c r="G1301" i="6"/>
  <c r="G1302" i="6"/>
  <c r="G1303" i="6"/>
  <c r="G1304" i="6"/>
  <c r="G1305" i="6"/>
  <c r="G1306" i="6"/>
  <c r="G1307" i="6"/>
  <c r="G1308" i="6"/>
  <c r="G1309" i="6"/>
  <c r="G1310" i="6"/>
  <c r="G1311" i="6"/>
  <c r="G1312" i="6"/>
  <c r="G1313" i="6"/>
  <c r="G1314" i="6"/>
  <c r="G1315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1150" i="6"/>
  <c r="G1151" i="6"/>
  <c r="G1152" i="6"/>
  <c r="G1153" i="6"/>
  <c r="G1154" i="6"/>
  <c r="G1155" i="6"/>
  <c r="G1156" i="6"/>
  <c r="G1157" i="6"/>
  <c r="G1158" i="6"/>
  <c r="G1159" i="6"/>
  <c r="G1160" i="6"/>
  <c r="G2168" i="6"/>
  <c r="G2169" i="6"/>
  <c r="G2170" i="6"/>
  <c r="G2171" i="6"/>
  <c r="G2172" i="6"/>
  <c r="G2173" i="6"/>
  <c r="G2174" i="6"/>
  <c r="G2175" i="6"/>
  <c r="G2176" i="6"/>
  <c r="G2177" i="6"/>
  <c r="G2178" i="6"/>
  <c r="G2179" i="6"/>
  <c r="G2180" i="6"/>
  <c r="G2181" i="6"/>
  <c r="G2182" i="6"/>
  <c r="G2183" i="6"/>
  <c r="G2184" i="6"/>
  <c r="G2185" i="6"/>
  <c r="G2186" i="6"/>
  <c r="G2187" i="6"/>
  <c r="G2188" i="6"/>
  <c r="G2189" i="6"/>
  <c r="G2190" i="6"/>
  <c r="G2191" i="6"/>
  <c r="G2192" i="6"/>
  <c r="G2193" i="6"/>
  <c r="G2194" i="6"/>
  <c r="G2195" i="6"/>
  <c r="G2196" i="6"/>
  <c r="G2197" i="6"/>
  <c r="G2198" i="6"/>
  <c r="G2199" i="6"/>
  <c r="G2200" i="6"/>
  <c r="G1221" i="6"/>
  <c r="G1222" i="6"/>
  <c r="G1223" i="6"/>
  <c r="G1224" i="6"/>
  <c r="G1225" i="6"/>
  <c r="G1226" i="6"/>
  <c r="G1227" i="6"/>
  <c r="G1228" i="6"/>
  <c r="G1229" i="6"/>
  <c r="G1230" i="6"/>
  <c r="G1231" i="6"/>
  <c r="G1232" i="6"/>
  <c r="G1233" i="6"/>
  <c r="G1234" i="6"/>
  <c r="G1235" i="6"/>
  <c r="G1236" i="6"/>
  <c r="G1237" i="6"/>
  <c r="G1238" i="6"/>
  <c r="G1239" i="6"/>
  <c r="G1240" i="6"/>
  <c r="G1241" i="6"/>
  <c r="G1242" i="6"/>
  <c r="G1243" i="6"/>
  <c r="G1244" i="6"/>
  <c r="G1245" i="6"/>
  <c r="G1246" i="6"/>
  <c r="G1247" i="6"/>
  <c r="G1248" i="6"/>
  <c r="G1249" i="6"/>
  <c r="G1250" i="6"/>
  <c r="G1251" i="6"/>
  <c r="G1252" i="6"/>
  <c r="G1253" i="6"/>
  <c r="G2312" i="6"/>
  <c r="G2313" i="6"/>
  <c r="G2314" i="6"/>
  <c r="G2315" i="6"/>
  <c r="G2316" i="6"/>
  <c r="G2317" i="6"/>
  <c r="G2318" i="6"/>
  <c r="G2319" i="6"/>
  <c r="G2320" i="6"/>
  <c r="G2321" i="6"/>
  <c r="G2322" i="6"/>
  <c r="G2323" i="6"/>
  <c r="G2324" i="6"/>
  <c r="G2325" i="6"/>
  <c r="G2326" i="6"/>
  <c r="G2327" i="6"/>
  <c r="G2328" i="6"/>
  <c r="G2329" i="6"/>
  <c r="G2330" i="6"/>
  <c r="G2331" i="6"/>
  <c r="G2332" i="6"/>
  <c r="G2333" i="6"/>
  <c r="G2334" i="6"/>
  <c r="G2335" i="6"/>
  <c r="G2336" i="6"/>
  <c r="G2337" i="6"/>
  <c r="G2338" i="6"/>
  <c r="G2339" i="6"/>
  <c r="G2340" i="6"/>
  <c r="G2341" i="6"/>
  <c r="G2342" i="6"/>
  <c r="G2343" i="6"/>
  <c r="G2344" i="6"/>
  <c r="G2345" i="6"/>
  <c r="G2346" i="6"/>
  <c r="G2347" i="6"/>
  <c r="G2348" i="6"/>
  <c r="G2349" i="6"/>
  <c r="G2350" i="6"/>
  <c r="G2351" i="6"/>
  <c r="G2352" i="6"/>
  <c r="G2353" i="6"/>
  <c r="G2354" i="6"/>
  <c r="G2355" i="6"/>
  <c r="G2356" i="6"/>
  <c r="G2357" i="6"/>
  <c r="G2358" i="6"/>
  <c r="G2359" i="6"/>
  <c r="G2360" i="6"/>
  <c r="G2361" i="6"/>
  <c r="G2362" i="6"/>
  <c r="G2363" i="6"/>
  <c r="G2364" i="6"/>
  <c r="G2365" i="6"/>
  <c r="G2366" i="6"/>
  <c r="G2367" i="6"/>
  <c r="G2368" i="6"/>
  <c r="G2369" i="6"/>
  <c r="G2370" i="6"/>
  <c r="G2371" i="6"/>
  <c r="G2372" i="6"/>
  <c r="G2373" i="6"/>
  <c r="G2374" i="6"/>
  <c r="G2375" i="6"/>
  <c r="G2376" i="6"/>
  <c r="G2377" i="6"/>
  <c r="G2378" i="6"/>
  <c r="G2379" i="6"/>
  <c r="G2380" i="6"/>
  <c r="G2381" i="6"/>
  <c r="G2382" i="6"/>
  <c r="G2383" i="6"/>
  <c r="G2384" i="6"/>
  <c r="G2385" i="6"/>
  <c r="G2386" i="6"/>
  <c r="G2387" i="6"/>
  <c r="G2388" i="6"/>
  <c r="G2389" i="6"/>
  <c r="G2390" i="6"/>
  <c r="G2391" i="6"/>
  <c r="G2392" i="6"/>
  <c r="G2393" i="6"/>
  <c r="G2394" i="6"/>
  <c r="G2395" i="6"/>
  <c r="G1724" i="6"/>
  <c r="G1725" i="6"/>
  <c r="G1726" i="6"/>
  <c r="G1727" i="6"/>
  <c r="G1728" i="6"/>
  <c r="G1729" i="6"/>
  <c r="G1730" i="6"/>
  <c r="G1731" i="6"/>
  <c r="G1732" i="6"/>
  <c r="G1733" i="6"/>
  <c r="G1734" i="6"/>
  <c r="G1735" i="6"/>
  <c r="G1736" i="6"/>
  <c r="G1737" i="6"/>
  <c r="G1738" i="6"/>
  <c r="G1739" i="6"/>
  <c r="G1740" i="6"/>
  <c r="G1741" i="6"/>
  <c r="G1742" i="6"/>
  <c r="G1743" i="6"/>
  <c r="G1744" i="6"/>
  <c r="G1745" i="6"/>
  <c r="G1746" i="6"/>
  <c r="G1747" i="6"/>
  <c r="G1748" i="6"/>
  <c r="G1749" i="6"/>
  <c r="G1750" i="6"/>
  <c r="G1751" i="6"/>
  <c r="G1752" i="6"/>
  <c r="G1753" i="6"/>
  <c r="G1754" i="6"/>
  <c r="G1755" i="6"/>
  <c r="G1756" i="6"/>
  <c r="G1757" i="6"/>
  <c r="G1758" i="6"/>
  <c r="G1759" i="6"/>
  <c r="G1760" i="6"/>
  <c r="G1761" i="6"/>
  <c r="G1762" i="6"/>
  <c r="G1763" i="6"/>
  <c r="G1764" i="6"/>
  <c r="G1765" i="6"/>
  <c r="G1766" i="6"/>
  <c r="G2268" i="6"/>
  <c r="G2269" i="6"/>
  <c r="G2270" i="6"/>
  <c r="G2271" i="6"/>
  <c r="G2272" i="6"/>
  <c r="G2273" i="6"/>
  <c r="G2274" i="6"/>
  <c r="G2275" i="6"/>
  <c r="G2276" i="6"/>
  <c r="G2277" i="6"/>
  <c r="G2278" i="6"/>
  <c r="G2279" i="6"/>
  <c r="G2280" i="6"/>
  <c r="G2281" i="6"/>
  <c r="G83" i="1"/>
  <c r="H83" i="1" s="1"/>
  <c r="J83" i="1"/>
  <c r="G61" i="1"/>
  <c r="H61" i="1" s="1"/>
  <c r="J61" i="1"/>
  <c r="K2" i="6" l="1"/>
  <c r="K3" i="6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K201" i="6"/>
  <c r="K202" i="6"/>
  <c r="K203" i="6"/>
  <c r="K204" i="6"/>
  <c r="K205" i="6"/>
  <c r="K206" i="6"/>
  <c r="K207" i="6"/>
  <c r="K208" i="6"/>
  <c r="K209" i="6"/>
  <c r="K210" i="6"/>
  <c r="K211" i="6"/>
  <c r="K212" i="6"/>
  <c r="K213" i="6"/>
  <c r="K214" i="6"/>
  <c r="K215" i="6"/>
  <c r="K216" i="6"/>
  <c r="K217" i="6"/>
  <c r="K218" i="6"/>
  <c r="K219" i="6"/>
  <c r="K220" i="6"/>
  <c r="K221" i="6"/>
  <c r="K222" i="6"/>
  <c r="K223" i="6"/>
  <c r="K224" i="6"/>
  <c r="K225" i="6"/>
  <c r="K226" i="6"/>
  <c r="K227" i="6"/>
  <c r="K228" i="6"/>
  <c r="K229" i="6"/>
  <c r="K230" i="6"/>
  <c r="K231" i="6"/>
  <c r="K232" i="6"/>
  <c r="K233" i="6"/>
  <c r="K234" i="6"/>
  <c r="K235" i="6"/>
  <c r="K236" i="6"/>
  <c r="K237" i="6"/>
  <c r="K238" i="6"/>
  <c r="K239" i="6"/>
  <c r="K240" i="6"/>
  <c r="K241" i="6"/>
  <c r="K242" i="6"/>
  <c r="K243" i="6"/>
  <c r="K244" i="6"/>
  <c r="K245" i="6"/>
  <c r="K246" i="6"/>
  <c r="K247" i="6"/>
  <c r="K248" i="6"/>
  <c r="K249" i="6"/>
  <c r="K250" i="6"/>
  <c r="K251" i="6"/>
  <c r="K252" i="6"/>
  <c r="K253" i="6"/>
  <c r="K254" i="6"/>
  <c r="K255" i="6"/>
  <c r="K256" i="6"/>
  <c r="K257" i="6"/>
  <c r="K258" i="6"/>
  <c r="K259" i="6"/>
  <c r="K260" i="6"/>
  <c r="K261" i="6"/>
  <c r="K262" i="6"/>
  <c r="K263" i="6"/>
  <c r="K264" i="6"/>
  <c r="K265" i="6"/>
  <c r="K266" i="6"/>
  <c r="K267" i="6"/>
  <c r="K268" i="6"/>
  <c r="K269" i="6"/>
  <c r="K270" i="6"/>
  <c r="K271" i="6"/>
  <c r="K272" i="6"/>
  <c r="K273" i="6"/>
  <c r="K274" i="6"/>
  <c r="K275" i="6"/>
  <c r="K276" i="6"/>
  <c r="K277" i="6"/>
  <c r="K278" i="6"/>
  <c r="K279" i="6"/>
  <c r="K280" i="6"/>
  <c r="K281" i="6"/>
  <c r="K282" i="6"/>
  <c r="K283" i="6"/>
  <c r="K284" i="6"/>
  <c r="K285" i="6"/>
  <c r="K286" i="6"/>
  <c r="K287" i="6"/>
  <c r="K288" i="6"/>
  <c r="K289" i="6"/>
  <c r="K290" i="6"/>
  <c r="K291" i="6"/>
  <c r="K292" i="6"/>
  <c r="K293" i="6"/>
  <c r="K294" i="6"/>
  <c r="K295" i="6"/>
  <c r="K296" i="6"/>
  <c r="K297" i="6"/>
  <c r="K298" i="6"/>
  <c r="K299" i="6"/>
  <c r="K300" i="6"/>
  <c r="K301" i="6"/>
  <c r="K302" i="6"/>
  <c r="K303" i="6"/>
  <c r="K304" i="6"/>
  <c r="K305" i="6"/>
  <c r="K306" i="6"/>
  <c r="K307" i="6"/>
  <c r="K308" i="6"/>
  <c r="K309" i="6"/>
  <c r="K310" i="6"/>
  <c r="K311" i="6"/>
  <c r="K312" i="6"/>
  <c r="K313" i="6"/>
  <c r="K314" i="6"/>
  <c r="K315" i="6"/>
  <c r="K316" i="6"/>
  <c r="K317" i="6"/>
  <c r="K318" i="6"/>
  <c r="K319" i="6"/>
  <c r="K320" i="6"/>
  <c r="K321" i="6"/>
  <c r="K322" i="6"/>
  <c r="K323" i="6"/>
  <c r="K324" i="6"/>
  <c r="K325" i="6"/>
  <c r="K326" i="6"/>
  <c r="K327" i="6"/>
  <c r="K328" i="6"/>
  <c r="K329" i="6"/>
  <c r="K330" i="6"/>
  <c r="K331" i="6"/>
  <c r="K332" i="6"/>
  <c r="K333" i="6"/>
  <c r="K334" i="6"/>
  <c r="K335" i="6"/>
  <c r="K336" i="6"/>
  <c r="K337" i="6"/>
  <c r="K338" i="6"/>
  <c r="K339" i="6"/>
  <c r="K340" i="6"/>
  <c r="K341" i="6"/>
  <c r="K342" i="6"/>
  <c r="K343" i="6"/>
  <c r="K344" i="6"/>
  <c r="K345" i="6"/>
  <c r="K346" i="6"/>
  <c r="K347" i="6"/>
  <c r="K348" i="6"/>
  <c r="K349" i="6"/>
  <c r="K350" i="6"/>
  <c r="K351" i="6"/>
  <c r="K352" i="6"/>
  <c r="K353" i="6"/>
  <c r="K354" i="6"/>
  <c r="K355" i="6"/>
  <c r="K356" i="6"/>
  <c r="K357" i="6"/>
  <c r="K358" i="6"/>
  <c r="K359" i="6"/>
  <c r="K360" i="6"/>
  <c r="K361" i="6"/>
  <c r="K362" i="6"/>
  <c r="K363" i="6"/>
  <c r="K364" i="6"/>
  <c r="K365" i="6"/>
  <c r="K366" i="6"/>
  <c r="K367" i="6"/>
  <c r="K368" i="6"/>
  <c r="K369" i="6"/>
  <c r="K370" i="6"/>
  <c r="K371" i="6"/>
  <c r="K372" i="6"/>
  <c r="K373" i="6"/>
  <c r="K374" i="6"/>
  <c r="K375" i="6"/>
  <c r="K376" i="6"/>
  <c r="K377" i="6"/>
  <c r="K378" i="6"/>
  <c r="K379" i="6"/>
  <c r="K380" i="6"/>
  <c r="K381" i="6"/>
  <c r="K382" i="6"/>
  <c r="K383" i="6"/>
  <c r="K384" i="6"/>
  <c r="K385" i="6"/>
  <c r="K386" i="6"/>
  <c r="K387" i="6"/>
  <c r="K388" i="6"/>
  <c r="K389" i="6"/>
  <c r="K390" i="6"/>
  <c r="K391" i="6"/>
  <c r="K392" i="6"/>
  <c r="K393" i="6"/>
  <c r="K394" i="6"/>
  <c r="K395" i="6"/>
  <c r="K396" i="6"/>
  <c r="K397" i="6"/>
  <c r="K398" i="6"/>
  <c r="K399" i="6"/>
  <c r="K400" i="6"/>
  <c r="K401" i="6"/>
  <c r="K402" i="6"/>
  <c r="K403" i="6"/>
  <c r="K404" i="6"/>
  <c r="K405" i="6"/>
  <c r="K406" i="6"/>
  <c r="K407" i="6"/>
  <c r="K408" i="6"/>
  <c r="K409" i="6"/>
  <c r="K410" i="6"/>
  <c r="K411" i="6"/>
  <c r="K412" i="6"/>
  <c r="K413" i="6"/>
  <c r="K414" i="6"/>
  <c r="K415" i="6"/>
  <c r="K416" i="6"/>
  <c r="K417" i="6"/>
  <c r="K418" i="6"/>
  <c r="K419" i="6"/>
  <c r="K420" i="6"/>
  <c r="K421" i="6"/>
  <c r="K422" i="6"/>
  <c r="K423" i="6"/>
  <c r="K424" i="6"/>
  <c r="K425" i="6"/>
  <c r="K426" i="6"/>
  <c r="K427" i="6"/>
  <c r="K428" i="6"/>
  <c r="K429" i="6"/>
  <c r="K430" i="6"/>
  <c r="K431" i="6"/>
  <c r="K432" i="6"/>
  <c r="K433" i="6"/>
  <c r="K434" i="6"/>
  <c r="K435" i="6"/>
  <c r="K436" i="6"/>
  <c r="K437" i="6"/>
  <c r="K438" i="6"/>
  <c r="K439" i="6"/>
  <c r="K440" i="6"/>
  <c r="K441" i="6"/>
  <c r="K442" i="6"/>
  <c r="K443" i="6"/>
  <c r="K444" i="6"/>
  <c r="K445" i="6"/>
  <c r="K446" i="6"/>
  <c r="K447" i="6"/>
  <c r="K448" i="6"/>
  <c r="K449" i="6"/>
  <c r="K450" i="6"/>
  <c r="K451" i="6"/>
  <c r="K452" i="6"/>
  <c r="K453" i="6"/>
  <c r="K454" i="6"/>
  <c r="K455" i="6"/>
  <c r="K456" i="6"/>
  <c r="K457" i="6"/>
  <c r="K458" i="6"/>
  <c r="K459" i="6"/>
  <c r="K460" i="6"/>
  <c r="K461" i="6"/>
  <c r="K462" i="6"/>
  <c r="K463" i="6"/>
  <c r="K464" i="6"/>
  <c r="K465" i="6"/>
  <c r="K466" i="6"/>
  <c r="K467" i="6"/>
  <c r="K468" i="6"/>
  <c r="K469" i="6"/>
  <c r="K470" i="6"/>
  <c r="K471" i="6"/>
  <c r="K472" i="6"/>
  <c r="K473" i="6"/>
  <c r="K474" i="6"/>
  <c r="K475" i="6"/>
  <c r="K476" i="6"/>
  <c r="K477" i="6"/>
  <c r="K478" i="6"/>
  <c r="K479" i="6"/>
  <c r="K480" i="6"/>
  <c r="K481" i="6"/>
  <c r="K482" i="6"/>
  <c r="K483" i="6"/>
  <c r="K484" i="6"/>
  <c r="K485" i="6"/>
  <c r="K486" i="6"/>
  <c r="K487" i="6"/>
  <c r="K488" i="6"/>
  <c r="K489" i="6"/>
  <c r="K490" i="6"/>
  <c r="K491" i="6"/>
  <c r="K492" i="6"/>
  <c r="K493" i="6"/>
  <c r="K494" i="6"/>
  <c r="K495" i="6"/>
  <c r="K496" i="6"/>
  <c r="K497" i="6"/>
  <c r="K498" i="6"/>
  <c r="K499" i="6"/>
  <c r="K500" i="6"/>
  <c r="K501" i="6"/>
  <c r="K502" i="6"/>
  <c r="K503" i="6"/>
  <c r="K504" i="6"/>
  <c r="K505" i="6"/>
  <c r="K506" i="6"/>
  <c r="K507" i="6"/>
  <c r="K508" i="6"/>
  <c r="K509" i="6"/>
  <c r="K510" i="6"/>
  <c r="K511" i="6"/>
  <c r="K512" i="6"/>
  <c r="K513" i="6"/>
  <c r="K514" i="6"/>
  <c r="K515" i="6"/>
  <c r="K516" i="6"/>
  <c r="K517" i="6"/>
  <c r="K518" i="6"/>
  <c r="K519" i="6"/>
  <c r="K520" i="6"/>
  <c r="K521" i="6"/>
  <c r="K522" i="6"/>
  <c r="K523" i="6"/>
  <c r="K524" i="6"/>
  <c r="K525" i="6"/>
  <c r="K526" i="6"/>
  <c r="K527" i="6"/>
  <c r="K528" i="6"/>
  <c r="K529" i="6"/>
  <c r="K530" i="6"/>
  <c r="K531" i="6"/>
  <c r="K532" i="6"/>
  <c r="K533" i="6"/>
  <c r="K534" i="6"/>
  <c r="K535" i="6"/>
  <c r="K536" i="6"/>
  <c r="K537" i="6"/>
  <c r="K538" i="6"/>
  <c r="K539" i="6"/>
  <c r="K540" i="6"/>
  <c r="K541" i="6"/>
  <c r="K542" i="6"/>
  <c r="K543" i="6"/>
  <c r="K544" i="6"/>
  <c r="K545" i="6"/>
  <c r="K546" i="6"/>
  <c r="K547" i="6"/>
  <c r="K548" i="6"/>
  <c r="K549" i="6"/>
  <c r="K550" i="6"/>
  <c r="K551" i="6"/>
  <c r="K552" i="6"/>
  <c r="K553" i="6"/>
  <c r="K554" i="6"/>
  <c r="K555" i="6"/>
  <c r="K556" i="6"/>
  <c r="K557" i="6"/>
  <c r="K558" i="6"/>
  <c r="K559" i="6"/>
  <c r="K560" i="6"/>
  <c r="K561" i="6"/>
  <c r="K562" i="6"/>
  <c r="K563" i="6"/>
  <c r="K564" i="6"/>
  <c r="K565" i="6"/>
  <c r="K566" i="6"/>
  <c r="K567" i="6"/>
  <c r="K568" i="6"/>
  <c r="K569" i="6"/>
  <c r="K570" i="6"/>
  <c r="K571" i="6"/>
  <c r="K572" i="6"/>
  <c r="K573" i="6"/>
  <c r="K574" i="6"/>
  <c r="K575" i="6"/>
  <c r="K576" i="6"/>
  <c r="K577" i="6"/>
  <c r="K578" i="6"/>
  <c r="K579" i="6"/>
  <c r="K580" i="6"/>
  <c r="K581" i="6"/>
  <c r="K582" i="6"/>
  <c r="K583" i="6"/>
  <c r="K584" i="6"/>
  <c r="K585" i="6"/>
  <c r="K586" i="6"/>
  <c r="K587" i="6"/>
  <c r="K588" i="6"/>
  <c r="K589" i="6"/>
  <c r="K590" i="6"/>
  <c r="K591" i="6"/>
  <c r="K592" i="6"/>
  <c r="K593" i="6"/>
  <c r="K594" i="6"/>
  <c r="K595" i="6"/>
  <c r="K596" i="6"/>
  <c r="K597" i="6"/>
  <c r="K598" i="6"/>
  <c r="K599" i="6"/>
  <c r="K600" i="6"/>
  <c r="K601" i="6"/>
  <c r="K602" i="6"/>
  <c r="K603" i="6"/>
  <c r="K604" i="6"/>
  <c r="K605" i="6"/>
  <c r="K606" i="6"/>
  <c r="K607" i="6"/>
  <c r="K608" i="6"/>
  <c r="K609" i="6"/>
  <c r="K610" i="6"/>
  <c r="K611" i="6"/>
  <c r="K612" i="6"/>
  <c r="K613" i="6"/>
  <c r="K614" i="6"/>
  <c r="K615" i="6"/>
  <c r="K616" i="6"/>
  <c r="K617" i="6"/>
  <c r="K618" i="6"/>
  <c r="K619" i="6"/>
  <c r="K620" i="6"/>
  <c r="K621" i="6"/>
  <c r="K622" i="6"/>
  <c r="K623" i="6"/>
  <c r="K624" i="6"/>
  <c r="K625" i="6"/>
  <c r="K626" i="6"/>
  <c r="K627" i="6"/>
  <c r="K628" i="6"/>
  <c r="K629" i="6"/>
  <c r="K630" i="6"/>
  <c r="K631" i="6"/>
  <c r="K632" i="6"/>
  <c r="K633" i="6"/>
  <c r="K634" i="6"/>
  <c r="K635" i="6"/>
  <c r="K636" i="6"/>
  <c r="K637" i="6"/>
  <c r="K638" i="6"/>
  <c r="K639" i="6"/>
  <c r="K640" i="6"/>
  <c r="K641" i="6"/>
  <c r="K642" i="6"/>
  <c r="K643" i="6"/>
  <c r="K644" i="6"/>
  <c r="K645" i="6"/>
  <c r="K646" i="6"/>
  <c r="K647" i="6"/>
  <c r="K648" i="6"/>
  <c r="K649" i="6"/>
  <c r="K650" i="6"/>
  <c r="K651" i="6"/>
  <c r="K652" i="6"/>
  <c r="K653" i="6"/>
  <c r="K654" i="6"/>
  <c r="K655" i="6"/>
  <c r="K656" i="6"/>
  <c r="K657" i="6"/>
  <c r="K658" i="6"/>
  <c r="K659" i="6"/>
  <c r="K660" i="6"/>
  <c r="K661" i="6"/>
  <c r="K662" i="6"/>
  <c r="K663" i="6"/>
  <c r="K664" i="6"/>
  <c r="K665" i="6"/>
  <c r="K666" i="6"/>
  <c r="K667" i="6"/>
  <c r="K668" i="6"/>
  <c r="K669" i="6"/>
  <c r="K670" i="6"/>
  <c r="K671" i="6"/>
  <c r="K672" i="6"/>
  <c r="K673" i="6"/>
  <c r="K674" i="6"/>
  <c r="K675" i="6"/>
  <c r="K676" i="6"/>
  <c r="K677" i="6"/>
  <c r="K678" i="6"/>
  <c r="K679" i="6"/>
  <c r="K680" i="6"/>
  <c r="K681" i="6"/>
  <c r="K682" i="6"/>
  <c r="K683" i="6"/>
  <c r="K684" i="6"/>
  <c r="K685" i="6"/>
  <c r="K686" i="6"/>
  <c r="K687" i="6"/>
  <c r="K688" i="6"/>
  <c r="K689" i="6"/>
  <c r="K690" i="6"/>
  <c r="K691" i="6"/>
  <c r="K692" i="6"/>
  <c r="K693" i="6"/>
  <c r="K694" i="6"/>
  <c r="K695" i="6"/>
  <c r="K696" i="6"/>
  <c r="K697" i="6"/>
  <c r="K698" i="6"/>
  <c r="K699" i="6"/>
  <c r="K700" i="6"/>
  <c r="K701" i="6"/>
  <c r="K702" i="6"/>
  <c r="K703" i="6"/>
  <c r="K704" i="6"/>
  <c r="K705" i="6"/>
  <c r="K706" i="6"/>
  <c r="K707" i="6"/>
  <c r="K708" i="6"/>
  <c r="K709" i="6"/>
  <c r="K710" i="6"/>
  <c r="K711" i="6"/>
  <c r="K712" i="6"/>
  <c r="K713" i="6"/>
  <c r="K714" i="6"/>
  <c r="K715" i="6"/>
  <c r="K716" i="6"/>
  <c r="K717" i="6"/>
  <c r="K718" i="6"/>
  <c r="K719" i="6"/>
  <c r="K720" i="6"/>
  <c r="K721" i="6"/>
  <c r="K722" i="6"/>
  <c r="K723" i="6"/>
  <c r="K724" i="6"/>
  <c r="K725" i="6"/>
  <c r="K726" i="6"/>
  <c r="K727" i="6"/>
  <c r="K728" i="6"/>
  <c r="K729" i="6"/>
  <c r="K730" i="6"/>
  <c r="K731" i="6"/>
  <c r="K732" i="6"/>
  <c r="K733" i="6"/>
  <c r="K734" i="6"/>
  <c r="K735" i="6"/>
  <c r="K736" i="6"/>
  <c r="K737" i="6"/>
  <c r="K738" i="6"/>
  <c r="K739" i="6"/>
  <c r="K740" i="6"/>
  <c r="K741" i="6"/>
  <c r="K742" i="6"/>
  <c r="K743" i="6"/>
  <c r="K744" i="6"/>
  <c r="K745" i="6"/>
  <c r="K746" i="6"/>
  <c r="K747" i="6"/>
  <c r="K748" i="6"/>
  <c r="K749" i="6"/>
  <c r="K750" i="6"/>
  <c r="K751" i="6"/>
  <c r="K752" i="6"/>
  <c r="K753" i="6"/>
  <c r="K754" i="6"/>
  <c r="K755" i="6"/>
  <c r="K756" i="6"/>
  <c r="K757" i="6"/>
  <c r="K758" i="6"/>
  <c r="K759" i="6"/>
  <c r="K760" i="6"/>
  <c r="K761" i="6"/>
  <c r="K762" i="6"/>
  <c r="K763" i="6"/>
  <c r="K764" i="6"/>
  <c r="K765" i="6"/>
  <c r="K766" i="6"/>
  <c r="K767" i="6"/>
  <c r="K768" i="6"/>
  <c r="K769" i="6"/>
  <c r="K770" i="6"/>
  <c r="K771" i="6"/>
  <c r="K772" i="6"/>
  <c r="K773" i="6"/>
  <c r="K774" i="6"/>
  <c r="K775" i="6"/>
  <c r="K776" i="6"/>
  <c r="K777" i="6"/>
  <c r="K778" i="6"/>
  <c r="K779" i="6"/>
  <c r="K780" i="6"/>
  <c r="K781" i="6"/>
  <c r="K782" i="6"/>
  <c r="K783" i="6"/>
  <c r="K784" i="6"/>
  <c r="K785" i="6"/>
  <c r="K786" i="6"/>
  <c r="K787" i="6"/>
  <c r="K788" i="6"/>
  <c r="K789" i="6"/>
  <c r="K790" i="6"/>
  <c r="K791" i="6"/>
  <c r="K792" i="6"/>
  <c r="K793" i="6"/>
  <c r="K794" i="6"/>
  <c r="K795" i="6"/>
  <c r="K796" i="6"/>
  <c r="K797" i="6"/>
  <c r="K798" i="6"/>
  <c r="K799" i="6"/>
  <c r="K800" i="6"/>
  <c r="K801" i="6"/>
  <c r="K802" i="6"/>
  <c r="K803" i="6"/>
  <c r="K804" i="6"/>
  <c r="K805" i="6"/>
  <c r="K806" i="6"/>
  <c r="K807" i="6"/>
  <c r="K808" i="6"/>
  <c r="K809" i="6"/>
  <c r="K810" i="6"/>
  <c r="K811" i="6"/>
  <c r="K812" i="6"/>
  <c r="K813" i="6"/>
  <c r="K814" i="6"/>
  <c r="K815" i="6"/>
  <c r="K816" i="6"/>
  <c r="K817" i="6"/>
  <c r="K818" i="6"/>
  <c r="K819" i="6"/>
  <c r="K820" i="6"/>
  <c r="K821" i="6"/>
  <c r="K822" i="6"/>
  <c r="K823" i="6"/>
  <c r="K824" i="6"/>
  <c r="N70" i="1"/>
  <c r="O70" i="1" s="1"/>
  <c r="N32" i="1"/>
  <c r="O32" i="1" s="1"/>
  <c r="N92" i="1"/>
  <c r="O92" i="1" s="1"/>
  <c r="N58" i="1"/>
  <c r="O58" i="1" s="1"/>
  <c r="N49" i="1"/>
  <c r="O49" i="1" s="1"/>
  <c r="N84" i="1"/>
  <c r="O84" i="1" s="1"/>
  <c r="Q7" i="1"/>
  <c r="H35" i="1"/>
  <c r="Q20" i="1"/>
  <c r="Q75" i="1"/>
  <c r="Q79" i="1"/>
  <c r="Q68" i="1"/>
  <c r="Q83" i="1"/>
  <c r="Q81" i="1"/>
  <c r="Q61" i="1"/>
  <c r="Q12" i="1"/>
  <c r="Q13" i="1"/>
  <c r="Q17" i="1"/>
  <c r="Q8" i="1"/>
  <c r="Q46" i="1"/>
  <c r="Q4" i="1"/>
  <c r="Q74" i="1"/>
  <c r="Q77" i="1"/>
  <c r="Q3" i="1"/>
  <c r="Q36" i="1"/>
  <c r="Q40" i="1"/>
  <c r="Q26" i="1"/>
  <c r="Q27" i="1"/>
  <c r="Q29" i="1"/>
  <c r="Q28" i="1"/>
  <c r="G60" i="1"/>
  <c r="H60" i="1" s="1"/>
  <c r="J60" i="1"/>
  <c r="G2" i="1"/>
  <c r="H2" i="1" s="1"/>
  <c r="G5" i="1"/>
  <c r="H5" i="1" s="1"/>
  <c r="G6" i="1"/>
  <c r="H6" i="1" s="1"/>
  <c r="G9" i="1"/>
  <c r="H9" i="1" s="1"/>
  <c r="G10" i="1"/>
  <c r="H10" i="1" s="1"/>
  <c r="G11" i="1"/>
  <c r="H11" i="1" s="1"/>
  <c r="G14" i="1"/>
  <c r="H14" i="1" s="1"/>
  <c r="G15" i="1"/>
  <c r="H15" i="1" s="1"/>
  <c r="G16" i="1"/>
  <c r="H16" i="1" s="1"/>
  <c r="M16" i="1" s="1"/>
  <c r="G18" i="1"/>
  <c r="H18" i="1" s="1"/>
  <c r="G19" i="1"/>
  <c r="H19" i="1" s="1"/>
  <c r="G21" i="1"/>
  <c r="H21" i="1" s="1"/>
  <c r="G22" i="1"/>
  <c r="H22" i="1" s="1"/>
  <c r="G23" i="1"/>
  <c r="H23" i="1" s="1"/>
  <c r="G24" i="1"/>
  <c r="H24" i="1" s="1"/>
  <c r="G25" i="1"/>
  <c r="H25" i="1" s="1"/>
  <c r="G30" i="1"/>
  <c r="H30" i="1" s="1"/>
  <c r="G31" i="1"/>
  <c r="H31" i="1" s="1"/>
  <c r="G33" i="1"/>
  <c r="H33" i="1" s="1"/>
  <c r="G34" i="1"/>
  <c r="H34" i="1" s="1"/>
  <c r="G37" i="1"/>
  <c r="H37" i="1" s="1"/>
  <c r="G38" i="1"/>
  <c r="H38" i="1" s="1"/>
  <c r="G39" i="1"/>
  <c r="H39" i="1" s="1"/>
  <c r="G41" i="1"/>
  <c r="H41" i="1" s="1"/>
  <c r="M41" i="1" s="1"/>
  <c r="G42" i="1"/>
  <c r="H42" i="1" s="1"/>
  <c r="M42" i="1" s="1"/>
  <c r="G43" i="1"/>
  <c r="H43" i="1" s="1"/>
  <c r="G44" i="1"/>
  <c r="H44" i="1" s="1"/>
  <c r="G47" i="1"/>
  <c r="H47" i="1" s="1"/>
  <c r="G48" i="1"/>
  <c r="H48" i="1" s="1"/>
  <c r="G50" i="1"/>
  <c r="H50" i="1" s="1"/>
  <c r="M50" i="1" s="1"/>
  <c r="G51" i="1"/>
  <c r="H51" i="1" s="1"/>
  <c r="G52" i="1"/>
  <c r="H52" i="1" s="1"/>
  <c r="G53" i="1"/>
  <c r="H53" i="1" s="1"/>
  <c r="G54" i="1"/>
  <c r="H54" i="1" s="1"/>
  <c r="M54" i="1" s="1"/>
  <c r="G55" i="1"/>
  <c r="H55" i="1" s="1"/>
  <c r="G56" i="1"/>
  <c r="H56" i="1" s="1"/>
  <c r="G57" i="1"/>
  <c r="H57" i="1" s="1"/>
  <c r="G59" i="1"/>
  <c r="H59" i="1" s="1"/>
  <c r="G62" i="1"/>
  <c r="H62" i="1" s="1"/>
  <c r="G63" i="1"/>
  <c r="H63" i="1" s="1"/>
  <c r="G65" i="1"/>
  <c r="H65" i="1" s="1"/>
  <c r="M65" i="1" s="1"/>
  <c r="G66" i="1"/>
  <c r="H66" i="1" s="1"/>
  <c r="G67" i="1"/>
  <c r="H67" i="1" s="1"/>
  <c r="G69" i="1"/>
  <c r="H69" i="1" s="1"/>
  <c r="G71" i="1"/>
  <c r="H71" i="1" s="1"/>
  <c r="G72" i="1"/>
  <c r="H72" i="1" s="1"/>
  <c r="G73" i="1"/>
  <c r="H73" i="1" s="1"/>
  <c r="G76" i="1"/>
  <c r="H76" i="1" s="1"/>
  <c r="G78" i="1"/>
  <c r="H78" i="1" s="1"/>
  <c r="G80" i="1"/>
  <c r="H80" i="1" s="1"/>
  <c r="G82" i="1"/>
  <c r="H82" i="1" s="1"/>
  <c r="M82" i="1" s="1"/>
  <c r="G87" i="1"/>
  <c r="H87" i="1" s="1"/>
  <c r="G88" i="1"/>
  <c r="H88" i="1" s="1"/>
  <c r="G89" i="1"/>
  <c r="H89" i="1" s="1"/>
  <c r="G91" i="1"/>
  <c r="H91" i="1" s="1"/>
  <c r="M91" i="1" s="1"/>
  <c r="V172" i="9"/>
  <c r="U172" i="9"/>
  <c r="T172" i="9"/>
  <c r="S172" i="9"/>
  <c r="P172" i="9"/>
  <c r="A174" i="9" s="1"/>
  <c r="V171" i="9"/>
  <c r="U171" i="9"/>
  <c r="T171" i="9"/>
  <c r="S171" i="9"/>
  <c r="P171" i="9"/>
  <c r="A173" i="9" s="1"/>
  <c r="P170" i="9"/>
  <c r="P169" i="9"/>
  <c r="A171" i="9" s="1"/>
  <c r="P168" i="9"/>
  <c r="A170" i="9" s="1"/>
  <c r="P167" i="9"/>
  <c r="A169" i="9" s="1"/>
  <c r="P166" i="9"/>
  <c r="P165" i="9"/>
  <c r="P164" i="9"/>
  <c r="A166" i="9" s="1"/>
  <c r="P163" i="9"/>
  <c r="A165" i="9" s="1"/>
  <c r="P162" i="9"/>
  <c r="P161" i="9"/>
  <c r="A163" i="9" s="1"/>
  <c r="P160" i="9"/>
  <c r="A162" i="9" s="1"/>
  <c r="P159" i="9"/>
  <c r="A161" i="9" s="1"/>
  <c r="P158" i="9"/>
  <c r="A160" i="9" s="1"/>
  <c r="P157" i="9"/>
  <c r="P156" i="9"/>
  <c r="A158" i="9" s="1"/>
  <c r="P155" i="9"/>
  <c r="A157" i="9" s="1"/>
  <c r="P154" i="9"/>
  <c r="P153" i="9"/>
  <c r="A155" i="9" s="1"/>
  <c r="P152" i="9"/>
  <c r="A154" i="9" s="1"/>
  <c r="P151" i="9"/>
  <c r="A153" i="9" s="1"/>
  <c r="P150" i="9"/>
  <c r="P149" i="9"/>
  <c r="A151" i="9" s="1"/>
  <c r="P148" i="9"/>
  <c r="A150" i="9" s="1"/>
  <c r="P147" i="9"/>
  <c r="A149" i="9" s="1"/>
  <c r="P146" i="9"/>
  <c r="P145" i="9"/>
  <c r="A147" i="9" s="1"/>
  <c r="P144" i="9"/>
  <c r="A146" i="9" s="1"/>
  <c r="P143" i="9"/>
  <c r="A145" i="9" s="1"/>
  <c r="P142" i="9"/>
  <c r="A144" i="9" s="1"/>
  <c r="P141" i="9"/>
  <c r="P140" i="9"/>
  <c r="A142" i="9" s="1"/>
  <c r="P139" i="9"/>
  <c r="A141" i="9" s="1"/>
  <c r="P138" i="9"/>
  <c r="P137" i="9"/>
  <c r="A139" i="9" s="1"/>
  <c r="P136" i="9"/>
  <c r="A138" i="9" s="1"/>
  <c r="P135" i="9"/>
  <c r="A137" i="9" s="1"/>
  <c r="P134" i="9"/>
  <c r="P133" i="9"/>
  <c r="P132" i="9"/>
  <c r="A134" i="9" s="1"/>
  <c r="P131" i="9"/>
  <c r="A133" i="9" s="1"/>
  <c r="P130" i="9"/>
  <c r="P129" i="9"/>
  <c r="A131" i="9" s="1"/>
  <c r="P128" i="9"/>
  <c r="A130" i="9" s="1"/>
  <c r="P127" i="9"/>
  <c r="A129" i="9" s="1"/>
  <c r="P126" i="9"/>
  <c r="A128" i="9" s="1"/>
  <c r="P125" i="9"/>
  <c r="P124" i="9"/>
  <c r="A126" i="9" s="1"/>
  <c r="P123" i="9"/>
  <c r="A125" i="9" s="1"/>
  <c r="P122" i="9"/>
  <c r="P121" i="9"/>
  <c r="A123" i="9" s="1"/>
  <c r="P120" i="9"/>
  <c r="A122" i="9" s="1"/>
  <c r="P119" i="9"/>
  <c r="A121" i="9" s="1"/>
  <c r="P118" i="9"/>
  <c r="P117" i="9"/>
  <c r="A119" i="9" s="1"/>
  <c r="P116" i="9"/>
  <c r="A118" i="9" s="1"/>
  <c r="P115" i="9"/>
  <c r="A117" i="9" s="1"/>
  <c r="P114" i="9"/>
  <c r="P113" i="9"/>
  <c r="A115" i="9" s="1"/>
  <c r="P112" i="9"/>
  <c r="A114" i="9" s="1"/>
  <c r="P111" i="9"/>
  <c r="A113" i="9" s="1"/>
  <c r="P110" i="9"/>
  <c r="A112" i="9" s="1"/>
  <c r="P109" i="9"/>
  <c r="P108" i="9"/>
  <c r="A110" i="9" s="1"/>
  <c r="P107" i="9"/>
  <c r="A109" i="9" s="1"/>
  <c r="P106" i="9"/>
  <c r="P105" i="9"/>
  <c r="A107" i="9" s="1"/>
  <c r="P104" i="9"/>
  <c r="A106" i="9" s="1"/>
  <c r="P103" i="9"/>
  <c r="A105" i="9" s="1"/>
  <c r="P102" i="9"/>
  <c r="P101" i="9"/>
  <c r="P100" i="9"/>
  <c r="A102" i="9" s="1"/>
  <c r="P99" i="9"/>
  <c r="A101" i="9" s="1"/>
  <c r="A99" i="9"/>
  <c r="A98" i="9"/>
  <c r="A97" i="9"/>
  <c r="A94" i="9"/>
  <c r="A93" i="9"/>
  <c r="A91" i="9"/>
  <c r="A90" i="9"/>
  <c r="A89" i="9"/>
  <c r="A86" i="9"/>
  <c r="A85" i="9"/>
  <c r="A82" i="9"/>
  <c r="A78" i="9"/>
  <c r="A74" i="9"/>
  <c r="A70" i="9"/>
  <c r="Q68" i="9" s="1"/>
  <c r="A66" i="9"/>
  <c r="Q64" i="9" s="1"/>
  <c r="A8" i="9"/>
  <c r="R6" i="9" s="1"/>
  <c r="A9" i="9"/>
  <c r="R7" i="9" s="1"/>
  <c r="A10" i="9"/>
  <c r="R8" i="9" s="1"/>
  <c r="A11" i="9"/>
  <c r="R9" i="9" s="1"/>
  <c r="A12" i="9"/>
  <c r="R10" i="9" s="1"/>
  <c r="A13" i="9"/>
  <c r="R11" i="9" s="1"/>
  <c r="A14" i="9"/>
  <c r="R12" i="9" s="1"/>
  <c r="A15" i="9"/>
  <c r="R13" i="9" s="1"/>
  <c r="A16" i="9"/>
  <c r="R14" i="9" s="1"/>
  <c r="A17" i="9"/>
  <c r="R15" i="9" s="1"/>
  <c r="A18" i="9"/>
  <c r="R16" i="9" s="1"/>
  <c r="A19" i="9"/>
  <c r="R17" i="9" s="1"/>
  <c r="A20" i="9"/>
  <c r="R18" i="9" s="1"/>
  <c r="A21" i="9"/>
  <c r="R19" i="9" s="1"/>
  <c r="A22" i="9"/>
  <c r="R20" i="9" s="1"/>
  <c r="A23" i="9"/>
  <c r="R21" i="9" s="1"/>
  <c r="A24" i="9"/>
  <c r="R22" i="9" s="1"/>
  <c r="A25" i="9"/>
  <c r="R23" i="9" s="1"/>
  <c r="A26" i="9"/>
  <c r="R24" i="9" s="1"/>
  <c r="A27" i="9"/>
  <c r="R25" i="9" s="1"/>
  <c r="A28" i="9"/>
  <c r="R26" i="9" s="1"/>
  <c r="A29" i="9"/>
  <c r="R27" i="9" s="1"/>
  <c r="A30" i="9"/>
  <c r="R28" i="9" s="1"/>
  <c r="A31" i="9"/>
  <c r="R29" i="9" s="1"/>
  <c r="A32" i="9"/>
  <c r="R30" i="9" s="1"/>
  <c r="A33" i="9"/>
  <c r="R31" i="9" s="1"/>
  <c r="A34" i="9"/>
  <c r="R32" i="9" s="1"/>
  <c r="A35" i="9"/>
  <c r="R33" i="9" s="1"/>
  <c r="A36" i="9"/>
  <c r="R34" i="9" s="1"/>
  <c r="A37" i="9"/>
  <c r="R35" i="9" s="1"/>
  <c r="A38" i="9"/>
  <c r="R36" i="9" s="1"/>
  <c r="A39" i="9"/>
  <c r="R37" i="9" s="1"/>
  <c r="A40" i="9"/>
  <c r="R38" i="9" s="1"/>
  <c r="A41" i="9"/>
  <c r="R39" i="9" s="1"/>
  <c r="A42" i="9"/>
  <c r="R40" i="9" s="1"/>
  <c r="A43" i="9"/>
  <c r="R41" i="9" s="1"/>
  <c r="A44" i="9"/>
  <c r="R42" i="9" s="1"/>
  <c r="A45" i="9"/>
  <c r="R43" i="9" s="1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Q60" i="9" s="1"/>
  <c r="A63" i="9"/>
  <c r="Q61" i="9" s="1"/>
  <c r="A64" i="9"/>
  <c r="Q62" i="9" s="1"/>
  <c r="A65" i="9"/>
  <c r="Q63" i="9" s="1"/>
  <c r="A67" i="9"/>
  <c r="Q65" i="9" s="1"/>
  <c r="A68" i="9"/>
  <c r="Q66" i="9" s="1"/>
  <c r="A69" i="9"/>
  <c r="Q67" i="9" s="1"/>
  <c r="A71" i="9"/>
  <c r="Q69" i="9" s="1"/>
  <c r="A72" i="9"/>
  <c r="A73" i="9"/>
  <c r="A75" i="9"/>
  <c r="A76" i="9"/>
  <c r="A77" i="9"/>
  <c r="A79" i="9"/>
  <c r="A80" i="9"/>
  <c r="A81" i="9"/>
  <c r="A83" i="9"/>
  <c r="A84" i="9"/>
  <c r="A87" i="9"/>
  <c r="A88" i="9"/>
  <c r="A92" i="9"/>
  <c r="A95" i="9"/>
  <c r="A100" i="9"/>
  <c r="A103" i="9"/>
  <c r="A104" i="9"/>
  <c r="A108" i="9"/>
  <c r="A111" i="9"/>
  <c r="A116" i="9"/>
  <c r="A120" i="9"/>
  <c r="A124" i="9"/>
  <c r="A127" i="9"/>
  <c r="A132" i="9"/>
  <c r="A135" i="9"/>
  <c r="A136" i="9"/>
  <c r="A140" i="9"/>
  <c r="A143" i="9"/>
  <c r="A148" i="9"/>
  <c r="A152" i="9"/>
  <c r="A156" i="9"/>
  <c r="A159" i="9"/>
  <c r="A164" i="9"/>
  <c r="A167" i="9"/>
  <c r="A168" i="9"/>
  <c r="A172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7" i="9"/>
  <c r="R5" i="9" s="1"/>
  <c r="Q35" i="1" l="1"/>
  <c r="N35" i="1" s="1"/>
  <c r="O35" i="1" s="1"/>
  <c r="N40" i="1"/>
  <c r="O40" i="1" s="1"/>
  <c r="N36" i="1"/>
  <c r="O36" i="1" s="1"/>
  <c r="N3" i="1"/>
  <c r="O3" i="1" s="1"/>
  <c r="N77" i="1"/>
  <c r="O77" i="1" s="1"/>
  <c r="N74" i="1"/>
  <c r="O74" i="1" s="1"/>
  <c r="N4" i="1"/>
  <c r="O4" i="1" s="1"/>
  <c r="N46" i="1"/>
  <c r="O46" i="1" s="1"/>
  <c r="N8" i="1"/>
  <c r="O8" i="1" s="1"/>
  <c r="N17" i="1"/>
  <c r="O17" i="1" s="1"/>
  <c r="N13" i="1"/>
  <c r="O13" i="1" s="1"/>
  <c r="N12" i="1"/>
  <c r="O12" i="1" s="1"/>
  <c r="N61" i="1"/>
  <c r="O61" i="1" s="1"/>
  <c r="N81" i="1"/>
  <c r="O81" i="1" s="1"/>
  <c r="N83" i="1"/>
  <c r="O83" i="1" s="1"/>
  <c r="A96" i="9"/>
  <c r="N7" i="1"/>
  <c r="O7" i="1" s="1"/>
  <c r="N20" i="1"/>
  <c r="O20" i="1" s="1"/>
  <c r="N75" i="1"/>
  <c r="O75" i="1" s="1"/>
  <c r="N79" i="1"/>
  <c r="O79" i="1" s="1"/>
  <c r="N68" i="1"/>
  <c r="O68" i="1" s="1"/>
  <c r="Q60" i="1"/>
  <c r="N28" i="1"/>
  <c r="O28" i="1" s="1"/>
  <c r="N29" i="1"/>
  <c r="O29" i="1" s="1"/>
  <c r="N27" i="1"/>
  <c r="O27" i="1" s="1"/>
  <c r="N26" i="1"/>
  <c r="O26" i="1" s="1"/>
  <c r="R172" i="9"/>
  <c r="Q172" i="9"/>
  <c r="R171" i="9"/>
  <c r="Q171" i="9"/>
  <c r="R170" i="9"/>
  <c r="Q170" i="9"/>
  <c r="R169" i="9"/>
  <c r="Q169" i="9"/>
  <c r="R168" i="9"/>
  <c r="Q168" i="9"/>
  <c r="R167" i="9"/>
  <c r="Q167" i="9"/>
  <c r="R166" i="9"/>
  <c r="Q166" i="9"/>
  <c r="R165" i="9"/>
  <c r="Q165" i="9"/>
  <c r="R164" i="9"/>
  <c r="Q164" i="9"/>
  <c r="R163" i="9"/>
  <c r="Q163" i="9"/>
  <c r="R162" i="9"/>
  <c r="Q162" i="9"/>
  <c r="R161" i="9"/>
  <c r="Q161" i="9"/>
  <c r="R160" i="9"/>
  <c r="Q160" i="9"/>
  <c r="R159" i="9"/>
  <c r="Q159" i="9"/>
  <c r="R158" i="9"/>
  <c r="Q158" i="9"/>
  <c r="R157" i="9"/>
  <c r="Q157" i="9"/>
  <c r="R156" i="9"/>
  <c r="Q156" i="9"/>
  <c r="R155" i="9"/>
  <c r="Q155" i="9"/>
  <c r="R154" i="9"/>
  <c r="Q154" i="9"/>
  <c r="R153" i="9"/>
  <c r="Q153" i="9"/>
  <c r="R152" i="9"/>
  <c r="Q152" i="9"/>
  <c r="R151" i="9"/>
  <c r="Q151" i="9"/>
  <c r="R150" i="9"/>
  <c r="Q150" i="9"/>
  <c r="R149" i="9"/>
  <c r="Q149" i="9"/>
  <c r="R148" i="9"/>
  <c r="Q148" i="9"/>
  <c r="R147" i="9"/>
  <c r="Q147" i="9"/>
  <c r="R146" i="9"/>
  <c r="Q146" i="9"/>
  <c r="R145" i="9"/>
  <c r="Q145" i="9"/>
  <c r="R144" i="9"/>
  <c r="Q144" i="9"/>
  <c r="R143" i="9"/>
  <c r="Q143" i="9"/>
  <c r="R142" i="9"/>
  <c r="Q142" i="9"/>
  <c r="R141" i="9"/>
  <c r="Q141" i="9"/>
  <c r="R140" i="9"/>
  <c r="Q140" i="9"/>
  <c r="R139" i="9"/>
  <c r="Q139" i="9"/>
  <c r="R138" i="9"/>
  <c r="Q138" i="9"/>
  <c r="R137" i="9"/>
  <c r="Q137" i="9"/>
  <c r="R136" i="9"/>
  <c r="Q136" i="9"/>
  <c r="R135" i="9"/>
  <c r="Q135" i="9"/>
  <c r="R134" i="9"/>
  <c r="Q134" i="9"/>
  <c r="R133" i="9"/>
  <c r="Q133" i="9"/>
  <c r="R132" i="9"/>
  <c r="Q132" i="9"/>
  <c r="R131" i="9"/>
  <c r="Q131" i="9"/>
  <c r="R130" i="9"/>
  <c r="Q130" i="9"/>
  <c r="R129" i="9"/>
  <c r="Q129" i="9"/>
  <c r="R128" i="9"/>
  <c r="Q128" i="9"/>
  <c r="R127" i="9"/>
  <c r="Q127" i="9"/>
  <c r="R126" i="9"/>
  <c r="Q126" i="9"/>
  <c r="R125" i="9"/>
  <c r="Q125" i="9"/>
  <c r="R124" i="9"/>
  <c r="Q124" i="9"/>
  <c r="R123" i="9"/>
  <c r="Q123" i="9"/>
  <c r="R122" i="9"/>
  <c r="Q122" i="9"/>
  <c r="R121" i="9"/>
  <c r="Q121" i="9"/>
  <c r="R120" i="9"/>
  <c r="Q120" i="9"/>
  <c r="R119" i="9"/>
  <c r="Q119" i="9"/>
  <c r="R118" i="9"/>
  <c r="Q118" i="9"/>
  <c r="R117" i="9"/>
  <c r="Q117" i="9"/>
  <c r="R116" i="9"/>
  <c r="Q116" i="9"/>
  <c r="R115" i="9"/>
  <c r="Q115" i="9"/>
  <c r="R114" i="9"/>
  <c r="Q114" i="9"/>
  <c r="R113" i="9"/>
  <c r="Q113" i="9"/>
  <c r="R112" i="9"/>
  <c r="Q112" i="9"/>
  <c r="R111" i="9"/>
  <c r="Q111" i="9"/>
  <c r="R110" i="9"/>
  <c r="Q110" i="9"/>
  <c r="R109" i="9"/>
  <c r="Q109" i="9"/>
  <c r="R108" i="9"/>
  <c r="Q108" i="9"/>
  <c r="R107" i="9"/>
  <c r="Q107" i="9"/>
  <c r="R106" i="9"/>
  <c r="Q106" i="9"/>
  <c r="R105" i="9"/>
  <c r="Q105" i="9"/>
  <c r="R104" i="9"/>
  <c r="Q104" i="9"/>
  <c r="R103" i="9"/>
  <c r="Q103" i="9"/>
  <c r="R102" i="9"/>
  <c r="Q102" i="9"/>
  <c r="R101" i="9"/>
  <c r="Q101" i="9"/>
  <c r="R100" i="9"/>
  <c r="Q100" i="9"/>
  <c r="R99" i="9"/>
  <c r="Q99" i="9"/>
  <c r="R98" i="9"/>
  <c r="Q98" i="9"/>
  <c r="R97" i="9"/>
  <c r="Q97" i="9"/>
  <c r="R96" i="9"/>
  <c r="Q96" i="9"/>
  <c r="R95" i="9"/>
  <c r="Q95" i="9"/>
  <c r="R94" i="9"/>
  <c r="Q94" i="9"/>
  <c r="R93" i="9"/>
  <c r="Q93" i="9"/>
  <c r="R92" i="9"/>
  <c r="Q92" i="9"/>
  <c r="R91" i="9"/>
  <c r="Q91" i="9"/>
  <c r="R90" i="9"/>
  <c r="Q90" i="9"/>
  <c r="R89" i="9"/>
  <c r="Q89" i="9"/>
  <c r="R88" i="9"/>
  <c r="Q88" i="9"/>
  <c r="R87" i="9"/>
  <c r="Q87" i="9"/>
  <c r="R86" i="9"/>
  <c r="Q86" i="9"/>
  <c r="R85" i="9"/>
  <c r="Q85" i="9"/>
  <c r="R84" i="9"/>
  <c r="Q84" i="9"/>
  <c r="R83" i="9"/>
  <c r="Q83" i="9"/>
  <c r="R82" i="9"/>
  <c r="Q82" i="9"/>
  <c r="R81" i="9"/>
  <c r="Q81" i="9"/>
  <c r="R80" i="9"/>
  <c r="Q80" i="9"/>
  <c r="R79" i="9"/>
  <c r="Q79" i="9"/>
  <c r="R78" i="9"/>
  <c r="Q78" i="9"/>
  <c r="R77" i="9"/>
  <c r="Q77" i="9"/>
  <c r="R76" i="9"/>
  <c r="Q76" i="9"/>
  <c r="R75" i="9"/>
  <c r="Q75" i="9"/>
  <c r="R74" i="9"/>
  <c r="Q74" i="9"/>
  <c r="R73" i="9"/>
  <c r="Q73" i="9"/>
  <c r="R72" i="9"/>
  <c r="Q72" i="9"/>
  <c r="R71" i="9"/>
  <c r="Q71" i="9"/>
  <c r="R70" i="9"/>
  <c r="Q70" i="9"/>
  <c r="R69" i="9"/>
  <c r="R68" i="9"/>
  <c r="R67" i="9"/>
  <c r="R66" i="9"/>
  <c r="R65" i="9"/>
  <c r="R64" i="9"/>
  <c r="R63" i="9"/>
  <c r="R62" i="9"/>
  <c r="R61" i="9"/>
  <c r="R60" i="9"/>
  <c r="R59" i="9"/>
  <c r="Q59" i="9"/>
  <c r="R58" i="9"/>
  <c r="Q58" i="9"/>
  <c r="R57" i="9"/>
  <c r="Q57" i="9"/>
  <c r="R56" i="9"/>
  <c r="Q56" i="9"/>
  <c r="R55" i="9"/>
  <c r="Q55" i="9"/>
  <c r="R54" i="9"/>
  <c r="Q54" i="9"/>
  <c r="R53" i="9"/>
  <c r="Q53" i="9"/>
  <c r="R52" i="9"/>
  <c r="Q52" i="9"/>
  <c r="R51" i="9"/>
  <c r="Q51" i="9"/>
  <c r="R50" i="9"/>
  <c r="Q50" i="9"/>
  <c r="R49" i="9"/>
  <c r="Q49" i="9"/>
  <c r="R48" i="9"/>
  <c r="Q48" i="9"/>
  <c r="R47" i="9"/>
  <c r="Q47" i="9"/>
  <c r="R46" i="9"/>
  <c r="Q46" i="9"/>
  <c r="R45" i="9"/>
  <c r="Q45" i="9"/>
  <c r="R44" i="9"/>
  <c r="Q44" i="9"/>
  <c r="J7" i="9"/>
  <c r="S5" i="9" s="1"/>
  <c r="K7" i="9"/>
  <c r="T5" i="9" s="1"/>
  <c r="L7" i="9"/>
  <c r="U5" i="9" s="1"/>
  <c r="M7" i="9"/>
  <c r="V5" i="9" s="1"/>
  <c r="J8" i="9"/>
  <c r="S6" i="9" s="1"/>
  <c r="K8" i="9"/>
  <c r="T6" i="9" s="1"/>
  <c r="L8" i="9"/>
  <c r="U6" i="9" s="1"/>
  <c r="M8" i="9"/>
  <c r="V6" i="9" s="1"/>
  <c r="J9" i="9"/>
  <c r="S7" i="9" s="1"/>
  <c r="K9" i="9"/>
  <c r="T7" i="9" s="1"/>
  <c r="L9" i="9"/>
  <c r="U7" i="9" s="1"/>
  <c r="M9" i="9"/>
  <c r="V7" i="9" s="1"/>
  <c r="J10" i="9"/>
  <c r="S8" i="9" s="1"/>
  <c r="K10" i="9"/>
  <c r="T8" i="9" s="1"/>
  <c r="L10" i="9"/>
  <c r="U8" i="9" s="1"/>
  <c r="M10" i="9"/>
  <c r="V8" i="9" s="1"/>
  <c r="J11" i="9"/>
  <c r="S9" i="9" s="1"/>
  <c r="K11" i="9"/>
  <c r="T9" i="9" s="1"/>
  <c r="L11" i="9"/>
  <c r="U9" i="9" s="1"/>
  <c r="M11" i="9"/>
  <c r="V9" i="9" s="1"/>
  <c r="J12" i="9"/>
  <c r="S10" i="9" s="1"/>
  <c r="K12" i="9"/>
  <c r="T10" i="9" s="1"/>
  <c r="L12" i="9"/>
  <c r="U10" i="9" s="1"/>
  <c r="M12" i="9"/>
  <c r="V10" i="9" s="1"/>
  <c r="J13" i="9"/>
  <c r="S11" i="9" s="1"/>
  <c r="K13" i="9"/>
  <c r="T11" i="9" s="1"/>
  <c r="L13" i="9"/>
  <c r="U11" i="9" s="1"/>
  <c r="M13" i="9"/>
  <c r="V11" i="9" s="1"/>
  <c r="J14" i="9"/>
  <c r="S12" i="9" s="1"/>
  <c r="K14" i="9"/>
  <c r="T12" i="9" s="1"/>
  <c r="L14" i="9"/>
  <c r="U12" i="9" s="1"/>
  <c r="M14" i="9"/>
  <c r="V12" i="9" s="1"/>
  <c r="J15" i="9"/>
  <c r="S13" i="9" s="1"/>
  <c r="K15" i="9"/>
  <c r="T13" i="9" s="1"/>
  <c r="L15" i="9"/>
  <c r="U13" i="9" s="1"/>
  <c r="M15" i="9"/>
  <c r="V13" i="9" s="1"/>
  <c r="J16" i="9"/>
  <c r="S14" i="9" s="1"/>
  <c r="K16" i="9"/>
  <c r="T14" i="9" s="1"/>
  <c r="L16" i="9"/>
  <c r="U14" i="9" s="1"/>
  <c r="M16" i="9"/>
  <c r="V14" i="9" s="1"/>
  <c r="J17" i="9"/>
  <c r="S15" i="9" s="1"/>
  <c r="K17" i="9"/>
  <c r="T15" i="9" s="1"/>
  <c r="L17" i="9"/>
  <c r="U15" i="9" s="1"/>
  <c r="M17" i="9"/>
  <c r="V15" i="9" s="1"/>
  <c r="J18" i="9"/>
  <c r="S16" i="9" s="1"/>
  <c r="K18" i="9"/>
  <c r="T16" i="9" s="1"/>
  <c r="L18" i="9"/>
  <c r="U16" i="9" s="1"/>
  <c r="M18" i="9"/>
  <c r="V16" i="9" s="1"/>
  <c r="J19" i="9"/>
  <c r="S17" i="9" s="1"/>
  <c r="K19" i="9"/>
  <c r="T17" i="9" s="1"/>
  <c r="L19" i="9"/>
  <c r="U17" i="9" s="1"/>
  <c r="M19" i="9"/>
  <c r="V17" i="9" s="1"/>
  <c r="J20" i="9"/>
  <c r="S18" i="9" s="1"/>
  <c r="K20" i="9"/>
  <c r="T18" i="9" s="1"/>
  <c r="L20" i="9"/>
  <c r="U18" i="9" s="1"/>
  <c r="M20" i="9"/>
  <c r="V18" i="9" s="1"/>
  <c r="J21" i="9"/>
  <c r="S19" i="9" s="1"/>
  <c r="K21" i="9"/>
  <c r="T19" i="9" s="1"/>
  <c r="L21" i="9"/>
  <c r="U19" i="9" s="1"/>
  <c r="M21" i="9"/>
  <c r="V19" i="9" s="1"/>
  <c r="J22" i="9"/>
  <c r="S20" i="9" s="1"/>
  <c r="K22" i="9"/>
  <c r="T20" i="9" s="1"/>
  <c r="L22" i="9"/>
  <c r="U20" i="9" s="1"/>
  <c r="M22" i="9"/>
  <c r="V20" i="9" s="1"/>
  <c r="J23" i="9"/>
  <c r="S21" i="9" s="1"/>
  <c r="K23" i="9"/>
  <c r="T21" i="9" s="1"/>
  <c r="L23" i="9"/>
  <c r="U21" i="9" s="1"/>
  <c r="M23" i="9"/>
  <c r="V21" i="9" s="1"/>
  <c r="J24" i="9"/>
  <c r="S22" i="9" s="1"/>
  <c r="K24" i="9"/>
  <c r="T22" i="9" s="1"/>
  <c r="L24" i="9"/>
  <c r="U22" i="9" s="1"/>
  <c r="M24" i="9"/>
  <c r="V22" i="9" s="1"/>
  <c r="J25" i="9"/>
  <c r="S23" i="9" s="1"/>
  <c r="K25" i="9"/>
  <c r="T23" i="9" s="1"/>
  <c r="L25" i="9"/>
  <c r="U23" i="9" s="1"/>
  <c r="M25" i="9"/>
  <c r="V23" i="9" s="1"/>
  <c r="J26" i="9"/>
  <c r="S24" i="9" s="1"/>
  <c r="K26" i="9"/>
  <c r="T24" i="9" s="1"/>
  <c r="L26" i="9"/>
  <c r="U24" i="9" s="1"/>
  <c r="M26" i="9"/>
  <c r="V24" i="9" s="1"/>
  <c r="J27" i="9"/>
  <c r="S25" i="9" s="1"/>
  <c r="K27" i="9"/>
  <c r="T25" i="9" s="1"/>
  <c r="L27" i="9"/>
  <c r="U25" i="9" s="1"/>
  <c r="M27" i="9"/>
  <c r="V25" i="9" s="1"/>
  <c r="J28" i="9"/>
  <c r="S26" i="9" s="1"/>
  <c r="K28" i="9"/>
  <c r="T26" i="9" s="1"/>
  <c r="L28" i="9"/>
  <c r="U26" i="9" s="1"/>
  <c r="M28" i="9"/>
  <c r="V26" i="9" s="1"/>
  <c r="J29" i="9"/>
  <c r="S27" i="9" s="1"/>
  <c r="K29" i="9"/>
  <c r="T27" i="9" s="1"/>
  <c r="L29" i="9"/>
  <c r="U27" i="9" s="1"/>
  <c r="M29" i="9"/>
  <c r="V27" i="9" s="1"/>
  <c r="J30" i="9"/>
  <c r="S28" i="9" s="1"/>
  <c r="K30" i="9"/>
  <c r="T28" i="9" s="1"/>
  <c r="L30" i="9"/>
  <c r="U28" i="9" s="1"/>
  <c r="M30" i="9"/>
  <c r="V28" i="9" s="1"/>
  <c r="J31" i="9"/>
  <c r="S29" i="9" s="1"/>
  <c r="K31" i="9"/>
  <c r="T29" i="9" s="1"/>
  <c r="L31" i="9"/>
  <c r="U29" i="9" s="1"/>
  <c r="M31" i="9"/>
  <c r="V29" i="9" s="1"/>
  <c r="J32" i="9"/>
  <c r="S30" i="9" s="1"/>
  <c r="K32" i="9"/>
  <c r="T30" i="9" s="1"/>
  <c r="L32" i="9"/>
  <c r="U30" i="9" s="1"/>
  <c r="M32" i="9"/>
  <c r="V30" i="9" s="1"/>
  <c r="J33" i="9"/>
  <c r="S31" i="9" s="1"/>
  <c r="K33" i="9"/>
  <c r="T31" i="9" s="1"/>
  <c r="L33" i="9"/>
  <c r="U31" i="9" s="1"/>
  <c r="M33" i="9"/>
  <c r="V31" i="9" s="1"/>
  <c r="J34" i="9"/>
  <c r="S32" i="9" s="1"/>
  <c r="K34" i="9"/>
  <c r="T32" i="9" s="1"/>
  <c r="L34" i="9"/>
  <c r="U32" i="9" s="1"/>
  <c r="M34" i="9"/>
  <c r="V32" i="9" s="1"/>
  <c r="J35" i="9"/>
  <c r="S33" i="9" s="1"/>
  <c r="K35" i="9"/>
  <c r="T33" i="9" s="1"/>
  <c r="L35" i="9"/>
  <c r="U33" i="9" s="1"/>
  <c r="M35" i="9"/>
  <c r="V33" i="9" s="1"/>
  <c r="J36" i="9"/>
  <c r="S34" i="9" s="1"/>
  <c r="K36" i="9"/>
  <c r="T34" i="9" s="1"/>
  <c r="L36" i="9"/>
  <c r="U34" i="9" s="1"/>
  <c r="M36" i="9"/>
  <c r="V34" i="9" s="1"/>
  <c r="J37" i="9"/>
  <c r="S35" i="9" s="1"/>
  <c r="K37" i="9"/>
  <c r="T35" i="9" s="1"/>
  <c r="L37" i="9"/>
  <c r="U35" i="9" s="1"/>
  <c r="M37" i="9"/>
  <c r="V35" i="9" s="1"/>
  <c r="J38" i="9"/>
  <c r="S36" i="9" s="1"/>
  <c r="K38" i="9"/>
  <c r="T36" i="9" s="1"/>
  <c r="L38" i="9"/>
  <c r="U36" i="9" s="1"/>
  <c r="M38" i="9"/>
  <c r="V36" i="9" s="1"/>
  <c r="J39" i="9"/>
  <c r="S37" i="9" s="1"/>
  <c r="K39" i="9"/>
  <c r="T37" i="9" s="1"/>
  <c r="L39" i="9"/>
  <c r="U37" i="9" s="1"/>
  <c r="M39" i="9"/>
  <c r="V37" i="9" s="1"/>
  <c r="J40" i="9"/>
  <c r="S38" i="9" s="1"/>
  <c r="K40" i="9"/>
  <c r="T38" i="9" s="1"/>
  <c r="L40" i="9"/>
  <c r="U38" i="9" s="1"/>
  <c r="M40" i="9"/>
  <c r="V38" i="9" s="1"/>
  <c r="J41" i="9"/>
  <c r="S39" i="9" s="1"/>
  <c r="K41" i="9"/>
  <c r="T39" i="9" s="1"/>
  <c r="L41" i="9"/>
  <c r="U39" i="9" s="1"/>
  <c r="M41" i="9"/>
  <c r="V39" i="9" s="1"/>
  <c r="J42" i="9"/>
  <c r="S40" i="9" s="1"/>
  <c r="K42" i="9"/>
  <c r="T40" i="9" s="1"/>
  <c r="L42" i="9"/>
  <c r="U40" i="9" s="1"/>
  <c r="M42" i="9"/>
  <c r="V40" i="9" s="1"/>
  <c r="J43" i="9"/>
  <c r="S41" i="9" s="1"/>
  <c r="K43" i="9"/>
  <c r="T41" i="9" s="1"/>
  <c r="L43" i="9"/>
  <c r="U41" i="9" s="1"/>
  <c r="M43" i="9"/>
  <c r="V41" i="9" s="1"/>
  <c r="J44" i="9"/>
  <c r="S42" i="9" s="1"/>
  <c r="K44" i="9"/>
  <c r="T42" i="9" s="1"/>
  <c r="L44" i="9"/>
  <c r="U42" i="9" s="1"/>
  <c r="M44" i="9"/>
  <c r="V42" i="9" s="1"/>
  <c r="J45" i="9"/>
  <c r="S43" i="9" s="1"/>
  <c r="K45" i="9"/>
  <c r="T43" i="9" s="1"/>
  <c r="L45" i="9"/>
  <c r="U43" i="9" s="1"/>
  <c r="M45" i="9"/>
  <c r="V43" i="9" s="1"/>
  <c r="J46" i="9"/>
  <c r="S44" i="9" s="1"/>
  <c r="K46" i="9"/>
  <c r="T44" i="9" s="1"/>
  <c r="L46" i="9"/>
  <c r="U44" i="9" s="1"/>
  <c r="M46" i="9"/>
  <c r="V44" i="9" s="1"/>
  <c r="J47" i="9"/>
  <c r="S45" i="9" s="1"/>
  <c r="K47" i="9"/>
  <c r="T45" i="9" s="1"/>
  <c r="L47" i="9"/>
  <c r="U45" i="9" s="1"/>
  <c r="M47" i="9"/>
  <c r="V45" i="9" s="1"/>
  <c r="J48" i="9"/>
  <c r="S46" i="9" s="1"/>
  <c r="K48" i="9"/>
  <c r="T46" i="9" s="1"/>
  <c r="L48" i="9"/>
  <c r="U46" i="9" s="1"/>
  <c r="M48" i="9"/>
  <c r="V46" i="9" s="1"/>
  <c r="J49" i="9"/>
  <c r="S47" i="9" s="1"/>
  <c r="K49" i="9"/>
  <c r="T47" i="9" s="1"/>
  <c r="L49" i="9"/>
  <c r="U47" i="9" s="1"/>
  <c r="M49" i="9"/>
  <c r="V47" i="9" s="1"/>
  <c r="J50" i="9"/>
  <c r="S48" i="9" s="1"/>
  <c r="K50" i="9"/>
  <c r="T48" i="9" s="1"/>
  <c r="L50" i="9"/>
  <c r="U48" i="9" s="1"/>
  <c r="M50" i="9"/>
  <c r="V48" i="9" s="1"/>
  <c r="J51" i="9"/>
  <c r="S49" i="9" s="1"/>
  <c r="K51" i="9"/>
  <c r="T49" i="9" s="1"/>
  <c r="L51" i="9"/>
  <c r="U49" i="9" s="1"/>
  <c r="M51" i="9"/>
  <c r="V49" i="9" s="1"/>
  <c r="J52" i="9"/>
  <c r="S50" i="9" s="1"/>
  <c r="K52" i="9"/>
  <c r="T50" i="9" s="1"/>
  <c r="L52" i="9"/>
  <c r="U50" i="9" s="1"/>
  <c r="M52" i="9"/>
  <c r="V50" i="9" s="1"/>
  <c r="J53" i="9"/>
  <c r="S51" i="9" s="1"/>
  <c r="K53" i="9"/>
  <c r="T51" i="9" s="1"/>
  <c r="L53" i="9"/>
  <c r="U51" i="9" s="1"/>
  <c r="M53" i="9"/>
  <c r="V51" i="9" s="1"/>
  <c r="J54" i="9"/>
  <c r="S52" i="9" s="1"/>
  <c r="K54" i="9"/>
  <c r="T52" i="9" s="1"/>
  <c r="L54" i="9"/>
  <c r="U52" i="9" s="1"/>
  <c r="M54" i="9"/>
  <c r="V52" i="9" s="1"/>
  <c r="J55" i="9"/>
  <c r="S53" i="9" s="1"/>
  <c r="K55" i="9"/>
  <c r="T53" i="9" s="1"/>
  <c r="L55" i="9"/>
  <c r="U53" i="9" s="1"/>
  <c r="M55" i="9"/>
  <c r="V53" i="9" s="1"/>
  <c r="J56" i="9"/>
  <c r="S54" i="9" s="1"/>
  <c r="K56" i="9"/>
  <c r="T54" i="9" s="1"/>
  <c r="L56" i="9"/>
  <c r="U54" i="9" s="1"/>
  <c r="M56" i="9"/>
  <c r="V54" i="9" s="1"/>
  <c r="J57" i="9"/>
  <c r="S55" i="9" s="1"/>
  <c r="K57" i="9"/>
  <c r="T55" i="9" s="1"/>
  <c r="L57" i="9"/>
  <c r="U55" i="9" s="1"/>
  <c r="M57" i="9"/>
  <c r="V55" i="9" s="1"/>
  <c r="J58" i="9"/>
  <c r="S56" i="9" s="1"/>
  <c r="K58" i="9"/>
  <c r="T56" i="9" s="1"/>
  <c r="L58" i="9"/>
  <c r="U56" i="9" s="1"/>
  <c r="M58" i="9"/>
  <c r="V56" i="9" s="1"/>
  <c r="J59" i="9"/>
  <c r="S57" i="9" s="1"/>
  <c r="K59" i="9"/>
  <c r="T57" i="9" s="1"/>
  <c r="L59" i="9"/>
  <c r="U57" i="9" s="1"/>
  <c r="M59" i="9"/>
  <c r="V57" i="9" s="1"/>
  <c r="J60" i="9"/>
  <c r="S58" i="9" s="1"/>
  <c r="K60" i="9"/>
  <c r="T58" i="9" s="1"/>
  <c r="L60" i="9"/>
  <c r="U58" i="9" s="1"/>
  <c r="M60" i="9"/>
  <c r="V58" i="9" s="1"/>
  <c r="J61" i="9"/>
  <c r="S59" i="9" s="1"/>
  <c r="K61" i="9"/>
  <c r="T59" i="9" s="1"/>
  <c r="L61" i="9"/>
  <c r="U59" i="9" s="1"/>
  <c r="M61" i="9"/>
  <c r="V59" i="9" s="1"/>
  <c r="J62" i="9"/>
  <c r="S60" i="9" s="1"/>
  <c r="K62" i="9"/>
  <c r="T60" i="9" s="1"/>
  <c r="L62" i="9"/>
  <c r="U60" i="9" s="1"/>
  <c r="M62" i="9"/>
  <c r="V60" i="9" s="1"/>
  <c r="J63" i="9"/>
  <c r="S61" i="9" s="1"/>
  <c r="K63" i="9"/>
  <c r="T61" i="9" s="1"/>
  <c r="L63" i="9"/>
  <c r="U61" i="9" s="1"/>
  <c r="M63" i="9"/>
  <c r="V61" i="9" s="1"/>
  <c r="J64" i="9"/>
  <c r="S62" i="9" s="1"/>
  <c r="K64" i="9"/>
  <c r="T62" i="9" s="1"/>
  <c r="L64" i="9"/>
  <c r="U62" i="9" s="1"/>
  <c r="M64" i="9"/>
  <c r="V62" i="9" s="1"/>
  <c r="J65" i="9"/>
  <c r="S63" i="9" s="1"/>
  <c r="K65" i="9"/>
  <c r="T63" i="9" s="1"/>
  <c r="L65" i="9"/>
  <c r="U63" i="9" s="1"/>
  <c r="M65" i="9"/>
  <c r="V63" i="9" s="1"/>
  <c r="J66" i="9"/>
  <c r="S64" i="9" s="1"/>
  <c r="K66" i="9"/>
  <c r="T64" i="9" s="1"/>
  <c r="L66" i="9"/>
  <c r="U64" i="9" s="1"/>
  <c r="M66" i="9"/>
  <c r="V64" i="9" s="1"/>
  <c r="J67" i="9"/>
  <c r="S65" i="9" s="1"/>
  <c r="K67" i="9"/>
  <c r="T65" i="9" s="1"/>
  <c r="L67" i="9"/>
  <c r="U65" i="9" s="1"/>
  <c r="M67" i="9"/>
  <c r="V65" i="9" s="1"/>
  <c r="J68" i="9"/>
  <c r="S66" i="9" s="1"/>
  <c r="K68" i="9"/>
  <c r="T66" i="9" s="1"/>
  <c r="L68" i="9"/>
  <c r="U66" i="9" s="1"/>
  <c r="M68" i="9"/>
  <c r="V66" i="9" s="1"/>
  <c r="J69" i="9"/>
  <c r="S67" i="9" s="1"/>
  <c r="K69" i="9"/>
  <c r="T67" i="9" s="1"/>
  <c r="L69" i="9"/>
  <c r="U67" i="9" s="1"/>
  <c r="M69" i="9"/>
  <c r="V67" i="9" s="1"/>
  <c r="J70" i="9"/>
  <c r="S68" i="9" s="1"/>
  <c r="K70" i="9"/>
  <c r="T68" i="9" s="1"/>
  <c r="L70" i="9"/>
  <c r="U68" i="9" s="1"/>
  <c r="M70" i="9"/>
  <c r="V68" i="9" s="1"/>
  <c r="J71" i="9"/>
  <c r="S69" i="9" s="1"/>
  <c r="K71" i="9"/>
  <c r="T69" i="9" s="1"/>
  <c r="L71" i="9"/>
  <c r="U69" i="9" s="1"/>
  <c r="M71" i="9"/>
  <c r="V69" i="9" s="1"/>
  <c r="J72" i="9"/>
  <c r="S70" i="9" s="1"/>
  <c r="K72" i="9"/>
  <c r="T70" i="9" s="1"/>
  <c r="L72" i="9"/>
  <c r="U70" i="9" s="1"/>
  <c r="M72" i="9"/>
  <c r="V70" i="9" s="1"/>
  <c r="J73" i="9"/>
  <c r="S71" i="9" s="1"/>
  <c r="K73" i="9"/>
  <c r="T71" i="9" s="1"/>
  <c r="L73" i="9"/>
  <c r="U71" i="9" s="1"/>
  <c r="M73" i="9"/>
  <c r="V71" i="9" s="1"/>
  <c r="J74" i="9"/>
  <c r="S72" i="9" s="1"/>
  <c r="K74" i="9"/>
  <c r="T72" i="9" s="1"/>
  <c r="L74" i="9"/>
  <c r="U72" i="9" s="1"/>
  <c r="M74" i="9"/>
  <c r="V72" i="9" s="1"/>
  <c r="J75" i="9"/>
  <c r="S73" i="9" s="1"/>
  <c r="K75" i="9"/>
  <c r="T73" i="9" s="1"/>
  <c r="L75" i="9"/>
  <c r="U73" i="9" s="1"/>
  <c r="M75" i="9"/>
  <c r="V73" i="9" s="1"/>
  <c r="J76" i="9"/>
  <c r="S74" i="9" s="1"/>
  <c r="K76" i="9"/>
  <c r="T74" i="9" s="1"/>
  <c r="L76" i="9"/>
  <c r="U74" i="9" s="1"/>
  <c r="M76" i="9"/>
  <c r="V74" i="9" s="1"/>
  <c r="J77" i="9"/>
  <c r="S75" i="9" s="1"/>
  <c r="K77" i="9"/>
  <c r="T75" i="9" s="1"/>
  <c r="L77" i="9"/>
  <c r="U75" i="9" s="1"/>
  <c r="M77" i="9"/>
  <c r="V75" i="9" s="1"/>
  <c r="J78" i="9"/>
  <c r="S76" i="9" s="1"/>
  <c r="K78" i="9"/>
  <c r="T76" i="9" s="1"/>
  <c r="L78" i="9"/>
  <c r="U76" i="9" s="1"/>
  <c r="M78" i="9"/>
  <c r="V76" i="9" s="1"/>
  <c r="J79" i="9"/>
  <c r="S77" i="9" s="1"/>
  <c r="K79" i="9"/>
  <c r="T77" i="9" s="1"/>
  <c r="L79" i="9"/>
  <c r="U77" i="9" s="1"/>
  <c r="M79" i="9"/>
  <c r="V77" i="9" s="1"/>
  <c r="J80" i="9"/>
  <c r="S78" i="9" s="1"/>
  <c r="K80" i="9"/>
  <c r="T78" i="9" s="1"/>
  <c r="L80" i="9"/>
  <c r="U78" i="9" s="1"/>
  <c r="M80" i="9"/>
  <c r="V78" i="9" s="1"/>
  <c r="J81" i="9"/>
  <c r="S79" i="9" s="1"/>
  <c r="K81" i="9"/>
  <c r="T79" i="9" s="1"/>
  <c r="L81" i="9"/>
  <c r="U79" i="9" s="1"/>
  <c r="M81" i="9"/>
  <c r="V79" i="9" s="1"/>
  <c r="J82" i="9"/>
  <c r="S80" i="9" s="1"/>
  <c r="K82" i="9"/>
  <c r="T80" i="9" s="1"/>
  <c r="L82" i="9"/>
  <c r="U80" i="9" s="1"/>
  <c r="M82" i="9"/>
  <c r="V80" i="9" s="1"/>
  <c r="J83" i="9"/>
  <c r="S81" i="9" s="1"/>
  <c r="K83" i="9"/>
  <c r="T81" i="9" s="1"/>
  <c r="L83" i="9"/>
  <c r="U81" i="9" s="1"/>
  <c r="M83" i="9"/>
  <c r="V81" i="9" s="1"/>
  <c r="J84" i="9"/>
  <c r="S82" i="9" s="1"/>
  <c r="K84" i="9"/>
  <c r="T82" i="9" s="1"/>
  <c r="L84" i="9"/>
  <c r="U82" i="9" s="1"/>
  <c r="M84" i="9"/>
  <c r="V82" i="9" s="1"/>
  <c r="J85" i="9"/>
  <c r="S83" i="9" s="1"/>
  <c r="K85" i="9"/>
  <c r="T83" i="9" s="1"/>
  <c r="L85" i="9"/>
  <c r="U83" i="9" s="1"/>
  <c r="M85" i="9"/>
  <c r="V83" i="9" s="1"/>
  <c r="J86" i="9"/>
  <c r="S84" i="9" s="1"/>
  <c r="K86" i="9"/>
  <c r="T84" i="9" s="1"/>
  <c r="L86" i="9"/>
  <c r="U84" i="9" s="1"/>
  <c r="M86" i="9"/>
  <c r="V84" i="9" s="1"/>
  <c r="J87" i="9"/>
  <c r="S85" i="9" s="1"/>
  <c r="K87" i="9"/>
  <c r="T85" i="9" s="1"/>
  <c r="L87" i="9"/>
  <c r="U85" i="9" s="1"/>
  <c r="M87" i="9"/>
  <c r="V85" i="9" s="1"/>
  <c r="J88" i="9"/>
  <c r="S86" i="9" s="1"/>
  <c r="K88" i="9"/>
  <c r="T86" i="9" s="1"/>
  <c r="L88" i="9"/>
  <c r="U86" i="9" s="1"/>
  <c r="M88" i="9"/>
  <c r="V86" i="9" s="1"/>
  <c r="J89" i="9"/>
  <c r="S87" i="9" s="1"/>
  <c r="K89" i="9"/>
  <c r="T87" i="9" s="1"/>
  <c r="L89" i="9"/>
  <c r="U87" i="9" s="1"/>
  <c r="M89" i="9"/>
  <c r="V87" i="9" s="1"/>
  <c r="J90" i="9"/>
  <c r="S88" i="9" s="1"/>
  <c r="K90" i="9"/>
  <c r="T88" i="9" s="1"/>
  <c r="L90" i="9"/>
  <c r="U88" i="9" s="1"/>
  <c r="M90" i="9"/>
  <c r="V88" i="9" s="1"/>
  <c r="J91" i="9"/>
  <c r="S89" i="9" s="1"/>
  <c r="K91" i="9"/>
  <c r="T89" i="9" s="1"/>
  <c r="L91" i="9"/>
  <c r="U89" i="9" s="1"/>
  <c r="M91" i="9"/>
  <c r="V89" i="9" s="1"/>
  <c r="J92" i="9"/>
  <c r="S90" i="9" s="1"/>
  <c r="K92" i="9"/>
  <c r="T90" i="9" s="1"/>
  <c r="L92" i="9"/>
  <c r="U90" i="9" s="1"/>
  <c r="M92" i="9"/>
  <c r="V90" i="9" s="1"/>
  <c r="J93" i="9"/>
  <c r="S91" i="9" s="1"/>
  <c r="K93" i="9"/>
  <c r="T91" i="9" s="1"/>
  <c r="L93" i="9"/>
  <c r="U91" i="9" s="1"/>
  <c r="M93" i="9"/>
  <c r="V91" i="9" s="1"/>
  <c r="J94" i="9"/>
  <c r="S92" i="9" s="1"/>
  <c r="K94" i="9"/>
  <c r="T92" i="9" s="1"/>
  <c r="L94" i="9"/>
  <c r="U92" i="9" s="1"/>
  <c r="M94" i="9"/>
  <c r="V92" i="9" s="1"/>
  <c r="J95" i="9"/>
  <c r="S93" i="9" s="1"/>
  <c r="K95" i="9"/>
  <c r="T93" i="9" s="1"/>
  <c r="L95" i="9"/>
  <c r="U93" i="9" s="1"/>
  <c r="M95" i="9"/>
  <c r="V93" i="9" s="1"/>
  <c r="J96" i="9"/>
  <c r="S94" i="9" s="1"/>
  <c r="K96" i="9"/>
  <c r="T94" i="9" s="1"/>
  <c r="L96" i="9"/>
  <c r="U94" i="9" s="1"/>
  <c r="M96" i="9"/>
  <c r="V94" i="9" s="1"/>
  <c r="J97" i="9"/>
  <c r="S95" i="9" s="1"/>
  <c r="K97" i="9"/>
  <c r="T95" i="9" s="1"/>
  <c r="L97" i="9"/>
  <c r="U95" i="9" s="1"/>
  <c r="M97" i="9"/>
  <c r="V95" i="9" s="1"/>
  <c r="J98" i="9"/>
  <c r="S96" i="9" s="1"/>
  <c r="K98" i="9"/>
  <c r="T96" i="9" s="1"/>
  <c r="L98" i="9"/>
  <c r="U96" i="9" s="1"/>
  <c r="M98" i="9"/>
  <c r="V96" i="9" s="1"/>
  <c r="J99" i="9"/>
  <c r="S97" i="9" s="1"/>
  <c r="K99" i="9"/>
  <c r="T97" i="9" s="1"/>
  <c r="L99" i="9"/>
  <c r="U97" i="9" s="1"/>
  <c r="M99" i="9"/>
  <c r="V97" i="9" s="1"/>
  <c r="J100" i="9"/>
  <c r="S98" i="9" s="1"/>
  <c r="K100" i="9"/>
  <c r="T98" i="9" s="1"/>
  <c r="K93" i="1" s="1"/>
  <c r="L100" i="9"/>
  <c r="U98" i="9" s="1"/>
  <c r="M100" i="9"/>
  <c r="V98" i="9" s="1"/>
  <c r="J101" i="9"/>
  <c r="S99" i="9" s="1"/>
  <c r="K101" i="9"/>
  <c r="T99" i="9" s="1"/>
  <c r="L101" i="9"/>
  <c r="U99" i="9" s="1"/>
  <c r="M101" i="9"/>
  <c r="V99" i="9" s="1"/>
  <c r="J102" i="9"/>
  <c r="S100" i="9" s="1"/>
  <c r="K102" i="9"/>
  <c r="T100" i="9" s="1"/>
  <c r="L102" i="9"/>
  <c r="U100" i="9" s="1"/>
  <c r="M102" i="9"/>
  <c r="V100" i="9" s="1"/>
  <c r="J103" i="9"/>
  <c r="S101" i="9" s="1"/>
  <c r="K103" i="9"/>
  <c r="T101" i="9" s="1"/>
  <c r="L103" i="9"/>
  <c r="U101" i="9" s="1"/>
  <c r="M103" i="9"/>
  <c r="V101" i="9" s="1"/>
  <c r="J104" i="9"/>
  <c r="S102" i="9" s="1"/>
  <c r="K104" i="9"/>
  <c r="T102" i="9" s="1"/>
  <c r="L104" i="9"/>
  <c r="U102" i="9" s="1"/>
  <c r="M104" i="9"/>
  <c r="V102" i="9" s="1"/>
  <c r="J105" i="9"/>
  <c r="S103" i="9" s="1"/>
  <c r="K105" i="9"/>
  <c r="T103" i="9" s="1"/>
  <c r="L105" i="9"/>
  <c r="U103" i="9" s="1"/>
  <c r="M105" i="9"/>
  <c r="V103" i="9" s="1"/>
  <c r="J106" i="9"/>
  <c r="S104" i="9" s="1"/>
  <c r="K106" i="9"/>
  <c r="T104" i="9" s="1"/>
  <c r="L106" i="9"/>
  <c r="U104" i="9" s="1"/>
  <c r="M106" i="9"/>
  <c r="V104" i="9" s="1"/>
  <c r="J107" i="9"/>
  <c r="S105" i="9" s="1"/>
  <c r="K107" i="9"/>
  <c r="T105" i="9" s="1"/>
  <c r="L107" i="9"/>
  <c r="U105" i="9" s="1"/>
  <c r="M107" i="9"/>
  <c r="V105" i="9" s="1"/>
  <c r="J108" i="9"/>
  <c r="S106" i="9" s="1"/>
  <c r="K108" i="9"/>
  <c r="T106" i="9" s="1"/>
  <c r="L108" i="9"/>
  <c r="U106" i="9" s="1"/>
  <c r="M108" i="9"/>
  <c r="V106" i="9" s="1"/>
  <c r="J109" i="9"/>
  <c r="S107" i="9" s="1"/>
  <c r="K109" i="9"/>
  <c r="T107" i="9" s="1"/>
  <c r="L109" i="9"/>
  <c r="U107" i="9" s="1"/>
  <c r="M109" i="9"/>
  <c r="V107" i="9" s="1"/>
  <c r="J110" i="9"/>
  <c r="S108" i="9" s="1"/>
  <c r="K110" i="9"/>
  <c r="T108" i="9" s="1"/>
  <c r="L110" i="9"/>
  <c r="U108" i="9" s="1"/>
  <c r="M110" i="9"/>
  <c r="V108" i="9" s="1"/>
  <c r="J111" i="9"/>
  <c r="S109" i="9" s="1"/>
  <c r="K111" i="9"/>
  <c r="T109" i="9" s="1"/>
  <c r="L111" i="9"/>
  <c r="U109" i="9" s="1"/>
  <c r="M111" i="9"/>
  <c r="V109" i="9" s="1"/>
  <c r="J112" i="9"/>
  <c r="S110" i="9" s="1"/>
  <c r="K112" i="9"/>
  <c r="T110" i="9" s="1"/>
  <c r="L112" i="9"/>
  <c r="U110" i="9" s="1"/>
  <c r="M112" i="9"/>
  <c r="V110" i="9" s="1"/>
  <c r="J113" i="9"/>
  <c r="S111" i="9" s="1"/>
  <c r="K113" i="9"/>
  <c r="T111" i="9" s="1"/>
  <c r="L113" i="9"/>
  <c r="U111" i="9" s="1"/>
  <c r="M113" i="9"/>
  <c r="V111" i="9" s="1"/>
  <c r="J114" i="9"/>
  <c r="S112" i="9" s="1"/>
  <c r="K114" i="9"/>
  <c r="T112" i="9" s="1"/>
  <c r="L114" i="9"/>
  <c r="U112" i="9" s="1"/>
  <c r="M114" i="9"/>
  <c r="V112" i="9" s="1"/>
  <c r="J115" i="9"/>
  <c r="S113" i="9" s="1"/>
  <c r="K115" i="9"/>
  <c r="T113" i="9" s="1"/>
  <c r="L115" i="9"/>
  <c r="U113" i="9" s="1"/>
  <c r="M115" i="9"/>
  <c r="V113" i="9" s="1"/>
  <c r="J116" i="9"/>
  <c r="S114" i="9" s="1"/>
  <c r="K116" i="9"/>
  <c r="T114" i="9" s="1"/>
  <c r="L116" i="9"/>
  <c r="U114" i="9" s="1"/>
  <c r="M116" i="9"/>
  <c r="V114" i="9" s="1"/>
  <c r="J117" i="9"/>
  <c r="S115" i="9" s="1"/>
  <c r="K117" i="9"/>
  <c r="T115" i="9" s="1"/>
  <c r="L117" i="9"/>
  <c r="U115" i="9" s="1"/>
  <c r="M117" i="9"/>
  <c r="V115" i="9" s="1"/>
  <c r="J118" i="9"/>
  <c r="S116" i="9" s="1"/>
  <c r="K118" i="9"/>
  <c r="T116" i="9" s="1"/>
  <c r="L118" i="9"/>
  <c r="U116" i="9" s="1"/>
  <c r="M118" i="9"/>
  <c r="V116" i="9" s="1"/>
  <c r="J119" i="9"/>
  <c r="S117" i="9" s="1"/>
  <c r="K119" i="9"/>
  <c r="T117" i="9" s="1"/>
  <c r="L119" i="9"/>
  <c r="U117" i="9" s="1"/>
  <c r="M119" i="9"/>
  <c r="V117" i="9" s="1"/>
  <c r="J120" i="9"/>
  <c r="S118" i="9" s="1"/>
  <c r="K120" i="9"/>
  <c r="T118" i="9" s="1"/>
  <c r="L120" i="9"/>
  <c r="U118" i="9" s="1"/>
  <c r="M120" i="9"/>
  <c r="V118" i="9" s="1"/>
  <c r="J121" i="9"/>
  <c r="S119" i="9" s="1"/>
  <c r="K121" i="9"/>
  <c r="T119" i="9" s="1"/>
  <c r="L121" i="9"/>
  <c r="U119" i="9" s="1"/>
  <c r="M121" i="9"/>
  <c r="V119" i="9" s="1"/>
  <c r="J122" i="9"/>
  <c r="S120" i="9" s="1"/>
  <c r="K122" i="9"/>
  <c r="T120" i="9" s="1"/>
  <c r="L122" i="9"/>
  <c r="U120" i="9" s="1"/>
  <c r="M122" i="9"/>
  <c r="V120" i="9" s="1"/>
  <c r="J123" i="9"/>
  <c r="S121" i="9" s="1"/>
  <c r="K123" i="9"/>
  <c r="T121" i="9" s="1"/>
  <c r="L123" i="9"/>
  <c r="U121" i="9" s="1"/>
  <c r="M123" i="9"/>
  <c r="V121" i="9" s="1"/>
  <c r="J124" i="9"/>
  <c r="S122" i="9" s="1"/>
  <c r="K124" i="9"/>
  <c r="T122" i="9" s="1"/>
  <c r="L124" i="9"/>
  <c r="U122" i="9" s="1"/>
  <c r="M124" i="9"/>
  <c r="V122" i="9" s="1"/>
  <c r="J125" i="9"/>
  <c r="S123" i="9" s="1"/>
  <c r="K125" i="9"/>
  <c r="T123" i="9" s="1"/>
  <c r="L125" i="9"/>
  <c r="U123" i="9" s="1"/>
  <c r="M125" i="9"/>
  <c r="V123" i="9" s="1"/>
  <c r="J126" i="9"/>
  <c r="S124" i="9" s="1"/>
  <c r="K126" i="9"/>
  <c r="T124" i="9" s="1"/>
  <c r="L126" i="9"/>
  <c r="U124" i="9" s="1"/>
  <c r="M126" i="9"/>
  <c r="V124" i="9" s="1"/>
  <c r="J127" i="9"/>
  <c r="S125" i="9" s="1"/>
  <c r="K127" i="9"/>
  <c r="T125" i="9" s="1"/>
  <c r="L127" i="9"/>
  <c r="U125" i="9" s="1"/>
  <c r="M127" i="9"/>
  <c r="V125" i="9" s="1"/>
  <c r="J128" i="9"/>
  <c r="S126" i="9" s="1"/>
  <c r="K128" i="9"/>
  <c r="T126" i="9" s="1"/>
  <c r="L128" i="9"/>
  <c r="U126" i="9" s="1"/>
  <c r="M128" i="9"/>
  <c r="V126" i="9" s="1"/>
  <c r="J129" i="9"/>
  <c r="S127" i="9" s="1"/>
  <c r="K129" i="9"/>
  <c r="T127" i="9" s="1"/>
  <c r="L129" i="9"/>
  <c r="U127" i="9" s="1"/>
  <c r="M129" i="9"/>
  <c r="V127" i="9" s="1"/>
  <c r="J130" i="9"/>
  <c r="S128" i="9" s="1"/>
  <c r="K130" i="9"/>
  <c r="T128" i="9" s="1"/>
  <c r="L130" i="9"/>
  <c r="U128" i="9" s="1"/>
  <c r="M130" i="9"/>
  <c r="V128" i="9" s="1"/>
  <c r="J131" i="9"/>
  <c r="S129" i="9" s="1"/>
  <c r="K131" i="9"/>
  <c r="T129" i="9" s="1"/>
  <c r="L131" i="9"/>
  <c r="U129" i="9" s="1"/>
  <c r="M131" i="9"/>
  <c r="V129" i="9" s="1"/>
  <c r="J132" i="9"/>
  <c r="S130" i="9" s="1"/>
  <c r="K132" i="9"/>
  <c r="T130" i="9" s="1"/>
  <c r="L132" i="9"/>
  <c r="U130" i="9" s="1"/>
  <c r="M132" i="9"/>
  <c r="V130" i="9" s="1"/>
  <c r="J133" i="9"/>
  <c r="S131" i="9" s="1"/>
  <c r="K133" i="9"/>
  <c r="T131" i="9" s="1"/>
  <c r="L133" i="9"/>
  <c r="U131" i="9" s="1"/>
  <c r="M133" i="9"/>
  <c r="V131" i="9" s="1"/>
  <c r="J134" i="9"/>
  <c r="S132" i="9" s="1"/>
  <c r="K134" i="9"/>
  <c r="T132" i="9" s="1"/>
  <c r="L134" i="9"/>
  <c r="U132" i="9" s="1"/>
  <c r="M134" i="9"/>
  <c r="V132" i="9" s="1"/>
  <c r="J135" i="9"/>
  <c r="S133" i="9" s="1"/>
  <c r="K135" i="9"/>
  <c r="T133" i="9" s="1"/>
  <c r="L135" i="9"/>
  <c r="U133" i="9" s="1"/>
  <c r="M135" i="9"/>
  <c r="V133" i="9" s="1"/>
  <c r="J136" i="9"/>
  <c r="S134" i="9" s="1"/>
  <c r="K136" i="9"/>
  <c r="T134" i="9" s="1"/>
  <c r="L136" i="9"/>
  <c r="U134" i="9" s="1"/>
  <c r="M136" i="9"/>
  <c r="V134" i="9" s="1"/>
  <c r="J137" i="9"/>
  <c r="S135" i="9" s="1"/>
  <c r="K137" i="9"/>
  <c r="T135" i="9" s="1"/>
  <c r="L137" i="9"/>
  <c r="U135" i="9" s="1"/>
  <c r="M137" i="9"/>
  <c r="V135" i="9" s="1"/>
  <c r="J138" i="9"/>
  <c r="S136" i="9" s="1"/>
  <c r="K138" i="9"/>
  <c r="T136" i="9" s="1"/>
  <c r="L138" i="9"/>
  <c r="U136" i="9" s="1"/>
  <c r="M138" i="9"/>
  <c r="V136" i="9" s="1"/>
  <c r="J139" i="9"/>
  <c r="S137" i="9" s="1"/>
  <c r="K139" i="9"/>
  <c r="T137" i="9" s="1"/>
  <c r="L139" i="9"/>
  <c r="U137" i="9" s="1"/>
  <c r="M139" i="9"/>
  <c r="V137" i="9" s="1"/>
  <c r="J140" i="9"/>
  <c r="S138" i="9" s="1"/>
  <c r="K140" i="9"/>
  <c r="T138" i="9" s="1"/>
  <c r="L140" i="9"/>
  <c r="U138" i="9" s="1"/>
  <c r="M140" i="9"/>
  <c r="V138" i="9" s="1"/>
  <c r="J141" i="9"/>
  <c r="S139" i="9" s="1"/>
  <c r="K141" i="9"/>
  <c r="T139" i="9" s="1"/>
  <c r="L141" i="9"/>
  <c r="U139" i="9" s="1"/>
  <c r="M141" i="9"/>
  <c r="V139" i="9" s="1"/>
  <c r="J142" i="9"/>
  <c r="S140" i="9" s="1"/>
  <c r="K142" i="9"/>
  <c r="T140" i="9" s="1"/>
  <c r="L142" i="9"/>
  <c r="U140" i="9" s="1"/>
  <c r="M142" i="9"/>
  <c r="V140" i="9" s="1"/>
  <c r="J143" i="9"/>
  <c r="S141" i="9" s="1"/>
  <c r="K143" i="9"/>
  <c r="T141" i="9" s="1"/>
  <c r="L143" i="9"/>
  <c r="U141" i="9" s="1"/>
  <c r="M143" i="9"/>
  <c r="V141" i="9" s="1"/>
  <c r="J144" i="9"/>
  <c r="S142" i="9" s="1"/>
  <c r="K144" i="9"/>
  <c r="T142" i="9" s="1"/>
  <c r="L144" i="9"/>
  <c r="U142" i="9" s="1"/>
  <c r="M144" i="9"/>
  <c r="V142" i="9" s="1"/>
  <c r="J145" i="9"/>
  <c r="S143" i="9" s="1"/>
  <c r="K145" i="9"/>
  <c r="T143" i="9" s="1"/>
  <c r="L145" i="9"/>
  <c r="U143" i="9" s="1"/>
  <c r="M145" i="9"/>
  <c r="V143" i="9" s="1"/>
  <c r="J146" i="9"/>
  <c r="S144" i="9" s="1"/>
  <c r="K146" i="9"/>
  <c r="T144" i="9" s="1"/>
  <c r="L146" i="9"/>
  <c r="U144" i="9" s="1"/>
  <c r="M146" i="9"/>
  <c r="V144" i="9" s="1"/>
  <c r="J147" i="9"/>
  <c r="S145" i="9" s="1"/>
  <c r="K147" i="9"/>
  <c r="T145" i="9" s="1"/>
  <c r="L147" i="9"/>
  <c r="U145" i="9" s="1"/>
  <c r="M147" i="9"/>
  <c r="V145" i="9" s="1"/>
  <c r="J148" i="9"/>
  <c r="S146" i="9" s="1"/>
  <c r="K148" i="9"/>
  <c r="T146" i="9" s="1"/>
  <c r="L148" i="9"/>
  <c r="U146" i="9" s="1"/>
  <c r="M148" i="9"/>
  <c r="V146" i="9" s="1"/>
  <c r="J149" i="9"/>
  <c r="S147" i="9" s="1"/>
  <c r="K149" i="9"/>
  <c r="T147" i="9" s="1"/>
  <c r="L149" i="9"/>
  <c r="U147" i="9" s="1"/>
  <c r="M149" i="9"/>
  <c r="V147" i="9" s="1"/>
  <c r="J150" i="9"/>
  <c r="S148" i="9" s="1"/>
  <c r="K150" i="9"/>
  <c r="T148" i="9" s="1"/>
  <c r="L150" i="9"/>
  <c r="U148" i="9" s="1"/>
  <c r="M150" i="9"/>
  <c r="V148" i="9" s="1"/>
  <c r="J151" i="9"/>
  <c r="S149" i="9" s="1"/>
  <c r="K151" i="9"/>
  <c r="T149" i="9" s="1"/>
  <c r="L151" i="9"/>
  <c r="U149" i="9" s="1"/>
  <c r="M151" i="9"/>
  <c r="V149" i="9" s="1"/>
  <c r="J152" i="9"/>
  <c r="S150" i="9" s="1"/>
  <c r="K152" i="9"/>
  <c r="T150" i="9" s="1"/>
  <c r="L152" i="9"/>
  <c r="U150" i="9" s="1"/>
  <c r="M152" i="9"/>
  <c r="V150" i="9" s="1"/>
  <c r="J153" i="9"/>
  <c r="S151" i="9" s="1"/>
  <c r="K153" i="9"/>
  <c r="T151" i="9" s="1"/>
  <c r="L153" i="9"/>
  <c r="U151" i="9" s="1"/>
  <c r="M153" i="9"/>
  <c r="V151" i="9" s="1"/>
  <c r="J154" i="9"/>
  <c r="S152" i="9" s="1"/>
  <c r="K154" i="9"/>
  <c r="T152" i="9" s="1"/>
  <c r="L154" i="9"/>
  <c r="U152" i="9" s="1"/>
  <c r="M154" i="9"/>
  <c r="V152" i="9" s="1"/>
  <c r="J155" i="9"/>
  <c r="S153" i="9" s="1"/>
  <c r="K155" i="9"/>
  <c r="T153" i="9" s="1"/>
  <c r="L155" i="9"/>
  <c r="U153" i="9" s="1"/>
  <c r="M155" i="9"/>
  <c r="V153" i="9" s="1"/>
  <c r="J156" i="9"/>
  <c r="S154" i="9" s="1"/>
  <c r="K156" i="9"/>
  <c r="T154" i="9" s="1"/>
  <c r="L156" i="9"/>
  <c r="U154" i="9" s="1"/>
  <c r="M156" i="9"/>
  <c r="V154" i="9" s="1"/>
  <c r="J157" i="9"/>
  <c r="S155" i="9" s="1"/>
  <c r="K157" i="9"/>
  <c r="T155" i="9" s="1"/>
  <c r="L157" i="9"/>
  <c r="U155" i="9" s="1"/>
  <c r="M157" i="9"/>
  <c r="V155" i="9" s="1"/>
  <c r="J158" i="9"/>
  <c r="S156" i="9" s="1"/>
  <c r="K158" i="9"/>
  <c r="T156" i="9" s="1"/>
  <c r="L158" i="9"/>
  <c r="U156" i="9" s="1"/>
  <c r="M158" i="9"/>
  <c r="V156" i="9" s="1"/>
  <c r="J159" i="9"/>
  <c r="S157" i="9" s="1"/>
  <c r="K159" i="9"/>
  <c r="T157" i="9" s="1"/>
  <c r="L159" i="9"/>
  <c r="U157" i="9" s="1"/>
  <c r="M159" i="9"/>
  <c r="V157" i="9" s="1"/>
  <c r="J160" i="9"/>
  <c r="S158" i="9" s="1"/>
  <c r="K160" i="9"/>
  <c r="T158" i="9" s="1"/>
  <c r="L160" i="9"/>
  <c r="U158" i="9" s="1"/>
  <c r="M160" i="9"/>
  <c r="V158" i="9" s="1"/>
  <c r="J161" i="9"/>
  <c r="S159" i="9" s="1"/>
  <c r="K161" i="9"/>
  <c r="T159" i="9" s="1"/>
  <c r="L161" i="9"/>
  <c r="U159" i="9" s="1"/>
  <c r="M161" i="9"/>
  <c r="V159" i="9" s="1"/>
  <c r="J162" i="9"/>
  <c r="S160" i="9" s="1"/>
  <c r="K162" i="9"/>
  <c r="T160" i="9" s="1"/>
  <c r="L162" i="9"/>
  <c r="U160" i="9" s="1"/>
  <c r="M162" i="9"/>
  <c r="V160" i="9" s="1"/>
  <c r="J163" i="9"/>
  <c r="S161" i="9" s="1"/>
  <c r="K163" i="9"/>
  <c r="T161" i="9" s="1"/>
  <c r="L163" i="9"/>
  <c r="U161" i="9" s="1"/>
  <c r="M163" i="9"/>
  <c r="V161" i="9" s="1"/>
  <c r="J164" i="9"/>
  <c r="S162" i="9" s="1"/>
  <c r="K164" i="9"/>
  <c r="T162" i="9" s="1"/>
  <c r="L164" i="9"/>
  <c r="U162" i="9" s="1"/>
  <c r="M164" i="9"/>
  <c r="V162" i="9" s="1"/>
  <c r="J165" i="9"/>
  <c r="S163" i="9" s="1"/>
  <c r="K165" i="9"/>
  <c r="T163" i="9" s="1"/>
  <c r="L165" i="9"/>
  <c r="U163" i="9" s="1"/>
  <c r="M165" i="9"/>
  <c r="V163" i="9" s="1"/>
  <c r="J166" i="9"/>
  <c r="S164" i="9" s="1"/>
  <c r="K166" i="9"/>
  <c r="T164" i="9" s="1"/>
  <c r="L166" i="9"/>
  <c r="U164" i="9" s="1"/>
  <c r="M166" i="9"/>
  <c r="V164" i="9" s="1"/>
  <c r="J167" i="9"/>
  <c r="S165" i="9" s="1"/>
  <c r="K167" i="9"/>
  <c r="T165" i="9" s="1"/>
  <c r="L167" i="9"/>
  <c r="U165" i="9" s="1"/>
  <c r="M167" i="9"/>
  <c r="V165" i="9" s="1"/>
  <c r="J168" i="9"/>
  <c r="S166" i="9" s="1"/>
  <c r="K168" i="9"/>
  <c r="T166" i="9" s="1"/>
  <c r="L168" i="9"/>
  <c r="U166" i="9" s="1"/>
  <c r="M168" i="9"/>
  <c r="V166" i="9" s="1"/>
  <c r="J169" i="9"/>
  <c r="S167" i="9" s="1"/>
  <c r="K169" i="9"/>
  <c r="T167" i="9" s="1"/>
  <c r="L169" i="9"/>
  <c r="U167" i="9" s="1"/>
  <c r="M169" i="9"/>
  <c r="V167" i="9" s="1"/>
  <c r="J170" i="9"/>
  <c r="S168" i="9" s="1"/>
  <c r="K170" i="9"/>
  <c r="T168" i="9" s="1"/>
  <c r="L170" i="9"/>
  <c r="U168" i="9" s="1"/>
  <c r="M170" i="9"/>
  <c r="V168" i="9" s="1"/>
  <c r="J171" i="9"/>
  <c r="S169" i="9" s="1"/>
  <c r="K171" i="9"/>
  <c r="T169" i="9" s="1"/>
  <c r="L171" i="9"/>
  <c r="U169" i="9" s="1"/>
  <c r="M171" i="9"/>
  <c r="V169" i="9" s="1"/>
  <c r="J172" i="9"/>
  <c r="S170" i="9" s="1"/>
  <c r="K172" i="9"/>
  <c r="T170" i="9" s="1"/>
  <c r="L172" i="9"/>
  <c r="U170" i="9" s="1"/>
  <c r="M172" i="9"/>
  <c r="V170" i="9" s="1"/>
  <c r="Q5" i="9"/>
  <c r="Q6" i="9"/>
  <c r="Q7" i="9"/>
  <c r="Q8" i="9"/>
  <c r="Q9" i="9"/>
  <c r="Q10" i="9"/>
  <c r="Q11" i="9"/>
  <c r="Q12" i="9"/>
  <c r="Q13" i="9"/>
  <c r="Q14" i="9"/>
  <c r="Q15" i="9"/>
  <c r="Q16" i="9"/>
  <c r="Q17" i="9"/>
  <c r="Q18" i="9"/>
  <c r="Q19" i="9"/>
  <c r="Q20" i="9"/>
  <c r="Q21" i="9"/>
  <c r="Q22" i="9"/>
  <c r="Q23" i="9"/>
  <c r="Q24" i="9"/>
  <c r="Q25" i="9"/>
  <c r="Q26" i="9"/>
  <c r="Q27" i="9"/>
  <c r="Q28" i="9"/>
  <c r="Q29" i="9"/>
  <c r="Q30" i="9"/>
  <c r="Q31" i="9"/>
  <c r="Q32" i="9"/>
  <c r="Q33" i="9"/>
  <c r="Q34" i="9"/>
  <c r="Q35" i="9"/>
  <c r="Q36" i="9"/>
  <c r="Q37" i="9"/>
  <c r="Q38" i="9"/>
  <c r="Q39" i="9"/>
  <c r="Q40" i="9"/>
  <c r="Q41" i="9"/>
  <c r="Q42" i="9"/>
  <c r="Q43" i="9"/>
  <c r="U93" i="1" l="1"/>
  <c r="V93" i="1" s="1"/>
  <c r="W93" i="1" s="1"/>
  <c r="M93" i="1"/>
  <c r="L93" i="1"/>
  <c r="S93" i="1"/>
  <c r="P93" i="1"/>
  <c r="K64" i="1"/>
  <c r="L64" i="1" s="1"/>
  <c r="K85" i="1"/>
  <c r="K86" i="1"/>
  <c r="S64" i="1"/>
  <c r="K45" i="1"/>
  <c r="U45" i="1" s="1"/>
  <c r="K90" i="1"/>
  <c r="U90" i="1" s="1"/>
  <c r="N60" i="1"/>
  <c r="O60" i="1" s="1"/>
  <c r="K70" i="1"/>
  <c r="U70" i="1" s="1"/>
  <c r="K32" i="1"/>
  <c r="U32" i="1" s="1"/>
  <c r="K92" i="1"/>
  <c r="U92" i="1" s="1"/>
  <c r="K58" i="1"/>
  <c r="U58" i="1" s="1"/>
  <c r="K49" i="1"/>
  <c r="U49" i="1" s="1"/>
  <c r="K84" i="1"/>
  <c r="U84" i="1" s="1"/>
  <c r="K7" i="1"/>
  <c r="U7" i="1" s="1"/>
  <c r="K35" i="1"/>
  <c r="U35" i="1" s="1"/>
  <c r="K20" i="1"/>
  <c r="U20" i="1" s="1"/>
  <c r="K75" i="1"/>
  <c r="U75" i="1" s="1"/>
  <c r="K79" i="1"/>
  <c r="U79" i="1" s="1"/>
  <c r="K68" i="1"/>
  <c r="U68" i="1" s="1"/>
  <c r="K55" i="1"/>
  <c r="U55" i="1" s="1"/>
  <c r="K28" i="1"/>
  <c r="U28" i="1" s="1"/>
  <c r="K29" i="1"/>
  <c r="U29" i="1" s="1"/>
  <c r="K27" i="1"/>
  <c r="U27" i="1" s="1"/>
  <c r="K26" i="1"/>
  <c r="U26" i="1" s="1"/>
  <c r="K40" i="1"/>
  <c r="U40" i="1" s="1"/>
  <c r="K36" i="1"/>
  <c r="U36" i="1" s="1"/>
  <c r="K3" i="1"/>
  <c r="U3" i="1" s="1"/>
  <c r="K77" i="1"/>
  <c r="U77" i="1" s="1"/>
  <c r="K74" i="1"/>
  <c r="U74" i="1" s="1"/>
  <c r="K4" i="1"/>
  <c r="U4" i="1" s="1"/>
  <c r="K46" i="1"/>
  <c r="U46" i="1" s="1"/>
  <c r="K8" i="1"/>
  <c r="U8" i="1" s="1"/>
  <c r="K13" i="1"/>
  <c r="U13" i="1" s="1"/>
  <c r="K17" i="1"/>
  <c r="U17" i="1" s="1"/>
  <c r="K12" i="1"/>
  <c r="U12" i="1" s="1"/>
  <c r="K81" i="1"/>
  <c r="U81" i="1" s="1"/>
  <c r="K61" i="1"/>
  <c r="U61" i="1" s="1"/>
  <c r="K83" i="1"/>
  <c r="U83" i="1" s="1"/>
  <c r="K60" i="1"/>
  <c r="U60" i="1" s="1"/>
  <c r="K2" i="1"/>
  <c r="U2" i="1" s="1"/>
  <c r="K5" i="1"/>
  <c r="U5" i="1" s="1"/>
  <c r="K6" i="1"/>
  <c r="U6" i="1" s="1"/>
  <c r="K9" i="1"/>
  <c r="U9" i="1" s="1"/>
  <c r="K10" i="1"/>
  <c r="U10" i="1" s="1"/>
  <c r="K11" i="1"/>
  <c r="U11" i="1" s="1"/>
  <c r="K14" i="1"/>
  <c r="U14" i="1" s="1"/>
  <c r="K15" i="1"/>
  <c r="U15" i="1" s="1"/>
  <c r="K16" i="1"/>
  <c r="U16" i="1" s="1"/>
  <c r="K18" i="1"/>
  <c r="U18" i="1" s="1"/>
  <c r="K19" i="1"/>
  <c r="U19" i="1" s="1"/>
  <c r="K21" i="1"/>
  <c r="U21" i="1" s="1"/>
  <c r="K22" i="1"/>
  <c r="U22" i="1" s="1"/>
  <c r="K23" i="1"/>
  <c r="U23" i="1" s="1"/>
  <c r="K24" i="1"/>
  <c r="U24" i="1" s="1"/>
  <c r="K25" i="1"/>
  <c r="U25" i="1" s="1"/>
  <c r="K30" i="1"/>
  <c r="U30" i="1" s="1"/>
  <c r="K31" i="1"/>
  <c r="U31" i="1" s="1"/>
  <c r="K33" i="1"/>
  <c r="U33" i="1" s="1"/>
  <c r="K34" i="1"/>
  <c r="U34" i="1" s="1"/>
  <c r="K37" i="1"/>
  <c r="U37" i="1" s="1"/>
  <c r="K38" i="1"/>
  <c r="U38" i="1" s="1"/>
  <c r="K39" i="1"/>
  <c r="U39" i="1" s="1"/>
  <c r="K41" i="1"/>
  <c r="U41" i="1" s="1"/>
  <c r="K42" i="1"/>
  <c r="U42" i="1" s="1"/>
  <c r="K43" i="1"/>
  <c r="U43" i="1" s="1"/>
  <c r="K44" i="1"/>
  <c r="U44" i="1" s="1"/>
  <c r="K47" i="1"/>
  <c r="U47" i="1" s="1"/>
  <c r="K48" i="1"/>
  <c r="U48" i="1" s="1"/>
  <c r="K50" i="1"/>
  <c r="U50" i="1" s="1"/>
  <c r="K51" i="1"/>
  <c r="U51" i="1" s="1"/>
  <c r="K52" i="1"/>
  <c r="U52" i="1" s="1"/>
  <c r="K53" i="1"/>
  <c r="U53" i="1" s="1"/>
  <c r="K54" i="1"/>
  <c r="U54" i="1" s="1"/>
  <c r="K56" i="1"/>
  <c r="U56" i="1" s="1"/>
  <c r="K57" i="1"/>
  <c r="U57" i="1" s="1"/>
  <c r="K59" i="1"/>
  <c r="U59" i="1" s="1"/>
  <c r="K62" i="1"/>
  <c r="U62" i="1" s="1"/>
  <c r="K63" i="1"/>
  <c r="U63" i="1" s="1"/>
  <c r="K65" i="1"/>
  <c r="U65" i="1" s="1"/>
  <c r="K66" i="1"/>
  <c r="U66" i="1" s="1"/>
  <c r="K67" i="1"/>
  <c r="U67" i="1" s="1"/>
  <c r="K69" i="1"/>
  <c r="U69" i="1" s="1"/>
  <c r="K71" i="1"/>
  <c r="U71" i="1" s="1"/>
  <c r="K72" i="1"/>
  <c r="U72" i="1" s="1"/>
  <c r="K73" i="1"/>
  <c r="U73" i="1" s="1"/>
  <c r="K76" i="1"/>
  <c r="U76" i="1" s="1"/>
  <c r="K78" i="1"/>
  <c r="U78" i="1" s="1"/>
  <c r="K80" i="1"/>
  <c r="U80" i="1" s="1"/>
  <c r="K82" i="1"/>
  <c r="U82" i="1" s="1"/>
  <c r="K87" i="1"/>
  <c r="U87" i="1" s="1"/>
  <c r="K88" i="1"/>
  <c r="U88" i="1" s="1"/>
  <c r="K89" i="1"/>
  <c r="U89" i="1" s="1"/>
  <c r="K91" i="1"/>
  <c r="U91" i="1" s="1"/>
  <c r="J91" i="1"/>
  <c r="J89" i="1"/>
  <c r="J51" i="1"/>
  <c r="J78" i="1"/>
  <c r="J47" i="1"/>
  <c r="J34" i="1"/>
  <c r="L34" i="1" s="1"/>
  <c r="J53" i="1"/>
  <c r="J33" i="1"/>
  <c r="J30" i="1"/>
  <c r="J31" i="1"/>
  <c r="J52" i="1"/>
  <c r="J44" i="1"/>
  <c r="J42" i="1"/>
  <c r="J19" i="1"/>
  <c r="J38" i="1"/>
  <c r="J11" i="1"/>
  <c r="J9" i="1"/>
  <c r="J56" i="1"/>
  <c r="J18" i="1"/>
  <c r="J21" i="1"/>
  <c r="J6" i="1"/>
  <c r="L6" i="1" s="1"/>
  <c r="J23" i="1"/>
  <c r="J80" i="1"/>
  <c r="J22" i="1"/>
  <c r="J24" i="1"/>
  <c r="L24" i="1" s="1"/>
  <c r="J2" i="1"/>
  <c r="J25" i="1"/>
  <c r="J73" i="1"/>
  <c r="J62" i="1"/>
  <c r="J87" i="1"/>
  <c r="J14" i="1"/>
  <c r="J67" i="1"/>
  <c r="J66" i="1"/>
  <c r="J82" i="1"/>
  <c r="J71" i="1"/>
  <c r="J63" i="1"/>
  <c r="U64" i="1" l="1"/>
  <c r="V64" i="1" s="1"/>
  <c r="W64" i="1" s="1"/>
  <c r="T93" i="1"/>
  <c r="R93" i="1"/>
  <c r="M64" i="1"/>
  <c r="R64" i="1" s="1"/>
  <c r="P64" i="1"/>
  <c r="U86" i="1"/>
  <c r="V86" i="1" s="1"/>
  <c r="W86" i="1" s="1"/>
  <c r="L86" i="1"/>
  <c r="S86" i="1"/>
  <c r="P86" i="1"/>
  <c r="U85" i="1"/>
  <c r="V85" i="1" s="1"/>
  <c r="W85" i="1" s="1"/>
  <c r="L85" i="1"/>
  <c r="S85" i="1"/>
  <c r="P85" i="1"/>
  <c r="T64" i="1"/>
  <c r="P70" i="1"/>
  <c r="L70" i="1"/>
  <c r="V45" i="1"/>
  <c r="W45" i="1" s="1"/>
  <c r="L45" i="1"/>
  <c r="M45" i="1"/>
  <c r="S45" i="1"/>
  <c r="P45" i="1"/>
  <c r="M89" i="1"/>
  <c r="M88" i="1"/>
  <c r="M87" i="1"/>
  <c r="M80" i="1"/>
  <c r="M78" i="1"/>
  <c r="M76" i="1"/>
  <c r="M73" i="1"/>
  <c r="M72" i="1"/>
  <c r="M71" i="1"/>
  <c r="M69" i="1"/>
  <c r="M67" i="1"/>
  <c r="M66" i="1"/>
  <c r="M63" i="1"/>
  <c r="M62" i="1"/>
  <c r="M59" i="1"/>
  <c r="M57" i="1"/>
  <c r="M56" i="1"/>
  <c r="M53" i="1"/>
  <c r="M52" i="1"/>
  <c r="M51" i="1"/>
  <c r="M48" i="1"/>
  <c r="M47" i="1"/>
  <c r="M44" i="1"/>
  <c r="M43" i="1"/>
  <c r="M39" i="1"/>
  <c r="M38" i="1"/>
  <c r="M37" i="1"/>
  <c r="M34" i="1"/>
  <c r="M33" i="1"/>
  <c r="M31" i="1"/>
  <c r="M30" i="1"/>
  <c r="M25" i="1"/>
  <c r="M24" i="1"/>
  <c r="M23" i="1"/>
  <c r="M22" i="1"/>
  <c r="M21" i="1"/>
  <c r="M19" i="1"/>
  <c r="M18" i="1"/>
  <c r="M15" i="1"/>
  <c r="M14" i="1"/>
  <c r="M11" i="1"/>
  <c r="M10" i="1"/>
  <c r="M9" i="1"/>
  <c r="M6" i="1"/>
  <c r="M5" i="1"/>
  <c r="M2" i="1"/>
  <c r="M60" i="1"/>
  <c r="M83" i="1"/>
  <c r="M61" i="1"/>
  <c r="M81" i="1"/>
  <c r="M12" i="1"/>
  <c r="M17" i="1"/>
  <c r="M13" i="1"/>
  <c r="M8" i="1"/>
  <c r="M46" i="1"/>
  <c r="M4" i="1"/>
  <c r="M74" i="1"/>
  <c r="M77" i="1"/>
  <c r="M3" i="1"/>
  <c r="M36" i="1"/>
  <c r="M40" i="1"/>
  <c r="M26" i="1"/>
  <c r="M27" i="1"/>
  <c r="M29" i="1"/>
  <c r="M28" i="1"/>
  <c r="M55" i="1"/>
  <c r="M68" i="1"/>
  <c r="M79" i="1"/>
  <c r="M75" i="1"/>
  <c r="M20" i="1"/>
  <c r="M35" i="1"/>
  <c r="M7" i="1"/>
  <c r="M84" i="1"/>
  <c r="M49" i="1"/>
  <c r="M58" i="1"/>
  <c r="M92" i="1"/>
  <c r="M32" i="1"/>
  <c r="M70" i="1"/>
  <c r="M90" i="1"/>
  <c r="L90" i="1"/>
  <c r="V90" i="1"/>
  <c r="W90" i="1" s="1"/>
  <c r="S90" i="1"/>
  <c r="P90" i="1"/>
  <c r="S83" i="1"/>
  <c r="S61" i="1"/>
  <c r="T61" i="1" s="1"/>
  <c r="S81" i="1"/>
  <c r="S12" i="1"/>
  <c r="T12" i="1" s="1"/>
  <c r="S17" i="1"/>
  <c r="S13" i="1"/>
  <c r="S8" i="1"/>
  <c r="S46" i="1"/>
  <c r="S4" i="1"/>
  <c r="T4" i="1" s="1"/>
  <c r="S74" i="1"/>
  <c r="T74" i="1" s="1"/>
  <c r="S77" i="1"/>
  <c r="T77" i="1" s="1"/>
  <c r="S3" i="1"/>
  <c r="T3" i="1" s="1"/>
  <c r="S36" i="1"/>
  <c r="T36" i="1" s="1"/>
  <c r="S40" i="1"/>
  <c r="T40" i="1" s="1"/>
  <c r="S26" i="1"/>
  <c r="S27" i="1"/>
  <c r="S29" i="1"/>
  <c r="S28" i="1"/>
  <c r="T28" i="1" s="1"/>
  <c r="S68" i="1"/>
  <c r="S79" i="1"/>
  <c r="S75" i="1"/>
  <c r="S20" i="1"/>
  <c r="T20" i="1" s="1"/>
  <c r="S35" i="1"/>
  <c r="T35" i="1" s="1"/>
  <c r="S7" i="1"/>
  <c r="T7" i="1" s="1"/>
  <c r="S84" i="1"/>
  <c r="S49" i="1"/>
  <c r="T49" i="1" s="1"/>
  <c r="S58" i="1"/>
  <c r="S92" i="1"/>
  <c r="T92" i="1" s="1"/>
  <c r="S32" i="1"/>
  <c r="T32" i="1" s="1"/>
  <c r="V70" i="1"/>
  <c r="W70" i="1" s="1"/>
  <c r="S70" i="1"/>
  <c r="S60" i="1"/>
  <c r="T60" i="1" s="1"/>
  <c r="V60" i="1"/>
  <c r="V26" i="1"/>
  <c r="W26" i="1" s="1"/>
  <c r="V27" i="1"/>
  <c r="W27" i="1" s="1"/>
  <c r="V29" i="1"/>
  <c r="W29" i="1" s="1"/>
  <c r="V28" i="1"/>
  <c r="W28" i="1" s="1"/>
  <c r="V68" i="1"/>
  <c r="W68" i="1" s="1"/>
  <c r="V79" i="1"/>
  <c r="W79" i="1" s="1"/>
  <c r="L75" i="1"/>
  <c r="L35" i="1"/>
  <c r="L58" i="1"/>
  <c r="L92" i="1"/>
  <c r="P32" i="1"/>
  <c r="L32" i="1"/>
  <c r="V32" i="1"/>
  <c r="W32" i="1" s="1"/>
  <c r="V92" i="1"/>
  <c r="W92" i="1" s="1"/>
  <c r="P92" i="1"/>
  <c r="V58" i="1"/>
  <c r="W58" i="1" s="1"/>
  <c r="P58" i="1"/>
  <c r="P28" i="1"/>
  <c r="P79" i="1"/>
  <c r="P27" i="1"/>
  <c r="V61" i="1"/>
  <c r="W61" i="1" s="1"/>
  <c r="P61" i="1"/>
  <c r="V13" i="1"/>
  <c r="W13" i="1" s="1"/>
  <c r="P13" i="1"/>
  <c r="V4" i="1"/>
  <c r="W4" i="1" s="1"/>
  <c r="P4" i="1"/>
  <c r="V36" i="1"/>
  <c r="W36" i="1" s="1"/>
  <c r="P36" i="1"/>
  <c r="V49" i="1"/>
  <c r="W49" i="1" s="1"/>
  <c r="P49" i="1"/>
  <c r="V81" i="1"/>
  <c r="W81" i="1" s="1"/>
  <c r="P81" i="1"/>
  <c r="V8" i="1"/>
  <c r="W8" i="1" s="1"/>
  <c r="P8" i="1"/>
  <c r="V74" i="1"/>
  <c r="W74" i="1" s="1"/>
  <c r="P74" i="1"/>
  <c r="V40" i="1"/>
  <c r="W40" i="1" s="1"/>
  <c r="P40" i="1"/>
  <c r="P75" i="1"/>
  <c r="P29" i="1"/>
  <c r="P20" i="1"/>
  <c r="V12" i="1"/>
  <c r="W12" i="1" s="1"/>
  <c r="P12" i="1"/>
  <c r="V77" i="1"/>
  <c r="W77" i="1" s="1"/>
  <c r="P77" i="1"/>
  <c r="L84" i="1"/>
  <c r="P84" i="1"/>
  <c r="P35" i="1"/>
  <c r="P60" i="1"/>
  <c r="V83" i="1"/>
  <c r="W83" i="1" s="1"/>
  <c r="P83" i="1"/>
  <c r="V17" i="1"/>
  <c r="P17" i="1"/>
  <c r="V46" i="1"/>
  <c r="W46" i="1" s="1"/>
  <c r="P46" i="1"/>
  <c r="V3" i="1"/>
  <c r="W3" i="1" s="1"/>
  <c r="P3" i="1"/>
  <c r="P7" i="1"/>
  <c r="P68" i="1"/>
  <c r="P26" i="1"/>
  <c r="L73" i="1"/>
  <c r="L49" i="1"/>
  <c r="V84" i="1"/>
  <c r="W84" i="1" s="1"/>
  <c r="T84" i="1"/>
  <c r="V7" i="1"/>
  <c r="W7" i="1" s="1"/>
  <c r="V35" i="1"/>
  <c r="W35" i="1" s="1"/>
  <c r="L7" i="1"/>
  <c r="V20" i="1"/>
  <c r="W20" i="1" s="1"/>
  <c r="L20" i="1"/>
  <c r="V75" i="1"/>
  <c r="W75" i="1" s="1"/>
  <c r="T75" i="1"/>
  <c r="L68" i="1"/>
  <c r="L79" i="1"/>
  <c r="T68" i="1"/>
  <c r="L40" i="1"/>
  <c r="L51" i="1"/>
  <c r="L74" i="1"/>
  <c r="L19" i="1"/>
  <c r="L46" i="1"/>
  <c r="L44" i="1"/>
  <c r="L33" i="1"/>
  <c r="L61" i="1"/>
  <c r="L12" i="1"/>
  <c r="L3" i="1"/>
  <c r="L27" i="1"/>
  <c r="L78" i="1"/>
  <c r="L13" i="1"/>
  <c r="L8" i="1"/>
  <c r="L4" i="1"/>
  <c r="L36" i="1"/>
  <c r="L81" i="1"/>
  <c r="L28" i="1"/>
  <c r="L77" i="1"/>
  <c r="L29" i="1"/>
  <c r="Q67" i="1"/>
  <c r="S67" i="1" s="1"/>
  <c r="Q91" i="1"/>
  <c r="S91" i="1" s="1"/>
  <c r="Q87" i="1"/>
  <c r="S87" i="1" s="1"/>
  <c r="Q82" i="1"/>
  <c r="S82" i="1" s="1"/>
  <c r="Q66" i="1"/>
  <c r="S66" i="1" s="1"/>
  <c r="Q44" i="1"/>
  <c r="S44" i="1" s="1"/>
  <c r="Q78" i="1"/>
  <c r="S78" i="1" s="1"/>
  <c r="Q9" i="1"/>
  <c r="S9" i="1" s="1"/>
  <c r="Q6" i="1"/>
  <c r="S6" i="1" s="1"/>
  <c r="Q63" i="1"/>
  <c r="S63" i="1" s="1"/>
  <c r="Q14" i="1"/>
  <c r="S14" i="1" s="1"/>
  <c r="Q24" i="1"/>
  <c r="S24" i="1" s="1"/>
  <c r="Q19" i="1"/>
  <c r="S19" i="1" s="1"/>
  <c r="Q31" i="1"/>
  <c r="S31" i="1" s="1"/>
  <c r="Q34" i="1"/>
  <c r="S34" i="1" s="1"/>
  <c r="Q22" i="1"/>
  <c r="S22" i="1" s="1"/>
  <c r="Q56" i="1"/>
  <c r="S56" i="1" s="1"/>
  <c r="Q2" i="1"/>
  <c r="S2" i="1" s="1"/>
  <c r="Q52" i="1"/>
  <c r="S52" i="1" s="1"/>
  <c r="Q53" i="1"/>
  <c r="S53" i="1" s="1"/>
  <c r="Q73" i="1"/>
  <c r="S73" i="1" s="1"/>
  <c r="Q51" i="1"/>
  <c r="S51" i="1" s="1"/>
  <c r="Q71" i="1"/>
  <c r="S71" i="1" s="1"/>
  <c r="Q21" i="1"/>
  <c r="S21" i="1" s="1"/>
  <c r="Q42" i="1"/>
  <c r="S42" i="1" s="1"/>
  <c r="Q30" i="1"/>
  <c r="S30" i="1" s="1"/>
  <c r="Q47" i="1"/>
  <c r="S47" i="1" s="1"/>
  <c r="Q80" i="1"/>
  <c r="S80" i="1" s="1"/>
  <c r="Q11" i="1"/>
  <c r="S11" i="1" s="1"/>
  <c r="Q25" i="1"/>
  <c r="S25" i="1" s="1"/>
  <c r="Q18" i="1"/>
  <c r="S18" i="1" s="1"/>
  <c r="Q33" i="1"/>
  <c r="S33" i="1" s="1"/>
  <c r="Q62" i="1"/>
  <c r="S62" i="1" s="1"/>
  <c r="Q23" i="1"/>
  <c r="S23" i="1" s="1"/>
  <c r="Q38" i="1"/>
  <c r="S38" i="1" s="1"/>
  <c r="Q89" i="1"/>
  <c r="S89" i="1" s="1"/>
  <c r="L26" i="1"/>
  <c r="L17" i="1"/>
  <c r="L83" i="1"/>
  <c r="L89" i="1"/>
  <c r="L31" i="1"/>
  <c r="L18" i="1"/>
  <c r="L11" i="1"/>
  <c r="L80" i="1"/>
  <c r="L38" i="1"/>
  <c r="L91" i="1"/>
  <c r="L52" i="1"/>
  <c r="L9" i="1"/>
  <c r="L53" i="1"/>
  <c r="L42" i="1"/>
  <c r="L60" i="1"/>
  <c r="L2" i="1"/>
  <c r="L22" i="1"/>
  <c r="L30" i="1"/>
  <c r="L23" i="1"/>
  <c r="L21" i="1"/>
  <c r="L56" i="1"/>
  <c r="W60" i="1"/>
  <c r="L25" i="1"/>
  <c r="L47" i="1"/>
  <c r="L62" i="1"/>
  <c r="L14" i="1"/>
  <c r="L82" i="1"/>
  <c r="L87" i="1"/>
  <c r="L71" i="1"/>
  <c r="L67" i="1"/>
  <c r="L66" i="1"/>
  <c r="L63" i="1"/>
  <c r="J88" i="1"/>
  <c r="J43" i="1"/>
  <c r="J41" i="1"/>
  <c r="L41" i="1" s="1"/>
  <c r="J48" i="1"/>
  <c r="J55" i="1"/>
  <c r="J5" i="1"/>
  <c r="L5" i="1" s="1"/>
  <c r="J10" i="1"/>
  <c r="L10" i="1" s="1"/>
  <c r="J72" i="1"/>
  <c r="L72" i="1" s="1"/>
  <c r="J59" i="1"/>
  <c r="L59" i="1" s="1"/>
  <c r="J54" i="1"/>
  <c r="J76" i="1"/>
  <c r="L76" i="1" s="1"/>
  <c r="J65" i="1"/>
  <c r="L65" i="1" s="1"/>
  <c r="J16" i="1"/>
  <c r="L16" i="1" s="1"/>
  <c r="J69" i="1"/>
  <c r="L69" i="1" s="1"/>
  <c r="J37" i="1"/>
  <c r="J50" i="1"/>
  <c r="L50" i="1" s="1"/>
  <c r="J57" i="1"/>
  <c r="L57" i="1" s="1"/>
  <c r="J39" i="1"/>
  <c r="L39" i="1" s="1"/>
  <c r="J15" i="1"/>
  <c r="R85" i="1" l="1"/>
  <c r="T85" i="1"/>
  <c r="R86" i="1"/>
  <c r="T86" i="1"/>
  <c r="R70" i="1"/>
  <c r="T70" i="1"/>
  <c r="N67" i="1"/>
  <c r="O67" i="1" s="1"/>
  <c r="P67" i="1" s="1"/>
  <c r="R45" i="1"/>
  <c r="T45" i="1"/>
  <c r="R90" i="1"/>
  <c r="T90" i="1"/>
  <c r="V89" i="1"/>
  <c r="W89" i="1" s="1"/>
  <c r="V38" i="1"/>
  <c r="W38" i="1" s="1"/>
  <c r="V23" i="1"/>
  <c r="W23" i="1" s="1"/>
  <c r="V62" i="1"/>
  <c r="W62" i="1" s="1"/>
  <c r="V33" i="1"/>
  <c r="W33" i="1" s="1"/>
  <c r="V18" i="1"/>
  <c r="W18" i="1" s="1"/>
  <c r="V25" i="1"/>
  <c r="W25" i="1" s="1"/>
  <c r="V11" i="1"/>
  <c r="W11" i="1" s="1"/>
  <c r="V80" i="1"/>
  <c r="W80" i="1" s="1"/>
  <c r="V47" i="1"/>
  <c r="W47" i="1" s="1"/>
  <c r="V30" i="1"/>
  <c r="W30" i="1" s="1"/>
  <c r="N42" i="1"/>
  <c r="O42" i="1" s="1"/>
  <c r="P42" i="1" s="1"/>
  <c r="V21" i="1"/>
  <c r="W21" i="1" s="1"/>
  <c r="V71" i="1"/>
  <c r="W71" i="1" s="1"/>
  <c r="V51" i="1"/>
  <c r="W51" i="1" s="1"/>
  <c r="V73" i="1"/>
  <c r="W73" i="1" s="1"/>
  <c r="V53" i="1"/>
  <c r="W53" i="1" s="1"/>
  <c r="V52" i="1"/>
  <c r="V2" i="1"/>
  <c r="V56" i="1"/>
  <c r="W56" i="1" s="1"/>
  <c r="V22" i="1"/>
  <c r="W22" i="1" s="1"/>
  <c r="V34" i="1"/>
  <c r="W34" i="1" s="1"/>
  <c r="V31" i="1"/>
  <c r="W31" i="1" s="1"/>
  <c r="V19" i="1"/>
  <c r="W19" i="1" s="1"/>
  <c r="V24" i="1"/>
  <c r="W24" i="1" s="1"/>
  <c r="V14" i="1"/>
  <c r="V63" i="1"/>
  <c r="W63" i="1" s="1"/>
  <c r="V6" i="1"/>
  <c r="V9" i="1"/>
  <c r="V78" i="1"/>
  <c r="W78" i="1" s="1"/>
  <c r="V44" i="1"/>
  <c r="W44" i="1" s="1"/>
  <c r="V66" i="1"/>
  <c r="W66" i="1" s="1"/>
  <c r="N82" i="1"/>
  <c r="O82" i="1" s="1"/>
  <c r="P82" i="1" s="1"/>
  <c r="V87" i="1"/>
  <c r="W87" i="1" s="1"/>
  <c r="N91" i="1"/>
  <c r="O91" i="1" s="1"/>
  <c r="P91" i="1" s="1"/>
  <c r="V67" i="1"/>
  <c r="R32" i="1"/>
  <c r="R92" i="1"/>
  <c r="R58" i="1"/>
  <c r="T58" i="1"/>
  <c r="R49" i="1"/>
  <c r="R35" i="1"/>
  <c r="R84" i="1"/>
  <c r="R7" i="1"/>
  <c r="R20" i="1"/>
  <c r="R75" i="1"/>
  <c r="R42" i="1"/>
  <c r="T44" i="1"/>
  <c r="T62" i="1"/>
  <c r="R77" i="1"/>
  <c r="R8" i="1"/>
  <c r="R6" i="1"/>
  <c r="N73" i="1"/>
  <c r="O73" i="1" s="1"/>
  <c r="P73" i="1" s="1"/>
  <c r="R66" i="1"/>
  <c r="R56" i="1"/>
  <c r="N66" i="1"/>
  <c r="O66" i="1" s="1"/>
  <c r="P66" i="1" s="1"/>
  <c r="N19" i="1"/>
  <c r="O19" i="1" s="1"/>
  <c r="P19" i="1" s="1"/>
  <c r="T11" i="1"/>
  <c r="R19" i="1"/>
  <c r="N11" i="1"/>
  <c r="O11" i="1" s="1"/>
  <c r="P11" i="1" s="1"/>
  <c r="N6" i="1"/>
  <c r="O6" i="1" s="1"/>
  <c r="P6" i="1" s="1"/>
  <c r="R73" i="1"/>
  <c r="T67" i="1"/>
  <c r="N62" i="1"/>
  <c r="O62" i="1" s="1"/>
  <c r="P62" i="1" s="1"/>
  <c r="N56" i="1"/>
  <c r="O56" i="1" s="1"/>
  <c r="P56" i="1" s="1"/>
  <c r="R4" i="1"/>
  <c r="R79" i="1"/>
  <c r="T79" i="1"/>
  <c r="R12" i="1"/>
  <c r="R36" i="1"/>
  <c r="R61" i="1"/>
  <c r="R68" i="1"/>
  <c r="N30" i="1"/>
  <c r="O30" i="1" s="1"/>
  <c r="P30" i="1" s="1"/>
  <c r="R28" i="1"/>
  <c r="R13" i="1"/>
  <c r="R40" i="1"/>
  <c r="T18" i="1"/>
  <c r="R52" i="1"/>
  <c r="R14" i="1"/>
  <c r="N78" i="1"/>
  <c r="O78" i="1" s="1"/>
  <c r="P78" i="1" s="1"/>
  <c r="R3" i="1"/>
  <c r="T23" i="1"/>
  <c r="R25" i="1"/>
  <c r="R71" i="1"/>
  <c r="R74" i="1"/>
  <c r="N44" i="1"/>
  <c r="O44" i="1" s="1"/>
  <c r="P44" i="1" s="1"/>
  <c r="R51" i="1"/>
  <c r="R34" i="1"/>
  <c r="N38" i="1"/>
  <c r="O38" i="1" s="1"/>
  <c r="P38" i="1" s="1"/>
  <c r="R81" i="1"/>
  <c r="T30" i="1"/>
  <c r="R91" i="1"/>
  <c r="R24" i="1"/>
  <c r="T89" i="1"/>
  <c r="N2" i="1"/>
  <c r="O2" i="1" s="1"/>
  <c r="P2" i="1" s="1"/>
  <c r="N63" i="1"/>
  <c r="O63" i="1" s="1"/>
  <c r="P63" i="1" s="1"/>
  <c r="T81" i="1"/>
  <c r="R2" i="1"/>
  <c r="R31" i="1"/>
  <c r="T63" i="1"/>
  <c r="N23" i="1"/>
  <c r="O23" i="1" s="1"/>
  <c r="P23" i="1" s="1"/>
  <c r="N25" i="1"/>
  <c r="O25" i="1" s="1"/>
  <c r="P25" i="1" s="1"/>
  <c r="N51" i="1"/>
  <c r="O51" i="1" s="1"/>
  <c r="P51" i="1" s="1"/>
  <c r="N31" i="1"/>
  <c r="O31" i="1" s="1"/>
  <c r="P31" i="1" s="1"/>
  <c r="T80" i="1"/>
  <c r="R9" i="1"/>
  <c r="N21" i="1"/>
  <c r="O21" i="1" s="1"/>
  <c r="P21" i="1" s="1"/>
  <c r="T78" i="1"/>
  <c r="R82" i="1"/>
  <c r="R21" i="1"/>
  <c r="T13" i="1"/>
  <c r="T8" i="1"/>
  <c r="N18" i="1"/>
  <c r="O18" i="1" s="1"/>
  <c r="P18" i="1" s="1"/>
  <c r="N80" i="1"/>
  <c r="O80" i="1" s="1"/>
  <c r="P80" i="1" s="1"/>
  <c r="N87" i="1"/>
  <c r="O87" i="1" s="1"/>
  <c r="P87" i="1" s="1"/>
  <c r="N53" i="1"/>
  <c r="O53" i="1" s="1"/>
  <c r="P53" i="1" s="1"/>
  <c r="N22" i="1"/>
  <c r="O22" i="1" s="1"/>
  <c r="P22" i="1" s="1"/>
  <c r="N24" i="1"/>
  <c r="O24" i="1" s="1"/>
  <c r="P24" i="1" s="1"/>
  <c r="N9" i="1"/>
  <c r="O9" i="1" s="1"/>
  <c r="P9" i="1" s="1"/>
  <c r="R38" i="1"/>
  <c r="R33" i="1"/>
  <c r="T47" i="1"/>
  <c r="T87" i="1"/>
  <c r="R53" i="1"/>
  <c r="T22" i="1"/>
  <c r="N47" i="1"/>
  <c r="O47" i="1" s="1"/>
  <c r="P47" i="1" s="1"/>
  <c r="N71" i="1"/>
  <c r="O71" i="1" s="1"/>
  <c r="P71" i="1" s="1"/>
  <c r="N52" i="1"/>
  <c r="O52" i="1" s="1"/>
  <c r="P52" i="1" s="1"/>
  <c r="N34" i="1"/>
  <c r="O34" i="1" s="1"/>
  <c r="P34" i="1" s="1"/>
  <c r="N14" i="1"/>
  <c r="O14" i="1" s="1"/>
  <c r="P14" i="1" s="1"/>
  <c r="N33" i="1"/>
  <c r="O33" i="1" s="1"/>
  <c r="P33" i="1" s="1"/>
  <c r="N89" i="1"/>
  <c r="O89" i="1" s="1"/>
  <c r="P89" i="1" s="1"/>
  <c r="R29" i="1"/>
  <c r="T29" i="1"/>
  <c r="R27" i="1"/>
  <c r="T27" i="1"/>
  <c r="V42" i="1"/>
  <c r="W42" i="1" s="1"/>
  <c r="V82" i="1"/>
  <c r="W82" i="1" s="1"/>
  <c r="V91" i="1"/>
  <c r="W91" i="1" s="1"/>
  <c r="L55" i="1"/>
  <c r="Q88" i="1"/>
  <c r="S88" i="1" s="1"/>
  <c r="Q76" i="1"/>
  <c r="S76" i="1" s="1"/>
  <c r="Q39" i="1"/>
  <c r="S39" i="1" s="1"/>
  <c r="Q15" i="1"/>
  <c r="S15" i="1" s="1"/>
  <c r="Q54" i="1"/>
  <c r="S54" i="1" s="1"/>
  <c r="Q5" i="1"/>
  <c r="S5" i="1" s="1"/>
  <c r="Q50" i="1"/>
  <c r="S50" i="1" s="1"/>
  <c r="Q16" i="1"/>
  <c r="S16" i="1" s="1"/>
  <c r="Q48" i="1"/>
  <c r="S48" i="1" s="1"/>
  <c r="Q41" i="1"/>
  <c r="S41" i="1" s="1"/>
  <c r="Q55" i="1"/>
  <c r="S55" i="1" s="1"/>
  <c r="Q37" i="1"/>
  <c r="S37" i="1" s="1"/>
  <c r="Q43" i="1"/>
  <c r="S43" i="1" s="1"/>
  <c r="Q57" i="1"/>
  <c r="S57" i="1" s="1"/>
  <c r="Q65" i="1"/>
  <c r="S65" i="1" s="1"/>
  <c r="Q10" i="1"/>
  <c r="S10" i="1" s="1"/>
  <c r="Q69" i="1"/>
  <c r="S69" i="1" s="1"/>
  <c r="Q59" i="1"/>
  <c r="S59" i="1" s="1"/>
  <c r="Q72" i="1"/>
  <c r="S72" i="1" s="1"/>
  <c r="R26" i="1"/>
  <c r="T26" i="1"/>
  <c r="R46" i="1"/>
  <c r="T46" i="1"/>
  <c r="R17" i="1"/>
  <c r="R60" i="1"/>
  <c r="R83" i="1"/>
  <c r="W2" i="1"/>
  <c r="W6" i="1"/>
  <c r="W9" i="1"/>
  <c r="W14" i="1"/>
  <c r="W52" i="1"/>
  <c r="W67" i="1"/>
  <c r="T17" i="1"/>
  <c r="W17" i="1"/>
  <c r="T83" i="1"/>
  <c r="L15" i="1"/>
  <c r="L37" i="1"/>
  <c r="L54" i="1"/>
  <c r="L48" i="1"/>
  <c r="L43" i="1"/>
  <c r="L88" i="1"/>
  <c r="V72" i="1" l="1"/>
  <c r="V59" i="1"/>
  <c r="W59" i="1" s="1"/>
  <c r="V69" i="1"/>
  <c r="V10" i="1"/>
  <c r="W10" i="1" s="1"/>
  <c r="V65" i="1"/>
  <c r="V57" i="1"/>
  <c r="W57" i="1" s="1"/>
  <c r="V43" i="1"/>
  <c r="W43" i="1" s="1"/>
  <c r="V37" i="1"/>
  <c r="W37" i="1" s="1"/>
  <c r="V55" i="1"/>
  <c r="V41" i="1"/>
  <c r="W41" i="1" s="1"/>
  <c r="V48" i="1"/>
  <c r="W48" i="1" s="1"/>
  <c r="V16" i="1"/>
  <c r="W16" i="1" s="1"/>
  <c r="V50" i="1"/>
  <c r="V5" i="1"/>
  <c r="W5" i="1" s="1"/>
  <c r="V54" i="1"/>
  <c r="W54" i="1" s="1"/>
  <c r="V15" i="1"/>
  <c r="W15" i="1" s="1"/>
  <c r="V39" i="1"/>
  <c r="V76" i="1"/>
  <c r="W76" i="1" s="1"/>
  <c r="V88" i="1"/>
  <c r="W88" i="1" s="1"/>
  <c r="R55" i="1"/>
  <c r="T42" i="1"/>
  <c r="R62" i="1"/>
  <c r="R44" i="1"/>
  <c r="R67" i="1"/>
  <c r="T56" i="1"/>
  <c r="T50" i="1"/>
  <c r="T72" i="1"/>
  <c r="T51" i="1"/>
  <c r="R39" i="1"/>
  <c r="R89" i="1"/>
  <c r="T6" i="1"/>
  <c r="T19" i="1"/>
  <c r="T91" i="1"/>
  <c r="T73" i="1"/>
  <c r="R11" i="1"/>
  <c r="T66" i="1"/>
  <c r="T21" i="1"/>
  <c r="T52" i="1"/>
  <c r="T2" i="1"/>
  <c r="T25" i="1"/>
  <c r="R65" i="1"/>
  <c r="R63" i="1"/>
  <c r="N39" i="1"/>
  <c r="O39" i="1" s="1"/>
  <c r="P39" i="1" s="1"/>
  <c r="T14" i="1"/>
  <c r="R23" i="1"/>
  <c r="N69" i="1"/>
  <c r="O69" i="1" s="1"/>
  <c r="P69" i="1" s="1"/>
  <c r="R78" i="1"/>
  <c r="T24" i="1"/>
  <c r="T34" i="1"/>
  <c r="T33" i="1"/>
  <c r="T71" i="1"/>
  <c r="R80" i="1"/>
  <c r="T31" i="1"/>
  <c r="R87" i="1"/>
  <c r="R22" i="1"/>
  <c r="R30" i="1"/>
  <c r="R18" i="1"/>
  <c r="R69" i="1"/>
  <c r="T48" i="1"/>
  <c r="T54" i="1"/>
  <c r="N72" i="1"/>
  <c r="O72" i="1" s="1"/>
  <c r="P72" i="1" s="1"/>
  <c r="N88" i="1"/>
  <c r="O88" i="1" s="1"/>
  <c r="P88" i="1" s="1"/>
  <c r="T82" i="1"/>
  <c r="R43" i="1"/>
  <c r="R88" i="1"/>
  <c r="N43" i="1"/>
  <c r="O43" i="1" s="1"/>
  <c r="P43" i="1" s="1"/>
  <c r="N15" i="1"/>
  <c r="O15" i="1" s="1"/>
  <c r="P15" i="1" s="1"/>
  <c r="R10" i="1"/>
  <c r="T37" i="1"/>
  <c r="R16" i="1"/>
  <c r="N59" i="1"/>
  <c r="O59" i="1" s="1"/>
  <c r="P59" i="1" s="1"/>
  <c r="N55" i="1"/>
  <c r="O55" i="1" s="1"/>
  <c r="P55" i="1" s="1"/>
  <c r="T59" i="1"/>
  <c r="R57" i="1"/>
  <c r="R41" i="1"/>
  <c r="R76" i="1"/>
  <c r="N10" i="1"/>
  <c r="O10" i="1" s="1"/>
  <c r="P10" i="1" s="1"/>
  <c r="T38" i="1"/>
  <c r="T53" i="1"/>
  <c r="R5" i="1"/>
  <c r="R47" i="1"/>
  <c r="N57" i="1"/>
  <c r="O57" i="1" s="1"/>
  <c r="P57" i="1" s="1"/>
  <c r="N48" i="1"/>
  <c r="O48" i="1" s="1"/>
  <c r="P48" i="1" s="1"/>
  <c r="N5" i="1"/>
  <c r="O5" i="1" s="1"/>
  <c r="P5" i="1" s="1"/>
  <c r="T9" i="1"/>
  <c r="R15" i="1"/>
  <c r="N37" i="1"/>
  <c r="O37" i="1" s="1"/>
  <c r="P37" i="1" s="1"/>
  <c r="N76" i="1"/>
  <c r="O76" i="1" s="1"/>
  <c r="P76" i="1" s="1"/>
  <c r="N65" i="1"/>
  <c r="O65" i="1" s="1"/>
  <c r="P65" i="1" s="1"/>
  <c r="N41" i="1"/>
  <c r="O41" i="1" s="1"/>
  <c r="P41" i="1" s="1"/>
  <c r="N16" i="1"/>
  <c r="O16" i="1" s="1"/>
  <c r="P16" i="1" s="1"/>
  <c r="N50" i="1"/>
  <c r="O50" i="1" s="1"/>
  <c r="P50" i="1" s="1"/>
  <c r="N54" i="1"/>
  <c r="O54" i="1" s="1"/>
  <c r="P54" i="1" s="1"/>
  <c r="W72" i="1"/>
  <c r="W69" i="1"/>
  <c r="W65" i="1"/>
  <c r="W55" i="1"/>
  <c r="W39" i="1"/>
  <c r="W50" i="1"/>
  <c r="T55" i="1"/>
  <c r="R50" i="1" l="1"/>
  <c r="R72" i="1"/>
  <c r="T39" i="1"/>
  <c r="T65" i="1"/>
  <c r="T10" i="1"/>
  <c r="R54" i="1"/>
  <c r="T43" i="1"/>
  <c r="T57" i="1"/>
  <c r="T88" i="1"/>
  <c r="T69" i="1"/>
  <c r="T76" i="1"/>
  <c r="R37" i="1"/>
  <c r="T16" i="1"/>
  <c r="T41" i="1"/>
  <c r="T15" i="1"/>
  <c r="R59" i="1"/>
  <c r="R48" i="1"/>
  <c r="T5" i="1"/>
</calcChain>
</file>

<file path=xl/connections.xml><?xml version="1.0" encoding="utf-8"?>
<connections xmlns="http://schemas.openxmlformats.org/spreadsheetml/2006/main">
  <connection id="1" name="Conexão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&amp;f=nol1hgd1" htmlTables="1" htmlFormat="all"/>
  </connection>
  <connection id="2" name="Conexão1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&amp;f=nol1hgd1" htmlTables="1" htmlFormat="all"/>
  </connection>
  <connection id="3" name="Conexão10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&amp;f=nol1hgd1" htmlFormat="all"/>
  </connection>
  <connection id="4" name="Conexão11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&amp;f=nol1hgd1" htmlFormat="all"/>
  </connection>
  <connection id="5" name="Conexão12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&amp;f=nol1hgd1" htmlFormat="all"/>
  </connection>
  <connection id="6" name="Conexão13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&amp;f=nol1hgd1" htmlFormat="all"/>
  </connection>
  <connection id="7" name="Conexão14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&amp;f=nol1hgd1" htmlFormat="all"/>
  </connection>
  <connection id="8" name="Conexão15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&amp;f=nol1hgd1" htmlFormat="all"/>
  </connection>
  <connection id="9" name="Conexão16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&amp;f=nol1hgd1" htmlFormat="all"/>
  </connection>
  <connection id="10" name="Conexão17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&amp;f=nol1hgd1" htmlFormat="all"/>
  </connection>
  <connection id="11" name="Conexão18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&amp;f=nol1hgd1" htmlFormat="all"/>
  </connection>
  <connection id="12" name="Conexão19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&amp;f=nol1hgd1" htmlFormat="all"/>
  </connection>
  <connection id="13" name="Conexão2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&amp;f=nol1hgd1" htmlTables="1" htmlFormat="all"/>
  </connection>
  <connection id="14" name="Conexão20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&amp;f=nol1hgd1" htmlFormat="all"/>
  </connection>
  <connection id="15" name="Conexão21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&amp;f=nol1hgd1" htmlFormat="all"/>
  </connection>
  <connection id="16" name="Conexão22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&amp;f=nol1hgd1" htmlFormat="all"/>
  </connection>
  <connection id="17" name="Conexão23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&amp;f=nol1hgd1" htmlFormat="all"/>
  </connection>
  <connection id="18" name="Conexão24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&amp;f=nol1hgd1" htmlFormat="all"/>
  </connection>
  <connection id="19" name="Conexão25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&amp;f=nol1hgd1" htmlFormat="all"/>
  </connection>
  <connection id="20" name="Conexão26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&amp;f=nol1hgd1" htmlFormat="all"/>
  </connection>
  <connection id="21" name="Conexão27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&amp;f=nol1hgd1" htmlFormat="all"/>
  </connection>
  <connection id="22" name="Conexão28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+PINE4.SA+SFSA4.SA+RPAD5.SA+BRGE6.SA+CRIV4.SA+BAHI3.SA+TERI3.SA+FESA4.SA+ITUB4.SA+VIVT4.SA+COCE5.SA+PRBC4.SA&amp;f=nol1hgd1" htmlFormat="all"/>
  </connection>
  <connection id="23" name="Conexão29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+PINE4.SA+SFSA4.SA+RPAD5.SA+BRGE6.SA+CRIV4.SA+BAHI3.SA+TERI3.SA+FESA4.SA+ITUB4.SA+VIVT4.SA+COCE5.SA+PRBC4.SA&amp;f=nol1hgd1" htmlFormat="all"/>
  </connection>
  <connection id="24" name="Conexão3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&amp;f=nol1hgd1" htmlTables="1" htmlFormat="all"/>
  </connection>
  <connection id="25" name="Conexão30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+PINE4.SA+SFSA4.SA+RPAD5.SA+BRGE6.SA+CRIV4.SA+BAHI3.SA+TERI3.SA+FESA4.SA+ITUB4.SA+VIVT4.SA+COCE5.SA+PRBC4.SA&amp;f=nol1hgd1" htmlFormat="all"/>
  </connection>
  <connection id="26" name="Conexão31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+PINE4.SA+SFSA4.SA+RPAD5.SA+BRGE6.SA+CRIV4.SA+BAHI3.SA+TERI3.SA+FESA4.SA+ITUB4.SA+VIVT4.SA+COCE5.SA+PRBC4.SA&amp;f=nol1hgd1" htmlFormat="all"/>
  </connection>
  <connection id="27" name="Conexão32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+PINE4.SA+SFSA4.SA+RPAD5.SA+BRGE6.SA+CRIV4.SA+BAHI3.SA+TERI3.SA+FESA4.SA+ITUB4.SA+VIVT4.SA+COCE5.SA+PRBC4.SA&amp;f=nol1hgd1" htmlFormat="all"/>
  </connection>
  <connection id="28" name="Conexão33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+PINE4.SA+SFSA4.SA+RPAD5.SA+BRGE6.SA+CRIV4.SA+BAHI3.SA+TERI3.SA+FESA4.SA+ITUB4.SA+VIVT4.SA+COCE5.SA+PRBC4.SA&amp;f=nol1hgd1" htmlFormat="all"/>
  </connection>
  <connection id="29" name="Conexão34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+PINE4.SA+SFSA4.SA+RPAD5.SA+BRGE6.SA+CRIV4.SA+BAHI3.SA+TERI3.SA+FESA4.SA+ITUB4.SA+VIVT4.SA+COCE5.SA+PRBC4.SA+ENGI11.SA&amp;f=nol1hgd1" htmlFormat="all"/>
  </connection>
  <connection id="30" name="Conexão35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+PINE4.SA+SFSA4.SA+RPAD5.SA+BRGE6.SA+CRIV4.SA+BAHI3.SA+TERI3.SA+FESA4.SA+ITUB4.SA+VIVT4.SA+COCE5.SA+PRBC4.SA+ENGI11.SA&amp;f=nol1hgd1" htmlFormat="all"/>
  </connection>
  <connection id="31" name="Conexão4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&amp;f=nol1hgd1" htmlFormat="all"/>
  </connection>
  <connection id="32" name="Conexão5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&amp;f=nol1hgd1" htmlTables="1" htmlFormat="all"/>
  </connection>
  <connection id="33" name="Conexão6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&amp;f=nol1hgd1" htmlTables="1" htmlFormat="all"/>
  </connection>
  <connection id="34" name="Conexão7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&amp;f=nol1hgd1" htmlTables="1" htmlFormat="all"/>
  </connection>
  <connection id="35" name="Conexão8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&amp;f=nol1hgd1" htmlTables="1" htmlFormat="all"/>
  </connection>
  <connection id="36" name="Conexão9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&amp;f=nol1hgd1" htmlTables="1" htmlFormat="all"/>
  </connection>
  <connection id="37" name="Connection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+PINE4.SA&amp;f=nol1hgd1" htmlTables="1" htmlFormat="all"/>
  </connection>
  <connection id="38" name="Connection1" type="4" refreshedVersion="4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+PINE4.SA+SFSA4.SA&amp;f=nol1hgd1" htmlFormat="all"/>
  </connection>
  <connection id="39" name="Connection10" type="4" refreshedVersion="4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+PINE4.SA+SFSA4.SA+RPAD5.SA+BRGE6.SA+CRIV4.SA+BAHI3.SA+TERI3.SA+FESA4.SA+ITUB4.SA+VIVT4.SA+COCE5.SA&amp;f=nol1hgd1" htmlFormat="all"/>
  </connection>
  <connection id="40" name="Connection11" type="4" refreshedVersion="4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+PINE4.SA+SFSA4.SA+RPAD5.SA+BRGE6.SA+CRIV4.SA+BAHI3.SA+TERI3.SA+FESA4.SA+ITUB4.SA+VIVT4.SA+COCE5.SA+PRBC4.SA&amp;f=nol1hgd1" htmlFormat="all"/>
  </connection>
  <connection id="41" name="Connection12" type="4" refreshedVersion="4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+PINE4.SA+SFSA4.SA+RPAD5.SA+BRGE6.SA+CRIV4.SA+BAHI3.SA+TERI3.SA+FESA4.SA+ITUB4.SA+VIVT4.SA+COCE5.SA+PRBC4.SA+ENGI11.SA+OIBR4.SA&amp;f=nol1hgd1" htmlFormat="all"/>
  </connection>
  <connection id="42" name="Connection13" type="4" refreshedVersion="4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+PINE4.SA+SFSA4.SA+RPAD5.SA+BRGE6.SA+CRIV4.SA+BAHI3.SA+TERI3.SA+FESA4.SA+ITUB4.SA+VIVT4.SA+COCE5.SA+PRBC4.SA+ENGI11.SA+OIBR4.SA+TIBR5.SA+TIBR6.SA&amp;f=nol1hgd1" htmlFormat="all"/>
  </connection>
  <connection id="43" name="Connection14" type="4" refreshedVersion="4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+PINE4.SA+SFSA4.SA+RPAD5.SA+BRGE6.SA+CRIV4.SA+BAHI3.SA+TERI3.SA+FESA4.SA+ITUB4.SA+VIVT4.SA+COCE5.SA+PRBC4.SA+ENGI11.SA+OIBR4.SA+TIBR5.SA+TIBR6.SA+RNAR3.SA&amp;f=nol1hgd1" htmlFormat="all"/>
  </connection>
  <connection id="44" name="Connection2" type="4" refreshedVersion="4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+PINE4.SA+SFSA4.SA+RPAD5.SA&amp;f=nol1hgd1" htmlFormat="all"/>
  </connection>
  <connection id="45" name="Connection3" type="4" refreshedVersion="4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+PINE4.SA+SFSA4.SA+RPAD5.SA+BRGE6.SA&amp;f=nol1hgd1" htmlFormat="all"/>
  </connection>
  <connection id="46" name="Connection4" type="4" refreshedVersion="4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+PINE4.SA+SFSA4.SA+RPAD5.SA+BRGE6.SA+CRIV4.SA&amp;f=nol1hgd1" htmlFormat="all"/>
  </connection>
  <connection id="47" name="Connection5" type="4" refreshedVersion="4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+PINE4.SA+SFSA4.SA+RPAD5.SA+BRGE6.SA+CRIV4.SA+BAHI3.SA&amp;f=nol1hgd1" htmlFormat="all"/>
  </connection>
  <connection id="48" name="Connection6" type="4" refreshedVersion="4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+PINE4.SA+SFSA4.SA+RPAD5.SA+BRGE6.SA+CRIV4.SA+BAHI3.SA+TERI3.SA&amp;f=nol1hgd1" htmlFormat="all"/>
  </connection>
  <connection id="49" name="Connection7" type="4" refreshedVersion="4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+PINE4.SA+SFSA4.SA+RPAD5.SA+BRGE6.SA+CRIV4.SA+BAHI3.SA+TERI3.SA+FESA4.SA&amp;f=nol1hgd1" htmlFormat="all"/>
  </connection>
  <connection id="50" name="Connection8" type="4" refreshedVersion="4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+PINE4.SA+SFSA4.SA+RPAD5.SA+BRGE6.SA+CRIV4.SA+BAHI3.SA+TERI3.SA+FESA4.SA+ITUB4.SA&amp;f=nol1hgd1" htmlFormat="all"/>
  </connection>
  <connection id="51" name="Connection9" type="4" refreshedVersion="4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+PINE4.SA+SFSA4.SA+RPAD5.SA+BRGE6.SA+CRIV4.SA+BAHI3.SA+TERI3.SA+FESA4.SA+ITUB4.SA+VIVT4.SA&amp;f=nol1hgd1" htmlFormat="all"/>
  </connection>
</connections>
</file>

<file path=xl/sharedStrings.xml><?xml version="1.0" encoding="utf-8"?>
<sst xmlns="http://schemas.openxmlformats.org/spreadsheetml/2006/main" count="6682" uniqueCount="538">
  <si>
    <t>Ano</t>
  </si>
  <si>
    <t>Valor</t>
  </si>
  <si>
    <t>Tipo</t>
  </si>
  <si>
    <t>Ativo</t>
  </si>
  <si>
    <t>ELPL4</t>
  </si>
  <si>
    <t>ELET3</t>
  </si>
  <si>
    <t>Patrimônio Líquido</t>
  </si>
  <si>
    <t>Total Ações</t>
  </si>
  <si>
    <t>VPA</t>
  </si>
  <si>
    <t>Cotação</t>
  </si>
  <si>
    <t>PVPA</t>
  </si>
  <si>
    <t>Comprar ?</t>
  </si>
  <si>
    <t>PAPEL</t>
  </si>
  <si>
    <t>BICB4</t>
  </si>
  <si>
    <t>Jrs. Cap. Próprio</t>
  </si>
  <si>
    <t>Dividendo</t>
  </si>
  <si>
    <t>Data ex-1</t>
  </si>
  <si>
    <t>Pagamento</t>
  </si>
  <si>
    <t>Aprovação</t>
  </si>
  <si>
    <t>Líquido</t>
  </si>
  <si>
    <t>Total Líquido</t>
  </si>
  <si>
    <t>Valores</t>
  </si>
  <si>
    <t>Média de Líquido</t>
  </si>
  <si>
    <t>Utilidade Pública / Energia Elétrica / Energia Elétrica</t>
  </si>
  <si>
    <t>Classificação Setorial</t>
  </si>
  <si>
    <t>FJTA4</t>
  </si>
  <si>
    <t>Bens Industriais / Máquinas e Equipamentos / Armas e Munições</t>
  </si>
  <si>
    <t>Bens Industriais / Serviços / Serviços Diversos</t>
  </si>
  <si>
    <t>CTAX4</t>
  </si>
  <si>
    <t>Bens Industriais / Material de Transporte / Material Rodoviário</t>
  </si>
  <si>
    <t>POMO4</t>
  </si>
  <si>
    <t>BISA3</t>
  </si>
  <si>
    <t>Construção e Transporte / Construção e Engenharia / Construção Civil</t>
  </si>
  <si>
    <t>Financeiro e Outros / Intermediários Financeiros / Bancos</t>
  </si>
  <si>
    <t>DAYC4</t>
  </si>
  <si>
    <t>ITSA4</t>
  </si>
  <si>
    <t>Rentabilidade</t>
  </si>
  <si>
    <t>PDGR3</t>
  </si>
  <si>
    <t>RSID3</t>
  </si>
  <si>
    <t>GFSA3</t>
  </si>
  <si>
    <t>JHSF3</t>
  </si>
  <si>
    <t>PTBL3</t>
  </si>
  <si>
    <t>Construção e Transporte / Construção e Engenharia / Materiais de Construção</t>
  </si>
  <si>
    <t>BBRK3</t>
  </si>
  <si>
    <t>Construção e Transporte / Construção e Engenharia / Intermediação Imobiliária</t>
  </si>
  <si>
    <t>ALLL3</t>
  </si>
  <si>
    <t>Construção e Transporte / Transporte / Transporte Ferroviário</t>
  </si>
  <si>
    <t>HBOR3</t>
  </si>
  <si>
    <t>EVEN3</t>
  </si>
  <si>
    <t>UCAS3</t>
  </si>
  <si>
    <t>Consumo Cíclico / Utilidades Domésticas / Móveis</t>
  </si>
  <si>
    <t>ODPV3</t>
  </si>
  <si>
    <t>Restituição Capital</t>
  </si>
  <si>
    <t>Consumo não Cíclico / Saúde / Serv.Méd.Hospit..Análises e Diagnósticos</t>
  </si>
  <si>
    <t>PRVI3</t>
  </si>
  <si>
    <t>Materiais Básicos / Materiais Diversos / Materiais Diversos</t>
  </si>
  <si>
    <t>SUZB5</t>
  </si>
  <si>
    <t>Materiais Básicos / Madeira e Papel / Papel e Celulose</t>
  </si>
  <si>
    <t>PETR3</t>
  </si>
  <si>
    <t>PETR4</t>
  </si>
  <si>
    <t>Petróleo. Gás e Biocombustíveis / Petróleo. Gás e Biocombustíveis / Exploração e/ou Refino</t>
  </si>
  <si>
    <t>BEMA3</t>
  </si>
  <si>
    <t>Tecnologia da Informação / Computadores e Equipamentos / Computadores e Equipamentos</t>
  </si>
  <si>
    <t>TOTS3</t>
  </si>
  <si>
    <t>Tecnologia da Informação / Programas e Serviços / Programas e Serviços</t>
  </si>
  <si>
    <t>LINX3</t>
  </si>
  <si>
    <t>10% Rentabilidade</t>
  </si>
  <si>
    <t>RAPT4</t>
  </si>
  <si>
    <t>BVMF3</t>
  </si>
  <si>
    <t>Financeiro e Outros / Serviços Financeiros Diversos / Serviços Financeiros Diversos</t>
  </si>
  <si>
    <t>ABCB4</t>
  </si>
  <si>
    <t>BRSR6</t>
  </si>
  <si>
    <t>BRML3</t>
  </si>
  <si>
    <t>Financeiro e Outros / Exploração de Imóveis / Exploração de Imóveis</t>
  </si>
  <si>
    <t>SSBR3</t>
  </si>
  <si>
    <t>BRPR3</t>
  </si>
  <si>
    <t>A.M.%</t>
  </si>
  <si>
    <t>ALSC3</t>
  </si>
  <si>
    <t>BRIN3</t>
  </si>
  <si>
    <t>Financeiro e Outros / Previdência e Seguros / Corretoras de Seguros</t>
  </si>
  <si>
    <t>BRAP3</t>
  </si>
  <si>
    <t>Financeiro e Outros / Holdings Diversificadas / Holdings Diversificadas</t>
  </si>
  <si>
    <t>IGTA3</t>
  </si>
  <si>
    <t>BBAS3</t>
  </si>
  <si>
    <t>BBSE3</t>
  </si>
  <si>
    <t>Financeiro e Outros / Previdência e Seguros / Seguradoras</t>
  </si>
  <si>
    <t>CTIP3</t>
  </si>
  <si>
    <t>BRAP4</t>
  </si>
  <si>
    <t>ELET6</t>
  </si>
  <si>
    <t>ENBR3</t>
  </si>
  <si>
    <t>Área de Negócios: Geração. Distribuição E Comercialização de Energia Elétrica</t>
  </si>
  <si>
    <t>GETI3</t>
  </si>
  <si>
    <t>CMIG4</t>
  </si>
  <si>
    <t>CMIG3</t>
  </si>
  <si>
    <t>CPFE3</t>
  </si>
  <si>
    <t>GETI4</t>
  </si>
  <si>
    <t>CPLE3</t>
  </si>
  <si>
    <t>EQTL3</t>
  </si>
  <si>
    <t>SBSP3</t>
  </si>
  <si>
    <t>Utilidade Pública / Água e Saneamento / Água e Saneamento</t>
  </si>
  <si>
    <t>GEPA4</t>
  </si>
  <si>
    <t>UNIP6</t>
  </si>
  <si>
    <t>Materiais Básicos / Químicos / Petroquímicos</t>
  </si>
  <si>
    <t>Ativos</t>
  </si>
  <si>
    <t>USIM5</t>
  </si>
  <si>
    <t>Materiais Básicos / Siderurgia e Metalurgia / Siderurgia</t>
  </si>
  <si>
    <t>URL =</t>
  </si>
  <si>
    <t>Yahoo tags =</t>
  </si>
  <si>
    <t>Carteira ações</t>
  </si>
  <si>
    <t>Código</t>
  </si>
  <si>
    <t>nol1hgd1</t>
  </si>
  <si>
    <t>Data</t>
  </si>
  <si>
    <t>Abertura</t>
  </si>
  <si>
    <t>Fechamento</t>
  </si>
  <si>
    <t>Máxima</t>
  </si>
  <si>
    <t>Mínima</t>
  </si>
  <si>
    <t>PL</t>
  </si>
  <si>
    <t>Lucro Líquido</t>
  </si>
  <si>
    <t>P Compra</t>
  </si>
  <si>
    <t xml:space="preserve"> </t>
  </si>
  <si>
    <t xml:space="preserve">ABC BRASIL  -PN  </t>
  </si>
  <si>
    <t xml:space="preserve">ALL AMER LAT-ON  </t>
  </si>
  <si>
    <t xml:space="preserve">ALIANSCE    -ON  </t>
  </si>
  <si>
    <t xml:space="preserve">BRASIL      -ON  </t>
  </si>
  <si>
    <t xml:space="preserve">BR BROKERS  -ON  </t>
  </si>
  <si>
    <t xml:space="preserve">BBSEGURIDADE-ON  </t>
  </si>
  <si>
    <t xml:space="preserve">BEMATECH    -ON  </t>
  </si>
  <si>
    <t xml:space="preserve">BICBANCO    -PN  </t>
  </si>
  <si>
    <t xml:space="preserve">BROOKFIELD  -ON  </t>
  </si>
  <si>
    <t xml:space="preserve">BRADESPAR   -ON  </t>
  </si>
  <si>
    <t xml:space="preserve">BRADESPAR   -PN  </t>
  </si>
  <si>
    <t xml:space="preserve">BR INSURANCE-ON  </t>
  </si>
  <si>
    <t xml:space="preserve">BR MALLS PAR-ON  </t>
  </si>
  <si>
    <t xml:space="preserve">BR PROPERT  -ON  </t>
  </si>
  <si>
    <t xml:space="preserve">BANRISUL    -PNB </t>
  </si>
  <si>
    <t xml:space="preserve">BMFBOVESPA  -ON  </t>
  </si>
  <si>
    <t xml:space="preserve">CEMIG       -ON  </t>
  </si>
  <si>
    <t xml:space="preserve">CEMIG       -PN  </t>
  </si>
  <si>
    <t xml:space="preserve">CPFL ENERGIA-ON  </t>
  </si>
  <si>
    <t xml:space="preserve">COPEL       -ON  </t>
  </si>
  <si>
    <t xml:space="preserve">CONTAX      -PN  </t>
  </si>
  <si>
    <t xml:space="preserve">CETIP       -ON  </t>
  </si>
  <si>
    <t xml:space="preserve">DAYCOVAL    -PN  </t>
  </si>
  <si>
    <t xml:space="preserve">ELETROBRAS  -ON  </t>
  </si>
  <si>
    <t xml:space="preserve">ELETROBRAS  -PNB </t>
  </si>
  <si>
    <t xml:space="preserve">ELETROPAULO -PN  </t>
  </si>
  <si>
    <t xml:space="preserve">ENERGIAS BR -ON  </t>
  </si>
  <si>
    <t xml:space="preserve">EQUATORIAL  -ON  </t>
  </si>
  <si>
    <t xml:space="preserve">EVEN        -ON  </t>
  </si>
  <si>
    <t xml:space="preserve">FORJA TAURUS-PN  </t>
  </si>
  <si>
    <t xml:space="preserve">GAFISA      -ON  </t>
  </si>
  <si>
    <t xml:space="preserve">HELBOR      -ON  </t>
  </si>
  <si>
    <t xml:space="preserve">IGUATEMI    -ON  </t>
  </si>
  <si>
    <t xml:space="preserve">ITAUSA      -PN  </t>
  </si>
  <si>
    <t xml:space="preserve">JHSF PART   -ON  </t>
  </si>
  <si>
    <t xml:space="preserve">LINX        -ON  </t>
  </si>
  <si>
    <t xml:space="preserve">ODONTOPREV  -ON  </t>
  </si>
  <si>
    <t xml:space="preserve">PDG REALT   -ON  </t>
  </si>
  <si>
    <t>PETROBRAS   -ON</t>
  </si>
  <si>
    <t>PETROBRAS   -PN</t>
  </si>
  <si>
    <t xml:space="preserve">MARCOPOLO   -PN  </t>
  </si>
  <si>
    <t xml:space="preserve">PROVIDENCIA -ON  </t>
  </si>
  <si>
    <t xml:space="preserve">PORTOBELLO  -ON  </t>
  </si>
  <si>
    <t xml:space="preserve">RANDON PART -PN  </t>
  </si>
  <si>
    <t xml:space="preserve">ROSSI RESID -ON  </t>
  </si>
  <si>
    <t xml:space="preserve">SABESP      -ON  </t>
  </si>
  <si>
    <t xml:space="preserve">SIERRABRASIL-ON  </t>
  </si>
  <si>
    <t xml:space="preserve">SUZANO PAPEL-PNA </t>
  </si>
  <si>
    <t xml:space="preserve">TOTVS       -ON  </t>
  </si>
  <si>
    <t xml:space="preserve">UNICASA     -ON  </t>
  </si>
  <si>
    <t>UNIPAR      -PNB</t>
  </si>
  <si>
    <t>0.52</t>
  </si>
  <si>
    <t xml:space="preserve">USIMINAS    -PNA </t>
  </si>
  <si>
    <t>KLBN4</t>
  </si>
  <si>
    <t xml:space="preserve">KLABIN S/A  -PN  </t>
  </si>
  <si>
    <t>LIGT3</t>
  </si>
  <si>
    <t xml:space="preserve">LIGHT S/A   -ON  </t>
  </si>
  <si>
    <t>TAEE11</t>
  </si>
  <si>
    <t xml:space="preserve">TAESA       -UNT </t>
  </si>
  <si>
    <t>9.00</t>
  </si>
  <si>
    <t>17.56</t>
  </si>
  <si>
    <t>2.25</t>
  </si>
  <si>
    <t>SULA11</t>
  </si>
  <si>
    <t xml:space="preserve">SUL AMERICA -UNT </t>
  </si>
  <si>
    <t>Lucro Prev</t>
  </si>
  <si>
    <t>BMTO4</t>
  </si>
  <si>
    <t>18.00</t>
  </si>
  <si>
    <t>9.05</t>
  </si>
  <si>
    <t>6.00</t>
  </si>
  <si>
    <t>17.00</t>
  </si>
  <si>
    <t>18.65</t>
  </si>
  <si>
    <t>BRASMOTOR   -PN</t>
  </si>
  <si>
    <t>0.83</t>
  </si>
  <si>
    <t>BEES3</t>
  </si>
  <si>
    <t>BANESTES    -ON</t>
  </si>
  <si>
    <t>BEES4</t>
  </si>
  <si>
    <t>BANESTES    -PN</t>
  </si>
  <si>
    <t>0.46</t>
  </si>
  <si>
    <t>Lucro Med A.A</t>
  </si>
  <si>
    <t>Lucro Med A.M.</t>
  </si>
  <si>
    <t>BMIN4</t>
  </si>
  <si>
    <t>MERC INVEST -PN</t>
  </si>
  <si>
    <t>0.26</t>
  </si>
  <si>
    <t>BAZA3</t>
  </si>
  <si>
    <t>AMAZONIA    -ON</t>
  </si>
  <si>
    <t>0.32</t>
  </si>
  <si>
    <t>Ref</t>
  </si>
  <si>
    <t>Lucro/Ação Ano</t>
  </si>
  <si>
    <t>CBEE3</t>
  </si>
  <si>
    <t>AMPLA ENERG -ON *</t>
  </si>
  <si>
    <t>ENGI4</t>
  </si>
  <si>
    <t>ENERGISA    -PN</t>
  </si>
  <si>
    <t>AFLT3</t>
  </si>
  <si>
    <t>AFLUENTE T  -ON</t>
  </si>
  <si>
    <t>3.50</t>
  </si>
  <si>
    <t>RDTR3</t>
  </si>
  <si>
    <t>REDENTOR    -ON</t>
  </si>
  <si>
    <t>SAPR4</t>
  </si>
  <si>
    <t>SANEPAR     -PN</t>
  </si>
  <si>
    <t>AELP3</t>
  </si>
  <si>
    <t>AES ELPA    -ON</t>
  </si>
  <si>
    <t>CSRN6</t>
  </si>
  <si>
    <t>COSERN      -PNB</t>
  </si>
  <si>
    <t>EKTR4</t>
  </si>
  <si>
    <t>ELEKTRO     -PN</t>
  </si>
  <si>
    <t>CEBR6</t>
  </si>
  <si>
    <t>CEB         -PNB</t>
  </si>
  <si>
    <t>17.08</t>
  </si>
  <si>
    <t>CEPE5</t>
  </si>
  <si>
    <t>CELPE       -PNA</t>
  </si>
  <si>
    <t>CLSC4</t>
  </si>
  <si>
    <t xml:space="preserve">CELESC      -PN  </t>
  </si>
  <si>
    <t>CESP3</t>
  </si>
  <si>
    <t xml:space="preserve">CESP        -ON  </t>
  </si>
  <si>
    <t>Payout</t>
  </si>
  <si>
    <t>UNIP5</t>
  </si>
  <si>
    <t>UNIPAR      -PNA</t>
  </si>
  <si>
    <t>Média de Payout</t>
  </si>
  <si>
    <t>PINE4</t>
  </si>
  <si>
    <t>8.95</t>
  </si>
  <si>
    <t>60.00</t>
  </si>
  <si>
    <t>3.92</t>
  </si>
  <si>
    <t>2.20</t>
  </si>
  <si>
    <t>5.96</t>
  </si>
  <si>
    <t>0.54</t>
  </si>
  <si>
    <t>12.38</t>
  </si>
  <si>
    <t>0.84</t>
  </si>
  <si>
    <t xml:space="preserve">PINE        -PN  </t>
  </si>
  <si>
    <t>SFSA4</t>
  </si>
  <si>
    <t xml:space="preserve">SOFISA      -PN  </t>
  </si>
  <si>
    <t>RPAD5</t>
  </si>
  <si>
    <t>ALFA HOLDING-PNA</t>
  </si>
  <si>
    <t>6.20</t>
  </si>
  <si>
    <t>BRGE6</t>
  </si>
  <si>
    <t>ALFA CONSORC-PNB</t>
  </si>
  <si>
    <t>CRIV4</t>
  </si>
  <si>
    <t>ALFA FINANC -PN</t>
  </si>
  <si>
    <t>BAHI3</t>
  </si>
  <si>
    <t>BAHEMA      -ON</t>
  </si>
  <si>
    <t>5.20</t>
  </si>
  <si>
    <t>TERI3</t>
  </si>
  <si>
    <t>12.11</t>
  </si>
  <si>
    <t>7.09</t>
  </si>
  <si>
    <t>18.47</t>
  </si>
  <si>
    <t>24.27</t>
  </si>
  <si>
    <t>7.40</t>
  </si>
  <si>
    <t>1.07</t>
  </si>
  <si>
    <t>18.17</t>
  </si>
  <si>
    <t>12.70</t>
  </si>
  <si>
    <t>10.70</t>
  </si>
  <si>
    <t>18.27</t>
  </si>
  <si>
    <t>19.40</t>
  </si>
  <si>
    <t>22.85</t>
  </si>
  <si>
    <t>24.26</t>
  </si>
  <si>
    <t>24.06</t>
  </si>
  <si>
    <t>8.00</t>
  </si>
  <si>
    <t>2.24</t>
  </si>
  <si>
    <t xml:space="preserve">GER PARANAP -PN  </t>
  </si>
  <si>
    <t>56.12</t>
  </si>
  <si>
    <t>55.20</t>
  </si>
  <si>
    <t>AES TIETE   -ON</t>
  </si>
  <si>
    <t>18.20</t>
  </si>
  <si>
    <t>AES TIETE   -PN</t>
  </si>
  <si>
    <t>7.88</t>
  </si>
  <si>
    <t>22.35</t>
  </si>
  <si>
    <t>50.00</t>
  </si>
  <si>
    <t>7.18</t>
  </si>
  <si>
    <t>6.99</t>
  </si>
  <si>
    <t>10.98</t>
  </si>
  <si>
    <t>11.00</t>
  </si>
  <si>
    <t>9.24</t>
  </si>
  <si>
    <t>0.53</t>
  </si>
  <si>
    <t>14.87</t>
  </si>
  <si>
    <t>12.44</t>
  </si>
  <si>
    <t>0.44</t>
  </si>
  <si>
    <t>1.28</t>
  </si>
  <si>
    <t>9.12</t>
  </si>
  <si>
    <t>0.56</t>
  </si>
  <si>
    <t>2.71</t>
  </si>
  <si>
    <t xml:space="preserve">TEREOS      -ON  </t>
  </si>
  <si>
    <t>2.50</t>
  </si>
  <si>
    <t>FESA4</t>
  </si>
  <si>
    <t xml:space="preserve">FERBASA     -PN  </t>
  </si>
  <si>
    <t>% Compra</t>
  </si>
  <si>
    <t>ITUB4</t>
  </si>
  <si>
    <t xml:space="preserve">ITAUUNIBANCO-PN  </t>
  </si>
  <si>
    <t>VIVT4</t>
  </si>
  <si>
    <t>TELEF BRASIL-PN</t>
  </si>
  <si>
    <t>COCE5</t>
  </si>
  <si>
    <t>COELCE      -PNA</t>
  </si>
  <si>
    <t>PRBC4</t>
  </si>
  <si>
    <t xml:space="preserve">PARANA      -PN  </t>
  </si>
  <si>
    <t>12.39</t>
  </si>
  <si>
    <t>18.26</t>
  </si>
  <si>
    <t>24.53</t>
  </si>
  <si>
    <t>24.32</t>
  </si>
  <si>
    <t>5.55</t>
  </si>
  <si>
    <t>5.53</t>
  </si>
  <si>
    <t>24.47</t>
  </si>
  <si>
    <t>9.01</t>
  </si>
  <si>
    <t>1.08</t>
  </si>
  <si>
    <t>1.09</t>
  </si>
  <si>
    <t>24.34</t>
  </si>
  <si>
    <t>18.74</t>
  </si>
  <si>
    <t>17.61</t>
  </si>
  <si>
    <t>17.73</t>
  </si>
  <si>
    <t>18.07</t>
  </si>
  <si>
    <t>12.65</t>
  </si>
  <si>
    <t>10.60</t>
  </si>
  <si>
    <t>10.47</t>
  </si>
  <si>
    <t>18.80</t>
  </si>
  <si>
    <t>18.10</t>
  </si>
  <si>
    <t>24.57</t>
  </si>
  <si>
    <t>7.91</t>
  </si>
  <si>
    <t>6.05</t>
  </si>
  <si>
    <t>6.01</t>
  </si>
  <si>
    <t>10.35</t>
  </si>
  <si>
    <t>10.50</t>
  </si>
  <si>
    <t>11.49</t>
  </si>
  <si>
    <t>11.62</t>
  </si>
  <si>
    <t>23.31</t>
  </si>
  <si>
    <t>8.01</t>
  </si>
  <si>
    <t>7.98</t>
  </si>
  <si>
    <t>19.79</t>
  </si>
  <si>
    <t>19.50</t>
  </si>
  <si>
    <t>3.83</t>
  </si>
  <si>
    <t>3.89</t>
  </si>
  <si>
    <t>7.82</t>
  </si>
  <si>
    <t>4.05</t>
  </si>
  <si>
    <t>49.40</t>
  </si>
  <si>
    <t>10.00</t>
  </si>
  <si>
    <t>10.21</t>
  </si>
  <si>
    <t>1.83</t>
  </si>
  <si>
    <t>1.84</t>
  </si>
  <si>
    <t>1.78</t>
  </si>
  <si>
    <t>15.87</t>
  </si>
  <si>
    <t>15.71</t>
  </si>
  <si>
    <t>17.02</t>
  </si>
  <si>
    <t>16.87</t>
  </si>
  <si>
    <t>5.15</t>
  </si>
  <si>
    <t>5.24</t>
  </si>
  <si>
    <t>4.71</t>
  </si>
  <si>
    <t>4.65</t>
  </si>
  <si>
    <t>2.13</t>
  </si>
  <si>
    <t>25.78</t>
  </si>
  <si>
    <t>25.53</t>
  </si>
  <si>
    <t>19.35</t>
  </si>
  <si>
    <t>19.39</t>
  </si>
  <si>
    <t>9.20</t>
  </si>
  <si>
    <t>9.19</t>
  </si>
  <si>
    <t>36.18</t>
  </si>
  <si>
    <t>6.13</t>
  </si>
  <si>
    <t>14.17</t>
  </si>
  <si>
    <t>12.48</t>
  </si>
  <si>
    <t>21.61</t>
  </si>
  <si>
    <t>18.39</t>
  </si>
  <si>
    <t>18.91</t>
  </si>
  <si>
    <t>14.60</t>
  </si>
  <si>
    <t>6.61</t>
  </si>
  <si>
    <t>19.20</t>
  </si>
  <si>
    <t>0.57</t>
  </si>
  <si>
    <t>0.62</t>
  </si>
  <si>
    <t>2.52</t>
  </si>
  <si>
    <t>2.47</t>
  </si>
  <si>
    <t>12.90</t>
  </si>
  <si>
    <t>31.50</t>
  </si>
  <si>
    <t>31.75</t>
  </si>
  <si>
    <t>43.92</t>
  </si>
  <si>
    <t>42.11</t>
  </si>
  <si>
    <t>5.80</t>
  </si>
  <si>
    <t>20.00</t>
  </si>
  <si>
    <t>24.56</t>
  </si>
  <si>
    <t>18.90</t>
  </si>
  <si>
    <t>10.63</t>
  </si>
  <si>
    <t>19.12</t>
  </si>
  <si>
    <t>22.30</t>
  </si>
  <si>
    <t>3.68</t>
  </si>
  <si>
    <t>6.09</t>
  </si>
  <si>
    <t>22.51</t>
  </si>
  <si>
    <t>4.13</t>
  </si>
  <si>
    <t>11.21</t>
  </si>
  <si>
    <t>21.94</t>
  </si>
  <si>
    <t>0.47</t>
  </si>
  <si>
    <t>2.19</t>
  </si>
  <si>
    <t>19.30</t>
  </si>
  <si>
    <t>9.89</t>
  </si>
  <si>
    <t>44.26</t>
  </si>
  <si>
    <t>Dividendos</t>
  </si>
  <si>
    <t>Payout2</t>
  </si>
  <si>
    <t>18.49</t>
  </si>
  <si>
    <t>17.22</t>
  </si>
  <si>
    <t>12.51</t>
  </si>
  <si>
    <t>10.67</t>
  </si>
  <si>
    <t>17.96</t>
  </si>
  <si>
    <t>10.45</t>
  </si>
  <si>
    <t>17.88</t>
  </si>
  <si>
    <t>3.73</t>
  </si>
  <si>
    <t>8.91</t>
  </si>
  <si>
    <t>5.06</t>
  </si>
  <si>
    <t>10.93</t>
  </si>
  <si>
    <t>2.03</t>
  </si>
  <si>
    <t>37.08</t>
  </si>
  <si>
    <t>17.75</t>
  </si>
  <si>
    <t>31.42</t>
  </si>
  <si>
    <t>42.19</t>
  </si>
  <si>
    <t>12.00</t>
  </si>
  <si>
    <t>18.45</t>
  </si>
  <si>
    <t>24.52</t>
  </si>
  <si>
    <t>19.47</t>
  </si>
  <si>
    <t>8.12</t>
  </si>
  <si>
    <t>7.03</t>
  </si>
  <si>
    <t>12.55</t>
  </si>
  <si>
    <t>10.25</t>
  </si>
  <si>
    <t>11.22</t>
  </si>
  <si>
    <t>4.10</t>
  </si>
  <si>
    <t>9.34</t>
  </si>
  <si>
    <t>36.01</t>
  </si>
  <si>
    <t>14.59</t>
  </si>
  <si>
    <t>0.49</t>
  </si>
  <si>
    <t>6.70</t>
  </si>
  <si>
    <t>43.31</t>
  </si>
  <si>
    <t>41.73</t>
  </si>
  <si>
    <t>Exercício</t>
  </si>
  <si>
    <t>Lucro/Ação</t>
  </si>
  <si>
    <t>Lucro por ação</t>
  </si>
  <si>
    <t>Dividendo / Ação</t>
  </si>
  <si>
    <t>ENGI11</t>
  </si>
  <si>
    <t>12.10</t>
  </si>
  <si>
    <t>7.10</t>
  </si>
  <si>
    <t>18.50</t>
  </si>
  <si>
    <t>24.71</t>
  </si>
  <si>
    <t>5.72</t>
  </si>
  <si>
    <t>23.95</t>
  </si>
  <si>
    <t>7.35</t>
  </si>
  <si>
    <t>19.56</t>
  </si>
  <si>
    <t>24.35</t>
  </si>
  <si>
    <t>18.70</t>
  </si>
  <si>
    <t>17.30</t>
  </si>
  <si>
    <t>10.69</t>
  </si>
  <si>
    <t>18.21</t>
  </si>
  <si>
    <t>18.31</t>
  </si>
  <si>
    <t>19.27</t>
  </si>
  <si>
    <t>22.40</t>
  </si>
  <si>
    <t>22.45</t>
  </si>
  <si>
    <t>22.12</t>
  </si>
  <si>
    <t>3.66</t>
  </si>
  <si>
    <t>3.72</t>
  </si>
  <si>
    <t>24.24</t>
  </si>
  <si>
    <t>7.80</t>
  </si>
  <si>
    <t>11.25</t>
  </si>
  <si>
    <t>22.90</t>
  </si>
  <si>
    <t>8.10</t>
  </si>
  <si>
    <t>19.32</t>
  </si>
  <si>
    <t>19.31</t>
  </si>
  <si>
    <t>3.77</t>
  </si>
  <si>
    <t>7.95</t>
  </si>
  <si>
    <t>22.17</t>
  </si>
  <si>
    <t>21.73</t>
  </si>
  <si>
    <t>8.90</t>
  </si>
  <si>
    <t>48.99</t>
  </si>
  <si>
    <t>47.94</t>
  </si>
  <si>
    <t>10.17</t>
  </si>
  <si>
    <t>16.05</t>
  </si>
  <si>
    <t>17.06</t>
  </si>
  <si>
    <t>17.17</t>
  </si>
  <si>
    <t>5.10</t>
  </si>
  <si>
    <t>7.28</t>
  </si>
  <si>
    <t>7.29</t>
  </si>
  <si>
    <t>4.70</t>
  </si>
  <si>
    <t>4.91</t>
  </si>
  <si>
    <t>11.01</t>
  </si>
  <si>
    <t>2.05</t>
  </si>
  <si>
    <t>26.10</t>
  </si>
  <si>
    <t>26.37</t>
  </si>
  <si>
    <t>18.60</t>
  </si>
  <si>
    <t>9.31</t>
  </si>
  <si>
    <t>36.24</t>
  </si>
  <si>
    <t>5.84</t>
  </si>
  <si>
    <t>14.50</t>
  </si>
  <si>
    <t>12.30</t>
  </si>
  <si>
    <t>21.85</t>
  </si>
  <si>
    <t>18.09</t>
  </si>
  <si>
    <t>14.70</t>
  </si>
  <si>
    <t>18.98</t>
  </si>
  <si>
    <t>10.30</t>
  </si>
  <si>
    <t>3.94</t>
  </si>
  <si>
    <t>2.54</t>
  </si>
  <si>
    <t>12.82</t>
  </si>
  <si>
    <t>12.99</t>
  </si>
  <si>
    <t>12.62</t>
  </si>
  <si>
    <t>31.47</t>
  </si>
  <si>
    <t>43.50</t>
  </si>
  <si>
    <t>42.09</t>
  </si>
  <si>
    <t>12.29</t>
  </si>
  <si>
    <t>ENERGISA    -UNT</t>
  </si>
  <si>
    <t>11.80</t>
  </si>
  <si>
    <t>Reserva Legal</t>
  </si>
  <si>
    <t>Row Labels</t>
  </si>
  <si>
    <t>Grand Total</t>
  </si>
  <si>
    <t>OIBR4</t>
  </si>
  <si>
    <t xml:space="preserve">OI          -PN  </t>
  </si>
  <si>
    <t>3.81</t>
  </si>
  <si>
    <t>3.78</t>
  </si>
  <si>
    <t>TIBR5</t>
  </si>
  <si>
    <t>TIBR6</t>
  </si>
  <si>
    <t>MILLENNIUM  -PNA</t>
  </si>
  <si>
    <t>0.19</t>
  </si>
  <si>
    <t xml:space="preserve">MILLENNIUM  -PNB </t>
  </si>
  <si>
    <t>0.20</t>
  </si>
  <si>
    <t>RNAR3</t>
  </si>
  <si>
    <t>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+PINE4.SA+SFSA4.SA+RPAD5.SA+BRGE6.SA+CRIV4.SA+BAHI3.SA+TERI3.SA+FESA4.SA+ITUB4.SA+VIVT4.SA+COCE5.SA+PRBC4.SA+ENGI11.SA+OIBR4.SA+TIBR5.SA+TIBR6.SA+RNAR3.SA&amp;f=nol1hgd1</t>
  </si>
  <si>
    <t xml:space="preserve">RENAR       -ON  </t>
  </si>
  <si>
    <t>0.23</t>
  </si>
  <si>
    <t>0.22</t>
  </si>
  <si>
    <t>Average of Dividendo / Ação</t>
  </si>
  <si>
    <t>Average of Cotação</t>
  </si>
  <si>
    <t>Yield</t>
  </si>
  <si>
    <t>Average of Yield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</si>
</sst>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* #,##0_-;\-* #,##0_-;_-* &quot;-&quot;??_-;_-@_-"/>
    <numFmt numFmtId="165" formatCode="_-* #,##0.0000_-;\-* #,##0.0000_-;_-* &quot;-&quot;??_-;_-@_-"/>
    <numFmt numFmtId="166" formatCode="&quot;R$&quot;\ #,##0.00"/>
    <numFmt numFmtId="167" formatCode="_-* #,##0.000000000_-;\-* #,##0.000000000_-;_-* &quot;-&quot;??_-;_-@_-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scheme val="minor"/>
    </font>
    <font>
      <b/>
      <sz val="8"/>
      <color theme="1"/>
      <name val="Calibri"/>
      <scheme val="minor"/>
    </font>
    <font>
      <sz val="10"/>
      <name val="Arial"/>
      <family val="2"/>
    </font>
    <font>
      <sz val="8"/>
      <color theme="1" tint="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</cellStyleXfs>
  <cellXfs count="9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/>
    <xf numFmtId="0" fontId="2" fillId="0" borderId="0" xfId="0" applyFont="1" applyBorder="1"/>
    <xf numFmtId="44" fontId="2" fillId="0" borderId="0" xfId="2" applyFont="1"/>
    <xf numFmtId="44" fontId="2" fillId="0" borderId="0" xfId="2" applyFont="1" applyBorder="1"/>
    <xf numFmtId="44" fontId="2" fillId="0" borderId="0" xfId="0" applyNumberFormat="1" applyFont="1"/>
    <xf numFmtId="164" fontId="2" fillId="0" borderId="0" xfId="1" applyNumberFormat="1" applyFont="1" applyBorder="1"/>
    <xf numFmtId="9" fontId="2" fillId="0" borderId="0" xfId="3" applyFont="1" applyBorder="1"/>
    <xf numFmtId="0" fontId="2" fillId="0" borderId="0" xfId="0" applyNumberFormat="1" applyFont="1"/>
    <xf numFmtId="44" fontId="3" fillId="0" borderId="0" xfId="2" applyFont="1" applyBorder="1"/>
    <xf numFmtId="44" fontId="3" fillId="0" borderId="0" xfId="2" applyFont="1"/>
    <xf numFmtId="44" fontId="2" fillId="0" borderId="0" xfId="2" applyNumberFormat="1" applyFont="1" applyBorder="1"/>
    <xf numFmtId="0" fontId="2" fillId="0" borderId="0" xfId="0" applyNumberFormat="1" applyFont="1" applyBorder="1"/>
    <xf numFmtId="14" fontId="2" fillId="0" borderId="0" xfId="0" applyNumberFormat="1" applyFont="1" applyBorder="1"/>
    <xf numFmtId="14" fontId="2" fillId="0" borderId="0" xfId="0" applyNumberFormat="1" applyFont="1"/>
    <xf numFmtId="165" fontId="2" fillId="0" borderId="0" xfId="1" applyNumberFormat="1" applyFont="1"/>
    <xf numFmtId="14" fontId="2" fillId="0" borderId="0" xfId="1" applyNumberFormat="1" applyFont="1"/>
    <xf numFmtId="14" fontId="2" fillId="0" borderId="0" xfId="1" applyNumberFormat="1" applyFont="1" applyBorder="1"/>
    <xf numFmtId="0" fontId="2" fillId="0" borderId="0" xfId="2" applyNumberFormat="1" applyFont="1" applyBorder="1"/>
    <xf numFmtId="0" fontId="2" fillId="0" borderId="0" xfId="2" applyNumberFormat="1" applyFont="1"/>
    <xf numFmtId="44" fontId="2" fillId="0" borderId="0" xfId="0" applyNumberFormat="1" applyFont="1" applyBorder="1"/>
    <xf numFmtId="10" fontId="2" fillId="0" borderId="0" xfId="3" applyNumberFormat="1" applyFont="1"/>
    <xf numFmtId="10" fontId="2" fillId="0" borderId="0" xfId="3" applyNumberFormat="1" applyFont="1" applyBorder="1"/>
    <xf numFmtId="14" fontId="2" fillId="0" borderId="0" xfId="1" applyNumberFormat="1" applyFont="1"/>
    <xf numFmtId="14" fontId="2" fillId="0" borderId="0" xfId="0" applyNumberFormat="1" applyFont="1"/>
    <xf numFmtId="164" fontId="2" fillId="0" borderId="0" xfId="2" applyNumberFormat="1" applyFont="1"/>
    <xf numFmtId="10" fontId="2" fillId="0" borderId="0" xfId="0" applyNumberFormat="1" applyFont="1"/>
    <xf numFmtId="9" fontId="2" fillId="0" borderId="0" xfId="3" applyFont="1"/>
    <xf numFmtId="166" fontId="0" fillId="0" borderId="0" xfId="0" applyNumberFormat="1"/>
    <xf numFmtId="0" fontId="4" fillId="0" borderId="0" xfId="0" applyFont="1"/>
    <xf numFmtId="14" fontId="4" fillId="0" borderId="0" xfId="1" applyNumberFormat="1" applyFont="1"/>
    <xf numFmtId="14" fontId="4" fillId="0" borderId="0" xfId="0" applyNumberFormat="1" applyFont="1"/>
    <xf numFmtId="0" fontId="4" fillId="0" borderId="0" xfId="0" applyNumberFormat="1" applyFont="1"/>
    <xf numFmtId="0" fontId="4" fillId="0" borderId="0" xfId="0" applyFont="1" applyBorder="1"/>
    <xf numFmtId="14" fontId="4" fillId="0" borderId="0" xfId="1" applyNumberFormat="1" applyFont="1" applyBorder="1"/>
    <xf numFmtId="14" fontId="4" fillId="0" borderId="0" xfId="0" applyNumberFormat="1" applyFont="1" applyBorder="1"/>
    <xf numFmtId="0" fontId="4" fillId="0" borderId="0" xfId="0" applyNumberFormat="1" applyFont="1" applyBorder="1"/>
    <xf numFmtId="0" fontId="4" fillId="0" borderId="0" xfId="2" applyNumberFormat="1" applyFont="1" applyBorder="1"/>
    <xf numFmtId="164" fontId="4" fillId="0" borderId="0" xfId="2" applyNumberFormat="1" applyFont="1" applyBorder="1"/>
    <xf numFmtId="44" fontId="4" fillId="0" borderId="0" xfId="0" applyNumberFormat="1" applyFont="1" applyBorder="1"/>
    <xf numFmtId="10" fontId="4" fillId="0" borderId="0" xfId="0" applyNumberFormat="1" applyFont="1" applyBorder="1"/>
    <xf numFmtId="44" fontId="4" fillId="0" borderId="0" xfId="2" applyFont="1" applyBorder="1"/>
    <xf numFmtId="9" fontId="4" fillId="0" borderId="0" xfId="3" applyFont="1" applyBorder="1"/>
    <xf numFmtId="44" fontId="5" fillId="0" borderId="0" xfId="2" applyFont="1" applyBorder="1"/>
    <xf numFmtId="9" fontId="4" fillId="0" borderId="0" xfId="3" applyNumberFormat="1" applyFont="1" applyBorder="1"/>
    <xf numFmtId="44" fontId="4" fillId="0" borderId="0" xfId="2" applyNumberFormat="1" applyFont="1" applyBorder="1"/>
    <xf numFmtId="0" fontId="3" fillId="0" borderId="0" xfId="0" applyFont="1"/>
    <xf numFmtId="14" fontId="3" fillId="0" borderId="0" xfId="0" applyNumberFormat="1" applyFont="1"/>
    <xf numFmtId="0" fontId="7" fillId="2" borderId="1" xfId="4" applyNumberFormat="1" applyFont="1" applyFill="1" applyBorder="1" applyAlignment="1" applyProtection="1">
      <alignment horizontal="center" vertical="center"/>
    </xf>
    <xf numFmtId="2" fontId="2" fillId="0" borderId="0" xfId="3" applyNumberFormat="1" applyFont="1"/>
    <xf numFmtId="2" fontId="4" fillId="0" borderId="0" xfId="3" applyNumberFormat="1" applyFont="1" applyBorder="1"/>
    <xf numFmtId="2" fontId="2" fillId="0" borderId="0" xfId="3" applyNumberFormat="1" applyFont="1" applyBorder="1"/>
    <xf numFmtId="2" fontId="2" fillId="0" borderId="0" xfId="0" applyNumberFormat="1" applyFont="1"/>
    <xf numFmtId="0" fontId="2" fillId="0" borderId="0" xfId="1" applyNumberFormat="1" applyFont="1" applyBorder="1"/>
    <xf numFmtId="164" fontId="2" fillId="0" borderId="0" xfId="2" applyNumberFormat="1" applyFont="1" applyBorder="1"/>
    <xf numFmtId="44" fontId="3" fillId="0" borderId="0" xfId="2" applyNumberFormat="1" applyFont="1" applyBorder="1"/>
    <xf numFmtId="9" fontId="2" fillId="0" borderId="0" xfId="3" applyNumberFormat="1" applyFont="1" applyBorder="1"/>
    <xf numFmtId="2" fontId="2" fillId="0" borderId="0" xfId="0" applyNumberFormat="1" applyFont="1" applyBorder="1"/>
    <xf numFmtId="10" fontId="2" fillId="0" borderId="0" xfId="2" applyNumberFormat="1" applyFont="1" applyBorder="1"/>
    <xf numFmtId="10" fontId="2" fillId="0" borderId="0" xfId="0" applyNumberFormat="1" applyFont="1" applyBorder="1"/>
    <xf numFmtId="44" fontId="0" fillId="0" borderId="0" xfId="2" applyFont="1"/>
    <xf numFmtId="0" fontId="2" fillId="0" borderId="0" xfId="1" applyNumberFormat="1" applyFont="1"/>
    <xf numFmtId="166" fontId="8" fillId="0" borderId="0" xfId="0" applyNumberFormat="1" applyFont="1"/>
    <xf numFmtId="0" fontId="3" fillId="0" borderId="0" xfId="2" applyNumberFormat="1" applyFont="1" applyBorder="1"/>
    <xf numFmtId="9" fontId="2" fillId="0" borderId="0" xfId="0" applyNumberFormat="1" applyFont="1" applyBorder="1"/>
    <xf numFmtId="14" fontId="2" fillId="0" borderId="0" xfId="0" applyNumberFormat="1" applyFont="1"/>
    <xf numFmtId="14" fontId="2" fillId="0" borderId="0" xfId="0" applyNumberFormat="1" applyFont="1" applyBorder="1"/>
    <xf numFmtId="44" fontId="3" fillId="0" borderId="0" xfId="2" applyNumberFormat="1" applyFont="1"/>
    <xf numFmtId="9" fontId="2" fillId="0" borderId="0" xfId="3" applyNumberFormat="1" applyFont="1"/>
    <xf numFmtId="44" fontId="2" fillId="0" borderId="0" xfId="2" applyNumberFormat="1" applyFont="1"/>
    <xf numFmtId="9" fontId="2" fillId="0" borderId="0" xfId="2" applyNumberFormat="1" applyFont="1" applyBorder="1"/>
    <xf numFmtId="44" fontId="3" fillId="0" borderId="0" xfId="0" applyNumberFormat="1" applyFont="1" applyBorder="1"/>
    <xf numFmtId="10" fontId="4" fillId="0" borderId="0" xfId="2" applyNumberFormat="1" applyFont="1" applyBorder="1"/>
    <xf numFmtId="10" fontId="4" fillId="0" borderId="0" xfId="3" applyNumberFormat="1" applyFont="1" applyBorder="1"/>
    <xf numFmtId="10" fontId="2" fillId="0" borderId="0" xfId="1" applyNumberFormat="1" applyFont="1" applyBorder="1"/>
    <xf numFmtId="10" fontId="2" fillId="0" borderId="0" xfId="2" applyNumberFormat="1" applyFont="1"/>
    <xf numFmtId="10" fontId="0" fillId="0" borderId="0" xfId="0" applyNumberFormat="1"/>
    <xf numFmtId="10" fontId="0" fillId="0" borderId="0" xfId="3" applyNumberFormat="1" applyFont="1"/>
    <xf numFmtId="14" fontId="2" fillId="0" borderId="0" xfId="1" applyNumberFormat="1" applyFont="1"/>
    <xf numFmtId="14" fontId="2" fillId="0" borderId="0" xfId="0" applyNumberFormat="1" applyFont="1"/>
    <xf numFmtId="0" fontId="0" fillId="0" borderId="0" xfId="0" applyAlignment="1">
      <alignment horizontal="left" indent="1"/>
    </xf>
    <xf numFmtId="44" fontId="3" fillId="0" borderId="0" xfId="0" applyNumberFormat="1" applyFont="1"/>
    <xf numFmtId="9" fontId="2" fillId="0" borderId="0" xfId="0" applyNumberFormat="1" applyFont="1"/>
    <xf numFmtId="44" fontId="2" fillId="0" borderId="0" xfId="3" applyNumberFormat="1" applyFont="1"/>
    <xf numFmtId="0" fontId="3" fillId="0" borderId="0" xfId="0" applyFont="1" applyBorder="1"/>
    <xf numFmtId="44" fontId="4" fillId="0" borderId="0" xfId="2" applyFont="1"/>
    <xf numFmtId="10" fontId="4" fillId="0" borderId="0" xfId="3" applyNumberFormat="1" applyFont="1"/>
    <xf numFmtId="44" fontId="2" fillId="0" borderId="0" xfId="3" applyNumberFormat="1" applyFont="1" applyBorder="1"/>
    <xf numFmtId="164" fontId="2" fillId="0" borderId="0" xfId="1" applyNumberFormat="1" applyFont="1"/>
    <xf numFmtId="167" fontId="2" fillId="0" borderId="0" xfId="1" applyNumberFormat="1" applyFont="1"/>
    <xf numFmtId="167" fontId="2" fillId="0" borderId="0" xfId="1" applyNumberFormat="1" applyFont="1" applyBorder="1"/>
    <xf numFmtId="167" fontId="2" fillId="0" borderId="0" xfId="0" applyNumberFormat="1" applyFont="1"/>
  </cellXfs>
  <cellStyles count="5">
    <cellStyle name="Comma" xfId="1" builtinId="3"/>
    <cellStyle name="Currency" xfId="2" builtinId="4"/>
    <cellStyle name="Normal" xfId="0" builtinId="0"/>
    <cellStyle name="Normal 2" xfId="4"/>
    <cellStyle name="Percent" xfId="3" builtinId="5"/>
  </cellStyles>
  <dxfs count="63"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7" formatCode="_-* #,##0.000000000_-;\-* #,##0.0000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7" formatCode="_-* #,##0.000000000_-;\-* #,##0.0000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68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numFmt numFmtId="14" formatCode="0.00%"/>
    </dxf>
    <dxf>
      <font>
        <b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d/m/yyyy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d/m/yyyy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114300</xdr:rowOff>
        </xdr:from>
        <xdr:to>
          <xdr:col>18</xdr:col>
          <xdr:colOff>200025</xdr:colOff>
          <xdr:row>2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&#243;pia%20de%20dividend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trimonio"/>
      <sheetName val="Proventos"/>
      <sheetName val="Tabela Proventos"/>
      <sheetName val="Cotacoes"/>
    </sheetNames>
    <sheetDataSet>
      <sheetData sheetId="0"/>
      <sheetData sheetId="1"/>
      <sheetData sheetId="2"/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ngelbert" refreshedDate="41631.971807291666" createdVersion="3" refreshedVersion="4" minRefreshableVersion="3" recordCount="823">
  <cacheSource type="worksheet">
    <worksheetSource name="Tabela5"/>
  </cacheSource>
  <cacheFields count="7">
    <cacheField name="Ativo" numFmtId="0">
      <sharedItems count="102">
        <s v="ABCB4"/>
        <s v="AELP3"/>
        <s v="AFLT3"/>
        <s v="ALLL3"/>
        <s v="ALSC3"/>
        <s v="BAHI3"/>
        <s v="BAZA3"/>
        <s v="BBAS3"/>
        <s v="BBRK3"/>
        <s v="BBSE3"/>
        <s v="BEES3"/>
        <s v="BEES4"/>
        <s v="BEMA3"/>
        <s v="BICB4"/>
        <s v="BISA3"/>
        <s v="BMIN4"/>
        <s v="BRAP3"/>
        <s v="BRAP4"/>
        <s v="BRGE6"/>
        <s v="BRIN3"/>
        <s v="BRML3"/>
        <s v="BRPR3"/>
        <s v="BRSR6"/>
        <s v="BVMF3"/>
        <s v="CBEE3"/>
        <s v="CEBR6"/>
        <s v="CEPE5"/>
        <s v="CESP3"/>
        <s v="CLSC4"/>
        <s v="CMIG3"/>
        <s v="CMIG4"/>
        <s v="COCE5"/>
        <s v="CPFE3"/>
        <s v="CPLE3"/>
        <s v="CRIV4"/>
        <s v="CSRN6"/>
        <s v="CTAX4"/>
        <s v="CTIP3"/>
        <s v="DAYC4"/>
        <s v="EKTR4"/>
        <s v="ELET3"/>
        <s v="ELET6"/>
        <s v="ELPL4"/>
        <s v="ENBR3"/>
        <s v="ENGI4"/>
        <s v="EQTL3"/>
        <s v="EVEN3"/>
        <s v="FESA4"/>
        <s v="FJTA4"/>
        <s v="GEPA4"/>
        <s v="GETI3"/>
        <s v="GETI4"/>
        <s v="GFSA3"/>
        <s v="HBOR3"/>
        <s v="IGTA3"/>
        <s v="ITSA4"/>
        <s v="ITUB4"/>
        <s v="JHSF3"/>
        <s v="KLBN4"/>
        <s v="LIGT3"/>
        <s v="LINX3"/>
        <s v="ODPV3"/>
        <s v="PDGR3"/>
        <s v="PETR3"/>
        <s v="PETR4"/>
        <s v="PINE4"/>
        <s v="POMO4"/>
        <s v="PRBC4"/>
        <s v="PRVI3"/>
        <s v="PTBL3"/>
        <s v="RAPT4"/>
        <s v="RDTR3"/>
        <s v="RPAD5"/>
        <s v="RSID3"/>
        <s v="SAPR4"/>
        <s v="SBSP3"/>
        <s v="SFSA4"/>
        <s v="SSBR3"/>
        <s v="SULA11"/>
        <s v="SUZB5"/>
        <s v="TAEE11"/>
        <s v="TERI3"/>
        <s v="TOTS3"/>
        <s v="UCAS3"/>
        <s v="UNIP5"/>
        <s v="UNIP6"/>
        <s v="USIM5"/>
        <s v="VIVT4"/>
        <s v="OIBR4" u="1"/>
        <s v="FRAS4" u="1"/>
        <s v="BASA3" u="1"/>
        <s v="BMTO4" u="1"/>
        <s v="TCSA3" u="1"/>
        <s v="ROMI3" u="1"/>
        <s v="TRPL4" u="1"/>
        <s v="CARD3" u="1"/>
        <s v="SANB4" u="1"/>
        <s v="NAFG4" u="1"/>
        <s v="MERC4" u="1"/>
        <s v="TIBR6" u="1"/>
        <s v="VALE5" u="1"/>
        <s v="MGEL4" u="1"/>
      </sharedItems>
    </cacheField>
    <cacheField name="Ano" numFmtId="0">
      <sharedItems containsSemiMixedTypes="0" containsString="0" containsNumber="1" containsInteger="1" minValue="1998" maxValue="2014" count="17">
        <n v="2013"/>
        <n v="2012"/>
        <n v="2011"/>
        <n v="2010"/>
        <n v="2009"/>
        <n v="2008"/>
        <n v="2007"/>
        <n v="2006"/>
        <n v="2005"/>
        <n v="2004"/>
        <n v="2003"/>
        <n v="2002"/>
        <n v="2001"/>
        <n v="2000"/>
        <n v="1999"/>
        <n v="2014"/>
        <n v="1998"/>
      </sharedItems>
    </cacheField>
    <cacheField name="Líquido" numFmtId="0">
      <sharedItems containsSemiMixedTypes="0" containsString="0" containsNumber="1" minValue="0" maxValue="25.799900000000001"/>
    </cacheField>
    <cacheField name="Lucro Líquido" numFmtId="44">
      <sharedItems containsString="0" containsBlank="1" containsNumber="1" minValue="39281689.020000003" maxValue="1572105000"/>
    </cacheField>
    <cacheField name="Dividendos" numFmtId="44">
      <sharedItems containsString="0" containsBlank="1" containsNumber="1" minValue="5000000" maxValue="1541904000"/>
    </cacheField>
    <cacheField name="Payout2" numFmtId="10">
      <sharedItems containsSemiMixedTypes="0" containsString="0" containsNumber="1" minValue="0" maxValue="1.1441105062892896"/>
    </cacheField>
    <cacheField name="Payout" numFmtId="10">
      <sharedItems containsString="0" containsBlank="1" containsNumber="1" minValue="-3.03" maxValue="7.65259999999999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Engelbert" refreshedDate="41632.056070949075" createdVersion="3" refreshedVersion="4" minRefreshableVersion="3" recordCount="49">
  <cacheSource type="worksheet">
    <worksheetSource name="Tabela2"/>
  </cacheSource>
  <cacheFields count="10">
    <cacheField name="Ativo" numFmtId="0">
      <sharedItems containsBlank="1" count="17">
        <s v="BEES3"/>
        <s v="BEES4"/>
        <s v="RDTR3"/>
        <s v="UNIP5"/>
        <s v="UNIP6"/>
        <s v="BAZA3"/>
        <s v="RSID3"/>
        <s v="ENGI4"/>
        <s v="ENGI11"/>
        <s v="CRIV4"/>
        <s v="AELP3"/>
        <s v="BBRK3"/>
        <s v="OIBR4"/>
        <s v="TIBR5"/>
        <s v="TIBR6"/>
        <m u="1"/>
        <s v="RNAR3" u="1"/>
      </sharedItems>
    </cacheField>
    <cacheField name="Exercício" numFmtId="0">
      <sharedItems containsSemiMixedTypes="0" containsString="0" containsNumber="1" containsInteger="1" minValue="2004" maxValue="2012" count="9">
        <n v="2012"/>
        <n v="2011"/>
        <n v="2010"/>
        <n v="2009"/>
        <n v="2008"/>
        <n v="2007"/>
        <n v="2006"/>
        <n v="2005"/>
        <n v="2004"/>
      </sharedItems>
    </cacheField>
    <cacheField name="Lucro Líquido" numFmtId="44">
      <sharedItems containsSemiMixedTypes="0" containsString="0" containsNumber="1" minValue="26300000" maxValue="1971024029.29"/>
    </cacheField>
    <cacheField name="Reserva Legal" numFmtId="44">
      <sharedItems containsSemiMixedTypes="0" containsString="0" containsNumber="1" minValue="1315000" maxValue="98551201.46450001"/>
    </cacheField>
    <cacheField name="Total Ações" numFmtId="164">
      <sharedItems containsSemiMixedTypes="0" containsString="0" containsNumber="1" containsInteger="1" minValue="95061053" maxValue="2964596762"/>
    </cacheField>
    <cacheField name="Lucro por ação" numFmtId="167">
      <sharedItems containsSemiMixedTypes="0" containsString="0" containsNumber="1" minValue="8.4277903559283451E-3" maxValue="4.3660441043084175"/>
    </cacheField>
    <cacheField name="Dividendo / Ação" numFmtId="167">
      <sharedItems containsString="0" containsBlank="1" containsNumber="1" minValue="4.1999999999999997E-3" maxValue="3.34"/>
    </cacheField>
    <cacheField name="Payout" numFmtId="10">
      <sharedItems containsSemiMixedTypes="0" containsString="0" containsNumber="1" minValue="0" maxValue="3.5891829301633016"/>
    </cacheField>
    <cacheField name="Cotação" numFmtId="44">
      <sharedItems containsSemiMixedTypes="0" containsString="0" containsNumber="1" minValue="0.19" maxValue="11.8"/>
    </cacheField>
    <cacheField name="Yield" numFmtId="10">
      <sharedItems containsSemiMixedTypes="0" containsString="0" containsNumber="1" minValue="0" maxValue="0.8766404199475065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23">
  <r>
    <x v="0"/>
    <x v="0"/>
    <n v="0.51390999999999987"/>
    <m/>
    <m/>
    <n v="0"/>
    <n v="0.34599999999999997"/>
  </r>
  <r>
    <x v="0"/>
    <x v="1"/>
    <n v="0.28050000000000003"/>
    <m/>
    <m/>
    <n v="0"/>
    <n v="0.39"/>
  </r>
  <r>
    <x v="0"/>
    <x v="2"/>
    <n v="0.51"/>
    <m/>
    <m/>
    <n v="0"/>
    <m/>
  </r>
  <r>
    <x v="0"/>
    <x v="3"/>
    <n v="0.45900000000000002"/>
    <m/>
    <m/>
    <n v="0"/>
    <m/>
  </r>
  <r>
    <x v="0"/>
    <x v="4"/>
    <n v="0.4335"/>
    <m/>
    <m/>
    <n v="0"/>
    <m/>
  </r>
  <r>
    <x v="0"/>
    <x v="5"/>
    <n v="0.42499999999999999"/>
    <m/>
    <m/>
    <n v="0"/>
    <m/>
  </r>
  <r>
    <x v="1"/>
    <x v="0"/>
    <n v="5.2597775999999999E-2"/>
    <n v="58854140.329999998"/>
    <n v="5000000"/>
    <n v="8.4955790229278502E-2"/>
    <n v="8.4955790229278502E-2"/>
  </r>
  <r>
    <x v="1"/>
    <x v="1"/>
    <n v="1.6555676070000001"/>
    <n v="443133645.13999999"/>
    <n v="306367891.80000001"/>
    <n v="0.69136680358181479"/>
    <n v="0.69136680358181479"/>
  </r>
  <r>
    <x v="1"/>
    <x v="2"/>
    <n v="3.9811068658000002"/>
    <n v="376135677.57999998"/>
    <n v="333946745.44"/>
    <n v="0.88783586706946493"/>
    <n v="0.88783586706946493"/>
  </r>
  <r>
    <x v="1"/>
    <x v="3"/>
    <n v="3.9899957866999998"/>
    <n v="307018663.63999999"/>
    <n v="304092059.63999999"/>
    <n v="0.99046766745284376"/>
    <n v="0.99046766745284376"/>
  </r>
  <r>
    <x v="1"/>
    <x v="4"/>
    <n v="3.6769091111500001"/>
    <n v="464944486.94"/>
    <n v="457224713.50999999"/>
    <n v="0.98339635451791851"/>
    <n v="0.98339635451791851"/>
  </r>
  <r>
    <x v="1"/>
    <x v="5"/>
    <n v="1.9183961286"/>
    <n v="188743716.03"/>
    <n v="186165137.66"/>
    <n v="0.98633820280623197"/>
    <n v="0.98633820280623197"/>
  </r>
  <r>
    <x v="2"/>
    <x v="0"/>
    <n v="0.40910000000000002"/>
    <m/>
    <m/>
    <n v="0"/>
    <n v="1.4017999999999999"/>
  </r>
  <r>
    <x v="2"/>
    <x v="1"/>
    <n v="0.31869999999999998"/>
    <m/>
    <m/>
    <n v="0"/>
    <n v="1.19"/>
  </r>
  <r>
    <x v="2"/>
    <x v="2"/>
    <n v="0.24959999999999999"/>
    <m/>
    <m/>
    <n v="0"/>
    <m/>
  </r>
  <r>
    <x v="3"/>
    <x v="0"/>
    <n v="8.2500000000000004E-2"/>
    <m/>
    <m/>
    <n v="0"/>
    <m/>
  </r>
  <r>
    <x v="3"/>
    <x v="1"/>
    <n v="8.5500000000000007E-2"/>
    <m/>
    <m/>
    <n v="0"/>
    <m/>
  </r>
  <r>
    <x v="3"/>
    <x v="2"/>
    <n v="8.2900000000000001E-2"/>
    <m/>
    <m/>
    <n v="0"/>
    <m/>
  </r>
  <r>
    <x v="3"/>
    <x v="3"/>
    <n v="2.0999999999999999E-3"/>
    <m/>
    <m/>
    <n v="0"/>
    <m/>
  </r>
  <r>
    <x v="3"/>
    <x v="4"/>
    <n v="1.4500000000000001E-2"/>
    <m/>
    <m/>
    <n v="0"/>
    <m/>
  </r>
  <r>
    <x v="3"/>
    <x v="5"/>
    <n v="1.7899999999999999E-2"/>
    <m/>
    <m/>
    <n v="0"/>
    <m/>
  </r>
  <r>
    <x v="3"/>
    <x v="6"/>
    <n v="5.4199999999999995E-3"/>
    <m/>
    <m/>
    <n v="0"/>
    <m/>
  </r>
  <r>
    <x v="3"/>
    <x v="7"/>
    <n v="9.11E-2"/>
    <m/>
    <m/>
    <n v="0"/>
    <m/>
  </r>
  <r>
    <x v="3"/>
    <x v="8"/>
    <n v="7.9830000000000012E-2"/>
    <m/>
    <m/>
    <n v="0"/>
    <m/>
  </r>
  <r>
    <x v="3"/>
    <x v="9"/>
    <n v="0.70838999999999996"/>
    <m/>
    <m/>
    <n v="0"/>
    <m/>
  </r>
  <r>
    <x v="3"/>
    <x v="10"/>
    <n v="0"/>
    <m/>
    <m/>
    <n v="0"/>
    <m/>
  </r>
  <r>
    <x v="3"/>
    <x v="11"/>
    <n v="1.4200000000000001E-2"/>
    <m/>
    <m/>
    <n v="0"/>
    <m/>
  </r>
  <r>
    <x v="4"/>
    <x v="0"/>
    <n v="0.34610000000000002"/>
    <m/>
    <m/>
    <n v="0"/>
    <m/>
  </r>
  <r>
    <x v="4"/>
    <x v="1"/>
    <n v="0.18"/>
    <m/>
    <m/>
    <n v="0"/>
    <m/>
  </r>
  <r>
    <x v="4"/>
    <x v="2"/>
    <n v="0.09"/>
    <m/>
    <m/>
    <n v="0"/>
    <m/>
  </r>
  <r>
    <x v="4"/>
    <x v="3"/>
    <n v="0.05"/>
    <m/>
    <m/>
    <n v="0"/>
    <m/>
  </r>
  <r>
    <x v="5"/>
    <x v="0"/>
    <n v="1"/>
    <m/>
    <m/>
    <n v="0"/>
    <n v="5.9962999999999997"/>
  </r>
  <r>
    <x v="5"/>
    <x v="1"/>
    <n v="1"/>
    <m/>
    <m/>
    <n v="0"/>
    <n v="-3.03"/>
  </r>
  <r>
    <x v="5"/>
    <x v="2"/>
    <n v="0"/>
    <m/>
    <m/>
    <n v="0"/>
    <m/>
  </r>
  <r>
    <x v="5"/>
    <x v="3"/>
    <n v="4.2233000000000001"/>
    <m/>
    <m/>
    <n v="0"/>
    <m/>
  </r>
  <r>
    <x v="5"/>
    <x v="4"/>
    <n v="0"/>
    <m/>
    <m/>
    <n v="0"/>
    <m/>
  </r>
  <r>
    <x v="5"/>
    <x v="5"/>
    <n v="2.4749999999999996"/>
    <m/>
    <m/>
    <n v="0"/>
    <m/>
  </r>
  <r>
    <x v="5"/>
    <x v="6"/>
    <n v="2.85"/>
    <m/>
    <m/>
    <n v="0"/>
    <m/>
  </r>
  <r>
    <x v="5"/>
    <x v="7"/>
    <n v="2.09"/>
    <m/>
    <m/>
    <n v="0"/>
    <m/>
  </r>
  <r>
    <x v="6"/>
    <x v="0"/>
    <n v="1.9380000000000001E-2"/>
    <m/>
    <m/>
    <n v="0"/>
    <n v="0.4632"/>
  </r>
  <r>
    <x v="6"/>
    <x v="1"/>
    <n v="2.6435E-2"/>
    <m/>
    <m/>
    <n v="0"/>
    <n v="0.4"/>
  </r>
  <r>
    <x v="6"/>
    <x v="2"/>
    <n v="1.9465E-2"/>
    <m/>
    <m/>
    <n v="0"/>
    <m/>
  </r>
  <r>
    <x v="6"/>
    <x v="3"/>
    <n v="2.0995E-2"/>
    <m/>
    <m/>
    <n v="0"/>
    <m/>
  </r>
  <r>
    <x v="6"/>
    <x v="4"/>
    <n v="3.5099999999999999E-2"/>
    <m/>
    <m/>
    <n v="0"/>
    <m/>
  </r>
  <r>
    <x v="6"/>
    <x v="5"/>
    <n v="2.2950000000000002E-2"/>
    <m/>
    <m/>
    <n v="0"/>
    <m/>
  </r>
  <r>
    <x v="7"/>
    <x v="0"/>
    <n v="2.2012"/>
    <m/>
    <m/>
    <n v="0"/>
    <n v="0.34689999999999999"/>
  </r>
  <r>
    <x v="7"/>
    <x v="1"/>
    <n v="1.4477349999999998"/>
    <m/>
    <m/>
    <n v="0"/>
    <n v="0.36"/>
  </r>
  <r>
    <x v="7"/>
    <x v="2"/>
    <n v="1.7261700000000002"/>
    <m/>
    <m/>
    <n v="0"/>
    <n v="0.43"/>
  </r>
  <r>
    <x v="7"/>
    <x v="3"/>
    <n v="1.7205749999999997"/>
    <m/>
    <m/>
    <n v="0"/>
    <n v="0.45"/>
  </r>
  <r>
    <x v="7"/>
    <x v="4"/>
    <n v="1.3177449999999999"/>
    <m/>
    <m/>
    <n v="0"/>
    <n v="0.34"/>
  </r>
  <r>
    <x v="7"/>
    <x v="5"/>
    <n v="1.0465600000000002"/>
    <m/>
    <m/>
    <n v="0"/>
    <n v="0.31"/>
  </r>
  <r>
    <x v="7"/>
    <x v="6"/>
    <n v="1.3199200000000002"/>
    <m/>
    <m/>
    <n v="0"/>
    <n v="0.38"/>
  </r>
  <r>
    <x v="7"/>
    <x v="7"/>
    <n v="4.4245899999999994"/>
    <m/>
    <m/>
    <n v="0"/>
    <n v="0.63"/>
  </r>
  <r>
    <x v="7"/>
    <x v="8"/>
    <n v="0.92828500000000003"/>
    <m/>
    <m/>
    <n v="0"/>
    <n v="0.2"/>
  </r>
  <r>
    <x v="7"/>
    <x v="9"/>
    <n v="1.3315250000000001"/>
    <m/>
    <m/>
    <n v="0"/>
    <n v="0.39"/>
  </r>
  <r>
    <x v="7"/>
    <x v="10"/>
    <n v="0.76636499999999996"/>
    <m/>
    <m/>
    <n v="0"/>
    <n v="1"/>
  </r>
  <r>
    <x v="7"/>
    <x v="11"/>
    <n v="0.68520000000000003"/>
    <m/>
    <m/>
    <n v="0"/>
    <n v="0.96"/>
  </r>
  <r>
    <x v="7"/>
    <x v="12"/>
    <n v="0.309"/>
    <m/>
    <m/>
    <n v="0"/>
    <n v="0.78"/>
  </r>
  <r>
    <x v="7"/>
    <x v="13"/>
    <n v="0.216835"/>
    <m/>
    <m/>
    <n v="0"/>
    <m/>
  </r>
  <r>
    <x v="7"/>
    <x v="14"/>
    <n v="0.336005"/>
    <m/>
    <m/>
    <n v="0"/>
    <m/>
  </r>
  <r>
    <x v="8"/>
    <x v="0"/>
    <n v="0.30809999999999998"/>
    <m/>
    <m/>
    <n v="0"/>
    <n v="0.64270000000000005"/>
  </r>
  <r>
    <x v="8"/>
    <x v="1"/>
    <n v="0.32"/>
    <m/>
    <m/>
    <n v="0"/>
    <n v="0.65"/>
  </r>
  <r>
    <x v="8"/>
    <x v="2"/>
    <n v="0.18099999999999999"/>
    <m/>
    <m/>
    <n v="0"/>
    <n v="0.27"/>
  </r>
  <r>
    <x v="8"/>
    <x v="3"/>
    <n v="0.128"/>
    <m/>
    <m/>
    <n v="0"/>
    <n v="0.26"/>
  </r>
  <r>
    <x v="8"/>
    <x v="4"/>
    <n v="2.35E-2"/>
    <m/>
    <m/>
    <n v="0"/>
    <n v="7.0000000000000007E-2"/>
  </r>
  <r>
    <x v="9"/>
    <x v="0"/>
    <n v="0.4148"/>
    <m/>
    <m/>
    <n v="0"/>
    <m/>
  </r>
  <r>
    <x v="10"/>
    <x v="0"/>
    <n v="1.6155538327999999E-2"/>
    <m/>
    <m/>
    <n v="0"/>
    <n v="0.58630000000000004"/>
  </r>
  <r>
    <x v="10"/>
    <x v="1"/>
    <n v="0.17170080728749998"/>
    <m/>
    <m/>
    <n v="0"/>
    <n v="0.25"/>
  </r>
  <r>
    <x v="10"/>
    <x v="2"/>
    <n v="0.28561000000000003"/>
    <m/>
    <m/>
    <n v="0"/>
    <n v="0.25"/>
  </r>
  <r>
    <x v="10"/>
    <x v="3"/>
    <n v="0.20542587664999995"/>
    <m/>
    <m/>
    <n v="0"/>
    <n v="0.25"/>
  </r>
  <r>
    <x v="10"/>
    <x v="4"/>
    <n v="0.22763612084999998"/>
    <m/>
    <m/>
    <n v="0"/>
    <n v="0.25"/>
  </r>
  <r>
    <x v="10"/>
    <x v="5"/>
    <n v="0.11635149389999999"/>
    <m/>
    <m/>
    <n v="0"/>
    <n v="0.25"/>
  </r>
  <r>
    <x v="11"/>
    <x v="0"/>
    <n v="1.6155538327999999E-2"/>
    <m/>
    <m/>
    <n v="0"/>
    <n v="0.58630000000000004"/>
  </r>
  <r>
    <x v="11"/>
    <x v="1"/>
    <n v="0.17170080728749998"/>
    <m/>
    <m/>
    <n v="0"/>
    <n v="0.25"/>
  </r>
  <r>
    <x v="11"/>
    <x v="2"/>
    <n v="0.28561000000000003"/>
    <m/>
    <m/>
    <n v="0"/>
    <n v="0.25"/>
  </r>
  <r>
    <x v="11"/>
    <x v="3"/>
    <n v="0.20542587664999995"/>
    <m/>
    <m/>
    <n v="0"/>
    <n v="0.25"/>
  </r>
  <r>
    <x v="11"/>
    <x v="4"/>
    <n v="0.22763612084999998"/>
    <m/>
    <m/>
    <n v="0"/>
    <n v="0.25"/>
  </r>
  <r>
    <x v="11"/>
    <x v="5"/>
    <n v="0.11385391169999999"/>
    <m/>
    <m/>
    <n v="0"/>
    <n v="0.25"/>
  </r>
  <r>
    <x v="12"/>
    <x v="0"/>
    <n v="0.376"/>
    <m/>
    <m/>
    <n v="0"/>
    <m/>
  </r>
  <r>
    <x v="12"/>
    <x v="1"/>
    <n v="8.4000000000000005E-2"/>
    <m/>
    <m/>
    <n v="0"/>
    <m/>
  </r>
  <r>
    <x v="12"/>
    <x v="2"/>
    <n v="0.35499999999999998"/>
    <m/>
    <m/>
    <n v="0"/>
    <m/>
  </r>
  <r>
    <x v="12"/>
    <x v="3"/>
    <n v="0.4"/>
    <m/>
    <m/>
    <n v="0"/>
    <m/>
  </r>
  <r>
    <x v="12"/>
    <x v="4"/>
    <n v="0.12"/>
    <m/>
    <m/>
    <n v="0"/>
    <m/>
  </r>
  <r>
    <x v="12"/>
    <x v="5"/>
    <n v="0.19550000000000003"/>
    <m/>
    <m/>
    <n v="0"/>
    <m/>
  </r>
  <r>
    <x v="13"/>
    <x v="0"/>
    <n v="0.19999"/>
    <m/>
    <m/>
    <n v="0"/>
    <n v="1.2939000000000001"/>
  </r>
  <r>
    <x v="13"/>
    <x v="1"/>
    <n v="0.42847999999999997"/>
    <m/>
    <m/>
    <n v="0"/>
    <n v="0.79"/>
  </r>
  <r>
    <x v="13"/>
    <x v="2"/>
    <n v="0.44395000000000001"/>
    <m/>
    <m/>
    <n v="0"/>
    <m/>
  </r>
  <r>
    <x v="13"/>
    <x v="3"/>
    <n v="0.57101999999999997"/>
    <m/>
    <m/>
    <n v="0"/>
    <m/>
  </r>
  <r>
    <x v="13"/>
    <x v="4"/>
    <n v="0.60505000000000009"/>
    <m/>
    <m/>
    <n v="0"/>
    <m/>
  </r>
  <r>
    <x v="13"/>
    <x v="5"/>
    <n v="0.51664500000000002"/>
    <m/>
    <m/>
    <n v="0"/>
    <m/>
  </r>
  <r>
    <x v="14"/>
    <x v="0"/>
    <n v="0.17291499999999999"/>
    <m/>
    <m/>
    <n v="0"/>
    <m/>
  </r>
  <r>
    <x v="14"/>
    <x v="1"/>
    <n v="0.35146723299999993"/>
    <m/>
    <m/>
    <n v="0"/>
    <m/>
  </r>
  <r>
    <x v="14"/>
    <x v="2"/>
    <n v="0.24010000000000001"/>
    <m/>
    <m/>
    <n v="0"/>
    <m/>
  </r>
  <r>
    <x v="14"/>
    <x v="3"/>
    <n v="0.11052379800000001"/>
    <m/>
    <m/>
    <n v="0"/>
    <m/>
  </r>
  <r>
    <x v="14"/>
    <x v="4"/>
    <n v="6.9704837000000006E-2"/>
    <m/>
    <m/>
    <n v="0"/>
    <m/>
  </r>
  <r>
    <x v="14"/>
    <x v="5"/>
    <n v="0.19842787100000001"/>
    <m/>
    <m/>
    <n v="0"/>
    <m/>
  </r>
  <r>
    <x v="14"/>
    <x v="6"/>
    <n v="3.9133544999999999E-2"/>
    <m/>
    <m/>
    <n v="0"/>
    <m/>
  </r>
  <r>
    <x v="15"/>
    <x v="0"/>
    <n v="1.0879999999999999E-2"/>
    <m/>
    <m/>
    <n v="0"/>
    <n v="0"/>
  </r>
  <r>
    <x v="15"/>
    <x v="1"/>
    <n v="1.0199999999999999E-2"/>
    <m/>
    <m/>
    <n v="0"/>
    <n v="0"/>
  </r>
  <r>
    <x v="15"/>
    <x v="2"/>
    <n v="1.0114999999999999E-2"/>
    <m/>
    <m/>
    <n v="0"/>
    <m/>
  </r>
  <r>
    <x v="15"/>
    <x v="3"/>
    <n v="9.3499999999999989E-3"/>
    <m/>
    <m/>
    <n v="0"/>
    <m/>
  </r>
  <r>
    <x v="15"/>
    <x v="4"/>
    <n v="8.9249999999999989E-3"/>
    <m/>
    <m/>
    <n v="0"/>
    <m/>
  </r>
  <r>
    <x v="15"/>
    <x v="5"/>
    <n v="8.5000000000000006E-3"/>
    <m/>
    <m/>
    <n v="0"/>
    <m/>
  </r>
  <r>
    <x v="15"/>
    <x v="6"/>
    <n v="8.1600000000000006E-3"/>
    <m/>
    <m/>
    <n v="0"/>
    <m/>
  </r>
  <r>
    <x v="15"/>
    <x v="7"/>
    <n v="7.8199999999999988E-3"/>
    <m/>
    <m/>
    <n v="0"/>
    <m/>
  </r>
  <r>
    <x v="15"/>
    <x v="8"/>
    <n v="1.1219999999999999E-2"/>
    <m/>
    <m/>
    <n v="0"/>
    <m/>
  </r>
  <r>
    <x v="15"/>
    <x v="9"/>
    <n v="6.3749999999999996E-3"/>
    <m/>
    <m/>
    <n v="0"/>
    <m/>
  </r>
  <r>
    <x v="15"/>
    <x v="10"/>
    <n v="9.3499999999999989E-3"/>
    <m/>
    <m/>
    <n v="0"/>
    <m/>
  </r>
  <r>
    <x v="15"/>
    <x v="11"/>
    <n v="7.07"/>
    <m/>
    <m/>
    <n v="0"/>
    <m/>
  </r>
  <r>
    <x v="15"/>
    <x v="12"/>
    <n v="10.379999999999999"/>
    <m/>
    <m/>
    <n v="0"/>
    <m/>
  </r>
  <r>
    <x v="15"/>
    <x v="13"/>
    <n v="6.93"/>
    <m/>
    <m/>
    <n v="0"/>
    <m/>
  </r>
  <r>
    <x v="15"/>
    <x v="14"/>
    <n v="7.0500000000000007"/>
    <m/>
    <m/>
    <n v="0"/>
    <m/>
  </r>
  <r>
    <x v="16"/>
    <x v="0"/>
    <n v="1.1036250000000001"/>
    <m/>
    <m/>
    <n v="0"/>
    <n v="0.84609999999999996"/>
  </r>
  <r>
    <x v="16"/>
    <x v="1"/>
    <n v="1.5697450000000002"/>
    <m/>
    <m/>
    <n v="0"/>
    <n v="1.22"/>
  </r>
  <r>
    <x v="16"/>
    <x v="2"/>
    <n v="1.41723"/>
    <m/>
    <m/>
    <n v="0"/>
    <m/>
  </r>
  <r>
    <x v="16"/>
    <x v="3"/>
    <n v="0.82208499999999984"/>
    <m/>
    <m/>
    <n v="0"/>
    <m/>
  </r>
  <r>
    <x v="16"/>
    <x v="4"/>
    <n v="0.93659999999999999"/>
    <m/>
    <m/>
    <n v="0"/>
    <m/>
  </r>
  <r>
    <x v="16"/>
    <x v="5"/>
    <n v="0.93364999999999998"/>
    <m/>
    <m/>
    <n v="0"/>
    <m/>
  </r>
  <r>
    <x v="16"/>
    <x v="6"/>
    <n v="0.99276000000000009"/>
    <m/>
    <m/>
    <n v="0"/>
    <m/>
  </r>
  <r>
    <x v="16"/>
    <x v="7"/>
    <n v="3.0399399999999996"/>
    <m/>
    <m/>
    <n v="0"/>
    <m/>
  </r>
  <r>
    <x v="16"/>
    <x v="8"/>
    <n v="2.3737949999999999"/>
    <m/>
    <m/>
    <n v="0"/>
    <m/>
  </r>
  <r>
    <x v="16"/>
    <x v="9"/>
    <n v="0"/>
    <m/>
    <m/>
    <n v="0"/>
    <m/>
  </r>
  <r>
    <x v="16"/>
    <x v="10"/>
    <n v="0"/>
    <m/>
    <m/>
    <n v="0"/>
    <m/>
  </r>
  <r>
    <x v="16"/>
    <x v="11"/>
    <n v="0"/>
    <m/>
    <m/>
    <n v="0"/>
    <m/>
  </r>
  <r>
    <x v="16"/>
    <x v="12"/>
    <n v="1.7600000000000001E-2"/>
    <m/>
    <m/>
    <n v="0"/>
    <m/>
  </r>
  <r>
    <x v="17"/>
    <x v="0"/>
    <n v="1.214"/>
    <m/>
    <m/>
    <n v="0"/>
    <n v="0.92930000000000001"/>
  </r>
  <r>
    <x v="17"/>
    <x v="1"/>
    <n v="1.7267549999999998"/>
    <m/>
    <m/>
    <n v="0"/>
    <n v="1.36"/>
  </r>
  <r>
    <x v="17"/>
    <x v="2"/>
    <n v="1.5589900000000001"/>
    <m/>
    <m/>
    <n v="0"/>
    <m/>
  </r>
  <r>
    <x v="17"/>
    <x v="3"/>
    <n v="0.90429499999999996"/>
    <m/>
    <m/>
    <n v="0"/>
    <m/>
  </r>
  <r>
    <x v="17"/>
    <x v="4"/>
    <n v="1.030365"/>
    <m/>
    <m/>
    <n v="0"/>
    <m/>
  </r>
  <r>
    <x v="17"/>
    <x v="5"/>
    <n v="1.0271600000000001"/>
    <m/>
    <m/>
    <n v="0"/>
    <m/>
  </r>
  <r>
    <x v="17"/>
    <x v="6"/>
    <n v="1.0922350000000001"/>
    <m/>
    <m/>
    <n v="0"/>
    <m/>
  </r>
  <r>
    <x v="17"/>
    <x v="7"/>
    <n v="3.343985"/>
    <m/>
    <m/>
    <n v="0"/>
    <m/>
  </r>
  <r>
    <x v="17"/>
    <x v="8"/>
    <n v="2.6112849999999996"/>
    <m/>
    <m/>
    <n v="0"/>
    <m/>
  </r>
  <r>
    <x v="17"/>
    <x v="9"/>
    <n v="0"/>
    <m/>
    <m/>
    <n v="0"/>
    <m/>
  </r>
  <r>
    <x v="17"/>
    <x v="10"/>
    <n v="0"/>
    <m/>
    <m/>
    <n v="0"/>
    <m/>
  </r>
  <r>
    <x v="17"/>
    <x v="11"/>
    <n v="0"/>
    <m/>
    <m/>
    <n v="0"/>
    <m/>
  </r>
  <r>
    <x v="17"/>
    <x v="12"/>
    <n v="1.9300000000000001E-2"/>
    <m/>
    <m/>
    <n v="0"/>
    <m/>
  </r>
  <r>
    <x v="18"/>
    <x v="0"/>
    <n v="0.47484000000000004"/>
    <m/>
    <m/>
    <n v="0"/>
    <n v="0.36820000000000003"/>
  </r>
  <r>
    <x v="18"/>
    <x v="1"/>
    <n v="0.43793500000000002"/>
    <m/>
    <m/>
    <n v="0"/>
    <n v="0.34"/>
  </r>
  <r>
    <x v="18"/>
    <x v="2"/>
    <n v="0.39992499999999997"/>
    <m/>
    <m/>
    <n v="0"/>
    <m/>
  </r>
  <r>
    <x v="18"/>
    <x v="3"/>
    <n v="0.36515500000000001"/>
    <m/>
    <m/>
    <n v="0"/>
    <m/>
  </r>
  <r>
    <x v="18"/>
    <x v="4"/>
    <n v="0.33102500000000001"/>
    <m/>
    <m/>
    <n v="0"/>
    <m/>
  </r>
  <r>
    <x v="18"/>
    <x v="5"/>
    <n v="0.30047499999999999"/>
    <m/>
    <m/>
    <n v="0"/>
    <m/>
  </r>
  <r>
    <x v="18"/>
    <x v="6"/>
    <n v="0.23717500000000002"/>
    <m/>
    <m/>
    <n v="0"/>
    <m/>
  </r>
  <r>
    <x v="18"/>
    <x v="7"/>
    <n v="0.2281"/>
    <m/>
    <m/>
    <n v="0"/>
    <m/>
  </r>
  <r>
    <x v="18"/>
    <x v="8"/>
    <n v="0.21084999999999998"/>
    <m/>
    <m/>
    <n v="0"/>
    <m/>
  </r>
  <r>
    <x v="18"/>
    <x v="9"/>
    <n v="0.19040000000000001"/>
    <m/>
    <m/>
    <n v="0"/>
    <m/>
  </r>
  <r>
    <x v="18"/>
    <x v="10"/>
    <n v="0.22138000000000002"/>
    <m/>
    <m/>
    <n v="0"/>
    <m/>
  </r>
  <r>
    <x v="18"/>
    <x v="11"/>
    <n v="0.14746500000000001"/>
    <m/>
    <m/>
    <n v="0"/>
    <m/>
  </r>
  <r>
    <x v="18"/>
    <x v="12"/>
    <n v="0.13875499999999999"/>
    <m/>
    <m/>
    <n v="0"/>
    <m/>
  </r>
  <r>
    <x v="18"/>
    <x v="13"/>
    <n v="0.11376499999999999"/>
    <m/>
    <m/>
    <n v="0"/>
    <m/>
  </r>
  <r>
    <x v="18"/>
    <x v="14"/>
    <n v="0.16508499999999998"/>
    <m/>
    <m/>
    <n v="0"/>
    <m/>
  </r>
  <r>
    <x v="19"/>
    <x v="0"/>
    <n v="1.7250000000000001"/>
    <m/>
    <m/>
    <n v="0"/>
    <m/>
  </r>
  <r>
    <x v="19"/>
    <x v="1"/>
    <n v="0.98429999999999995"/>
    <m/>
    <m/>
    <n v="0"/>
    <m/>
  </r>
  <r>
    <x v="19"/>
    <x v="2"/>
    <n v="3.49"/>
    <m/>
    <m/>
    <n v="0"/>
    <m/>
  </r>
  <r>
    <x v="20"/>
    <x v="0"/>
    <n v="0.47149999999999997"/>
    <m/>
    <m/>
    <n v="0"/>
    <m/>
  </r>
  <r>
    <x v="20"/>
    <x v="1"/>
    <n v="0.1507"/>
    <m/>
    <m/>
    <n v="0"/>
    <m/>
  </r>
  <r>
    <x v="20"/>
    <x v="2"/>
    <n v="0.16520000000000001"/>
    <m/>
    <m/>
    <n v="0"/>
    <m/>
  </r>
  <r>
    <x v="20"/>
    <x v="3"/>
    <n v="0.24399999999999999"/>
    <m/>
    <m/>
    <n v="0"/>
    <m/>
  </r>
  <r>
    <x v="21"/>
    <x v="0"/>
    <n v="0.51349999999999996"/>
    <m/>
    <m/>
    <n v="0"/>
    <m/>
  </r>
  <r>
    <x v="21"/>
    <x v="1"/>
    <n v="0.19339999999999999"/>
    <m/>
    <m/>
    <n v="0"/>
    <m/>
  </r>
  <r>
    <x v="21"/>
    <x v="2"/>
    <n v="0.10829999999999999"/>
    <m/>
    <m/>
    <n v="0"/>
    <m/>
  </r>
  <r>
    <x v="21"/>
    <x v="3"/>
    <n v="2.5700000000000001E-2"/>
    <m/>
    <m/>
    <n v="0"/>
    <m/>
  </r>
  <r>
    <x v="22"/>
    <x v="0"/>
    <n v="0.59394499999999995"/>
    <m/>
    <m/>
    <n v="0"/>
    <n v="4.1099999999999998E-2"/>
  </r>
  <r>
    <x v="22"/>
    <x v="1"/>
    <n v="0.78708999999999996"/>
    <m/>
    <m/>
    <n v="0"/>
    <n v="0.28000000000000003"/>
  </r>
  <r>
    <x v="22"/>
    <x v="2"/>
    <n v="0.68495499999999998"/>
    <m/>
    <m/>
    <n v="0"/>
    <m/>
  </r>
  <r>
    <x v="22"/>
    <x v="3"/>
    <n v="0.649065"/>
    <m/>
    <m/>
    <n v="0"/>
    <m/>
  </r>
  <r>
    <x v="22"/>
    <x v="4"/>
    <n v="0.48688500000000001"/>
    <m/>
    <m/>
    <n v="0"/>
    <m/>
  </r>
  <r>
    <x v="22"/>
    <x v="5"/>
    <n v="0.67379999999999995"/>
    <m/>
    <m/>
    <n v="0"/>
    <m/>
  </r>
  <r>
    <x v="23"/>
    <x v="0"/>
    <n v="0.57301500000000005"/>
    <m/>
    <m/>
    <n v="0"/>
    <m/>
  </r>
  <r>
    <x v="23"/>
    <x v="1"/>
    <n v="0.46551000000000003"/>
    <m/>
    <m/>
    <n v="0"/>
    <m/>
  </r>
  <r>
    <x v="23"/>
    <x v="2"/>
    <n v="0.54901"/>
    <m/>
    <m/>
    <n v="0"/>
    <m/>
  </r>
  <r>
    <x v="23"/>
    <x v="3"/>
    <n v="0.47054499999999994"/>
    <m/>
    <m/>
    <n v="0"/>
    <m/>
  </r>
  <r>
    <x v="23"/>
    <x v="4"/>
    <n v="0.23800999999999997"/>
    <m/>
    <m/>
    <n v="0"/>
    <m/>
  </r>
  <r>
    <x v="23"/>
    <x v="5"/>
    <n v="0.19086999999999998"/>
    <m/>
    <m/>
    <n v="0"/>
    <m/>
  </r>
  <r>
    <x v="24"/>
    <x v="0"/>
    <n v="2.9872832200000001E-2"/>
    <m/>
    <m/>
    <n v="0"/>
    <m/>
  </r>
  <r>
    <x v="24"/>
    <x v="1"/>
    <n v="6.0000000000000001E-3"/>
    <m/>
    <m/>
    <n v="0"/>
    <m/>
  </r>
  <r>
    <x v="24"/>
    <x v="2"/>
    <n v="1.3100000000000001E-2"/>
    <m/>
    <m/>
    <n v="0"/>
    <m/>
  </r>
  <r>
    <x v="24"/>
    <x v="3"/>
    <n v="2.9100000000000001E-2"/>
    <m/>
    <m/>
    <n v="0"/>
    <m/>
  </r>
  <r>
    <x v="24"/>
    <x v="4"/>
    <n v="7.2999999999999995E-2"/>
    <m/>
    <m/>
    <n v="0"/>
    <m/>
  </r>
  <r>
    <x v="24"/>
    <x v="5"/>
    <n v="9.2999999999999992E-3"/>
    <m/>
    <m/>
    <n v="0"/>
    <m/>
  </r>
  <r>
    <x v="24"/>
    <x v="6"/>
    <n v="1.1599999999999999E-2"/>
    <m/>
    <m/>
    <n v="0"/>
    <m/>
  </r>
  <r>
    <x v="25"/>
    <x v="0"/>
    <n v="3.7692999999999999"/>
    <m/>
    <m/>
    <n v="0"/>
    <n v="0.60570000000000002"/>
  </r>
  <r>
    <x v="25"/>
    <x v="1"/>
    <n v="0"/>
    <m/>
    <m/>
    <n v="0"/>
    <m/>
  </r>
  <r>
    <x v="25"/>
    <x v="2"/>
    <n v="0"/>
    <m/>
    <m/>
    <n v="0"/>
    <m/>
  </r>
  <r>
    <x v="25"/>
    <x v="3"/>
    <n v="0.68840000000000001"/>
    <m/>
    <m/>
    <n v="0"/>
    <m/>
  </r>
  <r>
    <x v="25"/>
    <x v="4"/>
    <n v="0"/>
    <m/>
    <m/>
    <n v="0"/>
    <m/>
  </r>
  <r>
    <x v="25"/>
    <x v="5"/>
    <n v="0"/>
    <m/>
    <m/>
    <n v="0"/>
    <m/>
  </r>
  <r>
    <x v="25"/>
    <x v="6"/>
    <n v="0"/>
    <m/>
    <m/>
    <n v="0"/>
    <m/>
  </r>
  <r>
    <x v="25"/>
    <x v="7"/>
    <n v="0"/>
    <m/>
    <m/>
    <n v="0"/>
    <m/>
  </r>
  <r>
    <x v="25"/>
    <x v="8"/>
    <n v="0"/>
    <m/>
    <m/>
    <n v="0"/>
    <m/>
  </r>
  <r>
    <x v="25"/>
    <x v="9"/>
    <n v="0"/>
    <m/>
    <m/>
    <n v="0"/>
    <m/>
  </r>
  <r>
    <x v="25"/>
    <x v="10"/>
    <n v="0"/>
    <m/>
    <m/>
    <n v="0"/>
    <m/>
  </r>
  <r>
    <x v="25"/>
    <x v="11"/>
    <n v="1.7585"/>
    <m/>
    <m/>
    <n v="0"/>
    <m/>
  </r>
  <r>
    <x v="25"/>
    <x v="12"/>
    <n v="0.67010000000000003"/>
    <m/>
    <m/>
    <n v="0"/>
    <m/>
  </r>
  <r>
    <x v="25"/>
    <x v="13"/>
    <n v="0.45390000000000003"/>
    <m/>
    <m/>
    <n v="0"/>
    <m/>
  </r>
  <r>
    <x v="25"/>
    <x v="14"/>
    <n v="1.1358999999999999"/>
    <m/>
    <m/>
    <n v="0"/>
    <m/>
  </r>
  <r>
    <x v="26"/>
    <x v="0"/>
    <n v="0.2024"/>
    <m/>
    <m/>
    <n v="0"/>
    <m/>
  </r>
  <r>
    <x v="26"/>
    <x v="1"/>
    <n v="0.77729999999999999"/>
    <m/>
    <m/>
    <n v="0"/>
    <m/>
  </r>
  <r>
    <x v="26"/>
    <x v="2"/>
    <n v="2.9677399999999996"/>
    <m/>
    <m/>
    <n v="0"/>
    <m/>
  </r>
  <r>
    <x v="26"/>
    <x v="3"/>
    <n v="3.9892200000000004"/>
    <m/>
    <m/>
    <n v="0"/>
    <m/>
  </r>
  <r>
    <x v="26"/>
    <x v="4"/>
    <n v="4.8472249999999999"/>
    <m/>
    <m/>
    <n v="0"/>
    <m/>
  </r>
  <r>
    <x v="26"/>
    <x v="5"/>
    <n v="4.2019799999999989"/>
    <m/>
    <m/>
    <n v="0"/>
    <m/>
  </r>
  <r>
    <x v="26"/>
    <x v="6"/>
    <n v="3.9651100000000001"/>
    <m/>
    <m/>
    <n v="0"/>
    <m/>
  </r>
  <r>
    <x v="26"/>
    <x v="7"/>
    <n v="1.7182499999999998"/>
    <m/>
    <m/>
    <n v="0"/>
    <m/>
  </r>
  <r>
    <x v="26"/>
    <x v="8"/>
    <n v="1.0013800000000002"/>
    <m/>
    <m/>
    <n v="0"/>
    <m/>
  </r>
  <r>
    <x v="26"/>
    <x v="9"/>
    <n v="1.2809050000000002"/>
    <m/>
    <m/>
    <n v="0"/>
    <m/>
  </r>
  <r>
    <x v="26"/>
    <x v="10"/>
    <n v="0.71286499999999997"/>
    <m/>
    <m/>
    <n v="0"/>
    <m/>
  </r>
  <r>
    <x v="26"/>
    <x v="11"/>
    <n v="1.40218"/>
    <m/>
    <m/>
    <n v="0"/>
    <m/>
  </r>
  <r>
    <x v="26"/>
    <x v="12"/>
    <n v="1.0183"/>
    <m/>
    <m/>
    <n v="0"/>
    <m/>
  </r>
  <r>
    <x v="26"/>
    <x v="13"/>
    <n v="0.4919"/>
    <m/>
    <m/>
    <n v="0"/>
    <m/>
  </r>
  <r>
    <x v="27"/>
    <x v="0"/>
    <n v="1.3314649999999999"/>
    <m/>
    <m/>
    <n v="0"/>
    <n v="0.92059999999999997"/>
  </r>
  <r>
    <x v="27"/>
    <x v="1"/>
    <n v="1.4888749999999999"/>
    <m/>
    <m/>
    <n v="0"/>
    <n v="3.37"/>
  </r>
  <r>
    <x v="27"/>
    <x v="2"/>
    <n v="0.67512499999999998"/>
    <m/>
    <m/>
    <n v="0"/>
    <m/>
  </r>
  <r>
    <x v="27"/>
    <x v="3"/>
    <n v="0.268625"/>
    <m/>
    <m/>
    <n v="0"/>
    <m/>
  </r>
  <r>
    <x v="27"/>
    <x v="4"/>
    <n v="0.25330000000000003"/>
    <m/>
    <m/>
    <n v="0"/>
    <m/>
  </r>
  <r>
    <x v="27"/>
    <x v="5"/>
    <n v="0.13191999999999998"/>
    <m/>
    <m/>
    <n v="0"/>
    <m/>
  </r>
  <r>
    <x v="28"/>
    <x v="0"/>
    <n v="0"/>
    <m/>
    <m/>
    <n v="0"/>
    <m/>
  </r>
  <r>
    <x v="28"/>
    <x v="1"/>
    <n v="0.26390000000000002"/>
    <m/>
    <m/>
    <n v="0"/>
    <m/>
  </r>
  <r>
    <x v="28"/>
    <x v="2"/>
    <n v="1.8870849999999999"/>
    <m/>
    <m/>
    <n v="0"/>
    <m/>
  </r>
  <r>
    <x v="28"/>
    <x v="3"/>
    <n v="2.7589899999999998"/>
    <m/>
    <m/>
    <n v="0"/>
    <m/>
  </r>
  <r>
    <x v="28"/>
    <x v="4"/>
    <n v="1.9821"/>
    <m/>
    <m/>
    <n v="0"/>
    <m/>
  </r>
  <r>
    <x v="28"/>
    <x v="5"/>
    <n v="0.76559999999999995"/>
    <m/>
    <m/>
    <n v="0"/>
    <m/>
  </r>
  <r>
    <x v="28"/>
    <x v="6"/>
    <n v="1.6246149999999999"/>
    <m/>
    <m/>
    <n v="0"/>
    <m/>
  </r>
  <r>
    <x v="28"/>
    <x v="7"/>
    <n v="6.9205000000000003E-2"/>
    <m/>
    <m/>
    <n v="0"/>
    <m/>
  </r>
  <r>
    <x v="28"/>
    <x v="8"/>
    <n v="4.6455000000000003E-2"/>
    <m/>
    <m/>
    <n v="0"/>
    <m/>
  </r>
  <r>
    <x v="28"/>
    <x v="9"/>
    <n v="5.4314999999999995E-2"/>
    <m/>
    <m/>
    <n v="0"/>
    <m/>
  </r>
  <r>
    <x v="28"/>
    <x v="10"/>
    <n v="3.2044999999999997E-2"/>
    <m/>
    <m/>
    <n v="0"/>
    <m/>
  </r>
  <r>
    <x v="28"/>
    <x v="11"/>
    <n v="0"/>
    <m/>
    <m/>
    <n v="0"/>
    <m/>
  </r>
  <r>
    <x v="28"/>
    <x v="12"/>
    <n v="1.4E-3"/>
    <m/>
    <m/>
    <n v="0"/>
    <m/>
  </r>
  <r>
    <x v="28"/>
    <x v="13"/>
    <n v="5.0000000000000001E-4"/>
    <m/>
    <m/>
    <n v="0"/>
    <m/>
  </r>
  <r>
    <x v="28"/>
    <x v="14"/>
    <n v="1.2999999999999999E-3"/>
    <m/>
    <m/>
    <n v="0"/>
    <m/>
  </r>
  <r>
    <x v="29"/>
    <x v="0"/>
    <n v="1.8995850000000001"/>
    <m/>
    <m/>
    <n v="0"/>
    <n v="1.1584000000000001"/>
  </r>
  <r>
    <x v="29"/>
    <x v="1"/>
    <n v="5.4683299999999999"/>
    <m/>
    <m/>
    <n v="0"/>
    <n v="1.1399999999999999"/>
  </r>
  <r>
    <x v="29"/>
    <x v="2"/>
    <n v="2.9961000000000002"/>
    <m/>
    <m/>
    <n v="0"/>
    <m/>
  </r>
  <r>
    <x v="29"/>
    <x v="3"/>
    <n v="2.8202999999999996"/>
    <m/>
    <m/>
    <n v="0"/>
    <m/>
  </r>
  <r>
    <x v="29"/>
    <x v="4"/>
    <n v="1.9018999999999999"/>
    <m/>
    <m/>
    <n v="0"/>
    <m/>
  </r>
  <r>
    <x v="29"/>
    <x v="5"/>
    <n v="1.78"/>
    <m/>
    <m/>
    <n v="0"/>
    <m/>
  </r>
  <r>
    <x v="29"/>
    <x v="6"/>
    <n v="4.9880000000000004"/>
    <m/>
    <m/>
    <n v="0"/>
    <m/>
  </r>
  <r>
    <x v="29"/>
    <x v="7"/>
    <n v="10.566044999999999"/>
    <m/>
    <m/>
    <n v="0"/>
    <m/>
  </r>
  <r>
    <x v="29"/>
    <x v="8"/>
    <n v="3.841815"/>
    <m/>
    <m/>
    <n v="0"/>
    <m/>
  </r>
  <r>
    <x v="29"/>
    <x v="9"/>
    <n v="2.9047449999999997"/>
    <m/>
    <m/>
    <n v="0"/>
    <m/>
  </r>
  <r>
    <x v="29"/>
    <x v="10"/>
    <n v="1.31104"/>
    <m/>
    <m/>
    <n v="0"/>
    <m/>
  </r>
  <r>
    <x v="29"/>
    <x v="11"/>
    <n v="1.85629"/>
    <m/>
    <m/>
    <n v="0"/>
    <m/>
  </r>
  <r>
    <x v="29"/>
    <x v="12"/>
    <n v="0.55088499999999996"/>
    <m/>
    <m/>
    <n v="0"/>
    <m/>
  </r>
  <r>
    <x v="29"/>
    <x v="13"/>
    <n v="1.0001100000000001"/>
    <m/>
    <m/>
    <n v="0"/>
    <m/>
  </r>
  <r>
    <x v="29"/>
    <x v="14"/>
    <n v="2.0570250000000003"/>
    <m/>
    <m/>
    <n v="0"/>
    <m/>
  </r>
  <r>
    <x v="30"/>
    <x v="0"/>
    <n v="1.8995850000000001"/>
    <m/>
    <m/>
    <n v="0"/>
    <n v="1.1584000000000001"/>
  </r>
  <r>
    <x v="30"/>
    <x v="1"/>
    <n v="5.4683299999999999"/>
    <m/>
    <m/>
    <n v="0"/>
    <n v="1.1399999999999999"/>
  </r>
  <r>
    <x v="30"/>
    <x v="2"/>
    <n v="2.9961000000000002"/>
    <m/>
    <m/>
    <n v="0"/>
    <n v="1.17"/>
  </r>
  <r>
    <x v="30"/>
    <x v="3"/>
    <n v="2.8202999999999996"/>
    <m/>
    <m/>
    <n v="0"/>
    <n v="1.19"/>
  </r>
  <r>
    <x v="30"/>
    <x v="4"/>
    <n v="1.9018999999999999"/>
    <m/>
    <m/>
    <n v="0"/>
    <n v="0.97"/>
  </r>
  <r>
    <x v="30"/>
    <x v="5"/>
    <n v="1.78"/>
    <m/>
    <m/>
    <n v="0"/>
    <n v="0.9"/>
  </r>
  <r>
    <x v="30"/>
    <x v="6"/>
    <n v="4.9880000000000004"/>
    <m/>
    <m/>
    <n v="0"/>
    <n v="2.69"/>
  </r>
  <r>
    <x v="30"/>
    <x v="7"/>
    <n v="10.566044999999999"/>
    <m/>
    <m/>
    <n v="0"/>
    <m/>
  </r>
  <r>
    <x v="30"/>
    <x v="8"/>
    <n v="3.841815"/>
    <m/>
    <m/>
    <n v="0"/>
    <m/>
  </r>
  <r>
    <x v="30"/>
    <x v="9"/>
    <n v="2.9047449999999997"/>
    <m/>
    <m/>
    <n v="0"/>
    <m/>
  </r>
  <r>
    <x v="30"/>
    <x v="10"/>
    <n v="1.31104"/>
    <m/>
    <m/>
    <n v="0"/>
    <m/>
  </r>
  <r>
    <x v="30"/>
    <x v="11"/>
    <n v="1.85629"/>
    <m/>
    <m/>
    <n v="0"/>
    <m/>
  </r>
  <r>
    <x v="30"/>
    <x v="12"/>
    <n v="0.55088499999999996"/>
    <m/>
    <m/>
    <n v="0"/>
    <m/>
  </r>
  <r>
    <x v="30"/>
    <x v="13"/>
    <n v="1.0001100000000001"/>
    <m/>
    <m/>
    <n v="0"/>
    <m/>
  </r>
  <r>
    <x v="30"/>
    <x v="14"/>
    <n v="2.0570250000000003"/>
    <m/>
    <m/>
    <n v="0"/>
    <m/>
  </r>
  <r>
    <x v="31"/>
    <x v="0"/>
    <n v="2.7486000000000002"/>
    <m/>
    <m/>
    <n v="0"/>
    <n v="0.73809999999999998"/>
  </r>
  <r>
    <x v="31"/>
    <x v="1"/>
    <n v="3.5451999999999999"/>
    <m/>
    <m/>
    <n v="0"/>
    <n v="0.65"/>
  </r>
  <r>
    <x v="31"/>
    <x v="2"/>
    <n v="4.2725999999999997"/>
    <m/>
    <m/>
    <n v="0"/>
    <m/>
  </r>
  <r>
    <x v="31"/>
    <x v="3"/>
    <n v="2.7357999999999998"/>
    <m/>
    <m/>
    <n v="0"/>
    <m/>
  </r>
  <r>
    <x v="31"/>
    <x v="4"/>
    <n v="3.3797000000000001"/>
    <m/>
    <m/>
    <n v="0"/>
    <m/>
  </r>
  <r>
    <x v="31"/>
    <x v="5"/>
    <n v="3.1436999999999999"/>
    <m/>
    <m/>
    <n v="0"/>
    <m/>
  </r>
  <r>
    <x v="31"/>
    <x v="6"/>
    <n v="1.4503999999999999"/>
    <m/>
    <m/>
    <n v="0"/>
    <m/>
  </r>
  <r>
    <x v="31"/>
    <x v="7"/>
    <n v="1.3652950000000001"/>
    <m/>
    <m/>
    <n v="0"/>
    <m/>
  </r>
  <r>
    <x v="31"/>
    <x v="8"/>
    <n v="0.52285500000000007"/>
    <m/>
    <m/>
    <n v="0"/>
    <m/>
  </r>
  <r>
    <x v="31"/>
    <x v="9"/>
    <n v="0.20016"/>
    <m/>
    <m/>
    <n v="0"/>
    <m/>
  </r>
  <r>
    <x v="31"/>
    <x v="10"/>
    <n v="0.76344499999999993"/>
    <m/>
    <m/>
    <n v="0"/>
    <m/>
  </r>
  <r>
    <x v="31"/>
    <x v="11"/>
    <n v="0.43787500000000001"/>
    <m/>
    <m/>
    <n v="0"/>
    <m/>
  </r>
  <r>
    <x v="31"/>
    <x v="12"/>
    <n v="0.36832999999999999"/>
    <m/>
    <m/>
    <n v="0"/>
    <m/>
  </r>
  <r>
    <x v="31"/>
    <x v="13"/>
    <n v="0.29921499999999995"/>
    <m/>
    <m/>
    <n v="0"/>
    <m/>
  </r>
  <r>
    <x v="31"/>
    <x v="14"/>
    <n v="0.370865"/>
    <m/>
    <m/>
    <n v="0"/>
    <m/>
  </r>
  <r>
    <x v="32"/>
    <x v="0"/>
    <n v="0.85109999999999997"/>
    <m/>
    <m/>
    <n v="0"/>
    <m/>
  </r>
  <r>
    <x v="32"/>
    <x v="1"/>
    <n v="1.4535"/>
    <m/>
    <m/>
    <n v="0"/>
    <m/>
  </r>
  <r>
    <x v="32"/>
    <x v="2"/>
    <n v="1.7871999999999999"/>
    <m/>
    <m/>
    <n v="0"/>
    <m/>
  </r>
  <r>
    <x v="32"/>
    <x v="3"/>
    <n v="2.9744999999999999"/>
    <m/>
    <m/>
    <n v="0"/>
    <m/>
  </r>
  <r>
    <x v="32"/>
    <x v="4"/>
    <n v="2.4542000000000002"/>
    <m/>
    <m/>
    <n v="0"/>
    <m/>
  </r>
  <r>
    <x v="32"/>
    <x v="5"/>
    <n v="2.7515000000000001"/>
    <m/>
    <m/>
    <n v="0"/>
    <m/>
  </r>
  <r>
    <x v="32"/>
    <x v="6"/>
    <n v="3.2605"/>
    <m/>
    <m/>
    <n v="0"/>
    <m/>
  </r>
  <r>
    <x v="32"/>
    <x v="7"/>
    <n v="2.2804300000000004"/>
    <m/>
    <m/>
    <n v="0"/>
    <m/>
  </r>
  <r>
    <x v="32"/>
    <x v="8"/>
    <n v="1.16214"/>
    <m/>
    <m/>
    <n v="0"/>
    <m/>
  </r>
  <r>
    <x v="33"/>
    <x v="0"/>
    <n v="1.9035899999999999"/>
    <m/>
    <m/>
    <n v="0"/>
    <n v="0.52010000000000001"/>
  </r>
  <r>
    <x v="33"/>
    <x v="1"/>
    <n v="0.57825499999999996"/>
    <m/>
    <m/>
    <n v="0"/>
    <n v="0.43"/>
  </r>
  <r>
    <x v="33"/>
    <x v="2"/>
    <n v="1.2934399999999999"/>
    <m/>
    <m/>
    <n v="0"/>
    <m/>
  </r>
  <r>
    <x v="33"/>
    <x v="3"/>
    <n v="0.5031699999999999"/>
    <m/>
    <m/>
    <n v="0"/>
    <m/>
  </r>
  <r>
    <x v="33"/>
    <x v="4"/>
    <n v="1.2920199999999999"/>
    <m/>
    <m/>
    <n v="0"/>
    <m/>
  </r>
  <r>
    <x v="33"/>
    <x v="5"/>
    <n v="0.828905"/>
    <m/>
    <m/>
    <n v="0"/>
    <m/>
  </r>
  <r>
    <x v="33"/>
    <x v="6"/>
    <n v="0.91573499999999997"/>
    <m/>
    <m/>
    <n v="0"/>
    <m/>
  </r>
  <r>
    <x v="33"/>
    <x v="7"/>
    <n v="0.36388499999999996"/>
    <m/>
    <m/>
    <n v="0"/>
    <m/>
  </r>
  <r>
    <x v="33"/>
    <x v="8"/>
    <n v="0.28389999999999999"/>
    <m/>
    <m/>
    <n v="0"/>
    <m/>
  </r>
  <r>
    <x v="33"/>
    <x v="9"/>
    <n v="0.12520499999999998"/>
    <m/>
    <m/>
    <n v="0"/>
    <m/>
  </r>
  <r>
    <x v="33"/>
    <x v="10"/>
    <n v="0"/>
    <m/>
    <m/>
    <n v="0"/>
    <m/>
  </r>
  <r>
    <x v="33"/>
    <x v="11"/>
    <n v="0.26621999999999996"/>
    <m/>
    <m/>
    <n v="0"/>
    <m/>
  </r>
  <r>
    <x v="33"/>
    <x v="12"/>
    <n v="0.504135"/>
    <m/>
    <m/>
    <n v="0"/>
    <m/>
  </r>
  <r>
    <x v="33"/>
    <x v="13"/>
    <n v="0.53328999999999993"/>
    <m/>
    <m/>
    <n v="0"/>
    <m/>
  </r>
  <r>
    <x v="33"/>
    <x v="14"/>
    <n v="0.40426000000000001"/>
    <m/>
    <m/>
    <n v="0"/>
    <m/>
  </r>
  <r>
    <x v="34"/>
    <x v="0"/>
    <n v="0.23757499999999998"/>
    <m/>
    <m/>
    <n v="0"/>
    <n v="0.46050000000000002"/>
  </r>
  <r>
    <x v="34"/>
    <x v="1"/>
    <n v="0.21445500000000001"/>
    <m/>
    <m/>
    <n v="0"/>
    <n v="0.28000000000000003"/>
  </r>
  <r>
    <x v="34"/>
    <x v="2"/>
    <n v="0.19550000000000001"/>
    <m/>
    <m/>
    <n v="0"/>
    <n v="0.3"/>
  </r>
  <r>
    <x v="34"/>
    <x v="3"/>
    <n v="0.14577499999999999"/>
    <m/>
    <m/>
    <n v="0"/>
    <n v="0.28000000000000003"/>
  </r>
  <r>
    <x v="34"/>
    <x v="4"/>
    <n v="0.19303500000000001"/>
    <m/>
    <m/>
    <n v="0"/>
    <n v="0.34"/>
  </r>
  <r>
    <x v="34"/>
    <x v="5"/>
    <n v="0.14713500000000002"/>
    <m/>
    <m/>
    <n v="0"/>
    <n v="0.33"/>
  </r>
  <r>
    <x v="34"/>
    <x v="6"/>
    <n v="0.15223499999999998"/>
    <m/>
    <m/>
    <n v="0"/>
    <n v="0.3"/>
  </r>
  <r>
    <x v="34"/>
    <x v="7"/>
    <n v="0.12529000000000001"/>
    <m/>
    <m/>
    <n v="0"/>
    <n v="0.25"/>
  </r>
  <r>
    <x v="34"/>
    <x v="8"/>
    <n v="0.11645"/>
    <m/>
    <m/>
    <n v="0"/>
    <n v="0.27"/>
  </r>
  <r>
    <x v="34"/>
    <x v="9"/>
    <n v="9.3244999999999995E-2"/>
    <m/>
    <m/>
    <n v="0"/>
    <n v="0.2"/>
  </r>
  <r>
    <x v="34"/>
    <x v="10"/>
    <n v="8.1174999999999997E-2"/>
    <m/>
    <m/>
    <n v="0"/>
    <n v="0.24"/>
  </r>
  <r>
    <x v="34"/>
    <x v="11"/>
    <n v="7.4289999999999995E-2"/>
    <m/>
    <m/>
    <n v="0"/>
    <n v="0.28999999999999998"/>
  </r>
  <r>
    <x v="34"/>
    <x v="12"/>
    <n v="6.7574999999999996E-2"/>
    <m/>
    <m/>
    <n v="0"/>
    <n v="0.3"/>
  </r>
  <r>
    <x v="34"/>
    <x v="13"/>
    <n v="6.2304999999999999E-2"/>
    <m/>
    <m/>
    <n v="0"/>
    <m/>
  </r>
  <r>
    <x v="34"/>
    <x v="14"/>
    <n v="5.8224999999999999E-2"/>
    <m/>
    <m/>
    <n v="0"/>
    <m/>
  </r>
  <r>
    <x v="35"/>
    <x v="0"/>
    <n v="9.2399999999999996E-2"/>
    <m/>
    <m/>
    <n v="0"/>
    <n v="0.25480000000000003"/>
  </r>
  <r>
    <x v="35"/>
    <x v="1"/>
    <n v="1.0446599999999999"/>
    <m/>
    <m/>
    <n v="0"/>
    <n v="0.85"/>
  </r>
  <r>
    <x v="35"/>
    <x v="2"/>
    <n v="1.144695"/>
    <m/>
    <m/>
    <n v="0"/>
    <m/>
  </r>
  <r>
    <x v="35"/>
    <x v="3"/>
    <n v="1.23508"/>
    <m/>
    <m/>
    <n v="0"/>
    <m/>
  </r>
  <r>
    <x v="35"/>
    <x v="4"/>
    <n v="0.87788500000000003"/>
    <m/>
    <m/>
    <n v="0"/>
    <m/>
  </r>
  <r>
    <x v="35"/>
    <x v="5"/>
    <n v="1.1086199999999999"/>
    <m/>
    <m/>
    <n v="0"/>
    <m/>
  </r>
  <r>
    <x v="35"/>
    <x v="6"/>
    <n v="1.0074000000000001"/>
    <m/>
    <m/>
    <n v="0"/>
    <m/>
  </r>
  <r>
    <x v="35"/>
    <x v="7"/>
    <n v="0.85631999999999997"/>
    <m/>
    <m/>
    <n v="0"/>
    <m/>
  </r>
  <r>
    <x v="35"/>
    <x v="8"/>
    <n v="0.32295999999999997"/>
    <m/>
    <m/>
    <n v="0"/>
    <m/>
  </r>
  <r>
    <x v="35"/>
    <x v="9"/>
    <n v="1.3228"/>
    <m/>
    <m/>
    <n v="0"/>
    <m/>
  </r>
  <r>
    <x v="35"/>
    <x v="10"/>
    <n v="0.12897999999999998"/>
    <m/>
    <m/>
    <n v="0"/>
    <m/>
  </r>
  <r>
    <x v="35"/>
    <x v="11"/>
    <n v="0.19481999999999999"/>
    <m/>
    <m/>
    <n v="0"/>
    <m/>
  </r>
  <r>
    <x v="35"/>
    <x v="12"/>
    <n v="0.382745"/>
    <m/>
    <m/>
    <n v="0"/>
    <m/>
  </r>
  <r>
    <x v="35"/>
    <x v="13"/>
    <n v="0.15526499999999999"/>
    <m/>
    <m/>
    <n v="0"/>
    <m/>
  </r>
  <r>
    <x v="36"/>
    <x v="0"/>
    <n v="0.80520000000000003"/>
    <m/>
    <m/>
    <n v="0"/>
    <n v="1.2865"/>
  </r>
  <r>
    <x v="36"/>
    <x v="1"/>
    <n v="1.5584985517000001"/>
    <m/>
    <m/>
    <n v="0"/>
    <n v="0.4"/>
  </r>
  <r>
    <x v="36"/>
    <x v="2"/>
    <n v="1.5641441252999999"/>
    <m/>
    <m/>
    <n v="0"/>
    <m/>
  </r>
  <r>
    <x v="36"/>
    <x v="3"/>
    <n v="1.5084792650000001"/>
    <m/>
    <m/>
    <n v="0"/>
    <m/>
  </r>
  <r>
    <x v="36"/>
    <x v="4"/>
    <n v="3.4029812910000001"/>
    <m/>
    <m/>
    <n v="0"/>
    <m/>
  </r>
  <r>
    <x v="36"/>
    <x v="5"/>
    <n v="0.77660781999999995"/>
    <m/>
    <m/>
    <n v="0"/>
    <m/>
  </r>
  <r>
    <x v="36"/>
    <x v="6"/>
    <n v="5.2060000000000002E-2"/>
    <m/>
    <m/>
    <n v="0"/>
    <m/>
  </r>
  <r>
    <x v="36"/>
    <x v="7"/>
    <n v="3.5150000000000001E-2"/>
    <m/>
    <m/>
    <n v="0"/>
    <m/>
  </r>
  <r>
    <x v="36"/>
    <x v="8"/>
    <n v="5.4613999999999999E-3"/>
    <m/>
    <m/>
    <n v="0"/>
    <m/>
  </r>
  <r>
    <x v="37"/>
    <x v="0"/>
    <n v="0.43487499999999996"/>
    <m/>
    <m/>
    <n v="0"/>
    <m/>
  </r>
  <r>
    <x v="37"/>
    <x v="1"/>
    <n v="0.25174000000000002"/>
    <m/>
    <m/>
    <n v="0"/>
    <m/>
  </r>
  <r>
    <x v="37"/>
    <x v="2"/>
    <n v="0.24672000000000002"/>
    <m/>
    <m/>
    <n v="0"/>
    <m/>
  </r>
  <r>
    <x v="37"/>
    <x v="3"/>
    <n v="0.29982999999999999"/>
    <m/>
    <m/>
    <n v="0"/>
    <m/>
  </r>
  <r>
    <x v="38"/>
    <x v="0"/>
    <n v="0.34095999999999999"/>
    <m/>
    <m/>
    <n v="0"/>
    <n v="0.47439999999999999"/>
  </r>
  <r>
    <x v="38"/>
    <x v="1"/>
    <n v="0.78624499999999997"/>
    <m/>
    <m/>
    <n v="0"/>
    <n v="0.5"/>
  </r>
  <r>
    <x v="38"/>
    <x v="2"/>
    <n v="0.53892499999999999"/>
    <m/>
    <m/>
    <n v="0"/>
    <m/>
  </r>
  <r>
    <x v="38"/>
    <x v="3"/>
    <n v="0.83171000000000006"/>
    <m/>
    <m/>
    <n v="0"/>
    <m/>
  </r>
  <r>
    <x v="38"/>
    <x v="4"/>
    <n v="0.37076999999999999"/>
    <m/>
    <m/>
    <n v="0"/>
    <m/>
  </r>
  <r>
    <x v="38"/>
    <x v="5"/>
    <n v="0.36380499999999993"/>
    <m/>
    <m/>
    <n v="0"/>
    <m/>
  </r>
  <r>
    <x v="39"/>
    <x v="0"/>
    <n v="1.1002149999999999"/>
    <m/>
    <m/>
    <n v="0"/>
    <n v="0.85219999999999996"/>
  </r>
  <r>
    <x v="39"/>
    <x v="1"/>
    <n v="2.2458149999999999"/>
    <m/>
    <m/>
    <n v="0"/>
    <n v="1.3"/>
  </r>
  <r>
    <x v="39"/>
    <x v="2"/>
    <n v="2.6040399999999999"/>
    <m/>
    <m/>
    <n v="0"/>
    <m/>
  </r>
  <r>
    <x v="39"/>
    <x v="3"/>
    <n v="2.17598"/>
    <m/>
    <m/>
    <n v="0"/>
    <m/>
  </r>
  <r>
    <x v="39"/>
    <x v="4"/>
    <n v="2.8109600000000001"/>
    <m/>
    <m/>
    <n v="0"/>
    <m/>
  </r>
  <r>
    <x v="39"/>
    <x v="5"/>
    <n v="1.1054999999999999"/>
    <m/>
    <m/>
    <n v="0"/>
    <m/>
  </r>
  <r>
    <x v="39"/>
    <x v="6"/>
    <n v="2.0788549999999999"/>
    <m/>
    <m/>
    <n v="0"/>
    <m/>
  </r>
  <r>
    <x v="39"/>
    <x v="7"/>
    <n v="1.6415"/>
    <m/>
    <m/>
    <n v="0"/>
    <m/>
  </r>
  <r>
    <x v="39"/>
    <x v="8"/>
    <n v="0"/>
    <m/>
    <m/>
    <n v="0"/>
    <m/>
  </r>
  <r>
    <x v="39"/>
    <x v="9"/>
    <n v="0"/>
    <m/>
    <m/>
    <n v="0"/>
    <m/>
  </r>
  <r>
    <x v="39"/>
    <x v="10"/>
    <n v="0"/>
    <m/>
    <m/>
    <n v="0"/>
    <m/>
  </r>
  <r>
    <x v="39"/>
    <x v="11"/>
    <n v="0"/>
    <m/>
    <m/>
    <n v="0"/>
    <m/>
  </r>
  <r>
    <x v="39"/>
    <x v="12"/>
    <n v="0"/>
    <m/>
    <m/>
    <n v="0"/>
    <m/>
  </r>
  <r>
    <x v="39"/>
    <x v="13"/>
    <n v="0"/>
    <m/>
    <m/>
    <n v="0"/>
    <m/>
  </r>
  <r>
    <x v="39"/>
    <x v="14"/>
    <n v="0.22240500000000002"/>
    <m/>
    <m/>
    <n v="0"/>
    <m/>
  </r>
  <r>
    <x v="40"/>
    <x v="0"/>
    <n v="0.3581917697"/>
    <m/>
    <m/>
    <n v="0"/>
    <m/>
  </r>
  <r>
    <x v="40"/>
    <x v="1"/>
    <n v="1.0846849999999999"/>
    <m/>
    <m/>
    <n v="0"/>
    <m/>
  </r>
  <r>
    <x v="40"/>
    <x v="2"/>
    <n v="0.74341000000000002"/>
    <m/>
    <m/>
    <n v="0"/>
    <m/>
  </r>
  <r>
    <x v="40"/>
    <x v="3"/>
    <n v="11.722065000000001"/>
    <m/>
    <m/>
    <n v="0"/>
    <m/>
  </r>
  <r>
    <x v="40"/>
    <x v="4"/>
    <n v="1.3109549999999999"/>
    <m/>
    <m/>
    <n v="0"/>
    <m/>
  </r>
  <r>
    <x v="40"/>
    <x v="5"/>
    <n v="0.35368500000000003"/>
    <m/>
    <m/>
    <n v="0"/>
    <m/>
  </r>
  <r>
    <x v="40"/>
    <x v="6"/>
    <n v="0.23341000000000001"/>
    <m/>
    <m/>
    <n v="0"/>
    <m/>
  </r>
  <r>
    <x v="40"/>
    <x v="7"/>
    <n v="0.3553"/>
    <m/>
    <m/>
    <n v="0"/>
    <m/>
  </r>
  <r>
    <x v="40"/>
    <x v="8"/>
    <n v="0.25678499999999999"/>
    <m/>
    <m/>
    <n v="0"/>
    <m/>
  </r>
  <r>
    <x v="40"/>
    <x v="9"/>
    <n v="0.2923"/>
    <m/>
    <m/>
    <n v="0"/>
    <m/>
  </r>
  <r>
    <x v="40"/>
    <x v="10"/>
    <n v="0.54620000000000002"/>
    <m/>
    <m/>
    <n v="0"/>
    <m/>
  </r>
  <r>
    <x v="40"/>
    <x v="11"/>
    <n v="1.19"/>
    <m/>
    <m/>
    <n v="0"/>
    <m/>
  </r>
  <r>
    <x v="40"/>
    <x v="12"/>
    <n v="1.09378"/>
    <m/>
    <m/>
    <n v="0"/>
    <m/>
  </r>
  <r>
    <x v="40"/>
    <x v="13"/>
    <n v="1.0478799999999999"/>
    <m/>
    <m/>
    <n v="0"/>
    <m/>
  </r>
  <r>
    <x v="40"/>
    <x v="14"/>
    <n v="1.127535"/>
    <m/>
    <m/>
    <n v="0"/>
    <m/>
  </r>
  <r>
    <x v="41"/>
    <x v="0"/>
    <n v="1.42103"/>
    <m/>
    <m/>
    <n v="0"/>
    <m/>
  </r>
  <r>
    <x v="41"/>
    <x v="1"/>
    <n v="1.4385399999999999"/>
    <m/>
    <m/>
    <n v="0"/>
    <m/>
  </r>
  <r>
    <x v="41"/>
    <x v="2"/>
    <n v="1.456475"/>
    <m/>
    <m/>
    <n v="0"/>
    <m/>
  </r>
  <r>
    <x v="41"/>
    <x v="3"/>
    <n v="1.6063200000000002"/>
    <m/>
    <m/>
    <n v="0"/>
    <m/>
  </r>
  <r>
    <x v="41"/>
    <x v="4"/>
    <n v="1.4420249999999999"/>
    <m/>
    <m/>
    <n v="0"/>
    <m/>
  </r>
  <r>
    <x v="41"/>
    <x v="5"/>
    <n v="1.3339049999999999"/>
    <m/>
    <m/>
    <n v="0"/>
    <m/>
  </r>
  <r>
    <x v="41"/>
    <x v="6"/>
    <n v="2.6781799999999998"/>
    <m/>
    <m/>
    <n v="0"/>
    <m/>
  </r>
  <r>
    <x v="41"/>
    <x v="7"/>
    <n v="2.7048999999999999"/>
    <m/>
    <m/>
    <n v="0"/>
    <m/>
  </r>
  <r>
    <x v="41"/>
    <x v="8"/>
    <n v="2.4530149999999997"/>
    <m/>
    <m/>
    <n v="0"/>
    <m/>
  </r>
  <r>
    <x v="41"/>
    <x v="9"/>
    <n v="2.4378000000000002"/>
    <m/>
    <m/>
    <n v="0"/>
    <m/>
  </r>
  <r>
    <x v="41"/>
    <x v="10"/>
    <n v="2.4792999999999998"/>
    <m/>
    <m/>
    <n v="0"/>
    <m/>
  </r>
  <r>
    <x v="41"/>
    <x v="11"/>
    <n v="0.29171999999999998"/>
    <m/>
    <m/>
    <n v="0"/>
    <m/>
  </r>
  <r>
    <x v="41"/>
    <x v="12"/>
    <n v="2.3008649999999999"/>
    <m/>
    <m/>
    <n v="0"/>
    <m/>
  </r>
  <r>
    <x v="41"/>
    <x v="13"/>
    <n v="2.3008649999999999"/>
    <m/>
    <m/>
    <n v="0"/>
    <m/>
  </r>
  <r>
    <x v="41"/>
    <x v="14"/>
    <n v="4.0464649999999995"/>
    <m/>
    <m/>
    <n v="0"/>
    <m/>
  </r>
  <r>
    <x v="42"/>
    <x v="0"/>
    <n v="3.3361380000000002E-3"/>
    <n v="107946000"/>
    <n v="54318146"/>
    <n v="0.50319739499379323"/>
    <n v="0.50319739499379323"/>
  </r>
  <r>
    <x v="42"/>
    <x v="1"/>
    <n v="3.6780138839499998"/>
    <n v="1572105000"/>
    <n v="911072000"/>
    <n v="0.57952363232735726"/>
    <n v="0.57952363232735726"/>
  </r>
  <r>
    <x v="42"/>
    <x v="2"/>
    <n v="7.41946588295"/>
    <n v="1347688000"/>
    <n v="1541904000"/>
    <n v="1.1441105062892896"/>
    <n v="1.1441105062892896"/>
  </r>
  <r>
    <x v="42"/>
    <x v="3"/>
    <n v="8.5169628464699993"/>
    <n v="1063194000"/>
    <n v="1079836000"/>
    <n v="1.0156528347601661"/>
    <n v="1.0156528347601661"/>
  </r>
  <r>
    <x v="42"/>
    <x v="4"/>
    <n v="6.1851035392250004"/>
    <n v="1027969000"/>
    <n v="1042974000"/>
    <n v="1.0145967436761225"/>
    <n v="1.0145967436761225"/>
  </r>
  <r>
    <x v="42"/>
    <x v="5"/>
    <n v="3.5796941014000003"/>
    <n v="712631000"/>
    <n v="715033000"/>
    <n v="1.0033706083513065"/>
    <n v="1.0033706083513065"/>
  </r>
  <r>
    <x v="43"/>
    <x v="0"/>
    <n v="0.50429999999999997"/>
    <m/>
    <m/>
    <n v="0"/>
    <n v="0.55610000000000004"/>
  </r>
  <r>
    <x v="43"/>
    <x v="1"/>
    <n v="1.74227"/>
    <m/>
    <m/>
    <n v="0"/>
    <n v="0.68"/>
  </r>
  <r>
    <x v="43"/>
    <x v="2"/>
    <n v="2.25814"/>
    <m/>
    <m/>
    <n v="0"/>
    <m/>
  </r>
  <r>
    <x v="43"/>
    <x v="3"/>
    <n v="2.437595"/>
    <m/>
    <m/>
    <n v="0"/>
    <m/>
  </r>
  <r>
    <x v="43"/>
    <x v="4"/>
    <n v="0.93840000000000001"/>
    <m/>
    <m/>
    <n v="0"/>
    <m/>
  </r>
  <r>
    <x v="43"/>
    <x v="5"/>
    <n v="1.15751"/>
    <m/>
    <m/>
    <n v="0"/>
    <m/>
  </r>
  <r>
    <x v="43"/>
    <x v="6"/>
    <n v="0.61769499999999999"/>
    <m/>
    <m/>
    <n v="0"/>
    <m/>
  </r>
  <r>
    <x v="43"/>
    <x v="7"/>
    <n v="1.2096450000000001"/>
    <m/>
    <m/>
    <n v="0"/>
    <m/>
  </r>
  <r>
    <x v="44"/>
    <x v="0"/>
    <n v="0.159"/>
    <m/>
    <m/>
    <n v="0"/>
    <n v="0.5696"/>
  </r>
  <r>
    <x v="44"/>
    <x v="1"/>
    <n v="9.6000000000000002E-2"/>
    <m/>
    <m/>
    <n v="0"/>
    <n v="0.34"/>
  </r>
  <r>
    <x v="44"/>
    <x v="2"/>
    <n v="8.8999999999999996E-2"/>
    <m/>
    <m/>
    <n v="0"/>
    <m/>
  </r>
  <r>
    <x v="44"/>
    <x v="3"/>
    <n v="8.8999999999999996E-2"/>
    <m/>
    <m/>
    <n v="0"/>
    <m/>
  </r>
  <r>
    <x v="44"/>
    <x v="4"/>
    <n v="0.08"/>
    <m/>
    <m/>
    <n v="0"/>
    <m/>
  </r>
  <r>
    <x v="44"/>
    <x v="5"/>
    <n v="0.72599999999999998"/>
    <m/>
    <m/>
    <n v="0"/>
    <m/>
  </r>
  <r>
    <x v="44"/>
    <x v="6"/>
    <n v="0.33"/>
    <m/>
    <m/>
    <n v="0"/>
    <m/>
  </r>
  <r>
    <x v="45"/>
    <x v="0"/>
    <n v="0.17"/>
    <m/>
    <m/>
    <n v="0"/>
    <m/>
  </r>
  <r>
    <x v="45"/>
    <x v="1"/>
    <n v="0.46"/>
    <m/>
    <m/>
    <n v="0"/>
    <m/>
  </r>
  <r>
    <x v="45"/>
    <x v="2"/>
    <n v="1.8"/>
    <m/>
    <m/>
    <n v="0"/>
    <m/>
  </r>
  <r>
    <x v="45"/>
    <x v="3"/>
    <n v="0.4"/>
    <m/>
    <m/>
    <n v="0"/>
    <m/>
  </r>
  <r>
    <x v="45"/>
    <x v="4"/>
    <n v="1.8568"/>
    <m/>
    <m/>
    <n v="0"/>
    <m/>
  </r>
  <r>
    <x v="45"/>
    <x v="5"/>
    <n v="1.382255"/>
    <m/>
    <m/>
    <n v="0"/>
    <m/>
  </r>
  <r>
    <x v="45"/>
    <x v="6"/>
    <n v="0.61041999999999996"/>
    <m/>
    <m/>
    <n v="0"/>
    <m/>
  </r>
  <r>
    <x v="46"/>
    <x v="0"/>
    <n v="0.2616"/>
    <m/>
    <m/>
    <n v="0"/>
    <n v="0.18160000000000001"/>
  </r>
  <r>
    <x v="46"/>
    <x v="1"/>
    <n v="0.23019999999999999"/>
    <m/>
    <m/>
    <n v="0"/>
    <n v="0.16"/>
  </r>
  <r>
    <x v="46"/>
    <x v="2"/>
    <n v="0.25700000000000001"/>
    <m/>
    <m/>
    <n v="0"/>
    <n v="0.25"/>
  </r>
  <r>
    <x v="46"/>
    <x v="3"/>
    <n v="0.1661"/>
    <m/>
    <m/>
    <n v="0"/>
    <n v="0.14000000000000001"/>
  </r>
  <r>
    <x v="46"/>
    <x v="4"/>
    <n v="7.9799999999999996E-2"/>
    <m/>
    <m/>
    <n v="0"/>
    <n v="0.1"/>
  </r>
  <r>
    <x v="46"/>
    <x v="5"/>
    <n v="4.9000000000000002E-2"/>
    <m/>
    <m/>
    <n v="0"/>
    <n v="0.12"/>
  </r>
  <r>
    <x v="47"/>
    <x v="0"/>
    <n v="0.15984500000000001"/>
    <m/>
    <m/>
    <n v="0"/>
    <n v="2.7099999999999999E-2"/>
  </r>
  <r>
    <x v="47"/>
    <x v="1"/>
    <n v="0.20148499999999997"/>
    <m/>
    <m/>
    <n v="0"/>
    <n v="0.23"/>
  </r>
  <r>
    <x v="47"/>
    <x v="2"/>
    <n v="0.30717"/>
    <m/>
    <m/>
    <n v="0"/>
    <m/>
  </r>
  <r>
    <x v="47"/>
    <x v="3"/>
    <n v="0.22719499999999998"/>
    <m/>
    <m/>
    <n v="0"/>
    <m/>
  </r>
  <r>
    <x v="47"/>
    <x v="4"/>
    <n v="0.48258499999999999"/>
    <m/>
    <m/>
    <n v="0"/>
    <m/>
  </r>
  <r>
    <x v="47"/>
    <x v="5"/>
    <n v="1.0878999999999999"/>
    <m/>
    <m/>
    <n v="0"/>
    <m/>
  </r>
  <r>
    <x v="47"/>
    <x v="6"/>
    <n v="1.2836000000000001"/>
    <m/>
    <m/>
    <n v="0"/>
    <m/>
  </r>
  <r>
    <x v="47"/>
    <x v="7"/>
    <n v="1.4340000000000002"/>
    <m/>
    <m/>
    <n v="0"/>
    <m/>
  </r>
  <r>
    <x v="47"/>
    <x v="8"/>
    <n v="22.66"/>
    <m/>
    <m/>
    <n v="0"/>
    <m/>
  </r>
  <r>
    <x v="47"/>
    <x v="9"/>
    <n v="18.809999999999999"/>
    <m/>
    <m/>
    <n v="0"/>
    <m/>
  </r>
  <r>
    <x v="47"/>
    <x v="10"/>
    <n v="10.29"/>
    <m/>
    <m/>
    <n v="0"/>
    <m/>
  </r>
  <r>
    <x v="47"/>
    <x v="11"/>
    <n v="8.9499999999999993"/>
    <m/>
    <m/>
    <n v="0"/>
    <m/>
  </r>
  <r>
    <x v="47"/>
    <x v="12"/>
    <n v="4.5599999999999996"/>
    <m/>
    <m/>
    <n v="0"/>
    <m/>
  </r>
  <r>
    <x v="47"/>
    <x v="13"/>
    <n v="2.29"/>
    <m/>
    <m/>
    <n v="0"/>
    <m/>
  </r>
  <r>
    <x v="47"/>
    <x v="14"/>
    <n v="1.4369000000000001"/>
    <m/>
    <m/>
    <n v="0"/>
    <m/>
  </r>
  <r>
    <x v="48"/>
    <x v="0"/>
    <n v="2.7099999999999999E-2"/>
    <m/>
    <m/>
    <n v="0"/>
    <m/>
  </r>
  <r>
    <x v="48"/>
    <x v="1"/>
    <n v="9.7455000000000014E-2"/>
    <m/>
    <m/>
    <n v="0"/>
    <m/>
  </r>
  <r>
    <x v="48"/>
    <x v="2"/>
    <n v="0.1125"/>
    <m/>
    <m/>
    <n v="0"/>
    <m/>
  </r>
  <r>
    <x v="48"/>
    <x v="3"/>
    <n v="0.14650000000000002"/>
    <m/>
    <m/>
    <n v="0"/>
    <m/>
  </r>
  <r>
    <x v="48"/>
    <x v="4"/>
    <n v="0.11900000000000001"/>
    <m/>
    <m/>
    <n v="0"/>
    <m/>
  </r>
  <r>
    <x v="48"/>
    <x v="5"/>
    <n v="0.17"/>
    <m/>
    <m/>
    <n v="0"/>
    <m/>
  </r>
  <r>
    <x v="48"/>
    <x v="6"/>
    <n v="0.14100000000000001"/>
    <m/>
    <m/>
    <n v="0"/>
    <m/>
  </r>
  <r>
    <x v="48"/>
    <x v="7"/>
    <n v="0.15910000000000002"/>
    <m/>
    <m/>
    <n v="0"/>
    <m/>
  </r>
  <r>
    <x v="48"/>
    <x v="8"/>
    <n v="0"/>
    <m/>
    <m/>
    <n v="0"/>
    <m/>
  </r>
  <r>
    <x v="48"/>
    <x v="9"/>
    <n v="6.8000000000000005E-2"/>
    <m/>
    <m/>
    <n v="0"/>
    <m/>
  </r>
  <r>
    <x v="48"/>
    <x v="10"/>
    <n v="7.6734999999999998E-2"/>
    <m/>
    <m/>
    <n v="0"/>
    <m/>
  </r>
  <r>
    <x v="48"/>
    <x v="11"/>
    <n v="0.13242999999999999"/>
    <m/>
    <m/>
    <n v="0"/>
    <m/>
  </r>
  <r>
    <x v="48"/>
    <x v="12"/>
    <n v="8.0920000000000006E-2"/>
    <m/>
    <m/>
    <n v="0"/>
    <m/>
  </r>
  <r>
    <x v="48"/>
    <x v="13"/>
    <n v="5.4860000000000006E-2"/>
    <m/>
    <m/>
    <n v="0"/>
    <m/>
  </r>
  <r>
    <x v="48"/>
    <x v="14"/>
    <n v="5.2360000000000004E-2"/>
    <m/>
    <m/>
    <n v="0"/>
    <m/>
  </r>
  <r>
    <x v="49"/>
    <x v="0"/>
    <n v="2.8622000000000001"/>
    <m/>
    <m/>
    <n v="0"/>
    <m/>
  </r>
  <r>
    <x v="49"/>
    <x v="1"/>
    <n v="3.8074000000000003"/>
    <m/>
    <m/>
    <n v="0"/>
    <m/>
  </r>
  <r>
    <x v="49"/>
    <x v="2"/>
    <n v="3.3850000000000002"/>
    <m/>
    <m/>
    <n v="0"/>
    <m/>
  </r>
  <r>
    <x v="49"/>
    <x v="3"/>
    <n v="2.7389000000000001"/>
    <m/>
    <m/>
    <n v="0"/>
    <m/>
  </r>
  <r>
    <x v="49"/>
    <x v="4"/>
    <n v="2.9116"/>
    <m/>
    <m/>
    <n v="0"/>
    <m/>
  </r>
  <r>
    <x v="49"/>
    <x v="5"/>
    <n v="0.76190000000000002"/>
    <m/>
    <m/>
    <n v="0"/>
    <m/>
  </r>
  <r>
    <x v="49"/>
    <x v="6"/>
    <n v="1.9668000000000001"/>
    <m/>
    <m/>
    <n v="0"/>
    <m/>
  </r>
  <r>
    <x v="49"/>
    <x v="7"/>
    <n v="2.3159000000000001"/>
    <m/>
    <m/>
    <n v="0"/>
    <m/>
  </r>
  <r>
    <x v="49"/>
    <x v="8"/>
    <n v="0.97950000000000004"/>
    <m/>
    <m/>
    <n v="0"/>
    <m/>
  </r>
  <r>
    <x v="49"/>
    <x v="9"/>
    <n v="0.54869999999999997"/>
    <m/>
    <m/>
    <n v="0"/>
    <m/>
  </r>
  <r>
    <x v="49"/>
    <x v="10"/>
    <n v="0.32019999999999998"/>
    <m/>
    <m/>
    <n v="0"/>
    <m/>
  </r>
  <r>
    <x v="49"/>
    <x v="11"/>
    <n v="1.4801"/>
    <m/>
    <m/>
    <n v="0"/>
    <m/>
  </r>
  <r>
    <x v="49"/>
    <x v="12"/>
    <n v="0.74709999999999999"/>
    <m/>
    <m/>
    <n v="0"/>
    <m/>
  </r>
  <r>
    <x v="49"/>
    <x v="13"/>
    <n v="0.66171000000000002"/>
    <m/>
    <m/>
    <n v="0"/>
    <m/>
  </r>
  <r>
    <x v="50"/>
    <x v="0"/>
    <n v="2.2650092271499997"/>
    <m/>
    <m/>
    <n v="0"/>
    <n v="1"/>
  </r>
  <r>
    <x v="50"/>
    <x v="1"/>
    <n v="2.6120049999999999"/>
    <m/>
    <m/>
    <n v="0"/>
    <n v="1.1000000000000001"/>
  </r>
  <r>
    <x v="50"/>
    <x v="2"/>
    <n v="2.1747199999999998"/>
    <m/>
    <m/>
    <n v="0"/>
    <n v="0.97"/>
  </r>
  <r>
    <x v="50"/>
    <x v="3"/>
    <n v="1.9187199999999998"/>
    <m/>
    <m/>
    <n v="0"/>
    <n v="0.98"/>
  </r>
  <r>
    <x v="50"/>
    <x v="4"/>
    <n v="2.0731799999999998"/>
    <m/>
    <m/>
    <n v="0"/>
    <n v="1"/>
  </r>
  <r>
    <x v="50"/>
    <x v="5"/>
    <n v="1.64324"/>
    <m/>
    <m/>
    <n v="0"/>
    <n v="0.89"/>
  </r>
  <r>
    <x v="51"/>
    <x v="0"/>
    <n v="2.4914201493500001"/>
    <m/>
    <m/>
    <n v="0"/>
    <n v="1"/>
  </r>
  <r>
    <x v="51"/>
    <x v="1"/>
    <n v="2.8733149999999998"/>
    <m/>
    <m/>
    <n v="0"/>
    <n v="1.21"/>
  </r>
  <r>
    <x v="51"/>
    <x v="2"/>
    <n v="2.3922949999999998"/>
    <m/>
    <m/>
    <n v="0"/>
    <m/>
  </r>
  <r>
    <x v="51"/>
    <x v="3"/>
    <n v="2.110595"/>
    <m/>
    <m/>
    <n v="0"/>
    <m/>
  </r>
  <r>
    <x v="51"/>
    <x v="4"/>
    <n v="2.2804250000000001"/>
    <m/>
    <m/>
    <n v="0"/>
    <m/>
  </r>
  <r>
    <x v="51"/>
    <x v="5"/>
    <n v="1.8076700000000001"/>
    <m/>
    <m/>
    <n v="0"/>
    <m/>
  </r>
  <r>
    <x v="52"/>
    <x v="0"/>
    <n v="0"/>
    <m/>
    <m/>
    <n v="0"/>
    <m/>
  </r>
  <r>
    <x v="52"/>
    <x v="1"/>
    <n v="0"/>
    <m/>
    <m/>
    <n v="0"/>
    <m/>
  </r>
  <r>
    <x v="52"/>
    <x v="2"/>
    <n v="0.2291"/>
    <m/>
    <m/>
    <n v="0"/>
    <m/>
  </r>
  <r>
    <x v="52"/>
    <x v="3"/>
    <n v="0.1211"/>
    <m/>
    <m/>
    <n v="0"/>
    <m/>
  </r>
  <r>
    <x v="52"/>
    <x v="4"/>
    <n v="0.2009"/>
    <m/>
    <m/>
    <n v="0"/>
    <m/>
  </r>
  <r>
    <x v="52"/>
    <x v="5"/>
    <n v="0.2084"/>
    <m/>
    <m/>
    <n v="0"/>
    <m/>
  </r>
  <r>
    <x v="52"/>
    <x v="6"/>
    <n v="0.1"/>
    <m/>
    <m/>
    <n v="0"/>
    <m/>
  </r>
  <r>
    <x v="53"/>
    <x v="0"/>
    <n v="0.52159999999999995"/>
    <m/>
    <m/>
    <n v="0"/>
    <n v="0.33250000000000002"/>
  </r>
  <r>
    <x v="53"/>
    <x v="1"/>
    <n v="1.0896999999999999"/>
    <m/>
    <m/>
    <n v="0"/>
    <n v="0.18"/>
  </r>
  <r>
    <x v="53"/>
    <x v="2"/>
    <n v="0.79710000000000003"/>
    <m/>
    <m/>
    <n v="0"/>
    <n v="0.23"/>
  </r>
  <r>
    <x v="53"/>
    <x v="3"/>
    <n v="0.34439999999999998"/>
    <m/>
    <m/>
    <n v="0"/>
    <n v="0.11"/>
  </r>
  <r>
    <x v="53"/>
    <x v="4"/>
    <n v="0.2185"/>
    <m/>
    <m/>
    <n v="0"/>
    <n v="0.14000000000000001"/>
  </r>
  <r>
    <x v="53"/>
    <x v="5"/>
    <n v="0.03"/>
    <m/>
    <m/>
    <n v="0"/>
    <n v="0.03"/>
  </r>
  <r>
    <x v="54"/>
    <x v="0"/>
    <n v="0.40229999999999999"/>
    <m/>
    <m/>
    <n v="0"/>
    <m/>
  </r>
  <r>
    <x v="54"/>
    <x v="1"/>
    <n v="0.38"/>
    <m/>
    <m/>
    <n v="0"/>
    <m/>
  </r>
  <r>
    <x v="54"/>
    <x v="2"/>
    <n v="0.63514999999999999"/>
    <m/>
    <m/>
    <n v="0"/>
    <m/>
  </r>
  <r>
    <x v="54"/>
    <x v="3"/>
    <n v="0.60559999999999992"/>
    <m/>
    <m/>
    <n v="0"/>
    <m/>
  </r>
  <r>
    <x v="54"/>
    <x v="4"/>
    <n v="0.78515000000000001"/>
    <m/>
    <m/>
    <n v="0"/>
    <m/>
  </r>
  <r>
    <x v="54"/>
    <x v="5"/>
    <n v="0.71179999999999999"/>
    <m/>
    <m/>
    <n v="0"/>
    <m/>
  </r>
  <r>
    <x v="54"/>
    <x v="6"/>
    <n v="0.52649999999999997"/>
    <m/>
    <m/>
    <n v="0"/>
    <m/>
  </r>
  <r>
    <x v="55"/>
    <x v="15"/>
    <n v="0"/>
    <m/>
    <m/>
    <n v="0"/>
    <m/>
  </r>
  <r>
    <x v="55"/>
    <x v="0"/>
    <n v="0.21227999999999997"/>
    <m/>
    <m/>
    <n v="0"/>
    <n v="0.19500000000000001"/>
  </r>
  <r>
    <x v="55"/>
    <x v="1"/>
    <n v="0.36049500000000001"/>
    <m/>
    <m/>
    <n v="0"/>
    <n v="0.34"/>
  </r>
  <r>
    <x v="55"/>
    <x v="2"/>
    <n v="0.37636500000000001"/>
    <m/>
    <m/>
    <n v="0"/>
    <n v="0.28999999999999998"/>
  </r>
  <r>
    <x v="55"/>
    <x v="3"/>
    <n v="0.34542500000000004"/>
    <m/>
    <m/>
    <n v="0"/>
    <n v="0.31"/>
  </r>
  <r>
    <x v="55"/>
    <x v="4"/>
    <n v="0.35809000000000002"/>
    <m/>
    <m/>
    <n v="0"/>
    <n v="0.41"/>
  </r>
  <r>
    <x v="55"/>
    <x v="5"/>
    <n v="0.35309499999999999"/>
    <m/>
    <m/>
    <n v="0"/>
    <n v="0.77"/>
  </r>
  <r>
    <x v="55"/>
    <x v="6"/>
    <n v="0.26694499999999993"/>
    <m/>
    <m/>
    <n v="0"/>
    <n v="0.28000000000000003"/>
  </r>
  <r>
    <x v="55"/>
    <x v="7"/>
    <n v="0.21335000000000001"/>
    <m/>
    <m/>
    <n v="0"/>
    <n v="0.17"/>
  </r>
  <r>
    <x v="55"/>
    <x v="8"/>
    <n v="0.23145499999999999"/>
    <m/>
    <m/>
    <n v="0"/>
    <n v="0.32"/>
  </r>
  <r>
    <x v="55"/>
    <x v="9"/>
    <n v="0.17373999999999995"/>
    <m/>
    <m/>
    <n v="0"/>
    <n v="0.28999999999999998"/>
  </r>
  <r>
    <x v="55"/>
    <x v="10"/>
    <n v="0.19022999999999998"/>
    <m/>
    <m/>
    <n v="0"/>
    <n v="0.4"/>
  </r>
  <r>
    <x v="55"/>
    <x v="11"/>
    <n v="0.11763999999999999"/>
    <m/>
    <m/>
    <n v="0"/>
    <n v="0.22"/>
  </r>
  <r>
    <x v="55"/>
    <x v="12"/>
    <n v="8.6019999999999999E-2"/>
    <m/>
    <m/>
    <n v="0"/>
    <n v="0.2"/>
  </r>
  <r>
    <x v="55"/>
    <x v="13"/>
    <n v="6.9869999999999988E-2"/>
    <m/>
    <m/>
    <n v="0"/>
    <m/>
  </r>
  <r>
    <x v="55"/>
    <x v="14"/>
    <n v="7.2589999999999988E-2"/>
    <m/>
    <m/>
    <n v="0"/>
    <m/>
  </r>
  <r>
    <x v="56"/>
    <x v="0"/>
    <n v="0.86889000000000005"/>
    <m/>
    <m/>
    <n v="0"/>
    <n v="0.25359999999999999"/>
  </r>
  <r>
    <x v="56"/>
    <x v="1"/>
    <n v="1.03193"/>
    <m/>
    <m/>
    <n v="0"/>
    <n v="0.37"/>
  </r>
  <r>
    <x v="56"/>
    <x v="2"/>
    <n v="0.94334000000000007"/>
    <m/>
    <m/>
    <n v="0"/>
    <n v="0.32"/>
  </r>
  <r>
    <x v="56"/>
    <x v="3"/>
    <n v="0.86301500000000009"/>
    <m/>
    <m/>
    <n v="0"/>
    <n v="0.32"/>
  </r>
  <r>
    <x v="56"/>
    <x v="4"/>
    <n v="0.64924000000000015"/>
    <m/>
    <m/>
    <n v="0"/>
    <n v="0.31"/>
  </r>
  <r>
    <x v="56"/>
    <x v="5"/>
    <n v="1.3856950000000001"/>
    <m/>
    <m/>
    <n v="0"/>
    <n v="0.8"/>
  </r>
  <r>
    <x v="56"/>
    <x v="6"/>
    <n v="1.7499000000000002"/>
    <m/>
    <m/>
    <n v="0"/>
    <m/>
  </r>
  <r>
    <x v="56"/>
    <x v="7"/>
    <n v="1.2301999999999997"/>
    <m/>
    <m/>
    <n v="0"/>
    <m/>
  </r>
  <r>
    <x v="56"/>
    <x v="8"/>
    <n v="6.9827499999999993"/>
    <m/>
    <m/>
    <n v="0"/>
    <m/>
  </r>
  <r>
    <x v="56"/>
    <x v="9"/>
    <n v="8.1004999999999985"/>
    <m/>
    <m/>
    <n v="0"/>
    <m/>
  </r>
  <r>
    <x v="56"/>
    <x v="10"/>
    <n v="9.5030000000000019"/>
    <m/>
    <m/>
    <n v="0"/>
    <m/>
  </r>
  <r>
    <x v="56"/>
    <x v="11"/>
    <n v="6.2730000000000006"/>
    <m/>
    <m/>
    <n v="0"/>
    <m/>
  </r>
  <r>
    <x v="56"/>
    <x v="12"/>
    <n v="4.6665000000000001"/>
    <m/>
    <m/>
    <n v="0"/>
    <m/>
  </r>
  <r>
    <x v="56"/>
    <x v="13"/>
    <n v="4.0992949999999997"/>
    <m/>
    <m/>
    <n v="0"/>
    <m/>
  </r>
  <r>
    <x v="56"/>
    <x v="14"/>
    <n v="14.602999999999998"/>
    <m/>
    <m/>
    <n v="0"/>
    <m/>
  </r>
  <r>
    <x v="57"/>
    <x v="0"/>
    <n v="0.18559999999999999"/>
    <m/>
    <m/>
    <n v="0"/>
    <n v="0.78129999999999999"/>
  </r>
  <r>
    <x v="57"/>
    <x v="1"/>
    <n v="0.1867"/>
    <m/>
    <m/>
    <n v="0"/>
    <n v="0.4"/>
  </r>
  <r>
    <x v="57"/>
    <x v="2"/>
    <n v="0.2346"/>
    <m/>
    <m/>
    <n v="0"/>
    <n v="0.45"/>
  </r>
  <r>
    <x v="57"/>
    <x v="3"/>
    <n v="0.16611000000000001"/>
    <m/>
    <m/>
    <n v="0"/>
    <n v="0.36"/>
  </r>
  <r>
    <x v="57"/>
    <x v="4"/>
    <n v="0.210065"/>
    <m/>
    <m/>
    <n v="0"/>
    <n v="0.61"/>
  </r>
  <r>
    <x v="57"/>
    <x v="5"/>
    <n v="3.5200000000000002E-2"/>
    <m/>
    <m/>
    <n v="0"/>
    <n v="0.08"/>
  </r>
  <r>
    <x v="58"/>
    <x v="0"/>
    <n v="0.35058"/>
    <m/>
    <m/>
    <n v="0"/>
    <m/>
  </r>
  <r>
    <x v="58"/>
    <x v="1"/>
    <n v="0.32031000000000004"/>
    <m/>
    <m/>
    <n v="0"/>
    <m/>
  </r>
  <r>
    <x v="58"/>
    <x v="2"/>
    <n v="0.24044000000000001"/>
    <m/>
    <m/>
    <n v="0"/>
    <m/>
  </r>
  <r>
    <x v="58"/>
    <x v="3"/>
    <n v="0.20299"/>
    <m/>
    <m/>
    <n v="0"/>
    <m/>
  </r>
  <r>
    <x v="58"/>
    <x v="4"/>
    <n v="9.1299999999999992E-2"/>
    <m/>
    <m/>
    <n v="0"/>
    <m/>
  </r>
  <r>
    <x v="58"/>
    <x v="5"/>
    <n v="0.2712"/>
    <m/>
    <m/>
    <n v="0"/>
    <m/>
  </r>
  <r>
    <x v="58"/>
    <x v="6"/>
    <n v="0.32357000000000002"/>
    <m/>
    <m/>
    <n v="0"/>
    <m/>
  </r>
  <r>
    <x v="58"/>
    <x v="7"/>
    <n v="0.21648000000000001"/>
    <m/>
    <m/>
    <n v="0"/>
    <m/>
  </r>
  <r>
    <x v="58"/>
    <x v="8"/>
    <n v="0.21433000000000002"/>
    <m/>
    <m/>
    <n v="0"/>
    <m/>
  </r>
  <r>
    <x v="58"/>
    <x v="9"/>
    <n v="0.30964999999999998"/>
    <m/>
    <m/>
    <n v="0"/>
    <m/>
  </r>
  <r>
    <x v="58"/>
    <x v="10"/>
    <n v="7.4249999999999997E-2"/>
    <m/>
    <m/>
    <n v="0"/>
    <m/>
  </r>
  <r>
    <x v="59"/>
    <x v="0"/>
    <n v="0"/>
    <m/>
    <m/>
    <n v="0"/>
    <n v="0.1484"/>
  </r>
  <r>
    <x v="59"/>
    <x v="1"/>
    <n v="0"/>
    <m/>
    <m/>
    <n v="0"/>
    <n v="1.03"/>
  </r>
  <r>
    <x v="59"/>
    <x v="2"/>
    <n v="0"/>
    <m/>
    <m/>
    <n v="0"/>
    <m/>
  </r>
  <r>
    <x v="59"/>
    <x v="3"/>
    <n v="0"/>
    <m/>
    <m/>
    <n v="0"/>
    <m/>
  </r>
  <r>
    <x v="59"/>
    <x v="4"/>
    <n v="0"/>
    <m/>
    <m/>
    <n v="0"/>
    <m/>
  </r>
  <r>
    <x v="59"/>
    <x v="5"/>
    <n v="0"/>
    <m/>
    <m/>
    <n v="0"/>
    <m/>
  </r>
  <r>
    <x v="59"/>
    <x v="6"/>
    <n v="2.5499999999999998"/>
    <m/>
    <m/>
    <n v="0"/>
    <m/>
  </r>
  <r>
    <x v="60"/>
    <x v="0"/>
    <n v="0.30908000000000002"/>
    <m/>
    <m/>
    <n v="0"/>
    <m/>
  </r>
  <r>
    <x v="61"/>
    <x v="0"/>
    <n v="0.33623500000000001"/>
    <m/>
    <m/>
    <n v="0"/>
    <m/>
  </r>
  <r>
    <x v="61"/>
    <x v="1"/>
    <n v="0.62237500000000001"/>
    <m/>
    <m/>
    <n v="0"/>
    <m/>
  </r>
  <r>
    <x v="61"/>
    <x v="2"/>
    <n v="0.54669500000000004"/>
    <m/>
    <m/>
    <n v="0"/>
    <m/>
  </r>
  <r>
    <x v="61"/>
    <x v="3"/>
    <n v="0.47460999999999998"/>
    <m/>
    <m/>
    <n v="0"/>
    <m/>
  </r>
  <r>
    <x v="61"/>
    <x v="4"/>
    <n v="3.8084999999999996"/>
    <m/>
    <m/>
    <n v="0"/>
    <m/>
  </r>
  <r>
    <x v="61"/>
    <x v="5"/>
    <n v="0.47089999999999999"/>
    <m/>
    <m/>
    <n v="0"/>
    <m/>
  </r>
  <r>
    <x v="61"/>
    <x v="6"/>
    <n v="0.88691000000000009"/>
    <m/>
    <m/>
    <n v="0"/>
    <m/>
  </r>
  <r>
    <x v="62"/>
    <x v="0"/>
    <n v="0"/>
    <m/>
    <m/>
    <n v="0"/>
    <m/>
  </r>
  <r>
    <x v="62"/>
    <x v="1"/>
    <n v="0.1484"/>
    <m/>
    <m/>
    <n v="0"/>
    <m/>
  </r>
  <r>
    <x v="62"/>
    <x v="2"/>
    <n v="0.16919999999999999"/>
    <m/>
    <m/>
    <n v="0"/>
    <m/>
  </r>
  <r>
    <x v="62"/>
    <x v="3"/>
    <n v="0.20599999999999999"/>
    <m/>
    <m/>
    <n v="0"/>
    <m/>
  </r>
  <r>
    <x v="62"/>
    <x v="4"/>
    <n v="0.2"/>
    <m/>
    <m/>
    <n v="0"/>
    <m/>
  </r>
  <r>
    <x v="62"/>
    <x v="5"/>
    <n v="0.21040500000000001"/>
    <m/>
    <m/>
    <n v="0"/>
    <m/>
  </r>
  <r>
    <x v="62"/>
    <x v="6"/>
    <n v="4.4400000000000002E-2"/>
    <m/>
    <m/>
    <n v="0"/>
    <m/>
  </r>
  <r>
    <x v="63"/>
    <x v="0"/>
    <n v="0.234685"/>
    <m/>
    <m/>
    <n v="0"/>
    <n v="0.1366"/>
  </r>
  <r>
    <x v="63"/>
    <x v="1"/>
    <n v="0.4627"/>
    <m/>
    <m/>
    <n v="0"/>
    <n v="0.2"/>
  </r>
  <r>
    <x v="63"/>
    <x v="2"/>
    <n v="0.76399499999999998"/>
    <m/>
    <m/>
    <n v="0"/>
    <n v="0.41"/>
  </r>
  <r>
    <x v="63"/>
    <x v="3"/>
    <n v="0.8643550000000001"/>
    <m/>
    <m/>
    <n v="0"/>
    <n v="0.36"/>
  </r>
  <r>
    <x v="63"/>
    <x v="4"/>
    <n v="0.93540000000000001"/>
    <m/>
    <m/>
    <n v="0"/>
    <n v="0.3"/>
  </r>
  <r>
    <x v="63"/>
    <x v="5"/>
    <n v="1.11816"/>
    <m/>
    <m/>
    <n v="0"/>
    <n v="0.23"/>
  </r>
  <r>
    <x v="63"/>
    <x v="6"/>
    <n v="1.2105999999999999"/>
    <m/>
    <m/>
    <n v="0"/>
    <n v="0.33"/>
  </r>
  <r>
    <x v="63"/>
    <x v="7"/>
    <n v="1.8179400000000001"/>
    <m/>
    <m/>
    <n v="0"/>
    <n v="0.34"/>
  </r>
  <r>
    <x v="63"/>
    <x v="8"/>
    <n v="3.6380850000000002"/>
    <m/>
    <m/>
    <n v="0"/>
    <n v="1.1000000000000001"/>
  </r>
  <r>
    <x v="63"/>
    <x v="9"/>
    <n v="4.6014999999999997"/>
    <m/>
    <m/>
    <n v="0"/>
    <n v="2.0299999999999998"/>
  </r>
  <r>
    <x v="63"/>
    <x v="10"/>
    <n v="4.0132499999999993"/>
    <m/>
    <m/>
    <n v="0"/>
    <n v="1.7"/>
  </r>
  <r>
    <x v="63"/>
    <x v="11"/>
    <n v="2.9897499999999999"/>
    <m/>
    <m/>
    <n v="0"/>
    <n v="2.62"/>
  </r>
  <r>
    <x v="63"/>
    <x v="12"/>
    <n v="2.9512499999999999"/>
    <m/>
    <m/>
    <n v="0"/>
    <n v="2.21"/>
  </r>
  <r>
    <x v="63"/>
    <x v="13"/>
    <n v="7.4962499999999999"/>
    <m/>
    <m/>
    <n v="0"/>
    <m/>
  </r>
  <r>
    <x v="64"/>
    <x v="0"/>
    <n v="0.66053499999999998"/>
    <m/>
    <m/>
    <n v="0"/>
    <n v="0.39929999999999999"/>
  </r>
  <r>
    <x v="64"/>
    <x v="1"/>
    <n v="0.4627"/>
    <m/>
    <m/>
    <n v="0"/>
    <n v="0.2"/>
  </r>
  <r>
    <x v="64"/>
    <x v="2"/>
    <n v="0.76399499999999998"/>
    <m/>
    <m/>
    <n v="0"/>
    <n v="0.41"/>
  </r>
  <r>
    <x v="64"/>
    <x v="3"/>
    <n v="0.8643550000000001"/>
    <m/>
    <m/>
    <n v="0"/>
    <n v="0.36"/>
  </r>
  <r>
    <x v="64"/>
    <x v="4"/>
    <n v="0.93540000000000001"/>
    <m/>
    <m/>
    <n v="0"/>
    <n v="0.3"/>
  </r>
  <r>
    <x v="64"/>
    <x v="5"/>
    <n v="1.11816"/>
    <m/>
    <m/>
    <n v="0"/>
    <n v="0.23"/>
  </r>
  <r>
    <x v="64"/>
    <x v="6"/>
    <n v="1.2105999999999999"/>
    <m/>
    <m/>
    <n v="0"/>
    <n v="0.33"/>
  </r>
  <r>
    <x v="64"/>
    <x v="7"/>
    <n v="1.8179400000000001"/>
    <m/>
    <m/>
    <n v="0"/>
    <n v="0.34"/>
  </r>
  <r>
    <x v="64"/>
    <x v="8"/>
    <n v="3.6380850000000002"/>
    <m/>
    <m/>
    <n v="0"/>
    <n v="1.1000000000000001"/>
  </r>
  <r>
    <x v="64"/>
    <x v="9"/>
    <n v="4.6014999999999997"/>
    <m/>
    <m/>
    <n v="0"/>
    <n v="2.0299999999999998"/>
  </r>
  <r>
    <x v="64"/>
    <x v="10"/>
    <n v="4.0132499999999993"/>
    <m/>
    <m/>
    <n v="0"/>
    <n v="1.7"/>
  </r>
  <r>
    <x v="64"/>
    <x v="11"/>
    <n v="2.9897499999999999"/>
    <m/>
    <m/>
    <n v="0"/>
    <n v="2.62"/>
  </r>
  <r>
    <x v="64"/>
    <x v="12"/>
    <n v="2.9512499999999999"/>
    <m/>
    <m/>
    <n v="0"/>
    <n v="2.21"/>
  </r>
  <r>
    <x v="64"/>
    <x v="13"/>
    <n v="7.4962499999999999"/>
    <m/>
    <m/>
    <n v="0"/>
    <m/>
  </r>
  <r>
    <x v="65"/>
    <x v="0"/>
    <n v="0.76332999999999995"/>
    <m/>
    <m/>
    <n v="0"/>
    <n v="0.71009999999999995"/>
  </r>
  <r>
    <x v="65"/>
    <x v="1"/>
    <n v="0.89859499999999992"/>
    <m/>
    <m/>
    <n v="0"/>
    <n v="0.52"/>
  </r>
  <r>
    <x v="65"/>
    <x v="2"/>
    <n v="0.97699499999999995"/>
    <m/>
    <m/>
    <n v="0"/>
    <m/>
  </r>
  <r>
    <x v="65"/>
    <x v="3"/>
    <n v="0.8093499999999999"/>
    <m/>
    <m/>
    <n v="0"/>
    <m/>
  </r>
  <r>
    <x v="65"/>
    <x v="4"/>
    <n v="0.80384999999999995"/>
    <m/>
    <m/>
    <n v="0"/>
    <m/>
  </r>
  <r>
    <x v="65"/>
    <x v="5"/>
    <n v="0.80878000000000005"/>
    <m/>
    <m/>
    <n v="0"/>
    <m/>
  </r>
  <r>
    <x v="65"/>
    <x v="6"/>
    <n v="0.15325499999999997"/>
    <m/>
    <m/>
    <n v="0"/>
    <m/>
  </r>
  <r>
    <x v="66"/>
    <x v="0"/>
    <n v="7.4375000000000011E-2"/>
    <m/>
    <m/>
    <n v="0"/>
    <n v="0.20180000000000001"/>
  </r>
  <r>
    <x v="66"/>
    <x v="1"/>
    <n v="0.29885"/>
    <m/>
    <m/>
    <n v="0"/>
    <n v="0.43"/>
  </r>
  <r>
    <x v="66"/>
    <x v="2"/>
    <n v="0.35370000000000001"/>
    <m/>
    <m/>
    <n v="0"/>
    <n v="0.44"/>
  </r>
  <r>
    <x v="66"/>
    <x v="3"/>
    <n v="0.36274999999999996"/>
    <m/>
    <m/>
    <n v="0"/>
    <n v="0.56000000000000005"/>
  </r>
  <r>
    <x v="66"/>
    <x v="4"/>
    <n v="0.2928"/>
    <m/>
    <m/>
    <n v="0"/>
    <n v="1.1399999999999999"/>
  </r>
  <r>
    <x v="66"/>
    <x v="5"/>
    <n v="0.20862"/>
    <m/>
    <m/>
    <n v="0"/>
    <n v="0.81"/>
  </r>
  <r>
    <x v="66"/>
    <x v="6"/>
    <n v="0.31215499999999996"/>
    <m/>
    <m/>
    <n v="0"/>
    <n v="1.03"/>
  </r>
  <r>
    <x v="66"/>
    <x v="7"/>
    <n v="0.20058999999999999"/>
    <m/>
    <m/>
    <n v="0"/>
    <n v="0.84"/>
  </r>
  <r>
    <x v="66"/>
    <x v="8"/>
    <n v="0.32300000000000001"/>
    <m/>
    <m/>
    <n v="0"/>
    <n v="2.11"/>
  </r>
  <r>
    <x v="66"/>
    <x v="9"/>
    <n v="0.28900000000000003"/>
    <m/>
    <m/>
    <n v="0"/>
    <m/>
  </r>
  <r>
    <x v="66"/>
    <x v="10"/>
    <n v="0.30259999999999998"/>
    <m/>
    <m/>
    <n v="0"/>
    <m/>
  </r>
  <r>
    <x v="66"/>
    <x v="11"/>
    <n v="0.38309499999999996"/>
    <m/>
    <m/>
    <n v="0"/>
    <m/>
  </r>
  <r>
    <x v="66"/>
    <x v="12"/>
    <n v="0"/>
    <m/>
    <m/>
    <n v="0"/>
    <m/>
  </r>
  <r>
    <x v="66"/>
    <x v="13"/>
    <n v="8.1259999999999999E-2"/>
    <m/>
    <m/>
    <n v="0"/>
    <m/>
  </r>
  <r>
    <x v="66"/>
    <x v="14"/>
    <n v="4.2075000000000001E-2"/>
    <m/>
    <m/>
    <n v="0"/>
    <m/>
  </r>
  <r>
    <x v="67"/>
    <x v="0"/>
    <n v="0.374"/>
    <m/>
    <m/>
    <n v="0"/>
    <n v="0.38490000000000002"/>
  </r>
  <r>
    <x v="67"/>
    <x v="1"/>
    <n v="0.91199999999999992"/>
    <m/>
    <m/>
    <n v="0"/>
    <n v="0.45"/>
  </r>
  <r>
    <x v="67"/>
    <x v="2"/>
    <n v="0.91850000000000009"/>
    <m/>
    <m/>
    <n v="0"/>
    <n v="0.19"/>
  </r>
  <r>
    <x v="67"/>
    <x v="3"/>
    <n v="0.37867499999999998"/>
    <m/>
    <m/>
    <n v="0"/>
    <n v="0.39"/>
  </r>
  <r>
    <x v="67"/>
    <x v="4"/>
    <n v="0.28050000000000003"/>
    <m/>
    <m/>
    <n v="0"/>
    <n v="0.45"/>
  </r>
  <r>
    <x v="67"/>
    <x v="5"/>
    <n v="0.33150000000000002"/>
    <m/>
    <m/>
    <n v="0"/>
    <n v="0.5"/>
  </r>
  <r>
    <x v="68"/>
    <x v="0"/>
    <n v="0.64650000000000007"/>
    <m/>
    <m/>
    <n v="0"/>
    <m/>
  </r>
  <r>
    <x v="68"/>
    <x v="1"/>
    <n v="0.5595"/>
    <m/>
    <m/>
    <n v="0"/>
    <m/>
  </r>
  <r>
    <x v="68"/>
    <x v="2"/>
    <n v="0.44850000000000001"/>
    <m/>
    <m/>
    <n v="0"/>
    <m/>
  </r>
  <r>
    <x v="68"/>
    <x v="3"/>
    <n v="0.31030000000000002"/>
    <m/>
    <m/>
    <n v="0"/>
    <m/>
  </r>
  <r>
    <x v="68"/>
    <x v="4"/>
    <n v="0.2505"/>
    <m/>
    <m/>
    <n v="0"/>
    <m/>
  </r>
  <r>
    <x v="68"/>
    <x v="5"/>
    <n v="1.4800000000000001E-2"/>
    <m/>
    <m/>
    <n v="0"/>
    <m/>
  </r>
  <r>
    <x v="69"/>
    <x v="0"/>
    <n v="9.4170000000000004E-2"/>
    <m/>
    <m/>
    <n v="0"/>
    <n v="0.17910000000000001"/>
  </r>
  <r>
    <x v="69"/>
    <x v="1"/>
    <n v="4.3319999999999997E-2"/>
    <m/>
    <m/>
    <n v="0"/>
    <n v="0.1"/>
  </r>
  <r>
    <x v="69"/>
    <x v="2"/>
    <n v="0"/>
    <m/>
    <m/>
    <n v="0"/>
    <m/>
  </r>
  <r>
    <x v="69"/>
    <x v="3"/>
    <n v="0"/>
    <m/>
    <m/>
    <n v="0"/>
    <m/>
  </r>
  <r>
    <x v="69"/>
    <x v="4"/>
    <n v="0"/>
    <m/>
    <m/>
    <n v="0"/>
    <m/>
  </r>
  <r>
    <x v="69"/>
    <x v="5"/>
    <n v="0"/>
    <m/>
    <m/>
    <n v="0"/>
    <m/>
  </r>
  <r>
    <x v="69"/>
    <x v="6"/>
    <n v="0"/>
    <m/>
    <m/>
    <n v="0"/>
    <m/>
  </r>
  <r>
    <x v="69"/>
    <x v="7"/>
    <n v="0"/>
    <m/>
    <m/>
    <n v="0"/>
    <m/>
  </r>
  <r>
    <x v="69"/>
    <x v="8"/>
    <n v="0"/>
    <m/>
    <m/>
    <n v="0"/>
    <m/>
  </r>
  <r>
    <x v="69"/>
    <x v="9"/>
    <n v="0"/>
    <m/>
    <m/>
    <n v="0"/>
    <m/>
  </r>
  <r>
    <x v="69"/>
    <x v="10"/>
    <n v="0"/>
    <m/>
    <m/>
    <n v="0"/>
    <m/>
  </r>
  <r>
    <x v="69"/>
    <x v="11"/>
    <n v="0"/>
    <m/>
    <m/>
    <n v="0"/>
    <m/>
  </r>
  <r>
    <x v="69"/>
    <x v="12"/>
    <n v="0"/>
    <m/>
    <m/>
    <n v="0"/>
    <m/>
  </r>
  <r>
    <x v="69"/>
    <x v="13"/>
    <n v="0"/>
    <m/>
    <m/>
    <n v="0"/>
    <m/>
  </r>
  <r>
    <x v="69"/>
    <x v="14"/>
    <n v="0"/>
    <m/>
    <m/>
    <n v="0"/>
    <m/>
  </r>
  <r>
    <x v="69"/>
    <x v="16"/>
    <n v="1.7999999999999999E-2"/>
    <m/>
    <m/>
    <n v="0"/>
    <m/>
  </r>
  <r>
    <x v="70"/>
    <x v="0"/>
    <n v="0.11247"/>
    <m/>
    <m/>
    <n v="0"/>
    <n v="0.1048"/>
  </r>
  <r>
    <x v="70"/>
    <x v="1"/>
    <n v="0.21057000000000001"/>
    <m/>
    <m/>
    <n v="0"/>
    <n v="0.51"/>
  </r>
  <r>
    <x v="70"/>
    <x v="2"/>
    <n v="0.32927000000000001"/>
    <m/>
    <m/>
    <n v="0"/>
    <n v="0.23"/>
  </r>
  <r>
    <x v="70"/>
    <x v="3"/>
    <n v="0.2606"/>
    <m/>
    <m/>
    <n v="0"/>
    <n v="0.19"/>
  </r>
  <r>
    <x v="70"/>
    <x v="4"/>
    <n v="0.38419999999999999"/>
    <m/>
    <m/>
    <n v="0"/>
    <n v="0.49"/>
  </r>
  <r>
    <x v="70"/>
    <x v="5"/>
    <n v="0.29444499999999996"/>
    <m/>
    <m/>
    <n v="0"/>
    <n v="0.33"/>
  </r>
  <r>
    <x v="70"/>
    <x v="6"/>
    <n v="0.28985499999999997"/>
    <m/>
    <m/>
    <n v="0"/>
    <n v="0.44"/>
  </r>
  <r>
    <x v="70"/>
    <x v="7"/>
    <n v="0.24737999999999999"/>
    <m/>
    <m/>
    <n v="0"/>
    <n v="0.48"/>
  </r>
  <r>
    <x v="70"/>
    <x v="8"/>
    <n v="0.28576499999999999"/>
    <m/>
    <m/>
    <n v="0"/>
    <n v="0.56999999999999995"/>
  </r>
  <r>
    <x v="70"/>
    <x v="9"/>
    <n v="0.225025"/>
    <m/>
    <m/>
    <n v="0"/>
    <n v="0.42"/>
  </r>
  <r>
    <x v="70"/>
    <x v="10"/>
    <n v="2.5999999999999999E-2"/>
    <m/>
    <m/>
    <n v="0"/>
    <n v="0.06"/>
  </r>
  <r>
    <x v="70"/>
    <x v="11"/>
    <n v="3.5275000000000001E-2"/>
    <m/>
    <m/>
    <n v="0"/>
    <m/>
  </r>
  <r>
    <x v="70"/>
    <x v="12"/>
    <n v="3.2199999999999999E-2"/>
    <m/>
    <m/>
    <n v="0"/>
    <m/>
  </r>
  <r>
    <x v="70"/>
    <x v="13"/>
    <n v="0"/>
    <m/>
    <m/>
    <n v="0"/>
    <m/>
  </r>
  <r>
    <x v="70"/>
    <x v="14"/>
    <n v="9.7999999999999997E-3"/>
    <m/>
    <m/>
    <n v="0"/>
    <m/>
  </r>
  <r>
    <x v="71"/>
    <x v="0"/>
    <n v="0.25600000000000001"/>
    <n v="50944000"/>
    <n v="27769000"/>
    <n v="0.54508872487437188"/>
    <n v="0.54508872487437188"/>
  </r>
  <r>
    <x v="71"/>
    <x v="1"/>
    <n v="0.36249999999999999"/>
    <n v="41245000"/>
    <n v="39324499.450000003"/>
    <n v="0.95343676688083412"/>
    <n v="0.95343676688083412"/>
  </r>
  <r>
    <x v="71"/>
    <x v="2"/>
    <n v="0.41899999999999998"/>
    <n v="75022983.519999996"/>
    <n v="45453466.93"/>
    <n v="0.60586056162219659"/>
    <n v="0.60586056162219659"/>
  </r>
  <r>
    <x v="72"/>
    <x v="0"/>
    <n v="0.35022999999999999"/>
    <m/>
    <m/>
    <n v="0"/>
    <n v="0.57579999999999998"/>
  </r>
  <r>
    <x v="72"/>
    <x v="1"/>
    <n v="0.38053999999999999"/>
    <m/>
    <m/>
    <n v="0"/>
    <n v="0.66"/>
  </r>
  <r>
    <x v="72"/>
    <x v="2"/>
    <n v="0.29673499999999997"/>
    <m/>
    <m/>
    <n v="0"/>
    <m/>
  </r>
  <r>
    <x v="72"/>
    <x v="3"/>
    <n v="0.24819999999999998"/>
    <m/>
    <m/>
    <n v="0"/>
    <m/>
  </r>
  <r>
    <x v="72"/>
    <x v="4"/>
    <n v="0.25631999999999999"/>
    <m/>
    <m/>
    <n v="0"/>
    <m/>
  </r>
  <r>
    <x v="72"/>
    <x v="5"/>
    <n v="0.23519499999999999"/>
    <m/>
    <m/>
    <n v="0"/>
    <m/>
  </r>
  <r>
    <x v="72"/>
    <x v="6"/>
    <n v="0.21932499999999999"/>
    <m/>
    <m/>
    <n v="0"/>
    <m/>
  </r>
  <r>
    <x v="72"/>
    <x v="7"/>
    <n v="0.1812"/>
    <m/>
    <m/>
    <n v="0"/>
    <m/>
  </r>
  <r>
    <x v="72"/>
    <x v="8"/>
    <n v="0.18690000000000001"/>
    <m/>
    <m/>
    <n v="0"/>
    <m/>
  </r>
  <r>
    <x v="72"/>
    <x v="9"/>
    <n v="0.14329999999999998"/>
    <m/>
    <m/>
    <n v="0"/>
    <m/>
  </r>
  <r>
    <x v="72"/>
    <x v="10"/>
    <n v="0.12877"/>
    <m/>
    <m/>
    <n v="0"/>
    <m/>
  </r>
  <r>
    <x v="72"/>
    <x v="11"/>
    <n v="0.11531"/>
    <m/>
    <m/>
    <n v="0"/>
    <m/>
  </r>
  <r>
    <x v="72"/>
    <x v="12"/>
    <n v="0.10645499999999999"/>
    <m/>
    <m/>
    <n v="0"/>
    <m/>
  </r>
  <r>
    <x v="72"/>
    <x v="13"/>
    <n v="9.3024999999999997E-2"/>
    <m/>
    <m/>
    <n v="0"/>
    <m/>
  </r>
  <r>
    <x v="72"/>
    <x v="14"/>
    <n v="0.12631000000000001"/>
    <m/>
    <m/>
    <n v="0"/>
    <m/>
  </r>
  <r>
    <x v="73"/>
    <x v="0"/>
    <n v="0"/>
    <m/>
    <m/>
    <n v="0"/>
    <m/>
  </r>
  <r>
    <x v="73"/>
    <x v="1"/>
    <n v="0.307"/>
    <m/>
    <m/>
    <n v="0"/>
    <m/>
  </r>
  <r>
    <x v="73"/>
    <x v="2"/>
    <n v="0.31230000000000002"/>
    <m/>
    <m/>
    <n v="0"/>
    <n v="0.24"/>
  </r>
  <r>
    <x v="73"/>
    <x v="3"/>
    <n v="0.1956"/>
    <m/>
    <m/>
    <n v="0"/>
    <n v="0.14000000000000001"/>
  </r>
  <r>
    <x v="73"/>
    <x v="4"/>
    <n v="0.14779999999999999"/>
    <m/>
    <m/>
    <n v="0"/>
    <n v="0.18"/>
  </r>
  <r>
    <x v="73"/>
    <x v="5"/>
    <n v="0.2"/>
    <m/>
    <m/>
    <n v="0"/>
    <n v="0.32"/>
  </r>
  <r>
    <x v="73"/>
    <x v="6"/>
    <n v="0.13159999999999999"/>
    <m/>
    <m/>
    <n v="0"/>
    <n v="0.06"/>
  </r>
  <r>
    <x v="73"/>
    <x v="7"/>
    <n v="6.08E-2"/>
    <m/>
    <m/>
    <n v="0"/>
    <n v="0.05"/>
  </r>
  <r>
    <x v="73"/>
    <x v="8"/>
    <n v="1.9900000000000001E-2"/>
    <m/>
    <m/>
    <n v="0"/>
    <n v="0.4"/>
  </r>
  <r>
    <x v="73"/>
    <x v="9"/>
    <n v="0"/>
    <m/>
    <m/>
    <n v="0"/>
    <m/>
  </r>
  <r>
    <x v="73"/>
    <x v="10"/>
    <n v="8.0999999999999996E-3"/>
    <m/>
    <m/>
    <n v="0"/>
    <n v="1"/>
  </r>
  <r>
    <x v="73"/>
    <x v="11"/>
    <n v="0"/>
    <m/>
    <m/>
    <n v="0"/>
    <m/>
  </r>
  <r>
    <x v="73"/>
    <x v="12"/>
    <n v="2.5000000000000001E-2"/>
    <m/>
    <m/>
    <n v="0"/>
    <m/>
  </r>
  <r>
    <x v="73"/>
    <x v="13"/>
    <n v="2.2499999999999999E-2"/>
    <m/>
    <m/>
    <n v="0"/>
    <m/>
  </r>
  <r>
    <x v="73"/>
    <x v="14"/>
    <n v="3.09E-2"/>
    <m/>
    <m/>
    <n v="0"/>
    <m/>
  </r>
  <r>
    <x v="74"/>
    <x v="0"/>
    <n v="0.22408"/>
    <m/>
    <m/>
    <n v="0"/>
    <n v="0.30830000000000002"/>
  </r>
  <r>
    <x v="74"/>
    <x v="1"/>
    <n v="0.26690000000000003"/>
    <m/>
    <m/>
    <n v="0"/>
    <n v="0.36"/>
  </r>
  <r>
    <x v="74"/>
    <x v="2"/>
    <n v="0.25992999999999999"/>
    <m/>
    <m/>
    <n v="0"/>
    <m/>
  </r>
  <r>
    <x v="74"/>
    <x v="3"/>
    <n v="8.1600000000000006E-2"/>
    <m/>
    <m/>
    <n v="0"/>
    <m/>
  </r>
  <r>
    <x v="74"/>
    <x v="4"/>
    <n v="8.5595000000000004E-2"/>
    <m/>
    <m/>
    <n v="0"/>
    <m/>
  </r>
  <r>
    <x v="74"/>
    <x v="5"/>
    <n v="8.7379999999999999E-2"/>
    <m/>
    <m/>
    <n v="0"/>
    <m/>
  </r>
  <r>
    <x v="74"/>
    <x v="6"/>
    <n v="9.638999999999999E-2"/>
    <m/>
    <m/>
    <n v="0"/>
    <m/>
  </r>
  <r>
    <x v="74"/>
    <x v="7"/>
    <n v="0.108885"/>
    <m/>
    <m/>
    <n v="0"/>
    <m/>
  </r>
  <r>
    <x v="74"/>
    <x v="8"/>
    <n v="0.11840500000000001"/>
    <m/>
    <m/>
    <n v="0"/>
    <m/>
  </r>
  <r>
    <x v="74"/>
    <x v="9"/>
    <n v="0.13047500000000001"/>
    <m/>
    <m/>
    <n v="0"/>
    <m/>
  </r>
  <r>
    <x v="74"/>
    <x v="10"/>
    <n v="0.22304000000000002"/>
    <m/>
    <m/>
    <n v="0"/>
    <m/>
  </r>
  <r>
    <x v="75"/>
    <x v="0"/>
    <n v="1.9932500000000002"/>
    <m/>
    <m/>
    <n v="0"/>
    <n v="0.25409999999999999"/>
  </r>
  <r>
    <x v="75"/>
    <x v="1"/>
    <n v="2.1589999999999998"/>
    <m/>
    <m/>
    <n v="0"/>
    <n v="0.3"/>
  </r>
  <r>
    <x v="75"/>
    <x v="2"/>
    <n v="0"/>
    <m/>
    <m/>
    <n v="0"/>
    <m/>
  </r>
  <r>
    <x v="75"/>
    <x v="3"/>
    <n v="1.8286899999999997"/>
    <m/>
    <m/>
    <n v="0"/>
    <n v="0.28999999999999998"/>
  </r>
  <r>
    <x v="75"/>
    <x v="4"/>
    <n v="1.7"/>
    <m/>
    <m/>
    <n v="0"/>
    <n v="0.3"/>
  </r>
  <r>
    <x v="75"/>
    <x v="5"/>
    <n v="0.86699999999999999"/>
    <m/>
    <m/>
    <n v="0"/>
    <n v="0.26"/>
  </r>
  <r>
    <x v="75"/>
    <x v="6"/>
    <n v="1.0029999999999999"/>
    <m/>
    <m/>
    <n v="0"/>
    <n v="0.25"/>
  </r>
  <r>
    <x v="75"/>
    <x v="7"/>
    <n v="8.0835000000000008"/>
    <m/>
    <m/>
    <n v="0"/>
    <m/>
  </r>
  <r>
    <x v="75"/>
    <x v="8"/>
    <n v="11.23428"/>
    <m/>
    <m/>
    <n v="0"/>
    <m/>
  </r>
  <r>
    <x v="75"/>
    <x v="9"/>
    <n v="9.4179999999999993"/>
    <m/>
    <m/>
    <n v="0"/>
    <m/>
  </r>
  <r>
    <x v="75"/>
    <x v="10"/>
    <n v="9.35"/>
    <m/>
    <m/>
    <n v="0"/>
    <m/>
  </r>
  <r>
    <x v="75"/>
    <x v="11"/>
    <n v="17.849999999999998"/>
    <m/>
    <m/>
    <n v="0"/>
    <m/>
  </r>
  <r>
    <x v="75"/>
    <x v="12"/>
    <n v="0"/>
    <m/>
    <m/>
    <n v="0"/>
    <m/>
  </r>
  <r>
    <x v="75"/>
    <x v="13"/>
    <n v="16.120249999999999"/>
    <m/>
    <m/>
    <n v="0"/>
    <m/>
  </r>
  <r>
    <x v="75"/>
    <x v="14"/>
    <n v="4.0119999999999996"/>
    <m/>
    <m/>
    <n v="0"/>
    <m/>
  </r>
  <r>
    <x v="76"/>
    <x v="0"/>
    <n v="0.505"/>
    <m/>
    <m/>
    <n v="0"/>
    <n v="7.6525999999999996"/>
  </r>
  <r>
    <x v="76"/>
    <x v="1"/>
    <n v="0.12341999999999999"/>
    <m/>
    <m/>
    <n v="0"/>
    <n v="0.72"/>
  </r>
  <r>
    <x v="76"/>
    <x v="2"/>
    <n v="0.24412"/>
    <m/>
    <m/>
    <n v="0"/>
    <m/>
  </r>
  <r>
    <x v="76"/>
    <x v="3"/>
    <n v="0.57281500000000007"/>
    <m/>
    <m/>
    <n v="0"/>
    <m/>
  </r>
  <r>
    <x v="76"/>
    <x v="4"/>
    <n v="0.27157500000000001"/>
    <m/>
    <m/>
    <n v="0"/>
    <m/>
  </r>
  <r>
    <x v="76"/>
    <x v="5"/>
    <n v="1.47E-2"/>
    <m/>
    <m/>
    <n v="0"/>
    <m/>
  </r>
  <r>
    <x v="77"/>
    <x v="0"/>
    <n v="0.35"/>
    <m/>
    <m/>
    <n v="0"/>
    <n v="8.4599999999999995E-2"/>
  </r>
  <r>
    <x v="77"/>
    <x v="1"/>
    <n v="0.32"/>
    <m/>
    <m/>
    <n v="0"/>
    <n v="7.0000000000000007E-2"/>
  </r>
  <r>
    <x v="77"/>
    <x v="2"/>
    <n v="3.85E-2"/>
    <m/>
    <m/>
    <n v="0"/>
    <m/>
  </r>
  <r>
    <x v="78"/>
    <x v="0"/>
    <n v="0"/>
    <m/>
    <m/>
    <n v="0"/>
    <m/>
  </r>
  <r>
    <x v="78"/>
    <x v="1"/>
    <n v="0"/>
    <m/>
    <m/>
    <n v="0"/>
    <m/>
  </r>
  <r>
    <x v="78"/>
    <x v="2"/>
    <n v="0"/>
    <m/>
    <m/>
    <n v="0"/>
    <m/>
  </r>
  <r>
    <x v="78"/>
    <x v="3"/>
    <n v="0"/>
    <m/>
    <m/>
    <n v="0"/>
    <m/>
  </r>
  <r>
    <x v="78"/>
    <x v="4"/>
    <n v="0"/>
    <m/>
    <m/>
    <n v="0"/>
    <m/>
  </r>
  <r>
    <x v="78"/>
    <x v="5"/>
    <n v="0"/>
    <m/>
    <m/>
    <n v="0"/>
    <m/>
  </r>
  <r>
    <x v="79"/>
    <x v="0"/>
    <n v="9.5200000000000007E-2"/>
    <m/>
    <m/>
    <n v="0"/>
    <m/>
  </r>
  <r>
    <x v="79"/>
    <x v="1"/>
    <n v="0"/>
    <m/>
    <m/>
    <n v="0"/>
    <m/>
  </r>
  <r>
    <x v="79"/>
    <x v="2"/>
    <n v="0.24618000000000001"/>
    <m/>
    <m/>
    <n v="0"/>
    <m/>
  </r>
  <r>
    <x v="79"/>
    <x v="3"/>
    <n v="0.48606500000000002"/>
    <m/>
    <m/>
    <n v="0"/>
    <m/>
  </r>
  <r>
    <x v="79"/>
    <x v="4"/>
    <n v="0.65076000000000001"/>
    <m/>
    <m/>
    <n v="0"/>
    <m/>
  </r>
  <r>
    <x v="79"/>
    <x v="5"/>
    <n v="0.30120000000000002"/>
    <m/>
    <m/>
    <n v="0"/>
    <m/>
  </r>
  <r>
    <x v="79"/>
    <x v="6"/>
    <n v="0.48187000000000002"/>
    <m/>
    <m/>
    <n v="0"/>
    <m/>
  </r>
  <r>
    <x v="79"/>
    <x v="7"/>
    <n v="0.32723999999999998"/>
    <m/>
    <m/>
    <n v="0"/>
    <m/>
  </r>
  <r>
    <x v="79"/>
    <x v="8"/>
    <n v="0.66079999999999994"/>
    <m/>
    <m/>
    <n v="0"/>
    <m/>
  </r>
  <r>
    <x v="79"/>
    <x v="9"/>
    <n v="13.340815000000001"/>
    <m/>
    <m/>
    <n v="0"/>
    <m/>
  </r>
  <r>
    <x v="79"/>
    <x v="10"/>
    <n v="25.799900000000001"/>
    <m/>
    <m/>
    <n v="0"/>
    <m/>
  </r>
  <r>
    <x v="79"/>
    <x v="11"/>
    <n v="3.5361799999999999"/>
    <m/>
    <m/>
    <n v="0"/>
    <m/>
  </r>
  <r>
    <x v="79"/>
    <x v="12"/>
    <n v="7.01"/>
    <m/>
    <m/>
    <n v="0"/>
    <m/>
  </r>
  <r>
    <x v="79"/>
    <x v="13"/>
    <n v="6.5"/>
    <m/>
    <m/>
    <n v="0"/>
    <m/>
  </r>
  <r>
    <x v="80"/>
    <x v="0"/>
    <n v="0"/>
    <m/>
    <m/>
    <n v="0"/>
    <n v="0.5"/>
  </r>
  <r>
    <x v="80"/>
    <x v="1"/>
    <n v="0"/>
    <m/>
    <m/>
    <n v="0"/>
    <m/>
  </r>
  <r>
    <x v="80"/>
    <x v="2"/>
    <n v="0"/>
    <m/>
    <m/>
    <n v="0"/>
    <m/>
  </r>
  <r>
    <x v="80"/>
    <x v="3"/>
    <n v="0"/>
    <m/>
    <m/>
    <n v="0"/>
    <m/>
  </r>
  <r>
    <x v="80"/>
    <x v="4"/>
    <n v="0"/>
    <m/>
    <m/>
    <n v="0"/>
    <m/>
  </r>
  <r>
    <x v="80"/>
    <x v="5"/>
    <n v="0"/>
    <m/>
    <m/>
    <n v="0"/>
    <m/>
  </r>
  <r>
    <x v="80"/>
    <x v="6"/>
    <n v="0"/>
    <m/>
    <m/>
    <n v="0"/>
    <m/>
  </r>
  <r>
    <x v="81"/>
    <x v="0"/>
    <n v="4.6199999999999998E-2"/>
    <m/>
    <m/>
    <n v="0"/>
    <n v="1.4866999999999999"/>
  </r>
  <r>
    <x v="81"/>
    <x v="1"/>
    <n v="6.6040000000000001E-2"/>
    <m/>
    <m/>
    <n v="0"/>
    <n v="0.31"/>
  </r>
  <r>
    <x v="81"/>
    <x v="2"/>
    <n v="6.6070000000000004E-2"/>
    <m/>
    <m/>
    <n v="0"/>
    <m/>
  </r>
  <r>
    <x v="82"/>
    <x v="0"/>
    <n v="0.59409500000000004"/>
    <m/>
    <m/>
    <n v="0"/>
    <m/>
  </r>
  <r>
    <x v="82"/>
    <x v="1"/>
    <n v="0.61589500000000008"/>
    <m/>
    <m/>
    <n v="0"/>
    <m/>
  </r>
  <r>
    <x v="82"/>
    <x v="2"/>
    <n v="2.097175"/>
    <m/>
    <m/>
    <n v="0"/>
    <m/>
  </r>
  <r>
    <x v="82"/>
    <x v="3"/>
    <n v="2.3216549999999998"/>
    <m/>
    <m/>
    <n v="0"/>
    <m/>
  </r>
  <r>
    <x v="82"/>
    <x v="4"/>
    <n v="1.1439550000000001"/>
    <m/>
    <m/>
    <n v="0"/>
    <m/>
  </r>
  <r>
    <x v="82"/>
    <x v="5"/>
    <n v="1.6405000000000001"/>
    <m/>
    <m/>
    <n v="0"/>
    <m/>
  </r>
  <r>
    <x v="82"/>
    <x v="6"/>
    <n v="0.84540000000000004"/>
    <m/>
    <m/>
    <n v="0"/>
    <m/>
  </r>
  <r>
    <x v="83"/>
    <x v="0"/>
    <n v="0.39429999999999998"/>
    <m/>
    <m/>
    <n v="0"/>
    <m/>
  </r>
  <r>
    <x v="84"/>
    <x v="0"/>
    <n v="4.3900000000000002E-2"/>
    <n v="39281689.020000003"/>
    <n v="7072289.3099999996"/>
    <n v="0.18004035687974598"/>
    <n v="0.18004035687974598"/>
  </r>
  <r>
    <x v="84"/>
    <x v="1"/>
    <n v="2.0999999999999999E-3"/>
    <m/>
    <m/>
    <n v="0"/>
    <m/>
  </r>
  <r>
    <x v="84"/>
    <x v="2"/>
    <n v="0"/>
    <m/>
    <m/>
    <n v="0"/>
    <m/>
  </r>
  <r>
    <x v="84"/>
    <x v="3"/>
    <n v="8.8999999999999996E-2"/>
    <m/>
    <m/>
    <n v="0"/>
    <m/>
  </r>
  <r>
    <x v="84"/>
    <x v="4"/>
    <n v="8.4600000000000009E-2"/>
    <m/>
    <m/>
    <n v="0"/>
    <m/>
  </r>
  <r>
    <x v="84"/>
    <x v="5"/>
    <n v="0.10044"/>
    <m/>
    <m/>
    <n v="0"/>
    <m/>
  </r>
  <r>
    <x v="85"/>
    <x v="0"/>
    <n v="7.6E-3"/>
    <n v="39281689.020000003"/>
    <n v="7072289.3099999996"/>
    <n v="0.18004035687974598"/>
    <n v="0.18004035687974598"/>
  </r>
  <r>
    <x v="85"/>
    <x v="1"/>
    <n v="2.0999999999999999E-3"/>
    <m/>
    <m/>
    <n v="0"/>
    <m/>
  </r>
  <r>
    <x v="85"/>
    <x v="2"/>
    <n v="0"/>
    <m/>
    <m/>
    <n v="0"/>
    <m/>
  </r>
  <r>
    <x v="85"/>
    <x v="3"/>
    <n v="0"/>
    <m/>
    <m/>
    <n v="0"/>
    <m/>
  </r>
  <r>
    <x v="85"/>
    <x v="4"/>
    <n v="3.3000000000000002E-2"/>
    <m/>
    <m/>
    <n v="0"/>
    <m/>
  </r>
  <r>
    <x v="85"/>
    <x v="5"/>
    <n v="5.6539999999999993E-2"/>
    <m/>
    <m/>
    <n v="0"/>
    <m/>
  </r>
  <r>
    <x v="85"/>
    <x v="6"/>
    <n v="2.2799999999999997E-2"/>
    <m/>
    <m/>
    <n v="0"/>
    <m/>
  </r>
  <r>
    <x v="85"/>
    <x v="7"/>
    <n v="5.6845E-2"/>
    <m/>
    <m/>
    <n v="0"/>
    <m/>
  </r>
  <r>
    <x v="85"/>
    <x v="8"/>
    <n v="0.10257499999999999"/>
    <m/>
    <m/>
    <n v="0"/>
    <m/>
  </r>
  <r>
    <x v="85"/>
    <x v="9"/>
    <n v="0.12155000000000001"/>
    <m/>
    <m/>
    <n v="0"/>
    <m/>
  </r>
  <r>
    <x v="85"/>
    <x v="10"/>
    <n v="7.5500000000000012E-2"/>
    <m/>
    <m/>
    <n v="0"/>
    <m/>
  </r>
  <r>
    <x v="85"/>
    <x v="11"/>
    <n v="8.7649999999999992E-2"/>
    <m/>
    <m/>
    <n v="0"/>
    <m/>
  </r>
  <r>
    <x v="85"/>
    <x v="12"/>
    <n v="0.1215"/>
    <m/>
    <m/>
    <n v="0"/>
    <m/>
  </r>
  <r>
    <x v="85"/>
    <x v="13"/>
    <n v="0.1678"/>
    <m/>
    <m/>
    <n v="0"/>
    <m/>
  </r>
  <r>
    <x v="85"/>
    <x v="14"/>
    <n v="0.11259999999999999"/>
    <m/>
    <m/>
    <n v="0"/>
    <m/>
  </r>
  <r>
    <x v="86"/>
    <x v="0"/>
    <n v="0"/>
    <m/>
    <m/>
    <n v="0"/>
    <m/>
  </r>
  <r>
    <x v="86"/>
    <x v="1"/>
    <n v="7.3609999999999995E-2"/>
    <m/>
    <m/>
    <n v="0"/>
    <m/>
  </r>
  <r>
    <x v="86"/>
    <x v="2"/>
    <n v="0.12801000000000001"/>
    <m/>
    <m/>
    <n v="0"/>
    <m/>
  </r>
  <r>
    <x v="86"/>
    <x v="3"/>
    <n v="0.52234500000000006"/>
    <m/>
    <m/>
    <n v="0"/>
    <m/>
  </r>
  <r>
    <x v="86"/>
    <x v="4"/>
    <n v="1.21522"/>
    <m/>
    <m/>
    <n v="0"/>
    <m/>
  </r>
  <r>
    <x v="86"/>
    <x v="5"/>
    <n v="2.62127"/>
    <m/>
    <m/>
    <n v="0"/>
    <m/>
  </r>
  <r>
    <x v="86"/>
    <x v="6"/>
    <n v="3.98421"/>
    <m/>
    <m/>
    <n v="0"/>
    <m/>
  </r>
  <r>
    <x v="86"/>
    <x v="7"/>
    <n v="4.1020799999999999"/>
    <m/>
    <m/>
    <n v="0"/>
    <m/>
  </r>
  <r>
    <x v="86"/>
    <x v="8"/>
    <n v="6.7076200000000004"/>
    <m/>
    <m/>
    <n v="0"/>
    <m/>
  </r>
  <r>
    <x v="86"/>
    <x v="9"/>
    <n v="1.8202199999999999"/>
    <m/>
    <m/>
    <n v="0"/>
    <m/>
  </r>
  <r>
    <x v="86"/>
    <x v="10"/>
    <n v="1.4686299999999999"/>
    <m/>
    <m/>
    <n v="0"/>
    <m/>
  </r>
  <r>
    <x v="86"/>
    <x v="11"/>
    <n v="0.24399999999999999"/>
    <m/>
    <m/>
    <n v="0"/>
    <m/>
  </r>
  <r>
    <x v="86"/>
    <x v="12"/>
    <n v="0.44847500000000001"/>
    <m/>
    <m/>
    <n v="0"/>
    <m/>
  </r>
  <r>
    <x v="86"/>
    <x v="13"/>
    <n v="0.39040000000000002"/>
    <m/>
    <m/>
    <n v="0"/>
    <m/>
  </r>
  <r>
    <x v="86"/>
    <x v="14"/>
    <n v="0.19520000000000001"/>
    <m/>
    <m/>
    <n v="0"/>
    <m/>
  </r>
  <r>
    <x v="87"/>
    <x v="0"/>
    <n v="4.3414400000000004"/>
    <m/>
    <m/>
    <n v="0"/>
    <n v="1.2655000000000001"/>
  </r>
  <r>
    <x v="87"/>
    <x v="1"/>
    <n v="2.8243"/>
    <m/>
    <m/>
    <n v="0"/>
    <n v="0.71"/>
  </r>
  <r>
    <x v="87"/>
    <x v="2"/>
    <n v="8.0720449999999992"/>
    <m/>
    <m/>
    <n v="0"/>
    <m/>
  </r>
  <r>
    <x v="87"/>
    <x v="3"/>
    <n v="4.3813649999999997"/>
    <m/>
    <m/>
    <n v="0"/>
    <m/>
  </r>
  <r>
    <x v="87"/>
    <x v="4"/>
    <n v="3.9943900000000001"/>
    <m/>
    <m/>
    <n v="0"/>
    <m/>
  </r>
  <r>
    <x v="87"/>
    <x v="5"/>
    <n v="5.5623100000000001"/>
    <m/>
    <m/>
    <n v="0"/>
    <m/>
  </r>
  <r>
    <x v="87"/>
    <x v="6"/>
    <n v="6.5916399999999999"/>
    <m/>
    <m/>
    <n v="0"/>
    <m/>
  </r>
  <r>
    <x v="87"/>
    <x v="7"/>
    <n v="6.1394450000000003"/>
    <m/>
    <m/>
    <n v="0"/>
    <m/>
  </r>
  <r>
    <x v="87"/>
    <x v="8"/>
    <n v="7.5821299999999994"/>
    <m/>
    <m/>
    <n v="0"/>
    <m/>
  </r>
  <r>
    <x v="87"/>
    <x v="9"/>
    <n v="6.1955799999999996"/>
    <m/>
    <m/>
    <n v="0"/>
    <m/>
  </r>
  <r>
    <x v="87"/>
    <x v="10"/>
    <n v="7.8630250000000004"/>
    <m/>
    <m/>
    <n v="0"/>
    <m/>
  </r>
  <r>
    <x v="87"/>
    <x v="11"/>
    <n v="1.6946300000000001"/>
    <m/>
    <m/>
    <n v="0"/>
    <m/>
  </r>
  <r>
    <x v="87"/>
    <x v="12"/>
    <n v="1.8258000000000001"/>
    <m/>
    <m/>
    <n v="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9">
  <r>
    <x v="0"/>
    <x v="0"/>
    <n v="81394860.719999999"/>
    <n v="4069743.0360000003"/>
    <n v="1515152000"/>
    <n v="5.1034561340380369E-2"/>
    <m/>
    <n v="0"/>
    <n v="0.49"/>
    <n v="0"/>
  </r>
  <r>
    <x v="0"/>
    <x v="1"/>
    <n v="87892325.230000004"/>
    <n v="4394616.2615"/>
    <n v="1515152000"/>
    <n v="5.5108470284499514E-2"/>
    <m/>
    <n v="0"/>
    <n v="0.49"/>
    <n v="0"/>
  </r>
  <r>
    <x v="0"/>
    <x v="2"/>
    <n v="167022537.74000001"/>
    <n v="8351126.887000001"/>
    <n v="1515152000"/>
    <n v="0.10472309765158876"/>
    <m/>
    <n v="0"/>
    <n v="0.49"/>
    <n v="0"/>
  </r>
  <r>
    <x v="0"/>
    <x v="3"/>
    <n v="132495688.40000001"/>
    <n v="6624784.4200000009"/>
    <n v="1515152000"/>
    <n v="8.3074770042873586E-2"/>
    <m/>
    <n v="0"/>
    <n v="0.49"/>
    <n v="0"/>
  </r>
  <r>
    <x v="0"/>
    <x v="4"/>
    <n v="161284989.28999999"/>
    <n v="8064249.4644999998"/>
    <n v="1515152000"/>
    <n v="0.1011256559246201"/>
    <m/>
    <n v="0"/>
    <n v="0.49"/>
    <n v="0"/>
  </r>
  <r>
    <x v="1"/>
    <x v="0"/>
    <n v="81394860.719999999"/>
    <n v="4069743.0360000003"/>
    <n v="1515152000"/>
    <n v="5.1034561340380369E-2"/>
    <m/>
    <n v="0"/>
    <n v="0.46"/>
    <n v="0"/>
  </r>
  <r>
    <x v="1"/>
    <x v="1"/>
    <n v="87892325.230000004"/>
    <n v="4394616.2615"/>
    <n v="1515152000"/>
    <n v="5.5108470284499514E-2"/>
    <m/>
    <n v="0"/>
    <n v="0.46"/>
    <n v="0"/>
  </r>
  <r>
    <x v="1"/>
    <x v="2"/>
    <n v="167022537.74000001"/>
    <n v="8351126.887000001"/>
    <n v="1515152000"/>
    <n v="0.10472309765158876"/>
    <m/>
    <n v="0"/>
    <n v="0.46"/>
    <n v="0"/>
  </r>
  <r>
    <x v="1"/>
    <x v="3"/>
    <n v="132495688.40000001"/>
    <n v="6624784.4200000009"/>
    <n v="1515152000"/>
    <n v="8.3074770042873586E-2"/>
    <m/>
    <n v="0"/>
    <n v="0.46"/>
    <n v="0"/>
  </r>
  <r>
    <x v="1"/>
    <x v="4"/>
    <n v="161284989.28999999"/>
    <n v="8064249.4644999998"/>
    <n v="1515152000"/>
    <n v="0.1011256559246201"/>
    <m/>
    <n v="0"/>
    <n v="0.46"/>
    <n v="0"/>
  </r>
  <r>
    <x v="2"/>
    <x v="0"/>
    <n v="50944000"/>
    <n v="2547200"/>
    <n v="108480828"/>
    <n v="0.44613228800207905"/>
    <n v="0.25598361800000002"/>
    <n v="0.57378411041795541"/>
    <n v="6"/>
    <n v="4.266393633333334E-2"/>
  </r>
  <r>
    <x v="2"/>
    <x v="1"/>
    <n v="42494000"/>
    <n v="2124700"/>
    <n v="108480828"/>
    <n v="0.37213303718515128"/>
    <n v="0.36250183699999999"/>
    <n v="0.97411893268600236"/>
    <n v="6"/>
    <n v="6.0416972833333332E-2"/>
  </r>
  <r>
    <x v="2"/>
    <x v="2"/>
    <n v="60637000"/>
    <n v="3031850"/>
    <n v="108480828"/>
    <n v="0.53101687240071582"/>
    <n v="0.41899999999999998"/>
    <n v="0.7890521408589336"/>
    <n v="6"/>
    <n v="6.9833333333333331E-2"/>
  </r>
  <r>
    <x v="3"/>
    <x v="0"/>
    <n v="39281689.020000003"/>
    <n v="1964084.4510000004"/>
    <n v="835502072"/>
    <n v="4.4664885725142767E-2"/>
    <n v="4.3892399999999998E-2"/>
    <n v="0.98270485387791062"/>
    <n v="0.62"/>
    <n v="7.0794193548387091E-2"/>
  </r>
  <r>
    <x v="3"/>
    <x v="5"/>
    <n v="144980510.25"/>
    <n v="7249025.5125000002"/>
    <n v="835502072"/>
    <n v="0.16484876501598911"/>
    <n v="0.1"/>
    <n v="0.60661661608627004"/>
    <n v="0.62"/>
    <n v="0.16129032258064518"/>
  </r>
  <r>
    <x v="3"/>
    <x v="6"/>
    <n v="90571594.159999996"/>
    <n v="4528579.7079999996"/>
    <n v="835502072"/>
    <n v="0.10298360391379136"/>
    <n v="0.1"/>
    <n v="0.9710283598514482"/>
    <n v="0.62"/>
    <n v="0.16129032258064518"/>
  </r>
  <r>
    <x v="3"/>
    <x v="7"/>
    <n v="185746507.69999999"/>
    <n v="9287325.3849999998"/>
    <n v="835502072"/>
    <n v="0.21120137008469322"/>
    <n v="0.1"/>
    <n v="0.47348177694064819"/>
    <n v="0.62"/>
    <n v="0.16129032258064518"/>
  </r>
  <r>
    <x v="3"/>
    <x v="8"/>
    <n v="204047000"/>
    <n v="10202350"/>
    <n v="835502072"/>
    <n v="0.2320097777088457"/>
    <n v="0.12089"/>
    <n v="0.52105562616290935"/>
    <n v="0.62"/>
    <n v="0.19498387096774195"/>
  </r>
  <r>
    <x v="4"/>
    <x v="0"/>
    <n v="39281689.020000003"/>
    <n v="1964084.4510000004"/>
    <n v="835502072"/>
    <n v="4.4664885725142767E-2"/>
    <n v="7.5724E-3"/>
    <n v="0.16953810307718628"/>
    <n v="0.53"/>
    <n v="1.4287547169811321E-2"/>
  </r>
  <r>
    <x v="4"/>
    <x v="5"/>
    <n v="144980510.25"/>
    <n v="7249025.5125000002"/>
    <n v="835502072"/>
    <n v="0.16484876501598911"/>
    <n v="5.6099999999999997E-2"/>
    <n v="0.34031192162439744"/>
    <n v="0.53"/>
    <n v="0.10584905660377357"/>
  </r>
  <r>
    <x v="4"/>
    <x v="6"/>
    <n v="90571594.159999996"/>
    <n v="4528579.7079999996"/>
    <n v="835502072"/>
    <n v="0.10298360391379136"/>
    <n v="4.4769999999999997E-2"/>
    <n v="0.43472939670549332"/>
    <n v="0.53"/>
    <n v="8.4471698113207538E-2"/>
  </r>
  <r>
    <x v="4"/>
    <x v="7"/>
    <n v="185746507.69999999"/>
    <n v="9287325.3849999998"/>
    <n v="835502072"/>
    <n v="0.21120137008469322"/>
    <n v="9.2355999999999994E-2"/>
    <n v="0.43728882991130497"/>
    <n v="0.53"/>
    <n v="0.17425660377358487"/>
  </r>
  <r>
    <x v="4"/>
    <x v="8"/>
    <n v="204047000"/>
    <n v="10202350"/>
    <n v="835502072"/>
    <n v="0.2320097777088457"/>
    <n v="0.12089"/>
    <n v="0.52105562616290935"/>
    <n v="0.53"/>
    <n v="0.2280943396226415"/>
  </r>
  <r>
    <x v="5"/>
    <x v="0"/>
    <n v="165948458.28999999"/>
    <n v="8297422.9145"/>
    <n v="2964596762"/>
    <n v="5.3177901762647882E-2"/>
    <n v="2.6766179000000001E-2"/>
    <n v="0.50333273996907757"/>
    <n v="0.32"/>
    <n v="8.3644309375000003E-2"/>
  </r>
  <r>
    <x v="5"/>
    <x v="1"/>
    <n v="142163159.71000001"/>
    <n v="7108157.9855000004"/>
    <n v="2964596762"/>
    <n v="4.5555943208069931E-2"/>
    <n v="3.7426162999999998E-2"/>
    <n v="0.82154292863746925"/>
    <n v="0.32"/>
    <n v="0.116956759375"/>
  </r>
  <r>
    <x v="5"/>
    <x v="3"/>
    <n v="26300000"/>
    <n v="1315000"/>
    <n v="2964596762"/>
    <n v="8.4277903559283451E-3"/>
    <n v="9.327175E-3"/>
    <n v="1.1067165420695357"/>
    <n v="0.32"/>
    <n v="2.9147421874999999E-2"/>
  </r>
  <r>
    <x v="5"/>
    <x v="4"/>
    <n v="215849983.30000001"/>
    <n v="10792499.165000001"/>
    <n v="2964596762"/>
    <n v="6.916876074460207E-2"/>
    <n v="3.7007718000000002E-2"/>
    <n v="0.53503514594755963"/>
    <n v="0.32"/>
    <n v="0.11564911875"/>
  </r>
  <r>
    <x v="5"/>
    <x v="5"/>
    <n v="179766452.93000001"/>
    <n v="8988322.6465000007"/>
    <n v="2964596762"/>
    <n v="5.7605854689083684E-2"/>
    <n v="2.2531572999999999E-2"/>
    <n v="0.39113338603532144"/>
    <n v="0.32"/>
    <n v="7.0411165624999994E-2"/>
  </r>
  <r>
    <x v="6"/>
    <x v="1"/>
    <n v="339725153.91000003"/>
    <n v="16986257.695500001"/>
    <n v="428473420"/>
    <n v="0.75322967808481567"/>
    <n v="0.30702249999999998"/>
    <n v="0.40760807617225675"/>
    <n v="2.0499999999999998"/>
    <n v="0.14976707317073171"/>
  </r>
  <r>
    <x v="7"/>
    <x v="0"/>
    <n v="290441196.88"/>
    <n v="14522059.844000001"/>
    <n v="1245690889"/>
    <n v="0.22149888023785652"/>
    <n v="0.159"/>
    <n v="0.71783658603266021"/>
    <n v="2.2000000000000002"/>
    <n v="7.2272727272727266E-2"/>
  </r>
  <r>
    <x v="8"/>
    <x v="0"/>
    <n v="290441196.88"/>
    <n v="14522059.844000001"/>
    <n v="1245690889"/>
    <n v="0.22149888023785652"/>
    <n v="0.79500000000000004"/>
    <n v="3.5891829301633016"/>
    <n v="11.8"/>
    <n v="6.7372881355932196E-2"/>
  </r>
  <r>
    <x v="7"/>
    <x v="1"/>
    <n v="131210547.13"/>
    <n v="6560527.3564999998"/>
    <n v="1245690889"/>
    <n v="0.10006496866454966"/>
    <n v="0.04"/>
    <n v="0.39974029406927636"/>
    <n v="2.2000000000000002"/>
    <n v="1.8181818181818181E-2"/>
  </r>
  <r>
    <x v="8"/>
    <x v="1"/>
    <n v="131210547.13"/>
    <n v="6560527.3564999998"/>
    <n v="1245690889"/>
    <n v="0.10006496866454966"/>
    <n v="0.2"/>
    <n v="1.9987014703463817"/>
    <n v="11.8"/>
    <n v="1.6949152542372881E-2"/>
  </r>
  <r>
    <x v="9"/>
    <x v="0"/>
    <n v="94365000"/>
    <n v="4718250"/>
    <n v="105765903"/>
    <n v="0.84759594025307006"/>
    <n v="0.26429999999999998"/>
    <n v="0.31182310750696479"/>
    <n v="3.92"/>
    <n v="6.7423469387755092E-2"/>
  </r>
  <r>
    <x v="9"/>
    <x v="1"/>
    <n v="76923000"/>
    <n v="3846150"/>
    <n v="105765903"/>
    <n v="0.69093013842088602"/>
    <n v="0.24027999999999999"/>
    <n v="0.34776309012826906"/>
    <n v="3.92"/>
    <n v="6.1295918367346935E-2"/>
  </r>
  <r>
    <x v="9"/>
    <x v="2"/>
    <n v="61183000"/>
    <n v="3059150"/>
    <n v="105765903"/>
    <n v="0.54955187211893797"/>
    <n v="0.30980000000000002"/>
    <n v="0.56373204372043495"/>
    <n v="3.92"/>
    <n v="7.9030612244897963E-2"/>
  </r>
  <r>
    <x v="10"/>
    <x v="1"/>
    <n v="436885000"/>
    <n v="21844250"/>
    <n v="95061053"/>
    <n v="4.3660441043084175"/>
    <n v="1.876459358"/>
    <n v="0.42978479217566945"/>
    <n v="9.24"/>
    <n v="0.20308001709956708"/>
  </r>
  <r>
    <x v="10"/>
    <x v="2"/>
    <n v="376137000"/>
    <n v="18806850"/>
    <n v="95061053"/>
    <n v="3.7589542585857956"/>
    <n v="1.3465030730000001"/>
    <n v="0.35821214635013549"/>
    <n v="9.24"/>
    <n v="0.1457254408008658"/>
  </r>
  <r>
    <x v="10"/>
    <x v="3"/>
    <n v="335010000"/>
    <n v="16750500"/>
    <n v="95061053"/>
    <n v="3.3479483969107728"/>
    <n v="0.79422642200000004"/>
    <n v="0.23722779680022865"/>
    <n v="9.24"/>
    <n v="8.5955240476190478E-2"/>
  </r>
  <r>
    <x v="11"/>
    <x v="0"/>
    <n v="82501054.159999996"/>
    <n v="4125052.7080000001"/>
    <n v="192839601"/>
    <n v="0.4064310496680606"/>
    <n v="0.304823287"/>
    <n v="0.74999999938231721"/>
    <n v="5.72"/>
    <n v="5.3290784440559444E-2"/>
  </r>
  <r>
    <x v="11"/>
    <x v="1"/>
    <n v="106599000"/>
    <n v="5329950"/>
    <n v="192839601"/>
    <n v="0.52514654394042226"/>
    <n v="0.32"/>
    <n v="0.60935371981864161"/>
    <n v="5.72"/>
    <n v="5.5944055944055951E-2"/>
  </r>
  <r>
    <x v="11"/>
    <x v="2"/>
    <n v="72793496.950000003"/>
    <n v="3639674.8475000001"/>
    <n v="192839601"/>
    <n v="0.35860799205086513"/>
    <n v="0.20474999999999999"/>
    <n v="0.57095771577494048"/>
    <n v="5.72"/>
    <n v="3.5795454545454547E-2"/>
  </r>
  <r>
    <x v="11"/>
    <x v="3"/>
    <n v="44926699.240000002"/>
    <n v="2246334.9620000003"/>
    <n v="192839601"/>
    <n v="0.22132572384859894"/>
    <n v="0.12795999999999999"/>
    <n v="0.57815240711709082"/>
    <n v="5.72"/>
    <n v="2.237062937062937E-2"/>
  </r>
  <r>
    <x v="11"/>
    <x v="4"/>
    <n v="26521322.010000002"/>
    <n v="1326066.1005000002"/>
    <n v="192839601"/>
    <n v="0.13065395167199087"/>
    <n v="2.3539999999999998E-2"/>
    <n v="0.18017059337858835"/>
    <n v="5.72"/>
    <n v="4.1153846153846154E-3"/>
  </r>
  <r>
    <x v="12"/>
    <x v="0"/>
    <n v="837439831.94000006"/>
    <n v="41871991.597000003"/>
    <n v="1797086404"/>
    <n v="0.44269871419215301"/>
    <n v="0.51068858442999998"/>
    <n v="1.1535804556422"/>
    <n v="3.81"/>
    <n v="0.13403899853805773"/>
  </r>
  <r>
    <x v="12"/>
    <x v="1"/>
    <n v="1005731443.8099999"/>
    <n v="50286572.190499999"/>
    <n v="1797086404"/>
    <n v="0.53166329092070741"/>
    <n v="0.61"/>
    <n v="1.1473427080956315"/>
    <n v="3.81"/>
    <n v="0.1601049868766404"/>
  </r>
  <r>
    <x v="12"/>
    <x v="2"/>
    <n v="1971024029.29"/>
    <n v="98551201.46450001"/>
    <n v="1797086404"/>
    <n v="1.0419492483264594"/>
    <n v="3.34"/>
    <n v="3.2055304088606862"/>
    <n v="3.81"/>
    <n v="0.87664041994750652"/>
  </r>
  <r>
    <x v="13"/>
    <x v="0"/>
    <n v="50118000"/>
    <n v="2505900"/>
    <n v="2321499770"/>
    <n v="2.0509198672029161E-2"/>
    <n v="4.1999999999999997E-3"/>
    <n v="0.20478615801445429"/>
    <n v="0.19"/>
    <n v="2.2105263157894735E-2"/>
  </r>
  <r>
    <x v="14"/>
    <x v="0"/>
    <n v="50118000"/>
    <n v="2505900"/>
    <n v="2321499770"/>
    <n v="2.0509198672029161E-2"/>
    <n v="4.7999999999999996E-3"/>
    <n v="0.2340413234450906"/>
    <n v="0.2"/>
    <n v="2.3999999999999997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ela dinâmica1" cacheId="5" applyNumberFormats="0" applyBorderFormats="0" applyFontFormats="0" applyPatternFormats="0" applyAlignmentFormats="0" applyWidthHeightFormats="1" dataCaption="Valores" updatedVersion="4" minRefreshableVersion="3" showCalcMbrs="0" useAutoFormatting="1" itemPrintTitles="1" createdVersion="3" indent="0" outline="1" outlineData="1" multipleFieldFilters="0">
  <location ref="A4:D151" firstHeaderRow="1" firstDataRow="2" firstDataCol="1"/>
  <pivotFields count="7">
    <pivotField axis="axisRow" showAll="0" sortType="ascending">
      <items count="103">
        <item sd="0" x="0"/>
        <item sd="0" x="1"/>
        <item sd="0" x="2"/>
        <item sd="0" x="3"/>
        <item sd="0" x="4"/>
        <item sd="0" x="5"/>
        <item sd="0" m="1" x="90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m="1" x="91"/>
        <item sd="0" x="16"/>
        <item sd="0" x="17"/>
        <item sd="0" x="18"/>
        <item sd="0" x="19"/>
        <item sd="0" x="20"/>
        <item sd="0" x="21"/>
        <item sd="0" x="22"/>
        <item sd="0" x="23"/>
        <item sd="0" m="1" x="95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x="42"/>
        <item sd="0" x="43"/>
        <item sd="0" x="44"/>
        <item sd="0" x="45"/>
        <item sd="0" x="46"/>
        <item x="47"/>
        <item sd="0" x="48"/>
        <item sd="0" m="1" x="89"/>
        <item sd="0" x="49"/>
        <item sd="0" x="50"/>
        <item sd="0" x="51"/>
        <item sd="0" x="52"/>
        <item sd="0" x="53"/>
        <item sd="0" x="54"/>
        <item sd="0" x="55"/>
        <item x="56"/>
        <item sd="0" x="57"/>
        <item sd="0" x="58"/>
        <item sd="0" x="59"/>
        <item sd="0" x="60"/>
        <item sd="0" m="1" x="98"/>
        <item sd="0" m="1" x="101"/>
        <item sd="0" m="1" x="97"/>
        <item sd="0" x="61"/>
        <item sd="0" m="1" x="88"/>
        <item sd="0" x="62"/>
        <item sd="0" x="63"/>
        <item sd="0" x="64"/>
        <item x="65"/>
        <item sd="0" x="66"/>
        <item x="67"/>
        <item sd="0" x="68"/>
        <item sd="0" x="69"/>
        <item sd="0" x="70"/>
        <item sd="0" x="71"/>
        <item sd="0" m="1" x="93"/>
        <item x="72"/>
        <item sd="0" x="73"/>
        <item sd="0" m="1" x="96"/>
        <item sd="0" x="74"/>
        <item sd="0" x="75"/>
        <item sd="0" x="76"/>
        <item sd="0" x="77"/>
        <item sd="0" x="78"/>
        <item sd="0" x="79"/>
        <item sd="0" x="80"/>
        <item sd="0" m="1" x="92"/>
        <item x="81"/>
        <item m="1" x="99"/>
        <item sd="0" x="82"/>
        <item sd="0" m="1" x="94"/>
        <item sd="0" x="83"/>
        <item x="84"/>
        <item x="85"/>
        <item sd="0" x="86"/>
        <item sd="0" m="1" x="100"/>
        <item x="87"/>
        <item t="default"/>
      </items>
    </pivotField>
    <pivotField axis="axisRow" multipleItemSelectionAllowed="1" showAll="0">
      <items count="18">
        <item h="1" sd="0" x="14"/>
        <item h="1" sd="0" x="13"/>
        <item h="1" sd="0" x="12"/>
        <item h="1" x="11"/>
        <item h="1" x="10"/>
        <item h="1" x="9"/>
        <item h="1" x="8"/>
        <item h="1" x="7"/>
        <item h="1" x="6"/>
        <item x="5"/>
        <item x="4"/>
        <item x="3"/>
        <item x="2"/>
        <item sd="0" x="1"/>
        <item sd="0" x="0"/>
        <item h="1" x="16"/>
        <item h="1" x="15"/>
        <item t="default"/>
      </items>
    </pivotField>
    <pivotField dataField="1" showAll="0"/>
    <pivotField showAll="0" defaultSubtotal="0"/>
    <pivotField showAll="0" defaultSubtotal="0"/>
    <pivotField numFmtId="10" showAll="0" defaultSubtotal="0"/>
    <pivotField dataField="1" showAll="0" defaultSubtotal="0"/>
  </pivotFields>
  <rowFields count="2">
    <field x="0"/>
    <field x="1"/>
  </rowFields>
  <rowItems count="146">
    <i>
      <x/>
    </i>
    <i>
      <x v="1"/>
    </i>
    <i>
      <x v="2"/>
    </i>
    <i>
      <x v="3"/>
    </i>
    <i>
      <x v="4"/>
    </i>
    <i>
      <x v="5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 r="1">
      <x v="9"/>
    </i>
    <i r="1">
      <x v="10"/>
    </i>
    <i r="1">
      <x v="11"/>
    </i>
    <i r="1">
      <x v="12"/>
    </i>
    <i r="1">
      <x v="13"/>
    </i>
    <i r="1">
      <x v="14"/>
    </i>
    <i>
      <x v="46"/>
    </i>
    <i>
      <x v="47"/>
    </i>
    <i>
      <x v="48"/>
    </i>
    <i>
      <x v="49"/>
    </i>
    <i>
      <x v="50"/>
    </i>
    <i r="1">
      <x v="9"/>
    </i>
    <i r="1">
      <x v="10"/>
    </i>
    <i r="1">
      <x v="11"/>
    </i>
    <i r="1">
      <x v="12"/>
    </i>
    <i r="1">
      <x v="13"/>
    </i>
    <i r="1">
      <x v="14"/>
    </i>
    <i>
      <x v="51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 r="1">
      <x v="9"/>
    </i>
    <i r="1">
      <x v="10"/>
    </i>
    <i r="1">
      <x v="11"/>
    </i>
    <i r="1">
      <x v="12"/>
    </i>
    <i r="1">
      <x v="13"/>
    </i>
    <i r="1">
      <x v="14"/>
    </i>
    <i>
      <x v="61"/>
    </i>
    <i>
      <x v="62"/>
    </i>
    <i>
      <x v="63"/>
    </i>
    <i>
      <x v="64"/>
    </i>
    <i>
      <x v="68"/>
    </i>
    <i>
      <x v="70"/>
    </i>
    <i>
      <x v="71"/>
    </i>
    <i>
      <x v="72"/>
    </i>
    <i>
      <x v="73"/>
    </i>
    <i r="1">
      <x v="9"/>
    </i>
    <i r="1">
      <x v="10"/>
    </i>
    <i r="1">
      <x v="11"/>
    </i>
    <i r="1">
      <x v="12"/>
    </i>
    <i r="1">
      <x v="13"/>
    </i>
    <i r="1">
      <x v="14"/>
    </i>
    <i>
      <x v="74"/>
    </i>
    <i>
      <x v="75"/>
    </i>
    <i r="1">
      <x v="9"/>
    </i>
    <i r="1">
      <x v="10"/>
    </i>
    <i r="1">
      <x v="11"/>
    </i>
    <i r="1">
      <x v="12"/>
    </i>
    <i r="1">
      <x v="13"/>
    </i>
    <i r="1">
      <x v="14"/>
    </i>
    <i>
      <x v="76"/>
    </i>
    <i>
      <x v="77"/>
    </i>
    <i>
      <x v="78"/>
    </i>
    <i>
      <x v="79"/>
    </i>
    <i>
      <x v="81"/>
    </i>
    <i r="1">
      <x v="9"/>
    </i>
    <i r="1">
      <x v="10"/>
    </i>
    <i r="1">
      <x v="11"/>
    </i>
    <i r="1">
      <x v="12"/>
    </i>
    <i r="1">
      <x v="13"/>
    </i>
    <i r="1">
      <x v="14"/>
    </i>
    <i>
      <x v="82"/>
    </i>
    <i>
      <x v="84"/>
    </i>
    <i>
      <x v="85"/>
    </i>
    <i>
      <x v="86"/>
    </i>
    <i>
      <x v="87"/>
    </i>
    <i>
      <x v="88"/>
    </i>
    <i>
      <x v="89"/>
    </i>
    <i>
      <x v="90"/>
    </i>
    <i>
      <x v="92"/>
    </i>
    <i r="1">
      <x v="12"/>
    </i>
    <i r="1">
      <x v="13"/>
    </i>
    <i r="1">
      <x v="14"/>
    </i>
    <i>
      <x v="94"/>
    </i>
    <i>
      <x v="96"/>
    </i>
    <i>
      <x v="97"/>
    </i>
    <i r="1">
      <x v="9"/>
    </i>
    <i r="1">
      <x v="10"/>
    </i>
    <i r="1">
      <x v="11"/>
    </i>
    <i r="1">
      <x v="12"/>
    </i>
    <i r="1">
      <x v="13"/>
    </i>
    <i r="1">
      <x v="14"/>
    </i>
    <i>
      <x v="98"/>
    </i>
    <i r="1">
      <x v="9"/>
    </i>
    <i r="1">
      <x v="10"/>
    </i>
    <i r="1">
      <x v="11"/>
    </i>
    <i r="1">
      <x v="12"/>
    </i>
    <i r="1">
      <x v="13"/>
    </i>
    <i r="1">
      <x v="14"/>
    </i>
    <i>
      <x v="99"/>
    </i>
    <i>
      <x v="101"/>
    </i>
    <i r="1">
      <x v="9"/>
    </i>
    <i r="1">
      <x v="10"/>
    </i>
    <i r="1">
      <x v="11"/>
    </i>
    <i r="1">
      <x v="12"/>
    </i>
    <i r="1">
      <x v="13"/>
    </i>
    <i r="1">
      <x v="1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Média de Líquido" fld="2" subtotal="average" baseField="0" baseItem="0" numFmtId="166"/>
    <dataField name="Total Líquido" fld="2" baseField="0" baseItem="0" numFmtId="166"/>
    <dataField name="Média de Payout" fld="6" subtotal="average" baseField="0" baseItem="0" numFmtId="10"/>
  </dataFields>
  <formats count="2">
    <format dxfId="44">
      <pivotArea collapsedLevelsAreSubtotals="1" fieldPosition="0">
        <references count="2">
          <reference field="4294967294" count="1" selected="0">
            <x v="0"/>
          </reference>
          <reference field="0" count="1">
            <x v="51"/>
          </reference>
        </references>
      </pivotArea>
    </format>
    <format dxfId="43">
      <pivotArea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ela dinâmica1" cacheId="34" applyNumberFormats="0" applyBorderFormats="0" applyFontFormats="0" applyPatternFormats="0" applyAlignmentFormats="0" applyWidthHeightFormats="1" dataCaption="Valores" updatedVersion="4" minRefreshableVersion="3" showCalcMbrs="0" useAutoFormatting="1" itemPrintTitles="1" createdVersion="3" indent="0" outline="1" outlineData="1" multipleFieldFilters="0">
  <location ref="A3:E20" firstHeaderRow="1" firstDataRow="2" firstDataCol="1"/>
  <pivotFields count="10">
    <pivotField axis="axisRow" showAll="0" sortType="ascending">
      <items count="18">
        <item sd="0" x="10"/>
        <item sd="0" x="5"/>
        <item sd="0" x="11"/>
        <item sd="0" x="0"/>
        <item sd="0" x="1"/>
        <item sd="0" x="9"/>
        <item sd="0" x="8"/>
        <item sd="0" x="7"/>
        <item sd="0" x="12"/>
        <item sd="0" x="2"/>
        <item sd="0" m="1" x="16"/>
        <item sd="0" x="6"/>
        <item sd="0" x="13"/>
        <item sd="0" x="14"/>
        <item sd="0" x="3"/>
        <item sd="0" x="4"/>
        <item m="1" x="15"/>
        <item t="default"/>
      </items>
    </pivotField>
    <pivotField axis="axisRow" showAll="0" sortType="ascending">
      <items count="10"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44" showAll="0"/>
    <pivotField numFmtId="44" showAll="0" defaultSubtotal="0"/>
    <pivotField numFmtId="164" showAll="0" defaultSubtotal="0"/>
    <pivotField numFmtId="167" showAll="0" defaultSubtotal="0"/>
    <pivotField dataField="1" showAll="0" defaultSubtotal="0"/>
    <pivotField dataField="1" numFmtId="10" showAll="0"/>
    <pivotField dataField="1" numFmtId="44" showAll="0" defaultSubtotal="0"/>
    <pivotField dataField="1" numFmtId="10" showAll="0" defaultSubtotal="0"/>
  </pivotFields>
  <rowFields count="2">
    <field x="0"/>
    <field x="1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>
      <x v="12"/>
    </i>
    <i>
      <x v="13"/>
    </i>
    <i>
      <x v="14"/>
    </i>
    <i>
      <x v="15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verage of Dividendo / Ação" fld="6" subtotal="average" baseField="0" baseItem="0" numFmtId="166"/>
    <dataField name="Média de Payout" fld="7" subtotal="average" baseField="0" baseItem="0" numFmtId="10"/>
    <dataField name="Average of Cotação" fld="8" subtotal="average" baseField="0" baseItem="7" numFmtId="166"/>
    <dataField name="Average of Yield" fld="9" subtotal="average" baseField="0" baseItem="0" numFmtId="10"/>
  </dataField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ExternalData_16" connectionId="4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15" connectionId="4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14" connectionId="4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dosExternos_6" connectionId="3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dosExternos_53" connectionId="2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3" connectionId="38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8" connectionId="48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dosExternos_54" connectionId="22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dosExternos_20" connectionId="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dosExternos_55" connectionId="2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dosExternos_57" connectionId="26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dosExternos_43" connectionId="1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dosExternos_46" connectionId="14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dosExternos_48" connectionId="1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11" connectionId="5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6" connectionId="4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dosExternos_27" connectionId="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adosExternos_45" connectionId="1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dosExternos_32" connectionId="3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adosExternos_4" connectionId="2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adosExternos_56" connectionId="25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adosExternos_47" connectionId="1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dosExternos_49" connectionId="1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adosExternos_34" connectionId="3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adosExternos_37" connectionId="4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10" connectionId="5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adosExternos_41" connectionId="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adosExternos_3" connectionId="1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adosExternos_40" connectionId="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dosExternos_61" connectionId="3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adosExternos_15" connectionId="35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5" connectionId="45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DadosExternos_8" connectionId="3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adosExternos_9" connectionId="3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adosExternos_58" connectionId="2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DadosExternos_51" connectionId="1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DadosExternos_44" connectionId="1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DadosExternos_39" connectionId="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DadosExternos_17" connectionId="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ExternalData_2" connectionId="3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adosExternos_18" connectionId="1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DadosExternos_10" connectionId="36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DadosExternos_31" connectionId="3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DadosExternos_28" connectionId="1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DadosExternos_60" connectionId="2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ExternalData_9" connectionId="49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dosExternos_21" connectionId="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adosExternos_24" connectionId="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DadosExternos_29" connectionId="24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ExternalData_12" connectionId="3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DadosExternos_36" connectionId="3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DadosExternos_52" connectionId="20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DadosExternos_14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ExternalData_1" connectionId="37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DadosExternos_59" connectionId="2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DadosExternos_1" connectionId="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ExternalData_4" connectionId="4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DadosExternos_42" connectionId="9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ExternalData_7" connectionId="4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DadosExternos_12" connectionId="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ExternalData_13" connectionId="40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DadosExternos_26" connectionId="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DadosExternos_2" connectionId="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DadosExternos_35" connectionId="3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DadosExternos_50" connectionId="18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DadosExternos_30" connectionId="3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DadosExternos_7" connectionId="3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DadosExternos_33" connectionId="34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DadosExternos_38" connectionId="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DadosExternos_11" connectionId="1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DadosExternos_16" connectionId="1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ela3" displayName="Tabela3" ref="A1:W93" totalsRowShown="0">
  <autoFilter ref="A1:W93"/>
  <sortState ref="A2:W92">
    <sortCondition ref="B1:B92"/>
  </sortState>
  <tableColumns count="23">
    <tableColumn id="10" name="Classificação Setorial" dataDxfId="23"/>
    <tableColumn id="9" name="PAPEL" dataDxfId="22"/>
    <tableColumn id="24" name="Ref"/>
    <tableColumn id="2" name="Patrimônio Líquido" dataDxfId="21"/>
    <tableColumn id="13" name="Lucro Líquido" dataDxfId="20"/>
    <tableColumn id="3" name="Total Ações" dataDxfId="19"/>
    <tableColumn id="19" name="Lucro/Ação" dataDxfId="18">
      <calculatedColumnFormula>Tabela3[[#This Row],[Lucro Líquido]]/Tabela3[[#This Row],[Total Ações]]</calculatedColumnFormula>
    </tableColumn>
    <tableColumn id="25" name="Lucro/Ação Ano" dataDxfId="17">
      <calculatedColumnFormula>Tabela3[[#This Row],[Lucro/Ação]]/Tabela3[[#This Row],[Ref]]*4</calculatedColumnFormula>
    </tableColumn>
    <tableColumn id="26" name="Payout" dataDxfId="2">
      <calculatedColumnFormula>GETPIVOTDATA("Payout",'Tabela LL'!$A$3,"Ativo",Tabela3[[#This Row],[PAPEL]])</calculatedColumnFormula>
    </tableColumn>
    <tableColumn id="4" name="VPA" dataDxfId="16">
      <calculatedColumnFormula>Tabela3[Patrimônio Líquido]/Tabela3[Total Ações]</calculatedColumnFormula>
    </tableColumn>
    <tableColumn id="5" name="Cotação" dataDxfId="15">
      <calculatedColumnFormula>SUMPRODUCT(N(Tabela1[Código]=Tabela3[[#This Row],[PAPEL]]),Tabela1[Fechamento])</calculatedColumnFormula>
    </tableColumn>
    <tableColumn id="6" name="PVPA" dataDxfId="14">
      <calculatedColumnFormula>Tabela3[Cotação]/Tabela3[VPA]</calculatedColumnFormula>
    </tableColumn>
    <tableColumn id="16" name="PL" dataDxfId="13">
      <calculatedColumnFormula>IF(Tabela3[[#This Row],[Lucro/Ação Ano]]&gt;0,Tabela3[[#This Row],[Cotação]]/Tabela3[[#This Row],[Lucro/Ação Ano]],0)</calculatedColumnFormula>
    </tableColumn>
    <tableColumn id="11" name="10% Rentabilidade" dataDxfId="12">
      <calculatedColumnFormula>Tabela3[[#This Row],[Lucro Prev]]/10%</calculatedColumnFormula>
    </tableColumn>
    <tableColumn id="7" name="P Compra" dataDxfId="11">
      <calculatedColumnFormula>MIN(Tabela3[[#This Row],[10% Rentabilidade]],Tabela3[[#This Row],[VPA]]*2)</calculatedColumnFormula>
    </tableColumn>
    <tableColumn id="1" name="% Compra" dataDxfId="10">
      <calculatedColumnFormula>Tabela3[[#This Row],[P Compra]]/Tabela3[[#This Row],[Cotação]]-1</calculatedColumnFormula>
    </tableColumn>
    <tableColumn id="21" name="Lucro Prev" dataDxfId="9">
      <calculatedColumnFormula>Tabela3[[#This Row],[Lucro/Ação Ano]]*Tabela3[[#This Row],[Payout]]</calculatedColumnFormula>
    </tableColumn>
    <tableColumn id="8" name="Comprar ?" dataDxfId="8">
      <calculatedColumnFormula>IF(AND(Tabela3[Rentabilidade]&gt;=10%,Tabela3[PVPA]&lt;=2,Tabela3[PL]&lt;=15,Tabela3[PL]&gt;0),"Sim","Não")</calculatedColumnFormula>
    </tableColumn>
    <tableColumn id="14" name="Rentabilidade" dataDxfId="7">
      <calculatedColumnFormula>Tabela3[[#This Row],[Lucro Prev]]/Tabela3[[#This Row],[Cotação]]</calculatedColumnFormula>
    </tableColumn>
    <tableColumn id="15" name="A.M.%" dataDxfId="6">
      <calculatedColumnFormula>(1+Tabela3[[#This Row],[Rentabilidade]])^(1/12)-1</calculatedColumnFormula>
    </tableColumn>
    <tableColumn id="17" name="Ativos" dataDxfId="5">
      <calculatedColumnFormula>(Proventos!$Q$1/Tabela3[[#This Row],[Cotação]]-MOD(Proventos!$Q$1/Tabela3[[#This Row],[Cotação]],100))</calculatedColumnFormula>
    </tableColumn>
    <tableColumn id="18" name="Lucro Med A.A" dataDxfId="4">
      <calculatedColumnFormula>Tabela3[[#This Row],[Ativos]]*Tabela3[[#This Row],[Lucro Prev]]</calculatedColumnFormula>
    </tableColumn>
    <tableColumn id="23" name="Lucro Med A.M." dataDxfId="3">
      <calculatedColumnFormula>Tabela3[[#This Row],[Lucro Med A.A]]/12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abela4" displayName="Tabela4" ref="A1:G2460" totalsRowShown="0" headerRowDxfId="62" dataDxfId="61">
  <autoFilter ref="A1:G2460"/>
  <sortState ref="A2:G2471">
    <sortCondition ref="A1:A2471"/>
  </sortState>
  <tableColumns count="7">
    <tableColumn id="1" name="Ativo" dataDxfId="60"/>
    <tableColumn id="2" name="Tipo" dataDxfId="59"/>
    <tableColumn id="3" name="Data ex-1" dataDxfId="58"/>
    <tableColumn id="4" name="Valor" dataDxfId="57"/>
    <tableColumn id="5" name="Pagamento" dataDxfId="56"/>
    <tableColumn id="6" name="Aprovação" dataDxfId="55"/>
    <tableColumn id="7" name="Líquido" dataDxfId="54">
      <calculatedColumnFormula>IF(Tabela4[[#This Row],[Tipo]]="Dividendo",Tabela4[[#This Row],[Valor]],IF(Tabela4[[#This Row],[Tipo]]="Jrs. Cap. Próprio",Tabela4[[#This Row],[Valor]]*85%,0))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abela5" displayName="Tabela5" ref="I1:O824" totalsRowShown="0" headerRowDxfId="53" dataDxfId="52">
  <autoFilter ref="I1:O824"/>
  <sortState ref="I2:L825">
    <sortCondition ref="I1:I825"/>
  </sortState>
  <tableColumns count="7">
    <tableColumn id="1" name="Ativo" dataDxfId="51"/>
    <tableColumn id="2" name="Ano" dataDxfId="50"/>
    <tableColumn id="3" name="Líquido" dataDxfId="49">
      <calculatedColumnFormula>SUMPRODUCT(N(Tabela4[Ativo]=Tabela5[[#This Row],[Ativo]]),N(YEAR(Tabela4[Data ex-1])=Tabela5[[#This Row],[Ano]]),Tabela4[Líquido])</calculatedColumnFormula>
    </tableColumn>
    <tableColumn id="5" name="Lucro Líquido" dataDxfId="48"/>
    <tableColumn id="6" name="Dividendos" dataDxfId="47"/>
    <tableColumn id="7" name="Payout2" dataDxfId="46">
      <calculatedColumnFormula>IF(Tabela5[[#This Row],[Dividendos]]&gt;0,Tabela5[[#This Row],[Dividendos]]/Tabela5[[#This Row],[Lucro Líquido]],0)</calculatedColumnFormula>
    </tableColumn>
    <tableColumn id="4" name="Payout" dataDxfId="4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abela1" displayName="Tabela1" ref="P4:V98" totalsRowShown="0" headerRowDxfId="42" dataDxfId="41">
  <autoFilter ref="P4:V98"/>
  <tableColumns count="7">
    <tableColumn id="1" name="Código" dataDxfId="40"/>
    <tableColumn id="2" name="Ativo" dataDxfId="39">
      <calculatedColumnFormula>IF(A7="","",C7)</calculatedColumnFormula>
    </tableColumn>
    <tableColumn id="3" name="Data" dataDxfId="38">
      <calculatedColumnFormula>IF(A7="","",H7)</calculatedColumnFormula>
    </tableColumn>
    <tableColumn id="4" name="Abertura" dataDxfId="37">
      <calculatedColumnFormula>J7</calculatedColumnFormula>
    </tableColumn>
    <tableColumn id="5" name="Fechamento" dataDxfId="36">
      <calculatedColumnFormula>K7</calculatedColumnFormula>
    </tableColumn>
    <tableColumn id="6" name="Máxima" dataDxfId="35">
      <calculatedColumnFormula>L7</calculatedColumnFormula>
    </tableColumn>
    <tableColumn id="7" name="Mínima" dataDxfId="34">
      <calculatedColumnFormula>M7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" name="Tabela2" displayName="Tabela2" ref="A1:J50" totalsRowShown="0" headerRowDxfId="33" dataDxfId="32">
  <autoFilter ref="A1:J50"/>
  <sortState ref="A2:G24">
    <sortCondition ref="A1:A24"/>
  </sortState>
  <tableColumns count="10">
    <tableColumn id="1" name="Ativo" dataDxfId="31"/>
    <tableColumn id="4" name="Exercício" dataDxfId="30"/>
    <tableColumn id="2" name="Lucro Líquido" dataDxfId="29"/>
    <tableColumn id="3" name="Reserva Legal" dataDxfId="25" dataCellStyle="Currency">
      <calculatedColumnFormula>Tabela2[[#This Row],[Lucro Líquido]]*5%</calculatedColumnFormula>
    </tableColumn>
    <tableColumn id="6" name="Total Ações" dataDxfId="28">
      <calculatedColumnFormula>SUMPRODUCT(N(Tabela3[PAPEL]=Tabela2[[#This Row],[Ativo]]),Tabela3[Total Ações])</calculatedColumnFormula>
    </tableColumn>
    <tableColumn id="7" name="Lucro por ação" dataDxfId="24">
      <calculatedColumnFormula>(Tabela2[[#This Row],[Lucro Líquido]]-Tabela2[[#This Row],[Reserva Legal]])/Tabela2[[#This Row],[Total Ações]]</calculatedColumnFormula>
    </tableColumn>
    <tableColumn id="8" name="Dividendo / Ação" dataDxfId="27"/>
    <tableColumn id="5" name="Payout" dataDxfId="26">
      <calculatedColumnFormula>Tabela2[[#This Row],[Dividendo / Ação]]/Tabela2[[#This Row],[Lucro por ação]]</calculatedColumnFormula>
    </tableColumn>
    <tableColumn id="9" name="Cotação" dataDxfId="1" dataCellStyle="Currency">
      <calculatedColumnFormula>SUMPRODUCT(N(Tabela1[Código]=Tabela2[[#This Row],[Ativo]]),Tabela1[Fechamento])</calculatedColumnFormula>
    </tableColumn>
    <tableColumn id="10" name="Yield" dataDxfId="0" dataCellStyle="Percent">
      <calculatedColumnFormula>Tabela2[[#This Row],[Dividendo / Ação]]/Tabela2[[#This Row],[Cotação]]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8.xml"/><Relationship Id="rId18" Type="http://schemas.openxmlformats.org/officeDocument/2006/relationships/queryTable" Target="../queryTables/queryTable13.xml"/><Relationship Id="rId26" Type="http://schemas.openxmlformats.org/officeDocument/2006/relationships/queryTable" Target="../queryTables/queryTable21.xml"/><Relationship Id="rId39" Type="http://schemas.openxmlformats.org/officeDocument/2006/relationships/queryTable" Target="../queryTables/queryTable34.xml"/><Relationship Id="rId21" Type="http://schemas.openxmlformats.org/officeDocument/2006/relationships/queryTable" Target="../queryTables/queryTable16.xml"/><Relationship Id="rId34" Type="http://schemas.openxmlformats.org/officeDocument/2006/relationships/queryTable" Target="../queryTables/queryTable29.xml"/><Relationship Id="rId42" Type="http://schemas.openxmlformats.org/officeDocument/2006/relationships/queryTable" Target="../queryTables/queryTable37.xml"/><Relationship Id="rId47" Type="http://schemas.openxmlformats.org/officeDocument/2006/relationships/queryTable" Target="../queryTables/queryTable42.xml"/><Relationship Id="rId50" Type="http://schemas.openxmlformats.org/officeDocument/2006/relationships/queryTable" Target="../queryTables/queryTable45.xml"/><Relationship Id="rId55" Type="http://schemas.openxmlformats.org/officeDocument/2006/relationships/queryTable" Target="../queryTables/queryTable50.xml"/><Relationship Id="rId63" Type="http://schemas.openxmlformats.org/officeDocument/2006/relationships/queryTable" Target="../queryTables/queryTable58.xml"/><Relationship Id="rId68" Type="http://schemas.openxmlformats.org/officeDocument/2006/relationships/queryTable" Target="../queryTables/queryTable63.xml"/><Relationship Id="rId76" Type="http://schemas.openxmlformats.org/officeDocument/2006/relationships/queryTable" Target="../queryTables/queryTable71.xml"/><Relationship Id="rId7" Type="http://schemas.openxmlformats.org/officeDocument/2006/relationships/queryTable" Target="../queryTables/queryTable2.xml"/><Relationship Id="rId71" Type="http://schemas.openxmlformats.org/officeDocument/2006/relationships/queryTable" Target="../queryTables/queryTable66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1.xml"/><Relationship Id="rId29" Type="http://schemas.openxmlformats.org/officeDocument/2006/relationships/queryTable" Target="../queryTables/queryTable24.xml"/><Relationship Id="rId11" Type="http://schemas.openxmlformats.org/officeDocument/2006/relationships/queryTable" Target="../queryTables/queryTable6.xml"/><Relationship Id="rId24" Type="http://schemas.openxmlformats.org/officeDocument/2006/relationships/queryTable" Target="../queryTables/queryTable19.xml"/><Relationship Id="rId32" Type="http://schemas.openxmlformats.org/officeDocument/2006/relationships/queryTable" Target="../queryTables/queryTable27.xml"/><Relationship Id="rId37" Type="http://schemas.openxmlformats.org/officeDocument/2006/relationships/queryTable" Target="../queryTables/queryTable32.xml"/><Relationship Id="rId40" Type="http://schemas.openxmlformats.org/officeDocument/2006/relationships/queryTable" Target="../queryTables/queryTable35.xml"/><Relationship Id="rId45" Type="http://schemas.openxmlformats.org/officeDocument/2006/relationships/queryTable" Target="../queryTables/queryTable40.xml"/><Relationship Id="rId53" Type="http://schemas.openxmlformats.org/officeDocument/2006/relationships/queryTable" Target="../queryTables/queryTable48.xml"/><Relationship Id="rId58" Type="http://schemas.openxmlformats.org/officeDocument/2006/relationships/queryTable" Target="../queryTables/queryTable53.xml"/><Relationship Id="rId66" Type="http://schemas.openxmlformats.org/officeDocument/2006/relationships/queryTable" Target="../queryTables/queryTable61.xml"/><Relationship Id="rId74" Type="http://schemas.openxmlformats.org/officeDocument/2006/relationships/queryTable" Target="../queryTables/queryTable69.xml"/><Relationship Id="rId5" Type="http://schemas.openxmlformats.org/officeDocument/2006/relationships/table" Target="../tables/table4.xml"/><Relationship Id="rId15" Type="http://schemas.openxmlformats.org/officeDocument/2006/relationships/queryTable" Target="../queryTables/queryTable10.xml"/><Relationship Id="rId23" Type="http://schemas.openxmlformats.org/officeDocument/2006/relationships/queryTable" Target="../queryTables/queryTable18.xml"/><Relationship Id="rId28" Type="http://schemas.openxmlformats.org/officeDocument/2006/relationships/queryTable" Target="../queryTables/queryTable23.xml"/><Relationship Id="rId36" Type="http://schemas.openxmlformats.org/officeDocument/2006/relationships/queryTable" Target="../queryTables/queryTable31.xml"/><Relationship Id="rId49" Type="http://schemas.openxmlformats.org/officeDocument/2006/relationships/queryTable" Target="../queryTables/queryTable44.xml"/><Relationship Id="rId57" Type="http://schemas.openxmlformats.org/officeDocument/2006/relationships/queryTable" Target="../queryTables/queryTable52.xml"/><Relationship Id="rId61" Type="http://schemas.openxmlformats.org/officeDocument/2006/relationships/queryTable" Target="../queryTables/queryTable56.xml"/><Relationship Id="rId10" Type="http://schemas.openxmlformats.org/officeDocument/2006/relationships/queryTable" Target="../queryTables/queryTable5.xml"/><Relationship Id="rId19" Type="http://schemas.openxmlformats.org/officeDocument/2006/relationships/queryTable" Target="../queryTables/queryTable14.xml"/><Relationship Id="rId31" Type="http://schemas.openxmlformats.org/officeDocument/2006/relationships/queryTable" Target="../queryTables/queryTable26.xml"/><Relationship Id="rId44" Type="http://schemas.openxmlformats.org/officeDocument/2006/relationships/queryTable" Target="../queryTables/queryTable39.xml"/><Relationship Id="rId52" Type="http://schemas.openxmlformats.org/officeDocument/2006/relationships/queryTable" Target="../queryTables/queryTable47.xml"/><Relationship Id="rId60" Type="http://schemas.openxmlformats.org/officeDocument/2006/relationships/queryTable" Target="../queryTables/queryTable55.xml"/><Relationship Id="rId65" Type="http://schemas.openxmlformats.org/officeDocument/2006/relationships/queryTable" Target="../queryTables/queryTable60.xml"/><Relationship Id="rId73" Type="http://schemas.openxmlformats.org/officeDocument/2006/relationships/queryTable" Target="../queryTables/queryTable68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4.xml"/><Relationship Id="rId14" Type="http://schemas.openxmlformats.org/officeDocument/2006/relationships/queryTable" Target="../queryTables/queryTable9.xml"/><Relationship Id="rId22" Type="http://schemas.openxmlformats.org/officeDocument/2006/relationships/queryTable" Target="../queryTables/queryTable17.xml"/><Relationship Id="rId27" Type="http://schemas.openxmlformats.org/officeDocument/2006/relationships/queryTable" Target="../queryTables/queryTable22.xml"/><Relationship Id="rId30" Type="http://schemas.openxmlformats.org/officeDocument/2006/relationships/queryTable" Target="../queryTables/queryTable25.xml"/><Relationship Id="rId35" Type="http://schemas.openxmlformats.org/officeDocument/2006/relationships/queryTable" Target="../queryTables/queryTable30.xml"/><Relationship Id="rId43" Type="http://schemas.openxmlformats.org/officeDocument/2006/relationships/queryTable" Target="../queryTables/queryTable38.xml"/><Relationship Id="rId48" Type="http://schemas.openxmlformats.org/officeDocument/2006/relationships/queryTable" Target="../queryTables/queryTable43.xml"/><Relationship Id="rId56" Type="http://schemas.openxmlformats.org/officeDocument/2006/relationships/queryTable" Target="../queryTables/queryTable51.xml"/><Relationship Id="rId64" Type="http://schemas.openxmlformats.org/officeDocument/2006/relationships/queryTable" Target="../queryTables/queryTable59.xml"/><Relationship Id="rId69" Type="http://schemas.openxmlformats.org/officeDocument/2006/relationships/queryTable" Target="../queryTables/queryTable64.xml"/><Relationship Id="rId8" Type="http://schemas.openxmlformats.org/officeDocument/2006/relationships/queryTable" Target="../queryTables/queryTable3.xml"/><Relationship Id="rId51" Type="http://schemas.openxmlformats.org/officeDocument/2006/relationships/queryTable" Target="../queryTables/queryTable46.xml"/><Relationship Id="rId72" Type="http://schemas.openxmlformats.org/officeDocument/2006/relationships/queryTable" Target="../queryTables/queryTable67.xml"/><Relationship Id="rId3" Type="http://schemas.openxmlformats.org/officeDocument/2006/relationships/vmlDrawing" Target="../drawings/vmlDrawing1.vml"/><Relationship Id="rId12" Type="http://schemas.openxmlformats.org/officeDocument/2006/relationships/queryTable" Target="../queryTables/queryTable7.xml"/><Relationship Id="rId17" Type="http://schemas.openxmlformats.org/officeDocument/2006/relationships/queryTable" Target="../queryTables/queryTable12.xml"/><Relationship Id="rId25" Type="http://schemas.openxmlformats.org/officeDocument/2006/relationships/queryTable" Target="../queryTables/queryTable20.xml"/><Relationship Id="rId33" Type="http://schemas.openxmlformats.org/officeDocument/2006/relationships/queryTable" Target="../queryTables/queryTable28.xml"/><Relationship Id="rId38" Type="http://schemas.openxmlformats.org/officeDocument/2006/relationships/queryTable" Target="../queryTables/queryTable33.xml"/><Relationship Id="rId46" Type="http://schemas.openxmlformats.org/officeDocument/2006/relationships/queryTable" Target="../queryTables/queryTable41.xml"/><Relationship Id="rId59" Type="http://schemas.openxmlformats.org/officeDocument/2006/relationships/queryTable" Target="../queryTables/queryTable54.xml"/><Relationship Id="rId67" Type="http://schemas.openxmlformats.org/officeDocument/2006/relationships/queryTable" Target="../queryTables/queryTable62.xml"/><Relationship Id="rId20" Type="http://schemas.openxmlformats.org/officeDocument/2006/relationships/queryTable" Target="../queryTables/queryTable15.xml"/><Relationship Id="rId41" Type="http://schemas.openxmlformats.org/officeDocument/2006/relationships/queryTable" Target="../queryTables/queryTable36.xml"/><Relationship Id="rId54" Type="http://schemas.openxmlformats.org/officeDocument/2006/relationships/queryTable" Target="../queryTables/queryTable49.xml"/><Relationship Id="rId62" Type="http://schemas.openxmlformats.org/officeDocument/2006/relationships/queryTable" Target="../queryTables/queryTable57.xml"/><Relationship Id="rId70" Type="http://schemas.openxmlformats.org/officeDocument/2006/relationships/queryTable" Target="../queryTables/queryTable65.xml"/><Relationship Id="rId75" Type="http://schemas.openxmlformats.org/officeDocument/2006/relationships/queryTable" Target="../queryTables/queryTable70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W93"/>
  <sheetViews>
    <sheetView topLeftCell="B62" workbookViewId="0">
      <pane xSplit="1" topLeftCell="C1" activePane="topRight" state="frozen"/>
      <selection activeCell="B1" sqref="B1"/>
      <selection pane="topRight" activeCell="S64" sqref="S64"/>
    </sheetView>
  </sheetViews>
  <sheetFormatPr defaultRowHeight="11.25" x14ac:dyDescent="0.2"/>
  <cols>
    <col min="1" max="1" width="12" style="3" hidden="1" customWidth="1"/>
    <col min="2" max="2" width="7.28515625" style="3" bestFit="1" customWidth="1"/>
    <col min="3" max="3" width="5.28515625" style="21" bestFit="1" customWidth="1"/>
    <col min="4" max="4" width="17.85546875" style="5" bestFit="1" customWidth="1"/>
    <col min="5" max="5" width="16.85546875" style="12" bestFit="1" customWidth="1"/>
    <col min="6" max="6" width="14.85546875" style="5" bestFit="1" customWidth="1"/>
    <col min="7" max="7" width="11.7109375" style="5" bestFit="1" customWidth="1"/>
    <col min="8" max="8" width="12.28515625" style="5" customWidth="1"/>
    <col min="9" max="9" width="7.7109375" style="23" bestFit="1" customWidth="1"/>
    <col min="10" max="10" width="7.7109375" style="5" bestFit="1" customWidth="1"/>
    <col min="11" max="11" width="9.28515625" style="3" bestFit="1" customWidth="1"/>
    <col min="12" max="12" width="7.28515625" style="3" bestFit="1" customWidth="1"/>
    <col min="13" max="13" width="7.42578125" style="3" bestFit="1" customWidth="1"/>
    <col min="14" max="14" width="8.28515625" style="3" customWidth="1"/>
    <col min="15" max="15" width="8" style="29" customWidth="1"/>
    <col min="16" max="16" width="7.28515625" style="23" customWidth="1"/>
    <col min="17" max="17" width="8.42578125" style="5" customWidth="1"/>
    <col min="18" max="18" width="8.28515625" style="5" customWidth="1"/>
    <col min="19" max="19" width="7.5703125" style="3" bestFit="1" customWidth="1"/>
    <col min="20" max="21" width="7.28515625" style="3" bestFit="1" customWidth="1"/>
    <col min="22" max="22" width="13.85546875" style="3" bestFit="1" customWidth="1"/>
    <col min="23" max="24" width="14.7109375" style="3" bestFit="1" customWidth="1"/>
    <col min="25" max="16384" width="9.140625" style="3"/>
  </cols>
  <sheetData>
    <row r="1" spans="1:23" x14ac:dyDescent="0.2">
      <c r="A1" s="5" t="s">
        <v>24</v>
      </c>
      <c r="B1" s="21" t="s">
        <v>12</v>
      </c>
      <c r="C1" s="21" t="s">
        <v>206</v>
      </c>
      <c r="D1" s="5" t="s">
        <v>6</v>
      </c>
      <c r="E1" s="5" t="s">
        <v>117</v>
      </c>
      <c r="F1" s="5" t="s">
        <v>7</v>
      </c>
      <c r="G1" s="5" t="s">
        <v>443</v>
      </c>
      <c r="H1" s="5" t="s">
        <v>207</v>
      </c>
      <c r="I1" s="23" t="s">
        <v>234</v>
      </c>
      <c r="J1" s="5" t="s">
        <v>8</v>
      </c>
      <c r="K1" s="12" t="s">
        <v>9</v>
      </c>
      <c r="L1" s="29" t="s">
        <v>10</v>
      </c>
      <c r="M1" s="51" t="s">
        <v>116</v>
      </c>
      <c r="N1" s="5" t="s">
        <v>66</v>
      </c>
      <c r="O1" s="3" t="s">
        <v>118</v>
      </c>
      <c r="P1" s="23" t="s">
        <v>303</v>
      </c>
      <c r="Q1" s="5" t="s">
        <v>184</v>
      </c>
      <c r="R1" s="3" t="s">
        <v>11</v>
      </c>
      <c r="S1" s="3" t="s">
        <v>36</v>
      </c>
      <c r="T1" s="3" t="s">
        <v>76</v>
      </c>
      <c r="U1" s="3" t="s">
        <v>103</v>
      </c>
      <c r="V1" s="5" t="s">
        <v>198</v>
      </c>
      <c r="W1" s="5" t="s">
        <v>199</v>
      </c>
    </row>
    <row r="2" spans="1:23" x14ac:dyDescent="0.2">
      <c r="A2" s="35" t="s">
        <v>33</v>
      </c>
      <c r="B2" s="39" t="s">
        <v>70</v>
      </c>
      <c r="C2" s="20">
        <v>3</v>
      </c>
      <c r="D2" s="43">
        <v>1864725000</v>
      </c>
      <c r="E2" s="43">
        <v>192096000</v>
      </c>
      <c r="F2" s="40">
        <v>147232649</v>
      </c>
      <c r="G2" s="39">
        <f>Tabela3[[#This Row],[Lucro Líquido]]/Tabela3[[#This Row],[Total Ações]]</f>
        <v>1.3047106148310896</v>
      </c>
      <c r="H2" s="39">
        <f>Tabela3[[#This Row],[Lucro/Ação]]/Tabela3[[#This Row],[Ref]]*4</f>
        <v>1.7396141531081195</v>
      </c>
      <c r="I2" s="24" t="e">
        <f>GETPIVOTDATA("Payout",'Tabela LL'!$A$3,"Ativo",Tabela3[[#This Row],[PAPEL]])</f>
        <v>#REF!</v>
      </c>
      <c r="J2" s="43">
        <f>Tabela3[Patrimônio Líquido]/Tabela3[Total Ações]</f>
        <v>12.665159614155961</v>
      </c>
      <c r="K2" s="45">
        <f>SUMPRODUCT(N(Tabela1[Código]=Tabela3[[#This Row],[PAPEL]]),Tabela1[Fechamento])</f>
        <v>12.1</v>
      </c>
      <c r="L2" s="44">
        <f>Tabela3[Cotação]/Tabela3[VPA]</f>
        <v>0.9553768265561946</v>
      </c>
      <c r="M2" s="52">
        <f>IF(Tabela3[[#This Row],[Lucro/Ação Ano]]&gt;0,Tabela3[[#This Row],[Cotação]]/Tabela3[[#This Row],[Lucro/Ação Ano]],0)</f>
        <v>6.9555653926942771</v>
      </c>
      <c r="N2" s="43" t="e">
        <f>Tabela3[[#This Row],[Lucro Prev]]/10%</f>
        <v>#REF!</v>
      </c>
      <c r="O2" s="41" t="e">
        <f>MIN(Tabela3[[#This Row],[10% Rentabilidade]],Tabela3[[#This Row],[VPA]]*2)</f>
        <v>#REF!</v>
      </c>
      <c r="P2" s="75" t="e">
        <f>Tabela3[[#This Row],[P Compra]]/Tabela3[[#This Row],[Cotação]]-1</f>
        <v>#REF!</v>
      </c>
      <c r="Q2" s="6" t="e">
        <f>Tabela3[[#This Row],[Lucro/Ação Ano]]*Tabela3[[#This Row],[Payout]]</f>
        <v>#REF!</v>
      </c>
      <c r="R2" s="38" t="e">
        <f>IF(AND(Tabela3[Rentabilidade]&gt;=10%,Tabela3[PVPA]&lt;=2,Tabela3[PL]&lt;=15,Tabela3[PL]&gt;0),"Sim","Não")</f>
        <v>#REF!</v>
      </c>
      <c r="S2" s="42" t="e">
        <f>Tabela3[[#This Row],[Lucro Prev]]/Tabela3[[#This Row],[Cotação]]</f>
        <v>#REF!</v>
      </c>
      <c r="T2" s="42" t="e">
        <f>(1+Tabela3[[#This Row],[Rentabilidade]])^(1/12)-1</f>
        <v>#REF!</v>
      </c>
      <c r="U2" s="10">
        <f>(Proventos!$Q$1/Tabela3[[#This Row],[Cotação]]-MOD(Proventos!$Q$1/Tabela3[[#This Row],[Cotação]],100))</f>
        <v>0</v>
      </c>
      <c r="V2" s="5" t="e">
        <f>Tabela3[[#This Row],[Ativos]]*Tabela3[[#This Row],[Lucro Prev]]</f>
        <v>#REF!</v>
      </c>
      <c r="W2" s="5" t="e">
        <f>Tabela3[[#This Row],[Lucro Med A.A]]/12</f>
        <v>#REF!</v>
      </c>
    </row>
    <row r="3" spans="1:23" x14ac:dyDescent="0.2">
      <c r="A3" s="4"/>
      <c r="B3" s="14" t="s">
        <v>219</v>
      </c>
      <c r="C3" s="20">
        <v>3</v>
      </c>
      <c r="D3" s="6">
        <v>3261720000</v>
      </c>
      <c r="E3" s="6">
        <v>235551000</v>
      </c>
      <c r="F3" s="56">
        <v>95061053</v>
      </c>
      <c r="G3" s="20">
        <f>Tabela3[[#This Row],[Lucro Líquido]]/Tabela3[[#This Row],[Total Ações]]</f>
        <v>2.47789176078241</v>
      </c>
      <c r="H3" s="20">
        <f>Tabela3[[#This Row],[Lucro/Ação]]/Tabela3[[#This Row],[Ref]]*4</f>
        <v>3.3038556810432134</v>
      </c>
      <c r="I3" s="24">
        <f>GETPIVOTDATA("Payout",'Tabela LL'!$A$3,"Ativo",Tabela3[[#This Row],[PAPEL]])</f>
        <v>0.3417415784420112</v>
      </c>
      <c r="J3" s="6">
        <f>Tabela3[Patrimônio Líquido]/Tabela3[Total Ações]</f>
        <v>34.311843778965923</v>
      </c>
      <c r="K3" s="73">
        <f>SUMPRODUCT(N(Tabela1[Código]=Tabela3[[#This Row],[PAPEL]]),Tabela1[Fechamento])</f>
        <v>9.24</v>
      </c>
      <c r="L3" s="66">
        <f>Tabela3[Cotação]/Tabela3[VPA]</f>
        <v>0.26929476770538247</v>
      </c>
      <c r="M3" s="59">
        <f>IF(Tabela3[[#This Row],[Lucro/Ação Ano]]&gt;0,Tabela3[[#This Row],[Cotação]]/Tabela3[[#This Row],[Lucro/Ação Ano]],0)</f>
        <v>2.7967323309601744</v>
      </c>
      <c r="N3" s="14">
        <f>Tabela3[[#This Row],[Lucro Prev]]/10%</f>
        <v>11.290648553843136</v>
      </c>
      <c r="O3" s="22">
        <f>MIN(Tabela3[[#This Row],[10% Rentabilidade]],Tabela3[[#This Row],[VPA]]*2)</f>
        <v>11.290648553843136</v>
      </c>
      <c r="P3" s="24">
        <f>Tabela3[[#This Row],[P Compra]]/Tabela3[[#This Row],[Cotação]]-1</f>
        <v>0.22193166167133493</v>
      </c>
      <c r="Q3" s="6">
        <f>Tabela3[[#This Row],[Lucro/Ação Ano]]*Tabela3[[#This Row],[Payout]]</f>
        <v>1.1290648553843137</v>
      </c>
      <c r="R3" s="14" t="str">
        <f>IF(AND(Tabela3[Rentabilidade]&gt;=10%,Tabela3[PVPA]&lt;=2,Tabela3[PL]&lt;=15,Tabela3[PL]&gt;0),"Sim","Não")</f>
        <v>Sim</v>
      </c>
      <c r="S3" s="61">
        <f>Tabela3[[#This Row],[Lucro Prev]]/Tabela3[[#This Row],[Cotação]]</f>
        <v>0.12219316616713351</v>
      </c>
      <c r="T3" s="61">
        <f>(1+Tabela3[[#This Row],[Rentabilidade]])^(1/12)-1</f>
        <v>9.6533756803260928E-3</v>
      </c>
      <c r="U3" s="14">
        <f>(Proventos!$Q$1/Tabela3[[#This Row],[Cotação]]-MOD(Proventos!$Q$1/Tabela3[[#This Row],[Cotação]],100))</f>
        <v>100</v>
      </c>
      <c r="V3" s="22">
        <f>Tabela3[[#This Row],[Ativos]]*Tabela3[[#This Row],[Lucro Prev]]</f>
        <v>112.90648553843137</v>
      </c>
      <c r="W3" s="22">
        <f>Tabela3[[#This Row],[Lucro Med A.A]]/12</f>
        <v>9.4088737948692813</v>
      </c>
    </row>
    <row r="4" spans="1:23" x14ac:dyDescent="0.2">
      <c r="A4" s="4"/>
      <c r="B4" s="14" t="s">
        <v>212</v>
      </c>
      <c r="C4" s="20">
        <v>3</v>
      </c>
      <c r="D4" s="6">
        <v>78194000</v>
      </c>
      <c r="E4" s="6">
        <v>14725000</v>
      </c>
      <c r="F4" s="56">
        <v>63084700</v>
      </c>
      <c r="G4" s="20">
        <f>Tabela3[[#This Row],[Lucro Líquido]]/Tabela3[[#This Row],[Total Ações]]</f>
        <v>0.23341634342399981</v>
      </c>
      <c r="H4" s="20">
        <f>Tabela3[[#This Row],[Lucro/Ação]]/Tabela3[[#This Row],[Ref]]*4</f>
        <v>0.31122179123199972</v>
      </c>
      <c r="I4" s="60" t="e">
        <f>GETPIVOTDATA("Payout",'Tabela LL'!$A$3,"Ativo",Tabela3[[#This Row],[PAPEL]])</f>
        <v>#REF!</v>
      </c>
      <c r="J4" s="6">
        <f>Tabela3[Patrimônio Líquido]/Tabela3[Total Ações]</f>
        <v>1.2395081533240231</v>
      </c>
      <c r="K4" s="73">
        <f>SUMPRODUCT(N(Tabela1[Código]=Tabela3[[#This Row],[PAPEL]]),Tabela1[Fechamento])</f>
        <v>3.5</v>
      </c>
      <c r="L4" s="66">
        <f>Tabela3[Cotação]/Tabela3[VPA]</f>
        <v>2.8237006675704017</v>
      </c>
      <c r="M4" s="59">
        <f>IF(Tabela3[[#This Row],[Lucro/Ação Ano]]&gt;0,Tabela3[[#This Row],[Cotação]]/Tabela3[[#This Row],[Lucro/Ação Ano]],0)</f>
        <v>11.245999151103566</v>
      </c>
      <c r="N4" s="14" t="e">
        <f>Tabela3[[#This Row],[Lucro Prev]]/10%</f>
        <v>#REF!</v>
      </c>
      <c r="O4" s="22" t="e">
        <f>MIN(Tabela3[[#This Row],[10% Rentabilidade]],Tabela3[[#This Row],[VPA]]*2)</f>
        <v>#REF!</v>
      </c>
      <c r="P4" s="24" t="e">
        <f>Tabela3[[#This Row],[P Compra]]/Tabela3[[#This Row],[Cotação]]-1</f>
        <v>#REF!</v>
      </c>
      <c r="Q4" s="6" t="e">
        <f>Tabela3[[#This Row],[Lucro/Ação Ano]]*Tabela3[[#This Row],[Payout]]</f>
        <v>#REF!</v>
      </c>
      <c r="R4" s="14" t="e">
        <f>IF(AND(Tabela3[Rentabilidade]&gt;=10%,Tabela3[PVPA]&lt;=2,Tabela3[PL]&lt;=15,Tabela3[PL]&gt;0),"Sim","Não")</f>
        <v>#REF!</v>
      </c>
      <c r="S4" s="61" t="e">
        <f>Tabela3[[#This Row],[Lucro Prev]]/Tabela3[[#This Row],[Cotação]]</f>
        <v>#REF!</v>
      </c>
      <c r="T4" s="61" t="e">
        <f>(1+Tabela3[[#This Row],[Rentabilidade]])^(1/12)-1</f>
        <v>#REF!</v>
      </c>
      <c r="U4" s="14">
        <f>(Proventos!$Q$1/Tabela3[[#This Row],[Cotação]]-MOD(Proventos!$Q$1/Tabela3[[#This Row],[Cotação]],100))</f>
        <v>200</v>
      </c>
      <c r="V4" s="22" t="e">
        <f>Tabela3[[#This Row],[Ativos]]*Tabela3[[#This Row],[Lucro Prev]]</f>
        <v>#REF!</v>
      </c>
      <c r="W4" s="22" t="e">
        <f>Tabela3[[#This Row],[Lucro Med A.A]]/12</f>
        <v>#REF!</v>
      </c>
    </row>
    <row r="5" spans="1:23" x14ac:dyDescent="0.2">
      <c r="A5" s="4" t="s">
        <v>46</v>
      </c>
      <c r="B5" s="20" t="s">
        <v>45</v>
      </c>
      <c r="C5" s="20">
        <v>3</v>
      </c>
      <c r="D5" s="6">
        <v>4656142000</v>
      </c>
      <c r="E5" s="6">
        <v>29526000</v>
      </c>
      <c r="F5" s="8">
        <v>687664312</v>
      </c>
      <c r="G5" s="55">
        <f>Tabela3[[#This Row],[Lucro Líquido]]/Tabela3[[#This Row],[Total Ações]]</f>
        <v>4.2936647263439778E-2</v>
      </c>
      <c r="H5" s="55">
        <f>Tabela3[[#This Row],[Lucro/Ação]]/Tabela3[[#This Row],[Ref]]*4</f>
        <v>5.7248863017919704E-2</v>
      </c>
      <c r="I5" s="76" t="e">
        <f>GETPIVOTDATA("Payout",'Tabela LL'!$A$3,"Ativo",Tabela3[[#This Row],[PAPEL]])</f>
        <v>#REF!</v>
      </c>
      <c r="J5" s="6">
        <f>Tabela3[Patrimônio Líquido]/Tabela3[Total Ações]</f>
        <v>6.7709519292314244</v>
      </c>
      <c r="K5" s="11">
        <f>SUMPRODUCT(N(Tabela1[Código]=Tabela3[[#This Row],[PAPEL]]),Tabela1[Fechamento])</f>
        <v>7.1</v>
      </c>
      <c r="L5" s="9">
        <f>Tabela3[Cotação]/Tabela3[VPA]</f>
        <v>1.0485970177026387</v>
      </c>
      <c r="M5" s="53">
        <f>IF(Tabela3[[#This Row],[Lucro/Ação Ano]]&gt;0,Tabela3[[#This Row],[Cotação]]/Tabela3[[#This Row],[Lucro/Ação Ano]],0)</f>
        <v>124.0199302783987</v>
      </c>
      <c r="N5" s="6" t="e">
        <f>Tabela3[[#This Row],[Lucro Prev]]/10%</f>
        <v>#REF!</v>
      </c>
      <c r="O5" s="13" t="e">
        <f>MIN(Tabela3[[#This Row],[10% Rentabilidade]],Tabela3[[#This Row],[VPA]]*2)</f>
        <v>#REF!</v>
      </c>
      <c r="P5" s="24" t="e">
        <f>Tabela3[[#This Row],[P Compra]]/Tabela3[[#This Row],[Cotação]]-1</f>
        <v>#REF!</v>
      </c>
      <c r="Q5" s="6" t="e">
        <f>Tabela3[[#This Row],[Lucro/Ação Ano]]*Tabela3[[#This Row],[Payout]]</f>
        <v>#REF!</v>
      </c>
      <c r="R5" s="14" t="e">
        <f>IF(AND(Tabela3[Rentabilidade]&gt;=10%,Tabela3[PVPA]&lt;=2,Tabela3[PL]&lt;=15,Tabela3[PL]&gt;0),"Sim","Não")</f>
        <v>#REF!</v>
      </c>
      <c r="S5" s="24" t="e">
        <f>Tabela3[[#This Row],[Lucro Prev]]/Tabela3[[#This Row],[Cotação]]</f>
        <v>#REF!</v>
      </c>
      <c r="T5" s="24" t="e">
        <f>(1+Tabela3[[#This Row],[Rentabilidade]])^(1/12)-1</f>
        <v>#REF!</v>
      </c>
      <c r="U5" s="10">
        <f>(Proventos!$Q$1/Tabela3[[#This Row],[Cotação]]-MOD(Proventos!$Q$1/Tabela3[[#This Row],[Cotação]],100))</f>
        <v>100</v>
      </c>
      <c r="V5" s="7" t="e">
        <f>Tabela3[[#This Row],[Ativos]]*Tabela3[[#This Row],[Lucro Prev]]</f>
        <v>#REF!</v>
      </c>
      <c r="W5" s="7" t="e">
        <f>Tabela3[[#This Row],[Lucro Med A.A]]/12</f>
        <v>#REF!</v>
      </c>
    </row>
    <row r="6" spans="1:23" x14ac:dyDescent="0.2">
      <c r="A6" s="35" t="s">
        <v>73</v>
      </c>
      <c r="B6" s="39" t="s">
        <v>77</v>
      </c>
      <c r="C6" s="21">
        <v>3</v>
      </c>
      <c r="D6" s="43">
        <v>1775804000</v>
      </c>
      <c r="E6" s="43">
        <v>48741000</v>
      </c>
      <c r="F6" s="40">
        <v>159000920</v>
      </c>
      <c r="G6" s="39">
        <f>Tabela3[[#This Row],[Lucro Líquido]]/Tabela3[[#This Row],[Total Ações]]</f>
        <v>0.30654539608953207</v>
      </c>
      <c r="H6" s="39">
        <f>Tabela3[[#This Row],[Lucro/Ação]]/Tabela3[[#This Row],[Ref]]*4</f>
        <v>0.40872719478604275</v>
      </c>
      <c r="I6" s="74" t="e">
        <f>GETPIVOTDATA("Payout",'Tabela LL'!$A$3,"Ativo",Tabela3[[#This Row],[PAPEL]])</f>
        <v>#REF!</v>
      </c>
      <c r="J6" s="43">
        <f>Tabela3[Patrimônio Líquido]/Tabela3[Total Ações]</f>
        <v>11.168513993503938</v>
      </c>
      <c r="K6" s="45">
        <f>SUMPRODUCT(N(Tabela1[Código]=Tabela3[[#This Row],[PAPEL]]),Tabela1[Fechamento])</f>
        <v>18.5</v>
      </c>
      <c r="L6" s="44">
        <f>Tabela3[Cotação]/Tabela3[VPA]</f>
        <v>1.6564423889122897</v>
      </c>
      <c r="M6" s="52">
        <f>IF(Tabela3[[#This Row],[Lucro/Ação Ano]]&gt;0,Tabela3[[#This Row],[Cotação]]/Tabela3[[#This Row],[Lucro/Ação Ano]],0)</f>
        <v>45.262464147227178</v>
      </c>
      <c r="N6" s="43" t="e">
        <f>Tabela3[[#This Row],[Lucro Prev]]/10%</f>
        <v>#REF!</v>
      </c>
      <c r="O6" s="41" t="e">
        <f>MIN(Tabela3[[#This Row],[10% Rentabilidade]],Tabela3[[#This Row],[VPA]]*2)</f>
        <v>#REF!</v>
      </c>
      <c r="P6" s="75" t="e">
        <f>Tabela3[[#This Row],[P Compra]]/Tabela3[[#This Row],[Cotação]]-1</f>
        <v>#REF!</v>
      </c>
      <c r="Q6" s="6" t="e">
        <f>Tabela3[[#This Row],[Lucro/Ação Ano]]*Tabela3[[#This Row],[Payout]]</f>
        <v>#REF!</v>
      </c>
      <c r="R6" s="38" t="e">
        <f>IF(AND(Tabela3[Rentabilidade]&gt;=10%,Tabela3[PVPA]&lt;=2,Tabela3[PL]&lt;=15,Tabela3[PL]&gt;0),"Sim","Não")</f>
        <v>#REF!</v>
      </c>
      <c r="S6" s="42" t="e">
        <f>Tabela3[[#This Row],[Lucro Prev]]/Tabela3[[#This Row],[Cotação]]</f>
        <v>#REF!</v>
      </c>
      <c r="T6" s="42" t="e">
        <f>(1+Tabela3[[#This Row],[Rentabilidade]])^(1/12)-1</f>
        <v>#REF!</v>
      </c>
      <c r="U6" s="10">
        <f>(Proventos!$Q$1/Tabela3[[#This Row],[Cotação]]-MOD(Proventos!$Q$1/Tabela3[[#This Row],[Cotação]],100))</f>
        <v>0</v>
      </c>
      <c r="V6" s="7" t="e">
        <f>Tabela3[[#This Row],[Ativos]]*Tabela3[[#This Row],[Lucro Prev]]</f>
        <v>#REF!</v>
      </c>
      <c r="W6" s="7" t="e">
        <f>Tabela3[[#This Row],[Lucro Med A.A]]/12</f>
        <v>#REF!</v>
      </c>
    </row>
    <row r="7" spans="1:23" x14ac:dyDescent="0.2">
      <c r="B7" s="10" t="s">
        <v>257</v>
      </c>
      <c r="C7" s="21">
        <v>3</v>
      </c>
      <c r="D7" s="5">
        <v>43996000</v>
      </c>
      <c r="E7" s="5">
        <v>2600000</v>
      </c>
      <c r="F7" s="27">
        <v>5996334</v>
      </c>
      <c r="G7" s="21">
        <f>Tabela3[[#This Row],[Lucro Líquido]]/Tabela3[[#This Row],[Total Ações]]</f>
        <v>0.43359826187133671</v>
      </c>
      <c r="H7" s="21">
        <f>Tabela3[[#This Row],[Lucro/Ação]]/Tabela3[[#This Row],[Ref]]*4</f>
        <v>0.57813101582844895</v>
      </c>
      <c r="I7" s="23" t="e">
        <f>GETPIVOTDATA("Payout",'Tabela LL'!$A$3,"Ativo",Tabela3[[#This Row],[PAPEL]])</f>
        <v>#REF!</v>
      </c>
      <c r="J7" s="5">
        <f>Tabela3[Patrimônio Líquido]/Tabela3[Total Ações]</f>
        <v>7.33714966511205</v>
      </c>
      <c r="K7" s="83">
        <f>SUMPRODUCT(N(Tabela1[Código]=Tabela3[[#This Row],[PAPEL]]),Tabela1[Fechamento])</f>
        <v>5.2</v>
      </c>
      <c r="L7" s="84">
        <f>Tabela3[Cotação]/Tabela3[VPA]</f>
        <v>0.70872208382580237</v>
      </c>
      <c r="M7" s="54">
        <f>IF(Tabela3[[#This Row],[Lucro/Ação Ano]]&gt;0,Tabela3[[#This Row],[Cotação]]/Tabela3[[#This Row],[Lucro/Ação Ano]],0)</f>
        <v>8.9945009999999996</v>
      </c>
      <c r="N7" s="10" t="e">
        <f>Tabela3[[#This Row],[Lucro Prev]]/10%</f>
        <v>#REF!</v>
      </c>
      <c r="O7" s="85" t="e">
        <f>MIN(Tabela3[[#This Row],[10% Rentabilidade]],Tabela3[[#This Row],[VPA]]*2)</f>
        <v>#REF!</v>
      </c>
      <c r="P7" s="23" t="e">
        <f>Tabela3[[#This Row],[P Compra]]/Tabela3[[#This Row],[Cotação]]-1</f>
        <v>#REF!</v>
      </c>
      <c r="Q7" s="5" t="e">
        <f>Tabela3[[#This Row],[Lucro/Ação Ano]]*Tabela3[[#This Row],[Payout]]</f>
        <v>#REF!</v>
      </c>
      <c r="R7" s="10" t="e">
        <f>IF(AND(Tabela3[Rentabilidade]&gt;=10%,Tabela3[PVPA]&lt;=2,Tabela3[PL]&lt;=15,Tabela3[PL]&gt;0),"Sim","Não")</f>
        <v>#REF!</v>
      </c>
      <c r="S7" s="28" t="e">
        <f>Tabela3[[#This Row],[Lucro Prev]]/Tabela3[[#This Row],[Cotação]]</f>
        <v>#REF!</v>
      </c>
      <c r="T7" s="28" t="e">
        <f>(1+Tabela3[[#This Row],[Rentabilidade]])^(1/12)-1</f>
        <v>#REF!</v>
      </c>
      <c r="U7" s="10">
        <f>(Proventos!$Q$1/Tabela3[[#This Row],[Cotação]]-MOD(Proventos!$Q$1/Tabela3[[#This Row],[Cotação]],100))</f>
        <v>100</v>
      </c>
      <c r="V7" s="7" t="e">
        <f>Tabela3[[#This Row],[Ativos]]*Tabela3[[#This Row],[Lucro Prev]]</f>
        <v>#REF!</v>
      </c>
      <c r="W7" s="7" t="e">
        <f>Tabela3[[#This Row],[Lucro Med A.A]]/12</f>
        <v>#REF!</v>
      </c>
    </row>
    <row r="8" spans="1:23" x14ac:dyDescent="0.2">
      <c r="A8" s="4"/>
      <c r="B8" s="14" t="s">
        <v>203</v>
      </c>
      <c r="C8" s="21">
        <v>3</v>
      </c>
      <c r="D8" s="6">
        <v>1550119000</v>
      </c>
      <c r="E8" s="6">
        <v>56710000</v>
      </c>
      <c r="F8" s="56">
        <v>2964596762</v>
      </c>
      <c r="G8" s="20">
        <f>Tabela3[[#This Row],[Lucro Líquido]]/Tabela3[[#This Row],[Total Ações]]</f>
        <v>1.9129077089641643E-2</v>
      </c>
      <c r="H8" s="20">
        <f>Tabela3[[#This Row],[Lucro/Ação]]/Tabela3[[#This Row],[Ref]]*4</f>
        <v>2.550543611952219E-2</v>
      </c>
      <c r="I8" s="60">
        <f>GETPIVOTDATA("Payout",'Tabela LL'!$A$3,"Ativo",Tabela3[[#This Row],[PAPEL]])</f>
        <v>0.67155214853179268</v>
      </c>
      <c r="J8" s="6">
        <f>Tabela3[Patrimônio Líquido]/Tabela3[Total Ações]</f>
        <v>0.52287684445632543</v>
      </c>
      <c r="K8" s="57">
        <f>SUMPRODUCT(N(Tabela1[Código]=Tabela3[[#This Row],[PAPEL]]),Tabela1[Fechamento])</f>
        <v>0.32</v>
      </c>
      <c r="L8" s="72">
        <f>Tabela3[Cotação]/Tabela3[VPA]</f>
        <v>0.61199879740845708</v>
      </c>
      <c r="M8" s="59">
        <f>IF(Tabela3[[#This Row],[Lucro/Ação Ano]]&gt;0,Tabela3[[#This Row],[Cotação]]/Tabela3[[#This Row],[Lucro/Ação Ano]],0)</f>
        <v>12.546344963498502</v>
      </c>
      <c r="N8" s="14">
        <f>Tabela3[[#This Row],[Lucro Prev]]/10%</f>
        <v>0.17128230425305513</v>
      </c>
      <c r="O8" s="22">
        <f>MIN(Tabela3[[#This Row],[10% Rentabilidade]],Tabela3[[#This Row],[VPA]]*2)</f>
        <v>0.17128230425305513</v>
      </c>
      <c r="P8" s="24">
        <f>Tabela3[[#This Row],[P Compra]]/Tabela3[[#This Row],[Cotação]]-1</f>
        <v>-0.46474279920920269</v>
      </c>
      <c r="Q8" s="6">
        <f>Tabela3[[#This Row],[Lucro/Ação Ano]]*Tabela3[[#This Row],[Payout]]</f>
        <v>1.7128230425305514E-2</v>
      </c>
      <c r="R8" s="14" t="str">
        <f>IF(AND(Tabela3[Rentabilidade]&gt;=10%,Tabela3[PVPA]&lt;=2,Tabela3[PL]&lt;=15,Tabela3[PL]&gt;0),"Sim","Não")</f>
        <v>Não</v>
      </c>
      <c r="S8" s="61">
        <f>Tabela3[[#This Row],[Lucro Prev]]/Tabela3[[#This Row],[Cotação]]</f>
        <v>5.3525720079079728E-2</v>
      </c>
      <c r="T8" s="61">
        <f>(1+Tabela3[[#This Row],[Rentabilidade]])^(1/12)-1</f>
        <v>4.3546513829955114E-3</v>
      </c>
      <c r="U8" s="14">
        <f>(Proventos!$Q$1/Tabela3[[#This Row],[Cotação]]-MOD(Proventos!$Q$1/Tabela3[[#This Row],[Cotação]],100))</f>
        <v>3100</v>
      </c>
      <c r="V8" s="22">
        <f>Tabela3[[#This Row],[Ativos]]*Tabela3[[#This Row],[Lucro Prev]]</f>
        <v>53.097514318447097</v>
      </c>
      <c r="W8" s="22">
        <f>Tabela3[[#This Row],[Lucro Med A.A]]/12</f>
        <v>4.4247928598705917</v>
      </c>
    </row>
    <row r="9" spans="1:23" x14ac:dyDescent="0.2">
      <c r="A9" s="35" t="s">
        <v>33</v>
      </c>
      <c r="B9" s="39" t="s">
        <v>83</v>
      </c>
      <c r="C9" s="20">
        <v>3</v>
      </c>
      <c r="D9" s="43">
        <v>63802635000</v>
      </c>
      <c r="E9" s="43">
        <v>12718352000</v>
      </c>
      <c r="F9" s="40">
        <v>2865417020</v>
      </c>
      <c r="G9" s="39">
        <f>Tabela3[[#This Row],[Lucro Líquido]]/Tabela3[[#This Row],[Total Ações]]</f>
        <v>4.4385692941825274</v>
      </c>
      <c r="H9" s="39">
        <f>Tabela3[[#This Row],[Lucro/Ação]]/Tabela3[[#This Row],[Ref]]*4</f>
        <v>5.9180923922433699</v>
      </c>
      <c r="I9" s="24" t="e">
        <f>GETPIVOTDATA("Payout",'Tabela LL'!$A$3,"Ativo",Tabela3[[#This Row],[PAPEL]])</f>
        <v>#REF!</v>
      </c>
      <c r="J9" s="43">
        <f>Tabela3[Patrimônio Líquido]/Tabela3[Total Ações]</f>
        <v>22.266439598379993</v>
      </c>
      <c r="K9" s="45">
        <f>SUMPRODUCT(N(Tabela1[Código]=Tabela3[[#This Row],[PAPEL]]),Tabela1[Fechamento])</f>
        <v>24.52</v>
      </c>
      <c r="L9" s="46">
        <f>Tabela3[Cotação]/Tabela3[VPA]</f>
        <v>1.101208834563024</v>
      </c>
      <c r="M9" s="52">
        <f>IF(Tabela3[[#This Row],[Lucro/Ação Ano]]&gt;0,Tabela3[[#This Row],[Cotação]]/Tabela3[[#This Row],[Lucro/Ação Ano]],0)</f>
        <v>4.1432269682267009</v>
      </c>
      <c r="N9" s="43" t="e">
        <f>Tabela3[[#This Row],[Lucro Prev]]/10%</f>
        <v>#REF!</v>
      </c>
      <c r="O9" s="41" t="e">
        <f>MIN(Tabela3[[#This Row],[10% Rentabilidade]],Tabela3[[#This Row],[VPA]]*2)</f>
        <v>#REF!</v>
      </c>
      <c r="P9" s="75" t="e">
        <f>Tabela3[[#This Row],[P Compra]]/Tabela3[[#This Row],[Cotação]]-1</f>
        <v>#REF!</v>
      </c>
      <c r="Q9" s="6" t="e">
        <f>Tabela3[[#This Row],[Lucro/Ação Ano]]*Tabela3[[#This Row],[Payout]]</f>
        <v>#REF!</v>
      </c>
      <c r="R9" s="38" t="e">
        <f>IF(AND(Tabela3[Rentabilidade]&gt;=10%,Tabela3[PVPA]&lt;=2,Tabela3[PL]&lt;=15,Tabela3[PL]&gt;0),"Sim","Não")</f>
        <v>#REF!</v>
      </c>
      <c r="S9" s="42" t="e">
        <f>Tabela3[[#This Row],[Lucro Prev]]/Tabela3[[#This Row],[Cotação]]</f>
        <v>#REF!</v>
      </c>
      <c r="T9" s="42" t="e">
        <f>(1+Tabela3[[#This Row],[Rentabilidade]])^(1/12)-1</f>
        <v>#REF!</v>
      </c>
      <c r="U9" s="10">
        <f>(Proventos!$Q$1/Tabela3[[#This Row],[Cotação]]-MOD(Proventos!$Q$1/Tabela3[[#This Row],[Cotação]],100))</f>
        <v>0</v>
      </c>
      <c r="V9" s="7" t="e">
        <f>Tabela3[[#This Row],[Ativos]]*Tabela3[[#This Row],[Lucro Prev]]</f>
        <v>#REF!</v>
      </c>
      <c r="W9" s="7" t="e">
        <f>Tabela3[[#This Row],[Lucro Med A.A]]/12</f>
        <v>#REF!</v>
      </c>
    </row>
    <row r="10" spans="1:23" x14ac:dyDescent="0.2">
      <c r="A10" s="4" t="s">
        <v>44</v>
      </c>
      <c r="B10" s="20" t="s">
        <v>43</v>
      </c>
      <c r="C10" s="21">
        <v>3</v>
      </c>
      <c r="D10" s="6">
        <v>770605000</v>
      </c>
      <c r="E10" s="6">
        <v>60548000</v>
      </c>
      <c r="F10" s="8">
        <v>192839601</v>
      </c>
      <c r="G10" s="55">
        <f>Tabela3[[#This Row],[Lucro Líquido]]/Tabela3[[#This Row],[Total Ações]]</f>
        <v>0.31398115162040807</v>
      </c>
      <c r="H10" s="55">
        <f>Tabela3[[#This Row],[Lucro/Ação]]/Tabela3[[#This Row],[Ref]]*4</f>
        <v>0.41864153549387745</v>
      </c>
      <c r="I10" s="76">
        <f>GETPIVOTDATA("Payout",'Tabela LL'!$A$3,"Ativo",Tabela3[[#This Row],[PAPEL]])</f>
        <v>0.53772688709431571</v>
      </c>
      <c r="J10" s="6">
        <f>Tabela3[Patrimônio Líquido]/Tabela3[Total Ações]</f>
        <v>3.996093105378288</v>
      </c>
      <c r="K10" s="11">
        <f>SUMPRODUCT(N(Tabela1[Código]=Tabela3[[#This Row],[PAPEL]]),Tabela1[Fechamento])</f>
        <v>5.72</v>
      </c>
      <c r="L10" s="9">
        <f>Tabela3[Cotação]/Tabela3[VPA]</f>
        <v>1.4313980803654272</v>
      </c>
      <c r="M10" s="53">
        <f>IF(Tabela3[[#This Row],[Lucro/Ação Ano]]&gt;0,Tabela3[[#This Row],[Cotação]]/Tabela3[[#This Row],[Lucro/Ação Ano]],0)</f>
        <v>13.663240541223491</v>
      </c>
      <c r="N10" s="6">
        <f>Tabela3[[#This Row],[Lucro Prev]]/10%</f>
        <v>2.2511480968950717</v>
      </c>
      <c r="O10" s="13">
        <f>MIN(Tabela3[[#This Row],[10% Rentabilidade]],Tabela3[[#This Row],[VPA]]*2)</f>
        <v>2.2511480968950717</v>
      </c>
      <c r="P10" s="24">
        <f>Tabela3[[#This Row],[P Compra]]/Tabela3[[#This Row],[Cotação]]-1</f>
        <v>-0.60644264040295948</v>
      </c>
      <c r="Q10" s="6">
        <f>Tabela3[[#This Row],[Lucro/Ação Ano]]*Tabela3[[#This Row],[Payout]]</f>
        <v>0.2251148096895072</v>
      </c>
      <c r="R10" s="14" t="str">
        <f>IF(AND(Tabela3[Rentabilidade]&gt;=10%,Tabela3[PVPA]&lt;=2,Tabela3[PL]&lt;=15,Tabela3[PL]&gt;0),"Sim","Não")</f>
        <v>Não</v>
      </c>
      <c r="S10" s="24">
        <f>Tabela3[[#This Row],[Lucro Prev]]/Tabela3[[#This Row],[Cotação]]</f>
        <v>3.9355735959704055E-2</v>
      </c>
      <c r="T10" s="24">
        <f>(1+Tabela3[[#This Row],[Rentabilidade]])^(1/12)-1</f>
        <v>3.2219323470366046E-3</v>
      </c>
      <c r="U10" s="10">
        <f>(Proventos!$Q$1/Tabela3[[#This Row],[Cotação]]-MOD(Proventos!$Q$1/Tabela3[[#This Row],[Cotação]],100))</f>
        <v>100</v>
      </c>
      <c r="V10" s="7">
        <f>Tabela3[[#This Row],[Ativos]]*Tabela3[[#This Row],[Lucro Prev]]</f>
        <v>22.511480968950721</v>
      </c>
      <c r="W10" s="7">
        <f>Tabela3[[#This Row],[Lucro Med A.A]]/12</f>
        <v>1.87595674741256</v>
      </c>
    </row>
    <row r="11" spans="1:23" x14ac:dyDescent="0.2">
      <c r="A11" s="35" t="s">
        <v>85</v>
      </c>
      <c r="B11" s="39" t="s">
        <v>84</v>
      </c>
      <c r="C11" s="21">
        <v>3</v>
      </c>
      <c r="D11" s="43">
        <v>6389579000</v>
      </c>
      <c r="E11" s="43">
        <v>1570142000</v>
      </c>
      <c r="F11" s="40">
        <v>2000000000</v>
      </c>
      <c r="G11" s="39">
        <f>Tabela3[[#This Row],[Lucro Líquido]]/Tabela3[[#This Row],[Total Ações]]</f>
        <v>0.78507099999999996</v>
      </c>
      <c r="H11" s="39">
        <f>Tabela3[[#This Row],[Lucro/Ação]]/Tabela3[[#This Row],[Ref]]*4</f>
        <v>1.0467613333333332</v>
      </c>
      <c r="I11" s="74" t="e">
        <f>GETPIVOTDATA("Payout",'Tabela LL'!$A$3,"Ativo",Tabela3[[#This Row],[PAPEL]])</f>
        <v>#REF!</v>
      </c>
      <c r="J11" s="43">
        <f>Tabela3[Patrimônio Líquido]/Tabela3[Total Ações]</f>
        <v>3.1947895000000002</v>
      </c>
      <c r="K11" s="45">
        <f>SUMPRODUCT(N(Tabela1[Código]=Tabela3[[#This Row],[PAPEL]]),Tabela1[Fechamento])</f>
        <v>23.95</v>
      </c>
      <c r="L11" s="46">
        <f>Tabela3[Cotação]/Tabela3[VPA]</f>
        <v>7.4965815431658323</v>
      </c>
      <c r="M11" s="52">
        <f>IF(Tabela3[[#This Row],[Lucro/Ação Ano]]&gt;0,Tabela3[[#This Row],[Cotação]]/Tabela3[[#This Row],[Lucro/Ação Ano]],0)</f>
        <v>22.880096195121208</v>
      </c>
      <c r="N11" s="43" t="e">
        <f>Tabela3[[#This Row],[Lucro Prev]]/10%</f>
        <v>#REF!</v>
      </c>
      <c r="O11" s="41" t="e">
        <f>MIN(Tabela3[[#This Row],[10% Rentabilidade]],Tabela3[[#This Row],[VPA]]*2)</f>
        <v>#REF!</v>
      </c>
      <c r="P11" s="75" t="e">
        <f>Tabela3[[#This Row],[P Compra]]/Tabela3[[#This Row],[Cotação]]-1</f>
        <v>#REF!</v>
      </c>
      <c r="Q11" s="6" t="e">
        <f>Tabela3[[#This Row],[Lucro/Ação Ano]]*Tabela3[[#This Row],[Payout]]</f>
        <v>#REF!</v>
      </c>
      <c r="R11" s="38" t="e">
        <f>IF(AND(Tabela3[Rentabilidade]&gt;=10%,Tabela3[PVPA]&lt;=2,Tabela3[PL]&lt;=15,Tabela3[PL]&gt;0),"Sim","Não")</f>
        <v>#REF!</v>
      </c>
      <c r="S11" s="42" t="e">
        <f>Tabela3[[#This Row],[Lucro Prev]]/Tabela3[[#This Row],[Cotação]]</f>
        <v>#REF!</v>
      </c>
      <c r="T11" s="42" t="e">
        <f>(1+Tabela3[[#This Row],[Rentabilidade]])^(1/12)-1</f>
        <v>#REF!</v>
      </c>
      <c r="U11" s="10">
        <f>(Proventos!$Q$1/Tabela3[[#This Row],[Cotação]]-MOD(Proventos!$Q$1/Tabela3[[#This Row],[Cotação]],100))</f>
        <v>0</v>
      </c>
      <c r="V11" s="7" t="e">
        <f>Tabela3[[#This Row],[Ativos]]*Tabela3[[#This Row],[Lucro Prev]]</f>
        <v>#REF!</v>
      </c>
      <c r="W11" s="7" t="e">
        <f>Tabela3[[#This Row],[Lucro Med A.A]]/12</f>
        <v>#REF!</v>
      </c>
    </row>
    <row r="12" spans="1:23" x14ac:dyDescent="0.2">
      <c r="A12" s="4"/>
      <c r="B12" s="20" t="s">
        <v>193</v>
      </c>
      <c r="C12" s="20">
        <v>3</v>
      </c>
      <c r="D12" s="6">
        <v>901919000</v>
      </c>
      <c r="E12" s="6">
        <v>77892000</v>
      </c>
      <c r="F12" s="56">
        <v>1515152000</v>
      </c>
      <c r="G12" s="20">
        <f>Tabela3[[#This Row],[Lucro Líquido]]/Tabela3[[#This Row],[Total Ações]]</f>
        <v>5.1408703549214861E-2</v>
      </c>
      <c r="H12" s="20">
        <f>Tabela3[[#This Row],[Lucro/Ação]]/Tabela3[[#This Row],[Ref]]*4</f>
        <v>6.8544938065619815E-2</v>
      </c>
      <c r="I12" s="24">
        <f>GETPIVOTDATA("Payout",'Tabela LL'!$A$3,"Ativo",Tabela3[[#This Row],[PAPEL]])</f>
        <v>0</v>
      </c>
      <c r="J12" s="6">
        <f>Tabela3[Patrimônio Líquido]/Tabela3[Total Ações]</f>
        <v>0.5952663495147682</v>
      </c>
      <c r="K12" s="57">
        <f>SUMPRODUCT(N(Tabela1[Código]=Tabela3[[#This Row],[PAPEL]]),Tabela1[Fechamento])</f>
        <v>0.49</v>
      </c>
      <c r="L12" s="66">
        <f>Tabela3[Cotação]/Tabela3[VPA]</f>
        <v>0.82316092686815545</v>
      </c>
      <c r="M12" s="59">
        <f>IF(Tabela3[[#This Row],[Lucro/Ação Ano]]&gt;0,Tabela3[[#This Row],[Cotação]]/Tabela3[[#This Row],[Lucro/Ação Ano]],0)</f>
        <v>7.1485949776613777</v>
      </c>
      <c r="N12" s="14">
        <f>Tabela3[[#This Row],[Lucro Prev]]/10%</f>
        <v>0</v>
      </c>
      <c r="O12" s="22">
        <f>MIN(Tabela3[[#This Row],[10% Rentabilidade]],Tabela3[[#This Row],[VPA]]*2)</f>
        <v>0</v>
      </c>
      <c r="P12" s="24">
        <f>Tabela3[[#This Row],[P Compra]]/Tabela3[[#This Row],[Cotação]]-1</f>
        <v>-1</v>
      </c>
      <c r="Q12" s="6">
        <f>Tabela3[[#This Row],[Lucro/Ação Ano]]*Tabela3[[#This Row],[Payout]]</f>
        <v>0</v>
      </c>
      <c r="R12" s="14" t="str">
        <f>IF(AND(Tabela3[Rentabilidade]&gt;=10%,Tabela3[PVPA]&lt;=2,Tabela3[PL]&lt;=15,Tabela3[PL]&gt;0),"Sim","Não")</f>
        <v>Não</v>
      </c>
      <c r="S12" s="61">
        <f>Tabela3[[#This Row],[Lucro Prev]]/Tabela3[[#This Row],[Cotação]]</f>
        <v>0</v>
      </c>
      <c r="T12" s="61">
        <f>(1+Tabela3[[#This Row],[Rentabilidade]])^(1/12)-1</f>
        <v>0</v>
      </c>
      <c r="U12" s="14">
        <f>(Proventos!$Q$1/Tabela3[[#This Row],[Cotação]]-MOD(Proventos!$Q$1/Tabela3[[#This Row],[Cotação]],100))</f>
        <v>2000</v>
      </c>
      <c r="V12" s="22">
        <f>Tabela3[[#This Row],[Ativos]]*Tabela3[[#This Row],[Lucro Prev]]</f>
        <v>0</v>
      </c>
      <c r="W12" s="22">
        <f>Tabela3[[#This Row],[Lucro Med A.A]]/12</f>
        <v>0</v>
      </c>
    </row>
    <row r="13" spans="1:23" x14ac:dyDescent="0.2">
      <c r="A13" s="5"/>
      <c r="B13" s="21" t="s">
        <v>195</v>
      </c>
      <c r="C13" s="21">
        <v>3</v>
      </c>
      <c r="D13" s="6">
        <v>901919000</v>
      </c>
      <c r="E13" s="6">
        <v>77892000</v>
      </c>
      <c r="F13" s="56">
        <v>1515152000</v>
      </c>
      <c r="G13" s="21">
        <f>Tabela3[[#This Row],[Lucro Líquido]]/Tabela3[[#This Row],[Total Ações]]</f>
        <v>5.1408703549214861E-2</v>
      </c>
      <c r="H13" s="21">
        <f>Tabela3[[#This Row],[Lucro/Ação]]/Tabela3[[#This Row],[Ref]]*4</f>
        <v>6.8544938065619815E-2</v>
      </c>
      <c r="I13" s="24">
        <f>GETPIVOTDATA("Payout",'Tabela LL'!$A$3,"Ativo",Tabela3[[#This Row],[PAPEL]])</f>
        <v>0</v>
      </c>
      <c r="J13" s="5">
        <f>Tabela3[Patrimônio Líquido]/Tabela3[Total Ações]</f>
        <v>0.5952663495147682</v>
      </c>
      <c r="K13" s="69">
        <f>SUMPRODUCT(N(Tabela1[Código]=Tabela3[[#This Row],[PAPEL]]),Tabela1[Fechamento])</f>
        <v>0.46</v>
      </c>
      <c r="L13" s="70">
        <f>Tabela3[Cotação]/Tabela3[VPA]</f>
        <v>0.77276331910071749</v>
      </c>
      <c r="M13" s="51">
        <f>IF(Tabela3[[#This Row],[Lucro/Ação Ano]]&gt;0,Tabela3[[#This Row],[Cotação]]/Tabela3[[#This Row],[Lucro/Ação Ano]],0)</f>
        <v>6.7109258973963959</v>
      </c>
      <c r="N13" s="5">
        <f>Tabela3[[#This Row],[Lucro Prev]]/10%</f>
        <v>0</v>
      </c>
      <c r="O13" s="7">
        <f>MIN(Tabela3[[#This Row],[10% Rentabilidade]],Tabela3[[#This Row],[VPA]]*2)</f>
        <v>0</v>
      </c>
      <c r="P13" s="23">
        <f>Tabela3[[#This Row],[P Compra]]/Tabela3[[#This Row],[Cotação]]-1</f>
        <v>-1</v>
      </c>
      <c r="Q13" s="5">
        <f>Tabela3[[#This Row],[Lucro/Ação Ano]]*Tabela3[[#This Row],[Payout]]</f>
        <v>0</v>
      </c>
      <c r="R13" s="10" t="str">
        <f>IF(AND(Tabela3[Rentabilidade]&gt;=10%,Tabela3[PVPA]&lt;=2,Tabela3[PL]&lt;=15,Tabela3[PL]&gt;0),"Sim","Não")</f>
        <v>Não</v>
      </c>
      <c r="S13" s="28">
        <f>Tabela3[[#This Row],[Lucro Prev]]/Tabela3[[#This Row],[Cotação]]</f>
        <v>0</v>
      </c>
      <c r="T13" s="28">
        <f>(1+Tabela3[[#This Row],[Rentabilidade]])^(1/12)-1</f>
        <v>0</v>
      </c>
      <c r="U13" s="10">
        <f>(Proventos!$Q$1/Tabela3[[#This Row],[Cotação]]-MOD(Proventos!$Q$1/Tabela3[[#This Row],[Cotação]],100))</f>
        <v>2100</v>
      </c>
      <c r="V13" s="71">
        <f>Tabela3[[#This Row],[Ativos]]*Tabela3[[#This Row],[Lucro Prev]]</f>
        <v>0</v>
      </c>
      <c r="W13" s="71">
        <f>Tabela3[[#This Row],[Lucro Med A.A]]/12</f>
        <v>0</v>
      </c>
    </row>
    <row r="14" spans="1:23" x14ac:dyDescent="0.2">
      <c r="A14" s="35" t="s">
        <v>62</v>
      </c>
      <c r="B14" s="39" t="s">
        <v>61</v>
      </c>
      <c r="C14" s="20">
        <v>3</v>
      </c>
      <c r="D14" s="43">
        <v>399626000</v>
      </c>
      <c r="E14" s="43">
        <v>30584000</v>
      </c>
      <c r="F14" s="40">
        <v>51568270</v>
      </c>
      <c r="G14" s="39">
        <f>Tabela3[[#This Row],[Lucro Líquido]]/Tabela3[[#This Row],[Total Ações]]</f>
        <v>0.59307787521280042</v>
      </c>
      <c r="H14" s="39">
        <f>Tabela3[[#This Row],[Lucro/Ação]]/Tabela3[[#This Row],[Ref]]*4</f>
        <v>0.79077050028373386</v>
      </c>
      <c r="I14" s="74" t="e">
        <f>GETPIVOTDATA("Payout",'Tabela LL'!$A$3,"Ativo",Tabela3[[#This Row],[PAPEL]])</f>
        <v>#REF!</v>
      </c>
      <c r="J14" s="43">
        <f>Tabela3[Patrimônio Líquido]/Tabela3[Total Ações]</f>
        <v>7.7494552367182381</v>
      </c>
      <c r="K14" s="45">
        <f>SUMPRODUCT(N(Tabela1[Código]=Tabela3[[#This Row],[PAPEL]]),Tabela1[Fechamento])</f>
        <v>9</v>
      </c>
      <c r="L14" s="44">
        <f>Tabela3[Cotação]/Tabela3[VPA]</f>
        <v>1.1613719577805248</v>
      </c>
      <c r="M14" s="52">
        <f>IF(Tabela3[[#This Row],[Lucro/Ação Ano]]&gt;0,Tabela3[[#This Row],[Cotação]]/Tabela3[[#This Row],[Lucro/Ação Ano]],0)</f>
        <v>11.381304685456449</v>
      </c>
      <c r="N14" s="43" t="e">
        <f>Tabela3[[#This Row],[Lucro Prev]]/10%</f>
        <v>#REF!</v>
      </c>
      <c r="O14" s="41" t="e">
        <f>MIN(Tabela3[[#This Row],[10% Rentabilidade]],Tabela3[[#This Row],[VPA]]*2)</f>
        <v>#REF!</v>
      </c>
      <c r="P14" s="75" t="e">
        <f>Tabela3[[#This Row],[P Compra]]/Tabela3[[#This Row],[Cotação]]-1</f>
        <v>#REF!</v>
      </c>
      <c r="Q14" s="6" t="e">
        <f>Tabela3[[#This Row],[Lucro/Ação Ano]]*Tabela3[[#This Row],[Payout]]</f>
        <v>#REF!</v>
      </c>
      <c r="R14" s="38" t="e">
        <f>IF(AND(Tabela3[Rentabilidade]&gt;=10%,Tabela3[PVPA]&lt;=2,Tabela3[PL]&lt;=15,Tabela3[PL]&gt;0),"Sim","Não")</f>
        <v>#REF!</v>
      </c>
      <c r="S14" s="42" t="e">
        <f>Tabela3[[#This Row],[Lucro Prev]]/Tabela3[[#This Row],[Cotação]]</f>
        <v>#REF!</v>
      </c>
      <c r="T14" s="42" t="e">
        <f>(1+Tabela3[[#This Row],[Rentabilidade]])^(1/12)-1</f>
        <v>#REF!</v>
      </c>
      <c r="U14" s="10">
        <f>(Proventos!$Q$1/Tabela3[[#This Row],[Cotação]]-MOD(Proventos!$Q$1/Tabela3[[#This Row],[Cotação]],100))</f>
        <v>100</v>
      </c>
      <c r="V14" s="7" t="e">
        <f>Tabela3[[#This Row],[Ativos]]*Tabela3[[#This Row],[Lucro Prev]]</f>
        <v>#REF!</v>
      </c>
      <c r="W14" s="7" t="e">
        <f>Tabela3[[#This Row],[Lucro Med A.A]]/12</f>
        <v>#REF!</v>
      </c>
    </row>
    <row r="15" spans="1:23" x14ac:dyDescent="0.2">
      <c r="A15" s="4" t="s">
        <v>33</v>
      </c>
      <c r="B15" s="20" t="s">
        <v>13</v>
      </c>
      <c r="C15" s="21">
        <v>3</v>
      </c>
      <c r="D15" s="6">
        <v>1922945000</v>
      </c>
      <c r="E15" s="6">
        <v>22434000</v>
      </c>
      <c r="F15" s="8">
        <v>252903569</v>
      </c>
      <c r="G15" s="55">
        <f>Tabela3[[#This Row],[Lucro Líquido]]/Tabela3[[#This Row],[Total Ações]]</f>
        <v>8.8705746971882396E-2</v>
      </c>
      <c r="H15" s="55">
        <f>Tabela3[[#This Row],[Lucro/Ação]]/Tabela3[[#This Row],[Ref]]*4</f>
        <v>0.11827432929584319</v>
      </c>
      <c r="I15" s="76" t="e">
        <f>GETPIVOTDATA("Payout",'Tabela LL'!$A$3,"Ativo",Tabela3[[#This Row],[PAPEL]])</f>
        <v>#REF!</v>
      </c>
      <c r="J15" s="6">
        <f>Tabela3[Patrimônio Líquido]/Tabela3[Total Ações]</f>
        <v>7.60347118707526</v>
      </c>
      <c r="K15" s="11">
        <f>SUMPRODUCT(N(Tabela1[Código]=Tabela3[[#This Row],[PAPEL]]),Tabela1[Fechamento])</f>
        <v>7.35</v>
      </c>
      <c r="L15" s="9">
        <f>Tabela3[Cotação]/Tabela3[VPA]</f>
        <v>0.96666375385151415</v>
      </c>
      <c r="M15" s="53">
        <f>IF(Tabela3[[#This Row],[Lucro/Ação Ano]]&gt;0,Tabela3[[#This Row],[Cotação]]/Tabela3[[#This Row],[Lucro/Ação Ano]],0)</f>
        <v>62.143662481612729</v>
      </c>
      <c r="N15" s="6" t="e">
        <f>Tabela3[[#This Row],[Lucro Prev]]/10%</f>
        <v>#REF!</v>
      </c>
      <c r="O15" s="13" t="e">
        <f>MIN(Tabela3[[#This Row],[10% Rentabilidade]],Tabela3[[#This Row],[VPA]]*2)</f>
        <v>#REF!</v>
      </c>
      <c r="P15" s="24" t="e">
        <f>Tabela3[[#This Row],[P Compra]]/Tabela3[[#This Row],[Cotação]]-1</f>
        <v>#REF!</v>
      </c>
      <c r="Q15" s="6" t="e">
        <f>Tabela3[[#This Row],[Lucro/Ação Ano]]*Tabela3[[#This Row],[Payout]]</f>
        <v>#REF!</v>
      </c>
      <c r="R15" s="14" t="e">
        <f>IF(AND(Tabela3[Rentabilidade]&gt;=10%,Tabela3[PVPA]&lt;=2,Tabela3[PL]&lt;=15,Tabela3[PL]&gt;0),"Sim","Não")</f>
        <v>#REF!</v>
      </c>
      <c r="S15" s="23" t="e">
        <f>Tabela3[[#This Row],[Lucro Prev]]/Tabela3[[#This Row],[Cotação]]</f>
        <v>#REF!</v>
      </c>
      <c r="T15" s="23" t="e">
        <f>(1+Tabela3[[#This Row],[Rentabilidade]])^(1/12)-1</f>
        <v>#REF!</v>
      </c>
      <c r="U15" s="10">
        <f>(Proventos!$Q$1/Tabela3[[#This Row],[Cotação]]-MOD(Proventos!$Q$1/Tabela3[[#This Row],[Cotação]],100))</f>
        <v>100</v>
      </c>
      <c r="V15" s="5" t="e">
        <f>Tabela3[[#This Row],[Ativos]]*Tabela3[[#This Row],[Lucro Prev]]</f>
        <v>#REF!</v>
      </c>
      <c r="W15" s="5" t="e">
        <f>Tabela3[[#This Row],[Lucro Med A.A]]/12</f>
        <v>#REF!</v>
      </c>
    </row>
    <row r="16" spans="1:23" x14ac:dyDescent="0.2">
      <c r="A16" s="4" t="s">
        <v>32</v>
      </c>
      <c r="B16" s="65" t="s">
        <v>31</v>
      </c>
      <c r="C16" s="20">
        <v>3</v>
      </c>
      <c r="D16" s="6">
        <v>2596093000</v>
      </c>
      <c r="E16" s="6">
        <v>-261426000</v>
      </c>
      <c r="F16" s="8">
        <v>575902712</v>
      </c>
      <c r="G16" s="55">
        <f>Tabela3[[#This Row],[Lucro Líquido]]/Tabela3[[#This Row],[Total Ações]]</f>
        <v>-0.45394125527229673</v>
      </c>
      <c r="H16" s="55">
        <f>Tabela3[[#This Row],[Lucro/Ação]]/Tabela3[[#This Row],[Ref]]*4</f>
        <v>-0.60525500702972901</v>
      </c>
      <c r="I16" s="76" t="e">
        <f>GETPIVOTDATA("Payout",'Tabela LL'!$A$3,"Ativo",Tabela3[[#This Row],[PAPEL]])</f>
        <v>#REF!</v>
      </c>
      <c r="J16" s="6">
        <f>Tabela3[Patrimônio Líquido]/Tabela3[Total Ações]</f>
        <v>4.5078672940856022</v>
      </c>
      <c r="K16" s="11">
        <f>SUMPRODUCT(N(Tabela1[Código]=Tabela3[[#This Row],[PAPEL]]),Tabela1[Fechamento])</f>
        <v>1.07</v>
      </c>
      <c r="L16" s="9">
        <f>Tabela3[Cotação]/Tabela3[VPA]</f>
        <v>0.23736279934501578</v>
      </c>
      <c r="M16" s="53">
        <f>IF(Tabela3[[#This Row],[Lucro/Ação Ano]]&gt;0,Tabela3[[#This Row],[Cotação]]/Tabela3[[#This Row],[Lucro/Ação Ano]],0)</f>
        <v>0</v>
      </c>
      <c r="N16" s="6" t="e">
        <f>Tabela3[[#This Row],[Lucro Prev]]/10%</f>
        <v>#REF!</v>
      </c>
      <c r="O16" s="13" t="e">
        <f>MIN(Tabela3[[#This Row],[10% Rentabilidade]],Tabela3[[#This Row],[VPA]]*2)</f>
        <v>#REF!</v>
      </c>
      <c r="P16" s="24" t="e">
        <f>Tabela3[[#This Row],[P Compra]]/Tabela3[[#This Row],[Cotação]]-1</f>
        <v>#REF!</v>
      </c>
      <c r="Q16" s="6" t="e">
        <f>Tabela3[[#This Row],[Lucro/Ação Ano]]*Tabela3[[#This Row],[Payout]]</f>
        <v>#REF!</v>
      </c>
      <c r="R16" s="14" t="e">
        <f>IF(AND(Tabela3[Rentabilidade]&gt;=10%,Tabela3[PVPA]&lt;=2,Tabela3[PL]&lt;=15,Tabela3[PL]&gt;0),"Sim","Não")</f>
        <v>#REF!</v>
      </c>
      <c r="S16" s="24" t="e">
        <f>Tabela3[[#This Row],[Lucro Prev]]/Tabela3[[#This Row],[Cotação]]</f>
        <v>#REF!</v>
      </c>
      <c r="T16" s="24" t="e">
        <f>(1+Tabela3[[#This Row],[Rentabilidade]])^(1/12)-1</f>
        <v>#REF!</v>
      </c>
      <c r="U16" s="10">
        <f>(Proventos!$Q$1/Tabela3[[#This Row],[Cotação]]-MOD(Proventos!$Q$1/Tabela3[[#This Row],[Cotação]],100))</f>
        <v>900</v>
      </c>
      <c r="V16" s="5" t="e">
        <f>Tabela3[[#This Row],[Ativos]]*Tabela3[[#This Row],[Lucro Prev]]</f>
        <v>#REF!</v>
      </c>
      <c r="W16" s="5" t="e">
        <f>Tabela3[[#This Row],[Lucro Med A.A]]/12</f>
        <v>#REF!</v>
      </c>
    </row>
    <row r="17" spans="1:23" x14ac:dyDescent="0.2">
      <c r="A17" s="4"/>
      <c r="B17" s="14" t="s">
        <v>200</v>
      </c>
      <c r="C17" s="20">
        <v>3</v>
      </c>
      <c r="D17" s="6">
        <v>56483000</v>
      </c>
      <c r="E17" s="6">
        <v>1359000</v>
      </c>
      <c r="F17" s="8">
        <v>182520000</v>
      </c>
      <c r="G17" s="20">
        <f>Tabela3[[#This Row],[Lucro Líquido]]/Tabela3[[#This Row],[Total Ações]]</f>
        <v>7.4457593688362919E-3</v>
      </c>
      <c r="H17" s="20">
        <f>Tabela3[[#This Row],[Lucro/Ação]]/Tabela3[[#This Row],[Ref]]*4</f>
        <v>9.9276791584483898E-3</v>
      </c>
      <c r="I17" s="60" t="e">
        <f>GETPIVOTDATA("Payout",'Tabela LL'!$A$3,"Ativo",Tabela3[[#This Row],[PAPEL]])</f>
        <v>#REF!</v>
      </c>
      <c r="J17" s="6">
        <f>Tabela3[Patrimônio Líquido]/Tabela3[Total Ações]</f>
        <v>0.30946197676966908</v>
      </c>
      <c r="K17" s="57">
        <f>SUMPRODUCT(N(Tabela1[Código]=Tabela3[[#This Row],[PAPEL]]),Tabela1[Fechamento])</f>
        <v>0.26</v>
      </c>
      <c r="L17" s="72">
        <f>Tabela3[Cotação]/Tabela3[VPA]</f>
        <v>0.84016783811058193</v>
      </c>
      <c r="M17" s="59">
        <f>IF(Tabela3[[#This Row],[Lucro/Ação Ano]]&gt;0,Tabela3[[#This Row],[Cotação]]/Tabela3[[#This Row],[Lucro/Ação Ano]],0)</f>
        <v>26.189403973509933</v>
      </c>
      <c r="N17" s="14" t="e">
        <f>Tabela3[[#This Row],[Lucro Prev]]/10%</f>
        <v>#REF!</v>
      </c>
      <c r="O17" s="22" t="e">
        <f>MIN(Tabela3[[#This Row],[10% Rentabilidade]],Tabela3[[#This Row],[VPA]]*2)</f>
        <v>#REF!</v>
      </c>
      <c r="P17" s="24" t="e">
        <f>Tabela3[[#This Row],[P Compra]]/Tabela3[[#This Row],[Cotação]]-1</f>
        <v>#REF!</v>
      </c>
      <c r="Q17" s="6" t="e">
        <f>Tabela3[[#This Row],[Lucro/Ação Ano]]*Tabela3[[#This Row],[Payout]]</f>
        <v>#REF!</v>
      </c>
      <c r="R17" s="14" t="e">
        <f>IF(AND(Tabela3[Rentabilidade]&gt;=10%,Tabela3[PVPA]&lt;=2,Tabela3[PL]&lt;=15,Tabela3[PL]&gt;0),"Sim","Não")</f>
        <v>#REF!</v>
      </c>
      <c r="S17" s="61" t="e">
        <f>Tabela3[[#This Row],[Lucro Prev]]/Tabela3[[#This Row],[Cotação]]</f>
        <v>#REF!</v>
      </c>
      <c r="T17" s="61" t="e">
        <f>(1+Tabela3[[#This Row],[Rentabilidade]])^(1/12)-1</f>
        <v>#REF!</v>
      </c>
      <c r="U17" s="14">
        <f>(Proventos!$Q$1/Tabela3[[#This Row],[Cotação]]-MOD(Proventos!$Q$1/Tabela3[[#This Row],[Cotação]],100))</f>
        <v>3800</v>
      </c>
      <c r="V17" s="22" t="e">
        <f>Tabela3[[#This Row],[Ativos]]*Tabela3[[#This Row],[Lucro Prev]]</f>
        <v>#REF!</v>
      </c>
      <c r="W17" s="22" t="e">
        <f>Tabela3[[#This Row],[Lucro Med A.A]]/12</f>
        <v>#REF!</v>
      </c>
    </row>
    <row r="18" spans="1:23" x14ac:dyDescent="0.2">
      <c r="A18" s="35" t="s">
        <v>81</v>
      </c>
      <c r="B18" s="39" t="s">
        <v>80</v>
      </c>
      <c r="C18" s="20">
        <v>3</v>
      </c>
      <c r="D18" s="43">
        <v>10031194000</v>
      </c>
      <c r="E18" s="43">
        <v>852679000</v>
      </c>
      <c r="F18" s="40">
        <v>349547945</v>
      </c>
      <c r="G18" s="39">
        <f>Tabela3[[#This Row],[Lucro Líquido]]/Tabela3[[#This Row],[Total Ações]]</f>
        <v>2.439376377967263</v>
      </c>
      <c r="H18" s="39">
        <f>Tabela3[[#This Row],[Lucro/Ação]]/Tabela3[[#This Row],[Ref]]*4</f>
        <v>3.2525018372896839</v>
      </c>
      <c r="I18" s="24" t="e">
        <f>GETPIVOTDATA("Payout",'Tabela LL'!$A$3,"Ativo",Tabela3[[#This Row],[PAPEL]])</f>
        <v>#REF!</v>
      </c>
      <c r="J18" s="43">
        <f>Tabela3[Patrimônio Líquido]/Tabela3[Total Ações]</f>
        <v>28.697619721380423</v>
      </c>
      <c r="K18" s="45">
        <f>SUMPRODUCT(N(Tabela1[Código]=Tabela3[[#This Row],[PAPEL]]),Tabela1[Fechamento])</f>
        <v>19.559999999999999</v>
      </c>
      <c r="L18" s="46">
        <f>Tabela3[Cotação]/Tabela3[VPA]</f>
        <v>0.68158962972902326</v>
      </c>
      <c r="M18" s="52">
        <f>IF(Tabela3[[#This Row],[Lucro/Ação Ano]]&gt;0,Tabela3[[#This Row],[Cotação]]/Tabela3[[#This Row],[Lucro/Ação Ano]],0)</f>
        <v>6.0138321140194604</v>
      </c>
      <c r="N18" s="43" t="e">
        <f>Tabela3[[#This Row],[Lucro Prev]]/10%</f>
        <v>#REF!</v>
      </c>
      <c r="O18" s="41" t="e">
        <f>MIN(Tabela3[[#This Row],[10% Rentabilidade]],Tabela3[[#This Row],[VPA]]*2)</f>
        <v>#REF!</v>
      </c>
      <c r="P18" s="75" t="e">
        <f>Tabela3[[#This Row],[P Compra]]/Tabela3[[#This Row],[Cotação]]-1</f>
        <v>#REF!</v>
      </c>
      <c r="Q18" s="6" t="e">
        <f>Tabela3[[#This Row],[Lucro/Ação Ano]]*Tabela3[[#This Row],[Payout]]</f>
        <v>#REF!</v>
      </c>
      <c r="R18" s="38" t="e">
        <f>IF(AND(Tabela3[Rentabilidade]&gt;=10%,Tabela3[PVPA]&lt;=2,Tabela3[PL]&lt;=15,Tabela3[PL]&gt;0),"Sim","Não")</f>
        <v>#REF!</v>
      </c>
      <c r="S18" s="42" t="e">
        <f>Tabela3[[#This Row],[Lucro Prev]]/Tabela3[[#This Row],[Cotação]]</f>
        <v>#REF!</v>
      </c>
      <c r="T18" s="42" t="e">
        <f>(1+Tabela3[[#This Row],[Rentabilidade]])^(1/12)-1</f>
        <v>#REF!</v>
      </c>
      <c r="U18" s="10">
        <f>(Proventos!$Q$1/Tabela3[[#This Row],[Cotação]]-MOD(Proventos!$Q$1/Tabela3[[#This Row],[Cotação]],100))</f>
        <v>0</v>
      </c>
      <c r="V18" s="5" t="e">
        <f>Tabela3[[#This Row],[Ativos]]*Tabela3[[#This Row],[Lucro Prev]]</f>
        <v>#REF!</v>
      </c>
      <c r="W18" s="5" t="e">
        <f>Tabela3[[#This Row],[Lucro Med A.A]]/12</f>
        <v>#REF!</v>
      </c>
    </row>
    <row r="19" spans="1:23" x14ac:dyDescent="0.2">
      <c r="A19" s="35" t="s">
        <v>81</v>
      </c>
      <c r="B19" s="39" t="s">
        <v>87</v>
      </c>
      <c r="C19" s="21">
        <v>3</v>
      </c>
      <c r="D19" s="43">
        <v>10031194000</v>
      </c>
      <c r="E19" s="43">
        <v>852679000</v>
      </c>
      <c r="F19" s="40">
        <v>349547945</v>
      </c>
      <c r="G19" s="39">
        <f>Tabela3[[#This Row],[Lucro Líquido]]/Tabela3[[#This Row],[Total Ações]]</f>
        <v>2.439376377967263</v>
      </c>
      <c r="H19" s="39">
        <f>Tabela3[[#This Row],[Lucro/Ação]]/Tabela3[[#This Row],[Ref]]*4</f>
        <v>3.2525018372896839</v>
      </c>
      <c r="I19" s="24" t="e">
        <f>GETPIVOTDATA("Payout",'Tabela LL'!$A$3,"Ativo",Tabela3[[#This Row],[PAPEL]])</f>
        <v>#REF!</v>
      </c>
      <c r="J19" s="43">
        <f>Tabela3[Patrimônio Líquido]/Tabela3[Total Ações]</f>
        <v>28.697619721380423</v>
      </c>
      <c r="K19" s="45">
        <f>SUMPRODUCT(N(Tabela1[Código]=Tabela3[[#This Row],[PAPEL]]),Tabela1[Fechamento])</f>
        <v>24.35</v>
      </c>
      <c r="L19" s="46">
        <f>Tabela3[Cotação]/Tabela3[VPA]</f>
        <v>0.84850242760233741</v>
      </c>
      <c r="M19" s="52">
        <f>IF(Tabela3[[#This Row],[Lucro/Ação Ano]]&gt;0,Tabela3[[#This Row],[Cotação]]/Tabela3[[#This Row],[Lucro/Ação Ano]],0)</f>
        <v>7.4865445795692169</v>
      </c>
      <c r="N19" s="43" t="e">
        <f>Tabela3[[#This Row],[Lucro Prev]]/10%</f>
        <v>#REF!</v>
      </c>
      <c r="O19" s="41" t="e">
        <f>MIN(Tabela3[[#This Row],[10% Rentabilidade]],Tabela3[[#This Row],[VPA]]*2)</f>
        <v>#REF!</v>
      </c>
      <c r="P19" s="75" t="e">
        <f>Tabela3[[#This Row],[P Compra]]/Tabela3[[#This Row],[Cotação]]-1</f>
        <v>#REF!</v>
      </c>
      <c r="Q19" s="6" t="e">
        <f>Tabela3[[#This Row],[Lucro/Ação Ano]]*Tabela3[[#This Row],[Payout]]</f>
        <v>#REF!</v>
      </c>
      <c r="R19" s="38" t="e">
        <f>IF(AND(Tabela3[Rentabilidade]&gt;=10%,Tabela3[PVPA]&lt;=2,Tabela3[PL]&lt;=15,Tabela3[PL]&gt;0),"Sim","Não")</f>
        <v>#REF!</v>
      </c>
      <c r="S19" s="42" t="e">
        <f>Tabela3[[#This Row],[Lucro Prev]]/Tabela3[[#This Row],[Cotação]]</f>
        <v>#REF!</v>
      </c>
      <c r="T19" s="42" t="e">
        <f>(1+Tabela3[[#This Row],[Rentabilidade]])^(1/12)-1</f>
        <v>#REF!</v>
      </c>
      <c r="U19" s="10">
        <f>(Proventos!$Q$1/Tabela3[[#This Row],[Cotação]]-MOD(Proventos!$Q$1/Tabela3[[#This Row],[Cotação]],100))</f>
        <v>0</v>
      </c>
      <c r="V19" s="5" t="e">
        <f>Tabela3[[#This Row],[Ativos]]*Tabela3[[#This Row],[Lucro Prev]]</f>
        <v>#REF!</v>
      </c>
      <c r="W19" s="5" t="e">
        <f>Tabela3[[#This Row],[Lucro Med A.A]]/12</f>
        <v>#REF!</v>
      </c>
    </row>
    <row r="20" spans="1:23" x14ac:dyDescent="0.2">
      <c r="B20" s="10" t="s">
        <v>253</v>
      </c>
      <c r="C20" s="21">
        <v>3</v>
      </c>
      <c r="D20" s="5">
        <v>1343903000</v>
      </c>
      <c r="E20" s="5">
        <v>56493000</v>
      </c>
      <c r="F20" s="27">
        <v>73646388</v>
      </c>
      <c r="G20" s="21">
        <f>Tabela3[[#This Row],[Lucro Líquido]]/Tabela3[[#This Row],[Total Ações]]</f>
        <v>0.7670844631239756</v>
      </c>
      <c r="H20" s="21">
        <f>Tabela3[[#This Row],[Lucro/Ação]]/Tabela3[[#This Row],[Ref]]*4</f>
        <v>1.0227792841653007</v>
      </c>
      <c r="I20" s="23" t="e">
        <f>GETPIVOTDATA("Payout",'Tabela LL'!$A$3,"Ativo",Tabela3[[#This Row],[PAPEL]])</f>
        <v>#REF!</v>
      </c>
      <c r="J20" s="5">
        <f>Tabela3[Patrimônio Líquido]/Tabela3[Total Ações]</f>
        <v>18.248050399973451</v>
      </c>
      <c r="K20" s="83">
        <f>SUMPRODUCT(N(Tabela1[Código]=Tabela3[[#This Row],[PAPEL]]),Tabela1[Fechamento])</f>
        <v>5.96</v>
      </c>
      <c r="L20" s="84">
        <f>Tabela3[Cotação]/Tabela3[VPA]</f>
        <v>0.32661023338737988</v>
      </c>
      <c r="M20" s="54">
        <f>IF(Tabela3[[#This Row],[Lucro/Ação Ano]]&gt;0,Tabela3[[#This Row],[Cotação]]/Tabela3[[#This Row],[Lucro/Ação Ano]],0)</f>
        <v>5.8272592066273701</v>
      </c>
      <c r="N20" s="10" t="e">
        <f>Tabela3[[#This Row],[Lucro Prev]]/10%</f>
        <v>#REF!</v>
      </c>
      <c r="O20" s="85" t="e">
        <f>MIN(Tabela3[[#This Row],[10% Rentabilidade]],Tabela3[[#This Row],[VPA]]*2)</f>
        <v>#REF!</v>
      </c>
      <c r="P20" s="23" t="e">
        <f>Tabela3[[#This Row],[P Compra]]/Tabela3[[#This Row],[Cotação]]-1</f>
        <v>#REF!</v>
      </c>
      <c r="Q20" s="5" t="e">
        <f>Tabela3[[#This Row],[Lucro/Ação Ano]]*Tabela3[[#This Row],[Payout]]</f>
        <v>#REF!</v>
      </c>
      <c r="R20" s="10" t="e">
        <f>IF(AND(Tabela3[Rentabilidade]&gt;=10%,Tabela3[PVPA]&lt;=2,Tabela3[PL]&lt;=15,Tabela3[PL]&gt;0),"Sim","Não")</f>
        <v>#REF!</v>
      </c>
      <c r="S20" s="28" t="e">
        <f>Tabela3[[#This Row],[Lucro Prev]]/Tabela3[[#This Row],[Cotação]]</f>
        <v>#REF!</v>
      </c>
      <c r="T20" s="28" t="e">
        <f>(1+Tabela3[[#This Row],[Rentabilidade]])^(1/12)-1</f>
        <v>#REF!</v>
      </c>
      <c r="U20" s="10">
        <f>(Proventos!$Q$1/Tabela3[[#This Row],[Cotação]]-MOD(Proventos!$Q$1/Tabela3[[#This Row],[Cotação]],100))</f>
        <v>100</v>
      </c>
      <c r="V20" s="7" t="e">
        <f>Tabela3[[#This Row],[Ativos]]*Tabela3[[#This Row],[Lucro Prev]]</f>
        <v>#REF!</v>
      </c>
      <c r="W20" s="7" t="e">
        <f>Tabela3[[#This Row],[Lucro Med A.A]]/12</f>
        <v>#REF!</v>
      </c>
    </row>
    <row r="21" spans="1:23" x14ac:dyDescent="0.2">
      <c r="A21" s="35" t="s">
        <v>79</v>
      </c>
      <c r="B21" s="39" t="s">
        <v>78</v>
      </c>
      <c r="C21" s="20">
        <v>3</v>
      </c>
      <c r="D21" s="43">
        <v>498718000</v>
      </c>
      <c r="E21" s="43">
        <v>93693000</v>
      </c>
      <c r="F21" s="40">
        <v>98042555</v>
      </c>
      <c r="G21" s="39">
        <f>Tabela3[[#This Row],[Lucro Líquido]]/Tabela3[[#This Row],[Total Ações]]</f>
        <v>0.95563605008049823</v>
      </c>
      <c r="H21" s="39">
        <f>Tabela3[[#This Row],[Lucro/Ação]]/Tabela3[[#This Row],[Ref]]*4</f>
        <v>1.2741814001073311</v>
      </c>
      <c r="I21" s="74" t="e">
        <f>GETPIVOTDATA("Payout",'Tabela LL'!$A$3,"Ativo",Tabela3[[#This Row],[PAPEL]])</f>
        <v>#REF!</v>
      </c>
      <c r="J21" s="43">
        <f>Tabela3[Patrimônio Líquido]/Tabela3[Total Ações]</f>
        <v>5.0867503401966623</v>
      </c>
      <c r="K21" s="45">
        <f>SUMPRODUCT(N(Tabela1[Código]=Tabela3[[#This Row],[PAPEL]]),Tabela1[Fechamento])</f>
        <v>18.7</v>
      </c>
      <c r="L21" s="44">
        <f>Tabela3[Cotação]/Tabela3[VPA]</f>
        <v>3.6762173783581105</v>
      </c>
      <c r="M21" s="52">
        <f>IF(Tabela3[[#This Row],[Lucro/Ação Ano]]&gt;0,Tabela3[[#This Row],[Cotação]]/Tabela3[[#This Row],[Lucro/Ação Ano]],0)</f>
        <v>14.676089290288493</v>
      </c>
      <c r="N21" s="43" t="e">
        <f>Tabela3[[#This Row],[Lucro Prev]]/10%</f>
        <v>#REF!</v>
      </c>
      <c r="O21" s="41" t="e">
        <f>MIN(Tabela3[[#This Row],[10% Rentabilidade]],Tabela3[[#This Row],[VPA]]*2)</f>
        <v>#REF!</v>
      </c>
      <c r="P21" s="75" t="e">
        <f>Tabela3[[#This Row],[P Compra]]/Tabela3[[#This Row],[Cotação]]-1</f>
        <v>#REF!</v>
      </c>
      <c r="Q21" s="6" t="e">
        <f>Tabela3[[#This Row],[Lucro/Ação Ano]]*Tabela3[[#This Row],[Payout]]</f>
        <v>#REF!</v>
      </c>
      <c r="R21" s="38" t="e">
        <f>IF(AND(Tabela3[Rentabilidade]&gt;=10%,Tabela3[PVPA]&lt;=2,Tabela3[PL]&lt;=15,Tabela3[PL]&gt;0),"Sim","Não")</f>
        <v>#REF!</v>
      </c>
      <c r="S21" s="42" t="e">
        <f>Tabela3[[#This Row],[Lucro Prev]]/Tabela3[[#This Row],[Cotação]]</f>
        <v>#REF!</v>
      </c>
      <c r="T21" s="42" t="e">
        <f>(1+Tabela3[[#This Row],[Rentabilidade]])^(1/12)-1</f>
        <v>#REF!</v>
      </c>
      <c r="U21" s="10">
        <f>(Proventos!$Q$1/Tabela3[[#This Row],[Cotação]]-MOD(Proventos!$Q$1/Tabela3[[#This Row],[Cotação]],100))</f>
        <v>0</v>
      </c>
      <c r="V21" s="7" t="e">
        <f>Tabela3[[#This Row],[Ativos]]*Tabela3[[#This Row],[Lucro Prev]]</f>
        <v>#REF!</v>
      </c>
      <c r="W21" s="7" t="e">
        <f>Tabela3[[#This Row],[Lucro Med A.A]]/12</f>
        <v>#REF!</v>
      </c>
    </row>
    <row r="22" spans="1:23" x14ac:dyDescent="0.2">
      <c r="A22" s="35" t="s">
        <v>73</v>
      </c>
      <c r="B22" s="39" t="s">
        <v>72</v>
      </c>
      <c r="C22" s="21">
        <v>3</v>
      </c>
      <c r="D22" s="43">
        <v>9225904000</v>
      </c>
      <c r="E22" s="43">
        <v>383297000</v>
      </c>
      <c r="F22" s="40">
        <v>457066306</v>
      </c>
      <c r="G22" s="39">
        <f>Tabela3[[#This Row],[Lucro Líquido]]/Tabela3[[#This Row],[Total Ações]]</f>
        <v>0.83860261622522658</v>
      </c>
      <c r="H22" s="39">
        <f>Tabela3[[#This Row],[Lucro/Ação]]/Tabela3[[#This Row],[Ref]]*4</f>
        <v>1.1181368216336354</v>
      </c>
      <c r="I22" s="74" t="e">
        <f>GETPIVOTDATA("Payout",'Tabela LL'!$A$3,"Ativo",Tabela3[[#This Row],[PAPEL]])</f>
        <v>#REF!</v>
      </c>
      <c r="J22" s="43">
        <f>Tabela3[Patrimônio Líquido]/Tabela3[Total Ações]</f>
        <v>20.185045099342762</v>
      </c>
      <c r="K22" s="45">
        <f>SUMPRODUCT(N(Tabela1[Código]=Tabela3[[#This Row],[PAPEL]]),Tabela1[Fechamento])</f>
        <v>17.3</v>
      </c>
      <c r="L22" s="44">
        <f>Tabela3[Cotação]/Tabela3[VPA]</f>
        <v>0.85707016827836069</v>
      </c>
      <c r="M22" s="52">
        <f>IF(Tabela3[[#This Row],[Lucro/Ação Ano]]&gt;0,Tabela3[[#This Row],[Cotação]]/Tabela3[[#This Row],[Lucro/Ação Ano]],0)</f>
        <v>15.472167328077186</v>
      </c>
      <c r="N22" s="43" t="e">
        <f>Tabela3[[#This Row],[Lucro Prev]]/10%</f>
        <v>#REF!</v>
      </c>
      <c r="O22" s="41" t="e">
        <f>MIN(Tabela3[[#This Row],[10% Rentabilidade]],Tabela3[[#This Row],[VPA]]*2)</f>
        <v>#REF!</v>
      </c>
      <c r="P22" s="75" t="e">
        <f>Tabela3[[#This Row],[P Compra]]/Tabela3[[#This Row],[Cotação]]-1</f>
        <v>#REF!</v>
      </c>
      <c r="Q22" s="6" t="e">
        <f>Tabela3[[#This Row],[Lucro/Ação Ano]]*Tabela3[[#This Row],[Payout]]</f>
        <v>#REF!</v>
      </c>
      <c r="R22" s="38" t="e">
        <f>IF(AND(Tabela3[Rentabilidade]&gt;=10%,Tabela3[PVPA]&lt;=2,Tabela3[PL]&lt;=15,Tabela3[PL]&gt;0),"Sim","Não")</f>
        <v>#REF!</v>
      </c>
      <c r="S22" s="42" t="e">
        <f>Tabela3[[#This Row],[Lucro Prev]]/Tabela3[[#This Row],[Cotação]]</f>
        <v>#REF!</v>
      </c>
      <c r="T22" s="42" t="e">
        <f>(1+Tabela3[[#This Row],[Rentabilidade]])^(1/12)-1</f>
        <v>#REF!</v>
      </c>
      <c r="U22" s="10">
        <f>(Proventos!$Q$1/Tabela3[[#This Row],[Cotação]]-MOD(Proventos!$Q$1/Tabela3[[#This Row],[Cotação]],100))</f>
        <v>0</v>
      </c>
      <c r="V22" s="5" t="e">
        <f>Tabela3[[#This Row],[Ativos]]*Tabela3[[#This Row],[Lucro Prev]]</f>
        <v>#REF!</v>
      </c>
      <c r="W22" s="5" t="e">
        <f>Tabela3[[#This Row],[Lucro Med A.A]]/12</f>
        <v>#REF!</v>
      </c>
    </row>
    <row r="23" spans="1:23" x14ac:dyDescent="0.2">
      <c r="A23" s="35" t="s">
        <v>73</v>
      </c>
      <c r="B23" s="39" t="s">
        <v>75</v>
      </c>
      <c r="C23" s="20">
        <v>3</v>
      </c>
      <c r="D23" s="43">
        <v>8186538000</v>
      </c>
      <c r="E23" s="43">
        <v>226784000</v>
      </c>
      <c r="F23" s="40">
        <v>312653445</v>
      </c>
      <c r="G23" s="39">
        <f>Tabela3[[#This Row],[Lucro Líquido]]/Tabela3[[#This Row],[Total Ações]]</f>
        <v>0.72535263444802278</v>
      </c>
      <c r="H23" s="39">
        <f>Tabela3[[#This Row],[Lucro/Ação]]/Tabela3[[#This Row],[Ref]]*4</f>
        <v>0.96713684593069704</v>
      </c>
      <c r="I23" s="74" t="e">
        <f>GETPIVOTDATA("Payout",'Tabela LL'!$A$3,"Ativo",Tabela3[[#This Row],[PAPEL]])</f>
        <v>#REF!</v>
      </c>
      <c r="J23" s="43">
        <f>Tabela3[Patrimônio Líquido]/Tabela3[Total Ações]</f>
        <v>26.18406459586588</v>
      </c>
      <c r="K23" s="45">
        <f>SUMPRODUCT(N(Tabela1[Código]=Tabela3[[#This Row],[PAPEL]]),Tabela1[Fechamento])</f>
        <v>18.45</v>
      </c>
      <c r="L23" s="44">
        <f>Tabela3[Cotação]/Tabela3[VPA]</f>
        <v>0.70462704262167963</v>
      </c>
      <c r="M23" s="52">
        <f>IF(Tabela3[[#This Row],[Lucro/Ação Ano]]&gt;0,Tabela3[[#This Row],[Cotação]]/Tabela3[[#This Row],[Lucro/Ação Ano]],0)</f>
        <v>19.076928024849636</v>
      </c>
      <c r="N23" s="43" t="e">
        <f>Tabela3[[#This Row],[Lucro Prev]]/10%</f>
        <v>#REF!</v>
      </c>
      <c r="O23" s="41" t="e">
        <f>MIN(Tabela3[[#This Row],[10% Rentabilidade]],Tabela3[[#This Row],[VPA]]*2)</f>
        <v>#REF!</v>
      </c>
      <c r="P23" s="75" t="e">
        <f>Tabela3[[#This Row],[P Compra]]/Tabela3[[#This Row],[Cotação]]-1</f>
        <v>#REF!</v>
      </c>
      <c r="Q23" s="6" t="e">
        <f>Tabela3[[#This Row],[Lucro/Ação Ano]]*Tabela3[[#This Row],[Payout]]</f>
        <v>#REF!</v>
      </c>
      <c r="R23" s="38" t="e">
        <f>IF(AND(Tabela3[Rentabilidade]&gt;=10%,Tabela3[PVPA]&lt;=2,Tabela3[PL]&lt;=15,Tabela3[PL]&gt;0),"Sim","Não")</f>
        <v>#REF!</v>
      </c>
      <c r="S23" s="42" t="e">
        <f>Tabela3[[#This Row],[Lucro Prev]]/Tabela3[[#This Row],[Cotação]]</f>
        <v>#REF!</v>
      </c>
      <c r="T23" s="42" t="e">
        <f>(1+Tabela3[[#This Row],[Rentabilidade]])^(1/12)-1</f>
        <v>#REF!</v>
      </c>
      <c r="U23" s="10">
        <f>(Proventos!$Q$1/Tabela3[[#This Row],[Cotação]]-MOD(Proventos!$Q$1/Tabela3[[#This Row],[Cotação]],100))</f>
        <v>0</v>
      </c>
      <c r="V23" s="5" t="e">
        <f>Tabela3[[#This Row],[Ativos]]*Tabela3[[#This Row],[Lucro Prev]]</f>
        <v>#REF!</v>
      </c>
      <c r="W23" s="5" t="e">
        <f>Tabela3[[#This Row],[Lucro Med A.A]]/12</f>
        <v>#REF!</v>
      </c>
    </row>
    <row r="24" spans="1:23" x14ac:dyDescent="0.2">
      <c r="A24" s="35" t="s">
        <v>33</v>
      </c>
      <c r="B24" s="39" t="s">
        <v>71</v>
      </c>
      <c r="C24" s="21">
        <v>3</v>
      </c>
      <c r="D24" s="43">
        <v>5008604000</v>
      </c>
      <c r="E24" s="43">
        <v>602652000</v>
      </c>
      <c r="F24" s="40">
        <v>408974477</v>
      </c>
      <c r="G24" s="39">
        <f>Tabela3[[#This Row],[Lucro Líquido]]/Tabela3[[#This Row],[Total Ações]]</f>
        <v>1.4735687283487864</v>
      </c>
      <c r="H24" s="39">
        <f>Tabela3[[#This Row],[Lucro/Ação]]/Tabela3[[#This Row],[Ref]]*4</f>
        <v>1.9647583044650485</v>
      </c>
      <c r="I24" s="24" t="e">
        <f>GETPIVOTDATA("Payout",'Tabela LL'!$A$3,"Ativo",Tabela3[[#This Row],[PAPEL]])</f>
        <v>#REF!</v>
      </c>
      <c r="J24" s="43">
        <f>Tabela3[Patrimônio Líquido]/Tabela3[Total Ações]</f>
        <v>12.246739788605439</v>
      </c>
      <c r="K24" s="45">
        <f>SUMPRODUCT(N(Tabela1[Código]=Tabela3[[#This Row],[PAPEL]]),Tabela1[Fechamento])</f>
        <v>12.55</v>
      </c>
      <c r="L24" s="44">
        <f>Tabela3[Cotação]/Tabela3[VPA]</f>
        <v>1.024762525915405</v>
      </c>
      <c r="M24" s="52">
        <f>IF(Tabela3[[#This Row],[Lucro/Ação Ano]]&gt;0,Tabela3[[#This Row],[Cotação]]/Tabela3[[#This Row],[Lucro/Ação Ano]],0)</f>
        <v>6.3875541187327016</v>
      </c>
      <c r="N24" s="43" t="e">
        <f>Tabela3[[#This Row],[Lucro Prev]]/10%</f>
        <v>#REF!</v>
      </c>
      <c r="O24" s="41" t="e">
        <f>MIN(Tabela3[[#This Row],[10% Rentabilidade]],Tabela3[[#This Row],[VPA]]*2)</f>
        <v>#REF!</v>
      </c>
      <c r="P24" s="75" t="e">
        <f>Tabela3[[#This Row],[P Compra]]/Tabela3[[#This Row],[Cotação]]-1</f>
        <v>#REF!</v>
      </c>
      <c r="Q24" s="6" t="e">
        <f>Tabela3[[#This Row],[Lucro/Ação Ano]]*Tabela3[[#This Row],[Payout]]</f>
        <v>#REF!</v>
      </c>
      <c r="R24" s="38" t="e">
        <f>IF(AND(Tabela3[Rentabilidade]&gt;=10%,Tabela3[PVPA]&lt;=2,Tabela3[PL]&lt;=15,Tabela3[PL]&gt;0),"Sim","Não")</f>
        <v>#REF!</v>
      </c>
      <c r="S24" s="42" t="e">
        <f>Tabela3[[#This Row],[Lucro Prev]]/Tabela3[[#This Row],[Cotação]]</f>
        <v>#REF!</v>
      </c>
      <c r="T24" s="42" t="e">
        <f>(1+Tabela3[[#This Row],[Rentabilidade]])^(1/12)-1</f>
        <v>#REF!</v>
      </c>
      <c r="U24" s="10">
        <f>(Proventos!$Q$1/Tabela3[[#This Row],[Cotação]]-MOD(Proventos!$Q$1/Tabela3[[#This Row],[Cotação]],100))</f>
        <v>0</v>
      </c>
      <c r="V24" s="7" t="e">
        <f>Tabela3[[#This Row],[Ativos]]*Tabela3[[#This Row],[Lucro Prev]]</f>
        <v>#REF!</v>
      </c>
      <c r="W24" s="7" t="e">
        <f>Tabela3[[#This Row],[Lucro Med A.A]]/12</f>
        <v>#REF!</v>
      </c>
    </row>
    <row r="25" spans="1:23" x14ac:dyDescent="0.2">
      <c r="A25" s="35" t="s">
        <v>69</v>
      </c>
      <c r="B25" s="39" t="s">
        <v>68</v>
      </c>
      <c r="C25" s="20">
        <v>3</v>
      </c>
      <c r="D25" s="43">
        <v>19337591000</v>
      </c>
      <c r="E25" s="43">
        <v>899915000</v>
      </c>
      <c r="F25" s="40">
        <v>1980000000</v>
      </c>
      <c r="G25" s="39">
        <f>Tabela3[[#This Row],[Lucro Líquido]]/Tabela3[[#This Row],[Total Ações]]</f>
        <v>0.45450252525252527</v>
      </c>
      <c r="H25" s="39">
        <f>Tabela3[[#This Row],[Lucro/Ação]]/Tabela3[[#This Row],[Ref]]*4</f>
        <v>0.60600336700336699</v>
      </c>
      <c r="I25" s="74" t="e">
        <f>GETPIVOTDATA("Payout",'Tabela LL'!$A$3,"Ativo",Tabela3[[#This Row],[PAPEL]])</f>
        <v>#REF!</v>
      </c>
      <c r="J25" s="43">
        <f>Tabela3[Patrimônio Líquido]/Tabela3[Total Ações]</f>
        <v>9.7664601010101002</v>
      </c>
      <c r="K25" s="45">
        <f>SUMPRODUCT(N(Tabela1[Código]=Tabela3[[#This Row],[PAPEL]]),Tabela1[Fechamento])</f>
        <v>10.63</v>
      </c>
      <c r="L25" s="44">
        <f>Tabela3[Cotação]/Tabela3[VPA]</f>
        <v>1.088418924570284</v>
      </c>
      <c r="M25" s="52">
        <f>IF(Tabela3[[#This Row],[Lucro/Ação Ano]]&gt;0,Tabela3[[#This Row],[Cotação]]/Tabela3[[#This Row],[Lucro/Ação Ano]],0)</f>
        <v>17.541156664796123</v>
      </c>
      <c r="N25" s="43" t="e">
        <f>Tabela3[[#This Row],[Lucro Prev]]/10%</f>
        <v>#REF!</v>
      </c>
      <c r="O25" s="41" t="e">
        <f>MIN(Tabela3[[#This Row],[10% Rentabilidade]],Tabela3[[#This Row],[VPA]]*2)</f>
        <v>#REF!</v>
      </c>
      <c r="P25" s="75" t="e">
        <f>Tabela3[[#This Row],[P Compra]]/Tabela3[[#This Row],[Cotação]]-1</f>
        <v>#REF!</v>
      </c>
      <c r="Q25" s="6" t="e">
        <f>Tabela3[[#This Row],[Lucro/Ação Ano]]*Tabela3[[#This Row],[Payout]]</f>
        <v>#REF!</v>
      </c>
      <c r="R25" s="38" t="e">
        <f>IF(AND(Tabela3[Rentabilidade]&gt;=10%,Tabela3[PVPA]&lt;=2,Tabela3[PL]&lt;=15,Tabela3[PL]&gt;0),"Sim","Não")</f>
        <v>#REF!</v>
      </c>
      <c r="S25" s="42" t="e">
        <f>Tabela3[[#This Row],[Lucro Prev]]/Tabela3[[#This Row],[Cotação]]</f>
        <v>#REF!</v>
      </c>
      <c r="T25" s="42" t="e">
        <f>(1+Tabela3[[#This Row],[Rentabilidade]])^(1/12)-1</f>
        <v>#REF!</v>
      </c>
      <c r="U25" s="10">
        <f>(Proventos!$Q$1/Tabela3[[#This Row],[Cotação]]-MOD(Proventos!$Q$1/Tabela3[[#This Row],[Cotação]],100))</f>
        <v>0</v>
      </c>
      <c r="V25" s="7" t="e">
        <f>Tabela3[[#This Row],[Ativos]]*Tabela3[[#This Row],[Lucro Prev]]</f>
        <v>#REF!</v>
      </c>
      <c r="W25" s="7" t="e">
        <f>Tabela3[[#This Row],[Lucro Med A.A]]/12</f>
        <v>#REF!</v>
      </c>
    </row>
    <row r="26" spans="1:23" x14ac:dyDescent="0.2">
      <c r="A26" s="4"/>
      <c r="B26" s="14" t="s">
        <v>225</v>
      </c>
      <c r="C26" s="20">
        <v>3</v>
      </c>
      <c r="D26" s="6">
        <v>700441000</v>
      </c>
      <c r="E26" s="6">
        <v>28746000</v>
      </c>
      <c r="F26" s="56">
        <v>9183458</v>
      </c>
      <c r="G26" s="20">
        <f>Tabela3[[#This Row],[Lucro Líquido]]/Tabela3[[#This Row],[Total Ações]]</f>
        <v>3.1301934412941184</v>
      </c>
      <c r="H26" s="20">
        <f>Tabela3[[#This Row],[Lucro/Ação]]/Tabela3[[#This Row],[Ref]]*4</f>
        <v>4.1735912550588248</v>
      </c>
      <c r="I26" s="24" t="e">
        <f>GETPIVOTDATA("Payout",'Tabela LL'!$A$3,"Ativo",Tabela3[[#This Row],[PAPEL]])</f>
        <v>#REF!</v>
      </c>
      <c r="J26" s="6">
        <f>Tabela3[Patrimônio Líquido]/Tabela3[Total Ações]</f>
        <v>76.272031733580093</v>
      </c>
      <c r="K26" s="73">
        <f>SUMPRODUCT(N(Tabela1[Código]=Tabela3[[#This Row],[PAPEL]]),Tabela1[Fechamento])</f>
        <v>17.079999999999998</v>
      </c>
      <c r="L26" s="66">
        <f>Tabela3[Cotação]/Tabela3[VPA]</f>
        <v>0.22393529596354295</v>
      </c>
      <c r="M26" s="59">
        <f>IF(Tabela3[[#This Row],[Lucro/Ação Ano]]&gt;0,Tabela3[[#This Row],[Cotação]]/Tabela3[[#This Row],[Lucro/Ação Ano]],0)</f>
        <v>4.0923988374034641</v>
      </c>
      <c r="N26" s="14" t="e">
        <f>Tabela3[[#This Row],[Lucro Prev]]/10%</f>
        <v>#REF!</v>
      </c>
      <c r="O26" s="22" t="e">
        <f>MIN(Tabela3[[#This Row],[10% Rentabilidade]],Tabela3[[#This Row],[VPA]]*2)</f>
        <v>#REF!</v>
      </c>
      <c r="P26" s="24" t="e">
        <f>Tabela3[[#This Row],[P Compra]]/Tabela3[[#This Row],[Cotação]]-1</f>
        <v>#REF!</v>
      </c>
      <c r="Q26" s="6" t="e">
        <f>Tabela3[[#This Row],[Lucro/Ação Ano]]*Tabela3[[#This Row],[Payout]]</f>
        <v>#REF!</v>
      </c>
      <c r="R26" s="14" t="e">
        <f>IF(AND(Tabela3[Rentabilidade]&gt;=10%,Tabela3[PVPA]&lt;=2,Tabela3[PL]&lt;=15,Tabela3[PL]&gt;0),"Sim","Não")</f>
        <v>#REF!</v>
      </c>
      <c r="S26" s="61" t="e">
        <f>Tabela3[[#This Row],[Lucro Prev]]/Tabela3[[#This Row],[Cotação]]</f>
        <v>#REF!</v>
      </c>
      <c r="T26" s="61" t="e">
        <f>(1+Tabela3[[#This Row],[Rentabilidade]])^(1/12)-1</f>
        <v>#REF!</v>
      </c>
      <c r="U26" s="14">
        <f>(Proventos!$Q$1/Tabela3[[#This Row],[Cotação]]-MOD(Proventos!$Q$1/Tabela3[[#This Row],[Cotação]],100))</f>
        <v>0</v>
      </c>
      <c r="V26" s="22" t="e">
        <f>Tabela3[[#This Row],[Ativos]]*Tabela3[[#This Row],[Lucro Prev]]</f>
        <v>#REF!</v>
      </c>
      <c r="W26" s="22" t="e">
        <f>Tabela3[[#This Row],[Lucro Med A.A]]/12</f>
        <v>#REF!</v>
      </c>
    </row>
    <row r="27" spans="1:23" x14ac:dyDescent="0.2">
      <c r="A27" s="4"/>
      <c r="B27" s="14" t="s">
        <v>228</v>
      </c>
      <c r="C27" s="20">
        <v>3</v>
      </c>
      <c r="D27" s="6">
        <v>3707916000</v>
      </c>
      <c r="E27" s="6">
        <v>63180000</v>
      </c>
      <c r="F27" s="56">
        <v>74612388</v>
      </c>
      <c r="G27" s="20">
        <f>Tabela3[[#This Row],[Lucro Líquido]]/Tabela3[[#This Row],[Total Ações]]</f>
        <v>0.84677627527482435</v>
      </c>
      <c r="H27" s="20">
        <f>Tabela3[[#This Row],[Lucro/Ação]]/Tabela3[[#This Row],[Ref]]*4</f>
        <v>1.1290350336997659</v>
      </c>
      <c r="I27" s="60" t="e">
        <f>GETPIVOTDATA("Payout",'Tabela LL'!$A$3,"Ativo",Tabela3[[#This Row],[PAPEL]])</f>
        <v>#REF!</v>
      </c>
      <c r="J27" s="6">
        <f>Tabela3[Patrimônio Líquido]/Tabela3[Total Ações]</f>
        <v>49.69571540854583</v>
      </c>
      <c r="K27" s="73">
        <f>SUMPRODUCT(N(Tabela1[Código]=Tabela3[[#This Row],[PAPEL]]),Tabela1[Fechamento])</f>
        <v>18</v>
      </c>
      <c r="L27" s="66">
        <f>Tabela3[Cotação]/Tabela3[VPA]</f>
        <v>0.36220426352700547</v>
      </c>
      <c r="M27" s="59">
        <f>IF(Tabela3[[#This Row],[Lucro/Ação Ano]]&gt;0,Tabela3[[#This Row],[Cotação]]/Tabela3[[#This Row],[Lucro/Ação Ano]],0)</f>
        <v>15.942817948717947</v>
      </c>
      <c r="N27" s="14" t="e">
        <f>Tabela3[[#This Row],[Lucro Prev]]/10%</f>
        <v>#REF!</v>
      </c>
      <c r="O27" s="22" t="e">
        <f>MIN(Tabela3[[#This Row],[10% Rentabilidade]],Tabela3[[#This Row],[VPA]]*2)</f>
        <v>#REF!</v>
      </c>
      <c r="P27" s="24" t="e">
        <f>Tabela3[[#This Row],[P Compra]]/Tabela3[[#This Row],[Cotação]]-1</f>
        <v>#REF!</v>
      </c>
      <c r="Q27" s="6" t="e">
        <f>Tabela3[[#This Row],[Lucro/Ação Ano]]*Tabela3[[#This Row],[Payout]]</f>
        <v>#REF!</v>
      </c>
      <c r="R27" s="14" t="e">
        <f>IF(AND(Tabela3[Rentabilidade]&gt;=10%,Tabela3[PVPA]&lt;=2,Tabela3[PL]&lt;=15,Tabela3[PL]&gt;0),"Sim","Não")</f>
        <v>#REF!</v>
      </c>
      <c r="S27" s="61" t="e">
        <f>Tabela3[[#This Row],[Lucro Prev]]/Tabela3[[#This Row],[Cotação]]</f>
        <v>#REF!</v>
      </c>
      <c r="T27" s="61" t="e">
        <f>(1+Tabela3[[#This Row],[Rentabilidade]])^(1/12)-1</f>
        <v>#REF!</v>
      </c>
      <c r="U27" s="14">
        <f>(Proventos!$Q$1/Tabela3[[#This Row],[Cotação]]-MOD(Proventos!$Q$1/Tabela3[[#This Row],[Cotação]],100))</f>
        <v>0</v>
      </c>
      <c r="V27" s="22" t="e">
        <f>Tabela3[[#This Row],[Ativos]]*Tabela3[[#This Row],[Lucro Prev]]</f>
        <v>#REF!</v>
      </c>
      <c r="W27" s="22" t="e">
        <f>Tabela3[[#This Row],[Lucro Med A.A]]/12</f>
        <v>#REF!</v>
      </c>
    </row>
    <row r="28" spans="1:23" x14ac:dyDescent="0.2">
      <c r="A28" s="4"/>
      <c r="B28" s="14" t="s">
        <v>232</v>
      </c>
      <c r="C28" s="20">
        <v>3</v>
      </c>
      <c r="D28" s="6">
        <v>10479149000</v>
      </c>
      <c r="E28" s="6">
        <v>795212000</v>
      </c>
      <c r="F28" s="56">
        <v>327502673</v>
      </c>
      <c r="G28" s="20">
        <f>Tabela3[[#This Row],[Lucro Líquido]]/Tabela3[[#This Row],[Total Ações]]</f>
        <v>2.4281084264616064</v>
      </c>
      <c r="H28" s="20">
        <f>Tabela3[[#This Row],[Lucro/Ação]]/Tabela3[[#This Row],[Ref]]*4</f>
        <v>3.2374779019488087</v>
      </c>
      <c r="I28" s="24" t="e">
        <f>GETPIVOTDATA("Payout",'Tabela LL'!$A$3,"Ativo",Tabela3[[#This Row],[PAPEL]])</f>
        <v>#REF!</v>
      </c>
      <c r="J28" s="6">
        <f>Tabela3[Patrimônio Líquido]/Tabela3[Total Ações]</f>
        <v>31.99714037143141</v>
      </c>
      <c r="K28" s="73">
        <f>SUMPRODUCT(N(Tabela1[Código]=Tabela3[[#This Row],[PAPEL]]),Tabela1[Fechamento])</f>
        <v>19.5</v>
      </c>
      <c r="L28" s="66">
        <f>Tabela3[Cotação]/Tabela3[VPA]</f>
        <v>0.60942946068425974</v>
      </c>
      <c r="M28" s="59">
        <f>IF(Tabela3[[#This Row],[Lucro/Ação Ano]]&gt;0,Tabela3[[#This Row],[Cotação]]/Tabela3[[#This Row],[Lucro/Ação Ano]],0)</f>
        <v>6.0232071354871399</v>
      </c>
      <c r="N28" s="14" t="e">
        <f>Tabela3[[#This Row],[Lucro Prev]]/10%</f>
        <v>#REF!</v>
      </c>
      <c r="O28" s="22" t="e">
        <f>MIN(Tabela3[[#This Row],[10% Rentabilidade]],Tabela3[[#This Row],[VPA]]*2)</f>
        <v>#REF!</v>
      </c>
      <c r="P28" s="24" t="e">
        <f>Tabela3[[#This Row],[P Compra]]/Tabela3[[#This Row],[Cotação]]-1</f>
        <v>#REF!</v>
      </c>
      <c r="Q28" s="6" t="e">
        <f>Tabela3[[#This Row],[Lucro/Ação Ano]]*Tabela3[[#This Row],[Payout]]</f>
        <v>#REF!</v>
      </c>
      <c r="R28" s="14" t="e">
        <f>IF(AND(Tabela3[Rentabilidade]&gt;=10%,Tabela3[PVPA]&lt;=2,Tabela3[PL]&lt;=15,Tabela3[PL]&gt;0),"Sim","Não")</f>
        <v>#REF!</v>
      </c>
      <c r="S28" s="61" t="e">
        <f>Tabela3[[#This Row],[Lucro Prev]]/Tabela3[[#This Row],[Cotação]]</f>
        <v>#REF!</v>
      </c>
      <c r="T28" s="61" t="e">
        <f>(1+Tabela3[[#This Row],[Rentabilidade]])^(1/12)-1</f>
        <v>#REF!</v>
      </c>
      <c r="U28" s="14">
        <f>(Proventos!$Q$1/Tabela3[[#This Row],[Cotação]]-MOD(Proventos!$Q$1/Tabela3[[#This Row],[Cotação]],100))</f>
        <v>0</v>
      </c>
      <c r="V28" s="22" t="e">
        <f>Tabela3[[#This Row],[Ativos]]*Tabela3[[#This Row],[Lucro Prev]]</f>
        <v>#REF!</v>
      </c>
      <c r="W28" s="22" t="e">
        <f>Tabela3[[#This Row],[Lucro Med A.A]]/12</f>
        <v>#REF!</v>
      </c>
    </row>
    <row r="29" spans="1:23" x14ac:dyDescent="0.2">
      <c r="A29" s="4"/>
      <c r="B29" s="14" t="s">
        <v>230</v>
      </c>
      <c r="C29" s="20">
        <v>3</v>
      </c>
      <c r="D29" s="6">
        <v>1927248000</v>
      </c>
      <c r="E29" s="6">
        <v>149553000</v>
      </c>
      <c r="F29" s="56">
        <v>38571591</v>
      </c>
      <c r="G29" s="20">
        <f>Tabela3[[#This Row],[Lucro Líquido]]/Tabela3[[#This Row],[Total Ações]]</f>
        <v>3.8772836723276467</v>
      </c>
      <c r="H29" s="20">
        <f>Tabela3[[#This Row],[Lucro/Ação]]/Tabela3[[#This Row],[Ref]]*4</f>
        <v>5.1697115631035286</v>
      </c>
      <c r="I29" s="24" t="e">
        <f>GETPIVOTDATA("Payout",'Tabela LL'!$A$3,"Ativo",Tabela3[[#This Row],[PAPEL]])</f>
        <v>#REF!</v>
      </c>
      <c r="J29" s="6">
        <f>Tabela3[Patrimônio Líquido]/Tabela3[Total Ações]</f>
        <v>49.965478478707297</v>
      </c>
      <c r="K29" s="73">
        <f>SUMPRODUCT(N(Tabela1[Código]=Tabela3[[#This Row],[PAPEL]]),Tabela1[Fechamento])</f>
        <v>18.98</v>
      </c>
      <c r="L29" s="66">
        <f>Tabela3[Cotação]/Tabela3[VPA]</f>
        <v>0.37986226846778409</v>
      </c>
      <c r="M29" s="59">
        <f>IF(Tabela3[[#This Row],[Lucro/Ação Ano]]&gt;0,Tabela3[[#This Row],[Cotação]]/Tabela3[[#This Row],[Lucro/Ação Ano]],0)</f>
        <v>3.6713847123427814</v>
      </c>
      <c r="N29" s="14" t="e">
        <f>Tabela3[[#This Row],[Lucro Prev]]/10%</f>
        <v>#REF!</v>
      </c>
      <c r="O29" s="22" t="e">
        <f>MIN(Tabela3[[#This Row],[10% Rentabilidade]],Tabela3[[#This Row],[VPA]]*2)</f>
        <v>#REF!</v>
      </c>
      <c r="P29" s="24" t="e">
        <f>Tabela3[[#This Row],[P Compra]]/Tabela3[[#This Row],[Cotação]]-1</f>
        <v>#REF!</v>
      </c>
      <c r="Q29" s="6" t="e">
        <f>Tabela3[[#This Row],[Lucro/Ação Ano]]*Tabela3[[#This Row],[Payout]]</f>
        <v>#REF!</v>
      </c>
      <c r="R29" s="14" t="e">
        <f>IF(AND(Tabela3[Rentabilidade]&gt;=10%,Tabela3[PVPA]&lt;=2,Tabela3[PL]&lt;=15,Tabela3[PL]&gt;0),"Sim","Não")</f>
        <v>#REF!</v>
      </c>
      <c r="S29" s="61" t="e">
        <f>Tabela3[[#This Row],[Lucro Prev]]/Tabela3[[#This Row],[Cotação]]</f>
        <v>#REF!</v>
      </c>
      <c r="T29" s="61" t="e">
        <f>(1+Tabela3[[#This Row],[Rentabilidade]])^(1/12)-1</f>
        <v>#REF!</v>
      </c>
      <c r="U29" s="14">
        <f>(Proventos!$Q$1/Tabela3[[#This Row],[Cotação]]-MOD(Proventos!$Q$1/Tabela3[[#This Row],[Cotação]],100))</f>
        <v>0</v>
      </c>
      <c r="V29" s="22" t="e">
        <f>Tabela3[[#This Row],[Ativos]]*Tabela3[[#This Row],[Lucro Prev]]</f>
        <v>#REF!</v>
      </c>
      <c r="W29" s="22" t="e">
        <f>Tabela3[[#This Row],[Lucro Med A.A]]/12</f>
        <v>#REF!</v>
      </c>
    </row>
    <row r="30" spans="1:23" x14ac:dyDescent="0.2">
      <c r="A30" s="35" t="s">
        <v>23</v>
      </c>
      <c r="B30" s="39" t="s">
        <v>93</v>
      </c>
      <c r="C30" s="21">
        <v>3</v>
      </c>
      <c r="D30" s="43">
        <v>13197926000</v>
      </c>
      <c r="E30" s="43">
        <v>2271426000</v>
      </c>
      <c r="F30" s="40">
        <v>962672385</v>
      </c>
      <c r="G30" s="39">
        <f>Tabela3[[#This Row],[Lucro Líquido]]/Tabela3[[#This Row],[Total Ações]]</f>
        <v>2.3595005272743959</v>
      </c>
      <c r="H30" s="39">
        <f>Tabela3[[#This Row],[Lucro/Ação]]/Tabela3[[#This Row],[Ref]]*4</f>
        <v>3.1460007030325277</v>
      </c>
      <c r="I30" s="24" t="e">
        <f>GETPIVOTDATA("Payout",'Tabela LL'!$A$3,"Ativo",Tabela3[[#This Row],[PAPEL]])</f>
        <v>#REF!</v>
      </c>
      <c r="J30" s="43">
        <f>Tabela3[Patrimônio Líquido]/Tabela3[Total Ações]</f>
        <v>13.709675488406162</v>
      </c>
      <c r="K30" s="45">
        <f>SUMPRODUCT(N(Tabela1[Código]=Tabela3[[#This Row],[PAPEL]]),Tabela1[Fechamento])</f>
        <v>18.47</v>
      </c>
      <c r="L30" s="46">
        <f>Tabela3[Cotação]/Tabela3[VPA]</f>
        <v>1.3472237191623895</v>
      </c>
      <c r="M30" s="52">
        <f>IF(Tabela3[[#This Row],[Lucro/Ação Ano]]&gt;0,Tabela3[[#This Row],[Cotação]]/Tabela3[[#This Row],[Lucro/Ação Ano]],0)</f>
        <v>5.8709459226109493</v>
      </c>
      <c r="N30" s="43" t="e">
        <f>Tabela3[[#This Row],[Lucro Prev]]/10%</f>
        <v>#REF!</v>
      </c>
      <c r="O30" s="41" t="e">
        <f>MIN(Tabela3[[#This Row],[10% Rentabilidade]],Tabela3[[#This Row],[VPA]]*2)</f>
        <v>#REF!</v>
      </c>
      <c r="P30" s="75" t="e">
        <f>Tabela3[[#This Row],[P Compra]]/Tabela3[[#This Row],[Cotação]]-1</f>
        <v>#REF!</v>
      </c>
      <c r="Q30" s="6" t="e">
        <f>Tabela3[[#This Row],[Lucro/Ação Ano]]*Tabela3[[#This Row],[Payout]]</f>
        <v>#REF!</v>
      </c>
      <c r="R30" s="38" t="e">
        <f>IF(AND(Tabela3[Rentabilidade]&gt;=10%,Tabela3[PVPA]&lt;=2,Tabela3[PL]&lt;=15,Tabela3[PL]&gt;0),"Sim","Não")</f>
        <v>#REF!</v>
      </c>
      <c r="S30" s="42" t="e">
        <f>Tabela3[[#This Row],[Lucro Prev]]/Tabela3[[#This Row],[Cotação]]</f>
        <v>#REF!</v>
      </c>
      <c r="T30" s="42" t="e">
        <f>(1+Tabela3[[#This Row],[Rentabilidade]])^(1/12)-1</f>
        <v>#REF!</v>
      </c>
      <c r="U30" s="10">
        <f>(Proventos!$Q$1/Tabela3[[#This Row],[Cotação]]-MOD(Proventos!$Q$1/Tabela3[[#This Row],[Cotação]],100))</f>
        <v>0</v>
      </c>
      <c r="V30" s="7" t="e">
        <f>Tabela3[[#This Row],[Ativos]]*Tabela3[[#This Row],[Lucro Prev]]</f>
        <v>#REF!</v>
      </c>
      <c r="W30" s="7" t="e">
        <f>Tabela3[[#This Row],[Lucro Med A.A]]/12</f>
        <v>#REF!</v>
      </c>
    </row>
    <row r="31" spans="1:23" x14ac:dyDescent="0.2">
      <c r="A31" s="35" t="s">
        <v>23</v>
      </c>
      <c r="B31" s="39" t="s">
        <v>92</v>
      </c>
      <c r="C31" s="20">
        <v>3</v>
      </c>
      <c r="D31" s="43">
        <v>13197926000</v>
      </c>
      <c r="E31" s="43">
        <v>2271426000</v>
      </c>
      <c r="F31" s="40">
        <v>962672385</v>
      </c>
      <c r="G31" s="39">
        <f>Tabela3[[#This Row],[Lucro Líquido]]/Tabela3[[#This Row],[Total Ações]]</f>
        <v>2.3595005272743959</v>
      </c>
      <c r="H31" s="39">
        <f>Tabela3[[#This Row],[Lucro/Ação]]/Tabela3[[#This Row],[Ref]]*4</f>
        <v>3.1460007030325277</v>
      </c>
      <c r="I31" s="24" t="e">
        <f>GETPIVOTDATA("Payout",'Tabela LL'!$A$3,"Ativo",Tabela3[[#This Row],[PAPEL]])</f>
        <v>#REF!</v>
      </c>
      <c r="J31" s="43">
        <f>Tabela3[Patrimônio Líquido]/Tabela3[Total Ações]</f>
        <v>13.709675488406162</v>
      </c>
      <c r="K31" s="45">
        <f>SUMPRODUCT(N(Tabela1[Código]=Tabela3[[#This Row],[PAPEL]]),Tabela1[Fechamento])</f>
        <v>18.21</v>
      </c>
      <c r="L31" s="46">
        <f>Tabela3[Cotação]/Tabela3[VPA]</f>
        <v>1.3282590106089396</v>
      </c>
      <c r="M31" s="52">
        <f>IF(Tabela3[[#This Row],[Lucro/Ação Ano]]&gt;0,Tabela3[[#This Row],[Cotação]]/Tabela3[[#This Row],[Lucro/Ação Ano]],0)</f>
        <v>5.7883013129802601</v>
      </c>
      <c r="N31" s="43" t="e">
        <f>Tabela3[[#This Row],[Lucro Prev]]/10%</f>
        <v>#REF!</v>
      </c>
      <c r="O31" s="41" t="e">
        <f>MIN(Tabela3[[#This Row],[10% Rentabilidade]],Tabela3[[#This Row],[VPA]]*2)</f>
        <v>#REF!</v>
      </c>
      <c r="P31" s="75" t="e">
        <f>Tabela3[[#This Row],[P Compra]]/Tabela3[[#This Row],[Cotação]]-1</f>
        <v>#REF!</v>
      </c>
      <c r="Q31" s="6" t="e">
        <f>Tabela3[[#This Row],[Lucro/Ação Ano]]*Tabela3[[#This Row],[Payout]]</f>
        <v>#REF!</v>
      </c>
      <c r="R31" s="38" t="e">
        <f>IF(AND(Tabela3[Rentabilidade]&gt;=10%,Tabela3[PVPA]&lt;=2,Tabela3[PL]&lt;=15,Tabela3[PL]&gt;0),"Sim","Não")</f>
        <v>#REF!</v>
      </c>
      <c r="S31" s="42" t="e">
        <f>Tabela3[[#This Row],[Lucro Prev]]/Tabela3[[#This Row],[Cotação]]</f>
        <v>#REF!</v>
      </c>
      <c r="T31" s="42" t="e">
        <f>(1+Tabela3[[#This Row],[Rentabilidade]])^(1/12)-1</f>
        <v>#REF!</v>
      </c>
      <c r="U31" s="10">
        <f>(Proventos!$Q$1/Tabela3[[#This Row],[Cotação]]-MOD(Proventos!$Q$1/Tabela3[[#This Row],[Cotação]],100))</f>
        <v>0</v>
      </c>
      <c r="V31" s="7" t="e">
        <f>Tabela3[[#This Row],[Ativos]]*Tabela3[[#This Row],[Lucro Prev]]</f>
        <v>#REF!</v>
      </c>
      <c r="W31" s="7" t="e">
        <f>Tabela3[[#This Row],[Lucro Med A.A]]/12</f>
        <v>#REF!</v>
      </c>
    </row>
    <row r="32" spans="1:23" x14ac:dyDescent="0.2">
      <c r="B32" s="10" t="s">
        <v>308</v>
      </c>
      <c r="C32" s="21">
        <v>3</v>
      </c>
      <c r="D32" s="5">
        <v>1597704000</v>
      </c>
      <c r="E32" s="5">
        <v>150604000</v>
      </c>
      <c r="F32" s="27">
        <v>77855299</v>
      </c>
      <c r="G32" s="21">
        <f>Tabela3[[#This Row],[Lucro Líquido]]/Tabela3[[#This Row],[Total Ações]]</f>
        <v>1.9344091145292499</v>
      </c>
      <c r="H32" s="21">
        <f>Tabela3[[#This Row],[Lucro/Ação]]/Tabela3[[#This Row],[Ref]]*4</f>
        <v>2.5792121527056664</v>
      </c>
      <c r="I32" s="23" t="e">
        <f>GETPIVOTDATA("Payout",'Tabela LL'!$A$3,"Ativo",Tabela3[[#This Row],[PAPEL]])</f>
        <v>#REF!</v>
      </c>
      <c r="J32" s="5">
        <f>Tabela3[Patrimônio Líquido]/Tabela3[Total Ações]</f>
        <v>20.52145480810497</v>
      </c>
      <c r="K32" s="83">
        <f>SUMPRODUCT(N(Tabela1[Código]=Tabela3[[#This Row],[PAPEL]]),Tabela1[Fechamento])</f>
        <v>42.09</v>
      </c>
      <c r="L32" s="84">
        <f>Tabela3[Cotação]/Tabela3[VPA]</f>
        <v>2.0510241790156374</v>
      </c>
      <c r="M32" s="54">
        <f>IF(Tabela3[[#This Row],[Lucro/Ação Ano]]&gt;0,Tabela3[[#This Row],[Cotação]]/Tabela3[[#This Row],[Lucro/Ação Ano]],0)</f>
        <v>16.318936755879662</v>
      </c>
      <c r="N32" s="10" t="e">
        <f>Tabela3[[#This Row],[Lucro Prev]]/10%</f>
        <v>#REF!</v>
      </c>
      <c r="O32" s="85" t="e">
        <f>MIN(Tabela3[[#This Row],[10% Rentabilidade]],Tabela3[[#This Row],[VPA]]*2)</f>
        <v>#REF!</v>
      </c>
      <c r="P32" s="23" t="e">
        <f>Tabela3[[#This Row],[P Compra]]/Tabela3[[#This Row],[Cotação]]-1</f>
        <v>#REF!</v>
      </c>
      <c r="Q32" s="5" t="e">
        <f>Tabela3[[#This Row],[Lucro/Ação Ano]]*Tabela3[[#This Row],[Payout]]</f>
        <v>#REF!</v>
      </c>
      <c r="R32" s="10" t="e">
        <f>IF(AND(Tabela3[Rentabilidade]&gt;=10%,Tabela3[PVPA]&lt;=2,Tabela3[PL]&lt;=15,Tabela3[PL]&gt;0),"Sim","Não")</f>
        <v>#REF!</v>
      </c>
      <c r="S32" s="28" t="e">
        <f>Tabela3[[#This Row],[Lucro Prev]]/Tabela3[[#This Row],[Cotação]]</f>
        <v>#REF!</v>
      </c>
      <c r="T32" s="28" t="e">
        <f>(1+Tabela3[[#This Row],[Rentabilidade]])^(1/12)-1</f>
        <v>#REF!</v>
      </c>
      <c r="U32" s="10">
        <f>(Proventos!$Q$1/Tabela3[[#This Row],[Cotação]]-MOD(Proventos!$Q$1/Tabela3[[#This Row],[Cotação]],100))</f>
        <v>0</v>
      </c>
      <c r="V32" s="7" t="e">
        <f>Tabela3[[#This Row],[Ativos]]*Tabela3[[#This Row],[Lucro Prev]]</f>
        <v>#REF!</v>
      </c>
      <c r="W32" s="7" t="e">
        <f>Tabela3[[#This Row],[Lucro Med A.A]]/12</f>
        <v>#REF!</v>
      </c>
    </row>
    <row r="33" spans="1:23" x14ac:dyDescent="0.2">
      <c r="A33" s="35" t="s">
        <v>23</v>
      </c>
      <c r="B33" s="39" t="s">
        <v>94</v>
      </c>
      <c r="C33" s="21">
        <v>3</v>
      </c>
      <c r="D33" s="43">
        <v>8519168000</v>
      </c>
      <c r="E33" s="43">
        <v>626179000</v>
      </c>
      <c r="F33" s="40">
        <v>962274260</v>
      </c>
      <c r="G33" s="39">
        <f>Tabela3[[#This Row],[Lucro Líquido]]/Tabela3[[#This Row],[Total Ações]]</f>
        <v>0.65072820299692935</v>
      </c>
      <c r="H33" s="39">
        <f>Tabela3[[#This Row],[Lucro/Ação]]/Tabela3[[#This Row],[Ref]]*4</f>
        <v>0.86763760399590584</v>
      </c>
      <c r="I33" s="74" t="e">
        <f>GETPIVOTDATA("Payout",'Tabela LL'!$A$3,"Ativo",Tabela3[[#This Row],[PAPEL]])</f>
        <v>#REF!</v>
      </c>
      <c r="J33" s="43">
        <f>Tabela3[Patrimônio Líquido]/Tabela3[Total Ações]</f>
        <v>8.8531600128221246</v>
      </c>
      <c r="K33" s="45">
        <f>SUMPRODUCT(N(Tabela1[Código]=Tabela3[[#This Row],[PAPEL]]),Tabela1[Fechamento])</f>
        <v>19.27</v>
      </c>
      <c r="L33" s="46">
        <f>Tabela3[Cotação]/Tabela3[VPA]</f>
        <v>2.1766239367741074</v>
      </c>
      <c r="M33" s="52">
        <f>IF(Tabela3[[#This Row],[Lucro/Ação Ano]]&gt;0,Tabela3[[#This Row],[Cotação]]/Tabela3[[#This Row],[Lucro/Ação Ano]],0)</f>
        <v>22.209733546877171</v>
      </c>
      <c r="N33" s="43" t="e">
        <f>Tabela3[[#This Row],[Lucro Prev]]/10%</f>
        <v>#REF!</v>
      </c>
      <c r="O33" s="41" t="e">
        <f>MIN(Tabela3[[#This Row],[10% Rentabilidade]],Tabela3[[#This Row],[VPA]]*2)</f>
        <v>#REF!</v>
      </c>
      <c r="P33" s="75" t="e">
        <f>Tabela3[[#This Row],[P Compra]]/Tabela3[[#This Row],[Cotação]]-1</f>
        <v>#REF!</v>
      </c>
      <c r="Q33" s="6" t="e">
        <f>Tabela3[[#This Row],[Lucro/Ação Ano]]*Tabela3[[#This Row],[Payout]]</f>
        <v>#REF!</v>
      </c>
      <c r="R33" s="38" t="e">
        <f>IF(AND(Tabela3[Rentabilidade]&gt;=10%,Tabela3[PVPA]&lt;=2,Tabela3[PL]&lt;=15,Tabela3[PL]&gt;0),"Sim","Não")</f>
        <v>#REF!</v>
      </c>
      <c r="S33" s="42" t="e">
        <f>Tabela3[[#This Row],[Lucro Prev]]/Tabela3[[#This Row],[Cotação]]</f>
        <v>#REF!</v>
      </c>
      <c r="T33" s="42" t="e">
        <f>(1+Tabela3[[#This Row],[Rentabilidade]])^(1/12)-1</f>
        <v>#REF!</v>
      </c>
      <c r="U33" s="10">
        <f>(Proventos!$Q$1/Tabela3[[#This Row],[Cotação]]-MOD(Proventos!$Q$1/Tabela3[[#This Row],[Cotação]],100))</f>
        <v>0</v>
      </c>
      <c r="V33" s="7" t="e">
        <f>Tabela3[[#This Row],[Ativos]]*Tabela3[[#This Row],[Lucro Prev]]</f>
        <v>#REF!</v>
      </c>
      <c r="W33" s="7" t="e">
        <f>Tabela3[[#This Row],[Lucro Med A.A]]/12</f>
        <v>#REF!</v>
      </c>
    </row>
    <row r="34" spans="1:23" x14ac:dyDescent="0.2">
      <c r="A34" s="35" t="s">
        <v>23</v>
      </c>
      <c r="B34" s="39" t="s">
        <v>96</v>
      </c>
      <c r="C34" s="20">
        <v>3</v>
      </c>
      <c r="D34" s="43">
        <v>13116477000</v>
      </c>
      <c r="E34" s="43">
        <v>923222000</v>
      </c>
      <c r="F34" s="40">
        <v>273655375</v>
      </c>
      <c r="G34" s="39">
        <f>Tabela3[[#This Row],[Lucro Líquido]]/Tabela3[[#This Row],[Total Ações]]</f>
        <v>3.3736666053060351</v>
      </c>
      <c r="H34" s="39">
        <f>Tabela3[[#This Row],[Lucro/Ação]]/Tabela3[[#This Row],[Ref]]*4</f>
        <v>4.4982221404080471</v>
      </c>
      <c r="I34" s="24" t="e">
        <f>GETPIVOTDATA("Payout",'Tabela LL'!$A$3,"Ativo",Tabela3[[#This Row],[PAPEL]])</f>
        <v>#REF!</v>
      </c>
      <c r="J34" s="43">
        <f>Tabela3[Patrimônio Líquido]/Tabela3[Total Ações]</f>
        <v>47.930639038242902</v>
      </c>
      <c r="K34" s="45">
        <f>SUMPRODUCT(N(Tabela1[Código]=Tabela3[[#This Row],[PAPEL]]),Tabela1[Fechamento])</f>
        <v>22.4</v>
      </c>
      <c r="L34" s="46">
        <f>Tabela3[Cotação]/Tabela3[VPA]</f>
        <v>0.46734198519922687</v>
      </c>
      <c r="M34" s="52">
        <f>IF(Tabela3[[#This Row],[Lucro/Ação Ano]]&gt;0,Tabela3[[#This Row],[Cotação]]/Tabela3[[#This Row],[Lucro/Ação Ano]],0)</f>
        <v>4.9797451750499873</v>
      </c>
      <c r="N34" s="43" t="e">
        <f>Tabela3[[#This Row],[Lucro Prev]]/10%</f>
        <v>#REF!</v>
      </c>
      <c r="O34" s="41" t="e">
        <f>MIN(Tabela3[[#This Row],[10% Rentabilidade]],Tabela3[[#This Row],[VPA]]*2)</f>
        <v>#REF!</v>
      </c>
      <c r="P34" s="75" t="e">
        <f>Tabela3[[#This Row],[P Compra]]/Tabela3[[#This Row],[Cotação]]-1</f>
        <v>#REF!</v>
      </c>
      <c r="Q34" s="6" t="e">
        <f>Tabela3[[#This Row],[Lucro/Ação Ano]]*Tabela3[[#This Row],[Payout]]</f>
        <v>#REF!</v>
      </c>
      <c r="R34" s="38" t="e">
        <f>IF(AND(Tabela3[Rentabilidade]&gt;=10%,Tabela3[PVPA]&lt;=2,Tabela3[PL]&lt;=15,Tabela3[PL]&gt;0),"Sim","Não")</f>
        <v>#REF!</v>
      </c>
      <c r="S34" s="42" t="e">
        <f>Tabela3[[#This Row],[Lucro Prev]]/Tabela3[[#This Row],[Cotação]]</f>
        <v>#REF!</v>
      </c>
      <c r="T34" s="42" t="e">
        <f>(1+Tabela3[[#This Row],[Rentabilidade]])^(1/12)-1</f>
        <v>#REF!</v>
      </c>
      <c r="U34" s="10">
        <f>(Proventos!$Q$1/Tabela3[[#This Row],[Cotação]]-MOD(Proventos!$Q$1/Tabela3[[#This Row],[Cotação]],100))</f>
        <v>0</v>
      </c>
      <c r="V34" s="5" t="e">
        <f>Tabela3[[#This Row],[Ativos]]*Tabela3[[#This Row],[Lucro Prev]]</f>
        <v>#REF!</v>
      </c>
      <c r="W34" s="5" t="e">
        <f>Tabela3[[#This Row],[Lucro Med A.A]]/12</f>
        <v>#REF!</v>
      </c>
    </row>
    <row r="35" spans="1:23" x14ac:dyDescent="0.2">
      <c r="B35" s="10" t="s">
        <v>255</v>
      </c>
      <c r="C35" s="21">
        <v>3</v>
      </c>
      <c r="D35" s="5">
        <v>735745000</v>
      </c>
      <c r="E35" s="5">
        <v>39503000</v>
      </c>
      <c r="F35" s="27">
        <v>105765903</v>
      </c>
      <c r="G35" s="21">
        <f>Tabela3[[#This Row],[Lucro Líquido]]/Tabela3[[#This Row],[Total Ações]]</f>
        <v>0.37349466018363214</v>
      </c>
      <c r="H35" s="21">
        <f>Tabela3[[#This Row],[Lucro/Ação]]/Tabela3[[#This Row],[Ref]]*4</f>
        <v>0.49799288024484284</v>
      </c>
      <c r="I35" s="23">
        <f>GETPIVOTDATA("Payout",'Tabela LL'!$A$3,"Ativo",Tabela3[[#This Row],[PAPEL]])</f>
        <v>0.40777274711855621</v>
      </c>
      <c r="J35" s="5">
        <f>Tabela3[Patrimônio Líquido]/Tabela3[Total Ações]</f>
        <v>6.9563534100399069</v>
      </c>
      <c r="K35" s="83">
        <f>SUMPRODUCT(N(Tabela1[Código]=Tabela3[[#This Row],[PAPEL]]),Tabela1[Fechamento])</f>
        <v>3.92</v>
      </c>
      <c r="L35" s="84">
        <f>Tabela3[Cotação]/Tabela3[VPA]</f>
        <v>0.56351363551230382</v>
      </c>
      <c r="M35" s="54">
        <f>IF(Tabela3[[#This Row],[Lucro/Ação Ano]]&gt;0,Tabela3[[#This Row],[Cotação]]/Tabela3[[#This Row],[Lucro/Ação Ano]],0)</f>
        <v>7.8715984816343063</v>
      </c>
      <c r="N35" s="10">
        <f>Tabela3[[#This Row],[Lucro Prev]]/10%</f>
        <v>2.0306792482292173</v>
      </c>
      <c r="O35" s="85">
        <f>MIN(Tabela3[[#This Row],[10% Rentabilidade]],Tabela3[[#This Row],[VPA]]*2)</f>
        <v>2.0306792482292173</v>
      </c>
      <c r="P35" s="23">
        <f>Tabela3[[#This Row],[P Compra]]/Tabela3[[#This Row],[Cotação]]-1</f>
        <v>-0.48196957953336295</v>
      </c>
      <c r="Q35" s="5">
        <f>Tabela3[[#This Row],[Lucro/Ação Ano]]*Tabela3[[#This Row],[Payout]]</f>
        <v>0.20306792482292174</v>
      </c>
      <c r="R35" s="10" t="str">
        <f>IF(AND(Tabela3[Rentabilidade]&gt;=10%,Tabela3[PVPA]&lt;=2,Tabela3[PL]&lt;=15,Tabela3[PL]&gt;0),"Sim","Não")</f>
        <v>Não</v>
      </c>
      <c r="S35" s="28">
        <f>Tabela3[[#This Row],[Lucro Prev]]/Tabela3[[#This Row],[Cotação]]</f>
        <v>5.1803042046663708E-2</v>
      </c>
      <c r="T35" s="28">
        <f>(1+Tabela3[[#This Row],[Rentabilidade]])^(1/12)-1</f>
        <v>4.2176924005374872E-3</v>
      </c>
      <c r="U35" s="10">
        <f>(Proventos!$Q$1/Tabela3[[#This Row],[Cotação]]-MOD(Proventos!$Q$1/Tabela3[[#This Row],[Cotação]],100))</f>
        <v>200</v>
      </c>
      <c r="V35" s="7">
        <f>Tabela3[[#This Row],[Ativos]]*Tabela3[[#This Row],[Lucro Prev]]</f>
        <v>40.613584964584348</v>
      </c>
      <c r="W35" s="7">
        <f>Tabela3[[#This Row],[Lucro Med A.A]]/12</f>
        <v>3.3844654137153625</v>
      </c>
    </row>
    <row r="36" spans="1:23" x14ac:dyDescent="0.2">
      <c r="A36" s="4"/>
      <c r="B36" s="14" t="s">
        <v>221</v>
      </c>
      <c r="C36" s="20">
        <v>3</v>
      </c>
      <c r="D36" s="6">
        <v>884793000</v>
      </c>
      <c r="E36" s="6">
        <v>154604000</v>
      </c>
      <c r="F36" s="56">
        <v>168074028</v>
      </c>
      <c r="G36" s="20">
        <f>Tabela3[[#This Row],[Lucro Líquido]]/Tabela3[[#This Row],[Total Ações]]</f>
        <v>0.91985657653186015</v>
      </c>
      <c r="H36" s="20">
        <f>Tabela3[[#This Row],[Lucro/Ação]]/Tabela3[[#This Row],[Ref]]*4</f>
        <v>1.2264754353758136</v>
      </c>
      <c r="I36" s="24" t="e">
        <f>GETPIVOTDATA("Payout",'Tabela LL'!$A$3,"Ativo",Tabela3[[#This Row],[PAPEL]])</f>
        <v>#REF!</v>
      </c>
      <c r="J36" s="6">
        <f>Tabela3[Patrimônio Líquido]/Tabela3[Total Ações]</f>
        <v>5.2643053214622784</v>
      </c>
      <c r="K36" s="73">
        <f>SUMPRODUCT(N(Tabela1[Código]=Tabela3[[#This Row],[PAPEL]]),Tabela1[Fechamento])</f>
        <v>9</v>
      </c>
      <c r="L36" s="66">
        <f>Tabela3[Cotação]/Tabela3[VPA]</f>
        <v>1.7096272823134904</v>
      </c>
      <c r="M36" s="59">
        <f>IF(Tabela3[[#This Row],[Lucro/Ação Ano]]&gt;0,Tabela3[[#This Row],[Cotação]]/Tabela3[[#This Row],[Lucro/Ação Ano]],0)</f>
        <v>7.3381004954593667</v>
      </c>
      <c r="N36" s="14" t="e">
        <f>Tabela3[[#This Row],[Lucro Prev]]/10%</f>
        <v>#REF!</v>
      </c>
      <c r="O36" s="22" t="e">
        <f>MIN(Tabela3[[#This Row],[10% Rentabilidade]],Tabela3[[#This Row],[VPA]]*2)</f>
        <v>#REF!</v>
      </c>
      <c r="P36" s="24" t="e">
        <f>Tabela3[[#This Row],[P Compra]]/Tabela3[[#This Row],[Cotação]]-1</f>
        <v>#REF!</v>
      </c>
      <c r="Q36" s="6" t="e">
        <f>Tabela3[[#This Row],[Lucro/Ação Ano]]*Tabela3[[#This Row],[Payout]]</f>
        <v>#REF!</v>
      </c>
      <c r="R36" s="14" t="e">
        <f>IF(AND(Tabela3[Rentabilidade]&gt;=10%,Tabela3[PVPA]&lt;=2,Tabela3[PL]&lt;=15,Tabela3[PL]&gt;0),"Sim","Não")</f>
        <v>#REF!</v>
      </c>
      <c r="S36" s="61" t="e">
        <f>Tabela3[[#This Row],[Lucro Prev]]/Tabela3[[#This Row],[Cotação]]</f>
        <v>#REF!</v>
      </c>
      <c r="T36" s="61" t="e">
        <f>(1+Tabela3[[#This Row],[Rentabilidade]])^(1/12)-1</f>
        <v>#REF!</v>
      </c>
      <c r="U36" s="14">
        <f>(Proventos!$Q$1/Tabela3[[#This Row],[Cotação]]-MOD(Proventos!$Q$1/Tabela3[[#This Row],[Cotação]],100))</f>
        <v>100</v>
      </c>
      <c r="V36" s="22" t="e">
        <f>Tabela3[[#This Row],[Ativos]]*Tabela3[[#This Row],[Lucro Prev]]</f>
        <v>#REF!</v>
      </c>
      <c r="W36" s="22" t="e">
        <f>Tabela3[[#This Row],[Lucro Med A.A]]/12</f>
        <v>#REF!</v>
      </c>
    </row>
    <row r="37" spans="1:23" x14ac:dyDescent="0.2">
      <c r="A37" s="4" t="s">
        <v>27</v>
      </c>
      <c r="B37" s="65" t="s">
        <v>28</v>
      </c>
      <c r="C37" s="21">
        <v>3</v>
      </c>
      <c r="D37" s="6">
        <v>372994000</v>
      </c>
      <c r="E37" s="6">
        <v>28309000</v>
      </c>
      <c r="F37" s="8">
        <v>345767870</v>
      </c>
      <c r="G37" s="55">
        <f>Tabela3[[#This Row],[Lucro Líquido]]/Tabela3[[#This Row],[Total Ações]]</f>
        <v>8.1872847237078453E-2</v>
      </c>
      <c r="H37" s="55">
        <f>Tabela3[[#This Row],[Lucro/Ação]]/Tabela3[[#This Row],[Ref]]*4</f>
        <v>0.10916379631610461</v>
      </c>
      <c r="I37" s="76" t="e">
        <f>GETPIVOTDATA("Payout",'Tabela LL'!$A$3,"Ativo",Tabela3[[#This Row],[PAPEL]])</f>
        <v>#REF!</v>
      </c>
      <c r="J37" s="6">
        <f>Tabela3[Patrimônio Líquido]/Tabela3[Total Ações]</f>
        <v>1.0787410640554891</v>
      </c>
      <c r="K37" s="11">
        <f>SUMPRODUCT(N(Tabela1[Código]=Tabela3[[#This Row],[PAPEL]]),Tabela1[Fechamento])</f>
        <v>3.66</v>
      </c>
      <c r="L37" s="9">
        <f>Tabela3[Cotação]/Tabela3[VPA]</f>
        <v>3.3928438639763643</v>
      </c>
      <c r="M37" s="53">
        <f>IF(Tabela3[[#This Row],[Lucro/Ação Ano]]&gt;0,Tabela3[[#This Row],[Cotação]]/Tabela3[[#This Row],[Lucro/Ação Ano]],0)</f>
        <v>33.527599108057508</v>
      </c>
      <c r="N37" s="6" t="e">
        <f>Tabela3[[#This Row],[Lucro Prev]]/10%</f>
        <v>#REF!</v>
      </c>
      <c r="O37" s="13" t="e">
        <f>MIN(Tabela3[[#This Row],[10% Rentabilidade]],Tabela3[[#This Row],[VPA]]*2)</f>
        <v>#REF!</v>
      </c>
      <c r="P37" s="24" t="e">
        <f>Tabela3[[#This Row],[P Compra]]/Tabela3[[#This Row],[Cotação]]-1</f>
        <v>#REF!</v>
      </c>
      <c r="Q37" s="6" t="e">
        <f>Tabela3[[#This Row],[Lucro/Ação Ano]]*Tabela3[[#This Row],[Payout]]</f>
        <v>#REF!</v>
      </c>
      <c r="R37" s="14" t="e">
        <f>IF(AND(Tabela3[Rentabilidade]&gt;=10%,Tabela3[PVPA]&lt;=2,Tabela3[PL]&lt;=15,Tabela3[PL]&gt;0),"Sim","Não")</f>
        <v>#REF!</v>
      </c>
      <c r="S37" s="24" t="e">
        <f>Tabela3[[#This Row],[Lucro Prev]]/Tabela3[[#This Row],[Cotação]]</f>
        <v>#REF!</v>
      </c>
      <c r="T37" s="24" t="e">
        <f>(1+Tabela3[[#This Row],[Rentabilidade]])^(1/12)-1</f>
        <v>#REF!</v>
      </c>
      <c r="U37" s="10">
        <f>(Proventos!$Q$1/Tabela3[[#This Row],[Cotação]]-MOD(Proventos!$Q$1/Tabela3[[#This Row],[Cotação]],100))</f>
        <v>200</v>
      </c>
      <c r="V37" s="7" t="e">
        <f>Tabela3[[#This Row],[Ativos]]*Tabela3[[#This Row],[Lucro Prev]]</f>
        <v>#REF!</v>
      </c>
      <c r="W37" s="7" t="e">
        <f>Tabela3[[#This Row],[Lucro Med A.A]]/12</f>
        <v>#REF!</v>
      </c>
    </row>
    <row r="38" spans="1:23" x14ac:dyDescent="0.2">
      <c r="A38" s="35" t="s">
        <v>69</v>
      </c>
      <c r="B38" s="39" t="s">
        <v>86</v>
      </c>
      <c r="C38" s="21">
        <v>3</v>
      </c>
      <c r="D38" s="43">
        <v>1632971000</v>
      </c>
      <c r="E38" s="43">
        <v>264743000</v>
      </c>
      <c r="F38" s="40">
        <v>260378479</v>
      </c>
      <c r="G38" s="39">
        <f>Tabela3[[#This Row],[Lucro Líquido]]/Tabela3[[#This Row],[Total Ações]]</f>
        <v>1.0167622186624725</v>
      </c>
      <c r="H38" s="39">
        <f>Tabela3[[#This Row],[Lucro/Ação]]/Tabela3[[#This Row],[Ref]]*4</f>
        <v>1.3556829582166301</v>
      </c>
      <c r="I38" s="74" t="e">
        <f>GETPIVOTDATA("Payout",'Tabela LL'!$A$3,"Ativo",Tabela3[[#This Row],[PAPEL]])</f>
        <v>#REF!</v>
      </c>
      <c r="J38" s="43">
        <f>Tabela3[Patrimônio Líquido]/Tabela3[Total Ações]</f>
        <v>6.2715283009238254</v>
      </c>
      <c r="K38" s="45">
        <f>SUMPRODUCT(N(Tabela1[Código]=Tabela3[[#This Row],[PAPEL]]),Tabela1[Fechamento])</f>
        <v>24.24</v>
      </c>
      <c r="L38" s="46">
        <f>Tabela3[Cotação]/Tabela3[VPA]</f>
        <v>3.8650866004111522</v>
      </c>
      <c r="M38" s="52">
        <f>IF(Tabela3[[#This Row],[Lucro/Ação Ano]]&gt;0,Tabela3[[#This Row],[Cotação]]/Tabela3[[#This Row],[Lucro/Ação Ano]],0)</f>
        <v>17.880286724181563</v>
      </c>
      <c r="N38" s="43" t="e">
        <f>Tabela3[[#This Row],[Lucro Prev]]/10%</f>
        <v>#REF!</v>
      </c>
      <c r="O38" s="41" t="e">
        <f>MIN(Tabela3[[#This Row],[10% Rentabilidade]],Tabela3[[#This Row],[VPA]]*2)</f>
        <v>#REF!</v>
      </c>
      <c r="P38" s="75" t="e">
        <f>Tabela3[[#This Row],[P Compra]]/Tabela3[[#This Row],[Cotação]]-1</f>
        <v>#REF!</v>
      </c>
      <c r="Q38" s="6" t="e">
        <f>Tabela3[[#This Row],[Lucro/Ação Ano]]*Tabela3[[#This Row],[Payout]]</f>
        <v>#REF!</v>
      </c>
      <c r="R38" s="38" t="e">
        <f>IF(AND(Tabela3[Rentabilidade]&gt;=10%,Tabela3[PVPA]&lt;=2,Tabela3[PL]&lt;=15,Tabela3[PL]&gt;0),"Sim","Não")</f>
        <v>#REF!</v>
      </c>
      <c r="S38" s="42" t="e">
        <f>Tabela3[[#This Row],[Lucro Prev]]/Tabela3[[#This Row],[Cotação]]</f>
        <v>#REF!</v>
      </c>
      <c r="T38" s="42" t="e">
        <f>(1+Tabela3[[#This Row],[Rentabilidade]])^(1/12)-1</f>
        <v>#REF!</v>
      </c>
      <c r="U38" s="10">
        <f>(Proventos!$Q$1/Tabela3[[#This Row],[Cotação]]-MOD(Proventos!$Q$1/Tabela3[[#This Row],[Cotação]],100))</f>
        <v>0</v>
      </c>
      <c r="V38" s="7" t="e">
        <f>Tabela3[[#This Row],[Ativos]]*Tabela3[[#This Row],[Lucro Prev]]</f>
        <v>#REF!</v>
      </c>
      <c r="W38" s="7" t="e">
        <f>Tabela3[[#This Row],[Lucro Med A.A]]/12</f>
        <v>#REF!</v>
      </c>
    </row>
    <row r="39" spans="1:23" x14ac:dyDescent="0.2">
      <c r="A39" s="4" t="s">
        <v>33</v>
      </c>
      <c r="B39" s="20" t="s">
        <v>34</v>
      </c>
      <c r="C39" s="21">
        <v>3</v>
      </c>
      <c r="D39" s="6">
        <v>2365276000</v>
      </c>
      <c r="E39" s="6">
        <v>168016000</v>
      </c>
      <c r="F39" s="8">
        <v>246437367</v>
      </c>
      <c r="G39" s="55">
        <f>Tabela3[[#This Row],[Lucro Líquido]]/Tabela3[[#This Row],[Total Ações]]</f>
        <v>0.6817797237705433</v>
      </c>
      <c r="H39" s="55">
        <f>Tabela3[[#This Row],[Lucro/Ação]]/Tabela3[[#This Row],[Ref]]*4</f>
        <v>0.90903963169405777</v>
      </c>
      <c r="I39" s="24" t="e">
        <f>GETPIVOTDATA("Payout",'Tabela LL'!$A$3,"Ativo",Tabela3[[#This Row],[PAPEL]])</f>
        <v>#REF!</v>
      </c>
      <c r="J39" s="6">
        <f>Tabela3[Patrimônio Líquido]/Tabela3[Total Ações]</f>
        <v>9.5978788801131767</v>
      </c>
      <c r="K39" s="11">
        <f>SUMPRODUCT(N(Tabela1[Código]=Tabela3[[#This Row],[PAPEL]]),Tabela1[Fechamento])</f>
        <v>7.8</v>
      </c>
      <c r="L39" s="9">
        <f>Tabela3[Cotação]/Tabela3[VPA]</f>
        <v>0.81267956153954124</v>
      </c>
      <c r="M39" s="53">
        <f>IF(Tabela3[[#This Row],[Lucro/Ação Ano]]&gt;0,Tabela3[[#This Row],[Cotação]]/Tabela3[[#This Row],[Lucro/Ação Ano]],0)</f>
        <v>8.5804839833706303</v>
      </c>
      <c r="N39" s="6" t="e">
        <f>Tabela3[[#This Row],[Lucro Prev]]/10%</f>
        <v>#REF!</v>
      </c>
      <c r="O39" s="13" t="e">
        <f>MIN(Tabela3[[#This Row],[10% Rentabilidade]],Tabela3[[#This Row],[VPA]]*2)</f>
        <v>#REF!</v>
      </c>
      <c r="P39" s="24" t="e">
        <f>Tabela3[[#This Row],[P Compra]]/Tabela3[[#This Row],[Cotação]]-1</f>
        <v>#REF!</v>
      </c>
      <c r="Q39" s="6" t="e">
        <f>Tabela3[[#This Row],[Lucro/Ação Ano]]*Tabela3[[#This Row],[Payout]]</f>
        <v>#REF!</v>
      </c>
      <c r="R39" s="14" t="e">
        <f>IF(AND(Tabela3[Rentabilidade]&gt;=10%,Tabela3[PVPA]&lt;=2,Tabela3[PL]&lt;=15,Tabela3[PL]&gt;0),"Sim","Não")</f>
        <v>#REF!</v>
      </c>
      <c r="S39" s="23" t="e">
        <f>Tabela3[[#This Row],[Lucro Prev]]/Tabela3[[#This Row],[Cotação]]</f>
        <v>#REF!</v>
      </c>
      <c r="T39" s="23" t="e">
        <f>(1+Tabela3[[#This Row],[Rentabilidade]])^(1/12)-1</f>
        <v>#REF!</v>
      </c>
      <c r="U39" s="10">
        <f>(Proventos!$Q$1/Tabela3[[#This Row],[Cotação]]-MOD(Proventos!$Q$1/Tabela3[[#This Row],[Cotação]],100))</f>
        <v>100</v>
      </c>
      <c r="V39" s="5" t="e">
        <f>Tabela3[[#This Row],[Ativos]]*Tabela3[[#This Row],[Lucro Prev]]</f>
        <v>#REF!</v>
      </c>
      <c r="W39" s="5" t="e">
        <f>Tabela3[[#This Row],[Lucro Med A.A]]/12</f>
        <v>#REF!</v>
      </c>
    </row>
    <row r="40" spans="1:23" x14ac:dyDescent="0.2">
      <c r="A40" s="4"/>
      <c r="B40" s="14" t="s">
        <v>223</v>
      </c>
      <c r="C40" s="20">
        <v>3</v>
      </c>
      <c r="D40" s="6">
        <v>2125304000</v>
      </c>
      <c r="E40" s="6">
        <v>226464000</v>
      </c>
      <c r="F40" s="56">
        <v>193759265</v>
      </c>
      <c r="G40" s="20">
        <f>Tabela3[[#This Row],[Lucro Líquido]]/Tabela3[[#This Row],[Total Ações]]</f>
        <v>1.1687905608023441</v>
      </c>
      <c r="H40" s="20">
        <f>Tabela3[[#This Row],[Lucro/Ação]]/Tabela3[[#This Row],[Ref]]*4</f>
        <v>1.5583874144031256</v>
      </c>
      <c r="I40" s="60" t="e">
        <f>GETPIVOTDATA("Payout",'Tabela LL'!$A$3,"Ativo",Tabela3[[#This Row],[PAPEL]])</f>
        <v>#REF!</v>
      </c>
      <c r="J40" s="6">
        <f>Tabela3[Patrimônio Líquido]/Tabela3[Total Ações]</f>
        <v>10.968786447450654</v>
      </c>
      <c r="K40" s="73">
        <f>SUMPRODUCT(N(Tabela1[Código]=Tabela3[[#This Row],[PAPEL]]),Tabela1[Fechamento])</f>
        <v>17</v>
      </c>
      <c r="L40" s="66">
        <f>Tabela3[Cotação]/Tabela3[VPA]</f>
        <v>1.5498523999390206</v>
      </c>
      <c r="M40" s="59">
        <f>IF(Tabela3[[#This Row],[Lucro/Ação Ano]]&gt;0,Tabela3[[#This Row],[Cotação]]/Tabela3[[#This Row],[Lucro/Ação Ano]],0)</f>
        <v>10.908712328449553</v>
      </c>
      <c r="N40" s="14" t="e">
        <f>Tabela3[[#This Row],[Lucro Prev]]/10%</f>
        <v>#REF!</v>
      </c>
      <c r="O40" s="22" t="e">
        <f>MIN(Tabela3[[#This Row],[10% Rentabilidade]],Tabela3[[#This Row],[VPA]]*2)</f>
        <v>#REF!</v>
      </c>
      <c r="P40" s="24" t="e">
        <f>Tabela3[[#This Row],[P Compra]]/Tabela3[[#This Row],[Cotação]]-1</f>
        <v>#REF!</v>
      </c>
      <c r="Q40" s="6" t="e">
        <f>Tabela3[[#This Row],[Lucro/Ação Ano]]*Tabela3[[#This Row],[Payout]]</f>
        <v>#REF!</v>
      </c>
      <c r="R40" s="14" t="e">
        <f>IF(AND(Tabela3[Rentabilidade]&gt;=10%,Tabela3[PVPA]&lt;=2,Tabela3[PL]&lt;=15,Tabela3[PL]&gt;0),"Sim","Não")</f>
        <v>#REF!</v>
      </c>
      <c r="S40" s="61" t="e">
        <f>Tabela3[[#This Row],[Lucro Prev]]/Tabela3[[#This Row],[Cotação]]</f>
        <v>#REF!</v>
      </c>
      <c r="T40" s="61" t="e">
        <f>(1+Tabela3[[#This Row],[Rentabilidade]])^(1/12)-1</f>
        <v>#REF!</v>
      </c>
      <c r="U40" s="14">
        <f>(Proventos!$Q$1/Tabela3[[#This Row],[Cotação]]-MOD(Proventos!$Q$1/Tabela3[[#This Row],[Cotação]],100))</f>
        <v>0</v>
      </c>
      <c r="V40" s="22" t="e">
        <f>Tabela3[[#This Row],[Ativos]]*Tabela3[[#This Row],[Lucro Prev]]</f>
        <v>#REF!</v>
      </c>
      <c r="W40" s="22" t="e">
        <f>Tabela3[[#This Row],[Lucro Med A.A]]/12</f>
        <v>#REF!</v>
      </c>
    </row>
    <row r="41" spans="1:23" x14ac:dyDescent="0.2">
      <c r="A41" s="4" t="s">
        <v>23</v>
      </c>
      <c r="B41" s="20" t="s">
        <v>5</v>
      </c>
      <c r="C41" s="20">
        <v>3</v>
      </c>
      <c r="D41" s="6">
        <v>65701797000</v>
      </c>
      <c r="E41" s="6">
        <v>-783105000</v>
      </c>
      <c r="F41" s="8">
        <v>1352634100</v>
      </c>
      <c r="G41" s="55">
        <f>Tabela3[[#This Row],[Lucro Líquido]]/Tabela3[[#This Row],[Total Ações]]</f>
        <v>-0.57894814273867556</v>
      </c>
      <c r="H41" s="55">
        <f>Tabela3[[#This Row],[Lucro/Ação]]/Tabela3[[#This Row],[Ref]]*4</f>
        <v>-0.77193085698490072</v>
      </c>
      <c r="I41" s="76" t="e">
        <f>GETPIVOTDATA("Payout",'Tabela LL'!$A$3,"Ativo",Tabela3[[#This Row],[PAPEL]])</f>
        <v>#REF!</v>
      </c>
      <c r="J41" s="6">
        <f>Tabela3[Patrimônio Líquido]/Tabela3[Total Ações]</f>
        <v>48.573222425783882</v>
      </c>
      <c r="K41" s="11">
        <f>SUMPRODUCT(N(Tabela1[Código]=Tabela3[[#This Row],[PAPEL]]),Tabela1[Fechamento])</f>
        <v>6.01</v>
      </c>
      <c r="L41" s="9">
        <f>Tabela3[Cotação]/Tabela3[VPA]</f>
        <v>0.1237307244579627</v>
      </c>
      <c r="M41" s="53">
        <f>IF(Tabela3[[#This Row],[Lucro/Ação Ano]]&gt;0,Tabela3[[#This Row],[Cotação]]/Tabela3[[#This Row],[Lucro/Ação Ano]],0)</f>
        <v>0</v>
      </c>
      <c r="N41" s="6" t="e">
        <f>Tabela3[[#This Row],[Lucro Prev]]/10%</f>
        <v>#REF!</v>
      </c>
      <c r="O41" s="13" t="e">
        <f>MIN(Tabela3[[#This Row],[10% Rentabilidade]],Tabela3[[#This Row],[VPA]]*2)</f>
        <v>#REF!</v>
      </c>
      <c r="P41" s="24" t="e">
        <f>Tabela3[[#This Row],[P Compra]]/Tabela3[[#This Row],[Cotação]]-1</f>
        <v>#REF!</v>
      </c>
      <c r="Q41" s="6" t="e">
        <f>Tabela3[[#This Row],[Lucro/Ação Ano]]*Tabela3[[#This Row],[Payout]]</f>
        <v>#REF!</v>
      </c>
      <c r="R41" s="14" t="e">
        <f>IF(AND(Tabela3[Rentabilidade]&gt;=10%,Tabela3[PVPA]&lt;=2,Tabela3[PL]&lt;=15,Tabela3[PL]&gt;0),"Sim","Não")</f>
        <v>#REF!</v>
      </c>
      <c r="S41" s="24" t="e">
        <f>Tabela3[[#This Row],[Lucro Prev]]/Tabela3[[#This Row],[Cotação]]</f>
        <v>#REF!</v>
      </c>
      <c r="T41" s="24" t="e">
        <f>(1+Tabela3[[#This Row],[Rentabilidade]])^(1/12)-1</f>
        <v>#REF!</v>
      </c>
      <c r="U41" s="10">
        <f>(Proventos!$Q$1/Tabela3[[#This Row],[Cotação]]-MOD(Proventos!$Q$1/Tabela3[[#This Row],[Cotação]],100))</f>
        <v>100</v>
      </c>
      <c r="V41" s="5" t="e">
        <f>Tabela3[[#This Row],[Ativos]]*Tabela3[[#This Row],[Lucro Prev]]</f>
        <v>#REF!</v>
      </c>
      <c r="W41" s="5" t="e">
        <f>Tabela3[[#This Row],[Lucro Med A.A]]/12</f>
        <v>#REF!</v>
      </c>
    </row>
    <row r="42" spans="1:23" x14ac:dyDescent="0.2">
      <c r="A42" s="4" t="s">
        <v>23</v>
      </c>
      <c r="B42" s="39" t="s">
        <v>88</v>
      </c>
      <c r="C42" s="20">
        <v>3</v>
      </c>
      <c r="D42" s="6">
        <v>65701797000</v>
      </c>
      <c r="E42" s="6">
        <v>-783105000</v>
      </c>
      <c r="F42" s="8">
        <v>1352634100</v>
      </c>
      <c r="G42" s="55">
        <f>Tabela3[[#This Row],[Lucro Líquido]]/Tabela3[[#This Row],[Total Ações]]</f>
        <v>-0.57894814273867556</v>
      </c>
      <c r="H42" s="55">
        <f>Tabela3[[#This Row],[Lucro/Ação]]/Tabela3[[#This Row],[Ref]]*4</f>
        <v>-0.77193085698490072</v>
      </c>
      <c r="I42" s="76" t="e">
        <f>GETPIVOTDATA("Payout",'Tabela LL'!$A$3,"Ativo",Tabela3[[#This Row],[PAPEL]])</f>
        <v>#REF!</v>
      </c>
      <c r="J42" s="43">
        <f>Tabela3[Patrimônio Líquido]/Tabela3[Total Ações]</f>
        <v>48.573222425783882</v>
      </c>
      <c r="K42" s="45">
        <f>SUMPRODUCT(N(Tabela1[Código]=Tabela3[[#This Row],[PAPEL]]),Tabela1[Fechamento])</f>
        <v>10.35</v>
      </c>
      <c r="L42" s="46">
        <f>Tabela3[Cotação]/Tabela3[VPA]</f>
        <v>0.21308036574707387</v>
      </c>
      <c r="M42" s="52">
        <f>IF(Tabela3[[#This Row],[Lucro/Ação Ano]]&gt;0,Tabela3[[#This Row],[Cotação]]/Tabela3[[#This Row],[Lucro/Ação Ano]],0)</f>
        <v>0</v>
      </c>
      <c r="N42" s="43" t="e">
        <f>Tabela3[[#This Row],[Lucro Prev]]/10%</f>
        <v>#REF!</v>
      </c>
      <c r="O42" s="41" t="e">
        <f>MIN(Tabela3[[#This Row],[10% Rentabilidade]],Tabela3[[#This Row],[VPA]]*2)</f>
        <v>#REF!</v>
      </c>
      <c r="P42" s="75" t="e">
        <f>Tabela3[[#This Row],[P Compra]]/Tabela3[[#This Row],[Cotação]]-1</f>
        <v>#REF!</v>
      </c>
      <c r="Q42" s="6" t="e">
        <f>Tabela3[[#This Row],[Lucro/Ação Ano]]*Tabela3[[#This Row],[Payout]]</f>
        <v>#REF!</v>
      </c>
      <c r="R42" s="38" t="e">
        <f>IF(AND(Tabela3[Rentabilidade]&gt;=10%,Tabela3[PVPA]&lt;=2,Tabela3[PL]&lt;=15,Tabela3[PL]&gt;0),"Sim","Não")</f>
        <v>#REF!</v>
      </c>
      <c r="S42" s="42" t="e">
        <f>Tabela3[[#This Row],[Lucro Prev]]/Tabela3[[#This Row],[Cotação]]</f>
        <v>#REF!</v>
      </c>
      <c r="T42" s="42" t="e">
        <f>(1+Tabela3[[#This Row],[Rentabilidade]])^(1/12)-1</f>
        <v>#REF!</v>
      </c>
      <c r="U42" s="10">
        <f>(Proventos!$Q$1/Tabela3[[#This Row],[Cotação]]-MOD(Proventos!$Q$1/Tabela3[[#This Row],[Cotação]],100))</f>
        <v>0</v>
      </c>
      <c r="V42" s="5" t="e">
        <f>Tabela3[[#This Row],[Ativos]]*Tabela3[[#This Row],[Lucro Prev]]</f>
        <v>#REF!</v>
      </c>
      <c r="W42" s="5" t="e">
        <f>Tabela3[[#This Row],[Lucro Med A.A]]/12</f>
        <v>#REF!</v>
      </c>
    </row>
    <row r="43" spans="1:23" x14ac:dyDescent="0.2">
      <c r="A43" s="4" t="s">
        <v>23</v>
      </c>
      <c r="B43" s="65" t="s">
        <v>4</v>
      </c>
      <c r="C43" s="21">
        <v>3</v>
      </c>
      <c r="D43" s="6">
        <v>2577741000</v>
      </c>
      <c r="E43" s="6">
        <v>271448000</v>
      </c>
      <c r="F43" s="8">
        <v>167343887</v>
      </c>
      <c r="G43" s="55">
        <f>Tabela3[[#This Row],[Lucro Líquido]]/Tabela3[[#This Row],[Total Ações]]</f>
        <v>1.6220968979882724</v>
      </c>
      <c r="H43" s="55">
        <f>Tabela3[[#This Row],[Lucro/Ação]]/Tabela3[[#This Row],[Ref]]*4</f>
        <v>2.1627958639843632</v>
      </c>
      <c r="I43" s="24" t="e">
        <f>GETPIVOTDATA("Payout",'Tabela LL'!$A$3,"Ativo",Tabela3[[#This Row],[PAPEL]])</f>
        <v>#REF!</v>
      </c>
      <c r="J43" s="6">
        <f>Tabela3[Patrimônio Líquido]/Tabela3[Total Ações]</f>
        <v>15.403855176377013</v>
      </c>
      <c r="K43" s="11">
        <f>SUMPRODUCT(N(Tabela1[Código]=Tabela3[[#This Row],[PAPEL]]),Tabela1[Fechamento])</f>
        <v>10.67</v>
      </c>
      <c r="L43" s="9">
        <f>Tabela3[Cotação]/Tabela3[VPA]</f>
        <v>0.69268373909170866</v>
      </c>
      <c r="M43" s="53">
        <f>IF(Tabela3[[#This Row],[Lucro/Ação Ano]]&gt;0,Tabela3[[#This Row],[Cotação]]/Tabela3[[#This Row],[Lucro/Ação Ano]],0)</f>
        <v>4.9334290756148507</v>
      </c>
      <c r="N43" s="6" t="e">
        <f>Tabela3[[#This Row],[Lucro Prev]]/10%</f>
        <v>#REF!</v>
      </c>
      <c r="O43" s="13" t="e">
        <f>MIN(Tabela3[[#This Row],[10% Rentabilidade]],Tabela3[[#This Row],[VPA]]*2)</f>
        <v>#REF!</v>
      </c>
      <c r="P43" s="24" t="e">
        <f>Tabela3[[#This Row],[P Compra]]/Tabela3[[#This Row],[Cotação]]-1</f>
        <v>#REF!</v>
      </c>
      <c r="Q43" s="6" t="e">
        <f>Tabela3[[#This Row],[Lucro/Ação Ano]]*Tabela3[[#This Row],[Payout]]</f>
        <v>#REF!</v>
      </c>
      <c r="R43" s="14" t="e">
        <f>IF(AND(Tabela3[Rentabilidade]&gt;=10%,Tabela3[PVPA]&lt;=2,Tabela3[PL]&lt;=15,Tabela3[PL]&gt;0),"Sim","Não")</f>
        <v>#REF!</v>
      </c>
      <c r="S43" s="24" t="e">
        <f>Tabela3[[#This Row],[Lucro Prev]]/Tabela3[[#This Row],[Cotação]]</f>
        <v>#REF!</v>
      </c>
      <c r="T43" s="24" t="e">
        <f>(1+Tabela3[[#This Row],[Rentabilidade]])^(1/12)-1</f>
        <v>#REF!</v>
      </c>
      <c r="U43" s="10">
        <f>(Proventos!$Q$1/Tabela3[[#This Row],[Cotação]]-MOD(Proventos!$Q$1/Tabela3[[#This Row],[Cotação]],100))</f>
        <v>0</v>
      </c>
      <c r="V43" s="5" t="e">
        <f>Tabela3[[#This Row],[Ativos]]*Tabela3[[#This Row],[Lucro Prev]]</f>
        <v>#REF!</v>
      </c>
      <c r="W43" s="5" t="e">
        <f>Tabela3[[#This Row],[Lucro Med A.A]]/12</f>
        <v>#REF!</v>
      </c>
    </row>
    <row r="44" spans="1:23" x14ac:dyDescent="0.2">
      <c r="A44" s="35" t="s">
        <v>90</v>
      </c>
      <c r="B44" s="39" t="s">
        <v>89</v>
      </c>
      <c r="C44" s="20">
        <v>3</v>
      </c>
      <c r="D44" s="43">
        <v>6277330000</v>
      </c>
      <c r="E44" s="43">
        <v>451384000</v>
      </c>
      <c r="F44" s="40">
        <v>476415612</v>
      </c>
      <c r="G44" s="39">
        <f>Tabela3[[#This Row],[Lucro Líquido]]/Tabela3[[#This Row],[Total Ações]]</f>
        <v>0.94745845566454689</v>
      </c>
      <c r="H44" s="39">
        <f>Tabela3[[#This Row],[Lucro/Ação]]/Tabela3[[#This Row],[Ref]]*4</f>
        <v>1.2632779408860626</v>
      </c>
      <c r="I44" s="24" t="e">
        <f>GETPIVOTDATA("Payout",'Tabela LL'!$A$3,"Ativo",Tabela3[[#This Row],[PAPEL]])</f>
        <v>#REF!</v>
      </c>
      <c r="J44" s="43">
        <f>Tabela3[Patrimônio Líquido]/Tabela3[Total Ações]</f>
        <v>13.176163504902101</v>
      </c>
      <c r="K44" s="45">
        <f>SUMPRODUCT(N(Tabela1[Código]=Tabela3[[#This Row],[PAPEL]]),Tabela1[Fechamento])</f>
        <v>11.25</v>
      </c>
      <c r="L44" s="46">
        <f>Tabela3[Cotação]/Tabela3[VPA]</f>
        <v>0.85381454137348212</v>
      </c>
      <c r="M44" s="52">
        <f>IF(Tabela3[[#This Row],[Lucro/Ação Ano]]&gt;0,Tabela3[[#This Row],[Cotação]]/Tabela3[[#This Row],[Lucro/Ação Ano]],0)</f>
        <v>8.9054036612950398</v>
      </c>
      <c r="N44" s="43" t="e">
        <f>Tabela3[[#This Row],[Lucro Prev]]/10%</f>
        <v>#REF!</v>
      </c>
      <c r="O44" s="41" t="e">
        <f>MIN(Tabela3[[#This Row],[10% Rentabilidade]],Tabela3[[#This Row],[VPA]]*2)</f>
        <v>#REF!</v>
      </c>
      <c r="P44" s="75" t="e">
        <f>Tabela3[[#This Row],[P Compra]]/Tabela3[[#This Row],[Cotação]]-1</f>
        <v>#REF!</v>
      </c>
      <c r="Q44" s="6" t="e">
        <f>Tabela3[[#This Row],[Lucro/Ação Ano]]*Tabela3[[#This Row],[Payout]]</f>
        <v>#REF!</v>
      </c>
      <c r="R44" s="38" t="e">
        <f>IF(AND(Tabela3[Rentabilidade]&gt;=10%,Tabela3[PVPA]&lt;=2,Tabela3[PL]&lt;=15,Tabela3[PL]&gt;0),"Sim","Não")</f>
        <v>#REF!</v>
      </c>
      <c r="S44" s="42" t="e">
        <f>Tabela3[[#This Row],[Lucro Prev]]/Tabela3[[#This Row],[Cotação]]</f>
        <v>#REF!</v>
      </c>
      <c r="T44" s="42" t="e">
        <f>(1+Tabela3[[#This Row],[Rentabilidade]])^(1/12)-1</f>
        <v>#REF!</v>
      </c>
      <c r="U44" s="10">
        <f>(Proventos!$Q$1/Tabela3[[#This Row],[Cotação]]-MOD(Proventos!$Q$1/Tabela3[[#This Row],[Cotação]],100))</f>
        <v>0</v>
      </c>
      <c r="V44" s="5" t="e">
        <f>Tabela3[[#This Row],[Ativos]]*Tabela3[[#This Row],[Lucro Prev]]</f>
        <v>#REF!</v>
      </c>
      <c r="W44" s="5" t="e">
        <f>Tabela3[[#This Row],[Lucro Med A.A]]/12</f>
        <v>#REF!</v>
      </c>
    </row>
    <row r="45" spans="1:23" x14ac:dyDescent="0.2">
      <c r="A45" s="4"/>
      <c r="B45" s="14" t="s">
        <v>446</v>
      </c>
      <c r="C45" s="20">
        <v>3</v>
      </c>
      <c r="D45" s="6">
        <v>1825587000</v>
      </c>
      <c r="E45" s="6">
        <v>190026000</v>
      </c>
      <c r="F45" s="56">
        <v>1245690889</v>
      </c>
      <c r="G45" s="20">
        <f>Tabela3[[#This Row],[Lucro Líquido]]/Tabela3[[#This Row],[Total Ações]]</f>
        <v>0.15254667243536371</v>
      </c>
      <c r="H45" s="20">
        <f>Tabela3[[#This Row],[Lucro/Ação]]/Tabela3[[#This Row],[Ref]]*4</f>
        <v>0.20339556324715161</v>
      </c>
      <c r="I45" s="24">
        <f>GETPIVOTDATA("Payout",'Tabela LL'!$A$3,"Ativo",Tabela3[[#This Row],[PAPEL]])</f>
        <v>2.7939422002548415</v>
      </c>
      <c r="J45" s="6">
        <f>Tabela3[Patrimônio Líquido]/Tabela3[Total Ações]</f>
        <v>1.4655216764614227</v>
      </c>
      <c r="K45" s="73">
        <f>SUMPRODUCT(N(Tabela1[Código]=Tabela3[[#This Row],[PAPEL]]),Tabela1[Fechamento])</f>
        <v>11.8</v>
      </c>
      <c r="L45" s="66">
        <f>Tabela3[Cotação]/Tabela3[VPA]</f>
        <v>8.0517403389704238</v>
      </c>
      <c r="M45" s="59">
        <f>IF(Tabela3[[#This Row],[Lucro/Ação Ano]]&gt;0,Tabela3[[#This Row],[Cotação]]/Tabela3[[#This Row],[Lucro/Ação Ano]],0)</f>
        <v>58.015031457011148</v>
      </c>
      <c r="N45" s="14">
        <f>Tabela3[[#This Row],[Lucro Prev]]/10%</f>
        <v>5.6827544750081946</v>
      </c>
      <c r="O45" s="89">
        <f>MIN(Tabela3[[#This Row],[10% Rentabilidade]],Tabela3[[#This Row],[VPA]]*2)</f>
        <v>2.9310433529228455</v>
      </c>
      <c r="P45" s="24">
        <f>Tabela3[[#This Row],[P Compra]]/Tabela3[[#This Row],[Cotação]]-1</f>
        <v>-0.75160649551501313</v>
      </c>
      <c r="Q45" s="6">
        <f>Tabela3[[#This Row],[Lucro/Ação Ano]]*Tabela3[[#This Row],[Payout]]</f>
        <v>0.56827544750081949</v>
      </c>
      <c r="R45" s="14" t="str">
        <f>IF(AND(Tabela3[Rentabilidade]&gt;=10%,Tabela3[PVPA]&lt;=2,Tabela3[PL]&lt;=15,Tabela3[PL]&gt;0),"Sim","Não")</f>
        <v>Não</v>
      </c>
      <c r="S45" s="61">
        <f>Tabela3[[#This Row],[Lucro Prev]]/Tabela3[[#This Row],[Cotação]]</f>
        <v>4.8158936228883002E-2</v>
      </c>
      <c r="T45" s="61">
        <f>(1+Tabela3[[#This Row],[Rentabilidade]])^(1/12)-1</f>
        <v>3.927294280668292E-3</v>
      </c>
      <c r="U45" s="14">
        <f>(Proventos!$Q$1/Tabela3[[#This Row],[Cotação]]-MOD(Proventos!$Q$1/Tabela3[[#This Row],[Cotação]],100))</f>
        <v>0</v>
      </c>
      <c r="V45" s="22">
        <f>Tabela3[[#This Row],[Ativos]]*Tabela3[[#This Row],[Lucro Prev]]</f>
        <v>0</v>
      </c>
      <c r="W45" s="22">
        <f>Tabela3[[#This Row],[Lucro Med A.A]]/12</f>
        <v>0</v>
      </c>
    </row>
    <row r="46" spans="1:23" x14ac:dyDescent="0.2">
      <c r="A46" s="4"/>
      <c r="B46" s="14" t="s">
        <v>210</v>
      </c>
      <c r="C46" s="20">
        <v>3</v>
      </c>
      <c r="D46" s="6">
        <v>1825587000</v>
      </c>
      <c r="E46" s="6">
        <v>190026000</v>
      </c>
      <c r="F46" s="56">
        <v>1245690889</v>
      </c>
      <c r="G46" s="20">
        <f>Tabela3[[#This Row],[Lucro Líquido]]/Tabela3[[#This Row],[Total Ações]]</f>
        <v>0.15254667243536371</v>
      </c>
      <c r="H46" s="20">
        <f>Tabela3[[#This Row],[Lucro/Ação]]/Tabela3[[#This Row],[Ref]]*4</f>
        <v>0.20339556324715161</v>
      </c>
      <c r="I46" s="60">
        <f>GETPIVOTDATA("Payout",'Tabela LL'!$A$3,"Ativo",Tabela3[[#This Row],[PAPEL]])</f>
        <v>0.55878844005096828</v>
      </c>
      <c r="J46" s="6">
        <f>Tabela3[Patrimônio Líquido]/Tabela3[Total Ações]</f>
        <v>1.4655216764614227</v>
      </c>
      <c r="K46" s="73">
        <f>SUMPRODUCT(N(Tabela1[Código]=Tabela3[[#This Row],[PAPEL]]),Tabela1[Fechamento])</f>
        <v>2.2000000000000002</v>
      </c>
      <c r="L46" s="66">
        <f>Tabela3[Cotação]/Tabela3[VPA]</f>
        <v>1.5011719276046556</v>
      </c>
      <c r="M46" s="59">
        <f>IF(Tabela3[[#This Row],[Lucro/Ação Ano]]&gt;0,Tabela3[[#This Row],[Cotação]]/Tabela3[[#This Row],[Lucro/Ação Ano]],0)</f>
        <v>10.816361797069876</v>
      </c>
      <c r="N46" s="14">
        <f>Tabela3[[#This Row],[Lucro Prev]]/10%</f>
        <v>1.136550895001639</v>
      </c>
      <c r="O46" s="22">
        <f>MIN(Tabela3[[#This Row],[10% Rentabilidade]],Tabela3[[#This Row],[VPA]]*2)</f>
        <v>1.136550895001639</v>
      </c>
      <c r="P46" s="24">
        <f>Tabela3[[#This Row],[P Compra]]/Tabela3[[#This Row],[Cotação]]-1</f>
        <v>-0.4833859568174369</v>
      </c>
      <c r="Q46" s="6">
        <f>Tabela3[[#This Row],[Lucro/Ação Ano]]*Tabela3[[#This Row],[Payout]]</f>
        <v>0.1136550895001639</v>
      </c>
      <c r="R46" s="14" t="str">
        <f>IF(AND(Tabela3[Rentabilidade]&gt;=10%,Tabela3[PVPA]&lt;=2,Tabela3[PL]&lt;=15,Tabela3[PL]&gt;0),"Sim","Não")</f>
        <v>Não</v>
      </c>
      <c r="S46" s="61">
        <f>Tabela3[[#This Row],[Lucro Prev]]/Tabela3[[#This Row],[Cotação]]</f>
        <v>5.1661404318256311E-2</v>
      </c>
      <c r="T46" s="61">
        <f>(1+Tabela3[[#This Row],[Rentabilidade]])^(1/12)-1</f>
        <v>4.206422555122824E-3</v>
      </c>
      <c r="U46" s="14">
        <f>(Proventos!$Q$1/Tabela3[[#This Row],[Cotação]]-MOD(Proventos!$Q$1/Tabela3[[#This Row],[Cotação]],100))</f>
        <v>400</v>
      </c>
      <c r="V46" s="22">
        <f>Tabela3[[#This Row],[Ativos]]*Tabela3[[#This Row],[Lucro Prev]]</f>
        <v>45.462035800065557</v>
      </c>
      <c r="W46" s="22">
        <f>Tabela3[[#This Row],[Lucro Med A.A]]/12</f>
        <v>3.7885029833387964</v>
      </c>
    </row>
    <row r="47" spans="1:23" x14ac:dyDescent="0.2">
      <c r="A47" s="35" t="s">
        <v>23</v>
      </c>
      <c r="B47" s="39" t="s">
        <v>97</v>
      </c>
      <c r="C47" s="21">
        <v>3</v>
      </c>
      <c r="D47" s="43">
        <v>2881205000</v>
      </c>
      <c r="E47" s="43">
        <v>130778000</v>
      </c>
      <c r="F47" s="40">
        <v>198447352</v>
      </c>
      <c r="G47" s="39">
        <f>Tabela3[[#This Row],[Lucro Líquido]]/Tabela3[[#This Row],[Total Ações]]</f>
        <v>0.65900602190952895</v>
      </c>
      <c r="H47" s="39">
        <f>Tabela3[[#This Row],[Lucro/Ação]]/Tabela3[[#This Row],[Ref]]*4</f>
        <v>0.87867469587937197</v>
      </c>
      <c r="I47" s="74" t="e">
        <f>GETPIVOTDATA("Payout",'Tabela LL'!$A$3,"Ativo",Tabela3[[#This Row],[PAPEL]])</f>
        <v>#REF!</v>
      </c>
      <c r="J47" s="43">
        <f>Tabela3[Patrimônio Líquido]/Tabela3[Total Ações]</f>
        <v>14.518737443269083</v>
      </c>
      <c r="K47" s="45">
        <f>SUMPRODUCT(N(Tabela1[Código]=Tabela3[[#This Row],[PAPEL]]),Tabela1[Fechamento])</f>
        <v>22.9</v>
      </c>
      <c r="L47" s="46">
        <f>Tabela3[Cotação]/Tabela3[VPA]</f>
        <v>1.5772721346797607</v>
      </c>
      <c r="M47" s="52">
        <f>IF(Tabela3[[#This Row],[Lucro/Ação Ano]]&gt;0,Tabela3[[#This Row],[Cotação]]/Tabela3[[#This Row],[Lucro/Ação Ano]],0)</f>
        <v>26.061977324932325</v>
      </c>
      <c r="N47" s="43" t="e">
        <f>Tabela3[[#This Row],[Lucro Prev]]/10%</f>
        <v>#REF!</v>
      </c>
      <c r="O47" s="41" t="e">
        <f>MIN(Tabela3[[#This Row],[10% Rentabilidade]],Tabela3[[#This Row],[VPA]]*2)</f>
        <v>#REF!</v>
      </c>
      <c r="P47" s="75" t="e">
        <f>Tabela3[[#This Row],[P Compra]]/Tabela3[[#This Row],[Cotação]]-1</f>
        <v>#REF!</v>
      </c>
      <c r="Q47" s="6" t="e">
        <f>Tabela3[[#This Row],[Lucro/Ação Ano]]*Tabela3[[#This Row],[Payout]]</f>
        <v>#REF!</v>
      </c>
      <c r="R47" s="38" t="e">
        <f>IF(AND(Tabela3[Rentabilidade]&gt;=10%,Tabela3[PVPA]&lt;=2,Tabela3[PL]&lt;=15,Tabela3[PL]&gt;0),"Sim","Não")</f>
        <v>#REF!</v>
      </c>
      <c r="S47" s="42" t="e">
        <f>Tabela3[[#This Row],[Lucro Prev]]/Tabela3[[#This Row],[Cotação]]</f>
        <v>#REF!</v>
      </c>
      <c r="T47" s="42" t="e">
        <f>(1+Tabela3[[#This Row],[Rentabilidade]])^(1/12)-1</f>
        <v>#REF!</v>
      </c>
      <c r="U47" s="10">
        <f>(Proventos!$Q$1/Tabela3[[#This Row],[Cotação]]-MOD(Proventos!$Q$1/Tabela3[[#This Row],[Cotação]],100))</f>
        <v>0</v>
      </c>
      <c r="V47" s="7" t="e">
        <f>Tabela3[[#This Row],[Ativos]]*Tabela3[[#This Row],[Lucro Prev]]</f>
        <v>#REF!</v>
      </c>
      <c r="W47" s="7" t="e">
        <f>Tabela3[[#This Row],[Lucro Med A.A]]/12</f>
        <v>#REF!</v>
      </c>
    </row>
    <row r="48" spans="1:23" x14ac:dyDescent="0.2">
      <c r="A48" s="4" t="s">
        <v>32</v>
      </c>
      <c r="B48" s="20" t="s">
        <v>48</v>
      </c>
      <c r="C48" s="20">
        <v>3</v>
      </c>
      <c r="D48" s="6">
        <v>2283032000</v>
      </c>
      <c r="E48" s="6">
        <v>233172000</v>
      </c>
      <c r="F48" s="8">
        <v>233293408</v>
      </c>
      <c r="G48" s="55">
        <f>Tabela3[[#This Row],[Lucro Líquido]]/Tabela3[[#This Row],[Total Ações]]</f>
        <v>0.99947959095355154</v>
      </c>
      <c r="H48" s="55">
        <f>Tabela3[[#This Row],[Lucro/Ação]]/Tabela3[[#This Row],[Ref]]*4</f>
        <v>1.3326394546047353</v>
      </c>
      <c r="I48" s="24" t="e">
        <f>GETPIVOTDATA("Payout",'Tabela LL'!$A$3,"Ativo",Tabela3[[#This Row],[PAPEL]])</f>
        <v>#REF!</v>
      </c>
      <c r="J48" s="6">
        <f>Tabela3[Patrimônio Líquido]/Tabela3[Total Ações]</f>
        <v>9.7860973422789552</v>
      </c>
      <c r="K48" s="11">
        <f>SUMPRODUCT(N(Tabela1[Código]=Tabela3[[#This Row],[PAPEL]]),Tabela1[Fechamento])</f>
        <v>8.1</v>
      </c>
      <c r="L48" s="9">
        <f>Tabela3[Cotação]/Tabela3[VPA]</f>
        <v>0.82770482621356156</v>
      </c>
      <c r="M48" s="53">
        <f>IF(Tabela3[[#This Row],[Lucro/Ação Ano]]&gt;0,Tabela3[[#This Row],[Cotação]]/Tabela3[[#This Row],[Lucro/Ação Ano]],0)</f>
        <v>6.0781631310792035</v>
      </c>
      <c r="N48" s="6" t="e">
        <f>Tabela3[[#This Row],[Lucro Prev]]/10%</f>
        <v>#REF!</v>
      </c>
      <c r="O48" s="13" t="e">
        <f>MIN(Tabela3[[#This Row],[10% Rentabilidade]],Tabela3[[#This Row],[VPA]]*2)</f>
        <v>#REF!</v>
      </c>
      <c r="P48" s="24" t="e">
        <f>Tabela3[[#This Row],[P Compra]]/Tabela3[[#This Row],[Cotação]]-1</f>
        <v>#REF!</v>
      </c>
      <c r="Q48" s="6" t="e">
        <f>Tabela3[[#This Row],[Lucro/Ação Ano]]*Tabela3[[#This Row],[Payout]]</f>
        <v>#REF!</v>
      </c>
      <c r="R48" s="14" t="e">
        <f>IF(AND(Tabela3[Rentabilidade]&gt;=10%,Tabela3[PVPA]&lt;=2,Tabela3[PL]&lt;=15,Tabela3[PL]&gt;0),"Sim","Não")</f>
        <v>#REF!</v>
      </c>
      <c r="S48" s="24" t="e">
        <f>Tabela3[[#This Row],[Lucro Prev]]/Tabela3[[#This Row],[Cotação]]</f>
        <v>#REF!</v>
      </c>
      <c r="T48" s="24" t="e">
        <f>(1+Tabela3[[#This Row],[Rentabilidade]])^(1/12)-1</f>
        <v>#REF!</v>
      </c>
      <c r="U48" s="10">
        <f>(Proventos!$Q$1/Tabela3[[#This Row],[Cotação]]-MOD(Proventos!$Q$1/Tabela3[[#This Row],[Cotação]],100))</f>
        <v>100</v>
      </c>
      <c r="V48" s="5" t="e">
        <f>Tabela3[[#This Row],[Ativos]]*Tabela3[[#This Row],[Lucro Prev]]</f>
        <v>#REF!</v>
      </c>
      <c r="W48" s="5" t="e">
        <f>Tabela3[[#This Row],[Lucro Med A.A]]/12</f>
        <v>#REF!</v>
      </c>
    </row>
    <row r="49" spans="1:23" x14ac:dyDescent="0.2">
      <c r="B49" s="10" t="s">
        <v>301</v>
      </c>
      <c r="C49" s="21">
        <v>3</v>
      </c>
      <c r="D49" s="5">
        <v>1211097000</v>
      </c>
      <c r="E49" s="5">
        <v>50082000</v>
      </c>
      <c r="F49" s="27">
        <v>88320000</v>
      </c>
      <c r="G49" s="21">
        <f>Tabela3[[#This Row],[Lucro Líquido]]/Tabela3[[#This Row],[Total Ações]]</f>
        <v>0.56705163043478257</v>
      </c>
      <c r="H49" s="21">
        <f>Tabela3[[#This Row],[Lucro/Ação]]/Tabela3[[#This Row],[Ref]]*4</f>
        <v>0.75606884057971013</v>
      </c>
      <c r="I49" s="23" t="e">
        <f>GETPIVOTDATA("Payout",'Tabela LL'!$A$3,"Ativo",Tabela3[[#This Row],[PAPEL]])</f>
        <v>#REF!</v>
      </c>
      <c r="J49" s="5">
        <f>Tabela3[Patrimônio Líquido]/Tabela3[Total Ações]</f>
        <v>13.712601902173914</v>
      </c>
      <c r="K49" s="83">
        <f>SUMPRODUCT(N(Tabela1[Código]=Tabela3[[#This Row],[PAPEL]]),Tabela1[Fechamento])</f>
        <v>12.82</v>
      </c>
      <c r="L49" s="84">
        <f>Tabela3[Cotação]/Tabela3[VPA]</f>
        <v>0.93490645257976857</v>
      </c>
      <c r="M49" s="54">
        <f>IF(Tabela3[[#This Row],[Lucro/Ação Ano]]&gt;0,Tabela3[[#This Row],[Cotação]]/Tabela3[[#This Row],[Lucro/Ação Ano]],0)</f>
        <v>16.956127950161736</v>
      </c>
      <c r="N49" s="10" t="e">
        <f>Tabela3[[#This Row],[Lucro Prev]]/10%</f>
        <v>#REF!</v>
      </c>
      <c r="O49" s="85" t="e">
        <f>MIN(Tabela3[[#This Row],[10% Rentabilidade]],Tabela3[[#This Row],[VPA]]*2)</f>
        <v>#REF!</v>
      </c>
      <c r="P49" s="23" t="e">
        <f>Tabela3[[#This Row],[P Compra]]/Tabela3[[#This Row],[Cotação]]-1</f>
        <v>#REF!</v>
      </c>
      <c r="Q49" s="5" t="e">
        <f>Tabela3[[#This Row],[Lucro/Ação Ano]]*Tabela3[[#This Row],[Payout]]</f>
        <v>#REF!</v>
      </c>
      <c r="R49" s="10" t="e">
        <f>IF(AND(Tabela3[Rentabilidade]&gt;=10%,Tabela3[PVPA]&lt;=2,Tabela3[PL]&lt;=15,Tabela3[PL]&gt;0),"Sim","Não")</f>
        <v>#REF!</v>
      </c>
      <c r="S49" s="28" t="e">
        <f>Tabela3[[#This Row],[Lucro Prev]]/Tabela3[[#This Row],[Cotação]]</f>
        <v>#REF!</v>
      </c>
      <c r="T49" s="28" t="e">
        <f>(1+Tabela3[[#This Row],[Rentabilidade]])^(1/12)-1</f>
        <v>#REF!</v>
      </c>
      <c r="U49" s="10">
        <f>(Proventos!$Q$1/Tabela3[[#This Row],[Cotação]]-MOD(Proventos!$Q$1/Tabela3[[#This Row],[Cotação]],100))</f>
        <v>0</v>
      </c>
      <c r="V49" s="7" t="e">
        <f>Tabela3[[#This Row],[Ativos]]*Tabela3[[#This Row],[Lucro Prev]]</f>
        <v>#REF!</v>
      </c>
      <c r="W49" s="7" t="e">
        <f>Tabela3[[#This Row],[Lucro Med A.A]]/12</f>
        <v>#REF!</v>
      </c>
    </row>
    <row r="50" spans="1:23" x14ac:dyDescent="0.2">
      <c r="A50" s="4" t="s">
        <v>26</v>
      </c>
      <c r="B50" s="20" t="s">
        <v>25</v>
      </c>
      <c r="C50" s="20">
        <v>3</v>
      </c>
      <c r="D50" s="6">
        <v>291810000</v>
      </c>
      <c r="E50" s="6">
        <v>-84282000</v>
      </c>
      <c r="F50" s="8">
        <v>141412617</v>
      </c>
      <c r="G50" s="55">
        <f>Tabela3[[#This Row],[Lucro Líquido]]/Tabela3[[#This Row],[Total Ações]]</f>
        <v>-0.59600056761554732</v>
      </c>
      <c r="H50" s="55">
        <f>Tabela3[[#This Row],[Lucro/Ação]]/Tabela3[[#This Row],[Ref]]*4</f>
        <v>-0.79466742348739638</v>
      </c>
      <c r="I50" s="76" t="e">
        <f>GETPIVOTDATA("Payout",'Tabela LL'!$A$3,"Ativo",Tabela3[[#This Row],[PAPEL]])</f>
        <v>#REF!</v>
      </c>
      <c r="J50" s="6">
        <f>Tabela3[Patrimônio Líquido]/Tabela3[Total Ações]</f>
        <v>2.0635358159024806</v>
      </c>
      <c r="K50" s="11">
        <f>SUMPRODUCT(N(Tabela1[Código]=Tabela3[[#This Row],[PAPEL]]),Tabela1[Fechamento])</f>
        <v>2.2400000000000002</v>
      </c>
      <c r="L50" s="9">
        <f>Tabela3[Cotação]/Tabela3[VPA]</f>
        <v>1.0855154452554745</v>
      </c>
      <c r="M50" s="53">
        <f>IF(Tabela3[[#This Row],[Lucro/Ação Ano]]&gt;0,Tabela3[[#This Row],[Cotação]]/Tabela3[[#This Row],[Lucro/Ação Ano]],0)</f>
        <v>0</v>
      </c>
      <c r="N50" s="6" t="e">
        <f>Tabela3[[#This Row],[Lucro Prev]]/10%</f>
        <v>#REF!</v>
      </c>
      <c r="O50" s="13" t="e">
        <f>MIN(Tabela3[[#This Row],[10% Rentabilidade]],Tabela3[[#This Row],[VPA]]*2)</f>
        <v>#REF!</v>
      </c>
      <c r="P50" s="24" t="e">
        <f>Tabela3[[#This Row],[P Compra]]/Tabela3[[#This Row],[Cotação]]-1</f>
        <v>#REF!</v>
      </c>
      <c r="Q50" s="6" t="e">
        <f>Tabela3[[#This Row],[Lucro/Ação Ano]]*Tabela3[[#This Row],[Payout]]</f>
        <v>#REF!</v>
      </c>
      <c r="R50" s="14" t="e">
        <f>IF(AND(Tabela3[Rentabilidade]&gt;=10%,Tabela3[PVPA]&lt;=2,Tabela3[PL]&lt;=15,Tabela3[PL]&gt;0),"Sim","Não")</f>
        <v>#REF!</v>
      </c>
      <c r="S50" s="23" t="e">
        <f>Tabela3[[#This Row],[Lucro Prev]]/Tabela3[[#This Row],[Cotação]]</f>
        <v>#REF!</v>
      </c>
      <c r="T50" s="23" t="e">
        <f>(1+Tabela3[[#This Row],[Rentabilidade]])^(1/12)-1</f>
        <v>#REF!</v>
      </c>
      <c r="U50" s="10">
        <f>(Proventos!$Q$1/Tabela3[[#This Row],[Cotação]]-MOD(Proventos!$Q$1/Tabela3[[#This Row],[Cotação]],100))</f>
        <v>400</v>
      </c>
      <c r="V50" s="7" t="e">
        <f>Tabela3[[#This Row],[Ativos]]*Tabela3[[#This Row],[Lucro Prev]]</f>
        <v>#REF!</v>
      </c>
      <c r="W50" s="7" t="e">
        <f>Tabela3[[#This Row],[Lucro Med A.A]]/12</f>
        <v>#REF!</v>
      </c>
    </row>
    <row r="51" spans="1:23" x14ac:dyDescent="0.2">
      <c r="A51" s="35" t="s">
        <v>23</v>
      </c>
      <c r="B51" s="39" t="s">
        <v>100</v>
      </c>
      <c r="C51" s="20">
        <v>3</v>
      </c>
      <c r="D51" s="43">
        <v>2745488000</v>
      </c>
      <c r="E51" s="43">
        <v>276732000</v>
      </c>
      <c r="F51" s="40">
        <v>94433283</v>
      </c>
      <c r="G51" s="39">
        <f>Tabela3[[#This Row],[Lucro Líquido]]/Tabela3[[#This Row],[Total Ações]]</f>
        <v>2.9304498499750347</v>
      </c>
      <c r="H51" s="39">
        <f>Tabela3[[#This Row],[Lucro/Ação]]/Tabela3[[#This Row],[Ref]]*4</f>
        <v>3.9072664666333794</v>
      </c>
      <c r="I51" s="74" t="e">
        <f>GETPIVOTDATA("Payout",'Tabela LL'!$A$3,"Ativo",Tabela3[[#This Row],[PAPEL]])</f>
        <v>#REF!</v>
      </c>
      <c r="J51" s="43">
        <f>Tabela3[Patrimônio Líquido]/Tabela3[Total Ações]</f>
        <v>29.073308824813388</v>
      </c>
      <c r="K51" s="45">
        <f>SUMPRODUCT(N(Tabela1[Código]=Tabela3[[#This Row],[PAPEL]]),Tabela1[Fechamento])</f>
        <v>60</v>
      </c>
      <c r="L51" s="46">
        <f>Tabela3[Cotação]/Tabela3[VPA]</f>
        <v>2.0637485867721876</v>
      </c>
      <c r="M51" s="52">
        <f>IF(Tabela3[[#This Row],[Lucro/Ação Ano]]&gt;0,Tabela3[[#This Row],[Cotação]]/Tabela3[[#This Row],[Lucro/Ação Ano]],0)</f>
        <v>15.356004130349943</v>
      </c>
      <c r="N51" s="43" t="e">
        <f>Tabela3[[#This Row],[Lucro Prev]]/10%</f>
        <v>#REF!</v>
      </c>
      <c r="O51" s="41" t="e">
        <f>MIN(Tabela3[[#This Row],[10% Rentabilidade]],Tabela3[[#This Row],[VPA]]*2)</f>
        <v>#REF!</v>
      </c>
      <c r="P51" s="75" t="e">
        <f>Tabela3[[#This Row],[P Compra]]/Tabela3[[#This Row],[Cotação]]-1</f>
        <v>#REF!</v>
      </c>
      <c r="Q51" s="6" t="e">
        <f>Tabela3[[#This Row],[Lucro/Ação Ano]]*Tabela3[[#This Row],[Payout]]</f>
        <v>#REF!</v>
      </c>
      <c r="R51" s="38" t="e">
        <f>IF(AND(Tabela3[Rentabilidade]&gt;=10%,Tabela3[PVPA]&lt;=2,Tabela3[PL]&lt;=15,Tabela3[PL]&gt;0),"Sim","Não")</f>
        <v>#REF!</v>
      </c>
      <c r="S51" s="42" t="e">
        <f>Tabela3[[#This Row],[Lucro Prev]]/Tabela3[[#This Row],[Cotação]]</f>
        <v>#REF!</v>
      </c>
      <c r="T51" s="42" t="e">
        <f>(1+Tabela3[[#This Row],[Rentabilidade]])^(1/12)-1</f>
        <v>#REF!</v>
      </c>
      <c r="U51" s="10">
        <f>(Proventos!$Q$1/Tabela3[[#This Row],[Cotação]]-MOD(Proventos!$Q$1/Tabela3[[#This Row],[Cotação]],100))</f>
        <v>0</v>
      </c>
      <c r="V51" s="7" t="e">
        <f>Tabela3[[#This Row],[Ativos]]*Tabela3[[#This Row],[Lucro Prev]]</f>
        <v>#REF!</v>
      </c>
      <c r="W51" s="7" t="e">
        <f>Tabela3[[#This Row],[Lucro Med A.A]]/12</f>
        <v>#REF!</v>
      </c>
    </row>
    <row r="52" spans="1:23" x14ac:dyDescent="0.2">
      <c r="A52" s="35" t="s">
        <v>23</v>
      </c>
      <c r="B52" s="39" t="s">
        <v>91</v>
      </c>
      <c r="C52" s="21">
        <v>3</v>
      </c>
      <c r="D52" s="43">
        <v>1813045000</v>
      </c>
      <c r="E52" s="43">
        <v>650993000</v>
      </c>
      <c r="F52" s="40">
        <v>381253493</v>
      </c>
      <c r="G52" s="39">
        <f>Tabela3[[#This Row],[Lucro Líquido]]/Tabela3[[#This Row],[Total Ações]]</f>
        <v>1.7075069788278634</v>
      </c>
      <c r="H52" s="39">
        <f>Tabela3[[#This Row],[Lucro/Ação]]/Tabela3[[#This Row],[Ref]]*4</f>
        <v>2.2766759717704845</v>
      </c>
      <c r="I52" s="74" t="e">
        <f>GETPIVOTDATA("Payout",'Tabela LL'!$A$3,"Ativo",Tabela3[[#This Row],[PAPEL]])</f>
        <v>#REF!</v>
      </c>
      <c r="J52" s="43">
        <f>Tabela3[Patrimônio Líquido]/Tabela3[Total Ações]</f>
        <v>4.7554842992612265</v>
      </c>
      <c r="K52" s="45">
        <f>SUMPRODUCT(N(Tabela1[Código]=Tabela3[[#This Row],[PAPEL]]),Tabela1[Fechamento])</f>
        <v>18</v>
      </c>
      <c r="L52" s="46">
        <f>Tabela3[Cotação]/Tabela3[VPA]</f>
        <v>3.7851034442057423</v>
      </c>
      <c r="M52" s="52">
        <f>IF(Tabela3[[#This Row],[Lucro/Ação Ano]]&gt;0,Tabela3[[#This Row],[Cotação]]/Tabela3[[#This Row],[Lucro/Ação Ano]],0)</f>
        <v>7.9062634398526566</v>
      </c>
      <c r="N52" s="43" t="e">
        <f>Tabela3[[#This Row],[Lucro Prev]]/10%</f>
        <v>#REF!</v>
      </c>
      <c r="O52" s="41" t="e">
        <f>MIN(Tabela3[[#This Row],[10% Rentabilidade]],Tabela3[[#This Row],[VPA]]*2)</f>
        <v>#REF!</v>
      </c>
      <c r="P52" s="75" t="e">
        <f>Tabela3[[#This Row],[P Compra]]/Tabela3[[#This Row],[Cotação]]-1</f>
        <v>#REF!</v>
      </c>
      <c r="Q52" s="6" t="e">
        <f>Tabela3[[#This Row],[Lucro/Ação Ano]]*Tabela3[[#This Row],[Payout]]</f>
        <v>#REF!</v>
      </c>
      <c r="R52" s="38" t="e">
        <f>IF(AND(Tabela3[Rentabilidade]&gt;=10%,Tabela3[PVPA]&lt;=2,Tabela3[PL]&lt;=15,Tabela3[PL]&gt;0),"Sim","Não")</f>
        <v>#REF!</v>
      </c>
      <c r="S52" s="42" t="e">
        <f>Tabela3[[#This Row],[Lucro Prev]]/Tabela3[[#This Row],[Cotação]]</f>
        <v>#REF!</v>
      </c>
      <c r="T52" s="42" t="e">
        <f>(1+Tabela3[[#This Row],[Rentabilidade]])^(1/12)-1</f>
        <v>#REF!</v>
      </c>
      <c r="U52" s="10">
        <f>(Proventos!$Q$1/Tabela3[[#This Row],[Cotação]]-MOD(Proventos!$Q$1/Tabela3[[#This Row],[Cotação]],100))</f>
        <v>0</v>
      </c>
      <c r="V52" s="7" t="e">
        <f>Tabela3[[#This Row],[Ativos]]*Tabela3[[#This Row],[Lucro Prev]]</f>
        <v>#REF!</v>
      </c>
      <c r="W52" s="7" t="e">
        <f>Tabela3[[#This Row],[Lucro Med A.A]]/12</f>
        <v>#REF!</v>
      </c>
    </row>
    <row r="53" spans="1:23" x14ac:dyDescent="0.2">
      <c r="A53" s="35" t="s">
        <v>23</v>
      </c>
      <c r="B53" s="39" t="s">
        <v>95</v>
      </c>
      <c r="C53" s="20">
        <v>3</v>
      </c>
      <c r="D53" s="43">
        <v>1813045000</v>
      </c>
      <c r="E53" s="43">
        <v>650993000</v>
      </c>
      <c r="F53" s="40">
        <v>381253493</v>
      </c>
      <c r="G53" s="39">
        <f>Tabela3[[#This Row],[Lucro Líquido]]/Tabela3[[#This Row],[Total Ações]]</f>
        <v>1.7075069788278634</v>
      </c>
      <c r="H53" s="39">
        <f>Tabela3[[#This Row],[Lucro/Ação]]/Tabela3[[#This Row],[Ref]]*4</f>
        <v>2.2766759717704845</v>
      </c>
      <c r="I53" s="74" t="e">
        <f>GETPIVOTDATA("Payout",'Tabela LL'!$A$3,"Ativo",Tabela3[[#This Row],[PAPEL]])</f>
        <v>#REF!</v>
      </c>
      <c r="J53" s="43">
        <f>Tabela3[Patrimônio Líquido]/Tabela3[Total Ações]</f>
        <v>4.7554842992612265</v>
      </c>
      <c r="K53" s="45">
        <f>SUMPRODUCT(N(Tabela1[Código]=Tabela3[[#This Row],[PAPEL]]),Tabela1[Fechamento])</f>
        <v>19.32</v>
      </c>
      <c r="L53" s="46">
        <f>Tabela3[Cotação]/Tabela3[VPA]</f>
        <v>4.0626776967808302</v>
      </c>
      <c r="M53" s="52">
        <f>IF(Tabela3[[#This Row],[Lucro/Ação Ano]]&gt;0,Tabela3[[#This Row],[Cotação]]/Tabela3[[#This Row],[Lucro/Ação Ano]],0)</f>
        <v>8.4860560921085177</v>
      </c>
      <c r="N53" s="43" t="e">
        <f>Tabela3[[#This Row],[Lucro Prev]]/10%</f>
        <v>#REF!</v>
      </c>
      <c r="O53" s="41" t="e">
        <f>MIN(Tabela3[[#This Row],[10% Rentabilidade]],Tabela3[[#This Row],[VPA]]*2)</f>
        <v>#REF!</v>
      </c>
      <c r="P53" s="75" t="e">
        <f>Tabela3[[#This Row],[P Compra]]/Tabela3[[#This Row],[Cotação]]-1</f>
        <v>#REF!</v>
      </c>
      <c r="Q53" s="6" t="e">
        <f>Tabela3[[#This Row],[Lucro/Ação Ano]]*Tabela3[[#This Row],[Payout]]</f>
        <v>#REF!</v>
      </c>
      <c r="R53" s="38" t="e">
        <f>IF(AND(Tabela3[Rentabilidade]&gt;=10%,Tabela3[PVPA]&lt;=2,Tabela3[PL]&lt;=15,Tabela3[PL]&gt;0),"Sim","Não")</f>
        <v>#REF!</v>
      </c>
      <c r="S53" s="42" t="e">
        <f>Tabela3[[#This Row],[Lucro Prev]]/Tabela3[[#This Row],[Cotação]]</f>
        <v>#REF!</v>
      </c>
      <c r="T53" s="42" t="e">
        <f>(1+Tabela3[[#This Row],[Rentabilidade]])^(1/12)-1</f>
        <v>#REF!</v>
      </c>
      <c r="U53" s="10">
        <f>(Proventos!$Q$1/Tabela3[[#This Row],[Cotação]]-MOD(Proventos!$Q$1/Tabela3[[#This Row],[Cotação]],100))</f>
        <v>0</v>
      </c>
      <c r="V53" s="7" t="e">
        <f>Tabela3[[#This Row],[Ativos]]*Tabela3[[#This Row],[Lucro Prev]]</f>
        <v>#REF!</v>
      </c>
      <c r="W53" s="7" t="e">
        <f>Tabela3[[#This Row],[Lucro Med A.A]]/12</f>
        <v>#REF!</v>
      </c>
    </row>
    <row r="54" spans="1:23" x14ac:dyDescent="0.2">
      <c r="A54" s="4" t="s">
        <v>32</v>
      </c>
      <c r="B54" s="20" t="s">
        <v>39</v>
      </c>
      <c r="C54" s="21">
        <v>3</v>
      </c>
      <c r="D54" s="6">
        <v>2267662000</v>
      </c>
      <c r="E54" s="6">
        <v>-24695000</v>
      </c>
      <c r="F54" s="8">
        <v>435380407</v>
      </c>
      <c r="G54" s="55">
        <f>Tabela3[[#This Row],[Lucro Líquido]]/Tabela3[[#This Row],[Total Ações]]</f>
        <v>-5.6720512919176909E-2</v>
      </c>
      <c r="H54" s="55">
        <f>Tabela3[[#This Row],[Lucro/Ação]]/Tabela3[[#This Row],[Ref]]*4</f>
        <v>-7.5627350558902545E-2</v>
      </c>
      <c r="I54" s="76" t="e">
        <f>GETPIVOTDATA("Payout",'Tabela LL'!$A$3,"Ativo",Tabela3[[#This Row],[PAPEL]])</f>
        <v>#REF!</v>
      </c>
      <c r="J54" s="6">
        <f>Tabela3[Patrimônio Líquido]/Tabela3[Total Ações]</f>
        <v>5.208461298535191</v>
      </c>
      <c r="K54" s="11">
        <f>SUMPRODUCT(N(Tabela1[Código]=Tabela3[[#This Row],[PAPEL]]),Tabela1[Fechamento])</f>
        <v>3.77</v>
      </c>
      <c r="L54" s="9">
        <f>Tabela3[Cotação]/Tabela3[VPA]</f>
        <v>0.72382221618124754</v>
      </c>
      <c r="M54" s="53">
        <f>IF(Tabela3[[#This Row],[Lucro/Ação Ano]]&gt;0,Tabela3[[#This Row],[Cotação]]/Tabela3[[#This Row],[Lucro/Ação Ano]],0)</f>
        <v>0</v>
      </c>
      <c r="N54" s="6" t="e">
        <f>Tabela3[[#This Row],[Lucro Prev]]/10%</f>
        <v>#REF!</v>
      </c>
      <c r="O54" s="13" t="e">
        <f>MIN(Tabela3[[#This Row],[10% Rentabilidade]],Tabela3[[#This Row],[VPA]]*2)</f>
        <v>#REF!</v>
      </c>
      <c r="P54" s="24" t="e">
        <f>Tabela3[[#This Row],[P Compra]]/Tabela3[[#This Row],[Cotação]]-1</f>
        <v>#REF!</v>
      </c>
      <c r="Q54" s="6" t="e">
        <f>Tabela3[[#This Row],[Lucro/Ação Ano]]*Tabela3[[#This Row],[Payout]]</f>
        <v>#REF!</v>
      </c>
      <c r="R54" s="14" t="e">
        <f>IF(AND(Tabela3[Rentabilidade]&gt;=10%,Tabela3[PVPA]&lt;=2,Tabela3[PL]&lt;=15,Tabela3[PL]&gt;0),"Sim","Não")</f>
        <v>#REF!</v>
      </c>
      <c r="S54" s="24" t="e">
        <f>Tabela3[[#This Row],[Lucro Prev]]/Tabela3[[#This Row],[Cotação]]</f>
        <v>#REF!</v>
      </c>
      <c r="T54" s="24" t="e">
        <f>(1+Tabela3[[#This Row],[Rentabilidade]])^(1/12)-1</f>
        <v>#REF!</v>
      </c>
      <c r="U54" s="10">
        <f>(Proventos!$Q$1/Tabela3[[#This Row],[Cotação]]-MOD(Proventos!$Q$1/Tabela3[[#This Row],[Cotação]],100))</f>
        <v>200</v>
      </c>
      <c r="V54" s="5" t="e">
        <f>Tabela3[[#This Row],[Ativos]]*Tabela3[[#This Row],[Lucro Prev]]</f>
        <v>#REF!</v>
      </c>
      <c r="W54" s="5" t="e">
        <f>Tabela3[[#This Row],[Lucro Med A.A]]/12</f>
        <v>#REF!</v>
      </c>
    </row>
    <row r="55" spans="1:23" x14ac:dyDescent="0.2">
      <c r="A55" s="4" t="s">
        <v>32</v>
      </c>
      <c r="B55" s="20" t="s">
        <v>47</v>
      </c>
      <c r="C55" s="20">
        <v>3</v>
      </c>
      <c r="D55" s="6">
        <v>1710995000</v>
      </c>
      <c r="E55" s="6">
        <v>335526000</v>
      </c>
      <c r="F55" s="8">
        <v>257699937</v>
      </c>
      <c r="G55" s="55">
        <f>Tabela3[[#This Row],[Lucro Líquido]]/Tabela3[[#This Row],[Total Ações]]</f>
        <v>1.3020026465897041</v>
      </c>
      <c r="H55" s="55">
        <f>Tabela3[[#This Row],[Lucro/Ação]]/Tabela3[[#This Row],[Ref]]*4</f>
        <v>1.7360035287862721</v>
      </c>
      <c r="I55" s="24" t="e">
        <f>GETPIVOTDATA("Payout",'Tabela LL'!$A$3,"Ativo",Tabela3[[#This Row],[PAPEL]])</f>
        <v>#REF!</v>
      </c>
      <c r="J55" s="6">
        <f>Tabela3[Patrimônio Líquido]/Tabela3[Total Ações]</f>
        <v>6.6394855191602158</v>
      </c>
      <c r="K55" s="11">
        <f>SUMPRODUCT(N(Tabela1[Código]=Tabela3[[#This Row],[PAPEL]]),Tabela1[Fechamento])</f>
        <v>7.95</v>
      </c>
      <c r="L55" s="9">
        <f>Tabela3[Cotação]/Tabela3[VPA]</f>
        <v>1.1973819322382591</v>
      </c>
      <c r="M55" s="53">
        <f>IF(Tabela3[[#This Row],[Lucro/Ação Ano]]&gt;0,Tabela3[[#This Row],[Cotação]]/Tabela3[[#This Row],[Lucro/Ação Ano]],0)</f>
        <v>4.5794837787906157</v>
      </c>
      <c r="N55" s="6" t="e">
        <f>Tabela3[[#This Row],[Lucro Prev]]/10%</f>
        <v>#REF!</v>
      </c>
      <c r="O55" s="13" t="e">
        <f>MIN(Tabela3[[#This Row],[10% Rentabilidade]],Tabela3[[#This Row],[VPA]]*2)</f>
        <v>#REF!</v>
      </c>
      <c r="P55" s="24" t="e">
        <f>Tabela3[[#This Row],[P Compra]]/Tabela3[[#This Row],[Cotação]]-1</f>
        <v>#REF!</v>
      </c>
      <c r="Q55" s="6" t="e">
        <f>Tabela3[[#This Row],[Lucro/Ação Ano]]*Tabela3[[#This Row],[Payout]]</f>
        <v>#REF!</v>
      </c>
      <c r="R55" s="14" t="e">
        <f>IF(AND(Tabela3[Rentabilidade]&gt;=10%,Tabela3[PVPA]&lt;=2,Tabela3[PL]&lt;=15,Tabela3[PL]&gt;0),"Sim","Não")</f>
        <v>#REF!</v>
      </c>
      <c r="S55" s="24" t="e">
        <f>Tabela3[[#This Row],[Lucro Prev]]/Tabela3[[#This Row],[Cotação]]</f>
        <v>#REF!</v>
      </c>
      <c r="T55" s="24" t="e">
        <f>(1+Tabela3[[#This Row],[Rentabilidade]])^(1/12)-1</f>
        <v>#REF!</v>
      </c>
      <c r="U55" s="10">
        <f>(Proventos!$Q$1/Tabela3[[#This Row],[Cotação]]-MOD(Proventos!$Q$1/Tabela3[[#This Row],[Cotação]],100))</f>
        <v>100</v>
      </c>
      <c r="V55" s="7" t="e">
        <f>Tabela3[[#This Row],[Ativos]]*Tabela3[[#This Row],[Lucro Prev]]</f>
        <v>#REF!</v>
      </c>
      <c r="W55" s="7" t="e">
        <f>Tabela3[[#This Row],[Lucro Med A.A]]/12</f>
        <v>#REF!</v>
      </c>
    </row>
    <row r="56" spans="1:23" x14ac:dyDescent="0.2">
      <c r="A56" s="35" t="s">
        <v>73</v>
      </c>
      <c r="B56" s="39" t="s">
        <v>82</v>
      </c>
      <c r="C56" s="21">
        <v>3</v>
      </c>
      <c r="D56" s="43">
        <v>2306667000</v>
      </c>
      <c r="E56" s="43">
        <v>127846000</v>
      </c>
      <c r="F56" s="40">
        <v>176611578</v>
      </c>
      <c r="G56" s="39">
        <f>Tabela3[[#This Row],[Lucro Líquido]]/Tabela3[[#This Row],[Total Ações]]</f>
        <v>0.72388232667283003</v>
      </c>
      <c r="H56" s="39">
        <f>Tabela3[[#This Row],[Lucro/Ação]]/Tabela3[[#This Row],[Ref]]*4</f>
        <v>0.96517643556377342</v>
      </c>
      <c r="I56" s="74" t="e">
        <f>GETPIVOTDATA("Payout",'Tabela LL'!$A$3,"Ativo",Tabela3[[#This Row],[PAPEL]])</f>
        <v>#REF!</v>
      </c>
      <c r="J56" s="43">
        <f>Tabela3[Patrimônio Líquido]/Tabela3[Total Ações]</f>
        <v>13.060678275577153</v>
      </c>
      <c r="K56" s="45">
        <f>SUMPRODUCT(N(Tabela1[Código]=Tabela3[[#This Row],[PAPEL]]),Tabela1[Fechamento])</f>
        <v>22.17</v>
      </c>
      <c r="L56" s="46">
        <f>Tabela3[Cotação]/Tabela3[VPA]</f>
        <v>1.6974616120402297</v>
      </c>
      <c r="M56" s="52">
        <f>IF(Tabela3[[#This Row],[Lucro/Ação Ano]]&gt;0,Tabela3[[#This Row],[Cotação]]/Tabela3[[#This Row],[Lucro/Ação Ano]],0)</f>
        <v>22.969893568785885</v>
      </c>
      <c r="N56" s="43" t="e">
        <f>Tabela3[[#This Row],[Lucro Prev]]/10%</f>
        <v>#REF!</v>
      </c>
      <c r="O56" s="41" t="e">
        <f>MIN(Tabela3[[#This Row],[10% Rentabilidade]],Tabela3[[#This Row],[VPA]]*2)</f>
        <v>#REF!</v>
      </c>
      <c r="P56" s="75" t="e">
        <f>Tabela3[[#This Row],[P Compra]]/Tabela3[[#This Row],[Cotação]]-1</f>
        <v>#REF!</v>
      </c>
      <c r="Q56" s="6" t="e">
        <f>Tabela3[[#This Row],[Lucro/Ação Ano]]*Tabela3[[#This Row],[Payout]]</f>
        <v>#REF!</v>
      </c>
      <c r="R56" s="38" t="e">
        <f>IF(AND(Tabela3[Rentabilidade]&gt;=10%,Tabela3[PVPA]&lt;=2,Tabela3[PL]&lt;=15,Tabela3[PL]&gt;0),"Sim","Não")</f>
        <v>#REF!</v>
      </c>
      <c r="S56" s="42" t="e">
        <f>Tabela3[[#This Row],[Lucro Prev]]/Tabela3[[#This Row],[Cotação]]</f>
        <v>#REF!</v>
      </c>
      <c r="T56" s="42" t="e">
        <f>(1+Tabela3[[#This Row],[Rentabilidade]])^(1/12)-1</f>
        <v>#REF!</v>
      </c>
      <c r="U56" s="10">
        <f>(Proventos!$Q$1/Tabela3[[#This Row],[Cotação]]-MOD(Proventos!$Q$1/Tabela3[[#This Row],[Cotação]],100))</f>
        <v>0</v>
      </c>
      <c r="V56" s="7" t="e">
        <f>Tabela3[[#This Row],[Ativos]]*Tabela3[[#This Row],[Lucro Prev]]</f>
        <v>#REF!</v>
      </c>
      <c r="W56" s="7" t="e">
        <f>Tabela3[[#This Row],[Lucro Med A.A]]/12</f>
        <v>#REF!</v>
      </c>
    </row>
    <row r="57" spans="1:23" x14ac:dyDescent="0.2">
      <c r="A57" s="4" t="s">
        <v>33</v>
      </c>
      <c r="B57" s="20" t="s">
        <v>35</v>
      </c>
      <c r="C57" s="21">
        <v>3</v>
      </c>
      <c r="D57" s="6">
        <v>35055000000</v>
      </c>
      <c r="E57" s="6">
        <v>4193000000</v>
      </c>
      <c r="F57" s="8">
        <v>5470667261</v>
      </c>
      <c r="G57" s="55">
        <f>Tabela3[[#This Row],[Lucro Líquido]]/Tabela3[[#This Row],[Total Ações]]</f>
        <v>0.76645129377390586</v>
      </c>
      <c r="H57" s="55">
        <f>Tabela3[[#This Row],[Lucro/Ação]]/Tabela3[[#This Row],[Ref]]*4</f>
        <v>1.0219350583652078</v>
      </c>
      <c r="I57" s="24" t="e">
        <f>GETPIVOTDATA("Payout",'Tabela LL'!$A$3,"Ativo",Tabela3[[#This Row],[PAPEL]])</f>
        <v>#REF!</v>
      </c>
      <c r="J57" s="6">
        <f>Tabela3[Patrimônio Líquido]/Tabela3[Total Ações]</f>
        <v>6.4078106613985861</v>
      </c>
      <c r="K57" s="11">
        <f>SUMPRODUCT(N(Tabela1[Código]=Tabela3[[#This Row],[PAPEL]]),Tabela1[Fechamento])</f>
        <v>8.9</v>
      </c>
      <c r="L57" s="9">
        <f>Tabela3[Cotação]/Tabela3[VPA]</f>
        <v>1.3889299279104264</v>
      </c>
      <c r="M57" s="53">
        <f>IF(Tabela3[[#This Row],[Lucro/Ação Ano]]&gt;0,Tabela3[[#This Row],[Cotação]]/Tabela3[[#This Row],[Lucro/Ação Ano]],0)</f>
        <v>8.7089682726389217</v>
      </c>
      <c r="N57" s="6" t="e">
        <f>Tabela3[[#This Row],[Lucro Prev]]/10%</f>
        <v>#REF!</v>
      </c>
      <c r="O57" s="13" t="e">
        <f>MIN(Tabela3[[#This Row],[10% Rentabilidade]],Tabela3[[#This Row],[VPA]]*2)</f>
        <v>#REF!</v>
      </c>
      <c r="P57" s="24" t="e">
        <f>Tabela3[[#This Row],[P Compra]]/Tabela3[[#This Row],[Cotação]]-1</f>
        <v>#REF!</v>
      </c>
      <c r="Q57" s="6" t="e">
        <f>Tabela3[[#This Row],[Lucro/Ação Ano]]*Tabela3[[#This Row],[Payout]]</f>
        <v>#REF!</v>
      </c>
      <c r="R57" s="14" t="e">
        <f>IF(AND(Tabela3[Rentabilidade]&gt;=10%,Tabela3[PVPA]&lt;=2,Tabela3[PL]&lt;=15,Tabela3[PL]&gt;0),"Sim","Não")</f>
        <v>#REF!</v>
      </c>
      <c r="S57" s="23" t="e">
        <f>Tabela3[[#This Row],[Lucro Prev]]/Tabela3[[#This Row],[Cotação]]</f>
        <v>#REF!</v>
      </c>
      <c r="T57" s="23" t="e">
        <f>(1+Tabela3[[#This Row],[Rentabilidade]])^(1/12)-1</f>
        <v>#REF!</v>
      </c>
      <c r="U57" s="10">
        <f>(Proventos!$Q$1/Tabela3[[#This Row],[Cotação]]-MOD(Proventos!$Q$1/Tabela3[[#This Row],[Cotação]],100))</f>
        <v>100</v>
      </c>
      <c r="V57" s="7" t="e">
        <f>Tabela3[[#This Row],[Ativos]]*Tabela3[[#This Row],[Lucro Prev]]</f>
        <v>#REF!</v>
      </c>
      <c r="W57" s="7" t="e">
        <f>Tabela3[[#This Row],[Lucro Med A.A]]/12</f>
        <v>#REF!</v>
      </c>
    </row>
    <row r="58" spans="1:23" x14ac:dyDescent="0.2">
      <c r="B58" s="10" t="s">
        <v>304</v>
      </c>
      <c r="C58" s="21">
        <v>3</v>
      </c>
      <c r="D58" s="5">
        <v>81300000000</v>
      </c>
      <c r="E58" s="5">
        <v>11576000000</v>
      </c>
      <c r="F58" s="27">
        <v>5028029710</v>
      </c>
      <c r="G58" s="21">
        <f>Tabela3[[#This Row],[Lucro Líquido]]/Tabela3[[#This Row],[Total Ações]]</f>
        <v>2.3022934763048566</v>
      </c>
      <c r="H58" s="21">
        <f>Tabela3[[#This Row],[Lucro/Ação]]/Tabela3[[#This Row],[Ref]]*4</f>
        <v>3.069724635073142</v>
      </c>
      <c r="I58" s="23" t="e">
        <f>GETPIVOTDATA("Payout",'Tabela LL'!$A$3,"Ativo",Tabela3[[#This Row],[PAPEL]])</f>
        <v>#REF!</v>
      </c>
      <c r="J58" s="5">
        <f>Tabela3[Patrimônio Líquido]/Tabela3[Total Ações]</f>
        <v>16.169355530717418</v>
      </c>
      <c r="K58" s="83">
        <f>SUMPRODUCT(N(Tabela1[Código]=Tabela3[[#This Row],[PAPEL]]),Tabela1[Fechamento])</f>
        <v>31.47</v>
      </c>
      <c r="L58" s="84">
        <f>Tabela3[Cotação]/Tabela3[VPA]</f>
        <v>1.9462742309188192</v>
      </c>
      <c r="M58" s="54">
        <f>IF(Tabela3[[#This Row],[Lucro/Ação Ano]]&gt;0,Tabela3[[#This Row],[Cotação]]/Tabela3[[#This Row],[Lucro/Ação Ano]],0)</f>
        <v>10.251733865780494</v>
      </c>
      <c r="N58" s="10" t="e">
        <f>Tabela3[[#This Row],[Lucro Prev]]/10%</f>
        <v>#REF!</v>
      </c>
      <c r="O58" s="85" t="e">
        <f>MIN(Tabela3[[#This Row],[10% Rentabilidade]],Tabela3[[#This Row],[VPA]]*2)</f>
        <v>#REF!</v>
      </c>
      <c r="P58" s="23" t="e">
        <f>Tabela3[[#This Row],[P Compra]]/Tabela3[[#This Row],[Cotação]]-1</f>
        <v>#REF!</v>
      </c>
      <c r="Q58" s="5" t="e">
        <f>Tabela3[[#This Row],[Lucro/Ação Ano]]*Tabela3[[#This Row],[Payout]]</f>
        <v>#REF!</v>
      </c>
      <c r="R58" s="10" t="e">
        <f>IF(AND(Tabela3[Rentabilidade]&gt;=10%,Tabela3[PVPA]&lt;=2,Tabela3[PL]&lt;=15,Tabela3[PL]&gt;0),"Sim","Não")</f>
        <v>#REF!</v>
      </c>
      <c r="S58" s="28" t="e">
        <f>Tabela3[[#This Row],[Lucro Prev]]/Tabela3[[#This Row],[Cotação]]</f>
        <v>#REF!</v>
      </c>
      <c r="T58" s="28" t="e">
        <f>(1+Tabela3[[#This Row],[Rentabilidade]])^(1/12)-1</f>
        <v>#REF!</v>
      </c>
      <c r="U58" s="10">
        <f>(Proventos!$Q$1/Tabela3[[#This Row],[Cotação]]-MOD(Proventos!$Q$1/Tabela3[[#This Row],[Cotação]],100))</f>
        <v>0</v>
      </c>
      <c r="V58" s="7" t="e">
        <f>Tabela3[[#This Row],[Ativos]]*Tabela3[[#This Row],[Lucro Prev]]</f>
        <v>#REF!</v>
      </c>
      <c r="W58" s="7" t="e">
        <f>Tabela3[[#This Row],[Lucro Med A.A]]/12</f>
        <v>#REF!</v>
      </c>
    </row>
    <row r="59" spans="1:23" x14ac:dyDescent="0.2">
      <c r="A59" s="4" t="s">
        <v>32</v>
      </c>
      <c r="B59" s="20" t="s">
        <v>40</v>
      </c>
      <c r="C59" s="20">
        <v>3</v>
      </c>
      <c r="D59" s="6">
        <v>1324142000</v>
      </c>
      <c r="E59" s="6">
        <v>48270000</v>
      </c>
      <c r="F59" s="8">
        <v>432043157</v>
      </c>
      <c r="G59" s="55">
        <f>Tabela3[[#This Row],[Lucro Líquido]]/Tabela3[[#This Row],[Total Ações]]</f>
        <v>0.11172494973690789</v>
      </c>
      <c r="H59" s="55">
        <f>Tabela3[[#This Row],[Lucro/Ação]]/Tabela3[[#This Row],[Ref]]*4</f>
        <v>0.14896659964921052</v>
      </c>
      <c r="I59" s="76" t="e">
        <f>GETPIVOTDATA("Payout",'Tabela LL'!$A$3,"Ativo",Tabela3[[#This Row],[PAPEL]])</f>
        <v>#REF!</v>
      </c>
      <c r="J59" s="6">
        <f>Tabela3[Patrimônio Líquido]/Tabela3[Total Ações]</f>
        <v>3.0648373398493614</v>
      </c>
      <c r="K59" s="11">
        <f>SUMPRODUCT(N(Tabela1[Código]=Tabela3[[#This Row],[PAPEL]]),Tabela1[Fechamento])</f>
        <v>4.0999999999999996</v>
      </c>
      <c r="L59" s="9">
        <f>Tabela3[Cotação]/Tabela3[VPA]</f>
        <v>1.3377545185486148</v>
      </c>
      <c r="M59" s="53">
        <f>IF(Tabela3[[#This Row],[Lucro/Ação Ano]]&gt;0,Tabela3[[#This Row],[Cotação]]/Tabela3[[#This Row],[Lucro/Ação Ano]],0)</f>
        <v>27.522948161901798</v>
      </c>
      <c r="N59" s="6" t="e">
        <f>Tabela3[[#This Row],[Lucro Prev]]/10%</f>
        <v>#REF!</v>
      </c>
      <c r="O59" s="13" t="e">
        <f>MIN(Tabela3[[#This Row],[10% Rentabilidade]],Tabela3[[#This Row],[VPA]]*2)</f>
        <v>#REF!</v>
      </c>
      <c r="P59" s="24" t="e">
        <f>Tabela3[[#This Row],[P Compra]]/Tabela3[[#This Row],[Cotação]]-1</f>
        <v>#REF!</v>
      </c>
      <c r="Q59" s="6" t="e">
        <f>Tabela3[[#This Row],[Lucro/Ação Ano]]*Tabela3[[#This Row],[Payout]]</f>
        <v>#REF!</v>
      </c>
      <c r="R59" s="14" t="e">
        <f>IF(AND(Tabela3[Rentabilidade]&gt;=10%,Tabela3[PVPA]&lt;=2,Tabela3[PL]&lt;=15,Tabela3[PL]&gt;0),"Sim","Não")</f>
        <v>#REF!</v>
      </c>
      <c r="S59" s="24" t="e">
        <f>Tabela3[[#This Row],[Lucro Prev]]/Tabela3[[#This Row],[Cotação]]</f>
        <v>#REF!</v>
      </c>
      <c r="T59" s="24" t="e">
        <f>(1+Tabela3[[#This Row],[Rentabilidade]])^(1/12)-1</f>
        <v>#REF!</v>
      </c>
      <c r="U59" s="10">
        <f>(Proventos!$Q$1/Tabela3[[#This Row],[Cotação]]-MOD(Proventos!$Q$1/Tabela3[[#This Row],[Cotação]],100))</f>
        <v>200</v>
      </c>
      <c r="V59" s="7" t="e">
        <f>Tabela3[[#This Row],[Ativos]]*Tabela3[[#This Row],[Lucro Prev]]</f>
        <v>#REF!</v>
      </c>
      <c r="W59" s="7" t="e">
        <f>Tabela3[[#This Row],[Lucro Med A.A]]/12</f>
        <v>#REF!</v>
      </c>
    </row>
    <row r="60" spans="1:23" x14ac:dyDescent="0.2">
      <c r="A60" s="4" t="s">
        <v>57</v>
      </c>
      <c r="B60" s="65" t="s">
        <v>173</v>
      </c>
      <c r="C60" s="20">
        <v>3</v>
      </c>
      <c r="D60" s="6">
        <v>5466325000</v>
      </c>
      <c r="E60" s="6">
        <v>268577000</v>
      </c>
      <c r="F60" s="56">
        <v>917683296</v>
      </c>
      <c r="G60" s="20">
        <f>Tabela3[[#This Row],[Lucro Líquido]]/Tabela3[[#This Row],[Total Ações]]</f>
        <v>0.29266850684835827</v>
      </c>
      <c r="H60" s="20">
        <f>Tabela3[[#This Row],[Lucro/Ação]]/Tabela3[[#This Row],[Ref]]*4</f>
        <v>0.390224675797811</v>
      </c>
      <c r="I60" s="60" t="e">
        <f>GETPIVOTDATA("Payout",'Tabela LL'!$A$3,"Ativo",Tabela3[[#This Row],[PAPEL]])</f>
        <v>#REF!</v>
      </c>
      <c r="J60" s="6">
        <f>Tabela3[Patrimônio Líquido]/Tabela3[Total Ações]</f>
        <v>5.9566574043862728</v>
      </c>
      <c r="K60" s="57">
        <f>SUMPRODUCT(N(Tabela1[Código]=Tabela3[[#This Row],[PAPEL]]),Tabela1[Fechamento])</f>
        <v>12.3</v>
      </c>
      <c r="L60" s="58">
        <f>Tabela3[Cotação]/Tabela3[VPA]</f>
        <v>2.0649164732795802</v>
      </c>
      <c r="M60" s="59">
        <f>IF(Tabela3[[#This Row],[Lucro/Ação Ano]]&gt;0,Tabela3[[#This Row],[Cotação]]/Tabela3[[#This Row],[Lucro/Ação Ano]],0)</f>
        <v>31.520302950736664</v>
      </c>
      <c r="N60" s="6" t="e">
        <f>Tabela3[[#This Row],[Lucro Prev]]/10%</f>
        <v>#REF!</v>
      </c>
      <c r="O60" s="22" t="e">
        <f>MIN(Tabela3[[#This Row],[10% Rentabilidade]],Tabela3[[#This Row],[VPA]]*2)</f>
        <v>#REF!</v>
      </c>
      <c r="P60" s="24" t="e">
        <f>Tabela3[[#This Row],[P Compra]]/Tabela3[[#This Row],[Cotação]]-1</f>
        <v>#REF!</v>
      </c>
      <c r="Q60" s="6" t="e">
        <f>Tabela3[[#This Row],[Lucro/Ação Ano]]*Tabela3[[#This Row],[Payout]]</f>
        <v>#REF!</v>
      </c>
      <c r="R60" s="14" t="e">
        <f>IF(AND(Tabela3[Rentabilidade]&gt;=10%,Tabela3[PVPA]&lt;=2,Tabela3[PL]&lt;=15,Tabela3[PL]&gt;0),"Sim","Não")</f>
        <v>#REF!</v>
      </c>
      <c r="S60" s="60" t="e">
        <f>Tabela3[[#This Row],[Lucro Prev]]/Tabela3[[#This Row],[Cotação]]</f>
        <v>#REF!</v>
      </c>
      <c r="T60" s="61" t="e">
        <f>(1+Tabela3[[#This Row],[Rentabilidade]])^(1/12)-1</f>
        <v>#REF!</v>
      </c>
      <c r="U60" s="14">
        <f>(Proventos!$Q$1/Tabela3[[#This Row],[Cotação]]-MOD(Proventos!$Q$1/Tabela3[[#This Row],[Cotação]],100))</f>
        <v>0</v>
      </c>
      <c r="V60" s="22" t="e">
        <f>Tabela3[[#This Row],[Ativos]]*Tabela3[[#This Row],[Lucro Prev]]</f>
        <v>#REF!</v>
      </c>
      <c r="W60" s="22" t="e">
        <f>Tabela3[[#This Row],[Lucro Med A.A]]/12</f>
        <v>#REF!</v>
      </c>
    </row>
    <row r="61" spans="1:23" x14ac:dyDescent="0.2">
      <c r="A61" s="4" t="s">
        <v>23</v>
      </c>
      <c r="B61" s="65" t="s">
        <v>175</v>
      </c>
      <c r="C61" s="21">
        <v>3</v>
      </c>
      <c r="D61" s="6">
        <v>3392238000</v>
      </c>
      <c r="E61" s="6">
        <v>458325000</v>
      </c>
      <c r="F61" s="56">
        <v>203934060</v>
      </c>
      <c r="G61" s="20">
        <f>Tabela3[[#This Row],[Lucro Líquido]]/Tabela3[[#This Row],[Total Ações]]</f>
        <v>2.2474176211663712</v>
      </c>
      <c r="H61" s="20">
        <f>Tabela3[[#This Row],[Lucro/Ação]]/Tabela3[[#This Row],[Ref]]*4</f>
        <v>2.9965568282218285</v>
      </c>
      <c r="I61" s="24" t="e">
        <f>GETPIVOTDATA("Payout",'Tabela LL'!$A$3,"Ativo",Tabela3[[#This Row],[PAPEL]])</f>
        <v>#REF!</v>
      </c>
      <c r="J61" s="6">
        <f>Tabela3[Patrimônio Líquido]/Tabela3[Total Ações]</f>
        <v>16.633994341112025</v>
      </c>
      <c r="K61" s="57">
        <f>SUMPRODUCT(N(Tabela1[Código]=Tabela3[[#This Row],[PAPEL]]),Tabela1[Fechamento])</f>
        <v>21.85</v>
      </c>
      <c r="L61" s="66">
        <f>Tabela3[Cotação]/Tabela3[VPA]</f>
        <v>1.3135750531065331</v>
      </c>
      <c r="M61" s="59">
        <f>IF(Tabela3[[#This Row],[Lucro/Ação Ano]]&gt;0,Tabela3[[#This Row],[Cotação]]/Tabela3[[#This Row],[Lucro/Ação Ano]],0)</f>
        <v>7.2917021944035341</v>
      </c>
      <c r="N61" s="14" t="e">
        <f>Tabela3[[#This Row],[Lucro Prev]]/10%</f>
        <v>#REF!</v>
      </c>
      <c r="O61" s="22" t="e">
        <f>MIN(Tabela3[[#This Row],[10% Rentabilidade]],Tabela3[[#This Row],[VPA]]*2)</f>
        <v>#REF!</v>
      </c>
      <c r="P61" s="24" t="e">
        <f>Tabela3[[#This Row],[P Compra]]/Tabela3[[#This Row],[Cotação]]-1</f>
        <v>#REF!</v>
      </c>
      <c r="Q61" s="6" t="e">
        <f>Tabela3[[#This Row],[Lucro/Ação Ano]]*Tabela3[[#This Row],[Payout]]</f>
        <v>#REF!</v>
      </c>
      <c r="R61" s="14" t="e">
        <f>IF(AND(Tabela3[Rentabilidade]&gt;=10%,Tabela3[PVPA]&lt;=2,Tabela3[PL]&lt;=15,Tabela3[PL]&gt;0),"Sim","Não")</f>
        <v>#REF!</v>
      </c>
      <c r="S61" s="60" t="e">
        <f>Tabela3[[#This Row],[Lucro Prev]]/Tabela3[[#This Row],[Cotação]]</f>
        <v>#REF!</v>
      </c>
      <c r="T61" s="61" t="e">
        <f>(1+Tabela3[[#This Row],[Rentabilidade]])^(1/12)-1</f>
        <v>#REF!</v>
      </c>
      <c r="U61" s="14">
        <f>(Proventos!$Q$1/Tabela3[[#This Row],[Cotação]]-MOD(Proventos!$Q$1/Tabela3[[#This Row],[Cotação]],100))</f>
        <v>0</v>
      </c>
      <c r="V61" s="22" t="e">
        <f>Tabela3[[#This Row],[Ativos]]*Tabela3[[#This Row],[Lucro Prev]]</f>
        <v>#REF!</v>
      </c>
      <c r="W61" s="22" t="e">
        <f>Tabela3[[#This Row],[Lucro Med A.A]]/12</f>
        <v>#REF!</v>
      </c>
    </row>
    <row r="62" spans="1:23" x14ac:dyDescent="0.2">
      <c r="A62" s="35" t="s">
        <v>64</v>
      </c>
      <c r="B62" s="39" t="s">
        <v>65</v>
      </c>
      <c r="C62" s="20">
        <v>3</v>
      </c>
      <c r="D62" s="43">
        <v>582947000</v>
      </c>
      <c r="E62" s="43">
        <v>44314000</v>
      </c>
      <c r="F62" s="40">
        <v>46556463</v>
      </c>
      <c r="G62" s="39">
        <f>Tabela3[[#This Row],[Lucro Líquido]]/Tabela3[[#This Row],[Total Ações]]</f>
        <v>0.9518334758377156</v>
      </c>
      <c r="H62" s="39">
        <f>Tabela3[[#This Row],[Lucro/Ação]]/Tabela3[[#This Row],[Ref]]*4</f>
        <v>1.2691113011169541</v>
      </c>
      <c r="I62" s="74" t="e">
        <f>GETPIVOTDATA("Payout",'Tabela LL'!$A$3,"Ativo",Tabela3[[#This Row],[PAPEL]])</f>
        <v>#REF!</v>
      </c>
      <c r="J62" s="43">
        <f>Tabela3[Patrimônio Líquido]/Tabela3[Total Ações]</f>
        <v>12.521290545632731</v>
      </c>
      <c r="K62" s="45">
        <f>SUMPRODUCT(N(Tabela1[Código]=Tabela3[[#This Row],[PAPEL]]),Tabela1[Fechamento])</f>
        <v>48.99</v>
      </c>
      <c r="L62" s="44">
        <f>Tabela3[Cotação]/Tabela3[VPA]</f>
        <v>3.9125359979037544</v>
      </c>
      <c r="M62" s="52">
        <f>IF(Tabela3[[#This Row],[Lucro/Ação Ano]]&gt;0,Tabela3[[#This Row],[Cotação]]/Tabela3[[#This Row],[Lucro/Ação Ano]],0)</f>
        <v>38.60181526780476</v>
      </c>
      <c r="N62" s="43" t="e">
        <f>Tabela3[[#This Row],[Lucro Prev]]/10%</f>
        <v>#REF!</v>
      </c>
      <c r="O62" s="41" t="e">
        <f>MIN(Tabela3[[#This Row],[10% Rentabilidade]],Tabela3[[#This Row],[VPA]]*2)</f>
        <v>#REF!</v>
      </c>
      <c r="P62" s="75" t="e">
        <f>Tabela3[[#This Row],[P Compra]]/Tabela3[[#This Row],[Cotação]]-1</f>
        <v>#REF!</v>
      </c>
      <c r="Q62" s="6" t="e">
        <f>Tabela3[[#This Row],[Lucro/Ação Ano]]*Tabela3[[#This Row],[Payout]]</f>
        <v>#REF!</v>
      </c>
      <c r="R62" s="38" t="e">
        <f>IF(AND(Tabela3[Rentabilidade]&gt;=10%,Tabela3[PVPA]&lt;=2,Tabela3[PL]&lt;=15,Tabela3[PL]&gt;0),"Sim","Não")</f>
        <v>#REF!</v>
      </c>
      <c r="S62" s="42" t="e">
        <f>Tabela3[[#This Row],[Lucro Prev]]/Tabela3[[#This Row],[Cotação]]</f>
        <v>#REF!</v>
      </c>
      <c r="T62" s="42" t="e">
        <f>(1+Tabela3[[#This Row],[Rentabilidade]])^(1/12)-1</f>
        <v>#REF!</v>
      </c>
      <c r="U62" s="10">
        <f>(Proventos!$Q$1/Tabela3[[#This Row],[Cotação]]-MOD(Proventos!$Q$1/Tabela3[[#This Row],[Cotação]],100))</f>
        <v>0</v>
      </c>
      <c r="V62" s="7" t="e">
        <f>Tabela3[[#This Row],[Ativos]]*Tabela3[[#This Row],[Lucro Prev]]</f>
        <v>#REF!</v>
      </c>
      <c r="W62" s="7" t="e">
        <f>Tabela3[[#This Row],[Lucro Med A.A]]/12</f>
        <v>#REF!</v>
      </c>
    </row>
    <row r="63" spans="1:23" x14ac:dyDescent="0.2">
      <c r="A63" s="35" t="s">
        <v>53</v>
      </c>
      <c r="B63" s="39" t="s">
        <v>51</v>
      </c>
      <c r="C63" s="21">
        <v>3</v>
      </c>
      <c r="D63" s="43">
        <v>698993000</v>
      </c>
      <c r="E63" s="43">
        <v>141317000</v>
      </c>
      <c r="F63" s="40">
        <v>531294792</v>
      </c>
      <c r="G63" s="39">
        <f>Tabela3[[#This Row],[Lucro Líquido]]/Tabela3[[#This Row],[Total Ações]]</f>
        <v>0.26598604414703164</v>
      </c>
      <c r="H63" s="39">
        <f>Tabela3[[#This Row],[Lucro/Ação]]/Tabela3[[#This Row],[Ref]]*4</f>
        <v>0.35464805886270884</v>
      </c>
      <c r="I63" s="74" t="e">
        <f>GETPIVOTDATA("Payout",'Tabela LL'!$A$3,"Ativo",Tabela3[[#This Row],[PAPEL]])</f>
        <v>#REF!</v>
      </c>
      <c r="J63" s="43">
        <f>Tabela3[Patrimônio Líquido]/Tabela3[Total Ações]</f>
        <v>1.3156406020257019</v>
      </c>
      <c r="K63" s="45">
        <f>SUMPRODUCT(N(Tabela1[Código]=Tabela3[[#This Row],[PAPEL]]),Tabela1[Fechamento])</f>
        <v>10.17</v>
      </c>
      <c r="L63" s="44">
        <f>Tabela3[Cotação]/Tabela3[VPA]</f>
        <v>7.7300745996597957</v>
      </c>
      <c r="M63" s="52">
        <f>IF(Tabela3[[#This Row],[Lucro/Ação Ano]]&gt;0,Tabela3[[#This Row],[Cotação]]/Tabela3[[#This Row],[Lucro/Ação Ano]],0)</f>
        <v>28.676316550591935</v>
      </c>
      <c r="N63" s="43" t="e">
        <f>Tabela3[[#This Row],[Lucro Prev]]/10%</f>
        <v>#REF!</v>
      </c>
      <c r="O63" s="41" t="e">
        <f>MIN(Tabela3[[#This Row],[10% Rentabilidade]],Tabela3[[#This Row],[VPA]]*2)</f>
        <v>#REF!</v>
      </c>
      <c r="P63" s="75" t="e">
        <f>Tabela3[[#This Row],[P Compra]]/Tabela3[[#This Row],[Cotação]]-1</f>
        <v>#REF!</v>
      </c>
      <c r="Q63" s="6" t="e">
        <f>Tabela3[[#This Row],[Lucro/Ação Ano]]*Tabela3[[#This Row],[Payout]]</f>
        <v>#REF!</v>
      </c>
      <c r="R63" s="38" t="e">
        <f>IF(AND(Tabela3[Rentabilidade]&gt;=10%,Tabela3[PVPA]&lt;=2,Tabela3[PL]&lt;=15,Tabela3[PL]&gt;0),"Sim","Não")</f>
        <v>#REF!</v>
      </c>
      <c r="S63" s="42" t="e">
        <f>Tabela3[[#This Row],[Lucro Prev]]/Tabela3[[#This Row],[Cotação]]</f>
        <v>#REF!</v>
      </c>
      <c r="T63" s="42" t="e">
        <f>(1+Tabela3[[#This Row],[Rentabilidade]])^(1/12)-1</f>
        <v>#REF!</v>
      </c>
      <c r="U63" s="10">
        <f>(Proventos!$Q$1/Tabela3[[#This Row],[Cotação]]-MOD(Proventos!$Q$1/Tabela3[[#This Row],[Cotação]],100))</f>
        <v>0</v>
      </c>
      <c r="V63" s="7" t="e">
        <f>Tabela3[[#This Row],[Ativos]]*Tabela3[[#This Row],[Lucro Prev]]</f>
        <v>#REF!</v>
      </c>
      <c r="W63" s="7" t="e">
        <f>Tabela3[[#This Row],[Lucro Med A.A]]/12</f>
        <v>#REF!</v>
      </c>
    </row>
    <row r="64" spans="1:23" x14ac:dyDescent="0.2">
      <c r="B64" s="10" t="s">
        <v>519</v>
      </c>
      <c r="C64" s="21">
        <v>3</v>
      </c>
      <c r="D64" s="5">
        <v>10322490000</v>
      </c>
      <c r="E64" s="5">
        <v>310353000</v>
      </c>
      <c r="F64" s="27">
        <v>1797086404</v>
      </c>
      <c r="G64" s="21">
        <f>Tabela3[[#This Row],[Lucro Líquido]]/Tabela3[[#This Row],[Total Ações]]</f>
        <v>0.17269787324037872</v>
      </c>
      <c r="H64" s="21">
        <f>Tabela3[[#This Row],[Lucro/Ação]]/Tabela3[[#This Row],[Ref]]*4</f>
        <v>0.23026383098717162</v>
      </c>
      <c r="I64" s="23">
        <f>GETPIVOTDATA("Payout",'Tabela LL'!$A$3,"Ativo",Tabela3[[#This Row],[PAPEL]])</f>
        <v>1.8354845241995059</v>
      </c>
      <c r="J64" s="5">
        <f>Tabela3[Patrimônio Líquido]/Tabela3[Total Ações]</f>
        <v>5.7440142983798346</v>
      </c>
      <c r="K64" s="83">
        <f>SUMPRODUCT(N(Tabela1[Código]=Tabela3[[#This Row],[PAPEL]]),Tabela1[Fechamento])</f>
        <v>3.81</v>
      </c>
      <c r="L64" s="84">
        <f>Tabela3[Cotação]/Tabela3[VPA]</f>
        <v>0.66329918452233905</v>
      </c>
      <c r="M64" s="54">
        <f>IF(Tabela3[[#This Row],[Lucro/Ação Ano]]&gt;0,Tabela3[[#This Row],[Cotação]]/Tabela3[[#This Row],[Lucro/Ação Ano]],0)</f>
        <v>16.546237347246521</v>
      </c>
      <c r="N64" s="10">
        <f>Tabela3[[#This Row],[Lucro Prev]]/10%</f>
        <v>4.2264569825984415</v>
      </c>
      <c r="O64" s="85">
        <f>MIN(Tabela3[[#This Row],[10% Rentabilidade]],Tabela3[[#This Row],[VPA]]*2)</f>
        <v>4.2264569825984415</v>
      </c>
      <c r="P64" s="23">
        <f>Tabela3[[#This Row],[P Compra]]/Tabela3[[#This Row],[Cotação]]-1</f>
        <v>0.10930629464526032</v>
      </c>
      <c r="Q64" s="5">
        <f>Tabela3[[#This Row],[Lucro/Ação Ano]]*Tabela3[[#This Row],[Payout]]</f>
        <v>0.42264569825984416</v>
      </c>
      <c r="R64" s="10" t="str">
        <f>IF(AND(Tabela3[Rentabilidade]&gt;=10%,Tabela3[PVPA]&lt;=2,Tabela3[PL]&lt;=15,Tabela3[PL]&gt;0),"Sim","Não")</f>
        <v>Não</v>
      </c>
      <c r="S64" s="28">
        <f>Tabela3[[#This Row],[Lucro Prev]]/Tabela3[[#This Row],[Cotação]]</f>
        <v>0.11093062946452603</v>
      </c>
      <c r="T64" s="28">
        <f>(1+Tabela3[[#This Row],[Rentabilidade]])^(1/12)-1</f>
        <v>8.8050440932538887E-3</v>
      </c>
      <c r="U64" s="10">
        <f>(Proventos!$Q$1/Tabela3[[#This Row],[Cotação]]-MOD(Proventos!$Q$1/Tabela3[[#This Row],[Cotação]],100))</f>
        <v>200</v>
      </c>
      <c r="V64" s="7">
        <f>Tabela3[[#This Row],[Ativos]]*Tabela3[[#This Row],[Lucro Prev]]</f>
        <v>84.529139651968833</v>
      </c>
      <c r="W64" s="7">
        <f>Tabela3[[#This Row],[Lucro Med A.A]]/12</f>
        <v>7.0440949709974028</v>
      </c>
    </row>
    <row r="65" spans="1:23" x14ac:dyDescent="0.2">
      <c r="A65" s="4" t="s">
        <v>32</v>
      </c>
      <c r="B65" s="20" t="s">
        <v>37</v>
      </c>
      <c r="C65" s="20">
        <v>3</v>
      </c>
      <c r="D65" s="6">
        <v>5208191000</v>
      </c>
      <c r="E65" s="6">
        <v>-250909000</v>
      </c>
      <c r="F65" s="8">
        <v>1339547923</v>
      </c>
      <c r="G65" s="55">
        <f>Tabela3[[#This Row],[Lucro Líquido]]/Tabela3[[#This Row],[Total Ações]]</f>
        <v>-0.18730871489694362</v>
      </c>
      <c r="H65" s="55">
        <f>Tabela3[[#This Row],[Lucro/Ação]]/Tabela3[[#This Row],[Ref]]*4</f>
        <v>-0.24974495319592482</v>
      </c>
      <c r="I65" s="76" t="e">
        <f>GETPIVOTDATA("Payout",'Tabela LL'!$A$3,"Ativo",Tabela3[[#This Row],[PAPEL]])</f>
        <v>#REF!</v>
      </c>
      <c r="J65" s="6">
        <f>Tabela3[Patrimônio Líquido]/Tabela3[Total Ações]</f>
        <v>3.8880214067563448</v>
      </c>
      <c r="K65" s="11">
        <f>SUMPRODUCT(N(Tabela1[Código]=Tabela3[[#This Row],[PAPEL]]),Tabela1[Fechamento])</f>
        <v>1.83</v>
      </c>
      <c r="L65" s="9">
        <f>Tabela3[Cotação]/Tabela3[VPA]</f>
        <v>0.47067642087050959</v>
      </c>
      <c r="M65" s="53">
        <f>IF(Tabela3[[#This Row],[Lucro/Ação Ano]]&gt;0,Tabela3[[#This Row],[Cotação]]/Tabela3[[#This Row],[Lucro/Ação Ano]],0)</f>
        <v>0</v>
      </c>
      <c r="N65" s="6" t="e">
        <f>Tabela3[[#This Row],[Lucro Prev]]/10%</f>
        <v>#REF!</v>
      </c>
      <c r="O65" s="13" t="e">
        <f>MIN(Tabela3[[#This Row],[10% Rentabilidade]],Tabela3[[#This Row],[VPA]]*2)</f>
        <v>#REF!</v>
      </c>
      <c r="P65" s="24" t="e">
        <f>Tabela3[[#This Row],[P Compra]]/Tabela3[[#This Row],[Cotação]]-1</f>
        <v>#REF!</v>
      </c>
      <c r="Q65" s="6" t="e">
        <f>Tabela3[[#This Row],[Lucro/Ação Ano]]*Tabela3[[#This Row],[Payout]]</f>
        <v>#REF!</v>
      </c>
      <c r="R65" s="14" t="e">
        <f>IF(AND(Tabela3[Rentabilidade]&gt;=10%,Tabela3[PVPA]&lt;=2,Tabela3[PL]&lt;=15,Tabela3[PL]&gt;0),"Sim","Não")</f>
        <v>#REF!</v>
      </c>
      <c r="S65" s="24" t="e">
        <f>Tabela3[[#This Row],[Lucro Prev]]/Tabela3[[#This Row],[Cotação]]</f>
        <v>#REF!</v>
      </c>
      <c r="T65" s="24" t="e">
        <f>(1+Tabela3[[#This Row],[Rentabilidade]])^(1/12)-1</f>
        <v>#REF!</v>
      </c>
      <c r="U65" s="10">
        <f>(Proventos!$Q$1/Tabela3[[#This Row],[Cotação]]-MOD(Proventos!$Q$1/Tabela3[[#This Row],[Cotação]],100))</f>
        <v>500</v>
      </c>
      <c r="V65" s="5" t="e">
        <f>Tabela3[[#This Row],[Ativos]]*Tabela3[[#This Row],[Lucro Prev]]</f>
        <v>#REF!</v>
      </c>
      <c r="W65" s="5" t="e">
        <f>Tabela3[[#This Row],[Lucro Med A.A]]/12</f>
        <v>#REF!</v>
      </c>
    </row>
    <row r="66" spans="1:23" x14ac:dyDescent="0.2">
      <c r="A66" s="35" t="s">
        <v>60</v>
      </c>
      <c r="B66" s="39" t="s">
        <v>58</v>
      </c>
      <c r="C66" s="21">
        <v>3</v>
      </c>
      <c r="D66" s="43">
        <v>343102187000</v>
      </c>
      <c r="E66" s="43">
        <v>17056288000</v>
      </c>
      <c r="F66" s="40">
        <v>13044496930</v>
      </c>
      <c r="G66" s="39">
        <f>Tabela3[[#This Row],[Lucro Líquido]]/Tabela3[[#This Row],[Total Ações]]</f>
        <v>1.307546629933547</v>
      </c>
      <c r="H66" s="39">
        <f>Tabela3[[#This Row],[Lucro/Ação]]/Tabela3[[#This Row],[Ref]]*4</f>
        <v>1.7433955065780626</v>
      </c>
      <c r="I66" s="24" t="e">
        <f>GETPIVOTDATA("Payout",'Tabela LL'!$A$3,"Ativo",Tabela3[[#This Row],[PAPEL]])</f>
        <v>#REF!</v>
      </c>
      <c r="J66" s="43">
        <f>Tabela3[Patrimônio Líquido]/Tabela3[Total Ações]</f>
        <v>26.302446835717106</v>
      </c>
      <c r="K66" s="45">
        <f>SUMPRODUCT(N(Tabela1[Código]=Tabela3[[#This Row],[PAPEL]]),Tabela1[Fechamento])</f>
        <v>15.87</v>
      </c>
      <c r="L66" s="44">
        <f>Tabela3[Cotação]/Tabela3[VPA]</f>
        <v>0.60336591873458389</v>
      </c>
      <c r="M66" s="52">
        <f>IF(Tabela3[[#This Row],[Lucro/Ação Ano]]&gt;0,Tabela3[[#This Row],[Cotação]]/Tabela3[[#This Row],[Lucro/Ação Ano]],0)</f>
        <v>9.1029258364613099</v>
      </c>
      <c r="N66" s="43" t="e">
        <f>Tabela3[[#This Row],[Lucro Prev]]/10%</f>
        <v>#REF!</v>
      </c>
      <c r="O66" s="41" t="e">
        <f>MIN(Tabela3[[#This Row],[10% Rentabilidade]],Tabela3[[#This Row],[VPA]]*2)</f>
        <v>#REF!</v>
      </c>
      <c r="P66" s="75" t="e">
        <f>Tabela3[[#This Row],[P Compra]]/Tabela3[[#This Row],[Cotação]]-1</f>
        <v>#REF!</v>
      </c>
      <c r="Q66" s="6" t="e">
        <f>Tabela3[[#This Row],[Lucro/Ação Ano]]*Tabela3[[#This Row],[Payout]]</f>
        <v>#REF!</v>
      </c>
      <c r="R66" s="38" t="e">
        <f>IF(AND(Tabela3[Rentabilidade]&gt;=10%,Tabela3[PVPA]&lt;=2,Tabela3[PL]&lt;=15,Tabela3[PL]&gt;0),"Sim","Não")</f>
        <v>#REF!</v>
      </c>
      <c r="S66" s="42" t="e">
        <f>Tabela3[[#This Row],[Lucro Prev]]/Tabela3[[#This Row],[Cotação]]</f>
        <v>#REF!</v>
      </c>
      <c r="T66" s="42" t="e">
        <f>(1+Tabela3[[#This Row],[Rentabilidade]])^(1/12)-1</f>
        <v>#REF!</v>
      </c>
      <c r="U66" s="10">
        <f>(Proventos!$Q$1/Tabela3[[#This Row],[Cotação]]-MOD(Proventos!$Q$1/Tabela3[[#This Row],[Cotação]],100))</f>
        <v>0</v>
      </c>
      <c r="V66" s="5" t="e">
        <f>Tabela3[[#This Row],[Ativos]]*Tabela3[[#This Row],[Lucro Prev]]</f>
        <v>#REF!</v>
      </c>
      <c r="W66" s="5" t="e">
        <f>Tabela3[[#This Row],[Lucro Med A.A]]/12</f>
        <v>#REF!</v>
      </c>
    </row>
    <row r="67" spans="1:23" x14ac:dyDescent="0.2">
      <c r="A67" s="35" t="s">
        <v>60</v>
      </c>
      <c r="B67" s="39" t="s">
        <v>59</v>
      </c>
      <c r="C67" s="20">
        <v>3</v>
      </c>
      <c r="D67" s="43">
        <v>343102187000</v>
      </c>
      <c r="E67" s="43">
        <v>17056288000</v>
      </c>
      <c r="F67" s="40">
        <v>13044496930</v>
      </c>
      <c r="G67" s="39">
        <f>Tabela3[[#This Row],[Lucro Líquido]]/Tabela3[[#This Row],[Total Ações]]</f>
        <v>1.307546629933547</v>
      </c>
      <c r="H67" s="39">
        <f>Tabela3[[#This Row],[Lucro/Ação]]/Tabela3[[#This Row],[Ref]]*4</f>
        <v>1.7433955065780626</v>
      </c>
      <c r="I67" s="24" t="e">
        <f>GETPIVOTDATA("Payout",'Tabela LL'!$A$3,"Ativo",Tabela3[[#This Row],[PAPEL]])</f>
        <v>#REF!</v>
      </c>
      <c r="J67" s="43">
        <f>Tabela3[Patrimônio Líquido]/Tabela3[Total Ações]</f>
        <v>26.302446835717106</v>
      </c>
      <c r="K67" s="45">
        <f>SUMPRODUCT(N(Tabela1[Código]=Tabela3[[#This Row],[PAPEL]]),Tabela1[Fechamento])</f>
        <v>17.059999999999999</v>
      </c>
      <c r="L67" s="44">
        <f>Tabela3[Cotação]/Tabela3[VPA]</f>
        <v>0.6486088578205419</v>
      </c>
      <c r="M67" s="52">
        <f>IF(Tabela3[[#This Row],[Lucro/Ação Ano]]&gt;0,Tabela3[[#This Row],[Cotação]]/Tabela3[[#This Row],[Lucro/Ação Ano]],0)</f>
        <v>9.7855018758683006</v>
      </c>
      <c r="N67" s="43" t="e">
        <f>Tabela3[[#This Row],[Lucro Prev]]/10%</f>
        <v>#REF!</v>
      </c>
      <c r="O67" s="41" t="e">
        <f>MIN(Tabela3[[#This Row],[10% Rentabilidade]],Tabela3[[#This Row],[VPA]]*2)</f>
        <v>#REF!</v>
      </c>
      <c r="P67" s="75" t="e">
        <f>Tabela3[[#This Row],[P Compra]]/Tabela3[[#This Row],[Cotação]]-1</f>
        <v>#REF!</v>
      </c>
      <c r="Q67" s="6" t="e">
        <f>Tabela3[[#This Row],[Lucro/Ação Ano]]*Tabela3[[#This Row],[Payout]]</f>
        <v>#REF!</v>
      </c>
      <c r="R67" s="38" t="e">
        <f>IF(AND(Tabela3[Rentabilidade]&gt;=10%,Tabela3[PVPA]&lt;=2,Tabela3[PL]&lt;=15,Tabela3[PL]&gt;0),"Sim","Não")</f>
        <v>#REF!</v>
      </c>
      <c r="S67" s="42" t="e">
        <f>Tabela3[[#This Row],[Lucro Prev]]/Tabela3[[#This Row],[Cotação]]</f>
        <v>#REF!</v>
      </c>
      <c r="T67" s="42" t="e">
        <f>(1+Tabela3[[#This Row],[Rentabilidade]])^(1/12)-1</f>
        <v>#REF!</v>
      </c>
      <c r="U67" s="10">
        <f>(Proventos!$Q$1/Tabela3[[#This Row],[Cotação]]-MOD(Proventos!$Q$1/Tabela3[[#This Row],[Cotação]],100))</f>
        <v>0</v>
      </c>
      <c r="V67" s="5" t="e">
        <f>Tabela3[[#This Row],[Ativos]]*Tabela3[[#This Row],[Lucro Prev]]</f>
        <v>#REF!</v>
      </c>
      <c r="W67" s="5" t="e">
        <f>Tabela3[[#This Row],[Lucro Med A.A]]/12</f>
        <v>#REF!</v>
      </c>
    </row>
    <row r="68" spans="1:23" x14ac:dyDescent="0.2">
      <c r="B68" s="10" t="s">
        <v>238</v>
      </c>
      <c r="C68" s="21">
        <v>3</v>
      </c>
      <c r="D68" s="5">
        <v>1277111000</v>
      </c>
      <c r="E68" s="5">
        <v>116149000</v>
      </c>
      <c r="F68" s="27">
        <v>110842313</v>
      </c>
      <c r="G68" s="21">
        <f>Tabela3[[#This Row],[Lucro Líquido]]/Tabela3[[#This Row],[Total Ações]]</f>
        <v>1.0478760038145361</v>
      </c>
      <c r="H68" s="21">
        <f>Tabela3[[#This Row],[Lucro/Ação]]/Tabela3[[#This Row],[Ref]]*4</f>
        <v>1.397168005086048</v>
      </c>
      <c r="I68" s="23" t="e">
        <f>GETPIVOTDATA("Payout",'Tabela LL'!$A$3,"Ativo",Tabela3[[#This Row],[PAPEL]])</f>
        <v>#REF!</v>
      </c>
      <c r="J68" s="5">
        <f>Tabela3[Patrimônio Líquido]/Tabela3[Total Ações]</f>
        <v>11.521872518124013</v>
      </c>
      <c r="K68" s="83">
        <f>SUMPRODUCT(N(Tabela1[Código]=Tabela3[[#This Row],[PAPEL]]),Tabela1[Fechamento])</f>
        <v>10.3</v>
      </c>
      <c r="L68" s="84">
        <f>Tabela3[Cotação]/Tabela3[VPA]</f>
        <v>0.89395191482964287</v>
      </c>
      <c r="M68" s="54">
        <f>IF(Tabela3[[#This Row],[Lucro/Ação Ano]]&gt;0,Tabela3[[#This Row],[Cotação]]/Tabela3[[#This Row],[Lucro/Ação Ano]],0)</f>
        <v>7.3720554453761986</v>
      </c>
      <c r="N68" s="10" t="e">
        <f>Tabela3[[#This Row],[Lucro Prev]]/10%</f>
        <v>#REF!</v>
      </c>
      <c r="O68" s="85" t="e">
        <f>MIN(Tabela3[[#This Row],[10% Rentabilidade]],Tabela3[[#This Row],[VPA]]*2)</f>
        <v>#REF!</v>
      </c>
      <c r="P68" s="23" t="e">
        <f>Tabela3[[#This Row],[P Compra]]/Tabela3[[#This Row],[Cotação]]-1</f>
        <v>#REF!</v>
      </c>
      <c r="Q68" s="5" t="e">
        <f>Tabela3[[#This Row],[Lucro/Ação Ano]]*Tabela3[[#This Row],[Payout]]</f>
        <v>#REF!</v>
      </c>
      <c r="R68" s="10" t="e">
        <f>IF(AND(Tabela3[Rentabilidade]&gt;=10%,Tabela3[PVPA]&lt;=2,Tabela3[PL]&lt;=15,Tabela3[PL]&gt;0),"Sim","Não")</f>
        <v>#REF!</v>
      </c>
      <c r="S68" s="28" t="e">
        <f>Tabela3[[#This Row],[Lucro Prev]]/Tabela3[[#This Row],[Cotação]]</f>
        <v>#REF!</v>
      </c>
      <c r="T68" s="28" t="e">
        <f>(1+Tabela3[[#This Row],[Rentabilidade]])^(1/12)-1</f>
        <v>#REF!</v>
      </c>
      <c r="U68" s="10">
        <f>(Proventos!$Q$1/Tabela3[[#This Row],[Cotação]]-MOD(Proventos!$Q$1/Tabela3[[#This Row],[Cotação]],100))</f>
        <v>0</v>
      </c>
      <c r="V68" s="7" t="e">
        <f>Tabela3[[#This Row],[Ativos]]*Tabela3[[#This Row],[Lucro Prev]]</f>
        <v>#REF!</v>
      </c>
      <c r="W68" s="7" t="e">
        <f>Tabela3[[#This Row],[Lucro Med A.A]]/12</f>
        <v>#REF!</v>
      </c>
    </row>
    <row r="69" spans="1:23" x14ac:dyDescent="0.2">
      <c r="A69" s="4" t="s">
        <v>29</v>
      </c>
      <c r="B69" s="20" t="s">
        <v>30</v>
      </c>
      <c r="C69" s="20">
        <v>3</v>
      </c>
      <c r="D69" s="6">
        <v>1426540000</v>
      </c>
      <c r="E69" s="6">
        <v>216726000</v>
      </c>
      <c r="F69" s="8">
        <v>896900084</v>
      </c>
      <c r="G69" s="55">
        <f>Tabela3[[#This Row],[Lucro Líquido]]/Tabela3[[#This Row],[Total Ações]]</f>
        <v>0.24163895607350619</v>
      </c>
      <c r="H69" s="55">
        <f>Tabela3[[#This Row],[Lucro/Ação]]/Tabela3[[#This Row],[Ref]]*4</f>
        <v>0.3221852747646749</v>
      </c>
      <c r="I69" s="76" t="e">
        <f>GETPIVOTDATA("Payout",'Tabela LL'!$A$3,"Ativo",Tabela3[[#This Row],[PAPEL]])</f>
        <v>#REF!</v>
      </c>
      <c r="J69" s="6">
        <f>Tabela3[Patrimônio Líquido]/Tabela3[Total Ações]</f>
        <v>1.5905227632914347</v>
      </c>
      <c r="K69" s="11">
        <f>SUMPRODUCT(N(Tabela1[Código]=Tabela3[[#This Row],[PAPEL]]),Tabela1[Fechamento])</f>
        <v>5.0999999999999996</v>
      </c>
      <c r="L69" s="9">
        <f>Tabela3[Cotação]/Tabela3[VPA]</f>
        <v>3.2064929328304848</v>
      </c>
      <c r="M69" s="53">
        <f>IF(Tabela3[[#This Row],[Lucro/Ação Ano]]&gt;0,Tabela3[[#This Row],[Cotação]]/Tabela3[[#This Row],[Lucro/Ação Ano]],0)</f>
        <v>15.829401277650119</v>
      </c>
      <c r="N69" s="6" t="e">
        <f>Tabela3[[#This Row],[Lucro Prev]]/10%</f>
        <v>#REF!</v>
      </c>
      <c r="O69" s="13" t="e">
        <f>MIN(Tabela3[[#This Row],[10% Rentabilidade]],Tabela3[[#This Row],[VPA]]*2)</f>
        <v>#REF!</v>
      </c>
      <c r="P69" s="24" t="e">
        <f>Tabela3[[#This Row],[P Compra]]/Tabela3[[#This Row],[Cotação]]-1</f>
        <v>#REF!</v>
      </c>
      <c r="Q69" s="6" t="e">
        <f>Tabela3[[#This Row],[Lucro/Ação Ano]]*Tabela3[[#This Row],[Payout]]</f>
        <v>#REF!</v>
      </c>
      <c r="R69" s="14" t="e">
        <f>IF(AND(Tabela3[Rentabilidade]&gt;=10%,Tabela3[PVPA]&lt;=2,Tabela3[PL]&lt;=15,Tabela3[PL]&gt;0),"Sim","Não")</f>
        <v>#REF!</v>
      </c>
      <c r="S69" s="24" t="e">
        <f>Tabela3[[#This Row],[Lucro Prev]]/Tabela3[[#This Row],[Cotação]]</f>
        <v>#REF!</v>
      </c>
      <c r="T69" s="24" t="e">
        <f>(1+Tabela3[[#This Row],[Rentabilidade]])^(1/12)-1</f>
        <v>#REF!</v>
      </c>
      <c r="U69" s="10">
        <f>(Proventos!$Q$1/Tabela3[[#This Row],[Cotação]]-MOD(Proventos!$Q$1/Tabela3[[#This Row],[Cotação]],100))</f>
        <v>100</v>
      </c>
      <c r="V69" s="7" t="e">
        <f>Tabela3[[#This Row],[Ativos]]*Tabela3[[#This Row],[Lucro Prev]]</f>
        <v>#REF!</v>
      </c>
      <c r="W69" s="7" t="e">
        <f>Tabela3[[#This Row],[Lucro Med A.A]]/12</f>
        <v>#REF!</v>
      </c>
    </row>
    <row r="70" spans="1:23" x14ac:dyDescent="0.2">
      <c r="B70" s="10" t="s">
        <v>310</v>
      </c>
      <c r="C70" s="21">
        <v>3</v>
      </c>
      <c r="D70" s="5">
        <v>1279731000</v>
      </c>
      <c r="E70" s="5">
        <v>103137000</v>
      </c>
      <c r="F70" s="27">
        <v>87289932</v>
      </c>
      <c r="G70" s="21">
        <f>Tabela3[[#This Row],[Lucro Líquido]]/Tabela3[[#This Row],[Total Ações]]</f>
        <v>1.181545198133503</v>
      </c>
      <c r="H70" s="21">
        <f>Tabela3[[#This Row],[Lucro/Ação]]/Tabela3[[#This Row],[Ref]]*4</f>
        <v>1.5753935975113373</v>
      </c>
      <c r="I70" s="23" t="e">
        <f>GETPIVOTDATA("Payout",'Tabela LL'!$A$3,"Ativo",Tabela3[[#This Row],[PAPEL]])</f>
        <v>#REF!</v>
      </c>
      <c r="J70" s="5">
        <f>Tabela3[Patrimônio Líquido]/Tabela3[Total Ações]</f>
        <v>14.660694202396675</v>
      </c>
      <c r="K70" s="83">
        <f>SUMPRODUCT(N(Tabela1[Código]=Tabela3[[#This Row],[PAPEL]]),Tabela1[Fechamento])</f>
        <v>12.1</v>
      </c>
      <c r="L70" s="84">
        <f>Tabela3[Cotação]/Tabela3[VPA]</f>
        <v>0.82533608797473845</v>
      </c>
      <c r="M70" s="54">
        <f>IF(Tabela3[[#This Row],[Lucro/Ação Ano]]&gt;0,Tabela3[[#This Row],[Cotação]]/Tabela3[[#This Row],[Lucro/Ação Ano]],0)</f>
        <v>7.6806202710957265</v>
      </c>
      <c r="N70" s="10" t="e">
        <f>Tabela3[[#This Row],[Lucro Prev]]/10%</f>
        <v>#REF!</v>
      </c>
      <c r="O70" s="85" t="e">
        <f>MIN(Tabela3[[#This Row],[10% Rentabilidade]],Tabela3[[#This Row],[VPA]]*2)</f>
        <v>#REF!</v>
      </c>
      <c r="P70" s="23" t="e">
        <f>Tabela3[[#This Row],[P Compra]]/Tabela3[[#This Row],[Cotação]]-1</f>
        <v>#REF!</v>
      </c>
      <c r="Q70" s="5" t="e">
        <f>Tabela3[[#This Row],[Lucro/Ação Ano]]*Tabela3[[#This Row],[Payout]]</f>
        <v>#REF!</v>
      </c>
      <c r="R70" s="10" t="e">
        <f>IF(AND(Tabela3[Rentabilidade]&gt;=10%,Tabela3[PVPA]&lt;=2,Tabela3[PL]&lt;=15,Tabela3[PL]&gt;0),"Sim","Não")</f>
        <v>#REF!</v>
      </c>
      <c r="S70" s="28" t="e">
        <f>Tabela3[[#This Row],[Lucro Prev]]/Tabela3[[#This Row],[Cotação]]</f>
        <v>#REF!</v>
      </c>
      <c r="T70" s="28" t="e">
        <f>(1+Tabela3[[#This Row],[Rentabilidade]])^(1/12)-1</f>
        <v>#REF!</v>
      </c>
      <c r="U70" s="10">
        <f>(Proventos!$Q$1/Tabela3[[#This Row],[Cotação]]-MOD(Proventos!$Q$1/Tabela3[[#This Row],[Cotação]],100))</f>
        <v>0</v>
      </c>
      <c r="V70" s="7" t="e">
        <f>Tabela3[[#This Row],[Ativos]]*Tabela3[[#This Row],[Lucro Prev]]</f>
        <v>#REF!</v>
      </c>
      <c r="W70" s="7" t="e">
        <f>Tabela3[[#This Row],[Lucro Med A.A]]/12</f>
        <v>#REF!</v>
      </c>
    </row>
    <row r="71" spans="1:23" x14ac:dyDescent="0.2">
      <c r="A71" s="35" t="s">
        <v>55</v>
      </c>
      <c r="B71" s="39" t="s">
        <v>54</v>
      </c>
      <c r="C71" s="20">
        <v>3</v>
      </c>
      <c r="D71" s="43">
        <v>662099000</v>
      </c>
      <c r="E71" s="43">
        <v>23239000</v>
      </c>
      <c r="F71" s="40">
        <v>80041132</v>
      </c>
      <c r="G71" s="39">
        <f>Tabela3[[#This Row],[Lucro Líquido]]/Tabela3[[#This Row],[Total Ações]]</f>
        <v>0.29033822260284875</v>
      </c>
      <c r="H71" s="39">
        <f>Tabela3[[#This Row],[Lucro/Ação]]/Tabela3[[#This Row],[Ref]]*4</f>
        <v>0.38711763013713169</v>
      </c>
      <c r="I71" s="74" t="e">
        <f>GETPIVOTDATA("Payout",'Tabela LL'!$A$3,"Ativo",Tabela3[[#This Row],[PAPEL]])</f>
        <v>#REF!</v>
      </c>
      <c r="J71" s="43">
        <f>Tabela3[Patrimônio Líquido]/Tabela3[Total Ações]</f>
        <v>8.2719844591903069</v>
      </c>
      <c r="K71" s="45">
        <f>SUMPRODUCT(N(Tabela1[Código]=Tabela3[[#This Row],[PAPEL]]),Tabela1[Fechamento])</f>
        <v>7.28</v>
      </c>
      <c r="L71" s="44">
        <f>Tabela3[Cotação]/Tabela3[VPA]</f>
        <v>0.88007902286516071</v>
      </c>
      <c r="M71" s="52">
        <f>IF(Tabela3[[#This Row],[Lucro/Ação Ano]]&gt;0,Tabela3[[#This Row],[Cotação]]/Tabela3[[#This Row],[Lucro/Ação Ano]],0)</f>
        <v>18.805653458410429</v>
      </c>
      <c r="N71" s="43" t="e">
        <f>Tabela3[[#This Row],[Lucro Prev]]/10%</f>
        <v>#REF!</v>
      </c>
      <c r="O71" s="41" t="e">
        <f>MIN(Tabela3[[#This Row],[10% Rentabilidade]],Tabela3[[#This Row],[VPA]]*2)</f>
        <v>#REF!</v>
      </c>
      <c r="P71" s="75" t="e">
        <f>Tabela3[[#This Row],[P Compra]]/Tabela3[[#This Row],[Cotação]]-1</f>
        <v>#REF!</v>
      </c>
      <c r="Q71" s="6" t="e">
        <f>Tabela3[[#This Row],[Lucro/Ação Ano]]*Tabela3[[#This Row],[Payout]]</f>
        <v>#REF!</v>
      </c>
      <c r="R71" s="38" t="e">
        <f>IF(AND(Tabela3[Rentabilidade]&gt;=10%,Tabela3[PVPA]&lt;=2,Tabela3[PL]&lt;=15,Tabela3[PL]&gt;0),"Sim","Não")</f>
        <v>#REF!</v>
      </c>
      <c r="S71" s="42" t="e">
        <f>Tabela3[[#This Row],[Lucro Prev]]/Tabela3[[#This Row],[Cotação]]</f>
        <v>#REF!</v>
      </c>
      <c r="T71" s="42" t="e">
        <f>(1+Tabela3[[#This Row],[Rentabilidade]])^(1/12)-1</f>
        <v>#REF!</v>
      </c>
      <c r="U71" s="10">
        <f>(Proventos!$Q$1/Tabela3[[#This Row],[Cotação]]-MOD(Proventos!$Q$1/Tabela3[[#This Row],[Cotação]],100))</f>
        <v>100</v>
      </c>
      <c r="V71" s="5" t="e">
        <f>Tabela3[[#This Row],[Ativos]]*Tabela3[[#This Row],[Lucro Prev]]</f>
        <v>#REF!</v>
      </c>
      <c r="W71" s="5" t="e">
        <f>Tabela3[[#This Row],[Lucro Med A.A]]/12</f>
        <v>#REF!</v>
      </c>
    </row>
    <row r="72" spans="1:23" x14ac:dyDescent="0.2">
      <c r="A72" s="4" t="s">
        <v>42</v>
      </c>
      <c r="B72" s="20" t="s">
        <v>41</v>
      </c>
      <c r="C72" s="21">
        <v>3</v>
      </c>
      <c r="D72" s="6">
        <v>170869000</v>
      </c>
      <c r="E72" s="6">
        <v>51189000</v>
      </c>
      <c r="F72" s="8">
        <v>159008924</v>
      </c>
      <c r="G72" s="55">
        <f>Tabela3[[#This Row],[Lucro Líquido]]/Tabela3[[#This Row],[Total Ações]]</f>
        <v>0.32192532791429995</v>
      </c>
      <c r="H72" s="55">
        <f>Tabela3[[#This Row],[Lucro/Ação]]/Tabela3[[#This Row],[Ref]]*4</f>
        <v>0.42923377055239992</v>
      </c>
      <c r="I72" s="76" t="e">
        <f>GETPIVOTDATA("Payout",'Tabela LL'!$A$3,"Ativo",Tabela3[[#This Row],[PAPEL]])</f>
        <v>#REF!</v>
      </c>
      <c r="J72" s="6">
        <f>Tabela3[Patrimônio Líquido]/Tabela3[Total Ações]</f>
        <v>1.0745874866746472</v>
      </c>
      <c r="K72" s="11">
        <f>SUMPRODUCT(N(Tabela1[Código]=Tabela3[[#This Row],[PAPEL]]),Tabela1[Fechamento])</f>
        <v>4.7</v>
      </c>
      <c r="L72" s="9">
        <f>Tabela3[Cotação]/Tabela3[VPA]</f>
        <v>4.3737713850961848</v>
      </c>
      <c r="M72" s="53">
        <f>IF(Tabela3[[#This Row],[Lucro/Ação Ano]]&gt;0,Tabela3[[#This Row],[Cotação]]/Tabela3[[#This Row],[Lucro/Ação Ano]],0)</f>
        <v>10.949744224345075</v>
      </c>
      <c r="N72" s="6" t="e">
        <f>Tabela3[[#This Row],[Lucro Prev]]/10%</f>
        <v>#REF!</v>
      </c>
      <c r="O72" s="13" t="e">
        <f>MIN(Tabela3[[#This Row],[10% Rentabilidade]],Tabela3[[#This Row],[VPA]]*2)</f>
        <v>#REF!</v>
      </c>
      <c r="P72" s="24" t="e">
        <f>Tabela3[[#This Row],[P Compra]]/Tabela3[[#This Row],[Cotação]]-1</f>
        <v>#REF!</v>
      </c>
      <c r="Q72" s="6" t="e">
        <f>Tabela3[[#This Row],[Lucro/Ação Ano]]*Tabela3[[#This Row],[Payout]]</f>
        <v>#REF!</v>
      </c>
      <c r="R72" s="14" t="e">
        <f>IF(AND(Tabela3[Rentabilidade]&gt;=10%,Tabela3[PVPA]&lt;=2,Tabela3[PL]&lt;=15,Tabela3[PL]&gt;0),"Sim","Não")</f>
        <v>#REF!</v>
      </c>
      <c r="S72" s="24" t="e">
        <f>Tabela3[[#This Row],[Lucro Prev]]/Tabela3[[#This Row],[Cotação]]</f>
        <v>#REF!</v>
      </c>
      <c r="T72" s="24" t="e">
        <f>(1+Tabela3[[#This Row],[Rentabilidade]])^(1/12)-1</f>
        <v>#REF!</v>
      </c>
      <c r="U72" s="10">
        <f>(Proventos!$Q$1/Tabela3[[#This Row],[Cotação]]-MOD(Proventos!$Q$1/Tabela3[[#This Row],[Cotação]],100))</f>
        <v>200</v>
      </c>
      <c r="V72" s="7" t="e">
        <f>Tabela3[[#This Row],[Ativos]]*Tabela3[[#This Row],[Lucro Prev]]</f>
        <v>#REF!</v>
      </c>
      <c r="W72" s="7" t="e">
        <f>Tabela3[[#This Row],[Lucro Med A.A]]/12</f>
        <v>#REF!</v>
      </c>
    </row>
    <row r="73" spans="1:23" x14ac:dyDescent="0.2">
      <c r="A73" s="35" t="s">
        <v>29</v>
      </c>
      <c r="B73" s="39" t="s">
        <v>67</v>
      </c>
      <c r="C73" s="21">
        <v>3</v>
      </c>
      <c r="D73" s="43">
        <v>1557035000</v>
      </c>
      <c r="E73" s="43">
        <v>249217000</v>
      </c>
      <c r="F73" s="40">
        <v>243785452</v>
      </c>
      <c r="G73" s="39">
        <f>Tabela3[[#This Row],[Lucro Líquido]]/Tabela3[[#This Row],[Total Ações]]</f>
        <v>1.0222800333466986</v>
      </c>
      <c r="H73" s="39">
        <f>Tabela3[[#This Row],[Lucro/Ação]]/Tabela3[[#This Row],[Ref]]*4</f>
        <v>1.3630400444622648</v>
      </c>
      <c r="I73" s="24" t="e">
        <f>GETPIVOTDATA("Payout",'Tabela LL'!$A$3,"Ativo",Tabela3[[#This Row],[PAPEL]])</f>
        <v>#REF!</v>
      </c>
      <c r="J73" s="43">
        <f>Tabela3[Patrimônio Líquido]/Tabela3[Total Ações]</f>
        <v>6.3869069594850147</v>
      </c>
      <c r="K73" s="45">
        <f>SUMPRODUCT(N(Tabela1[Código]=Tabela3[[#This Row],[PAPEL]]),Tabela1[Fechamento])</f>
        <v>11.01</v>
      </c>
      <c r="L73" s="44">
        <f>Tabela3[Cotação]/Tabela3[VPA]</f>
        <v>1.7238391086391764</v>
      </c>
      <c r="M73" s="52">
        <f>IF(Tabela3[[#This Row],[Lucro/Ação Ano]]&gt;0,Tabela3[[#This Row],[Cotação]]/Tabela3[[#This Row],[Lucro/Ação Ano]],0)</f>
        <v>8.0775323107572916</v>
      </c>
      <c r="N73" s="43" t="e">
        <f>Tabela3[[#This Row],[Lucro Prev]]/10%</f>
        <v>#REF!</v>
      </c>
      <c r="O73" s="41" t="e">
        <f>MIN(Tabela3[[#This Row],[10% Rentabilidade]],Tabela3[[#This Row],[VPA]]*2)</f>
        <v>#REF!</v>
      </c>
      <c r="P73" s="75" t="e">
        <f>Tabela3[[#This Row],[P Compra]]/Tabela3[[#This Row],[Cotação]]-1</f>
        <v>#REF!</v>
      </c>
      <c r="Q73" s="6" t="e">
        <f>Tabela3[[#This Row],[Lucro/Ação Ano]]*Tabela3[[#This Row],[Payout]]</f>
        <v>#REF!</v>
      </c>
      <c r="R73" s="38" t="e">
        <f>IF(AND(Tabela3[Rentabilidade]&gt;=10%,Tabela3[PVPA]&lt;=2,Tabela3[PL]&lt;=15,Tabela3[PL]&gt;0),"Sim","Não")</f>
        <v>#REF!</v>
      </c>
      <c r="S73" s="42" t="e">
        <f>Tabela3[[#This Row],[Lucro Prev]]/Tabela3[[#This Row],[Cotação]]</f>
        <v>#REF!</v>
      </c>
      <c r="T73" s="42" t="e">
        <f>(1+Tabela3[[#This Row],[Rentabilidade]])^(1/12)-1</f>
        <v>#REF!</v>
      </c>
      <c r="U73" s="10">
        <f>(Proventos!$Q$1/Tabela3[[#This Row],[Cotação]]-MOD(Proventos!$Q$1/Tabela3[[#This Row],[Cotação]],100))</f>
        <v>0</v>
      </c>
      <c r="V73" s="7" t="e">
        <f>Tabela3[[#This Row],[Ativos]]*Tabela3[[#This Row],[Lucro Prev]]</f>
        <v>#REF!</v>
      </c>
      <c r="W73" s="7" t="e">
        <f>Tabela3[[#This Row],[Lucro Med A.A]]/12</f>
        <v>#REF!</v>
      </c>
    </row>
    <row r="74" spans="1:23" x14ac:dyDescent="0.2">
      <c r="A74" s="4"/>
      <c r="B74" s="14" t="s">
        <v>215</v>
      </c>
      <c r="C74" s="20">
        <v>3</v>
      </c>
      <c r="D74" s="6">
        <v>463367000</v>
      </c>
      <c r="E74" s="6">
        <v>59974000</v>
      </c>
      <c r="F74" s="56">
        <v>108480828</v>
      </c>
      <c r="G74" s="20">
        <f>Tabela3[[#This Row],[Lucro Líquido]]/Tabela3[[#This Row],[Total Ações]]</f>
        <v>0.55285344982801943</v>
      </c>
      <c r="H74" s="20">
        <f>Tabela3[[#This Row],[Lucro/Ação]]/Tabela3[[#This Row],[Ref]]*4</f>
        <v>0.73713793310402587</v>
      </c>
      <c r="I74" s="24">
        <f>GETPIVOTDATA("Payout",'Tabela LL'!$A$3,"Ativo",Tabela3[[#This Row],[PAPEL]])</f>
        <v>0.77898506132096379</v>
      </c>
      <c r="J74" s="6">
        <f>Tabela3[Patrimônio Líquido]/Tabela3[Total Ações]</f>
        <v>4.2714183560619574</v>
      </c>
      <c r="K74" s="73">
        <f>SUMPRODUCT(N(Tabela1[Código]=Tabela3[[#This Row],[PAPEL]]),Tabela1[Fechamento])</f>
        <v>6</v>
      </c>
      <c r="L74" s="66">
        <f>Tabela3[Cotação]/Tabela3[VPA]</f>
        <v>1.4046856336338152</v>
      </c>
      <c r="M74" s="59">
        <f>IF(Tabela3[[#This Row],[Lucro/Ação Ano]]&gt;0,Tabela3[[#This Row],[Cotação]]/Tabela3[[#This Row],[Lucro/Ação Ano]],0)</f>
        <v>8.1395892553439815</v>
      </c>
      <c r="N74" s="14">
        <f>Tabela3[[#This Row],[Lucro Prev]]/10%</f>
        <v>5.7421943802104813</v>
      </c>
      <c r="O74" s="22">
        <f>MIN(Tabela3[[#This Row],[10% Rentabilidade]],Tabela3[[#This Row],[VPA]]*2)</f>
        <v>5.7421943802104813</v>
      </c>
      <c r="P74" s="24">
        <f>Tabela3[[#This Row],[P Compra]]/Tabela3[[#This Row],[Cotação]]-1</f>
        <v>-4.296760329825311E-2</v>
      </c>
      <c r="Q74" s="6">
        <f>Tabela3[[#This Row],[Lucro/Ação Ano]]*Tabela3[[#This Row],[Payout]]</f>
        <v>0.57421943802104813</v>
      </c>
      <c r="R74" s="14" t="str">
        <f>IF(AND(Tabela3[Rentabilidade]&gt;=10%,Tabela3[PVPA]&lt;=2,Tabela3[PL]&lt;=15,Tabela3[PL]&gt;0),"Sim","Não")</f>
        <v>Não</v>
      </c>
      <c r="S74" s="61">
        <f>Tabela3[[#This Row],[Lucro Prev]]/Tabela3[[#This Row],[Cotação]]</f>
        <v>9.5703239670174689E-2</v>
      </c>
      <c r="T74" s="61">
        <f>(1+Tabela3[[#This Row],[Rentabilidade]])^(1/12)-1</f>
        <v>7.6454437160438093E-3</v>
      </c>
      <c r="U74" s="14">
        <f>(Proventos!$Q$1/Tabela3[[#This Row],[Cotação]]-MOD(Proventos!$Q$1/Tabela3[[#This Row],[Cotação]],100))</f>
        <v>100</v>
      </c>
      <c r="V74" s="22">
        <f>Tabela3[[#This Row],[Ativos]]*Tabela3[[#This Row],[Lucro Prev]]</f>
        <v>57.421943802104813</v>
      </c>
      <c r="W74" s="22">
        <f>Tabela3[[#This Row],[Lucro Med A.A]]/12</f>
        <v>4.7851619835087345</v>
      </c>
    </row>
    <row r="75" spans="1:23" x14ac:dyDescent="0.2">
      <c r="B75" s="10" t="s">
        <v>250</v>
      </c>
      <c r="C75" s="21">
        <v>3</v>
      </c>
      <c r="D75" s="5">
        <v>727021000</v>
      </c>
      <c r="E75" s="5">
        <v>31097000</v>
      </c>
      <c r="F75" s="27">
        <v>84682269</v>
      </c>
      <c r="G75" s="21">
        <f>Tabela3[[#This Row],[Lucro Líquido]]/Tabela3[[#This Row],[Total Ações]]</f>
        <v>0.36721973049635692</v>
      </c>
      <c r="H75" s="21">
        <f>Tabela3[[#This Row],[Lucro/Ação]]/Tabela3[[#This Row],[Ref]]*4</f>
        <v>0.4896263073284759</v>
      </c>
      <c r="I75" s="23" t="e">
        <f>GETPIVOTDATA("Payout",'Tabela LL'!$A$3,"Ativo",Tabela3[[#This Row],[PAPEL]])</f>
        <v>#REF!</v>
      </c>
      <c r="J75" s="5">
        <f>Tabela3[Patrimônio Líquido]/Tabela3[Total Ações]</f>
        <v>8.5852801133611578</v>
      </c>
      <c r="K75" s="83">
        <f>SUMPRODUCT(N(Tabela1[Código]=Tabela3[[#This Row],[PAPEL]]),Tabela1[Fechamento])</f>
        <v>6.2</v>
      </c>
      <c r="L75" s="84">
        <f>Tabela3[Cotação]/Tabela3[VPA]</f>
        <v>0.72216630303663853</v>
      </c>
      <c r="M75" s="54">
        <f>IF(Tabela3[[#This Row],[Lucro/Ação Ano]]&gt;0,Tabela3[[#This Row],[Cotação]]/Tabela3[[#This Row],[Lucro/Ação Ano]],0)</f>
        <v>12.662718295977104</v>
      </c>
      <c r="N75" s="10" t="e">
        <f>Tabela3[[#This Row],[Lucro Prev]]/10%</f>
        <v>#REF!</v>
      </c>
      <c r="O75" s="85" t="e">
        <f>MIN(Tabela3[[#This Row],[10% Rentabilidade]],Tabela3[[#This Row],[VPA]]*2)</f>
        <v>#REF!</v>
      </c>
      <c r="P75" s="23" t="e">
        <f>Tabela3[[#This Row],[P Compra]]/Tabela3[[#This Row],[Cotação]]-1</f>
        <v>#REF!</v>
      </c>
      <c r="Q75" s="5" t="e">
        <f>Tabela3[[#This Row],[Lucro/Ação Ano]]*Tabela3[[#This Row],[Payout]]</f>
        <v>#REF!</v>
      </c>
      <c r="R75" s="10" t="e">
        <f>IF(AND(Tabela3[Rentabilidade]&gt;=10%,Tabela3[PVPA]&lt;=2,Tabela3[PL]&lt;=15,Tabela3[PL]&gt;0),"Sim","Não")</f>
        <v>#REF!</v>
      </c>
      <c r="S75" s="28" t="e">
        <f>Tabela3[[#This Row],[Lucro Prev]]/Tabela3[[#This Row],[Cotação]]</f>
        <v>#REF!</v>
      </c>
      <c r="T75" s="28" t="e">
        <f>(1+Tabela3[[#This Row],[Rentabilidade]])^(1/12)-1</f>
        <v>#REF!</v>
      </c>
      <c r="U75" s="10">
        <f>(Proventos!$Q$1/Tabela3[[#This Row],[Cotação]]-MOD(Proventos!$Q$1/Tabela3[[#This Row],[Cotação]],100))</f>
        <v>100</v>
      </c>
      <c r="V75" s="7" t="e">
        <f>Tabela3[[#This Row],[Ativos]]*Tabela3[[#This Row],[Lucro Prev]]</f>
        <v>#REF!</v>
      </c>
      <c r="W75" s="7" t="e">
        <f>Tabela3[[#This Row],[Lucro Med A.A]]/12</f>
        <v>#REF!</v>
      </c>
    </row>
    <row r="76" spans="1:23" x14ac:dyDescent="0.2">
      <c r="A76" s="4" t="s">
        <v>32</v>
      </c>
      <c r="B76" s="20" t="s">
        <v>38</v>
      </c>
      <c r="C76" s="21">
        <v>3</v>
      </c>
      <c r="D76" s="6">
        <v>2460464000</v>
      </c>
      <c r="E76" s="6">
        <v>52882000</v>
      </c>
      <c r="F76" s="8">
        <v>428473420</v>
      </c>
      <c r="G76" s="55">
        <f>Tabela3[[#This Row],[Lucro Líquido]]/Tabela3[[#This Row],[Total Ações]]</f>
        <v>0.1234195577405945</v>
      </c>
      <c r="H76" s="55">
        <f>Tabela3[[#This Row],[Lucro/Ação]]/Tabela3[[#This Row],[Ref]]*4</f>
        <v>0.16455941032079266</v>
      </c>
      <c r="I76" s="76">
        <f>GETPIVOTDATA("Payout",'Tabela LL'!$A$3,"Ativo",Tabela3[[#This Row],[PAPEL]])</f>
        <v>0.40760807617225675</v>
      </c>
      <c r="J76" s="6">
        <f>Tabela3[Patrimônio Líquido]/Tabela3[Total Ações]</f>
        <v>5.7423958760382385</v>
      </c>
      <c r="K76" s="11">
        <f>SUMPRODUCT(N(Tabela1[Código]=Tabela3[[#This Row],[PAPEL]]),Tabela1[Fechamento])</f>
        <v>2.0499999999999998</v>
      </c>
      <c r="L76" s="9">
        <f>Tabela3[Cotação]/Tabela3[VPA]</f>
        <v>0.35699384790836197</v>
      </c>
      <c r="M76" s="53">
        <f>IF(Tabela3[[#This Row],[Lucro/Ação Ano]]&gt;0,Tabela3[[#This Row],[Cotação]]/Tabela3[[#This Row],[Lucro/Ação Ano]],0)</f>
        <v>12.45750696361711</v>
      </c>
      <c r="N76" s="6">
        <f>Tabela3[[#This Row],[Lucro Prev]]/10%</f>
        <v>0.67075744656899305</v>
      </c>
      <c r="O76" s="13">
        <f>MIN(Tabela3[[#This Row],[10% Rentabilidade]],Tabela3[[#This Row],[VPA]]*2)</f>
        <v>0.67075744656899305</v>
      </c>
      <c r="P76" s="24">
        <f>Tabela3[[#This Row],[P Compra]]/Tabela3[[#This Row],[Cotação]]-1</f>
        <v>-0.67280124557610099</v>
      </c>
      <c r="Q76" s="6">
        <f>Tabela3[[#This Row],[Lucro/Ação Ano]]*Tabela3[[#This Row],[Payout]]</f>
        <v>6.7075744656899305E-2</v>
      </c>
      <c r="R76" s="14" t="str">
        <f>IF(AND(Tabela3[Rentabilidade]&gt;=10%,Tabela3[PVPA]&lt;=2,Tabela3[PL]&lt;=15,Tabela3[PL]&gt;0),"Sim","Não")</f>
        <v>Não</v>
      </c>
      <c r="S76" s="24">
        <f>Tabela3[[#This Row],[Lucro Prev]]/Tabela3[[#This Row],[Cotação]]</f>
        <v>3.2719875442389905E-2</v>
      </c>
      <c r="T76" s="24">
        <f>(1+Tabela3[[#This Row],[Rentabilidade]])^(1/12)-1</f>
        <v>2.6866005943289029E-3</v>
      </c>
      <c r="U76" s="10">
        <f>(Proventos!$Q$1/Tabela3[[#This Row],[Cotação]]-MOD(Proventos!$Q$1/Tabela3[[#This Row],[Cotação]],100))</f>
        <v>400</v>
      </c>
      <c r="V76" s="5">
        <f>Tabela3[[#This Row],[Ativos]]*Tabela3[[#This Row],[Lucro Prev]]</f>
        <v>26.830297862759721</v>
      </c>
      <c r="W76" s="5">
        <f>Tabela3[[#This Row],[Lucro Med A.A]]/12</f>
        <v>2.2358581552299768</v>
      </c>
    </row>
    <row r="77" spans="1:23" x14ac:dyDescent="0.2">
      <c r="A77" s="4"/>
      <c r="B77" s="14" t="s">
        <v>217</v>
      </c>
      <c r="C77" s="20">
        <v>3</v>
      </c>
      <c r="D77" s="6">
        <v>3403126000</v>
      </c>
      <c r="E77" s="6">
        <v>314887000</v>
      </c>
      <c r="F77" s="56">
        <v>476620206</v>
      </c>
      <c r="G77" s="20">
        <f>Tabela3[[#This Row],[Lucro Líquido]]/Tabela3[[#This Row],[Total Ações]]</f>
        <v>0.66066649301897196</v>
      </c>
      <c r="H77" s="20">
        <f>Tabela3[[#This Row],[Lucro/Ação]]/Tabela3[[#This Row],[Ref]]*4</f>
        <v>0.88088865735862931</v>
      </c>
      <c r="I77" s="24" t="e">
        <f>GETPIVOTDATA("Payout",'Tabela LL'!$A$3,"Ativo",Tabela3[[#This Row],[PAPEL]])</f>
        <v>#REF!</v>
      </c>
      <c r="J77" s="6">
        <f>Tabela3[Patrimônio Líquido]/Tabela3[Total Ações]</f>
        <v>7.1401211219316201</v>
      </c>
      <c r="K77" s="73">
        <f>SUMPRODUCT(N(Tabela1[Código]=Tabela3[[#This Row],[PAPEL]]),Tabela1[Fechamento])</f>
        <v>6.7</v>
      </c>
      <c r="L77" s="66">
        <f>Tabela3[Cotação]/Tabela3[VPA]</f>
        <v>0.93835943194580518</v>
      </c>
      <c r="M77" s="59">
        <f>IF(Tabela3[[#This Row],[Lucro/Ação Ano]]&gt;0,Tabela3[[#This Row],[Cotação]]/Tabela3[[#This Row],[Lucro/Ação Ano]],0)</f>
        <v>7.6059555813672848</v>
      </c>
      <c r="N77" s="14" t="e">
        <f>Tabela3[[#This Row],[Lucro Prev]]/10%</f>
        <v>#REF!</v>
      </c>
      <c r="O77" s="22" t="e">
        <f>MIN(Tabela3[[#This Row],[10% Rentabilidade]],Tabela3[[#This Row],[VPA]]*2)</f>
        <v>#REF!</v>
      </c>
      <c r="P77" s="24" t="e">
        <f>Tabela3[[#This Row],[P Compra]]/Tabela3[[#This Row],[Cotação]]-1</f>
        <v>#REF!</v>
      </c>
      <c r="Q77" s="6" t="e">
        <f>Tabela3[[#This Row],[Lucro/Ação Ano]]*Tabela3[[#This Row],[Payout]]</f>
        <v>#REF!</v>
      </c>
      <c r="R77" s="14" t="e">
        <f>IF(AND(Tabela3[Rentabilidade]&gt;=10%,Tabela3[PVPA]&lt;=2,Tabela3[PL]&lt;=15,Tabela3[PL]&gt;0),"Sim","Não")</f>
        <v>#REF!</v>
      </c>
      <c r="S77" s="61" t="e">
        <f>Tabela3[[#This Row],[Lucro Prev]]/Tabela3[[#This Row],[Cotação]]</f>
        <v>#REF!</v>
      </c>
      <c r="T77" s="61" t="e">
        <f>(1+Tabela3[[#This Row],[Rentabilidade]])^(1/12)-1</f>
        <v>#REF!</v>
      </c>
      <c r="U77" s="14">
        <f>(Proventos!$Q$1/Tabela3[[#This Row],[Cotação]]-MOD(Proventos!$Q$1/Tabela3[[#This Row],[Cotação]],100))</f>
        <v>100</v>
      </c>
      <c r="V77" s="22" t="e">
        <f>Tabela3[[#This Row],[Ativos]]*Tabela3[[#This Row],[Lucro Prev]]</f>
        <v>#REF!</v>
      </c>
      <c r="W77" s="22" t="e">
        <f>Tabela3[[#This Row],[Lucro Med A.A]]/12</f>
        <v>#REF!</v>
      </c>
    </row>
    <row r="78" spans="1:23" x14ac:dyDescent="0.2">
      <c r="A78" s="35" t="s">
        <v>99</v>
      </c>
      <c r="B78" s="39" t="s">
        <v>98</v>
      </c>
      <c r="C78" s="20">
        <v>3</v>
      </c>
      <c r="D78" s="43">
        <v>12509395000</v>
      </c>
      <c r="E78" s="43">
        <v>1332834000</v>
      </c>
      <c r="F78" s="40">
        <v>683509869</v>
      </c>
      <c r="G78" s="39">
        <f>Tabela3[[#This Row],[Lucro Líquido]]/Tabela3[[#This Row],[Total Ações]]</f>
        <v>1.9499850118477222</v>
      </c>
      <c r="H78" s="39">
        <f>Tabela3[[#This Row],[Lucro/Ação]]/Tabela3[[#This Row],[Ref]]*4</f>
        <v>2.5999800157969628</v>
      </c>
      <c r="I78" s="24" t="e">
        <f>GETPIVOTDATA("Payout",'Tabela LL'!$A$3,"Ativo",Tabela3[[#This Row],[PAPEL]])</f>
        <v>#REF!</v>
      </c>
      <c r="J78" s="43">
        <f>Tabela3[Patrimônio Líquido]/Tabela3[Total Ações]</f>
        <v>18.301703555943828</v>
      </c>
      <c r="K78" s="45">
        <f>SUMPRODUCT(N(Tabela1[Código]=Tabela3[[#This Row],[PAPEL]]),Tabela1[Fechamento])</f>
        <v>26.1</v>
      </c>
      <c r="L78" s="46">
        <f>Tabela3[Cotação]/Tabela3[VPA]</f>
        <v>1.4260967521530818</v>
      </c>
      <c r="M78" s="52">
        <f>IF(Tabela3[[#This Row],[Lucro/Ação Ano]]&gt;0,Tabela3[[#This Row],[Cotação]]/Tabela3[[#This Row],[Lucro/Ação Ano]],0)</f>
        <v>10.038538696998277</v>
      </c>
      <c r="N78" s="43" t="e">
        <f>Tabela3[[#This Row],[Lucro Prev]]/10%</f>
        <v>#REF!</v>
      </c>
      <c r="O78" s="41" t="e">
        <f>MIN(Tabela3[[#This Row],[10% Rentabilidade]],Tabela3[[#This Row],[VPA]]*2)</f>
        <v>#REF!</v>
      </c>
      <c r="P78" s="75" t="e">
        <f>Tabela3[[#This Row],[P Compra]]/Tabela3[[#This Row],[Cotação]]-1</f>
        <v>#REF!</v>
      </c>
      <c r="Q78" s="6" t="e">
        <f>Tabela3[[#This Row],[Lucro/Ação Ano]]*Tabela3[[#This Row],[Payout]]</f>
        <v>#REF!</v>
      </c>
      <c r="R78" s="38" t="e">
        <f>IF(AND(Tabela3[Rentabilidade]&gt;=10%,Tabela3[PVPA]&lt;=2,Tabela3[PL]&lt;=15,Tabela3[PL]&gt;0),"Sim","Não")</f>
        <v>#REF!</v>
      </c>
      <c r="S78" s="42" t="e">
        <f>Tabela3[[#This Row],[Lucro Prev]]/Tabela3[[#This Row],[Cotação]]</f>
        <v>#REF!</v>
      </c>
      <c r="T78" s="42" t="e">
        <f>(1+Tabela3[[#This Row],[Rentabilidade]])^(1/12)-1</f>
        <v>#REF!</v>
      </c>
      <c r="U78" s="10">
        <f>(Proventos!$Q$1/Tabela3[[#This Row],[Cotação]]-MOD(Proventos!$Q$1/Tabela3[[#This Row],[Cotação]],100))</f>
        <v>0</v>
      </c>
      <c r="V78" s="7" t="e">
        <f>Tabela3[[#This Row],[Ativos]]*Tabela3[[#This Row],[Lucro Prev]]</f>
        <v>#REF!</v>
      </c>
      <c r="W78" s="7" t="e">
        <f>Tabela3[[#This Row],[Lucro Med A.A]]/12</f>
        <v>#REF!</v>
      </c>
    </row>
    <row r="79" spans="1:23" x14ac:dyDescent="0.2">
      <c r="B79" s="10" t="s">
        <v>248</v>
      </c>
      <c r="C79" s="21">
        <v>3</v>
      </c>
      <c r="D79" s="5">
        <v>699911000</v>
      </c>
      <c r="E79" s="5">
        <v>6746000</v>
      </c>
      <c r="F79" s="27">
        <v>137747421</v>
      </c>
      <c r="G79" s="21">
        <f>Tabela3[[#This Row],[Lucro Líquido]]/Tabela3[[#This Row],[Total Ações]]</f>
        <v>4.8973693670823791E-2</v>
      </c>
      <c r="H79" s="21">
        <f>Tabela3[[#This Row],[Lucro/Ação]]/Tabela3[[#This Row],[Ref]]*4</f>
        <v>6.5298258227765055E-2</v>
      </c>
      <c r="I79" s="23" t="e">
        <f>GETPIVOTDATA("Payout",'Tabela LL'!$A$3,"Ativo",Tabela3[[#This Row],[PAPEL]])</f>
        <v>#REF!</v>
      </c>
      <c r="J79" s="5">
        <f>Tabela3[Patrimônio Líquido]/Tabela3[Total Ações]</f>
        <v>5.0811187238126223</v>
      </c>
      <c r="K79" s="83">
        <f>SUMPRODUCT(N(Tabela1[Código]=Tabela3[[#This Row],[PAPEL]]),Tabela1[Fechamento])</f>
        <v>2.71</v>
      </c>
      <c r="L79" s="84">
        <f>Tabela3[Cotação]/Tabela3[VPA]</f>
        <v>0.53334711257574174</v>
      </c>
      <c r="M79" s="54">
        <f>IF(Tabela3[[#This Row],[Lucro/Ação Ano]]&gt;0,Tabela3[[#This Row],[Cotação]]/Tabela3[[#This Row],[Lucro/Ação Ano]],0)</f>
        <v>41.5018726923362</v>
      </c>
      <c r="N79" s="10" t="e">
        <f>Tabela3[[#This Row],[Lucro Prev]]/10%</f>
        <v>#REF!</v>
      </c>
      <c r="O79" s="85" t="e">
        <f>MIN(Tabela3[[#This Row],[10% Rentabilidade]],Tabela3[[#This Row],[VPA]]*2)</f>
        <v>#REF!</v>
      </c>
      <c r="P79" s="23" t="e">
        <f>Tabela3[[#This Row],[P Compra]]/Tabela3[[#This Row],[Cotação]]-1</f>
        <v>#REF!</v>
      </c>
      <c r="Q79" s="5" t="e">
        <f>Tabela3[[#This Row],[Lucro/Ação Ano]]*Tabela3[[#This Row],[Payout]]</f>
        <v>#REF!</v>
      </c>
      <c r="R79" s="10" t="e">
        <f>IF(AND(Tabela3[Rentabilidade]&gt;=10%,Tabela3[PVPA]&lt;=2,Tabela3[PL]&lt;=15,Tabela3[PL]&gt;0),"Sim","Não")</f>
        <v>#REF!</v>
      </c>
      <c r="S79" s="28" t="e">
        <f>Tabela3[[#This Row],[Lucro Prev]]/Tabela3[[#This Row],[Cotação]]</f>
        <v>#REF!</v>
      </c>
      <c r="T79" s="28" t="e">
        <f>(1+Tabela3[[#This Row],[Rentabilidade]])^(1/12)-1</f>
        <v>#REF!</v>
      </c>
      <c r="U79" s="10">
        <f>(Proventos!$Q$1/Tabela3[[#This Row],[Cotação]]-MOD(Proventos!$Q$1/Tabela3[[#This Row],[Cotação]],100))</f>
        <v>300</v>
      </c>
      <c r="V79" s="7" t="e">
        <f>Tabela3[[#This Row],[Ativos]]*Tabela3[[#This Row],[Lucro Prev]]</f>
        <v>#REF!</v>
      </c>
      <c r="W79" s="7" t="e">
        <f>Tabela3[[#This Row],[Lucro Med A.A]]/12</f>
        <v>#REF!</v>
      </c>
    </row>
    <row r="80" spans="1:23" x14ac:dyDescent="0.2">
      <c r="A80" s="35" t="s">
        <v>73</v>
      </c>
      <c r="B80" s="39" t="s">
        <v>74</v>
      </c>
      <c r="C80" s="21">
        <v>3</v>
      </c>
      <c r="D80" s="43">
        <v>2893353000</v>
      </c>
      <c r="E80" s="43">
        <v>251258000</v>
      </c>
      <c r="F80" s="40">
        <v>76423831</v>
      </c>
      <c r="G80" s="39">
        <f>Tabela3[[#This Row],[Lucro Líquido]]/Tabela3[[#This Row],[Total Ações]]</f>
        <v>3.2876917672446964</v>
      </c>
      <c r="H80" s="39">
        <f>Tabela3[[#This Row],[Lucro/Ação]]/Tabela3[[#This Row],[Ref]]*4</f>
        <v>4.3835890229929282</v>
      </c>
      <c r="I80" s="24" t="e">
        <f>GETPIVOTDATA("Payout",'Tabela LL'!$A$3,"Ativo",Tabela3[[#This Row],[PAPEL]])</f>
        <v>#REF!</v>
      </c>
      <c r="J80" s="43">
        <f>Tabela3[Patrimônio Líquido]/Tabela3[Total Ações]</f>
        <v>37.859303336939497</v>
      </c>
      <c r="K80" s="45">
        <f>SUMPRODUCT(N(Tabela1[Código]=Tabela3[[#This Row],[PAPEL]]),Tabela1[Fechamento])</f>
        <v>18.600000000000001</v>
      </c>
      <c r="L80" s="44">
        <f>Tabela3[Cotação]/Tabela3[VPA]</f>
        <v>0.49129271699650889</v>
      </c>
      <c r="M80" s="52">
        <f>IF(Tabela3[[#This Row],[Lucro/Ação Ano]]&gt;0,Tabela3[[#This Row],[Cotação]]/Tabela3[[#This Row],[Lucro/Ação Ano]],0)</f>
        <v>4.2430984981572735</v>
      </c>
      <c r="N80" s="43" t="e">
        <f>Tabela3[[#This Row],[Lucro Prev]]/10%</f>
        <v>#REF!</v>
      </c>
      <c r="O80" s="41" t="e">
        <f>MIN(Tabela3[[#This Row],[10% Rentabilidade]],Tabela3[[#This Row],[VPA]]*2)</f>
        <v>#REF!</v>
      </c>
      <c r="P80" s="75" t="e">
        <f>Tabela3[[#This Row],[P Compra]]/Tabela3[[#This Row],[Cotação]]-1</f>
        <v>#REF!</v>
      </c>
      <c r="Q80" s="6" t="e">
        <f>Tabela3[[#This Row],[Lucro/Ação Ano]]*Tabela3[[#This Row],[Payout]]</f>
        <v>#REF!</v>
      </c>
      <c r="R80" s="38" t="e">
        <f>IF(AND(Tabela3[Rentabilidade]&gt;=10%,Tabela3[PVPA]&lt;=2,Tabela3[PL]&lt;=15,Tabela3[PL]&gt;0),"Sim","Não")</f>
        <v>#REF!</v>
      </c>
      <c r="S80" s="42" t="e">
        <f>Tabela3[[#This Row],[Lucro Prev]]/Tabela3[[#This Row],[Cotação]]</f>
        <v>#REF!</v>
      </c>
      <c r="T80" s="42" t="e">
        <f>(1+Tabela3[[#This Row],[Rentabilidade]])^(1/12)-1</f>
        <v>#REF!</v>
      </c>
      <c r="U80" s="10">
        <f>(Proventos!$Q$1/Tabela3[[#This Row],[Cotação]]-MOD(Proventos!$Q$1/Tabela3[[#This Row],[Cotação]],100))</f>
        <v>0</v>
      </c>
      <c r="V80" s="5" t="e">
        <f>Tabela3[[#This Row],[Ativos]]*Tabela3[[#This Row],[Lucro Prev]]</f>
        <v>#REF!</v>
      </c>
      <c r="W80" s="5" t="e">
        <f>Tabela3[[#This Row],[Lucro Med A.A]]/12</f>
        <v>#REF!</v>
      </c>
    </row>
    <row r="81" spans="1:23" x14ac:dyDescent="0.2">
      <c r="A81" s="4" t="s">
        <v>85</v>
      </c>
      <c r="B81" s="65" t="s">
        <v>182</v>
      </c>
      <c r="C81" s="20">
        <v>3</v>
      </c>
      <c r="D81" s="6">
        <v>3453467000</v>
      </c>
      <c r="E81" s="6">
        <v>194852000</v>
      </c>
      <c r="F81" s="56">
        <v>1022205493</v>
      </c>
      <c r="G81" s="20">
        <f>Tabela3[[#This Row],[Lucro Líquido]]/Tabela3[[#This Row],[Total Ações]]</f>
        <v>0.19061920654343423</v>
      </c>
      <c r="H81" s="20">
        <f>Tabela3[[#This Row],[Lucro/Ação]]/Tabela3[[#This Row],[Ref]]*4</f>
        <v>0.25415894205791228</v>
      </c>
      <c r="I81" s="60" t="e">
        <f>GETPIVOTDATA("Payout",'Tabela LL'!$A$3,"Ativo",Tabela3[[#This Row],[PAPEL]])</f>
        <v>#REF!</v>
      </c>
      <c r="J81" s="6">
        <f>Tabela3[Patrimônio Líquido]/Tabela3[Total Ações]</f>
        <v>3.37844692055475</v>
      </c>
      <c r="K81" s="57">
        <f>SUMPRODUCT(N(Tabela1[Código]=Tabela3[[#This Row],[PAPEL]]),Tabela1[Fechamento])</f>
        <v>14.7</v>
      </c>
      <c r="L81" s="66">
        <f>Tabela3[Cotação]/Tabela3[VPA]</f>
        <v>4.3511117225385387</v>
      </c>
      <c r="M81" s="59">
        <f>IF(Tabela3[[#This Row],[Lucro/Ação Ano]]&gt;0,Tabela3[[#This Row],[Cotação]]/Tabela3[[#This Row],[Lucro/Ação Ano]],0)</f>
        <v>57.837823375305355</v>
      </c>
      <c r="N81" s="14" t="e">
        <f>Tabela3[[#This Row],[Lucro Prev]]/10%</f>
        <v>#REF!</v>
      </c>
      <c r="O81" s="22" t="e">
        <f>MIN(Tabela3[[#This Row],[10% Rentabilidade]],Tabela3[[#This Row],[VPA]]*2)</f>
        <v>#REF!</v>
      </c>
      <c r="P81" s="24" t="e">
        <f>Tabela3[[#This Row],[P Compra]]/Tabela3[[#This Row],[Cotação]]-1</f>
        <v>#REF!</v>
      </c>
      <c r="Q81" s="6" t="e">
        <f>Tabela3[[#This Row],[Lucro/Ação Ano]]*Tabela3[[#This Row],[Payout]]</f>
        <v>#REF!</v>
      </c>
      <c r="R81" s="14" t="e">
        <f>IF(AND(Tabela3[Rentabilidade]&gt;=10%,Tabela3[PVPA]&lt;=2,Tabela3[PL]&lt;=15,Tabela3[PL]&gt;0),"Sim","Não")</f>
        <v>#REF!</v>
      </c>
      <c r="S81" s="61" t="e">
        <f>Tabela3[[#This Row],[Lucro Prev]]/Tabela3[[#This Row],[Cotação]]</f>
        <v>#REF!</v>
      </c>
      <c r="T81" s="61" t="e">
        <f>(1+Tabela3[[#This Row],[Rentabilidade]])^(1/12)-1</f>
        <v>#REF!</v>
      </c>
      <c r="U81" s="14">
        <f>(Proventos!$Q$1/Tabela3[[#This Row],[Cotação]]-MOD(Proventos!$Q$1/Tabela3[[#This Row],[Cotação]],100))</f>
        <v>0</v>
      </c>
      <c r="V81" s="22" t="e">
        <f>Tabela3[[#This Row],[Ativos]]*Tabela3[[#This Row],[Lucro Prev]]</f>
        <v>#REF!</v>
      </c>
      <c r="W81" s="22" t="e">
        <f>Tabela3[[#This Row],[Lucro Med A.A]]/12</f>
        <v>#REF!</v>
      </c>
    </row>
    <row r="82" spans="1:23" x14ac:dyDescent="0.2">
      <c r="A82" s="35" t="s">
        <v>57</v>
      </c>
      <c r="B82" s="39" t="s">
        <v>56</v>
      </c>
      <c r="C82" s="21">
        <v>3</v>
      </c>
      <c r="D82" s="43">
        <v>10702169000</v>
      </c>
      <c r="E82" s="43">
        <v>-162427000</v>
      </c>
      <c r="F82" s="40">
        <v>1107677313</v>
      </c>
      <c r="G82" s="39">
        <f>Tabela3[[#This Row],[Lucro Líquido]]/Tabela3[[#This Row],[Total Ações]]</f>
        <v>-0.14663747112422804</v>
      </c>
      <c r="H82" s="39">
        <f>Tabela3[[#This Row],[Lucro/Ação]]/Tabela3[[#This Row],[Ref]]*4</f>
        <v>-0.19551662816563739</v>
      </c>
      <c r="I82" s="74" t="e">
        <f>GETPIVOTDATA("Payout",'Tabela LL'!$A$3,"Ativo",Tabela3[[#This Row],[PAPEL]])</f>
        <v>#REF!</v>
      </c>
      <c r="J82" s="43">
        <f>Tabela3[Patrimônio Líquido]/Tabela3[Total Ações]</f>
        <v>9.6618111379518705</v>
      </c>
      <c r="K82" s="45">
        <f>SUMPRODUCT(N(Tabela1[Código]=Tabela3[[#This Row],[PAPEL]]),Tabela1[Fechamento])</f>
        <v>9.31</v>
      </c>
      <c r="L82" s="44">
        <f>Tabela3[Cotação]/Tabela3[VPA]</f>
        <v>0.96358745447114513</v>
      </c>
      <c r="M82" s="52">
        <f>IF(Tabela3[[#This Row],[Lucro/Ação Ano]]&gt;0,Tabela3[[#This Row],[Cotação]]/Tabela3[[#This Row],[Lucro/Ação Ano]],0)</f>
        <v>0</v>
      </c>
      <c r="N82" s="43" t="e">
        <f>Tabela3[[#This Row],[Lucro Prev]]/10%</f>
        <v>#REF!</v>
      </c>
      <c r="O82" s="41" t="e">
        <f>MIN(Tabela3[[#This Row],[10% Rentabilidade]],Tabela3[[#This Row],[VPA]]*2)</f>
        <v>#REF!</v>
      </c>
      <c r="P82" s="75" t="e">
        <f>Tabela3[[#This Row],[P Compra]]/Tabela3[[#This Row],[Cotação]]-1</f>
        <v>#REF!</v>
      </c>
      <c r="Q82" s="6" t="e">
        <f>Tabela3[[#This Row],[Lucro/Ação Ano]]*Tabela3[[#This Row],[Payout]]</f>
        <v>#REF!</v>
      </c>
      <c r="R82" s="38" t="e">
        <f>IF(AND(Tabela3[Rentabilidade]&gt;=10%,Tabela3[PVPA]&lt;=2,Tabela3[PL]&lt;=15,Tabela3[PL]&gt;0),"Sim","Não")</f>
        <v>#REF!</v>
      </c>
      <c r="S82" s="42" t="e">
        <f>Tabela3[[#This Row],[Lucro Prev]]/Tabela3[[#This Row],[Cotação]]</f>
        <v>#REF!</v>
      </c>
      <c r="T82" s="42" t="e">
        <f>(1+Tabela3[[#This Row],[Rentabilidade]])^(1/12)-1</f>
        <v>#REF!</v>
      </c>
      <c r="U82" s="10">
        <f>(Proventos!$Q$1/Tabela3[[#This Row],[Cotação]]-MOD(Proventos!$Q$1/Tabela3[[#This Row],[Cotação]],100))</f>
        <v>100</v>
      </c>
      <c r="V82" s="5" t="e">
        <f>Tabela3[[#This Row],[Ativos]]*Tabela3[[#This Row],[Lucro Prev]]</f>
        <v>#REF!</v>
      </c>
      <c r="W82" s="5" t="e">
        <f>Tabela3[[#This Row],[Lucro Med A.A]]/12</f>
        <v>#REF!</v>
      </c>
    </row>
    <row r="83" spans="1:23" x14ac:dyDescent="0.2">
      <c r="A83" s="4" t="s">
        <v>23</v>
      </c>
      <c r="B83" s="65" t="s">
        <v>177</v>
      </c>
      <c r="C83" s="21">
        <v>3</v>
      </c>
      <c r="D83" s="6">
        <v>4589097000</v>
      </c>
      <c r="E83" s="6">
        <v>751496000</v>
      </c>
      <c r="F83" s="56">
        <v>1033496721</v>
      </c>
      <c r="G83" s="20">
        <f>Tabela3[[#This Row],[Lucro Líquido]]/Tabela3[[#This Row],[Total Ações]]</f>
        <v>0.72713922040590584</v>
      </c>
      <c r="H83" s="20">
        <f>Tabela3[[#This Row],[Lucro/Ação]]/Tabela3[[#This Row],[Ref]]*4</f>
        <v>0.96951896054120779</v>
      </c>
      <c r="I83" s="60" t="e">
        <f>GETPIVOTDATA("Payout",'Tabela LL'!$A$3,"Ativo",Tabela3[[#This Row],[PAPEL]])</f>
        <v>#REF!</v>
      </c>
      <c r="J83" s="6">
        <f>Tabela3[Patrimônio Líquido]/Tabela3[Total Ações]</f>
        <v>4.4403595161478986</v>
      </c>
      <c r="K83" s="57">
        <f>SUMPRODUCT(N(Tabela1[Código]=Tabela3[[#This Row],[PAPEL]]),Tabela1[Fechamento])</f>
        <v>18.09</v>
      </c>
      <c r="L83" s="66">
        <f>Tabela3[Cotação]/Tabela3[VPA]</f>
        <v>4.0739944444168428</v>
      </c>
      <c r="M83" s="59">
        <f>IF(Tabela3[[#This Row],[Lucro/Ação Ano]]&gt;0,Tabela3[[#This Row],[Cotação]]/Tabela3[[#This Row],[Lucro/Ação Ano]],0)</f>
        <v>18.658737720716413</v>
      </c>
      <c r="N83" s="14" t="e">
        <f>Tabela3[[#This Row],[Lucro Prev]]/10%</f>
        <v>#REF!</v>
      </c>
      <c r="O83" s="22" t="e">
        <f>MIN(Tabela3[[#This Row],[10% Rentabilidade]],Tabela3[[#This Row],[VPA]]*2)</f>
        <v>#REF!</v>
      </c>
      <c r="P83" s="24" t="e">
        <f>Tabela3[[#This Row],[P Compra]]/Tabela3[[#This Row],[Cotação]]-1</f>
        <v>#REF!</v>
      </c>
      <c r="Q83" s="6" t="e">
        <f>Tabela3[[#This Row],[Lucro/Ação Ano]]*Tabela3[[#This Row],[Payout]]</f>
        <v>#REF!</v>
      </c>
      <c r="R83" s="14" t="e">
        <f>IF(AND(Tabela3[Rentabilidade]&gt;=10%,Tabela3[PVPA]&lt;=2,Tabela3[PL]&lt;=15,Tabela3[PL]&gt;0),"Sim","Não")</f>
        <v>#REF!</v>
      </c>
      <c r="S83" s="60" t="e">
        <f>Tabela3[[#This Row],[Lucro Prev]]/Tabela3[[#This Row],[Cotação]]</f>
        <v>#REF!</v>
      </c>
      <c r="T83" s="61" t="e">
        <f>(1+Tabela3[[#This Row],[Rentabilidade]])^(1/12)-1</f>
        <v>#REF!</v>
      </c>
      <c r="U83" s="14">
        <f>(Proventos!$Q$1/Tabela3[[#This Row],[Cotação]]-MOD(Proventos!$Q$1/Tabela3[[#This Row],[Cotação]],100))</f>
        <v>0</v>
      </c>
      <c r="V83" s="22" t="e">
        <f>Tabela3[[#This Row],[Ativos]]*Tabela3[[#This Row],[Lucro Prev]]</f>
        <v>#REF!</v>
      </c>
      <c r="W83" s="22" t="e">
        <f>Tabela3[[#This Row],[Lucro Med A.A]]/12</f>
        <v>#REF!</v>
      </c>
    </row>
    <row r="84" spans="1:23" x14ac:dyDescent="0.2">
      <c r="B84" s="10" t="s">
        <v>260</v>
      </c>
      <c r="C84" s="21">
        <v>3</v>
      </c>
      <c r="D84" s="5">
        <v>4465000000</v>
      </c>
      <c r="E84" s="5">
        <v>10000000</v>
      </c>
      <c r="F84" s="27">
        <v>817720079</v>
      </c>
      <c r="G84" s="21">
        <f>Tabela3[[#This Row],[Lucro Líquido]]/Tabela3[[#This Row],[Total Ações]]</f>
        <v>1.2229123702366614E-2</v>
      </c>
      <c r="H84" s="21">
        <f>Tabela3[[#This Row],[Lucro/Ação]]/Tabela3[[#This Row],[Ref]]*4</f>
        <v>1.6305498269822152E-2</v>
      </c>
      <c r="I84" s="23" t="e">
        <f>GETPIVOTDATA("Payout",'Tabela LL'!$A$3,"Ativo",Tabela3[[#This Row],[PAPEL]])</f>
        <v>#REF!</v>
      </c>
      <c r="J84" s="5">
        <f>Tabela3[Patrimônio Líquido]/Tabela3[Total Ações]</f>
        <v>5.4603037331066933</v>
      </c>
      <c r="K84" s="83">
        <f>SUMPRODUCT(N(Tabela1[Código]=Tabela3[[#This Row],[PAPEL]]),Tabela1[Fechamento])</f>
        <v>2.52</v>
      </c>
      <c r="L84" s="84">
        <f>Tabela3[Cotação]/Tabela3[VPA]</f>
        <v>0.46151278814781632</v>
      </c>
      <c r="M84" s="54">
        <f>IF(Tabela3[[#This Row],[Lucro/Ação Ano]]&gt;0,Tabela3[[#This Row],[Cotação]]/Tabela3[[#This Row],[Lucro/Ação Ano]],0)</f>
        <v>154.54909493099998</v>
      </c>
      <c r="N84" s="10" t="e">
        <f>Tabela3[[#This Row],[Lucro Prev]]/10%</f>
        <v>#REF!</v>
      </c>
      <c r="O84" s="85" t="e">
        <f>MIN(Tabela3[[#This Row],[10% Rentabilidade]],Tabela3[[#This Row],[VPA]]*2)</f>
        <v>#REF!</v>
      </c>
      <c r="P84" s="23" t="e">
        <f>Tabela3[[#This Row],[P Compra]]/Tabela3[[#This Row],[Cotação]]-1</f>
        <v>#REF!</v>
      </c>
      <c r="Q84" s="5" t="e">
        <f>Tabela3[[#This Row],[Lucro/Ação Ano]]*Tabela3[[#This Row],[Payout]]</f>
        <v>#REF!</v>
      </c>
      <c r="R84" s="10" t="e">
        <f>IF(AND(Tabela3[Rentabilidade]&gt;=10%,Tabela3[PVPA]&lt;=2,Tabela3[PL]&lt;=15,Tabela3[PL]&gt;0),"Sim","Não")</f>
        <v>#REF!</v>
      </c>
      <c r="S84" s="28" t="e">
        <f>Tabela3[[#This Row],[Lucro Prev]]/Tabela3[[#This Row],[Cotação]]</f>
        <v>#REF!</v>
      </c>
      <c r="T84" s="28" t="e">
        <f>(1+Tabela3[[#This Row],[Rentabilidade]])^(1/12)-1</f>
        <v>#REF!</v>
      </c>
      <c r="U84" s="10">
        <f>(Proventos!$Q$1/Tabela3[[#This Row],[Cotação]]-MOD(Proventos!$Q$1/Tabela3[[#This Row],[Cotação]],100))</f>
        <v>300</v>
      </c>
      <c r="V84" s="7" t="e">
        <f>Tabela3[[#This Row],[Ativos]]*Tabela3[[#This Row],[Lucro Prev]]</f>
        <v>#REF!</v>
      </c>
      <c r="W84" s="7" t="e">
        <f>Tabela3[[#This Row],[Lucro Med A.A]]/12</f>
        <v>#REF!</v>
      </c>
    </row>
    <row r="85" spans="1:23" x14ac:dyDescent="0.2">
      <c r="B85" s="10" t="s">
        <v>523</v>
      </c>
      <c r="C85" s="21">
        <v>3</v>
      </c>
      <c r="D85" s="5">
        <v>392415000</v>
      </c>
      <c r="E85" s="5">
        <v>-19960000</v>
      </c>
      <c r="F85" s="27">
        <v>2321499770</v>
      </c>
      <c r="G85" s="21">
        <f>Tabela3[[#This Row],[Lucro Líquido]]/Tabela3[[#This Row],[Total Ações]]</f>
        <v>-8.5978901475402686E-3</v>
      </c>
      <c r="H85" s="21">
        <f>Tabela3[[#This Row],[Lucro/Ação]]/Tabela3[[#This Row],[Ref]]*4</f>
        <v>-1.1463853530053691E-2</v>
      </c>
      <c r="I85" s="23">
        <f>GETPIVOTDATA("Payout",'Tabela LL'!$A$3,"Ativo",Tabela3[[#This Row],[PAPEL]])</f>
        <v>0.20478615801445429</v>
      </c>
      <c r="J85" s="5">
        <f>Tabela3[Patrimônio Líquido]/Tabela3[Total Ações]</f>
        <v>0.16903512335906887</v>
      </c>
      <c r="K85" s="83">
        <f>SUMPRODUCT(N(Tabela1[Código]=Tabela3[[#This Row],[PAPEL]]),Tabela1[Fechamento])</f>
        <v>0.19</v>
      </c>
      <c r="L85" s="84">
        <f>Tabela3[Cotação]/Tabela3[VPA]</f>
        <v>1.1240267479581565</v>
      </c>
      <c r="M85" s="54">
        <f>IF(Tabela3[[#This Row],[Lucro/Ação Ano]]&gt;0,Tabela3[[#This Row],[Cotação]]/Tabela3[[#This Row],[Lucro/Ação Ano]],0)</f>
        <v>0</v>
      </c>
      <c r="N85" s="10">
        <f>Tabela3[[#This Row],[Lucro Prev]]/10%</f>
        <v>-2.3476385204601349E-2</v>
      </c>
      <c r="O85" s="85">
        <f>MIN(Tabela3[[#This Row],[10% Rentabilidade]],Tabela3[[#This Row],[VPA]]*2)</f>
        <v>-2.3476385204601349E-2</v>
      </c>
      <c r="P85" s="23">
        <f>Tabela3[[#This Row],[P Compra]]/Tabela3[[#This Row],[Cotação]]-1</f>
        <v>-1.1235599221294807</v>
      </c>
      <c r="Q85" s="5">
        <f>Tabela3[[#This Row],[Lucro/Ação Ano]]*Tabela3[[#This Row],[Payout]]</f>
        <v>-2.347638520460135E-3</v>
      </c>
      <c r="R85" s="21" t="str">
        <f>IF(AND(Tabela3[Rentabilidade]&gt;=10%,Tabela3[PVPA]&lt;=2,Tabela3[PL]&lt;=15,Tabela3[PL]&gt;0),"Sim","Não")</f>
        <v>Não</v>
      </c>
      <c r="S85" s="28">
        <f>Tabela3[[#This Row],[Lucro Prev]]/Tabela3[[#This Row],[Cotação]]</f>
        <v>-1.2355992212948079E-2</v>
      </c>
      <c r="T85" s="28">
        <f>(1+Tabela3[[#This Row],[Rentabilidade]])^(1/12)-1</f>
        <v>-1.0355436349709368E-3</v>
      </c>
      <c r="U85" s="10">
        <f>(Proventos!$Q$1/Tabela3[[#This Row],[Cotação]]-MOD(Proventos!$Q$1/Tabela3[[#This Row],[Cotação]],100))</f>
        <v>5200</v>
      </c>
      <c r="V85" s="7">
        <f>Tabela3[[#This Row],[Ativos]]*Tabela3[[#This Row],[Lucro Prev]]</f>
        <v>-12.207720306392702</v>
      </c>
      <c r="W85" s="7">
        <f>Tabela3[[#This Row],[Lucro Med A.A]]/12</f>
        <v>-1.0173100255327252</v>
      </c>
    </row>
    <row r="86" spans="1:23" x14ac:dyDescent="0.2">
      <c r="B86" s="10" t="s">
        <v>524</v>
      </c>
      <c r="C86" s="21">
        <v>3</v>
      </c>
      <c r="D86" s="5">
        <v>392415000</v>
      </c>
      <c r="E86" s="5">
        <v>-19960000</v>
      </c>
      <c r="F86" s="27">
        <v>2321499770</v>
      </c>
      <c r="G86" s="21">
        <f>Tabela3[[#This Row],[Lucro Líquido]]/Tabela3[[#This Row],[Total Ações]]</f>
        <v>-8.5978901475402686E-3</v>
      </c>
      <c r="H86" s="21">
        <f>Tabela3[[#This Row],[Lucro/Ação]]/Tabela3[[#This Row],[Ref]]*4</f>
        <v>-1.1463853530053691E-2</v>
      </c>
      <c r="I86" s="23">
        <f>GETPIVOTDATA("Payout",'Tabela LL'!$A$3,"Ativo",Tabela3[[#This Row],[PAPEL]])</f>
        <v>0.2340413234450906</v>
      </c>
      <c r="J86" s="5">
        <f>Tabela3[Patrimônio Líquido]/Tabela3[Total Ações]</f>
        <v>0.16903512335906887</v>
      </c>
      <c r="K86" s="83">
        <f>SUMPRODUCT(N(Tabela1[Código]=Tabela3[[#This Row],[PAPEL]]),Tabela1[Fechamento])</f>
        <v>0.2</v>
      </c>
      <c r="L86" s="84">
        <f>Tabela3[Cotação]/Tabela3[VPA]</f>
        <v>1.1831860504822702</v>
      </c>
      <c r="M86" s="54">
        <f>IF(Tabela3[[#This Row],[Lucro/Ação Ano]]&gt;0,Tabela3[[#This Row],[Cotação]]/Tabela3[[#This Row],[Lucro/Ação Ano]],0)</f>
        <v>0</v>
      </c>
      <c r="N86" s="10">
        <f>Tabela3[[#This Row],[Lucro Prev]]/10%</f>
        <v>-2.6830154519544396E-2</v>
      </c>
      <c r="O86" s="85">
        <f>MIN(Tabela3[[#This Row],[10% Rentabilidade]],Tabela3[[#This Row],[VPA]]*2)</f>
        <v>-2.6830154519544396E-2</v>
      </c>
      <c r="P86" s="23">
        <f>Tabela3[[#This Row],[P Compra]]/Tabela3[[#This Row],[Cotação]]-1</f>
        <v>-1.134150772597722</v>
      </c>
      <c r="Q86" s="5">
        <f>Tabela3[[#This Row],[Lucro/Ação Ano]]*Tabela3[[#This Row],[Payout]]</f>
        <v>-2.6830154519544396E-3</v>
      </c>
      <c r="R86" s="21" t="str">
        <f>IF(AND(Tabela3[Rentabilidade]&gt;=10%,Tabela3[PVPA]&lt;=2,Tabela3[PL]&lt;=15,Tabela3[PL]&gt;0),"Sim","Não")</f>
        <v>Não</v>
      </c>
      <c r="S86" s="28">
        <f>Tabela3[[#This Row],[Lucro Prev]]/Tabela3[[#This Row],[Cotação]]</f>
        <v>-1.3415077259772198E-2</v>
      </c>
      <c r="T86" s="28">
        <f>(1+Tabela3[[#This Row],[Rentabilidade]])^(1/12)-1</f>
        <v>-1.12485623592673E-3</v>
      </c>
      <c r="U86" s="10">
        <f>(Proventos!$Q$1/Tabela3[[#This Row],[Cotação]]-MOD(Proventos!$Q$1/Tabela3[[#This Row],[Cotação]],100))</f>
        <v>5000</v>
      </c>
      <c r="V86" s="7">
        <f>Tabela3[[#This Row],[Ativos]]*Tabela3[[#This Row],[Lucro Prev]]</f>
        <v>-13.415077259772199</v>
      </c>
      <c r="W86" s="7">
        <f>Tabela3[[#This Row],[Lucro Med A.A]]/12</f>
        <v>-1.1179231049810165</v>
      </c>
    </row>
    <row r="87" spans="1:23" x14ac:dyDescent="0.2">
      <c r="A87" s="35" t="s">
        <v>64</v>
      </c>
      <c r="B87" s="39" t="s">
        <v>63</v>
      </c>
      <c r="C87" s="20">
        <v>3</v>
      </c>
      <c r="D87" s="43">
        <v>1037260000</v>
      </c>
      <c r="E87" s="43">
        <v>162338000</v>
      </c>
      <c r="F87" s="40">
        <v>163461116</v>
      </c>
      <c r="G87" s="39">
        <f>Tabela3[[#This Row],[Lucro Líquido]]/Tabela3[[#This Row],[Total Ações]]</f>
        <v>0.99312915494838538</v>
      </c>
      <c r="H87" s="39">
        <f>Tabela3[[#This Row],[Lucro/Ação]]/Tabela3[[#This Row],[Ref]]*4</f>
        <v>1.3241722065978472</v>
      </c>
      <c r="I87" s="74" t="e">
        <f>GETPIVOTDATA("Payout",'Tabela LL'!$A$3,"Ativo",Tabela3[[#This Row],[PAPEL]])</f>
        <v>#REF!</v>
      </c>
      <c r="J87" s="43">
        <f>Tabela3[Patrimônio Líquido]/Tabela3[Total Ações]</f>
        <v>6.3456069882699202</v>
      </c>
      <c r="K87" s="45">
        <f>SUMPRODUCT(N(Tabela1[Código]=Tabela3[[#This Row],[PAPEL]]),Tabela1[Fechamento])</f>
        <v>36.24</v>
      </c>
      <c r="L87" s="44">
        <f>Tabela3[Cotação]/Tabela3[VPA]</f>
        <v>5.7110375834795519</v>
      </c>
      <c r="M87" s="52">
        <f>IF(Tabela3[[#This Row],[Lucro/Ação Ano]]&gt;0,Tabela3[[#This Row],[Cotação]]/Tabela3[[#This Row],[Lucro/Ação Ano]],0)</f>
        <v>27.368041573014331</v>
      </c>
      <c r="N87" s="43" t="e">
        <f>Tabela3[[#This Row],[Lucro Prev]]/10%</f>
        <v>#REF!</v>
      </c>
      <c r="O87" s="41" t="e">
        <f>MIN(Tabela3[[#This Row],[10% Rentabilidade]],Tabela3[[#This Row],[VPA]]*2)</f>
        <v>#REF!</v>
      </c>
      <c r="P87" s="75" t="e">
        <f>Tabela3[[#This Row],[P Compra]]/Tabela3[[#This Row],[Cotação]]-1</f>
        <v>#REF!</v>
      </c>
      <c r="Q87" s="6" t="e">
        <f>Tabela3[[#This Row],[Lucro/Ação Ano]]*Tabela3[[#This Row],[Payout]]</f>
        <v>#REF!</v>
      </c>
      <c r="R87" s="38" t="e">
        <f>IF(AND(Tabela3[Rentabilidade]&gt;=10%,Tabela3[PVPA]&lt;=2,Tabela3[PL]&lt;=15,Tabela3[PL]&gt;0),"Sim","Não")</f>
        <v>#REF!</v>
      </c>
      <c r="S87" s="42" t="e">
        <f>Tabela3[[#This Row],[Lucro Prev]]/Tabela3[[#This Row],[Cotação]]</f>
        <v>#REF!</v>
      </c>
      <c r="T87" s="42" t="e">
        <f>(1+Tabela3[[#This Row],[Rentabilidade]])^(1/12)-1</f>
        <v>#REF!</v>
      </c>
      <c r="U87" s="10">
        <f>(Proventos!$Q$1/Tabela3[[#This Row],[Cotação]]-MOD(Proventos!$Q$1/Tabela3[[#This Row],[Cotação]],100))</f>
        <v>0</v>
      </c>
      <c r="V87" s="7" t="e">
        <f>Tabela3[[#This Row],[Ativos]]*Tabela3[[#This Row],[Lucro Prev]]</f>
        <v>#REF!</v>
      </c>
      <c r="W87" s="7" t="e">
        <f>Tabela3[[#This Row],[Lucro Med A.A]]/12</f>
        <v>#REF!</v>
      </c>
    </row>
    <row r="88" spans="1:23" x14ac:dyDescent="0.2">
      <c r="A88" s="3" t="s">
        <v>50</v>
      </c>
      <c r="B88" s="21" t="s">
        <v>49</v>
      </c>
      <c r="C88" s="21">
        <v>3</v>
      </c>
      <c r="D88" s="5">
        <v>211391000</v>
      </c>
      <c r="E88" s="5">
        <v>13295000</v>
      </c>
      <c r="F88" s="27">
        <v>66086364</v>
      </c>
      <c r="G88" s="21">
        <f>Tabela3[[#This Row],[Lucro Líquido]]/Tabela3[[#This Row],[Total Ações]]</f>
        <v>0.20117614580823359</v>
      </c>
      <c r="H88" s="21">
        <f>Tabela3[[#This Row],[Lucro/Ação]]/Tabela3[[#This Row],[Ref]]*4</f>
        <v>0.26823486107764477</v>
      </c>
      <c r="I88" s="77" t="e">
        <f>GETPIVOTDATA("Payout",'Tabela LL'!$A$3,"Ativo",Tabela3[[#This Row],[PAPEL]])</f>
        <v>#REF!</v>
      </c>
      <c r="J88" s="5">
        <f>Tabela3[Patrimônio Líquido]/Tabela3[Total Ações]</f>
        <v>3.1987082842082217</v>
      </c>
      <c r="K88" s="12">
        <f>SUMPRODUCT(N(Tabela1[Código]=Tabela3[[#This Row],[PAPEL]]),Tabela1[Fechamento])</f>
        <v>5.84</v>
      </c>
      <c r="L88" s="29">
        <f>Tabela3[Cotação]/Tabela3[VPA]</f>
        <v>1.8257369791523763</v>
      </c>
      <c r="M88" s="51">
        <f>IF(Tabela3[[#This Row],[Lucro/Ação Ano]]&gt;0,Tabela3[[#This Row],[Cotação]]/Tabela3[[#This Row],[Lucro/Ação Ano]],0)</f>
        <v>21.771964973298235</v>
      </c>
      <c r="N88" s="5" t="e">
        <f>Tabela3[[#This Row],[Lucro Prev]]/10%</f>
        <v>#REF!</v>
      </c>
      <c r="O88" s="7" t="e">
        <f>MIN(Tabela3[[#This Row],[10% Rentabilidade]],Tabela3[[#This Row],[VPA]]*2)</f>
        <v>#REF!</v>
      </c>
      <c r="P88" s="23" t="e">
        <f>Tabela3[[#This Row],[P Compra]]/Tabela3[[#This Row],[Cotação]]-1</f>
        <v>#REF!</v>
      </c>
      <c r="Q88" s="5" t="e">
        <f>Tabela3[[#This Row],[Lucro/Ação Ano]]*Tabela3[[#This Row],[Payout]]</f>
        <v>#REF!</v>
      </c>
      <c r="R88" s="10" t="e">
        <f>IF(AND(Tabela3[Rentabilidade]&gt;=10%,Tabela3[PVPA]&lt;=2,Tabela3[PL]&lt;=15,Tabela3[PL]&gt;0),"Sim","Não")</f>
        <v>#REF!</v>
      </c>
      <c r="S88" s="28" t="e">
        <f>Tabela3[[#This Row],[Lucro Prev]]/Tabela3[[#This Row],[Cotação]]</f>
        <v>#REF!</v>
      </c>
      <c r="T88" s="28" t="e">
        <f>(1+Tabela3[[#This Row],[Rentabilidade]])^(1/12)-1</f>
        <v>#REF!</v>
      </c>
      <c r="U88" s="10">
        <f>(Proventos!$Q$1/Tabela3[[#This Row],[Cotação]]-MOD(Proventos!$Q$1/Tabela3[[#This Row],[Cotação]],100))</f>
        <v>100</v>
      </c>
      <c r="V88" s="7" t="e">
        <f>Tabela3[[#This Row],[Ativos]]*Tabela3[[#This Row],[Lucro Prev]]</f>
        <v>#REF!</v>
      </c>
      <c r="W88" s="7" t="e">
        <f>Tabela3[[#This Row],[Lucro Med A.A]]/12</f>
        <v>#REF!</v>
      </c>
    </row>
    <row r="89" spans="1:23" x14ac:dyDescent="0.2">
      <c r="A89" s="35" t="s">
        <v>102</v>
      </c>
      <c r="B89" s="20" t="s">
        <v>235</v>
      </c>
      <c r="C89" s="21">
        <v>3</v>
      </c>
      <c r="D89" s="43">
        <v>740932000</v>
      </c>
      <c r="E89" s="43">
        <v>342727000</v>
      </c>
      <c r="F89" s="40">
        <v>835502072</v>
      </c>
      <c r="G89" s="39">
        <f>Tabela3[[#This Row],[Lucro Líquido]]/Tabela3[[#This Row],[Total Ações]]</f>
        <v>0.4102048474632628</v>
      </c>
      <c r="H89" s="39">
        <f>Tabela3[[#This Row],[Lucro/Ação]]/Tabela3[[#This Row],[Ref]]*4</f>
        <v>0.54693979661768377</v>
      </c>
      <c r="I89" s="75">
        <f>GETPIVOTDATA("Payout",'Tabela LL'!$A$3,"Ativo",Tabela3[[#This Row],[PAPEL]])</f>
        <v>0.71097744658383744</v>
      </c>
      <c r="J89" s="43">
        <f>Tabela3[Patrimônio Líquido]/Tabela3[Total Ações]</f>
        <v>0.88681048776621108</v>
      </c>
      <c r="K89" s="45">
        <f>SUMPRODUCT(N(Tabela1[Código]=Tabela3[[#This Row],[PAPEL]]),Tabela1[Fechamento])</f>
        <v>0.62</v>
      </c>
      <c r="L89" s="46">
        <f>Tabela3[Cotação]/Tabela3[VPA]</f>
        <v>0.69913471767989499</v>
      </c>
      <c r="M89" s="52">
        <f>IF(Tabela3[[#This Row],[Lucro/Ação Ano]]&gt;0,Tabela3[[#This Row],[Cotação]]/Tabela3[[#This Row],[Lucro/Ação Ano]],0)</f>
        <v>1.1335799732148326</v>
      </c>
      <c r="N89" s="43">
        <f>Tabela3[[#This Row],[Lucro Prev]]/10%</f>
        <v>3.8886186003432415</v>
      </c>
      <c r="O89" s="41">
        <f>MIN(Tabela3[[#This Row],[10% Rentabilidade]],Tabela3[[#This Row],[VPA]]*2)</f>
        <v>1.7736209755324222</v>
      </c>
      <c r="P89" s="75">
        <f>Tabela3[[#This Row],[P Compra]]/Tabela3[[#This Row],[Cotação]]-1</f>
        <v>1.8606789927942291</v>
      </c>
      <c r="Q89" s="6">
        <f>Tabela3[[#This Row],[Lucro/Ação Ano]]*Tabela3[[#This Row],[Payout]]</f>
        <v>0.38886186003432416</v>
      </c>
      <c r="R89" s="38" t="str">
        <f>IF(AND(Tabela3[Rentabilidade]&gt;=10%,Tabela3[PVPA]&lt;=2,Tabela3[PL]&lt;=15,Tabela3[PL]&gt;0),"Sim","Não")</f>
        <v>Sim</v>
      </c>
      <c r="S89" s="42">
        <f>Tabela3[[#This Row],[Lucro Prev]]/Tabela3[[#This Row],[Cotação]]</f>
        <v>0.62719654844245831</v>
      </c>
      <c r="T89" s="42">
        <f>(1+Tabela3[[#This Row],[Rentabilidade]])^(1/12)-1</f>
        <v>4.1405821805573062E-2</v>
      </c>
      <c r="U89" s="10">
        <f>(Proventos!$Q$1/Tabela3[[#This Row],[Cotação]]-MOD(Proventos!$Q$1/Tabela3[[#This Row],[Cotação]],100))</f>
        <v>1600</v>
      </c>
      <c r="V89" s="5">
        <f>Tabela3[[#This Row],[Ativos]]*Tabela3[[#This Row],[Lucro Prev]]</f>
        <v>622.17897605491862</v>
      </c>
      <c r="W89" s="5">
        <f>Tabela3[[#This Row],[Lucro Med A.A]]/12</f>
        <v>51.848248004576554</v>
      </c>
    </row>
    <row r="90" spans="1:23" x14ac:dyDescent="0.2">
      <c r="A90" s="4"/>
      <c r="B90" s="14" t="s">
        <v>101</v>
      </c>
      <c r="C90" s="20">
        <v>3</v>
      </c>
      <c r="D90" s="43">
        <v>740932000</v>
      </c>
      <c r="E90" s="43">
        <v>342727000</v>
      </c>
      <c r="F90" s="40">
        <v>835502072</v>
      </c>
      <c r="G90" s="20">
        <f>Tabela3[[#This Row],[Lucro Líquido]]/Tabela3[[#This Row],[Total Ações]]</f>
        <v>0.4102048474632628</v>
      </c>
      <c r="H90" s="20">
        <f>Tabela3[[#This Row],[Lucro/Ação]]/Tabela3[[#This Row],[Ref]]*4</f>
        <v>0.54693979661768377</v>
      </c>
      <c r="I90" s="24">
        <f>GETPIVOTDATA("Payout",'Tabela LL'!$A$3,"Ativo",Tabela3[[#This Row],[PAPEL]])</f>
        <v>0.38058477549625824</v>
      </c>
      <c r="J90" s="6">
        <f>Tabela3[Patrimônio Líquido]/Tabela3[Total Ações]</f>
        <v>0.88681048776621108</v>
      </c>
      <c r="K90" s="73">
        <f>SUMPRODUCT(N(Tabela1[Código]=Tabela3[[#This Row],[PAPEL]]),Tabela1[Fechamento])</f>
        <v>0.53</v>
      </c>
      <c r="L90" s="66">
        <f>Tabela3[Cotação]/Tabela3[VPA]</f>
        <v>0.59764741995216841</v>
      </c>
      <c r="M90" s="59">
        <f>IF(Tabela3[[#This Row],[Lucro/Ação Ano]]&gt;0,Tabela3[[#This Row],[Cotação]]/Tabela3[[#This Row],[Lucro/Ação Ano]],0)</f>
        <v>0.96902804161913125</v>
      </c>
      <c r="N90" s="14">
        <f>Tabela3[[#This Row],[Lucro Prev]]/10%</f>
        <v>2.0815695970571033</v>
      </c>
      <c r="O90" s="89">
        <f>MIN(Tabela3[[#This Row],[10% Rentabilidade]],Tabela3[[#This Row],[VPA]]*2)</f>
        <v>1.7736209755324222</v>
      </c>
      <c r="P90" s="24">
        <f>Tabela3[[#This Row],[P Compra]]/Tabela3[[#This Row],[Cotação]]-1</f>
        <v>2.3464546708158909</v>
      </c>
      <c r="Q90" s="6">
        <f>Tabela3[[#This Row],[Lucro/Ação Ano]]*Tabela3[[#This Row],[Payout]]</f>
        <v>0.20815695970571033</v>
      </c>
      <c r="R90" s="14" t="str">
        <f>IF(AND(Tabela3[Rentabilidade]&gt;=10%,Tabela3[PVPA]&lt;=2,Tabela3[PL]&lt;=15,Tabela3[PL]&gt;0),"Sim","Não")</f>
        <v>Sim</v>
      </c>
      <c r="S90" s="61">
        <f>Tabela3[[#This Row],[Lucro Prev]]/Tabela3[[#This Row],[Cotação]]</f>
        <v>0.3927489805768119</v>
      </c>
      <c r="T90" s="61">
        <f>(1+Tabela3[[#This Row],[Rentabilidade]])^(1/12)-1</f>
        <v>2.7991216940271402E-2</v>
      </c>
      <c r="U90" s="14">
        <f>(Proventos!$Q$1/Tabela3[[#This Row],[Cotação]]-MOD(Proventos!$Q$1/Tabela3[[#This Row],[Cotação]],100))</f>
        <v>1800</v>
      </c>
      <c r="V90" s="22">
        <f>Tabela3[[#This Row],[Ativos]]*Tabela3[[#This Row],[Lucro Prev]]</f>
        <v>374.68252747027861</v>
      </c>
      <c r="W90" s="22">
        <f>Tabela3[[#This Row],[Lucro Med A.A]]/12</f>
        <v>31.223543955856552</v>
      </c>
    </row>
    <row r="91" spans="1:23" x14ac:dyDescent="0.2">
      <c r="A91" s="35" t="s">
        <v>105</v>
      </c>
      <c r="B91" s="39" t="s">
        <v>104</v>
      </c>
      <c r="C91" s="21">
        <v>3</v>
      </c>
      <c r="D91" s="43">
        <v>18710558000</v>
      </c>
      <c r="E91" s="43">
        <v>-30211000</v>
      </c>
      <c r="F91" s="40">
        <v>1013786190</v>
      </c>
      <c r="G91" s="39">
        <f>Tabela3[[#This Row],[Lucro Líquido]]/Tabela3[[#This Row],[Total Ações]]</f>
        <v>-2.9800169205303536E-2</v>
      </c>
      <c r="H91" s="39">
        <f>Tabela3[[#This Row],[Lucro/Ação]]/Tabela3[[#This Row],[Ref]]*4</f>
        <v>-3.9733558940404715E-2</v>
      </c>
      <c r="I91" s="74" t="e">
        <f>GETPIVOTDATA("Payout",'Tabela LL'!$A$3,"Ativo",Tabela3[[#This Row],[PAPEL]])</f>
        <v>#REF!</v>
      </c>
      <c r="J91" s="43">
        <f>Tabela3[Patrimônio Líquido]/Tabela3[Total Ações]</f>
        <v>18.456118444462142</v>
      </c>
      <c r="K91" s="45">
        <f>SUMPRODUCT(N(Tabela1[Código]=Tabela3[[#This Row],[PAPEL]]),Tabela1[Fechamento])</f>
        <v>14.5</v>
      </c>
      <c r="L91" s="46">
        <f>Tabela3[Cotação]/Tabela3[VPA]</f>
        <v>0.78564732035249829</v>
      </c>
      <c r="M91" s="52">
        <f>IF(Tabela3[[#This Row],[Lucro/Ação Ano]]&gt;0,Tabela3[[#This Row],[Cotação]]/Tabela3[[#This Row],[Lucro/Ação Ano]],0)</f>
        <v>0</v>
      </c>
      <c r="N91" s="43" t="e">
        <f>Tabela3[[#This Row],[Lucro Prev]]/10%</f>
        <v>#REF!</v>
      </c>
      <c r="O91" s="41" t="e">
        <f>MIN(Tabela3[[#This Row],[10% Rentabilidade]],Tabela3[[#This Row],[VPA]]*2)</f>
        <v>#REF!</v>
      </c>
      <c r="P91" s="75" t="e">
        <f>Tabela3[[#This Row],[P Compra]]/Tabela3[[#This Row],[Cotação]]-1</f>
        <v>#REF!</v>
      </c>
      <c r="Q91" s="6" t="e">
        <f>Tabela3[[#This Row],[Lucro/Ação Ano]]*Tabela3[[#This Row],[Payout]]</f>
        <v>#REF!</v>
      </c>
      <c r="R91" s="38" t="e">
        <f>IF(AND(Tabela3[Rentabilidade]&gt;=10%,Tabela3[PVPA]&lt;=2,Tabela3[PL]&lt;=15,Tabela3[PL]&gt;0),"Sim","Não")</f>
        <v>#REF!</v>
      </c>
      <c r="S91" s="42" t="e">
        <f>Tabela3[[#This Row],[Lucro Prev]]/Tabela3[[#This Row],[Cotação]]</f>
        <v>#REF!</v>
      </c>
      <c r="T91" s="42" t="e">
        <f>(1+Tabela3[[#This Row],[Rentabilidade]])^(1/12)-1</f>
        <v>#REF!</v>
      </c>
      <c r="U91" s="38">
        <f>(Proventos!$Q$1/Tabela3[[#This Row],[Cotação]]-MOD(Proventos!$Q$1/Tabela3[[#This Row],[Cotação]],100))</f>
        <v>0</v>
      </c>
      <c r="V91" s="47" t="e">
        <f>Tabela3[[#This Row],[Ativos]]*Tabela3[[#This Row],[Lucro Prev]]</f>
        <v>#REF!</v>
      </c>
      <c r="W91" s="47" t="e">
        <f>Tabela3[[#This Row],[Lucro Med A.A]]/12</f>
        <v>#REF!</v>
      </c>
    </row>
    <row r="92" spans="1:23" x14ac:dyDescent="0.2">
      <c r="B92" s="10" t="s">
        <v>306</v>
      </c>
      <c r="C92" s="21">
        <v>3</v>
      </c>
      <c r="D92" s="5">
        <v>43631075000</v>
      </c>
      <c r="E92" s="5">
        <v>2484629000</v>
      </c>
      <c r="F92" s="27">
        <v>1125601930</v>
      </c>
      <c r="G92" s="21">
        <f>Tabela3[[#This Row],[Lucro Líquido]]/Tabela3[[#This Row],[Total Ações]]</f>
        <v>2.2073780559349254</v>
      </c>
      <c r="H92" s="21">
        <f>Tabela3[[#This Row],[Lucro/Ação]]/Tabela3[[#This Row],[Ref]]*4</f>
        <v>2.9431707412465671</v>
      </c>
      <c r="I92" s="23" t="e">
        <f>GETPIVOTDATA("Payout",'Tabela LL'!$A$3,"Ativo",Tabela3[[#This Row],[PAPEL]])</f>
        <v>#REF!</v>
      </c>
      <c r="J92" s="5">
        <f>Tabela3[Patrimônio Líquido]/Tabela3[Total Ações]</f>
        <v>38.762437978406808</v>
      </c>
      <c r="K92" s="83">
        <f>SUMPRODUCT(N(Tabela1[Código]=Tabela3[[#This Row],[PAPEL]]),Tabela1[Fechamento])</f>
        <v>43.5</v>
      </c>
      <c r="L92" s="84">
        <f>Tabela3[Cotação]/Tabela3[VPA]</f>
        <v>1.122220434747482</v>
      </c>
      <c r="M92" s="54">
        <f>IF(Tabela3[[#This Row],[Lucro/Ação Ano]]&gt;0,Tabela3[[#This Row],[Cotação]]/Tabela3[[#This Row],[Lucro/Ação Ano]],0)</f>
        <v>14.779978405729789</v>
      </c>
      <c r="N92" s="10" t="e">
        <f>Tabela3[[#This Row],[Lucro Prev]]/10%</f>
        <v>#REF!</v>
      </c>
      <c r="O92" s="85" t="e">
        <f>MIN(Tabela3[[#This Row],[10% Rentabilidade]],Tabela3[[#This Row],[VPA]]*2)</f>
        <v>#REF!</v>
      </c>
      <c r="P92" s="23" t="e">
        <f>Tabela3[[#This Row],[P Compra]]/Tabela3[[#This Row],[Cotação]]-1</f>
        <v>#REF!</v>
      </c>
      <c r="Q92" s="5" t="e">
        <f>Tabela3[[#This Row],[Lucro/Ação Ano]]*Tabela3[[#This Row],[Payout]]</f>
        <v>#REF!</v>
      </c>
      <c r="R92" s="10" t="e">
        <f>IF(AND(Tabela3[Rentabilidade]&gt;=10%,Tabela3[PVPA]&lt;=2,Tabela3[PL]&lt;=15,Tabela3[PL]&gt;0),"Sim","Não")</f>
        <v>#REF!</v>
      </c>
      <c r="S92" s="28" t="e">
        <f>Tabela3[[#This Row],[Lucro Prev]]/Tabela3[[#This Row],[Cotação]]</f>
        <v>#REF!</v>
      </c>
      <c r="T92" s="28" t="e">
        <f>(1+Tabela3[[#This Row],[Rentabilidade]])^(1/12)-1</f>
        <v>#REF!</v>
      </c>
      <c r="U92" s="10">
        <f>(Proventos!$Q$1/Tabela3[[#This Row],[Cotação]]-MOD(Proventos!$Q$1/Tabela3[[#This Row],[Cotação]],100))</f>
        <v>0</v>
      </c>
      <c r="V92" s="7" t="e">
        <f>Tabela3[[#This Row],[Ativos]]*Tabela3[[#This Row],[Lucro Prev]]</f>
        <v>#REF!</v>
      </c>
      <c r="W92" s="7" t="e">
        <f>Tabela3[[#This Row],[Lucro Med A.A]]/12</f>
        <v>#REF!</v>
      </c>
    </row>
    <row r="93" spans="1:23" x14ac:dyDescent="0.2">
      <c r="B93" s="10" t="s">
        <v>529</v>
      </c>
      <c r="C93" s="21">
        <v>3</v>
      </c>
      <c r="D93" s="5">
        <v>34621000</v>
      </c>
      <c r="E93" s="5">
        <v>3617000</v>
      </c>
      <c r="F93" s="27">
        <v>150000000</v>
      </c>
      <c r="G93" s="21">
        <f>Tabela3[[#This Row],[Lucro Líquido]]/Tabela3[[#This Row],[Total Ações]]</f>
        <v>2.4113333333333334E-2</v>
      </c>
      <c r="H93" s="21">
        <f>Tabela3[[#This Row],[Lucro/Ação]]/Tabela3[[#This Row],[Ref]]*4</f>
        <v>3.2151111111111109E-2</v>
      </c>
      <c r="I93" s="23" t="e">
        <f>GETPIVOTDATA("Payout",'Tabela LL'!$A$3,"Ativo",Tabela3[[#This Row],[PAPEL]])</f>
        <v>#REF!</v>
      </c>
      <c r="J93" s="5">
        <f>Tabela3[Patrimônio Líquido]/Tabela3[Total Ações]</f>
        <v>0.23080666666666666</v>
      </c>
      <c r="K93" s="83">
        <f>SUMPRODUCT(N(Tabela1[Código]=Tabela3[[#This Row],[PAPEL]]),Tabela1[Fechamento])</f>
        <v>0.22</v>
      </c>
      <c r="L93" s="84">
        <f>Tabela3[Cotação]/Tabela3[VPA]</f>
        <v>0.9531787065653794</v>
      </c>
      <c r="M93" s="54">
        <f>IF(Tabela3[[#This Row],[Lucro/Ação Ano]]&gt;0,Tabela3[[#This Row],[Cotação]]/Tabela3[[#This Row],[Lucro/Ação Ano]],0)</f>
        <v>6.8426873099253527</v>
      </c>
      <c r="N93" s="10" t="e">
        <f>Tabela3[[#This Row],[Lucro Prev]]/10%</f>
        <v>#REF!</v>
      </c>
      <c r="O93" s="85" t="e">
        <f>MIN(Tabela3[[#This Row],[10% Rentabilidade]],Tabela3[[#This Row],[VPA]]*2)</f>
        <v>#REF!</v>
      </c>
      <c r="P93" s="23" t="e">
        <f>Tabela3[[#This Row],[P Compra]]/Tabela3[[#This Row],[Cotação]]-1</f>
        <v>#REF!</v>
      </c>
      <c r="Q93" s="5" t="e">
        <f>Tabela3[[#This Row],[Lucro/Ação Ano]]*Tabela3[[#This Row],[Payout]]</f>
        <v>#REF!</v>
      </c>
      <c r="R93" s="21" t="e">
        <f>IF(AND(Tabela3[Rentabilidade]&gt;=10%,Tabela3[PVPA]&lt;=2,Tabela3[PL]&lt;=15,Tabela3[PL]&gt;0),"Sim","Não")</f>
        <v>#REF!</v>
      </c>
      <c r="S93" s="28" t="e">
        <f>Tabela3[[#This Row],[Lucro Prev]]/Tabela3[[#This Row],[Cotação]]</f>
        <v>#REF!</v>
      </c>
      <c r="T93" s="28" t="e">
        <f>(1+Tabela3[[#This Row],[Rentabilidade]])^(1/12)-1</f>
        <v>#REF!</v>
      </c>
      <c r="U93" s="10">
        <f>(Proventos!$Q$1/Tabela3[[#This Row],[Cotação]]-MOD(Proventos!$Q$1/Tabela3[[#This Row],[Cotação]],100))</f>
        <v>4500</v>
      </c>
      <c r="V93" s="7" t="e">
        <f>Tabela3[[#This Row],[Ativos]]*Tabela3[[#This Row],[Lucro Prev]]</f>
        <v>#REF!</v>
      </c>
      <c r="W93" s="7" t="e">
        <f>Tabela3[[#This Row],[Lucro Med A.A]]/12</f>
        <v>#REF!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S2460"/>
  <sheetViews>
    <sheetView topLeftCell="A656" workbookViewId="0">
      <selection activeCell="B666" sqref="B666"/>
    </sheetView>
  </sheetViews>
  <sheetFormatPr defaultRowHeight="11.25" x14ac:dyDescent="0.2"/>
  <cols>
    <col min="1" max="1" width="7.85546875" style="3" bestFit="1" customWidth="1"/>
    <col min="2" max="2" width="15.28515625" style="3" bestFit="1" customWidth="1"/>
    <col min="3" max="3" width="11.42578125" style="17" bestFit="1" customWidth="1"/>
    <col min="4" max="4" width="10.42578125" style="3" bestFit="1" customWidth="1"/>
    <col min="5" max="5" width="13.140625" style="3" bestFit="1" customWidth="1"/>
    <col min="6" max="6" width="12.42578125" style="3" bestFit="1" customWidth="1"/>
    <col min="7" max="7" width="9.7109375" style="3" bestFit="1" customWidth="1"/>
    <col min="8" max="10" width="9.140625" style="3"/>
    <col min="11" max="11" width="13.85546875" style="3" bestFit="1" customWidth="1"/>
    <col min="12" max="13" width="16" style="5" bestFit="1" customWidth="1"/>
    <col min="14" max="14" width="9" style="23" customWidth="1"/>
    <col min="15" max="16" width="9.140625" style="3"/>
    <col min="17" max="17" width="9.85546875" style="3" bestFit="1" customWidth="1"/>
    <col min="18" max="16384" width="9.140625" style="3"/>
  </cols>
  <sheetData>
    <row r="1" spans="1:19" x14ac:dyDescent="0.2">
      <c r="A1" s="3" t="s">
        <v>3</v>
      </c>
      <c r="B1" s="3" t="s">
        <v>2</v>
      </c>
      <c r="C1" s="3" t="s">
        <v>16</v>
      </c>
      <c r="D1" s="17" t="s">
        <v>1</v>
      </c>
      <c r="E1" s="3" t="s">
        <v>17</v>
      </c>
      <c r="F1" s="3" t="s">
        <v>18</v>
      </c>
      <c r="G1" s="3" t="s">
        <v>19</v>
      </c>
      <c r="I1" s="3" t="s">
        <v>3</v>
      </c>
      <c r="J1" s="3" t="s">
        <v>0</v>
      </c>
      <c r="K1" s="3" t="s">
        <v>19</v>
      </c>
      <c r="L1" s="5" t="s">
        <v>117</v>
      </c>
      <c r="M1" s="5" t="s">
        <v>407</v>
      </c>
      <c r="N1" s="23" t="s">
        <v>408</v>
      </c>
      <c r="O1" s="3" t="s">
        <v>234</v>
      </c>
      <c r="P1" s="10"/>
      <c r="Q1" s="5">
        <v>1000</v>
      </c>
      <c r="R1" s="28">
        <v>0.99</v>
      </c>
      <c r="S1" s="28">
        <v>0.38400000000000001</v>
      </c>
    </row>
    <row r="2" spans="1:19" x14ac:dyDescent="0.2">
      <c r="A2" s="35" t="s">
        <v>70</v>
      </c>
      <c r="B2" s="35" t="s">
        <v>14</v>
      </c>
      <c r="C2" s="36">
        <v>41453</v>
      </c>
      <c r="D2" s="38">
        <v>0.29659999999999997</v>
      </c>
      <c r="E2" s="37">
        <v>41495</v>
      </c>
      <c r="F2" s="37">
        <v>41452</v>
      </c>
      <c r="G2" s="38">
        <f>IF(Tabela4[[#This Row],[Tipo]]="Dividendo",Tabela4[[#This Row],[Valor]],IF(Tabela4[[#This Row],[Tipo]]="Jrs. Cap. Próprio",Tabela4[[#This Row],[Valor]]*85%,0))</f>
        <v>0.25210999999999995</v>
      </c>
      <c r="I2" s="35" t="s">
        <v>70</v>
      </c>
      <c r="J2" s="35">
        <v>2013</v>
      </c>
      <c r="K2" s="38">
        <f>SUMPRODUCT(N(Tabela4[Ativo]=Tabela5[[#This Row],[Ativo]]),N(YEAR(Tabela4[Data ex-1])=Tabela5[[#This Row],[Ano]]),Tabela4[Líquido])</f>
        <v>0.51390999999999987</v>
      </c>
      <c r="L2" s="43"/>
      <c r="M2" s="43"/>
      <c r="N2" s="75">
        <f>IF(Tabela5[[#This Row],[Dividendos]]&gt;0,Tabela5[[#This Row],[Dividendos]]/Tabela5[[#This Row],[Lucro Líquido]],0)</f>
        <v>0</v>
      </c>
      <c r="O2" s="23">
        <v>0.34599999999999997</v>
      </c>
      <c r="P2" s="10"/>
    </row>
    <row r="3" spans="1:19" x14ac:dyDescent="0.2">
      <c r="A3" s="35" t="s">
        <v>70</v>
      </c>
      <c r="B3" s="31" t="s">
        <v>14</v>
      </c>
      <c r="C3" s="32">
        <v>41276</v>
      </c>
      <c r="D3" s="34">
        <v>0.308</v>
      </c>
      <c r="E3" s="33"/>
      <c r="F3" s="33">
        <v>41271</v>
      </c>
      <c r="G3" s="34">
        <f>IF(Tabela4[[#This Row],[Tipo]]="Dividendo",Tabela4[[#This Row],[Valor]],IF(Tabela4[[#This Row],[Tipo]]="Jrs. Cap. Próprio",Tabela4[[#This Row],[Valor]]*85%,0))</f>
        <v>0.26179999999999998</v>
      </c>
      <c r="I3" s="35" t="s">
        <v>70</v>
      </c>
      <c r="J3" s="35">
        <v>2012</v>
      </c>
      <c r="K3" s="38">
        <f>SUMPRODUCT(N(Tabela4[Ativo]=Tabela5[[#This Row],[Ativo]]),N(YEAR(Tabela4[Data ex-1])=Tabela5[[#This Row],[Ano]]),Tabela4[Líquido])</f>
        <v>0.28050000000000003</v>
      </c>
      <c r="L3" s="43"/>
      <c r="M3" s="43"/>
      <c r="N3" s="75">
        <f>IF(Tabela5[[#This Row],[Dividendos]]&gt;0,Tabela5[[#This Row],[Dividendos]]/Tabela5[[#This Row],[Lucro Líquido]],0)</f>
        <v>0</v>
      </c>
      <c r="O3" s="23">
        <v>0.39</v>
      </c>
      <c r="P3" s="10"/>
    </row>
    <row r="4" spans="1:19" x14ac:dyDescent="0.2">
      <c r="A4" s="35" t="s">
        <v>70</v>
      </c>
      <c r="B4" s="31" t="s">
        <v>14</v>
      </c>
      <c r="C4" s="32">
        <v>41092</v>
      </c>
      <c r="D4" s="34">
        <v>0.33</v>
      </c>
      <c r="E4" s="33">
        <v>41130</v>
      </c>
      <c r="F4" s="33">
        <v>41089</v>
      </c>
      <c r="G4" s="34">
        <f>IF(Tabela4[[#This Row],[Tipo]]="Dividendo",Tabela4[[#This Row],[Valor]],IF(Tabela4[[#This Row],[Tipo]]="Jrs. Cap. Próprio",Tabela4[[#This Row],[Valor]]*85%,0))</f>
        <v>0.28050000000000003</v>
      </c>
      <c r="I4" s="35" t="s">
        <v>70</v>
      </c>
      <c r="J4" s="35">
        <v>2011</v>
      </c>
      <c r="K4" s="34">
        <f>SUMPRODUCT(N(Tabela4[Ativo]=Tabela5[[#This Row],[Ativo]]),N(YEAR(Tabela4[Data ex-1])=Tabela5[[#This Row],[Ano]]),Tabela4[Líquido])</f>
        <v>0.51</v>
      </c>
      <c r="L4" s="87"/>
      <c r="M4" s="87"/>
      <c r="N4" s="88">
        <f>IF(Tabela5[[#This Row],[Dividendos]]&gt;0,Tabela5[[#This Row],[Dividendos]]/Tabela5[[#This Row],[Lucro Líquido]],0)</f>
        <v>0</v>
      </c>
      <c r="O4" s="23"/>
      <c r="P4" s="10"/>
    </row>
    <row r="5" spans="1:19" x14ac:dyDescent="0.2">
      <c r="A5" s="35" t="s">
        <v>70</v>
      </c>
      <c r="B5" s="31" t="s">
        <v>14</v>
      </c>
      <c r="C5" s="32">
        <v>40906</v>
      </c>
      <c r="D5" s="34">
        <v>0.16</v>
      </c>
      <c r="E5" s="33">
        <v>40919</v>
      </c>
      <c r="F5" s="33">
        <v>40906</v>
      </c>
      <c r="G5" s="34">
        <f>IF(Tabela4[[#This Row],[Tipo]]="Dividendo",Tabela4[[#This Row],[Valor]],IF(Tabela4[[#This Row],[Tipo]]="Jrs. Cap. Próprio",Tabela4[[#This Row],[Valor]]*85%,0))</f>
        <v>0.13600000000000001</v>
      </c>
      <c r="I5" s="35" t="s">
        <v>70</v>
      </c>
      <c r="J5" s="35">
        <v>2010</v>
      </c>
      <c r="K5" s="34">
        <f>SUMPRODUCT(N(Tabela4[Ativo]=Tabela5[[#This Row],[Ativo]]),N(YEAR(Tabela4[Data ex-1])=Tabela5[[#This Row],[Ano]]),Tabela4[Líquido])</f>
        <v>0.45900000000000002</v>
      </c>
      <c r="L5" s="87"/>
      <c r="M5" s="87"/>
      <c r="N5" s="88">
        <f>IF(Tabela5[[#This Row],[Dividendos]]&gt;0,Tabela5[[#This Row],[Dividendos]]/Tabela5[[#This Row],[Lucro Líquido]],0)</f>
        <v>0</v>
      </c>
      <c r="O5" s="23"/>
      <c r="P5" s="10"/>
    </row>
    <row r="6" spans="1:19" x14ac:dyDescent="0.2">
      <c r="A6" s="35" t="s">
        <v>70</v>
      </c>
      <c r="B6" s="31" t="s">
        <v>14</v>
      </c>
      <c r="C6" s="32">
        <v>40816</v>
      </c>
      <c r="D6" s="34">
        <v>0.15</v>
      </c>
      <c r="E6" s="33">
        <v>40829</v>
      </c>
      <c r="F6" s="33">
        <v>40816</v>
      </c>
      <c r="G6" s="34">
        <f>IF(Tabela4[[#This Row],[Tipo]]="Dividendo",Tabela4[[#This Row],[Valor]],IF(Tabela4[[#This Row],[Tipo]]="Jrs. Cap. Próprio",Tabela4[[#This Row],[Valor]]*85%,0))</f>
        <v>0.1275</v>
      </c>
      <c r="I6" s="35" t="s">
        <v>70</v>
      </c>
      <c r="J6" s="35">
        <v>2009</v>
      </c>
      <c r="K6" s="34">
        <f>SUMPRODUCT(N(Tabela4[Ativo]=Tabela5[[#This Row],[Ativo]]),N(YEAR(Tabela4[Data ex-1])=Tabela5[[#This Row],[Ano]]),Tabela4[Líquido])</f>
        <v>0.4335</v>
      </c>
      <c r="L6" s="87"/>
      <c r="M6" s="87"/>
      <c r="N6" s="88">
        <f>IF(Tabela5[[#This Row],[Dividendos]]&gt;0,Tabela5[[#This Row],[Dividendos]]/Tabela5[[#This Row],[Lucro Líquido]],0)</f>
        <v>0</v>
      </c>
      <c r="O6" s="23"/>
      <c r="P6" s="10"/>
    </row>
    <row r="7" spans="1:19" x14ac:dyDescent="0.2">
      <c r="A7" s="35" t="s">
        <v>70</v>
      </c>
      <c r="B7" s="31" t="s">
        <v>14</v>
      </c>
      <c r="C7" s="32">
        <v>40724</v>
      </c>
      <c r="D7" s="34">
        <v>0.15</v>
      </c>
      <c r="E7" s="33">
        <v>40737</v>
      </c>
      <c r="F7" s="33">
        <v>40724</v>
      </c>
      <c r="G7" s="34">
        <f>IF(Tabela4[[#This Row],[Tipo]]="Dividendo",Tabela4[[#This Row],[Valor]],IF(Tabela4[[#This Row],[Tipo]]="Jrs. Cap. Próprio",Tabela4[[#This Row],[Valor]]*85%,0))</f>
        <v>0.1275</v>
      </c>
      <c r="I7" s="35" t="s">
        <v>70</v>
      </c>
      <c r="J7" s="35">
        <v>2008</v>
      </c>
      <c r="K7" s="34">
        <f>SUMPRODUCT(N(Tabela4[Ativo]=Tabela5[[#This Row],[Ativo]]),N(YEAR(Tabela4[Data ex-1])=Tabela5[[#This Row],[Ano]]),Tabela4[Líquido])</f>
        <v>0.42499999999999999</v>
      </c>
      <c r="L7" s="87"/>
      <c r="M7" s="87"/>
      <c r="N7" s="88">
        <f>IF(Tabela5[[#This Row],[Dividendos]]&gt;0,Tabela5[[#This Row],[Dividendos]]/Tabela5[[#This Row],[Lucro Líquido]],0)</f>
        <v>0</v>
      </c>
      <c r="O7" s="23"/>
      <c r="P7" s="10"/>
    </row>
    <row r="8" spans="1:19" x14ac:dyDescent="0.2">
      <c r="A8" s="35" t="s">
        <v>70</v>
      </c>
      <c r="B8" s="31" t="s">
        <v>14</v>
      </c>
      <c r="C8" s="32">
        <v>40633</v>
      </c>
      <c r="D8" s="34">
        <v>0.14000000000000001</v>
      </c>
      <c r="E8" s="33">
        <v>40646</v>
      </c>
      <c r="F8" s="33">
        <v>40633</v>
      </c>
      <c r="G8" s="34">
        <f>IF(Tabela4[[#This Row],[Tipo]]="Dividendo",Tabela4[[#This Row],[Valor]],IF(Tabela4[[#This Row],[Tipo]]="Jrs. Cap. Próprio",Tabela4[[#This Row],[Valor]]*85%,0))</f>
        <v>0.11900000000000001</v>
      </c>
      <c r="I8" s="4" t="s">
        <v>219</v>
      </c>
      <c r="J8" s="4">
        <v>2013</v>
      </c>
      <c r="K8" s="14">
        <f>SUMPRODUCT(N(Tabela4[Ativo]=Tabela5[[#This Row],[Ativo]]),N(YEAR(Tabela4[Data ex-1])=Tabela5[[#This Row],[Ano]]),Tabela4[Líquido])</f>
        <v>5.2597775999999999E-2</v>
      </c>
      <c r="L8" s="6">
        <v>58854140.329999998</v>
      </c>
      <c r="M8" s="6">
        <v>5000000</v>
      </c>
      <c r="N8" s="24">
        <f>IF(Tabela5[[#This Row],[Dividendos]]&gt;0,Tabela5[[#This Row],[Dividendos]]/Tabela5[[#This Row],[Lucro Líquido]],0)</f>
        <v>8.4955790229278502E-2</v>
      </c>
      <c r="O8" s="23">
        <f>Tabela5[[#This Row],[Payout2]]</f>
        <v>8.4955790229278502E-2</v>
      </c>
      <c r="P8" s="10"/>
    </row>
    <row r="9" spans="1:19" x14ac:dyDescent="0.2">
      <c r="A9" s="35" t="s">
        <v>70</v>
      </c>
      <c r="B9" s="31" t="s">
        <v>14</v>
      </c>
      <c r="C9" s="32">
        <v>40542</v>
      </c>
      <c r="D9" s="34">
        <v>0.14000000000000001</v>
      </c>
      <c r="E9" s="33">
        <v>40555</v>
      </c>
      <c r="F9" s="33">
        <v>40542</v>
      </c>
      <c r="G9" s="34">
        <f>IF(Tabela4[[#This Row],[Tipo]]="Dividendo",Tabela4[[#This Row],[Valor]],IF(Tabela4[[#This Row],[Tipo]]="Jrs. Cap. Próprio",Tabela4[[#This Row],[Valor]]*85%,0))</f>
        <v>0.11900000000000001</v>
      </c>
      <c r="I9" s="4" t="s">
        <v>219</v>
      </c>
      <c r="J9" s="4">
        <v>2012</v>
      </c>
      <c r="K9" s="14">
        <f>SUMPRODUCT(N(Tabela4[Ativo]=Tabela5[[#This Row],[Ativo]]),N(YEAR(Tabela4[Data ex-1])=Tabela5[[#This Row],[Ano]]),Tabela4[Líquido])</f>
        <v>1.6555676070000001</v>
      </c>
      <c r="L9" s="6">
        <v>443133645.13999999</v>
      </c>
      <c r="M9" s="6">
        <v>306367891.80000001</v>
      </c>
      <c r="N9" s="24">
        <f>IF(Tabela5[[#This Row],[Dividendos]]&gt;0,Tabela5[[#This Row],[Dividendos]]/Tabela5[[#This Row],[Lucro Líquido]],0)</f>
        <v>0.69136680358181479</v>
      </c>
      <c r="O9" s="23">
        <f>Tabela5[[#This Row],[Payout2]]</f>
        <v>0.69136680358181479</v>
      </c>
      <c r="P9" s="10"/>
    </row>
    <row r="10" spans="1:19" x14ac:dyDescent="0.2">
      <c r="A10" s="35" t="s">
        <v>70</v>
      </c>
      <c r="B10" s="31" t="s">
        <v>14</v>
      </c>
      <c r="C10" s="32">
        <v>40451</v>
      </c>
      <c r="D10" s="34">
        <v>0.14000000000000001</v>
      </c>
      <c r="E10" s="33">
        <v>40464</v>
      </c>
      <c r="F10" s="33">
        <v>40451</v>
      </c>
      <c r="G10" s="34">
        <f>IF(Tabela4[[#This Row],[Tipo]]="Dividendo",Tabela4[[#This Row],[Valor]],IF(Tabela4[[#This Row],[Tipo]]="Jrs. Cap. Próprio",Tabela4[[#This Row],[Valor]]*85%,0))</f>
        <v>0.11900000000000001</v>
      </c>
      <c r="I10" s="4" t="s">
        <v>219</v>
      </c>
      <c r="J10" s="4">
        <v>2011</v>
      </c>
      <c r="K10" s="10">
        <f>SUMPRODUCT(N(Tabela4[Ativo]=Tabela5[[#This Row],[Ativo]]),N(YEAR(Tabela4[Data ex-1])=Tabela5[[#This Row],[Ano]]),Tabela4[Líquido])</f>
        <v>3.9811068658000002</v>
      </c>
      <c r="L10" s="5">
        <v>376135677.57999998</v>
      </c>
      <c r="M10" s="5">
        <v>333946745.44</v>
      </c>
      <c r="N10" s="23">
        <f>IF(Tabela5[[#This Row],[Dividendos]]&gt;0,Tabela5[[#This Row],[Dividendos]]/Tabela5[[#This Row],[Lucro Líquido]],0)</f>
        <v>0.88783586706946493</v>
      </c>
      <c r="O10" s="23">
        <f>Tabela5[[#This Row],[Payout2]]</f>
        <v>0.88783586706946493</v>
      </c>
      <c r="P10" s="10"/>
      <c r="Q10" s="84"/>
    </row>
    <row r="11" spans="1:19" x14ac:dyDescent="0.2">
      <c r="A11" s="35" t="s">
        <v>70</v>
      </c>
      <c r="B11" s="31" t="s">
        <v>14</v>
      </c>
      <c r="C11" s="32">
        <v>40359</v>
      </c>
      <c r="D11" s="34">
        <v>0.13</v>
      </c>
      <c r="E11" s="33">
        <v>40373</v>
      </c>
      <c r="F11" s="33">
        <v>40359</v>
      </c>
      <c r="G11" s="34">
        <f>IF(Tabela4[[#This Row],[Tipo]]="Dividendo",Tabela4[[#This Row],[Valor]],IF(Tabela4[[#This Row],[Tipo]]="Jrs. Cap. Próprio",Tabela4[[#This Row],[Valor]]*85%,0))</f>
        <v>0.1105</v>
      </c>
      <c r="I11" s="4" t="s">
        <v>219</v>
      </c>
      <c r="J11" s="4">
        <v>2010</v>
      </c>
      <c r="K11" s="10">
        <f>SUMPRODUCT(N(Tabela4[Ativo]=Tabela5[[#This Row],[Ativo]]),N(YEAR(Tabela4[Data ex-1])=Tabela5[[#This Row],[Ano]]),Tabela4[Líquido])</f>
        <v>3.9899957866999998</v>
      </c>
      <c r="L11" s="5">
        <v>307018663.63999999</v>
      </c>
      <c r="M11" s="5">
        <v>304092059.63999999</v>
      </c>
      <c r="N11" s="23">
        <f>IF(Tabela5[[#This Row],[Dividendos]]&gt;0,Tabela5[[#This Row],[Dividendos]]/Tabela5[[#This Row],[Lucro Líquido]],0)</f>
        <v>0.99046766745284376</v>
      </c>
      <c r="O11" s="23">
        <f>Tabela5[[#This Row],[Payout2]]</f>
        <v>0.99046766745284376</v>
      </c>
      <c r="P11" s="10"/>
    </row>
    <row r="12" spans="1:19" x14ac:dyDescent="0.2">
      <c r="A12" s="35" t="s">
        <v>70</v>
      </c>
      <c r="B12" s="31" t="s">
        <v>14</v>
      </c>
      <c r="C12" s="32">
        <v>40268</v>
      </c>
      <c r="D12" s="34">
        <v>0.13</v>
      </c>
      <c r="E12" s="33">
        <v>40282</v>
      </c>
      <c r="F12" s="33">
        <v>40268</v>
      </c>
      <c r="G12" s="34">
        <f>IF(Tabela4[[#This Row],[Tipo]]="Dividendo",Tabela4[[#This Row],[Valor]],IF(Tabela4[[#This Row],[Tipo]]="Jrs. Cap. Próprio",Tabela4[[#This Row],[Valor]]*85%,0))</f>
        <v>0.1105</v>
      </c>
      <c r="I12" s="4" t="s">
        <v>219</v>
      </c>
      <c r="J12" s="4">
        <v>2009</v>
      </c>
      <c r="K12" s="10">
        <f>SUMPRODUCT(N(Tabela4[Ativo]=Tabela5[[#This Row],[Ativo]]),N(YEAR(Tabela4[Data ex-1])=Tabela5[[#This Row],[Ano]]),Tabela4[Líquido])</f>
        <v>3.6769091111500001</v>
      </c>
      <c r="L12" s="5">
        <v>464944486.94</v>
      </c>
      <c r="M12" s="5">
        <v>457224713.50999999</v>
      </c>
      <c r="N12" s="23">
        <f>IF(Tabela5[[#This Row],[Dividendos]]&gt;0,Tabela5[[#This Row],[Dividendos]]/Tabela5[[#This Row],[Lucro Líquido]],0)</f>
        <v>0.98339635451791851</v>
      </c>
      <c r="O12" s="23">
        <f>Tabela5[[#This Row],[Payout2]]</f>
        <v>0.98339635451791851</v>
      </c>
      <c r="P12" s="10"/>
    </row>
    <row r="13" spans="1:19" x14ac:dyDescent="0.2">
      <c r="A13" s="35" t="s">
        <v>70</v>
      </c>
      <c r="B13" s="31" t="s">
        <v>14</v>
      </c>
      <c r="C13" s="32">
        <v>40177</v>
      </c>
      <c r="D13" s="34">
        <v>0.13</v>
      </c>
      <c r="E13" s="33">
        <v>40191</v>
      </c>
      <c r="F13" s="33">
        <v>40177</v>
      </c>
      <c r="G13" s="34">
        <f>IF(Tabela4[[#This Row],[Tipo]]="Dividendo",Tabela4[[#This Row],[Valor]],IF(Tabela4[[#This Row],[Tipo]]="Jrs. Cap. Próprio",Tabela4[[#This Row],[Valor]]*85%,0))</f>
        <v>0.1105</v>
      </c>
      <c r="I13" s="4" t="s">
        <v>219</v>
      </c>
      <c r="J13" s="4">
        <v>2008</v>
      </c>
      <c r="K13" s="10">
        <f>SUMPRODUCT(N(Tabela4[Ativo]=Tabela5[[#This Row],[Ativo]]),N(YEAR(Tabela4[Data ex-1])=Tabela5[[#This Row],[Ano]]),Tabela4[Líquido])</f>
        <v>1.9183961286</v>
      </c>
      <c r="L13" s="5">
        <v>188743716.03</v>
      </c>
      <c r="M13" s="5">
        <v>186165137.66</v>
      </c>
      <c r="N13" s="23">
        <f>IF(Tabela5[[#This Row],[Dividendos]]&gt;0,Tabela5[[#This Row],[Dividendos]]/Tabela5[[#This Row],[Lucro Líquido]],0)</f>
        <v>0.98633820280623197</v>
      </c>
      <c r="O13" s="23">
        <f>Tabela5[[#This Row],[Payout2]]</f>
        <v>0.98633820280623197</v>
      </c>
      <c r="P13" s="10"/>
    </row>
    <row r="14" spans="1:19" x14ac:dyDescent="0.2">
      <c r="A14" s="35" t="s">
        <v>70</v>
      </c>
      <c r="B14" s="31" t="s">
        <v>14</v>
      </c>
      <c r="C14" s="32">
        <v>40086</v>
      </c>
      <c r="D14" s="34">
        <v>0.12</v>
      </c>
      <c r="E14" s="33">
        <v>40100</v>
      </c>
      <c r="F14" s="33">
        <v>40086</v>
      </c>
      <c r="G14" s="34">
        <f>IF(Tabela4[[#This Row],[Tipo]]="Dividendo",Tabela4[[#This Row],[Valor]],IF(Tabela4[[#This Row],[Tipo]]="Jrs. Cap. Próprio",Tabela4[[#This Row],[Valor]]*85%,0))</f>
        <v>0.10199999999999999</v>
      </c>
      <c r="I14" s="4" t="s">
        <v>212</v>
      </c>
      <c r="J14" s="4">
        <v>2013</v>
      </c>
      <c r="K14" s="14">
        <f>SUMPRODUCT(N(Tabela4[Ativo]=Tabela5[[#This Row],[Ativo]]),N(YEAR(Tabela4[Data ex-1])=Tabela5[[#This Row],[Ano]]),Tabela4[Líquido])</f>
        <v>0.40910000000000002</v>
      </c>
      <c r="L14" s="6"/>
      <c r="M14" s="6"/>
      <c r="N14" s="24">
        <f>IF(Tabela5[[#This Row],[Dividendos]]&gt;0,Tabela5[[#This Row],[Dividendos]]/Tabela5[[#This Row],[Lucro Líquido]],0)</f>
        <v>0</v>
      </c>
      <c r="O14" s="23">
        <v>1.4017999999999999</v>
      </c>
      <c r="P14" s="10"/>
    </row>
    <row r="15" spans="1:19" x14ac:dyDescent="0.2">
      <c r="A15" s="35" t="s">
        <v>70</v>
      </c>
      <c r="B15" s="31" t="s">
        <v>14</v>
      </c>
      <c r="C15" s="32">
        <v>39994</v>
      </c>
      <c r="D15" s="34">
        <v>0.13</v>
      </c>
      <c r="E15" s="33"/>
      <c r="F15" s="33">
        <v>39994</v>
      </c>
      <c r="G15" s="34">
        <f>IF(Tabela4[[#This Row],[Tipo]]="Dividendo",Tabela4[[#This Row],[Valor]],IF(Tabela4[[#This Row],[Tipo]]="Jrs. Cap. Próprio",Tabela4[[#This Row],[Valor]]*85%,0))</f>
        <v>0.1105</v>
      </c>
      <c r="I15" s="4" t="s">
        <v>212</v>
      </c>
      <c r="J15" s="4">
        <v>2012</v>
      </c>
      <c r="K15" s="14">
        <f>SUMPRODUCT(N(Tabela4[Ativo]=Tabela5[[#This Row],[Ativo]]),N(YEAR(Tabela4[Data ex-1])=Tabela5[[#This Row],[Ano]]),Tabela4[Líquido])</f>
        <v>0.31869999999999998</v>
      </c>
      <c r="L15" s="6"/>
      <c r="M15" s="6"/>
      <c r="N15" s="24">
        <f>IF(Tabela5[[#This Row],[Dividendos]]&gt;0,Tabela5[[#This Row],[Dividendos]]/Tabela5[[#This Row],[Lucro Líquido]],0)</f>
        <v>0</v>
      </c>
      <c r="O15" s="23">
        <v>1.19</v>
      </c>
      <c r="P15" s="10"/>
    </row>
    <row r="16" spans="1:19" x14ac:dyDescent="0.2">
      <c r="A16" s="35" t="s">
        <v>70</v>
      </c>
      <c r="B16" s="31" t="s">
        <v>14</v>
      </c>
      <c r="C16" s="32">
        <v>39903</v>
      </c>
      <c r="D16" s="34">
        <v>0.13</v>
      </c>
      <c r="E16" s="33">
        <v>39918</v>
      </c>
      <c r="F16" s="33">
        <v>39903</v>
      </c>
      <c r="G16" s="34">
        <f>IF(Tabela4[[#This Row],[Tipo]]="Dividendo",Tabela4[[#This Row],[Valor]],IF(Tabela4[[#This Row],[Tipo]]="Jrs. Cap. Próprio",Tabela4[[#This Row],[Valor]]*85%,0))</f>
        <v>0.1105</v>
      </c>
      <c r="I16" s="4" t="s">
        <v>212</v>
      </c>
      <c r="J16" s="4">
        <v>2011</v>
      </c>
      <c r="K16" s="14">
        <f>SUMPRODUCT(N(Tabela4[Ativo]=Tabela5[[#This Row],[Ativo]]),N(YEAR(Tabela4[Data ex-1])=Tabela5[[#This Row],[Ano]]),Tabela4[Líquido])</f>
        <v>0.24959999999999999</v>
      </c>
      <c r="L16" s="6"/>
      <c r="M16" s="6"/>
      <c r="N16" s="24">
        <f>IF(Tabela5[[#This Row],[Dividendos]]&gt;0,Tabela5[[#This Row],[Dividendos]]/Tabela5[[#This Row],[Lucro Líquido]],0)</f>
        <v>0</v>
      </c>
      <c r="O16" s="23"/>
      <c r="P16" s="10"/>
    </row>
    <row r="17" spans="1:16" x14ac:dyDescent="0.2">
      <c r="A17" s="35" t="s">
        <v>70</v>
      </c>
      <c r="B17" s="31" t="s">
        <v>14</v>
      </c>
      <c r="C17" s="32">
        <v>39812</v>
      </c>
      <c r="D17" s="34">
        <v>0.13</v>
      </c>
      <c r="E17" s="33">
        <v>39827</v>
      </c>
      <c r="F17" s="33">
        <v>39812</v>
      </c>
      <c r="G17" s="34">
        <f>IF(Tabela4[[#This Row],[Tipo]]="Dividendo",Tabela4[[#This Row],[Valor]],IF(Tabela4[[#This Row],[Tipo]]="Jrs. Cap. Próprio",Tabela4[[#This Row],[Valor]]*85%,0))</f>
        <v>0.1105</v>
      </c>
      <c r="I17" s="4" t="s">
        <v>45</v>
      </c>
      <c r="J17" s="4">
        <v>2013</v>
      </c>
      <c r="K17" s="14">
        <f>SUMPRODUCT(N(Tabela4[Ativo]=Tabela5[[#This Row],[Ativo]]),N(YEAR(Tabela4[Data ex-1])=Tabela5[[#This Row],[Ano]]),Tabela4[Líquido])</f>
        <v>8.2500000000000004E-2</v>
      </c>
      <c r="L17" s="6"/>
      <c r="M17" s="6"/>
      <c r="N17" s="24">
        <f>IF(Tabela5[[#This Row],[Dividendos]]&gt;0,Tabela5[[#This Row],[Dividendos]]/Tabela5[[#This Row],[Lucro Líquido]],0)</f>
        <v>0</v>
      </c>
      <c r="O17" s="23"/>
      <c r="P17" s="10"/>
    </row>
    <row r="18" spans="1:16" x14ac:dyDescent="0.2">
      <c r="A18" s="35" t="s">
        <v>70</v>
      </c>
      <c r="B18" s="31" t="s">
        <v>14</v>
      </c>
      <c r="C18" s="32">
        <v>39721</v>
      </c>
      <c r="D18" s="34">
        <v>0.13</v>
      </c>
      <c r="E18" s="33">
        <v>39827</v>
      </c>
      <c r="F18" s="33">
        <v>39721</v>
      </c>
      <c r="G18" s="34">
        <f>IF(Tabela4[[#This Row],[Tipo]]="Dividendo",Tabela4[[#This Row],[Valor]],IF(Tabela4[[#This Row],[Tipo]]="Jrs. Cap. Próprio",Tabela4[[#This Row],[Valor]]*85%,0))</f>
        <v>0.1105</v>
      </c>
      <c r="I18" s="4" t="s">
        <v>45</v>
      </c>
      <c r="J18" s="4">
        <v>2012</v>
      </c>
      <c r="K18" s="14">
        <f>SUMPRODUCT(N(Tabela4[Ativo]=Tabela5[[#This Row],[Ativo]]),N(YEAR(Tabela4[Data ex-1])=Tabela5[[#This Row],[Ano]]),Tabela4[Líquido])</f>
        <v>8.5500000000000007E-2</v>
      </c>
      <c r="L18" s="6"/>
      <c r="M18" s="6"/>
      <c r="N18" s="24">
        <f>IF(Tabela5[[#This Row],[Dividendos]]&gt;0,Tabela5[[#This Row],[Dividendos]]/Tabela5[[#This Row],[Lucro Líquido]],0)</f>
        <v>0</v>
      </c>
      <c r="O18" s="23"/>
      <c r="P18" s="10"/>
    </row>
    <row r="19" spans="1:16" x14ac:dyDescent="0.2">
      <c r="A19" s="35" t="s">
        <v>70</v>
      </c>
      <c r="B19" s="31" t="s">
        <v>14</v>
      </c>
      <c r="C19" s="32">
        <v>39629</v>
      </c>
      <c r="D19" s="34">
        <v>0.12</v>
      </c>
      <c r="E19" s="33">
        <v>39639</v>
      </c>
      <c r="F19" s="33">
        <v>39629</v>
      </c>
      <c r="G19" s="34">
        <f>IF(Tabela4[[#This Row],[Tipo]]="Dividendo",Tabela4[[#This Row],[Valor]],IF(Tabela4[[#This Row],[Tipo]]="Jrs. Cap. Próprio",Tabela4[[#This Row],[Valor]]*85%,0))</f>
        <v>0.10199999999999999</v>
      </c>
      <c r="I19" s="4" t="s">
        <v>45</v>
      </c>
      <c r="J19" s="4">
        <v>2011</v>
      </c>
      <c r="K19" s="10">
        <f>SUMPRODUCT(N(Tabela4[Ativo]=Tabela5[[#This Row],[Ativo]]),N(YEAR(Tabela4[Data ex-1])=Tabela5[[#This Row],[Ano]]),Tabela4[Líquido])</f>
        <v>8.2900000000000001E-2</v>
      </c>
      <c r="N19" s="23">
        <f>IF(Tabela5[[#This Row],[Dividendos]]&gt;0,Tabela5[[#This Row],[Dividendos]]/Tabela5[[#This Row],[Lucro Líquido]],0)</f>
        <v>0</v>
      </c>
      <c r="O19" s="23"/>
      <c r="P19" s="10"/>
    </row>
    <row r="20" spans="1:16" x14ac:dyDescent="0.2">
      <c r="A20" s="35" t="s">
        <v>70</v>
      </c>
      <c r="B20" s="31" t="s">
        <v>14</v>
      </c>
      <c r="C20" s="32">
        <v>39538</v>
      </c>
      <c r="D20" s="34">
        <v>0.12</v>
      </c>
      <c r="E20" s="33">
        <v>39639</v>
      </c>
      <c r="F20" s="33">
        <v>39538</v>
      </c>
      <c r="G20" s="34">
        <f>IF(Tabela4[[#This Row],[Tipo]]="Dividendo",Tabela4[[#This Row],[Valor]],IF(Tabela4[[#This Row],[Tipo]]="Jrs. Cap. Próprio",Tabela4[[#This Row],[Valor]]*85%,0))</f>
        <v>0.10199999999999999</v>
      </c>
      <c r="I20" s="4" t="s">
        <v>45</v>
      </c>
      <c r="J20" s="4">
        <v>2010</v>
      </c>
      <c r="K20" s="10">
        <f>SUMPRODUCT(N(Tabela4[Ativo]=Tabela5[[#This Row],[Ativo]]),N(YEAR(Tabela4[Data ex-1])=Tabela5[[#This Row],[Ano]]),Tabela4[Líquido])</f>
        <v>2.0999999999999999E-3</v>
      </c>
      <c r="N20" s="23">
        <f>IF(Tabela5[[#This Row],[Dividendos]]&gt;0,Tabela5[[#This Row],[Dividendos]]/Tabela5[[#This Row],[Lucro Líquido]],0)</f>
        <v>0</v>
      </c>
      <c r="O20" s="23"/>
      <c r="P20" s="10"/>
    </row>
    <row r="21" spans="1:16" x14ac:dyDescent="0.2">
      <c r="A21" s="35" t="s">
        <v>70</v>
      </c>
      <c r="B21" s="31" t="s">
        <v>14</v>
      </c>
      <c r="C21" s="32">
        <v>39436</v>
      </c>
      <c r="D21" s="34">
        <v>0.32</v>
      </c>
      <c r="E21" s="33">
        <v>39450</v>
      </c>
      <c r="F21" s="33">
        <v>39436</v>
      </c>
      <c r="G21" s="34">
        <f>IF(Tabela4[[#This Row],[Tipo]]="Dividendo",Tabela4[[#This Row],[Valor]],IF(Tabela4[[#This Row],[Tipo]]="Jrs. Cap. Próprio",Tabela4[[#This Row],[Valor]]*85%,0))</f>
        <v>0.27200000000000002</v>
      </c>
      <c r="I21" s="4" t="s">
        <v>45</v>
      </c>
      <c r="J21" s="4">
        <v>2009</v>
      </c>
      <c r="K21" s="10">
        <f>SUMPRODUCT(N(Tabela4[Ativo]=Tabela5[[#This Row],[Ativo]]),N(YEAR(Tabela4[Data ex-1])=Tabela5[[#This Row],[Ano]]),Tabela4[Líquido])</f>
        <v>1.4500000000000001E-2</v>
      </c>
      <c r="N21" s="23">
        <f>IF(Tabela5[[#This Row],[Dividendos]]&gt;0,Tabela5[[#This Row],[Dividendos]]/Tabela5[[#This Row],[Lucro Líquido]],0)</f>
        <v>0</v>
      </c>
      <c r="O21" s="23"/>
      <c r="P21" s="10"/>
    </row>
    <row r="22" spans="1:16" x14ac:dyDescent="0.2">
      <c r="A22" s="86" t="s">
        <v>219</v>
      </c>
      <c r="B22" s="4" t="s">
        <v>15</v>
      </c>
      <c r="C22" s="19">
        <v>41586</v>
      </c>
      <c r="D22" s="3">
        <v>5.2597775999999999E-2</v>
      </c>
      <c r="E22" s="68">
        <v>41603</v>
      </c>
      <c r="F22" s="68">
        <v>41585</v>
      </c>
      <c r="G22" s="14">
        <f>IF(Tabela4[[#This Row],[Tipo]]="Dividendo",Tabela4[[#This Row],[Valor]],IF(Tabela4[[#This Row],[Tipo]]="Jrs. Cap. Próprio",Tabela4[[#This Row],[Valor]]*85%,0))</f>
        <v>5.2597775999999999E-2</v>
      </c>
      <c r="I22" s="4" t="s">
        <v>45</v>
      </c>
      <c r="J22" s="4">
        <v>2008</v>
      </c>
      <c r="K22" s="10">
        <f>SUMPRODUCT(N(Tabela4[Ativo]=Tabela5[[#This Row],[Ativo]]),N(YEAR(Tabela4[Data ex-1])=Tabela5[[#This Row],[Ano]]),Tabela4[Líquido])</f>
        <v>1.7899999999999999E-2</v>
      </c>
      <c r="N22" s="23">
        <f>IF(Tabela5[[#This Row],[Dividendos]]&gt;0,Tabela5[[#This Row],[Dividendos]]/Tabela5[[#This Row],[Lucro Líquido]],0)</f>
        <v>0</v>
      </c>
      <c r="O22" s="23"/>
      <c r="P22" s="10"/>
    </row>
    <row r="23" spans="1:16" x14ac:dyDescent="0.2">
      <c r="A23" s="86" t="s">
        <v>219</v>
      </c>
      <c r="B23" s="3" t="s">
        <v>15</v>
      </c>
      <c r="C23" s="18">
        <v>41015</v>
      </c>
      <c r="D23" s="3">
        <v>1.6555676070000001</v>
      </c>
      <c r="E23" s="26">
        <v>41045</v>
      </c>
      <c r="F23" s="16">
        <v>41015</v>
      </c>
      <c r="G23" s="10">
        <f>IF(Tabela4[[#This Row],[Tipo]]="Dividendo",Tabela4[[#This Row],[Valor]],IF(Tabela4[[#This Row],[Tipo]]="Jrs. Cap. Próprio",Tabela4[[#This Row],[Valor]]*85%,0))</f>
        <v>1.6555676070000001</v>
      </c>
      <c r="I23" s="4" t="s">
        <v>45</v>
      </c>
      <c r="J23" s="4">
        <v>2007</v>
      </c>
      <c r="K23" s="10">
        <f>SUMPRODUCT(N(Tabela4[Ativo]=Tabela5[[#This Row],[Ativo]]),N(YEAR(Tabela4[Data ex-1])=Tabela5[[#This Row],[Ano]]),Tabela4[Líquido])</f>
        <v>5.4199999999999995E-3</v>
      </c>
      <c r="N23" s="23">
        <f>IF(Tabela5[[#This Row],[Dividendos]]&gt;0,Tabela5[[#This Row],[Dividendos]]/Tabela5[[#This Row],[Lucro Líquido]],0)</f>
        <v>0</v>
      </c>
      <c r="O23" s="23"/>
      <c r="P23" s="10"/>
    </row>
    <row r="24" spans="1:16" x14ac:dyDescent="0.2">
      <c r="A24" s="86" t="s">
        <v>219</v>
      </c>
      <c r="B24" s="3" t="s">
        <v>14</v>
      </c>
      <c r="C24" s="18">
        <v>40883</v>
      </c>
      <c r="D24" s="3">
        <v>0.22078328799999999</v>
      </c>
      <c r="E24" s="26">
        <v>41045</v>
      </c>
      <c r="F24" s="16">
        <v>40883</v>
      </c>
      <c r="G24" s="10">
        <f>IF(Tabela4[[#This Row],[Tipo]]="Dividendo",Tabela4[[#This Row],[Valor]],IF(Tabela4[[#This Row],[Tipo]]="Jrs. Cap. Próprio",Tabela4[[#This Row],[Valor]]*85%,0))</f>
        <v>0.18766579479999998</v>
      </c>
      <c r="I24" s="4" t="s">
        <v>45</v>
      </c>
      <c r="J24" s="4">
        <v>2006</v>
      </c>
      <c r="K24" s="10">
        <f>SUMPRODUCT(N(Tabela4[Ativo]=Tabela5[[#This Row],[Ativo]]),N(YEAR(Tabela4[Data ex-1])=Tabela5[[#This Row],[Ano]]),Tabela4[Líquido])</f>
        <v>9.11E-2</v>
      </c>
      <c r="N24" s="23">
        <f>IF(Tabela5[[#This Row],[Dividendos]]&gt;0,Tabela5[[#This Row],[Dividendos]]/Tabela5[[#This Row],[Lucro Líquido]],0)</f>
        <v>0</v>
      </c>
      <c r="O24" s="23"/>
      <c r="P24" s="10"/>
    </row>
    <row r="25" spans="1:16" x14ac:dyDescent="0.2">
      <c r="A25" s="86" t="s">
        <v>219</v>
      </c>
      <c r="B25" s="3" t="s">
        <v>15</v>
      </c>
      <c r="C25" s="18">
        <v>40765</v>
      </c>
      <c r="D25" s="3">
        <v>1.3465030730000001</v>
      </c>
      <c r="E25" s="26">
        <v>40809</v>
      </c>
      <c r="F25" s="16">
        <v>40765</v>
      </c>
      <c r="G25" s="10">
        <f>IF(Tabela4[[#This Row],[Tipo]]="Dividendo",Tabela4[[#This Row],[Valor]],IF(Tabela4[[#This Row],[Tipo]]="Jrs. Cap. Próprio",Tabela4[[#This Row],[Valor]]*85%,0))</f>
        <v>1.3465030730000001</v>
      </c>
      <c r="I25" s="4" t="s">
        <v>45</v>
      </c>
      <c r="J25" s="4">
        <v>2005</v>
      </c>
      <c r="K25" s="10">
        <f>SUMPRODUCT(N(Tabela4[Ativo]=Tabela5[[#This Row],[Ativo]]),N(YEAR(Tabela4[Data ex-1])=Tabela5[[#This Row],[Ano]]),Tabela4[Líquido])</f>
        <v>7.9830000000000012E-2</v>
      </c>
      <c r="N25" s="23">
        <f>IF(Tabela5[[#This Row],[Dividendos]]&gt;0,Tabela5[[#This Row],[Dividendos]]/Tabela5[[#This Row],[Lucro Líquido]],0)</f>
        <v>0</v>
      </c>
      <c r="O25" s="23"/>
      <c r="P25" s="10"/>
    </row>
    <row r="26" spans="1:16" x14ac:dyDescent="0.2">
      <c r="A26" s="86" t="s">
        <v>219</v>
      </c>
      <c r="B26" s="3" t="s">
        <v>15</v>
      </c>
      <c r="C26" s="18">
        <v>40662</v>
      </c>
      <c r="D26" s="3">
        <v>2.4469379980000001</v>
      </c>
      <c r="E26" s="26">
        <v>40681</v>
      </c>
      <c r="F26" s="16">
        <v>40662</v>
      </c>
      <c r="G26" s="10">
        <f>IF(Tabela4[[#This Row],[Tipo]]="Dividendo",Tabela4[[#This Row],[Valor]],IF(Tabela4[[#This Row],[Tipo]]="Jrs. Cap. Próprio",Tabela4[[#This Row],[Valor]]*85%,0))</f>
        <v>2.4469379980000001</v>
      </c>
      <c r="I26" s="4" t="s">
        <v>45</v>
      </c>
      <c r="J26" s="4">
        <v>2004</v>
      </c>
      <c r="K26" s="10">
        <f>SUMPRODUCT(N(Tabela4[Ativo]=Tabela5[[#This Row],[Ativo]]),N(YEAR(Tabela4[Data ex-1])=Tabela5[[#This Row],[Ano]]),Tabela4[Líquido])</f>
        <v>0.70838999999999996</v>
      </c>
      <c r="N26" s="23">
        <f>IF(Tabela5[[#This Row],[Dividendos]]&gt;0,Tabela5[[#This Row],[Dividendos]]/Tabela5[[#This Row],[Lucro Líquido]],0)</f>
        <v>0</v>
      </c>
      <c r="O26" s="23"/>
      <c r="P26" s="10"/>
    </row>
    <row r="27" spans="1:16" x14ac:dyDescent="0.2">
      <c r="A27" s="86" t="s">
        <v>219</v>
      </c>
      <c r="B27" s="3" t="s">
        <v>14</v>
      </c>
      <c r="C27" s="18">
        <v>40514</v>
      </c>
      <c r="D27" s="3">
        <v>0.271806822</v>
      </c>
      <c r="E27" s="26">
        <v>40681</v>
      </c>
      <c r="F27" s="16">
        <v>40514</v>
      </c>
      <c r="G27" s="10">
        <f>IF(Tabela4[[#This Row],[Tipo]]="Dividendo",Tabela4[[#This Row],[Valor]],IF(Tabela4[[#This Row],[Tipo]]="Jrs. Cap. Próprio",Tabela4[[#This Row],[Valor]]*85%,0))</f>
        <v>0.23103579869999999</v>
      </c>
      <c r="I27" s="4" t="s">
        <v>45</v>
      </c>
      <c r="J27" s="4">
        <v>2003</v>
      </c>
      <c r="K27" s="10">
        <f>SUMPRODUCT(N(Tabela4[Ativo]=Tabela5[[#This Row],[Ativo]]),N(YEAR(Tabela4[Data ex-1])=Tabela5[[#This Row],[Ano]]),Tabela4[Líquido])</f>
        <v>0</v>
      </c>
      <c r="N27" s="23">
        <f>IF(Tabela5[[#This Row],[Dividendos]]&gt;0,Tabela5[[#This Row],[Dividendos]]/Tabela5[[#This Row],[Lucro Líquido]],0)</f>
        <v>0</v>
      </c>
      <c r="O27" s="23"/>
      <c r="P27" s="10"/>
    </row>
    <row r="28" spans="1:16" x14ac:dyDescent="0.2">
      <c r="A28" s="86" t="s">
        <v>219</v>
      </c>
      <c r="B28" s="3" t="s">
        <v>15</v>
      </c>
      <c r="C28" s="18">
        <v>40395</v>
      </c>
      <c r="D28" s="3">
        <v>0.79422642200000004</v>
      </c>
      <c r="E28" s="26">
        <v>40520</v>
      </c>
      <c r="F28" s="16">
        <v>40395</v>
      </c>
      <c r="G28" s="10">
        <f>IF(Tabela4[[#This Row],[Tipo]]="Dividendo",Tabela4[[#This Row],[Valor]],IF(Tabela4[[#This Row],[Tipo]]="Jrs. Cap. Próprio",Tabela4[[#This Row],[Valor]]*85%,0))</f>
        <v>0.79422642200000004</v>
      </c>
      <c r="I28" s="4" t="s">
        <v>45</v>
      </c>
      <c r="J28" s="4">
        <v>2002</v>
      </c>
      <c r="K28" s="10">
        <f>SUMPRODUCT(N(Tabela4[Ativo]=Tabela5[[#This Row],[Ativo]]),N(YEAR(Tabela4[Data ex-1])=Tabela5[[#This Row],[Ano]]),Tabela4[Líquido])</f>
        <v>1.4200000000000001E-2</v>
      </c>
      <c r="N28" s="23">
        <f>IF(Tabela5[[#This Row],[Dividendos]]&gt;0,Tabela5[[#This Row],[Dividendos]]/Tabela5[[#This Row],[Lucro Líquido]],0)</f>
        <v>0</v>
      </c>
      <c r="O28" s="23"/>
      <c r="P28" s="10"/>
    </row>
    <row r="29" spans="1:16" x14ac:dyDescent="0.2">
      <c r="A29" s="86" t="s">
        <v>219</v>
      </c>
      <c r="B29" s="3" t="s">
        <v>15</v>
      </c>
      <c r="C29" s="18">
        <v>40298</v>
      </c>
      <c r="D29" s="3">
        <v>2.964733566</v>
      </c>
      <c r="E29" s="26">
        <v>40520</v>
      </c>
      <c r="F29" s="16">
        <v>40298</v>
      </c>
      <c r="G29" s="10">
        <f>IF(Tabela4[[#This Row],[Tipo]]="Dividendo",Tabela4[[#This Row],[Valor]],IF(Tabela4[[#This Row],[Tipo]]="Jrs. Cap. Próprio",Tabela4[[#This Row],[Valor]]*85%,0))</f>
        <v>2.964733566</v>
      </c>
      <c r="I29" s="35" t="s">
        <v>77</v>
      </c>
      <c r="J29" s="35">
        <v>2013</v>
      </c>
      <c r="K29" s="38">
        <f>SUMPRODUCT(N(Tabela4[Ativo]=Tabela5[[#This Row],[Ativo]]),N(YEAR(Tabela4[Data ex-1])=Tabela5[[#This Row],[Ano]]),Tabela4[Líquido])</f>
        <v>0.34610000000000002</v>
      </c>
      <c r="L29" s="43"/>
      <c r="M29" s="43"/>
      <c r="N29" s="75">
        <f>IF(Tabela5[[#This Row],[Dividendos]]&gt;0,Tabela5[[#This Row],[Dividendos]]/Tabela5[[#This Row],[Lucro Líquido]],0)</f>
        <v>0</v>
      </c>
      <c r="O29" s="23"/>
      <c r="P29" s="10"/>
    </row>
    <row r="30" spans="1:16" x14ac:dyDescent="0.2">
      <c r="A30" s="86" t="s">
        <v>219</v>
      </c>
      <c r="B30" s="3" t="s">
        <v>14</v>
      </c>
      <c r="C30" s="18">
        <v>40163</v>
      </c>
      <c r="D30" s="3">
        <v>0.23417965900000001</v>
      </c>
      <c r="E30" s="26">
        <v>40318</v>
      </c>
      <c r="F30" s="16">
        <v>40163</v>
      </c>
      <c r="G30" s="10">
        <f>IF(Tabela4[[#This Row],[Tipo]]="Dividendo",Tabela4[[#This Row],[Valor]],IF(Tabela4[[#This Row],[Tipo]]="Jrs. Cap. Próprio",Tabela4[[#This Row],[Valor]]*85%,0))</f>
        <v>0.19905271015000001</v>
      </c>
      <c r="I30" s="35" t="s">
        <v>77</v>
      </c>
      <c r="J30" s="35">
        <v>2012</v>
      </c>
      <c r="K30" s="38">
        <f>SUMPRODUCT(N(Tabela4[Ativo]=Tabela5[[#This Row],[Ativo]]),N(YEAR(Tabela4[Data ex-1])=Tabela5[[#This Row],[Ano]]),Tabela4[Líquido])</f>
        <v>0.18</v>
      </c>
      <c r="L30" s="43"/>
      <c r="M30" s="43"/>
      <c r="N30" s="75">
        <f>IF(Tabela5[[#This Row],[Dividendos]]&gt;0,Tabela5[[#This Row],[Dividendos]]/Tabela5[[#This Row],[Lucro Líquido]],0)</f>
        <v>0</v>
      </c>
      <c r="O30" s="23"/>
      <c r="P30" s="10"/>
    </row>
    <row r="31" spans="1:16" x14ac:dyDescent="0.2">
      <c r="A31" s="86" t="s">
        <v>219</v>
      </c>
      <c r="B31" s="3" t="s">
        <v>15</v>
      </c>
      <c r="C31" s="18">
        <v>39930</v>
      </c>
      <c r="D31" s="3">
        <v>3.4778564009999999</v>
      </c>
      <c r="E31" s="26">
        <v>39948</v>
      </c>
      <c r="F31" s="16">
        <v>39930</v>
      </c>
      <c r="G31" s="10">
        <f>IF(Tabela4[[#This Row],[Tipo]]="Dividendo",Tabela4[[#This Row],[Valor]],IF(Tabela4[[#This Row],[Tipo]]="Jrs. Cap. Próprio",Tabela4[[#This Row],[Valor]]*85%,0))</f>
        <v>3.4778564009999999</v>
      </c>
      <c r="I31" s="35" t="s">
        <v>77</v>
      </c>
      <c r="J31" s="35">
        <v>2011</v>
      </c>
      <c r="K31" s="34">
        <f>SUMPRODUCT(N(Tabela4[Ativo]=Tabela5[[#This Row],[Ativo]]),N(YEAR(Tabela4[Data ex-1])=Tabela5[[#This Row],[Ano]]),Tabela4[Líquido])</f>
        <v>0.09</v>
      </c>
      <c r="L31" s="87"/>
      <c r="M31" s="87"/>
      <c r="N31" s="88">
        <f>IF(Tabela5[[#This Row],[Dividendos]]&gt;0,Tabela5[[#This Row],[Dividendos]]/Tabela5[[#This Row],[Lucro Líquido]],0)</f>
        <v>0</v>
      </c>
      <c r="O31" s="23"/>
      <c r="P31" s="10"/>
    </row>
    <row r="32" spans="1:16" x14ac:dyDescent="0.2">
      <c r="A32" s="86" t="s">
        <v>219</v>
      </c>
      <c r="B32" s="3" t="s">
        <v>14</v>
      </c>
      <c r="C32" s="18">
        <v>39801</v>
      </c>
      <c r="D32" s="3">
        <v>0.22739093599999999</v>
      </c>
      <c r="E32" s="26">
        <v>39948</v>
      </c>
      <c r="F32" s="16">
        <v>39801</v>
      </c>
      <c r="G32" s="10">
        <f>IF(Tabela4[[#This Row],[Tipo]]="Dividendo",Tabela4[[#This Row],[Valor]],IF(Tabela4[[#This Row],[Tipo]]="Jrs. Cap. Próprio",Tabela4[[#This Row],[Valor]]*85%,0))</f>
        <v>0.19328229559999999</v>
      </c>
      <c r="I32" s="35" t="s">
        <v>77</v>
      </c>
      <c r="J32" s="35">
        <v>2010</v>
      </c>
      <c r="K32" s="34">
        <f>SUMPRODUCT(N(Tabela4[Ativo]=Tabela5[[#This Row],[Ativo]]),N(YEAR(Tabela4[Data ex-1])=Tabela5[[#This Row],[Ano]]),Tabela4[Líquido])</f>
        <v>0.05</v>
      </c>
      <c r="L32" s="87"/>
      <c r="M32" s="87"/>
      <c r="N32" s="88">
        <f>IF(Tabela5[[#This Row],[Dividendos]]&gt;0,Tabela5[[#This Row],[Dividendos]]/Tabela5[[#This Row],[Lucro Líquido]],0)</f>
        <v>0</v>
      </c>
      <c r="O32" s="23"/>
      <c r="P32" s="10"/>
    </row>
    <row r="33" spans="1:16" x14ac:dyDescent="0.2">
      <c r="A33" s="86" t="s">
        <v>219</v>
      </c>
      <c r="B33" s="3" t="s">
        <v>15</v>
      </c>
      <c r="C33" s="18">
        <v>39673</v>
      </c>
      <c r="D33" s="3">
        <v>1.104553302</v>
      </c>
      <c r="E33" s="26">
        <v>39689</v>
      </c>
      <c r="F33" s="16">
        <v>39672</v>
      </c>
      <c r="G33" s="10">
        <f>IF(Tabela4[[#This Row],[Tipo]]="Dividendo",Tabela4[[#This Row],[Valor]],IF(Tabela4[[#This Row],[Tipo]]="Jrs. Cap. Próprio",Tabela4[[#This Row],[Valor]]*85%,0))</f>
        <v>1.104553302</v>
      </c>
      <c r="I33" s="3" t="s">
        <v>257</v>
      </c>
      <c r="J33" s="3">
        <v>2013</v>
      </c>
      <c r="K33" s="10">
        <f>SUMPRODUCT(N(Tabela4[Ativo]=Tabela5[[#This Row],[Ativo]]),N(YEAR(Tabela4[Data ex-1])=Tabela5[[#This Row],[Ano]]),Tabela4[Líquido])</f>
        <v>1</v>
      </c>
      <c r="N33" s="23">
        <f>IF(Tabela5[[#This Row],[Dividendos]]&gt;0,Tabela5[[#This Row],[Dividendos]]/Tabela5[[#This Row],[Lucro Líquido]],0)</f>
        <v>0</v>
      </c>
      <c r="O33" s="28">
        <v>5.9962999999999997</v>
      </c>
      <c r="P33" s="10"/>
    </row>
    <row r="34" spans="1:16" x14ac:dyDescent="0.2">
      <c r="A34" s="86" t="s">
        <v>219</v>
      </c>
      <c r="B34" s="3" t="s">
        <v>15</v>
      </c>
      <c r="C34" s="18">
        <v>39561</v>
      </c>
      <c r="D34" s="3">
        <v>0.62056053099999997</v>
      </c>
      <c r="E34" s="26">
        <v>39587</v>
      </c>
      <c r="F34" s="16">
        <v>39561</v>
      </c>
      <c r="G34" s="10">
        <f>IF(Tabela4[[#This Row],[Tipo]]="Dividendo",Tabela4[[#This Row],[Valor]],IF(Tabela4[[#This Row],[Tipo]]="Jrs. Cap. Próprio",Tabela4[[#This Row],[Valor]]*85%,0))</f>
        <v>0.62056053099999997</v>
      </c>
      <c r="I34" s="3" t="s">
        <v>257</v>
      </c>
      <c r="J34" s="3">
        <v>2012</v>
      </c>
      <c r="K34" s="10">
        <f>SUMPRODUCT(N(Tabela4[Ativo]=Tabela5[[#This Row],[Ativo]]),N(YEAR(Tabela4[Data ex-1])=Tabela5[[#This Row],[Ano]]),Tabela4[Líquido])</f>
        <v>1</v>
      </c>
      <c r="N34" s="23">
        <f>IF(Tabela5[[#This Row],[Dividendos]]&gt;0,Tabela5[[#This Row],[Dividendos]]/Tabela5[[#This Row],[Lucro Líquido]],0)</f>
        <v>0</v>
      </c>
      <c r="O34" s="28">
        <v>-3.03</v>
      </c>
      <c r="P34" s="10"/>
    </row>
    <row r="35" spans="1:16" x14ac:dyDescent="0.2">
      <c r="A35" s="86" t="s">
        <v>219</v>
      </c>
      <c r="B35" s="3" t="s">
        <v>14</v>
      </c>
      <c r="C35" s="18">
        <v>39436</v>
      </c>
      <c r="D35" s="3">
        <v>0.22274106299999999</v>
      </c>
      <c r="E35" s="26">
        <v>39587</v>
      </c>
      <c r="F35" s="16">
        <v>39436</v>
      </c>
      <c r="G35" s="10">
        <f>IF(Tabela4[[#This Row],[Tipo]]="Dividendo",Tabela4[[#This Row],[Valor]],IF(Tabela4[[#This Row],[Tipo]]="Jrs. Cap. Próprio",Tabela4[[#This Row],[Valor]]*85%,0))</f>
        <v>0.18932990354999998</v>
      </c>
      <c r="I35" s="3" t="s">
        <v>257</v>
      </c>
      <c r="J35" s="3">
        <v>2011</v>
      </c>
      <c r="K35" s="10">
        <f>SUMPRODUCT(N(Tabela4[Ativo]=Tabela5[[#This Row],[Ativo]]),N(YEAR(Tabela4[Data ex-1])=Tabela5[[#This Row],[Ano]]),Tabela4[Líquido])</f>
        <v>0</v>
      </c>
      <c r="N35" s="23">
        <f>IF(Tabela5[[#This Row],[Dividendos]]&gt;0,Tabela5[[#This Row],[Dividendos]]/Tabela5[[#This Row],[Lucro Líquido]],0)</f>
        <v>0</v>
      </c>
      <c r="O35" s="28"/>
      <c r="P35" s="10"/>
    </row>
    <row r="36" spans="1:16" x14ac:dyDescent="0.2">
      <c r="A36" s="4" t="s">
        <v>212</v>
      </c>
      <c r="B36" s="4" t="s">
        <v>15</v>
      </c>
      <c r="C36" s="19">
        <v>41509</v>
      </c>
      <c r="D36" s="3">
        <v>0.14269999999999999</v>
      </c>
      <c r="E36" s="68">
        <v>41528</v>
      </c>
      <c r="F36" s="68">
        <v>41508</v>
      </c>
      <c r="G36" s="14">
        <f>IF(Tabela4[[#This Row],[Tipo]]="Dividendo",Tabela4[[#This Row],[Valor]],IF(Tabela4[[#This Row],[Tipo]]="Jrs. Cap. Próprio",Tabela4[[#This Row],[Valor]]*85%,0))</f>
        <v>0.14269999999999999</v>
      </c>
      <c r="I36" s="3" t="s">
        <v>257</v>
      </c>
      <c r="J36" s="3">
        <v>2010</v>
      </c>
      <c r="K36" s="10">
        <f>SUMPRODUCT(N(Tabela4[Ativo]=Tabela5[[#This Row],[Ativo]]),N(YEAR(Tabela4[Data ex-1])=Tabela5[[#This Row],[Ano]]),Tabela4[Líquido])</f>
        <v>4.2233000000000001</v>
      </c>
      <c r="N36" s="23">
        <f>IF(Tabela5[[#This Row],[Dividendos]]&gt;0,Tabela5[[#This Row],[Dividendos]]/Tabela5[[#This Row],[Lucro Líquido]],0)</f>
        <v>0</v>
      </c>
      <c r="O36" s="28"/>
      <c r="P36" s="10"/>
    </row>
    <row r="37" spans="1:16" x14ac:dyDescent="0.2">
      <c r="A37" s="4" t="s">
        <v>212</v>
      </c>
      <c r="B37" s="3" t="s">
        <v>15</v>
      </c>
      <c r="C37" s="18">
        <v>41393</v>
      </c>
      <c r="D37" s="3">
        <v>0.26640000000000003</v>
      </c>
      <c r="E37" s="26">
        <v>41409</v>
      </c>
      <c r="F37" s="16">
        <v>41393</v>
      </c>
      <c r="G37" s="10">
        <f>IF(Tabela4[[#This Row],[Tipo]]="Dividendo",Tabela4[[#This Row],[Valor]],IF(Tabela4[[#This Row],[Tipo]]="Jrs. Cap. Próprio",Tabela4[[#This Row],[Valor]]*85%,0))</f>
        <v>0.26640000000000003</v>
      </c>
      <c r="I37" s="3" t="s">
        <v>257</v>
      </c>
      <c r="J37" s="3">
        <v>2009</v>
      </c>
      <c r="K37" s="10">
        <f>SUMPRODUCT(N(Tabela4[Ativo]=Tabela5[[#This Row],[Ativo]]),N(YEAR(Tabela4[Data ex-1])=Tabela5[[#This Row],[Ano]]),Tabela4[Líquido])</f>
        <v>0</v>
      </c>
      <c r="N37" s="23">
        <f>IF(Tabela5[[#This Row],[Dividendos]]&gt;0,Tabela5[[#This Row],[Dividendos]]/Tabela5[[#This Row],[Lucro Líquido]],0)</f>
        <v>0</v>
      </c>
      <c r="O37" s="28"/>
      <c r="P37" s="10"/>
    </row>
    <row r="38" spans="1:16" x14ac:dyDescent="0.2">
      <c r="A38" s="4" t="s">
        <v>212</v>
      </c>
      <c r="B38" s="3" t="s">
        <v>15</v>
      </c>
      <c r="C38" s="18">
        <v>41019</v>
      </c>
      <c r="D38" s="3">
        <v>0.31869999999999998</v>
      </c>
      <c r="E38" s="26">
        <v>41038</v>
      </c>
      <c r="F38" s="16">
        <v>41019</v>
      </c>
      <c r="G38" s="10">
        <f>IF(Tabela4[[#This Row],[Tipo]]="Dividendo",Tabela4[[#This Row],[Valor]],IF(Tabela4[[#This Row],[Tipo]]="Jrs. Cap. Próprio",Tabela4[[#This Row],[Valor]]*85%,0))</f>
        <v>0.31869999999999998</v>
      </c>
      <c r="I38" s="3" t="s">
        <v>257</v>
      </c>
      <c r="J38" s="3">
        <v>2008</v>
      </c>
      <c r="K38" s="10">
        <f>SUMPRODUCT(N(Tabela4[Ativo]=Tabela5[[#This Row],[Ativo]]),N(YEAR(Tabela4[Data ex-1])=Tabela5[[#This Row],[Ano]]),Tabela4[Líquido])</f>
        <v>2.4749999999999996</v>
      </c>
      <c r="N38" s="23">
        <f>IF(Tabela5[[#This Row],[Dividendos]]&gt;0,Tabela5[[#This Row],[Dividendos]]/Tabela5[[#This Row],[Lucro Líquido]],0)</f>
        <v>0</v>
      </c>
      <c r="O38" s="28"/>
      <c r="P38" s="10"/>
    </row>
    <row r="39" spans="1:16" x14ac:dyDescent="0.2">
      <c r="A39" s="4" t="s">
        <v>212</v>
      </c>
      <c r="B39" s="3" t="s">
        <v>15</v>
      </c>
      <c r="C39" s="18">
        <v>40662</v>
      </c>
      <c r="D39" s="3">
        <v>0.24959999999999999</v>
      </c>
      <c r="E39" s="26">
        <v>40681</v>
      </c>
      <c r="F39" s="16">
        <v>40662</v>
      </c>
      <c r="G39" s="10">
        <f>IF(Tabela4[[#This Row],[Tipo]]="Dividendo",Tabela4[[#This Row],[Valor]],IF(Tabela4[[#This Row],[Tipo]]="Jrs. Cap. Próprio",Tabela4[[#This Row],[Valor]]*85%,0))</f>
        <v>0.24959999999999999</v>
      </c>
      <c r="I39" s="3" t="s">
        <v>257</v>
      </c>
      <c r="J39" s="3">
        <v>2007</v>
      </c>
      <c r="K39" s="10">
        <f>SUMPRODUCT(N(Tabela4[Ativo]=Tabela5[[#This Row],[Ativo]]),N(YEAR(Tabela4[Data ex-1])=Tabela5[[#This Row],[Ano]]),Tabela4[Líquido])</f>
        <v>2.85</v>
      </c>
      <c r="N39" s="23">
        <f>IF(Tabela5[[#This Row],[Dividendos]]&gt;0,Tabela5[[#This Row],[Dividendos]]/Tabela5[[#This Row],[Lucro Líquido]],0)</f>
        <v>0</v>
      </c>
      <c r="O39" s="28"/>
      <c r="P39" s="10"/>
    </row>
    <row r="40" spans="1:16" x14ac:dyDescent="0.2">
      <c r="A40" s="4" t="s">
        <v>45</v>
      </c>
      <c r="B40" s="4" t="s">
        <v>15</v>
      </c>
      <c r="C40" s="19">
        <v>41381</v>
      </c>
      <c r="D40" s="55">
        <v>8.2500000000000004E-2</v>
      </c>
      <c r="E40" s="68">
        <v>41439</v>
      </c>
      <c r="F40" s="68">
        <v>41381</v>
      </c>
      <c r="G40" s="14">
        <f>IF(Tabela4[[#This Row],[Tipo]]="Dividendo",Tabela4[[#This Row],[Valor]],IF(Tabela4[[#This Row],[Tipo]]="Jrs. Cap. Próprio",Tabela4[[#This Row],[Valor]]*85%,0))</f>
        <v>8.2500000000000004E-2</v>
      </c>
      <c r="I40" s="3" t="s">
        <v>257</v>
      </c>
      <c r="J40" s="3">
        <v>2006</v>
      </c>
      <c r="K40" s="10">
        <f>SUMPRODUCT(N(Tabela4[Ativo]=Tabela5[[#This Row],[Ativo]]),N(YEAR(Tabela4[Data ex-1])=Tabela5[[#This Row],[Ano]]),Tabela4[Líquido])</f>
        <v>2.09</v>
      </c>
      <c r="N40" s="23">
        <f>IF(Tabela5[[#This Row],[Dividendos]]&gt;0,Tabela5[[#This Row],[Dividendos]]/Tabela5[[#This Row],[Lucro Líquido]],0)</f>
        <v>0</v>
      </c>
      <c r="O40" s="28"/>
      <c r="P40" s="10"/>
    </row>
    <row r="41" spans="1:16" x14ac:dyDescent="0.2">
      <c r="A41" s="3" t="s">
        <v>45</v>
      </c>
      <c r="B41" s="3" t="s">
        <v>15</v>
      </c>
      <c r="C41" s="18">
        <v>41026</v>
      </c>
      <c r="D41" s="63">
        <v>8.5500000000000007E-2</v>
      </c>
      <c r="E41" s="26">
        <v>41086</v>
      </c>
      <c r="F41" s="16">
        <v>41026</v>
      </c>
      <c r="G41" s="10">
        <f>IF(Tabela4[[#This Row],[Tipo]]="Dividendo",Tabela4[[#This Row],[Valor]],IF(Tabela4[[#This Row],[Tipo]]="Jrs. Cap. Próprio",Tabela4[[#This Row],[Valor]]*85%,0))</f>
        <v>8.5500000000000007E-2</v>
      </c>
      <c r="I41" s="4" t="s">
        <v>203</v>
      </c>
      <c r="J41" s="4">
        <v>2013</v>
      </c>
      <c r="K41" s="14">
        <f>SUMPRODUCT(N(Tabela4[Ativo]=Tabela5[[#This Row],[Ativo]]),N(YEAR(Tabela4[Data ex-1])=Tabela5[[#This Row],[Ano]]),Tabela4[Líquido])</f>
        <v>1.9380000000000001E-2</v>
      </c>
      <c r="L41" s="6"/>
      <c r="M41" s="6"/>
      <c r="N41" s="24">
        <f>IF(Tabela5[[#This Row],[Dividendos]]&gt;0,Tabela5[[#This Row],[Dividendos]]/Tabela5[[#This Row],[Lucro Líquido]],0)</f>
        <v>0</v>
      </c>
      <c r="O41" s="23">
        <v>0.4632</v>
      </c>
      <c r="P41" s="10"/>
    </row>
    <row r="42" spans="1:16" x14ac:dyDescent="0.2">
      <c r="A42" s="4" t="s">
        <v>45</v>
      </c>
      <c r="B42" s="3" t="s">
        <v>15</v>
      </c>
      <c r="C42" s="18">
        <v>40668</v>
      </c>
      <c r="D42" s="63">
        <v>8.2900000000000001E-2</v>
      </c>
      <c r="E42" s="26">
        <v>40723</v>
      </c>
      <c r="F42" s="16">
        <v>40668</v>
      </c>
      <c r="G42" s="10">
        <f>IF(Tabela4[[#This Row],[Tipo]]="Dividendo",Tabela4[[#This Row],[Valor]],IF(Tabela4[[#This Row],[Tipo]]="Jrs. Cap. Próprio",Tabela4[[#This Row],[Valor]]*85%,0))</f>
        <v>8.2900000000000001E-2</v>
      </c>
      <c r="I42" s="4" t="s">
        <v>203</v>
      </c>
      <c r="J42" s="4">
        <v>2012</v>
      </c>
      <c r="K42" s="14">
        <f>SUMPRODUCT(N(Tabela4[Ativo]=Tabela5[[#This Row],[Ativo]]),N(YEAR(Tabela4[Data ex-1])=Tabela5[[#This Row],[Ano]]),Tabela4[Líquido])</f>
        <v>2.6435E-2</v>
      </c>
      <c r="L42" s="6"/>
      <c r="M42" s="6"/>
      <c r="N42" s="24">
        <f>IF(Tabela5[[#This Row],[Dividendos]]&gt;0,Tabela5[[#This Row],[Dividendos]]/Tabela5[[#This Row],[Lucro Líquido]],0)</f>
        <v>0</v>
      </c>
      <c r="O42" s="23">
        <v>0.4</v>
      </c>
      <c r="P42" s="10"/>
    </row>
    <row r="43" spans="1:16" x14ac:dyDescent="0.2">
      <c r="A43" s="3" t="s">
        <v>45</v>
      </c>
      <c r="B43" s="3" t="s">
        <v>15</v>
      </c>
      <c r="C43" s="18">
        <v>40298</v>
      </c>
      <c r="D43" s="63">
        <v>2.0999999999999999E-3</v>
      </c>
      <c r="E43" s="26">
        <v>40358</v>
      </c>
      <c r="F43" s="16">
        <v>40298</v>
      </c>
      <c r="G43" s="10">
        <f>IF(Tabela4[[#This Row],[Tipo]]="Dividendo",Tabela4[[#This Row],[Valor]],IF(Tabela4[[#This Row],[Tipo]]="Jrs. Cap. Próprio",Tabela4[[#This Row],[Valor]]*85%,0))</f>
        <v>2.0999999999999999E-3</v>
      </c>
      <c r="I43" s="4" t="s">
        <v>203</v>
      </c>
      <c r="J43" s="4">
        <v>2011</v>
      </c>
      <c r="K43" s="10">
        <f>SUMPRODUCT(N(Tabela4[Ativo]=Tabela5[[#This Row],[Ativo]]),N(YEAR(Tabela4[Data ex-1])=Tabela5[[#This Row],[Ano]]),Tabela4[Líquido])</f>
        <v>1.9465E-2</v>
      </c>
      <c r="N43" s="23">
        <f>IF(Tabela5[[#This Row],[Dividendos]]&gt;0,Tabela5[[#This Row],[Dividendos]]/Tabela5[[#This Row],[Lucro Líquido]],0)</f>
        <v>0</v>
      </c>
      <c r="O43" s="23"/>
      <c r="P43" s="10"/>
    </row>
    <row r="44" spans="1:16" x14ac:dyDescent="0.2">
      <c r="A44" s="4" t="s">
        <v>45</v>
      </c>
      <c r="B44" s="3" t="s">
        <v>15</v>
      </c>
      <c r="C44" s="18">
        <v>39932</v>
      </c>
      <c r="D44" s="63">
        <v>1.4500000000000001E-2</v>
      </c>
      <c r="E44" s="26">
        <v>39990</v>
      </c>
      <c r="F44" s="16">
        <v>39932</v>
      </c>
      <c r="G44" s="10">
        <f>IF(Tabela4[[#This Row],[Tipo]]="Dividendo",Tabela4[[#This Row],[Valor]],IF(Tabela4[[#This Row],[Tipo]]="Jrs. Cap. Próprio",Tabela4[[#This Row],[Valor]]*85%,0))</f>
        <v>1.4500000000000001E-2</v>
      </c>
      <c r="I44" s="4" t="s">
        <v>203</v>
      </c>
      <c r="J44" s="4">
        <v>2010</v>
      </c>
      <c r="K44" s="10">
        <f>SUMPRODUCT(N(Tabela4[Ativo]=Tabela5[[#This Row],[Ativo]]),N(YEAR(Tabela4[Data ex-1])=Tabela5[[#This Row],[Ano]]),Tabela4[Líquido])</f>
        <v>2.0995E-2</v>
      </c>
      <c r="N44" s="23">
        <f>IF(Tabela5[[#This Row],[Dividendos]]&gt;0,Tabela5[[#This Row],[Dividendos]]/Tabela5[[#This Row],[Lucro Líquido]],0)</f>
        <v>0</v>
      </c>
      <c r="O44" s="23"/>
      <c r="P44" s="10"/>
    </row>
    <row r="45" spans="1:16" x14ac:dyDescent="0.2">
      <c r="A45" s="3" t="s">
        <v>45</v>
      </c>
      <c r="B45" s="3" t="s">
        <v>15</v>
      </c>
      <c r="C45" s="18">
        <v>39566</v>
      </c>
      <c r="D45" s="63">
        <v>1.7899999999999999E-2</v>
      </c>
      <c r="E45" s="26">
        <v>39626</v>
      </c>
      <c r="F45" s="16">
        <v>39566</v>
      </c>
      <c r="G45" s="10">
        <f>IF(Tabela4[[#This Row],[Tipo]]="Dividendo",Tabela4[[#This Row],[Valor]],IF(Tabela4[[#This Row],[Tipo]]="Jrs. Cap. Próprio",Tabela4[[#This Row],[Valor]]*85%,0))</f>
        <v>1.7899999999999999E-2</v>
      </c>
      <c r="I45" s="4" t="s">
        <v>203</v>
      </c>
      <c r="J45" s="4">
        <v>2009</v>
      </c>
      <c r="K45" s="10">
        <f>SUMPRODUCT(N(Tabela4[Ativo]=Tabela5[[#This Row],[Ativo]]),N(YEAR(Tabela4[Data ex-1])=Tabela5[[#This Row],[Ano]]),Tabela4[Líquido])</f>
        <v>3.5099999999999999E-2</v>
      </c>
      <c r="N45" s="23">
        <f>IF(Tabela5[[#This Row],[Dividendos]]&gt;0,Tabela5[[#This Row],[Dividendos]]/Tabela5[[#This Row],[Lucro Líquido]],0)</f>
        <v>0</v>
      </c>
      <c r="O45" s="23"/>
      <c r="P45" s="10"/>
    </row>
    <row r="46" spans="1:16" x14ac:dyDescent="0.2">
      <c r="A46" s="4" t="s">
        <v>45</v>
      </c>
      <c r="B46" s="3" t="s">
        <v>15</v>
      </c>
      <c r="C46" s="18">
        <v>39174</v>
      </c>
      <c r="D46" s="63">
        <v>1E-3</v>
      </c>
      <c r="E46" s="26">
        <v>39204</v>
      </c>
      <c r="F46" s="16">
        <v>39174</v>
      </c>
      <c r="G46" s="10">
        <f>IF(Tabela4[[#This Row],[Tipo]]="Dividendo",Tabela4[[#This Row],[Valor]],IF(Tabela4[[#This Row],[Tipo]]="Jrs. Cap. Próprio",Tabela4[[#This Row],[Valor]]*85%,0))</f>
        <v>1E-3</v>
      </c>
      <c r="I46" s="4" t="s">
        <v>203</v>
      </c>
      <c r="J46" s="4">
        <v>2008</v>
      </c>
      <c r="K46" s="10">
        <f>SUMPRODUCT(N(Tabela4[Ativo]=Tabela5[[#This Row],[Ativo]]),N(YEAR(Tabela4[Data ex-1])=Tabela5[[#This Row],[Ano]]),Tabela4[Líquido])</f>
        <v>2.2950000000000002E-2</v>
      </c>
      <c r="N46" s="23">
        <f>IF(Tabela5[[#This Row],[Dividendos]]&gt;0,Tabela5[[#This Row],[Dividendos]]/Tabela5[[#This Row],[Lucro Líquido]],0)</f>
        <v>0</v>
      </c>
      <c r="O46" s="23"/>
      <c r="P46" s="10"/>
    </row>
    <row r="47" spans="1:16" x14ac:dyDescent="0.2">
      <c r="A47" s="3" t="s">
        <v>45</v>
      </c>
      <c r="B47" s="3" t="s">
        <v>14</v>
      </c>
      <c r="C47" s="18">
        <v>39084</v>
      </c>
      <c r="D47" s="63">
        <v>5.1999999999999998E-3</v>
      </c>
      <c r="E47" s="26">
        <v>39113</v>
      </c>
      <c r="F47" s="16">
        <v>39080</v>
      </c>
      <c r="G47" s="10">
        <f>IF(Tabela4[[#This Row],[Tipo]]="Dividendo",Tabela4[[#This Row],[Valor]],IF(Tabela4[[#This Row],[Tipo]]="Jrs. Cap. Próprio",Tabela4[[#This Row],[Valor]]*85%,0))</f>
        <v>4.4199999999999995E-3</v>
      </c>
      <c r="I47" s="35" t="s">
        <v>83</v>
      </c>
      <c r="J47" s="35">
        <v>2013</v>
      </c>
      <c r="K47" s="38">
        <f>SUMPRODUCT(N(Tabela4[Ativo]=Tabela5[[#This Row],[Ativo]]),N(YEAR(Tabela4[Data ex-1])=Tabela5[[#This Row],[Ano]]),Tabela4[Líquido])</f>
        <v>2.2012</v>
      </c>
      <c r="L47" s="43"/>
      <c r="M47" s="43"/>
      <c r="N47" s="75">
        <f>IF(Tabela5[[#This Row],[Dividendos]]&gt;0,Tabela5[[#This Row],[Dividendos]]/Tabela5[[#This Row],[Lucro Líquido]],0)</f>
        <v>0</v>
      </c>
      <c r="O47" s="23">
        <v>0.34689999999999999</v>
      </c>
      <c r="P47" s="10"/>
    </row>
    <row r="48" spans="1:16" x14ac:dyDescent="0.2">
      <c r="A48" s="4" t="s">
        <v>45</v>
      </c>
      <c r="B48" s="3" t="s">
        <v>15</v>
      </c>
      <c r="C48" s="18">
        <v>38803</v>
      </c>
      <c r="D48" s="63">
        <v>9.11E-2</v>
      </c>
      <c r="E48" s="26">
        <v>38839</v>
      </c>
      <c r="F48" s="16">
        <v>38803</v>
      </c>
      <c r="G48" s="10">
        <f>IF(Tabela4[[#This Row],[Tipo]]="Dividendo",Tabela4[[#This Row],[Valor]],IF(Tabela4[[#This Row],[Tipo]]="Jrs. Cap. Próprio",Tabela4[[#This Row],[Valor]]*85%,0))</f>
        <v>9.11E-2</v>
      </c>
      <c r="I48" s="35" t="s">
        <v>83</v>
      </c>
      <c r="J48" s="35">
        <v>2012</v>
      </c>
      <c r="K48" s="38">
        <f>SUMPRODUCT(N(Tabela4[Ativo]=Tabela5[[#This Row],[Ativo]]),N(YEAR(Tabela4[Data ex-1])=Tabela5[[#This Row],[Ano]]),Tabela4[Líquido])</f>
        <v>1.4477349999999998</v>
      </c>
      <c r="L48" s="43"/>
      <c r="M48" s="43"/>
      <c r="N48" s="75">
        <f>IF(Tabela5[[#This Row],[Dividendos]]&gt;0,Tabela5[[#This Row],[Dividendos]]/Tabela5[[#This Row],[Lucro Líquido]],0)</f>
        <v>0</v>
      </c>
      <c r="O48" s="23">
        <v>0.36</v>
      </c>
      <c r="P48" s="10"/>
    </row>
    <row r="49" spans="1:16" x14ac:dyDescent="0.2">
      <c r="A49" s="3" t="s">
        <v>45</v>
      </c>
      <c r="B49" s="3" t="s">
        <v>14</v>
      </c>
      <c r="C49" s="18">
        <v>38715</v>
      </c>
      <c r="D49" s="63">
        <v>8.9800000000000005E-2</v>
      </c>
      <c r="E49" s="26">
        <v>38748</v>
      </c>
      <c r="F49" s="16">
        <v>38713</v>
      </c>
      <c r="G49" s="10">
        <f>IF(Tabela4[[#This Row],[Tipo]]="Dividendo",Tabela4[[#This Row],[Valor]],IF(Tabela4[[#This Row],[Tipo]]="Jrs. Cap. Próprio",Tabela4[[#This Row],[Valor]]*85%,0))</f>
        <v>7.6330000000000009E-2</v>
      </c>
      <c r="I49" s="35" t="s">
        <v>83</v>
      </c>
      <c r="J49" s="35">
        <v>2011</v>
      </c>
      <c r="K49" s="34">
        <f>SUMPRODUCT(N(Tabela4[Ativo]=Tabela5[[#This Row],[Ativo]]),N(YEAR(Tabela4[Data ex-1])=Tabela5[[#This Row],[Ano]]),Tabela4[Líquido])</f>
        <v>1.7261700000000002</v>
      </c>
      <c r="L49" s="87"/>
      <c r="M49" s="87"/>
      <c r="N49" s="88">
        <f>IF(Tabela5[[#This Row],[Dividendos]]&gt;0,Tabela5[[#This Row],[Dividendos]]/Tabela5[[#This Row],[Lucro Líquido]],0)</f>
        <v>0</v>
      </c>
      <c r="O49" s="23">
        <v>0.43</v>
      </c>
      <c r="P49" s="10"/>
    </row>
    <row r="50" spans="1:16" x14ac:dyDescent="0.2">
      <c r="A50" s="4" t="s">
        <v>45</v>
      </c>
      <c r="B50" s="3" t="s">
        <v>15</v>
      </c>
      <c r="C50" s="18">
        <v>38443</v>
      </c>
      <c r="D50" s="63">
        <v>3.5000000000000001E-3</v>
      </c>
      <c r="E50" s="26">
        <v>38474</v>
      </c>
      <c r="F50" s="16">
        <v>38443</v>
      </c>
      <c r="G50" s="10">
        <f>IF(Tabela4[[#This Row],[Tipo]]="Dividendo",Tabela4[[#This Row],[Valor]],IF(Tabela4[[#This Row],[Tipo]]="Jrs. Cap. Próprio",Tabela4[[#This Row],[Valor]]*85%,0))</f>
        <v>3.5000000000000001E-3</v>
      </c>
      <c r="I50" s="35" t="s">
        <v>83</v>
      </c>
      <c r="J50" s="35">
        <v>2010</v>
      </c>
      <c r="K50" s="34">
        <f>SUMPRODUCT(N(Tabela4[Ativo]=Tabela5[[#This Row],[Ativo]]),N(YEAR(Tabela4[Data ex-1])=Tabela5[[#This Row],[Ano]]),Tabela4[Líquido])</f>
        <v>1.7205749999999997</v>
      </c>
      <c r="L50" s="87"/>
      <c r="M50" s="87"/>
      <c r="N50" s="88">
        <f>IF(Tabela5[[#This Row],[Dividendos]]&gt;0,Tabela5[[#This Row],[Dividendos]]/Tabela5[[#This Row],[Lucro Líquido]],0)</f>
        <v>0</v>
      </c>
      <c r="O50" s="23">
        <v>0.45</v>
      </c>
      <c r="P50" s="10"/>
    </row>
    <row r="51" spans="1:16" x14ac:dyDescent="0.2">
      <c r="A51" s="3" t="s">
        <v>45</v>
      </c>
      <c r="B51" s="3" t="s">
        <v>14</v>
      </c>
      <c r="C51" s="18">
        <v>38351</v>
      </c>
      <c r="D51" s="63">
        <v>0.83340000000000003</v>
      </c>
      <c r="E51" s="26">
        <v>38383</v>
      </c>
      <c r="F51" s="16">
        <v>38351</v>
      </c>
      <c r="G51" s="10">
        <f>IF(Tabela4[[#This Row],[Tipo]]="Dividendo",Tabela4[[#This Row],[Valor]],IF(Tabela4[[#This Row],[Tipo]]="Jrs. Cap. Próprio",Tabela4[[#This Row],[Valor]]*85%,0))</f>
        <v>0.70838999999999996</v>
      </c>
      <c r="I51" s="35" t="s">
        <v>83</v>
      </c>
      <c r="J51" s="35">
        <v>2009</v>
      </c>
      <c r="K51" s="34">
        <f>SUMPRODUCT(N(Tabela4[Ativo]=Tabela5[[#This Row],[Ativo]]),N(YEAR(Tabela4[Data ex-1])=Tabela5[[#This Row],[Ano]]),Tabela4[Líquido])</f>
        <v>1.3177449999999999</v>
      </c>
      <c r="L51" s="87"/>
      <c r="M51" s="87"/>
      <c r="N51" s="88">
        <f>IF(Tabela5[[#This Row],[Dividendos]]&gt;0,Tabela5[[#This Row],[Dividendos]]/Tabela5[[#This Row],[Lucro Líquido]],0)</f>
        <v>0</v>
      </c>
      <c r="O51" s="23">
        <v>0.34</v>
      </c>
      <c r="P51" s="10"/>
    </row>
    <row r="52" spans="1:16" x14ac:dyDescent="0.2">
      <c r="A52" s="4" t="s">
        <v>45</v>
      </c>
      <c r="B52" s="3" t="s">
        <v>15</v>
      </c>
      <c r="C52" s="18">
        <v>37382</v>
      </c>
      <c r="D52" s="63">
        <v>1.4200000000000001E-2</v>
      </c>
      <c r="E52" s="26">
        <v>37376</v>
      </c>
      <c r="F52" s="16"/>
      <c r="G52" s="10">
        <f>IF(Tabela4[[#This Row],[Tipo]]="Dividendo",Tabela4[[#This Row],[Valor]],IF(Tabela4[[#This Row],[Tipo]]="Jrs. Cap. Próprio",Tabela4[[#This Row],[Valor]]*85%,0))</f>
        <v>1.4200000000000001E-2</v>
      </c>
      <c r="I52" s="35" t="s">
        <v>83</v>
      </c>
      <c r="J52" s="35">
        <v>2008</v>
      </c>
      <c r="K52" s="34">
        <f>SUMPRODUCT(N(Tabela4[Ativo]=Tabela5[[#This Row],[Ativo]]),N(YEAR(Tabela4[Data ex-1])=Tabela5[[#This Row],[Ano]]),Tabela4[Líquido])</f>
        <v>1.0465600000000002</v>
      </c>
      <c r="L52" s="87"/>
      <c r="M52" s="87"/>
      <c r="N52" s="88">
        <f>IF(Tabela5[[#This Row],[Dividendos]]&gt;0,Tabela5[[#This Row],[Dividendos]]/Tabela5[[#This Row],[Lucro Líquido]],0)</f>
        <v>0</v>
      </c>
      <c r="O52" s="23">
        <v>0.31</v>
      </c>
      <c r="P52" s="10"/>
    </row>
    <row r="53" spans="1:16" x14ac:dyDescent="0.2">
      <c r="A53" s="35" t="s">
        <v>77</v>
      </c>
      <c r="B53" s="35" t="s">
        <v>15</v>
      </c>
      <c r="C53" s="36">
        <v>41390</v>
      </c>
      <c r="D53" s="38">
        <v>0.34610000000000002</v>
      </c>
      <c r="E53" s="37">
        <v>41409</v>
      </c>
      <c r="F53" s="37">
        <v>41390</v>
      </c>
      <c r="G53" s="38">
        <f>IF(Tabela4[[#This Row],[Tipo]]="Dividendo",Tabela4[[#This Row],[Valor]],IF(Tabela4[[#This Row],[Tipo]]="Jrs. Cap. Próprio",Tabela4[[#This Row],[Valor]]*85%,0))</f>
        <v>0.34610000000000002</v>
      </c>
      <c r="I53" s="35" t="s">
        <v>83</v>
      </c>
      <c r="J53" s="35">
        <v>2007</v>
      </c>
      <c r="K53" s="34">
        <f>SUMPRODUCT(N(Tabela4[Ativo]=Tabela5[[#This Row],[Ativo]]),N(YEAR(Tabela4[Data ex-1])=Tabela5[[#This Row],[Ano]]),Tabela4[Líquido])</f>
        <v>1.3199200000000002</v>
      </c>
      <c r="L53" s="87"/>
      <c r="M53" s="87"/>
      <c r="N53" s="88">
        <f>IF(Tabela5[[#This Row],[Dividendos]]&gt;0,Tabela5[[#This Row],[Dividendos]]/Tabela5[[#This Row],[Lucro Líquido]],0)</f>
        <v>0</v>
      </c>
      <c r="O53" s="23">
        <v>0.38</v>
      </c>
      <c r="P53" s="10"/>
    </row>
    <row r="54" spans="1:16" x14ac:dyDescent="0.2">
      <c r="A54" s="35" t="s">
        <v>77</v>
      </c>
      <c r="B54" s="31" t="s">
        <v>15</v>
      </c>
      <c r="C54" s="32">
        <v>41026</v>
      </c>
      <c r="D54" s="34">
        <v>0.18</v>
      </c>
      <c r="E54" s="33">
        <v>41043</v>
      </c>
      <c r="F54" s="33">
        <v>41026</v>
      </c>
      <c r="G54" s="34">
        <f>IF(Tabela4[[#This Row],[Tipo]]="Dividendo",Tabela4[[#This Row],[Valor]],IF(Tabela4[[#This Row],[Tipo]]="Jrs. Cap. Próprio",Tabela4[[#This Row],[Valor]]*85%,0))</f>
        <v>0.18</v>
      </c>
      <c r="I54" s="35" t="s">
        <v>83</v>
      </c>
      <c r="J54" s="35">
        <v>2006</v>
      </c>
      <c r="K54" s="34">
        <f>SUMPRODUCT(N(Tabela4[Ativo]=Tabela5[[#This Row],[Ativo]]),N(YEAR(Tabela4[Data ex-1])=Tabela5[[#This Row],[Ano]]),Tabela4[Líquido])</f>
        <v>4.4245899999999994</v>
      </c>
      <c r="L54" s="87"/>
      <c r="M54" s="87"/>
      <c r="N54" s="88">
        <f>IF(Tabela5[[#This Row],[Dividendos]]&gt;0,Tabela5[[#This Row],[Dividendos]]/Tabela5[[#This Row],[Lucro Líquido]],0)</f>
        <v>0</v>
      </c>
      <c r="O54" s="23">
        <v>0.63</v>
      </c>
      <c r="P54" s="10"/>
    </row>
    <row r="55" spans="1:16" x14ac:dyDescent="0.2">
      <c r="A55" s="35" t="s">
        <v>77</v>
      </c>
      <c r="B55" s="31" t="s">
        <v>15</v>
      </c>
      <c r="C55" s="32">
        <v>40661</v>
      </c>
      <c r="D55" s="34">
        <v>0.09</v>
      </c>
      <c r="E55" s="33">
        <v>40672</v>
      </c>
      <c r="F55" s="33">
        <v>40661</v>
      </c>
      <c r="G55" s="34">
        <f>IF(Tabela4[[#This Row],[Tipo]]="Dividendo",Tabela4[[#This Row],[Valor]],IF(Tabela4[[#This Row],[Tipo]]="Jrs. Cap. Próprio",Tabela4[[#This Row],[Valor]]*85%,0))</f>
        <v>0.09</v>
      </c>
      <c r="I55" s="35" t="s">
        <v>83</v>
      </c>
      <c r="J55" s="35">
        <v>2005</v>
      </c>
      <c r="K55" s="34">
        <f>SUMPRODUCT(N(Tabela4[Ativo]=Tabela5[[#This Row],[Ativo]]),N(YEAR(Tabela4[Data ex-1])=Tabela5[[#This Row],[Ano]]),Tabela4[Líquido])</f>
        <v>0.92828500000000003</v>
      </c>
      <c r="L55" s="87"/>
      <c r="M55" s="87"/>
      <c r="N55" s="88">
        <f>IF(Tabela5[[#This Row],[Dividendos]]&gt;0,Tabela5[[#This Row],[Dividendos]]/Tabela5[[#This Row],[Lucro Líquido]],0)</f>
        <v>0</v>
      </c>
      <c r="O55" s="23">
        <v>0.2</v>
      </c>
      <c r="P55" s="10"/>
    </row>
    <row r="56" spans="1:16" x14ac:dyDescent="0.2">
      <c r="A56" s="35" t="s">
        <v>77</v>
      </c>
      <c r="B56" s="31" t="s">
        <v>15</v>
      </c>
      <c r="C56" s="32">
        <v>40298</v>
      </c>
      <c r="D56" s="34">
        <v>0.05</v>
      </c>
      <c r="E56" s="33">
        <v>40310</v>
      </c>
      <c r="F56" s="33">
        <v>40298</v>
      </c>
      <c r="G56" s="34">
        <f>IF(Tabela4[[#This Row],[Tipo]]="Dividendo",Tabela4[[#This Row],[Valor]],IF(Tabela4[[#This Row],[Tipo]]="Jrs. Cap. Próprio",Tabela4[[#This Row],[Valor]]*85%,0))</f>
        <v>0.05</v>
      </c>
      <c r="I56" s="35" t="s">
        <v>83</v>
      </c>
      <c r="J56" s="35">
        <v>2004</v>
      </c>
      <c r="K56" s="34">
        <f>SUMPRODUCT(N(Tabela4[Ativo]=Tabela5[[#This Row],[Ativo]]),N(YEAR(Tabela4[Data ex-1])=Tabela5[[#This Row],[Ano]]),Tabela4[Líquido])</f>
        <v>1.3315250000000001</v>
      </c>
      <c r="L56" s="87"/>
      <c r="M56" s="87"/>
      <c r="N56" s="88">
        <f>IF(Tabela5[[#This Row],[Dividendos]]&gt;0,Tabela5[[#This Row],[Dividendos]]/Tabela5[[#This Row],[Lucro Líquido]],0)</f>
        <v>0</v>
      </c>
      <c r="O56" s="23">
        <v>0.39</v>
      </c>
      <c r="P56" s="10"/>
    </row>
    <row r="57" spans="1:16" x14ac:dyDescent="0.2">
      <c r="A57" s="3" t="s">
        <v>257</v>
      </c>
      <c r="B57" s="3" t="s">
        <v>15</v>
      </c>
      <c r="C57" s="18">
        <v>41361</v>
      </c>
      <c r="D57" s="10">
        <v>1</v>
      </c>
      <c r="E57" s="26">
        <v>41376</v>
      </c>
      <c r="F57" s="16">
        <v>41354</v>
      </c>
      <c r="G57" s="10">
        <f>IF(Tabela4[[#This Row],[Tipo]]="Dividendo",Tabela4[[#This Row],[Valor]],IF(Tabela4[[#This Row],[Tipo]]="Jrs. Cap. Próprio",Tabela4[[#This Row],[Valor]]*85%,0))</f>
        <v>1</v>
      </c>
      <c r="I57" s="35" t="s">
        <v>83</v>
      </c>
      <c r="J57" s="35">
        <v>2003</v>
      </c>
      <c r="K57" s="34">
        <f>SUMPRODUCT(N(Tabela4[Ativo]=Tabela5[[#This Row],[Ativo]]),N(YEAR(Tabela4[Data ex-1])=Tabela5[[#This Row],[Ano]]),Tabela4[Líquido])</f>
        <v>0.76636499999999996</v>
      </c>
      <c r="L57" s="87"/>
      <c r="M57" s="87"/>
      <c r="N57" s="88">
        <f>IF(Tabela5[[#This Row],[Dividendos]]&gt;0,Tabela5[[#This Row],[Dividendos]]/Tabela5[[#This Row],[Lucro Líquido]],0)</f>
        <v>0</v>
      </c>
      <c r="O57" s="23">
        <v>1</v>
      </c>
      <c r="P57" s="10"/>
    </row>
    <row r="58" spans="1:16" x14ac:dyDescent="0.2">
      <c r="A58" s="3" t="s">
        <v>257</v>
      </c>
      <c r="B58" s="3" t="s">
        <v>15</v>
      </c>
      <c r="C58" s="18">
        <v>41009</v>
      </c>
      <c r="D58" s="10">
        <v>1</v>
      </c>
      <c r="E58" s="26">
        <v>41064</v>
      </c>
      <c r="F58" s="16">
        <v>41002</v>
      </c>
      <c r="G58" s="10">
        <f>IF(Tabela4[[#This Row],[Tipo]]="Dividendo",Tabela4[[#This Row],[Valor]],IF(Tabela4[[#This Row],[Tipo]]="Jrs. Cap. Próprio",Tabela4[[#This Row],[Valor]]*85%,0))</f>
        <v>1</v>
      </c>
      <c r="I58" s="35" t="s">
        <v>83</v>
      </c>
      <c r="J58" s="35">
        <v>2002</v>
      </c>
      <c r="K58" s="34">
        <f>SUMPRODUCT(N(Tabela4[Ativo]=Tabela5[[#This Row],[Ativo]]),N(YEAR(Tabela4[Data ex-1])=Tabela5[[#This Row],[Ano]]),Tabela4[Líquido])</f>
        <v>0.68520000000000003</v>
      </c>
      <c r="L58" s="87"/>
      <c r="M58" s="87"/>
      <c r="N58" s="88">
        <f>IF(Tabela5[[#This Row],[Dividendos]]&gt;0,Tabela5[[#This Row],[Dividendos]]/Tabela5[[#This Row],[Lucro Líquido]],0)</f>
        <v>0</v>
      </c>
      <c r="O58" s="23">
        <v>0.96</v>
      </c>
      <c r="P58" s="10"/>
    </row>
    <row r="59" spans="1:16" x14ac:dyDescent="0.2">
      <c r="A59" s="3" t="s">
        <v>257</v>
      </c>
      <c r="B59" s="3" t="s">
        <v>15</v>
      </c>
      <c r="C59" s="18">
        <v>40476</v>
      </c>
      <c r="D59" s="10">
        <v>2</v>
      </c>
      <c r="E59" s="26">
        <v>40536</v>
      </c>
      <c r="F59" s="16">
        <v>40471</v>
      </c>
      <c r="G59" s="10">
        <f>IF(Tabela4[[#This Row],[Tipo]]="Dividendo",Tabela4[[#This Row],[Valor]],IF(Tabela4[[#This Row],[Tipo]]="Jrs. Cap. Próprio",Tabela4[[#This Row],[Valor]]*85%,0))</f>
        <v>2</v>
      </c>
      <c r="I59" s="35" t="s">
        <v>83</v>
      </c>
      <c r="J59" s="35">
        <v>2001</v>
      </c>
      <c r="K59" s="34">
        <f>SUMPRODUCT(N(Tabela4[Ativo]=Tabela5[[#This Row],[Ativo]]),N(YEAR(Tabela4[Data ex-1])=Tabela5[[#This Row],[Ano]]),Tabela4[Líquido])</f>
        <v>0.309</v>
      </c>
      <c r="L59" s="87"/>
      <c r="M59" s="87"/>
      <c r="N59" s="88">
        <f>IF(Tabela5[[#This Row],[Dividendos]]&gt;0,Tabela5[[#This Row],[Dividendos]]/Tabela5[[#This Row],[Lucro Líquido]],0)</f>
        <v>0</v>
      </c>
      <c r="O59" s="23">
        <v>0.78</v>
      </c>
      <c r="P59" s="10"/>
    </row>
    <row r="60" spans="1:16" x14ac:dyDescent="0.2">
      <c r="A60" s="3" t="s">
        <v>257</v>
      </c>
      <c r="B60" s="3" t="s">
        <v>15</v>
      </c>
      <c r="C60" s="18">
        <v>40319</v>
      </c>
      <c r="D60" s="10">
        <v>2.2233000000000001</v>
      </c>
      <c r="E60" s="26">
        <v>40329</v>
      </c>
      <c r="F60" s="16">
        <v>40298</v>
      </c>
      <c r="G60" s="10">
        <f>IF(Tabela4[[#This Row],[Tipo]]="Dividendo",Tabela4[[#This Row],[Valor]],IF(Tabela4[[#This Row],[Tipo]]="Jrs. Cap. Próprio",Tabela4[[#This Row],[Valor]]*85%,0))</f>
        <v>2.2233000000000001</v>
      </c>
      <c r="I60" s="35" t="s">
        <v>83</v>
      </c>
      <c r="J60" s="35">
        <v>2000</v>
      </c>
      <c r="K60" s="34">
        <f>SUMPRODUCT(N(Tabela4[Ativo]=Tabela5[[#This Row],[Ativo]]),N(YEAR(Tabela4[Data ex-1])=Tabela5[[#This Row],[Ano]]),Tabela4[Líquido])</f>
        <v>0.216835</v>
      </c>
      <c r="L60" s="87"/>
      <c r="M60" s="87"/>
      <c r="N60" s="88">
        <f>IF(Tabela5[[#This Row],[Dividendos]]&gt;0,Tabela5[[#This Row],[Dividendos]]/Tabela5[[#This Row],[Lucro Líquido]],0)</f>
        <v>0</v>
      </c>
      <c r="O60" s="23"/>
      <c r="P60" s="10"/>
    </row>
    <row r="61" spans="1:16" x14ac:dyDescent="0.2">
      <c r="A61" s="3" t="s">
        <v>257</v>
      </c>
      <c r="B61" s="3" t="s">
        <v>15</v>
      </c>
      <c r="C61" s="18">
        <v>39693</v>
      </c>
      <c r="D61" s="10">
        <v>0.82499999999999996</v>
      </c>
      <c r="E61" s="26">
        <v>39720</v>
      </c>
      <c r="F61" s="16">
        <v>39693</v>
      </c>
      <c r="G61" s="10">
        <f>IF(Tabela4[[#This Row],[Tipo]]="Dividendo",Tabela4[[#This Row],[Valor]],IF(Tabela4[[#This Row],[Tipo]]="Jrs. Cap. Próprio",Tabela4[[#This Row],[Valor]]*85%,0))</f>
        <v>0.82499999999999996</v>
      </c>
      <c r="I61" s="35" t="s">
        <v>83</v>
      </c>
      <c r="J61" s="35">
        <v>1999</v>
      </c>
      <c r="K61" s="34">
        <f>SUMPRODUCT(N(Tabela4[Ativo]=Tabela5[[#This Row],[Ativo]]),N(YEAR(Tabela4[Data ex-1])=Tabela5[[#This Row],[Ano]]),Tabela4[Líquido])</f>
        <v>0.336005</v>
      </c>
      <c r="L61" s="87"/>
      <c r="M61" s="87"/>
      <c r="N61" s="88">
        <f>IF(Tabela5[[#This Row],[Dividendos]]&gt;0,Tabela5[[#This Row],[Dividendos]]/Tabela5[[#This Row],[Lucro Líquido]],0)</f>
        <v>0</v>
      </c>
      <c r="O61" s="23"/>
      <c r="P61" s="10"/>
    </row>
    <row r="62" spans="1:16" x14ac:dyDescent="0.2">
      <c r="A62" s="3" t="s">
        <v>257</v>
      </c>
      <c r="B62" s="3" t="s">
        <v>15</v>
      </c>
      <c r="C62" s="18">
        <v>39517</v>
      </c>
      <c r="D62" s="10">
        <v>1.65</v>
      </c>
      <c r="E62" s="26">
        <v>39526</v>
      </c>
      <c r="F62" s="16">
        <v>39517</v>
      </c>
      <c r="G62" s="10">
        <f>IF(Tabela4[[#This Row],[Tipo]]="Dividendo",Tabela4[[#This Row],[Valor]],IF(Tabela4[[#This Row],[Tipo]]="Jrs. Cap. Próprio",Tabela4[[#This Row],[Valor]]*85%,0))</f>
        <v>1.65</v>
      </c>
      <c r="I62" s="4" t="s">
        <v>43</v>
      </c>
      <c r="J62" s="4">
        <v>2013</v>
      </c>
      <c r="K62" s="14">
        <f>SUMPRODUCT(N(Tabela4[Ativo]=Tabela5[[#This Row],[Ativo]]),N(YEAR(Tabela4[Data ex-1])=Tabela5[[#This Row],[Ano]]),Tabela4[Líquido])</f>
        <v>0.30809999999999998</v>
      </c>
      <c r="L62" s="6"/>
      <c r="M62" s="6"/>
      <c r="N62" s="24">
        <f>IF(Tabela5[[#This Row],[Dividendos]]&gt;0,Tabela5[[#This Row],[Dividendos]]/Tabela5[[#This Row],[Lucro Líquido]],0)</f>
        <v>0</v>
      </c>
      <c r="O62" s="23">
        <v>0.64270000000000005</v>
      </c>
      <c r="P62" s="10"/>
    </row>
    <row r="63" spans="1:16" x14ac:dyDescent="0.2">
      <c r="A63" s="3" t="s">
        <v>257</v>
      </c>
      <c r="B63" s="3" t="s">
        <v>15</v>
      </c>
      <c r="C63" s="18">
        <v>39301</v>
      </c>
      <c r="D63" s="10">
        <v>1.482</v>
      </c>
      <c r="E63" s="26">
        <v>39328</v>
      </c>
      <c r="F63" s="16">
        <v>39301</v>
      </c>
      <c r="G63" s="10">
        <f>IF(Tabela4[[#This Row],[Tipo]]="Dividendo",Tabela4[[#This Row],[Valor]],IF(Tabela4[[#This Row],[Tipo]]="Jrs. Cap. Próprio",Tabela4[[#This Row],[Valor]]*85%,0))</f>
        <v>1.482</v>
      </c>
      <c r="I63" s="4" t="s">
        <v>43</v>
      </c>
      <c r="J63" s="4">
        <v>2012</v>
      </c>
      <c r="K63" s="14">
        <f>SUMPRODUCT(N(Tabela4[Ativo]=Tabela5[[#This Row],[Ativo]]),N(YEAR(Tabela4[Data ex-1])=Tabela5[[#This Row],[Ano]]),Tabela4[Líquido])</f>
        <v>0.32</v>
      </c>
      <c r="L63" s="6"/>
      <c r="M63" s="6"/>
      <c r="N63" s="24">
        <f>IF(Tabela5[[#This Row],[Dividendos]]&gt;0,Tabela5[[#This Row],[Dividendos]]/Tabela5[[#This Row],[Lucro Líquido]],0)</f>
        <v>0</v>
      </c>
      <c r="O63" s="23">
        <v>0.65</v>
      </c>
      <c r="P63" s="10"/>
    </row>
    <row r="64" spans="1:16" x14ac:dyDescent="0.2">
      <c r="A64" s="3" t="s">
        <v>257</v>
      </c>
      <c r="B64" s="3" t="s">
        <v>15</v>
      </c>
      <c r="C64" s="80">
        <v>39141</v>
      </c>
      <c r="D64" s="10">
        <v>1.3680000000000001</v>
      </c>
      <c r="E64" s="81">
        <v>39160</v>
      </c>
      <c r="F64" s="81">
        <v>39140</v>
      </c>
      <c r="G64" s="10">
        <f>IF(Tabela4[[#This Row],[Tipo]]="Dividendo",Tabela4[[#This Row],[Valor]],IF(Tabela4[[#This Row],[Tipo]]="Jrs. Cap. Próprio",Tabela4[[#This Row],[Valor]]*85%,0))</f>
        <v>1.3680000000000001</v>
      </c>
      <c r="I64" s="4" t="s">
        <v>43</v>
      </c>
      <c r="J64" s="4">
        <v>2011</v>
      </c>
      <c r="K64" s="10">
        <f>SUMPRODUCT(N(Tabela4[Ativo]=Tabela5[[#This Row],[Ativo]]),N(YEAR(Tabela4[Data ex-1])=Tabela5[[#This Row],[Ano]]),Tabela4[Líquido])</f>
        <v>0.18099999999999999</v>
      </c>
      <c r="N64" s="23">
        <f>IF(Tabela5[[#This Row],[Dividendos]]&gt;0,Tabela5[[#This Row],[Dividendos]]/Tabela5[[#This Row],[Lucro Líquido]],0)</f>
        <v>0</v>
      </c>
      <c r="O64" s="23">
        <v>0.27</v>
      </c>
      <c r="P64" s="10"/>
    </row>
    <row r="65" spans="1:16" x14ac:dyDescent="0.2">
      <c r="A65" s="3" t="s">
        <v>257</v>
      </c>
      <c r="B65" s="3" t="s">
        <v>15</v>
      </c>
      <c r="C65" s="80">
        <v>38975</v>
      </c>
      <c r="D65" s="10">
        <v>1.1399999999999999</v>
      </c>
      <c r="E65" s="81">
        <v>38985</v>
      </c>
      <c r="F65" s="81">
        <v>38975</v>
      </c>
      <c r="G65" s="10">
        <f>IF(Tabela4[[#This Row],[Tipo]]="Dividendo",Tabela4[[#This Row],[Valor]],IF(Tabela4[[#This Row],[Tipo]]="Jrs. Cap. Próprio",Tabela4[[#This Row],[Valor]]*85%,0))</f>
        <v>1.1399999999999999</v>
      </c>
      <c r="I65" s="4" t="s">
        <v>43</v>
      </c>
      <c r="J65" s="4">
        <v>2010</v>
      </c>
      <c r="K65" s="10">
        <f>SUMPRODUCT(N(Tabela4[Ativo]=Tabela5[[#This Row],[Ativo]]),N(YEAR(Tabela4[Data ex-1])=Tabela5[[#This Row],[Ano]]),Tabela4[Líquido])</f>
        <v>0.128</v>
      </c>
      <c r="N65" s="23">
        <f>IF(Tabela5[[#This Row],[Dividendos]]&gt;0,Tabela5[[#This Row],[Dividendos]]/Tabela5[[#This Row],[Lucro Líquido]],0)</f>
        <v>0</v>
      </c>
      <c r="O65" s="23">
        <v>0.26</v>
      </c>
      <c r="P65" s="10"/>
    </row>
    <row r="66" spans="1:16" x14ac:dyDescent="0.2">
      <c r="A66" s="3" t="s">
        <v>257</v>
      </c>
      <c r="B66" s="3" t="s">
        <v>15</v>
      </c>
      <c r="C66" s="18">
        <v>38783</v>
      </c>
      <c r="D66" s="10">
        <v>0.95</v>
      </c>
      <c r="E66" s="26">
        <v>38793</v>
      </c>
      <c r="F66" s="16">
        <v>38783</v>
      </c>
      <c r="G66" s="10">
        <f>IF(Tabela4[[#This Row],[Tipo]]="Dividendo",Tabela4[[#This Row],[Valor]],IF(Tabela4[[#This Row],[Tipo]]="Jrs. Cap. Próprio",Tabela4[[#This Row],[Valor]]*85%,0))</f>
        <v>0.95</v>
      </c>
      <c r="I66" s="4" t="s">
        <v>43</v>
      </c>
      <c r="J66" s="4">
        <v>2009</v>
      </c>
      <c r="K66" s="10">
        <f>SUMPRODUCT(N(Tabela4[Ativo]=Tabela5[[#This Row],[Ativo]]),N(YEAR(Tabela4[Data ex-1])=Tabela5[[#This Row],[Ano]]),Tabela4[Líquido])</f>
        <v>2.35E-2</v>
      </c>
      <c r="N66" s="23">
        <f>IF(Tabela5[[#This Row],[Dividendos]]&gt;0,Tabela5[[#This Row],[Dividendos]]/Tabela5[[#This Row],[Lucro Líquido]],0)</f>
        <v>0</v>
      </c>
      <c r="O66" s="23">
        <v>7.0000000000000007E-2</v>
      </c>
      <c r="P66" s="10"/>
    </row>
    <row r="67" spans="1:16" x14ac:dyDescent="0.2">
      <c r="A67" s="3" t="s">
        <v>257</v>
      </c>
      <c r="B67" s="3" t="s">
        <v>15</v>
      </c>
      <c r="C67" s="18">
        <v>38406</v>
      </c>
      <c r="D67" s="10">
        <v>1.6</v>
      </c>
      <c r="E67" s="26"/>
      <c r="F67" s="16">
        <v>38405</v>
      </c>
      <c r="G67" s="10">
        <f>IF(Tabela4[[#This Row],[Tipo]]="Dividendo",Tabela4[[#This Row],[Valor]],IF(Tabela4[[#This Row],[Tipo]]="Jrs. Cap. Próprio",Tabela4[[#This Row],[Valor]]*85%,0))</f>
        <v>1.6</v>
      </c>
      <c r="I67" s="35" t="s">
        <v>84</v>
      </c>
      <c r="J67" s="35">
        <v>2013</v>
      </c>
      <c r="K67" s="38">
        <f>SUMPRODUCT(N(Tabela4[Ativo]=Tabela5[[#This Row],[Ativo]]),N(YEAR(Tabela4[Data ex-1])=Tabela5[[#This Row],[Ano]]),Tabela4[Líquido])</f>
        <v>0.4148</v>
      </c>
      <c r="L67" s="43"/>
      <c r="M67" s="43"/>
      <c r="N67" s="75">
        <f>IF(Tabela5[[#This Row],[Dividendos]]&gt;0,Tabela5[[#This Row],[Dividendos]]/Tabela5[[#This Row],[Lucro Líquido]],0)</f>
        <v>0</v>
      </c>
      <c r="O67" s="23"/>
      <c r="P67" s="10"/>
    </row>
    <row r="68" spans="1:16" x14ac:dyDescent="0.2">
      <c r="A68" s="3" t="s">
        <v>257</v>
      </c>
      <c r="B68" s="3" t="s">
        <v>15</v>
      </c>
      <c r="C68" s="18">
        <v>38069</v>
      </c>
      <c r="D68" s="10">
        <v>15</v>
      </c>
      <c r="E68" s="26"/>
      <c r="F68" s="16">
        <v>38069</v>
      </c>
      <c r="G68" s="10">
        <f>IF(Tabela4[[#This Row],[Tipo]]="Dividendo",Tabela4[[#This Row],[Valor]],IF(Tabela4[[#This Row],[Tipo]]="Jrs. Cap. Próprio",Tabela4[[#This Row],[Valor]]*85%,0))</f>
        <v>15</v>
      </c>
      <c r="I68" s="4" t="s">
        <v>193</v>
      </c>
      <c r="J68" s="4">
        <v>2013</v>
      </c>
      <c r="K68" s="14">
        <f>SUMPRODUCT(N(Tabela4[Ativo]=Tabela5[[#This Row],[Ativo]]),N(YEAR(Tabela4[Data ex-1])=Tabela5[[#This Row],[Ano]]),Tabela4[Líquido])</f>
        <v>1.6155538327999999E-2</v>
      </c>
      <c r="L68" s="6"/>
      <c r="M68" s="6"/>
      <c r="N68" s="24">
        <f>IF(Tabela5[[#This Row],[Dividendos]]&gt;0,Tabela5[[#This Row],[Dividendos]]/Tabela5[[#This Row],[Lucro Líquido]],0)</f>
        <v>0</v>
      </c>
      <c r="O68" s="23">
        <v>0.58630000000000004</v>
      </c>
      <c r="P68" s="10"/>
    </row>
    <row r="69" spans="1:16" x14ac:dyDescent="0.2">
      <c r="A69" s="3" t="s">
        <v>257</v>
      </c>
      <c r="B69" s="3" t="s">
        <v>15</v>
      </c>
      <c r="C69" s="18">
        <v>37858</v>
      </c>
      <c r="D69" s="10">
        <v>13.5</v>
      </c>
      <c r="E69" s="26"/>
      <c r="F69" s="16">
        <v>37855</v>
      </c>
      <c r="G69" s="10">
        <f>IF(Tabela4[[#This Row],[Tipo]]="Dividendo",Tabela4[[#This Row],[Valor]],IF(Tabela4[[#This Row],[Tipo]]="Jrs. Cap. Próprio",Tabela4[[#This Row],[Valor]]*85%,0))</f>
        <v>13.5</v>
      </c>
      <c r="I69" s="4" t="s">
        <v>193</v>
      </c>
      <c r="J69" s="4">
        <v>2012</v>
      </c>
      <c r="K69" s="14">
        <f>SUMPRODUCT(N(Tabela4[Ativo]=Tabela5[[#This Row],[Ativo]]),N(YEAR(Tabela4[Data ex-1])=Tabela5[[#This Row],[Ano]]),Tabela4[Líquido])</f>
        <v>0.17170080728749998</v>
      </c>
      <c r="L69" s="6"/>
      <c r="M69" s="6"/>
      <c r="N69" s="24">
        <f>IF(Tabela5[[#This Row],[Dividendos]]&gt;0,Tabela5[[#This Row],[Dividendos]]/Tabela5[[#This Row],[Lucro Líquido]],0)</f>
        <v>0</v>
      </c>
      <c r="O69" s="23">
        <v>0.25</v>
      </c>
      <c r="P69" s="10"/>
    </row>
    <row r="70" spans="1:16" x14ac:dyDescent="0.2">
      <c r="A70" s="3" t="s">
        <v>257</v>
      </c>
      <c r="B70" s="3" t="s">
        <v>52</v>
      </c>
      <c r="C70" s="18">
        <v>37284</v>
      </c>
      <c r="D70" s="10">
        <v>10</v>
      </c>
      <c r="E70" s="26"/>
      <c r="F70" s="16">
        <v>37284</v>
      </c>
      <c r="G70" s="10">
        <f>IF(Tabela4[[#This Row],[Tipo]]="Dividendo",Tabela4[[#This Row],[Valor]],IF(Tabela4[[#This Row],[Tipo]]="Jrs. Cap. Próprio",Tabela4[[#This Row],[Valor]]*85%,0))</f>
        <v>0</v>
      </c>
      <c r="I70" s="4" t="s">
        <v>193</v>
      </c>
      <c r="J70" s="4">
        <v>2011</v>
      </c>
      <c r="K70" s="10">
        <f>SUMPRODUCT(N(Tabela4[Ativo]=Tabela5[[#This Row],[Ativo]]),N(YEAR(Tabela4[Data ex-1])=Tabela5[[#This Row],[Ano]]),Tabela4[Líquido])</f>
        <v>0.28561000000000003</v>
      </c>
      <c r="N70" s="23">
        <f>IF(Tabela5[[#This Row],[Dividendos]]&gt;0,Tabela5[[#This Row],[Dividendos]]/Tabela5[[#This Row],[Lucro Líquido]],0)</f>
        <v>0</v>
      </c>
      <c r="O70" s="23">
        <v>0.25</v>
      </c>
      <c r="P70" s="10"/>
    </row>
    <row r="71" spans="1:16" x14ac:dyDescent="0.2">
      <c r="A71" s="3" t="s">
        <v>257</v>
      </c>
      <c r="B71" s="3" t="s">
        <v>15</v>
      </c>
      <c r="C71" s="18">
        <v>36280</v>
      </c>
      <c r="D71" s="10">
        <v>0.91139999999999999</v>
      </c>
      <c r="E71" s="26">
        <v>36341</v>
      </c>
      <c r="F71" s="16">
        <v>36280</v>
      </c>
      <c r="G71" s="10">
        <f>IF(Tabela4[[#This Row],[Tipo]]="Dividendo",Tabela4[[#This Row],[Valor]],IF(Tabela4[[#This Row],[Tipo]]="Jrs. Cap. Próprio",Tabela4[[#This Row],[Valor]]*85%,0))</f>
        <v>0.91139999999999999</v>
      </c>
      <c r="I71" s="4" t="s">
        <v>193</v>
      </c>
      <c r="J71" s="4">
        <v>2010</v>
      </c>
      <c r="K71" s="10">
        <f>SUMPRODUCT(N(Tabela4[Ativo]=Tabela5[[#This Row],[Ativo]]),N(YEAR(Tabela4[Data ex-1])=Tabela5[[#This Row],[Ano]]),Tabela4[Líquido])</f>
        <v>0.20542587664999995</v>
      </c>
      <c r="N71" s="23">
        <f>IF(Tabela5[[#This Row],[Dividendos]]&gt;0,Tabela5[[#This Row],[Dividendos]]/Tabela5[[#This Row],[Lucro Líquido]],0)</f>
        <v>0</v>
      </c>
      <c r="O71" s="23">
        <v>0.25</v>
      </c>
      <c r="P71" s="10"/>
    </row>
    <row r="72" spans="1:16" x14ac:dyDescent="0.2">
      <c r="A72" s="3" t="s">
        <v>257</v>
      </c>
      <c r="B72" s="3" t="s">
        <v>15</v>
      </c>
      <c r="C72" s="18">
        <v>35915</v>
      </c>
      <c r="D72" s="10">
        <v>1.7736000000000001</v>
      </c>
      <c r="E72" s="26"/>
      <c r="F72" s="16">
        <v>35915</v>
      </c>
      <c r="G72" s="10">
        <f>IF(Tabela4[[#This Row],[Tipo]]="Dividendo",Tabela4[[#This Row],[Valor]],IF(Tabela4[[#This Row],[Tipo]]="Jrs. Cap. Próprio",Tabela4[[#This Row],[Valor]]*85%,0))</f>
        <v>1.7736000000000001</v>
      </c>
      <c r="I72" s="4" t="s">
        <v>193</v>
      </c>
      <c r="J72" s="4">
        <v>2009</v>
      </c>
      <c r="K72" s="10">
        <f>SUMPRODUCT(N(Tabela4[Ativo]=Tabela5[[#This Row],[Ativo]]),N(YEAR(Tabela4[Data ex-1])=Tabela5[[#This Row],[Ano]]),Tabela4[Líquido])</f>
        <v>0.22763612084999998</v>
      </c>
      <c r="N72" s="23">
        <f>IF(Tabela5[[#This Row],[Dividendos]]&gt;0,Tabela5[[#This Row],[Dividendos]]/Tabela5[[#This Row],[Lucro Líquido]],0)</f>
        <v>0</v>
      </c>
      <c r="O72" s="23">
        <v>0.25</v>
      </c>
      <c r="P72" s="10"/>
    </row>
    <row r="73" spans="1:16" x14ac:dyDescent="0.2">
      <c r="A73" s="3" t="s">
        <v>257</v>
      </c>
      <c r="B73" s="3" t="s">
        <v>15</v>
      </c>
      <c r="C73" s="18">
        <v>35660</v>
      </c>
      <c r="D73" s="10">
        <v>1.4361999999999999</v>
      </c>
      <c r="E73" s="26"/>
      <c r="F73" s="16">
        <v>35660</v>
      </c>
      <c r="G73" s="10">
        <f>IF(Tabela4[[#This Row],[Tipo]]="Dividendo",Tabela4[[#This Row],[Valor]],IF(Tabela4[[#This Row],[Tipo]]="Jrs. Cap. Próprio",Tabela4[[#This Row],[Valor]]*85%,0))</f>
        <v>1.4361999999999999</v>
      </c>
      <c r="I73" s="4" t="s">
        <v>193</v>
      </c>
      <c r="J73" s="4">
        <v>2008</v>
      </c>
      <c r="K73" s="10">
        <f>SUMPRODUCT(N(Tabela4[Ativo]=Tabela5[[#This Row],[Ativo]]),N(YEAR(Tabela4[Data ex-1])=Tabela5[[#This Row],[Ano]]),Tabela4[Líquido])</f>
        <v>0.11635149389999999</v>
      </c>
      <c r="N73" s="23">
        <f>IF(Tabela5[[#This Row],[Dividendos]]&gt;0,Tabela5[[#This Row],[Dividendos]]/Tabela5[[#This Row],[Lucro Líquido]],0)</f>
        <v>0</v>
      </c>
      <c r="O73" s="23">
        <v>0.25</v>
      </c>
      <c r="P73" s="10"/>
    </row>
    <row r="74" spans="1:16" x14ac:dyDescent="0.2">
      <c r="A74" s="3" t="s">
        <v>257</v>
      </c>
      <c r="B74" s="3" t="s">
        <v>15</v>
      </c>
      <c r="C74" s="18">
        <v>35143</v>
      </c>
      <c r="D74" s="10">
        <v>0.8</v>
      </c>
      <c r="E74" s="26"/>
      <c r="F74" s="16">
        <v>35143</v>
      </c>
      <c r="G74" s="10">
        <f>IF(Tabela4[[#This Row],[Tipo]]="Dividendo",Tabela4[[#This Row],[Valor]],IF(Tabela4[[#This Row],[Tipo]]="Jrs. Cap. Próprio",Tabela4[[#This Row],[Valor]]*85%,0))</f>
        <v>0.8</v>
      </c>
      <c r="I74" s="4" t="s">
        <v>195</v>
      </c>
      <c r="J74" s="4">
        <v>2013</v>
      </c>
      <c r="K74" s="14">
        <f>SUMPRODUCT(N(Tabela4[Ativo]=Tabela5[[#This Row],[Ativo]]),N(YEAR(Tabela4[Data ex-1])=Tabela5[[#This Row],[Ano]]),Tabela4[Líquido])</f>
        <v>1.6155538327999999E-2</v>
      </c>
      <c r="L74" s="6"/>
      <c r="M74" s="6"/>
      <c r="N74" s="24">
        <f>IF(Tabela5[[#This Row],[Dividendos]]&gt;0,Tabela5[[#This Row],[Dividendos]]/Tabela5[[#This Row],[Lucro Líquido]],0)</f>
        <v>0</v>
      </c>
      <c r="O74" s="23">
        <v>0.58630000000000004</v>
      </c>
      <c r="P74" s="10"/>
    </row>
    <row r="75" spans="1:16" x14ac:dyDescent="0.2">
      <c r="A75" s="4" t="s">
        <v>203</v>
      </c>
      <c r="B75" s="4" t="s">
        <v>14</v>
      </c>
      <c r="C75" s="19">
        <v>41376</v>
      </c>
      <c r="D75" s="3">
        <v>2.2800000000000001E-2</v>
      </c>
      <c r="E75" s="68">
        <v>41388</v>
      </c>
      <c r="F75" s="68">
        <v>41376</v>
      </c>
      <c r="G75" s="14">
        <f>IF(Tabela4[[#This Row],[Tipo]]="Dividendo",Tabela4[[#This Row],[Valor]],IF(Tabela4[[#This Row],[Tipo]]="Jrs. Cap. Próprio",Tabela4[[#This Row],[Valor]]*85%,0))</f>
        <v>1.9380000000000001E-2</v>
      </c>
      <c r="I75" s="4" t="s">
        <v>195</v>
      </c>
      <c r="J75" s="4">
        <v>2012</v>
      </c>
      <c r="K75" s="10">
        <f>SUMPRODUCT(N(Tabela4[Ativo]=Tabela5[[#This Row],[Ativo]]),N(YEAR(Tabela4[Data ex-1])=Tabela5[[#This Row],[Ano]]),Tabela4[Líquido])</f>
        <v>0.17170080728749998</v>
      </c>
      <c r="N75" s="23">
        <f>IF(Tabela5[[#This Row],[Dividendos]]&gt;0,Tabela5[[#This Row],[Dividendos]]/Tabela5[[#This Row],[Lucro Líquido]],0)</f>
        <v>0</v>
      </c>
      <c r="O75" s="23">
        <v>0.25</v>
      </c>
      <c r="P75" s="10"/>
    </row>
    <row r="76" spans="1:16" x14ac:dyDescent="0.2">
      <c r="A76" s="4" t="s">
        <v>203</v>
      </c>
      <c r="B76" s="3" t="s">
        <v>14</v>
      </c>
      <c r="C76" s="18">
        <v>41185</v>
      </c>
      <c r="D76" s="3">
        <v>4.4000000000000003E-3</v>
      </c>
      <c r="E76" s="26">
        <v>41198</v>
      </c>
      <c r="F76" s="16">
        <v>41185</v>
      </c>
      <c r="G76" s="10">
        <f>IF(Tabela4[[#This Row],[Tipo]]="Dividendo",Tabela4[[#This Row],[Valor]],IF(Tabela4[[#This Row],[Tipo]]="Jrs. Cap. Próprio",Tabela4[[#This Row],[Valor]]*85%,0))</f>
        <v>3.7400000000000003E-3</v>
      </c>
      <c r="I76" s="4" t="s">
        <v>195</v>
      </c>
      <c r="J76" s="4">
        <v>2011</v>
      </c>
      <c r="K76" s="10">
        <f>SUMPRODUCT(N(Tabela4[Ativo]=Tabela5[[#This Row],[Ativo]]),N(YEAR(Tabela4[Data ex-1])=Tabela5[[#This Row],[Ano]]),Tabela4[Líquido])</f>
        <v>0.28561000000000003</v>
      </c>
      <c r="N76" s="23">
        <f>IF(Tabela5[[#This Row],[Dividendos]]&gt;0,Tabela5[[#This Row],[Dividendos]]/Tabela5[[#This Row],[Lucro Líquido]],0)</f>
        <v>0</v>
      </c>
      <c r="O76" s="23">
        <v>0.25</v>
      </c>
      <c r="P76" s="10"/>
    </row>
    <row r="77" spans="1:16" x14ac:dyDescent="0.2">
      <c r="A77" s="4" t="s">
        <v>203</v>
      </c>
      <c r="B77" s="3" t="s">
        <v>14</v>
      </c>
      <c r="C77" s="18">
        <v>40939</v>
      </c>
      <c r="D77" s="3">
        <v>2.6700000000000002E-2</v>
      </c>
      <c r="E77" s="26">
        <v>40952</v>
      </c>
      <c r="F77" s="16">
        <v>40939</v>
      </c>
      <c r="G77" s="10">
        <f>IF(Tabela4[[#This Row],[Tipo]]="Dividendo",Tabela4[[#This Row],[Valor]],IF(Tabela4[[#This Row],[Tipo]]="Jrs. Cap. Próprio",Tabela4[[#This Row],[Valor]]*85%,0))</f>
        <v>2.2695E-2</v>
      </c>
      <c r="I77" s="4" t="s">
        <v>195</v>
      </c>
      <c r="J77" s="4">
        <v>2010</v>
      </c>
      <c r="K77" s="10">
        <f>SUMPRODUCT(N(Tabela4[Ativo]=Tabela5[[#This Row],[Ativo]]),N(YEAR(Tabela4[Data ex-1])=Tabela5[[#This Row],[Ano]]),Tabela4[Líquido])</f>
        <v>0.20542587664999995</v>
      </c>
      <c r="N77" s="23">
        <f>IF(Tabela5[[#This Row],[Dividendos]]&gt;0,Tabela5[[#This Row],[Dividendos]]/Tabela5[[#This Row],[Lucro Líquido]],0)</f>
        <v>0</v>
      </c>
      <c r="O77" s="23">
        <v>0.25</v>
      </c>
      <c r="P77" s="10"/>
    </row>
    <row r="78" spans="1:16" x14ac:dyDescent="0.2">
      <c r="A78" s="4" t="s">
        <v>203</v>
      </c>
      <c r="B78" s="3" t="s">
        <v>14</v>
      </c>
      <c r="C78" s="18">
        <v>40641</v>
      </c>
      <c r="D78" s="3">
        <v>2.29E-2</v>
      </c>
      <c r="E78" s="26">
        <v>40658</v>
      </c>
      <c r="F78" s="16">
        <v>40641</v>
      </c>
      <c r="G78" s="10">
        <f>IF(Tabela4[[#This Row],[Tipo]]="Dividendo",Tabela4[[#This Row],[Valor]],IF(Tabela4[[#This Row],[Tipo]]="Jrs. Cap. Próprio",Tabela4[[#This Row],[Valor]]*85%,0))</f>
        <v>1.9465E-2</v>
      </c>
      <c r="I78" s="4" t="s">
        <v>195</v>
      </c>
      <c r="J78" s="4">
        <v>2009</v>
      </c>
      <c r="K78" s="10">
        <f>SUMPRODUCT(N(Tabela4[Ativo]=Tabela5[[#This Row],[Ativo]]),N(YEAR(Tabela4[Data ex-1])=Tabela5[[#This Row],[Ano]]),Tabela4[Líquido])</f>
        <v>0.22763612084999998</v>
      </c>
      <c r="N78" s="23">
        <f>IF(Tabela5[[#This Row],[Dividendos]]&gt;0,Tabela5[[#This Row],[Dividendos]]/Tabela5[[#This Row],[Lucro Líquido]],0)</f>
        <v>0</v>
      </c>
      <c r="O78" s="23">
        <v>0.25</v>
      </c>
      <c r="P78" s="10"/>
    </row>
    <row r="79" spans="1:16" x14ac:dyDescent="0.2">
      <c r="A79" s="4" t="s">
        <v>203</v>
      </c>
      <c r="B79" s="3" t="s">
        <v>14</v>
      </c>
      <c r="C79" s="18">
        <v>40526</v>
      </c>
      <c r="D79" s="3">
        <v>1.3599999999999999E-2</v>
      </c>
      <c r="E79" s="26">
        <v>40540</v>
      </c>
      <c r="F79" s="16">
        <v>40526</v>
      </c>
      <c r="G79" s="10">
        <f>IF(Tabela4[[#This Row],[Tipo]]="Dividendo",Tabela4[[#This Row],[Valor]],IF(Tabela4[[#This Row],[Tipo]]="Jrs. Cap. Próprio",Tabela4[[#This Row],[Valor]]*85%,0))</f>
        <v>1.1559999999999999E-2</v>
      </c>
      <c r="I79" s="4" t="s">
        <v>195</v>
      </c>
      <c r="J79" s="4">
        <v>2008</v>
      </c>
      <c r="K79" s="10">
        <f>SUMPRODUCT(N(Tabela4[Ativo]=Tabela5[[#This Row],[Ativo]]),N(YEAR(Tabela4[Data ex-1])=Tabela5[[#This Row],[Ano]]),Tabela4[Líquido])</f>
        <v>0.11385391169999999</v>
      </c>
      <c r="N79" s="23">
        <f>IF(Tabela5[[#This Row],[Dividendos]]&gt;0,Tabela5[[#This Row],[Dividendos]]/Tabela5[[#This Row],[Lucro Líquido]],0)</f>
        <v>0</v>
      </c>
      <c r="O79" s="23">
        <v>0.25</v>
      </c>
      <c r="P79" s="10"/>
    </row>
    <row r="80" spans="1:16" x14ac:dyDescent="0.2">
      <c r="A80" s="4" t="s">
        <v>203</v>
      </c>
      <c r="B80" s="3" t="s">
        <v>14</v>
      </c>
      <c r="C80" s="18">
        <v>40476</v>
      </c>
      <c r="D80" s="3">
        <v>1.5E-3</v>
      </c>
      <c r="E80" s="26"/>
      <c r="F80" s="16">
        <v>40473</v>
      </c>
      <c r="G80" s="10">
        <f>IF(Tabela4[[#This Row],[Tipo]]="Dividendo",Tabela4[[#This Row],[Valor]],IF(Tabela4[[#This Row],[Tipo]]="Jrs. Cap. Próprio",Tabela4[[#This Row],[Valor]]*85%,0))</f>
        <v>1.2750000000000001E-3</v>
      </c>
      <c r="I80" s="35" t="s">
        <v>61</v>
      </c>
      <c r="J80" s="35">
        <v>2013</v>
      </c>
      <c r="K80" s="38">
        <f>SUMPRODUCT(N(Tabela4[Ativo]=Tabela5[[#This Row],[Ativo]]),N(YEAR(Tabela4[Data ex-1])=Tabela5[[#This Row],[Ano]]),Tabela4[Líquido])</f>
        <v>0.376</v>
      </c>
      <c r="L80" s="43"/>
      <c r="M80" s="43"/>
      <c r="N80" s="75">
        <f>IF(Tabela5[[#This Row],[Dividendos]]&gt;0,Tabela5[[#This Row],[Dividendos]]/Tabela5[[#This Row],[Lucro Líquido]],0)</f>
        <v>0</v>
      </c>
      <c r="O80" s="23"/>
      <c r="P80" s="10"/>
    </row>
    <row r="81" spans="1:16" x14ac:dyDescent="0.2">
      <c r="A81" s="4" t="s">
        <v>203</v>
      </c>
      <c r="B81" s="3" t="s">
        <v>14</v>
      </c>
      <c r="C81" s="18">
        <v>40298</v>
      </c>
      <c r="D81" s="3">
        <v>9.5999999999999992E-3</v>
      </c>
      <c r="E81" s="26">
        <v>40311</v>
      </c>
      <c r="F81" s="16">
        <v>40298</v>
      </c>
      <c r="G81" s="10">
        <f>IF(Tabela4[[#This Row],[Tipo]]="Dividendo",Tabela4[[#This Row],[Valor]],IF(Tabela4[[#This Row],[Tipo]]="Jrs. Cap. Próprio",Tabela4[[#This Row],[Valor]]*85%,0))</f>
        <v>8.1599999999999989E-3</v>
      </c>
      <c r="I81" s="35" t="s">
        <v>61</v>
      </c>
      <c r="J81" s="35">
        <v>2012</v>
      </c>
      <c r="K81" s="38">
        <f>SUMPRODUCT(N(Tabela4[Ativo]=Tabela5[[#This Row],[Ativo]]),N(YEAR(Tabela4[Data ex-1])=Tabela5[[#This Row],[Ano]]),Tabela4[Líquido])</f>
        <v>8.4000000000000005E-2</v>
      </c>
      <c r="L81" s="43"/>
      <c r="M81" s="43"/>
      <c r="N81" s="75">
        <f>IF(Tabela5[[#This Row],[Dividendos]]&gt;0,Tabela5[[#This Row],[Dividendos]]/Tabela5[[#This Row],[Lucro Líquido]],0)</f>
        <v>0</v>
      </c>
      <c r="O81" s="23"/>
      <c r="P81" s="10"/>
    </row>
    <row r="82" spans="1:16" x14ac:dyDescent="0.2">
      <c r="A82" s="4" t="s">
        <v>203</v>
      </c>
      <c r="B82" s="3" t="s">
        <v>15</v>
      </c>
      <c r="C82" s="18">
        <v>39933</v>
      </c>
      <c r="D82" s="3">
        <v>3.5099999999999999E-2</v>
      </c>
      <c r="E82" s="26"/>
      <c r="F82" s="16">
        <v>39933</v>
      </c>
      <c r="G82" s="10">
        <f>IF(Tabela4[[#This Row],[Tipo]]="Dividendo",Tabela4[[#This Row],[Valor]],IF(Tabela4[[#This Row],[Tipo]]="Jrs. Cap. Próprio",Tabela4[[#This Row],[Valor]]*85%,0))</f>
        <v>3.5099999999999999E-2</v>
      </c>
      <c r="I82" s="35" t="s">
        <v>61</v>
      </c>
      <c r="J82" s="35">
        <v>2011</v>
      </c>
      <c r="K82" s="34">
        <f>SUMPRODUCT(N(Tabela4[Ativo]=Tabela5[[#This Row],[Ativo]]),N(YEAR(Tabela4[Data ex-1])=Tabela5[[#This Row],[Ano]]),Tabela4[Líquido])</f>
        <v>0.35499999999999998</v>
      </c>
      <c r="L82" s="87"/>
      <c r="M82" s="87"/>
      <c r="N82" s="88">
        <f>IF(Tabela5[[#This Row],[Dividendos]]&gt;0,Tabela5[[#This Row],[Dividendos]]/Tabela5[[#This Row],[Lucro Líquido]],0)</f>
        <v>0</v>
      </c>
      <c r="O82" s="23"/>
      <c r="P82" s="10"/>
    </row>
    <row r="83" spans="1:16" x14ac:dyDescent="0.2">
      <c r="A83" s="4" t="s">
        <v>203</v>
      </c>
      <c r="B83" s="3" t="s">
        <v>14</v>
      </c>
      <c r="C83" s="18">
        <v>39752</v>
      </c>
      <c r="D83" s="3">
        <v>3.0999999999999999E-3</v>
      </c>
      <c r="E83" s="26">
        <v>39764</v>
      </c>
      <c r="F83" s="16">
        <v>39752</v>
      </c>
      <c r="G83" s="10">
        <f>IF(Tabela4[[#This Row],[Tipo]]="Dividendo",Tabela4[[#This Row],[Valor]],IF(Tabela4[[#This Row],[Tipo]]="Jrs. Cap. Próprio",Tabela4[[#This Row],[Valor]]*85%,0))</f>
        <v>2.6349999999999998E-3</v>
      </c>
      <c r="I83" s="35" t="s">
        <v>61</v>
      </c>
      <c r="J83" s="35">
        <v>2010</v>
      </c>
      <c r="K83" s="34">
        <f>SUMPRODUCT(N(Tabela4[Ativo]=Tabela5[[#This Row],[Ativo]]),N(YEAR(Tabela4[Data ex-1])=Tabela5[[#This Row],[Ano]]),Tabela4[Líquido])</f>
        <v>0.4</v>
      </c>
      <c r="L83" s="87"/>
      <c r="M83" s="87"/>
      <c r="N83" s="88">
        <f>IF(Tabela5[[#This Row],[Dividendos]]&gt;0,Tabela5[[#This Row],[Dividendos]]/Tabela5[[#This Row],[Lucro Líquido]],0)</f>
        <v>0</v>
      </c>
      <c r="O83" s="23"/>
      <c r="P83" s="10"/>
    </row>
    <row r="84" spans="1:16" x14ac:dyDescent="0.2">
      <c r="A84" s="4" t="s">
        <v>203</v>
      </c>
      <c r="B84" s="3" t="s">
        <v>14</v>
      </c>
      <c r="C84" s="18">
        <v>39549</v>
      </c>
      <c r="D84" s="3">
        <v>1.5900000000000001E-2</v>
      </c>
      <c r="E84" s="26">
        <v>39563</v>
      </c>
      <c r="F84" s="16">
        <v>39549</v>
      </c>
      <c r="G84" s="10">
        <f>IF(Tabela4[[#This Row],[Tipo]]="Dividendo",Tabela4[[#This Row],[Valor]],IF(Tabela4[[#This Row],[Tipo]]="Jrs. Cap. Próprio",Tabela4[[#This Row],[Valor]]*85%,0))</f>
        <v>1.3515000000000001E-2</v>
      </c>
      <c r="I84" s="35" t="s">
        <v>61</v>
      </c>
      <c r="J84" s="35">
        <v>2009</v>
      </c>
      <c r="K84" s="34">
        <f>SUMPRODUCT(N(Tabela4[Ativo]=Tabela5[[#This Row],[Ativo]]),N(YEAR(Tabela4[Data ex-1])=Tabela5[[#This Row],[Ano]]),Tabela4[Líquido])</f>
        <v>0.12</v>
      </c>
      <c r="L84" s="87"/>
      <c r="M84" s="87"/>
      <c r="N84" s="88">
        <f>IF(Tabela5[[#This Row],[Dividendos]]&gt;0,Tabela5[[#This Row],[Dividendos]]/Tabela5[[#This Row],[Lucro Líquido]],0)</f>
        <v>0</v>
      </c>
      <c r="O84" s="23"/>
      <c r="P84" s="10"/>
    </row>
    <row r="85" spans="1:16" x14ac:dyDescent="0.2">
      <c r="A85" s="4" t="s">
        <v>203</v>
      </c>
      <c r="B85" s="3" t="s">
        <v>15</v>
      </c>
      <c r="C85" s="18">
        <v>39549</v>
      </c>
      <c r="D85" s="3">
        <v>6.7999999999999996E-3</v>
      </c>
      <c r="E85" s="26">
        <v>39563</v>
      </c>
      <c r="F85" s="16">
        <v>39549</v>
      </c>
      <c r="G85" s="10">
        <f>IF(Tabela4[[#This Row],[Tipo]]="Dividendo",Tabela4[[#This Row],[Valor]],IF(Tabela4[[#This Row],[Tipo]]="Jrs. Cap. Próprio",Tabela4[[#This Row],[Valor]]*85%,0))</f>
        <v>6.7999999999999996E-3</v>
      </c>
      <c r="I85" s="35" t="s">
        <v>61</v>
      </c>
      <c r="J85" s="35">
        <v>2008</v>
      </c>
      <c r="K85" s="34">
        <f>SUMPRODUCT(N(Tabela4[Ativo]=Tabela5[[#This Row],[Ativo]]),N(YEAR(Tabela4[Data ex-1])=Tabela5[[#This Row],[Ano]]),Tabela4[Líquido])</f>
        <v>0.19550000000000003</v>
      </c>
      <c r="L85" s="87"/>
      <c r="M85" s="87"/>
      <c r="N85" s="88">
        <f>IF(Tabela5[[#This Row],[Dividendos]]&gt;0,Tabela5[[#This Row],[Dividendos]]/Tabela5[[#This Row],[Lucro Líquido]],0)</f>
        <v>0</v>
      </c>
      <c r="O85" s="23"/>
      <c r="P85" s="10"/>
    </row>
    <row r="86" spans="1:16" x14ac:dyDescent="0.2">
      <c r="A86" s="4" t="s">
        <v>203</v>
      </c>
      <c r="B86" s="3" t="s">
        <v>14</v>
      </c>
      <c r="C86" s="18">
        <v>39372</v>
      </c>
      <c r="D86" s="3">
        <v>6.7999999999999996E-3</v>
      </c>
      <c r="E86" s="26">
        <v>39384</v>
      </c>
      <c r="F86" s="16">
        <v>39372</v>
      </c>
      <c r="G86" s="10">
        <f>IF(Tabela4[[#This Row],[Tipo]]="Dividendo",Tabela4[[#This Row],[Valor]],IF(Tabela4[[#This Row],[Tipo]]="Jrs. Cap. Próprio",Tabela4[[#This Row],[Valor]]*85%,0))</f>
        <v>5.7799999999999995E-3</v>
      </c>
      <c r="I86" s="3" t="s">
        <v>13</v>
      </c>
      <c r="J86" s="3">
        <v>2013</v>
      </c>
      <c r="K86" s="10">
        <f>SUMPRODUCT(N(Tabela4[Ativo]=Tabela5[[#This Row],[Ativo]]),N(YEAR(Tabela4[Data ex-1])=Tabela5[[#This Row],[Ano]]),Tabela4[Líquido])</f>
        <v>0.19999</v>
      </c>
      <c r="N86" s="23">
        <f>IF(Tabela5[[#This Row],[Dividendos]]&gt;0,Tabela5[[#This Row],[Dividendos]]/Tabela5[[#This Row],[Lucro Líquido]],0)</f>
        <v>0</v>
      </c>
      <c r="O86" s="23">
        <v>1.2939000000000001</v>
      </c>
      <c r="P86" s="10"/>
    </row>
    <row r="87" spans="1:16" x14ac:dyDescent="0.2">
      <c r="A87" s="4" t="s">
        <v>203</v>
      </c>
      <c r="B87" s="3" t="s">
        <v>14</v>
      </c>
      <c r="C87" s="18">
        <v>39197</v>
      </c>
      <c r="D87" s="3">
        <v>34.840600000000002</v>
      </c>
      <c r="E87" s="26">
        <v>39212</v>
      </c>
      <c r="F87" s="16">
        <v>39197</v>
      </c>
      <c r="G87" s="10">
        <f>IF(Tabela4[[#This Row],[Tipo]]="Dividendo",Tabela4[[#This Row],[Valor]],IF(Tabela4[[#This Row],[Tipo]]="Jrs. Cap. Próprio",Tabela4[[#This Row],[Valor]]*85%,0))</f>
        <v>29.614509999999999</v>
      </c>
      <c r="I87" s="3" t="s">
        <v>13</v>
      </c>
      <c r="J87" s="4">
        <v>2012</v>
      </c>
      <c r="K87" s="14">
        <f>SUMPRODUCT(N(Tabela4[Ativo]=Tabela5[[#This Row],[Ativo]]),N(YEAR(Tabela4[Data ex-1])=Tabela5[[#This Row],[Ano]]),Tabela4[Líquido])</f>
        <v>0.42847999999999997</v>
      </c>
      <c r="L87" s="6"/>
      <c r="M87" s="6"/>
      <c r="N87" s="24">
        <f>IF(Tabela5[[#This Row],[Dividendos]]&gt;0,Tabela5[[#This Row],[Dividendos]]/Tabela5[[#This Row],[Lucro Líquido]],0)</f>
        <v>0</v>
      </c>
      <c r="O87" s="23">
        <v>0.79</v>
      </c>
      <c r="P87" s="10"/>
    </row>
    <row r="88" spans="1:16" x14ac:dyDescent="0.2">
      <c r="A88" s="4" t="s">
        <v>203</v>
      </c>
      <c r="B88" s="3" t="s">
        <v>14</v>
      </c>
      <c r="C88" s="18">
        <v>39112</v>
      </c>
      <c r="D88" s="3">
        <v>3.1038999999999999</v>
      </c>
      <c r="E88" s="26">
        <v>39126</v>
      </c>
      <c r="F88" s="16">
        <v>39112</v>
      </c>
      <c r="G88" s="10">
        <f>IF(Tabela4[[#This Row],[Tipo]]="Dividendo",Tabela4[[#This Row],[Valor]],IF(Tabela4[[#This Row],[Tipo]]="Jrs. Cap. Próprio",Tabela4[[#This Row],[Valor]]*85%,0))</f>
        <v>2.638315</v>
      </c>
      <c r="I88" s="3" t="s">
        <v>13</v>
      </c>
      <c r="J88" s="3">
        <v>2011</v>
      </c>
      <c r="K88" s="10">
        <f>SUMPRODUCT(N(Tabela4[Ativo]=Tabela5[[#This Row],[Ativo]]),N(YEAR(Tabela4[Data ex-1])=Tabela5[[#This Row],[Ano]]),Tabela4[Líquido])</f>
        <v>0.44395000000000001</v>
      </c>
      <c r="N88" s="23">
        <f>IF(Tabela5[[#This Row],[Dividendos]]&gt;0,Tabela5[[#This Row],[Dividendos]]/Tabela5[[#This Row],[Lucro Líquido]],0)</f>
        <v>0</v>
      </c>
      <c r="O88" s="23"/>
      <c r="P88" s="10"/>
    </row>
    <row r="89" spans="1:16" x14ac:dyDescent="0.2">
      <c r="A89" s="4" t="s">
        <v>203</v>
      </c>
      <c r="B89" s="3" t="s">
        <v>14</v>
      </c>
      <c r="C89" s="18">
        <v>38748</v>
      </c>
      <c r="D89" s="3">
        <v>42.326700000000002</v>
      </c>
      <c r="E89" s="26">
        <v>38849</v>
      </c>
      <c r="F89" s="16">
        <v>38748</v>
      </c>
      <c r="G89" s="10">
        <f>IF(Tabela4[[#This Row],[Tipo]]="Dividendo",Tabela4[[#This Row],[Valor]],IF(Tabela4[[#This Row],[Tipo]]="Jrs. Cap. Próprio",Tabela4[[#This Row],[Valor]]*85%,0))</f>
        <v>35.977695000000004</v>
      </c>
      <c r="I89" s="3" t="s">
        <v>13</v>
      </c>
      <c r="J89" s="4">
        <v>2010</v>
      </c>
      <c r="K89" s="10">
        <f>SUMPRODUCT(N(Tabela4[Ativo]=Tabela5[[#This Row],[Ativo]]),N(YEAR(Tabela4[Data ex-1])=Tabela5[[#This Row],[Ano]]),Tabela4[Líquido])</f>
        <v>0.57101999999999997</v>
      </c>
      <c r="N89" s="23">
        <f>IF(Tabela5[[#This Row],[Dividendos]]&gt;0,Tabela5[[#This Row],[Dividendos]]/Tabela5[[#This Row],[Lucro Líquido]],0)</f>
        <v>0</v>
      </c>
      <c r="O89" s="23"/>
      <c r="P89" s="10"/>
    </row>
    <row r="90" spans="1:16" x14ac:dyDescent="0.2">
      <c r="A90" s="4" t="s">
        <v>203</v>
      </c>
      <c r="B90" s="3" t="s">
        <v>14</v>
      </c>
      <c r="C90" s="18">
        <v>38384</v>
      </c>
      <c r="D90" s="3">
        <v>11.4772</v>
      </c>
      <c r="E90" s="26"/>
      <c r="F90" s="16">
        <v>38383</v>
      </c>
      <c r="G90" s="10">
        <f>IF(Tabela4[[#This Row],[Tipo]]="Dividendo",Tabela4[[#This Row],[Valor]],IF(Tabela4[[#This Row],[Tipo]]="Jrs. Cap. Próprio",Tabela4[[#This Row],[Valor]]*85%,0))</f>
        <v>9.7556200000000004</v>
      </c>
      <c r="I90" s="3" t="s">
        <v>13</v>
      </c>
      <c r="J90" s="3">
        <v>2009</v>
      </c>
      <c r="K90" s="10">
        <f>SUMPRODUCT(N(Tabela4[Ativo]=Tabela5[[#This Row],[Ativo]]),N(YEAR(Tabela4[Data ex-1])=Tabela5[[#This Row],[Ano]]),Tabela4[Líquido])</f>
        <v>0.60505000000000009</v>
      </c>
      <c r="N90" s="23">
        <f>IF(Tabela5[[#This Row],[Dividendos]]&gt;0,Tabela5[[#This Row],[Dividendos]]/Tabela5[[#This Row],[Lucro Líquido]],0)</f>
        <v>0</v>
      </c>
      <c r="O90" s="23"/>
      <c r="P90" s="10"/>
    </row>
    <row r="91" spans="1:16" x14ac:dyDescent="0.2">
      <c r="A91" s="4" t="s">
        <v>203</v>
      </c>
      <c r="B91" s="3" t="s">
        <v>14</v>
      </c>
      <c r="C91" s="18">
        <v>38198</v>
      </c>
      <c r="D91" s="3">
        <v>6.7743000000000002</v>
      </c>
      <c r="E91" s="26">
        <v>38211</v>
      </c>
      <c r="F91" s="16">
        <v>38198</v>
      </c>
      <c r="G91" s="10">
        <f>IF(Tabela4[[#This Row],[Tipo]]="Dividendo",Tabela4[[#This Row],[Valor]],IF(Tabela4[[#This Row],[Tipo]]="Jrs. Cap. Próprio",Tabela4[[#This Row],[Valor]]*85%,0))</f>
        <v>5.7581550000000004</v>
      </c>
      <c r="I91" s="3" t="s">
        <v>13</v>
      </c>
      <c r="J91" s="4">
        <v>2008</v>
      </c>
      <c r="K91" s="10">
        <f>SUMPRODUCT(N(Tabela4[Ativo]=Tabela5[[#This Row],[Ativo]]),N(YEAR(Tabela4[Data ex-1])=Tabela5[[#This Row],[Ano]]),Tabela4[Líquido])</f>
        <v>0.51664500000000002</v>
      </c>
      <c r="N91" s="23">
        <f>IF(Tabela5[[#This Row],[Dividendos]]&gt;0,Tabela5[[#This Row],[Dividendos]]/Tabela5[[#This Row],[Lucro Líquido]],0)</f>
        <v>0</v>
      </c>
      <c r="O91" s="23"/>
      <c r="P91" s="10"/>
    </row>
    <row r="92" spans="1:16" x14ac:dyDescent="0.2">
      <c r="A92" s="4" t="s">
        <v>203</v>
      </c>
      <c r="B92" s="3" t="s">
        <v>14</v>
      </c>
      <c r="C92" s="18">
        <v>38023</v>
      </c>
      <c r="D92" s="3">
        <v>46.79</v>
      </c>
      <c r="E92" s="26">
        <v>38135</v>
      </c>
      <c r="F92" s="16">
        <v>38023</v>
      </c>
      <c r="G92" s="10">
        <f>IF(Tabela4[[#This Row],[Tipo]]="Dividendo",Tabela4[[#This Row],[Valor]],IF(Tabela4[[#This Row],[Tipo]]="Jrs. Cap. Próprio",Tabela4[[#This Row],[Valor]]*85%,0))</f>
        <v>39.771499999999996</v>
      </c>
      <c r="I92" s="4" t="s">
        <v>31</v>
      </c>
      <c r="J92" s="4">
        <v>2013</v>
      </c>
      <c r="K92" s="14">
        <f>SUMPRODUCT(N(Tabela4[Ativo]=Tabela5[[#This Row],[Ativo]]),N(YEAR(Tabela4[Data ex-1])=Tabela5[[#This Row],[Ano]]),Tabela4[Líquido])</f>
        <v>0.17291499999999999</v>
      </c>
      <c r="L92" s="6"/>
      <c r="M92" s="6"/>
      <c r="N92" s="24">
        <f>IF(Tabela5[[#This Row],[Dividendos]]&gt;0,Tabela5[[#This Row],[Dividendos]]/Tabela5[[#This Row],[Lucro Líquido]],0)</f>
        <v>0</v>
      </c>
      <c r="O92" s="23"/>
      <c r="P92" s="10"/>
    </row>
    <row r="93" spans="1:16" x14ac:dyDescent="0.2">
      <c r="A93" s="4" t="s">
        <v>203</v>
      </c>
      <c r="B93" s="3" t="s">
        <v>15</v>
      </c>
      <c r="C93" s="18">
        <v>37672</v>
      </c>
      <c r="D93" s="3">
        <v>3.58</v>
      </c>
      <c r="E93" s="26">
        <v>37760</v>
      </c>
      <c r="F93" s="16">
        <v>37672</v>
      </c>
      <c r="G93" s="10">
        <f>IF(Tabela4[[#This Row],[Tipo]]="Dividendo",Tabela4[[#This Row],[Valor]],IF(Tabela4[[#This Row],[Tipo]]="Jrs. Cap. Próprio",Tabela4[[#This Row],[Valor]]*85%,0))</f>
        <v>3.58</v>
      </c>
      <c r="I93" s="4" t="s">
        <v>31</v>
      </c>
      <c r="J93" s="4">
        <v>2012</v>
      </c>
      <c r="K93" s="14">
        <f>SUMPRODUCT(N(Tabela4[Ativo]=Tabela5[[#This Row],[Ativo]]),N(YEAR(Tabela4[Data ex-1])=Tabela5[[#This Row],[Ano]]),Tabela4[Líquido])</f>
        <v>0.35146723299999993</v>
      </c>
      <c r="L93" s="6"/>
      <c r="M93" s="6"/>
      <c r="N93" s="24">
        <f>IF(Tabela5[[#This Row],[Dividendos]]&gt;0,Tabela5[[#This Row],[Dividendos]]/Tabela5[[#This Row],[Lucro Líquido]],0)</f>
        <v>0</v>
      </c>
      <c r="O93" s="23"/>
      <c r="P93" s="10"/>
    </row>
    <row r="94" spans="1:16" x14ac:dyDescent="0.2">
      <c r="A94" s="4" t="s">
        <v>203</v>
      </c>
      <c r="B94" s="3" t="s">
        <v>14</v>
      </c>
      <c r="C94" s="18">
        <v>36928</v>
      </c>
      <c r="D94" s="3">
        <v>44.59</v>
      </c>
      <c r="E94" s="26">
        <v>37022</v>
      </c>
      <c r="F94" s="16">
        <v>36927</v>
      </c>
      <c r="G94" s="10">
        <f>IF(Tabela4[[#This Row],[Tipo]]="Dividendo",Tabela4[[#This Row],[Valor]],IF(Tabela4[[#This Row],[Tipo]]="Jrs. Cap. Próprio",Tabela4[[#This Row],[Valor]]*85%,0))</f>
        <v>37.901499999999999</v>
      </c>
      <c r="I94" s="4" t="s">
        <v>31</v>
      </c>
      <c r="J94" s="4">
        <v>2011</v>
      </c>
      <c r="K94" s="10">
        <f>SUMPRODUCT(N(Tabela4[Ativo]=Tabela5[[#This Row],[Ativo]]),N(YEAR(Tabela4[Data ex-1])=Tabela5[[#This Row],[Ano]]),Tabela4[Líquido])</f>
        <v>0.24010000000000001</v>
      </c>
      <c r="N94" s="23">
        <f>IF(Tabela5[[#This Row],[Dividendos]]&gt;0,Tabela5[[#This Row],[Dividendos]]/Tabela5[[#This Row],[Lucro Líquido]],0)</f>
        <v>0</v>
      </c>
      <c r="O94" s="23"/>
      <c r="P94" s="10"/>
    </row>
    <row r="95" spans="1:16" x14ac:dyDescent="0.2">
      <c r="A95" s="4" t="s">
        <v>203</v>
      </c>
      <c r="B95" s="3" t="s">
        <v>14</v>
      </c>
      <c r="C95" s="18">
        <v>36767</v>
      </c>
      <c r="D95" s="3">
        <v>28.73</v>
      </c>
      <c r="E95" s="26">
        <v>36798</v>
      </c>
      <c r="F95" s="16">
        <v>36766</v>
      </c>
      <c r="G95" s="10">
        <f>IF(Tabela4[[#This Row],[Tipo]]="Dividendo",Tabela4[[#This Row],[Valor]],IF(Tabela4[[#This Row],[Tipo]]="Jrs. Cap. Próprio",Tabela4[[#This Row],[Valor]]*85%,0))</f>
        <v>24.420500000000001</v>
      </c>
      <c r="I95" s="4" t="s">
        <v>31</v>
      </c>
      <c r="J95" s="4">
        <v>2010</v>
      </c>
      <c r="K95" s="10">
        <f>SUMPRODUCT(N(Tabela4[Ativo]=Tabela5[[#This Row],[Ativo]]),N(YEAR(Tabela4[Data ex-1])=Tabela5[[#This Row],[Ano]]),Tabela4[Líquido])</f>
        <v>0.11052379800000001</v>
      </c>
      <c r="N95" s="23">
        <f>IF(Tabela5[[#This Row],[Dividendos]]&gt;0,Tabela5[[#This Row],[Dividendos]]/Tabela5[[#This Row],[Lucro Líquido]],0)</f>
        <v>0</v>
      </c>
      <c r="O95" s="23"/>
      <c r="P95" s="10"/>
    </row>
    <row r="96" spans="1:16" x14ac:dyDescent="0.2">
      <c r="A96" s="4" t="s">
        <v>203</v>
      </c>
      <c r="B96" s="3" t="s">
        <v>15</v>
      </c>
      <c r="C96" s="18">
        <v>36622</v>
      </c>
      <c r="D96" s="3">
        <v>6.19</v>
      </c>
      <c r="E96" s="26">
        <v>36679</v>
      </c>
      <c r="F96" s="16">
        <v>36622</v>
      </c>
      <c r="G96" s="10">
        <f>IF(Tabela4[[#This Row],[Tipo]]="Dividendo",Tabela4[[#This Row],[Valor]],IF(Tabela4[[#This Row],[Tipo]]="Jrs. Cap. Próprio",Tabela4[[#This Row],[Valor]]*85%,0))</f>
        <v>6.19</v>
      </c>
      <c r="I96" s="4" t="s">
        <v>31</v>
      </c>
      <c r="J96" s="4">
        <v>2009</v>
      </c>
      <c r="K96" s="10">
        <f>SUMPRODUCT(N(Tabela4[Ativo]=Tabela5[[#This Row],[Ativo]]),N(YEAR(Tabela4[Data ex-1])=Tabela5[[#This Row],[Ano]]),Tabela4[Líquido])</f>
        <v>6.9704837000000006E-2</v>
      </c>
      <c r="N96" s="23">
        <f>IF(Tabela5[[#This Row],[Dividendos]]&gt;0,Tabela5[[#This Row],[Dividendos]]/Tabela5[[#This Row],[Lucro Líquido]],0)</f>
        <v>0</v>
      </c>
      <c r="O96" s="23"/>
      <c r="P96" s="10"/>
    </row>
    <row r="97" spans="1:16" x14ac:dyDescent="0.2">
      <c r="A97" s="4" t="s">
        <v>203</v>
      </c>
      <c r="B97" s="3" t="s">
        <v>15</v>
      </c>
      <c r="C97" s="18">
        <v>36574</v>
      </c>
      <c r="D97" s="3">
        <v>51.33</v>
      </c>
      <c r="E97" s="26">
        <v>36679</v>
      </c>
      <c r="F97" s="16">
        <v>36574</v>
      </c>
      <c r="G97" s="10">
        <f>IF(Tabela4[[#This Row],[Tipo]]="Dividendo",Tabela4[[#This Row],[Valor]],IF(Tabela4[[#This Row],[Tipo]]="Jrs. Cap. Próprio",Tabela4[[#This Row],[Valor]]*85%,0))</f>
        <v>51.33</v>
      </c>
      <c r="I97" s="4" t="s">
        <v>31</v>
      </c>
      <c r="J97" s="4">
        <v>2008</v>
      </c>
      <c r="K97" s="10">
        <f>SUMPRODUCT(N(Tabela4[Ativo]=Tabela5[[#This Row],[Ativo]]),N(YEAR(Tabela4[Data ex-1])=Tabela5[[#This Row],[Ano]]),Tabela4[Líquido])</f>
        <v>0.19842787100000001</v>
      </c>
      <c r="N97" s="23">
        <f>IF(Tabela5[[#This Row],[Dividendos]]&gt;0,Tabela5[[#This Row],[Dividendos]]/Tabela5[[#This Row],[Lucro Líquido]],0)</f>
        <v>0</v>
      </c>
      <c r="O97" s="23"/>
      <c r="P97" s="10"/>
    </row>
    <row r="98" spans="1:16" x14ac:dyDescent="0.2">
      <c r="A98" s="4" t="s">
        <v>203</v>
      </c>
      <c r="B98" s="3" t="s">
        <v>14</v>
      </c>
      <c r="C98" s="18">
        <v>36486</v>
      </c>
      <c r="D98" s="3">
        <v>47.88</v>
      </c>
      <c r="E98" s="26">
        <v>36504</v>
      </c>
      <c r="F98" s="16">
        <v>36458</v>
      </c>
      <c r="G98" s="10">
        <f>IF(Tabela4[[#This Row],[Tipo]]="Dividendo",Tabela4[[#This Row],[Valor]],IF(Tabela4[[#This Row],[Tipo]]="Jrs. Cap. Próprio",Tabela4[[#This Row],[Valor]]*85%,0))</f>
        <v>40.698</v>
      </c>
      <c r="I98" s="4" t="s">
        <v>31</v>
      </c>
      <c r="J98" s="4">
        <v>2007</v>
      </c>
      <c r="K98" s="10">
        <f>SUMPRODUCT(N(Tabela4[Ativo]=Tabela5[[#This Row],[Ativo]]),N(YEAR(Tabela4[Data ex-1])=Tabela5[[#This Row],[Ano]]),Tabela4[Líquido])</f>
        <v>3.9133544999999999E-2</v>
      </c>
      <c r="N98" s="23">
        <f>IF(Tabela5[[#This Row],[Dividendos]]&gt;0,Tabela5[[#This Row],[Dividendos]]/Tabela5[[#This Row],[Lucro Líquido]],0)</f>
        <v>0</v>
      </c>
      <c r="O98" s="23"/>
      <c r="P98" s="10"/>
    </row>
    <row r="99" spans="1:16" x14ac:dyDescent="0.2">
      <c r="A99" s="4" t="s">
        <v>203</v>
      </c>
      <c r="B99" s="3" t="s">
        <v>15</v>
      </c>
      <c r="C99" s="18">
        <v>36220</v>
      </c>
      <c r="D99" s="3">
        <v>33.869999999999997</v>
      </c>
      <c r="E99" s="26">
        <v>36321</v>
      </c>
      <c r="F99" s="16">
        <v>36220</v>
      </c>
      <c r="G99" s="10">
        <f>IF(Tabela4[[#This Row],[Tipo]]="Dividendo",Tabela4[[#This Row],[Valor]],IF(Tabela4[[#This Row],[Tipo]]="Jrs. Cap. Próprio",Tabela4[[#This Row],[Valor]]*85%,0))</f>
        <v>33.869999999999997</v>
      </c>
      <c r="I99" s="4" t="s">
        <v>200</v>
      </c>
      <c r="J99" s="4">
        <v>2013</v>
      </c>
      <c r="K99" s="14">
        <f>SUMPRODUCT(N(Tabela4[Ativo]=Tabela5[[#This Row],[Ativo]]),N(YEAR(Tabela4[Data ex-1])=Tabela5[[#This Row],[Ano]]),Tabela4[Líquido])</f>
        <v>1.0879999999999999E-2</v>
      </c>
      <c r="L99" s="6"/>
      <c r="M99" s="6"/>
      <c r="N99" s="24">
        <f>IF(Tabela5[[#This Row],[Dividendos]]&gt;0,Tabela5[[#This Row],[Dividendos]]/Tabela5[[#This Row],[Lucro Líquido]],0)</f>
        <v>0</v>
      </c>
      <c r="O99" s="23">
        <v>0</v>
      </c>
      <c r="P99" s="10"/>
    </row>
    <row r="100" spans="1:16" x14ac:dyDescent="0.2">
      <c r="A100" s="4" t="s">
        <v>203</v>
      </c>
      <c r="B100" s="3" t="s">
        <v>15</v>
      </c>
      <c r="C100" s="18">
        <v>35846</v>
      </c>
      <c r="D100" s="3">
        <v>26.03</v>
      </c>
      <c r="E100" s="26"/>
      <c r="F100" s="16">
        <v>35846</v>
      </c>
      <c r="G100" s="10">
        <f>IF(Tabela4[[#This Row],[Tipo]]="Dividendo",Tabela4[[#This Row],[Valor]],IF(Tabela4[[#This Row],[Tipo]]="Jrs. Cap. Próprio",Tabela4[[#This Row],[Valor]]*85%,0))</f>
        <v>26.03</v>
      </c>
      <c r="I100" s="4" t="s">
        <v>200</v>
      </c>
      <c r="J100" s="4">
        <v>2012</v>
      </c>
      <c r="K100" s="14">
        <f>SUMPRODUCT(N(Tabela4[Ativo]=Tabela5[[#This Row],[Ativo]]),N(YEAR(Tabela4[Data ex-1])=Tabela5[[#This Row],[Ano]]),Tabela4[Líquido])</f>
        <v>1.0199999999999999E-2</v>
      </c>
      <c r="L100" s="6"/>
      <c r="M100" s="6"/>
      <c r="N100" s="24">
        <f>IF(Tabela5[[#This Row],[Dividendos]]&gt;0,Tabela5[[#This Row],[Dividendos]]/Tabela5[[#This Row],[Lucro Líquido]],0)</f>
        <v>0</v>
      </c>
      <c r="O100" s="23">
        <v>0</v>
      </c>
      <c r="P100" s="10"/>
    </row>
    <row r="101" spans="1:16" x14ac:dyDescent="0.2">
      <c r="A101" s="4" t="s">
        <v>203</v>
      </c>
      <c r="B101" s="3" t="s">
        <v>15</v>
      </c>
      <c r="C101" s="18">
        <v>35493</v>
      </c>
      <c r="D101" s="3">
        <v>6.52</v>
      </c>
      <c r="E101" s="26"/>
      <c r="F101" s="16">
        <v>35493</v>
      </c>
      <c r="G101" s="10">
        <f>IF(Tabela4[[#This Row],[Tipo]]="Dividendo",Tabela4[[#This Row],[Valor]],IF(Tabela4[[#This Row],[Tipo]]="Jrs. Cap. Próprio",Tabela4[[#This Row],[Valor]]*85%,0))</f>
        <v>6.52</v>
      </c>
      <c r="I101" s="4" t="s">
        <v>200</v>
      </c>
      <c r="J101" s="4">
        <v>2011</v>
      </c>
      <c r="K101" s="10">
        <f>SUMPRODUCT(N(Tabela4[Ativo]=Tabela5[[#This Row],[Ativo]]),N(YEAR(Tabela4[Data ex-1])=Tabela5[[#This Row],[Ano]]),Tabela4[Líquido])</f>
        <v>1.0114999999999999E-2</v>
      </c>
      <c r="N101" s="23">
        <f>IF(Tabela5[[#This Row],[Dividendos]]&gt;0,Tabela5[[#This Row],[Dividendos]]/Tabela5[[#This Row],[Lucro Líquido]],0)</f>
        <v>0</v>
      </c>
      <c r="O101" s="23"/>
      <c r="P101" s="10"/>
    </row>
    <row r="102" spans="1:16" x14ac:dyDescent="0.2">
      <c r="A102" s="35" t="s">
        <v>83</v>
      </c>
      <c r="B102" s="35" t="s">
        <v>14</v>
      </c>
      <c r="C102" s="36">
        <v>41619</v>
      </c>
      <c r="D102" s="38">
        <v>0.30930000000000002</v>
      </c>
      <c r="E102" s="37">
        <v>41638</v>
      </c>
      <c r="F102" s="37">
        <v>41604</v>
      </c>
      <c r="G102" s="38">
        <f>IF(Tabela4[[#This Row],[Tipo]]="Dividendo",Tabela4[[#This Row],[Valor]],IF(Tabela4[[#This Row],[Tipo]]="Jrs. Cap. Próprio",Tabela4[[#This Row],[Valor]]*85%,0))</f>
        <v>0.262905</v>
      </c>
      <c r="I102" s="4" t="s">
        <v>200</v>
      </c>
      <c r="J102" s="4">
        <v>2010</v>
      </c>
      <c r="K102" s="10">
        <f>SUMPRODUCT(N(Tabela4[Ativo]=Tabela5[[#This Row],[Ativo]]),N(YEAR(Tabela4[Data ex-1])=Tabela5[[#This Row],[Ano]]),Tabela4[Líquido])</f>
        <v>9.3499999999999989E-3</v>
      </c>
      <c r="N102" s="23">
        <f>IF(Tabela5[[#This Row],[Dividendos]]&gt;0,Tabela5[[#This Row],[Dividendos]]/Tabela5[[#This Row],[Lucro Líquido]],0)</f>
        <v>0</v>
      </c>
      <c r="O102" s="23"/>
      <c r="P102" s="10"/>
    </row>
    <row r="103" spans="1:16" x14ac:dyDescent="0.2">
      <c r="A103" s="35" t="s">
        <v>83</v>
      </c>
      <c r="B103" s="31" t="s">
        <v>15</v>
      </c>
      <c r="C103" s="32">
        <v>41599</v>
      </c>
      <c r="D103" s="34">
        <v>6.6600000000000006E-2</v>
      </c>
      <c r="E103" s="33">
        <v>41607</v>
      </c>
      <c r="F103" s="33">
        <v>41583</v>
      </c>
      <c r="G103" s="34">
        <f>IF(Tabela4[[#This Row],[Tipo]]="Dividendo",Tabela4[[#This Row],[Valor]],IF(Tabela4[[#This Row],[Tipo]]="Jrs. Cap. Próprio",Tabela4[[#This Row],[Valor]]*85%,0))</f>
        <v>6.6600000000000006E-2</v>
      </c>
      <c r="I103" s="4" t="s">
        <v>200</v>
      </c>
      <c r="J103" s="4">
        <v>2009</v>
      </c>
      <c r="K103" s="10">
        <f>SUMPRODUCT(N(Tabela4[Ativo]=Tabela5[[#This Row],[Ativo]]),N(YEAR(Tabela4[Data ex-1])=Tabela5[[#This Row],[Ano]]),Tabela4[Líquido])</f>
        <v>8.9249999999999989E-3</v>
      </c>
      <c r="N103" s="23">
        <f>IF(Tabela5[[#This Row],[Dividendos]]&gt;0,Tabela5[[#This Row],[Dividendos]]/Tabela5[[#This Row],[Lucro Líquido]],0)</f>
        <v>0</v>
      </c>
      <c r="O103" s="23"/>
      <c r="P103" s="10"/>
    </row>
    <row r="104" spans="1:16" x14ac:dyDescent="0.2">
      <c r="A104" s="35" t="s">
        <v>83</v>
      </c>
      <c r="B104" s="31" t="s">
        <v>14</v>
      </c>
      <c r="C104" s="32">
        <v>41528</v>
      </c>
      <c r="D104" s="34">
        <v>0.31380000000000002</v>
      </c>
      <c r="E104" s="33">
        <v>41547</v>
      </c>
      <c r="F104" s="33">
        <v>41513</v>
      </c>
      <c r="G104" s="34">
        <f>IF(Tabela4[[#This Row],[Tipo]]="Dividendo",Tabela4[[#This Row],[Valor]],IF(Tabela4[[#This Row],[Tipo]]="Jrs. Cap. Próprio",Tabela4[[#This Row],[Valor]]*85%,0))</f>
        <v>0.26673000000000002</v>
      </c>
      <c r="I104" s="4" t="s">
        <v>200</v>
      </c>
      <c r="J104" s="4">
        <v>2008</v>
      </c>
      <c r="K104" s="10">
        <f>SUMPRODUCT(N(Tabela4[Ativo]=Tabela5[[#This Row],[Ativo]]),N(YEAR(Tabela4[Data ex-1])=Tabela5[[#This Row],[Ano]]),Tabela4[Líquido])</f>
        <v>8.5000000000000006E-3</v>
      </c>
      <c r="N104" s="23">
        <f>IF(Tabela5[[#This Row],[Dividendos]]&gt;0,Tabela5[[#This Row],[Dividendos]]/Tabela5[[#This Row],[Lucro Líquido]],0)</f>
        <v>0</v>
      </c>
      <c r="O104" s="23"/>
      <c r="P104" s="10"/>
    </row>
    <row r="105" spans="1:16" x14ac:dyDescent="0.2">
      <c r="A105" s="35" t="s">
        <v>83</v>
      </c>
      <c r="B105" s="31" t="s">
        <v>15</v>
      </c>
      <c r="C105" s="32">
        <v>41508</v>
      </c>
      <c r="D105" s="34">
        <v>0.78090000000000004</v>
      </c>
      <c r="E105" s="33">
        <v>41516</v>
      </c>
      <c r="F105" s="33">
        <v>41492</v>
      </c>
      <c r="G105" s="34">
        <f>IF(Tabela4[[#This Row],[Tipo]]="Dividendo",Tabela4[[#This Row],[Valor]],IF(Tabela4[[#This Row],[Tipo]]="Jrs. Cap. Próprio",Tabela4[[#This Row],[Valor]]*85%,0))</f>
        <v>0.78090000000000004</v>
      </c>
      <c r="I105" s="4" t="s">
        <v>200</v>
      </c>
      <c r="J105" s="4">
        <v>2007</v>
      </c>
      <c r="K105" s="10">
        <f>SUMPRODUCT(N(Tabela4[Ativo]=Tabela5[[#This Row],[Ativo]]),N(YEAR(Tabela4[Data ex-1])=Tabela5[[#This Row],[Ano]]),Tabela4[Líquido])</f>
        <v>8.1600000000000006E-3</v>
      </c>
      <c r="N105" s="23">
        <f>IF(Tabela5[[#This Row],[Dividendos]]&gt;0,Tabela5[[#This Row],[Dividendos]]/Tabela5[[#This Row],[Lucro Líquido]],0)</f>
        <v>0</v>
      </c>
      <c r="O105" s="23"/>
      <c r="P105" s="10"/>
    </row>
    <row r="106" spans="1:16" x14ac:dyDescent="0.2">
      <c r="A106" s="35" t="s">
        <v>83</v>
      </c>
      <c r="B106" s="31" t="s">
        <v>14</v>
      </c>
      <c r="C106" s="32">
        <v>41436</v>
      </c>
      <c r="D106" s="34">
        <v>0.28199999999999997</v>
      </c>
      <c r="E106" s="33">
        <v>41453</v>
      </c>
      <c r="F106" s="33">
        <v>41422</v>
      </c>
      <c r="G106" s="34">
        <f>IF(Tabela4[[#This Row],[Tipo]]="Dividendo",Tabela4[[#This Row],[Valor]],IF(Tabela4[[#This Row],[Tipo]]="Jrs. Cap. Próprio",Tabela4[[#This Row],[Valor]]*85%,0))</f>
        <v>0.23969999999999997</v>
      </c>
      <c r="I106" s="4" t="s">
        <v>200</v>
      </c>
      <c r="J106" s="4">
        <v>2006</v>
      </c>
      <c r="K106" s="10">
        <f>SUMPRODUCT(N(Tabela4[Ativo]=Tabela5[[#This Row],[Ativo]]),N(YEAR(Tabela4[Data ex-1])=Tabela5[[#This Row],[Ano]]),Tabela4[Líquido])</f>
        <v>7.8199999999999988E-3</v>
      </c>
      <c r="N106" s="23">
        <f>IF(Tabela5[[#This Row],[Dividendos]]&gt;0,Tabela5[[#This Row],[Dividendos]]/Tabela5[[#This Row],[Lucro Líquido]],0)</f>
        <v>0</v>
      </c>
      <c r="O106" s="23"/>
      <c r="P106" s="10"/>
    </row>
    <row r="107" spans="1:16" x14ac:dyDescent="0.2">
      <c r="A107" s="35" t="s">
        <v>83</v>
      </c>
      <c r="B107" s="31" t="s">
        <v>15</v>
      </c>
      <c r="C107" s="32">
        <v>41415</v>
      </c>
      <c r="D107" s="34">
        <v>9.8199999999999996E-2</v>
      </c>
      <c r="E107" s="33">
        <v>41425</v>
      </c>
      <c r="F107" s="33">
        <v>41408</v>
      </c>
      <c r="G107" s="34">
        <f>IF(Tabela4[[#This Row],[Tipo]]="Dividendo",Tabela4[[#This Row],[Valor]],IF(Tabela4[[#This Row],[Tipo]]="Jrs. Cap. Próprio",Tabela4[[#This Row],[Valor]]*85%,0))</f>
        <v>9.8199999999999996E-2</v>
      </c>
      <c r="I107" s="4" t="s">
        <v>200</v>
      </c>
      <c r="J107" s="4">
        <v>2005</v>
      </c>
      <c r="K107" s="10">
        <f>SUMPRODUCT(N(Tabela4[Ativo]=Tabela5[[#This Row],[Ativo]]),N(YEAR(Tabela4[Data ex-1])=Tabela5[[#This Row],[Ano]]),Tabela4[Líquido])</f>
        <v>1.1219999999999999E-2</v>
      </c>
      <c r="N107" s="23">
        <f>IF(Tabela5[[#This Row],[Dividendos]]&gt;0,Tabela5[[#This Row],[Dividendos]]/Tabela5[[#This Row],[Lucro Líquido]],0)</f>
        <v>0</v>
      </c>
      <c r="O107" s="23"/>
      <c r="P107" s="10"/>
    </row>
    <row r="108" spans="1:16" x14ac:dyDescent="0.2">
      <c r="A108" s="35" t="s">
        <v>83</v>
      </c>
      <c r="B108" s="31" t="s">
        <v>14</v>
      </c>
      <c r="C108" s="32">
        <v>41344</v>
      </c>
      <c r="D108" s="34">
        <v>0.26490000000000002</v>
      </c>
      <c r="E108" s="33">
        <v>41333</v>
      </c>
      <c r="F108" s="33">
        <v>41331</v>
      </c>
      <c r="G108" s="34">
        <f>IF(Tabela4[[#This Row],[Tipo]]="Dividendo",Tabela4[[#This Row],[Valor]],IF(Tabela4[[#This Row],[Tipo]]="Jrs. Cap. Próprio",Tabela4[[#This Row],[Valor]]*85%,0))</f>
        <v>0.225165</v>
      </c>
      <c r="I108" s="4" t="s">
        <v>200</v>
      </c>
      <c r="J108" s="4">
        <v>2004</v>
      </c>
      <c r="K108" s="10">
        <f>SUMPRODUCT(N(Tabela4[Ativo]=Tabela5[[#This Row],[Ativo]]),N(YEAR(Tabela4[Data ex-1])=Tabela5[[#This Row],[Ano]]),Tabela4[Líquido])</f>
        <v>6.3749999999999996E-3</v>
      </c>
      <c r="N108" s="23">
        <f>IF(Tabela5[[#This Row],[Dividendos]]&gt;0,Tabela5[[#This Row],[Dividendos]]/Tabela5[[#This Row],[Lucro Líquido]],0)</f>
        <v>0</v>
      </c>
      <c r="O108" s="23"/>
      <c r="P108" s="10"/>
    </row>
    <row r="109" spans="1:16" x14ac:dyDescent="0.2">
      <c r="A109" s="35" t="s">
        <v>83</v>
      </c>
      <c r="B109" s="31" t="s">
        <v>15</v>
      </c>
      <c r="C109" s="32">
        <v>41334</v>
      </c>
      <c r="D109" s="34">
        <v>0.26100000000000001</v>
      </c>
      <c r="E109" s="33">
        <v>41341</v>
      </c>
      <c r="F109" s="33">
        <v>41324</v>
      </c>
      <c r="G109" s="34">
        <f>IF(Tabela4[[#This Row],[Tipo]]="Dividendo",Tabela4[[#This Row],[Valor]],IF(Tabela4[[#This Row],[Tipo]]="Jrs. Cap. Próprio",Tabela4[[#This Row],[Valor]]*85%,0))</f>
        <v>0.26100000000000001</v>
      </c>
      <c r="I109" s="4" t="s">
        <v>200</v>
      </c>
      <c r="J109" s="4">
        <v>2003</v>
      </c>
      <c r="K109" s="10">
        <f>SUMPRODUCT(N(Tabela4[Ativo]=Tabela5[[#This Row],[Ativo]]),N(YEAR(Tabela4[Data ex-1])=Tabela5[[#This Row],[Ano]]),Tabela4[Líquido])</f>
        <v>9.3499999999999989E-3</v>
      </c>
      <c r="N109" s="23">
        <f>IF(Tabela5[[#This Row],[Dividendos]]&gt;0,Tabela5[[#This Row],[Dividendos]]/Tabela5[[#This Row],[Lucro Líquido]],0)</f>
        <v>0</v>
      </c>
      <c r="O109" s="23"/>
      <c r="P109" s="10"/>
    </row>
    <row r="110" spans="1:16" x14ac:dyDescent="0.2">
      <c r="A110" s="35" t="s">
        <v>83</v>
      </c>
      <c r="B110" s="31" t="s">
        <v>14</v>
      </c>
      <c r="C110" s="32">
        <v>41255</v>
      </c>
      <c r="D110" s="34">
        <v>0.29720000000000002</v>
      </c>
      <c r="E110" s="33">
        <v>41271</v>
      </c>
      <c r="F110" s="33">
        <v>41240</v>
      </c>
      <c r="G110" s="34">
        <f>IF(Tabela4[[#This Row],[Tipo]]="Dividendo",Tabela4[[#This Row],[Valor]],IF(Tabela4[[#This Row],[Tipo]]="Jrs. Cap. Próprio",Tabela4[[#This Row],[Valor]]*85%,0))</f>
        <v>0.25262000000000001</v>
      </c>
      <c r="I110" s="4" t="s">
        <v>200</v>
      </c>
      <c r="J110" s="4">
        <v>2002</v>
      </c>
      <c r="K110" s="10">
        <f>SUMPRODUCT(N(Tabela4[Ativo]=Tabela5[[#This Row],[Ativo]]),N(YEAR(Tabela4[Data ex-1])=Tabela5[[#This Row],[Ano]]),Tabela4[Líquido])</f>
        <v>7.07</v>
      </c>
      <c r="N110" s="23">
        <f>IF(Tabela5[[#This Row],[Dividendos]]&gt;0,Tabela5[[#This Row],[Dividendos]]/Tabela5[[#This Row],[Lucro Líquido]],0)</f>
        <v>0</v>
      </c>
      <c r="O110" s="23"/>
      <c r="P110" s="10"/>
    </row>
    <row r="111" spans="1:16" x14ac:dyDescent="0.2">
      <c r="A111" s="35" t="s">
        <v>83</v>
      </c>
      <c r="B111" s="31" t="s">
        <v>15</v>
      </c>
      <c r="C111" s="32">
        <v>41229</v>
      </c>
      <c r="D111" s="34">
        <v>0.1069</v>
      </c>
      <c r="E111" s="33">
        <v>41239</v>
      </c>
      <c r="F111" s="33">
        <v>41219</v>
      </c>
      <c r="G111" s="34">
        <f>IF(Tabela4[[#This Row],[Tipo]]="Dividendo",Tabela4[[#This Row],[Valor]],IF(Tabela4[[#This Row],[Tipo]]="Jrs. Cap. Próprio",Tabela4[[#This Row],[Valor]]*85%,0))</f>
        <v>0.1069</v>
      </c>
      <c r="I111" s="4" t="s">
        <v>200</v>
      </c>
      <c r="J111" s="4">
        <v>2001</v>
      </c>
      <c r="K111" s="10">
        <f>SUMPRODUCT(N(Tabela4[Ativo]=Tabela5[[#This Row],[Ativo]]),N(YEAR(Tabela4[Data ex-1])=Tabela5[[#This Row],[Ano]]),Tabela4[Líquido])</f>
        <v>10.379999999999999</v>
      </c>
      <c r="N111" s="23">
        <f>IF(Tabela5[[#This Row],[Dividendos]]&gt;0,Tabela5[[#This Row],[Dividendos]]/Tabela5[[#This Row],[Lucro Líquido]],0)</f>
        <v>0</v>
      </c>
      <c r="O111" s="23"/>
      <c r="P111" s="10"/>
    </row>
    <row r="112" spans="1:16" x14ac:dyDescent="0.2">
      <c r="A112" s="35" t="s">
        <v>83</v>
      </c>
      <c r="B112" s="31" t="s">
        <v>14</v>
      </c>
      <c r="C112" s="32">
        <v>41163</v>
      </c>
      <c r="D112" s="34">
        <v>0.2858</v>
      </c>
      <c r="E112" s="33">
        <v>41172</v>
      </c>
      <c r="F112" s="33">
        <v>41149</v>
      </c>
      <c r="G112" s="34">
        <f>IF(Tabela4[[#This Row],[Tipo]]="Dividendo",Tabela4[[#This Row],[Valor]],IF(Tabela4[[#This Row],[Tipo]]="Jrs. Cap. Próprio",Tabela4[[#This Row],[Valor]]*85%,0))</f>
        <v>0.24292999999999998</v>
      </c>
      <c r="I112" s="4" t="s">
        <v>200</v>
      </c>
      <c r="J112" s="4">
        <v>2000</v>
      </c>
      <c r="K112" s="10">
        <f>SUMPRODUCT(N(Tabela4[Ativo]=Tabela5[[#This Row],[Ativo]]),N(YEAR(Tabela4[Data ex-1])=Tabela5[[#This Row],[Ano]]),Tabela4[Líquido])</f>
        <v>6.93</v>
      </c>
      <c r="N112" s="23">
        <f>IF(Tabela5[[#This Row],[Dividendos]]&gt;0,Tabela5[[#This Row],[Dividendos]]/Tabela5[[#This Row],[Lucro Líquido]],0)</f>
        <v>0</v>
      </c>
      <c r="O112" s="23"/>
      <c r="P112" s="10"/>
    </row>
    <row r="113" spans="1:16" x14ac:dyDescent="0.2">
      <c r="A113" s="35" t="s">
        <v>83</v>
      </c>
      <c r="B113" s="31" t="s">
        <v>15</v>
      </c>
      <c r="C113" s="32">
        <v>41142</v>
      </c>
      <c r="D113" s="34">
        <v>0.12379999999999999</v>
      </c>
      <c r="E113" s="33">
        <v>41152</v>
      </c>
      <c r="F113" s="33">
        <v>41128</v>
      </c>
      <c r="G113" s="34">
        <f>IF(Tabela4[[#This Row],[Tipo]]="Dividendo",Tabela4[[#This Row],[Valor]],IF(Tabela4[[#This Row],[Tipo]]="Jrs. Cap. Próprio",Tabela4[[#This Row],[Valor]]*85%,0))</f>
        <v>0.12379999999999999</v>
      </c>
      <c r="I113" s="4" t="s">
        <v>200</v>
      </c>
      <c r="J113" s="4">
        <v>1999</v>
      </c>
      <c r="K113" s="10">
        <f>SUMPRODUCT(N(Tabela4[Ativo]=Tabela5[[#This Row],[Ativo]]),N(YEAR(Tabela4[Data ex-1])=Tabela5[[#This Row],[Ano]]),Tabela4[Líquido])</f>
        <v>7.0500000000000007</v>
      </c>
      <c r="N113" s="23">
        <f>IF(Tabela5[[#This Row],[Dividendos]]&gt;0,Tabela5[[#This Row],[Dividendos]]/Tabela5[[#This Row],[Lucro Líquido]],0)</f>
        <v>0</v>
      </c>
      <c r="O113" s="23"/>
      <c r="P113" s="10"/>
    </row>
    <row r="114" spans="1:16" x14ac:dyDescent="0.2">
      <c r="A114" s="35" t="s">
        <v>83</v>
      </c>
      <c r="B114" s="31" t="s">
        <v>14</v>
      </c>
      <c r="C114" s="32">
        <v>41081</v>
      </c>
      <c r="D114" s="34">
        <v>0.29680000000000001</v>
      </c>
      <c r="E114" s="33">
        <v>41152</v>
      </c>
      <c r="F114" s="33">
        <v>41072</v>
      </c>
      <c r="G114" s="34">
        <f>IF(Tabela4[[#This Row],[Tipo]]="Dividendo",Tabela4[[#This Row],[Valor]],IF(Tabela4[[#This Row],[Tipo]]="Jrs. Cap. Próprio",Tabela4[[#This Row],[Valor]]*85%,0))</f>
        <v>0.25228</v>
      </c>
      <c r="I114" s="35" t="s">
        <v>80</v>
      </c>
      <c r="J114" s="35">
        <v>2013</v>
      </c>
      <c r="K114" s="38">
        <f>SUMPRODUCT(N(Tabela4[Ativo]=Tabela5[[#This Row],[Ativo]]),N(YEAR(Tabela4[Data ex-1])=Tabela5[[#This Row],[Ano]]),Tabela4[Líquido])</f>
        <v>1.1036250000000001</v>
      </c>
      <c r="L114" s="43"/>
      <c r="M114" s="43"/>
      <c r="N114" s="75">
        <f>IF(Tabela5[[#This Row],[Dividendos]]&gt;0,Tabela5[[#This Row],[Dividendos]]/Tabela5[[#This Row],[Lucro Líquido]],0)</f>
        <v>0</v>
      </c>
      <c r="O114" s="23">
        <v>0.84609999999999996</v>
      </c>
      <c r="P114" s="10"/>
    </row>
    <row r="115" spans="1:16" x14ac:dyDescent="0.2">
      <c r="A115" s="35" t="s">
        <v>83</v>
      </c>
      <c r="B115" s="31" t="s">
        <v>15</v>
      </c>
      <c r="C115" s="32">
        <v>41039</v>
      </c>
      <c r="D115" s="34">
        <v>6.3299999999999995E-2</v>
      </c>
      <c r="E115" s="33">
        <v>41051</v>
      </c>
      <c r="F115" s="33">
        <v>41031</v>
      </c>
      <c r="G115" s="34">
        <f>IF(Tabela4[[#This Row],[Tipo]]="Dividendo",Tabela4[[#This Row],[Valor]],IF(Tabela4[[#This Row],[Tipo]]="Jrs. Cap. Próprio",Tabela4[[#This Row],[Valor]]*85%,0))</f>
        <v>6.3299999999999995E-2</v>
      </c>
      <c r="I115" s="35" t="s">
        <v>80</v>
      </c>
      <c r="J115" s="35">
        <v>2012</v>
      </c>
      <c r="K115" s="38">
        <f>SUMPRODUCT(N(Tabela4[Ativo]=Tabela5[[#This Row],[Ativo]]),N(YEAR(Tabela4[Data ex-1])=Tabela5[[#This Row],[Ano]]),Tabela4[Líquido])</f>
        <v>1.5697450000000002</v>
      </c>
      <c r="L115" s="43"/>
      <c r="M115" s="43"/>
      <c r="N115" s="75">
        <f>IF(Tabela5[[#This Row],[Dividendos]]&gt;0,Tabela5[[#This Row],[Dividendos]]/Tabela5[[#This Row],[Lucro Líquido]],0)</f>
        <v>0</v>
      </c>
      <c r="O115" s="23">
        <v>1.22</v>
      </c>
      <c r="P115" s="10"/>
    </row>
    <row r="116" spans="1:16" x14ac:dyDescent="0.2">
      <c r="A116" s="35" t="s">
        <v>83</v>
      </c>
      <c r="B116" s="31" t="s">
        <v>14</v>
      </c>
      <c r="C116" s="32">
        <v>40990</v>
      </c>
      <c r="D116" s="34">
        <v>0.29330000000000001</v>
      </c>
      <c r="E116" s="33">
        <v>41051</v>
      </c>
      <c r="F116" s="33">
        <v>40981</v>
      </c>
      <c r="G116" s="34">
        <f>IF(Tabela4[[#This Row],[Tipo]]="Dividendo",Tabela4[[#This Row],[Valor]],IF(Tabela4[[#This Row],[Tipo]]="Jrs. Cap. Próprio",Tabela4[[#This Row],[Valor]]*85%,0))</f>
        <v>0.249305</v>
      </c>
      <c r="I116" s="35" t="s">
        <v>80</v>
      </c>
      <c r="J116" s="35">
        <v>2011</v>
      </c>
      <c r="K116" s="34">
        <f>SUMPRODUCT(N(Tabela4[Ativo]=Tabela5[[#This Row],[Ativo]]),N(YEAR(Tabela4[Data ex-1])=Tabela5[[#This Row],[Ano]]),Tabela4[Líquido])</f>
        <v>1.41723</v>
      </c>
      <c r="L116" s="87"/>
      <c r="M116" s="87"/>
      <c r="N116" s="88">
        <f>IF(Tabela5[[#This Row],[Dividendos]]&gt;0,Tabela5[[#This Row],[Dividendos]]/Tabela5[[#This Row],[Lucro Líquido]],0)</f>
        <v>0</v>
      </c>
      <c r="O116" s="23"/>
      <c r="P116" s="10"/>
    </row>
    <row r="117" spans="1:16" x14ac:dyDescent="0.2">
      <c r="A117" s="35" t="s">
        <v>83</v>
      </c>
      <c r="B117" s="31" t="s">
        <v>15</v>
      </c>
      <c r="C117" s="32">
        <v>40956</v>
      </c>
      <c r="D117" s="34">
        <v>0.15659999999999999</v>
      </c>
      <c r="E117" s="33">
        <v>40968</v>
      </c>
      <c r="F117" s="33">
        <v>40946</v>
      </c>
      <c r="G117" s="34">
        <f>IF(Tabela4[[#This Row],[Tipo]]="Dividendo",Tabela4[[#This Row],[Valor]],IF(Tabela4[[#This Row],[Tipo]]="Jrs. Cap. Próprio",Tabela4[[#This Row],[Valor]]*85%,0))</f>
        <v>0.15659999999999999</v>
      </c>
      <c r="I117" s="35" t="s">
        <v>80</v>
      </c>
      <c r="J117" s="35">
        <v>2010</v>
      </c>
      <c r="K117" s="34">
        <f>SUMPRODUCT(N(Tabela4[Ativo]=Tabela5[[#This Row],[Ativo]]),N(YEAR(Tabela4[Data ex-1])=Tabela5[[#This Row],[Ano]]),Tabela4[Líquido])</f>
        <v>0.82208499999999984</v>
      </c>
      <c r="L117" s="87"/>
      <c r="M117" s="87"/>
      <c r="N117" s="88">
        <f>IF(Tabela5[[#This Row],[Dividendos]]&gt;0,Tabela5[[#This Row],[Dividendos]]/Tabela5[[#This Row],[Lucro Líquido]],0)</f>
        <v>0</v>
      </c>
      <c r="O117" s="23"/>
      <c r="P117" s="10"/>
    </row>
    <row r="118" spans="1:16" x14ac:dyDescent="0.2">
      <c r="A118" s="35" t="s">
        <v>83</v>
      </c>
      <c r="B118" s="31" t="s">
        <v>14</v>
      </c>
      <c r="C118" s="32">
        <v>40898</v>
      </c>
      <c r="D118" s="34">
        <v>0.27739999999999998</v>
      </c>
      <c r="E118" s="33">
        <v>40970</v>
      </c>
      <c r="F118" s="33">
        <v>40890</v>
      </c>
      <c r="G118" s="34">
        <f>IF(Tabela4[[#This Row],[Tipo]]="Dividendo",Tabela4[[#This Row],[Valor]],IF(Tabela4[[#This Row],[Tipo]]="Jrs. Cap. Próprio",Tabela4[[#This Row],[Valor]]*85%,0))</f>
        <v>0.23578999999999997</v>
      </c>
      <c r="I118" s="35" t="s">
        <v>80</v>
      </c>
      <c r="J118" s="35">
        <v>2009</v>
      </c>
      <c r="K118" s="34">
        <f>SUMPRODUCT(N(Tabela4[Ativo]=Tabela5[[#This Row],[Ativo]]),N(YEAR(Tabela4[Data ex-1])=Tabela5[[#This Row],[Ano]]),Tabela4[Líquido])</f>
        <v>0.93659999999999999</v>
      </c>
      <c r="L118" s="87"/>
      <c r="M118" s="87"/>
      <c r="N118" s="88">
        <f>IF(Tabela5[[#This Row],[Dividendos]]&gt;0,Tabela5[[#This Row],[Dividendos]]/Tabela5[[#This Row],[Lucro Líquido]],0)</f>
        <v>0</v>
      </c>
      <c r="O118" s="23"/>
      <c r="P118" s="10"/>
    </row>
    <row r="119" spans="1:16" x14ac:dyDescent="0.2">
      <c r="A119" s="35" t="s">
        <v>83</v>
      </c>
      <c r="B119" s="31" t="s">
        <v>15</v>
      </c>
      <c r="C119" s="32">
        <v>40864</v>
      </c>
      <c r="D119" s="34">
        <v>0.12590000000000001</v>
      </c>
      <c r="E119" s="33">
        <v>40872</v>
      </c>
      <c r="F119" s="33">
        <v>40848</v>
      </c>
      <c r="G119" s="34">
        <f>IF(Tabela4[[#This Row],[Tipo]]="Dividendo",Tabela4[[#This Row],[Valor]],IF(Tabela4[[#This Row],[Tipo]]="Jrs. Cap. Próprio",Tabela4[[#This Row],[Valor]]*85%,0))</f>
        <v>0.12590000000000001</v>
      </c>
      <c r="I119" s="35" t="s">
        <v>80</v>
      </c>
      <c r="J119" s="35">
        <v>2008</v>
      </c>
      <c r="K119" s="34">
        <f>SUMPRODUCT(N(Tabela4[Ativo]=Tabela5[[#This Row],[Ativo]]),N(YEAR(Tabela4[Data ex-1])=Tabela5[[#This Row],[Ano]]),Tabela4[Líquido])</f>
        <v>0.93364999999999998</v>
      </c>
      <c r="L119" s="87"/>
      <c r="M119" s="87"/>
      <c r="N119" s="88">
        <f>IF(Tabela5[[#This Row],[Dividendos]]&gt;0,Tabela5[[#This Row],[Dividendos]]/Tabela5[[#This Row],[Lucro Líquido]],0)</f>
        <v>0</v>
      </c>
      <c r="O119" s="23"/>
      <c r="P119" s="10"/>
    </row>
    <row r="120" spans="1:16" x14ac:dyDescent="0.2">
      <c r="A120" s="35" t="s">
        <v>83</v>
      </c>
      <c r="B120" s="31" t="s">
        <v>14</v>
      </c>
      <c r="C120" s="32">
        <v>40807</v>
      </c>
      <c r="D120" s="34">
        <v>0.2782</v>
      </c>
      <c r="E120" s="33">
        <v>40872</v>
      </c>
      <c r="F120" s="33">
        <v>40799</v>
      </c>
      <c r="G120" s="34">
        <f>IF(Tabela4[[#This Row],[Tipo]]="Dividendo",Tabela4[[#This Row],[Valor]],IF(Tabela4[[#This Row],[Tipo]]="Jrs. Cap. Próprio",Tabela4[[#This Row],[Valor]]*85%,0))</f>
        <v>0.23646999999999999</v>
      </c>
      <c r="I120" s="35" t="s">
        <v>80</v>
      </c>
      <c r="J120" s="35">
        <v>2007</v>
      </c>
      <c r="K120" s="34">
        <f>SUMPRODUCT(N(Tabela4[Ativo]=Tabela5[[#This Row],[Ativo]]),N(YEAR(Tabela4[Data ex-1])=Tabela5[[#This Row],[Ano]]),Tabela4[Líquido])</f>
        <v>0.99276000000000009</v>
      </c>
      <c r="L120" s="87"/>
      <c r="M120" s="87"/>
      <c r="N120" s="88">
        <f>IF(Tabela5[[#This Row],[Dividendos]]&gt;0,Tabela5[[#This Row],[Dividendos]]/Tabela5[[#This Row],[Lucro Líquido]],0)</f>
        <v>0</v>
      </c>
      <c r="O120" s="23"/>
      <c r="P120" s="10"/>
    </row>
    <row r="121" spans="1:16" x14ac:dyDescent="0.2">
      <c r="A121" s="35" t="s">
        <v>83</v>
      </c>
      <c r="B121" s="31" t="s">
        <v>15</v>
      </c>
      <c r="C121" s="32">
        <v>40773</v>
      </c>
      <c r="D121" s="34">
        <v>0.21149999999999999</v>
      </c>
      <c r="E121" s="33">
        <v>40781</v>
      </c>
      <c r="F121" s="33">
        <v>40758</v>
      </c>
      <c r="G121" s="34">
        <f>IF(Tabela4[[#This Row],[Tipo]]="Dividendo",Tabela4[[#This Row],[Valor]],IF(Tabela4[[#This Row],[Tipo]]="Jrs. Cap. Próprio",Tabela4[[#This Row],[Valor]]*85%,0))</f>
        <v>0.21149999999999999</v>
      </c>
      <c r="I121" s="35" t="s">
        <v>80</v>
      </c>
      <c r="J121" s="35">
        <v>2006</v>
      </c>
      <c r="K121" s="34">
        <f>SUMPRODUCT(N(Tabela4[Ativo]=Tabela5[[#This Row],[Ativo]]),N(YEAR(Tabela4[Data ex-1])=Tabela5[[#This Row],[Ano]]),Tabela4[Líquido])</f>
        <v>3.0399399999999996</v>
      </c>
      <c r="L121" s="87"/>
      <c r="M121" s="87"/>
      <c r="N121" s="88">
        <f>IF(Tabela5[[#This Row],[Dividendos]]&gt;0,Tabela5[[#This Row],[Dividendos]]/Tabela5[[#This Row],[Lucro Líquido]],0)</f>
        <v>0</v>
      </c>
      <c r="O121" s="23"/>
      <c r="P121" s="10"/>
    </row>
    <row r="122" spans="1:16" x14ac:dyDescent="0.2">
      <c r="A122" s="35" t="s">
        <v>83</v>
      </c>
      <c r="B122" s="31" t="s">
        <v>14</v>
      </c>
      <c r="C122" s="32">
        <v>40715</v>
      </c>
      <c r="D122" s="34">
        <v>0.25750000000000001</v>
      </c>
      <c r="E122" s="33">
        <v>40781</v>
      </c>
      <c r="F122" s="33">
        <v>40701</v>
      </c>
      <c r="G122" s="34">
        <f>IF(Tabela4[[#This Row],[Tipo]]="Dividendo",Tabela4[[#This Row],[Valor]],IF(Tabela4[[#This Row],[Tipo]]="Jrs. Cap. Próprio",Tabela4[[#This Row],[Valor]]*85%,0))</f>
        <v>0.21887499999999999</v>
      </c>
      <c r="I122" s="35" t="s">
        <v>80</v>
      </c>
      <c r="J122" s="35">
        <v>2005</v>
      </c>
      <c r="K122" s="34">
        <f>SUMPRODUCT(N(Tabela4[Ativo]=Tabela5[[#This Row],[Ativo]]),N(YEAR(Tabela4[Data ex-1])=Tabela5[[#This Row],[Ano]]),Tabela4[Líquido])</f>
        <v>2.3737949999999999</v>
      </c>
      <c r="L122" s="87"/>
      <c r="M122" s="87"/>
      <c r="N122" s="88">
        <f>IF(Tabela5[[#This Row],[Dividendos]]&gt;0,Tabela5[[#This Row],[Dividendos]]/Tabela5[[#This Row],[Lucro Líquido]],0)</f>
        <v>0</v>
      </c>
      <c r="O122" s="23"/>
      <c r="P122" s="10"/>
    </row>
    <row r="123" spans="1:16" x14ac:dyDescent="0.2">
      <c r="A123" s="35" t="s">
        <v>83</v>
      </c>
      <c r="B123" s="31" t="s">
        <v>15</v>
      </c>
      <c r="C123" s="32">
        <v>40682</v>
      </c>
      <c r="D123" s="34">
        <v>0.157</v>
      </c>
      <c r="E123" s="33">
        <v>40690</v>
      </c>
      <c r="F123" s="33">
        <v>40666</v>
      </c>
      <c r="G123" s="34">
        <f>IF(Tabela4[[#This Row],[Tipo]]="Dividendo",Tabela4[[#This Row],[Valor]],IF(Tabela4[[#This Row],[Tipo]]="Jrs. Cap. Próprio",Tabela4[[#This Row],[Valor]]*85%,0))</f>
        <v>0.157</v>
      </c>
      <c r="I123" s="35" t="s">
        <v>80</v>
      </c>
      <c r="J123" s="35">
        <v>2004</v>
      </c>
      <c r="K123" s="34">
        <f>SUMPRODUCT(N(Tabela4[Ativo]=Tabela5[[#This Row],[Ativo]]),N(YEAR(Tabela4[Data ex-1])=Tabela5[[#This Row],[Ano]]),Tabela4[Líquido])</f>
        <v>0</v>
      </c>
      <c r="L123" s="87"/>
      <c r="M123" s="87"/>
      <c r="N123" s="88">
        <f>IF(Tabela5[[#This Row],[Dividendos]]&gt;0,Tabela5[[#This Row],[Dividendos]]/Tabela5[[#This Row],[Lucro Líquido]],0)</f>
        <v>0</v>
      </c>
      <c r="O123" s="23"/>
      <c r="P123" s="10"/>
    </row>
    <row r="124" spans="1:16" x14ac:dyDescent="0.2">
      <c r="A124" s="35" t="s">
        <v>83</v>
      </c>
      <c r="B124" s="31" t="s">
        <v>14</v>
      </c>
      <c r="C124" s="32">
        <v>40624</v>
      </c>
      <c r="D124" s="34">
        <v>0.25309999999999999</v>
      </c>
      <c r="E124" s="33">
        <v>40690</v>
      </c>
      <c r="F124" s="33">
        <v>40617</v>
      </c>
      <c r="G124" s="34">
        <f>IF(Tabela4[[#This Row],[Tipo]]="Dividendo",Tabela4[[#This Row],[Valor]],IF(Tabela4[[#This Row],[Tipo]]="Jrs. Cap. Próprio",Tabela4[[#This Row],[Valor]]*85%,0))</f>
        <v>0.21513499999999999</v>
      </c>
      <c r="I124" s="35" t="s">
        <v>80</v>
      </c>
      <c r="J124" s="35">
        <v>2003</v>
      </c>
      <c r="K124" s="34">
        <f>SUMPRODUCT(N(Tabela4[Ativo]=Tabela5[[#This Row],[Ativo]]),N(YEAR(Tabela4[Data ex-1])=Tabela5[[#This Row],[Ano]]),Tabela4[Líquido])</f>
        <v>0</v>
      </c>
      <c r="L124" s="87"/>
      <c r="M124" s="87"/>
      <c r="N124" s="88">
        <f>IF(Tabela5[[#This Row],[Dividendos]]&gt;0,Tabela5[[#This Row],[Dividendos]]/Tabela5[[#This Row],[Lucro Líquido]],0)</f>
        <v>0</v>
      </c>
      <c r="O124" s="23"/>
      <c r="P124" s="10"/>
    </row>
    <row r="125" spans="1:16" x14ac:dyDescent="0.2">
      <c r="A125" s="35" t="s">
        <v>83</v>
      </c>
      <c r="B125" s="31" t="s">
        <v>15</v>
      </c>
      <c r="C125" s="32">
        <v>40595</v>
      </c>
      <c r="D125" s="34">
        <v>0.32550000000000001</v>
      </c>
      <c r="E125" s="33">
        <v>40602</v>
      </c>
      <c r="F125" s="33">
        <v>40589</v>
      </c>
      <c r="G125" s="34">
        <f>IF(Tabela4[[#This Row],[Tipo]]="Dividendo",Tabela4[[#This Row],[Valor]],IF(Tabela4[[#This Row],[Tipo]]="Jrs. Cap. Próprio",Tabela4[[#This Row],[Valor]]*85%,0))</f>
        <v>0.32550000000000001</v>
      </c>
      <c r="I125" s="35" t="s">
        <v>80</v>
      </c>
      <c r="J125" s="35">
        <v>2002</v>
      </c>
      <c r="K125" s="34">
        <f>SUMPRODUCT(N(Tabela4[Ativo]=Tabela5[[#This Row],[Ativo]]),N(YEAR(Tabela4[Data ex-1])=Tabela5[[#This Row],[Ano]]),Tabela4[Líquido])</f>
        <v>0</v>
      </c>
      <c r="L125" s="87"/>
      <c r="M125" s="87"/>
      <c r="N125" s="88">
        <f>IF(Tabela5[[#This Row],[Dividendos]]&gt;0,Tabela5[[#This Row],[Dividendos]]/Tabela5[[#This Row],[Lucro Líquido]],0)</f>
        <v>0</v>
      </c>
      <c r="O125" s="23"/>
      <c r="P125" s="10"/>
    </row>
    <row r="126" spans="1:16" x14ac:dyDescent="0.2">
      <c r="A126" s="35" t="s">
        <v>83</v>
      </c>
      <c r="B126" s="31" t="s">
        <v>14</v>
      </c>
      <c r="C126" s="32">
        <v>40534</v>
      </c>
      <c r="D126" s="34">
        <v>0.2397</v>
      </c>
      <c r="E126" s="33">
        <v>40542</v>
      </c>
      <c r="F126" s="33">
        <v>40519</v>
      </c>
      <c r="G126" s="34">
        <f>IF(Tabela4[[#This Row],[Tipo]]="Dividendo",Tabela4[[#This Row],[Valor]],IF(Tabela4[[#This Row],[Tipo]]="Jrs. Cap. Próprio",Tabela4[[#This Row],[Valor]]*85%,0))</f>
        <v>0.20374499999999998</v>
      </c>
      <c r="I126" s="35" t="s">
        <v>80</v>
      </c>
      <c r="J126" s="35">
        <v>2001</v>
      </c>
      <c r="K126" s="34">
        <f>SUMPRODUCT(N(Tabela4[Ativo]=Tabela5[[#This Row],[Ativo]]),N(YEAR(Tabela4[Data ex-1])=Tabela5[[#This Row],[Ano]]),Tabela4[Líquido])</f>
        <v>1.7600000000000001E-2</v>
      </c>
      <c r="L126" s="87"/>
      <c r="M126" s="87"/>
      <c r="N126" s="88">
        <f>IF(Tabela5[[#This Row],[Dividendos]]&gt;0,Tabela5[[#This Row],[Dividendos]]/Tabela5[[#This Row],[Lucro Líquido]],0)</f>
        <v>0</v>
      </c>
      <c r="O126" s="23"/>
      <c r="P126" s="10"/>
    </row>
    <row r="127" spans="1:16" x14ac:dyDescent="0.2">
      <c r="A127" s="35" t="s">
        <v>83</v>
      </c>
      <c r="B127" s="31" t="s">
        <v>15</v>
      </c>
      <c r="C127" s="32">
        <v>40504</v>
      </c>
      <c r="D127" s="34">
        <v>0.13139999999999999</v>
      </c>
      <c r="E127" s="33">
        <v>40512</v>
      </c>
      <c r="F127" s="33">
        <v>40491</v>
      </c>
      <c r="G127" s="34">
        <f>IF(Tabela4[[#This Row],[Tipo]]="Dividendo",Tabela4[[#This Row],[Valor]],IF(Tabela4[[#This Row],[Tipo]]="Jrs. Cap. Próprio",Tabela4[[#This Row],[Valor]]*85%,0))</f>
        <v>0.13139999999999999</v>
      </c>
      <c r="I127" s="35" t="s">
        <v>87</v>
      </c>
      <c r="J127" s="35">
        <v>2013</v>
      </c>
      <c r="K127" s="38">
        <f>SUMPRODUCT(N(Tabela4[Ativo]=Tabela5[[#This Row],[Ativo]]),N(YEAR(Tabela4[Data ex-1])=Tabela5[[#This Row],[Ano]]),Tabela4[Líquido])</f>
        <v>1.214</v>
      </c>
      <c r="L127" s="43"/>
      <c r="M127" s="43"/>
      <c r="N127" s="75">
        <f>IF(Tabela5[[#This Row],[Dividendos]]&gt;0,Tabela5[[#This Row],[Dividendos]]/Tabela5[[#This Row],[Lucro Líquido]],0)</f>
        <v>0</v>
      </c>
      <c r="O127" s="23">
        <v>0.92930000000000001</v>
      </c>
      <c r="P127" s="10"/>
    </row>
    <row r="128" spans="1:16" x14ac:dyDescent="0.2">
      <c r="A128" s="35" t="s">
        <v>83</v>
      </c>
      <c r="B128" s="31" t="s">
        <v>14</v>
      </c>
      <c r="C128" s="32">
        <v>40443</v>
      </c>
      <c r="D128" s="34">
        <v>0.2356</v>
      </c>
      <c r="E128" s="33">
        <v>40512</v>
      </c>
      <c r="F128" s="33">
        <v>40436</v>
      </c>
      <c r="G128" s="34">
        <f>IF(Tabela4[[#This Row],[Tipo]]="Dividendo",Tabela4[[#This Row],[Valor]],IF(Tabela4[[#This Row],[Tipo]]="Jrs. Cap. Próprio",Tabela4[[#This Row],[Valor]]*85%,0))</f>
        <v>0.20025999999999999</v>
      </c>
      <c r="I128" s="35" t="s">
        <v>87</v>
      </c>
      <c r="J128" s="35">
        <v>2012</v>
      </c>
      <c r="K128" s="38">
        <f>SUMPRODUCT(N(Tabela4[Ativo]=Tabela5[[#This Row],[Ativo]]),N(YEAR(Tabela4[Data ex-1])=Tabela5[[#This Row],[Ano]]),Tabela4[Líquido])</f>
        <v>1.7267549999999998</v>
      </c>
      <c r="L128" s="43"/>
      <c r="M128" s="43"/>
      <c r="N128" s="75">
        <f>IF(Tabela5[[#This Row],[Dividendos]]&gt;0,Tabela5[[#This Row],[Dividendos]]/Tabela5[[#This Row],[Lucro Líquido]],0)</f>
        <v>0</v>
      </c>
      <c r="O128" s="23">
        <v>1.36</v>
      </c>
      <c r="P128" s="10"/>
    </row>
    <row r="129" spans="1:16" x14ac:dyDescent="0.2">
      <c r="A129" s="35" t="s">
        <v>83</v>
      </c>
      <c r="B129" s="31" t="s">
        <v>15</v>
      </c>
      <c r="C129" s="32">
        <v>40408</v>
      </c>
      <c r="D129" s="34">
        <v>0.20019999999999999</v>
      </c>
      <c r="E129" s="33">
        <v>40416</v>
      </c>
      <c r="F129" s="33">
        <v>40406</v>
      </c>
      <c r="G129" s="34">
        <f>IF(Tabela4[[#This Row],[Tipo]]="Dividendo",Tabela4[[#This Row],[Valor]],IF(Tabela4[[#This Row],[Tipo]]="Jrs. Cap. Próprio",Tabela4[[#This Row],[Valor]]*85%,0))</f>
        <v>0.20019999999999999</v>
      </c>
      <c r="I129" s="35" t="s">
        <v>87</v>
      </c>
      <c r="J129" s="35">
        <v>2011</v>
      </c>
      <c r="K129" s="34">
        <f>SUMPRODUCT(N(Tabela4[Ativo]=Tabela5[[#This Row],[Ativo]]),N(YEAR(Tabela4[Data ex-1])=Tabela5[[#This Row],[Ano]]),Tabela4[Líquido])</f>
        <v>1.5589900000000001</v>
      </c>
      <c r="L129" s="87"/>
      <c r="M129" s="87"/>
      <c r="N129" s="88">
        <f>IF(Tabela5[[#This Row],[Dividendos]]&gt;0,Tabela5[[#This Row],[Dividendos]]/Tabela5[[#This Row],[Lucro Líquido]],0)</f>
        <v>0</v>
      </c>
      <c r="O129" s="23"/>
      <c r="P129" s="10"/>
    </row>
    <row r="130" spans="1:16" x14ac:dyDescent="0.2">
      <c r="A130" s="35" t="s">
        <v>83</v>
      </c>
      <c r="B130" s="31" t="s">
        <v>14</v>
      </c>
      <c r="C130" s="32">
        <v>40322</v>
      </c>
      <c r="D130" s="34">
        <v>0.20449999999999999</v>
      </c>
      <c r="E130" s="33">
        <v>40416</v>
      </c>
      <c r="F130" s="33">
        <v>40309</v>
      </c>
      <c r="G130" s="34">
        <f>IF(Tabela4[[#This Row],[Tipo]]="Dividendo",Tabela4[[#This Row],[Valor]],IF(Tabela4[[#This Row],[Tipo]]="Jrs. Cap. Próprio",Tabela4[[#This Row],[Valor]]*85%,0))</f>
        <v>0.17382499999999998</v>
      </c>
      <c r="I130" s="35" t="s">
        <v>87</v>
      </c>
      <c r="J130" s="35">
        <v>2010</v>
      </c>
      <c r="K130" s="34">
        <f>SUMPRODUCT(N(Tabela4[Ativo]=Tabela5[[#This Row],[Ativo]]),N(YEAR(Tabela4[Data ex-1])=Tabela5[[#This Row],[Ano]]),Tabela4[Líquido])</f>
        <v>0.90429499999999996</v>
      </c>
      <c r="L130" s="87"/>
      <c r="M130" s="87"/>
      <c r="N130" s="88">
        <f>IF(Tabela5[[#This Row],[Dividendos]]&gt;0,Tabela5[[#This Row],[Dividendos]]/Tabela5[[#This Row],[Lucro Líquido]],0)</f>
        <v>0</v>
      </c>
      <c r="O130" s="23"/>
      <c r="P130" s="10"/>
    </row>
    <row r="131" spans="1:16" x14ac:dyDescent="0.2">
      <c r="A131" s="35" t="s">
        <v>83</v>
      </c>
      <c r="B131" s="31" t="s">
        <v>15</v>
      </c>
      <c r="C131" s="32">
        <v>40319</v>
      </c>
      <c r="D131" s="34">
        <v>0.1729</v>
      </c>
      <c r="E131" s="33">
        <v>40329</v>
      </c>
      <c r="F131" s="33">
        <v>40309</v>
      </c>
      <c r="G131" s="34">
        <f>IF(Tabela4[[#This Row],[Tipo]]="Dividendo",Tabela4[[#This Row],[Valor]],IF(Tabela4[[#This Row],[Tipo]]="Jrs. Cap. Próprio",Tabela4[[#This Row],[Valor]]*85%,0))</f>
        <v>0.1729</v>
      </c>
      <c r="I131" s="35" t="s">
        <v>87</v>
      </c>
      <c r="J131" s="35">
        <v>2009</v>
      </c>
      <c r="K131" s="34">
        <f>SUMPRODUCT(N(Tabela4[Ativo]=Tabela5[[#This Row],[Ativo]]),N(YEAR(Tabela4[Data ex-1])=Tabela5[[#This Row],[Ano]]),Tabela4[Líquido])</f>
        <v>1.030365</v>
      </c>
      <c r="L131" s="87"/>
      <c r="M131" s="87"/>
      <c r="N131" s="88">
        <f>IF(Tabela5[[#This Row],[Dividendos]]&gt;0,Tabela5[[#This Row],[Dividendos]]/Tabela5[[#This Row],[Lucro Líquido]],0)</f>
        <v>0</v>
      </c>
      <c r="O131" s="23"/>
      <c r="P131" s="10"/>
    </row>
    <row r="132" spans="1:16" x14ac:dyDescent="0.2">
      <c r="A132" s="35" t="s">
        <v>83</v>
      </c>
      <c r="B132" s="31" t="s">
        <v>14</v>
      </c>
      <c r="C132" s="32">
        <v>40261</v>
      </c>
      <c r="D132" s="34">
        <v>0.20169999999999999</v>
      </c>
      <c r="E132" s="33">
        <v>40329</v>
      </c>
      <c r="F132" s="33">
        <v>40248</v>
      </c>
      <c r="G132" s="34">
        <f>IF(Tabela4[[#This Row],[Tipo]]="Dividendo",Tabela4[[#This Row],[Valor]],IF(Tabela4[[#This Row],[Tipo]]="Jrs. Cap. Próprio",Tabela4[[#This Row],[Valor]]*85%,0))</f>
        <v>0.17144499999999999</v>
      </c>
      <c r="I132" s="35" t="s">
        <v>87</v>
      </c>
      <c r="J132" s="35">
        <v>2008</v>
      </c>
      <c r="K132" s="34">
        <f>SUMPRODUCT(N(Tabela4[Ativo]=Tabela5[[#This Row],[Ativo]]),N(YEAR(Tabela4[Data ex-1])=Tabela5[[#This Row],[Ano]]),Tabela4[Líquido])</f>
        <v>1.0271600000000001</v>
      </c>
      <c r="L132" s="87"/>
      <c r="M132" s="87"/>
      <c r="N132" s="88">
        <f>IF(Tabela5[[#This Row],[Dividendos]]&gt;0,Tabela5[[#This Row],[Dividendos]]/Tabela5[[#This Row],[Lucro Líquido]],0)</f>
        <v>0</v>
      </c>
      <c r="O132" s="23"/>
      <c r="P132" s="10"/>
    </row>
    <row r="133" spans="1:16" x14ac:dyDescent="0.2">
      <c r="A133" s="35" t="s">
        <v>83</v>
      </c>
      <c r="B133" s="31" t="s">
        <v>15</v>
      </c>
      <c r="C133" s="32">
        <v>40234</v>
      </c>
      <c r="D133" s="34">
        <v>0.46679999999999999</v>
      </c>
      <c r="E133" s="33">
        <v>40247</v>
      </c>
      <c r="F133" s="33">
        <v>40232</v>
      </c>
      <c r="G133" s="34">
        <f>IF(Tabela4[[#This Row],[Tipo]]="Dividendo",Tabela4[[#This Row],[Valor]],IF(Tabela4[[#This Row],[Tipo]]="Jrs. Cap. Próprio",Tabela4[[#This Row],[Valor]]*85%,0))</f>
        <v>0.46679999999999999</v>
      </c>
      <c r="I133" s="35" t="s">
        <v>87</v>
      </c>
      <c r="J133" s="35">
        <v>2007</v>
      </c>
      <c r="K133" s="34">
        <f>SUMPRODUCT(N(Tabela4[Ativo]=Tabela5[[#This Row],[Ativo]]),N(YEAR(Tabela4[Data ex-1])=Tabela5[[#This Row],[Ano]]),Tabela4[Líquido])</f>
        <v>1.0922350000000001</v>
      </c>
      <c r="L133" s="87"/>
      <c r="M133" s="87"/>
      <c r="N133" s="88">
        <f>IF(Tabela5[[#This Row],[Dividendos]]&gt;0,Tabela5[[#This Row],[Dividendos]]/Tabela5[[#This Row],[Lucro Líquido]],0)</f>
        <v>0</v>
      </c>
      <c r="O133" s="23"/>
      <c r="P133" s="10"/>
    </row>
    <row r="134" spans="1:16" x14ac:dyDescent="0.2">
      <c r="A134" s="35" t="s">
        <v>83</v>
      </c>
      <c r="B134" s="31" t="s">
        <v>14</v>
      </c>
      <c r="C134" s="32">
        <v>40168</v>
      </c>
      <c r="D134" s="34">
        <v>0.1862</v>
      </c>
      <c r="E134" s="33">
        <v>40247</v>
      </c>
      <c r="F134" s="33">
        <v>40162</v>
      </c>
      <c r="G134" s="34">
        <f>IF(Tabela4[[#This Row],[Tipo]]="Dividendo",Tabela4[[#This Row],[Valor]],IF(Tabela4[[#This Row],[Tipo]]="Jrs. Cap. Próprio",Tabela4[[#This Row],[Valor]]*85%,0))</f>
        <v>0.15826999999999999</v>
      </c>
      <c r="I134" s="35" t="s">
        <v>87</v>
      </c>
      <c r="J134" s="35">
        <v>2006</v>
      </c>
      <c r="K134" s="34">
        <f>SUMPRODUCT(N(Tabela4[Ativo]=Tabela5[[#This Row],[Ativo]]),N(YEAR(Tabela4[Data ex-1])=Tabela5[[#This Row],[Ano]]),Tabela4[Líquido])</f>
        <v>3.343985</v>
      </c>
      <c r="L134" s="87"/>
      <c r="M134" s="87"/>
      <c r="N134" s="88">
        <f>IF(Tabela5[[#This Row],[Dividendos]]&gt;0,Tabela5[[#This Row],[Dividendos]]/Tabela5[[#This Row],[Lucro Líquido]],0)</f>
        <v>0</v>
      </c>
      <c r="O134" s="23"/>
      <c r="P134" s="10"/>
    </row>
    <row r="135" spans="1:16" x14ac:dyDescent="0.2">
      <c r="A135" s="35" t="s">
        <v>83</v>
      </c>
      <c r="B135" s="31" t="s">
        <v>15</v>
      </c>
      <c r="C135" s="32">
        <v>40129</v>
      </c>
      <c r="D135" s="34">
        <v>0.1229</v>
      </c>
      <c r="E135" s="33">
        <v>40141</v>
      </c>
      <c r="F135" s="33">
        <v>40120</v>
      </c>
      <c r="G135" s="34">
        <f>IF(Tabela4[[#This Row],[Tipo]]="Dividendo",Tabela4[[#This Row],[Valor]],IF(Tabela4[[#This Row],[Tipo]]="Jrs. Cap. Próprio",Tabela4[[#This Row],[Valor]]*85%,0))</f>
        <v>0.1229</v>
      </c>
      <c r="I135" s="35" t="s">
        <v>87</v>
      </c>
      <c r="J135" s="35">
        <v>2005</v>
      </c>
      <c r="K135" s="34">
        <f>SUMPRODUCT(N(Tabela4[Ativo]=Tabela5[[#This Row],[Ativo]]),N(YEAR(Tabela4[Data ex-1])=Tabela5[[#This Row],[Ano]]),Tabela4[Líquido])</f>
        <v>2.6112849999999996</v>
      </c>
      <c r="L135" s="87"/>
      <c r="M135" s="87"/>
      <c r="N135" s="88">
        <f>IF(Tabela5[[#This Row],[Dividendos]]&gt;0,Tabela5[[#This Row],[Dividendos]]/Tabela5[[#This Row],[Lucro Líquido]],0)</f>
        <v>0</v>
      </c>
      <c r="O135" s="23"/>
      <c r="P135" s="10"/>
    </row>
    <row r="136" spans="1:16" x14ac:dyDescent="0.2">
      <c r="A136" s="35" t="s">
        <v>83</v>
      </c>
      <c r="B136" s="31" t="s">
        <v>14</v>
      </c>
      <c r="C136" s="32">
        <v>40077</v>
      </c>
      <c r="D136" s="34">
        <v>0.18540000000000001</v>
      </c>
      <c r="E136" s="33">
        <v>40141</v>
      </c>
      <c r="F136" s="33">
        <v>40071</v>
      </c>
      <c r="G136" s="34">
        <f>IF(Tabela4[[#This Row],[Tipo]]="Dividendo",Tabela4[[#This Row],[Valor]],IF(Tabela4[[#This Row],[Tipo]]="Jrs. Cap. Próprio",Tabela4[[#This Row],[Valor]]*85%,0))</f>
        <v>0.15759000000000001</v>
      </c>
      <c r="I136" s="35" t="s">
        <v>87</v>
      </c>
      <c r="J136" s="35">
        <v>2004</v>
      </c>
      <c r="K136" s="34">
        <f>SUMPRODUCT(N(Tabela4[Ativo]=Tabela5[[#This Row],[Ativo]]),N(YEAR(Tabela4[Data ex-1])=Tabela5[[#This Row],[Ano]]),Tabela4[Líquido])</f>
        <v>0</v>
      </c>
      <c r="L136" s="87"/>
      <c r="M136" s="87"/>
      <c r="N136" s="88">
        <f>IF(Tabela5[[#This Row],[Dividendos]]&gt;0,Tabela5[[#This Row],[Dividendos]]/Tabela5[[#This Row],[Lucro Líquido]],0)</f>
        <v>0</v>
      </c>
      <c r="O136" s="23"/>
      <c r="P136" s="10"/>
    </row>
    <row r="137" spans="1:16" x14ac:dyDescent="0.2">
      <c r="A137" s="35" t="s">
        <v>83</v>
      </c>
      <c r="B137" s="31" t="s">
        <v>15</v>
      </c>
      <c r="C137" s="32">
        <v>40038</v>
      </c>
      <c r="D137" s="34">
        <v>0.19020000000000001</v>
      </c>
      <c r="E137" s="33">
        <v>40052</v>
      </c>
      <c r="F137" s="33">
        <v>40022</v>
      </c>
      <c r="G137" s="34">
        <f>IF(Tabela4[[#This Row],[Tipo]]="Dividendo",Tabela4[[#This Row],[Valor]],IF(Tabela4[[#This Row],[Tipo]]="Jrs. Cap. Próprio",Tabela4[[#This Row],[Valor]]*85%,0))</f>
        <v>0.19020000000000001</v>
      </c>
      <c r="I137" s="35" t="s">
        <v>87</v>
      </c>
      <c r="J137" s="35">
        <v>2003</v>
      </c>
      <c r="K137" s="34">
        <f>SUMPRODUCT(N(Tabela4[Ativo]=Tabela5[[#This Row],[Ativo]]),N(YEAR(Tabela4[Data ex-1])=Tabela5[[#This Row],[Ano]]),Tabela4[Líquido])</f>
        <v>0</v>
      </c>
      <c r="L137" s="87"/>
      <c r="M137" s="87"/>
      <c r="N137" s="88">
        <f>IF(Tabela5[[#This Row],[Dividendos]]&gt;0,Tabela5[[#This Row],[Dividendos]]/Tabela5[[#This Row],[Lucro Líquido]],0)</f>
        <v>0</v>
      </c>
      <c r="O137" s="23"/>
      <c r="P137" s="10"/>
    </row>
    <row r="138" spans="1:16" x14ac:dyDescent="0.2">
      <c r="A138" s="35" t="s">
        <v>83</v>
      </c>
      <c r="B138" s="31" t="s">
        <v>14</v>
      </c>
      <c r="C138" s="32">
        <v>39986</v>
      </c>
      <c r="D138" s="34">
        <v>0.1777</v>
      </c>
      <c r="E138" s="33">
        <v>40052</v>
      </c>
      <c r="F138" s="33">
        <v>39980</v>
      </c>
      <c r="G138" s="34">
        <f>IF(Tabela4[[#This Row],[Tipo]]="Dividendo",Tabela4[[#This Row],[Valor]],IF(Tabela4[[#This Row],[Tipo]]="Jrs. Cap. Próprio",Tabela4[[#This Row],[Valor]]*85%,0))</f>
        <v>0.15104499999999998</v>
      </c>
      <c r="I138" s="35" t="s">
        <v>87</v>
      </c>
      <c r="J138" s="35">
        <v>2002</v>
      </c>
      <c r="K138" s="34">
        <f>SUMPRODUCT(N(Tabela4[Ativo]=Tabela5[[#This Row],[Ativo]]),N(YEAR(Tabela4[Data ex-1])=Tabela5[[#This Row],[Ano]]),Tabela4[Líquido])</f>
        <v>0</v>
      </c>
      <c r="L138" s="87"/>
      <c r="M138" s="87"/>
      <c r="N138" s="88">
        <f>IF(Tabela5[[#This Row],[Dividendos]]&gt;0,Tabela5[[#This Row],[Dividendos]]/Tabela5[[#This Row],[Lucro Líquido]],0)</f>
        <v>0</v>
      </c>
      <c r="O138" s="23"/>
      <c r="P138" s="10"/>
    </row>
    <row r="139" spans="1:16" x14ac:dyDescent="0.2">
      <c r="A139" s="35" t="s">
        <v>83</v>
      </c>
      <c r="B139" s="31" t="s">
        <v>15</v>
      </c>
      <c r="C139" s="32">
        <v>39947</v>
      </c>
      <c r="D139" s="34">
        <v>8.5099999999999995E-2</v>
      </c>
      <c r="E139" s="33">
        <v>39960</v>
      </c>
      <c r="F139" s="33">
        <v>39947</v>
      </c>
      <c r="G139" s="34">
        <f>IF(Tabela4[[#This Row],[Tipo]]="Dividendo",Tabela4[[#This Row],[Valor]],IF(Tabela4[[#This Row],[Tipo]]="Jrs. Cap. Próprio",Tabela4[[#This Row],[Valor]]*85%,0))</f>
        <v>8.5099999999999995E-2</v>
      </c>
      <c r="I139" s="35" t="s">
        <v>87</v>
      </c>
      <c r="J139" s="35">
        <v>2001</v>
      </c>
      <c r="K139" s="34">
        <f>SUMPRODUCT(N(Tabela4[Ativo]=Tabela5[[#This Row],[Ativo]]),N(YEAR(Tabela4[Data ex-1])=Tabela5[[#This Row],[Ano]]),Tabela4[Líquido])</f>
        <v>1.9300000000000001E-2</v>
      </c>
      <c r="L139" s="87"/>
      <c r="M139" s="87"/>
      <c r="N139" s="88">
        <f>IF(Tabela5[[#This Row],[Dividendos]]&gt;0,Tabela5[[#This Row],[Dividendos]]/Tabela5[[#This Row],[Lucro Líquido]],0)</f>
        <v>0</v>
      </c>
      <c r="O139" s="23"/>
      <c r="P139" s="10"/>
    </row>
    <row r="140" spans="1:16" x14ac:dyDescent="0.2">
      <c r="A140" s="35" t="s">
        <v>83</v>
      </c>
      <c r="B140" s="31" t="s">
        <v>14</v>
      </c>
      <c r="C140" s="32">
        <v>39895</v>
      </c>
      <c r="D140" s="34">
        <v>0.1744</v>
      </c>
      <c r="E140" s="33">
        <v>39960</v>
      </c>
      <c r="F140" s="33">
        <v>39890</v>
      </c>
      <c r="G140" s="34">
        <f>IF(Tabela4[[#This Row],[Tipo]]="Dividendo",Tabela4[[#This Row],[Valor]],IF(Tabela4[[#This Row],[Tipo]]="Jrs. Cap. Próprio",Tabela4[[#This Row],[Valor]]*85%,0))</f>
        <v>0.14823999999999998</v>
      </c>
      <c r="I140" s="3" t="s">
        <v>253</v>
      </c>
      <c r="J140" s="3">
        <v>2013</v>
      </c>
      <c r="K140" s="10">
        <f>SUMPRODUCT(N(Tabela4[Ativo]=Tabela5[[#This Row],[Ativo]]),N(YEAR(Tabela4[Data ex-1])=Tabela5[[#This Row],[Ano]]),Tabela4[Líquido])</f>
        <v>0.47484000000000004</v>
      </c>
      <c r="N140" s="23">
        <f>IF(Tabela5[[#This Row],[Dividendos]]&gt;0,Tabela5[[#This Row],[Dividendos]]/Tabela5[[#This Row],[Lucro Líquido]],0)</f>
        <v>0</v>
      </c>
      <c r="O140" s="28">
        <v>0.36820000000000003</v>
      </c>
      <c r="P140" s="10"/>
    </row>
    <row r="141" spans="1:16" x14ac:dyDescent="0.2">
      <c r="A141" s="35" t="s">
        <v>83</v>
      </c>
      <c r="B141" s="31" t="s">
        <v>15</v>
      </c>
      <c r="C141" s="32">
        <v>39863</v>
      </c>
      <c r="D141" s="34">
        <v>0.3044</v>
      </c>
      <c r="E141" s="33">
        <v>39875</v>
      </c>
      <c r="F141" s="33">
        <v>39847</v>
      </c>
      <c r="G141" s="34">
        <f>IF(Tabela4[[#This Row],[Tipo]]="Dividendo",Tabela4[[#This Row],[Valor]],IF(Tabela4[[#This Row],[Tipo]]="Jrs. Cap. Próprio",Tabela4[[#This Row],[Valor]]*85%,0))</f>
        <v>0.3044</v>
      </c>
      <c r="I141" s="3" t="s">
        <v>253</v>
      </c>
      <c r="J141" s="3">
        <v>2012</v>
      </c>
      <c r="K141" s="10">
        <f>SUMPRODUCT(N(Tabela4[Ativo]=Tabela5[[#This Row],[Ativo]]),N(YEAR(Tabela4[Data ex-1])=Tabela5[[#This Row],[Ano]]),Tabela4[Líquido])</f>
        <v>0.43793500000000002</v>
      </c>
      <c r="N141" s="23">
        <f>IF(Tabela5[[#This Row],[Dividendos]]&gt;0,Tabela5[[#This Row],[Dividendos]]/Tabela5[[#This Row],[Lucro Líquido]],0)</f>
        <v>0</v>
      </c>
      <c r="O141" s="28">
        <v>0.34</v>
      </c>
      <c r="P141" s="10"/>
    </row>
    <row r="142" spans="1:16" x14ac:dyDescent="0.2">
      <c r="A142" s="35" t="s">
        <v>83</v>
      </c>
      <c r="B142" s="31" t="s">
        <v>14</v>
      </c>
      <c r="C142" s="32">
        <v>39804</v>
      </c>
      <c r="D142" s="34">
        <v>0.16</v>
      </c>
      <c r="E142" s="33">
        <v>39875</v>
      </c>
      <c r="F142" s="33">
        <v>39798</v>
      </c>
      <c r="G142" s="34">
        <f>IF(Tabela4[[#This Row],[Tipo]]="Dividendo",Tabela4[[#This Row],[Valor]],IF(Tabela4[[#This Row],[Tipo]]="Jrs. Cap. Próprio",Tabela4[[#This Row],[Valor]]*85%,0))</f>
        <v>0.13600000000000001</v>
      </c>
      <c r="I142" s="3" t="s">
        <v>253</v>
      </c>
      <c r="J142" s="3">
        <v>2011</v>
      </c>
      <c r="K142" s="10">
        <f>SUMPRODUCT(N(Tabela4[Ativo]=Tabela5[[#This Row],[Ativo]]),N(YEAR(Tabela4[Data ex-1])=Tabela5[[#This Row],[Ano]]),Tabela4[Líquido])</f>
        <v>0.39992499999999997</v>
      </c>
      <c r="N142" s="23">
        <f>IF(Tabela5[[#This Row],[Dividendos]]&gt;0,Tabela5[[#This Row],[Dividendos]]/Tabela5[[#This Row],[Lucro Líquido]],0)</f>
        <v>0</v>
      </c>
      <c r="O142" s="28"/>
      <c r="P142" s="10"/>
    </row>
    <row r="143" spans="1:16" x14ac:dyDescent="0.2">
      <c r="A143" s="35" t="s">
        <v>83</v>
      </c>
      <c r="B143" s="31" t="s">
        <v>15</v>
      </c>
      <c r="C143" s="32">
        <v>39765</v>
      </c>
      <c r="D143" s="34">
        <v>0.1341</v>
      </c>
      <c r="E143" s="33">
        <v>39777</v>
      </c>
      <c r="F143" s="33">
        <v>39749</v>
      </c>
      <c r="G143" s="34">
        <f>IF(Tabela4[[#This Row],[Tipo]]="Dividendo",Tabela4[[#This Row],[Valor]],IF(Tabela4[[#This Row],[Tipo]]="Jrs. Cap. Próprio",Tabela4[[#This Row],[Valor]]*85%,0))</f>
        <v>0.1341</v>
      </c>
      <c r="I143" s="3" t="s">
        <v>253</v>
      </c>
      <c r="J143" s="3">
        <v>2010</v>
      </c>
      <c r="K143" s="10">
        <f>SUMPRODUCT(N(Tabela4[Ativo]=Tabela5[[#This Row],[Ativo]]),N(YEAR(Tabela4[Data ex-1])=Tabela5[[#This Row],[Ano]]),Tabela4[Líquido])</f>
        <v>0.36515500000000001</v>
      </c>
      <c r="N143" s="23">
        <f>IF(Tabela5[[#This Row],[Dividendos]]&gt;0,Tabela5[[#This Row],[Dividendos]]/Tabela5[[#This Row],[Lucro Líquido]],0)</f>
        <v>0</v>
      </c>
      <c r="O143" s="28"/>
      <c r="P143" s="10"/>
    </row>
    <row r="144" spans="1:16" x14ac:dyDescent="0.2">
      <c r="A144" s="35" t="s">
        <v>83</v>
      </c>
      <c r="B144" s="31" t="s">
        <v>14</v>
      </c>
      <c r="C144" s="32">
        <v>39714</v>
      </c>
      <c r="D144" s="34">
        <v>0.15970000000000001</v>
      </c>
      <c r="E144" s="33">
        <v>39777</v>
      </c>
      <c r="F144" s="33">
        <v>39707</v>
      </c>
      <c r="G144" s="34">
        <f>IF(Tabela4[[#This Row],[Tipo]]="Dividendo",Tabela4[[#This Row],[Valor]],IF(Tabela4[[#This Row],[Tipo]]="Jrs. Cap. Próprio",Tabela4[[#This Row],[Valor]]*85%,0))</f>
        <v>0.135745</v>
      </c>
      <c r="I144" s="3" t="s">
        <v>253</v>
      </c>
      <c r="J144" s="3">
        <v>2009</v>
      </c>
      <c r="K144" s="10">
        <f>SUMPRODUCT(N(Tabela4[Ativo]=Tabela5[[#This Row],[Ativo]]),N(YEAR(Tabela4[Data ex-1])=Tabela5[[#This Row],[Ano]]),Tabela4[Líquido])</f>
        <v>0.33102500000000001</v>
      </c>
      <c r="N144" s="23">
        <f>IF(Tabela5[[#This Row],[Dividendos]]&gt;0,Tabela5[[#This Row],[Dividendos]]/Tabela5[[#This Row],[Lucro Líquido]],0)</f>
        <v>0</v>
      </c>
      <c r="O144" s="28"/>
      <c r="P144" s="10"/>
    </row>
    <row r="145" spans="1:16" x14ac:dyDescent="0.2">
      <c r="A145" s="35" t="s">
        <v>83</v>
      </c>
      <c r="B145" s="31" t="s">
        <v>15</v>
      </c>
      <c r="C145" s="32">
        <v>39675</v>
      </c>
      <c r="D145" s="34">
        <v>0.1178</v>
      </c>
      <c r="E145" s="33">
        <v>39686</v>
      </c>
      <c r="F145" s="33">
        <v>39658</v>
      </c>
      <c r="G145" s="34">
        <f>IF(Tabela4[[#This Row],[Tipo]]="Dividendo",Tabela4[[#This Row],[Valor]],IF(Tabela4[[#This Row],[Tipo]]="Jrs. Cap. Próprio",Tabela4[[#This Row],[Valor]]*85%,0))</f>
        <v>0.1178</v>
      </c>
      <c r="I145" s="3" t="s">
        <v>253</v>
      </c>
      <c r="J145" s="3">
        <v>2008</v>
      </c>
      <c r="K145" s="10">
        <f>SUMPRODUCT(N(Tabela4[Ativo]=Tabela5[[#This Row],[Ativo]]),N(YEAR(Tabela4[Data ex-1])=Tabela5[[#This Row],[Ano]]),Tabela4[Líquido])</f>
        <v>0.30047499999999999</v>
      </c>
      <c r="N145" s="23">
        <f>IF(Tabela5[[#This Row],[Dividendos]]&gt;0,Tabela5[[#This Row],[Dividendos]]/Tabela5[[#This Row],[Lucro Líquido]],0)</f>
        <v>0</v>
      </c>
      <c r="O145" s="28"/>
      <c r="P145" s="10"/>
    </row>
    <row r="146" spans="1:16" x14ac:dyDescent="0.2">
      <c r="A146" s="35" t="s">
        <v>83</v>
      </c>
      <c r="B146" s="31" t="s">
        <v>14</v>
      </c>
      <c r="C146" s="32">
        <v>39622</v>
      </c>
      <c r="D146" s="34">
        <v>0.14280000000000001</v>
      </c>
      <c r="E146" s="33">
        <v>39686</v>
      </c>
      <c r="F146" s="33">
        <v>39616</v>
      </c>
      <c r="G146" s="34">
        <f>IF(Tabela4[[#This Row],[Tipo]]="Dividendo",Tabela4[[#This Row],[Valor]],IF(Tabela4[[#This Row],[Tipo]]="Jrs. Cap. Próprio",Tabela4[[#This Row],[Valor]]*85%,0))</f>
        <v>0.12138</v>
      </c>
      <c r="I146" s="3" t="s">
        <v>253</v>
      </c>
      <c r="J146" s="3">
        <v>2007</v>
      </c>
      <c r="K146" s="10">
        <f>SUMPRODUCT(N(Tabela4[Ativo]=Tabela5[[#This Row],[Ativo]]),N(YEAR(Tabela4[Data ex-1])=Tabela5[[#This Row],[Ano]]),Tabela4[Líquido])</f>
        <v>0.23717500000000002</v>
      </c>
      <c r="N146" s="23">
        <f>IF(Tabela5[[#This Row],[Dividendos]]&gt;0,Tabela5[[#This Row],[Dividendos]]/Tabela5[[#This Row],[Lucro Líquido]],0)</f>
        <v>0</v>
      </c>
      <c r="O146" s="28"/>
      <c r="P146" s="10"/>
    </row>
    <row r="147" spans="1:16" x14ac:dyDescent="0.2">
      <c r="A147" s="35" t="s">
        <v>83</v>
      </c>
      <c r="B147" s="31" t="s">
        <v>15</v>
      </c>
      <c r="C147" s="32">
        <v>39582</v>
      </c>
      <c r="D147" s="34">
        <v>0.22420000000000001</v>
      </c>
      <c r="E147" s="33">
        <v>39597</v>
      </c>
      <c r="F147" s="33">
        <v>39574</v>
      </c>
      <c r="G147" s="34">
        <f>IF(Tabela4[[#This Row],[Tipo]]="Dividendo",Tabela4[[#This Row],[Valor]],IF(Tabela4[[#This Row],[Tipo]]="Jrs. Cap. Próprio",Tabela4[[#This Row],[Valor]]*85%,0))</f>
        <v>0.22420000000000001</v>
      </c>
      <c r="I147" s="3" t="s">
        <v>253</v>
      </c>
      <c r="J147" s="3">
        <v>2006</v>
      </c>
      <c r="K147" s="10">
        <f>SUMPRODUCT(N(Tabela4[Ativo]=Tabela5[[#This Row],[Ativo]]),N(YEAR(Tabela4[Data ex-1])=Tabela5[[#This Row],[Ano]]),Tabela4[Líquido])</f>
        <v>0.2281</v>
      </c>
      <c r="N147" s="23">
        <f>IF(Tabela5[[#This Row],[Dividendos]]&gt;0,Tabela5[[#This Row],[Dividendos]]/Tabela5[[#This Row],[Lucro Líquido]],0)</f>
        <v>0</v>
      </c>
      <c r="O147" s="28"/>
      <c r="P147" s="10"/>
    </row>
    <row r="148" spans="1:16" x14ac:dyDescent="0.2">
      <c r="A148" s="35" t="s">
        <v>83</v>
      </c>
      <c r="B148" s="31" t="s">
        <v>14</v>
      </c>
      <c r="C148" s="32">
        <v>39527</v>
      </c>
      <c r="D148" s="34">
        <v>0.14510000000000001</v>
      </c>
      <c r="E148" s="33">
        <v>39597</v>
      </c>
      <c r="F148" s="33">
        <v>39527</v>
      </c>
      <c r="G148" s="34">
        <f>IF(Tabela4[[#This Row],[Tipo]]="Dividendo",Tabela4[[#This Row],[Valor]],IF(Tabela4[[#This Row],[Tipo]]="Jrs. Cap. Próprio",Tabela4[[#This Row],[Valor]]*85%,0))</f>
        <v>0.123335</v>
      </c>
      <c r="I148" s="3" t="s">
        <v>253</v>
      </c>
      <c r="J148" s="3">
        <v>2005</v>
      </c>
      <c r="K148" s="10">
        <f>SUMPRODUCT(N(Tabela4[Ativo]=Tabela5[[#This Row],[Ativo]]),N(YEAR(Tabela4[Data ex-1])=Tabela5[[#This Row],[Ano]]),Tabela4[Líquido])</f>
        <v>0.21084999999999998</v>
      </c>
      <c r="N148" s="23">
        <f>IF(Tabela5[[#This Row],[Dividendos]]&gt;0,Tabela5[[#This Row],[Dividendos]]/Tabela5[[#This Row],[Lucro Líquido]],0)</f>
        <v>0</v>
      </c>
      <c r="O148" s="28"/>
      <c r="P148" s="10"/>
    </row>
    <row r="149" spans="1:16" x14ac:dyDescent="0.2">
      <c r="A149" s="35" t="s">
        <v>83</v>
      </c>
      <c r="B149" s="31" t="s">
        <v>15</v>
      </c>
      <c r="C149" s="32">
        <v>39504</v>
      </c>
      <c r="D149" s="34">
        <v>5.3999999999999999E-2</v>
      </c>
      <c r="E149" s="33">
        <v>39512</v>
      </c>
      <c r="F149" s="33">
        <v>39485</v>
      </c>
      <c r="G149" s="34">
        <f>IF(Tabela4[[#This Row],[Tipo]]="Dividendo",Tabela4[[#This Row],[Valor]],IF(Tabela4[[#This Row],[Tipo]]="Jrs. Cap. Próprio",Tabela4[[#This Row],[Valor]]*85%,0))</f>
        <v>5.3999999999999999E-2</v>
      </c>
      <c r="I149" s="3" t="s">
        <v>253</v>
      </c>
      <c r="J149" s="3">
        <v>2004</v>
      </c>
      <c r="K149" s="10">
        <f>SUMPRODUCT(N(Tabela4[Ativo]=Tabela5[[#This Row],[Ativo]]),N(YEAR(Tabela4[Data ex-1])=Tabela5[[#This Row],[Ano]]),Tabela4[Líquido])</f>
        <v>0.19040000000000001</v>
      </c>
      <c r="N149" s="23">
        <f>IF(Tabela5[[#This Row],[Dividendos]]&gt;0,Tabela5[[#This Row],[Dividendos]]/Tabela5[[#This Row],[Lucro Líquido]],0)</f>
        <v>0</v>
      </c>
      <c r="O149" s="28"/>
      <c r="P149" s="10"/>
    </row>
    <row r="150" spans="1:16" x14ac:dyDescent="0.2">
      <c r="A150" s="35" t="s">
        <v>83</v>
      </c>
      <c r="B150" s="31" t="s">
        <v>14</v>
      </c>
      <c r="C150" s="32">
        <v>39437</v>
      </c>
      <c r="D150" s="34">
        <v>0.14000000000000001</v>
      </c>
      <c r="E150" s="33">
        <v>39512</v>
      </c>
      <c r="F150" s="33">
        <v>39435</v>
      </c>
      <c r="G150" s="34">
        <f>IF(Tabela4[[#This Row],[Tipo]]="Dividendo",Tabela4[[#This Row],[Valor]],IF(Tabela4[[#This Row],[Tipo]]="Jrs. Cap. Próprio",Tabela4[[#This Row],[Valor]]*85%,0))</f>
        <v>0.11900000000000001</v>
      </c>
      <c r="I150" s="3" t="s">
        <v>253</v>
      </c>
      <c r="J150" s="3">
        <v>2003</v>
      </c>
      <c r="K150" s="10">
        <f>SUMPRODUCT(N(Tabela4[Ativo]=Tabela5[[#This Row],[Ativo]]),N(YEAR(Tabela4[Data ex-1])=Tabela5[[#This Row],[Ano]]),Tabela4[Líquido])</f>
        <v>0.22138000000000002</v>
      </c>
      <c r="N150" s="23">
        <f>IF(Tabela5[[#This Row],[Dividendos]]&gt;0,Tabela5[[#This Row],[Dividendos]]/Tabela5[[#This Row],[Lucro Líquido]],0)</f>
        <v>0</v>
      </c>
      <c r="O150" s="28"/>
      <c r="P150" s="10"/>
    </row>
    <row r="151" spans="1:16" x14ac:dyDescent="0.2">
      <c r="A151" s="35" t="s">
        <v>83</v>
      </c>
      <c r="B151" s="31" t="s">
        <v>15</v>
      </c>
      <c r="C151" s="32">
        <v>39399</v>
      </c>
      <c r="D151" s="34">
        <v>8.5699999999999998E-2</v>
      </c>
      <c r="E151" s="33">
        <v>39414</v>
      </c>
      <c r="F151" s="33">
        <v>39385</v>
      </c>
      <c r="G151" s="34">
        <f>IF(Tabela4[[#This Row],[Tipo]]="Dividendo",Tabela4[[#This Row],[Valor]],IF(Tabela4[[#This Row],[Tipo]]="Jrs. Cap. Próprio",Tabela4[[#This Row],[Valor]]*85%,0))</f>
        <v>8.5699999999999998E-2</v>
      </c>
      <c r="I151" s="3" t="s">
        <v>253</v>
      </c>
      <c r="J151" s="3">
        <v>2002</v>
      </c>
      <c r="K151" s="10">
        <f>SUMPRODUCT(N(Tabela4[Ativo]=Tabela5[[#This Row],[Ativo]]),N(YEAR(Tabela4[Data ex-1])=Tabela5[[#This Row],[Ano]]),Tabela4[Líquido])</f>
        <v>0.14746500000000001</v>
      </c>
      <c r="N151" s="23">
        <f>IF(Tabela5[[#This Row],[Dividendos]]&gt;0,Tabela5[[#This Row],[Dividendos]]/Tabela5[[#This Row],[Lucro Líquido]],0)</f>
        <v>0</v>
      </c>
      <c r="O151" s="28"/>
      <c r="P151" s="10"/>
    </row>
    <row r="152" spans="1:16" x14ac:dyDescent="0.2">
      <c r="A152" s="35" t="s">
        <v>83</v>
      </c>
      <c r="B152" s="31" t="s">
        <v>14</v>
      </c>
      <c r="C152" s="32">
        <v>39346</v>
      </c>
      <c r="D152" s="34">
        <v>0.1346</v>
      </c>
      <c r="E152" s="33">
        <v>39414</v>
      </c>
      <c r="F152" s="33">
        <v>39344</v>
      </c>
      <c r="G152" s="34">
        <f>IF(Tabela4[[#This Row],[Tipo]]="Dividendo",Tabela4[[#This Row],[Valor]],IF(Tabela4[[#This Row],[Tipo]]="Jrs. Cap. Próprio",Tabela4[[#This Row],[Valor]]*85%,0))</f>
        <v>0.11441</v>
      </c>
      <c r="I152" s="3" t="s">
        <v>253</v>
      </c>
      <c r="J152" s="3">
        <v>2001</v>
      </c>
      <c r="K152" s="10">
        <f>SUMPRODUCT(N(Tabela4[Ativo]=Tabela5[[#This Row],[Ativo]]),N(YEAR(Tabela4[Data ex-1])=Tabela5[[#This Row],[Ano]]),Tabela4[Líquido])</f>
        <v>0.13875499999999999</v>
      </c>
      <c r="N152" s="23">
        <f>IF(Tabela5[[#This Row],[Dividendos]]&gt;0,Tabela5[[#This Row],[Dividendos]]/Tabela5[[#This Row],[Lucro Líquido]],0)</f>
        <v>0</v>
      </c>
      <c r="O152" s="28"/>
      <c r="P152" s="10"/>
    </row>
    <row r="153" spans="1:16" x14ac:dyDescent="0.2">
      <c r="A153" s="35" t="s">
        <v>83</v>
      </c>
      <c r="B153" s="31" t="s">
        <v>15</v>
      </c>
      <c r="C153" s="32">
        <v>39308</v>
      </c>
      <c r="D153" s="34">
        <v>3.95E-2</v>
      </c>
      <c r="E153" s="33">
        <v>39322</v>
      </c>
      <c r="F153" s="33">
        <v>39296</v>
      </c>
      <c r="G153" s="34">
        <f>IF(Tabela4[[#This Row],[Tipo]]="Dividendo",Tabela4[[#This Row],[Valor]],IF(Tabela4[[#This Row],[Tipo]]="Jrs. Cap. Próprio",Tabela4[[#This Row],[Valor]]*85%,0))</f>
        <v>3.95E-2</v>
      </c>
      <c r="I153" s="3" t="s">
        <v>253</v>
      </c>
      <c r="J153" s="3">
        <v>2000</v>
      </c>
      <c r="K153" s="10">
        <f>SUMPRODUCT(N(Tabela4[Ativo]=Tabela5[[#This Row],[Ativo]]),N(YEAR(Tabela4[Data ex-1])=Tabela5[[#This Row],[Ano]]),Tabela4[Líquido])</f>
        <v>0.11376499999999999</v>
      </c>
      <c r="N153" s="23">
        <f>IF(Tabela5[[#This Row],[Dividendos]]&gt;0,Tabela5[[#This Row],[Dividendos]]/Tabela5[[#This Row],[Lucro Líquido]],0)</f>
        <v>0</v>
      </c>
      <c r="O153" s="28"/>
      <c r="P153" s="10"/>
    </row>
    <row r="154" spans="1:16" x14ac:dyDescent="0.2">
      <c r="A154" s="35" t="s">
        <v>83</v>
      </c>
      <c r="B154" s="31" t="s">
        <v>14</v>
      </c>
      <c r="C154" s="32">
        <v>39254</v>
      </c>
      <c r="D154" s="34">
        <v>0.1336</v>
      </c>
      <c r="E154" s="33">
        <v>39322</v>
      </c>
      <c r="F154" s="33">
        <v>39252</v>
      </c>
      <c r="G154" s="34">
        <f>IF(Tabela4[[#This Row],[Tipo]]="Dividendo",Tabela4[[#This Row],[Valor]],IF(Tabela4[[#This Row],[Tipo]]="Jrs. Cap. Próprio",Tabela4[[#This Row],[Valor]]*85%,0))</f>
        <v>0.11355999999999999</v>
      </c>
      <c r="I154" s="3" t="s">
        <v>253</v>
      </c>
      <c r="J154" s="3">
        <v>1999</v>
      </c>
      <c r="K154" s="10">
        <f>SUMPRODUCT(N(Tabela4[Ativo]=Tabela5[[#This Row],[Ativo]]),N(YEAR(Tabela4[Data ex-1])=Tabela5[[#This Row],[Ano]]),Tabela4[Líquido])</f>
        <v>0.16508499999999998</v>
      </c>
      <c r="N154" s="23">
        <f>IF(Tabela5[[#This Row],[Dividendos]]&gt;0,Tabela5[[#This Row],[Dividendos]]/Tabela5[[#This Row],[Lucro Líquido]],0)</f>
        <v>0</v>
      </c>
      <c r="O154" s="28"/>
      <c r="P154" s="10"/>
    </row>
    <row r="155" spans="1:16" x14ac:dyDescent="0.2">
      <c r="A155" s="35" t="s">
        <v>83</v>
      </c>
      <c r="B155" s="31" t="s">
        <v>15</v>
      </c>
      <c r="C155" s="32">
        <v>39217</v>
      </c>
      <c r="D155" s="34">
        <v>0.29380000000000001</v>
      </c>
      <c r="E155" s="33">
        <v>39231</v>
      </c>
      <c r="F155" s="33">
        <v>39217</v>
      </c>
      <c r="G155" s="34">
        <f>IF(Tabela4[[#This Row],[Tipo]]="Dividendo",Tabela4[[#This Row],[Valor]],IF(Tabela4[[#This Row],[Tipo]]="Jrs. Cap. Próprio",Tabela4[[#This Row],[Valor]]*85%,0))</f>
        <v>0.29380000000000001</v>
      </c>
      <c r="I155" s="35" t="s">
        <v>78</v>
      </c>
      <c r="J155" s="35">
        <v>2013</v>
      </c>
      <c r="K155" s="38">
        <f>SUMPRODUCT(N(Tabela4[Ativo]=Tabela5[[#This Row],[Ativo]]),N(YEAR(Tabela4[Data ex-1])=Tabela5[[#This Row],[Ano]]),Tabela4[Líquido])</f>
        <v>1.7250000000000001</v>
      </c>
      <c r="L155" s="43"/>
      <c r="M155" s="43"/>
      <c r="N155" s="75">
        <f>IF(Tabela5[[#This Row],[Dividendos]]&gt;0,Tabela5[[#This Row],[Dividendos]]/Tabela5[[#This Row],[Lucro Líquido]],0)</f>
        <v>0</v>
      </c>
      <c r="O155" s="23"/>
      <c r="P155" s="10"/>
    </row>
    <row r="156" spans="1:16" x14ac:dyDescent="0.2">
      <c r="A156" s="35" t="s">
        <v>83</v>
      </c>
      <c r="B156" s="31" t="s">
        <v>14</v>
      </c>
      <c r="C156" s="32">
        <v>39162</v>
      </c>
      <c r="D156" s="34">
        <v>0.38900000000000001</v>
      </c>
      <c r="E156" s="33">
        <v>39231</v>
      </c>
      <c r="F156" s="33">
        <v>39161</v>
      </c>
      <c r="G156" s="34">
        <f>IF(Tabela4[[#This Row],[Tipo]]="Dividendo",Tabela4[[#This Row],[Valor]],IF(Tabela4[[#This Row],[Tipo]]="Jrs. Cap. Próprio",Tabela4[[#This Row],[Valor]]*85%,0))</f>
        <v>0.33065</v>
      </c>
      <c r="I156" s="35" t="s">
        <v>78</v>
      </c>
      <c r="J156" s="35">
        <v>2012</v>
      </c>
      <c r="K156" s="38">
        <f>SUMPRODUCT(N(Tabela4[Ativo]=Tabela5[[#This Row],[Ativo]]),N(YEAR(Tabela4[Data ex-1])=Tabela5[[#This Row],[Ano]]),Tabela4[Líquido])</f>
        <v>0.98429999999999995</v>
      </c>
      <c r="L156" s="43"/>
      <c r="M156" s="43"/>
      <c r="N156" s="75">
        <f>IF(Tabela5[[#This Row],[Dividendos]]&gt;0,Tabela5[[#This Row],[Dividendos]]/Tabela5[[#This Row],[Lucro Líquido]],0)</f>
        <v>0</v>
      </c>
      <c r="O156" s="23"/>
      <c r="P156" s="10"/>
    </row>
    <row r="157" spans="1:16" x14ac:dyDescent="0.2">
      <c r="A157" s="35" t="s">
        <v>83</v>
      </c>
      <c r="B157" s="31" t="s">
        <v>15</v>
      </c>
      <c r="C157" s="32">
        <v>39140</v>
      </c>
      <c r="D157" s="34">
        <v>0.2233</v>
      </c>
      <c r="E157" s="33">
        <v>39153</v>
      </c>
      <c r="F157" s="33">
        <v>39139</v>
      </c>
      <c r="G157" s="34">
        <f>IF(Tabela4[[#This Row],[Tipo]]="Dividendo",Tabela4[[#This Row],[Valor]],IF(Tabela4[[#This Row],[Tipo]]="Jrs. Cap. Próprio",Tabela4[[#This Row],[Valor]]*85%,0))</f>
        <v>0.2233</v>
      </c>
      <c r="I157" s="35" t="s">
        <v>78</v>
      </c>
      <c r="J157" s="35">
        <v>2011</v>
      </c>
      <c r="K157" s="34">
        <f>SUMPRODUCT(N(Tabela4[Ativo]=Tabela5[[#This Row],[Ativo]]),N(YEAR(Tabela4[Data ex-1])=Tabela5[[#This Row],[Ano]]),Tabela4[Líquido])</f>
        <v>3.49</v>
      </c>
      <c r="L157" s="87"/>
      <c r="M157" s="87"/>
      <c r="N157" s="88">
        <f>IF(Tabela5[[#This Row],[Dividendos]]&gt;0,Tabela5[[#This Row],[Dividendos]]/Tabela5[[#This Row],[Lucro Líquido]],0)</f>
        <v>0</v>
      </c>
      <c r="O157" s="23"/>
      <c r="P157" s="10"/>
    </row>
    <row r="158" spans="1:16" x14ac:dyDescent="0.2">
      <c r="A158" s="35" t="s">
        <v>83</v>
      </c>
      <c r="B158" s="31" t="s">
        <v>14</v>
      </c>
      <c r="C158" s="32">
        <v>39072</v>
      </c>
      <c r="D158" s="34">
        <v>0.8256</v>
      </c>
      <c r="E158" s="33">
        <v>39153</v>
      </c>
      <c r="F158" s="33">
        <v>39072</v>
      </c>
      <c r="G158" s="34">
        <f>IF(Tabela4[[#This Row],[Tipo]]="Dividendo",Tabela4[[#This Row],[Valor]],IF(Tabela4[[#This Row],[Tipo]]="Jrs. Cap. Próprio",Tabela4[[#This Row],[Valor]]*85%,0))</f>
        <v>0.70175999999999994</v>
      </c>
      <c r="I158" s="35" t="s">
        <v>72</v>
      </c>
      <c r="J158" s="35">
        <v>2013</v>
      </c>
      <c r="K158" s="38">
        <f>SUMPRODUCT(N(Tabela4[Ativo]=Tabela5[[#This Row],[Ativo]]),N(YEAR(Tabela4[Data ex-1])=Tabela5[[#This Row],[Ano]]),Tabela4[Líquido])</f>
        <v>0.47149999999999997</v>
      </c>
      <c r="L158" s="43"/>
      <c r="M158" s="43"/>
      <c r="N158" s="75">
        <f>IF(Tabela5[[#This Row],[Dividendos]]&gt;0,Tabela5[[#This Row],[Dividendos]]/Tabela5[[#This Row],[Lucro Líquido]],0)</f>
        <v>0</v>
      </c>
      <c r="O158" s="23"/>
      <c r="P158" s="10"/>
    </row>
    <row r="159" spans="1:16" x14ac:dyDescent="0.2">
      <c r="A159" s="35" t="s">
        <v>83</v>
      </c>
      <c r="B159" s="31" t="s">
        <v>14</v>
      </c>
      <c r="C159" s="32">
        <v>38943</v>
      </c>
      <c r="D159" s="34">
        <v>0.86560000000000004</v>
      </c>
      <c r="E159" s="33">
        <v>38957</v>
      </c>
      <c r="F159" s="33">
        <v>38939</v>
      </c>
      <c r="G159" s="34">
        <f>IF(Tabela4[[#This Row],[Tipo]]="Dividendo",Tabela4[[#This Row],[Valor]],IF(Tabela4[[#This Row],[Tipo]]="Jrs. Cap. Próprio",Tabela4[[#This Row],[Valor]]*85%,0))</f>
        <v>0.73575999999999997</v>
      </c>
      <c r="I159" s="35" t="s">
        <v>72</v>
      </c>
      <c r="J159" s="35">
        <v>2012</v>
      </c>
      <c r="K159" s="38">
        <f>SUMPRODUCT(N(Tabela4[Ativo]=Tabela5[[#This Row],[Ativo]]),N(YEAR(Tabela4[Data ex-1])=Tabela5[[#This Row],[Ano]]),Tabela4[Líquido])</f>
        <v>0.1507</v>
      </c>
      <c r="L159" s="43"/>
      <c r="M159" s="43"/>
      <c r="N159" s="75">
        <f>IF(Tabela5[[#This Row],[Dividendos]]&gt;0,Tabela5[[#This Row],[Dividendos]]/Tabela5[[#This Row],[Lucro Líquido]],0)</f>
        <v>0</v>
      </c>
      <c r="O159" s="23"/>
      <c r="P159" s="10"/>
    </row>
    <row r="160" spans="1:16" x14ac:dyDescent="0.2">
      <c r="A160" s="35" t="s">
        <v>83</v>
      </c>
      <c r="B160" s="31" t="s">
        <v>15</v>
      </c>
      <c r="C160" s="32">
        <v>38943</v>
      </c>
      <c r="D160" s="34">
        <v>1.073</v>
      </c>
      <c r="E160" s="33">
        <v>38957</v>
      </c>
      <c r="F160" s="33">
        <v>38939</v>
      </c>
      <c r="G160" s="34">
        <f>IF(Tabela4[[#This Row],[Tipo]]="Dividendo",Tabela4[[#This Row],[Valor]],IF(Tabela4[[#This Row],[Tipo]]="Jrs. Cap. Próprio",Tabela4[[#This Row],[Valor]]*85%,0))</f>
        <v>1.073</v>
      </c>
      <c r="I160" s="35" t="s">
        <v>72</v>
      </c>
      <c r="J160" s="35">
        <v>2011</v>
      </c>
      <c r="K160" s="38">
        <f>SUMPRODUCT(N(Tabela4[Ativo]=Tabela5[[#This Row],[Ativo]]),N(YEAR(Tabela4[Data ex-1])=Tabela5[[#This Row],[Ano]]),Tabela4[Líquido])</f>
        <v>0.16520000000000001</v>
      </c>
      <c r="L160" s="43"/>
      <c r="M160" s="43"/>
      <c r="N160" s="75">
        <f>IF(Tabela5[[#This Row],[Dividendos]]&gt;0,Tabela5[[#This Row],[Dividendos]]/Tabela5[[#This Row],[Lucro Líquido]],0)</f>
        <v>0</v>
      </c>
      <c r="O160" s="23"/>
      <c r="P160" s="10"/>
    </row>
    <row r="161" spans="1:16" x14ac:dyDescent="0.2">
      <c r="A161" s="35" t="s">
        <v>83</v>
      </c>
      <c r="B161" s="31" t="s">
        <v>15</v>
      </c>
      <c r="C161" s="32">
        <v>38826</v>
      </c>
      <c r="D161" s="34">
        <v>0.94120000000000004</v>
      </c>
      <c r="E161" s="33">
        <v>38835</v>
      </c>
      <c r="F161" s="33">
        <v>38826</v>
      </c>
      <c r="G161" s="34">
        <f>IF(Tabela4[[#This Row],[Tipo]]="Dividendo",Tabela4[[#This Row],[Valor]],IF(Tabela4[[#This Row],[Tipo]]="Jrs. Cap. Próprio",Tabela4[[#This Row],[Valor]]*85%,0))</f>
        <v>0.94120000000000004</v>
      </c>
      <c r="I161" s="35" t="s">
        <v>72</v>
      </c>
      <c r="J161" s="35">
        <v>2010</v>
      </c>
      <c r="K161" s="38">
        <f>SUMPRODUCT(N(Tabela4[Ativo]=Tabela5[[#This Row],[Ativo]]),N(YEAR(Tabela4[Data ex-1])=Tabela5[[#This Row],[Ano]]),Tabela4[Líquido])</f>
        <v>0.24399999999999999</v>
      </c>
      <c r="L161" s="43"/>
      <c r="M161" s="43"/>
      <c r="N161" s="75">
        <f>IF(Tabela5[[#This Row],[Dividendos]]&gt;0,Tabela5[[#This Row],[Dividendos]]/Tabela5[[#This Row],[Lucro Líquido]],0)</f>
        <v>0</v>
      </c>
      <c r="O161" s="23"/>
      <c r="P161" s="10"/>
    </row>
    <row r="162" spans="1:16" x14ac:dyDescent="0.2">
      <c r="A162" s="35" t="s">
        <v>83</v>
      </c>
      <c r="B162" s="31" t="s">
        <v>14</v>
      </c>
      <c r="C162" s="32">
        <v>38768</v>
      </c>
      <c r="D162" s="34">
        <v>0.93820000000000003</v>
      </c>
      <c r="E162" s="33">
        <v>38784</v>
      </c>
      <c r="F162" s="33">
        <v>38764</v>
      </c>
      <c r="G162" s="34">
        <f>IF(Tabela4[[#This Row],[Tipo]]="Dividendo",Tabela4[[#This Row],[Valor]],IF(Tabela4[[#This Row],[Tipo]]="Jrs. Cap. Próprio",Tabela4[[#This Row],[Valor]]*85%,0))</f>
        <v>0.79747000000000001</v>
      </c>
      <c r="I162" s="35" t="s">
        <v>75</v>
      </c>
      <c r="J162" s="35">
        <v>2013</v>
      </c>
      <c r="K162" s="38">
        <f>SUMPRODUCT(N(Tabela4[Ativo]=Tabela5[[#This Row],[Ativo]]),N(YEAR(Tabela4[Data ex-1])=Tabela5[[#This Row],[Ano]]),Tabela4[Líquido])</f>
        <v>0.51349999999999996</v>
      </c>
      <c r="L162" s="43"/>
      <c r="M162" s="43"/>
      <c r="N162" s="75">
        <f>IF(Tabela5[[#This Row],[Dividendos]]&gt;0,Tabela5[[#This Row],[Dividendos]]/Tabela5[[#This Row],[Lucro Líquido]],0)</f>
        <v>0</v>
      </c>
      <c r="O162" s="23"/>
      <c r="P162" s="10"/>
    </row>
    <row r="163" spans="1:16" x14ac:dyDescent="0.2">
      <c r="A163" s="35" t="s">
        <v>83</v>
      </c>
      <c r="B163" s="31" t="s">
        <v>15</v>
      </c>
      <c r="C163" s="32">
        <v>38768</v>
      </c>
      <c r="D163" s="34">
        <v>0.1754</v>
      </c>
      <c r="E163" s="33">
        <v>38784</v>
      </c>
      <c r="F163" s="33">
        <v>38764</v>
      </c>
      <c r="G163" s="34">
        <f>IF(Tabela4[[#This Row],[Tipo]]="Dividendo",Tabela4[[#This Row],[Valor]],IF(Tabela4[[#This Row],[Tipo]]="Jrs. Cap. Próprio",Tabela4[[#This Row],[Valor]]*85%,0))</f>
        <v>0.1754</v>
      </c>
      <c r="I163" s="35" t="s">
        <v>75</v>
      </c>
      <c r="J163" s="35">
        <v>2012</v>
      </c>
      <c r="K163" s="38">
        <f>SUMPRODUCT(N(Tabela4[Ativo]=Tabela5[[#This Row],[Ativo]]),N(YEAR(Tabela4[Data ex-1])=Tabela5[[#This Row],[Ano]]),Tabela4[Líquido])</f>
        <v>0.19339999999999999</v>
      </c>
      <c r="L163" s="43"/>
      <c r="M163" s="43"/>
      <c r="N163" s="75">
        <f>IF(Tabela5[[#This Row],[Dividendos]]&gt;0,Tabela5[[#This Row],[Dividendos]]/Tabela5[[#This Row],[Lucro Líquido]],0)</f>
        <v>0</v>
      </c>
      <c r="O163" s="23"/>
      <c r="P163" s="10"/>
    </row>
    <row r="164" spans="1:16" x14ac:dyDescent="0.2">
      <c r="A164" s="35" t="s">
        <v>83</v>
      </c>
      <c r="B164" s="31" t="s">
        <v>14</v>
      </c>
      <c r="C164" s="32">
        <v>38579</v>
      </c>
      <c r="D164" s="34">
        <v>0.80400000000000005</v>
      </c>
      <c r="E164" s="33">
        <v>38586</v>
      </c>
      <c r="F164" s="33">
        <v>38576</v>
      </c>
      <c r="G164" s="34">
        <f>IF(Tabela4[[#This Row],[Tipo]]="Dividendo",Tabela4[[#This Row],[Valor]],IF(Tabela4[[#This Row],[Tipo]]="Jrs. Cap. Próprio",Tabela4[[#This Row],[Valor]]*85%,0))</f>
        <v>0.68340000000000001</v>
      </c>
      <c r="I164" s="35" t="s">
        <v>75</v>
      </c>
      <c r="J164" s="35">
        <v>2011</v>
      </c>
      <c r="K164" s="38">
        <f>SUMPRODUCT(N(Tabela4[Ativo]=Tabela5[[#This Row],[Ativo]]),N(YEAR(Tabela4[Data ex-1])=Tabela5[[#This Row],[Ano]]),Tabela4[Líquido])</f>
        <v>0.10829999999999999</v>
      </c>
      <c r="L164" s="43"/>
      <c r="M164" s="43"/>
      <c r="N164" s="75">
        <f>IF(Tabela5[[#This Row],[Dividendos]]&gt;0,Tabela5[[#This Row],[Dividendos]]/Tabela5[[#This Row],[Lucro Líquido]],0)</f>
        <v>0</v>
      </c>
      <c r="O164" s="23"/>
      <c r="P164" s="10"/>
    </row>
    <row r="165" spans="1:16" x14ac:dyDescent="0.2">
      <c r="A165" s="35" t="s">
        <v>83</v>
      </c>
      <c r="B165" s="31" t="s">
        <v>14</v>
      </c>
      <c r="C165" s="32">
        <v>38404</v>
      </c>
      <c r="D165" s="34">
        <v>0.28810000000000002</v>
      </c>
      <c r="E165" s="33">
        <v>38411</v>
      </c>
      <c r="F165" s="33">
        <v>38400</v>
      </c>
      <c r="G165" s="34">
        <f>IF(Tabela4[[#This Row],[Tipo]]="Dividendo",Tabela4[[#This Row],[Valor]],IF(Tabela4[[#This Row],[Tipo]]="Jrs. Cap. Próprio",Tabela4[[#This Row],[Valor]]*85%,0))</f>
        <v>0.24488500000000002</v>
      </c>
      <c r="I165" s="35" t="s">
        <v>75</v>
      </c>
      <c r="J165" s="35">
        <v>2010</v>
      </c>
      <c r="K165" s="38">
        <f>SUMPRODUCT(N(Tabela4[Ativo]=Tabela5[[#This Row],[Ativo]]),N(YEAR(Tabela4[Data ex-1])=Tabela5[[#This Row],[Ano]]),Tabela4[Líquido])</f>
        <v>2.5700000000000001E-2</v>
      </c>
      <c r="L165" s="43"/>
      <c r="M165" s="43"/>
      <c r="N165" s="75">
        <f>IF(Tabela5[[#This Row],[Dividendos]]&gt;0,Tabela5[[#This Row],[Dividendos]]/Tabela5[[#This Row],[Lucro Líquido]],0)</f>
        <v>0</v>
      </c>
      <c r="O165" s="23"/>
      <c r="P165" s="10"/>
    </row>
    <row r="166" spans="1:16" x14ac:dyDescent="0.2">
      <c r="A166" s="35" t="s">
        <v>83</v>
      </c>
      <c r="B166" s="31" t="s">
        <v>14</v>
      </c>
      <c r="C166" s="32">
        <v>38343</v>
      </c>
      <c r="D166" s="34">
        <v>0.34899999999999998</v>
      </c>
      <c r="E166" s="33">
        <v>38351</v>
      </c>
      <c r="F166" s="33">
        <v>38336</v>
      </c>
      <c r="G166" s="34">
        <f>IF(Tabela4[[#This Row],[Tipo]]="Dividendo",Tabela4[[#This Row],[Valor]],IF(Tabela4[[#This Row],[Tipo]]="Jrs. Cap. Próprio",Tabela4[[#This Row],[Valor]]*85%,0))</f>
        <v>0.29664999999999997</v>
      </c>
      <c r="I166" s="35" t="s">
        <v>71</v>
      </c>
      <c r="J166" s="35">
        <v>2013</v>
      </c>
      <c r="K166" s="38">
        <f>SUMPRODUCT(N(Tabela4[Ativo]=Tabela5[[#This Row],[Ativo]]),N(YEAR(Tabela4[Data ex-1])=Tabela5[[#This Row],[Ano]]),Tabela4[Líquido])</f>
        <v>0.59394499999999995</v>
      </c>
      <c r="L166" s="43"/>
      <c r="M166" s="43"/>
      <c r="N166" s="75">
        <f>IF(Tabela5[[#This Row],[Dividendos]]&gt;0,Tabela5[[#This Row],[Dividendos]]/Tabela5[[#This Row],[Lucro Líquido]],0)</f>
        <v>0</v>
      </c>
      <c r="O166" s="23">
        <v>4.1099999999999998E-2</v>
      </c>
      <c r="P166" s="10"/>
    </row>
    <row r="167" spans="1:16" x14ac:dyDescent="0.2">
      <c r="A167" s="35" t="s">
        <v>83</v>
      </c>
      <c r="B167" s="31" t="s">
        <v>14</v>
      </c>
      <c r="C167" s="32">
        <v>38216</v>
      </c>
      <c r="D167" s="34">
        <v>0.627</v>
      </c>
      <c r="E167" s="33">
        <v>38229</v>
      </c>
      <c r="F167" s="33">
        <v>38215</v>
      </c>
      <c r="G167" s="34">
        <f>IF(Tabela4[[#This Row],[Tipo]]="Dividendo",Tabela4[[#This Row],[Valor]],IF(Tabela4[[#This Row],[Tipo]]="Jrs. Cap. Próprio",Tabela4[[#This Row],[Valor]]*85%,0))</f>
        <v>0.53295000000000003</v>
      </c>
      <c r="I167" s="35" t="s">
        <v>71</v>
      </c>
      <c r="J167" s="35">
        <v>2012</v>
      </c>
      <c r="K167" s="38">
        <f>SUMPRODUCT(N(Tabela4[Ativo]=Tabela5[[#This Row],[Ativo]]),N(YEAR(Tabela4[Data ex-1])=Tabela5[[#This Row],[Ano]]),Tabela4[Líquido])</f>
        <v>0.78708999999999996</v>
      </c>
      <c r="L167" s="43"/>
      <c r="M167" s="43"/>
      <c r="N167" s="75">
        <f>IF(Tabela5[[#This Row],[Dividendos]]&gt;0,Tabela5[[#This Row],[Dividendos]]/Tabela5[[#This Row],[Lucro Líquido]],0)</f>
        <v>0</v>
      </c>
      <c r="O167" s="23">
        <v>0.28000000000000003</v>
      </c>
      <c r="P167" s="10"/>
    </row>
    <row r="168" spans="1:16" x14ac:dyDescent="0.2">
      <c r="A168" s="35" t="s">
        <v>83</v>
      </c>
      <c r="B168" s="31" t="s">
        <v>14</v>
      </c>
      <c r="C168" s="32">
        <v>38034</v>
      </c>
      <c r="D168" s="34">
        <v>0.59050000000000002</v>
      </c>
      <c r="E168" s="33">
        <v>38047</v>
      </c>
      <c r="F168" s="33">
        <v>38033</v>
      </c>
      <c r="G168" s="34">
        <f>IF(Tabela4[[#This Row],[Tipo]]="Dividendo",Tabela4[[#This Row],[Valor]],IF(Tabela4[[#This Row],[Tipo]]="Jrs. Cap. Próprio",Tabela4[[#This Row],[Valor]]*85%,0))</f>
        <v>0.50192499999999995</v>
      </c>
      <c r="I168" s="35" t="s">
        <v>71</v>
      </c>
      <c r="J168" s="35">
        <v>2011</v>
      </c>
      <c r="K168" s="34">
        <f>SUMPRODUCT(N(Tabela4[Ativo]=Tabela5[[#This Row],[Ativo]]),N(YEAR(Tabela4[Data ex-1])=Tabela5[[#This Row],[Ano]]),Tabela4[Líquido])</f>
        <v>0.68495499999999998</v>
      </c>
      <c r="L168" s="87"/>
      <c r="M168" s="87"/>
      <c r="N168" s="88">
        <f>IF(Tabela5[[#This Row],[Dividendos]]&gt;0,Tabela5[[#This Row],[Dividendos]]/Tabela5[[#This Row],[Lucro Líquido]],0)</f>
        <v>0</v>
      </c>
      <c r="O168" s="23"/>
      <c r="P168" s="10"/>
    </row>
    <row r="169" spans="1:16" x14ac:dyDescent="0.2">
      <c r="A169" s="35" t="s">
        <v>83</v>
      </c>
      <c r="B169" s="31" t="s">
        <v>14</v>
      </c>
      <c r="C169" s="32">
        <v>37847</v>
      </c>
      <c r="D169" s="34">
        <v>0.45290000000000002</v>
      </c>
      <c r="E169" s="33">
        <v>37858</v>
      </c>
      <c r="F169" s="33">
        <v>37846</v>
      </c>
      <c r="G169" s="34">
        <f>IF(Tabela4[[#This Row],[Tipo]]="Dividendo",Tabela4[[#This Row],[Valor]],IF(Tabela4[[#This Row],[Tipo]]="Jrs. Cap. Próprio",Tabela4[[#This Row],[Valor]]*85%,0))</f>
        <v>0.384965</v>
      </c>
      <c r="I169" s="35" t="s">
        <v>71</v>
      </c>
      <c r="J169" s="35">
        <v>2010</v>
      </c>
      <c r="K169" s="34">
        <f>SUMPRODUCT(N(Tabela4[Ativo]=Tabela5[[#This Row],[Ativo]]),N(YEAR(Tabela4[Data ex-1])=Tabela5[[#This Row],[Ano]]),Tabela4[Líquido])</f>
        <v>0.649065</v>
      </c>
      <c r="L169" s="87"/>
      <c r="M169" s="87"/>
      <c r="N169" s="88">
        <f>IF(Tabela5[[#This Row],[Dividendos]]&gt;0,Tabela5[[#This Row],[Dividendos]]/Tabela5[[#This Row],[Lucro Líquido]],0)</f>
        <v>0</v>
      </c>
      <c r="O169" s="23"/>
      <c r="P169" s="10"/>
    </row>
    <row r="170" spans="1:16" x14ac:dyDescent="0.2">
      <c r="A170" s="35" t="s">
        <v>83</v>
      </c>
      <c r="B170" s="31" t="s">
        <v>15</v>
      </c>
      <c r="C170" s="32">
        <v>37663</v>
      </c>
      <c r="D170" s="34">
        <v>0.38140000000000002</v>
      </c>
      <c r="E170" s="33">
        <v>37676</v>
      </c>
      <c r="F170" s="33">
        <v>37662</v>
      </c>
      <c r="G170" s="34">
        <f>IF(Tabela4[[#This Row],[Tipo]]="Dividendo",Tabela4[[#This Row],[Valor]],IF(Tabela4[[#This Row],[Tipo]]="Jrs. Cap. Próprio",Tabela4[[#This Row],[Valor]]*85%,0))</f>
        <v>0.38140000000000002</v>
      </c>
      <c r="I170" s="35" t="s">
        <v>71</v>
      </c>
      <c r="J170" s="35">
        <v>2009</v>
      </c>
      <c r="K170" s="34">
        <f>SUMPRODUCT(N(Tabela4[Ativo]=Tabela5[[#This Row],[Ativo]]),N(YEAR(Tabela4[Data ex-1])=Tabela5[[#This Row],[Ano]]),Tabela4[Líquido])</f>
        <v>0.48688500000000001</v>
      </c>
      <c r="L170" s="87"/>
      <c r="M170" s="87"/>
      <c r="N170" s="88">
        <f>IF(Tabela5[[#This Row],[Dividendos]]&gt;0,Tabela5[[#This Row],[Dividendos]]/Tabela5[[#This Row],[Lucro Líquido]],0)</f>
        <v>0</v>
      </c>
      <c r="O170" s="23"/>
      <c r="P170" s="10"/>
    </row>
    <row r="171" spans="1:16" x14ac:dyDescent="0.2">
      <c r="A171" s="35" t="s">
        <v>83</v>
      </c>
      <c r="B171" s="31" t="s">
        <v>15</v>
      </c>
      <c r="C171" s="32">
        <v>37495</v>
      </c>
      <c r="D171" s="34">
        <v>0.4249</v>
      </c>
      <c r="E171" s="33">
        <v>37501</v>
      </c>
      <c r="F171" s="33">
        <v>37494</v>
      </c>
      <c r="G171" s="34">
        <f>IF(Tabela4[[#This Row],[Tipo]]="Dividendo",Tabela4[[#This Row],[Valor]],IF(Tabela4[[#This Row],[Tipo]]="Jrs. Cap. Próprio",Tabela4[[#This Row],[Valor]]*85%,0))</f>
        <v>0.4249</v>
      </c>
      <c r="I171" s="35" t="s">
        <v>71</v>
      </c>
      <c r="J171" s="35">
        <v>2008</v>
      </c>
      <c r="K171" s="34">
        <f>SUMPRODUCT(N(Tabela4[Ativo]=Tabela5[[#This Row],[Ativo]]),N(YEAR(Tabela4[Data ex-1])=Tabela5[[#This Row],[Ano]]),Tabela4[Líquido])</f>
        <v>0.67379999999999995</v>
      </c>
      <c r="L171" s="87"/>
      <c r="M171" s="87"/>
      <c r="N171" s="88">
        <f>IF(Tabela5[[#This Row],[Dividendos]]&gt;0,Tabela5[[#This Row],[Dividendos]]/Tabela5[[#This Row],[Lucro Líquido]],0)</f>
        <v>0</v>
      </c>
      <c r="O171" s="23"/>
      <c r="P171" s="10"/>
    </row>
    <row r="172" spans="1:16" x14ac:dyDescent="0.2">
      <c r="A172" s="35" t="s">
        <v>83</v>
      </c>
      <c r="B172" s="31" t="s">
        <v>15</v>
      </c>
      <c r="C172" s="32">
        <v>37313</v>
      </c>
      <c r="D172" s="34">
        <v>0.26029999999999998</v>
      </c>
      <c r="E172" s="33">
        <v>37326</v>
      </c>
      <c r="F172" s="33">
        <v>37312</v>
      </c>
      <c r="G172" s="34">
        <f>IF(Tabela4[[#This Row],[Tipo]]="Dividendo",Tabela4[[#This Row],[Valor]],IF(Tabela4[[#This Row],[Tipo]]="Jrs. Cap. Próprio",Tabela4[[#This Row],[Valor]]*85%,0))</f>
        <v>0.26029999999999998</v>
      </c>
      <c r="I172" s="35" t="s">
        <v>68</v>
      </c>
      <c r="J172" s="35">
        <v>2013</v>
      </c>
      <c r="K172" s="38">
        <f>SUMPRODUCT(N(Tabela4[Ativo]=Tabela5[[#This Row],[Ativo]]),N(YEAR(Tabela4[Data ex-1])=Tabela5[[#This Row],[Ano]]),Tabela4[Líquido])</f>
        <v>0.57301500000000005</v>
      </c>
      <c r="L172" s="43"/>
      <c r="M172" s="43"/>
      <c r="N172" s="75">
        <f>IF(Tabela5[[#This Row],[Dividendos]]&gt;0,Tabela5[[#This Row],[Dividendos]]/Tabela5[[#This Row],[Lucro Líquido]],0)</f>
        <v>0</v>
      </c>
      <c r="O172" s="23"/>
      <c r="P172" s="10"/>
    </row>
    <row r="173" spans="1:16" x14ac:dyDescent="0.2">
      <c r="A173" s="35" t="s">
        <v>83</v>
      </c>
      <c r="B173" s="31" t="s">
        <v>15</v>
      </c>
      <c r="C173" s="32">
        <v>37127</v>
      </c>
      <c r="D173" s="34">
        <v>0.10639999999999999</v>
      </c>
      <c r="E173" s="33">
        <v>37137</v>
      </c>
      <c r="F173" s="33">
        <v>37127</v>
      </c>
      <c r="G173" s="34">
        <f>IF(Tabela4[[#This Row],[Tipo]]="Dividendo",Tabela4[[#This Row],[Valor]],IF(Tabela4[[#This Row],[Tipo]]="Jrs. Cap. Próprio",Tabela4[[#This Row],[Valor]]*85%,0))</f>
        <v>0.10639999999999999</v>
      </c>
      <c r="I173" s="35" t="s">
        <v>68</v>
      </c>
      <c r="J173" s="35">
        <v>2012</v>
      </c>
      <c r="K173" s="38">
        <f>SUMPRODUCT(N(Tabela4[Ativo]=Tabela5[[#This Row],[Ativo]]),N(YEAR(Tabela4[Data ex-1])=Tabela5[[#This Row],[Ano]]),Tabela4[Líquido])</f>
        <v>0.46551000000000003</v>
      </c>
      <c r="L173" s="43"/>
      <c r="M173" s="43"/>
      <c r="N173" s="75">
        <f>IF(Tabela5[[#This Row],[Dividendos]]&gt;0,Tabela5[[#This Row],[Dividendos]]/Tabela5[[#This Row],[Lucro Líquido]],0)</f>
        <v>0</v>
      </c>
      <c r="O173" s="23"/>
      <c r="P173" s="10"/>
    </row>
    <row r="174" spans="1:16" x14ac:dyDescent="0.2">
      <c r="A174" s="35" t="s">
        <v>83</v>
      </c>
      <c r="B174" s="31" t="s">
        <v>15</v>
      </c>
      <c r="C174" s="32">
        <v>36935</v>
      </c>
      <c r="D174" s="34">
        <v>0.2026</v>
      </c>
      <c r="E174" s="33">
        <v>36950</v>
      </c>
      <c r="F174" s="33">
        <v>36934</v>
      </c>
      <c r="G174" s="34">
        <f>IF(Tabela4[[#This Row],[Tipo]]="Dividendo",Tabela4[[#This Row],[Valor]],IF(Tabela4[[#This Row],[Tipo]]="Jrs. Cap. Próprio",Tabela4[[#This Row],[Valor]]*85%,0))</f>
        <v>0.2026</v>
      </c>
      <c r="I174" s="35" t="s">
        <v>68</v>
      </c>
      <c r="J174" s="35">
        <v>2011</v>
      </c>
      <c r="K174" s="34">
        <f>SUMPRODUCT(N(Tabela4[Ativo]=Tabela5[[#This Row],[Ativo]]),N(YEAR(Tabela4[Data ex-1])=Tabela5[[#This Row],[Ano]]),Tabela4[Líquido])</f>
        <v>0.54901</v>
      </c>
      <c r="L174" s="87"/>
      <c r="M174" s="87"/>
      <c r="N174" s="88">
        <f>IF(Tabela5[[#This Row],[Dividendos]]&gt;0,Tabela5[[#This Row],[Dividendos]]/Tabela5[[#This Row],[Lucro Líquido]],0)</f>
        <v>0</v>
      </c>
      <c r="O174" s="23"/>
      <c r="P174" s="10"/>
    </row>
    <row r="175" spans="1:16" x14ac:dyDescent="0.2">
      <c r="A175" s="35" t="s">
        <v>83</v>
      </c>
      <c r="B175" s="31" t="s">
        <v>14</v>
      </c>
      <c r="C175" s="32">
        <v>36746</v>
      </c>
      <c r="D175" s="34">
        <v>0.15029999999999999</v>
      </c>
      <c r="E175" s="33">
        <v>36759</v>
      </c>
      <c r="F175" s="33">
        <v>36745</v>
      </c>
      <c r="G175" s="34">
        <f>IF(Tabela4[[#This Row],[Tipo]]="Dividendo",Tabela4[[#This Row],[Valor]],IF(Tabela4[[#This Row],[Tipo]]="Jrs. Cap. Próprio",Tabela4[[#This Row],[Valor]]*85%,0))</f>
        <v>0.12775499999999998</v>
      </c>
      <c r="I175" s="35" t="s">
        <v>68</v>
      </c>
      <c r="J175" s="35">
        <v>2010</v>
      </c>
      <c r="K175" s="34">
        <f>SUMPRODUCT(N(Tabela4[Ativo]=Tabela5[[#This Row],[Ativo]]),N(YEAR(Tabela4[Data ex-1])=Tabela5[[#This Row],[Ano]]),Tabela4[Líquido])</f>
        <v>0.47054499999999994</v>
      </c>
      <c r="L175" s="87"/>
      <c r="M175" s="87"/>
      <c r="N175" s="88">
        <f>IF(Tabela5[[#This Row],[Dividendos]]&gt;0,Tabela5[[#This Row],[Dividendos]]/Tabela5[[#This Row],[Lucro Líquido]],0)</f>
        <v>0</v>
      </c>
      <c r="O175" s="23"/>
      <c r="P175" s="10"/>
    </row>
    <row r="176" spans="1:16" x14ac:dyDescent="0.2">
      <c r="A176" s="35" t="s">
        <v>83</v>
      </c>
      <c r="B176" s="31" t="s">
        <v>14</v>
      </c>
      <c r="C176" s="32">
        <v>36602</v>
      </c>
      <c r="D176" s="34">
        <v>0.1048</v>
      </c>
      <c r="E176" s="33">
        <v>36626</v>
      </c>
      <c r="F176" s="33">
        <v>36602</v>
      </c>
      <c r="G176" s="34">
        <f>IF(Tabela4[[#This Row],[Tipo]]="Dividendo",Tabela4[[#This Row],[Valor]],IF(Tabela4[[#This Row],[Tipo]]="Jrs. Cap. Próprio",Tabela4[[#This Row],[Valor]]*85%,0))</f>
        <v>8.9080000000000006E-2</v>
      </c>
      <c r="I176" s="35" t="s">
        <v>68</v>
      </c>
      <c r="J176" s="35">
        <v>2009</v>
      </c>
      <c r="K176" s="34">
        <f>SUMPRODUCT(N(Tabela4[Ativo]=Tabela5[[#This Row],[Ativo]]),N(YEAR(Tabela4[Data ex-1])=Tabela5[[#This Row],[Ano]]),Tabela4[Líquido])</f>
        <v>0.23800999999999997</v>
      </c>
      <c r="L176" s="87"/>
      <c r="M176" s="87"/>
      <c r="N176" s="88">
        <f>IF(Tabela5[[#This Row],[Dividendos]]&gt;0,Tabela5[[#This Row],[Dividendos]]/Tabela5[[#This Row],[Lucro Líquido]],0)</f>
        <v>0</v>
      </c>
      <c r="O176" s="23"/>
      <c r="P176" s="10"/>
    </row>
    <row r="177" spans="1:16" x14ac:dyDescent="0.2">
      <c r="A177" s="35" t="s">
        <v>83</v>
      </c>
      <c r="B177" s="31" t="s">
        <v>14</v>
      </c>
      <c r="C177" s="32">
        <v>36367</v>
      </c>
      <c r="D177" s="34">
        <v>0.219</v>
      </c>
      <c r="E177" s="33">
        <v>36395</v>
      </c>
      <c r="F177" s="33">
        <v>36367</v>
      </c>
      <c r="G177" s="34">
        <f>IF(Tabela4[[#This Row],[Tipo]]="Dividendo",Tabela4[[#This Row],[Valor]],IF(Tabela4[[#This Row],[Tipo]]="Jrs. Cap. Próprio",Tabela4[[#This Row],[Valor]]*85%,0))</f>
        <v>0.18614999999999998</v>
      </c>
      <c r="I177" s="35" t="s">
        <v>68</v>
      </c>
      <c r="J177" s="35">
        <v>2008</v>
      </c>
      <c r="K177" s="34">
        <f>SUMPRODUCT(N(Tabela4[Ativo]=Tabela5[[#This Row],[Ativo]]),N(YEAR(Tabela4[Data ex-1])=Tabela5[[#This Row],[Ano]]),Tabela4[Líquido])</f>
        <v>0.19086999999999998</v>
      </c>
      <c r="L177" s="87"/>
      <c r="M177" s="87"/>
      <c r="N177" s="88">
        <f>IF(Tabela5[[#This Row],[Dividendos]]&gt;0,Tabela5[[#This Row],[Dividendos]]/Tabela5[[#This Row],[Lucro Líquido]],0)</f>
        <v>0</v>
      </c>
      <c r="O177" s="23"/>
      <c r="P177" s="10"/>
    </row>
    <row r="178" spans="1:16" x14ac:dyDescent="0.2">
      <c r="A178" s="35" t="s">
        <v>83</v>
      </c>
      <c r="B178" s="31" t="s">
        <v>14</v>
      </c>
      <c r="C178" s="32">
        <v>36199</v>
      </c>
      <c r="D178" s="34">
        <v>0.17630000000000001</v>
      </c>
      <c r="E178" s="33"/>
      <c r="F178" s="33">
        <v>36199</v>
      </c>
      <c r="G178" s="34">
        <f>IF(Tabela4[[#This Row],[Tipo]]="Dividendo",Tabela4[[#This Row],[Valor]],IF(Tabela4[[#This Row],[Tipo]]="Jrs. Cap. Próprio",Tabela4[[#This Row],[Valor]]*85%,0))</f>
        <v>0.14985500000000002</v>
      </c>
      <c r="I178" s="4" t="s">
        <v>208</v>
      </c>
      <c r="J178" s="4">
        <v>2013</v>
      </c>
      <c r="K178" s="14">
        <f>SUMPRODUCT(N(Tabela4[Ativo]=Tabela5[[#This Row],[Ativo]]),N(YEAR(Tabela4[Data ex-1])=Tabela5[[#This Row],[Ano]]),Tabela4[Líquido])</f>
        <v>2.9872832200000001E-2</v>
      </c>
      <c r="L178" s="6"/>
      <c r="M178" s="6"/>
      <c r="N178" s="24">
        <f>IF(Tabela5[[#This Row],[Dividendos]]&gt;0,Tabela5[[#This Row],[Dividendos]]/Tabela5[[#This Row],[Lucro Líquido]],0)</f>
        <v>0</v>
      </c>
      <c r="O178" s="23"/>
      <c r="P178" s="10"/>
    </row>
    <row r="179" spans="1:16" x14ac:dyDescent="0.2">
      <c r="A179" s="35" t="s">
        <v>83</v>
      </c>
      <c r="B179" s="31" t="s">
        <v>14</v>
      </c>
      <c r="C179" s="32">
        <v>36010</v>
      </c>
      <c r="D179" s="34">
        <v>0.15770000000000001</v>
      </c>
      <c r="E179" s="33"/>
      <c r="F179" s="33">
        <v>36010</v>
      </c>
      <c r="G179" s="34">
        <f>IF(Tabela4[[#This Row],[Tipo]]="Dividendo",Tabela4[[#This Row],[Valor]],IF(Tabela4[[#This Row],[Tipo]]="Jrs. Cap. Próprio",Tabela4[[#This Row],[Valor]]*85%,0))</f>
        <v>0.134045</v>
      </c>
      <c r="I179" s="4" t="s">
        <v>208</v>
      </c>
      <c r="J179" s="4">
        <v>2012</v>
      </c>
      <c r="K179" s="14">
        <f>SUMPRODUCT(N(Tabela4[Ativo]=Tabela5[[#This Row],[Ativo]]),N(YEAR(Tabela4[Data ex-1])=Tabela5[[#This Row],[Ano]]),Tabela4[Líquido])</f>
        <v>6.0000000000000001E-3</v>
      </c>
      <c r="L179" s="6"/>
      <c r="M179" s="6"/>
      <c r="N179" s="24">
        <f>IF(Tabela5[[#This Row],[Dividendos]]&gt;0,Tabela5[[#This Row],[Dividendos]]/Tabela5[[#This Row],[Lucro Líquido]],0)</f>
        <v>0</v>
      </c>
      <c r="O179" s="23"/>
      <c r="P179" s="10"/>
    </row>
    <row r="180" spans="1:16" x14ac:dyDescent="0.2">
      <c r="A180" s="35" t="s">
        <v>83</v>
      </c>
      <c r="B180" s="31" t="s">
        <v>15</v>
      </c>
      <c r="C180" s="32">
        <v>35891</v>
      </c>
      <c r="D180" s="34">
        <v>0.113</v>
      </c>
      <c r="E180" s="33"/>
      <c r="F180" s="33">
        <v>35891</v>
      </c>
      <c r="G180" s="34">
        <f>IF(Tabela4[[#This Row],[Tipo]]="Dividendo",Tabela4[[#This Row],[Valor]],IF(Tabela4[[#This Row],[Tipo]]="Jrs. Cap. Próprio",Tabela4[[#This Row],[Valor]]*85%,0))</f>
        <v>0.113</v>
      </c>
      <c r="I180" s="4" t="s">
        <v>208</v>
      </c>
      <c r="J180" s="4">
        <v>2011</v>
      </c>
      <c r="K180" s="10">
        <f>SUMPRODUCT(N(Tabela4[Ativo]=Tabela5[[#This Row],[Ativo]]),N(YEAR(Tabela4[Data ex-1])=Tabela5[[#This Row],[Ano]]),Tabela4[Líquido])</f>
        <v>1.3100000000000001E-2</v>
      </c>
      <c r="N180" s="23">
        <f>IF(Tabela5[[#This Row],[Dividendos]]&gt;0,Tabela5[[#This Row],[Dividendos]]/Tabela5[[#This Row],[Lucro Líquido]],0)</f>
        <v>0</v>
      </c>
      <c r="O180" s="23"/>
      <c r="P180" s="10"/>
    </row>
    <row r="181" spans="1:16" x14ac:dyDescent="0.2">
      <c r="A181" s="35" t="s">
        <v>83</v>
      </c>
      <c r="B181" s="31" t="s">
        <v>15</v>
      </c>
      <c r="C181" s="32">
        <v>35702</v>
      </c>
      <c r="D181" s="34">
        <v>0.1125</v>
      </c>
      <c r="E181" s="33"/>
      <c r="F181" s="33">
        <v>35702</v>
      </c>
      <c r="G181" s="34">
        <f>IF(Tabela4[[#This Row],[Tipo]]="Dividendo",Tabela4[[#This Row],[Valor]],IF(Tabela4[[#This Row],[Tipo]]="Jrs. Cap. Próprio",Tabela4[[#This Row],[Valor]]*85%,0))</f>
        <v>0.1125</v>
      </c>
      <c r="I181" s="4" t="s">
        <v>208</v>
      </c>
      <c r="J181" s="4">
        <v>2010</v>
      </c>
      <c r="K181" s="10">
        <f>SUMPRODUCT(N(Tabela4[Ativo]=Tabela5[[#This Row],[Ativo]]),N(YEAR(Tabela4[Data ex-1])=Tabela5[[#This Row],[Ano]]),Tabela4[Líquido])</f>
        <v>2.9100000000000001E-2</v>
      </c>
      <c r="N181" s="23">
        <f>IF(Tabela5[[#This Row],[Dividendos]]&gt;0,Tabela5[[#This Row],[Dividendos]]/Tabela5[[#This Row],[Lucro Líquido]],0)</f>
        <v>0</v>
      </c>
      <c r="O181" s="23"/>
      <c r="P181" s="10"/>
    </row>
    <row r="182" spans="1:16" x14ac:dyDescent="0.2">
      <c r="A182" s="4" t="s">
        <v>43</v>
      </c>
      <c r="B182" s="4" t="s">
        <v>15</v>
      </c>
      <c r="C182" s="19">
        <v>41383</v>
      </c>
      <c r="D182" s="55">
        <v>0.30809999999999998</v>
      </c>
      <c r="E182" s="68">
        <v>41414</v>
      </c>
      <c r="F182" s="68">
        <v>41383</v>
      </c>
      <c r="G182" s="14">
        <f>IF(Tabela4[[#This Row],[Tipo]]="Dividendo",Tabela4[[#This Row],[Valor]],IF(Tabela4[[#This Row],[Tipo]]="Jrs. Cap. Próprio",Tabela4[[#This Row],[Valor]]*85%,0))</f>
        <v>0.30809999999999998</v>
      </c>
      <c r="I182" s="4" t="s">
        <v>208</v>
      </c>
      <c r="J182" s="4">
        <v>2009</v>
      </c>
      <c r="K182" s="10">
        <f>SUMPRODUCT(N(Tabela4[Ativo]=Tabela5[[#This Row],[Ativo]]),N(YEAR(Tabela4[Data ex-1])=Tabela5[[#This Row],[Ano]]),Tabela4[Líquido])</f>
        <v>7.2999999999999995E-2</v>
      </c>
      <c r="N182" s="23">
        <f>IF(Tabela5[[#This Row],[Dividendos]]&gt;0,Tabela5[[#This Row],[Dividendos]]/Tabela5[[#This Row],[Lucro Líquido]],0)</f>
        <v>0</v>
      </c>
      <c r="O182" s="23"/>
      <c r="P182" s="10"/>
    </row>
    <row r="183" spans="1:16" x14ac:dyDescent="0.2">
      <c r="A183" s="4" t="s">
        <v>43</v>
      </c>
      <c r="B183" s="3" t="s">
        <v>15</v>
      </c>
      <c r="C183" s="18">
        <v>41026</v>
      </c>
      <c r="D183" s="63">
        <v>0.32</v>
      </c>
      <c r="E183" s="26">
        <v>41057</v>
      </c>
      <c r="F183" s="16">
        <v>41026</v>
      </c>
      <c r="G183" s="10">
        <f>IF(Tabela4[[#This Row],[Tipo]]="Dividendo",Tabela4[[#This Row],[Valor]],IF(Tabela4[[#This Row],[Tipo]]="Jrs. Cap. Próprio",Tabela4[[#This Row],[Valor]]*85%,0))</f>
        <v>0.32</v>
      </c>
      <c r="I183" s="4" t="s">
        <v>208</v>
      </c>
      <c r="J183" s="4">
        <v>2008</v>
      </c>
      <c r="K183" s="10">
        <f>SUMPRODUCT(N(Tabela4[Ativo]=Tabela5[[#This Row],[Ativo]]),N(YEAR(Tabela4[Data ex-1])=Tabela5[[#This Row],[Ano]]),Tabela4[Líquido])</f>
        <v>9.2999999999999992E-3</v>
      </c>
      <c r="N183" s="23">
        <f>IF(Tabela5[[#This Row],[Dividendos]]&gt;0,Tabela5[[#This Row],[Dividendos]]/Tabela5[[#This Row],[Lucro Líquido]],0)</f>
        <v>0</v>
      </c>
      <c r="O183" s="23"/>
      <c r="P183" s="10"/>
    </row>
    <row r="184" spans="1:16" x14ac:dyDescent="0.2">
      <c r="A184" s="4" t="s">
        <v>43</v>
      </c>
      <c r="B184" s="3" t="s">
        <v>15</v>
      </c>
      <c r="C184" s="18">
        <v>40658</v>
      </c>
      <c r="D184" s="63">
        <v>0.18099999999999999</v>
      </c>
      <c r="E184" s="26">
        <v>40688</v>
      </c>
      <c r="F184" s="16">
        <v>40658</v>
      </c>
      <c r="G184" s="10">
        <f>IF(Tabela4[[#This Row],[Tipo]]="Dividendo",Tabela4[[#This Row],[Valor]],IF(Tabela4[[#This Row],[Tipo]]="Jrs. Cap. Próprio",Tabela4[[#This Row],[Valor]]*85%,0))</f>
        <v>0.18099999999999999</v>
      </c>
      <c r="I184" s="4" t="s">
        <v>208</v>
      </c>
      <c r="J184" s="4">
        <v>2007</v>
      </c>
      <c r="K184" s="10">
        <f>SUMPRODUCT(N(Tabela4[Ativo]=Tabela5[[#This Row],[Ativo]]),N(YEAR(Tabela4[Data ex-1])=Tabela5[[#This Row],[Ano]]),Tabela4[Líquido])</f>
        <v>1.1599999999999999E-2</v>
      </c>
      <c r="N184" s="23">
        <f>IF(Tabela5[[#This Row],[Dividendos]]&gt;0,Tabela5[[#This Row],[Dividendos]]/Tabela5[[#This Row],[Lucro Líquido]],0)</f>
        <v>0</v>
      </c>
      <c r="O184" s="23"/>
      <c r="P184" s="10"/>
    </row>
    <row r="185" spans="1:16" x14ac:dyDescent="0.2">
      <c r="A185" s="4" t="s">
        <v>43</v>
      </c>
      <c r="B185" s="3" t="s">
        <v>15</v>
      </c>
      <c r="C185" s="18">
        <v>40280</v>
      </c>
      <c r="D185" s="63">
        <v>0.128</v>
      </c>
      <c r="E185" s="26"/>
      <c r="F185" s="16">
        <v>40280</v>
      </c>
      <c r="G185" s="10">
        <f>IF(Tabela4[[#This Row],[Tipo]]="Dividendo",Tabela4[[#This Row],[Valor]],IF(Tabela4[[#This Row],[Tipo]]="Jrs. Cap. Próprio",Tabela4[[#This Row],[Valor]]*85%,0))</f>
        <v>0.128</v>
      </c>
      <c r="I185" s="4" t="s">
        <v>225</v>
      </c>
      <c r="J185" s="4">
        <v>2013</v>
      </c>
      <c r="K185" s="14">
        <f>SUMPRODUCT(N(Tabela4[Ativo]=Tabela5[[#This Row],[Ativo]]),N(YEAR(Tabela4[Data ex-1])=Tabela5[[#This Row],[Ano]]),Tabela4[Líquido])</f>
        <v>3.7692999999999999</v>
      </c>
      <c r="L185" s="6"/>
      <c r="M185" s="6"/>
      <c r="N185" s="24">
        <f>IF(Tabela5[[#This Row],[Dividendos]]&gt;0,Tabela5[[#This Row],[Dividendos]]/Tabela5[[#This Row],[Lucro Líquido]],0)</f>
        <v>0</v>
      </c>
      <c r="O185" s="23">
        <v>0.60570000000000002</v>
      </c>
      <c r="P185" s="10"/>
    </row>
    <row r="186" spans="1:16" x14ac:dyDescent="0.2">
      <c r="A186" s="4" t="s">
        <v>43</v>
      </c>
      <c r="B186" s="3" t="s">
        <v>15</v>
      </c>
      <c r="C186" s="18">
        <v>39930</v>
      </c>
      <c r="D186" s="63">
        <v>2.35E-2</v>
      </c>
      <c r="E186" s="26">
        <v>39993</v>
      </c>
      <c r="F186" s="16">
        <v>39930</v>
      </c>
      <c r="G186" s="10">
        <f>IF(Tabela4[[#This Row],[Tipo]]="Dividendo",Tabela4[[#This Row],[Valor]],IF(Tabela4[[#This Row],[Tipo]]="Jrs. Cap. Próprio",Tabela4[[#This Row],[Valor]]*85%,0))</f>
        <v>2.35E-2</v>
      </c>
      <c r="I186" s="4" t="s">
        <v>225</v>
      </c>
      <c r="J186" s="4">
        <v>2012</v>
      </c>
      <c r="K186" s="14">
        <f>SUMPRODUCT(N(Tabela4[Ativo]=Tabela5[[#This Row],[Ativo]]),N(YEAR(Tabela4[Data ex-1])=Tabela5[[#This Row],[Ano]]),Tabela4[Líquido])</f>
        <v>0</v>
      </c>
      <c r="L186" s="6"/>
      <c r="M186" s="6"/>
      <c r="N186" s="24">
        <f>IF(Tabela5[[#This Row],[Dividendos]]&gt;0,Tabela5[[#This Row],[Dividendos]]/Tabela5[[#This Row],[Lucro Líquido]],0)</f>
        <v>0</v>
      </c>
      <c r="O186" s="23"/>
      <c r="P186" s="10"/>
    </row>
    <row r="187" spans="1:16" x14ac:dyDescent="0.2">
      <c r="A187" s="35" t="s">
        <v>84</v>
      </c>
      <c r="B187" s="35" t="s">
        <v>15</v>
      </c>
      <c r="C187" s="36">
        <v>41505</v>
      </c>
      <c r="D187" s="38">
        <v>0.4148</v>
      </c>
      <c r="E187" s="37">
        <v>41516</v>
      </c>
      <c r="F187" s="37">
        <v>41495</v>
      </c>
      <c r="G187" s="38">
        <f>IF(Tabela4[[#This Row],[Tipo]]="Dividendo",Tabela4[[#This Row],[Valor]],IF(Tabela4[[#This Row],[Tipo]]="Jrs. Cap. Próprio",Tabela4[[#This Row],[Valor]]*85%,0))</f>
        <v>0.4148</v>
      </c>
      <c r="I187" s="4" t="s">
        <v>225</v>
      </c>
      <c r="J187" s="4">
        <v>2011</v>
      </c>
      <c r="K187" s="10">
        <f>SUMPRODUCT(N(Tabela4[Ativo]=Tabela5[[#This Row],[Ativo]]),N(YEAR(Tabela4[Data ex-1])=Tabela5[[#This Row],[Ano]]),Tabela4[Líquido])</f>
        <v>0</v>
      </c>
      <c r="N187" s="23">
        <f>IF(Tabela5[[#This Row],[Dividendos]]&gt;0,Tabela5[[#This Row],[Dividendos]]/Tabela5[[#This Row],[Lucro Líquido]],0)</f>
        <v>0</v>
      </c>
      <c r="O187" s="23"/>
      <c r="P187" s="10"/>
    </row>
    <row r="188" spans="1:16" x14ac:dyDescent="0.2">
      <c r="A188" s="4" t="s">
        <v>193</v>
      </c>
      <c r="B188" s="4" t="s">
        <v>14</v>
      </c>
      <c r="C188" s="19">
        <v>41578</v>
      </c>
      <c r="D188" s="21">
        <v>2.3758144599999999E-3</v>
      </c>
      <c r="E188" s="68">
        <v>41610</v>
      </c>
      <c r="F188" s="68">
        <v>41332</v>
      </c>
      <c r="G188" s="14">
        <f>IF(Tabela4[[#This Row],[Tipo]]="Dividendo",Tabela4[[#This Row],[Valor]],IF(Tabela4[[#This Row],[Tipo]]="Jrs. Cap. Próprio",Tabela4[[#This Row],[Valor]]*85%,0))</f>
        <v>2.0194422909999999E-3</v>
      </c>
      <c r="I188" s="4" t="s">
        <v>225</v>
      </c>
      <c r="J188" s="4">
        <v>2010</v>
      </c>
      <c r="K188" s="10">
        <f>SUMPRODUCT(N(Tabela4[Ativo]=Tabela5[[#This Row],[Ativo]]),N(YEAR(Tabela4[Data ex-1])=Tabela5[[#This Row],[Ano]]),Tabela4[Líquido])</f>
        <v>0.68840000000000001</v>
      </c>
      <c r="N188" s="23">
        <f>IF(Tabela5[[#This Row],[Dividendos]]&gt;0,Tabela5[[#This Row],[Dividendos]]/Tabela5[[#This Row],[Lucro Líquido]],0)</f>
        <v>0</v>
      </c>
      <c r="O188" s="23"/>
      <c r="P188" s="10"/>
    </row>
    <row r="189" spans="1:16" x14ac:dyDescent="0.2">
      <c r="A189" s="4" t="s">
        <v>193</v>
      </c>
      <c r="B189" s="4" t="s">
        <v>14</v>
      </c>
      <c r="C189" s="19">
        <v>41547</v>
      </c>
      <c r="D189" s="21">
        <v>2.3758144599999999E-3</v>
      </c>
      <c r="E189" s="68">
        <v>41579</v>
      </c>
      <c r="F189" s="68">
        <v>41332</v>
      </c>
      <c r="G189" s="14">
        <f>IF(Tabela4[[#This Row],[Tipo]]="Dividendo",Tabela4[[#This Row],[Valor]],IF(Tabela4[[#This Row],[Tipo]]="Jrs. Cap. Próprio",Tabela4[[#This Row],[Valor]]*85%,0))</f>
        <v>2.0194422909999999E-3</v>
      </c>
      <c r="I189" s="4" t="s">
        <v>225</v>
      </c>
      <c r="J189" s="4">
        <v>2009</v>
      </c>
      <c r="K189" s="10">
        <f>SUMPRODUCT(N(Tabela4[Ativo]=Tabela5[[#This Row],[Ativo]]),N(YEAR(Tabela4[Data ex-1])=Tabela5[[#This Row],[Ano]]),Tabela4[Líquido])</f>
        <v>0</v>
      </c>
      <c r="N189" s="23">
        <f>IF(Tabela5[[#This Row],[Dividendos]]&gt;0,Tabela5[[#This Row],[Dividendos]]/Tabela5[[#This Row],[Lucro Líquido]],0)</f>
        <v>0</v>
      </c>
      <c r="O189" s="23"/>
      <c r="P189" s="10"/>
    </row>
    <row r="190" spans="1:16" x14ac:dyDescent="0.2">
      <c r="A190" s="4" t="s">
        <v>193</v>
      </c>
      <c r="B190" s="4" t="s">
        <v>14</v>
      </c>
      <c r="C190" s="18">
        <v>41516</v>
      </c>
      <c r="D190" s="21">
        <v>2.3758144599999999E-3</v>
      </c>
      <c r="E190" s="26">
        <v>41548</v>
      </c>
      <c r="F190" s="16">
        <v>41332</v>
      </c>
      <c r="G190" s="10">
        <f>IF(Tabela4[[#This Row],[Tipo]]="Dividendo",Tabela4[[#This Row],[Valor]],IF(Tabela4[[#This Row],[Tipo]]="Jrs. Cap. Próprio",Tabela4[[#This Row],[Valor]]*85%,0))</f>
        <v>2.0194422909999999E-3</v>
      </c>
      <c r="I190" s="4" t="s">
        <v>225</v>
      </c>
      <c r="J190" s="4">
        <v>2008</v>
      </c>
      <c r="K190" s="10">
        <f>SUMPRODUCT(N(Tabela4[Ativo]=Tabela5[[#This Row],[Ativo]]),N(YEAR(Tabela4[Data ex-1])=Tabela5[[#This Row],[Ano]]),Tabela4[Líquido])</f>
        <v>0</v>
      </c>
      <c r="N190" s="23">
        <f>IF(Tabela5[[#This Row],[Dividendos]]&gt;0,Tabela5[[#This Row],[Dividendos]]/Tabela5[[#This Row],[Lucro Líquido]],0)</f>
        <v>0</v>
      </c>
      <c r="O190" s="23"/>
      <c r="P190" s="10"/>
    </row>
    <row r="191" spans="1:16" x14ac:dyDescent="0.2">
      <c r="A191" s="4" t="s">
        <v>193</v>
      </c>
      <c r="B191" s="4" t="s">
        <v>14</v>
      </c>
      <c r="C191" s="18">
        <v>41486</v>
      </c>
      <c r="D191" s="21">
        <v>2.3758144599999999E-3</v>
      </c>
      <c r="E191" s="26">
        <v>41519</v>
      </c>
      <c r="F191" s="16">
        <v>41332</v>
      </c>
      <c r="G191" s="10">
        <f>IF(Tabela4[[#This Row],[Tipo]]="Dividendo",Tabela4[[#This Row],[Valor]],IF(Tabela4[[#This Row],[Tipo]]="Jrs. Cap. Próprio",Tabela4[[#This Row],[Valor]]*85%,0))</f>
        <v>2.0194422909999999E-3</v>
      </c>
      <c r="I191" s="4" t="s">
        <v>225</v>
      </c>
      <c r="J191" s="4">
        <v>2007</v>
      </c>
      <c r="K191" s="10">
        <f>SUMPRODUCT(N(Tabela4[Ativo]=Tabela5[[#This Row],[Ativo]]),N(YEAR(Tabela4[Data ex-1])=Tabela5[[#This Row],[Ano]]),Tabela4[Líquido])</f>
        <v>0</v>
      </c>
      <c r="N191" s="23">
        <f>IF(Tabela5[[#This Row],[Dividendos]]&gt;0,Tabela5[[#This Row],[Dividendos]]/Tabela5[[#This Row],[Lucro Líquido]],0)</f>
        <v>0</v>
      </c>
      <c r="O191" s="23"/>
      <c r="P191" s="10"/>
    </row>
    <row r="192" spans="1:16" x14ac:dyDescent="0.2">
      <c r="A192" s="4" t="s">
        <v>193</v>
      </c>
      <c r="B192" s="4" t="s">
        <v>14</v>
      </c>
      <c r="C192" s="18">
        <v>41453</v>
      </c>
      <c r="D192" s="21">
        <v>2.3758144599999999E-3</v>
      </c>
      <c r="E192" s="26">
        <v>41487</v>
      </c>
      <c r="F192" s="16">
        <v>41332</v>
      </c>
      <c r="G192" s="10">
        <f>IF(Tabela4[[#This Row],[Tipo]]="Dividendo",Tabela4[[#This Row],[Valor]],IF(Tabela4[[#This Row],[Tipo]]="Jrs. Cap. Próprio",Tabela4[[#This Row],[Valor]]*85%,0))</f>
        <v>2.0194422909999999E-3</v>
      </c>
      <c r="I192" s="4" t="s">
        <v>225</v>
      </c>
      <c r="J192" s="4">
        <v>2006</v>
      </c>
      <c r="K192" s="10">
        <f>SUMPRODUCT(N(Tabela4[Ativo]=Tabela5[[#This Row],[Ativo]]),N(YEAR(Tabela4[Data ex-1])=Tabela5[[#This Row],[Ano]]),Tabela4[Líquido])</f>
        <v>0</v>
      </c>
      <c r="N192" s="23">
        <f>IF(Tabela5[[#This Row],[Dividendos]]&gt;0,Tabela5[[#This Row],[Dividendos]]/Tabela5[[#This Row],[Lucro Líquido]],0)</f>
        <v>0</v>
      </c>
      <c r="O192" s="23"/>
      <c r="P192" s="10"/>
    </row>
    <row r="193" spans="1:16" x14ac:dyDescent="0.2">
      <c r="A193" s="4" t="s">
        <v>193</v>
      </c>
      <c r="B193" s="4" t="s">
        <v>14</v>
      </c>
      <c r="C193" s="18">
        <v>41425</v>
      </c>
      <c r="D193" s="21">
        <v>2.3758144599999999E-3</v>
      </c>
      <c r="E193" s="26">
        <v>41456</v>
      </c>
      <c r="F193" s="16">
        <v>41332</v>
      </c>
      <c r="G193" s="10">
        <f>IF(Tabela4[[#This Row],[Tipo]]="Dividendo",Tabela4[[#This Row],[Valor]],IF(Tabela4[[#This Row],[Tipo]]="Jrs. Cap. Próprio",Tabela4[[#This Row],[Valor]]*85%,0))</f>
        <v>2.0194422909999999E-3</v>
      </c>
      <c r="I193" s="4" t="s">
        <v>225</v>
      </c>
      <c r="J193" s="4">
        <v>2005</v>
      </c>
      <c r="K193" s="10">
        <f>SUMPRODUCT(N(Tabela4[Ativo]=Tabela5[[#This Row],[Ativo]]),N(YEAR(Tabela4[Data ex-1])=Tabela5[[#This Row],[Ano]]),Tabela4[Líquido])</f>
        <v>0</v>
      </c>
      <c r="N193" s="23">
        <f>IF(Tabela5[[#This Row],[Dividendos]]&gt;0,Tabela5[[#This Row],[Dividendos]]/Tabela5[[#This Row],[Lucro Líquido]],0)</f>
        <v>0</v>
      </c>
      <c r="O193" s="23"/>
      <c r="P193" s="10"/>
    </row>
    <row r="194" spans="1:16" x14ac:dyDescent="0.2">
      <c r="A194" s="4" t="s">
        <v>193</v>
      </c>
      <c r="B194" s="4" t="s">
        <v>14</v>
      </c>
      <c r="C194" s="18">
        <v>41394</v>
      </c>
      <c r="D194" s="21">
        <v>2.3758144599999999E-3</v>
      </c>
      <c r="E194" s="26">
        <v>41428</v>
      </c>
      <c r="F194" s="16">
        <v>41332</v>
      </c>
      <c r="G194" s="10">
        <f>IF(Tabela4[[#This Row],[Tipo]]="Dividendo",Tabela4[[#This Row],[Valor]],IF(Tabela4[[#This Row],[Tipo]]="Jrs. Cap. Próprio",Tabela4[[#This Row],[Valor]]*85%,0))</f>
        <v>2.0194422909999999E-3</v>
      </c>
      <c r="I194" s="4" t="s">
        <v>225</v>
      </c>
      <c r="J194" s="4">
        <v>2004</v>
      </c>
      <c r="K194" s="10">
        <f>SUMPRODUCT(N(Tabela4[Ativo]=Tabela5[[#This Row],[Ativo]]),N(YEAR(Tabela4[Data ex-1])=Tabela5[[#This Row],[Ano]]),Tabela4[Líquido])</f>
        <v>0</v>
      </c>
      <c r="N194" s="23">
        <f>IF(Tabela5[[#This Row],[Dividendos]]&gt;0,Tabela5[[#This Row],[Dividendos]]/Tabela5[[#This Row],[Lucro Líquido]],0)</f>
        <v>0</v>
      </c>
      <c r="O194" s="23"/>
      <c r="P194" s="10"/>
    </row>
    <row r="195" spans="1:16" x14ac:dyDescent="0.2">
      <c r="A195" s="4" t="s">
        <v>193</v>
      </c>
      <c r="B195" s="4" t="s">
        <v>14</v>
      </c>
      <c r="C195" s="18">
        <v>41361</v>
      </c>
      <c r="D195" s="21">
        <v>2.3758144599999999E-3</v>
      </c>
      <c r="E195" s="26">
        <v>41396</v>
      </c>
      <c r="F195" s="16">
        <v>41332</v>
      </c>
      <c r="G195" s="10">
        <f>IF(Tabela4[[#This Row],[Tipo]]="Dividendo",Tabela4[[#This Row],[Valor]],IF(Tabela4[[#This Row],[Tipo]]="Jrs. Cap. Próprio",Tabela4[[#This Row],[Valor]]*85%,0))</f>
        <v>2.0194422909999999E-3</v>
      </c>
      <c r="I195" s="4" t="s">
        <v>225</v>
      </c>
      <c r="J195" s="4">
        <v>2003</v>
      </c>
      <c r="K195" s="10">
        <f>SUMPRODUCT(N(Tabela4[Ativo]=Tabela5[[#This Row],[Ativo]]),N(YEAR(Tabela4[Data ex-1])=Tabela5[[#This Row],[Ano]]),Tabela4[Líquido])</f>
        <v>0</v>
      </c>
      <c r="N195" s="23">
        <f>IF(Tabela5[[#This Row],[Dividendos]]&gt;0,Tabela5[[#This Row],[Dividendos]]/Tabela5[[#This Row],[Lucro Líquido]],0)</f>
        <v>0</v>
      </c>
      <c r="O195" s="23"/>
      <c r="P195" s="10"/>
    </row>
    <row r="196" spans="1:16" x14ac:dyDescent="0.2">
      <c r="A196" s="4" t="s">
        <v>193</v>
      </c>
      <c r="B196" s="4" t="s">
        <v>14</v>
      </c>
      <c r="C196" s="18">
        <v>41271</v>
      </c>
      <c r="D196" s="21">
        <v>2.5104462499999998E-3</v>
      </c>
      <c r="E196" s="26">
        <v>41306</v>
      </c>
      <c r="F196" s="16">
        <v>40966</v>
      </c>
      <c r="G196" s="10">
        <f>IF(Tabela4[[#This Row],[Tipo]]="Dividendo",Tabela4[[#This Row],[Valor]],IF(Tabela4[[#This Row],[Tipo]]="Jrs. Cap. Próprio",Tabela4[[#This Row],[Valor]]*85%,0))</f>
        <v>2.1338793124999998E-3</v>
      </c>
      <c r="I196" s="4" t="s">
        <v>225</v>
      </c>
      <c r="J196" s="4">
        <v>2002</v>
      </c>
      <c r="K196" s="10">
        <f>SUMPRODUCT(N(Tabela4[Ativo]=Tabela5[[#This Row],[Ativo]]),N(YEAR(Tabela4[Data ex-1])=Tabela5[[#This Row],[Ano]]),Tabela4[Líquido])</f>
        <v>1.7585</v>
      </c>
      <c r="N196" s="23">
        <f>IF(Tabela5[[#This Row],[Dividendos]]&gt;0,Tabela5[[#This Row],[Dividendos]]/Tabela5[[#This Row],[Lucro Líquido]],0)</f>
        <v>0</v>
      </c>
      <c r="O196" s="23"/>
      <c r="P196" s="10"/>
    </row>
    <row r="197" spans="1:16" x14ac:dyDescent="0.2">
      <c r="A197" s="4" t="s">
        <v>193</v>
      </c>
      <c r="B197" s="4" t="s">
        <v>14</v>
      </c>
      <c r="C197" s="18">
        <v>41243</v>
      </c>
      <c r="D197" s="21">
        <v>2.5104462499999998E-3</v>
      </c>
      <c r="E197" s="26">
        <v>41276</v>
      </c>
      <c r="F197" s="16">
        <v>40966</v>
      </c>
      <c r="G197" s="10">
        <f>IF(Tabela4[[#This Row],[Tipo]]="Dividendo",Tabela4[[#This Row],[Valor]],IF(Tabela4[[#This Row],[Tipo]]="Jrs. Cap. Próprio",Tabela4[[#This Row],[Valor]]*85%,0))</f>
        <v>2.1338793124999998E-3</v>
      </c>
      <c r="I197" s="4" t="s">
        <v>225</v>
      </c>
      <c r="J197" s="4">
        <v>2001</v>
      </c>
      <c r="K197" s="10">
        <f>SUMPRODUCT(N(Tabela4[Ativo]=Tabela5[[#This Row],[Ativo]]),N(YEAR(Tabela4[Data ex-1])=Tabela5[[#This Row],[Ano]]),Tabela4[Líquido])</f>
        <v>0.67010000000000003</v>
      </c>
      <c r="N197" s="23">
        <f>IF(Tabela5[[#This Row],[Dividendos]]&gt;0,Tabela5[[#This Row],[Dividendos]]/Tabela5[[#This Row],[Lucro Líquido]],0)</f>
        <v>0</v>
      </c>
      <c r="O197" s="23"/>
      <c r="P197" s="10"/>
    </row>
    <row r="198" spans="1:16" x14ac:dyDescent="0.2">
      <c r="A198" s="4" t="s">
        <v>193</v>
      </c>
      <c r="B198" s="4" t="s">
        <v>14</v>
      </c>
      <c r="C198" s="18">
        <v>41213</v>
      </c>
      <c r="D198" s="21">
        <v>2.5104462499999998E-3</v>
      </c>
      <c r="E198" s="26">
        <v>41246</v>
      </c>
      <c r="F198" s="16">
        <v>40966</v>
      </c>
      <c r="G198" s="10">
        <f>IF(Tabela4[[#This Row],[Tipo]]="Dividendo",Tabela4[[#This Row],[Valor]],IF(Tabela4[[#This Row],[Tipo]]="Jrs. Cap. Próprio",Tabela4[[#This Row],[Valor]]*85%,0))</f>
        <v>2.1338793124999998E-3</v>
      </c>
      <c r="I198" s="4" t="s">
        <v>225</v>
      </c>
      <c r="J198" s="4">
        <v>2000</v>
      </c>
      <c r="K198" s="10">
        <f>SUMPRODUCT(N(Tabela4[Ativo]=Tabela5[[#This Row],[Ativo]]),N(YEAR(Tabela4[Data ex-1])=Tabela5[[#This Row],[Ano]]),Tabela4[Líquido])</f>
        <v>0.45390000000000003</v>
      </c>
      <c r="N198" s="23">
        <f>IF(Tabela5[[#This Row],[Dividendos]]&gt;0,Tabela5[[#This Row],[Dividendos]]/Tabela5[[#This Row],[Lucro Líquido]],0)</f>
        <v>0</v>
      </c>
      <c r="O198" s="23"/>
      <c r="P198" s="10"/>
    </row>
    <row r="199" spans="1:16" x14ac:dyDescent="0.2">
      <c r="A199" s="4" t="s">
        <v>193</v>
      </c>
      <c r="B199" s="4" t="s">
        <v>14</v>
      </c>
      <c r="C199" s="25">
        <v>41180</v>
      </c>
      <c r="D199" s="21">
        <v>2.5104462499999998E-3</v>
      </c>
      <c r="E199" s="26">
        <v>41214</v>
      </c>
      <c r="F199" s="26">
        <v>40966</v>
      </c>
      <c r="G199" s="10">
        <f>IF(Tabela4[[#This Row],[Tipo]]="Dividendo",Tabela4[[#This Row],[Valor]],IF(Tabela4[[#This Row],[Tipo]]="Jrs. Cap. Próprio",Tabela4[[#This Row],[Valor]]*85%,0))</f>
        <v>2.1338793124999998E-3</v>
      </c>
      <c r="I199" s="4" t="s">
        <v>225</v>
      </c>
      <c r="J199" s="4">
        <v>1999</v>
      </c>
      <c r="K199" s="10">
        <f>SUMPRODUCT(N(Tabela4[Ativo]=Tabela5[[#This Row],[Ativo]]),N(YEAR(Tabela4[Data ex-1])=Tabela5[[#This Row],[Ano]]),Tabela4[Líquido])</f>
        <v>1.1358999999999999</v>
      </c>
      <c r="N199" s="23">
        <f>IF(Tabela5[[#This Row],[Dividendos]]&gt;0,Tabela5[[#This Row],[Dividendos]]/Tabela5[[#This Row],[Lucro Líquido]],0)</f>
        <v>0</v>
      </c>
      <c r="O199" s="23"/>
      <c r="P199" s="10"/>
    </row>
    <row r="200" spans="1:16" x14ac:dyDescent="0.2">
      <c r="A200" s="4" t="s">
        <v>193</v>
      </c>
      <c r="B200" s="3" t="s">
        <v>14</v>
      </c>
      <c r="C200" s="18">
        <v>41152</v>
      </c>
      <c r="D200" s="21">
        <v>2.5104462499999998E-3</v>
      </c>
      <c r="E200" s="26">
        <v>41183</v>
      </c>
      <c r="F200" s="16">
        <v>40966</v>
      </c>
      <c r="G200" s="10">
        <f>IF(Tabela4[[#This Row],[Tipo]]="Dividendo",Tabela4[[#This Row],[Valor]],IF(Tabela4[[#This Row],[Tipo]]="Jrs. Cap. Próprio",Tabela4[[#This Row],[Valor]]*85%,0))</f>
        <v>2.1338793124999998E-3</v>
      </c>
      <c r="I200" s="4" t="s">
        <v>228</v>
      </c>
      <c r="J200" s="4">
        <v>2013</v>
      </c>
      <c r="K200" s="14">
        <f>SUMPRODUCT(N(Tabela4[Ativo]=Tabela5[[#This Row],[Ativo]]),N(YEAR(Tabela4[Data ex-1])=Tabela5[[#This Row],[Ano]]),Tabela4[Líquido])</f>
        <v>0.2024</v>
      </c>
      <c r="L200" s="6"/>
      <c r="M200" s="6"/>
      <c r="N200" s="24">
        <f>IF(Tabela5[[#This Row],[Dividendos]]&gt;0,Tabela5[[#This Row],[Dividendos]]/Tabela5[[#This Row],[Lucro Líquido]],0)</f>
        <v>0</v>
      </c>
      <c r="O200" s="23"/>
      <c r="P200" s="10"/>
    </row>
    <row r="201" spans="1:16" x14ac:dyDescent="0.2">
      <c r="A201" s="4" t="s">
        <v>193</v>
      </c>
      <c r="B201" s="3" t="s">
        <v>14</v>
      </c>
      <c r="C201" s="18">
        <v>41121</v>
      </c>
      <c r="D201" s="21">
        <v>2.5104443729999999E-2</v>
      </c>
      <c r="E201" s="26">
        <v>41155</v>
      </c>
      <c r="F201" s="16">
        <v>40925</v>
      </c>
      <c r="G201" s="10">
        <f>IF(Tabela4[[#This Row],[Tipo]]="Dividendo",Tabela4[[#This Row],[Valor]],IF(Tabela4[[#This Row],[Tipo]]="Jrs. Cap. Próprio",Tabela4[[#This Row],[Valor]]*85%,0))</f>
        <v>2.1338777170499999E-2</v>
      </c>
      <c r="I201" s="4" t="s">
        <v>228</v>
      </c>
      <c r="J201" s="4">
        <v>2012</v>
      </c>
      <c r="K201" s="14">
        <f>SUMPRODUCT(N(Tabela4[Ativo]=Tabela5[[#This Row],[Ativo]]),N(YEAR(Tabela4[Data ex-1])=Tabela5[[#This Row],[Ano]]),Tabela4[Líquido])</f>
        <v>0.77729999999999999</v>
      </c>
      <c r="L201" s="6"/>
      <c r="M201" s="6"/>
      <c r="N201" s="24">
        <f>IF(Tabela5[[#This Row],[Dividendos]]&gt;0,Tabela5[[#This Row],[Dividendos]]/Tabela5[[#This Row],[Lucro Líquido]],0)</f>
        <v>0</v>
      </c>
      <c r="O201" s="23"/>
      <c r="P201" s="10"/>
    </row>
    <row r="202" spans="1:16" x14ac:dyDescent="0.2">
      <c r="A202" s="4" t="s">
        <v>193</v>
      </c>
      <c r="B202" s="3" t="s">
        <v>14</v>
      </c>
      <c r="C202" s="18">
        <v>41089</v>
      </c>
      <c r="D202" s="21">
        <v>2.7386665920000001E-2</v>
      </c>
      <c r="E202" s="26">
        <v>41122</v>
      </c>
      <c r="F202" s="16">
        <v>40925</v>
      </c>
      <c r="G202" s="10">
        <f>IF(Tabela4[[#This Row],[Tipo]]="Dividendo",Tabela4[[#This Row],[Valor]],IF(Tabela4[[#This Row],[Tipo]]="Jrs. Cap. Próprio",Tabela4[[#This Row],[Valor]]*85%,0))</f>
        <v>2.3278666032E-2</v>
      </c>
      <c r="I202" s="4" t="s">
        <v>228</v>
      </c>
      <c r="J202" s="4">
        <v>2011</v>
      </c>
      <c r="K202" s="10">
        <f>SUMPRODUCT(N(Tabela4[Ativo]=Tabela5[[#This Row],[Ativo]]),N(YEAR(Tabela4[Data ex-1])=Tabela5[[#This Row],[Ano]]),Tabela4[Líquido])</f>
        <v>2.9677399999999996</v>
      </c>
      <c r="N202" s="23">
        <f>IF(Tabela5[[#This Row],[Dividendos]]&gt;0,Tabela5[[#This Row],[Dividendos]]/Tabela5[[#This Row],[Lucro Líquido]],0)</f>
        <v>0</v>
      </c>
      <c r="O202" s="23"/>
      <c r="P202" s="10"/>
    </row>
    <row r="203" spans="1:16" x14ac:dyDescent="0.2">
      <c r="A203" s="4" t="s">
        <v>193</v>
      </c>
      <c r="B203" s="3" t="s">
        <v>14</v>
      </c>
      <c r="C203" s="18">
        <v>41060</v>
      </c>
      <c r="D203" s="21">
        <v>2.739152177E-2</v>
      </c>
      <c r="E203" s="26">
        <v>41092</v>
      </c>
      <c r="F203" s="16">
        <v>40966</v>
      </c>
      <c r="G203" s="10">
        <f>IF(Tabela4[[#This Row],[Tipo]]="Dividendo",Tabela4[[#This Row],[Valor]],IF(Tabela4[[#This Row],[Tipo]]="Jrs. Cap. Próprio",Tabela4[[#This Row],[Valor]]*85%,0))</f>
        <v>2.32827935045E-2</v>
      </c>
      <c r="I203" s="4" t="s">
        <v>228</v>
      </c>
      <c r="J203" s="4">
        <v>2010</v>
      </c>
      <c r="K203" s="10">
        <f>SUMPRODUCT(N(Tabela4[Ativo]=Tabela5[[#This Row],[Ativo]]),N(YEAR(Tabela4[Data ex-1])=Tabela5[[#This Row],[Ano]]),Tabela4[Líquido])</f>
        <v>3.9892200000000004</v>
      </c>
      <c r="N203" s="23">
        <f>IF(Tabela5[[#This Row],[Dividendos]]&gt;0,Tabela5[[#This Row],[Dividendos]]/Tabela5[[#This Row],[Lucro Líquido]],0)</f>
        <v>0</v>
      </c>
      <c r="O203" s="23"/>
      <c r="P203" s="10"/>
    </row>
    <row r="204" spans="1:16" x14ac:dyDescent="0.2">
      <c r="A204" s="4" t="s">
        <v>193</v>
      </c>
      <c r="B204" s="3" t="s">
        <v>14</v>
      </c>
      <c r="C204" s="18">
        <v>41029</v>
      </c>
      <c r="D204" s="21">
        <v>2.739152177E-2</v>
      </c>
      <c r="E204" s="26">
        <v>41061</v>
      </c>
      <c r="F204" s="16">
        <v>40966</v>
      </c>
      <c r="G204" s="10">
        <f>IF(Tabela4[[#This Row],[Tipo]]="Dividendo",Tabela4[[#This Row],[Valor]],IF(Tabela4[[#This Row],[Tipo]]="Jrs. Cap. Próprio",Tabela4[[#This Row],[Valor]]*85%,0))</f>
        <v>2.32827935045E-2</v>
      </c>
      <c r="I204" s="4" t="s">
        <v>228</v>
      </c>
      <c r="J204" s="4">
        <v>2009</v>
      </c>
      <c r="K204" s="10">
        <f>SUMPRODUCT(N(Tabela4[Ativo]=Tabela5[[#This Row],[Ativo]]),N(YEAR(Tabela4[Data ex-1])=Tabela5[[#This Row],[Ano]]),Tabela4[Líquido])</f>
        <v>4.8472249999999999</v>
      </c>
      <c r="N204" s="23">
        <f>IF(Tabela5[[#This Row],[Dividendos]]&gt;0,Tabela5[[#This Row],[Dividendos]]/Tabela5[[#This Row],[Lucro Líquido]],0)</f>
        <v>0</v>
      </c>
      <c r="O204" s="23"/>
      <c r="P204" s="10"/>
    </row>
    <row r="205" spans="1:16" x14ac:dyDescent="0.2">
      <c r="A205" s="4" t="s">
        <v>193</v>
      </c>
      <c r="B205" s="3" t="s">
        <v>14</v>
      </c>
      <c r="C205" s="18">
        <v>40998</v>
      </c>
      <c r="D205" s="21">
        <v>2.739152177E-2</v>
      </c>
      <c r="E205" s="26">
        <v>41031</v>
      </c>
      <c r="F205" s="16">
        <v>40966</v>
      </c>
      <c r="G205" s="10">
        <f>IF(Tabela4[[#This Row],[Tipo]]="Dividendo",Tabela4[[#This Row],[Valor]],IF(Tabela4[[#This Row],[Tipo]]="Jrs. Cap. Próprio",Tabela4[[#This Row],[Valor]]*85%,0))</f>
        <v>2.32827935045E-2</v>
      </c>
      <c r="I205" s="4" t="s">
        <v>228</v>
      </c>
      <c r="J205" s="4">
        <v>2008</v>
      </c>
      <c r="K205" s="10">
        <f>SUMPRODUCT(N(Tabela4[Ativo]=Tabela5[[#This Row],[Ativo]]),N(YEAR(Tabela4[Data ex-1])=Tabela5[[#This Row],[Ano]]),Tabela4[Líquido])</f>
        <v>4.2019799999999989</v>
      </c>
      <c r="N205" s="23">
        <f>IF(Tabela5[[#This Row],[Dividendos]]&gt;0,Tabela5[[#This Row],[Dividendos]]/Tabela5[[#This Row],[Lucro Líquido]],0)</f>
        <v>0</v>
      </c>
      <c r="O205" s="23"/>
      <c r="P205" s="10"/>
    </row>
    <row r="206" spans="1:16" x14ac:dyDescent="0.2">
      <c r="A206" s="4" t="s">
        <v>193</v>
      </c>
      <c r="B206" s="3" t="s">
        <v>14</v>
      </c>
      <c r="C206" s="18">
        <v>40968</v>
      </c>
      <c r="D206" s="21">
        <v>2.739152177E-2</v>
      </c>
      <c r="E206" s="26">
        <v>41001</v>
      </c>
      <c r="F206" s="16">
        <v>40966</v>
      </c>
      <c r="G206" s="10">
        <f>IF(Tabela4[[#This Row],[Tipo]]="Dividendo",Tabela4[[#This Row],[Valor]],IF(Tabela4[[#This Row],[Tipo]]="Jrs. Cap. Próprio",Tabela4[[#This Row],[Valor]]*85%,0))</f>
        <v>2.32827935045E-2</v>
      </c>
      <c r="I206" s="4" t="s">
        <v>228</v>
      </c>
      <c r="J206" s="4">
        <v>2007</v>
      </c>
      <c r="K206" s="10">
        <f>SUMPRODUCT(N(Tabela4[Ativo]=Tabela5[[#This Row],[Ativo]]),N(YEAR(Tabela4[Data ex-1])=Tabela5[[#This Row],[Ano]]),Tabela4[Líquido])</f>
        <v>3.9651100000000001</v>
      </c>
      <c r="N206" s="23">
        <f>IF(Tabela5[[#This Row],[Dividendos]]&gt;0,Tabela5[[#This Row],[Dividendos]]/Tabela5[[#This Row],[Lucro Líquido]],0)</f>
        <v>0</v>
      </c>
      <c r="O206" s="23"/>
      <c r="P206" s="10"/>
    </row>
    <row r="207" spans="1:16" x14ac:dyDescent="0.2">
      <c r="A207" s="4" t="s">
        <v>193</v>
      </c>
      <c r="B207" s="3" t="s">
        <v>14</v>
      </c>
      <c r="C207" s="80">
        <v>40967</v>
      </c>
      <c r="D207" s="21">
        <v>2.739152177E-2</v>
      </c>
      <c r="E207" s="81">
        <v>40977</v>
      </c>
      <c r="F207" s="81">
        <v>40966</v>
      </c>
      <c r="G207" s="10">
        <f>IF(Tabela4[[#This Row],[Tipo]]="Dividendo",Tabela4[[#This Row],[Valor]],IF(Tabela4[[#This Row],[Tipo]]="Jrs. Cap. Próprio",Tabela4[[#This Row],[Valor]]*85%,0))</f>
        <v>2.32827935045E-2</v>
      </c>
      <c r="I207" s="4" t="s">
        <v>228</v>
      </c>
      <c r="J207" s="4">
        <v>2006</v>
      </c>
      <c r="K207" s="10">
        <f>SUMPRODUCT(N(Tabela4[Ativo]=Tabela5[[#This Row],[Ativo]]),N(YEAR(Tabela4[Data ex-1])=Tabela5[[#This Row],[Ano]]),Tabela4[Líquido])</f>
        <v>1.7182499999999998</v>
      </c>
      <c r="N207" s="23">
        <f>IF(Tabela5[[#This Row],[Dividendos]]&gt;0,Tabela5[[#This Row],[Dividendos]]/Tabela5[[#This Row],[Lucro Líquido]],0)</f>
        <v>0</v>
      </c>
      <c r="O207" s="23"/>
      <c r="P207" s="10"/>
    </row>
    <row r="208" spans="1:16" x14ac:dyDescent="0.2">
      <c r="A208" s="4" t="s">
        <v>193</v>
      </c>
      <c r="B208" s="3" t="s">
        <v>14</v>
      </c>
      <c r="C208" s="80">
        <v>40906</v>
      </c>
      <c r="D208" s="21">
        <v>2.5899999999999999E-2</v>
      </c>
      <c r="E208" s="81">
        <v>40940</v>
      </c>
      <c r="F208" s="81">
        <v>40568</v>
      </c>
      <c r="G208" s="10">
        <f>IF(Tabela4[[#This Row],[Tipo]]="Dividendo",Tabela4[[#This Row],[Valor]],IF(Tabela4[[#This Row],[Tipo]]="Jrs. Cap. Próprio",Tabela4[[#This Row],[Valor]]*85%,0))</f>
        <v>2.2015E-2</v>
      </c>
      <c r="I208" s="4" t="s">
        <v>228</v>
      </c>
      <c r="J208" s="4">
        <v>2005</v>
      </c>
      <c r="K208" s="10">
        <f>SUMPRODUCT(N(Tabela4[Ativo]=Tabela5[[#This Row],[Ativo]]),N(YEAR(Tabela4[Data ex-1])=Tabela5[[#This Row],[Ano]]),Tabela4[Líquido])</f>
        <v>1.0013800000000002</v>
      </c>
      <c r="N208" s="23">
        <f>IF(Tabela5[[#This Row],[Dividendos]]&gt;0,Tabela5[[#This Row],[Dividendos]]/Tabela5[[#This Row],[Lucro Líquido]],0)</f>
        <v>0</v>
      </c>
      <c r="O208" s="23"/>
      <c r="P208" s="10"/>
    </row>
    <row r="209" spans="1:16" x14ac:dyDescent="0.2">
      <c r="A209" s="4" t="s">
        <v>193</v>
      </c>
      <c r="B209" s="3" t="s">
        <v>14</v>
      </c>
      <c r="C209" s="18">
        <v>40877</v>
      </c>
      <c r="D209" s="21">
        <v>2.5899999999999999E-2</v>
      </c>
      <c r="E209" s="26">
        <v>40910</v>
      </c>
      <c r="F209" s="16">
        <v>40568</v>
      </c>
      <c r="G209" s="10">
        <f>IF(Tabela4[[#This Row],[Tipo]]="Dividendo",Tabela4[[#This Row],[Valor]],IF(Tabela4[[#This Row],[Tipo]]="Jrs. Cap. Próprio",Tabela4[[#This Row],[Valor]]*85%,0))</f>
        <v>2.2015E-2</v>
      </c>
      <c r="I209" s="4" t="s">
        <v>228</v>
      </c>
      <c r="J209" s="4">
        <v>2004</v>
      </c>
      <c r="K209" s="10">
        <f>SUMPRODUCT(N(Tabela4[Ativo]=Tabela5[[#This Row],[Ativo]]),N(YEAR(Tabela4[Data ex-1])=Tabela5[[#This Row],[Ano]]),Tabela4[Líquido])</f>
        <v>1.2809050000000002</v>
      </c>
      <c r="N209" s="23">
        <f>IF(Tabela5[[#This Row],[Dividendos]]&gt;0,Tabela5[[#This Row],[Dividendos]]/Tabela5[[#This Row],[Lucro Líquido]],0)</f>
        <v>0</v>
      </c>
      <c r="O209" s="23"/>
      <c r="P209" s="10"/>
    </row>
    <row r="210" spans="1:16" x14ac:dyDescent="0.2">
      <c r="A210" s="4" t="s">
        <v>193</v>
      </c>
      <c r="B210" s="3" t="s">
        <v>14</v>
      </c>
      <c r="C210" s="18">
        <v>40847</v>
      </c>
      <c r="D210" s="21">
        <v>2.5899999999999999E-2</v>
      </c>
      <c r="E210" s="26">
        <v>40878</v>
      </c>
      <c r="F210" s="16">
        <v>40568</v>
      </c>
      <c r="G210" s="10">
        <f>IF(Tabela4[[#This Row],[Tipo]]="Dividendo",Tabela4[[#This Row],[Valor]],IF(Tabela4[[#This Row],[Tipo]]="Jrs. Cap. Próprio",Tabela4[[#This Row],[Valor]]*85%,0))</f>
        <v>2.2015E-2</v>
      </c>
      <c r="I210" s="4" t="s">
        <v>228</v>
      </c>
      <c r="J210" s="4">
        <v>2003</v>
      </c>
      <c r="K210" s="10">
        <f>SUMPRODUCT(N(Tabela4[Ativo]=Tabela5[[#This Row],[Ativo]]),N(YEAR(Tabela4[Data ex-1])=Tabela5[[#This Row],[Ano]]),Tabela4[Líquido])</f>
        <v>0.71286499999999997</v>
      </c>
      <c r="N210" s="23">
        <f>IF(Tabela5[[#This Row],[Dividendos]]&gt;0,Tabela5[[#This Row],[Dividendos]]/Tabela5[[#This Row],[Lucro Líquido]],0)</f>
        <v>0</v>
      </c>
      <c r="O210" s="23"/>
      <c r="P210" s="10"/>
    </row>
    <row r="211" spans="1:16" x14ac:dyDescent="0.2">
      <c r="A211" s="4" t="s">
        <v>193</v>
      </c>
      <c r="B211" s="3" t="s">
        <v>14</v>
      </c>
      <c r="C211" s="18">
        <v>40816</v>
      </c>
      <c r="D211" s="21">
        <v>2.5899999999999999E-2</v>
      </c>
      <c r="E211" s="26">
        <v>40848</v>
      </c>
      <c r="F211" s="16">
        <v>40568</v>
      </c>
      <c r="G211" s="10">
        <f>IF(Tabela4[[#This Row],[Tipo]]="Dividendo",Tabela4[[#This Row],[Valor]],IF(Tabela4[[#This Row],[Tipo]]="Jrs. Cap. Próprio",Tabela4[[#This Row],[Valor]]*85%,0))</f>
        <v>2.2015E-2</v>
      </c>
      <c r="I211" s="4" t="s">
        <v>228</v>
      </c>
      <c r="J211" s="4">
        <v>2002</v>
      </c>
      <c r="K211" s="10">
        <f>SUMPRODUCT(N(Tabela4[Ativo]=Tabela5[[#This Row],[Ativo]]),N(YEAR(Tabela4[Data ex-1])=Tabela5[[#This Row],[Ano]]),Tabela4[Líquido])</f>
        <v>1.40218</v>
      </c>
      <c r="N211" s="23">
        <f>IF(Tabela5[[#This Row],[Dividendos]]&gt;0,Tabela5[[#This Row],[Dividendos]]/Tabela5[[#This Row],[Lucro Líquido]],0)</f>
        <v>0</v>
      </c>
      <c r="O211" s="23"/>
      <c r="P211" s="10"/>
    </row>
    <row r="212" spans="1:16" x14ac:dyDescent="0.2">
      <c r="A212" s="4" t="s">
        <v>193</v>
      </c>
      <c r="B212" s="3" t="s">
        <v>14</v>
      </c>
      <c r="C212" s="18">
        <v>40786</v>
      </c>
      <c r="D212" s="21">
        <v>2.5899999999999999E-2</v>
      </c>
      <c r="E212" s="26">
        <v>40819</v>
      </c>
      <c r="F212" s="16">
        <v>40568</v>
      </c>
      <c r="G212" s="10">
        <f>IF(Tabela4[[#This Row],[Tipo]]="Dividendo",Tabela4[[#This Row],[Valor]],IF(Tabela4[[#This Row],[Tipo]]="Jrs. Cap. Próprio",Tabela4[[#This Row],[Valor]]*85%,0))</f>
        <v>2.2015E-2</v>
      </c>
      <c r="I212" s="4" t="s">
        <v>228</v>
      </c>
      <c r="J212" s="4">
        <v>2001</v>
      </c>
      <c r="K212" s="10">
        <f>SUMPRODUCT(N(Tabela4[Ativo]=Tabela5[[#This Row],[Ativo]]),N(YEAR(Tabela4[Data ex-1])=Tabela5[[#This Row],[Ano]]),Tabela4[Líquido])</f>
        <v>1.0183</v>
      </c>
      <c r="N212" s="23">
        <f>IF(Tabela5[[#This Row],[Dividendos]]&gt;0,Tabela5[[#This Row],[Dividendos]]/Tabela5[[#This Row],[Lucro Líquido]],0)</f>
        <v>0</v>
      </c>
      <c r="O212" s="23"/>
      <c r="P212" s="10"/>
    </row>
    <row r="213" spans="1:16" x14ac:dyDescent="0.2">
      <c r="A213" s="4" t="s">
        <v>193</v>
      </c>
      <c r="B213" s="3" t="s">
        <v>14</v>
      </c>
      <c r="C213" s="18">
        <v>40753</v>
      </c>
      <c r="D213" s="21">
        <v>2.5899999999999999E-2</v>
      </c>
      <c r="E213" s="26">
        <v>40787</v>
      </c>
      <c r="F213" s="16">
        <v>40568</v>
      </c>
      <c r="G213" s="10">
        <f>IF(Tabela4[[#This Row],[Tipo]]="Dividendo",Tabela4[[#This Row],[Valor]],IF(Tabela4[[#This Row],[Tipo]]="Jrs. Cap. Próprio",Tabela4[[#This Row],[Valor]]*85%,0))</f>
        <v>2.2015E-2</v>
      </c>
      <c r="I213" s="4" t="s">
        <v>228</v>
      </c>
      <c r="J213" s="4">
        <v>2000</v>
      </c>
      <c r="K213" s="10">
        <f>SUMPRODUCT(N(Tabela4[Ativo]=Tabela5[[#This Row],[Ativo]]),N(YEAR(Tabela4[Data ex-1])=Tabela5[[#This Row],[Ano]]),Tabela4[Líquido])</f>
        <v>0.4919</v>
      </c>
      <c r="N213" s="23">
        <f>IF(Tabela5[[#This Row],[Dividendos]]&gt;0,Tabela5[[#This Row],[Dividendos]]/Tabela5[[#This Row],[Lucro Líquido]],0)</f>
        <v>0</v>
      </c>
      <c r="O213" s="23"/>
      <c r="P213" s="10"/>
    </row>
    <row r="214" spans="1:16" x14ac:dyDescent="0.2">
      <c r="A214" s="4" t="s">
        <v>193</v>
      </c>
      <c r="B214" s="3" t="s">
        <v>14</v>
      </c>
      <c r="C214" s="18">
        <v>40724</v>
      </c>
      <c r="D214" s="21">
        <v>2.5899999999999999E-2</v>
      </c>
      <c r="E214" s="26">
        <v>40756</v>
      </c>
      <c r="F214" s="16">
        <v>40568</v>
      </c>
      <c r="G214" s="10">
        <f>IF(Tabela4[[#This Row],[Tipo]]="Dividendo",Tabela4[[#This Row],[Valor]],IF(Tabela4[[#This Row],[Tipo]]="Jrs. Cap. Próprio",Tabela4[[#This Row],[Valor]]*85%,0))</f>
        <v>2.2015E-2</v>
      </c>
      <c r="I214" s="4" t="s">
        <v>232</v>
      </c>
      <c r="J214" s="4">
        <v>2013</v>
      </c>
      <c r="K214" s="14">
        <f>SUMPRODUCT(N(Tabela4[Ativo]=Tabela5[[#This Row],[Ativo]]),N(YEAR(Tabela4[Data ex-1])=Tabela5[[#This Row],[Ano]]),Tabela4[Líquido])</f>
        <v>1.3314649999999999</v>
      </c>
      <c r="L214" s="6"/>
      <c r="M214" s="6"/>
      <c r="N214" s="24">
        <f>IF(Tabela5[[#This Row],[Dividendos]]&gt;0,Tabela5[[#This Row],[Dividendos]]/Tabela5[[#This Row],[Lucro Líquido]],0)</f>
        <v>0</v>
      </c>
      <c r="O214" s="23">
        <v>0.92059999999999997</v>
      </c>
      <c r="P214" s="10"/>
    </row>
    <row r="215" spans="1:16" x14ac:dyDescent="0.2">
      <c r="A215" s="4" t="s">
        <v>193</v>
      </c>
      <c r="B215" s="3" t="s">
        <v>14</v>
      </c>
      <c r="C215" s="18">
        <v>40694</v>
      </c>
      <c r="D215" s="21">
        <v>2.5899999999999999E-2</v>
      </c>
      <c r="E215" s="26">
        <v>40725</v>
      </c>
      <c r="F215" s="16">
        <v>40694</v>
      </c>
      <c r="G215" s="10">
        <f>IF(Tabela4[[#This Row],[Tipo]]="Dividendo",Tabela4[[#This Row],[Valor]],IF(Tabela4[[#This Row],[Tipo]]="Jrs. Cap. Próprio",Tabela4[[#This Row],[Valor]]*85%,0))</f>
        <v>2.2015E-2</v>
      </c>
      <c r="I215" s="4" t="s">
        <v>232</v>
      </c>
      <c r="J215" s="4">
        <v>2012</v>
      </c>
      <c r="K215" s="14">
        <f>SUMPRODUCT(N(Tabela4[Ativo]=Tabela5[[#This Row],[Ativo]]),N(YEAR(Tabela4[Data ex-1])=Tabela5[[#This Row],[Ano]]),Tabela4[Líquido])</f>
        <v>1.4888749999999999</v>
      </c>
      <c r="L215" s="6"/>
      <c r="M215" s="6"/>
      <c r="N215" s="24">
        <f>IF(Tabela5[[#This Row],[Dividendos]]&gt;0,Tabela5[[#This Row],[Dividendos]]/Tabela5[[#This Row],[Lucro Líquido]],0)</f>
        <v>0</v>
      </c>
      <c r="O215" s="23">
        <v>3.37</v>
      </c>
      <c r="P215" s="10"/>
    </row>
    <row r="216" spans="1:16" x14ac:dyDescent="0.2">
      <c r="A216" s="4" t="s">
        <v>193</v>
      </c>
      <c r="B216" s="3" t="s">
        <v>14</v>
      </c>
      <c r="C216" s="18">
        <v>40662</v>
      </c>
      <c r="D216" s="21">
        <v>2.5899999999999999E-2</v>
      </c>
      <c r="E216" s="26">
        <v>40695</v>
      </c>
      <c r="F216" s="16">
        <v>40662</v>
      </c>
      <c r="G216" s="10">
        <f>IF(Tabela4[[#This Row],[Tipo]]="Dividendo",Tabela4[[#This Row],[Valor]],IF(Tabela4[[#This Row],[Tipo]]="Jrs. Cap. Próprio",Tabela4[[#This Row],[Valor]]*85%,0))</f>
        <v>2.2015E-2</v>
      </c>
      <c r="I216" s="4" t="s">
        <v>232</v>
      </c>
      <c r="J216" s="4">
        <v>2011</v>
      </c>
      <c r="K216" s="10">
        <f>SUMPRODUCT(N(Tabela4[Ativo]=Tabela5[[#This Row],[Ativo]]),N(YEAR(Tabela4[Data ex-1])=Tabela5[[#This Row],[Ano]]),Tabela4[Líquido])</f>
        <v>0.67512499999999998</v>
      </c>
      <c r="N216" s="23">
        <f>IF(Tabela5[[#This Row],[Dividendos]]&gt;0,Tabela5[[#This Row],[Dividendos]]/Tabela5[[#This Row],[Lucro Líquido]],0)</f>
        <v>0</v>
      </c>
      <c r="O216" s="23"/>
      <c r="P216" s="10"/>
    </row>
    <row r="217" spans="1:16" x14ac:dyDescent="0.2">
      <c r="A217" s="4" t="s">
        <v>193</v>
      </c>
      <c r="B217" s="3" t="s">
        <v>15</v>
      </c>
      <c r="C217" s="18">
        <v>40662</v>
      </c>
      <c r="D217" s="21">
        <v>2.8999999999999998E-3</v>
      </c>
      <c r="E217" s="26">
        <v>40695</v>
      </c>
      <c r="F217" s="16">
        <v>40662</v>
      </c>
      <c r="G217" s="10">
        <f>IF(Tabela4[[#This Row],[Tipo]]="Dividendo",Tabela4[[#This Row],[Valor]],IF(Tabela4[[#This Row],[Tipo]]="Jrs. Cap. Próprio",Tabela4[[#This Row],[Valor]]*85%,0))</f>
        <v>2.8999999999999998E-3</v>
      </c>
      <c r="I217" s="4" t="s">
        <v>232</v>
      </c>
      <c r="J217" s="4">
        <v>2010</v>
      </c>
      <c r="K217" s="10">
        <f>SUMPRODUCT(N(Tabela4[Ativo]=Tabela5[[#This Row],[Ativo]]),N(YEAR(Tabela4[Data ex-1])=Tabela5[[#This Row],[Ano]]),Tabela4[Líquido])</f>
        <v>0.268625</v>
      </c>
      <c r="N217" s="23">
        <f>IF(Tabela5[[#This Row],[Dividendos]]&gt;0,Tabela5[[#This Row],[Dividendos]]/Tabela5[[#This Row],[Lucro Líquido]],0)</f>
        <v>0</v>
      </c>
      <c r="O217" s="23"/>
      <c r="P217" s="10"/>
    </row>
    <row r="218" spans="1:16" x14ac:dyDescent="0.2">
      <c r="A218" s="4" t="s">
        <v>193</v>
      </c>
      <c r="B218" s="3" t="s">
        <v>14</v>
      </c>
      <c r="C218" s="18">
        <v>40633</v>
      </c>
      <c r="D218" s="21">
        <v>2.5899999999999999E-2</v>
      </c>
      <c r="E218" s="26">
        <v>40665</v>
      </c>
      <c r="F218" s="16">
        <v>40568</v>
      </c>
      <c r="G218" s="10">
        <f>IF(Tabela4[[#This Row],[Tipo]]="Dividendo",Tabela4[[#This Row],[Valor]],IF(Tabela4[[#This Row],[Tipo]]="Jrs. Cap. Próprio",Tabela4[[#This Row],[Valor]]*85%,0))</f>
        <v>2.2015E-2</v>
      </c>
      <c r="I218" s="4" t="s">
        <v>232</v>
      </c>
      <c r="J218" s="4">
        <v>2009</v>
      </c>
      <c r="K218" s="10">
        <f>SUMPRODUCT(N(Tabela4[Ativo]=Tabela5[[#This Row],[Ativo]]),N(YEAR(Tabela4[Data ex-1])=Tabela5[[#This Row],[Ano]]),Tabela4[Líquido])</f>
        <v>0.25330000000000003</v>
      </c>
      <c r="N218" s="23">
        <f>IF(Tabela5[[#This Row],[Dividendos]]&gt;0,Tabela5[[#This Row],[Dividendos]]/Tabela5[[#This Row],[Lucro Líquido]],0)</f>
        <v>0</v>
      </c>
      <c r="O218" s="23"/>
      <c r="P218" s="10"/>
    </row>
    <row r="219" spans="1:16" x14ac:dyDescent="0.2">
      <c r="A219" s="4" t="s">
        <v>193</v>
      </c>
      <c r="B219" s="3" t="s">
        <v>14</v>
      </c>
      <c r="C219" s="18">
        <v>40602</v>
      </c>
      <c r="D219" s="21">
        <v>2.5899999999999999E-2</v>
      </c>
      <c r="E219" s="26">
        <v>40634</v>
      </c>
      <c r="F219" s="16">
        <v>40568</v>
      </c>
      <c r="G219" s="10">
        <f>IF(Tabela4[[#This Row],[Tipo]]="Dividendo",Tabela4[[#This Row],[Valor]],IF(Tabela4[[#This Row],[Tipo]]="Jrs. Cap. Próprio",Tabela4[[#This Row],[Valor]]*85%,0))</f>
        <v>2.2015E-2</v>
      </c>
      <c r="I219" s="4" t="s">
        <v>232</v>
      </c>
      <c r="J219" s="4">
        <v>2008</v>
      </c>
      <c r="K219" s="10">
        <f>SUMPRODUCT(N(Tabela4[Ativo]=Tabela5[[#This Row],[Ativo]]),N(YEAR(Tabela4[Data ex-1])=Tabela5[[#This Row],[Ano]]),Tabela4[Líquido])</f>
        <v>0.13191999999999998</v>
      </c>
      <c r="N219" s="23">
        <f>IF(Tabela5[[#This Row],[Dividendos]]&gt;0,Tabela5[[#This Row],[Dividendos]]/Tabela5[[#This Row],[Lucro Líquido]],0)</f>
        <v>0</v>
      </c>
      <c r="O219" s="23"/>
      <c r="P219" s="10"/>
    </row>
    <row r="220" spans="1:16" x14ac:dyDescent="0.2">
      <c r="A220" s="4" t="s">
        <v>193</v>
      </c>
      <c r="B220" s="3" t="s">
        <v>14</v>
      </c>
      <c r="C220" s="18">
        <v>40574</v>
      </c>
      <c r="D220" s="21">
        <v>4.7699999999999999E-2</v>
      </c>
      <c r="E220" s="26">
        <v>40584</v>
      </c>
      <c r="F220" s="16">
        <v>40568</v>
      </c>
      <c r="G220" s="10">
        <f>IF(Tabela4[[#This Row],[Tipo]]="Dividendo",Tabela4[[#This Row],[Valor]],IF(Tabela4[[#This Row],[Tipo]]="Jrs. Cap. Próprio",Tabela4[[#This Row],[Valor]]*85%,0))</f>
        <v>4.0544999999999998E-2</v>
      </c>
      <c r="I220" s="4" t="s">
        <v>230</v>
      </c>
      <c r="J220" s="4">
        <v>2013</v>
      </c>
      <c r="K220" s="14">
        <f>SUMPRODUCT(N(Tabela4[Ativo]=Tabela5[[#This Row],[Ativo]]),N(YEAR(Tabela4[Data ex-1])=Tabela5[[#This Row],[Ano]]),Tabela4[Líquido])</f>
        <v>0</v>
      </c>
      <c r="L220" s="6"/>
      <c r="M220" s="6"/>
      <c r="N220" s="24">
        <f>IF(Tabela5[[#This Row],[Dividendos]]&gt;0,Tabela5[[#This Row],[Dividendos]]/Tabela5[[#This Row],[Lucro Líquido]],0)</f>
        <v>0</v>
      </c>
      <c r="O220" s="23"/>
      <c r="P220" s="10"/>
    </row>
    <row r="221" spans="1:16" x14ac:dyDescent="0.2">
      <c r="A221" s="4" t="s">
        <v>193</v>
      </c>
      <c r="B221" s="3" t="s">
        <v>14</v>
      </c>
      <c r="C221" s="18">
        <v>40512</v>
      </c>
      <c r="D221" s="21">
        <v>2.1799460999999999E-2</v>
      </c>
      <c r="E221" s="26">
        <v>40546</v>
      </c>
      <c r="F221" s="16">
        <v>40234</v>
      </c>
      <c r="G221" s="10">
        <f>IF(Tabela4[[#This Row],[Tipo]]="Dividendo",Tabela4[[#This Row],[Valor]],IF(Tabela4[[#This Row],[Tipo]]="Jrs. Cap. Próprio",Tabela4[[#This Row],[Valor]]*85%,0))</f>
        <v>1.8529541849999998E-2</v>
      </c>
      <c r="I221" s="4" t="s">
        <v>230</v>
      </c>
      <c r="J221" s="4">
        <v>2012</v>
      </c>
      <c r="K221" s="14">
        <f>SUMPRODUCT(N(Tabela4[Ativo]=Tabela5[[#This Row],[Ativo]]),N(YEAR(Tabela4[Data ex-1])=Tabela5[[#This Row],[Ano]]),Tabela4[Líquido])</f>
        <v>0.26390000000000002</v>
      </c>
      <c r="L221" s="6"/>
      <c r="M221" s="6"/>
      <c r="N221" s="24">
        <f>IF(Tabela5[[#This Row],[Dividendos]]&gt;0,Tabela5[[#This Row],[Dividendos]]/Tabela5[[#This Row],[Lucro Líquido]],0)</f>
        <v>0</v>
      </c>
      <c r="O221" s="23"/>
      <c r="P221" s="10"/>
    </row>
    <row r="222" spans="1:16" x14ac:dyDescent="0.2">
      <c r="A222" s="4" t="s">
        <v>193</v>
      </c>
      <c r="B222" s="3" t="s">
        <v>14</v>
      </c>
      <c r="C222" s="18">
        <v>40480</v>
      </c>
      <c r="D222" s="21">
        <v>2.1799460999999999E-2</v>
      </c>
      <c r="E222" s="26">
        <v>40513</v>
      </c>
      <c r="F222" s="16">
        <v>40480</v>
      </c>
      <c r="G222" s="10">
        <f>IF(Tabela4[[#This Row],[Tipo]]="Dividendo",Tabela4[[#This Row],[Valor]],IF(Tabela4[[#This Row],[Tipo]]="Jrs. Cap. Próprio",Tabela4[[#This Row],[Valor]]*85%,0))</f>
        <v>1.8529541849999998E-2</v>
      </c>
      <c r="I222" s="4" t="s">
        <v>230</v>
      </c>
      <c r="J222" s="4">
        <v>2011</v>
      </c>
      <c r="K222" s="10">
        <f>SUMPRODUCT(N(Tabela4[Ativo]=Tabela5[[#This Row],[Ativo]]),N(YEAR(Tabela4[Data ex-1])=Tabela5[[#This Row],[Ano]]),Tabela4[Líquido])</f>
        <v>1.8870849999999999</v>
      </c>
      <c r="N222" s="23">
        <f>IF(Tabela5[[#This Row],[Dividendos]]&gt;0,Tabela5[[#This Row],[Dividendos]]/Tabela5[[#This Row],[Lucro Líquido]],0)</f>
        <v>0</v>
      </c>
      <c r="O222" s="23"/>
      <c r="P222" s="10"/>
    </row>
    <row r="223" spans="1:16" x14ac:dyDescent="0.2">
      <c r="A223" s="4" t="s">
        <v>193</v>
      </c>
      <c r="B223" s="3" t="s">
        <v>14</v>
      </c>
      <c r="C223" s="18">
        <v>40451</v>
      </c>
      <c r="D223" s="21">
        <v>2.1799460999999999E-2</v>
      </c>
      <c r="E223" s="26">
        <v>40483</v>
      </c>
      <c r="F223" s="16">
        <v>40234</v>
      </c>
      <c r="G223" s="10">
        <f>IF(Tabela4[[#This Row],[Tipo]]="Dividendo",Tabela4[[#This Row],[Valor]],IF(Tabela4[[#This Row],[Tipo]]="Jrs. Cap. Próprio",Tabela4[[#This Row],[Valor]]*85%,0))</f>
        <v>1.8529541849999998E-2</v>
      </c>
      <c r="I223" s="4" t="s">
        <v>230</v>
      </c>
      <c r="J223" s="4">
        <v>2010</v>
      </c>
      <c r="K223" s="10">
        <f>SUMPRODUCT(N(Tabela4[Ativo]=Tabela5[[#This Row],[Ativo]]),N(YEAR(Tabela4[Data ex-1])=Tabela5[[#This Row],[Ano]]),Tabela4[Líquido])</f>
        <v>2.7589899999999998</v>
      </c>
      <c r="N223" s="23">
        <f>IF(Tabela5[[#This Row],[Dividendos]]&gt;0,Tabela5[[#This Row],[Dividendos]]/Tabela5[[#This Row],[Lucro Líquido]],0)</f>
        <v>0</v>
      </c>
      <c r="O223" s="23"/>
      <c r="P223" s="10"/>
    </row>
    <row r="224" spans="1:16" x14ac:dyDescent="0.2">
      <c r="A224" s="4" t="s">
        <v>193</v>
      </c>
      <c r="B224" s="3" t="s">
        <v>14</v>
      </c>
      <c r="C224" s="18">
        <v>40421</v>
      </c>
      <c r="D224" s="21">
        <v>2.1799460999999999E-2</v>
      </c>
      <c r="E224" s="26">
        <v>40452</v>
      </c>
      <c r="F224" s="16">
        <v>40234</v>
      </c>
      <c r="G224" s="10">
        <f>IF(Tabela4[[#This Row],[Tipo]]="Dividendo",Tabela4[[#This Row],[Valor]],IF(Tabela4[[#This Row],[Tipo]]="Jrs. Cap. Próprio",Tabela4[[#This Row],[Valor]]*85%,0))</f>
        <v>1.8529541849999998E-2</v>
      </c>
      <c r="I224" s="4" t="s">
        <v>230</v>
      </c>
      <c r="J224" s="4">
        <v>2009</v>
      </c>
      <c r="K224" s="10">
        <f>SUMPRODUCT(N(Tabela4[Ativo]=Tabela5[[#This Row],[Ativo]]),N(YEAR(Tabela4[Data ex-1])=Tabela5[[#This Row],[Ano]]),Tabela4[Líquido])</f>
        <v>1.9821</v>
      </c>
      <c r="N224" s="23">
        <f>IF(Tabela5[[#This Row],[Dividendos]]&gt;0,Tabela5[[#This Row],[Dividendos]]/Tabela5[[#This Row],[Lucro Líquido]],0)</f>
        <v>0</v>
      </c>
      <c r="O224" s="23"/>
      <c r="P224" s="10"/>
    </row>
    <row r="225" spans="1:16" x14ac:dyDescent="0.2">
      <c r="A225" s="4" t="s">
        <v>193</v>
      </c>
      <c r="B225" s="3" t="s">
        <v>14</v>
      </c>
      <c r="C225" s="18">
        <v>40389</v>
      </c>
      <c r="D225" s="21">
        <v>2.1799460999999999E-2</v>
      </c>
      <c r="E225" s="26">
        <v>40422</v>
      </c>
      <c r="F225" s="16">
        <v>40234</v>
      </c>
      <c r="G225" s="10">
        <f>IF(Tabela4[[#This Row],[Tipo]]="Dividendo",Tabela4[[#This Row],[Valor]],IF(Tabela4[[#This Row],[Tipo]]="Jrs. Cap. Próprio",Tabela4[[#This Row],[Valor]]*85%,0))</f>
        <v>1.8529541849999998E-2</v>
      </c>
      <c r="I225" s="4" t="s">
        <v>230</v>
      </c>
      <c r="J225" s="4">
        <v>2008</v>
      </c>
      <c r="K225" s="10">
        <f>SUMPRODUCT(N(Tabela4[Ativo]=Tabela5[[#This Row],[Ativo]]),N(YEAR(Tabela4[Data ex-1])=Tabela5[[#This Row],[Ano]]),Tabela4[Líquido])</f>
        <v>0.76559999999999995</v>
      </c>
      <c r="N225" s="23">
        <f>IF(Tabela5[[#This Row],[Dividendos]]&gt;0,Tabela5[[#This Row],[Dividendos]]/Tabela5[[#This Row],[Lucro Líquido]],0)</f>
        <v>0</v>
      </c>
      <c r="O225" s="23"/>
      <c r="P225" s="10"/>
    </row>
    <row r="226" spans="1:16" x14ac:dyDescent="0.2">
      <c r="A226" s="4" t="s">
        <v>193</v>
      </c>
      <c r="B226" s="3" t="s">
        <v>14</v>
      </c>
      <c r="C226" s="18">
        <v>40359</v>
      </c>
      <c r="D226" s="21">
        <v>2.1799460999999999E-2</v>
      </c>
      <c r="E226" s="26">
        <v>40392</v>
      </c>
      <c r="F226" s="16">
        <v>40234</v>
      </c>
      <c r="G226" s="10">
        <f>IF(Tabela4[[#This Row],[Tipo]]="Dividendo",Tabela4[[#This Row],[Valor]],IF(Tabela4[[#This Row],[Tipo]]="Jrs. Cap. Próprio",Tabela4[[#This Row],[Valor]]*85%,0))</f>
        <v>1.8529541849999998E-2</v>
      </c>
      <c r="I226" s="4" t="s">
        <v>230</v>
      </c>
      <c r="J226" s="4">
        <v>2007</v>
      </c>
      <c r="K226" s="10">
        <f>SUMPRODUCT(N(Tabela4[Ativo]=Tabela5[[#This Row],[Ativo]]),N(YEAR(Tabela4[Data ex-1])=Tabela5[[#This Row],[Ano]]),Tabela4[Líquido])</f>
        <v>1.6246149999999999</v>
      </c>
      <c r="N226" s="23">
        <f>IF(Tabela5[[#This Row],[Dividendos]]&gt;0,Tabela5[[#This Row],[Dividendos]]/Tabela5[[#This Row],[Lucro Líquido]],0)</f>
        <v>0</v>
      </c>
      <c r="O226" s="23"/>
      <c r="P226" s="10"/>
    </row>
    <row r="227" spans="1:16" x14ac:dyDescent="0.2">
      <c r="A227" s="4" t="s">
        <v>193</v>
      </c>
      <c r="B227" s="3" t="s">
        <v>14</v>
      </c>
      <c r="C227" s="18">
        <v>40329</v>
      </c>
      <c r="D227" s="21">
        <v>2.1799460999999999E-2</v>
      </c>
      <c r="E227" s="26">
        <v>40360</v>
      </c>
      <c r="F227" s="16">
        <v>40234</v>
      </c>
      <c r="G227" s="10">
        <f>IF(Tabela4[[#This Row],[Tipo]]="Dividendo",Tabela4[[#This Row],[Valor]],IF(Tabela4[[#This Row],[Tipo]]="Jrs. Cap. Próprio",Tabela4[[#This Row],[Valor]]*85%,0))</f>
        <v>1.8529541849999998E-2</v>
      </c>
      <c r="I227" s="4" t="s">
        <v>230</v>
      </c>
      <c r="J227" s="4">
        <v>2006</v>
      </c>
      <c r="K227" s="10">
        <f>SUMPRODUCT(N(Tabela4[Ativo]=Tabela5[[#This Row],[Ativo]]),N(YEAR(Tabela4[Data ex-1])=Tabela5[[#This Row],[Ano]]),Tabela4[Líquido])</f>
        <v>6.9205000000000003E-2</v>
      </c>
      <c r="N227" s="23">
        <f>IF(Tabela5[[#This Row],[Dividendos]]&gt;0,Tabela5[[#This Row],[Dividendos]]/Tabela5[[#This Row],[Lucro Líquido]],0)</f>
        <v>0</v>
      </c>
      <c r="O227" s="23"/>
      <c r="P227" s="10"/>
    </row>
    <row r="228" spans="1:16" x14ac:dyDescent="0.2">
      <c r="A228" s="4" t="s">
        <v>193</v>
      </c>
      <c r="B228" s="3" t="s">
        <v>14</v>
      </c>
      <c r="C228" s="18">
        <v>40298</v>
      </c>
      <c r="D228" s="21">
        <v>2.1799460999999999E-2</v>
      </c>
      <c r="E228" s="26">
        <v>40330</v>
      </c>
      <c r="F228" s="16">
        <v>40298</v>
      </c>
      <c r="G228" s="10">
        <f>IF(Tabela4[[#This Row],[Tipo]]="Dividendo",Tabela4[[#This Row],[Valor]],IF(Tabela4[[#This Row],[Tipo]]="Jrs. Cap. Próprio",Tabela4[[#This Row],[Valor]]*85%,0))</f>
        <v>1.8529541849999998E-2</v>
      </c>
      <c r="I228" s="4" t="s">
        <v>230</v>
      </c>
      <c r="J228" s="4">
        <v>2005</v>
      </c>
      <c r="K228" s="10">
        <f>SUMPRODUCT(N(Tabela4[Ativo]=Tabela5[[#This Row],[Ativo]]),N(YEAR(Tabela4[Data ex-1])=Tabela5[[#This Row],[Ano]]),Tabela4[Líquido])</f>
        <v>4.6455000000000003E-2</v>
      </c>
      <c r="N228" s="23">
        <f>IF(Tabela5[[#This Row],[Dividendos]]&gt;0,Tabela5[[#This Row],[Dividendos]]/Tabela5[[#This Row],[Lucro Líquido]],0)</f>
        <v>0</v>
      </c>
      <c r="O228" s="23"/>
      <c r="P228" s="10"/>
    </row>
    <row r="229" spans="1:16" x14ac:dyDescent="0.2">
      <c r="A229" s="4" t="s">
        <v>193</v>
      </c>
      <c r="B229" s="3" t="s">
        <v>15</v>
      </c>
      <c r="C229" s="18">
        <v>40298</v>
      </c>
      <c r="D229" s="21">
        <v>1.6000000000000001E-3</v>
      </c>
      <c r="E229" s="26">
        <v>40330</v>
      </c>
      <c r="F229" s="16">
        <v>40298</v>
      </c>
      <c r="G229" s="10">
        <f>IF(Tabela4[[#This Row],[Tipo]]="Dividendo",Tabela4[[#This Row],[Valor]],IF(Tabela4[[#This Row],[Tipo]]="Jrs. Cap. Próprio",Tabela4[[#This Row],[Valor]]*85%,0))</f>
        <v>1.6000000000000001E-3</v>
      </c>
      <c r="I229" s="4" t="s">
        <v>230</v>
      </c>
      <c r="J229" s="4">
        <v>2004</v>
      </c>
      <c r="K229" s="10">
        <f>SUMPRODUCT(N(Tabela4[Ativo]=Tabela5[[#This Row],[Ativo]]),N(YEAR(Tabela4[Data ex-1])=Tabela5[[#This Row],[Ano]]),Tabela4[Líquido])</f>
        <v>5.4314999999999995E-2</v>
      </c>
      <c r="N229" s="23">
        <f>IF(Tabela5[[#This Row],[Dividendos]]&gt;0,Tabela5[[#This Row],[Dividendos]]/Tabela5[[#This Row],[Lucro Líquido]],0)</f>
        <v>0</v>
      </c>
      <c r="O229" s="23"/>
      <c r="P229" s="10"/>
    </row>
    <row r="230" spans="1:16" x14ac:dyDescent="0.2">
      <c r="A230" s="4" t="s">
        <v>193</v>
      </c>
      <c r="B230" s="3" t="s">
        <v>14</v>
      </c>
      <c r="C230" s="18">
        <v>40268</v>
      </c>
      <c r="D230" s="21">
        <v>2.1799460999999999E-2</v>
      </c>
      <c r="E230" s="26">
        <v>40301</v>
      </c>
      <c r="F230" s="16">
        <v>40268</v>
      </c>
      <c r="G230" s="10">
        <f>IF(Tabela4[[#This Row],[Tipo]]="Dividendo",Tabela4[[#This Row],[Valor]],IF(Tabela4[[#This Row],[Tipo]]="Jrs. Cap. Próprio",Tabela4[[#This Row],[Valor]]*85%,0))</f>
        <v>1.8529541849999998E-2</v>
      </c>
      <c r="I230" s="4" t="s">
        <v>230</v>
      </c>
      <c r="J230" s="4">
        <v>2003</v>
      </c>
      <c r="K230" s="10">
        <f>SUMPRODUCT(N(Tabela4[Ativo]=Tabela5[[#This Row],[Ativo]]),N(YEAR(Tabela4[Data ex-1])=Tabela5[[#This Row],[Ano]]),Tabela4[Líquido])</f>
        <v>3.2044999999999997E-2</v>
      </c>
      <c r="N230" s="23">
        <f>IF(Tabela5[[#This Row],[Dividendos]]&gt;0,Tabela5[[#This Row],[Dividendos]]/Tabela5[[#This Row],[Lucro Líquido]],0)</f>
        <v>0</v>
      </c>
      <c r="O230" s="23"/>
      <c r="P230" s="10"/>
    </row>
    <row r="231" spans="1:16" x14ac:dyDescent="0.2">
      <c r="A231" s="4" t="s">
        <v>193</v>
      </c>
      <c r="B231" s="3" t="s">
        <v>14</v>
      </c>
      <c r="C231" s="18">
        <v>40235</v>
      </c>
      <c r="D231" s="21">
        <v>4.36E-2</v>
      </c>
      <c r="E231" s="26"/>
      <c r="F231" s="16">
        <v>40234</v>
      </c>
      <c r="G231" s="10">
        <f>IF(Tabela4[[#This Row],[Tipo]]="Dividendo",Tabela4[[#This Row],[Valor]],IF(Tabela4[[#This Row],[Tipo]]="Jrs. Cap. Próprio",Tabela4[[#This Row],[Valor]]*85%,0))</f>
        <v>3.7059999999999996E-2</v>
      </c>
      <c r="I231" s="4" t="s">
        <v>230</v>
      </c>
      <c r="J231" s="4">
        <v>2002</v>
      </c>
      <c r="K231" s="10">
        <f>SUMPRODUCT(N(Tabela4[Ativo]=Tabela5[[#This Row],[Ativo]]),N(YEAR(Tabela4[Data ex-1])=Tabela5[[#This Row],[Ano]]),Tabela4[Líquido])</f>
        <v>0</v>
      </c>
      <c r="N231" s="23">
        <f>IF(Tabela5[[#This Row],[Dividendos]]&gt;0,Tabela5[[#This Row],[Dividendos]]/Tabela5[[#This Row],[Lucro Líquido]],0)</f>
        <v>0</v>
      </c>
      <c r="O231" s="23"/>
      <c r="P231" s="10"/>
    </row>
    <row r="232" spans="1:16" x14ac:dyDescent="0.2">
      <c r="A232" s="86" t="s">
        <v>193</v>
      </c>
      <c r="B232" s="3" t="s">
        <v>14</v>
      </c>
      <c r="C232" s="18">
        <v>40147</v>
      </c>
      <c r="D232" s="21">
        <v>1.8466350999999999E-2</v>
      </c>
      <c r="E232" s="26">
        <v>40182</v>
      </c>
      <c r="F232" s="16">
        <v>40147</v>
      </c>
      <c r="G232" s="10">
        <f>IF(Tabela4[[#This Row],[Tipo]]="Dividendo",Tabela4[[#This Row],[Valor]],IF(Tabela4[[#This Row],[Tipo]]="Jrs. Cap. Próprio",Tabela4[[#This Row],[Valor]]*85%,0))</f>
        <v>1.5696398349999998E-2</v>
      </c>
      <c r="I232" s="4" t="s">
        <v>230</v>
      </c>
      <c r="J232" s="4">
        <v>2001</v>
      </c>
      <c r="K232" s="10">
        <f>SUMPRODUCT(N(Tabela4[Ativo]=Tabela5[[#This Row],[Ativo]]),N(YEAR(Tabela4[Data ex-1])=Tabela5[[#This Row],[Ano]]),Tabela4[Líquido])</f>
        <v>1.4E-3</v>
      </c>
      <c r="N232" s="23">
        <f>IF(Tabela5[[#This Row],[Dividendos]]&gt;0,Tabela5[[#This Row],[Dividendos]]/Tabela5[[#This Row],[Lucro Líquido]],0)</f>
        <v>0</v>
      </c>
      <c r="O232" s="23"/>
      <c r="P232" s="10"/>
    </row>
    <row r="233" spans="1:16" x14ac:dyDescent="0.2">
      <c r="A233" s="86" t="s">
        <v>193</v>
      </c>
      <c r="B233" s="3" t="s">
        <v>14</v>
      </c>
      <c r="C233" s="18">
        <v>40116</v>
      </c>
      <c r="D233" s="21">
        <v>1.8466350999999999E-2</v>
      </c>
      <c r="E233" s="26">
        <v>40148</v>
      </c>
      <c r="F233" s="16">
        <v>40116</v>
      </c>
      <c r="G233" s="10">
        <f>IF(Tabela4[[#This Row],[Tipo]]="Dividendo",Tabela4[[#This Row],[Valor]],IF(Tabela4[[#This Row],[Tipo]]="Jrs. Cap. Próprio",Tabela4[[#This Row],[Valor]]*85%,0))</f>
        <v>1.5696398349999998E-2</v>
      </c>
      <c r="I233" s="4" t="s">
        <v>230</v>
      </c>
      <c r="J233" s="4">
        <v>2000</v>
      </c>
      <c r="K233" s="10">
        <f>SUMPRODUCT(N(Tabela4[Ativo]=Tabela5[[#This Row],[Ativo]]),N(YEAR(Tabela4[Data ex-1])=Tabela5[[#This Row],[Ano]]),Tabela4[Líquido])</f>
        <v>5.0000000000000001E-4</v>
      </c>
      <c r="N233" s="23">
        <f>IF(Tabela5[[#This Row],[Dividendos]]&gt;0,Tabela5[[#This Row],[Dividendos]]/Tabela5[[#This Row],[Lucro Líquido]],0)</f>
        <v>0</v>
      </c>
      <c r="O233" s="23"/>
      <c r="P233" s="10"/>
    </row>
    <row r="234" spans="1:16" x14ac:dyDescent="0.2">
      <c r="A234" s="86" t="s">
        <v>193</v>
      </c>
      <c r="B234" s="3" t="s">
        <v>14</v>
      </c>
      <c r="C234" s="18">
        <v>40086</v>
      </c>
      <c r="D234" s="21">
        <v>1.8466350999999999E-2</v>
      </c>
      <c r="E234" s="26">
        <v>40120</v>
      </c>
      <c r="F234" s="16">
        <v>40086</v>
      </c>
      <c r="G234" s="10">
        <f>IF(Tabela4[[#This Row],[Tipo]]="Dividendo",Tabela4[[#This Row],[Valor]],IF(Tabela4[[#This Row],[Tipo]]="Jrs. Cap. Próprio",Tabela4[[#This Row],[Valor]]*85%,0))</f>
        <v>1.5696398349999998E-2</v>
      </c>
      <c r="I234" s="4" t="s">
        <v>230</v>
      </c>
      <c r="J234" s="4">
        <v>1999</v>
      </c>
      <c r="K234" s="10">
        <f>SUMPRODUCT(N(Tabela4[Ativo]=Tabela5[[#This Row],[Ativo]]),N(YEAR(Tabela4[Data ex-1])=Tabela5[[#This Row],[Ano]]),Tabela4[Líquido])</f>
        <v>1.2999999999999999E-3</v>
      </c>
      <c r="N234" s="23">
        <f>IF(Tabela5[[#This Row],[Dividendos]]&gt;0,Tabela5[[#This Row],[Dividendos]]/Tabela5[[#This Row],[Lucro Líquido]],0)</f>
        <v>0</v>
      </c>
      <c r="O234" s="23"/>
      <c r="P234" s="10"/>
    </row>
    <row r="235" spans="1:16" x14ac:dyDescent="0.2">
      <c r="A235" s="86" t="s">
        <v>193</v>
      </c>
      <c r="B235" s="3" t="s">
        <v>14</v>
      </c>
      <c r="C235" s="18">
        <v>40056</v>
      </c>
      <c r="D235" s="21">
        <v>1.8466350999999999E-2</v>
      </c>
      <c r="E235" s="26">
        <v>40087</v>
      </c>
      <c r="F235" s="16">
        <v>40056</v>
      </c>
      <c r="G235" s="10">
        <f>IF(Tabela4[[#This Row],[Tipo]]="Dividendo",Tabela4[[#This Row],[Valor]],IF(Tabela4[[#This Row],[Tipo]]="Jrs. Cap. Próprio",Tabela4[[#This Row],[Valor]]*85%,0))</f>
        <v>1.5696398349999998E-2</v>
      </c>
      <c r="I235" s="35" t="s">
        <v>93</v>
      </c>
      <c r="J235" s="35">
        <v>2013</v>
      </c>
      <c r="K235" s="38">
        <f>SUMPRODUCT(N(Tabela4[Ativo]=Tabela5[[#This Row],[Ativo]]),N(YEAR(Tabela4[Data ex-1])=Tabela5[[#This Row],[Ano]]),Tabela4[Líquido])</f>
        <v>1.8995850000000001</v>
      </c>
      <c r="L235" s="43"/>
      <c r="M235" s="43"/>
      <c r="N235" s="75">
        <f>IF(Tabela5[[#This Row],[Dividendos]]&gt;0,Tabela5[[#This Row],[Dividendos]]/Tabela5[[#This Row],[Lucro Líquido]],0)</f>
        <v>0</v>
      </c>
      <c r="O235" s="23">
        <v>1.1584000000000001</v>
      </c>
      <c r="P235" s="10"/>
    </row>
    <row r="236" spans="1:16" x14ac:dyDescent="0.2">
      <c r="A236" s="86" t="s">
        <v>193</v>
      </c>
      <c r="B236" s="3" t="s">
        <v>15</v>
      </c>
      <c r="C236" s="18">
        <v>40052</v>
      </c>
      <c r="D236" s="21">
        <v>2.4417760000000001E-3</v>
      </c>
      <c r="E236" s="26">
        <v>40087</v>
      </c>
      <c r="F236" s="16">
        <v>40051</v>
      </c>
      <c r="G236" s="10">
        <f>IF(Tabela4[[#This Row],[Tipo]]="Dividendo",Tabela4[[#This Row],[Valor]],IF(Tabela4[[#This Row],[Tipo]]="Jrs. Cap. Próprio",Tabela4[[#This Row],[Valor]]*85%,0))</f>
        <v>2.4417760000000001E-3</v>
      </c>
      <c r="I236" s="35" t="s">
        <v>93</v>
      </c>
      <c r="J236" s="35">
        <v>2012</v>
      </c>
      <c r="K236" s="38">
        <f>SUMPRODUCT(N(Tabela4[Ativo]=Tabela5[[#This Row],[Ativo]]),N(YEAR(Tabela4[Data ex-1])=Tabela5[[#This Row],[Ano]]),Tabela4[Líquido])</f>
        <v>5.4683299999999999</v>
      </c>
      <c r="L236" s="43"/>
      <c r="M236" s="43"/>
      <c r="N236" s="75">
        <f>IF(Tabela5[[#This Row],[Dividendos]]&gt;0,Tabela5[[#This Row],[Dividendos]]/Tabela5[[#This Row],[Lucro Líquido]],0)</f>
        <v>0</v>
      </c>
      <c r="O236" s="23">
        <v>1.1399999999999999</v>
      </c>
      <c r="P236" s="10"/>
    </row>
    <row r="237" spans="1:16" x14ac:dyDescent="0.2">
      <c r="A237" s="86" t="s">
        <v>193</v>
      </c>
      <c r="B237" s="3" t="s">
        <v>14</v>
      </c>
      <c r="C237" s="18">
        <v>40025</v>
      </c>
      <c r="D237" s="21">
        <v>1.8466350999999999E-2</v>
      </c>
      <c r="E237" s="26">
        <v>40057</v>
      </c>
      <c r="F237" s="16">
        <v>40025</v>
      </c>
      <c r="G237" s="10">
        <f>IF(Tabela4[[#This Row],[Tipo]]="Dividendo",Tabela4[[#This Row],[Valor]],IF(Tabela4[[#This Row],[Tipo]]="Jrs. Cap. Próprio",Tabela4[[#This Row],[Valor]]*85%,0))</f>
        <v>1.5696398349999998E-2</v>
      </c>
      <c r="I237" s="35" t="s">
        <v>93</v>
      </c>
      <c r="J237" s="35">
        <v>2011</v>
      </c>
      <c r="K237" s="34">
        <f>SUMPRODUCT(N(Tabela4[Ativo]=Tabela5[[#This Row],[Ativo]]),N(YEAR(Tabela4[Data ex-1])=Tabela5[[#This Row],[Ano]]),Tabela4[Líquido])</f>
        <v>2.9961000000000002</v>
      </c>
      <c r="L237" s="87"/>
      <c r="M237" s="87"/>
      <c r="N237" s="88">
        <f>IF(Tabela5[[#This Row],[Dividendos]]&gt;0,Tabela5[[#This Row],[Dividendos]]/Tabela5[[#This Row],[Lucro Líquido]],0)</f>
        <v>0</v>
      </c>
      <c r="O237" s="23"/>
      <c r="P237" s="10"/>
    </row>
    <row r="238" spans="1:16" x14ac:dyDescent="0.2">
      <c r="A238" s="86" t="s">
        <v>193</v>
      </c>
      <c r="B238" s="3" t="s">
        <v>14</v>
      </c>
      <c r="C238" s="18">
        <v>39994</v>
      </c>
      <c r="D238" s="10">
        <v>1.9235781E-2</v>
      </c>
      <c r="E238" s="26">
        <v>40028</v>
      </c>
      <c r="F238" s="16">
        <v>39994</v>
      </c>
      <c r="G238" s="10">
        <f>IF(Tabela4[[#This Row],[Tipo]]="Dividendo",Tabela4[[#This Row],[Valor]],IF(Tabela4[[#This Row],[Tipo]]="Jrs. Cap. Próprio",Tabela4[[#This Row],[Valor]]*85%,0))</f>
        <v>1.6350413849999999E-2</v>
      </c>
      <c r="I238" s="35" t="s">
        <v>93</v>
      </c>
      <c r="J238" s="35">
        <v>2010</v>
      </c>
      <c r="K238" s="34">
        <f>SUMPRODUCT(N(Tabela4[Ativo]=Tabela5[[#This Row],[Ativo]]),N(YEAR(Tabela4[Data ex-1])=Tabela5[[#This Row],[Ano]]),Tabela4[Líquido])</f>
        <v>2.8202999999999996</v>
      </c>
      <c r="L238" s="87"/>
      <c r="M238" s="87"/>
      <c r="N238" s="88">
        <f>IF(Tabela5[[#This Row],[Dividendos]]&gt;0,Tabela5[[#This Row],[Dividendos]]/Tabela5[[#This Row],[Lucro Líquido]],0)</f>
        <v>0</v>
      </c>
      <c r="O238" s="23"/>
      <c r="P238" s="10"/>
    </row>
    <row r="239" spans="1:16" x14ac:dyDescent="0.2">
      <c r="A239" s="86" t="s">
        <v>193</v>
      </c>
      <c r="B239" s="3" t="s">
        <v>14</v>
      </c>
      <c r="C239" s="18">
        <v>39962</v>
      </c>
      <c r="D239" s="10">
        <v>1.9235781E-2</v>
      </c>
      <c r="E239" s="26">
        <v>39995</v>
      </c>
      <c r="F239" s="16">
        <v>39962</v>
      </c>
      <c r="G239" s="10">
        <f>IF(Tabela4[[#This Row],[Tipo]]="Dividendo",Tabela4[[#This Row],[Valor]],IF(Tabela4[[#This Row],[Tipo]]="Jrs. Cap. Próprio",Tabela4[[#This Row],[Valor]]*85%,0))</f>
        <v>1.6350413849999999E-2</v>
      </c>
      <c r="I239" s="35" t="s">
        <v>93</v>
      </c>
      <c r="J239" s="35">
        <v>2009</v>
      </c>
      <c r="K239" s="34">
        <f>SUMPRODUCT(N(Tabela4[Ativo]=Tabela5[[#This Row],[Ativo]]),N(YEAR(Tabela4[Data ex-1])=Tabela5[[#This Row],[Ano]]),Tabela4[Líquido])</f>
        <v>1.9018999999999999</v>
      </c>
      <c r="L239" s="87"/>
      <c r="M239" s="87"/>
      <c r="N239" s="88">
        <f>IF(Tabela5[[#This Row],[Dividendos]]&gt;0,Tabela5[[#This Row],[Dividendos]]/Tabela5[[#This Row],[Lucro Líquido]],0)</f>
        <v>0</v>
      </c>
      <c r="O239" s="23"/>
      <c r="P239" s="10"/>
    </row>
    <row r="240" spans="1:16" x14ac:dyDescent="0.2">
      <c r="A240" s="86" t="s">
        <v>193</v>
      </c>
      <c r="B240" s="3" t="s">
        <v>14</v>
      </c>
      <c r="C240" s="18">
        <v>39933</v>
      </c>
      <c r="D240" s="10">
        <v>1.9235781E-2</v>
      </c>
      <c r="E240" s="26">
        <v>39965</v>
      </c>
      <c r="F240" s="16">
        <v>39933</v>
      </c>
      <c r="G240" s="10">
        <f>IF(Tabela4[[#This Row],[Tipo]]="Dividendo",Tabela4[[#This Row],[Valor]],IF(Tabela4[[#This Row],[Tipo]]="Jrs. Cap. Próprio",Tabela4[[#This Row],[Valor]]*85%,0))</f>
        <v>1.6350413849999999E-2</v>
      </c>
      <c r="I240" s="35" t="s">
        <v>93</v>
      </c>
      <c r="J240" s="35">
        <v>2008</v>
      </c>
      <c r="K240" s="34">
        <f>SUMPRODUCT(N(Tabela4[Ativo]=Tabela5[[#This Row],[Ativo]]),N(YEAR(Tabela4[Data ex-1])=Tabela5[[#This Row],[Ano]]),Tabela4[Líquido])</f>
        <v>1.78</v>
      </c>
      <c r="L240" s="87"/>
      <c r="M240" s="87"/>
      <c r="N240" s="88">
        <f>IF(Tabela5[[#This Row],[Dividendos]]&gt;0,Tabela5[[#This Row],[Dividendos]]/Tabela5[[#This Row],[Lucro Líquido]],0)</f>
        <v>0</v>
      </c>
      <c r="O240" s="23"/>
      <c r="P240" s="10"/>
    </row>
    <row r="241" spans="1:16" x14ac:dyDescent="0.2">
      <c r="A241" s="86" t="s">
        <v>193</v>
      </c>
      <c r="B241" s="3" t="s">
        <v>15</v>
      </c>
      <c r="C241" s="18">
        <v>39931</v>
      </c>
      <c r="D241" s="10">
        <v>4.8609869999999999E-2</v>
      </c>
      <c r="E241" s="26">
        <v>39965</v>
      </c>
      <c r="F241" s="16">
        <v>39931</v>
      </c>
      <c r="G241" s="10">
        <f>IF(Tabela4[[#This Row],[Tipo]]="Dividendo",Tabela4[[#This Row],[Valor]],IF(Tabela4[[#This Row],[Tipo]]="Jrs. Cap. Próprio",Tabela4[[#This Row],[Valor]]*85%,0))</f>
        <v>4.8609869999999999E-2</v>
      </c>
      <c r="I241" s="35" t="s">
        <v>93</v>
      </c>
      <c r="J241" s="35">
        <v>2007</v>
      </c>
      <c r="K241" s="34">
        <f>SUMPRODUCT(N(Tabela4[Ativo]=Tabela5[[#This Row],[Ativo]]),N(YEAR(Tabela4[Data ex-1])=Tabela5[[#This Row],[Ano]]),Tabela4[Líquido])</f>
        <v>4.9880000000000004</v>
      </c>
      <c r="L241" s="87"/>
      <c r="M241" s="87"/>
      <c r="N241" s="88">
        <f>IF(Tabela5[[#This Row],[Dividendos]]&gt;0,Tabela5[[#This Row],[Dividendos]]/Tabela5[[#This Row],[Lucro Líquido]],0)</f>
        <v>0</v>
      </c>
      <c r="O241" s="23"/>
      <c r="P241" s="10"/>
    </row>
    <row r="242" spans="1:16" x14ac:dyDescent="0.2">
      <c r="A242" s="86" t="s">
        <v>193</v>
      </c>
      <c r="B242" s="3" t="s">
        <v>14</v>
      </c>
      <c r="C242" s="18">
        <v>39903</v>
      </c>
      <c r="D242" s="10">
        <v>1.9235781E-2</v>
      </c>
      <c r="E242" s="26">
        <v>39937</v>
      </c>
      <c r="F242" s="16">
        <v>39903</v>
      </c>
      <c r="G242" s="10">
        <f>IF(Tabela4[[#This Row],[Tipo]]="Dividendo",Tabela4[[#This Row],[Valor]],IF(Tabela4[[#This Row],[Tipo]]="Jrs. Cap. Próprio",Tabela4[[#This Row],[Valor]]*85%,0))</f>
        <v>1.6350413849999999E-2</v>
      </c>
      <c r="I242" s="35" t="s">
        <v>93</v>
      </c>
      <c r="J242" s="35">
        <v>2006</v>
      </c>
      <c r="K242" s="34">
        <f>SUMPRODUCT(N(Tabela4[Ativo]=Tabela5[[#This Row],[Ativo]]),N(YEAR(Tabela4[Data ex-1])=Tabela5[[#This Row],[Ano]]),Tabela4[Líquido])</f>
        <v>10.566044999999999</v>
      </c>
      <c r="L242" s="87"/>
      <c r="M242" s="87"/>
      <c r="N242" s="88">
        <f>IF(Tabela5[[#This Row],[Dividendos]]&gt;0,Tabela5[[#This Row],[Dividendos]]/Tabela5[[#This Row],[Lucro Líquido]],0)</f>
        <v>0</v>
      </c>
      <c r="O242" s="23"/>
      <c r="P242" s="10"/>
    </row>
    <row r="243" spans="1:16" x14ac:dyDescent="0.2">
      <c r="A243" s="86" t="s">
        <v>193</v>
      </c>
      <c r="B243" s="3" t="s">
        <v>14</v>
      </c>
      <c r="C243" s="18">
        <v>39871</v>
      </c>
      <c r="D243" s="10">
        <v>1.9235781E-2</v>
      </c>
      <c r="E243" s="26">
        <v>39904</v>
      </c>
      <c r="F243" s="16">
        <v>39871</v>
      </c>
      <c r="G243" s="10">
        <f>IF(Tabela4[[#This Row],[Tipo]]="Dividendo",Tabela4[[#This Row],[Valor]],IF(Tabela4[[#This Row],[Tipo]]="Jrs. Cap. Próprio",Tabela4[[#This Row],[Valor]]*85%,0))</f>
        <v>1.6350413849999999E-2</v>
      </c>
      <c r="I243" s="35" t="s">
        <v>93</v>
      </c>
      <c r="J243" s="35">
        <v>2005</v>
      </c>
      <c r="K243" s="34">
        <f>SUMPRODUCT(N(Tabela4[Ativo]=Tabela5[[#This Row],[Ativo]]),N(YEAR(Tabela4[Data ex-1])=Tabela5[[#This Row],[Ano]]),Tabela4[Líquido])</f>
        <v>3.841815</v>
      </c>
      <c r="L243" s="87"/>
      <c r="M243" s="87"/>
      <c r="N243" s="88">
        <f>IF(Tabela5[[#This Row],[Dividendos]]&gt;0,Tabela5[[#This Row],[Dividendos]]/Tabela5[[#This Row],[Lucro Líquido]],0)</f>
        <v>0</v>
      </c>
      <c r="O243" s="23"/>
      <c r="P243" s="10"/>
    </row>
    <row r="244" spans="1:16" x14ac:dyDescent="0.2">
      <c r="A244" s="86" t="s">
        <v>193</v>
      </c>
      <c r="B244" s="3" t="s">
        <v>14</v>
      </c>
      <c r="C244" s="18">
        <v>39861</v>
      </c>
      <c r="D244" s="10">
        <v>1.9235781E-2</v>
      </c>
      <c r="E244" s="26">
        <v>39874</v>
      </c>
      <c r="F244" s="16">
        <v>39860</v>
      </c>
      <c r="G244" s="10">
        <f>IF(Tabela4[[#This Row],[Tipo]]="Dividendo",Tabela4[[#This Row],[Valor]],IF(Tabela4[[#This Row],[Tipo]]="Jrs. Cap. Próprio",Tabela4[[#This Row],[Valor]]*85%,0))</f>
        <v>1.6350413849999999E-2</v>
      </c>
      <c r="I244" s="35" t="s">
        <v>93</v>
      </c>
      <c r="J244" s="35">
        <v>2004</v>
      </c>
      <c r="K244" s="34">
        <f>SUMPRODUCT(N(Tabela4[Ativo]=Tabela5[[#This Row],[Ativo]]),N(YEAR(Tabela4[Data ex-1])=Tabela5[[#This Row],[Ano]]),Tabela4[Líquido])</f>
        <v>2.9047449999999997</v>
      </c>
      <c r="L244" s="87"/>
      <c r="M244" s="87"/>
      <c r="N244" s="88">
        <f>IF(Tabela5[[#This Row],[Dividendos]]&gt;0,Tabela5[[#This Row],[Dividendos]]/Tabela5[[#This Row],[Lucro Líquido]],0)</f>
        <v>0</v>
      </c>
      <c r="O244" s="23"/>
      <c r="P244" s="10"/>
    </row>
    <row r="245" spans="1:16" x14ac:dyDescent="0.2">
      <c r="A245" s="86" t="s">
        <v>193</v>
      </c>
      <c r="B245" s="3" t="s">
        <v>14</v>
      </c>
      <c r="C245" s="18">
        <v>39812</v>
      </c>
      <c r="D245" s="21">
        <v>1.4691661999999999E-3</v>
      </c>
      <c r="E245" s="26">
        <v>39846</v>
      </c>
      <c r="F245" s="16">
        <v>39812</v>
      </c>
      <c r="G245" s="10">
        <f>IF(Tabela4[[#This Row],[Tipo]]="Dividendo",Tabela4[[#This Row],[Valor]],IF(Tabela4[[#This Row],[Tipo]]="Jrs. Cap. Próprio",Tabela4[[#This Row],[Valor]]*85%,0))</f>
        <v>1.24879127E-3</v>
      </c>
      <c r="I245" s="35" t="s">
        <v>93</v>
      </c>
      <c r="J245" s="35">
        <v>2003</v>
      </c>
      <c r="K245" s="34">
        <f>SUMPRODUCT(N(Tabela4[Ativo]=Tabela5[[#This Row],[Ativo]]),N(YEAR(Tabela4[Data ex-1])=Tabela5[[#This Row],[Ano]]),Tabela4[Líquido])</f>
        <v>1.31104</v>
      </c>
      <c r="L245" s="87"/>
      <c r="M245" s="87"/>
      <c r="N245" s="88">
        <f>IF(Tabela5[[#This Row],[Dividendos]]&gt;0,Tabela5[[#This Row],[Dividendos]]/Tabela5[[#This Row],[Lucro Líquido]],0)</f>
        <v>0</v>
      </c>
      <c r="O245" s="23"/>
      <c r="P245" s="10"/>
    </row>
    <row r="246" spans="1:16" x14ac:dyDescent="0.2">
      <c r="A246" s="86" t="s">
        <v>193</v>
      </c>
      <c r="B246" s="3" t="s">
        <v>14</v>
      </c>
      <c r="C246" s="18">
        <v>39780</v>
      </c>
      <c r="D246" s="21">
        <v>1.4691661999999999E-3</v>
      </c>
      <c r="E246" s="26">
        <v>39815</v>
      </c>
      <c r="F246" s="16">
        <v>39780</v>
      </c>
      <c r="G246" s="10">
        <f>IF(Tabela4[[#This Row],[Tipo]]="Dividendo",Tabela4[[#This Row],[Valor]],IF(Tabela4[[#This Row],[Tipo]]="Jrs. Cap. Próprio",Tabela4[[#This Row],[Valor]]*85%,0))</f>
        <v>1.24879127E-3</v>
      </c>
      <c r="I246" s="35" t="s">
        <v>93</v>
      </c>
      <c r="J246" s="35">
        <v>2002</v>
      </c>
      <c r="K246" s="34">
        <f>SUMPRODUCT(N(Tabela4[Ativo]=Tabela5[[#This Row],[Ativo]]),N(YEAR(Tabela4[Data ex-1])=Tabela5[[#This Row],[Ano]]),Tabela4[Líquido])</f>
        <v>1.85629</v>
      </c>
      <c r="L246" s="87"/>
      <c r="M246" s="87"/>
      <c r="N246" s="88">
        <f>IF(Tabela5[[#This Row],[Dividendos]]&gt;0,Tabela5[[#This Row],[Dividendos]]/Tabela5[[#This Row],[Lucro Líquido]],0)</f>
        <v>0</v>
      </c>
      <c r="O246" s="23"/>
      <c r="P246" s="10"/>
    </row>
    <row r="247" spans="1:16" x14ac:dyDescent="0.2">
      <c r="A247" s="86" t="s">
        <v>193</v>
      </c>
      <c r="B247" s="3" t="s">
        <v>14</v>
      </c>
      <c r="C247" s="18">
        <v>39752</v>
      </c>
      <c r="D247" s="21">
        <v>1.4691661999999999E-3</v>
      </c>
      <c r="E247" s="26">
        <v>39783</v>
      </c>
      <c r="F247" s="16">
        <v>39752</v>
      </c>
      <c r="G247" s="10">
        <f>IF(Tabela4[[#This Row],[Tipo]]="Dividendo",Tabela4[[#This Row],[Valor]],IF(Tabela4[[#This Row],[Tipo]]="Jrs. Cap. Próprio",Tabela4[[#This Row],[Valor]]*85%,0))</f>
        <v>1.24879127E-3</v>
      </c>
      <c r="I247" s="35" t="s">
        <v>93</v>
      </c>
      <c r="J247" s="35">
        <v>2001</v>
      </c>
      <c r="K247" s="34">
        <f>SUMPRODUCT(N(Tabela4[Ativo]=Tabela5[[#This Row],[Ativo]]),N(YEAR(Tabela4[Data ex-1])=Tabela5[[#This Row],[Ano]]),Tabela4[Líquido])</f>
        <v>0.55088499999999996</v>
      </c>
      <c r="L247" s="87"/>
      <c r="M247" s="87"/>
      <c r="N247" s="88">
        <f>IF(Tabela5[[#This Row],[Dividendos]]&gt;0,Tabela5[[#This Row],[Dividendos]]/Tabela5[[#This Row],[Lucro Líquido]],0)</f>
        <v>0</v>
      </c>
      <c r="O247" s="23"/>
      <c r="P247" s="10"/>
    </row>
    <row r="248" spans="1:16" x14ac:dyDescent="0.2">
      <c r="A248" s="86" t="s">
        <v>193</v>
      </c>
      <c r="B248" s="3" t="s">
        <v>14</v>
      </c>
      <c r="C248" s="18">
        <v>39721</v>
      </c>
      <c r="D248" s="21">
        <v>1.4691661999999999E-3</v>
      </c>
      <c r="E248" s="26">
        <v>39755</v>
      </c>
      <c r="F248" s="16">
        <v>39721</v>
      </c>
      <c r="G248" s="10">
        <f>IF(Tabela4[[#This Row],[Tipo]]="Dividendo",Tabela4[[#This Row],[Valor]],IF(Tabela4[[#This Row],[Tipo]]="Jrs. Cap. Próprio",Tabela4[[#This Row],[Valor]]*85%,0))</f>
        <v>1.24879127E-3</v>
      </c>
      <c r="I248" s="35" t="s">
        <v>93</v>
      </c>
      <c r="J248" s="35">
        <v>2000</v>
      </c>
      <c r="K248" s="34">
        <f>SUMPRODUCT(N(Tabela4[Ativo]=Tabela5[[#This Row],[Ativo]]),N(YEAR(Tabela4[Data ex-1])=Tabela5[[#This Row],[Ano]]),Tabela4[Líquido])</f>
        <v>1.0001100000000001</v>
      </c>
      <c r="L248" s="87"/>
      <c r="M248" s="87"/>
      <c r="N248" s="88">
        <f>IF(Tabela5[[#This Row],[Dividendos]]&gt;0,Tabela5[[#This Row],[Dividendos]]/Tabela5[[#This Row],[Lucro Líquido]],0)</f>
        <v>0</v>
      </c>
      <c r="O248" s="23"/>
      <c r="P248" s="10"/>
    </row>
    <row r="249" spans="1:16" x14ac:dyDescent="0.2">
      <c r="A249" s="86" t="s">
        <v>193</v>
      </c>
      <c r="B249" s="3" t="s">
        <v>14</v>
      </c>
      <c r="C249" s="80">
        <v>39689</v>
      </c>
      <c r="D249" s="21">
        <v>1.4691661999999999E-3</v>
      </c>
      <c r="E249" s="81">
        <v>39722</v>
      </c>
      <c r="F249" s="81">
        <v>39689</v>
      </c>
      <c r="G249" s="10">
        <f>IF(Tabela4[[#This Row],[Tipo]]="Dividendo",Tabela4[[#This Row],[Valor]],IF(Tabela4[[#This Row],[Tipo]]="Jrs. Cap. Próprio",Tabela4[[#This Row],[Valor]]*85%,0))</f>
        <v>1.24879127E-3</v>
      </c>
      <c r="I249" s="35" t="s">
        <v>93</v>
      </c>
      <c r="J249" s="35">
        <v>1999</v>
      </c>
      <c r="K249" s="34">
        <f>SUMPRODUCT(N(Tabela4[Ativo]=Tabela5[[#This Row],[Ativo]]),N(YEAR(Tabela4[Data ex-1])=Tabela5[[#This Row],[Ano]]),Tabela4[Líquido])</f>
        <v>2.0570250000000003</v>
      </c>
      <c r="L249" s="87"/>
      <c r="M249" s="87"/>
      <c r="N249" s="88">
        <f>IF(Tabela5[[#This Row],[Dividendos]]&gt;0,Tabela5[[#This Row],[Dividendos]]/Tabela5[[#This Row],[Lucro Líquido]],0)</f>
        <v>0</v>
      </c>
      <c r="O249" s="23"/>
      <c r="P249" s="10"/>
    </row>
    <row r="250" spans="1:16" x14ac:dyDescent="0.2">
      <c r="A250" s="86" t="s">
        <v>193</v>
      </c>
      <c r="B250" s="3" t="s">
        <v>15</v>
      </c>
      <c r="C250" s="18">
        <v>39686</v>
      </c>
      <c r="D250" s="10">
        <v>2.9833216999999999E-2</v>
      </c>
      <c r="E250" s="26">
        <v>39722</v>
      </c>
      <c r="F250" s="16">
        <v>39685</v>
      </c>
      <c r="G250" s="10">
        <f>IF(Tabela4[[#This Row],[Tipo]]="Dividendo",Tabela4[[#This Row],[Valor]],IF(Tabela4[[#This Row],[Tipo]]="Jrs. Cap. Próprio",Tabela4[[#This Row],[Valor]]*85%,0))</f>
        <v>2.9833216999999999E-2</v>
      </c>
      <c r="I250" s="35" t="s">
        <v>92</v>
      </c>
      <c r="J250" s="35">
        <v>2013</v>
      </c>
      <c r="K250" s="38">
        <f>SUMPRODUCT(N(Tabela4[Ativo]=Tabela5[[#This Row],[Ativo]]),N(YEAR(Tabela4[Data ex-1])=Tabela5[[#This Row],[Ano]]),Tabela4[Líquido])</f>
        <v>1.8995850000000001</v>
      </c>
      <c r="L250" s="43"/>
      <c r="M250" s="43"/>
      <c r="N250" s="75">
        <f>IF(Tabela5[[#This Row],[Dividendos]]&gt;0,Tabela5[[#This Row],[Dividendos]]/Tabela5[[#This Row],[Lucro Líquido]],0)</f>
        <v>0</v>
      </c>
      <c r="O250" s="23">
        <v>1.1584000000000001</v>
      </c>
      <c r="P250" s="10"/>
    </row>
    <row r="251" spans="1:16" x14ac:dyDescent="0.2">
      <c r="A251" s="86" t="s">
        <v>193</v>
      </c>
      <c r="B251" s="3" t="s">
        <v>14</v>
      </c>
      <c r="C251" s="18">
        <v>39660</v>
      </c>
      <c r="D251" s="21">
        <v>1.4691661999999999E-3</v>
      </c>
      <c r="E251" s="26">
        <v>39692</v>
      </c>
      <c r="F251" s="16">
        <v>39660</v>
      </c>
      <c r="G251" s="10">
        <f>IF(Tabela4[[#This Row],[Tipo]]="Dividendo",Tabela4[[#This Row],[Valor]],IF(Tabela4[[#This Row],[Tipo]]="Jrs. Cap. Próprio",Tabela4[[#This Row],[Valor]]*85%,0))</f>
        <v>1.24879127E-3</v>
      </c>
      <c r="I251" s="35" t="s">
        <v>92</v>
      </c>
      <c r="J251" s="35">
        <v>2012</v>
      </c>
      <c r="K251" s="38">
        <f>SUMPRODUCT(N(Tabela4[Ativo]=Tabela5[[#This Row],[Ativo]]),N(YEAR(Tabela4[Data ex-1])=Tabela5[[#This Row],[Ano]]),Tabela4[Líquido])</f>
        <v>5.4683299999999999</v>
      </c>
      <c r="L251" s="43"/>
      <c r="M251" s="43"/>
      <c r="N251" s="75">
        <f>IF(Tabela5[[#This Row],[Dividendos]]&gt;0,Tabela5[[#This Row],[Dividendos]]/Tabela5[[#This Row],[Lucro Líquido]],0)</f>
        <v>0</v>
      </c>
      <c r="O251" s="23">
        <v>1.1399999999999999</v>
      </c>
      <c r="P251" s="10"/>
    </row>
    <row r="252" spans="1:16" x14ac:dyDescent="0.2">
      <c r="A252" s="86" t="s">
        <v>193</v>
      </c>
      <c r="B252" s="3" t="s">
        <v>14</v>
      </c>
      <c r="C252" s="18">
        <v>39629</v>
      </c>
      <c r="D252" s="21">
        <v>1.4691661999999999E-3</v>
      </c>
      <c r="E252" s="26">
        <v>39661</v>
      </c>
      <c r="F252" s="16">
        <v>39629</v>
      </c>
      <c r="G252" s="10">
        <f>IF(Tabela4[[#This Row],[Tipo]]="Dividendo",Tabela4[[#This Row],[Valor]],IF(Tabela4[[#This Row],[Tipo]]="Jrs. Cap. Próprio",Tabela4[[#This Row],[Valor]]*85%,0))</f>
        <v>1.24879127E-3</v>
      </c>
      <c r="I252" s="35" t="s">
        <v>92</v>
      </c>
      <c r="J252" s="35">
        <v>2011</v>
      </c>
      <c r="K252" s="34">
        <f>SUMPRODUCT(N(Tabela4[Ativo]=Tabela5[[#This Row],[Ativo]]),N(YEAR(Tabela4[Data ex-1])=Tabela5[[#This Row],[Ano]]),Tabela4[Líquido])</f>
        <v>2.9961000000000002</v>
      </c>
      <c r="L252" s="87"/>
      <c r="M252" s="87"/>
      <c r="N252" s="88">
        <f>IF(Tabela5[[#This Row],[Dividendos]]&gt;0,Tabela5[[#This Row],[Dividendos]]/Tabela5[[#This Row],[Lucro Líquido]],0)</f>
        <v>0</v>
      </c>
      <c r="O252" s="23">
        <v>1.17</v>
      </c>
      <c r="P252" s="10"/>
    </row>
    <row r="253" spans="1:16" x14ac:dyDescent="0.2">
      <c r="A253" s="86" t="s">
        <v>193</v>
      </c>
      <c r="B253" s="3" t="s">
        <v>14</v>
      </c>
      <c r="C253" s="18">
        <v>39598</v>
      </c>
      <c r="D253" s="21">
        <v>1.4691661999999999E-3</v>
      </c>
      <c r="E253" s="26">
        <v>39630</v>
      </c>
      <c r="F253" s="16">
        <v>39598</v>
      </c>
      <c r="G253" s="10">
        <f>IF(Tabela4[[#This Row],[Tipo]]="Dividendo",Tabela4[[#This Row],[Valor]],IF(Tabela4[[#This Row],[Tipo]]="Jrs. Cap. Próprio",Tabela4[[#This Row],[Valor]]*85%,0))</f>
        <v>1.24879127E-3</v>
      </c>
      <c r="I253" s="35" t="s">
        <v>92</v>
      </c>
      <c r="J253" s="35">
        <v>2010</v>
      </c>
      <c r="K253" s="34">
        <f>SUMPRODUCT(N(Tabela4[Ativo]=Tabela5[[#This Row],[Ativo]]),N(YEAR(Tabela4[Data ex-1])=Tabela5[[#This Row],[Ano]]),Tabela4[Líquido])</f>
        <v>2.8202999999999996</v>
      </c>
      <c r="L253" s="87"/>
      <c r="M253" s="87"/>
      <c r="N253" s="88">
        <f>IF(Tabela5[[#This Row],[Dividendos]]&gt;0,Tabela5[[#This Row],[Dividendos]]/Tabela5[[#This Row],[Lucro Líquido]],0)</f>
        <v>0</v>
      </c>
      <c r="O253" s="23">
        <v>1.19</v>
      </c>
      <c r="P253" s="10"/>
    </row>
    <row r="254" spans="1:16" x14ac:dyDescent="0.2">
      <c r="A254" s="86" t="s">
        <v>193</v>
      </c>
      <c r="B254" s="3" t="s">
        <v>14</v>
      </c>
      <c r="C254" s="18">
        <v>39568</v>
      </c>
      <c r="D254" s="21">
        <v>1.4691661999999999E-3</v>
      </c>
      <c r="E254" s="26">
        <v>39601</v>
      </c>
      <c r="F254" s="16">
        <v>39568</v>
      </c>
      <c r="G254" s="10">
        <f>IF(Tabela4[[#This Row],[Tipo]]="Dividendo",Tabela4[[#This Row],[Valor]],IF(Tabela4[[#This Row],[Tipo]]="Jrs. Cap. Próprio",Tabela4[[#This Row],[Valor]]*85%,0))</f>
        <v>1.24879127E-3</v>
      </c>
      <c r="I254" s="35" t="s">
        <v>92</v>
      </c>
      <c r="J254" s="35">
        <v>2009</v>
      </c>
      <c r="K254" s="34">
        <f>SUMPRODUCT(N(Tabela4[Ativo]=Tabela5[[#This Row],[Ativo]]),N(YEAR(Tabela4[Data ex-1])=Tabela5[[#This Row],[Ano]]),Tabela4[Líquido])</f>
        <v>1.9018999999999999</v>
      </c>
      <c r="L254" s="87"/>
      <c r="M254" s="87"/>
      <c r="N254" s="88">
        <f>IF(Tabela5[[#This Row],[Dividendos]]&gt;0,Tabela5[[#This Row],[Dividendos]]/Tabela5[[#This Row],[Lucro Líquido]],0)</f>
        <v>0</v>
      </c>
      <c r="O254" s="23">
        <v>0.97</v>
      </c>
      <c r="P254" s="10"/>
    </row>
    <row r="255" spans="1:16" x14ac:dyDescent="0.2">
      <c r="A255" s="86" t="s">
        <v>193</v>
      </c>
      <c r="B255" s="3" t="s">
        <v>15</v>
      </c>
      <c r="C255" s="18">
        <v>39568</v>
      </c>
      <c r="D255" s="21">
        <v>7.1532782000000003E-2</v>
      </c>
      <c r="E255" s="26">
        <v>39601</v>
      </c>
      <c r="F255" s="16">
        <v>39568</v>
      </c>
      <c r="G255" s="10">
        <f>IF(Tabela4[[#This Row],[Tipo]]="Dividendo",Tabela4[[#This Row],[Valor]],IF(Tabela4[[#This Row],[Tipo]]="Jrs. Cap. Próprio",Tabela4[[#This Row],[Valor]]*85%,0))</f>
        <v>7.1532782000000003E-2</v>
      </c>
      <c r="I255" s="35" t="s">
        <v>92</v>
      </c>
      <c r="J255" s="35">
        <v>2008</v>
      </c>
      <c r="K255" s="34">
        <f>SUMPRODUCT(N(Tabela4[Ativo]=Tabela5[[#This Row],[Ativo]]),N(YEAR(Tabela4[Data ex-1])=Tabela5[[#This Row],[Ano]]),Tabela4[Líquido])</f>
        <v>1.78</v>
      </c>
      <c r="L255" s="87"/>
      <c r="M255" s="87"/>
      <c r="N255" s="88">
        <f>IF(Tabela5[[#This Row],[Dividendos]]&gt;0,Tabela5[[#This Row],[Dividendos]]/Tabela5[[#This Row],[Lucro Líquido]],0)</f>
        <v>0</v>
      </c>
      <c r="O255" s="23">
        <v>0.9</v>
      </c>
      <c r="P255" s="10"/>
    </row>
    <row r="256" spans="1:16" x14ac:dyDescent="0.2">
      <c r="A256" s="86" t="s">
        <v>193</v>
      </c>
      <c r="B256" s="3" t="s">
        <v>14</v>
      </c>
      <c r="C256" s="18">
        <v>39538</v>
      </c>
      <c r="D256" s="21">
        <v>1.4691661999999999E-3</v>
      </c>
      <c r="E256" s="26">
        <v>39570</v>
      </c>
      <c r="F256" s="16">
        <v>39538</v>
      </c>
      <c r="G256" s="10">
        <f>IF(Tabela4[[#This Row],[Tipo]]="Dividendo",Tabela4[[#This Row],[Valor]],IF(Tabela4[[#This Row],[Tipo]]="Jrs. Cap. Próprio",Tabela4[[#This Row],[Valor]]*85%,0))</f>
        <v>1.24879127E-3</v>
      </c>
      <c r="I256" s="35" t="s">
        <v>92</v>
      </c>
      <c r="J256" s="35">
        <v>2007</v>
      </c>
      <c r="K256" s="34">
        <f>SUMPRODUCT(N(Tabela4[Ativo]=Tabela5[[#This Row],[Ativo]]),N(YEAR(Tabela4[Data ex-1])=Tabela5[[#This Row],[Ano]]),Tabela4[Líquido])</f>
        <v>4.9880000000000004</v>
      </c>
      <c r="L256" s="87"/>
      <c r="M256" s="87"/>
      <c r="N256" s="88">
        <f>IF(Tabela5[[#This Row],[Dividendos]]&gt;0,Tabela5[[#This Row],[Dividendos]]/Tabela5[[#This Row],[Lucro Líquido]],0)</f>
        <v>0</v>
      </c>
      <c r="O256" s="23">
        <v>2.69</v>
      </c>
      <c r="P256" s="10"/>
    </row>
    <row r="257" spans="1:16" x14ac:dyDescent="0.2">
      <c r="A257" s="86" t="s">
        <v>193</v>
      </c>
      <c r="B257" s="3" t="s">
        <v>14</v>
      </c>
      <c r="C257" s="18">
        <v>39507</v>
      </c>
      <c r="D257" s="21">
        <v>1.469166E-3</v>
      </c>
      <c r="E257" s="26">
        <v>39539</v>
      </c>
      <c r="F257" s="16">
        <v>39492</v>
      </c>
      <c r="G257" s="10">
        <f>IF(Tabela4[[#This Row],[Tipo]]="Dividendo",Tabela4[[#This Row],[Valor]],IF(Tabela4[[#This Row],[Tipo]]="Jrs. Cap. Próprio",Tabela4[[#This Row],[Valor]]*85%,0))</f>
        <v>1.2487911E-3</v>
      </c>
      <c r="I257" s="35" t="s">
        <v>92</v>
      </c>
      <c r="J257" s="35">
        <v>2006</v>
      </c>
      <c r="K257" s="34">
        <f>SUMPRODUCT(N(Tabela4[Ativo]=Tabela5[[#This Row],[Ativo]]),N(YEAR(Tabela4[Data ex-1])=Tabela5[[#This Row],[Ano]]),Tabela4[Líquido])</f>
        <v>10.566044999999999</v>
      </c>
      <c r="L257" s="87"/>
      <c r="M257" s="87"/>
      <c r="N257" s="88">
        <f>IF(Tabela5[[#This Row],[Dividendos]]&gt;0,Tabela5[[#This Row],[Dividendos]]/Tabela5[[#This Row],[Lucro Líquido]],0)</f>
        <v>0</v>
      </c>
      <c r="O257" s="23"/>
      <c r="P257" s="10"/>
    </row>
    <row r="258" spans="1:16" x14ac:dyDescent="0.2">
      <c r="A258" s="86" t="s">
        <v>193</v>
      </c>
      <c r="B258" s="3" t="s">
        <v>14</v>
      </c>
      <c r="C258" s="18">
        <v>39493</v>
      </c>
      <c r="D258" s="21">
        <v>1.469166E-3</v>
      </c>
      <c r="E258" s="26">
        <v>39510</v>
      </c>
      <c r="F258" s="16">
        <v>39492</v>
      </c>
      <c r="G258" s="10">
        <f>IF(Tabela4[[#This Row],[Tipo]]="Dividendo",Tabela4[[#This Row],[Valor]],IF(Tabela4[[#This Row],[Tipo]]="Jrs. Cap. Próprio",Tabela4[[#This Row],[Valor]]*85%,0))</f>
        <v>1.2487911E-3</v>
      </c>
      <c r="I258" s="35" t="s">
        <v>92</v>
      </c>
      <c r="J258" s="35">
        <v>2005</v>
      </c>
      <c r="K258" s="34">
        <f>SUMPRODUCT(N(Tabela4[Ativo]=Tabela5[[#This Row],[Ativo]]),N(YEAR(Tabela4[Data ex-1])=Tabela5[[#This Row],[Ano]]),Tabela4[Líquido])</f>
        <v>3.841815</v>
      </c>
      <c r="L258" s="87"/>
      <c r="M258" s="87"/>
      <c r="N258" s="88">
        <f>IF(Tabela5[[#This Row],[Dividendos]]&gt;0,Tabela5[[#This Row],[Dividendos]]/Tabela5[[#This Row],[Lucro Líquido]],0)</f>
        <v>0</v>
      </c>
      <c r="O258" s="23"/>
      <c r="P258" s="10"/>
    </row>
    <row r="259" spans="1:16" x14ac:dyDescent="0.2">
      <c r="A259" s="4" t="s">
        <v>195</v>
      </c>
      <c r="B259" s="4" t="s">
        <v>14</v>
      </c>
      <c r="C259" s="19">
        <v>41578</v>
      </c>
      <c r="D259" s="21">
        <v>2.3758144599999999E-3</v>
      </c>
      <c r="E259" s="68">
        <v>41610</v>
      </c>
      <c r="F259" s="68">
        <v>41332</v>
      </c>
      <c r="G259" s="14">
        <f>IF(Tabela4[[#This Row],[Tipo]]="Dividendo",Tabela4[[#This Row],[Valor]],IF(Tabela4[[#This Row],[Tipo]]="Jrs. Cap. Próprio",Tabela4[[#This Row],[Valor]]*85%,0))</f>
        <v>2.0194422909999999E-3</v>
      </c>
      <c r="I259" s="35" t="s">
        <v>92</v>
      </c>
      <c r="J259" s="35">
        <v>2004</v>
      </c>
      <c r="K259" s="34">
        <f>SUMPRODUCT(N(Tabela4[Ativo]=Tabela5[[#This Row],[Ativo]]),N(YEAR(Tabela4[Data ex-1])=Tabela5[[#This Row],[Ano]]),Tabela4[Líquido])</f>
        <v>2.9047449999999997</v>
      </c>
      <c r="L259" s="87"/>
      <c r="M259" s="87"/>
      <c r="N259" s="88">
        <f>IF(Tabela5[[#This Row],[Dividendos]]&gt;0,Tabela5[[#This Row],[Dividendos]]/Tabela5[[#This Row],[Lucro Líquido]],0)</f>
        <v>0</v>
      </c>
      <c r="O259" s="23"/>
      <c r="P259" s="10"/>
    </row>
    <row r="260" spans="1:16" x14ac:dyDescent="0.2">
      <c r="A260" s="4" t="s">
        <v>195</v>
      </c>
      <c r="B260" s="3" t="s">
        <v>14</v>
      </c>
      <c r="C260" s="80">
        <v>41547</v>
      </c>
      <c r="D260" s="21">
        <v>2.3758144599999999E-3</v>
      </c>
      <c r="E260" s="81">
        <v>41579</v>
      </c>
      <c r="F260" s="81">
        <v>41332</v>
      </c>
      <c r="G260" s="10">
        <f>IF(Tabela4[[#This Row],[Tipo]]="Dividendo",Tabela4[[#This Row],[Valor]],IF(Tabela4[[#This Row],[Tipo]]="Jrs. Cap. Próprio",Tabela4[[#This Row],[Valor]]*85%,0))</f>
        <v>2.0194422909999999E-3</v>
      </c>
      <c r="I260" s="35" t="s">
        <v>92</v>
      </c>
      <c r="J260" s="35">
        <v>2003</v>
      </c>
      <c r="K260" s="34">
        <f>SUMPRODUCT(N(Tabela4[Ativo]=Tabela5[[#This Row],[Ativo]]),N(YEAR(Tabela4[Data ex-1])=Tabela5[[#This Row],[Ano]]),Tabela4[Líquido])</f>
        <v>1.31104</v>
      </c>
      <c r="L260" s="87"/>
      <c r="M260" s="87"/>
      <c r="N260" s="88">
        <f>IF(Tabela5[[#This Row],[Dividendos]]&gt;0,Tabela5[[#This Row],[Dividendos]]/Tabela5[[#This Row],[Lucro Líquido]],0)</f>
        <v>0</v>
      </c>
      <c r="O260" s="23"/>
      <c r="P260" s="10"/>
    </row>
    <row r="261" spans="1:16" x14ac:dyDescent="0.2">
      <c r="A261" s="4" t="s">
        <v>195</v>
      </c>
      <c r="B261" s="3" t="s">
        <v>14</v>
      </c>
      <c r="C261" s="18">
        <v>41516</v>
      </c>
      <c r="D261" s="21">
        <v>2.3758144599999999E-3</v>
      </c>
      <c r="E261" s="26">
        <v>41548</v>
      </c>
      <c r="F261" s="16">
        <v>41332</v>
      </c>
      <c r="G261" s="10">
        <f>IF(Tabela4[[#This Row],[Tipo]]="Dividendo",Tabela4[[#This Row],[Valor]],IF(Tabela4[[#This Row],[Tipo]]="Jrs. Cap. Próprio",Tabela4[[#This Row],[Valor]]*85%,0))</f>
        <v>2.0194422909999999E-3</v>
      </c>
      <c r="I261" s="35" t="s">
        <v>92</v>
      </c>
      <c r="J261" s="35">
        <v>2002</v>
      </c>
      <c r="K261" s="34">
        <f>SUMPRODUCT(N(Tabela4[Ativo]=Tabela5[[#This Row],[Ativo]]),N(YEAR(Tabela4[Data ex-1])=Tabela5[[#This Row],[Ano]]),Tabela4[Líquido])</f>
        <v>1.85629</v>
      </c>
      <c r="L261" s="87"/>
      <c r="M261" s="87"/>
      <c r="N261" s="88">
        <f>IF(Tabela5[[#This Row],[Dividendos]]&gt;0,Tabela5[[#This Row],[Dividendos]]/Tabela5[[#This Row],[Lucro Líquido]],0)</f>
        <v>0</v>
      </c>
      <c r="O261" s="23"/>
      <c r="P261" s="10"/>
    </row>
    <row r="262" spans="1:16" x14ac:dyDescent="0.2">
      <c r="A262" s="4" t="s">
        <v>195</v>
      </c>
      <c r="B262" s="3" t="s">
        <v>14</v>
      </c>
      <c r="C262" s="18">
        <v>41486</v>
      </c>
      <c r="D262" s="21">
        <v>2.3758144599999999E-3</v>
      </c>
      <c r="E262" s="26">
        <v>41519</v>
      </c>
      <c r="F262" s="16">
        <v>41332</v>
      </c>
      <c r="G262" s="10">
        <f>IF(Tabela4[[#This Row],[Tipo]]="Dividendo",Tabela4[[#This Row],[Valor]],IF(Tabela4[[#This Row],[Tipo]]="Jrs. Cap. Próprio",Tabela4[[#This Row],[Valor]]*85%,0))</f>
        <v>2.0194422909999999E-3</v>
      </c>
      <c r="I262" s="35" t="s">
        <v>92</v>
      </c>
      <c r="J262" s="35">
        <v>2001</v>
      </c>
      <c r="K262" s="34">
        <f>SUMPRODUCT(N(Tabela4[Ativo]=Tabela5[[#This Row],[Ativo]]),N(YEAR(Tabela4[Data ex-1])=Tabela5[[#This Row],[Ano]]),Tabela4[Líquido])</f>
        <v>0.55088499999999996</v>
      </c>
      <c r="L262" s="87"/>
      <c r="M262" s="87"/>
      <c r="N262" s="88">
        <f>IF(Tabela5[[#This Row],[Dividendos]]&gt;0,Tabela5[[#This Row],[Dividendos]]/Tabela5[[#This Row],[Lucro Líquido]],0)</f>
        <v>0</v>
      </c>
      <c r="O262" s="23"/>
      <c r="P262" s="10"/>
    </row>
    <row r="263" spans="1:16" x14ac:dyDescent="0.2">
      <c r="A263" s="4" t="s">
        <v>195</v>
      </c>
      <c r="B263" s="3" t="s">
        <v>14</v>
      </c>
      <c r="C263" s="18">
        <v>41453</v>
      </c>
      <c r="D263" s="21">
        <v>2.3758144599999999E-3</v>
      </c>
      <c r="E263" s="26">
        <v>41487</v>
      </c>
      <c r="F263" s="16">
        <v>41332</v>
      </c>
      <c r="G263" s="10">
        <f>IF(Tabela4[[#This Row],[Tipo]]="Dividendo",Tabela4[[#This Row],[Valor]],IF(Tabela4[[#This Row],[Tipo]]="Jrs. Cap. Próprio",Tabela4[[#This Row],[Valor]]*85%,0))</f>
        <v>2.0194422909999999E-3</v>
      </c>
      <c r="I263" s="35" t="s">
        <v>92</v>
      </c>
      <c r="J263" s="35">
        <v>2000</v>
      </c>
      <c r="K263" s="34">
        <f>SUMPRODUCT(N(Tabela4[Ativo]=Tabela5[[#This Row],[Ativo]]),N(YEAR(Tabela4[Data ex-1])=Tabela5[[#This Row],[Ano]]),Tabela4[Líquido])</f>
        <v>1.0001100000000001</v>
      </c>
      <c r="L263" s="87"/>
      <c r="M263" s="87"/>
      <c r="N263" s="88">
        <f>IF(Tabela5[[#This Row],[Dividendos]]&gt;0,Tabela5[[#This Row],[Dividendos]]/Tabela5[[#This Row],[Lucro Líquido]],0)</f>
        <v>0</v>
      </c>
      <c r="O263" s="23"/>
      <c r="P263" s="10"/>
    </row>
    <row r="264" spans="1:16" x14ac:dyDescent="0.2">
      <c r="A264" s="4" t="s">
        <v>195</v>
      </c>
      <c r="B264" s="3" t="s">
        <v>14</v>
      </c>
      <c r="C264" s="18">
        <v>41425</v>
      </c>
      <c r="D264" s="21">
        <v>2.3758144599999999E-3</v>
      </c>
      <c r="E264" s="26">
        <v>41456</v>
      </c>
      <c r="F264" s="16">
        <v>41332</v>
      </c>
      <c r="G264" s="10">
        <f>IF(Tabela4[[#This Row],[Tipo]]="Dividendo",Tabela4[[#This Row],[Valor]],IF(Tabela4[[#This Row],[Tipo]]="Jrs. Cap. Próprio",Tabela4[[#This Row],[Valor]]*85%,0))</f>
        <v>2.0194422909999999E-3</v>
      </c>
      <c r="I264" s="35" t="s">
        <v>92</v>
      </c>
      <c r="J264" s="35">
        <v>1999</v>
      </c>
      <c r="K264" s="34">
        <f>SUMPRODUCT(N(Tabela4[Ativo]=Tabela5[[#This Row],[Ativo]]),N(YEAR(Tabela4[Data ex-1])=Tabela5[[#This Row],[Ano]]),Tabela4[Líquido])</f>
        <v>2.0570250000000003</v>
      </c>
      <c r="L264" s="87"/>
      <c r="M264" s="87"/>
      <c r="N264" s="88">
        <f>IF(Tabela5[[#This Row],[Dividendos]]&gt;0,Tabela5[[#This Row],[Dividendos]]/Tabela5[[#This Row],[Lucro Líquido]],0)</f>
        <v>0</v>
      </c>
      <c r="O264" s="23"/>
      <c r="P264" s="10"/>
    </row>
    <row r="265" spans="1:16" x14ac:dyDescent="0.2">
      <c r="A265" s="4" t="s">
        <v>195</v>
      </c>
      <c r="B265" s="3" t="s">
        <v>14</v>
      </c>
      <c r="C265" s="18">
        <v>41394</v>
      </c>
      <c r="D265" s="21">
        <v>2.3758144599999999E-3</v>
      </c>
      <c r="E265" s="26">
        <v>41428</v>
      </c>
      <c r="F265" s="16">
        <v>41332</v>
      </c>
      <c r="G265" s="10">
        <f>IF(Tabela4[[#This Row],[Tipo]]="Dividendo",Tabela4[[#This Row],[Valor]],IF(Tabela4[[#This Row],[Tipo]]="Jrs. Cap. Próprio",Tabela4[[#This Row],[Valor]]*85%,0))</f>
        <v>2.0194422909999999E-3</v>
      </c>
      <c r="I265" s="3" t="s">
        <v>308</v>
      </c>
      <c r="J265" s="3">
        <v>2013</v>
      </c>
      <c r="K265" s="10">
        <f>SUMPRODUCT(N(Tabela4[Ativo]=Tabela5[[#This Row],[Ativo]]),N(YEAR(Tabela4[Data ex-1])=Tabela5[[#This Row],[Ano]]),Tabela4[Líquido])</f>
        <v>2.7486000000000002</v>
      </c>
      <c r="N265" s="23">
        <f>IF(Tabela5[[#This Row],[Dividendos]]&gt;0,Tabela5[[#This Row],[Dividendos]]/Tabela5[[#This Row],[Lucro Líquido]],0)</f>
        <v>0</v>
      </c>
      <c r="O265" s="28">
        <v>0.73809999999999998</v>
      </c>
      <c r="P265" s="10"/>
    </row>
    <row r="266" spans="1:16" x14ac:dyDescent="0.2">
      <c r="A266" s="4" t="s">
        <v>195</v>
      </c>
      <c r="B266" s="3" t="s">
        <v>14</v>
      </c>
      <c r="C266" s="18">
        <v>41361</v>
      </c>
      <c r="D266" s="21">
        <v>2.3758144599999999E-3</v>
      </c>
      <c r="E266" s="26">
        <v>41396</v>
      </c>
      <c r="F266" s="16">
        <v>41332</v>
      </c>
      <c r="G266" s="10">
        <f>IF(Tabela4[[#This Row],[Tipo]]="Dividendo",Tabela4[[#This Row],[Valor]],IF(Tabela4[[#This Row],[Tipo]]="Jrs. Cap. Próprio",Tabela4[[#This Row],[Valor]]*85%,0))</f>
        <v>2.0194422909999999E-3</v>
      </c>
      <c r="I266" s="3" t="s">
        <v>308</v>
      </c>
      <c r="J266" s="3">
        <v>2012</v>
      </c>
      <c r="K266" s="10">
        <f>SUMPRODUCT(N(Tabela4[Ativo]=Tabela5[[#This Row],[Ativo]]),N(YEAR(Tabela4[Data ex-1])=Tabela5[[#This Row],[Ano]]),Tabela4[Líquido])</f>
        <v>3.5451999999999999</v>
      </c>
      <c r="N266" s="23">
        <f>IF(Tabela5[[#This Row],[Dividendos]]&gt;0,Tabela5[[#This Row],[Dividendos]]/Tabela5[[#This Row],[Lucro Líquido]],0)</f>
        <v>0</v>
      </c>
      <c r="O266" s="28">
        <v>0.65</v>
      </c>
      <c r="P266" s="10"/>
    </row>
    <row r="267" spans="1:16" x14ac:dyDescent="0.2">
      <c r="A267" s="4" t="s">
        <v>195</v>
      </c>
      <c r="B267" s="3" t="s">
        <v>14</v>
      </c>
      <c r="C267" s="80">
        <v>41271</v>
      </c>
      <c r="D267" s="21">
        <v>2.5104462499999998E-3</v>
      </c>
      <c r="E267" s="81">
        <v>41306</v>
      </c>
      <c r="F267" s="81">
        <v>40966</v>
      </c>
      <c r="G267" s="10">
        <f>IF(Tabela4[[#This Row],[Tipo]]="Dividendo",Tabela4[[#This Row],[Valor]],IF(Tabela4[[#This Row],[Tipo]]="Jrs. Cap. Próprio",Tabela4[[#This Row],[Valor]]*85%,0))</f>
        <v>2.1338793124999998E-3</v>
      </c>
      <c r="I267" s="3" t="s">
        <v>308</v>
      </c>
      <c r="J267" s="3">
        <v>2011</v>
      </c>
      <c r="K267" s="10">
        <f>SUMPRODUCT(N(Tabela4[Ativo]=Tabela5[[#This Row],[Ativo]]),N(YEAR(Tabela4[Data ex-1])=Tabela5[[#This Row],[Ano]]),Tabela4[Líquido])</f>
        <v>4.2725999999999997</v>
      </c>
      <c r="N267" s="23">
        <f>IF(Tabela5[[#This Row],[Dividendos]]&gt;0,Tabela5[[#This Row],[Dividendos]]/Tabela5[[#This Row],[Lucro Líquido]],0)</f>
        <v>0</v>
      </c>
      <c r="O267" s="28"/>
      <c r="P267" s="10"/>
    </row>
    <row r="268" spans="1:16" x14ac:dyDescent="0.2">
      <c r="A268" s="4" t="s">
        <v>195</v>
      </c>
      <c r="B268" s="3" t="s">
        <v>14</v>
      </c>
      <c r="C268" s="18">
        <v>41243</v>
      </c>
      <c r="D268" s="21">
        <v>2.5104462499999998E-3</v>
      </c>
      <c r="E268" s="26">
        <v>41276</v>
      </c>
      <c r="F268" s="16">
        <v>40966</v>
      </c>
      <c r="G268" s="10">
        <f>IF(Tabela4[[#This Row],[Tipo]]="Dividendo",Tabela4[[#This Row],[Valor]],IF(Tabela4[[#This Row],[Tipo]]="Jrs. Cap. Próprio",Tabela4[[#This Row],[Valor]]*85%,0))</f>
        <v>2.1338793124999998E-3</v>
      </c>
      <c r="I268" s="3" t="s">
        <v>308</v>
      </c>
      <c r="J268" s="3">
        <v>2010</v>
      </c>
      <c r="K268" s="10">
        <f>SUMPRODUCT(N(Tabela4[Ativo]=Tabela5[[#This Row],[Ativo]]),N(YEAR(Tabela4[Data ex-1])=Tabela5[[#This Row],[Ano]]),Tabela4[Líquido])</f>
        <v>2.7357999999999998</v>
      </c>
      <c r="N268" s="23">
        <f>IF(Tabela5[[#This Row],[Dividendos]]&gt;0,Tabela5[[#This Row],[Dividendos]]/Tabela5[[#This Row],[Lucro Líquido]],0)</f>
        <v>0</v>
      </c>
      <c r="O268" s="28"/>
      <c r="P268" s="10"/>
    </row>
    <row r="269" spans="1:16" x14ac:dyDescent="0.2">
      <c r="A269" s="4" t="s">
        <v>195</v>
      </c>
      <c r="B269" s="3" t="s">
        <v>14</v>
      </c>
      <c r="C269" s="18">
        <v>41213</v>
      </c>
      <c r="D269" s="21">
        <v>2.5104462499999998E-3</v>
      </c>
      <c r="E269" s="26">
        <v>41246</v>
      </c>
      <c r="F269" s="16">
        <v>40966</v>
      </c>
      <c r="G269" s="10">
        <f>IF(Tabela4[[#This Row],[Tipo]]="Dividendo",Tabela4[[#This Row],[Valor]],IF(Tabela4[[#This Row],[Tipo]]="Jrs. Cap. Próprio",Tabela4[[#This Row],[Valor]]*85%,0))</f>
        <v>2.1338793124999998E-3</v>
      </c>
      <c r="I269" s="3" t="s">
        <v>308</v>
      </c>
      <c r="J269" s="3">
        <v>2009</v>
      </c>
      <c r="K269" s="10">
        <f>SUMPRODUCT(N(Tabela4[Ativo]=Tabela5[[#This Row],[Ativo]]),N(YEAR(Tabela4[Data ex-1])=Tabela5[[#This Row],[Ano]]),Tabela4[Líquido])</f>
        <v>3.3797000000000001</v>
      </c>
      <c r="N269" s="23">
        <f>IF(Tabela5[[#This Row],[Dividendos]]&gt;0,Tabela5[[#This Row],[Dividendos]]/Tabela5[[#This Row],[Lucro Líquido]],0)</f>
        <v>0</v>
      </c>
      <c r="O269" s="28"/>
      <c r="P269" s="10"/>
    </row>
    <row r="270" spans="1:16" x14ac:dyDescent="0.2">
      <c r="A270" s="4" t="s">
        <v>195</v>
      </c>
      <c r="B270" s="3" t="s">
        <v>14</v>
      </c>
      <c r="C270" s="18">
        <v>41180</v>
      </c>
      <c r="D270" s="21">
        <v>2.5104462499999998E-3</v>
      </c>
      <c r="E270" s="26">
        <v>41214</v>
      </c>
      <c r="F270" s="16">
        <v>40966</v>
      </c>
      <c r="G270" s="10">
        <f>IF(Tabela4[[#This Row],[Tipo]]="Dividendo",Tabela4[[#This Row],[Valor]],IF(Tabela4[[#This Row],[Tipo]]="Jrs. Cap. Próprio",Tabela4[[#This Row],[Valor]]*85%,0))</f>
        <v>2.1338793124999998E-3</v>
      </c>
      <c r="I270" s="3" t="s">
        <v>308</v>
      </c>
      <c r="J270" s="3">
        <v>2008</v>
      </c>
      <c r="K270" s="10">
        <f>SUMPRODUCT(N(Tabela4[Ativo]=Tabela5[[#This Row],[Ativo]]),N(YEAR(Tabela4[Data ex-1])=Tabela5[[#This Row],[Ano]]),Tabela4[Líquido])</f>
        <v>3.1436999999999999</v>
      </c>
      <c r="N270" s="23">
        <f>IF(Tabela5[[#This Row],[Dividendos]]&gt;0,Tabela5[[#This Row],[Dividendos]]/Tabela5[[#This Row],[Lucro Líquido]],0)</f>
        <v>0</v>
      </c>
      <c r="O270" s="28"/>
      <c r="P270" s="10"/>
    </row>
    <row r="271" spans="1:16" x14ac:dyDescent="0.2">
      <c r="A271" s="4" t="s">
        <v>195</v>
      </c>
      <c r="B271" s="3" t="s">
        <v>14</v>
      </c>
      <c r="C271" s="18">
        <v>41152</v>
      </c>
      <c r="D271" s="21">
        <v>2.5104462499999998E-3</v>
      </c>
      <c r="E271" s="26">
        <v>41183</v>
      </c>
      <c r="F271" s="16">
        <v>40966</v>
      </c>
      <c r="G271" s="10">
        <f>IF(Tabela4[[#This Row],[Tipo]]="Dividendo",Tabela4[[#This Row],[Valor]],IF(Tabela4[[#This Row],[Tipo]]="Jrs. Cap. Próprio",Tabela4[[#This Row],[Valor]]*85%,0))</f>
        <v>2.1338793124999998E-3</v>
      </c>
      <c r="I271" s="3" t="s">
        <v>308</v>
      </c>
      <c r="J271" s="3">
        <v>2007</v>
      </c>
      <c r="K271" s="10">
        <f>SUMPRODUCT(N(Tabela4[Ativo]=Tabela5[[#This Row],[Ativo]]),N(YEAR(Tabela4[Data ex-1])=Tabela5[[#This Row],[Ano]]),Tabela4[Líquido])</f>
        <v>1.4503999999999999</v>
      </c>
      <c r="N271" s="23">
        <f>IF(Tabela5[[#This Row],[Dividendos]]&gt;0,Tabela5[[#This Row],[Dividendos]]/Tabela5[[#This Row],[Lucro Líquido]],0)</f>
        <v>0</v>
      </c>
      <c r="O271" s="28"/>
      <c r="P271" s="10"/>
    </row>
    <row r="272" spans="1:16" x14ac:dyDescent="0.2">
      <c r="A272" s="4" t="s">
        <v>195</v>
      </c>
      <c r="B272" s="3" t="s">
        <v>14</v>
      </c>
      <c r="C272" s="18">
        <v>41121</v>
      </c>
      <c r="D272" s="21">
        <v>2.5104443729999999E-2</v>
      </c>
      <c r="E272" s="26">
        <v>41155</v>
      </c>
      <c r="F272" s="16">
        <v>40925</v>
      </c>
      <c r="G272" s="10">
        <f>IF(Tabela4[[#This Row],[Tipo]]="Dividendo",Tabela4[[#This Row],[Valor]],IF(Tabela4[[#This Row],[Tipo]]="Jrs. Cap. Próprio",Tabela4[[#This Row],[Valor]]*85%,0))</f>
        <v>2.1338777170499999E-2</v>
      </c>
      <c r="I272" s="3" t="s">
        <v>308</v>
      </c>
      <c r="J272" s="3">
        <v>2006</v>
      </c>
      <c r="K272" s="10">
        <f>SUMPRODUCT(N(Tabela4[Ativo]=Tabela5[[#This Row],[Ativo]]),N(YEAR(Tabela4[Data ex-1])=Tabela5[[#This Row],[Ano]]),Tabela4[Líquido])</f>
        <v>1.3652950000000001</v>
      </c>
      <c r="N272" s="23">
        <f>IF(Tabela5[[#This Row],[Dividendos]]&gt;0,Tabela5[[#This Row],[Dividendos]]/Tabela5[[#This Row],[Lucro Líquido]],0)</f>
        <v>0</v>
      </c>
      <c r="O272" s="28"/>
      <c r="P272" s="10"/>
    </row>
    <row r="273" spans="1:16" x14ac:dyDescent="0.2">
      <c r="A273" s="4" t="s">
        <v>195</v>
      </c>
      <c r="B273" s="3" t="s">
        <v>14</v>
      </c>
      <c r="C273" s="18">
        <v>41089</v>
      </c>
      <c r="D273" s="21">
        <v>2.7386665920000001E-2</v>
      </c>
      <c r="E273" s="26">
        <v>41122</v>
      </c>
      <c r="F273" s="16">
        <v>40925</v>
      </c>
      <c r="G273" s="10">
        <f>IF(Tabela4[[#This Row],[Tipo]]="Dividendo",Tabela4[[#This Row],[Valor]],IF(Tabela4[[#This Row],[Tipo]]="Jrs. Cap. Próprio",Tabela4[[#This Row],[Valor]]*85%,0))</f>
        <v>2.3278666032E-2</v>
      </c>
      <c r="I273" s="3" t="s">
        <v>308</v>
      </c>
      <c r="J273" s="3">
        <v>2005</v>
      </c>
      <c r="K273" s="10">
        <f>SUMPRODUCT(N(Tabela4[Ativo]=Tabela5[[#This Row],[Ativo]]),N(YEAR(Tabela4[Data ex-1])=Tabela5[[#This Row],[Ano]]),Tabela4[Líquido])</f>
        <v>0.52285500000000007</v>
      </c>
      <c r="N273" s="23">
        <f>IF(Tabela5[[#This Row],[Dividendos]]&gt;0,Tabela5[[#This Row],[Dividendos]]/Tabela5[[#This Row],[Lucro Líquido]],0)</f>
        <v>0</v>
      </c>
      <c r="O273" s="28"/>
      <c r="P273" s="10"/>
    </row>
    <row r="274" spans="1:16" x14ac:dyDescent="0.2">
      <c r="A274" s="4" t="s">
        <v>195</v>
      </c>
      <c r="B274" s="3" t="s">
        <v>14</v>
      </c>
      <c r="C274" s="18">
        <v>41060</v>
      </c>
      <c r="D274" s="21">
        <v>2.739152177E-2</v>
      </c>
      <c r="E274" s="26">
        <v>41092</v>
      </c>
      <c r="F274" s="16">
        <v>40966</v>
      </c>
      <c r="G274" s="10">
        <f>IF(Tabela4[[#This Row],[Tipo]]="Dividendo",Tabela4[[#This Row],[Valor]],IF(Tabela4[[#This Row],[Tipo]]="Jrs. Cap. Próprio",Tabela4[[#This Row],[Valor]]*85%,0))</f>
        <v>2.32827935045E-2</v>
      </c>
      <c r="I274" s="3" t="s">
        <v>308</v>
      </c>
      <c r="J274" s="3">
        <v>2004</v>
      </c>
      <c r="K274" s="10">
        <f>SUMPRODUCT(N(Tabela4[Ativo]=Tabela5[[#This Row],[Ativo]]),N(YEAR(Tabela4[Data ex-1])=Tabela5[[#This Row],[Ano]]),Tabela4[Líquido])</f>
        <v>0.20016</v>
      </c>
      <c r="N274" s="23">
        <f>IF(Tabela5[[#This Row],[Dividendos]]&gt;0,Tabela5[[#This Row],[Dividendos]]/Tabela5[[#This Row],[Lucro Líquido]],0)</f>
        <v>0</v>
      </c>
      <c r="O274" s="28"/>
      <c r="P274" s="10"/>
    </row>
    <row r="275" spans="1:16" x14ac:dyDescent="0.2">
      <c r="A275" s="4" t="s">
        <v>195</v>
      </c>
      <c r="B275" s="3" t="s">
        <v>14</v>
      </c>
      <c r="C275" s="18">
        <v>41029</v>
      </c>
      <c r="D275" s="21">
        <v>2.739152177E-2</v>
      </c>
      <c r="E275" s="26">
        <v>41061</v>
      </c>
      <c r="F275" s="16">
        <v>40966</v>
      </c>
      <c r="G275" s="10">
        <f>IF(Tabela4[[#This Row],[Tipo]]="Dividendo",Tabela4[[#This Row],[Valor]],IF(Tabela4[[#This Row],[Tipo]]="Jrs. Cap. Próprio",Tabela4[[#This Row],[Valor]]*85%,0))</f>
        <v>2.32827935045E-2</v>
      </c>
      <c r="I275" s="3" t="s">
        <v>308</v>
      </c>
      <c r="J275" s="3">
        <v>2003</v>
      </c>
      <c r="K275" s="10">
        <f>SUMPRODUCT(N(Tabela4[Ativo]=Tabela5[[#This Row],[Ativo]]),N(YEAR(Tabela4[Data ex-1])=Tabela5[[#This Row],[Ano]]),Tabela4[Líquido])</f>
        <v>0.76344499999999993</v>
      </c>
      <c r="N275" s="23">
        <f>IF(Tabela5[[#This Row],[Dividendos]]&gt;0,Tabela5[[#This Row],[Dividendos]]/Tabela5[[#This Row],[Lucro Líquido]],0)</f>
        <v>0</v>
      </c>
      <c r="O275" s="28"/>
      <c r="P275" s="10"/>
    </row>
    <row r="276" spans="1:16" x14ac:dyDescent="0.2">
      <c r="A276" s="4" t="s">
        <v>195</v>
      </c>
      <c r="B276" s="3" t="s">
        <v>14</v>
      </c>
      <c r="C276" s="18">
        <v>40998</v>
      </c>
      <c r="D276" s="21">
        <v>2.739152177E-2</v>
      </c>
      <c r="E276" s="26">
        <v>41031</v>
      </c>
      <c r="F276" s="16">
        <v>40966</v>
      </c>
      <c r="G276" s="10">
        <f>IF(Tabela4[[#This Row],[Tipo]]="Dividendo",Tabela4[[#This Row],[Valor]],IF(Tabela4[[#This Row],[Tipo]]="Jrs. Cap. Próprio",Tabela4[[#This Row],[Valor]]*85%,0))</f>
        <v>2.32827935045E-2</v>
      </c>
      <c r="I276" s="3" t="s">
        <v>308</v>
      </c>
      <c r="J276" s="3">
        <v>2002</v>
      </c>
      <c r="K276" s="10">
        <f>SUMPRODUCT(N(Tabela4[Ativo]=Tabela5[[#This Row],[Ativo]]),N(YEAR(Tabela4[Data ex-1])=Tabela5[[#This Row],[Ano]]),Tabela4[Líquido])</f>
        <v>0.43787500000000001</v>
      </c>
      <c r="N276" s="23">
        <f>IF(Tabela5[[#This Row],[Dividendos]]&gt;0,Tabela5[[#This Row],[Dividendos]]/Tabela5[[#This Row],[Lucro Líquido]],0)</f>
        <v>0</v>
      </c>
      <c r="O276" s="28"/>
      <c r="P276" s="10"/>
    </row>
    <row r="277" spans="1:16" x14ac:dyDescent="0.2">
      <c r="A277" s="4" t="s">
        <v>195</v>
      </c>
      <c r="B277" s="3" t="s">
        <v>14</v>
      </c>
      <c r="C277" s="18">
        <v>40968</v>
      </c>
      <c r="D277" s="21">
        <v>2.739152177E-2</v>
      </c>
      <c r="E277" s="26">
        <v>41001</v>
      </c>
      <c r="F277" s="16">
        <v>40966</v>
      </c>
      <c r="G277" s="10">
        <f>IF(Tabela4[[#This Row],[Tipo]]="Dividendo",Tabela4[[#This Row],[Valor]],IF(Tabela4[[#This Row],[Tipo]]="Jrs. Cap. Próprio",Tabela4[[#This Row],[Valor]]*85%,0))</f>
        <v>2.32827935045E-2</v>
      </c>
      <c r="I277" s="3" t="s">
        <v>308</v>
      </c>
      <c r="J277" s="3">
        <v>2001</v>
      </c>
      <c r="K277" s="10">
        <f>SUMPRODUCT(N(Tabela4[Ativo]=Tabela5[[#This Row],[Ativo]]),N(YEAR(Tabela4[Data ex-1])=Tabela5[[#This Row],[Ano]]),Tabela4[Líquido])</f>
        <v>0.36832999999999999</v>
      </c>
      <c r="N277" s="23">
        <f>IF(Tabela5[[#This Row],[Dividendos]]&gt;0,Tabela5[[#This Row],[Dividendos]]/Tabela5[[#This Row],[Lucro Líquido]],0)</f>
        <v>0</v>
      </c>
      <c r="O277" s="28"/>
      <c r="P277" s="10"/>
    </row>
    <row r="278" spans="1:16" x14ac:dyDescent="0.2">
      <c r="A278" s="4" t="s">
        <v>195</v>
      </c>
      <c r="B278" s="3" t="s">
        <v>14</v>
      </c>
      <c r="C278" s="18">
        <v>40967</v>
      </c>
      <c r="D278" s="21">
        <v>2.739152177E-2</v>
      </c>
      <c r="E278" s="26">
        <v>40977</v>
      </c>
      <c r="F278" s="16">
        <v>40966</v>
      </c>
      <c r="G278" s="10">
        <f>IF(Tabela4[[#This Row],[Tipo]]="Dividendo",Tabela4[[#This Row],[Valor]],IF(Tabela4[[#This Row],[Tipo]]="Jrs. Cap. Próprio",Tabela4[[#This Row],[Valor]]*85%,0))</f>
        <v>2.32827935045E-2</v>
      </c>
      <c r="I278" s="3" t="s">
        <v>308</v>
      </c>
      <c r="J278" s="3">
        <v>2000</v>
      </c>
      <c r="K278" s="10">
        <f>SUMPRODUCT(N(Tabela4[Ativo]=Tabela5[[#This Row],[Ativo]]),N(YEAR(Tabela4[Data ex-1])=Tabela5[[#This Row],[Ano]]),Tabela4[Líquido])</f>
        <v>0.29921499999999995</v>
      </c>
      <c r="N278" s="23">
        <f>IF(Tabela5[[#This Row],[Dividendos]]&gt;0,Tabela5[[#This Row],[Dividendos]]/Tabela5[[#This Row],[Lucro Líquido]],0)</f>
        <v>0</v>
      </c>
      <c r="O278" s="28"/>
      <c r="P278" s="10"/>
    </row>
    <row r="279" spans="1:16" x14ac:dyDescent="0.2">
      <c r="A279" s="4" t="s">
        <v>195</v>
      </c>
      <c r="B279" s="3" t="s">
        <v>14</v>
      </c>
      <c r="C279" s="18">
        <v>40906</v>
      </c>
      <c r="D279" s="10">
        <v>2.5899999999999999E-2</v>
      </c>
      <c r="E279" s="26">
        <v>40940</v>
      </c>
      <c r="F279" s="16">
        <v>40568</v>
      </c>
      <c r="G279" s="10">
        <f>IF(Tabela4[[#This Row],[Tipo]]="Dividendo",Tabela4[[#This Row],[Valor]],IF(Tabela4[[#This Row],[Tipo]]="Jrs. Cap. Próprio",Tabela4[[#This Row],[Valor]]*85%,0))</f>
        <v>2.2015E-2</v>
      </c>
      <c r="I279" s="3" t="s">
        <v>308</v>
      </c>
      <c r="J279" s="3">
        <v>1999</v>
      </c>
      <c r="K279" s="10">
        <f>SUMPRODUCT(N(Tabela4[Ativo]=Tabela5[[#This Row],[Ativo]]),N(YEAR(Tabela4[Data ex-1])=Tabela5[[#This Row],[Ano]]),Tabela4[Líquido])</f>
        <v>0.370865</v>
      </c>
      <c r="N279" s="23">
        <f>IF(Tabela5[[#This Row],[Dividendos]]&gt;0,Tabela5[[#This Row],[Dividendos]]/Tabela5[[#This Row],[Lucro Líquido]],0)</f>
        <v>0</v>
      </c>
      <c r="O279" s="28"/>
      <c r="P279" s="10"/>
    </row>
    <row r="280" spans="1:16" x14ac:dyDescent="0.2">
      <c r="A280" s="4" t="s">
        <v>195</v>
      </c>
      <c r="B280" s="3" t="s">
        <v>14</v>
      </c>
      <c r="C280" s="80">
        <v>40877</v>
      </c>
      <c r="D280" s="10">
        <v>2.5899999999999999E-2</v>
      </c>
      <c r="E280" s="81">
        <v>40910</v>
      </c>
      <c r="F280" s="81">
        <v>40568</v>
      </c>
      <c r="G280" s="10">
        <f>IF(Tabela4[[#This Row],[Tipo]]="Dividendo",Tabela4[[#This Row],[Valor]],IF(Tabela4[[#This Row],[Tipo]]="Jrs. Cap. Próprio",Tabela4[[#This Row],[Valor]]*85%,0))</f>
        <v>2.2015E-2</v>
      </c>
      <c r="I280" s="35" t="s">
        <v>94</v>
      </c>
      <c r="J280" s="35">
        <v>2013</v>
      </c>
      <c r="K280" s="38">
        <f>SUMPRODUCT(N(Tabela4[Ativo]=Tabela5[[#This Row],[Ativo]]),N(YEAR(Tabela4[Data ex-1])=Tabela5[[#This Row],[Ano]]),Tabela4[Líquido])</f>
        <v>0.85109999999999997</v>
      </c>
      <c r="L280" s="43"/>
      <c r="M280" s="43"/>
      <c r="N280" s="75">
        <f>IF(Tabela5[[#This Row],[Dividendos]]&gt;0,Tabela5[[#This Row],[Dividendos]]/Tabela5[[#This Row],[Lucro Líquido]],0)</f>
        <v>0</v>
      </c>
      <c r="O280" s="23"/>
      <c r="P280" s="10"/>
    </row>
    <row r="281" spans="1:16" x14ac:dyDescent="0.2">
      <c r="A281" s="4" t="s">
        <v>195</v>
      </c>
      <c r="B281" s="3" t="s">
        <v>14</v>
      </c>
      <c r="C281" s="18">
        <v>40847</v>
      </c>
      <c r="D281" s="10">
        <v>2.5899999999999999E-2</v>
      </c>
      <c r="E281" s="26">
        <v>40878</v>
      </c>
      <c r="F281" s="16">
        <v>40568</v>
      </c>
      <c r="G281" s="10">
        <f>IF(Tabela4[[#This Row],[Tipo]]="Dividendo",Tabela4[[#This Row],[Valor]],IF(Tabela4[[#This Row],[Tipo]]="Jrs. Cap. Próprio",Tabela4[[#This Row],[Valor]]*85%,0))</f>
        <v>2.2015E-2</v>
      </c>
      <c r="I281" s="35" t="s">
        <v>94</v>
      </c>
      <c r="J281" s="35">
        <v>2012</v>
      </c>
      <c r="K281" s="38">
        <f>SUMPRODUCT(N(Tabela4[Ativo]=Tabela5[[#This Row],[Ativo]]),N(YEAR(Tabela4[Data ex-1])=Tabela5[[#This Row],[Ano]]),Tabela4[Líquido])</f>
        <v>1.4535</v>
      </c>
      <c r="L281" s="43"/>
      <c r="M281" s="43"/>
      <c r="N281" s="75">
        <f>IF(Tabela5[[#This Row],[Dividendos]]&gt;0,Tabela5[[#This Row],[Dividendos]]/Tabela5[[#This Row],[Lucro Líquido]],0)</f>
        <v>0</v>
      </c>
      <c r="O281" s="23"/>
      <c r="P281" s="10"/>
    </row>
    <row r="282" spans="1:16" x14ac:dyDescent="0.2">
      <c r="A282" s="4" t="s">
        <v>195</v>
      </c>
      <c r="B282" s="3" t="s">
        <v>14</v>
      </c>
      <c r="C282" s="18">
        <v>40816</v>
      </c>
      <c r="D282" s="10">
        <v>2.5899999999999999E-2</v>
      </c>
      <c r="E282" s="26">
        <v>40848</v>
      </c>
      <c r="F282" s="16">
        <v>40568</v>
      </c>
      <c r="G282" s="10">
        <f>IF(Tabela4[[#This Row],[Tipo]]="Dividendo",Tabela4[[#This Row],[Valor]],IF(Tabela4[[#This Row],[Tipo]]="Jrs. Cap. Próprio",Tabela4[[#This Row],[Valor]]*85%,0))</f>
        <v>2.2015E-2</v>
      </c>
      <c r="I282" s="35" t="s">
        <v>94</v>
      </c>
      <c r="J282" s="35">
        <v>2011</v>
      </c>
      <c r="K282" s="34">
        <f>SUMPRODUCT(N(Tabela4[Ativo]=Tabela5[[#This Row],[Ativo]]),N(YEAR(Tabela4[Data ex-1])=Tabela5[[#This Row],[Ano]]),Tabela4[Líquido])</f>
        <v>1.7871999999999999</v>
      </c>
      <c r="L282" s="87"/>
      <c r="M282" s="87"/>
      <c r="N282" s="88">
        <f>IF(Tabela5[[#This Row],[Dividendos]]&gt;0,Tabela5[[#This Row],[Dividendos]]/Tabela5[[#This Row],[Lucro Líquido]],0)</f>
        <v>0</v>
      </c>
      <c r="O282" s="23"/>
      <c r="P282" s="10"/>
    </row>
    <row r="283" spans="1:16" x14ac:dyDescent="0.2">
      <c r="A283" s="4" t="s">
        <v>195</v>
      </c>
      <c r="B283" s="3" t="s">
        <v>14</v>
      </c>
      <c r="C283" s="18">
        <v>40786</v>
      </c>
      <c r="D283" s="10">
        <v>2.5899999999999999E-2</v>
      </c>
      <c r="E283" s="26">
        <v>40819</v>
      </c>
      <c r="F283" s="16">
        <v>40568</v>
      </c>
      <c r="G283" s="10">
        <f>IF(Tabela4[[#This Row],[Tipo]]="Dividendo",Tabela4[[#This Row],[Valor]],IF(Tabela4[[#This Row],[Tipo]]="Jrs. Cap. Próprio",Tabela4[[#This Row],[Valor]]*85%,0))</f>
        <v>2.2015E-2</v>
      </c>
      <c r="I283" s="35" t="s">
        <v>94</v>
      </c>
      <c r="J283" s="35">
        <v>2010</v>
      </c>
      <c r="K283" s="34">
        <f>SUMPRODUCT(N(Tabela4[Ativo]=Tabela5[[#This Row],[Ativo]]),N(YEAR(Tabela4[Data ex-1])=Tabela5[[#This Row],[Ano]]),Tabela4[Líquido])</f>
        <v>2.9744999999999999</v>
      </c>
      <c r="L283" s="87"/>
      <c r="M283" s="87"/>
      <c r="N283" s="88">
        <f>IF(Tabela5[[#This Row],[Dividendos]]&gt;0,Tabela5[[#This Row],[Dividendos]]/Tabela5[[#This Row],[Lucro Líquido]],0)</f>
        <v>0</v>
      </c>
      <c r="O283" s="23"/>
      <c r="P283" s="10"/>
    </row>
    <row r="284" spans="1:16" x14ac:dyDescent="0.2">
      <c r="A284" s="4" t="s">
        <v>195</v>
      </c>
      <c r="B284" s="3" t="s">
        <v>14</v>
      </c>
      <c r="C284" s="18">
        <v>40753</v>
      </c>
      <c r="D284" s="10">
        <v>2.5899999999999999E-2</v>
      </c>
      <c r="E284" s="26">
        <v>40787</v>
      </c>
      <c r="F284" s="16">
        <v>40568</v>
      </c>
      <c r="G284" s="10">
        <f>IF(Tabela4[[#This Row],[Tipo]]="Dividendo",Tabela4[[#This Row],[Valor]],IF(Tabela4[[#This Row],[Tipo]]="Jrs. Cap. Próprio",Tabela4[[#This Row],[Valor]]*85%,0))</f>
        <v>2.2015E-2</v>
      </c>
      <c r="I284" s="35" t="s">
        <v>94</v>
      </c>
      <c r="J284" s="35">
        <v>2009</v>
      </c>
      <c r="K284" s="34">
        <f>SUMPRODUCT(N(Tabela4[Ativo]=Tabela5[[#This Row],[Ativo]]),N(YEAR(Tabela4[Data ex-1])=Tabela5[[#This Row],[Ano]]),Tabela4[Líquido])</f>
        <v>2.4542000000000002</v>
      </c>
      <c r="L284" s="87"/>
      <c r="M284" s="87"/>
      <c r="N284" s="88">
        <f>IF(Tabela5[[#This Row],[Dividendos]]&gt;0,Tabela5[[#This Row],[Dividendos]]/Tabela5[[#This Row],[Lucro Líquido]],0)</f>
        <v>0</v>
      </c>
      <c r="O284" s="23"/>
      <c r="P284" s="10"/>
    </row>
    <row r="285" spans="1:16" x14ac:dyDescent="0.2">
      <c r="A285" s="4" t="s">
        <v>195</v>
      </c>
      <c r="B285" s="3" t="s">
        <v>14</v>
      </c>
      <c r="C285" s="18">
        <v>40724</v>
      </c>
      <c r="D285" s="10">
        <v>2.5899999999999999E-2</v>
      </c>
      <c r="E285" s="26">
        <v>40756</v>
      </c>
      <c r="F285" s="16">
        <v>40568</v>
      </c>
      <c r="G285" s="10">
        <f>IF(Tabela4[[#This Row],[Tipo]]="Dividendo",Tabela4[[#This Row],[Valor]],IF(Tabela4[[#This Row],[Tipo]]="Jrs. Cap. Próprio",Tabela4[[#This Row],[Valor]]*85%,0))</f>
        <v>2.2015E-2</v>
      </c>
      <c r="I285" s="35" t="s">
        <v>94</v>
      </c>
      <c r="J285" s="35">
        <v>2008</v>
      </c>
      <c r="K285" s="34">
        <f>SUMPRODUCT(N(Tabela4[Ativo]=Tabela5[[#This Row],[Ativo]]),N(YEAR(Tabela4[Data ex-1])=Tabela5[[#This Row],[Ano]]),Tabela4[Líquido])</f>
        <v>2.7515000000000001</v>
      </c>
      <c r="L285" s="87"/>
      <c r="M285" s="87"/>
      <c r="N285" s="88">
        <f>IF(Tabela5[[#This Row],[Dividendos]]&gt;0,Tabela5[[#This Row],[Dividendos]]/Tabela5[[#This Row],[Lucro Líquido]],0)</f>
        <v>0</v>
      </c>
      <c r="O285" s="23"/>
      <c r="P285" s="10"/>
    </row>
    <row r="286" spans="1:16" x14ac:dyDescent="0.2">
      <c r="A286" s="4" t="s">
        <v>195</v>
      </c>
      <c r="B286" s="3" t="s">
        <v>14</v>
      </c>
      <c r="C286" s="80">
        <v>40694</v>
      </c>
      <c r="D286" s="10">
        <v>2.5899999999999999E-2</v>
      </c>
      <c r="E286" s="81">
        <v>40725</v>
      </c>
      <c r="F286" s="81">
        <v>40694</v>
      </c>
      <c r="G286" s="10">
        <f>IF(Tabela4[[#This Row],[Tipo]]="Dividendo",Tabela4[[#This Row],[Valor]],IF(Tabela4[[#This Row],[Tipo]]="Jrs. Cap. Próprio",Tabela4[[#This Row],[Valor]]*85%,0))</f>
        <v>2.2015E-2</v>
      </c>
      <c r="I286" s="35" t="s">
        <v>94</v>
      </c>
      <c r="J286" s="35">
        <v>2007</v>
      </c>
      <c r="K286" s="34">
        <f>SUMPRODUCT(N(Tabela4[Ativo]=Tabela5[[#This Row],[Ativo]]),N(YEAR(Tabela4[Data ex-1])=Tabela5[[#This Row],[Ano]]),Tabela4[Líquido])</f>
        <v>3.2605</v>
      </c>
      <c r="L286" s="87"/>
      <c r="M286" s="87"/>
      <c r="N286" s="88">
        <f>IF(Tabela5[[#This Row],[Dividendos]]&gt;0,Tabela5[[#This Row],[Dividendos]]/Tabela5[[#This Row],[Lucro Líquido]],0)</f>
        <v>0</v>
      </c>
      <c r="O286" s="23"/>
      <c r="P286" s="10"/>
    </row>
    <row r="287" spans="1:16" x14ac:dyDescent="0.2">
      <c r="A287" s="4" t="s">
        <v>195</v>
      </c>
      <c r="B287" s="3" t="s">
        <v>14</v>
      </c>
      <c r="C287" s="18">
        <v>40662</v>
      </c>
      <c r="D287" s="10">
        <v>2.5899999999999999E-2</v>
      </c>
      <c r="E287" s="26">
        <v>40695</v>
      </c>
      <c r="F287" s="16">
        <v>40662</v>
      </c>
      <c r="G287" s="10">
        <f>IF(Tabela4[[#This Row],[Tipo]]="Dividendo",Tabela4[[#This Row],[Valor]],IF(Tabela4[[#This Row],[Tipo]]="Jrs. Cap. Próprio",Tabela4[[#This Row],[Valor]]*85%,0))</f>
        <v>2.2015E-2</v>
      </c>
      <c r="I287" s="35" t="s">
        <v>94</v>
      </c>
      <c r="J287" s="35">
        <v>2006</v>
      </c>
      <c r="K287" s="34">
        <f>SUMPRODUCT(N(Tabela4[Ativo]=Tabela5[[#This Row],[Ativo]]),N(YEAR(Tabela4[Data ex-1])=Tabela5[[#This Row],[Ano]]),Tabela4[Líquido])</f>
        <v>2.2804300000000004</v>
      </c>
      <c r="L287" s="87"/>
      <c r="M287" s="87"/>
      <c r="N287" s="88">
        <f>IF(Tabela5[[#This Row],[Dividendos]]&gt;0,Tabela5[[#This Row],[Dividendos]]/Tabela5[[#This Row],[Lucro Líquido]],0)</f>
        <v>0</v>
      </c>
      <c r="O287" s="23"/>
      <c r="P287" s="10"/>
    </row>
    <row r="288" spans="1:16" x14ac:dyDescent="0.2">
      <c r="A288" s="4" t="s">
        <v>195</v>
      </c>
      <c r="B288" s="3" t="s">
        <v>15</v>
      </c>
      <c r="C288" s="18">
        <v>40662</v>
      </c>
      <c r="D288" s="10">
        <v>2.8999999999999998E-3</v>
      </c>
      <c r="E288" s="26">
        <v>40695</v>
      </c>
      <c r="F288" s="16">
        <v>40662</v>
      </c>
      <c r="G288" s="10">
        <f>IF(Tabela4[[#This Row],[Tipo]]="Dividendo",Tabela4[[#This Row],[Valor]],IF(Tabela4[[#This Row],[Tipo]]="Jrs. Cap. Próprio",Tabela4[[#This Row],[Valor]]*85%,0))</f>
        <v>2.8999999999999998E-3</v>
      </c>
      <c r="I288" s="35" t="s">
        <v>94</v>
      </c>
      <c r="J288" s="35">
        <v>2005</v>
      </c>
      <c r="K288" s="34">
        <f>SUMPRODUCT(N(Tabela4[Ativo]=Tabela5[[#This Row],[Ativo]]),N(YEAR(Tabela4[Data ex-1])=Tabela5[[#This Row],[Ano]]),Tabela4[Líquido])</f>
        <v>1.16214</v>
      </c>
      <c r="L288" s="87"/>
      <c r="M288" s="87"/>
      <c r="N288" s="88">
        <f>IF(Tabela5[[#This Row],[Dividendos]]&gt;0,Tabela5[[#This Row],[Dividendos]]/Tabela5[[#This Row],[Lucro Líquido]],0)</f>
        <v>0</v>
      </c>
      <c r="O288" s="23"/>
      <c r="P288" s="10"/>
    </row>
    <row r="289" spans="1:16" x14ac:dyDescent="0.2">
      <c r="A289" s="4" t="s">
        <v>195</v>
      </c>
      <c r="B289" s="3" t="s">
        <v>14</v>
      </c>
      <c r="C289" s="18">
        <v>40633</v>
      </c>
      <c r="D289" s="10">
        <v>2.5899999999999999E-2</v>
      </c>
      <c r="E289" s="26">
        <v>40665</v>
      </c>
      <c r="F289" s="16">
        <v>40568</v>
      </c>
      <c r="G289" s="10">
        <f>IF(Tabela4[[#This Row],[Tipo]]="Dividendo",Tabela4[[#This Row],[Valor]],IF(Tabela4[[#This Row],[Tipo]]="Jrs. Cap. Próprio",Tabela4[[#This Row],[Valor]]*85%,0))</f>
        <v>2.2015E-2</v>
      </c>
      <c r="I289" s="35" t="s">
        <v>96</v>
      </c>
      <c r="J289" s="35">
        <v>2013</v>
      </c>
      <c r="K289" s="38">
        <f>SUMPRODUCT(N(Tabela4[Ativo]=Tabela5[[#This Row],[Ativo]]),N(YEAR(Tabela4[Data ex-1])=Tabela5[[#This Row],[Ano]]),Tabela4[Líquido])</f>
        <v>1.9035899999999999</v>
      </c>
      <c r="L289" s="43"/>
      <c r="M289" s="43"/>
      <c r="N289" s="75">
        <f>IF(Tabela5[[#This Row],[Dividendos]]&gt;0,Tabela5[[#This Row],[Dividendos]]/Tabela5[[#This Row],[Lucro Líquido]],0)</f>
        <v>0</v>
      </c>
      <c r="O289" s="23">
        <v>0.52010000000000001</v>
      </c>
      <c r="P289" s="10"/>
    </row>
    <row r="290" spans="1:16" x14ac:dyDescent="0.2">
      <c r="A290" s="4" t="s">
        <v>195</v>
      </c>
      <c r="B290" s="3" t="s">
        <v>14</v>
      </c>
      <c r="C290" s="18">
        <v>40602</v>
      </c>
      <c r="D290" s="10">
        <v>2.5899999999999999E-2</v>
      </c>
      <c r="E290" s="26">
        <v>40634</v>
      </c>
      <c r="F290" s="16">
        <v>40568</v>
      </c>
      <c r="G290" s="10">
        <f>IF(Tabela4[[#This Row],[Tipo]]="Dividendo",Tabela4[[#This Row],[Valor]],IF(Tabela4[[#This Row],[Tipo]]="Jrs. Cap. Próprio",Tabela4[[#This Row],[Valor]]*85%,0))</f>
        <v>2.2015E-2</v>
      </c>
      <c r="I290" s="35" t="s">
        <v>96</v>
      </c>
      <c r="J290" s="35">
        <v>2012</v>
      </c>
      <c r="K290" s="38">
        <f>SUMPRODUCT(N(Tabela4[Ativo]=Tabela5[[#This Row],[Ativo]]),N(YEAR(Tabela4[Data ex-1])=Tabela5[[#This Row],[Ano]]),Tabela4[Líquido])</f>
        <v>0.57825499999999996</v>
      </c>
      <c r="L290" s="43"/>
      <c r="M290" s="43"/>
      <c r="N290" s="75">
        <f>IF(Tabela5[[#This Row],[Dividendos]]&gt;0,Tabela5[[#This Row],[Dividendos]]/Tabela5[[#This Row],[Lucro Líquido]],0)</f>
        <v>0</v>
      </c>
      <c r="O290" s="23">
        <v>0.43</v>
      </c>
      <c r="P290" s="10"/>
    </row>
    <row r="291" spans="1:16" x14ac:dyDescent="0.2">
      <c r="A291" s="4" t="s">
        <v>195</v>
      </c>
      <c r="B291" s="3" t="s">
        <v>14</v>
      </c>
      <c r="C291" s="18">
        <v>40574</v>
      </c>
      <c r="D291" s="10">
        <v>4.7699999999999999E-2</v>
      </c>
      <c r="E291" s="26">
        <v>40584</v>
      </c>
      <c r="F291" s="16">
        <v>40568</v>
      </c>
      <c r="G291" s="10">
        <f>IF(Tabela4[[#This Row],[Tipo]]="Dividendo",Tabela4[[#This Row],[Valor]],IF(Tabela4[[#This Row],[Tipo]]="Jrs. Cap. Próprio",Tabela4[[#This Row],[Valor]]*85%,0))</f>
        <v>4.0544999999999998E-2</v>
      </c>
      <c r="I291" s="35" t="s">
        <v>96</v>
      </c>
      <c r="J291" s="35">
        <v>2011</v>
      </c>
      <c r="K291" s="34">
        <f>SUMPRODUCT(N(Tabela4[Ativo]=Tabela5[[#This Row],[Ativo]]),N(YEAR(Tabela4[Data ex-1])=Tabela5[[#This Row],[Ano]]),Tabela4[Líquido])</f>
        <v>1.2934399999999999</v>
      </c>
      <c r="L291" s="87"/>
      <c r="M291" s="87"/>
      <c r="N291" s="88">
        <f>IF(Tabela5[[#This Row],[Dividendos]]&gt;0,Tabela5[[#This Row],[Dividendos]]/Tabela5[[#This Row],[Lucro Líquido]],0)</f>
        <v>0</v>
      </c>
      <c r="O291" s="23"/>
      <c r="P291" s="10"/>
    </row>
    <row r="292" spans="1:16" x14ac:dyDescent="0.2">
      <c r="A292" s="4" t="s">
        <v>195</v>
      </c>
      <c r="B292" s="3" t="s">
        <v>14</v>
      </c>
      <c r="C292" s="18">
        <v>40512</v>
      </c>
      <c r="D292" s="21">
        <v>2.1799460999999999E-2</v>
      </c>
      <c r="E292" s="26">
        <v>40546</v>
      </c>
      <c r="F292" s="16">
        <v>40234</v>
      </c>
      <c r="G292" s="10">
        <f>IF(Tabela4[[#This Row],[Tipo]]="Dividendo",Tabela4[[#This Row],[Valor]],IF(Tabela4[[#This Row],[Tipo]]="Jrs. Cap. Próprio",Tabela4[[#This Row],[Valor]]*85%,0))</f>
        <v>1.8529541849999998E-2</v>
      </c>
      <c r="I292" s="35" t="s">
        <v>96</v>
      </c>
      <c r="J292" s="35">
        <v>2010</v>
      </c>
      <c r="K292" s="34">
        <f>SUMPRODUCT(N(Tabela4[Ativo]=Tabela5[[#This Row],[Ativo]]),N(YEAR(Tabela4[Data ex-1])=Tabela5[[#This Row],[Ano]]),Tabela4[Líquido])</f>
        <v>0.5031699999999999</v>
      </c>
      <c r="L292" s="87"/>
      <c r="M292" s="87"/>
      <c r="N292" s="88">
        <f>IF(Tabela5[[#This Row],[Dividendos]]&gt;0,Tabela5[[#This Row],[Dividendos]]/Tabela5[[#This Row],[Lucro Líquido]],0)</f>
        <v>0</v>
      </c>
      <c r="O292" s="23"/>
      <c r="P292" s="10"/>
    </row>
    <row r="293" spans="1:16" x14ac:dyDescent="0.2">
      <c r="A293" s="4" t="s">
        <v>195</v>
      </c>
      <c r="B293" s="3" t="s">
        <v>14</v>
      </c>
      <c r="C293" s="18">
        <v>40480</v>
      </c>
      <c r="D293" s="21">
        <v>2.1799460999999999E-2</v>
      </c>
      <c r="E293" s="26">
        <v>40513</v>
      </c>
      <c r="F293" s="16">
        <v>40480</v>
      </c>
      <c r="G293" s="10">
        <f>IF(Tabela4[[#This Row],[Tipo]]="Dividendo",Tabela4[[#This Row],[Valor]],IF(Tabela4[[#This Row],[Tipo]]="Jrs. Cap. Próprio",Tabela4[[#This Row],[Valor]]*85%,0))</f>
        <v>1.8529541849999998E-2</v>
      </c>
      <c r="I293" s="35" t="s">
        <v>96</v>
      </c>
      <c r="J293" s="35">
        <v>2009</v>
      </c>
      <c r="K293" s="34">
        <f>SUMPRODUCT(N(Tabela4[Ativo]=Tabela5[[#This Row],[Ativo]]),N(YEAR(Tabela4[Data ex-1])=Tabela5[[#This Row],[Ano]]),Tabela4[Líquido])</f>
        <v>1.2920199999999999</v>
      </c>
      <c r="L293" s="87"/>
      <c r="M293" s="87"/>
      <c r="N293" s="88">
        <f>IF(Tabela5[[#This Row],[Dividendos]]&gt;0,Tabela5[[#This Row],[Dividendos]]/Tabela5[[#This Row],[Lucro Líquido]],0)</f>
        <v>0</v>
      </c>
      <c r="O293" s="23"/>
      <c r="P293" s="10"/>
    </row>
    <row r="294" spans="1:16" x14ac:dyDescent="0.2">
      <c r="A294" s="4" t="s">
        <v>195</v>
      </c>
      <c r="B294" s="3" t="s">
        <v>14</v>
      </c>
      <c r="C294" s="18">
        <v>40451</v>
      </c>
      <c r="D294" s="21">
        <v>2.1799460999999999E-2</v>
      </c>
      <c r="E294" s="26">
        <v>40483</v>
      </c>
      <c r="F294" s="16">
        <v>40234</v>
      </c>
      <c r="G294" s="10">
        <f>IF(Tabela4[[#This Row],[Tipo]]="Dividendo",Tabela4[[#This Row],[Valor]],IF(Tabela4[[#This Row],[Tipo]]="Jrs. Cap. Próprio",Tabela4[[#This Row],[Valor]]*85%,0))</f>
        <v>1.8529541849999998E-2</v>
      </c>
      <c r="I294" s="35" t="s">
        <v>96</v>
      </c>
      <c r="J294" s="35">
        <v>2008</v>
      </c>
      <c r="K294" s="34">
        <f>SUMPRODUCT(N(Tabela4[Ativo]=Tabela5[[#This Row],[Ativo]]),N(YEAR(Tabela4[Data ex-1])=Tabela5[[#This Row],[Ano]]),Tabela4[Líquido])</f>
        <v>0.828905</v>
      </c>
      <c r="L294" s="87"/>
      <c r="M294" s="87"/>
      <c r="N294" s="88">
        <f>IF(Tabela5[[#This Row],[Dividendos]]&gt;0,Tabela5[[#This Row],[Dividendos]]/Tabela5[[#This Row],[Lucro Líquido]],0)</f>
        <v>0</v>
      </c>
      <c r="O294" s="23"/>
      <c r="P294" s="10"/>
    </row>
    <row r="295" spans="1:16" x14ac:dyDescent="0.2">
      <c r="A295" s="4" t="s">
        <v>195</v>
      </c>
      <c r="B295" s="3" t="s">
        <v>14</v>
      </c>
      <c r="C295" s="18">
        <v>40421</v>
      </c>
      <c r="D295" s="21">
        <v>2.1799460999999999E-2</v>
      </c>
      <c r="E295" s="26">
        <v>40452</v>
      </c>
      <c r="F295" s="16">
        <v>40234</v>
      </c>
      <c r="G295" s="10">
        <f>IF(Tabela4[[#This Row],[Tipo]]="Dividendo",Tabela4[[#This Row],[Valor]],IF(Tabela4[[#This Row],[Tipo]]="Jrs. Cap. Próprio",Tabela4[[#This Row],[Valor]]*85%,0))</f>
        <v>1.8529541849999998E-2</v>
      </c>
      <c r="I295" s="35" t="s">
        <v>96</v>
      </c>
      <c r="J295" s="35">
        <v>2007</v>
      </c>
      <c r="K295" s="34">
        <f>SUMPRODUCT(N(Tabela4[Ativo]=Tabela5[[#This Row],[Ativo]]),N(YEAR(Tabela4[Data ex-1])=Tabela5[[#This Row],[Ano]]),Tabela4[Líquido])</f>
        <v>0.91573499999999997</v>
      </c>
      <c r="L295" s="87"/>
      <c r="M295" s="87"/>
      <c r="N295" s="88">
        <f>IF(Tabela5[[#This Row],[Dividendos]]&gt;0,Tabela5[[#This Row],[Dividendos]]/Tabela5[[#This Row],[Lucro Líquido]],0)</f>
        <v>0</v>
      </c>
      <c r="O295" s="23"/>
      <c r="P295" s="10"/>
    </row>
    <row r="296" spans="1:16" x14ac:dyDescent="0.2">
      <c r="A296" s="4" t="s">
        <v>195</v>
      </c>
      <c r="B296" s="3" t="s">
        <v>14</v>
      </c>
      <c r="C296" s="80">
        <v>40389</v>
      </c>
      <c r="D296" s="21">
        <v>2.1799460999999999E-2</v>
      </c>
      <c r="E296" s="81">
        <v>40422</v>
      </c>
      <c r="F296" s="81">
        <v>40234</v>
      </c>
      <c r="G296" s="10">
        <f>IF(Tabela4[[#This Row],[Tipo]]="Dividendo",Tabela4[[#This Row],[Valor]],IF(Tabela4[[#This Row],[Tipo]]="Jrs. Cap. Próprio",Tabela4[[#This Row],[Valor]]*85%,0))</f>
        <v>1.8529541849999998E-2</v>
      </c>
      <c r="I296" s="35" t="s">
        <v>96</v>
      </c>
      <c r="J296" s="35">
        <v>2006</v>
      </c>
      <c r="K296" s="34">
        <f>SUMPRODUCT(N(Tabela4[Ativo]=Tabela5[[#This Row],[Ativo]]),N(YEAR(Tabela4[Data ex-1])=Tabela5[[#This Row],[Ano]]),Tabela4[Líquido])</f>
        <v>0.36388499999999996</v>
      </c>
      <c r="L296" s="87"/>
      <c r="M296" s="87"/>
      <c r="N296" s="88">
        <f>IF(Tabela5[[#This Row],[Dividendos]]&gt;0,Tabela5[[#This Row],[Dividendos]]/Tabela5[[#This Row],[Lucro Líquido]],0)</f>
        <v>0</v>
      </c>
      <c r="O296" s="23"/>
      <c r="P296" s="10"/>
    </row>
    <row r="297" spans="1:16" x14ac:dyDescent="0.2">
      <c r="A297" s="4" t="s">
        <v>195</v>
      </c>
      <c r="B297" s="3" t="s">
        <v>14</v>
      </c>
      <c r="C297" s="18">
        <v>40359</v>
      </c>
      <c r="D297" s="21">
        <v>2.1799460999999999E-2</v>
      </c>
      <c r="E297" s="26">
        <v>40392</v>
      </c>
      <c r="F297" s="16">
        <v>40234</v>
      </c>
      <c r="G297" s="10">
        <f>IF(Tabela4[[#This Row],[Tipo]]="Dividendo",Tabela4[[#This Row],[Valor]],IF(Tabela4[[#This Row],[Tipo]]="Jrs. Cap. Próprio",Tabela4[[#This Row],[Valor]]*85%,0))</f>
        <v>1.8529541849999998E-2</v>
      </c>
      <c r="I297" s="35" t="s">
        <v>96</v>
      </c>
      <c r="J297" s="35">
        <v>2005</v>
      </c>
      <c r="K297" s="34">
        <f>SUMPRODUCT(N(Tabela4[Ativo]=Tabela5[[#This Row],[Ativo]]),N(YEAR(Tabela4[Data ex-1])=Tabela5[[#This Row],[Ano]]),Tabela4[Líquido])</f>
        <v>0.28389999999999999</v>
      </c>
      <c r="L297" s="87"/>
      <c r="M297" s="87"/>
      <c r="N297" s="88">
        <f>IF(Tabela5[[#This Row],[Dividendos]]&gt;0,Tabela5[[#This Row],[Dividendos]]/Tabela5[[#This Row],[Lucro Líquido]],0)</f>
        <v>0</v>
      </c>
      <c r="O297" s="23"/>
      <c r="P297" s="10"/>
    </row>
    <row r="298" spans="1:16" x14ac:dyDescent="0.2">
      <c r="A298" s="4" t="s">
        <v>195</v>
      </c>
      <c r="B298" s="3" t="s">
        <v>14</v>
      </c>
      <c r="C298" s="18">
        <v>40329</v>
      </c>
      <c r="D298" s="21">
        <v>2.1799460999999999E-2</v>
      </c>
      <c r="E298" s="26">
        <v>40360</v>
      </c>
      <c r="F298" s="16">
        <v>40234</v>
      </c>
      <c r="G298" s="10">
        <f>IF(Tabela4[[#This Row],[Tipo]]="Dividendo",Tabela4[[#This Row],[Valor]],IF(Tabela4[[#This Row],[Tipo]]="Jrs. Cap. Próprio",Tabela4[[#This Row],[Valor]]*85%,0))</f>
        <v>1.8529541849999998E-2</v>
      </c>
      <c r="I298" s="35" t="s">
        <v>96</v>
      </c>
      <c r="J298" s="35">
        <v>2004</v>
      </c>
      <c r="K298" s="34">
        <f>SUMPRODUCT(N(Tabela4[Ativo]=Tabela5[[#This Row],[Ativo]]),N(YEAR(Tabela4[Data ex-1])=Tabela5[[#This Row],[Ano]]),Tabela4[Líquido])</f>
        <v>0.12520499999999998</v>
      </c>
      <c r="L298" s="87"/>
      <c r="M298" s="87"/>
      <c r="N298" s="88">
        <f>IF(Tabela5[[#This Row],[Dividendos]]&gt;0,Tabela5[[#This Row],[Dividendos]]/Tabela5[[#This Row],[Lucro Líquido]],0)</f>
        <v>0</v>
      </c>
      <c r="O298" s="23"/>
      <c r="P298" s="10"/>
    </row>
    <row r="299" spans="1:16" x14ac:dyDescent="0.2">
      <c r="A299" s="4" t="s">
        <v>195</v>
      </c>
      <c r="B299" s="3" t="s">
        <v>15</v>
      </c>
      <c r="C299" s="18">
        <v>40298</v>
      </c>
      <c r="D299" s="10">
        <v>1.6000000000000001E-3</v>
      </c>
      <c r="E299" s="26">
        <v>40330</v>
      </c>
      <c r="F299" s="16">
        <v>40298</v>
      </c>
      <c r="G299" s="10">
        <f>IF(Tabela4[[#This Row],[Tipo]]="Dividendo",Tabela4[[#This Row],[Valor]],IF(Tabela4[[#This Row],[Tipo]]="Jrs. Cap. Próprio",Tabela4[[#This Row],[Valor]]*85%,0))</f>
        <v>1.6000000000000001E-3</v>
      </c>
      <c r="I299" s="35" t="s">
        <v>96</v>
      </c>
      <c r="J299" s="35">
        <v>2003</v>
      </c>
      <c r="K299" s="34">
        <f>SUMPRODUCT(N(Tabela4[Ativo]=Tabela5[[#This Row],[Ativo]]),N(YEAR(Tabela4[Data ex-1])=Tabela5[[#This Row],[Ano]]),Tabela4[Líquido])</f>
        <v>0</v>
      </c>
      <c r="L299" s="87"/>
      <c r="M299" s="87"/>
      <c r="N299" s="88">
        <f>IF(Tabela5[[#This Row],[Dividendos]]&gt;0,Tabela5[[#This Row],[Dividendos]]/Tabela5[[#This Row],[Lucro Líquido]],0)</f>
        <v>0</v>
      </c>
      <c r="O299" s="23"/>
      <c r="P299" s="10"/>
    </row>
    <row r="300" spans="1:16" x14ac:dyDescent="0.2">
      <c r="A300" s="4" t="s">
        <v>195</v>
      </c>
      <c r="B300" s="3" t="s">
        <v>14</v>
      </c>
      <c r="C300" s="18">
        <v>40298</v>
      </c>
      <c r="D300" s="21">
        <v>2.1799460999999999E-2</v>
      </c>
      <c r="E300" s="26">
        <v>40330</v>
      </c>
      <c r="F300" s="16">
        <v>40234</v>
      </c>
      <c r="G300" s="10">
        <f>IF(Tabela4[[#This Row],[Tipo]]="Dividendo",Tabela4[[#This Row],[Valor]],IF(Tabela4[[#This Row],[Tipo]]="Jrs. Cap. Próprio",Tabela4[[#This Row],[Valor]]*85%,0))</f>
        <v>1.8529541849999998E-2</v>
      </c>
      <c r="I300" s="35" t="s">
        <v>96</v>
      </c>
      <c r="J300" s="35">
        <v>2002</v>
      </c>
      <c r="K300" s="34">
        <f>SUMPRODUCT(N(Tabela4[Ativo]=Tabela5[[#This Row],[Ativo]]),N(YEAR(Tabela4[Data ex-1])=Tabela5[[#This Row],[Ano]]),Tabela4[Líquido])</f>
        <v>0.26621999999999996</v>
      </c>
      <c r="L300" s="87"/>
      <c r="M300" s="87"/>
      <c r="N300" s="88">
        <f>IF(Tabela5[[#This Row],[Dividendos]]&gt;0,Tabela5[[#This Row],[Dividendos]]/Tabela5[[#This Row],[Lucro Líquido]],0)</f>
        <v>0</v>
      </c>
      <c r="O300" s="23"/>
      <c r="P300" s="10"/>
    </row>
    <row r="301" spans="1:16" x14ac:dyDescent="0.2">
      <c r="A301" s="4" t="s">
        <v>195</v>
      </c>
      <c r="B301" s="3" t="s">
        <v>14</v>
      </c>
      <c r="C301" s="18">
        <v>40268</v>
      </c>
      <c r="D301" s="21">
        <v>2.1799460999999999E-2</v>
      </c>
      <c r="E301" s="26">
        <v>40301</v>
      </c>
      <c r="F301" s="16">
        <v>40268</v>
      </c>
      <c r="G301" s="10">
        <f>IF(Tabela4[[#This Row],[Tipo]]="Dividendo",Tabela4[[#This Row],[Valor]],IF(Tabela4[[#This Row],[Tipo]]="Jrs. Cap. Próprio",Tabela4[[#This Row],[Valor]]*85%,0))</f>
        <v>1.8529541849999998E-2</v>
      </c>
      <c r="I301" s="35" t="s">
        <v>96</v>
      </c>
      <c r="J301" s="35">
        <v>2001</v>
      </c>
      <c r="K301" s="34">
        <f>SUMPRODUCT(N(Tabela4[Ativo]=Tabela5[[#This Row],[Ativo]]),N(YEAR(Tabela4[Data ex-1])=Tabela5[[#This Row],[Ano]]),Tabela4[Líquido])</f>
        <v>0.504135</v>
      </c>
      <c r="L301" s="87"/>
      <c r="M301" s="87"/>
      <c r="N301" s="88">
        <f>IF(Tabela5[[#This Row],[Dividendos]]&gt;0,Tabela5[[#This Row],[Dividendos]]/Tabela5[[#This Row],[Lucro Líquido]],0)</f>
        <v>0</v>
      </c>
      <c r="O301" s="23"/>
      <c r="P301" s="10"/>
    </row>
    <row r="302" spans="1:16" x14ac:dyDescent="0.2">
      <c r="A302" s="4" t="s">
        <v>195</v>
      </c>
      <c r="B302" s="3" t="s">
        <v>14</v>
      </c>
      <c r="C302" s="18">
        <v>40235</v>
      </c>
      <c r="D302" s="10">
        <v>4.36E-2</v>
      </c>
      <c r="E302" s="26"/>
      <c r="F302" s="16">
        <v>40234</v>
      </c>
      <c r="G302" s="10">
        <f>IF(Tabela4[[#This Row],[Tipo]]="Dividendo",Tabela4[[#This Row],[Valor]],IF(Tabela4[[#This Row],[Tipo]]="Jrs. Cap. Próprio",Tabela4[[#This Row],[Valor]]*85%,0))</f>
        <v>3.7059999999999996E-2</v>
      </c>
      <c r="I302" s="35" t="s">
        <v>96</v>
      </c>
      <c r="J302" s="35">
        <v>2000</v>
      </c>
      <c r="K302" s="34">
        <f>SUMPRODUCT(N(Tabela4[Ativo]=Tabela5[[#This Row],[Ativo]]),N(YEAR(Tabela4[Data ex-1])=Tabela5[[#This Row],[Ano]]),Tabela4[Líquido])</f>
        <v>0.53328999999999993</v>
      </c>
      <c r="L302" s="87"/>
      <c r="M302" s="87"/>
      <c r="N302" s="88">
        <f>IF(Tabela5[[#This Row],[Dividendos]]&gt;0,Tabela5[[#This Row],[Dividendos]]/Tabela5[[#This Row],[Lucro Líquido]],0)</f>
        <v>0</v>
      </c>
      <c r="O302" s="23"/>
      <c r="P302" s="10"/>
    </row>
    <row r="303" spans="1:16" x14ac:dyDescent="0.2">
      <c r="A303" s="86" t="s">
        <v>195</v>
      </c>
      <c r="B303" s="3" t="s">
        <v>14</v>
      </c>
      <c r="C303" s="80">
        <v>40147</v>
      </c>
      <c r="D303" s="21">
        <v>1.8466350999999999E-2</v>
      </c>
      <c r="E303" s="81">
        <v>40182</v>
      </c>
      <c r="F303" s="81">
        <v>40147</v>
      </c>
      <c r="G303" s="10">
        <f>IF(Tabela4[[#This Row],[Tipo]]="Dividendo",Tabela4[[#This Row],[Valor]],IF(Tabela4[[#This Row],[Tipo]]="Jrs. Cap. Próprio",Tabela4[[#This Row],[Valor]]*85%,0))</f>
        <v>1.5696398349999998E-2</v>
      </c>
      <c r="I303" s="35" t="s">
        <v>96</v>
      </c>
      <c r="J303" s="35">
        <v>1999</v>
      </c>
      <c r="K303" s="34">
        <f>SUMPRODUCT(N(Tabela4[Ativo]=Tabela5[[#This Row],[Ativo]]),N(YEAR(Tabela4[Data ex-1])=Tabela5[[#This Row],[Ano]]),Tabela4[Líquido])</f>
        <v>0.40426000000000001</v>
      </c>
      <c r="L303" s="87"/>
      <c r="M303" s="87"/>
      <c r="N303" s="88">
        <f>IF(Tabela5[[#This Row],[Dividendos]]&gt;0,Tabela5[[#This Row],[Dividendos]]/Tabela5[[#This Row],[Lucro Líquido]],0)</f>
        <v>0</v>
      </c>
      <c r="O303" s="23"/>
      <c r="P303" s="10"/>
    </row>
    <row r="304" spans="1:16" x14ac:dyDescent="0.2">
      <c r="A304" s="86" t="s">
        <v>195</v>
      </c>
      <c r="B304" s="3" t="s">
        <v>14</v>
      </c>
      <c r="C304" s="18">
        <v>40116</v>
      </c>
      <c r="D304" s="21">
        <v>1.8466350999999999E-2</v>
      </c>
      <c r="E304" s="26">
        <v>40148</v>
      </c>
      <c r="F304" s="16">
        <v>40116</v>
      </c>
      <c r="G304" s="10">
        <f>IF(Tabela4[[#This Row],[Tipo]]="Dividendo",Tabela4[[#This Row],[Valor]],IF(Tabela4[[#This Row],[Tipo]]="Jrs. Cap. Próprio",Tabela4[[#This Row],[Valor]]*85%,0))</f>
        <v>1.5696398349999998E-2</v>
      </c>
      <c r="I304" s="3" t="s">
        <v>255</v>
      </c>
      <c r="J304" s="3">
        <v>2013</v>
      </c>
      <c r="K304" s="10">
        <f>SUMPRODUCT(N(Tabela4[Ativo]=Tabela5[[#This Row],[Ativo]]),N(YEAR(Tabela4[Data ex-1])=Tabela5[[#This Row],[Ano]]),Tabela4[Líquido])</f>
        <v>0.23757499999999998</v>
      </c>
      <c r="N304" s="23">
        <f>IF(Tabela5[[#This Row],[Dividendos]]&gt;0,Tabela5[[#This Row],[Dividendos]]/Tabela5[[#This Row],[Lucro Líquido]],0)</f>
        <v>0</v>
      </c>
      <c r="O304" s="28">
        <v>0.46050000000000002</v>
      </c>
      <c r="P304" s="10"/>
    </row>
    <row r="305" spans="1:16" x14ac:dyDescent="0.2">
      <c r="A305" s="86" t="s">
        <v>195</v>
      </c>
      <c r="B305" s="3" t="s">
        <v>14</v>
      </c>
      <c r="C305" s="18">
        <v>40086</v>
      </c>
      <c r="D305" s="21">
        <v>1.8466350999999999E-2</v>
      </c>
      <c r="E305" s="26">
        <v>40120</v>
      </c>
      <c r="F305" s="16">
        <v>40086</v>
      </c>
      <c r="G305" s="10">
        <f>IF(Tabela4[[#This Row],[Tipo]]="Dividendo",Tabela4[[#This Row],[Valor]],IF(Tabela4[[#This Row],[Tipo]]="Jrs. Cap. Próprio",Tabela4[[#This Row],[Valor]]*85%,0))</f>
        <v>1.5696398349999998E-2</v>
      </c>
      <c r="I305" s="3" t="s">
        <v>255</v>
      </c>
      <c r="J305" s="3">
        <v>2012</v>
      </c>
      <c r="K305" s="10">
        <f>SUMPRODUCT(N(Tabela4[Ativo]=Tabela5[[#This Row],[Ativo]]),N(YEAR(Tabela4[Data ex-1])=Tabela5[[#This Row],[Ano]]),Tabela4[Líquido])</f>
        <v>0.21445500000000001</v>
      </c>
      <c r="N305" s="23">
        <f>IF(Tabela5[[#This Row],[Dividendos]]&gt;0,Tabela5[[#This Row],[Dividendos]]/Tabela5[[#This Row],[Lucro Líquido]],0)</f>
        <v>0</v>
      </c>
      <c r="O305" s="28">
        <v>0.28000000000000003</v>
      </c>
      <c r="P305" s="10"/>
    </row>
    <row r="306" spans="1:16" x14ac:dyDescent="0.2">
      <c r="A306" s="86" t="s">
        <v>195</v>
      </c>
      <c r="B306" s="3" t="s">
        <v>14</v>
      </c>
      <c r="C306" s="18">
        <v>40056</v>
      </c>
      <c r="D306" s="21">
        <v>1.8466350999999999E-2</v>
      </c>
      <c r="E306" s="26">
        <v>40087</v>
      </c>
      <c r="F306" s="16">
        <v>40056</v>
      </c>
      <c r="G306" s="10">
        <f>IF(Tabela4[[#This Row],[Tipo]]="Dividendo",Tabela4[[#This Row],[Valor]],IF(Tabela4[[#This Row],[Tipo]]="Jrs. Cap. Próprio",Tabela4[[#This Row],[Valor]]*85%,0))</f>
        <v>1.5696398349999998E-2</v>
      </c>
      <c r="I306" s="3" t="s">
        <v>255</v>
      </c>
      <c r="J306" s="3">
        <v>2011</v>
      </c>
      <c r="K306" s="10">
        <f>SUMPRODUCT(N(Tabela4[Ativo]=Tabela5[[#This Row],[Ativo]]),N(YEAR(Tabela4[Data ex-1])=Tabela5[[#This Row],[Ano]]),Tabela4[Líquido])</f>
        <v>0.19550000000000001</v>
      </c>
      <c r="N306" s="23">
        <f>IF(Tabela5[[#This Row],[Dividendos]]&gt;0,Tabela5[[#This Row],[Dividendos]]/Tabela5[[#This Row],[Lucro Líquido]],0)</f>
        <v>0</v>
      </c>
      <c r="O306" s="28">
        <v>0.3</v>
      </c>
      <c r="P306" s="10"/>
    </row>
    <row r="307" spans="1:16" x14ac:dyDescent="0.2">
      <c r="A307" s="86" t="s">
        <v>195</v>
      </c>
      <c r="B307" s="3" t="s">
        <v>15</v>
      </c>
      <c r="C307" s="18">
        <v>40052</v>
      </c>
      <c r="D307" s="21">
        <v>2.4417760000000001E-3</v>
      </c>
      <c r="E307" s="26">
        <v>40087</v>
      </c>
      <c r="F307" s="16">
        <v>40051</v>
      </c>
      <c r="G307" s="10">
        <f>IF(Tabela4[[#This Row],[Tipo]]="Dividendo",Tabela4[[#This Row],[Valor]],IF(Tabela4[[#This Row],[Tipo]]="Jrs. Cap. Próprio",Tabela4[[#This Row],[Valor]]*85%,0))</f>
        <v>2.4417760000000001E-3</v>
      </c>
      <c r="I307" s="3" t="s">
        <v>255</v>
      </c>
      <c r="J307" s="3">
        <v>2010</v>
      </c>
      <c r="K307" s="10">
        <f>SUMPRODUCT(N(Tabela4[Ativo]=Tabela5[[#This Row],[Ativo]]),N(YEAR(Tabela4[Data ex-1])=Tabela5[[#This Row],[Ano]]),Tabela4[Líquido])</f>
        <v>0.14577499999999999</v>
      </c>
      <c r="N307" s="23">
        <f>IF(Tabela5[[#This Row],[Dividendos]]&gt;0,Tabela5[[#This Row],[Dividendos]]/Tabela5[[#This Row],[Lucro Líquido]],0)</f>
        <v>0</v>
      </c>
      <c r="O307" s="28">
        <v>0.28000000000000003</v>
      </c>
      <c r="P307" s="10"/>
    </row>
    <row r="308" spans="1:16" x14ac:dyDescent="0.2">
      <c r="A308" s="86" t="s">
        <v>195</v>
      </c>
      <c r="B308" s="3" t="s">
        <v>14</v>
      </c>
      <c r="C308" s="80">
        <v>40025</v>
      </c>
      <c r="D308" s="21">
        <v>1.8466350999999999E-2</v>
      </c>
      <c r="E308" s="81">
        <v>40057</v>
      </c>
      <c r="F308" s="81">
        <v>40025</v>
      </c>
      <c r="G308" s="10">
        <f>IF(Tabela4[[#This Row],[Tipo]]="Dividendo",Tabela4[[#This Row],[Valor]],IF(Tabela4[[#This Row],[Tipo]]="Jrs. Cap. Próprio",Tabela4[[#This Row],[Valor]]*85%,0))</f>
        <v>1.5696398349999998E-2</v>
      </c>
      <c r="I308" s="3" t="s">
        <v>255</v>
      </c>
      <c r="J308" s="3">
        <v>2009</v>
      </c>
      <c r="K308" s="10">
        <f>SUMPRODUCT(N(Tabela4[Ativo]=Tabela5[[#This Row],[Ativo]]),N(YEAR(Tabela4[Data ex-1])=Tabela5[[#This Row],[Ano]]),Tabela4[Líquido])</f>
        <v>0.19303500000000001</v>
      </c>
      <c r="N308" s="23">
        <f>IF(Tabela5[[#This Row],[Dividendos]]&gt;0,Tabela5[[#This Row],[Dividendos]]/Tabela5[[#This Row],[Lucro Líquido]],0)</f>
        <v>0</v>
      </c>
      <c r="O308" s="28">
        <v>0.34</v>
      </c>
      <c r="P308" s="10"/>
    </row>
    <row r="309" spans="1:16" x14ac:dyDescent="0.2">
      <c r="A309" s="86" t="s">
        <v>195</v>
      </c>
      <c r="B309" s="3" t="s">
        <v>14</v>
      </c>
      <c r="C309" s="18">
        <v>39994</v>
      </c>
      <c r="D309" s="10">
        <v>1.9235781E-2</v>
      </c>
      <c r="E309" s="26">
        <v>40028</v>
      </c>
      <c r="F309" s="16">
        <v>39994</v>
      </c>
      <c r="G309" s="10">
        <f>IF(Tabela4[[#This Row],[Tipo]]="Dividendo",Tabela4[[#This Row],[Valor]],IF(Tabela4[[#This Row],[Tipo]]="Jrs. Cap. Próprio",Tabela4[[#This Row],[Valor]]*85%,0))</f>
        <v>1.6350413849999999E-2</v>
      </c>
      <c r="I309" s="3" t="s">
        <v>255</v>
      </c>
      <c r="J309" s="3">
        <v>2008</v>
      </c>
      <c r="K309" s="10">
        <f>SUMPRODUCT(N(Tabela4[Ativo]=Tabela5[[#This Row],[Ativo]]),N(YEAR(Tabela4[Data ex-1])=Tabela5[[#This Row],[Ano]]),Tabela4[Líquido])</f>
        <v>0.14713500000000002</v>
      </c>
      <c r="N309" s="23">
        <f>IF(Tabela5[[#This Row],[Dividendos]]&gt;0,Tabela5[[#This Row],[Dividendos]]/Tabela5[[#This Row],[Lucro Líquido]],0)</f>
        <v>0</v>
      </c>
      <c r="O309" s="28">
        <v>0.33</v>
      </c>
      <c r="P309" s="10"/>
    </row>
    <row r="310" spans="1:16" x14ac:dyDescent="0.2">
      <c r="A310" s="86" t="s">
        <v>195</v>
      </c>
      <c r="B310" s="3" t="s">
        <v>14</v>
      </c>
      <c r="C310" s="18">
        <v>39962</v>
      </c>
      <c r="D310" s="10">
        <v>1.9235781E-2</v>
      </c>
      <c r="E310" s="26">
        <v>39995</v>
      </c>
      <c r="F310" s="16">
        <v>39962</v>
      </c>
      <c r="G310" s="10">
        <f>IF(Tabela4[[#This Row],[Tipo]]="Dividendo",Tabela4[[#This Row],[Valor]],IF(Tabela4[[#This Row],[Tipo]]="Jrs. Cap. Próprio",Tabela4[[#This Row],[Valor]]*85%,0))</f>
        <v>1.6350413849999999E-2</v>
      </c>
      <c r="I310" s="3" t="s">
        <v>255</v>
      </c>
      <c r="J310" s="3">
        <v>2007</v>
      </c>
      <c r="K310" s="10">
        <f>SUMPRODUCT(N(Tabela4[Ativo]=Tabela5[[#This Row],[Ativo]]),N(YEAR(Tabela4[Data ex-1])=Tabela5[[#This Row],[Ano]]),Tabela4[Líquido])</f>
        <v>0.15223499999999998</v>
      </c>
      <c r="N310" s="23">
        <f>IF(Tabela5[[#This Row],[Dividendos]]&gt;0,Tabela5[[#This Row],[Dividendos]]/Tabela5[[#This Row],[Lucro Líquido]],0)</f>
        <v>0</v>
      </c>
      <c r="O310" s="28">
        <v>0.3</v>
      </c>
      <c r="P310" s="10"/>
    </row>
    <row r="311" spans="1:16" x14ac:dyDescent="0.2">
      <c r="A311" s="86" t="s">
        <v>195</v>
      </c>
      <c r="B311" s="3" t="s">
        <v>14</v>
      </c>
      <c r="C311" s="18">
        <v>39933</v>
      </c>
      <c r="D311" s="10">
        <v>1.9235781E-2</v>
      </c>
      <c r="E311" s="26">
        <v>39965</v>
      </c>
      <c r="F311" s="16">
        <v>39933</v>
      </c>
      <c r="G311" s="10">
        <f>IF(Tabela4[[#This Row],[Tipo]]="Dividendo",Tabela4[[#This Row],[Valor]],IF(Tabela4[[#This Row],[Tipo]]="Jrs. Cap. Próprio",Tabela4[[#This Row],[Valor]]*85%,0))</f>
        <v>1.6350413849999999E-2</v>
      </c>
      <c r="I311" s="3" t="s">
        <v>255</v>
      </c>
      <c r="J311" s="3">
        <v>2006</v>
      </c>
      <c r="K311" s="10">
        <f>SUMPRODUCT(N(Tabela4[Ativo]=Tabela5[[#This Row],[Ativo]]),N(YEAR(Tabela4[Data ex-1])=Tabela5[[#This Row],[Ano]]),Tabela4[Líquido])</f>
        <v>0.12529000000000001</v>
      </c>
      <c r="N311" s="23">
        <f>IF(Tabela5[[#This Row],[Dividendos]]&gt;0,Tabela5[[#This Row],[Dividendos]]/Tabela5[[#This Row],[Lucro Líquido]],0)</f>
        <v>0</v>
      </c>
      <c r="O311" s="28">
        <v>0.25</v>
      </c>
      <c r="P311" s="10"/>
    </row>
    <row r="312" spans="1:16" x14ac:dyDescent="0.2">
      <c r="A312" s="86" t="s">
        <v>195</v>
      </c>
      <c r="B312" s="3" t="s">
        <v>15</v>
      </c>
      <c r="C312" s="18">
        <v>39931</v>
      </c>
      <c r="D312" s="10">
        <v>4.8609869999999999E-2</v>
      </c>
      <c r="E312" s="26">
        <v>39965</v>
      </c>
      <c r="F312" s="16">
        <v>39931</v>
      </c>
      <c r="G312" s="10">
        <f>IF(Tabela4[[#This Row],[Tipo]]="Dividendo",Tabela4[[#This Row],[Valor]],IF(Tabela4[[#This Row],[Tipo]]="Jrs. Cap. Próprio",Tabela4[[#This Row],[Valor]]*85%,0))</f>
        <v>4.8609869999999999E-2</v>
      </c>
      <c r="I312" s="3" t="s">
        <v>255</v>
      </c>
      <c r="J312" s="3">
        <v>2005</v>
      </c>
      <c r="K312" s="10">
        <f>SUMPRODUCT(N(Tabela4[Ativo]=Tabela5[[#This Row],[Ativo]]),N(YEAR(Tabela4[Data ex-1])=Tabela5[[#This Row],[Ano]]),Tabela4[Líquido])</f>
        <v>0.11645</v>
      </c>
      <c r="N312" s="23">
        <f>IF(Tabela5[[#This Row],[Dividendos]]&gt;0,Tabela5[[#This Row],[Dividendos]]/Tabela5[[#This Row],[Lucro Líquido]],0)</f>
        <v>0</v>
      </c>
      <c r="O312" s="28">
        <v>0.27</v>
      </c>
      <c r="P312" s="10"/>
    </row>
    <row r="313" spans="1:16" x14ac:dyDescent="0.2">
      <c r="A313" s="86" t="s">
        <v>195</v>
      </c>
      <c r="B313" s="3" t="s">
        <v>14</v>
      </c>
      <c r="C313" s="18">
        <v>39903</v>
      </c>
      <c r="D313" s="10">
        <v>1.9235781E-2</v>
      </c>
      <c r="E313" s="26">
        <v>39937</v>
      </c>
      <c r="F313" s="16">
        <v>39903</v>
      </c>
      <c r="G313" s="10">
        <f>IF(Tabela4[[#This Row],[Tipo]]="Dividendo",Tabela4[[#This Row],[Valor]],IF(Tabela4[[#This Row],[Tipo]]="Jrs. Cap. Próprio",Tabela4[[#This Row],[Valor]]*85%,0))</f>
        <v>1.6350413849999999E-2</v>
      </c>
      <c r="I313" s="3" t="s">
        <v>255</v>
      </c>
      <c r="J313" s="3">
        <v>2004</v>
      </c>
      <c r="K313" s="10">
        <f>SUMPRODUCT(N(Tabela4[Ativo]=Tabela5[[#This Row],[Ativo]]),N(YEAR(Tabela4[Data ex-1])=Tabela5[[#This Row],[Ano]]),Tabela4[Líquido])</f>
        <v>9.3244999999999995E-2</v>
      </c>
      <c r="N313" s="23">
        <f>IF(Tabela5[[#This Row],[Dividendos]]&gt;0,Tabela5[[#This Row],[Dividendos]]/Tabela5[[#This Row],[Lucro Líquido]],0)</f>
        <v>0</v>
      </c>
      <c r="O313" s="28">
        <v>0.2</v>
      </c>
      <c r="P313" s="10"/>
    </row>
    <row r="314" spans="1:16" x14ac:dyDescent="0.2">
      <c r="A314" s="86" t="s">
        <v>195</v>
      </c>
      <c r="B314" s="3" t="s">
        <v>14</v>
      </c>
      <c r="C314" s="18">
        <v>39871</v>
      </c>
      <c r="D314" s="10">
        <v>1.9235781E-2</v>
      </c>
      <c r="E314" s="26">
        <v>39904</v>
      </c>
      <c r="F314" s="16">
        <v>39871</v>
      </c>
      <c r="G314" s="10">
        <f>IF(Tabela4[[#This Row],[Tipo]]="Dividendo",Tabela4[[#This Row],[Valor]],IF(Tabela4[[#This Row],[Tipo]]="Jrs. Cap. Próprio",Tabela4[[#This Row],[Valor]]*85%,0))</f>
        <v>1.6350413849999999E-2</v>
      </c>
      <c r="I314" s="3" t="s">
        <v>255</v>
      </c>
      <c r="J314" s="3">
        <v>2003</v>
      </c>
      <c r="K314" s="10">
        <f>SUMPRODUCT(N(Tabela4[Ativo]=Tabela5[[#This Row],[Ativo]]),N(YEAR(Tabela4[Data ex-1])=Tabela5[[#This Row],[Ano]]),Tabela4[Líquido])</f>
        <v>8.1174999999999997E-2</v>
      </c>
      <c r="N314" s="23">
        <f>IF(Tabela5[[#This Row],[Dividendos]]&gt;0,Tabela5[[#This Row],[Dividendos]]/Tabela5[[#This Row],[Lucro Líquido]],0)</f>
        <v>0</v>
      </c>
      <c r="O314" s="28">
        <v>0.24</v>
      </c>
      <c r="P314" s="10"/>
    </row>
    <row r="315" spans="1:16" x14ac:dyDescent="0.2">
      <c r="A315" s="86" t="s">
        <v>195</v>
      </c>
      <c r="B315" s="3" t="s">
        <v>14</v>
      </c>
      <c r="C315" s="18">
        <v>39861</v>
      </c>
      <c r="D315" s="10">
        <v>1.9235781E-2</v>
      </c>
      <c r="E315" s="26">
        <v>39874</v>
      </c>
      <c r="F315" s="16">
        <v>39860</v>
      </c>
      <c r="G315" s="10">
        <f>IF(Tabela4[[#This Row],[Tipo]]="Dividendo",Tabela4[[#This Row],[Valor]],IF(Tabela4[[#This Row],[Tipo]]="Jrs. Cap. Próprio",Tabela4[[#This Row],[Valor]]*85%,0))</f>
        <v>1.6350413849999999E-2</v>
      </c>
      <c r="I315" s="3" t="s">
        <v>255</v>
      </c>
      <c r="J315" s="3">
        <v>2002</v>
      </c>
      <c r="K315" s="10">
        <f>SUMPRODUCT(N(Tabela4[Ativo]=Tabela5[[#This Row],[Ativo]]),N(YEAR(Tabela4[Data ex-1])=Tabela5[[#This Row],[Ano]]),Tabela4[Líquido])</f>
        <v>7.4289999999999995E-2</v>
      </c>
      <c r="N315" s="23">
        <f>IF(Tabela5[[#This Row],[Dividendos]]&gt;0,Tabela5[[#This Row],[Dividendos]]/Tabela5[[#This Row],[Lucro Líquido]],0)</f>
        <v>0</v>
      </c>
      <c r="O315" s="28">
        <v>0.28999999999999998</v>
      </c>
      <c r="P315" s="10"/>
    </row>
    <row r="316" spans="1:16" x14ac:dyDescent="0.2">
      <c r="A316" s="86" t="s">
        <v>195</v>
      </c>
      <c r="B316" s="3" t="s">
        <v>14</v>
      </c>
      <c r="C316" s="18">
        <v>39812</v>
      </c>
      <c r="D316" s="21">
        <v>1.4691661999999999E-3</v>
      </c>
      <c r="E316" s="26">
        <v>39846</v>
      </c>
      <c r="F316" s="16">
        <v>39812</v>
      </c>
      <c r="G316" s="10">
        <f>IF(Tabela4[[#This Row],[Tipo]]="Dividendo",Tabela4[[#This Row],[Valor]],IF(Tabela4[[#This Row],[Tipo]]="Jrs. Cap. Próprio",Tabela4[[#This Row],[Valor]]*85%,0))</f>
        <v>1.24879127E-3</v>
      </c>
      <c r="I316" s="3" t="s">
        <v>255</v>
      </c>
      <c r="J316" s="3">
        <v>2001</v>
      </c>
      <c r="K316" s="10">
        <f>SUMPRODUCT(N(Tabela4[Ativo]=Tabela5[[#This Row],[Ativo]]),N(YEAR(Tabela4[Data ex-1])=Tabela5[[#This Row],[Ano]]),Tabela4[Líquido])</f>
        <v>6.7574999999999996E-2</v>
      </c>
      <c r="N316" s="23">
        <f>IF(Tabela5[[#This Row],[Dividendos]]&gt;0,Tabela5[[#This Row],[Dividendos]]/Tabela5[[#This Row],[Lucro Líquido]],0)</f>
        <v>0</v>
      </c>
      <c r="O316" s="28">
        <v>0.3</v>
      </c>
      <c r="P316" s="10"/>
    </row>
    <row r="317" spans="1:16" x14ac:dyDescent="0.2">
      <c r="A317" s="86" t="s">
        <v>195</v>
      </c>
      <c r="B317" s="3" t="s">
        <v>14</v>
      </c>
      <c r="C317" s="18">
        <v>39780</v>
      </c>
      <c r="D317" s="21">
        <v>1.4691661999999999E-3</v>
      </c>
      <c r="E317" s="26">
        <v>39815</v>
      </c>
      <c r="F317" s="16">
        <v>39780</v>
      </c>
      <c r="G317" s="10">
        <f>IF(Tabela4[[#This Row],[Tipo]]="Dividendo",Tabela4[[#This Row],[Valor]],IF(Tabela4[[#This Row],[Tipo]]="Jrs. Cap. Próprio",Tabela4[[#This Row],[Valor]]*85%,0))</f>
        <v>1.24879127E-3</v>
      </c>
      <c r="I317" s="3" t="s">
        <v>255</v>
      </c>
      <c r="J317" s="3">
        <v>2000</v>
      </c>
      <c r="K317" s="10">
        <f>SUMPRODUCT(N(Tabela4[Ativo]=Tabela5[[#This Row],[Ativo]]),N(YEAR(Tabela4[Data ex-1])=Tabela5[[#This Row],[Ano]]),Tabela4[Líquido])</f>
        <v>6.2304999999999999E-2</v>
      </c>
      <c r="N317" s="23">
        <f>IF(Tabela5[[#This Row],[Dividendos]]&gt;0,Tabela5[[#This Row],[Dividendos]]/Tabela5[[#This Row],[Lucro Líquido]],0)</f>
        <v>0</v>
      </c>
      <c r="O317" s="28"/>
      <c r="P317" s="10"/>
    </row>
    <row r="318" spans="1:16" x14ac:dyDescent="0.2">
      <c r="A318" s="86" t="s">
        <v>195</v>
      </c>
      <c r="B318" s="3" t="s">
        <v>14</v>
      </c>
      <c r="C318" s="18">
        <v>39752</v>
      </c>
      <c r="D318" s="21">
        <v>1.4691661999999999E-3</v>
      </c>
      <c r="E318" s="26">
        <v>39783</v>
      </c>
      <c r="F318" s="16">
        <v>39752</v>
      </c>
      <c r="G318" s="10">
        <f>IF(Tabela4[[#This Row],[Tipo]]="Dividendo",Tabela4[[#This Row],[Valor]],IF(Tabela4[[#This Row],[Tipo]]="Jrs. Cap. Próprio",Tabela4[[#This Row],[Valor]]*85%,0))</f>
        <v>1.24879127E-3</v>
      </c>
      <c r="I318" s="3" t="s">
        <v>255</v>
      </c>
      <c r="J318" s="3">
        <v>1999</v>
      </c>
      <c r="K318" s="10">
        <f>SUMPRODUCT(N(Tabela4[Ativo]=Tabela5[[#This Row],[Ativo]]),N(YEAR(Tabela4[Data ex-1])=Tabela5[[#This Row],[Ano]]),Tabela4[Líquido])</f>
        <v>5.8224999999999999E-2</v>
      </c>
      <c r="N318" s="23">
        <f>IF(Tabela5[[#This Row],[Dividendos]]&gt;0,Tabela5[[#This Row],[Dividendos]]/Tabela5[[#This Row],[Lucro Líquido]],0)</f>
        <v>0</v>
      </c>
      <c r="O318" s="28"/>
      <c r="P318" s="10"/>
    </row>
    <row r="319" spans="1:16" x14ac:dyDescent="0.2">
      <c r="A319" s="86" t="s">
        <v>195</v>
      </c>
      <c r="B319" s="3" t="s">
        <v>14</v>
      </c>
      <c r="C319" s="18">
        <v>39721</v>
      </c>
      <c r="D319" s="21">
        <v>1.4691661999999999E-3</v>
      </c>
      <c r="E319" s="26">
        <v>39755</v>
      </c>
      <c r="F319" s="16">
        <v>39721</v>
      </c>
      <c r="G319" s="10">
        <f>IF(Tabela4[[#This Row],[Tipo]]="Dividendo",Tabela4[[#This Row],[Valor]],IF(Tabela4[[#This Row],[Tipo]]="Jrs. Cap. Próprio",Tabela4[[#This Row],[Valor]]*85%,0))</f>
        <v>1.24879127E-3</v>
      </c>
      <c r="I319" s="4" t="s">
        <v>221</v>
      </c>
      <c r="J319" s="4">
        <v>2013</v>
      </c>
      <c r="K319" s="14">
        <f>SUMPRODUCT(N(Tabela4[Ativo]=Tabela5[[#This Row],[Ativo]]),N(YEAR(Tabela4[Data ex-1])=Tabela5[[#This Row],[Ano]]),Tabela4[Líquido])</f>
        <v>9.2399999999999996E-2</v>
      </c>
      <c r="L319" s="6"/>
      <c r="M319" s="6"/>
      <c r="N319" s="24">
        <f>IF(Tabela5[[#This Row],[Dividendos]]&gt;0,Tabela5[[#This Row],[Dividendos]]/Tabela5[[#This Row],[Lucro Líquido]],0)</f>
        <v>0</v>
      </c>
      <c r="O319" s="23">
        <v>0.25480000000000003</v>
      </c>
      <c r="P319" s="10"/>
    </row>
    <row r="320" spans="1:16" x14ac:dyDescent="0.2">
      <c r="A320" s="86" t="s">
        <v>195</v>
      </c>
      <c r="B320" s="3" t="s">
        <v>14</v>
      </c>
      <c r="C320" s="18">
        <v>39689</v>
      </c>
      <c r="D320" s="21">
        <v>1.4691661999999999E-3</v>
      </c>
      <c r="E320" s="26">
        <v>39722</v>
      </c>
      <c r="F320" s="16">
        <v>39689</v>
      </c>
      <c r="G320" s="10">
        <f>IF(Tabela4[[#This Row],[Tipo]]="Dividendo",Tabela4[[#This Row],[Valor]],IF(Tabela4[[#This Row],[Tipo]]="Jrs. Cap. Próprio",Tabela4[[#This Row],[Valor]]*85%,0))</f>
        <v>1.24879127E-3</v>
      </c>
      <c r="I320" s="4" t="s">
        <v>221</v>
      </c>
      <c r="J320" s="4">
        <v>2012</v>
      </c>
      <c r="K320" s="14">
        <f>SUMPRODUCT(N(Tabela4[Ativo]=Tabela5[[#This Row],[Ativo]]),N(YEAR(Tabela4[Data ex-1])=Tabela5[[#This Row],[Ano]]),Tabela4[Líquido])</f>
        <v>1.0446599999999999</v>
      </c>
      <c r="L320" s="6"/>
      <c r="M320" s="6"/>
      <c r="N320" s="24">
        <f>IF(Tabela5[[#This Row],[Dividendos]]&gt;0,Tabela5[[#This Row],[Dividendos]]/Tabela5[[#This Row],[Lucro Líquido]],0)</f>
        <v>0</v>
      </c>
      <c r="O320" s="23">
        <v>0.85</v>
      </c>
      <c r="P320" s="10"/>
    </row>
    <row r="321" spans="1:16" x14ac:dyDescent="0.2">
      <c r="A321" s="86" t="s">
        <v>195</v>
      </c>
      <c r="B321" s="3" t="s">
        <v>15</v>
      </c>
      <c r="C321" s="80">
        <v>39686</v>
      </c>
      <c r="D321" s="10">
        <v>2.9833216999999999E-2</v>
      </c>
      <c r="E321" s="81">
        <v>39722</v>
      </c>
      <c r="F321" s="81">
        <v>39685</v>
      </c>
      <c r="G321" s="10">
        <f>IF(Tabela4[[#This Row],[Tipo]]="Dividendo",Tabela4[[#This Row],[Valor]],IF(Tabela4[[#This Row],[Tipo]]="Jrs. Cap. Próprio",Tabela4[[#This Row],[Valor]]*85%,0))</f>
        <v>2.9833216999999999E-2</v>
      </c>
      <c r="I321" s="4" t="s">
        <v>221</v>
      </c>
      <c r="J321" s="4">
        <v>2011</v>
      </c>
      <c r="K321" s="10">
        <f>SUMPRODUCT(N(Tabela4[Ativo]=Tabela5[[#This Row],[Ativo]]),N(YEAR(Tabela4[Data ex-1])=Tabela5[[#This Row],[Ano]]),Tabela4[Líquido])</f>
        <v>1.144695</v>
      </c>
      <c r="N321" s="23">
        <f>IF(Tabela5[[#This Row],[Dividendos]]&gt;0,Tabela5[[#This Row],[Dividendos]]/Tabela5[[#This Row],[Lucro Líquido]],0)</f>
        <v>0</v>
      </c>
      <c r="O321" s="23"/>
      <c r="P321" s="10"/>
    </row>
    <row r="322" spans="1:16" x14ac:dyDescent="0.2">
      <c r="A322" s="86" t="s">
        <v>195</v>
      </c>
      <c r="B322" s="3" t="s">
        <v>14</v>
      </c>
      <c r="C322" s="18">
        <v>39660</v>
      </c>
      <c r="D322" s="21">
        <v>1.4691661999999999E-3</v>
      </c>
      <c r="E322" s="26">
        <v>39692</v>
      </c>
      <c r="F322" s="16">
        <v>39660</v>
      </c>
      <c r="G322" s="10">
        <f>IF(Tabela4[[#This Row],[Tipo]]="Dividendo",Tabela4[[#This Row],[Valor]],IF(Tabela4[[#This Row],[Tipo]]="Jrs. Cap. Próprio",Tabela4[[#This Row],[Valor]]*85%,0))</f>
        <v>1.24879127E-3</v>
      </c>
      <c r="I322" s="4" t="s">
        <v>221</v>
      </c>
      <c r="J322" s="4">
        <v>2010</v>
      </c>
      <c r="K322" s="10">
        <f>SUMPRODUCT(N(Tabela4[Ativo]=Tabela5[[#This Row],[Ativo]]),N(YEAR(Tabela4[Data ex-1])=Tabela5[[#This Row],[Ano]]),Tabela4[Líquido])</f>
        <v>1.23508</v>
      </c>
      <c r="N322" s="23">
        <f>IF(Tabela5[[#This Row],[Dividendos]]&gt;0,Tabela5[[#This Row],[Dividendos]]/Tabela5[[#This Row],[Lucro Líquido]],0)</f>
        <v>0</v>
      </c>
      <c r="O322" s="23"/>
      <c r="P322" s="10"/>
    </row>
    <row r="323" spans="1:16" x14ac:dyDescent="0.2">
      <c r="A323" s="86" t="s">
        <v>195</v>
      </c>
      <c r="B323" s="3" t="s">
        <v>14</v>
      </c>
      <c r="C323" s="18">
        <v>39629</v>
      </c>
      <c r="D323" s="21">
        <v>1.4691661999999999E-3</v>
      </c>
      <c r="E323" s="26">
        <v>39661</v>
      </c>
      <c r="F323" s="16">
        <v>39629</v>
      </c>
      <c r="G323" s="10">
        <f>IF(Tabela4[[#This Row],[Tipo]]="Dividendo",Tabela4[[#This Row],[Valor]],IF(Tabela4[[#This Row],[Tipo]]="Jrs. Cap. Próprio",Tabela4[[#This Row],[Valor]]*85%,0))</f>
        <v>1.24879127E-3</v>
      </c>
      <c r="I323" s="4" t="s">
        <v>221</v>
      </c>
      <c r="J323" s="4">
        <v>2009</v>
      </c>
      <c r="K323" s="10">
        <f>SUMPRODUCT(N(Tabela4[Ativo]=Tabela5[[#This Row],[Ativo]]),N(YEAR(Tabela4[Data ex-1])=Tabela5[[#This Row],[Ano]]),Tabela4[Líquido])</f>
        <v>0.87788500000000003</v>
      </c>
      <c r="N323" s="23">
        <f>IF(Tabela5[[#This Row],[Dividendos]]&gt;0,Tabela5[[#This Row],[Dividendos]]/Tabela5[[#This Row],[Lucro Líquido]],0)</f>
        <v>0</v>
      </c>
      <c r="O323" s="23"/>
      <c r="P323" s="10"/>
    </row>
    <row r="324" spans="1:16" x14ac:dyDescent="0.2">
      <c r="A324" s="86" t="s">
        <v>195</v>
      </c>
      <c r="B324" s="3" t="s">
        <v>14</v>
      </c>
      <c r="C324" s="18">
        <v>39598</v>
      </c>
      <c r="D324" s="21">
        <v>1.4691661999999999E-3</v>
      </c>
      <c r="E324" s="26">
        <v>39630</v>
      </c>
      <c r="F324" s="16">
        <v>39598</v>
      </c>
      <c r="G324" s="10">
        <f>IF(Tabela4[[#This Row],[Tipo]]="Dividendo",Tabela4[[#This Row],[Valor]],IF(Tabela4[[#This Row],[Tipo]]="Jrs. Cap. Próprio",Tabela4[[#This Row],[Valor]]*85%,0))</f>
        <v>1.24879127E-3</v>
      </c>
      <c r="I324" s="4" t="s">
        <v>221</v>
      </c>
      <c r="J324" s="4">
        <v>2008</v>
      </c>
      <c r="K324" s="10">
        <f>SUMPRODUCT(N(Tabela4[Ativo]=Tabela5[[#This Row],[Ativo]]),N(YEAR(Tabela4[Data ex-1])=Tabela5[[#This Row],[Ano]]),Tabela4[Líquido])</f>
        <v>1.1086199999999999</v>
      </c>
      <c r="N324" s="23">
        <f>IF(Tabela5[[#This Row],[Dividendos]]&gt;0,Tabela5[[#This Row],[Dividendos]]/Tabela5[[#This Row],[Lucro Líquido]],0)</f>
        <v>0</v>
      </c>
      <c r="O324" s="23"/>
      <c r="P324" s="10"/>
    </row>
    <row r="325" spans="1:16" x14ac:dyDescent="0.2">
      <c r="A325" s="86" t="s">
        <v>195</v>
      </c>
      <c r="B325" s="3" t="s">
        <v>15</v>
      </c>
      <c r="C325" s="18">
        <v>39568</v>
      </c>
      <c r="D325" s="21">
        <v>7.1532782000000003E-2</v>
      </c>
      <c r="E325" s="26">
        <v>39601</v>
      </c>
      <c r="F325" s="16">
        <v>39568</v>
      </c>
      <c r="G325" s="10">
        <f>IF(Tabela4[[#This Row],[Tipo]]="Dividendo",Tabela4[[#This Row],[Valor]],IF(Tabela4[[#This Row],[Tipo]]="Jrs. Cap. Próprio",Tabela4[[#This Row],[Valor]]*85%,0))</f>
        <v>7.1532782000000003E-2</v>
      </c>
      <c r="I325" s="4" t="s">
        <v>221</v>
      </c>
      <c r="J325" s="4">
        <v>2007</v>
      </c>
      <c r="K325" s="10">
        <f>SUMPRODUCT(N(Tabela4[Ativo]=Tabela5[[#This Row],[Ativo]]),N(YEAR(Tabela4[Data ex-1])=Tabela5[[#This Row],[Ano]]),Tabela4[Líquido])</f>
        <v>1.0074000000000001</v>
      </c>
      <c r="N325" s="23">
        <f>IF(Tabela5[[#This Row],[Dividendos]]&gt;0,Tabela5[[#This Row],[Dividendos]]/Tabela5[[#This Row],[Lucro Líquido]],0)</f>
        <v>0</v>
      </c>
      <c r="O325" s="23"/>
      <c r="P325" s="10"/>
    </row>
    <row r="326" spans="1:16" x14ac:dyDescent="0.2">
      <c r="A326" s="86" t="s">
        <v>195</v>
      </c>
      <c r="B326" s="3" t="s">
        <v>14</v>
      </c>
      <c r="C326" s="18">
        <v>39507</v>
      </c>
      <c r="D326" s="21">
        <v>1.4691661999999999E-3</v>
      </c>
      <c r="E326" s="26">
        <v>39539</v>
      </c>
      <c r="F326" s="16">
        <v>39492</v>
      </c>
      <c r="G326" s="10">
        <f>IF(Tabela4[[#This Row],[Tipo]]="Dividendo",Tabela4[[#This Row],[Valor]],IF(Tabela4[[#This Row],[Tipo]]="Jrs. Cap. Próprio",Tabela4[[#This Row],[Valor]]*85%,0))</f>
        <v>1.24879127E-3</v>
      </c>
      <c r="I326" s="4" t="s">
        <v>221</v>
      </c>
      <c r="J326" s="4">
        <v>2006</v>
      </c>
      <c r="K326" s="10">
        <f>SUMPRODUCT(N(Tabela4[Ativo]=Tabela5[[#This Row],[Ativo]]),N(YEAR(Tabela4[Data ex-1])=Tabela5[[#This Row],[Ano]]),Tabela4[Líquido])</f>
        <v>0.85631999999999997</v>
      </c>
      <c r="N326" s="23">
        <f>IF(Tabela5[[#This Row],[Dividendos]]&gt;0,Tabela5[[#This Row],[Dividendos]]/Tabela5[[#This Row],[Lucro Líquido]],0)</f>
        <v>0</v>
      </c>
      <c r="O326" s="23"/>
      <c r="P326" s="10"/>
    </row>
    <row r="327" spans="1:16" x14ac:dyDescent="0.2">
      <c r="A327" s="86" t="s">
        <v>195</v>
      </c>
      <c r="B327" s="3" t="s">
        <v>14</v>
      </c>
      <c r="C327" s="18">
        <v>39493</v>
      </c>
      <c r="D327" s="21">
        <v>1.4691661999999999E-3</v>
      </c>
      <c r="E327" s="26">
        <v>39510</v>
      </c>
      <c r="F327" s="16">
        <v>39492</v>
      </c>
      <c r="G327" s="10">
        <f>IF(Tabela4[[#This Row],[Tipo]]="Dividendo",Tabela4[[#This Row],[Valor]],IF(Tabela4[[#This Row],[Tipo]]="Jrs. Cap. Próprio",Tabela4[[#This Row],[Valor]]*85%,0))</f>
        <v>1.24879127E-3</v>
      </c>
      <c r="I327" s="4" t="s">
        <v>221</v>
      </c>
      <c r="J327" s="4">
        <v>2005</v>
      </c>
      <c r="K327" s="10">
        <f>SUMPRODUCT(N(Tabela4[Ativo]=Tabela5[[#This Row],[Ativo]]),N(YEAR(Tabela4[Data ex-1])=Tabela5[[#This Row],[Ano]]),Tabela4[Líquido])</f>
        <v>0.32295999999999997</v>
      </c>
      <c r="N327" s="23">
        <f>IF(Tabela5[[#This Row],[Dividendos]]&gt;0,Tabela5[[#This Row],[Dividendos]]/Tabela5[[#This Row],[Lucro Líquido]],0)</f>
        <v>0</v>
      </c>
      <c r="O327" s="23"/>
      <c r="P327" s="10"/>
    </row>
    <row r="328" spans="1:16" x14ac:dyDescent="0.2">
      <c r="A328" s="35" t="s">
        <v>61</v>
      </c>
      <c r="B328" s="35" t="s">
        <v>15</v>
      </c>
      <c r="C328" s="36">
        <v>41583</v>
      </c>
      <c r="D328" s="38">
        <v>0.2</v>
      </c>
      <c r="E328" s="37">
        <v>41606</v>
      </c>
      <c r="F328" s="37">
        <v>41583</v>
      </c>
      <c r="G328" s="38">
        <f>IF(Tabela4[[#This Row],[Tipo]]="Dividendo",Tabela4[[#This Row],[Valor]],IF(Tabela4[[#This Row],[Tipo]]="Jrs. Cap. Próprio",Tabela4[[#This Row],[Valor]]*85%,0))</f>
        <v>0.2</v>
      </c>
      <c r="I328" s="4" t="s">
        <v>221</v>
      </c>
      <c r="J328" s="4">
        <v>2004</v>
      </c>
      <c r="K328" s="10">
        <f>SUMPRODUCT(N(Tabela4[Ativo]=Tabela5[[#This Row],[Ativo]]),N(YEAR(Tabela4[Data ex-1])=Tabela5[[#This Row],[Ano]]),Tabela4[Líquido])</f>
        <v>1.3228</v>
      </c>
      <c r="N328" s="23">
        <f>IF(Tabela5[[#This Row],[Dividendos]]&gt;0,Tabela5[[#This Row],[Dividendos]]/Tabela5[[#This Row],[Lucro Líquido]],0)</f>
        <v>0</v>
      </c>
      <c r="O328" s="23"/>
      <c r="P328" s="10"/>
    </row>
    <row r="329" spans="1:16" x14ac:dyDescent="0.2">
      <c r="A329" s="35" t="s">
        <v>61</v>
      </c>
      <c r="B329" s="31" t="s">
        <v>15</v>
      </c>
      <c r="C329" s="32">
        <v>41492</v>
      </c>
      <c r="D329" s="34">
        <v>0.06</v>
      </c>
      <c r="E329" s="33"/>
      <c r="F329" s="33">
        <v>41492</v>
      </c>
      <c r="G329" s="34">
        <f>IF(Tabela4[[#This Row],[Tipo]]="Dividendo",Tabela4[[#This Row],[Valor]],IF(Tabela4[[#This Row],[Tipo]]="Jrs. Cap. Próprio",Tabela4[[#This Row],[Valor]]*85%,0))</f>
        <v>0.06</v>
      </c>
      <c r="I329" s="4" t="s">
        <v>221</v>
      </c>
      <c r="J329" s="4">
        <v>2003</v>
      </c>
      <c r="K329" s="10">
        <f>SUMPRODUCT(N(Tabela4[Ativo]=Tabela5[[#This Row],[Ativo]]),N(YEAR(Tabela4[Data ex-1])=Tabela5[[#This Row],[Ano]]),Tabela4[Líquido])</f>
        <v>0.12897999999999998</v>
      </c>
      <c r="N329" s="23">
        <f>IF(Tabela5[[#This Row],[Dividendos]]&gt;0,Tabela5[[#This Row],[Dividendos]]/Tabela5[[#This Row],[Lucro Líquido]],0)</f>
        <v>0</v>
      </c>
      <c r="O329" s="23"/>
      <c r="P329" s="10"/>
    </row>
    <row r="330" spans="1:16" x14ac:dyDescent="0.2">
      <c r="A330" s="35" t="s">
        <v>61</v>
      </c>
      <c r="B330" s="31" t="s">
        <v>15</v>
      </c>
      <c r="C330" s="32">
        <v>41375</v>
      </c>
      <c r="D330" s="34">
        <v>7.5999999999999998E-2</v>
      </c>
      <c r="E330" s="33">
        <v>41405</v>
      </c>
      <c r="F330" s="33">
        <v>41375</v>
      </c>
      <c r="G330" s="34">
        <f>IF(Tabela4[[#This Row],[Tipo]]="Dividendo",Tabela4[[#This Row],[Valor]],IF(Tabela4[[#This Row],[Tipo]]="Jrs. Cap. Próprio",Tabela4[[#This Row],[Valor]]*85%,0))</f>
        <v>7.5999999999999998E-2</v>
      </c>
      <c r="I330" s="4" t="s">
        <v>221</v>
      </c>
      <c r="J330" s="4">
        <v>2002</v>
      </c>
      <c r="K330" s="10">
        <f>SUMPRODUCT(N(Tabela4[Ativo]=Tabela5[[#This Row],[Ativo]]),N(YEAR(Tabela4[Data ex-1])=Tabela5[[#This Row],[Ano]]),Tabela4[Líquido])</f>
        <v>0.19481999999999999</v>
      </c>
      <c r="N330" s="23">
        <f>IF(Tabela5[[#This Row],[Dividendos]]&gt;0,Tabela5[[#This Row],[Dividendos]]/Tabela5[[#This Row],[Lucro Líquido]],0)</f>
        <v>0</v>
      </c>
      <c r="O330" s="23"/>
      <c r="P330" s="10"/>
    </row>
    <row r="331" spans="1:16" x14ac:dyDescent="0.2">
      <c r="A331" s="35" t="s">
        <v>61</v>
      </c>
      <c r="B331" s="31" t="s">
        <v>15</v>
      </c>
      <c r="C331" s="32">
        <v>41337</v>
      </c>
      <c r="D331" s="34">
        <v>0.04</v>
      </c>
      <c r="E331" s="33">
        <v>41368</v>
      </c>
      <c r="F331" s="33">
        <v>41337</v>
      </c>
      <c r="G331" s="34">
        <f>IF(Tabela4[[#This Row],[Tipo]]="Dividendo",Tabela4[[#This Row],[Valor]],IF(Tabela4[[#This Row],[Tipo]]="Jrs. Cap. Próprio",Tabela4[[#This Row],[Valor]]*85%,0))</f>
        <v>0.04</v>
      </c>
      <c r="I331" s="4" t="s">
        <v>221</v>
      </c>
      <c r="J331" s="4">
        <v>2001</v>
      </c>
      <c r="K331" s="10">
        <f>SUMPRODUCT(N(Tabela4[Ativo]=Tabela5[[#This Row],[Ativo]]),N(YEAR(Tabela4[Data ex-1])=Tabela5[[#This Row],[Ano]]),Tabela4[Líquido])</f>
        <v>0.382745</v>
      </c>
      <c r="N331" s="23">
        <f>IF(Tabela5[[#This Row],[Dividendos]]&gt;0,Tabela5[[#This Row],[Dividendos]]/Tabela5[[#This Row],[Lucro Líquido]],0)</f>
        <v>0</v>
      </c>
      <c r="O331" s="23"/>
      <c r="P331" s="10"/>
    </row>
    <row r="332" spans="1:16" x14ac:dyDescent="0.2">
      <c r="A332" s="35" t="s">
        <v>61</v>
      </c>
      <c r="B332" s="31" t="s">
        <v>15</v>
      </c>
      <c r="C332" s="32">
        <v>41219</v>
      </c>
      <c r="D332" s="34">
        <v>0.05</v>
      </c>
      <c r="E332" s="33">
        <v>41246</v>
      </c>
      <c r="F332" s="33">
        <v>41219</v>
      </c>
      <c r="G332" s="34">
        <f>IF(Tabela4[[#This Row],[Tipo]]="Dividendo",Tabela4[[#This Row],[Valor]],IF(Tabela4[[#This Row],[Tipo]]="Jrs. Cap. Próprio",Tabela4[[#This Row],[Valor]]*85%,0))</f>
        <v>0.05</v>
      </c>
      <c r="I332" s="4" t="s">
        <v>221</v>
      </c>
      <c r="J332" s="4">
        <v>2000</v>
      </c>
      <c r="K332" s="10">
        <f>SUMPRODUCT(N(Tabela4[Ativo]=Tabela5[[#This Row],[Ativo]]),N(YEAR(Tabela4[Data ex-1])=Tabela5[[#This Row],[Ano]]),Tabela4[Líquido])</f>
        <v>0.15526499999999999</v>
      </c>
      <c r="N332" s="23">
        <f>IF(Tabela5[[#This Row],[Dividendos]]&gt;0,Tabela5[[#This Row],[Dividendos]]/Tabela5[[#This Row],[Lucro Líquido]],0)</f>
        <v>0</v>
      </c>
      <c r="O332" s="23"/>
      <c r="P332" s="10"/>
    </row>
    <row r="333" spans="1:16" x14ac:dyDescent="0.2">
      <c r="A333" s="35" t="s">
        <v>61</v>
      </c>
      <c r="B333" s="31" t="s">
        <v>15</v>
      </c>
      <c r="C333" s="32">
        <v>41136</v>
      </c>
      <c r="D333" s="34">
        <v>3.4000000000000002E-2</v>
      </c>
      <c r="E333" s="33">
        <v>41180</v>
      </c>
      <c r="F333" s="33">
        <v>41136</v>
      </c>
      <c r="G333" s="34">
        <f>IF(Tabela4[[#This Row],[Tipo]]="Dividendo",Tabela4[[#This Row],[Valor]],IF(Tabela4[[#This Row],[Tipo]]="Jrs. Cap. Próprio",Tabela4[[#This Row],[Valor]]*85%,0))</f>
        <v>3.4000000000000002E-2</v>
      </c>
      <c r="I333" s="4" t="s">
        <v>28</v>
      </c>
      <c r="J333" s="4">
        <v>2013</v>
      </c>
      <c r="K333" s="14">
        <f>SUMPRODUCT(N(Tabela4[Ativo]=Tabela5[[#This Row],[Ativo]]),N(YEAR(Tabela4[Data ex-1])=Tabela5[[#This Row],[Ano]]),Tabela4[Líquido])</f>
        <v>0.80520000000000003</v>
      </c>
      <c r="L333" s="6"/>
      <c r="M333" s="6"/>
      <c r="N333" s="24">
        <f>IF(Tabela5[[#This Row],[Dividendos]]&gt;0,Tabela5[[#This Row],[Dividendos]]/Tabela5[[#This Row],[Lucro Líquido]],0)</f>
        <v>0</v>
      </c>
      <c r="O333" s="23">
        <v>1.2865</v>
      </c>
      <c r="P333" s="10"/>
    </row>
    <row r="334" spans="1:16" x14ac:dyDescent="0.2">
      <c r="A334" s="35" t="s">
        <v>61</v>
      </c>
      <c r="B334" s="31" t="s">
        <v>15</v>
      </c>
      <c r="C334" s="32">
        <v>40764</v>
      </c>
      <c r="D334" s="34">
        <v>0.02</v>
      </c>
      <c r="E334" s="33">
        <v>40781</v>
      </c>
      <c r="F334" s="33">
        <v>40764</v>
      </c>
      <c r="G334" s="34">
        <f>IF(Tabela4[[#This Row],[Tipo]]="Dividendo",Tabela4[[#This Row],[Valor]],IF(Tabela4[[#This Row],[Tipo]]="Jrs. Cap. Próprio",Tabela4[[#This Row],[Valor]]*85%,0))</f>
        <v>0.02</v>
      </c>
      <c r="I334" s="4" t="s">
        <v>28</v>
      </c>
      <c r="J334" s="4">
        <v>2012</v>
      </c>
      <c r="K334" s="14">
        <f>SUMPRODUCT(N(Tabela4[Ativo]=Tabela5[[#This Row],[Ativo]]),N(YEAR(Tabela4[Data ex-1])=Tabela5[[#This Row],[Ano]]),Tabela4[Líquido])</f>
        <v>1.5584985517000001</v>
      </c>
      <c r="L334" s="6"/>
      <c r="M334" s="6"/>
      <c r="N334" s="24">
        <f>IF(Tabela5[[#This Row],[Dividendos]]&gt;0,Tabela5[[#This Row],[Dividendos]]/Tabela5[[#This Row],[Lucro Líquido]],0)</f>
        <v>0</v>
      </c>
      <c r="O334" s="23">
        <v>0.4</v>
      </c>
      <c r="P334" s="10"/>
    </row>
    <row r="335" spans="1:16" x14ac:dyDescent="0.2">
      <c r="A335" s="35" t="s">
        <v>61</v>
      </c>
      <c r="B335" s="31" t="s">
        <v>15</v>
      </c>
      <c r="C335" s="32">
        <v>40661</v>
      </c>
      <c r="D335" s="34">
        <v>0.3</v>
      </c>
      <c r="E335" s="33">
        <v>40683</v>
      </c>
      <c r="F335" s="33">
        <v>40661</v>
      </c>
      <c r="G335" s="34">
        <f>IF(Tabela4[[#This Row],[Tipo]]="Dividendo",Tabela4[[#This Row],[Valor]],IF(Tabela4[[#This Row],[Tipo]]="Jrs. Cap. Próprio",Tabela4[[#This Row],[Valor]]*85%,0))</f>
        <v>0.3</v>
      </c>
      <c r="I335" s="4" t="s">
        <v>28</v>
      </c>
      <c r="J335" s="4">
        <v>2011</v>
      </c>
      <c r="K335" s="10">
        <f>SUMPRODUCT(N(Tabela4[Ativo]=Tabela5[[#This Row],[Ativo]]),N(YEAR(Tabela4[Data ex-1])=Tabela5[[#This Row],[Ano]]),Tabela4[Líquido])</f>
        <v>1.5641441252999999</v>
      </c>
      <c r="N335" s="23">
        <f>IF(Tabela5[[#This Row],[Dividendos]]&gt;0,Tabela5[[#This Row],[Dividendos]]/Tabela5[[#This Row],[Lucro Líquido]],0)</f>
        <v>0</v>
      </c>
      <c r="O335" s="23"/>
      <c r="P335" s="10"/>
    </row>
    <row r="336" spans="1:16" x14ac:dyDescent="0.2">
      <c r="A336" s="35" t="s">
        <v>61</v>
      </c>
      <c r="B336" s="31" t="s">
        <v>15</v>
      </c>
      <c r="C336" s="32">
        <v>40591</v>
      </c>
      <c r="D336" s="34">
        <v>3.5000000000000003E-2</v>
      </c>
      <c r="E336" s="33">
        <v>40603</v>
      </c>
      <c r="F336" s="33">
        <v>40591</v>
      </c>
      <c r="G336" s="34">
        <f>IF(Tabela4[[#This Row],[Tipo]]="Dividendo",Tabela4[[#This Row],[Valor]],IF(Tabela4[[#This Row],[Tipo]]="Jrs. Cap. Próprio",Tabela4[[#This Row],[Valor]]*85%,0))</f>
        <v>3.5000000000000003E-2</v>
      </c>
      <c r="I336" s="4" t="s">
        <v>28</v>
      </c>
      <c r="J336" s="4">
        <v>2010</v>
      </c>
      <c r="K336" s="10">
        <f>SUMPRODUCT(N(Tabela4[Ativo]=Tabela5[[#This Row],[Ativo]]),N(YEAR(Tabela4[Data ex-1])=Tabela5[[#This Row],[Ano]]),Tabela4[Líquido])</f>
        <v>1.5084792650000001</v>
      </c>
      <c r="N336" s="23">
        <f>IF(Tabela5[[#This Row],[Dividendos]]&gt;0,Tabela5[[#This Row],[Dividendos]]/Tabela5[[#This Row],[Lucro Líquido]],0)</f>
        <v>0</v>
      </c>
      <c r="O336" s="23"/>
      <c r="P336" s="10"/>
    </row>
    <row r="337" spans="1:16" x14ac:dyDescent="0.2">
      <c r="A337" s="35" t="s">
        <v>61</v>
      </c>
      <c r="B337" s="31" t="s">
        <v>15</v>
      </c>
      <c r="C337" s="32">
        <v>40490</v>
      </c>
      <c r="D337" s="34">
        <v>0.1</v>
      </c>
      <c r="E337" s="33">
        <v>40512</v>
      </c>
      <c r="F337" s="33">
        <v>40490</v>
      </c>
      <c r="G337" s="34">
        <f>IF(Tabela4[[#This Row],[Tipo]]="Dividendo",Tabela4[[#This Row],[Valor]],IF(Tabela4[[#This Row],[Tipo]]="Jrs. Cap. Próprio",Tabela4[[#This Row],[Valor]]*85%,0))</f>
        <v>0.1</v>
      </c>
      <c r="I337" s="4" t="s">
        <v>28</v>
      </c>
      <c r="J337" s="4">
        <v>2009</v>
      </c>
      <c r="K337" s="10">
        <f>SUMPRODUCT(N(Tabela4[Ativo]=Tabela5[[#This Row],[Ativo]]),N(YEAR(Tabela4[Data ex-1])=Tabela5[[#This Row],[Ano]]),Tabela4[Líquido])</f>
        <v>3.4029812910000001</v>
      </c>
      <c r="N337" s="23">
        <f>IF(Tabela5[[#This Row],[Dividendos]]&gt;0,Tabela5[[#This Row],[Dividendos]]/Tabela5[[#This Row],[Lucro Líquido]],0)</f>
        <v>0</v>
      </c>
      <c r="O337" s="23"/>
      <c r="P337" s="10"/>
    </row>
    <row r="338" spans="1:16" x14ac:dyDescent="0.2">
      <c r="A338" s="35" t="s">
        <v>61</v>
      </c>
      <c r="B338" s="31" t="s">
        <v>15</v>
      </c>
      <c r="C338" s="32">
        <v>40287</v>
      </c>
      <c r="D338" s="34">
        <v>0.3</v>
      </c>
      <c r="E338" s="33">
        <v>40297</v>
      </c>
      <c r="F338" s="33">
        <v>40287</v>
      </c>
      <c r="G338" s="34">
        <f>IF(Tabela4[[#This Row],[Tipo]]="Dividendo",Tabela4[[#This Row],[Valor]],IF(Tabela4[[#This Row],[Tipo]]="Jrs. Cap. Próprio",Tabela4[[#This Row],[Valor]]*85%,0))</f>
        <v>0.3</v>
      </c>
      <c r="I338" s="4" t="s">
        <v>28</v>
      </c>
      <c r="J338" s="4">
        <v>2008</v>
      </c>
      <c r="K338" s="10">
        <f>SUMPRODUCT(N(Tabela4[Ativo]=Tabela5[[#This Row],[Ativo]]),N(YEAR(Tabela4[Data ex-1])=Tabela5[[#This Row],[Ano]]),Tabela4[Líquido])</f>
        <v>0.77660781999999995</v>
      </c>
      <c r="N338" s="23">
        <f>IF(Tabela5[[#This Row],[Dividendos]]&gt;0,Tabela5[[#This Row],[Dividendos]]/Tabela5[[#This Row],[Lucro Líquido]],0)</f>
        <v>0</v>
      </c>
      <c r="O338" s="23"/>
      <c r="P338" s="10"/>
    </row>
    <row r="339" spans="1:16" x14ac:dyDescent="0.2">
      <c r="A339" s="35" t="s">
        <v>61</v>
      </c>
      <c r="B339" s="31" t="s">
        <v>15</v>
      </c>
      <c r="C339" s="32">
        <v>39902</v>
      </c>
      <c r="D339" s="34">
        <v>0.12</v>
      </c>
      <c r="E339" s="33">
        <v>39925</v>
      </c>
      <c r="F339" s="33">
        <v>39902</v>
      </c>
      <c r="G339" s="34">
        <f>IF(Tabela4[[#This Row],[Tipo]]="Dividendo",Tabela4[[#This Row],[Valor]],IF(Tabela4[[#This Row],[Tipo]]="Jrs. Cap. Próprio",Tabela4[[#This Row],[Valor]]*85%,0))</f>
        <v>0.12</v>
      </c>
      <c r="I339" s="4" t="s">
        <v>28</v>
      </c>
      <c r="J339" s="4">
        <v>2007</v>
      </c>
      <c r="K339" s="10">
        <f>SUMPRODUCT(N(Tabela4[Ativo]=Tabela5[[#This Row],[Ativo]]),N(YEAR(Tabela4[Data ex-1])=Tabela5[[#This Row],[Ano]]),Tabela4[Líquido])</f>
        <v>5.2060000000000002E-2</v>
      </c>
      <c r="N339" s="23">
        <f>IF(Tabela5[[#This Row],[Dividendos]]&gt;0,Tabela5[[#This Row],[Dividendos]]/Tabela5[[#This Row],[Lucro Líquido]],0)</f>
        <v>0</v>
      </c>
      <c r="O339" s="23"/>
      <c r="P339" s="10"/>
    </row>
    <row r="340" spans="1:16" x14ac:dyDescent="0.2">
      <c r="A340" s="35" t="s">
        <v>61</v>
      </c>
      <c r="B340" s="31" t="s">
        <v>14</v>
      </c>
      <c r="C340" s="32">
        <v>39812</v>
      </c>
      <c r="D340" s="34">
        <v>0.08</v>
      </c>
      <c r="E340" s="33">
        <v>39833</v>
      </c>
      <c r="F340" s="33">
        <v>39812</v>
      </c>
      <c r="G340" s="34">
        <f>IF(Tabela4[[#This Row],[Tipo]]="Dividendo",Tabela4[[#This Row],[Valor]],IF(Tabela4[[#This Row],[Tipo]]="Jrs. Cap. Próprio",Tabela4[[#This Row],[Valor]]*85%,0))</f>
        <v>6.8000000000000005E-2</v>
      </c>
      <c r="I340" s="4" t="s">
        <v>28</v>
      </c>
      <c r="J340" s="4">
        <v>2006</v>
      </c>
      <c r="K340" s="10">
        <f>SUMPRODUCT(N(Tabela4[Ativo]=Tabela5[[#This Row],[Ativo]]),N(YEAR(Tabela4[Data ex-1])=Tabela5[[#This Row],[Ano]]),Tabela4[Líquido])</f>
        <v>3.5150000000000001E-2</v>
      </c>
      <c r="N340" s="23">
        <f>IF(Tabela5[[#This Row],[Dividendos]]&gt;0,Tabela5[[#This Row],[Dividendos]]/Tabela5[[#This Row],[Lucro Líquido]],0)</f>
        <v>0</v>
      </c>
      <c r="O340" s="23"/>
      <c r="P340" s="10"/>
    </row>
    <row r="341" spans="1:16" x14ac:dyDescent="0.2">
      <c r="A341" s="35" t="s">
        <v>61</v>
      </c>
      <c r="B341" s="31" t="s">
        <v>14</v>
      </c>
      <c r="C341" s="32">
        <v>39756</v>
      </c>
      <c r="D341" s="34">
        <v>0.1</v>
      </c>
      <c r="E341" s="33">
        <v>39771</v>
      </c>
      <c r="F341" s="33">
        <v>39756</v>
      </c>
      <c r="G341" s="34">
        <f>IF(Tabela4[[#This Row],[Tipo]]="Dividendo",Tabela4[[#This Row],[Valor]],IF(Tabela4[[#This Row],[Tipo]]="Jrs. Cap. Próprio",Tabela4[[#This Row],[Valor]]*85%,0))</f>
        <v>8.5000000000000006E-2</v>
      </c>
      <c r="I341" s="4" t="s">
        <v>28</v>
      </c>
      <c r="J341" s="4">
        <v>2005</v>
      </c>
      <c r="K341" s="10">
        <f>SUMPRODUCT(N(Tabela4[Ativo]=Tabela5[[#This Row],[Ativo]]),N(YEAR(Tabela4[Data ex-1])=Tabela5[[#This Row],[Ano]]),Tabela4[Líquido])</f>
        <v>5.4613999999999999E-3</v>
      </c>
      <c r="N341" s="23">
        <f>IF(Tabela5[[#This Row],[Dividendos]]&gt;0,Tabela5[[#This Row],[Dividendos]]/Tabela5[[#This Row],[Lucro Líquido]],0)</f>
        <v>0</v>
      </c>
      <c r="O341" s="23"/>
      <c r="P341" s="10"/>
    </row>
    <row r="342" spans="1:16" x14ac:dyDescent="0.2">
      <c r="A342" s="35" t="s">
        <v>61</v>
      </c>
      <c r="B342" s="31" t="s">
        <v>14</v>
      </c>
      <c r="C342" s="32">
        <v>39665</v>
      </c>
      <c r="D342" s="34">
        <v>0.05</v>
      </c>
      <c r="E342" s="33">
        <v>39686</v>
      </c>
      <c r="F342" s="33">
        <v>39665</v>
      </c>
      <c r="G342" s="34">
        <f>IF(Tabela4[[#This Row],[Tipo]]="Dividendo",Tabela4[[#This Row],[Valor]],IF(Tabela4[[#This Row],[Tipo]]="Jrs. Cap. Próprio",Tabela4[[#This Row],[Valor]]*85%,0))</f>
        <v>4.2500000000000003E-2</v>
      </c>
      <c r="I342" s="35" t="s">
        <v>86</v>
      </c>
      <c r="J342" s="35">
        <v>2013</v>
      </c>
      <c r="K342" s="38">
        <f>SUMPRODUCT(N(Tabela4[Ativo]=Tabela5[[#This Row],[Ativo]]),N(YEAR(Tabela4[Data ex-1])=Tabela5[[#This Row],[Ano]]),Tabela4[Líquido])</f>
        <v>0.43487499999999996</v>
      </c>
      <c r="L342" s="43"/>
      <c r="M342" s="43"/>
      <c r="N342" s="75">
        <f>IF(Tabela5[[#This Row],[Dividendos]]&gt;0,Tabela5[[#This Row],[Dividendos]]/Tabela5[[#This Row],[Lucro Líquido]],0)</f>
        <v>0</v>
      </c>
      <c r="O342" s="23"/>
      <c r="P342" s="10"/>
    </row>
    <row r="343" spans="1:16" x14ac:dyDescent="0.2">
      <c r="A343" s="4" t="s">
        <v>13</v>
      </c>
      <c r="B343" s="4" t="s">
        <v>14</v>
      </c>
      <c r="C343" s="19">
        <v>41437</v>
      </c>
      <c r="D343" s="55">
        <v>0.1057</v>
      </c>
      <c r="E343" s="68">
        <v>41453</v>
      </c>
      <c r="F343" s="68">
        <v>41436</v>
      </c>
      <c r="G343" s="14">
        <f>IF(Tabela4[[#This Row],[Tipo]]="Dividendo",Tabela4[[#This Row],[Valor]],IF(Tabela4[[#This Row],[Tipo]]="Jrs. Cap. Próprio",Tabela4[[#This Row],[Valor]]*85%,0))</f>
        <v>8.9844999999999994E-2</v>
      </c>
      <c r="I343" s="35" t="s">
        <v>86</v>
      </c>
      <c r="J343" s="35">
        <v>2012</v>
      </c>
      <c r="K343" s="38">
        <f>SUMPRODUCT(N(Tabela4[Ativo]=Tabela5[[#This Row],[Ativo]]),N(YEAR(Tabela4[Data ex-1])=Tabela5[[#This Row],[Ano]]),Tabela4[Líquido])</f>
        <v>0.25174000000000002</v>
      </c>
      <c r="L343" s="43"/>
      <c r="M343" s="43"/>
      <c r="N343" s="75">
        <f>IF(Tabela5[[#This Row],[Dividendos]]&gt;0,Tabela5[[#This Row],[Dividendos]]/Tabela5[[#This Row],[Lucro Líquido]],0)</f>
        <v>0</v>
      </c>
      <c r="O343" s="23"/>
      <c r="P343" s="10"/>
    </row>
    <row r="344" spans="1:16" x14ac:dyDescent="0.2">
      <c r="A344" s="4" t="s">
        <v>13</v>
      </c>
      <c r="B344" s="3" t="s">
        <v>14</v>
      </c>
      <c r="C344" s="18">
        <v>41346</v>
      </c>
      <c r="D344" s="63">
        <v>0.1057</v>
      </c>
      <c r="E344" s="26">
        <v>41361</v>
      </c>
      <c r="F344" s="16">
        <v>41345</v>
      </c>
      <c r="G344" s="10">
        <f>IF(Tabela4[[#This Row],[Tipo]]="Dividendo",Tabela4[[#This Row],[Valor]],IF(Tabela4[[#This Row],[Tipo]]="Jrs. Cap. Próprio",Tabela4[[#This Row],[Valor]]*85%,0))</f>
        <v>8.9844999999999994E-2</v>
      </c>
      <c r="I344" s="35" t="s">
        <v>86</v>
      </c>
      <c r="J344" s="35">
        <v>2011</v>
      </c>
      <c r="K344" s="38">
        <f>SUMPRODUCT(N(Tabela4[Ativo]=Tabela5[[#This Row],[Ativo]]),N(YEAR(Tabela4[Data ex-1])=Tabela5[[#This Row],[Ano]]),Tabela4[Líquido])</f>
        <v>0.24672000000000002</v>
      </c>
      <c r="L344" s="43"/>
      <c r="M344" s="43"/>
      <c r="N344" s="75">
        <f>IF(Tabela5[[#This Row],[Dividendos]]&gt;0,Tabela5[[#This Row],[Dividendos]]/Tabela5[[#This Row],[Lucro Líquido]],0)</f>
        <v>0</v>
      </c>
      <c r="O344" s="23"/>
      <c r="P344" s="10"/>
    </row>
    <row r="345" spans="1:16" x14ac:dyDescent="0.2">
      <c r="A345" s="4" t="s">
        <v>13</v>
      </c>
      <c r="B345" s="3" t="s">
        <v>15</v>
      </c>
      <c r="C345" s="18">
        <v>41282</v>
      </c>
      <c r="D345" s="63">
        <v>2.0299999999999999E-2</v>
      </c>
      <c r="E345" s="26">
        <v>41292</v>
      </c>
      <c r="F345" s="16">
        <v>41281</v>
      </c>
      <c r="G345" s="10">
        <f>IF(Tabela4[[#This Row],[Tipo]]="Dividendo",Tabela4[[#This Row],[Valor]],IF(Tabela4[[#This Row],[Tipo]]="Jrs. Cap. Próprio",Tabela4[[#This Row],[Valor]]*85%,0))</f>
        <v>2.0299999999999999E-2</v>
      </c>
      <c r="I345" s="35" t="s">
        <v>86</v>
      </c>
      <c r="J345" s="35">
        <v>2010</v>
      </c>
      <c r="K345" s="38">
        <f>SUMPRODUCT(N(Tabela4[Ativo]=Tabela5[[#This Row],[Ativo]]),N(YEAR(Tabela4[Data ex-1])=Tabela5[[#This Row],[Ano]]),Tabela4[Líquido])</f>
        <v>0.29982999999999999</v>
      </c>
      <c r="L345" s="43"/>
      <c r="M345" s="43"/>
      <c r="N345" s="75">
        <f>IF(Tabela5[[#This Row],[Dividendos]]&gt;0,Tabela5[[#This Row],[Dividendos]]/Tabela5[[#This Row],[Lucro Líquido]],0)</f>
        <v>0</v>
      </c>
      <c r="O345" s="23"/>
      <c r="P345" s="10"/>
    </row>
    <row r="346" spans="1:16" x14ac:dyDescent="0.2">
      <c r="A346" s="4" t="s">
        <v>13</v>
      </c>
      <c r="B346" s="3" t="s">
        <v>14</v>
      </c>
      <c r="C346" s="18">
        <v>41255</v>
      </c>
      <c r="D346" s="63">
        <v>0.1057</v>
      </c>
      <c r="E346" s="26">
        <v>41271</v>
      </c>
      <c r="F346" s="16">
        <v>41253</v>
      </c>
      <c r="G346" s="10">
        <f>IF(Tabela4[[#This Row],[Tipo]]="Dividendo",Tabela4[[#This Row],[Valor]],IF(Tabela4[[#This Row],[Tipo]]="Jrs. Cap. Próprio",Tabela4[[#This Row],[Valor]]*85%,0))</f>
        <v>8.9844999999999994E-2</v>
      </c>
      <c r="I346" s="4" t="s">
        <v>34</v>
      </c>
      <c r="J346" s="4">
        <v>2013</v>
      </c>
      <c r="K346" s="14">
        <f>SUMPRODUCT(N(Tabela4[Ativo]=Tabela5[[#This Row],[Ativo]]),N(YEAR(Tabela4[Data ex-1])=Tabela5[[#This Row],[Ano]]),Tabela4[Líquido])</f>
        <v>0.34095999999999999</v>
      </c>
      <c r="L346" s="6"/>
      <c r="M346" s="6"/>
      <c r="N346" s="24">
        <f>IF(Tabela5[[#This Row],[Dividendos]]&gt;0,Tabela5[[#This Row],[Dividendos]]/Tabela5[[#This Row],[Lucro Líquido]],0)</f>
        <v>0</v>
      </c>
      <c r="O346" s="23">
        <v>0.47439999999999999</v>
      </c>
      <c r="P346" s="10"/>
    </row>
    <row r="347" spans="1:16" x14ac:dyDescent="0.2">
      <c r="A347" s="4" t="s">
        <v>13</v>
      </c>
      <c r="B347" s="3" t="s">
        <v>15</v>
      </c>
      <c r="C347" s="18">
        <v>41198</v>
      </c>
      <c r="D347" s="63">
        <v>4.2700000000000002E-2</v>
      </c>
      <c r="E347" s="26">
        <v>41212</v>
      </c>
      <c r="F347" s="16">
        <v>41197</v>
      </c>
      <c r="G347" s="10">
        <f>IF(Tabela4[[#This Row],[Tipo]]="Dividendo",Tabela4[[#This Row],[Valor]],IF(Tabela4[[#This Row],[Tipo]]="Jrs. Cap. Próprio",Tabela4[[#This Row],[Valor]]*85%,0))</f>
        <v>4.2700000000000002E-2</v>
      </c>
      <c r="I347" s="4" t="s">
        <v>34</v>
      </c>
      <c r="J347" s="4">
        <v>2012</v>
      </c>
      <c r="K347" s="14">
        <f>SUMPRODUCT(N(Tabela4[Ativo]=Tabela5[[#This Row],[Ativo]]),N(YEAR(Tabela4[Data ex-1])=Tabela5[[#This Row],[Ano]]),Tabela4[Líquido])</f>
        <v>0.78624499999999997</v>
      </c>
      <c r="L347" s="6"/>
      <c r="M347" s="6"/>
      <c r="N347" s="24">
        <f>IF(Tabela5[[#This Row],[Dividendos]]&gt;0,Tabela5[[#This Row],[Dividendos]]/Tabela5[[#This Row],[Lucro Líquido]],0)</f>
        <v>0</v>
      </c>
      <c r="O347" s="23">
        <v>0.5</v>
      </c>
      <c r="P347" s="10"/>
    </row>
    <row r="348" spans="1:16" x14ac:dyDescent="0.2">
      <c r="A348" s="4" t="s">
        <v>13</v>
      </c>
      <c r="B348" s="3" t="s">
        <v>14</v>
      </c>
      <c r="C348" s="18">
        <v>41163</v>
      </c>
      <c r="D348" s="63">
        <v>0.1057</v>
      </c>
      <c r="E348" s="26">
        <v>41180</v>
      </c>
      <c r="F348" s="16">
        <v>41162</v>
      </c>
      <c r="G348" s="10">
        <f>IF(Tabela4[[#This Row],[Tipo]]="Dividendo",Tabela4[[#This Row],[Valor]],IF(Tabela4[[#This Row],[Tipo]]="Jrs. Cap. Próprio",Tabela4[[#This Row],[Valor]]*85%,0))</f>
        <v>8.9844999999999994E-2</v>
      </c>
      <c r="I348" s="4" t="s">
        <v>34</v>
      </c>
      <c r="J348" s="4">
        <v>2011</v>
      </c>
      <c r="K348" s="10">
        <f>SUMPRODUCT(N(Tabela4[Ativo]=Tabela5[[#This Row],[Ativo]]),N(YEAR(Tabela4[Data ex-1])=Tabela5[[#This Row],[Ano]]),Tabela4[Líquido])</f>
        <v>0.53892499999999999</v>
      </c>
      <c r="N348" s="23">
        <f>IF(Tabela5[[#This Row],[Dividendos]]&gt;0,Tabela5[[#This Row],[Dividendos]]/Tabela5[[#This Row],[Lucro Líquido]],0)</f>
        <v>0</v>
      </c>
      <c r="O348" s="23"/>
      <c r="P348" s="10"/>
    </row>
    <row r="349" spans="1:16" x14ac:dyDescent="0.2">
      <c r="A349" s="4" t="s">
        <v>13</v>
      </c>
      <c r="B349" s="3" t="s">
        <v>14</v>
      </c>
      <c r="C349" s="18">
        <v>41071</v>
      </c>
      <c r="D349" s="63">
        <v>0.1057</v>
      </c>
      <c r="E349" s="26">
        <v>41089</v>
      </c>
      <c r="F349" s="16">
        <v>41068</v>
      </c>
      <c r="G349" s="10">
        <f>IF(Tabela4[[#This Row],[Tipo]]="Dividendo",Tabela4[[#This Row],[Valor]],IF(Tabela4[[#This Row],[Tipo]]="Jrs. Cap. Próprio",Tabela4[[#This Row],[Valor]]*85%,0))</f>
        <v>8.9844999999999994E-2</v>
      </c>
      <c r="I349" s="4" t="s">
        <v>34</v>
      </c>
      <c r="J349" s="4">
        <v>2010</v>
      </c>
      <c r="K349" s="10">
        <f>SUMPRODUCT(N(Tabela4[Ativo]=Tabela5[[#This Row],[Ativo]]),N(YEAR(Tabela4[Data ex-1])=Tabela5[[#This Row],[Ano]]),Tabela4[Líquido])</f>
        <v>0.83171000000000006</v>
      </c>
      <c r="N349" s="23">
        <f>IF(Tabela5[[#This Row],[Dividendos]]&gt;0,Tabela5[[#This Row],[Dividendos]]/Tabela5[[#This Row],[Lucro Líquido]],0)</f>
        <v>0</v>
      </c>
      <c r="O349" s="23"/>
      <c r="P349" s="10"/>
    </row>
    <row r="350" spans="1:16" x14ac:dyDescent="0.2">
      <c r="A350" s="4" t="s">
        <v>13</v>
      </c>
      <c r="B350" s="3" t="s">
        <v>15</v>
      </c>
      <c r="C350" s="18">
        <v>41001</v>
      </c>
      <c r="D350" s="63">
        <v>2.64E-2</v>
      </c>
      <c r="E350" s="26">
        <v>41011</v>
      </c>
      <c r="F350" s="16">
        <v>40998</v>
      </c>
      <c r="G350" s="10">
        <f>IF(Tabela4[[#This Row],[Tipo]]="Dividendo",Tabela4[[#This Row],[Valor]],IF(Tabela4[[#This Row],[Tipo]]="Jrs. Cap. Próprio",Tabela4[[#This Row],[Valor]]*85%,0))</f>
        <v>2.64E-2</v>
      </c>
      <c r="I350" s="4" t="s">
        <v>34</v>
      </c>
      <c r="J350" s="4">
        <v>2009</v>
      </c>
      <c r="K350" s="10">
        <f>SUMPRODUCT(N(Tabela4[Ativo]=Tabela5[[#This Row],[Ativo]]),N(YEAR(Tabela4[Data ex-1])=Tabela5[[#This Row],[Ano]]),Tabela4[Líquido])</f>
        <v>0.37076999999999999</v>
      </c>
      <c r="N350" s="23">
        <f>IF(Tabela5[[#This Row],[Dividendos]]&gt;0,Tabela5[[#This Row],[Dividendos]]/Tabela5[[#This Row],[Lucro Líquido]],0)</f>
        <v>0</v>
      </c>
      <c r="O350" s="23"/>
      <c r="P350" s="10"/>
    </row>
    <row r="351" spans="1:16" x14ac:dyDescent="0.2">
      <c r="A351" s="4" t="s">
        <v>13</v>
      </c>
      <c r="B351" s="3" t="s">
        <v>14</v>
      </c>
      <c r="C351" s="18">
        <v>40980</v>
      </c>
      <c r="D351" s="63">
        <v>0.1057</v>
      </c>
      <c r="E351" s="26">
        <v>40998</v>
      </c>
      <c r="F351" s="16">
        <v>40977</v>
      </c>
      <c r="G351" s="10">
        <f>IF(Tabela4[[#This Row],[Tipo]]="Dividendo",Tabela4[[#This Row],[Valor]],IF(Tabela4[[#This Row],[Tipo]]="Jrs. Cap. Próprio",Tabela4[[#This Row],[Valor]]*85%,0))</f>
        <v>8.9844999999999994E-2</v>
      </c>
      <c r="I351" s="4" t="s">
        <v>34</v>
      </c>
      <c r="J351" s="4">
        <v>2008</v>
      </c>
      <c r="K351" s="10">
        <f>SUMPRODUCT(N(Tabela4[Ativo]=Tabela5[[#This Row],[Ativo]]),N(YEAR(Tabela4[Data ex-1])=Tabela5[[#This Row],[Ano]]),Tabela4[Líquido])</f>
        <v>0.36380499999999993</v>
      </c>
      <c r="N351" s="23">
        <f>IF(Tabela5[[#This Row],[Dividendos]]&gt;0,Tabela5[[#This Row],[Dividendos]]/Tabela5[[#This Row],[Lucro Líquido]],0)</f>
        <v>0</v>
      </c>
      <c r="O351" s="23"/>
      <c r="P351" s="10"/>
    </row>
    <row r="352" spans="1:16" x14ac:dyDescent="0.2">
      <c r="A352" s="4" t="s">
        <v>13</v>
      </c>
      <c r="B352" s="3" t="s">
        <v>14</v>
      </c>
      <c r="C352" s="18">
        <v>40889</v>
      </c>
      <c r="D352" s="63">
        <v>0.1057</v>
      </c>
      <c r="E352" s="26">
        <v>40906</v>
      </c>
      <c r="F352" s="16">
        <v>40886</v>
      </c>
      <c r="G352" s="10">
        <f>IF(Tabela4[[#This Row],[Tipo]]="Dividendo",Tabela4[[#This Row],[Valor]],IF(Tabela4[[#This Row],[Tipo]]="Jrs. Cap. Próprio",Tabela4[[#This Row],[Valor]]*85%,0))</f>
        <v>8.9844999999999994E-2</v>
      </c>
      <c r="I352" s="4" t="s">
        <v>223</v>
      </c>
      <c r="J352" s="4">
        <v>2013</v>
      </c>
      <c r="K352" s="14">
        <f>SUMPRODUCT(N(Tabela4[Ativo]=Tabela5[[#This Row],[Ativo]]),N(YEAR(Tabela4[Data ex-1])=Tabela5[[#This Row],[Ano]]),Tabela4[Líquido])</f>
        <v>1.1002149999999999</v>
      </c>
      <c r="L352" s="6"/>
      <c r="M352" s="6"/>
      <c r="N352" s="24">
        <f>IF(Tabela5[[#This Row],[Dividendos]]&gt;0,Tabela5[[#This Row],[Dividendos]]/Tabela5[[#This Row],[Lucro Líquido]],0)</f>
        <v>0</v>
      </c>
      <c r="O352" s="23">
        <v>0.85219999999999996</v>
      </c>
      <c r="P352" s="10"/>
    </row>
    <row r="353" spans="1:16" x14ac:dyDescent="0.2">
      <c r="A353" s="4" t="s">
        <v>13</v>
      </c>
      <c r="B353" s="3" t="s">
        <v>15</v>
      </c>
      <c r="C353" s="18">
        <v>40854</v>
      </c>
      <c r="D353" s="63">
        <v>2.0299999999999999E-2</v>
      </c>
      <c r="E353" s="26">
        <v>40865</v>
      </c>
      <c r="F353" s="16">
        <v>40851</v>
      </c>
      <c r="G353" s="10">
        <f>IF(Tabela4[[#This Row],[Tipo]]="Dividendo",Tabela4[[#This Row],[Valor]],IF(Tabela4[[#This Row],[Tipo]]="Jrs. Cap. Próprio",Tabela4[[#This Row],[Valor]]*85%,0))</f>
        <v>2.0299999999999999E-2</v>
      </c>
      <c r="I353" s="4" t="s">
        <v>223</v>
      </c>
      <c r="J353" s="4">
        <v>2012</v>
      </c>
      <c r="K353" s="14">
        <f>SUMPRODUCT(N(Tabela4[Ativo]=Tabela5[[#This Row],[Ativo]]),N(YEAR(Tabela4[Data ex-1])=Tabela5[[#This Row],[Ano]]),Tabela4[Líquido])</f>
        <v>2.2458149999999999</v>
      </c>
      <c r="L353" s="6"/>
      <c r="M353" s="6"/>
      <c r="N353" s="24">
        <f>IF(Tabela5[[#This Row],[Dividendos]]&gt;0,Tabela5[[#This Row],[Dividendos]]/Tabela5[[#This Row],[Lucro Líquido]],0)</f>
        <v>0</v>
      </c>
      <c r="O353" s="23">
        <v>1.3</v>
      </c>
      <c r="P353" s="10"/>
    </row>
    <row r="354" spans="1:16" x14ac:dyDescent="0.2">
      <c r="A354" s="4" t="s">
        <v>13</v>
      </c>
      <c r="B354" s="3" t="s">
        <v>14</v>
      </c>
      <c r="C354" s="18">
        <v>40798</v>
      </c>
      <c r="D354" s="63">
        <v>0.1057</v>
      </c>
      <c r="E354" s="26">
        <v>40816</v>
      </c>
      <c r="F354" s="16">
        <v>40795</v>
      </c>
      <c r="G354" s="10">
        <f>IF(Tabela4[[#This Row],[Tipo]]="Dividendo",Tabela4[[#This Row],[Valor]],IF(Tabela4[[#This Row],[Tipo]]="Jrs. Cap. Próprio",Tabela4[[#This Row],[Valor]]*85%,0))</f>
        <v>8.9844999999999994E-2</v>
      </c>
      <c r="I354" s="4" t="s">
        <v>223</v>
      </c>
      <c r="J354" s="4">
        <v>2011</v>
      </c>
      <c r="K354" s="10">
        <f>SUMPRODUCT(N(Tabela4[Ativo]=Tabela5[[#This Row],[Ativo]]),N(YEAR(Tabela4[Data ex-1])=Tabela5[[#This Row],[Ano]]),Tabela4[Líquido])</f>
        <v>2.6040399999999999</v>
      </c>
      <c r="N354" s="23">
        <f>IF(Tabela5[[#This Row],[Dividendos]]&gt;0,Tabela5[[#This Row],[Dividendos]]/Tabela5[[#This Row],[Lucro Líquido]],0)</f>
        <v>0</v>
      </c>
      <c r="O354" s="23"/>
      <c r="P354" s="10"/>
    </row>
    <row r="355" spans="1:16" x14ac:dyDescent="0.2">
      <c r="A355" s="4" t="s">
        <v>13</v>
      </c>
      <c r="B355" s="3" t="s">
        <v>14</v>
      </c>
      <c r="C355" s="18">
        <v>40707</v>
      </c>
      <c r="D355" s="63">
        <v>0.1028</v>
      </c>
      <c r="E355" s="26">
        <v>40724</v>
      </c>
      <c r="F355" s="16">
        <v>40704</v>
      </c>
      <c r="G355" s="10">
        <f>IF(Tabela4[[#This Row],[Tipo]]="Dividendo",Tabela4[[#This Row],[Valor]],IF(Tabela4[[#This Row],[Tipo]]="Jrs. Cap. Próprio",Tabela4[[#This Row],[Valor]]*85%,0))</f>
        <v>8.7379999999999999E-2</v>
      </c>
      <c r="I355" s="4" t="s">
        <v>223</v>
      </c>
      <c r="J355" s="4">
        <v>2010</v>
      </c>
      <c r="K355" s="10">
        <f>SUMPRODUCT(N(Tabela4[Ativo]=Tabela5[[#This Row],[Ativo]]),N(YEAR(Tabela4[Data ex-1])=Tabela5[[#This Row],[Ano]]),Tabela4[Líquido])</f>
        <v>2.17598</v>
      </c>
      <c r="N355" s="23">
        <f>IF(Tabela5[[#This Row],[Dividendos]]&gt;0,Tabela5[[#This Row],[Dividendos]]/Tabela5[[#This Row],[Lucro Líquido]],0)</f>
        <v>0</v>
      </c>
      <c r="O355" s="23"/>
      <c r="P355" s="10"/>
    </row>
    <row r="356" spans="1:16" x14ac:dyDescent="0.2">
      <c r="A356" s="4" t="s">
        <v>13</v>
      </c>
      <c r="B356" s="3" t="s">
        <v>15</v>
      </c>
      <c r="C356" s="18">
        <v>40630</v>
      </c>
      <c r="D356" s="63">
        <v>6.9199999999999998E-2</v>
      </c>
      <c r="E356" s="26">
        <v>40662</v>
      </c>
      <c r="F356" s="16">
        <v>40626</v>
      </c>
      <c r="G356" s="10">
        <f>IF(Tabela4[[#This Row],[Tipo]]="Dividendo",Tabela4[[#This Row],[Valor]],IF(Tabela4[[#This Row],[Tipo]]="Jrs. Cap. Próprio",Tabela4[[#This Row],[Valor]]*85%,0))</f>
        <v>6.9199999999999998E-2</v>
      </c>
      <c r="I356" s="4" t="s">
        <v>223</v>
      </c>
      <c r="J356" s="4">
        <v>2009</v>
      </c>
      <c r="K356" s="10">
        <f>SUMPRODUCT(N(Tabela4[Ativo]=Tabela5[[#This Row],[Ativo]]),N(YEAR(Tabela4[Data ex-1])=Tabela5[[#This Row],[Ano]]),Tabela4[Líquido])</f>
        <v>2.8109600000000001</v>
      </c>
      <c r="N356" s="23">
        <f>IF(Tabela5[[#This Row],[Dividendos]]&gt;0,Tabela5[[#This Row],[Dividendos]]/Tabela5[[#This Row],[Lucro Líquido]],0)</f>
        <v>0</v>
      </c>
      <c r="O356" s="23"/>
      <c r="P356" s="10"/>
    </row>
    <row r="357" spans="1:16" x14ac:dyDescent="0.2">
      <c r="A357" s="4" t="s">
        <v>13</v>
      </c>
      <c r="B357" s="3" t="s">
        <v>14</v>
      </c>
      <c r="C357" s="80">
        <v>40618</v>
      </c>
      <c r="D357" s="63">
        <v>0.1028</v>
      </c>
      <c r="E357" s="81">
        <v>40632</v>
      </c>
      <c r="F357" s="81">
        <v>40617</v>
      </c>
      <c r="G357" s="10">
        <f>IF(Tabela4[[#This Row],[Tipo]]="Dividendo",Tabela4[[#This Row],[Valor]],IF(Tabela4[[#This Row],[Tipo]]="Jrs. Cap. Próprio",Tabela4[[#This Row],[Valor]]*85%,0))</f>
        <v>8.7379999999999999E-2</v>
      </c>
      <c r="I357" s="4" t="s">
        <v>223</v>
      </c>
      <c r="J357" s="4">
        <v>2008</v>
      </c>
      <c r="K357" s="10">
        <f>SUMPRODUCT(N(Tabela4[Ativo]=Tabela5[[#This Row],[Ativo]]),N(YEAR(Tabela4[Data ex-1])=Tabela5[[#This Row],[Ano]]),Tabela4[Líquido])</f>
        <v>1.1054999999999999</v>
      </c>
      <c r="N357" s="23">
        <f>IF(Tabela5[[#This Row],[Dividendos]]&gt;0,Tabela5[[#This Row],[Dividendos]]/Tabela5[[#This Row],[Lucro Líquido]],0)</f>
        <v>0</v>
      </c>
      <c r="O357" s="23"/>
      <c r="P357" s="10"/>
    </row>
    <row r="358" spans="1:16" x14ac:dyDescent="0.2">
      <c r="A358" s="4" t="s">
        <v>13</v>
      </c>
      <c r="B358" s="3" t="s">
        <v>14</v>
      </c>
      <c r="C358" s="18">
        <v>40525</v>
      </c>
      <c r="D358" s="63">
        <v>0.1028</v>
      </c>
      <c r="E358" s="26">
        <v>40542</v>
      </c>
      <c r="F358" s="16">
        <v>40521</v>
      </c>
      <c r="G358" s="10">
        <f>IF(Tabela4[[#This Row],[Tipo]]="Dividendo",Tabela4[[#This Row],[Valor]],IF(Tabela4[[#This Row],[Tipo]]="Jrs. Cap. Próprio",Tabela4[[#This Row],[Valor]]*85%,0))</f>
        <v>8.7379999999999999E-2</v>
      </c>
      <c r="I358" s="4" t="s">
        <v>223</v>
      </c>
      <c r="J358" s="4">
        <v>2007</v>
      </c>
      <c r="K358" s="10">
        <f>SUMPRODUCT(N(Tabela4[Ativo]=Tabela5[[#This Row],[Ativo]]),N(YEAR(Tabela4[Data ex-1])=Tabela5[[#This Row],[Ano]]),Tabela4[Líquido])</f>
        <v>2.0788549999999999</v>
      </c>
      <c r="N358" s="23">
        <f>IF(Tabela5[[#This Row],[Dividendos]]&gt;0,Tabela5[[#This Row],[Dividendos]]/Tabela5[[#This Row],[Lucro Líquido]],0)</f>
        <v>0</v>
      </c>
      <c r="O358" s="23"/>
      <c r="P358" s="10"/>
    </row>
    <row r="359" spans="1:16" x14ac:dyDescent="0.2">
      <c r="A359" s="4" t="s">
        <v>13</v>
      </c>
      <c r="B359" s="3" t="s">
        <v>15</v>
      </c>
      <c r="C359" s="18">
        <v>40470</v>
      </c>
      <c r="D359" s="63">
        <v>0.1226</v>
      </c>
      <c r="E359" s="26">
        <v>40480</v>
      </c>
      <c r="F359" s="16">
        <v>40469</v>
      </c>
      <c r="G359" s="10">
        <f>IF(Tabela4[[#This Row],[Tipo]]="Dividendo",Tabela4[[#This Row],[Valor]],IF(Tabela4[[#This Row],[Tipo]]="Jrs. Cap. Próprio",Tabela4[[#This Row],[Valor]]*85%,0))</f>
        <v>0.1226</v>
      </c>
      <c r="I359" s="4" t="s">
        <v>223</v>
      </c>
      <c r="J359" s="4">
        <v>2006</v>
      </c>
      <c r="K359" s="10">
        <f>SUMPRODUCT(N(Tabela4[Ativo]=Tabela5[[#This Row],[Ativo]]),N(YEAR(Tabela4[Data ex-1])=Tabela5[[#This Row],[Ano]]),Tabela4[Líquido])</f>
        <v>1.6415</v>
      </c>
      <c r="N359" s="23">
        <f>IF(Tabela5[[#This Row],[Dividendos]]&gt;0,Tabela5[[#This Row],[Dividendos]]/Tabela5[[#This Row],[Lucro Líquido]],0)</f>
        <v>0</v>
      </c>
      <c r="O359" s="23"/>
      <c r="P359" s="10"/>
    </row>
    <row r="360" spans="1:16" x14ac:dyDescent="0.2">
      <c r="A360" s="4" t="s">
        <v>13</v>
      </c>
      <c r="B360" s="3" t="s">
        <v>14</v>
      </c>
      <c r="C360" s="18">
        <v>40434</v>
      </c>
      <c r="D360" s="63">
        <v>0.1028</v>
      </c>
      <c r="E360" s="26">
        <v>40451</v>
      </c>
      <c r="F360" s="16">
        <v>40430</v>
      </c>
      <c r="G360" s="10">
        <f>IF(Tabela4[[#This Row],[Tipo]]="Dividendo",Tabela4[[#This Row],[Valor]],IF(Tabela4[[#This Row],[Tipo]]="Jrs. Cap. Próprio",Tabela4[[#This Row],[Valor]]*85%,0))</f>
        <v>8.7379999999999999E-2</v>
      </c>
      <c r="I360" s="4" t="s">
        <v>223</v>
      </c>
      <c r="J360" s="4">
        <v>2005</v>
      </c>
      <c r="K360" s="10">
        <f>SUMPRODUCT(N(Tabela4[Ativo]=Tabela5[[#This Row],[Ativo]]),N(YEAR(Tabela4[Data ex-1])=Tabela5[[#This Row],[Ano]]),Tabela4[Líquido])</f>
        <v>0</v>
      </c>
      <c r="N360" s="23">
        <f>IF(Tabela5[[#This Row],[Dividendos]]&gt;0,Tabela5[[#This Row],[Dividendos]]/Tabela5[[#This Row],[Lucro Líquido]],0)</f>
        <v>0</v>
      </c>
      <c r="O360" s="23"/>
      <c r="P360" s="10"/>
    </row>
    <row r="361" spans="1:16" x14ac:dyDescent="0.2">
      <c r="A361" s="4" t="s">
        <v>13</v>
      </c>
      <c r="B361" s="3" t="s">
        <v>14</v>
      </c>
      <c r="C361" s="18">
        <v>40340</v>
      </c>
      <c r="D361" s="63">
        <v>0.1028</v>
      </c>
      <c r="E361" s="26"/>
      <c r="F361" s="16">
        <v>40338</v>
      </c>
      <c r="G361" s="10">
        <f>IF(Tabela4[[#This Row],[Tipo]]="Dividendo",Tabela4[[#This Row],[Valor]],IF(Tabela4[[#This Row],[Tipo]]="Jrs. Cap. Próprio",Tabela4[[#This Row],[Valor]]*85%,0))</f>
        <v>8.7379999999999999E-2</v>
      </c>
      <c r="I361" s="4" t="s">
        <v>223</v>
      </c>
      <c r="J361" s="4">
        <v>2004</v>
      </c>
      <c r="K361" s="10">
        <f>SUMPRODUCT(N(Tabela4[Ativo]=Tabela5[[#This Row],[Ativo]]),N(YEAR(Tabela4[Data ex-1])=Tabela5[[#This Row],[Ano]]),Tabela4[Líquido])</f>
        <v>0</v>
      </c>
      <c r="N361" s="23">
        <f>IF(Tabela5[[#This Row],[Dividendos]]&gt;0,Tabela5[[#This Row],[Dividendos]]/Tabela5[[#This Row],[Lucro Líquido]],0)</f>
        <v>0</v>
      </c>
      <c r="O361" s="23"/>
      <c r="P361" s="10"/>
    </row>
    <row r="362" spans="1:16" x14ac:dyDescent="0.2">
      <c r="A362" s="4" t="s">
        <v>13</v>
      </c>
      <c r="B362" s="3" t="s">
        <v>15</v>
      </c>
      <c r="C362" s="18">
        <v>40249</v>
      </c>
      <c r="D362" s="63">
        <v>9.8900000000000002E-2</v>
      </c>
      <c r="E362" s="26">
        <v>40267</v>
      </c>
      <c r="F362" s="16">
        <v>40248</v>
      </c>
      <c r="G362" s="10">
        <f>IF(Tabela4[[#This Row],[Tipo]]="Dividendo",Tabela4[[#This Row],[Valor]],IF(Tabela4[[#This Row],[Tipo]]="Jrs. Cap. Próprio",Tabela4[[#This Row],[Valor]]*85%,0))</f>
        <v>9.8900000000000002E-2</v>
      </c>
      <c r="I362" s="4" t="s">
        <v>223</v>
      </c>
      <c r="J362" s="4">
        <v>2003</v>
      </c>
      <c r="K362" s="10">
        <f>SUMPRODUCT(N(Tabela4[Ativo]=Tabela5[[#This Row],[Ativo]]),N(YEAR(Tabela4[Data ex-1])=Tabela5[[#This Row],[Ano]]),Tabela4[Líquido])</f>
        <v>0</v>
      </c>
      <c r="N362" s="23">
        <f>IF(Tabela5[[#This Row],[Dividendos]]&gt;0,Tabela5[[#This Row],[Dividendos]]/Tabela5[[#This Row],[Lucro Líquido]],0)</f>
        <v>0</v>
      </c>
      <c r="O362" s="23"/>
      <c r="P362" s="10"/>
    </row>
    <row r="363" spans="1:16" x14ac:dyDescent="0.2">
      <c r="A363" s="4" t="s">
        <v>13</v>
      </c>
      <c r="B363" s="3" t="s">
        <v>14</v>
      </c>
      <c r="C363" s="18">
        <v>40247</v>
      </c>
      <c r="D363" s="63">
        <v>0.1028</v>
      </c>
      <c r="E363" s="26">
        <v>40268</v>
      </c>
      <c r="F363" s="16">
        <v>40246</v>
      </c>
      <c r="G363" s="10">
        <f>IF(Tabela4[[#This Row],[Tipo]]="Dividendo",Tabela4[[#This Row],[Valor]],IF(Tabela4[[#This Row],[Tipo]]="Jrs. Cap. Próprio",Tabela4[[#This Row],[Valor]]*85%,0))</f>
        <v>8.7379999999999999E-2</v>
      </c>
      <c r="I363" s="4" t="s">
        <v>223</v>
      </c>
      <c r="J363" s="4">
        <v>2002</v>
      </c>
      <c r="K363" s="10">
        <f>SUMPRODUCT(N(Tabela4[Ativo]=Tabela5[[#This Row],[Ativo]]),N(YEAR(Tabela4[Data ex-1])=Tabela5[[#This Row],[Ano]]),Tabela4[Líquido])</f>
        <v>0</v>
      </c>
      <c r="N363" s="23">
        <f>IF(Tabela5[[#This Row],[Dividendos]]&gt;0,Tabela5[[#This Row],[Dividendos]]/Tabela5[[#This Row],[Lucro Líquido]],0)</f>
        <v>0</v>
      </c>
      <c r="O363" s="23"/>
      <c r="P363" s="10"/>
    </row>
    <row r="364" spans="1:16" x14ac:dyDescent="0.2">
      <c r="A364" s="4" t="s">
        <v>13</v>
      </c>
      <c r="B364" s="3" t="s">
        <v>14</v>
      </c>
      <c r="C364" s="25">
        <v>40177</v>
      </c>
      <c r="D364" s="63">
        <v>0.1026</v>
      </c>
      <c r="E364" s="26">
        <v>40192</v>
      </c>
      <c r="F364" s="26">
        <v>40175</v>
      </c>
      <c r="G364" s="10">
        <f>IF(Tabela4[[#This Row],[Tipo]]="Dividendo",Tabela4[[#This Row],[Valor]],IF(Tabela4[[#This Row],[Tipo]]="Jrs. Cap. Próprio",Tabela4[[#This Row],[Valor]]*85%,0))</f>
        <v>8.7209999999999996E-2</v>
      </c>
      <c r="I364" s="4" t="s">
        <v>223</v>
      </c>
      <c r="J364" s="4">
        <v>2001</v>
      </c>
      <c r="K364" s="10">
        <f>SUMPRODUCT(N(Tabela4[Ativo]=Tabela5[[#This Row],[Ativo]]),N(YEAR(Tabela4[Data ex-1])=Tabela5[[#This Row],[Ano]]),Tabela4[Líquido])</f>
        <v>0</v>
      </c>
      <c r="N364" s="23">
        <f>IF(Tabela5[[#This Row],[Dividendos]]&gt;0,Tabela5[[#This Row],[Dividendos]]/Tabela5[[#This Row],[Lucro Líquido]],0)</f>
        <v>0</v>
      </c>
      <c r="O364" s="23"/>
      <c r="P364" s="10"/>
    </row>
    <row r="365" spans="1:16" x14ac:dyDescent="0.2">
      <c r="A365" s="4" t="s">
        <v>13</v>
      </c>
      <c r="B365" s="3" t="s">
        <v>15</v>
      </c>
      <c r="C365" s="18">
        <v>40086</v>
      </c>
      <c r="D365" s="63">
        <v>9.0300000000000005E-2</v>
      </c>
      <c r="E365" s="26">
        <v>40099</v>
      </c>
      <c r="F365" s="16">
        <v>40084</v>
      </c>
      <c r="G365" s="10">
        <f>IF(Tabela4[[#This Row],[Tipo]]="Dividendo",Tabela4[[#This Row],[Valor]],IF(Tabela4[[#This Row],[Tipo]]="Jrs. Cap. Próprio",Tabela4[[#This Row],[Valor]]*85%,0))</f>
        <v>9.0300000000000005E-2</v>
      </c>
      <c r="I365" s="4" t="s">
        <v>223</v>
      </c>
      <c r="J365" s="4">
        <v>2000</v>
      </c>
      <c r="K365" s="10">
        <f>SUMPRODUCT(N(Tabela4[Ativo]=Tabela5[[#This Row],[Ativo]]),N(YEAR(Tabela4[Data ex-1])=Tabela5[[#This Row],[Ano]]),Tabela4[Líquido])</f>
        <v>0</v>
      </c>
      <c r="N365" s="23">
        <f>IF(Tabela5[[#This Row],[Dividendos]]&gt;0,Tabela5[[#This Row],[Dividendos]]/Tabela5[[#This Row],[Lucro Líquido]],0)</f>
        <v>0</v>
      </c>
      <c r="O365" s="23"/>
      <c r="P365" s="10"/>
    </row>
    <row r="366" spans="1:16" x14ac:dyDescent="0.2">
      <c r="A366" s="4" t="s">
        <v>13</v>
      </c>
      <c r="B366" s="3" t="s">
        <v>14</v>
      </c>
      <c r="C366" s="25">
        <v>40086</v>
      </c>
      <c r="D366" s="63">
        <v>0.1021</v>
      </c>
      <c r="E366" s="26">
        <v>40099</v>
      </c>
      <c r="F366" s="26">
        <v>40084</v>
      </c>
      <c r="G366" s="10">
        <f>IF(Tabela4[[#This Row],[Tipo]]="Dividendo",Tabela4[[#This Row],[Valor]],IF(Tabela4[[#This Row],[Tipo]]="Jrs. Cap. Próprio",Tabela4[[#This Row],[Valor]]*85%,0))</f>
        <v>8.6785000000000001E-2</v>
      </c>
      <c r="I366" s="4" t="s">
        <v>223</v>
      </c>
      <c r="J366" s="4">
        <v>1999</v>
      </c>
      <c r="K366" s="10">
        <f>SUMPRODUCT(N(Tabela4[Ativo]=Tabela5[[#This Row],[Ativo]]),N(YEAR(Tabela4[Data ex-1])=Tabela5[[#This Row],[Ano]]),Tabela4[Líquido])</f>
        <v>0.22240500000000002</v>
      </c>
      <c r="N366" s="23">
        <f>IF(Tabela5[[#This Row],[Dividendos]]&gt;0,Tabela5[[#This Row],[Dividendos]]/Tabela5[[#This Row],[Lucro Líquido]],0)</f>
        <v>0</v>
      </c>
      <c r="O366" s="23"/>
      <c r="P366" s="10"/>
    </row>
    <row r="367" spans="1:16" x14ac:dyDescent="0.2">
      <c r="A367" s="4" t="s">
        <v>13</v>
      </c>
      <c r="B367" s="3" t="s">
        <v>14</v>
      </c>
      <c r="C367" s="18">
        <v>39994</v>
      </c>
      <c r="D367" s="63">
        <v>0.10970000000000001</v>
      </c>
      <c r="E367" s="26">
        <v>40008</v>
      </c>
      <c r="F367" s="16">
        <v>39993</v>
      </c>
      <c r="G367" s="10">
        <f>IF(Tabela4[[#This Row],[Tipo]]="Dividendo",Tabela4[[#This Row],[Valor]],IF(Tabela4[[#This Row],[Tipo]]="Jrs. Cap. Próprio",Tabela4[[#This Row],[Valor]]*85%,0))</f>
        <v>9.3245000000000008E-2</v>
      </c>
      <c r="I367" s="4" t="s">
        <v>5</v>
      </c>
      <c r="J367" s="4">
        <v>2013</v>
      </c>
      <c r="K367" s="14">
        <f>SUMPRODUCT(N(Tabela4[Ativo]=Tabela5[[#This Row],[Ativo]]),N(YEAR(Tabela4[Data ex-1])=Tabela5[[#This Row],[Ano]]),Tabela4[Líquido])</f>
        <v>0.3581917697</v>
      </c>
      <c r="L367" s="6"/>
      <c r="M367" s="6"/>
      <c r="N367" s="24">
        <f>IF(Tabela5[[#This Row],[Dividendos]]&gt;0,Tabela5[[#This Row],[Dividendos]]/Tabela5[[#This Row],[Lucro Líquido]],0)</f>
        <v>0</v>
      </c>
      <c r="O367" s="23"/>
      <c r="P367" s="10"/>
    </row>
    <row r="368" spans="1:16" x14ac:dyDescent="0.2">
      <c r="A368" s="4" t="s">
        <v>13</v>
      </c>
      <c r="B368" s="3" t="s">
        <v>14</v>
      </c>
      <c r="C368" s="18">
        <v>39896</v>
      </c>
      <c r="D368" s="63">
        <v>0.1086</v>
      </c>
      <c r="E368" s="26">
        <v>39911</v>
      </c>
      <c r="F368" s="16">
        <v>39896</v>
      </c>
      <c r="G368" s="10">
        <f>IF(Tabela4[[#This Row],[Tipo]]="Dividendo",Tabela4[[#This Row],[Valor]],IF(Tabela4[[#This Row],[Tipo]]="Jrs. Cap. Próprio",Tabela4[[#This Row],[Valor]]*85%,0))</f>
        <v>9.2310000000000003E-2</v>
      </c>
      <c r="I368" s="4" t="s">
        <v>5</v>
      </c>
      <c r="J368" s="4">
        <v>2012</v>
      </c>
      <c r="K368" s="14">
        <f>SUMPRODUCT(N(Tabela4[Ativo]=Tabela5[[#This Row],[Ativo]]),N(YEAR(Tabela4[Data ex-1])=Tabela5[[#This Row],[Ano]]),Tabela4[Líquido])</f>
        <v>1.0846849999999999</v>
      </c>
      <c r="L368" s="6"/>
      <c r="M368" s="6"/>
      <c r="N368" s="24">
        <f>IF(Tabela5[[#This Row],[Dividendos]]&gt;0,Tabela5[[#This Row],[Dividendos]]/Tabela5[[#This Row],[Lucro Líquido]],0)</f>
        <v>0</v>
      </c>
      <c r="O368" s="23"/>
      <c r="P368" s="10"/>
    </row>
    <row r="369" spans="1:16" x14ac:dyDescent="0.2">
      <c r="A369" s="4" t="s">
        <v>13</v>
      </c>
      <c r="B369" s="3" t="s">
        <v>15</v>
      </c>
      <c r="C369" s="18">
        <v>39895</v>
      </c>
      <c r="D369" s="63">
        <v>0.1552</v>
      </c>
      <c r="E369" s="26">
        <v>39911</v>
      </c>
      <c r="F369" s="16">
        <v>39895</v>
      </c>
      <c r="G369" s="10">
        <f>IF(Tabela4[[#This Row],[Tipo]]="Dividendo",Tabela4[[#This Row],[Valor]],IF(Tabela4[[#This Row],[Tipo]]="Jrs. Cap. Próprio",Tabela4[[#This Row],[Valor]]*85%,0))</f>
        <v>0.1552</v>
      </c>
      <c r="I369" s="4" t="s">
        <v>5</v>
      </c>
      <c r="J369" s="4">
        <v>2011</v>
      </c>
      <c r="K369" s="10">
        <f>SUMPRODUCT(N(Tabela4[Ativo]=Tabela5[[#This Row],[Ativo]]),N(YEAR(Tabela4[Data ex-1])=Tabela5[[#This Row],[Ano]]),Tabela4[Líquido])</f>
        <v>0.74341000000000002</v>
      </c>
      <c r="N369" s="23">
        <f>IF(Tabela5[[#This Row],[Dividendos]]&gt;0,Tabela5[[#This Row],[Dividendos]]/Tabela5[[#This Row],[Lucro Líquido]],0)</f>
        <v>0</v>
      </c>
      <c r="O369" s="23"/>
      <c r="P369" s="10"/>
    </row>
    <row r="370" spans="1:16" x14ac:dyDescent="0.2">
      <c r="A370" s="4" t="s">
        <v>13</v>
      </c>
      <c r="B370" s="3" t="s">
        <v>14</v>
      </c>
      <c r="C370" s="25">
        <v>39812</v>
      </c>
      <c r="D370" s="63">
        <v>8.9200000000000002E-2</v>
      </c>
      <c r="E370" s="26">
        <v>39854</v>
      </c>
      <c r="F370" s="26">
        <v>39811</v>
      </c>
      <c r="G370" s="10">
        <f>IF(Tabela4[[#This Row],[Tipo]]="Dividendo",Tabela4[[#This Row],[Valor]],IF(Tabela4[[#This Row],[Tipo]]="Jrs. Cap. Próprio",Tabela4[[#This Row],[Valor]]*85%,0))</f>
        <v>7.5819999999999999E-2</v>
      </c>
      <c r="I370" s="4" t="s">
        <v>5</v>
      </c>
      <c r="J370" s="4">
        <v>2010</v>
      </c>
      <c r="K370" s="10">
        <f>SUMPRODUCT(N(Tabela4[Ativo]=Tabela5[[#This Row],[Ativo]]),N(YEAR(Tabela4[Data ex-1])=Tabela5[[#This Row],[Ano]]),Tabela4[Líquido])</f>
        <v>11.722065000000001</v>
      </c>
      <c r="N370" s="23">
        <f>IF(Tabela5[[#This Row],[Dividendos]]&gt;0,Tabela5[[#This Row],[Dividendos]]/Tabela5[[#This Row],[Lucro Líquido]],0)</f>
        <v>0</v>
      </c>
      <c r="O370" s="23"/>
      <c r="P370" s="10"/>
    </row>
    <row r="371" spans="1:16" x14ac:dyDescent="0.2">
      <c r="A371" s="4" t="s">
        <v>13</v>
      </c>
      <c r="B371" s="3" t="s">
        <v>14</v>
      </c>
      <c r="C371" s="18">
        <v>39721</v>
      </c>
      <c r="D371" s="63">
        <v>8.7800000000000003E-2</v>
      </c>
      <c r="E371" s="26">
        <v>39731</v>
      </c>
      <c r="F371" s="16">
        <v>39720</v>
      </c>
      <c r="G371" s="10">
        <f>IF(Tabela4[[#This Row],[Tipo]]="Dividendo",Tabela4[[#This Row],[Valor]],IF(Tabela4[[#This Row],[Tipo]]="Jrs. Cap. Próprio",Tabela4[[#This Row],[Valor]]*85%,0))</f>
        <v>7.4630000000000002E-2</v>
      </c>
      <c r="I371" s="4" t="s">
        <v>5</v>
      </c>
      <c r="J371" s="4">
        <v>2009</v>
      </c>
      <c r="K371" s="10">
        <f>SUMPRODUCT(N(Tabela4[Ativo]=Tabela5[[#This Row],[Ativo]]),N(YEAR(Tabela4[Data ex-1])=Tabela5[[#This Row],[Ano]]),Tabela4[Líquido])</f>
        <v>1.3109549999999999</v>
      </c>
      <c r="N371" s="23">
        <f>IF(Tabela5[[#This Row],[Dividendos]]&gt;0,Tabela5[[#This Row],[Dividendos]]/Tabela5[[#This Row],[Lucro Líquido]],0)</f>
        <v>0</v>
      </c>
      <c r="O371" s="23"/>
      <c r="P371" s="10"/>
    </row>
    <row r="372" spans="1:16" x14ac:dyDescent="0.2">
      <c r="A372" s="4" t="s">
        <v>13</v>
      </c>
      <c r="B372" s="3" t="s">
        <v>15</v>
      </c>
      <c r="C372" s="18">
        <v>39721</v>
      </c>
      <c r="D372" s="63">
        <v>0.114</v>
      </c>
      <c r="E372" s="26">
        <v>39731</v>
      </c>
      <c r="F372" s="16">
        <v>39720</v>
      </c>
      <c r="G372" s="10">
        <f>IF(Tabela4[[#This Row],[Tipo]]="Dividendo",Tabela4[[#This Row],[Valor]],IF(Tabela4[[#This Row],[Tipo]]="Jrs. Cap. Próprio",Tabela4[[#This Row],[Valor]]*85%,0))</f>
        <v>0.114</v>
      </c>
      <c r="I372" s="4" t="s">
        <v>5</v>
      </c>
      <c r="J372" s="4">
        <v>2008</v>
      </c>
      <c r="K372" s="10">
        <f>SUMPRODUCT(N(Tabela4[Ativo]=Tabela5[[#This Row],[Ativo]]),N(YEAR(Tabela4[Data ex-1])=Tabela5[[#This Row],[Ano]]),Tabela4[Líquido])</f>
        <v>0.35368500000000003</v>
      </c>
      <c r="N372" s="23">
        <f>IF(Tabela5[[#This Row],[Dividendos]]&gt;0,Tabela5[[#This Row],[Dividendos]]/Tabela5[[#This Row],[Lucro Líquido]],0)</f>
        <v>0</v>
      </c>
      <c r="O372" s="23"/>
      <c r="P372" s="10"/>
    </row>
    <row r="373" spans="1:16" x14ac:dyDescent="0.2">
      <c r="A373" s="4" t="s">
        <v>13</v>
      </c>
      <c r="B373" s="3" t="s">
        <v>14</v>
      </c>
      <c r="C373" s="18">
        <v>39629</v>
      </c>
      <c r="D373" s="63">
        <v>8.5800000000000001E-2</v>
      </c>
      <c r="E373" s="26">
        <v>39639</v>
      </c>
      <c r="F373" s="16">
        <v>39629</v>
      </c>
      <c r="G373" s="10">
        <f>IF(Tabela4[[#This Row],[Tipo]]="Dividendo",Tabela4[[#This Row],[Valor]],IF(Tabela4[[#This Row],[Tipo]]="Jrs. Cap. Próprio",Tabela4[[#This Row],[Valor]]*85%,0))</f>
        <v>7.2929999999999995E-2</v>
      </c>
      <c r="I373" s="4" t="s">
        <v>5</v>
      </c>
      <c r="J373" s="4">
        <v>2007</v>
      </c>
      <c r="K373" s="10">
        <f>SUMPRODUCT(N(Tabela4[Ativo]=Tabela5[[#This Row],[Ativo]]),N(YEAR(Tabela4[Data ex-1])=Tabela5[[#This Row],[Ano]]),Tabela4[Líquido])</f>
        <v>0.23341000000000001</v>
      </c>
      <c r="N373" s="23">
        <f>IF(Tabela5[[#This Row],[Dividendos]]&gt;0,Tabela5[[#This Row],[Dividendos]]/Tabela5[[#This Row],[Lucro Líquido]],0)</f>
        <v>0</v>
      </c>
      <c r="O373" s="23"/>
      <c r="P373" s="10"/>
    </row>
    <row r="374" spans="1:16" x14ac:dyDescent="0.2">
      <c r="A374" s="4" t="s">
        <v>13</v>
      </c>
      <c r="B374" s="3" t="s">
        <v>14</v>
      </c>
      <c r="C374" s="18">
        <v>39576</v>
      </c>
      <c r="D374" s="63">
        <v>8.5800000000000001E-2</v>
      </c>
      <c r="E374" s="26">
        <v>39587</v>
      </c>
      <c r="F374" s="16">
        <v>39575</v>
      </c>
      <c r="G374" s="10">
        <f>IF(Tabela4[[#This Row],[Tipo]]="Dividendo",Tabela4[[#This Row],[Valor]],IF(Tabela4[[#This Row],[Tipo]]="Jrs. Cap. Próprio",Tabela4[[#This Row],[Valor]]*85%,0))</f>
        <v>7.2929999999999995E-2</v>
      </c>
      <c r="I374" s="4" t="s">
        <v>5</v>
      </c>
      <c r="J374" s="4">
        <v>2006</v>
      </c>
      <c r="K374" s="10">
        <f>SUMPRODUCT(N(Tabela4[Ativo]=Tabela5[[#This Row],[Ativo]]),N(YEAR(Tabela4[Data ex-1])=Tabela5[[#This Row],[Ano]]),Tabela4[Líquido])</f>
        <v>0.3553</v>
      </c>
      <c r="N374" s="23">
        <f>IF(Tabela5[[#This Row],[Dividendos]]&gt;0,Tabela5[[#This Row],[Dividendos]]/Tabela5[[#This Row],[Lucro Líquido]],0)</f>
        <v>0</v>
      </c>
      <c r="O374" s="23"/>
      <c r="P374" s="10"/>
    </row>
    <row r="375" spans="1:16" x14ac:dyDescent="0.2">
      <c r="A375" s="4" t="s">
        <v>13</v>
      </c>
      <c r="B375" s="3" t="s">
        <v>14</v>
      </c>
      <c r="C375" s="18">
        <v>39514</v>
      </c>
      <c r="D375" s="63">
        <v>0.12509999999999999</v>
      </c>
      <c r="E375" s="26"/>
      <c r="F375" s="16">
        <v>39514</v>
      </c>
      <c r="G375" s="10">
        <f>IF(Tabela4[[#This Row],[Tipo]]="Dividendo",Tabela4[[#This Row],[Valor]],IF(Tabela4[[#This Row],[Tipo]]="Jrs. Cap. Próprio",Tabela4[[#This Row],[Valor]]*85%,0))</f>
        <v>0.10633499999999999</v>
      </c>
      <c r="I375" s="4" t="s">
        <v>5</v>
      </c>
      <c r="J375" s="4">
        <v>2005</v>
      </c>
      <c r="K375" s="10">
        <f>SUMPRODUCT(N(Tabela4[Ativo]=Tabela5[[#This Row],[Ativo]]),N(YEAR(Tabela4[Data ex-1])=Tabela5[[#This Row],[Ano]]),Tabela4[Líquido])</f>
        <v>0.25678499999999999</v>
      </c>
      <c r="N375" s="23">
        <f>IF(Tabela5[[#This Row],[Dividendos]]&gt;0,Tabela5[[#This Row],[Dividendos]]/Tabela5[[#This Row],[Lucro Líquido]],0)</f>
        <v>0</v>
      </c>
      <c r="O375" s="23"/>
      <c r="P375" s="10"/>
    </row>
    <row r="376" spans="1:16" x14ac:dyDescent="0.2">
      <c r="A376" s="4" t="s">
        <v>31</v>
      </c>
      <c r="B376" s="4" t="s">
        <v>14</v>
      </c>
      <c r="C376" s="19">
        <v>41495</v>
      </c>
      <c r="D376" s="55">
        <v>9.3899999999999997E-2</v>
      </c>
      <c r="E376" s="68"/>
      <c r="F376" s="68">
        <v>41492</v>
      </c>
      <c r="G376" s="14">
        <f>IF(Tabela4[[#This Row],[Tipo]]="Dividendo",Tabela4[[#This Row],[Valor]],IF(Tabela4[[#This Row],[Tipo]]="Jrs. Cap. Próprio",Tabela4[[#This Row],[Valor]]*85%,0))</f>
        <v>7.9814999999999997E-2</v>
      </c>
      <c r="I376" s="4" t="s">
        <v>5</v>
      </c>
      <c r="J376" s="4">
        <v>2004</v>
      </c>
      <c r="K376" s="10">
        <f>SUMPRODUCT(N(Tabela4[Ativo]=Tabela5[[#This Row],[Ativo]]),N(YEAR(Tabela4[Data ex-1])=Tabela5[[#This Row],[Ano]]),Tabela4[Líquido])</f>
        <v>0.2923</v>
      </c>
      <c r="N376" s="23">
        <f>IF(Tabela5[[#This Row],[Dividendos]]&gt;0,Tabela5[[#This Row],[Dividendos]]/Tabela5[[#This Row],[Lucro Líquido]],0)</f>
        <v>0</v>
      </c>
      <c r="O376" s="23"/>
      <c r="P376" s="10"/>
    </row>
    <row r="377" spans="1:16" x14ac:dyDescent="0.2">
      <c r="A377" s="4" t="s">
        <v>31</v>
      </c>
      <c r="B377" s="3" t="s">
        <v>15</v>
      </c>
      <c r="C377" s="18">
        <v>41495</v>
      </c>
      <c r="D377" s="63">
        <v>2.23E-2</v>
      </c>
      <c r="E377" s="26"/>
      <c r="F377" s="16">
        <v>41492</v>
      </c>
      <c r="G377" s="10">
        <f>IF(Tabela4[[#This Row],[Tipo]]="Dividendo",Tabela4[[#This Row],[Valor]],IF(Tabela4[[#This Row],[Tipo]]="Jrs. Cap. Próprio",Tabela4[[#This Row],[Valor]]*85%,0))</f>
        <v>2.23E-2</v>
      </c>
      <c r="I377" s="4" t="s">
        <v>5</v>
      </c>
      <c r="J377" s="4">
        <v>2003</v>
      </c>
      <c r="K377" s="10">
        <f>SUMPRODUCT(N(Tabela4[Ativo]=Tabela5[[#This Row],[Ativo]]),N(YEAR(Tabela4[Data ex-1])=Tabela5[[#This Row],[Ano]]),Tabela4[Líquido])</f>
        <v>0.54620000000000002</v>
      </c>
      <c r="N377" s="23">
        <f>IF(Tabela5[[#This Row],[Dividendos]]&gt;0,Tabela5[[#This Row],[Dividendos]]/Tabela5[[#This Row],[Lucro Líquido]],0)</f>
        <v>0</v>
      </c>
      <c r="O377" s="23"/>
      <c r="P377" s="10"/>
    </row>
    <row r="378" spans="1:16" x14ac:dyDescent="0.2">
      <c r="A378" s="4" t="s">
        <v>31</v>
      </c>
      <c r="B378" s="3" t="s">
        <v>15</v>
      </c>
      <c r="C378" s="25">
        <v>41327</v>
      </c>
      <c r="D378" s="63">
        <v>7.0800000000000002E-2</v>
      </c>
      <c r="E378" s="26"/>
      <c r="F378" s="26">
        <v>41324</v>
      </c>
      <c r="G378" s="10">
        <f>IF(Tabela4[[#This Row],[Tipo]]="Dividendo",Tabela4[[#This Row],[Valor]],IF(Tabela4[[#This Row],[Tipo]]="Jrs. Cap. Próprio",Tabela4[[#This Row],[Valor]]*85%,0))</f>
        <v>7.0800000000000002E-2</v>
      </c>
      <c r="I378" s="4" t="s">
        <v>5</v>
      </c>
      <c r="J378" s="4">
        <v>2002</v>
      </c>
      <c r="K378" s="10">
        <f>SUMPRODUCT(N(Tabela4[Ativo]=Tabela5[[#This Row],[Ativo]]),N(YEAR(Tabela4[Data ex-1])=Tabela5[[#This Row],[Ano]]),Tabela4[Líquido])</f>
        <v>1.19</v>
      </c>
      <c r="N378" s="23">
        <f>IF(Tabela5[[#This Row],[Dividendos]]&gt;0,Tabela5[[#This Row],[Dividendos]]/Tabela5[[#This Row],[Lucro Líquido]],0)</f>
        <v>0</v>
      </c>
      <c r="O378" s="23"/>
      <c r="P378" s="10"/>
    </row>
    <row r="379" spans="1:16" x14ac:dyDescent="0.2">
      <c r="A379" s="4" t="s">
        <v>31</v>
      </c>
      <c r="B379" s="3" t="s">
        <v>14</v>
      </c>
      <c r="C379" s="25">
        <v>41269</v>
      </c>
      <c r="D379" s="63">
        <v>8.1199999999999994E-2</v>
      </c>
      <c r="E379" s="26"/>
      <c r="F379" s="26">
        <v>41262</v>
      </c>
      <c r="G379" s="10">
        <f>IF(Tabela4[[#This Row],[Tipo]]="Dividendo",Tabela4[[#This Row],[Valor]],IF(Tabela4[[#This Row],[Tipo]]="Jrs. Cap. Próprio",Tabela4[[#This Row],[Valor]]*85%,0))</f>
        <v>6.9019999999999998E-2</v>
      </c>
      <c r="I379" s="4" t="s">
        <v>5</v>
      </c>
      <c r="J379" s="4">
        <v>2001</v>
      </c>
      <c r="K379" s="10">
        <f>SUMPRODUCT(N(Tabela4[Ativo]=Tabela5[[#This Row],[Ativo]]),N(YEAR(Tabela4[Data ex-1])=Tabela5[[#This Row],[Ano]]),Tabela4[Líquido])</f>
        <v>1.09378</v>
      </c>
      <c r="N379" s="23">
        <f>IF(Tabela5[[#This Row],[Dividendos]]&gt;0,Tabela5[[#This Row],[Dividendos]]/Tabela5[[#This Row],[Lucro Líquido]],0)</f>
        <v>0</v>
      </c>
      <c r="O379" s="23"/>
      <c r="P379" s="10"/>
    </row>
    <row r="380" spans="1:16" x14ac:dyDescent="0.2">
      <c r="A380" s="4" t="s">
        <v>31</v>
      </c>
      <c r="B380" s="3" t="s">
        <v>14</v>
      </c>
      <c r="C380" s="80">
        <v>41135</v>
      </c>
      <c r="D380" s="63">
        <v>8.3099999999999993E-2</v>
      </c>
      <c r="E380" s="81"/>
      <c r="F380" s="81">
        <v>41130</v>
      </c>
      <c r="G380" s="10">
        <f>IF(Tabela4[[#This Row],[Tipo]]="Dividendo",Tabela4[[#This Row],[Valor]],IF(Tabela4[[#This Row],[Tipo]]="Jrs. Cap. Próprio",Tabela4[[#This Row],[Valor]]*85%,0))</f>
        <v>7.0634999999999989E-2</v>
      </c>
      <c r="I380" s="4" t="s">
        <v>5</v>
      </c>
      <c r="J380" s="4">
        <v>2000</v>
      </c>
      <c r="K380" s="10">
        <f>SUMPRODUCT(N(Tabela4[Ativo]=Tabela5[[#This Row],[Ativo]]),N(YEAR(Tabela4[Data ex-1])=Tabela5[[#This Row],[Ano]]),Tabela4[Líquido])</f>
        <v>1.0478799999999999</v>
      </c>
      <c r="N380" s="23">
        <f>IF(Tabela5[[#This Row],[Dividendos]]&gt;0,Tabela5[[#This Row],[Dividendos]]/Tabela5[[#This Row],[Lucro Líquido]],0)</f>
        <v>0</v>
      </c>
      <c r="O380" s="23"/>
      <c r="P380" s="10"/>
    </row>
    <row r="381" spans="1:16" x14ac:dyDescent="0.2">
      <c r="A381" s="4" t="s">
        <v>31</v>
      </c>
      <c r="B381" s="3" t="s">
        <v>15</v>
      </c>
      <c r="C381" s="80">
        <v>41016</v>
      </c>
      <c r="D381" s="63">
        <v>0.21181223299999999</v>
      </c>
      <c r="E381" s="81">
        <v>41064</v>
      </c>
      <c r="F381" s="81">
        <v>41016</v>
      </c>
      <c r="G381" s="10">
        <f>IF(Tabela4[[#This Row],[Tipo]]="Dividendo",Tabela4[[#This Row],[Valor]],IF(Tabela4[[#This Row],[Tipo]]="Jrs. Cap. Próprio",Tabela4[[#This Row],[Valor]]*85%,0))</f>
        <v>0.21181223299999999</v>
      </c>
      <c r="I381" s="4" t="s">
        <v>5</v>
      </c>
      <c r="J381" s="4">
        <v>1999</v>
      </c>
      <c r="K381" s="10">
        <f>SUMPRODUCT(N(Tabela4[Ativo]=Tabela5[[#This Row],[Ativo]]),N(YEAR(Tabela4[Data ex-1])=Tabela5[[#This Row],[Ano]]),Tabela4[Líquido])</f>
        <v>1.127535</v>
      </c>
      <c r="N381" s="23">
        <f>IF(Tabela5[[#This Row],[Dividendos]]&gt;0,Tabela5[[#This Row],[Dividendos]]/Tabela5[[#This Row],[Lucro Líquido]],0)</f>
        <v>0</v>
      </c>
      <c r="O381" s="23"/>
      <c r="P381" s="10"/>
    </row>
    <row r="382" spans="1:16" x14ac:dyDescent="0.2">
      <c r="A382" s="4" t="s">
        <v>31</v>
      </c>
      <c r="B382" s="3" t="s">
        <v>15</v>
      </c>
      <c r="C382" s="80">
        <v>40662</v>
      </c>
      <c r="D382" s="63">
        <v>0.24010000000000001</v>
      </c>
      <c r="E382" s="81">
        <v>40694</v>
      </c>
      <c r="F382" s="81">
        <v>40662</v>
      </c>
      <c r="G382" s="10">
        <f>IF(Tabela4[[#This Row],[Tipo]]="Dividendo",Tabela4[[#This Row],[Valor]],IF(Tabela4[[#This Row],[Tipo]]="Jrs. Cap. Próprio",Tabela4[[#This Row],[Valor]]*85%,0))</f>
        <v>0.24010000000000001</v>
      </c>
      <c r="I382" s="35" t="s">
        <v>88</v>
      </c>
      <c r="J382" s="35">
        <v>2013</v>
      </c>
      <c r="K382" s="38">
        <f>SUMPRODUCT(N(Tabela4[Ativo]=Tabela5[[#This Row],[Ativo]]),N(YEAR(Tabela4[Data ex-1])=Tabela5[[#This Row],[Ano]]),Tabela4[Líquido])</f>
        <v>1.42103</v>
      </c>
      <c r="L382" s="43"/>
      <c r="M382" s="43"/>
      <c r="N382" s="75">
        <f>IF(Tabela5[[#This Row],[Dividendos]]&gt;0,Tabela5[[#This Row],[Dividendos]]/Tabela5[[#This Row],[Lucro Líquido]],0)</f>
        <v>0</v>
      </c>
      <c r="O382" s="23"/>
      <c r="P382" s="10"/>
    </row>
    <row r="383" spans="1:16" x14ac:dyDescent="0.2">
      <c r="A383" s="4" t="s">
        <v>31</v>
      </c>
      <c r="B383" s="3" t="s">
        <v>15</v>
      </c>
      <c r="C383" s="80">
        <v>40298</v>
      </c>
      <c r="D383" s="63">
        <v>0.11052379800000001</v>
      </c>
      <c r="E383" s="81">
        <v>40310</v>
      </c>
      <c r="F383" s="81">
        <v>40298</v>
      </c>
      <c r="G383" s="10">
        <f>IF(Tabela4[[#This Row],[Tipo]]="Dividendo",Tabela4[[#This Row],[Valor]],IF(Tabela4[[#This Row],[Tipo]]="Jrs. Cap. Próprio",Tabela4[[#This Row],[Valor]]*85%,0))</f>
        <v>0.11052379800000001</v>
      </c>
      <c r="I383" s="35" t="s">
        <v>88</v>
      </c>
      <c r="J383" s="35">
        <v>2012</v>
      </c>
      <c r="K383" s="38">
        <f>SUMPRODUCT(N(Tabela4[Ativo]=Tabela5[[#This Row],[Ativo]]),N(YEAR(Tabela4[Data ex-1])=Tabela5[[#This Row],[Ano]]),Tabela4[Líquido])</f>
        <v>1.4385399999999999</v>
      </c>
      <c r="L383" s="43"/>
      <c r="M383" s="43"/>
      <c r="N383" s="75">
        <f>IF(Tabela5[[#This Row],[Dividendos]]&gt;0,Tabela5[[#This Row],[Dividendos]]/Tabela5[[#This Row],[Lucro Líquido]],0)</f>
        <v>0</v>
      </c>
      <c r="O383" s="23"/>
      <c r="P383" s="10"/>
    </row>
    <row r="384" spans="1:16" x14ac:dyDescent="0.2">
      <c r="A384" s="4" t="s">
        <v>31</v>
      </c>
      <c r="B384" s="3" t="s">
        <v>15</v>
      </c>
      <c r="C384" s="80">
        <v>39933</v>
      </c>
      <c r="D384" s="63">
        <v>6.9704837000000006E-2</v>
      </c>
      <c r="E384" s="81">
        <v>39989</v>
      </c>
      <c r="F384" s="81">
        <v>39933</v>
      </c>
      <c r="G384" s="10">
        <f>IF(Tabela4[[#This Row],[Tipo]]="Dividendo",Tabela4[[#This Row],[Valor]],IF(Tabela4[[#This Row],[Tipo]]="Jrs. Cap. Próprio",Tabela4[[#This Row],[Valor]]*85%,0))</f>
        <v>6.9704837000000006E-2</v>
      </c>
      <c r="I384" s="35" t="s">
        <v>88</v>
      </c>
      <c r="J384" s="35">
        <v>2011</v>
      </c>
      <c r="K384" s="34">
        <f>SUMPRODUCT(N(Tabela4[Ativo]=Tabela5[[#This Row],[Ativo]]),N(YEAR(Tabela4[Data ex-1])=Tabela5[[#This Row],[Ano]]),Tabela4[Líquido])</f>
        <v>1.456475</v>
      </c>
      <c r="L384" s="87"/>
      <c r="M384" s="87"/>
      <c r="N384" s="88">
        <f>IF(Tabela5[[#This Row],[Dividendos]]&gt;0,Tabela5[[#This Row],[Dividendos]]/Tabela5[[#This Row],[Lucro Líquido]],0)</f>
        <v>0</v>
      </c>
      <c r="O384" s="23"/>
      <c r="P384" s="10"/>
    </row>
    <row r="385" spans="1:16" x14ac:dyDescent="0.2">
      <c r="A385" s="4" t="s">
        <v>31</v>
      </c>
      <c r="B385" s="3" t="s">
        <v>15</v>
      </c>
      <c r="C385" s="80">
        <v>39547</v>
      </c>
      <c r="D385" s="63">
        <v>0.19842787100000001</v>
      </c>
      <c r="E385" s="81">
        <v>39562</v>
      </c>
      <c r="F385" s="81">
        <v>39547</v>
      </c>
      <c r="G385" s="10">
        <f>IF(Tabela4[[#This Row],[Tipo]]="Dividendo",Tabela4[[#This Row],[Valor]],IF(Tabela4[[#This Row],[Tipo]]="Jrs. Cap. Próprio",Tabela4[[#This Row],[Valor]]*85%,0))</f>
        <v>0.19842787100000001</v>
      </c>
      <c r="I385" s="35" t="s">
        <v>88</v>
      </c>
      <c r="J385" s="35">
        <v>2010</v>
      </c>
      <c r="K385" s="34">
        <f>SUMPRODUCT(N(Tabela4[Ativo]=Tabela5[[#This Row],[Ativo]]),N(YEAR(Tabela4[Data ex-1])=Tabela5[[#This Row],[Ano]]),Tabela4[Líquido])</f>
        <v>1.6063200000000002</v>
      </c>
      <c r="L385" s="87"/>
      <c r="M385" s="87"/>
      <c r="N385" s="88">
        <f>IF(Tabela5[[#This Row],[Dividendos]]&gt;0,Tabela5[[#This Row],[Dividendos]]/Tabela5[[#This Row],[Lucro Líquido]],0)</f>
        <v>0</v>
      </c>
      <c r="O385" s="23"/>
      <c r="P385" s="10"/>
    </row>
    <row r="386" spans="1:16" x14ac:dyDescent="0.2">
      <c r="A386" s="4" t="s">
        <v>31</v>
      </c>
      <c r="B386" s="3" t="s">
        <v>15</v>
      </c>
      <c r="C386" s="80">
        <v>39198</v>
      </c>
      <c r="D386" s="63">
        <v>3.9133544999999999E-2</v>
      </c>
      <c r="E386" s="81">
        <v>39224</v>
      </c>
      <c r="F386" s="81">
        <v>39198</v>
      </c>
      <c r="G386" s="10">
        <f>IF(Tabela4[[#This Row],[Tipo]]="Dividendo",Tabela4[[#This Row],[Valor]],IF(Tabela4[[#This Row],[Tipo]]="Jrs. Cap. Próprio",Tabela4[[#This Row],[Valor]]*85%,0))</f>
        <v>3.9133544999999999E-2</v>
      </c>
      <c r="I386" s="35" t="s">
        <v>88</v>
      </c>
      <c r="J386" s="35">
        <v>2009</v>
      </c>
      <c r="K386" s="34">
        <f>SUMPRODUCT(N(Tabela4[Ativo]=Tabela5[[#This Row],[Ativo]]),N(YEAR(Tabela4[Data ex-1])=Tabela5[[#This Row],[Ano]]),Tabela4[Líquido])</f>
        <v>1.4420249999999999</v>
      </c>
      <c r="L386" s="87"/>
      <c r="M386" s="87"/>
      <c r="N386" s="88">
        <f>IF(Tabela5[[#This Row],[Dividendos]]&gt;0,Tabela5[[#This Row],[Dividendos]]/Tabela5[[#This Row],[Lucro Líquido]],0)</f>
        <v>0</v>
      </c>
      <c r="O386" s="23"/>
      <c r="P386" s="10"/>
    </row>
    <row r="387" spans="1:16" x14ac:dyDescent="0.2">
      <c r="A387" s="4" t="s">
        <v>200</v>
      </c>
      <c r="B387" s="4" t="s">
        <v>14</v>
      </c>
      <c r="C387" s="19">
        <v>41507</v>
      </c>
      <c r="D387" s="10">
        <v>6.6E-3</v>
      </c>
      <c r="E387" s="68"/>
      <c r="F387" s="68">
        <v>41499</v>
      </c>
      <c r="G387" s="14">
        <f>IF(Tabela4[[#This Row],[Tipo]]="Dividendo",Tabela4[[#This Row],[Valor]],IF(Tabela4[[#This Row],[Tipo]]="Jrs. Cap. Próprio",Tabela4[[#This Row],[Valor]]*85%,0))</f>
        <v>5.6099999999999995E-3</v>
      </c>
      <c r="I387" s="35" t="s">
        <v>88</v>
      </c>
      <c r="J387" s="35">
        <v>2008</v>
      </c>
      <c r="K387" s="34">
        <f>SUMPRODUCT(N(Tabela4[Ativo]=Tabela5[[#This Row],[Ativo]]),N(YEAR(Tabela4[Data ex-1])=Tabela5[[#This Row],[Ano]]),Tabela4[Líquido])</f>
        <v>1.3339049999999999</v>
      </c>
      <c r="L387" s="87"/>
      <c r="M387" s="87"/>
      <c r="N387" s="88">
        <f>IF(Tabela5[[#This Row],[Dividendos]]&gt;0,Tabela5[[#This Row],[Dividendos]]/Tabela5[[#This Row],[Lucro Líquido]],0)</f>
        <v>0</v>
      </c>
      <c r="O387" s="23"/>
      <c r="P387" s="10"/>
    </row>
    <row r="388" spans="1:16" x14ac:dyDescent="0.2">
      <c r="A388" s="4" t="s">
        <v>200</v>
      </c>
      <c r="B388" s="3" t="s">
        <v>14</v>
      </c>
      <c r="C388" s="80">
        <v>41326</v>
      </c>
      <c r="D388" s="10">
        <v>6.1999999999999998E-3</v>
      </c>
      <c r="E388" s="81">
        <v>41346</v>
      </c>
      <c r="F388" s="81">
        <v>41324</v>
      </c>
      <c r="G388" s="10">
        <f>IF(Tabela4[[#This Row],[Tipo]]="Dividendo",Tabela4[[#This Row],[Valor]],IF(Tabela4[[#This Row],[Tipo]]="Jrs. Cap. Próprio",Tabela4[[#This Row],[Valor]]*85%,0))</f>
        <v>5.2699999999999995E-3</v>
      </c>
      <c r="I388" s="35" t="s">
        <v>88</v>
      </c>
      <c r="J388" s="35">
        <v>2007</v>
      </c>
      <c r="K388" s="34">
        <f>SUMPRODUCT(N(Tabela4[Ativo]=Tabela5[[#This Row],[Ativo]]),N(YEAR(Tabela4[Data ex-1])=Tabela5[[#This Row],[Ano]]),Tabela4[Líquido])</f>
        <v>2.6781799999999998</v>
      </c>
      <c r="L388" s="87"/>
      <c r="M388" s="87"/>
      <c r="N388" s="88">
        <f>IF(Tabela5[[#This Row],[Dividendos]]&gt;0,Tabela5[[#This Row],[Dividendos]]/Tabela5[[#This Row],[Lucro Líquido]],0)</f>
        <v>0</v>
      </c>
      <c r="O388" s="23"/>
      <c r="P388" s="10"/>
    </row>
    <row r="389" spans="1:16" x14ac:dyDescent="0.2">
      <c r="A389" s="4" t="s">
        <v>200</v>
      </c>
      <c r="B389" s="3" t="s">
        <v>14</v>
      </c>
      <c r="C389" s="80">
        <v>41138</v>
      </c>
      <c r="D389" s="10">
        <v>6.1999999999999998E-3</v>
      </c>
      <c r="E389" s="81">
        <v>41164</v>
      </c>
      <c r="F389" s="81">
        <v>41135</v>
      </c>
      <c r="G389" s="10">
        <f>IF(Tabela4[[#This Row],[Tipo]]="Dividendo",Tabela4[[#This Row],[Valor]],IF(Tabela4[[#This Row],[Tipo]]="Jrs. Cap. Próprio",Tabela4[[#This Row],[Valor]]*85%,0))</f>
        <v>5.2699999999999995E-3</v>
      </c>
      <c r="I389" s="35" t="s">
        <v>88</v>
      </c>
      <c r="J389" s="35">
        <v>2006</v>
      </c>
      <c r="K389" s="34">
        <f>SUMPRODUCT(N(Tabela4[Ativo]=Tabela5[[#This Row],[Ativo]]),N(YEAR(Tabela4[Data ex-1])=Tabela5[[#This Row],[Ano]]),Tabela4[Líquido])</f>
        <v>2.7048999999999999</v>
      </c>
      <c r="L389" s="87"/>
      <c r="M389" s="87"/>
      <c r="N389" s="88">
        <f>IF(Tabela5[[#This Row],[Dividendos]]&gt;0,Tabela5[[#This Row],[Dividendos]]/Tabela5[[#This Row],[Lucro Líquido]],0)</f>
        <v>0</v>
      </c>
      <c r="O389" s="23"/>
      <c r="P389" s="10"/>
    </row>
    <row r="390" spans="1:16" x14ac:dyDescent="0.2">
      <c r="A390" s="4" t="s">
        <v>200</v>
      </c>
      <c r="B390" s="3" t="s">
        <v>14</v>
      </c>
      <c r="C390" s="80">
        <v>40955</v>
      </c>
      <c r="D390" s="10">
        <v>5.7999999999999996E-3</v>
      </c>
      <c r="E390" s="81">
        <v>40981</v>
      </c>
      <c r="F390" s="81">
        <v>40953</v>
      </c>
      <c r="G390" s="10">
        <f>IF(Tabela4[[#This Row],[Tipo]]="Dividendo",Tabela4[[#This Row],[Valor]],IF(Tabela4[[#This Row],[Tipo]]="Jrs. Cap. Próprio",Tabela4[[#This Row],[Valor]]*85%,0))</f>
        <v>4.9299999999999995E-3</v>
      </c>
      <c r="I390" s="35" t="s">
        <v>88</v>
      </c>
      <c r="J390" s="35">
        <v>2005</v>
      </c>
      <c r="K390" s="34">
        <f>SUMPRODUCT(N(Tabela4[Ativo]=Tabela5[[#This Row],[Ativo]]),N(YEAR(Tabela4[Data ex-1])=Tabela5[[#This Row],[Ano]]),Tabela4[Líquido])</f>
        <v>2.4530149999999997</v>
      </c>
      <c r="L390" s="87"/>
      <c r="M390" s="87"/>
      <c r="N390" s="88">
        <f>IF(Tabela5[[#This Row],[Dividendos]]&gt;0,Tabela5[[#This Row],[Dividendos]]/Tabela5[[#This Row],[Lucro Líquido]],0)</f>
        <v>0</v>
      </c>
      <c r="O390" s="23"/>
      <c r="P390" s="10"/>
    </row>
    <row r="391" spans="1:16" x14ac:dyDescent="0.2">
      <c r="A391" s="4" t="s">
        <v>200</v>
      </c>
      <c r="B391" s="3" t="s">
        <v>14</v>
      </c>
      <c r="C391" s="80">
        <v>40766</v>
      </c>
      <c r="D391" s="10">
        <v>5.7999999999999996E-3</v>
      </c>
      <c r="E391" s="81">
        <v>40786</v>
      </c>
      <c r="F391" s="81">
        <v>40764</v>
      </c>
      <c r="G391" s="10">
        <f>IF(Tabela4[[#This Row],[Tipo]]="Dividendo",Tabela4[[#This Row],[Valor]],IF(Tabela4[[#This Row],[Tipo]]="Jrs. Cap. Próprio",Tabela4[[#This Row],[Valor]]*85%,0))</f>
        <v>4.9299999999999995E-3</v>
      </c>
      <c r="I391" s="35" t="s">
        <v>88</v>
      </c>
      <c r="J391" s="35">
        <v>2004</v>
      </c>
      <c r="K391" s="34">
        <f>SUMPRODUCT(N(Tabela4[Ativo]=Tabela5[[#This Row],[Ativo]]),N(YEAR(Tabela4[Data ex-1])=Tabela5[[#This Row],[Ano]]),Tabela4[Líquido])</f>
        <v>2.4378000000000002</v>
      </c>
      <c r="L391" s="87"/>
      <c r="M391" s="87"/>
      <c r="N391" s="88">
        <f>IF(Tabela5[[#This Row],[Dividendos]]&gt;0,Tabela5[[#This Row],[Dividendos]]/Tabela5[[#This Row],[Lucro Líquido]],0)</f>
        <v>0</v>
      </c>
      <c r="O391" s="23"/>
      <c r="P391" s="10"/>
    </row>
    <row r="392" spans="1:16" x14ac:dyDescent="0.2">
      <c r="A392" s="4" t="s">
        <v>200</v>
      </c>
      <c r="B392" s="3" t="s">
        <v>14</v>
      </c>
      <c r="C392" s="80">
        <v>40595</v>
      </c>
      <c r="D392" s="10">
        <v>6.1000000000000004E-3</v>
      </c>
      <c r="E392" s="81">
        <v>40617</v>
      </c>
      <c r="F392" s="81">
        <v>40591</v>
      </c>
      <c r="G392" s="10">
        <f>IF(Tabela4[[#This Row],[Tipo]]="Dividendo",Tabela4[[#This Row],[Valor]],IF(Tabela4[[#This Row],[Tipo]]="Jrs. Cap. Próprio",Tabela4[[#This Row],[Valor]]*85%,0))</f>
        <v>5.1850000000000004E-3</v>
      </c>
      <c r="I392" s="35" t="s">
        <v>88</v>
      </c>
      <c r="J392" s="35">
        <v>2003</v>
      </c>
      <c r="K392" s="34">
        <f>SUMPRODUCT(N(Tabela4[Ativo]=Tabela5[[#This Row],[Ativo]]),N(YEAR(Tabela4[Data ex-1])=Tabela5[[#This Row],[Ano]]),Tabela4[Líquido])</f>
        <v>2.4792999999999998</v>
      </c>
      <c r="L392" s="87"/>
      <c r="M392" s="87"/>
      <c r="N392" s="88">
        <f>IF(Tabela5[[#This Row],[Dividendos]]&gt;0,Tabela5[[#This Row],[Dividendos]]/Tabela5[[#This Row],[Lucro Líquido]],0)</f>
        <v>0</v>
      </c>
      <c r="O392" s="23"/>
      <c r="P392" s="10"/>
    </row>
    <row r="393" spans="1:16" x14ac:dyDescent="0.2">
      <c r="A393" s="4" t="s">
        <v>200</v>
      </c>
      <c r="B393" s="3" t="s">
        <v>14</v>
      </c>
      <c r="C393" s="80">
        <v>40402</v>
      </c>
      <c r="D393" s="10">
        <v>5.4999999999999997E-3</v>
      </c>
      <c r="E393" s="81">
        <v>40429</v>
      </c>
      <c r="F393" s="81">
        <v>40400</v>
      </c>
      <c r="G393" s="10">
        <f>IF(Tabela4[[#This Row],[Tipo]]="Dividendo",Tabela4[[#This Row],[Valor]],IF(Tabela4[[#This Row],[Tipo]]="Jrs. Cap. Próprio",Tabela4[[#This Row],[Valor]]*85%,0))</f>
        <v>4.6749999999999995E-3</v>
      </c>
      <c r="I393" s="35" t="s">
        <v>88</v>
      </c>
      <c r="J393" s="35">
        <v>2002</v>
      </c>
      <c r="K393" s="34">
        <f>SUMPRODUCT(N(Tabela4[Ativo]=Tabela5[[#This Row],[Ativo]]),N(YEAR(Tabela4[Data ex-1])=Tabela5[[#This Row],[Ano]]),Tabela4[Líquido])</f>
        <v>0.29171999999999998</v>
      </c>
      <c r="L393" s="87"/>
      <c r="M393" s="87"/>
      <c r="N393" s="88">
        <f>IF(Tabela5[[#This Row],[Dividendos]]&gt;0,Tabela5[[#This Row],[Dividendos]]/Tabela5[[#This Row],[Lucro Líquido]],0)</f>
        <v>0</v>
      </c>
      <c r="O393" s="23"/>
      <c r="P393" s="10"/>
    </row>
    <row r="394" spans="1:16" x14ac:dyDescent="0.2">
      <c r="A394" s="4" t="s">
        <v>200</v>
      </c>
      <c r="B394" s="3" t="s">
        <v>14</v>
      </c>
      <c r="C394" s="80">
        <v>40246</v>
      </c>
      <c r="D394" s="10">
        <v>5.4999999999999997E-3</v>
      </c>
      <c r="E394" s="81">
        <v>40276</v>
      </c>
      <c r="F394" s="81">
        <v>40240</v>
      </c>
      <c r="G394" s="10">
        <f>IF(Tabela4[[#This Row],[Tipo]]="Dividendo",Tabela4[[#This Row],[Valor]],IF(Tabela4[[#This Row],[Tipo]]="Jrs. Cap. Próprio",Tabela4[[#This Row],[Valor]]*85%,0))</f>
        <v>4.6749999999999995E-3</v>
      </c>
      <c r="I394" s="35" t="s">
        <v>88</v>
      </c>
      <c r="J394" s="35">
        <v>2001</v>
      </c>
      <c r="K394" s="34">
        <f>SUMPRODUCT(N(Tabela4[Ativo]=Tabela5[[#This Row],[Ativo]]),N(YEAR(Tabela4[Data ex-1])=Tabela5[[#This Row],[Ano]]),Tabela4[Líquido])</f>
        <v>2.3008649999999999</v>
      </c>
      <c r="L394" s="87"/>
      <c r="M394" s="87"/>
      <c r="N394" s="88">
        <f>IF(Tabela5[[#This Row],[Dividendos]]&gt;0,Tabela5[[#This Row],[Dividendos]]/Tabela5[[#This Row],[Lucro Líquido]],0)</f>
        <v>0</v>
      </c>
      <c r="O394" s="23"/>
      <c r="P394" s="10"/>
    </row>
    <row r="395" spans="1:16" x14ac:dyDescent="0.2">
      <c r="A395" s="4" t="s">
        <v>200</v>
      </c>
      <c r="B395" s="3" t="s">
        <v>14</v>
      </c>
      <c r="C395" s="80">
        <v>40017</v>
      </c>
      <c r="D395" s="10">
        <v>5.4999999999999997E-3</v>
      </c>
      <c r="E395" s="81">
        <v>40050</v>
      </c>
      <c r="F395" s="81">
        <v>40014</v>
      </c>
      <c r="G395" s="10">
        <f>IF(Tabela4[[#This Row],[Tipo]]="Dividendo",Tabela4[[#This Row],[Valor]],IF(Tabela4[[#This Row],[Tipo]]="Jrs. Cap. Próprio",Tabela4[[#This Row],[Valor]]*85%,0))</f>
        <v>4.6749999999999995E-3</v>
      </c>
      <c r="I395" s="35" t="s">
        <v>88</v>
      </c>
      <c r="J395" s="35">
        <v>2000</v>
      </c>
      <c r="K395" s="34">
        <f>SUMPRODUCT(N(Tabela4[Ativo]=Tabela5[[#This Row],[Ativo]]),N(YEAR(Tabela4[Data ex-1])=Tabela5[[#This Row],[Ano]]),Tabela4[Líquido])</f>
        <v>2.3008649999999999</v>
      </c>
      <c r="L395" s="87"/>
      <c r="M395" s="87"/>
      <c r="N395" s="88">
        <f>IF(Tabela5[[#This Row],[Dividendos]]&gt;0,Tabela5[[#This Row],[Dividendos]]/Tabela5[[#This Row],[Lucro Líquido]],0)</f>
        <v>0</v>
      </c>
      <c r="O395" s="23"/>
      <c r="P395" s="10"/>
    </row>
    <row r="396" spans="1:16" x14ac:dyDescent="0.2">
      <c r="A396" s="4" t="s">
        <v>200</v>
      </c>
      <c r="B396" s="3" t="s">
        <v>14</v>
      </c>
      <c r="C396" s="80">
        <v>39833</v>
      </c>
      <c r="D396" s="10">
        <v>5.0000000000000001E-3</v>
      </c>
      <c r="E396" s="81">
        <v>39861</v>
      </c>
      <c r="F396" s="81">
        <v>39828</v>
      </c>
      <c r="G396" s="10">
        <f>IF(Tabela4[[#This Row],[Tipo]]="Dividendo",Tabela4[[#This Row],[Valor]],IF(Tabela4[[#This Row],[Tipo]]="Jrs. Cap. Próprio",Tabela4[[#This Row],[Valor]]*85%,0))</f>
        <v>4.2500000000000003E-3</v>
      </c>
      <c r="I396" s="35" t="s">
        <v>88</v>
      </c>
      <c r="J396" s="35">
        <v>1999</v>
      </c>
      <c r="K396" s="34">
        <f>SUMPRODUCT(N(Tabela4[Ativo]=Tabela5[[#This Row],[Ativo]]),N(YEAR(Tabela4[Data ex-1])=Tabela5[[#This Row],[Ano]]),Tabela4[Líquido])</f>
        <v>4.0464649999999995</v>
      </c>
      <c r="L396" s="87"/>
      <c r="M396" s="87"/>
      <c r="N396" s="88">
        <f>IF(Tabela5[[#This Row],[Dividendos]]&gt;0,Tabela5[[#This Row],[Dividendos]]/Tabela5[[#This Row],[Lucro Líquido]],0)</f>
        <v>0</v>
      </c>
      <c r="O396" s="23"/>
      <c r="P396" s="10"/>
    </row>
    <row r="397" spans="1:16" x14ac:dyDescent="0.2">
      <c r="A397" s="4" t="s">
        <v>200</v>
      </c>
      <c r="B397" s="3" t="s">
        <v>14</v>
      </c>
      <c r="C397" s="80">
        <v>39681</v>
      </c>
      <c r="D397" s="10">
        <v>5.0000000000000001E-3</v>
      </c>
      <c r="E397" s="81">
        <v>39709</v>
      </c>
      <c r="F397" s="81">
        <v>39679</v>
      </c>
      <c r="G397" s="10">
        <f>IF(Tabela4[[#This Row],[Tipo]]="Dividendo",Tabela4[[#This Row],[Valor]],IF(Tabela4[[#This Row],[Tipo]]="Jrs. Cap. Próprio",Tabela4[[#This Row],[Valor]]*85%,0))</f>
        <v>4.2500000000000003E-3</v>
      </c>
      <c r="I397" s="4" t="s">
        <v>4</v>
      </c>
      <c r="J397" s="4">
        <v>2013</v>
      </c>
      <c r="K397" s="14">
        <f>SUMPRODUCT(N(Tabela4[Ativo]=Tabela5[[#This Row],[Ativo]]),N(YEAR(Tabela4[Data ex-1])=Tabela5[[#This Row],[Ano]]),Tabela4[Líquido])</f>
        <v>3.3361380000000002E-3</v>
      </c>
      <c r="L397" s="6">
        <v>107946000</v>
      </c>
      <c r="M397" s="6">
        <v>54318146</v>
      </c>
      <c r="N397" s="24">
        <f>IF(Tabela5[[#This Row],[Dividendos]]&gt;0,Tabela5[[#This Row],[Dividendos]]/Tabela5[[#This Row],[Lucro Líquido]],0)</f>
        <v>0.50319739499379323</v>
      </c>
      <c r="O397" s="23">
        <f>Tabela5[[#This Row],[Payout2]]</f>
        <v>0.50319739499379323</v>
      </c>
      <c r="P397" s="10"/>
    </row>
    <row r="398" spans="1:16" x14ac:dyDescent="0.2">
      <c r="A398" s="4" t="s">
        <v>200</v>
      </c>
      <c r="B398" s="3" t="s">
        <v>14</v>
      </c>
      <c r="C398" s="80">
        <v>39476</v>
      </c>
      <c r="D398" s="10">
        <v>5.0000000000000001E-3</v>
      </c>
      <c r="E398" s="81">
        <v>39503</v>
      </c>
      <c r="F398" s="81">
        <v>39465</v>
      </c>
      <c r="G398" s="10">
        <f>IF(Tabela4[[#This Row],[Tipo]]="Dividendo",Tabela4[[#This Row],[Valor]],IF(Tabela4[[#This Row],[Tipo]]="Jrs. Cap. Próprio",Tabela4[[#This Row],[Valor]]*85%,0))</f>
        <v>4.2500000000000003E-3</v>
      </c>
      <c r="I398" s="4" t="s">
        <v>4</v>
      </c>
      <c r="J398" s="4">
        <v>2012</v>
      </c>
      <c r="K398" s="14">
        <f>SUMPRODUCT(N(Tabela4[Ativo]=Tabela5[[#This Row],[Ativo]]),N(YEAR(Tabela4[Data ex-1])=Tabela5[[#This Row],[Ano]]),Tabela4[Líquido])</f>
        <v>3.6780138839499998</v>
      </c>
      <c r="L398" s="6">
        <v>1572105000</v>
      </c>
      <c r="M398" s="6">
        <v>911072000</v>
      </c>
      <c r="N398" s="24">
        <f>IF(Tabela5[[#This Row],[Dividendos]]&gt;0,Tabela5[[#This Row],[Dividendos]]/Tabela5[[#This Row],[Lucro Líquido]],0)</f>
        <v>0.57952363232735726</v>
      </c>
      <c r="O398" s="23">
        <f>Tabela5[[#This Row],[Payout2]]</f>
        <v>0.57952363232735726</v>
      </c>
      <c r="P398" s="10"/>
    </row>
    <row r="399" spans="1:16" x14ac:dyDescent="0.2">
      <c r="A399" s="4" t="s">
        <v>200</v>
      </c>
      <c r="B399" s="3" t="s">
        <v>14</v>
      </c>
      <c r="C399" s="80">
        <v>39315</v>
      </c>
      <c r="D399" s="10">
        <v>5.0000000000000001E-3</v>
      </c>
      <c r="E399" s="81">
        <v>39335</v>
      </c>
      <c r="F399" s="81">
        <v>39310</v>
      </c>
      <c r="G399" s="10">
        <f>IF(Tabela4[[#This Row],[Tipo]]="Dividendo",Tabela4[[#This Row],[Valor]],IF(Tabela4[[#This Row],[Tipo]]="Jrs. Cap. Próprio",Tabela4[[#This Row],[Valor]]*85%,0))</f>
        <v>4.2500000000000003E-3</v>
      </c>
      <c r="I399" s="4" t="s">
        <v>4</v>
      </c>
      <c r="J399" s="4">
        <v>2011</v>
      </c>
      <c r="K399" s="10">
        <f>SUMPRODUCT(N(Tabela4[Ativo]=Tabela5[[#This Row],[Ativo]]),N(YEAR(Tabela4[Data ex-1])=Tabela5[[#This Row],[Ano]]),Tabela4[Líquido])</f>
        <v>7.41946588295</v>
      </c>
      <c r="L399" s="6">
        <v>1347688000</v>
      </c>
      <c r="M399" s="6">
        <v>1541904000</v>
      </c>
      <c r="N399" s="23">
        <f>IF(Tabela5[[#This Row],[Dividendos]]&gt;0,Tabela5[[#This Row],[Dividendos]]/Tabela5[[#This Row],[Lucro Líquido]],0)</f>
        <v>1.1441105062892896</v>
      </c>
      <c r="O399" s="23">
        <f>Tabela5[[#This Row],[Payout2]]</f>
        <v>1.1441105062892896</v>
      </c>
      <c r="P399" s="10"/>
    </row>
    <row r="400" spans="1:16" x14ac:dyDescent="0.2">
      <c r="A400" s="4" t="s">
        <v>200</v>
      </c>
      <c r="B400" s="3" t="s">
        <v>14</v>
      </c>
      <c r="C400" s="80">
        <v>39098</v>
      </c>
      <c r="D400" s="10">
        <v>4.5999999999999999E-3</v>
      </c>
      <c r="E400" s="81">
        <v>39121</v>
      </c>
      <c r="F400" s="81">
        <v>39092</v>
      </c>
      <c r="G400" s="10">
        <f>IF(Tabela4[[#This Row],[Tipo]]="Dividendo",Tabela4[[#This Row],[Valor]],IF(Tabela4[[#This Row],[Tipo]]="Jrs. Cap. Próprio",Tabela4[[#This Row],[Valor]]*85%,0))</f>
        <v>3.9099999999999994E-3</v>
      </c>
      <c r="I400" s="4" t="s">
        <v>4</v>
      </c>
      <c r="J400" s="4">
        <v>2010</v>
      </c>
      <c r="K400" s="10">
        <f>SUMPRODUCT(N(Tabela4[Ativo]=Tabela5[[#This Row],[Ativo]]),N(YEAR(Tabela4[Data ex-1])=Tabela5[[#This Row],[Ano]]),Tabela4[Líquido])</f>
        <v>8.5169628464699993</v>
      </c>
      <c r="L400" s="5">
        <v>1063194000</v>
      </c>
      <c r="M400" s="5">
        <v>1079836000</v>
      </c>
      <c r="N400" s="23">
        <f>IF(Tabela5[[#This Row],[Dividendos]]&gt;0,Tabela5[[#This Row],[Dividendos]]/Tabela5[[#This Row],[Lucro Líquido]],0)</f>
        <v>1.0156528347601661</v>
      </c>
      <c r="O400" s="23">
        <f>Tabela5[[#This Row],[Payout2]]</f>
        <v>1.0156528347601661</v>
      </c>
      <c r="P400" s="10"/>
    </row>
    <row r="401" spans="1:16" x14ac:dyDescent="0.2">
      <c r="A401" s="4" t="s">
        <v>200</v>
      </c>
      <c r="B401" s="3" t="s">
        <v>14</v>
      </c>
      <c r="C401" s="80">
        <v>38950</v>
      </c>
      <c r="D401" s="10">
        <v>4.5999999999999999E-3</v>
      </c>
      <c r="E401" s="81">
        <v>38973</v>
      </c>
      <c r="F401" s="81">
        <v>38945</v>
      </c>
      <c r="G401" s="10">
        <f>IF(Tabela4[[#This Row],[Tipo]]="Dividendo",Tabela4[[#This Row],[Valor]],IF(Tabela4[[#This Row],[Tipo]]="Jrs. Cap. Próprio",Tabela4[[#This Row],[Valor]]*85%,0))</f>
        <v>3.9099999999999994E-3</v>
      </c>
      <c r="I401" s="4" t="s">
        <v>4</v>
      </c>
      <c r="J401" s="4">
        <v>2009</v>
      </c>
      <c r="K401" s="10">
        <f>SUMPRODUCT(N(Tabela4[Ativo]=Tabela5[[#This Row],[Ativo]]),N(YEAR(Tabela4[Data ex-1])=Tabela5[[#This Row],[Ano]]),Tabela4[Líquido])</f>
        <v>6.1851035392250004</v>
      </c>
      <c r="L401" s="5">
        <v>1027969000</v>
      </c>
      <c r="M401" s="5">
        <v>1042974000</v>
      </c>
      <c r="N401" s="23">
        <f>IF(Tabela5[[#This Row],[Dividendos]]&gt;0,Tabela5[[#This Row],[Dividendos]]/Tabela5[[#This Row],[Lucro Líquido]],0)</f>
        <v>1.0145967436761225</v>
      </c>
      <c r="O401" s="23">
        <f>Tabela5[[#This Row],[Payout2]]</f>
        <v>1.0145967436761225</v>
      </c>
      <c r="P401" s="10"/>
    </row>
    <row r="402" spans="1:16" x14ac:dyDescent="0.2">
      <c r="A402" s="4" t="s">
        <v>200</v>
      </c>
      <c r="B402" s="3" t="s">
        <v>14</v>
      </c>
      <c r="C402" s="80">
        <v>38737</v>
      </c>
      <c r="D402" s="10">
        <v>4.5999999999999999E-3</v>
      </c>
      <c r="E402" s="81">
        <v>38764</v>
      </c>
      <c r="F402" s="81">
        <v>38733</v>
      </c>
      <c r="G402" s="10">
        <f>IF(Tabela4[[#This Row],[Tipo]]="Dividendo",Tabela4[[#This Row],[Valor]],IF(Tabela4[[#This Row],[Tipo]]="Jrs. Cap. Próprio",Tabela4[[#This Row],[Valor]]*85%,0))</f>
        <v>3.9099999999999994E-3</v>
      </c>
      <c r="I402" s="4" t="s">
        <v>4</v>
      </c>
      <c r="J402" s="4">
        <v>2008</v>
      </c>
      <c r="K402" s="10">
        <f>SUMPRODUCT(N(Tabela4[Ativo]=Tabela5[[#This Row],[Ativo]]),N(YEAR(Tabela4[Data ex-1])=Tabela5[[#This Row],[Ano]]),Tabela4[Líquido])</f>
        <v>3.5796941014000003</v>
      </c>
      <c r="L402" s="5">
        <v>712631000</v>
      </c>
      <c r="M402" s="5">
        <v>715033000</v>
      </c>
      <c r="N402" s="23">
        <f>IF(Tabela5[[#This Row],[Dividendos]]&gt;0,Tabela5[[#This Row],[Dividendos]]/Tabela5[[#This Row],[Lucro Líquido]],0)</f>
        <v>1.0033706083513065</v>
      </c>
      <c r="O402" s="23">
        <f>Tabela5[[#This Row],[Payout2]]</f>
        <v>1.0033706083513065</v>
      </c>
      <c r="P402" s="10"/>
    </row>
    <row r="403" spans="1:16" x14ac:dyDescent="0.2">
      <c r="A403" s="4" t="s">
        <v>200</v>
      </c>
      <c r="B403" s="3" t="s">
        <v>14</v>
      </c>
      <c r="C403" s="80">
        <v>38596</v>
      </c>
      <c r="D403" s="10">
        <v>4.7999999999999996E-3</v>
      </c>
      <c r="E403" s="81">
        <v>38621</v>
      </c>
      <c r="F403" s="81">
        <v>38593</v>
      </c>
      <c r="G403" s="10">
        <f>IF(Tabela4[[#This Row],[Tipo]]="Dividendo",Tabela4[[#This Row],[Valor]],IF(Tabela4[[#This Row],[Tipo]]="Jrs. Cap. Próprio",Tabela4[[#This Row],[Valor]]*85%,0))</f>
        <v>4.0799999999999994E-3</v>
      </c>
      <c r="I403" s="35" t="s">
        <v>89</v>
      </c>
      <c r="J403" s="35">
        <v>2013</v>
      </c>
      <c r="K403" s="38">
        <f>SUMPRODUCT(N(Tabela4[Ativo]=Tabela5[[#This Row],[Ativo]]),N(YEAR(Tabela4[Data ex-1])=Tabela5[[#This Row],[Ano]]),Tabela4[Líquido])</f>
        <v>0.50429999999999997</v>
      </c>
      <c r="L403" s="43"/>
      <c r="M403" s="43"/>
      <c r="N403" s="75">
        <f>IF(Tabela5[[#This Row],[Dividendos]]&gt;0,Tabela5[[#This Row],[Dividendos]]/Tabela5[[#This Row],[Lucro Líquido]],0)</f>
        <v>0</v>
      </c>
      <c r="O403" s="23">
        <v>0.55610000000000004</v>
      </c>
      <c r="P403" s="10"/>
    </row>
    <row r="404" spans="1:16" x14ac:dyDescent="0.2">
      <c r="A404" s="4" t="s">
        <v>200</v>
      </c>
      <c r="B404" s="3" t="s">
        <v>14</v>
      </c>
      <c r="C404" s="80">
        <v>38364</v>
      </c>
      <c r="D404" s="10">
        <v>8.3999999999999995E-3</v>
      </c>
      <c r="E404" s="81">
        <v>38397</v>
      </c>
      <c r="F404" s="81">
        <v>38358</v>
      </c>
      <c r="G404" s="10">
        <f>IF(Tabela4[[#This Row],[Tipo]]="Dividendo",Tabela4[[#This Row],[Valor]],IF(Tabela4[[#This Row],[Tipo]]="Jrs. Cap. Próprio",Tabela4[[#This Row],[Valor]]*85%,0))</f>
        <v>7.1399999999999996E-3</v>
      </c>
      <c r="I404" s="35" t="s">
        <v>89</v>
      </c>
      <c r="J404" s="35">
        <v>2012</v>
      </c>
      <c r="K404" s="38">
        <f>SUMPRODUCT(N(Tabela4[Ativo]=Tabela5[[#This Row],[Ativo]]),N(YEAR(Tabela4[Data ex-1])=Tabela5[[#This Row],[Ano]]),Tabela4[Líquido])</f>
        <v>1.74227</v>
      </c>
      <c r="L404" s="43"/>
      <c r="M404" s="43"/>
      <c r="N404" s="75">
        <f>IF(Tabela5[[#This Row],[Dividendos]]&gt;0,Tabela5[[#This Row],[Dividendos]]/Tabela5[[#This Row],[Lucro Líquido]],0)</f>
        <v>0</v>
      </c>
      <c r="O404" s="23">
        <v>0.68</v>
      </c>
      <c r="P404" s="10"/>
    </row>
    <row r="405" spans="1:16" x14ac:dyDescent="0.2">
      <c r="A405" s="4" t="s">
        <v>200</v>
      </c>
      <c r="B405" s="3" t="s">
        <v>14</v>
      </c>
      <c r="C405" s="80">
        <v>38215</v>
      </c>
      <c r="D405" s="10">
        <v>4.1999999999999997E-3</v>
      </c>
      <c r="E405" s="81">
        <v>38232</v>
      </c>
      <c r="F405" s="81">
        <v>38209</v>
      </c>
      <c r="G405" s="10">
        <f>IF(Tabela4[[#This Row],[Tipo]]="Dividendo",Tabela4[[#This Row],[Valor]],IF(Tabela4[[#This Row],[Tipo]]="Jrs. Cap. Próprio",Tabela4[[#This Row],[Valor]]*85%,0))</f>
        <v>3.5699999999999998E-3</v>
      </c>
      <c r="I405" s="35" t="s">
        <v>89</v>
      </c>
      <c r="J405" s="35">
        <v>2011</v>
      </c>
      <c r="K405" s="34">
        <f>SUMPRODUCT(N(Tabela4[Ativo]=Tabela5[[#This Row],[Ativo]]),N(YEAR(Tabela4[Data ex-1])=Tabela5[[#This Row],[Ano]]),Tabela4[Líquido])</f>
        <v>2.25814</v>
      </c>
      <c r="L405" s="87"/>
      <c r="M405" s="87"/>
      <c r="N405" s="88">
        <f>IF(Tabela5[[#This Row],[Dividendos]]&gt;0,Tabela5[[#This Row],[Dividendos]]/Tabela5[[#This Row],[Lucro Líquido]],0)</f>
        <v>0</v>
      </c>
      <c r="O405" s="23"/>
      <c r="P405" s="10"/>
    </row>
    <row r="406" spans="1:16" x14ac:dyDescent="0.2">
      <c r="A406" s="4" t="s">
        <v>200</v>
      </c>
      <c r="B406" s="3" t="s">
        <v>14</v>
      </c>
      <c r="C406" s="80">
        <v>37995</v>
      </c>
      <c r="D406" s="10">
        <v>3.3E-3</v>
      </c>
      <c r="E406" s="81">
        <v>38022</v>
      </c>
      <c r="F406" s="81">
        <v>37985</v>
      </c>
      <c r="G406" s="10">
        <f>IF(Tabela4[[#This Row],[Tipo]]="Dividendo",Tabela4[[#This Row],[Valor]],IF(Tabela4[[#This Row],[Tipo]]="Jrs. Cap. Próprio",Tabela4[[#This Row],[Valor]]*85%,0))</f>
        <v>2.8049999999999998E-3</v>
      </c>
      <c r="I406" s="35" t="s">
        <v>89</v>
      </c>
      <c r="J406" s="35">
        <v>2010</v>
      </c>
      <c r="K406" s="34">
        <f>SUMPRODUCT(N(Tabela4[Ativo]=Tabela5[[#This Row],[Ativo]]),N(YEAR(Tabela4[Data ex-1])=Tabela5[[#This Row],[Ano]]),Tabela4[Líquido])</f>
        <v>2.437595</v>
      </c>
      <c r="L406" s="87"/>
      <c r="M406" s="87"/>
      <c r="N406" s="88">
        <f>IF(Tabela5[[#This Row],[Dividendos]]&gt;0,Tabela5[[#This Row],[Dividendos]]/Tabela5[[#This Row],[Lucro Líquido]],0)</f>
        <v>0</v>
      </c>
      <c r="O406" s="23"/>
      <c r="P406" s="10"/>
    </row>
    <row r="407" spans="1:16" x14ac:dyDescent="0.2">
      <c r="A407" s="4" t="s">
        <v>200</v>
      </c>
      <c r="B407" s="3" t="s">
        <v>14</v>
      </c>
      <c r="C407" s="80">
        <v>37852</v>
      </c>
      <c r="D407" s="10">
        <v>1.0999999999999999E-2</v>
      </c>
      <c r="E407" s="81">
        <v>37875</v>
      </c>
      <c r="F407" s="81">
        <v>37846</v>
      </c>
      <c r="G407" s="10">
        <f>IF(Tabela4[[#This Row],[Tipo]]="Dividendo",Tabela4[[#This Row],[Valor]],IF(Tabela4[[#This Row],[Tipo]]="Jrs. Cap. Próprio",Tabela4[[#This Row],[Valor]]*85%,0))</f>
        <v>9.3499999999999989E-3</v>
      </c>
      <c r="I407" s="35" t="s">
        <v>89</v>
      </c>
      <c r="J407" s="35">
        <v>2009</v>
      </c>
      <c r="K407" s="34">
        <f>SUMPRODUCT(N(Tabela4[Ativo]=Tabela5[[#This Row],[Ativo]]),N(YEAR(Tabela4[Data ex-1])=Tabela5[[#This Row],[Ano]]),Tabela4[Líquido])</f>
        <v>0.93840000000000001</v>
      </c>
      <c r="L407" s="87"/>
      <c r="M407" s="87"/>
      <c r="N407" s="88">
        <f>IF(Tabela5[[#This Row],[Dividendos]]&gt;0,Tabela5[[#This Row],[Dividendos]]/Tabela5[[#This Row],[Lucro Líquido]],0)</f>
        <v>0</v>
      </c>
      <c r="O407" s="23"/>
      <c r="P407" s="10"/>
    </row>
    <row r="408" spans="1:16" x14ac:dyDescent="0.2">
      <c r="A408" s="4" t="s">
        <v>200</v>
      </c>
      <c r="B408" s="3" t="s">
        <v>14</v>
      </c>
      <c r="C408" s="80">
        <v>37484</v>
      </c>
      <c r="D408" s="10">
        <v>4.2</v>
      </c>
      <c r="E408" s="81">
        <v>37504</v>
      </c>
      <c r="F408" s="81">
        <v>37481</v>
      </c>
      <c r="G408" s="10">
        <f>IF(Tabela4[[#This Row],[Tipo]]="Dividendo",Tabela4[[#This Row],[Valor]],IF(Tabela4[[#This Row],[Tipo]]="Jrs. Cap. Próprio",Tabela4[[#This Row],[Valor]]*85%,0))</f>
        <v>3.57</v>
      </c>
      <c r="I408" s="35" t="s">
        <v>89</v>
      </c>
      <c r="J408" s="35">
        <v>2008</v>
      </c>
      <c r="K408" s="34">
        <f>SUMPRODUCT(N(Tabela4[Ativo]=Tabela5[[#This Row],[Ativo]]),N(YEAR(Tabela4[Data ex-1])=Tabela5[[#This Row],[Ano]]),Tabela4[Líquido])</f>
        <v>1.15751</v>
      </c>
      <c r="L408" s="87"/>
      <c r="M408" s="87"/>
      <c r="N408" s="88">
        <f>IF(Tabela5[[#This Row],[Dividendos]]&gt;0,Tabela5[[#This Row],[Dividendos]]/Tabela5[[#This Row],[Lucro Líquido]],0)</f>
        <v>0</v>
      </c>
      <c r="O408" s="23"/>
      <c r="P408" s="10"/>
    </row>
    <row r="409" spans="1:16" x14ac:dyDescent="0.2">
      <c r="A409" s="4" t="s">
        <v>200</v>
      </c>
      <c r="B409" s="3" t="s">
        <v>15</v>
      </c>
      <c r="C409" s="80">
        <v>37347</v>
      </c>
      <c r="D409" s="10">
        <v>3.5</v>
      </c>
      <c r="E409" s="81">
        <v>37365</v>
      </c>
      <c r="F409" s="81">
        <v>37340</v>
      </c>
      <c r="G409" s="10">
        <f>IF(Tabela4[[#This Row],[Tipo]]="Dividendo",Tabela4[[#This Row],[Valor]],IF(Tabela4[[#This Row],[Tipo]]="Jrs. Cap. Próprio",Tabela4[[#This Row],[Valor]]*85%,0))</f>
        <v>3.5</v>
      </c>
      <c r="I409" s="35" t="s">
        <v>89</v>
      </c>
      <c r="J409" s="35">
        <v>2007</v>
      </c>
      <c r="K409" s="34">
        <f>SUMPRODUCT(N(Tabela4[Ativo]=Tabela5[[#This Row],[Ativo]]),N(YEAR(Tabela4[Data ex-1])=Tabela5[[#This Row],[Ano]]),Tabela4[Líquido])</f>
        <v>0.61769499999999999</v>
      </c>
      <c r="L409" s="87"/>
      <c r="M409" s="87"/>
      <c r="N409" s="88">
        <f>IF(Tabela5[[#This Row],[Dividendos]]&gt;0,Tabela5[[#This Row],[Dividendos]]/Tabela5[[#This Row],[Lucro Líquido]],0)</f>
        <v>0</v>
      </c>
      <c r="O409" s="23"/>
      <c r="P409" s="10"/>
    </row>
    <row r="410" spans="1:16" x14ac:dyDescent="0.2">
      <c r="A410" s="4" t="s">
        <v>200</v>
      </c>
      <c r="B410" s="3" t="s">
        <v>15</v>
      </c>
      <c r="C410" s="80">
        <v>37131</v>
      </c>
      <c r="D410" s="10">
        <v>3.5</v>
      </c>
      <c r="E410" s="81">
        <v>37148</v>
      </c>
      <c r="F410" s="81">
        <v>37125</v>
      </c>
      <c r="G410" s="10">
        <f>IF(Tabela4[[#This Row],[Tipo]]="Dividendo",Tabela4[[#This Row],[Valor]],IF(Tabela4[[#This Row],[Tipo]]="Jrs. Cap. Próprio",Tabela4[[#This Row],[Valor]]*85%,0))</f>
        <v>3.5</v>
      </c>
      <c r="I410" s="35" t="s">
        <v>89</v>
      </c>
      <c r="J410" s="35">
        <v>2006</v>
      </c>
      <c r="K410" s="34">
        <f>SUMPRODUCT(N(Tabela4[Ativo]=Tabela5[[#This Row],[Ativo]]),N(YEAR(Tabela4[Data ex-1])=Tabela5[[#This Row],[Ano]]),Tabela4[Líquido])</f>
        <v>1.2096450000000001</v>
      </c>
      <c r="L410" s="87"/>
      <c r="M410" s="87"/>
      <c r="N410" s="88">
        <f>IF(Tabela5[[#This Row],[Dividendos]]&gt;0,Tabela5[[#This Row],[Dividendos]]/Tabela5[[#This Row],[Lucro Líquido]],0)</f>
        <v>0</v>
      </c>
      <c r="O410" s="23"/>
      <c r="P410" s="10"/>
    </row>
    <row r="411" spans="1:16" x14ac:dyDescent="0.2">
      <c r="A411" s="4" t="s">
        <v>200</v>
      </c>
      <c r="B411" s="3" t="s">
        <v>15</v>
      </c>
      <c r="C411" s="80">
        <v>36929</v>
      </c>
      <c r="D411" s="10">
        <v>6.88</v>
      </c>
      <c r="E411" s="81">
        <v>36945</v>
      </c>
      <c r="F411" s="81">
        <v>36922</v>
      </c>
      <c r="G411" s="10">
        <f>IF(Tabela4[[#This Row],[Tipo]]="Dividendo",Tabela4[[#This Row],[Valor]],IF(Tabela4[[#This Row],[Tipo]]="Jrs. Cap. Próprio",Tabela4[[#This Row],[Valor]]*85%,0))</f>
        <v>6.88</v>
      </c>
      <c r="I411" s="4" t="s">
        <v>210</v>
      </c>
      <c r="J411" s="4">
        <v>2013</v>
      </c>
      <c r="K411" s="14">
        <f>SUMPRODUCT(N(Tabela4[Ativo]=Tabela5[[#This Row],[Ativo]]),N(YEAR(Tabela4[Data ex-1])=Tabela5[[#This Row],[Ano]]),Tabela4[Líquido])</f>
        <v>0.159</v>
      </c>
      <c r="L411" s="6"/>
      <c r="M411" s="6"/>
      <c r="N411" s="24">
        <f>IF(Tabela5[[#This Row],[Dividendos]]&gt;0,Tabela5[[#This Row],[Dividendos]]/Tabela5[[#This Row],[Lucro Líquido]],0)</f>
        <v>0</v>
      </c>
      <c r="O411" s="23">
        <v>0.5696</v>
      </c>
      <c r="P411" s="10"/>
    </row>
    <row r="412" spans="1:16" x14ac:dyDescent="0.2">
      <c r="A412" s="4" t="s">
        <v>200</v>
      </c>
      <c r="B412" s="3" t="s">
        <v>15</v>
      </c>
      <c r="C412" s="80">
        <v>36747</v>
      </c>
      <c r="D412" s="10">
        <v>0.12</v>
      </c>
      <c r="E412" s="81">
        <v>36763</v>
      </c>
      <c r="F412" s="81">
        <v>36740</v>
      </c>
      <c r="G412" s="10">
        <f>IF(Tabela4[[#This Row],[Tipo]]="Dividendo",Tabela4[[#This Row],[Valor]],IF(Tabela4[[#This Row],[Tipo]]="Jrs. Cap. Próprio",Tabela4[[#This Row],[Valor]]*85%,0))</f>
        <v>0.12</v>
      </c>
      <c r="I412" s="4" t="s">
        <v>210</v>
      </c>
      <c r="J412" s="4">
        <v>2012</v>
      </c>
      <c r="K412" s="14">
        <f>SUMPRODUCT(N(Tabela4[Ativo]=Tabela5[[#This Row],[Ativo]]),N(YEAR(Tabela4[Data ex-1])=Tabela5[[#This Row],[Ano]]),Tabela4[Líquido])</f>
        <v>9.6000000000000002E-2</v>
      </c>
      <c r="L412" s="6"/>
      <c r="M412" s="6"/>
      <c r="N412" s="24">
        <f>IF(Tabela5[[#This Row],[Dividendos]]&gt;0,Tabela5[[#This Row],[Dividendos]]/Tabela5[[#This Row],[Lucro Líquido]],0)</f>
        <v>0</v>
      </c>
      <c r="O412" s="23">
        <v>0.34</v>
      </c>
      <c r="P412" s="10"/>
    </row>
    <row r="413" spans="1:16" x14ac:dyDescent="0.2">
      <c r="A413" s="4" t="s">
        <v>200</v>
      </c>
      <c r="B413" s="3" t="s">
        <v>15</v>
      </c>
      <c r="C413" s="80">
        <v>36586</v>
      </c>
      <c r="D413" s="10">
        <v>6.81</v>
      </c>
      <c r="E413" s="81">
        <v>36608</v>
      </c>
      <c r="F413" s="81">
        <v>36578</v>
      </c>
      <c r="G413" s="10">
        <f>IF(Tabela4[[#This Row],[Tipo]]="Dividendo",Tabela4[[#This Row],[Valor]],IF(Tabela4[[#This Row],[Tipo]]="Jrs. Cap. Próprio",Tabela4[[#This Row],[Valor]]*85%,0))</f>
        <v>6.81</v>
      </c>
      <c r="I413" s="4" t="s">
        <v>210</v>
      </c>
      <c r="J413" s="4">
        <v>2011</v>
      </c>
      <c r="K413" s="10">
        <f>SUMPRODUCT(N(Tabela4[Ativo]=Tabela5[[#This Row],[Ativo]]),N(YEAR(Tabela4[Data ex-1])=Tabela5[[#This Row],[Ano]]),Tabela4[Líquido])</f>
        <v>8.8999999999999996E-2</v>
      </c>
      <c r="N413" s="23">
        <f>IF(Tabela5[[#This Row],[Dividendos]]&gt;0,Tabela5[[#This Row],[Dividendos]]/Tabela5[[#This Row],[Lucro Líquido]],0)</f>
        <v>0</v>
      </c>
      <c r="O413" s="23"/>
      <c r="P413" s="10"/>
    </row>
    <row r="414" spans="1:16" x14ac:dyDescent="0.2">
      <c r="A414" s="4" t="s">
        <v>200</v>
      </c>
      <c r="B414" s="3" t="s">
        <v>15</v>
      </c>
      <c r="C414" s="80">
        <v>36388</v>
      </c>
      <c r="D414" s="10">
        <v>0.19</v>
      </c>
      <c r="E414" s="81">
        <v>36409</v>
      </c>
      <c r="F414" s="81">
        <v>36377</v>
      </c>
      <c r="G414" s="10">
        <f>IF(Tabela4[[#This Row],[Tipo]]="Dividendo",Tabela4[[#This Row],[Valor]],IF(Tabela4[[#This Row],[Tipo]]="Jrs. Cap. Próprio",Tabela4[[#This Row],[Valor]]*85%,0))</f>
        <v>0.19</v>
      </c>
      <c r="I414" s="4" t="s">
        <v>210</v>
      </c>
      <c r="J414" s="4">
        <v>2010</v>
      </c>
      <c r="K414" s="10">
        <f>SUMPRODUCT(N(Tabela4[Ativo]=Tabela5[[#This Row],[Ativo]]),N(YEAR(Tabela4[Data ex-1])=Tabela5[[#This Row],[Ano]]),Tabela4[Líquido])</f>
        <v>8.8999999999999996E-2</v>
      </c>
      <c r="N414" s="23">
        <f>IF(Tabela5[[#This Row],[Dividendos]]&gt;0,Tabela5[[#This Row],[Dividendos]]/Tabela5[[#This Row],[Lucro Líquido]],0)</f>
        <v>0</v>
      </c>
      <c r="O414" s="23"/>
      <c r="P414" s="10"/>
    </row>
    <row r="415" spans="1:16" x14ac:dyDescent="0.2">
      <c r="A415" s="4" t="s">
        <v>200</v>
      </c>
      <c r="B415" s="3" t="s">
        <v>15</v>
      </c>
      <c r="C415" s="80">
        <v>36221</v>
      </c>
      <c r="D415" s="10">
        <v>6.86</v>
      </c>
      <c r="E415" s="81"/>
      <c r="F415" s="81">
        <v>36213</v>
      </c>
      <c r="G415" s="10">
        <f>IF(Tabela4[[#This Row],[Tipo]]="Dividendo",Tabela4[[#This Row],[Valor]],IF(Tabela4[[#This Row],[Tipo]]="Jrs. Cap. Próprio",Tabela4[[#This Row],[Valor]]*85%,0))</f>
        <v>6.86</v>
      </c>
      <c r="I415" s="4" t="s">
        <v>210</v>
      </c>
      <c r="J415" s="4">
        <v>2009</v>
      </c>
      <c r="K415" s="10">
        <f>SUMPRODUCT(N(Tabela4[Ativo]=Tabela5[[#This Row],[Ativo]]),N(YEAR(Tabela4[Data ex-1])=Tabela5[[#This Row],[Ano]]),Tabela4[Líquido])</f>
        <v>0.08</v>
      </c>
      <c r="N415" s="23">
        <f>IF(Tabela5[[#This Row],[Dividendos]]&gt;0,Tabela5[[#This Row],[Dividendos]]/Tabela5[[#This Row],[Lucro Líquido]],0)</f>
        <v>0</v>
      </c>
      <c r="O415" s="23"/>
      <c r="P415" s="10"/>
    </row>
    <row r="416" spans="1:16" x14ac:dyDescent="0.2">
      <c r="A416" s="4" t="s">
        <v>200</v>
      </c>
      <c r="B416" s="3" t="s">
        <v>15</v>
      </c>
      <c r="C416" s="80">
        <v>36031</v>
      </c>
      <c r="D416" s="10">
        <v>0.14000000000000001</v>
      </c>
      <c r="E416" s="81"/>
      <c r="F416" s="81">
        <v>36020</v>
      </c>
      <c r="G416" s="10">
        <f>IF(Tabela4[[#This Row],[Tipo]]="Dividendo",Tabela4[[#This Row],[Valor]],IF(Tabela4[[#This Row],[Tipo]]="Jrs. Cap. Próprio",Tabela4[[#This Row],[Valor]]*85%,0))</f>
        <v>0.14000000000000001</v>
      </c>
      <c r="I416" s="4" t="s">
        <v>210</v>
      </c>
      <c r="J416" s="4">
        <v>2008</v>
      </c>
      <c r="K416" s="10">
        <f>SUMPRODUCT(N(Tabela4[Ativo]=Tabela5[[#This Row],[Ativo]]),N(YEAR(Tabela4[Data ex-1])=Tabela5[[#This Row],[Ano]]),Tabela4[Líquido])</f>
        <v>0.72599999999999998</v>
      </c>
      <c r="N416" s="23">
        <f>IF(Tabela5[[#This Row],[Dividendos]]&gt;0,Tabela5[[#This Row],[Dividendos]]/Tabela5[[#This Row],[Lucro Líquido]],0)</f>
        <v>0</v>
      </c>
      <c r="O416" s="23"/>
      <c r="P416" s="10"/>
    </row>
    <row r="417" spans="1:16" x14ac:dyDescent="0.2">
      <c r="A417" s="4" t="s">
        <v>200</v>
      </c>
      <c r="B417" s="3" t="s">
        <v>14</v>
      </c>
      <c r="C417" s="80">
        <v>35809</v>
      </c>
      <c r="D417" s="10">
        <v>4.5881999999999996</v>
      </c>
      <c r="E417" s="81"/>
      <c r="F417" s="81">
        <v>35803</v>
      </c>
      <c r="G417" s="10">
        <f>IF(Tabela4[[#This Row],[Tipo]]="Dividendo",Tabela4[[#This Row],[Valor]],IF(Tabela4[[#This Row],[Tipo]]="Jrs. Cap. Próprio",Tabela4[[#This Row],[Valor]]*85%,0))</f>
        <v>3.8999699999999997</v>
      </c>
      <c r="I417" s="4" t="s">
        <v>210</v>
      </c>
      <c r="J417" s="4">
        <v>2007</v>
      </c>
      <c r="K417" s="10">
        <f>SUMPRODUCT(N(Tabela4[Ativo]=Tabela5[[#This Row],[Ativo]]),N(YEAR(Tabela4[Data ex-1])=Tabela5[[#This Row],[Ano]]),Tabela4[Líquido])</f>
        <v>0.33</v>
      </c>
      <c r="N417" s="23">
        <f>IF(Tabela5[[#This Row],[Dividendos]]&gt;0,Tabela5[[#This Row],[Dividendos]]/Tabela5[[#This Row],[Lucro Líquido]],0)</f>
        <v>0</v>
      </c>
      <c r="O417" s="23"/>
      <c r="P417" s="10"/>
    </row>
    <row r="418" spans="1:16" x14ac:dyDescent="0.2">
      <c r="A418" s="4" t="s">
        <v>200</v>
      </c>
      <c r="B418" s="3" t="s">
        <v>14</v>
      </c>
      <c r="C418" s="80">
        <v>35655</v>
      </c>
      <c r="D418" s="10">
        <v>2.8</v>
      </c>
      <c r="E418" s="81"/>
      <c r="F418" s="81">
        <v>35648</v>
      </c>
      <c r="G418" s="10">
        <f>IF(Tabela4[[#This Row],[Tipo]]="Dividendo",Tabela4[[#This Row],[Valor]],IF(Tabela4[[#This Row],[Tipo]]="Jrs. Cap. Próprio",Tabela4[[#This Row],[Valor]]*85%,0))</f>
        <v>2.38</v>
      </c>
      <c r="I418" s="35" t="s">
        <v>97</v>
      </c>
      <c r="J418" s="35">
        <v>2013</v>
      </c>
      <c r="K418" s="38">
        <f>SUMPRODUCT(N(Tabela4[Ativo]=Tabela5[[#This Row],[Ativo]]),N(YEAR(Tabela4[Data ex-1])=Tabela5[[#This Row],[Ano]]),Tabela4[Líquido])</f>
        <v>0.17</v>
      </c>
      <c r="L418" s="43"/>
      <c r="M418" s="43"/>
      <c r="N418" s="75">
        <f>IF(Tabela5[[#This Row],[Dividendos]]&gt;0,Tabela5[[#This Row],[Dividendos]]/Tabela5[[#This Row],[Lucro Líquido]],0)</f>
        <v>0</v>
      </c>
      <c r="O418" s="23"/>
      <c r="P418" s="10"/>
    </row>
    <row r="419" spans="1:16" x14ac:dyDescent="0.2">
      <c r="A419" s="4" t="s">
        <v>200</v>
      </c>
      <c r="B419" s="3" t="s">
        <v>15</v>
      </c>
      <c r="C419" s="80">
        <v>35655</v>
      </c>
      <c r="D419" s="10">
        <v>1.1000000000000001</v>
      </c>
      <c r="E419" s="81"/>
      <c r="F419" s="81">
        <v>35648</v>
      </c>
      <c r="G419" s="10">
        <f>IF(Tabela4[[#This Row],[Tipo]]="Dividendo",Tabela4[[#This Row],[Valor]],IF(Tabela4[[#This Row],[Tipo]]="Jrs. Cap. Próprio",Tabela4[[#This Row],[Valor]]*85%,0))</f>
        <v>1.1000000000000001</v>
      </c>
      <c r="I419" s="35" t="s">
        <v>97</v>
      </c>
      <c r="J419" s="35">
        <v>2012</v>
      </c>
      <c r="K419" s="38">
        <f>SUMPRODUCT(N(Tabela4[Ativo]=Tabela5[[#This Row],[Ativo]]),N(YEAR(Tabela4[Data ex-1])=Tabela5[[#This Row],[Ano]]),Tabela4[Líquido])</f>
        <v>0.46</v>
      </c>
      <c r="L419" s="43"/>
      <c r="M419" s="43"/>
      <c r="N419" s="75">
        <f>IF(Tabela5[[#This Row],[Dividendos]]&gt;0,Tabela5[[#This Row],[Dividendos]]/Tabela5[[#This Row],[Lucro Líquido]],0)</f>
        <v>0</v>
      </c>
      <c r="O419" s="23"/>
      <c r="P419" s="10"/>
    </row>
    <row r="420" spans="1:16" x14ac:dyDescent="0.2">
      <c r="A420" s="4" t="s">
        <v>200</v>
      </c>
      <c r="B420" s="3" t="s">
        <v>15</v>
      </c>
      <c r="C420" s="80">
        <v>35485</v>
      </c>
      <c r="D420" s="10">
        <v>3.1</v>
      </c>
      <c r="E420" s="81"/>
      <c r="F420" s="81">
        <v>35480</v>
      </c>
      <c r="G420" s="10">
        <f>IF(Tabela4[[#This Row],[Tipo]]="Dividendo",Tabela4[[#This Row],[Valor]],IF(Tabela4[[#This Row],[Tipo]]="Jrs. Cap. Próprio",Tabela4[[#This Row],[Valor]]*85%,0))</f>
        <v>3.1</v>
      </c>
      <c r="I420" s="35" t="s">
        <v>97</v>
      </c>
      <c r="J420" s="35">
        <v>2011</v>
      </c>
      <c r="K420" s="34">
        <f>SUMPRODUCT(N(Tabela4[Ativo]=Tabela5[[#This Row],[Ativo]]),N(YEAR(Tabela4[Data ex-1])=Tabela5[[#This Row],[Ano]]),Tabela4[Líquido])</f>
        <v>1.8</v>
      </c>
      <c r="L420" s="87"/>
      <c r="M420" s="87"/>
      <c r="N420" s="88">
        <f>IF(Tabela5[[#This Row],[Dividendos]]&gt;0,Tabela5[[#This Row],[Dividendos]]/Tabela5[[#This Row],[Lucro Líquido]],0)</f>
        <v>0</v>
      </c>
      <c r="O420" s="23"/>
      <c r="P420" s="10"/>
    </row>
    <row r="421" spans="1:16" x14ac:dyDescent="0.2">
      <c r="A421" s="4" t="s">
        <v>200</v>
      </c>
      <c r="B421" s="3" t="s">
        <v>15</v>
      </c>
      <c r="C421" s="80">
        <v>35304</v>
      </c>
      <c r="D421" s="10">
        <v>3.5</v>
      </c>
      <c r="E421" s="81"/>
      <c r="F421" s="81">
        <v>35304</v>
      </c>
      <c r="G421" s="10">
        <f>IF(Tabela4[[#This Row],[Tipo]]="Dividendo",Tabela4[[#This Row],[Valor]],IF(Tabela4[[#This Row],[Tipo]]="Jrs. Cap. Próprio",Tabela4[[#This Row],[Valor]]*85%,0))</f>
        <v>3.5</v>
      </c>
      <c r="I421" s="35" t="s">
        <v>97</v>
      </c>
      <c r="J421" s="35">
        <v>2010</v>
      </c>
      <c r="K421" s="34">
        <f>SUMPRODUCT(N(Tabela4[Ativo]=Tabela5[[#This Row],[Ativo]]),N(YEAR(Tabela4[Data ex-1])=Tabela5[[#This Row],[Ano]]),Tabela4[Líquido])</f>
        <v>0.4</v>
      </c>
      <c r="L421" s="87"/>
      <c r="M421" s="87"/>
      <c r="N421" s="88">
        <f>IF(Tabela5[[#This Row],[Dividendos]]&gt;0,Tabela5[[#This Row],[Dividendos]]/Tabela5[[#This Row],[Lucro Líquido]],0)</f>
        <v>0</v>
      </c>
      <c r="O421" s="23"/>
      <c r="P421" s="10"/>
    </row>
    <row r="422" spans="1:16" x14ac:dyDescent="0.2">
      <c r="A422" s="4" t="s">
        <v>200</v>
      </c>
      <c r="B422" s="3" t="s">
        <v>15</v>
      </c>
      <c r="C422" s="80">
        <v>35107</v>
      </c>
      <c r="D422" s="10">
        <v>2.2999999999999998</v>
      </c>
      <c r="E422" s="81"/>
      <c r="F422" s="81">
        <v>35103</v>
      </c>
      <c r="G422" s="10">
        <f>IF(Tabela4[[#This Row],[Tipo]]="Dividendo",Tabela4[[#This Row],[Valor]],IF(Tabela4[[#This Row],[Tipo]]="Jrs. Cap. Próprio",Tabela4[[#This Row],[Valor]]*85%,0))</f>
        <v>2.2999999999999998</v>
      </c>
      <c r="I422" s="35" t="s">
        <v>97</v>
      </c>
      <c r="J422" s="35">
        <v>2009</v>
      </c>
      <c r="K422" s="34">
        <f>SUMPRODUCT(N(Tabela4[Ativo]=Tabela5[[#This Row],[Ativo]]),N(YEAR(Tabela4[Data ex-1])=Tabela5[[#This Row],[Ano]]),Tabela4[Líquido])</f>
        <v>1.8568</v>
      </c>
      <c r="L422" s="87"/>
      <c r="M422" s="87"/>
      <c r="N422" s="88">
        <f>IF(Tabela5[[#This Row],[Dividendos]]&gt;0,Tabela5[[#This Row],[Dividendos]]/Tabela5[[#This Row],[Lucro Líquido]],0)</f>
        <v>0</v>
      </c>
      <c r="O422" s="23"/>
      <c r="P422" s="10"/>
    </row>
    <row r="423" spans="1:16" x14ac:dyDescent="0.2">
      <c r="A423" s="35" t="s">
        <v>80</v>
      </c>
      <c r="B423" s="35" t="s">
        <v>14</v>
      </c>
      <c r="C423" s="36">
        <v>41578</v>
      </c>
      <c r="D423" s="38">
        <v>0.54530000000000001</v>
      </c>
      <c r="E423" s="37">
        <v>41592</v>
      </c>
      <c r="F423" s="37">
        <v>41578</v>
      </c>
      <c r="G423" s="38">
        <f>IF(Tabela4[[#This Row],[Tipo]]="Dividendo",Tabela4[[#This Row],[Valor]],IF(Tabela4[[#This Row],[Tipo]]="Jrs. Cap. Próprio",Tabela4[[#This Row],[Valor]]*85%,0))</f>
        <v>0.463505</v>
      </c>
      <c r="I423" s="35" t="s">
        <v>97</v>
      </c>
      <c r="J423" s="35">
        <v>2008</v>
      </c>
      <c r="K423" s="34">
        <f>SUMPRODUCT(N(Tabela4[Ativo]=Tabela5[[#This Row],[Ativo]]),N(YEAR(Tabela4[Data ex-1])=Tabela5[[#This Row],[Ano]]),Tabela4[Líquido])</f>
        <v>1.382255</v>
      </c>
      <c r="L423" s="87"/>
      <c r="M423" s="87"/>
      <c r="N423" s="88">
        <f>IF(Tabela5[[#This Row],[Dividendos]]&gt;0,Tabela5[[#This Row],[Dividendos]]/Tabela5[[#This Row],[Lucro Líquido]],0)</f>
        <v>0</v>
      </c>
      <c r="O423" s="23"/>
      <c r="P423" s="10"/>
    </row>
    <row r="424" spans="1:16" x14ac:dyDescent="0.2">
      <c r="A424" s="35" t="s">
        <v>80</v>
      </c>
      <c r="B424" s="31" t="s">
        <v>15</v>
      </c>
      <c r="C424" s="32">
        <v>41578</v>
      </c>
      <c r="D424" s="34">
        <v>0.10150000000000001</v>
      </c>
      <c r="E424" s="33">
        <v>41592</v>
      </c>
      <c r="F424" s="33">
        <v>41578</v>
      </c>
      <c r="G424" s="34">
        <f>IF(Tabela4[[#This Row],[Tipo]]="Dividendo",Tabela4[[#This Row],[Valor]],IF(Tabela4[[#This Row],[Tipo]]="Jrs. Cap. Próprio",Tabela4[[#This Row],[Valor]]*85%,0))</f>
        <v>0.10150000000000001</v>
      </c>
      <c r="I424" s="35" t="s">
        <v>97</v>
      </c>
      <c r="J424" s="35">
        <v>2007</v>
      </c>
      <c r="K424" s="34">
        <f>SUMPRODUCT(N(Tabela4[Ativo]=Tabela5[[#This Row],[Ativo]]),N(YEAR(Tabela4[Data ex-1])=Tabela5[[#This Row],[Ano]]),Tabela4[Líquido])</f>
        <v>0.61041999999999996</v>
      </c>
      <c r="L424" s="87"/>
      <c r="M424" s="87"/>
      <c r="N424" s="88">
        <f>IF(Tabela5[[#This Row],[Dividendos]]&gt;0,Tabela5[[#This Row],[Dividendos]]/Tabela5[[#This Row],[Lucro Líquido]],0)</f>
        <v>0</v>
      </c>
      <c r="O424" s="23"/>
      <c r="P424" s="10"/>
    </row>
    <row r="425" spans="1:16" x14ac:dyDescent="0.2">
      <c r="A425" s="35" t="s">
        <v>80</v>
      </c>
      <c r="B425" s="31" t="s">
        <v>14</v>
      </c>
      <c r="C425" s="32">
        <v>41393</v>
      </c>
      <c r="D425" s="34">
        <v>0.34920000000000001</v>
      </c>
      <c r="E425" s="33">
        <v>41409</v>
      </c>
      <c r="F425" s="33">
        <v>41393</v>
      </c>
      <c r="G425" s="34">
        <f>IF(Tabela4[[#This Row],[Tipo]]="Dividendo",Tabela4[[#This Row],[Valor]],IF(Tabela4[[#This Row],[Tipo]]="Jrs. Cap. Próprio",Tabela4[[#This Row],[Valor]]*85%,0))</f>
        <v>0.29682000000000003</v>
      </c>
      <c r="I425" s="4" t="s">
        <v>48</v>
      </c>
      <c r="J425" s="4">
        <v>2013</v>
      </c>
      <c r="K425" s="14">
        <f>SUMPRODUCT(N(Tabela4[Ativo]=Tabela5[[#This Row],[Ativo]]),N(YEAR(Tabela4[Data ex-1])=Tabela5[[#This Row],[Ano]]),Tabela4[Líquido])</f>
        <v>0.2616</v>
      </c>
      <c r="L425" s="6"/>
      <c r="M425" s="6"/>
      <c r="N425" s="24">
        <f>IF(Tabela5[[#This Row],[Dividendos]]&gt;0,Tabela5[[#This Row],[Dividendos]]/Tabela5[[#This Row],[Lucro Líquido]],0)</f>
        <v>0</v>
      </c>
      <c r="O425" s="23">
        <v>0.18160000000000001</v>
      </c>
      <c r="P425" s="10"/>
    </row>
    <row r="426" spans="1:16" x14ac:dyDescent="0.2">
      <c r="A426" s="35" t="s">
        <v>80</v>
      </c>
      <c r="B426" s="31" t="s">
        <v>15</v>
      </c>
      <c r="C426" s="32">
        <v>41393</v>
      </c>
      <c r="D426" s="34">
        <v>0.24179999999999999</v>
      </c>
      <c r="E426" s="33">
        <v>41409</v>
      </c>
      <c r="F426" s="33">
        <v>41393</v>
      </c>
      <c r="G426" s="34">
        <f>IF(Tabela4[[#This Row],[Tipo]]="Dividendo",Tabela4[[#This Row],[Valor]],IF(Tabela4[[#This Row],[Tipo]]="Jrs. Cap. Próprio",Tabela4[[#This Row],[Valor]]*85%,0))</f>
        <v>0.24179999999999999</v>
      </c>
      <c r="I426" s="4" t="s">
        <v>48</v>
      </c>
      <c r="J426" s="4">
        <v>2012</v>
      </c>
      <c r="K426" s="14">
        <f>SUMPRODUCT(N(Tabela4[Ativo]=Tabela5[[#This Row],[Ativo]]),N(YEAR(Tabela4[Data ex-1])=Tabela5[[#This Row],[Ano]]),Tabela4[Líquido])</f>
        <v>0.23019999999999999</v>
      </c>
      <c r="L426" s="6"/>
      <c r="M426" s="6"/>
      <c r="N426" s="24">
        <f>IF(Tabela5[[#This Row],[Dividendos]]&gt;0,Tabela5[[#This Row],[Dividendos]]/Tabela5[[#This Row],[Lucro Líquido]],0)</f>
        <v>0</v>
      </c>
      <c r="O426" s="23">
        <v>0.16</v>
      </c>
      <c r="P426" s="10"/>
    </row>
    <row r="427" spans="1:16" x14ac:dyDescent="0.2">
      <c r="A427" s="35" t="s">
        <v>80</v>
      </c>
      <c r="B427" s="31" t="s">
        <v>14</v>
      </c>
      <c r="C427" s="32">
        <v>41213</v>
      </c>
      <c r="D427" s="34">
        <v>0.59109999999999996</v>
      </c>
      <c r="E427" s="33">
        <v>41227</v>
      </c>
      <c r="F427" s="33">
        <v>41213</v>
      </c>
      <c r="G427" s="34">
        <f>IF(Tabela4[[#This Row],[Tipo]]="Dividendo",Tabela4[[#This Row],[Valor]],IF(Tabela4[[#This Row],[Tipo]]="Jrs. Cap. Próprio",Tabela4[[#This Row],[Valor]]*85%,0))</f>
        <v>0.50243499999999996</v>
      </c>
      <c r="I427" s="4" t="s">
        <v>48</v>
      </c>
      <c r="J427" s="4">
        <v>2011</v>
      </c>
      <c r="K427" s="10">
        <f>SUMPRODUCT(N(Tabela4[Ativo]=Tabela5[[#This Row],[Ativo]]),N(YEAR(Tabela4[Data ex-1])=Tabela5[[#This Row],[Ano]]),Tabela4[Líquido])</f>
        <v>0.25700000000000001</v>
      </c>
      <c r="N427" s="23">
        <f>IF(Tabela5[[#This Row],[Dividendos]]&gt;0,Tabela5[[#This Row],[Dividendos]]/Tabela5[[#This Row],[Lucro Líquido]],0)</f>
        <v>0</v>
      </c>
      <c r="O427" s="23">
        <v>0.25</v>
      </c>
      <c r="P427" s="10"/>
    </row>
    <row r="428" spans="1:16" x14ac:dyDescent="0.2">
      <c r="A428" s="35" t="s">
        <v>80</v>
      </c>
      <c r="B428" s="31" t="s">
        <v>14</v>
      </c>
      <c r="C428" s="32">
        <v>41026</v>
      </c>
      <c r="D428" s="34">
        <v>0.17460000000000001</v>
      </c>
      <c r="E428" s="33">
        <v>41044</v>
      </c>
      <c r="F428" s="33">
        <v>41026</v>
      </c>
      <c r="G428" s="34">
        <f>IF(Tabela4[[#This Row],[Tipo]]="Dividendo",Tabela4[[#This Row],[Valor]],IF(Tabela4[[#This Row],[Tipo]]="Jrs. Cap. Próprio",Tabela4[[#This Row],[Valor]]*85%,0))</f>
        <v>0.14841000000000001</v>
      </c>
      <c r="I428" s="4" t="s">
        <v>48</v>
      </c>
      <c r="J428" s="4">
        <v>2010</v>
      </c>
      <c r="K428" s="10">
        <f>SUMPRODUCT(N(Tabela4[Ativo]=Tabela5[[#This Row],[Ativo]]),N(YEAR(Tabela4[Data ex-1])=Tabela5[[#This Row],[Ano]]),Tabela4[Líquido])</f>
        <v>0.1661</v>
      </c>
      <c r="N428" s="23">
        <f>IF(Tabela5[[#This Row],[Dividendos]]&gt;0,Tabela5[[#This Row],[Dividendos]]/Tabela5[[#This Row],[Lucro Líquido]],0)</f>
        <v>0</v>
      </c>
      <c r="O428" s="23">
        <v>0.14000000000000001</v>
      </c>
      <c r="P428" s="10"/>
    </row>
    <row r="429" spans="1:16" x14ac:dyDescent="0.2">
      <c r="A429" s="35" t="s">
        <v>80</v>
      </c>
      <c r="B429" s="31" t="s">
        <v>15</v>
      </c>
      <c r="C429" s="32">
        <v>41026</v>
      </c>
      <c r="D429" s="34">
        <v>0.91890000000000005</v>
      </c>
      <c r="E429" s="33">
        <v>41227</v>
      </c>
      <c r="F429" s="33">
        <v>41026</v>
      </c>
      <c r="G429" s="34">
        <f>IF(Tabela4[[#This Row],[Tipo]]="Dividendo",Tabela4[[#This Row],[Valor]],IF(Tabela4[[#This Row],[Tipo]]="Jrs. Cap. Próprio",Tabela4[[#This Row],[Valor]]*85%,0))</f>
        <v>0.91890000000000005</v>
      </c>
      <c r="I429" s="4" t="s">
        <v>48</v>
      </c>
      <c r="J429" s="4">
        <v>2009</v>
      </c>
      <c r="K429" s="10">
        <f>SUMPRODUCT(N(Tabela4[Ativo]=Tabela5[[#This Row],[Ativo]]),N(YEAR(Tabela4[Data ex-1])=Tabela5[[#This Row],[Ano]]),Tabela4[Líquido])</f>
        <v>7.9799999999999996E-2</v>
      </c>
      <c r="N429" s="23">
        <f>IF(Tabela5[[#This Row],[Dividendos]]&gt;0,Tabela5[[#This Row],[Dividendos]]/Tabela5[[#This Row],[Lucro Líquido]],0)</f>
        <v>0</v>
      </c>
      <c r="O429" s="23">
        <v>0.1</v>
      </c>
      <c r="P429" s="10"/>
    </row>
    <row r="430" spans="1:16" x14ac:dyDescent="0.2">
      <c r="A430" s="35" t="s">
        <v>80</v>
      </c>
      <c r="B430" s="31" t="s">
        <v>14</v>
      </c>
      <c r="C430" s="32">
        <v>40847</v>
      </c>
      <c r="D430" s="34">
        <v>0.67959999999999998</v>
      </c>
      <c r="E430" s="33">
        <v>40861</v>
      </c>
      <c r="F430" s="33">
        <v>40847</v>
      </c>
      <c r="G430" s="34">
        <f>IF(Tabela4[[#This Row],[Tipo]]="Dividendo",Tabela4[[#This Row],[Valor]],IF(Tabela4[[#This Row],[Tipo]]="Jrs. Cap. Próprio",Tabela4[[#This Row],[Valor]]*85%,0))</f>
        <v>0.57765999999999995</v>
      </c>
      <c r="I430" s="4" t="s">
        <v>48</v>
      </c>
      <c r="J430" s="4">
        <v>2008</v>
      </c>
      <c r="K430" s="10">
        <f>SUMPRODUCT(N(Tabela4[Ativo]=Tabela5[[#This Row],[Ativo]]),N(YEAR(Tabela4[Data ex-1])=Tabela5[[#This Row],[Ano]]),Tabela4[Líquido])</f>
        <v>4.9000000000000002E-2</v>
      </c>
      <c r="N430" s="23">
        <f>IF(Tabela5[[#This Row],[Dividendos]]&gt;0,Tabela5[[#This Row],[Dividendos]]/Tabela5[[#This Row],[Lucro Líquido]],0)</f>
        <v>0</v>
      </c>
      <c r="O430" s="23">
        <v>0.12</v>
      </c>
      <c r="P430" s="10"/>
    </row>
    <row r="431" spans="1:16" x14ac:dyDescent="0.2">
      <c r="A431" s="35" t="s">
        <v>80</v>
      </c>
      <c r="B431" s="31" t="s">
        <v>15</v>
      </c>
      <c r="C431" s="32">
        <v>40847</v>
      </c>
      <c r="D431" s="34">
        <v>4.7999999999999996E-3</v>
      </c>
      <c r="E431" s="33">
        <v>40861</v>
      </c>
      <c r="F431" s="33">
        <v>40847</v>
      </c>
      <c r="G431" s="34">
        <f>IF(Tabela4[[#This Row],[Tipo]]="Dividendo",Tabela4[[#This Row],[Valor]],IF(Tabela4[[#This Row],[Tipo]]="Jrs. Cap. Próprio",Tabela4[[#This Row],[Valor]]*85%,0))</f>
        <v>4.7999999999999996E-3</v>
      </c>
      <c r="I431" s="3" t="s">
        <v>301</v>
      </c>
      <c r="J431" s="3">
        <v>2013</v>
      </c>
      <c r="K431" s="10">
        <f>SUMPRODUCT(N(Tabela4[Ativo]=Tabela5[[#This Row],[Ativo]]),N(YEAR(Tabela4[Data ex-1])=Tabela5[[#This Row],[Ano]]),Tabela4[Líquido])</f>
        <v>0.15984500000000001</v>
      </c>
      <c r="N431" s="23">
        <f>IF(Tabela5[[#This Row],[Dividendos]]&gt;0,Tabela5[[#This Row],[Dividendos]]/Tabela5[[#This Row],[Lucro Líquido]],0)</f>
        <v>0</v>
      </c>
      <c r="O431" s="28">
        <v>2.7099999999999999E-2</v>
      </c>
      <c r="P431" s="10"/>
    </row>
    <row r="432" spans="1:16" x14ac:dyDescent="0.2">
      <c r="A432" s="35" t="s">
        <v>80</v>
      </c>
      <c r="B432" s="31" t="s">
        <v>14</v>
      </c>
      <c r="C432" s="32">
        <v>40661</v>
      </c>
      <c r="D432" s="34">
        <v>0.1762</v>
      </c>
      <c r="E432" s="33">
        <v>40676</v>
      </c>
      <c r="F432" s="33">
        <v>40661</v>
      </c>
      <c r="G432" s="34">
        <f>IF(Tabela4[[#This Row],[Tipo]]="Dividendo",Tabela4[[#This Row],[Valor]],IF(Tabela4[[#This Row],[Tipo]]="Jrs. Cap. Próprio",Tabela4[[#This Row],[Valor]]*85%,0))</f>
        <v>0.14976999999999999</v>
      </c>
      <c r="I432" s="3" t="s">
        <v>301</v>
      </c>
      <c r="J432" s="3">
        <v>2012</v>
      </c>
      <c r="K432" s="10">
        <f>SUMPRODUCT(N(Tabela4[Ativo]=Tabela5[[#This Row],[Ativo]]),N(YEAR(Tabela4[Data ex-1])=Tabela5[[#This Row],[Ano]]),Tabela4[Líquido])</f>
        <v>0.20148499999999997</v>
      </c>
      <c r="N432" s="23">
        <f>IF(Tabela5[[#This Row],[Dividendos]]&gt;0,Tabela5[[#This Row],[Dividendos]]/Tabela5[[#This Row],[Lucro Líquido]],0)</f>
        <v>0</v>
      </c>
      <c r="O432" s="28">
        <v>0.23</v>
      </c>
      <c r="P432" s="10"/>
    </row>
    <row r="433" spans="1:16" x14ac:dyDescent="0.2">
      <c r="A433" s="35" t="s">
        <v>80</v>
      </c>
      <c r="B433" s="31" t="s">
        <v>15</v>
      </c>
      <c r="C433" s="32">
        <v>40661</v>
      </c>
      <c r="D433" s="34">
        <v>0.68500000000000005</v>
      </c>
      <c r="E433" s="33">
        <v>40676</v>
      </c>
      <c r="F433" s="33">
        <v>40661</v>
      </c>
      <c r="G433" s="34">
        <f>IF(Tabela4[[#This Row],[Tipo]]="Dividendo",Tabela4[[#This Row],[Valor]],IF(Tabela4[[#This Row],[Tipo]]="Jrs. Cap. Próprio",Tabela4[[#This Row],[Valor]]*85%,0))</f>
        <v>0.68500000000000005</v>
      </c>
      <c r="I433" s="3" t="s">
        <v>301</v>
      </c>
      <c r="J433" s="3">
        <v>2011</v>
      </c>
      <c r="K433" s="10">
        <f>SUMPRODUCT(N(Tabela4[Ativo]=Tabela5[[#This Row],[Ativo]]),N(YEAR(Tabela4[Data ex-1])=Tabela5[[#This Row],[Ano]]),Tabela4[Líquido])</f>
        <v>0.30717</v>
      </c>
      <c r="N433" s="23">
        <f>IF(Tabela5[[#This Row],[Dividendos]]&gt;0,Tabela5[[#This Row],[Dividendos]]/Tabela5[[#This Row],[Lucro Líquido]],0)</f>
        <v>0</v>
      </c>
      <c r="O433" s="28"/>
      <c r="P433" s="10"/>
    </row>
    <row r="434" spans="1:16" x14ac:dyDescent="0.2">
      <c r="A434" s="35" t="s">
        <v>80</v>
      </c>
      <c r="B434" s="31" t="s">
        <v>14</v>
      </c>
      <c r="C434" s="32">
        <v>40480</v>
      </c>
      <c r="D434" s="34">
        <v>0.42980000000000002</v>
      </c>
      <c r="E434" s="33">
        <v>40494</v>
      </c>
      <c r="F434" s="33">
        <v>40480</v>
      </c>
      <c r="G434" s="34">
        <f>IF(Tabela4[[#This Row],[Tipo]]="Dividendo",Tabela4[[#This Row],[Valor]],IF(Tabela4[[#This Row],[Tipo]]="Jrs. Cap. Próprio",Tabela4[[#This Row],[Valor]]*85%,0))</f>
        <v>0.36532999999999999</v>
      </c>
      <c r="I434" s="3" t="s">
        <v>301</v>
      </c>
      <c r="J434" s="3">
        <v>2010</v>
      </c>
      <c r="K434" s="10">
        <f>SUMPRODUCT(N(Tabela4[Ativo]=Tabela5[[#This Row],[Ativo]]),N(YEAR(Tabela4[Data ex-1])=Tabela5[[#This Row],[Ano]]),Tabela4[Líquido])</f>
        <v>0.22719499999999998</v>
      </c>
      <c r="N434" s="23">
        <f>IF(Tabela5[[#This Row],[Dividendos]]&gt;0,Tabela5[[#This Row],[Dividendos]]/Tabela5[[#This Row],[Lucro Líquido]],0)</f>
        <v>0</v>
      </c>
      <c r="O434" s="28"/>
      <c r="P434" s="10"/>
    </row>
    <row r="435" spans="1:16" x14ac:dyDescent="0.2">
      <c r="A435" s="35" t="s">
        <v>80</v>
      </c>
      <c r="B435" s="31" t="s">
        <v>15</v>
      </c>
      <c r="C435" s="32">
        <v>40480</v>
      </c>
      <c r="D435" s="34">
        <v>2.9899999999999999E-2</v>
      </c>
      <c r="E435" s="33">
        <v>40494</v>
      </c>
      <c r="F435" s="33">
        <v>40480</v>
      </c>
      <c r="G435" s="34">
        <f>IF(Tabela4[[#This Row],[Tipo]]="Dividendo",Tabela4[[#This Row],[Valor]],IF(Tabela4[[#This Row],[Tipo]]="Jrs. Cap. Próprio",Tabela4[[#This Row],[Valor]]*85%,0))</f>
        <v>2.9899999999999999E-2</v>
      </c>
      <c r="I435" s="3" t="s">
        <v>301</v>
      </c>
      <c r="J435" s="3">
        <v>2009</v>
      </c>
      <c r="K435" s="10">
        <f>SUMPRODUCT(N(Tabela4[Ativo]=Tabela5[[#This Row],[Ativo]]),N(YEAR(Tabela4[Data ex-1])=Tabela5[[#This Row],[Ano]]),Tabela4[Líquido])</f>
        <v>0.48258499999999999</v>
      </c>
      <c r="N435" s="23">
        <f>IF(Tabela5[[#This Row],[Dividendos]]&gt;0,Tabela5[[#This Row],[Dividendos]]/Tabela5[[#This Row],[Lucro Líquido]],0)</f>
        <v>0</v>
      </c>
      <c r="O435" s="28"/>
      <c r="P435" s="10"/>
    </row>
    <row r="436" spans="1:16" x14ac:dyDescent="0.2">
      <c r="A436" s="35" t="s">
        <v>80</v>
      </c>
      <c r="B436" s="31" t="s">
        <v>14</v>
      </c>
      <c r="C436" s="32">
        <v>40298</v>
      </c>
      <c r="D436" s="34">
        <v>0.25629999999999997</v>
      </c>
      <c r="E436" s="33">
        <v>40312</v>
      </c>
      <c r="F436" s="33">
        <v>40298</v>
      </c>
      <c r="G436" s="34">
        <f>IF(Tabela4[[#This Row],[Tipo]]="Dividendo",Tabela4[[#This Row],[Valor]],IF(Tabela4[[#This Row],[Tipo]]="Jrs. Cap. Próprio",Tabela4[[#This Row],[Valor]]*85%,0))</f>
        <v>0.21785499999999997</v>
      </c>
      <c r="I436" s="3" t="s">
        <v>301</v>
      </c>
      <c r="J436" s="3">
        <v>2008</v>
      </c>
      <c r="K436" s="10">
        <f>SUMPRODUCT(N(Tabela4[Ativo]=Tabela5[[#This Row],[Ativo]]),N(YEAR(Tabela4[Data ex-1])=Tabela5[[#This Row],[Ano]]),Tabela4[Líquido])</f>
        <v>1.0878999999999999</v>
      </c>
      <c r="N436" s="23">
        <f>IF(Tabela5[[#This Row],[Dividendos]]&gt;0,Tabela5[[#This Row],[Dividendos]]/Tabela5[[#This Row],[Lucro Líquido]],0)</f>
        <v>0</v>
      </c>
      <c r="O436" s="28"/>
      <c r="P436" s="10"/>
    </row>
    <row r="437" spans="1:16" x14ac:dyDescent="0.2">
      <c r="A437" s="35" t="s">
        <v>80</v>
      </c>
      <c r="B437" s="31" t="s">
        <v>15</v>
      </c>
      <c r="C437" s="32">
        <v>40298</v>
      </c>
      <c r="D437" s="34">
        <v>0.20899999999999999</v>
      </c>
      <c r="E437" s="33">
        <v>40312</v>
      </c>
      <c r="F437" s="33">
        <v>40298</v>
      </c>
      <c r="G437" s="34">
        <f>IF(Tabela4[[#This Row],[Tipo]]="Dividendo",Tabela4[[#This Row],[Valor]],IF(Tabela4[[#This Row],[Tipo]]="Jrs. Cap. Próprio",Tabela4[[#This Row],[Valor]]*85%,0))</f>
        <v>0.20899999999999999</v>
      </c>
      <c r="I437" s="3" t="s">
        <v>301</v>
      </c>
      <c r="J437" s="3">
        <v>2007</v>
      </c>
      <c r="K437" s="10">
        <f>SUMPRODUCT(N(Tabela4[Ativo]=Tabela5[[#This Row],[Ativo]]),N(YEAR(Tabela4[Data ex-1])=Tabela5[[#This Row],[Ano]]),Tabela4[Líquido])</f>
        <v>1.2836000000000001</v>
      </c>
      <c r="N437" s="23">
        <f>IF(Tabela5[[#This Row],[Dividendos]]&gt;0,Tabela5[[#This Row],[Dividendos]]/Tabela5[[#This Row],[Lucro Líquido]],0)</f>
        <v>0</v>
      </c>
      <c r="O437" s="28"/>
      <c r="P437" s="10"/>
    </row>
    <row r="438" spans="1:16" x14ac:dyDescent="0.2">
      <c r="A438" s="35" t="s">
        <v>80</v>
      </c>
      <c r="B438" s="31" t="s">
        <v>15</v>
      </c>
      <c r="C438" s="32">
        <v>40116</v>
      </c>
      <c r="D438" s="34">
        <v>0.1245</v>
      </c>
      <c r="E438" s="33">
        <v>40130</v>
      </c>
      <c r="F438" s="33">
        <v>40116</v>
      </c>
      <c r="G438" s="34">
        <f>IF(Tabela4[[#This Row],[Tipo]]="Dividendo",Tabela4[[#This Row],[Valor]],IF(Tabela4[[#This Row],[Tipo]]="Jrs. Cap. Próprio",Tabela4[[#This Row],[Valor]]*85%,0))</f>
        <v>0.1245</v>
      </c>
      <c r="I438" s="3" t="s">
        <v>301</v>
      </c>
      <c r="J438" s="3">
        <v>2006</v>
      </c>
      <c r="K438" s="10">
        <f>SUMPRODUCT(N(Tabela4[Ativo]=Tabela5[[#This Row],[Ativo]]),N(YEAR(Tabela4[Data ex-1])=Tabela5[[#This Row],[Ano]]),Tabela4[Líquido])</f>
        <v>1.4340000000000002</v>
      </c>
      <c r="N438" s="23">
        <f>IF(Tabela5[[#This Row],[Dividendos]]&gt;0,Tabela5[[#This Row],[Dividendos]]/Tabela5[[#This Row],[Lucro Líquido]],0)</f>
        <v>0</v>
      </c>
      <c r="O438" s="28"/>
      <c r="P438" s="10"/>
    </row>
    <row r="439" spans="1:16" x14ac:dyDescent="0.2">
      <c r="A439" s="35" t="s">
        <v>80</v>
      </c>
      <c r="B439" s="31" t="s">
        <v>14</v>
      </c>
      <c r="C439" s="32">
        <v>40116</v>
      </c>
      <c r="D439" s="34">
        <v>0.34379999999999999</v>
      </c>
      <c r="E439" s="33">
        <v>40130</v>
      </c>
      <c r="F439" s="33">
        <v>40116</v>
      </c>
      <c r="G439" s="34">
        <f>IF(Tabela4[[#This Row],[Tipo]]="Dividendo",Tabela4[[#This Row],[Valor]],IF(Tabela4[[#This Row],[Tipo]]="Jrs. Cap. Próprio",Tabela4[[#This Row],[Valor]]*85%,0))</f>
        <v>0.29222999999999999</v>
      </c>
      <c r="I439" s="3" t="s">
        <v>301</v>
      </c>
      <c r="J439" s="3">
        <v>2005</v>
      </c>
      <c r="K439" s="10">
        <f>SUMPRODUCT(N(Tabela4[Ativo]=Tabela5[[#This Row],[Ativo]]),N(YEAR(Tabela4[Data ex-1])=Tabela5[[#This Row],[Ano]]),Tabela4[Líquido])</f>
        <v>22.66</v>
      </c>
      <c r="N439" s="23">
        <f>IF(Tabela5[[#This Row],[Dividendos]]&gt;0,Tabela5[[#This Row],[Dividendos]]/Tabela5[[#This Row],[Lucro Líquido]],0)</f>
        <v>0</v>
      </c>
      <c r="O439" s="28"/>
      <c r="P439" s="10"/>
    </row>
    <row r="440" spans="1:16" x14ac:dyDescent="0.2">
      <c r="A440" s="35" t="s">
        <v>80</v>
      </c>
      <c r="B440" s="31" t="s">
        <v>14</v>
      </c>
      <c r="C440" s="32">
        <v>39933</v>
      </c>
      <c r="D440" s="34">
        <v>0.44419999999999998</v>
      </c>
      <c r="E440" s="33">
        <v>39948</v>
      </c>
      <c r="F440" s="33">
        <v>39933</v>
      </c>
      <c r="G440" s="34">
        <f>IF(Tabela4[[#This Row],[Tipo]]="Dividendo",Tabela4[[#This Row],[Valor]],IF(Tabela4[[#This Row],[Tipo]]="Jrs. Cap. Próprio",Tabela4[[#This Row],[Valor]]*85%,0))</f>
        <v>0.37756999999999996</v>
      </c>
      <c r="I440" s="3" t="s">
        <v>301</v>
      </c>
      <c r="J440" s="3">
        <v>2004</v>
      </c>
      <c r="K440" s="10">
        <f>SUMPRODUCT(N(Tabela4[Ativo]=Tabela5[[#This Row],[Ativo]]),N(YEAR(Tabela4[Data ex-1])=Tabela5[[#This Row],[Ano]]),Tabela4[Líquido])</f>
        <v>18.809999999999999</v>
      </c>
      <c r="N440" s="23">
        <f>IF(Tabela5[[#This Row],[Dividendos]]&gt;0,Tabela5[[#This Row],[Dividendos]]/Tabela5[[#This Row],[Lucro Líquido]],0)</f>
        <v>0</v>
      </c>
      <c r="O440" s="28"/>
      <c r="P440" s="10"/>
    </row>
    <row r="441" spans="1:16" x14ac:dyDescent="0.2">
      <c r="A441" s="35" t="s">
        <v>80</v>
      </c>
      <c r="B441" s="31" t="s">
        <v>15</v>
      </c>
      <c r="C441" s="32">
        <v>39933</v>
      </c>
      <c r="D441" s="34">
        <v>0.14230000000000001</v>
      </c>
      <c r="E441" s="33">
        <v>39948</v>
      </c>
      <c r="F441" s="33">
        <v>39933</v>
      </c>
      <c r="G441" s="34">
        <f>IF(Tabela4[[#This Row],[Tipo]]="Dividendo",Tabela4[[#This Row],[Valor]],IF(Tabela4[[#This Row],[Tipo]]="Jrs. Cap. Próprio",Tabela4[[#This Row],[Valor]]*85%,0))</f>
        <v>0.14230000000000001</v>
      </c>
      <c r="I441" s="3" t="s">
        <v>301</v>
      </c>
      <c r="J441" s="3">
        <v>2003</v>
      </c>
      <c r="K441" s="10">
        <f>SUMPRODUCT(N(Tabela4[Ativo]=Tabela5[[#This Row],[Ativo]]),N(YEAR(Tabela4[Data ex-1])=Tabela5[[#This Row],[Ano]]),Tabela4[Líquido])</f>
        <v>10.29</v>
      </c>
      <c r="N441" s="23">
        <f>IF(Tabela5[[#This Row],[Dividendos]]&gt;0,Tabela5[[#This Row],[Dividendos]]/Tabela5[[#This Row],[Lucro Líquido]],0)</f>
        <v>0</v>
      </c>
      <c r="O441" s="28"/>
      <c r="P441" s="10"/>
    </row>
    <row r="442" spans="1:16" x14ac:dyDescent="0.2">
      <c r="A442" s="35" t="s">
        <v>80</v>
      </c>
      <c r="B442" s="31" t="s">
        <v>14</v>
      </c>
      <c r="C442" s="32">
        <v>39752</v>
      </c>
      <c r="D442" s="34">
        <v>0.18260000000000001</v>
      </c>
      <c r="E442" s="33">
        <v>39766</v>
      </c>
      <c r="F442" s="33">
        <v>39752</v>
      </c>
      <c r="G442" s="34">
        <f>IF(Tabela4[[#This Row],[Tipo]]="Dividendo",Tabela4[[#This Row],[Valor]],IF(Tabela4[[#This Row],[Tipo]]="Jrs. Cap. Próprio",Tabela4[[#This Row],[Valor]]*85%,0))</f>
        <v>0.15521000000000001</v>
      </c>
      <c r="I442" s="3" t="s">
        <v>301</v>
      </c>
      <c r="J442" s="3">
        <v>2002</v>
      </c>
      <c r="K442" s="10">
        <f>SUMPRODUCT(N(Tabela4[Ativo]=Tabela5[[#This Row],[Ativo]]),N(YEAR(Tabela4[Data ex-1])=Tabela5[[#This Row],[Ano]]),Tabela4[Líquido])</f>
        <v>8.9499999999999993</v>
      </c>
      <c r="N442" s="23">
        <f>IF(Tabela5[[#This Row],[Dividendos]]&gt;0,Tabela5[[#This Row],[Dividendos]]/Tabela5[[#This Row],[Lucro Líquido]],0)</f>
        <v>0</v>
      </c>
      <c r="O442" s="28"/>
      <c r="P442" s="10"/>
    </row>
    <row r="443" spans="1:16" x14ac:dyDescent="0.2">
      <c r="A443" s="35" t="s">
        <v>80</v>
      </c>
      <c r="B443" s="31" t="s">
        <v>15</v>
      </c>
      <c r="C443" s="32">
        <v>39752</v>
      </c>
      <c r="D443" s="34">
        <v>0.38540000000000002</v>
      </c>
      <c r="E443" s="33">
        <v>39766</v>
      </c>
      <c r="F443" s="33">
        <v>39752</v>
      </c>
      <c r="G443" s="34">
        <f>IF(Tabela4[[#This Row],[Tipo]]="Dividendo",Tabela4[[#This Row],[Valor]],IF(Tabela4[[#This Row],[Tipo]]="Jrs. Cap. Próprio",Tabela4[[#This Row],[Valor]]*85%,0))</f>
        <v>0.38540000000000002</v>
      </c>
      <c r="I443" s="3" t="s">
        <v>301</v>
      </c>
      <c r="J443" s="3">
        <v>2001</v>
      </c>
      <c r="K443" s="10">
        <f>SUMPRODUCT(N(Tabela4[Ativo]=Tabela5[[#This Row],[Ativo]]),N(YEAR(Tabela4[Data ex-1])=Tabela5[[#This Row],[Ano]]),Tabela4[Líquido])</f>
        <v>4.5599999999999996</v>
      </c>
      <c r="N443" s="23">
        <f>IF(Tabela5[[#This Row],[Dividendos]]&gt;0,Tabela5[[#This Row],[Dividendos]]/Tabela5[[#This Row],[Lucro Líquido]],0)</f>
        <v>0</v>
      </c>
      <c r="O443" s="28"/>
      <c r="P443" s="10"/>
    </row>
    <row r="444" spans="1:16" x14ac:dyDescent="0.2">
      <c r="A444" s="35" t="s">
        <v>80</v>
      </c>
      <c r="B444" s="31" t="s">
        <v>14</v>
      </c>
      <c r="C444" s="32">
        <v>39568</v>
      </c>
      <c r="D444" s="34">
        <v>0.46239999999999998</v>
      </c>
      <c r="E444" s="33">
        <v>39583</v>
      </c>
      <c r="F444" s="33">
        <v>39568</v>
      </c>
      <c r="G444" s="34">
        <f>IF(Tabela4[[#This Row],[Tipo]]="Dividendo",Tabela4[[#This Row],[Valor]],IF(Tabela4[[#This Row],[Tipo]]="Jrs. Cap. Próprio",Tabela4[[#This Row],[Valor]]*85%,0))</f>
        <v>0.39303999999999994</v>
      </c>
      <c r="I444" s="3" t="s">
        <v>301</v>
      </c>
      <c r="J444" s="3">
        <v>2000</v>
      </c>
      <c r="K444" s="10">
        <f>SUMPRODUCT(N(Tabela4[Ativo]=Tabela5[[#This Row],[Ativo]]),N(YEAR(Tabela4[Data ex-1])=Tabela5[[#This Row],[Ano]]),Tabela4[Líquido])</f>
        <v>2.29</v>
      </c>
      <c r="N444" s="23">
        <f>IF(Tabela5[[#This Row],[Dividendos]]&gt;0,Tabela5[[#This Row],[Dividendos]]/Tabela5[[#This Row],[Lucro Líquido]],0)</f>
        <v>0</v>
      </c>
      <c r="O444" s="28"/>
      <c r="P444" s="10"/>
    </row>
    <row r="445" spans="1:16" x14ac:dyDescent="0.2">
      <c r="A445" s="35" t="s">
        <v>80</v>
      </c>
      <c r="B445" s="31" t="s">
        <v>14</v>
      </c>
      <c r="C445" s="32">
        <v>39386</v>
      </c>
      <c r="D445" s="34">
        <v>0.2175</v>
      </c>
      <c r="E445" s="33">
        <v>39400</v>
      </c>
      <c r="F445" s="33">
        <v>39386</v>
      </c>
      <c r="G445" s="34">
        <f>IF(Tabela4[[#This Row],[Tipo]]="Dividendo",Tabela4[[#This Row],[Valor]],IF(Tabela4[[#This Row],[Tipo]]="Jrs. Cap. Próprio",Tabela4[[#This Row],[Valor]]*85%,0))</f>
        <v>0.18487499999999998</v>
      </c>
      <c r="I445" s="3" t="s">
        <v>301</v>
      </c>
      <c r="J445" s="3">
        <v>1999</v>
      </c>
      <c r="K445" s="10">
        <f>SUMPRODUCT(N(Tabela4[Ativo]=Tabela5[[#This Row],[Ativo]]),N(YEAR(Tabela4[Data ex-1])=Tabela5[[#This Row],[Ano]]),Tabela4[Líquido])</f>
        <v>1.4369000000000001</v>
      </c>
      <c r="N445" s="23">
        <f>IF(Tabela5[[#This Row],[Dividendos]]&gt;0,Tabela5[[#This Row],[Dividendos]]/Tabela5[[#This Row],[Lucro Líquido]],0)</f>
        <v>0</v>
      </c>
      <c r="O445" s="28"/>
      <c r="P445" s="10"/>
    </row>
    <row r="446" spans="1:16" x14ac:dyDescent="0.2">
      <c r="A446" s="35" t="s">
        <v>80</v>
      </c>
      <c r="B446" s="31" t="s">
        <v>15</v>
      </c>
      <c r="C446" s="32">
        <v>39386</v>
      </c>
      <c r="D446" s="34">
        <v>0.1124</v>
      </c>
      <c r="E446" s="33">
        <v>39400</v>
      </c>
      <c r="F446" s="33">
        <v>39386</v>
      </c>
      <c r="G446" s="34">
        <f>IF(Tabela4[[#This Row],[Tipo]]="Dividendo",Tabela4[[#This Row],[Valor]],IF(Tabela4[[#This Row],[Tipo]]="Jrs. Cap. Próprio",Tabela4[[#This Row],[Valor]]*85%,0))</f>
        <v>0.1124</v>
      </c>
      <c r="I446" s="4" t="s">
        <v>25</v>
      </c>
      <c r="J446" s="4">
        <v>2013</v>
      </c>
      <c r="K446" s="14">
        <f>SUMPRODUCT(N(Tabela4[Ativo]=Tabela5[[#This Row],[Ativo]]),N(YEAR(Tabela4[Data ex-1])=Tabela5[[#This Row],[Ano]]),Tabela4[Líquido])</f>
        <v>2.7099999999999999E-2</v>
      </c>
      <c r="L446" s="6"/>
      <c r="M446" s="6"/>
      <c r="N446" s="24">
        <f>IF(Tabela5[[#This Row],[Dividendos]]&gt;0,Tabela5[[#This Row],[Dividendos]]/Tabela5[[#This Row],[Lucro Líquido]],0)</f>
        <v>0</v>
      </c>
      <c r="O446" s="23"/>
      <c r="P446" s="10"/>
    </row>
    <row r="447" spans="1:16" x14ac:dyDescent="0.2">
      <c r="A447" s="35" t="s">
        <v>80</v>
      </c>
      <c r="B447" s="31" t="s">
        <v>14</v>
      </c>
      <c r="C447" s="32">
        <v>39202</v>
      </c>
      <c r="D447" s="34">
        <v>0.45610000000000001</v>
      </c>
      <c r="E447" s="33">
        <v>39217</v>
      </c>
      <c r="F447" s="33">
        <v>39202</v>
      </c>
      <c r="G447" s="34">
        <f>IF(Tabela4[[#This Row],[Tipo]]="Dividendo",Tabela4[[#This Row],[Valor]],IF(Tabela4[[#This Row],[Tipo]]="Jrs. Cap. Próprio",Tabela4[[#This Row],[Valor]]*85%,0))</f>
        <v>0.387685</v>
      </c>
      <c r="I447" s="4" t="s">
        <v>25</v>
      </c>
      <c r="J447" s="4">
        <v>2012</v>
      </c>
      <c r="K447" s="14">
        <f>SUMPRODUCT(N(Tabela4[Ativo]=Tabela5[[#This Row],[Ativo]]),N(YEAR(Tabela4[Data ex-1])=Tabela5[[#This Row],[Ano]]),Tabela4[Líquido])</f>
        <v>9.7455000000000014E-2</v>
      </c>
      <c r="L447" s="6"/>
      <c r="M447" s="6"/>
      <c r="N447" s="24">
        <f>IF(Tabela5[[#This Row],[Dividendos]]&gt;0,Tabela5[[#This Row],[Dividendos]]/Tabela5[[#This Row],[Lucro Líquido]],0)</f>
        <v>0</v>
      </c>
      <c r="O447" s="23"/>
      <c r="P447" s="10"/>
    </row>
    <row r="448" spans="1:16" x14ac:dyDescent="0.2">
      <c r="A448" s="35" t="s">
        <v>80</v>
      </c>
      <c r="B448" s="31" t="s">
        <v>15</v>
      </c>
      <c r="C448" s="32">
        <v>39202</v>
      </c>
      <c r="D448" s="34">
        <v>0.30780000000000002</v>
      </c>
      <c r="E448" s="33">
        <v>39217</v>
      </c>
      <c r="F448" s="33">
        <v>39202</v>
      </c>
      <c r="G448" s="34">
        <f>IF(Tabela4[[#This Row],[Tipo]]="Dividendo",Tabela4[[#This Row],[Valor]],IF(Tabela4[[#This Row],[Tipo]]="Jrs. Cap. Próprio",Tabela4[[#This Row],[Valor]]*85%,0))</f>
        <v>0.30780000000000002</v>
      </c>
      <c r="I448" s="4" t="s">
        <v>25</v>
      </c>
      <c r="J448" s="4">
        <v>2011</v>
      </c>
      <c r="K448" s="10">
        <f>SUMPRODUCT(N(Tabela4[Ativo]=Tabela5[[#This Row],[Ativo]]),N(YEAR(Tabela4[Data ex-1])=Tabela5[[#This Row],[Ano]]),Tabela4[Líquido])</f>
        <v>0.1125</v>
      </c>
      <c r="N448" s="23">
        <f>IF(Tabela5[[#This Row],[Dividendos]]&gt;0,Tabela5[[#This Row],[Dividendos]]/Tabela5[[#This Row],[Lucro Líquido]],0)</f>
        <v>0</v>
      </c>
      <c r="O448" s="23"/>
      <c r="P448" s="10"/>
    </row>
    <row r="449" spans="1:16" x14ac:dyDescent="0.2">
      <c r="A449" s="35" t="s">
        <v>80</v>
      </c>
      <c r="B449" s="31" t="s">
        <v>14</v>
      </c>
      <c r="C449" s="32">
        <v>39072</v>
      </c>
      <c r="D449" s="34">
        <v>1.2889999999999999</v>
      </c>
      <c r="E449" s="33">
        <v>39090</v>
      </c>
      <c r="F449" s="33">
        <v>39072</v>
      </c>
      <c r="G449" s="34">
        <f>IF(Tabela4[[#This Row],[Tipo]]="Dividendo",Tabela4[[#This Row],[Valor]],IF(Tabela4[[#This Row],[Tipo]]="Jrs. Cap. Próprio",Tabela4[[#This Row],[Valor]]*85%,0))</f>
        <v>1.09565</v>
      </c>
      <c r="I449" s="4" t="s">
        <v>25</v>
      </c>
      <c r="J449" s="4">
        <v>2010</v>
      </c>
      <c r="K449" s="10">
        <f>SUMPRODUCT(N(Tabela4[Ativo]=Tabela5[[#This Row],[Ativo]]),N(YEAR(Tabela4[Data ex-1])=Tabela5[[#This Row],[Ano]]),Tabela4[Líquido])</f>
        <v>0.14650000000000002</v>
      </c>
      <c r="N449" s="23">
        <f>IF(Tabela5[[#This Row],[Dividendos]]&gt;0,Tabela5[[#This Row],[Dividendos]]/Tabela5[[#This Row],[Lucro Líquido]],0)</f>
        <v>0</v>
      </c>
      <c r="O449" s="23"/>
      <c r="P449" s="10"/>
    </row>
    <row r="450" spans="1:16" x14ac:dyDescent="0.2">
      <c r="A450" s="35" t="s">
        <v>80</v>
      </c>
      <c r="B450" s="31" t="s">
        <v>14</v>
      </c>
      <c r="C450" s="32">
        <v>39020</v>
      </c>
      <c r="D450" s="34">
        <v>0.91849999999999998</v>
      </c>
      <c r="E450" s="33">
        <v>39034</v>
      </c>
      <c r="F450" s="33">
        <v>38771</v>
      </c>
      <c r="G450" s="34">
        <f>IF(Tabela4[[#This Row],[Tipo]]="Dividendo",Tabela4[[#This Row],[Valor]],IF(Tabela4[[#This Row],[Tipo]]="Jrs. Cap. Próprio",Tabela4[[#This Row],[Valor]]*85%,0))</f>
        <v>0.780725</v>
      </c>
      <c r="I450" s="4" t="s">
        <v>25</v>
      </c>
      <c r="J450" s="4">
        <v>2009</v>
      </c>
      <c r="K450" s="10">
        <f>SUMPRODUCT(N(Tabela4[Ativo]=Tabela5[[#This Row],[Ativo]]),N(YEAR(Tabela4[Data ex-1])=Tabela5[[#This Row],[Ano]]),Tabela4[Líquido])</f>
        <v>0.11900000000000001</v>
      </c>
      <c r="N450" s="23">
        <f>IF(Tabela5[[#This Row],[Dividendos]]&gt;0,Tabela5[[#This Row],[Dividendos]]/Tabela5[[#This Row],[Lucro Líquido]],0)</f>
        <v>0</v>
      </c>
      <c r="O450" s="23"/>
      <c r="P450" s="10"/>
    </row>
    <row r="451" spans="1:16" x14ac:dyDescent="0.2">
      <c r="A451" s="35" t="s">
        <v>80</v>
      </c>
      <c r="B451" s="31" t="s">
        <v>14</v>
      </c>
      <c r="C451" s="32">
        <v>38835</v>
      </c>
      <c r="D451" s="34">
        <v>1.3689</v>
      </c>
      <c r="E451" s="33">
        <v>38852</v>
      </c>
      <c r="F451" s="33">
        <v>38835</v>
      </c>
      <c r="G451" s="34">
        <f>IF(Tabela4[[#This Row],[Tipo]]="Dividendo",Tabela4[[#This Row],[Valor]],IF(Tabela4[[#This Row],[Tipo]]="Jrs. Cap. Próprio",Tabela4[[#This Row],[Valor]]*85%,0))</f>
        <v>1.163565</v>
      </c>
      <c r="I451" s="4" t="s">
        <v>25</v>
      </c>
      <c r="J451" s="4">
        <v>2008</v>
      </c>
      <c r="K451" s="10">
        <f>SUMPRODUCT(N(Tabela4[Ativo]=Tabela5[[#This Row],[Ativo]]),N(YEAR(Tabela4[Data ex-1])=Tabela5[[#This Row],[Ano]]),Tabela4[Líquido])</f>
        <v>0.17</v>
      </c>
      <c r="N451" s="23">
        <f>IF(Tabela5[[#This Row],[Dividendos]]&gt;0,Tabela5[[#This Row],[Dividendos]]/Tabela5[[#This Row],[Lucro Líquido]],0)</f>
        <v>0</v>
      </c>
      <c r="O451" s="23"/>
      <c r="P451" s="10"/>
    </row>
    <row r="452" spans="1:16" x14ac:dyDescent="0.2">
      <c r="A452" s="35" t="s">
        <v>80</v>
      </c>
      <c r="B452" s="31" t="s">
        <v>14</v>
      </c>
      <c r="C452" s="32">
        <v>38635</v>
      </c>
      <c r="D452" s="34">
        <v>1.0741000000000001</v>
      </c>
      <c r="E452" s="33">
        <v>38667</v>
      </c>
      <c r="F452" s="33">
        <v>38635</v>
      </c>
      <c r="G452" s="34">
        <f>IF(Tabela4[[#This Row],[Tipo]]="Dividendo",Tabela4[[#This Row],[Valor]],IF(Tabela4[[#This Row],[Tipo]]="Jrs. Cap. Próprio",Tabela4[[#This Row],[Valor]]*85%,0))</f>
        <v>0.91298500000000005</v>
      </c>
      <c r="I452" s="4" t="s">
        <v>25</v>
      </c>
      <c r="J452" s="4">
        <v>2007</v>
      </c>
      <c r="K452" s="10">
        <f>SUMPRODUCT(N(Tabela4[Ativo]=Tabela5[[#This Row],[Ativo]]),N(YEAR(Tabela4[Data ex-1])=Tabela5[[#This Row],[Ano]]),Tabela4[Líquido])</f>
        <v>0.14100000000000001</v>
      </c>
      <c r="N452" s="23">
        <f>IF(Tabela5[[#This Row],[Dividendos]]&gt;0,Tabela5[[#This Row],[Dividendos]]/Tabela5[[#This Row],[Lucro Líquido]],0)</f>
        <v>0</v>
      </c>
      <c r="O452" s="23"/>
      <c r="P452" s="10"/>
    </row>
    <row r="453" spans="1:16" x14ac:dyDescent="0.2">
      <c r="A453" s="35" t="s">
        <v>80</v>
      </c>
      <c r="B453" s="31" t="s">
        <v>14</v>
      </c>
      <c r="C453" s="32">
        <v>38358</v>
      </c>
      <c r="D453" s="34">
        <v>1.7185999999999999</v>
      </c>
      <c r="E453" s="33">
        <v>38376</v>
      </c>
      <c r="F453" s="33">
        <v>38358</v>
      </c>
      <c r="G453" s="34">
        <f>IF(Tabela4[[#This Row],[Tipo]]="Dividendo",Tabela4[[#This Row],[Valor]],IF(Tabela4[[#This Row],[Tipo]]="Jrs. Cap. Próprio",Tabela4[[#This Row],[Valor]]*85%,0))</f>
        <v>1.4608099999999999</v>
      </c>
      <c r="I453" s="4" t="s">
        <v>25</v>
      </c>
      <c r="J453" s="4">
        <v>2006</v>
      </c>
      <c r="K453" s="10">
        <f>SUMPRODUCT(N(Tabela4[Ativo]=Tabela5[[#This Row],[Ativo]]),N(YEAR(Tabela4[Data ex-1])=Tabela5[[#This Row],[Ano]]),Tabela4[Líquido])</f>
        <v>0.15910000000000002</v>
      </c>
      <c r="N453" s="23">
        <f>IF(Tabela5[[#This Row],[Dividendos]]&gt;0,Tabela5[[#This Row],[Dividendos]]/Tabela5[[#This Row],[Lucro Líquido]],0)</f>
        <v>0</v>
      </c>
      <c r="O453" s="23"/>
      <c r="P453" s="10"/>
    </row>
    <row r="454" spans="1:16" x14ac:dyDescent="0.2">
      <c r="A454" s="35" t="s">
        <v>80</v>
      </c>
      <c r="B454" s="31" t="s">
        <v>15</v>
      </c>
      <c r="C454" s="32">
        <v>37011</v>
      </c>
      <c r="D454" s="34">
        <v>1.7600000000000001E-2</v>
      </c>
      <c r="E454" s="33">
        <v>37041</v>
      </c>
      <c r="F454" s="33">
        <v>37011</v>
      </c>
      <c r="G454" s="34">
        <f>IF(Tabela4[[#This Row],[Tipo]]="Dividendo",Tabela4[[#This Row],[Valor]],IF(Tabela4[[#This Row],[Tipo]]="Jrs. Cap. Próprio",Tabela4[[#This Row],[Valor]]*85%,0))</f>
        <v>1.7600000000000001E-2</v>
      </c>
      <c r="I454" s="4" t="s">
        <v>25</v>
      </c>
      <c r="J454" s="4">
        <v>2005</v>
      </c>
      <c r="K454" s="10">
        <f>SUMPRODUCT(N(Tabela4[Ativo]=Tabela5[[#This Row],[Ativo]]),N(YEAR(Tabela4[Data ex-1])=Tabela5[[#This Row],[Ano]]),Tabela4[Líquido])</f>
        <v>0</v>
      </c>
      <c r="N454" s="23">
        <f>IF(Tabela5[[#This Row],[Dividendos]]&gt;0,Tabela5[[#This Row],[Dividendos]]/Tabela5[[#This Row],[Lucro Líquido]],0)</f>
        <v>0</v>
      </c>
      <c r="O454" s="23"/>
      <c r="P454" s="10"/>
    </row>
    <row r="455" spans="1:16" x14ac:dyDescent="0.2">
      <c r="A455" s="35" t="s">
        <v>87</v>
      </c>
      <c r="B455" s="35" t="s">
        <v>14</v>
      </c>
      <c r="C455" s="36">
        <v>41578</v>
      </c>
      <c r="D455" s="38">
        <v>0.59989999999999999</v>
      </c>
      <c r="E455" s="37">
        <v>41592</v>
      </c>
      <c r="F455" s="37">
        <v>41578</v>
      </c>
      <c r="G455" s="38">
        <f>IF(Tabela4[[#This Row],[Tipo]]="Dividendo",Tabela4[[#This Row],[Valor]],IF(Tabela4[[#This Row],[Tipo]]="Jrs. Cap. Próprio",Tabela4[[#This Row],[Valor]]*85%,0))</f>
        <v>0.50991500000000001</v>
      </c>
      <c r="I455" s="4" t="s">
        <v>25</v>
      </c>
      <c r="J455" s="4">
        <v>2004</v>
      </c>
      <c r="K455" s="10">
        <f>SUMPRODUCT(N(Tabela4[Ativo]=Tabela5[[#This Row],[Ativo]]),N(YEAR(Tabela4[Data ex-1])=Tabela5[[#This Row],[Ano]]),Tabela4[Líquido])</f>
        <v>6.8000000000000005E-2</v>
      </c>
      <c r="N455" s="23">
        <f>IF(Tabela5[[#This Row],[Dividendos]]&gt;0,Tabela5[[#This Row],[Dividendos]]/Tabela5[[#This Row],[Lucro Líquido]],0)</f>
        <v>0</v>
      </c>
      <c r="O455" s="23"/>
      <c r="P455" s="10"/>
    </row>
    <row r="456" spans="1:16" x14ac:dyDescent="0.2">
      <c r="A456" s="35" t="s">
        <v>87</v>
      </c>
      <c r="B456" s="31" t="s">
        <v>15</v>
      </c>
      <c r="C456" s="32">
        <v>41578</v>
      </c>
      <c r="D456" s="34">
        <v>0.1116</v>
      </c>
      <c r="E456" s="33">
        <v>41592</v>
      </c>
      <c r="F456" s="33">
        <v>41578</v>
      </c>
      <c r="G456" s="34">
        <f>IF(Tabela4[[#This Row],[Tipo]]="Dividendo",Tabela4[[#This Row],[Valor]],IF(Tabela4[[#This Row],[Tipo]]="Jrs. Cap. Próprio",Tabela4[[#This Row],[Valor]]*85%,0))</f>
        <v>0.1116</v>
      </c>
      <c r="I456" s="4" t="s">
        <v>25</v>
      </c>
      <c r="J456" s="4">
        <v>2003</v>
      </c>
      <c r="K456" s="10">
        <f>SUMPRODUCT(N(Tabela4[Ativo]=Tabela5[[#This Row],[Ativo]]),N(YEAR(Tabela4[Data ex-1])=Tabela5[[#This Row],[Ano]]),Tabela4[Líquido])</f>
        <v>7.6734999999999998E-2</v>
      </c>
      <c r="N456" s="23">
        <f>IF(Tabela5[[#This Row],[Dividendos]]&gt;0,Tabela5[[#This Row],[Dividendos]]/Tabela5[[#This Row],[Lucro Líquido]],0)</f>
        <v>0</v>
      </c>
      <c r="O456" s="23"/>
      <c r="P456" s="10"/>
    </row>
    <row r="457" spans="1:16" x14ac:dyDescent="0.2">
      <c r="A457" s="35" t="s">
        <v>87</v>
      </c>
      <c r="B457" s="31" t="s">
        <v>14</v>
      </c>
      <c r="C457" s="32">
        <v>41393</v>
      </c>
      <c r="D457" s="34">
        <v>0.3841</v>
      </c>
      <c r="E457" s="33">
        <v>41409</v>
      </c>
      <c r="F457" s="33">
        <v>41393</v>
      </c>
      <c r="G457" s="34">
        <f>IF(Tabela4[[#This Row],[Tipo]]="Dividendo",Tabela4[[#This Row],[Valor]],IF(Tabela4[[#This Row],[Tipo]]="Jrs. Cap. Próprio",Tabela4[[#This Row],[Valor]]*85%,0))</f>
        <v>0.32648499999999997</v>
      </c>
      <c r="I457" s="4" t="s">
        <v>25</v>
      </c>
      <c r="J457" s="4">
        <v>2002</v>
      </c>
      <c r="K457" s="10">
        <f>SUMPRODUCT(N(Tabela4[Ativo]=Tabela5[[#This Row],[Ativo]]),N(YEAR(Tabela4[Data ex-1])=Tabela5[[#This Row],[Ano]]),Tabela4[Líquido])</f>
        <v>0.13242999999999999</v>
      </c>
      <c r="N457" s="23">
        <f>IF(Tabela5[[#This Row],[Dividendos]]&gt;0,Tabela5[[#This Row],[Dividendos]]/Tabela5[[#This Row],[Lucro Líquido]],0)</f>
        <v>0</v>
      </c>
      <c r="O457" s="23"/>
      <c r="P457" s="10"/>
    </row>
    <row r="458" spans="1:16" x14ac:dyDescent="0.2">
      <c r="A458" s="35" t="s">
        <v>87</v>
      </c>
      <c r="B458" s="31" t="s">
        <v>15</v>
      </c>
      <c r="C458" s="32">
        <v>41393</v>
      </c>
      <c r="D458" s="34">
        <v>0.26600000000000001</v>
      </c>
      <c r="E458" s="33">
        <v>41409</v>
      </c>
      <c r="F458" s="33">
        <v>41393</v>
      </c>
      <c r="G458" s="34">
        <f>IF(Tabela4[[#This Row],[Tipo]]="Dividendo",Tabela4[[#This Row],[Valor]],IF(Tabela4[[#This Row],[Tipo]]="Jrs. Cap. Próprio",Tabela4[[#This Row],[Valor]]*85%,0))</f>
        <v>0.26600000000000001</v>
      </c>
      <c r="I458" s="4" t="s">
        <v>25</v>
      </c>
      <c r="J458" s="4">
        <v>2001</v>
      </c>
      <c r="K458" s="10">
        <f>SUMPRODUCT(N(Tabela4[Ativo]=Tabela5[[#This Row],[Ativo]]),N(YEAR(Tabela4[Data ex-1])=Tabela5[[#This Row],[Ano]]),Tabela4[Líquido])</f>
        <v>8.0920000000000006E-2</v>
      </c>
      <c r="N458" s="23">
        <f>IF(Tabela5[[#This Row],[Dividendos]]&gt;0,Tabela5[[#This Row],[Dividendos]]/Tabela5[[#This Row],[Lucro Líquido]],0)</f>
        <v>0</v>
      </c>
      <c r="O458" s="23"/>
      <c r="P458" s="10"/>
    </row>
    <row r="459" spans="1:16" x14ac:dyDescent="0.2">
      <c r="A459" s="35" t="s">
        <v>87</v>
      </c>
      <c r="B459" s="31" t="s">
        <v>14</v>
      </c>
      <c r="C459" s="32">
        <v>41213</v>
      </c>
      <c r="D459" s="34">
        <v>0.6502</v>
      </c>
      <c r="E459" s="33">
        <v>41227</v>
      </c>
      <c r="F459" s="33">
        <v>41213</v>
      </c>
      <c r="G459" s="34">
        <f>IF(Tabela4[[#This Row],[Tipo]]="Dividendo",Tabela4[[#This Row],[Valor]],IF(Tabela4[[#This Row],[Tipo]]="Jrs. Cap. Próprio",Tabela4[[#This Row],[Valor]]*85%,0))</f>
        <v>0.55266999999999999</v>
      </c>
      <c r="I459" s="4" t="s">
        <v>25</v>
      </c>
      <c r="J459" s="4">
        <v>2000</v>
      </c>
      <c r="K459" s="10">
        <f>SUMPRODUCT(N(Tabela4[Ativo]=Tabela5[[#This Row],[Ativo]]),N(YEAR(Tabela4[Data ex-1])=Tabela5[[#This Row],[Ano]]),Tabela4[Líquido])</f>
        <v>5.4860000000000006E-2</v>
      </c>
      <c r="N459" s="23">
        <f>IF(Tabela5[[#This Row],[Dividendos]]&gt;0,Tabela5[[#This Row],[Dividendos]]/Tabela5[[#This Row],[Lucro Líquido]],0)</f>
        <v>0</v>
      </c>
      <c r="O459" s="23"/>
      <c r="P459" s="10"/>
    </row>
    <row r="460" spans="1:16" x14ac:dyDescent="0.2">
      <c r="A460" s="35" t="s">
        <v>87</v>
      </c>
      <c r="B460" s="31" t="s">
        <v>14</v>
      </c>
      <c r="C460" s="32">
        <v>41026</v>
      </c>
      <c r="D460" s="34">
        <v>0.19209999999999999</v>
      </c>
      <c r="E460" s="33">
        <v>41044</v>
      </c>
      <c r="F460" s="33">
        <v>41026</v>
      </c>
      <c r="G460" s="34">
        <f>IF(Tabela4[[#This Row],[Tipo]]="Dividendo",Tabela4[[#This Row],[Valor]],IF(Tabela4[[#This Row],[Tipo]]="Jrs. Cap. Próprio",Tabela4[[#This Row],[Valor]]*85%,0))</f>
        <v>0.16328499999999999</v>
      </c>
      <c r="I460" s="4" t="s">
        <v>25</v>
      </c>
      <c r="J460" s="4">
        <v>1999</v>
      </c>
      <c r="K460" s="10">
        <f>SUMPRODUCT(N(Tabela4[Ativo]=Tabela5[[#This Row],[Ativo]]),N(YEAR(Tabela4[Data ex-1])=Tabela5[[#This Row],[Ano]]),Tabela4[Líquido])</f>
        <v>5.2360000000000004E-2</v>
      </c>
      <c r="N460" s="23">
        <f>IF(Tabela5[[#This Row],[Dividendos]]&gt;0,Tabela5[[#This Row],[Dividendos]]/Tabela5[[#This Row],[Lucro Líquido]],0)</f>
        <v>0</v>
      </c>
      <c r="O460" s="23"/>
      <c r="P460" s="10"/>
    </row>
    <row r="461" spans="1:16" x14ac:dyDescent="0.2">
      <c r="A461" s="35" t="s">
        <v>87</v>
      </c>
      <c r="B461" s="31" t="s">
        <v>15</v>
      </c>
      <c r="C461" s="32">
        <v>41026</v>
      </c>
      <c r="D461" s="34">
        <v>1.0107999999999999</v>
      </c>
      <c r="E461" s="33">
        <v>41227</v>
      </c>
      <c r="F461" s="33">
        <v>41026</v>
      </c>
      <c r="G461" s="34">
        <f>IF(Tabela4[[#This Row],[Tipo]]="Dividendo",Tabela4[[#This Row],[Valor]],IF(Tabela4[[#This Row],[Tipo]]="Jrs. Cap. Próprio",Tabela4[[#This Row],[Valor]]*85%,0))</f>
        <v>1.0107999999999999</v>
      </c>
      <c r="I461" s="35" t="s">
        <v>100</v>
      </c>
      <c r="J461" s="35">
        <v>2013</v>
      </c>
      <c r="K461" s="38">
        <f>SUMPRODUCT(N(Tabela4[Ativo]=Tabela5[[#This Row],[Ativo]]),N(YEAR(Tabela4[Data ex-1])=Tabela5[[#This Row],[Ano]]),Tabela4[Líquido])</f>
        <v>2.8622000000000001</v>
      </c>
      <c r="L461" s="43"/>
      <c r="M461" s="43"/>
      <c r="N461" s="75">
        <f>IF(Tabela5[[#This Row],[Dividendos]]&gt;0,Tabela5[[#This Row],[Dividendos]]/Tabela5[[#This Row],[Lucro Líquido]],0)</f>
        <v>0</v>
      </c>
      <c r="O461" s="23"/>
      <c r="P461" s="10"/>
    </row>
    <row r="462" spans="1:16" x14ac:dyDescent="0.2">
      <c r="A462" s="35" t="s">
        <v>87</v>
      </c>
      <c r="B462" s="31" t="s">
        <v>14</v>
      </c>
      <c r="C462" s="32">
        <v>40847</v>
      </c>
      <c r="D462" s="34">
        <v>0.74760000000000004</v>
      </c>
      <c r="E462" s="33">
        <v>40861</v>
      </c>
      <c r="F462" s="33">
        <v>40847</v>
      </c>
      <c r="G462" s="34">
        <f>IF(Tabela4[[#This Row],[Tipo]]="Dividendo",Tabela4[[#This Row],[Valor]],IF(Tabela4[[#This Row],[Tipo]]="Jrs. Cap. Próprio",Tabela4[[#This Row],[Valor]]*85%,0))</f>
        <v>0.63546000000000002</v>
      </c>
      <c r="I462" s="35" t="s">
        <v>100</v>
      </c>
      <c r="J462" s="35">
        <v>2012</v>
      </c>
      <c r="K462" s="38">
        <f>SUMPRODUCT(N(Tabela4[Ativo]=Tabela5[[#This Row],[Ativo]]),N(YEAR(Tabela4[Data ex-1])=Tabela5[[#This Row],[Ano]]),Tabela4[Líquido])</f>
        <v>3.8074000000000003</v>
      </c>
      <c r="L462" s="43"/>
      <c r="M462" s="43"/>
      <c r="N462" s="75">
        <f>IF(Tabela5[[#This Row],[Dividendos]]&gt;0,Tabela5[[#This Row],[Dividendos]]/Tabela5[[#This Row],[Lucro Líquido]],0)</f>
        <v>0</v>
      </c>
      <c r="O462" s="23"/>
      <c r="P462" s="10"/>
    </row>
    <row r="463" spans="1:16" x14ac:dyDescent="0.2">
      <c r="A463" s="35" t="s">
        <v>87</v>
      </c>
      <c r="B463" s="31" t="s">
        <v>15</v>
      </c>
      <c r="C463" s="32">
        <v>40847</v>
      </c>
      <c r="D463" s="34">
        <v>5.3E-3</v>
      </c>
      <c r="E463" s="33">
        <v>40861</v>
      </c>
      <c r="F463" s="33">
        <v>40847</v>
      </c>
      <c r="G463" s="34">
        <f>IF(Tabela4[[#This Row],[Tipo]]="Dividendo",Tabela4[[#This Row],[Valor]],IF(Tabela4[[#This Row],[Tipo]]="Jrs. Cap. Próprio",Tabela4[[#This Row],[Valor]]*85%,0))</f>
        <v>5.3E-3</v>
      </c>
      <c r="I463" s="35" t="s">
        <v>100</v>
      </c>
      <c r="J463" s="35">
        <v>2011</v>
      </c>
      <c r="K463" s="34">
        <f>SUMPRODUCT(N(Tabela4[Ativo]=Tabela5[[#This Row],[Ativo]]),N(YEAR(Tabela4[Data ex-1])=Tabela5[[#This Row],[Ano]]),Tabela4[Líquido])</f>
        <v>3.3850000000000002</v>
      </c>
      <c r="L463" s="87"/>
      <c r="M463" s="87"/>
      <c r="N463" s="88">
        <f>IF(Tabela5[[#This Row],[Dividendos]]&gt;0,Tabela5[[#This Row],[Dividendos]]/Tabela5[[#This Row],[Lucro Líquido]],0)</f>
        <v>0</v>
      </c>
      <c r="O463" s="23"/>
      <c r="P463" s="10"/>
    </row>
    <row r="464" spans="1:16" x14ac:dyDescent="0.2">
      <c r="A464" s="35" t="s">
        <v>87</v>
      </c>
      <c r="B464" s="31" t="s">
        <v>14</v>
      </c>
      <c r="C464" s="32">
        <v>40661</v>
      </c>
      <c r="D464" s="34">
        <v>0.1938</v>
      </c>
      <c r="E464" s="33">
        <v>40676</v>
      </c>
      <c r="F464" s="33">
        <v>40661</v>
      </c>
      <c r="G464" s="34">
        <f>IF(Tabela4[[#This Row],[Tipo]]="Dividendo",Tabela4[[#This Row],[Valor]],IF(Tabela4[[#This Row],[Tipo]]="Jrs. Cap. Próprio",Tabela4[[#This Row],[Valor]]*85%,0))</f>
        <v>0.16472999999999999</v>
      </c>
      <c r="I464" s="35" t="s">
        <v>100</v>
      </c>
      <c r="J464" s="35">
        <v>2010</v>
      </c>
      <c r="K464" s="34">
        <f>SUMPRODUCT(N(Tabela4[Ativo]=Tabela5[[#This Row],[Ativo]]),N(YEAR(Tabela4[Data ex-1])=Tabela5[[#This Row],[Ano]]),Tabela4[Líquido])</f>
        <v>2.7389000000000001</v>
      </c>
      <c r="L464" s="87"/>
      <c r="M464" s="87"/>
      <c r="N464" s="88">
        <f>IF(Tabela5[[#This Row],[Dividendos]]&gt;0,Tabela5[[#This Row],[Dividendos]]/Tabela5[[#This Row],[Lucro Líquido]],0)</f>
        <v>0</v>
      </c>
      <c r="O464" s="23"/>
      <c r="P464" s="10"/>
    </row>
    <row r="465" spans="1:16" x14ac:dyDescent="0.2">
      <c r="A465" s="35" t="s">
        <v>87</v>
      </c>
      <c r="B465" s="31" t="s">
        <v>15</v>
      </c>
      <c r="C465" s="32">
        <v>40661</v>
      </c>
      <c r="D465" s="34">
        <v>0.75349999999999995</v>
      </c>
      <c r="E465" s="33">
        <v>40676</v>
      </c>
      <c r="F465" s="33">
        <v>40661</v>
      </c>
      <c r="G465" s="34">
        <f>IF(Tabela4[[#This Row],[Tipo]]="Dividendo",Tabela4[[#This Row],[Valor]],IF(Tabela4[[#This Row],[Tipo]]="Jrs. Cap. Próprio",Tabela4[[#This Row],[Valor]]*85%,0))</f>
        <v>0.75349999999999995</v>
      </c>
      <c r="I465" s="35" t="s">
        <v>100</v>
      </c>
      <c r="J465" s="35">
        <v>2009</v>
      </c>
      <c r="K465" s="34">
        <f>SUMPRODUCT(N(Tabela4[Ativo]=Tabela5[[#This Row],[Ativo]]),N(YEAR(Tabela4[Data ex-1])=Tabela5[[#This Row],[Ano]]),Tabela4[Líquido])</f>
        <v>2.9116</v>
      </c>
      <c r="L465" s="87"/>
      <c r="M465" s="87"/>
      <c r="N465" s="88">
        <f>IF(Tabela5[[#This Row],[Dividendos]]&gt;0,Tabela5[[#This Row],[Dividendos]]/Tabela5[[#This Row],[Lucro Líquido]],0)</f>
        <v>0</v>
      </c>
      <c r="O465" s="23"/>
      <c r="P465" s="10"/>
    </row>
    <row r="466" spans="1:16" x14ac:dyDescent="0.2">
      <c r="A466" s="35" t="s">
        <v>87</v>
      </c>
      <c r="B466" s="31" t="s">
        <v>14</v>
      </c>
      <c r="C466" s="32">
        <v>40480</v>
      </c>
      <c r="D466" s="34">
        <v>0.4728</v>
      </c>
      <c r="E466" s="33">
        <v>40494</v>
      </c>
      <c r="F466" s="33">
        <v>40480</v>
      </c>
      <c r="G466" s="34">
        <f>IF(Tabela4[[#This Row],[Tipo]]="Dividendo",Tabela4[[#This Row],[Valor]],IF(Tabela4[[#This Row],[Tipo]]="Jrs. Cap. Próprio",Tabela4[[#This Row],[Valor]]*85%,0))</f>
        <v>0.40188000000000001</v>
      </c>
      <c r="I466" s="35" t="s">
        <v>100</v>
      </c>
      <c r="J466" s="35">
        <v>2008</v>
      </c>
      <c r="K466" s="34">
        <f>SUMPRODUCT(N(Tabela4[Ativo]=Tabela5[[#This Row],[Ativo]]),N(YEAR(Tabela4[Data ex-1])=Tabela5[[#This Row],[Ano]]),Tabela4[Líquido])</f>
        <v>0.76190000000000002</v>
      </c>
      <c r="L466" s="87"/>
      <c r="M466" s="87"/>
      <c r="N466" s="88">
        <f>IF(Tabela5[[#This Row],[Dividendos]]&gt;0,Tabela5[[#This Row],[Dividendos]]/Tabela5[[#This Row],[Lucro Líquido]],0)</f>
        <v>0</v>
      </c>
      <c r="O466" s="23"/>
      <c r="P466" s="10"/>
    </row>
    <row r="467" spans="1:16" x14ac:dyDescent="0.2">
      <c r="A467" s="35" t="s">
        <v>87</v>
      </c>
      <c r="B467" s="31" t="s">
        <v>15</v>
      </c>
      <c r="C467" s="32">
        <v>40480</v>
      </c>
      <c r="D467" s="34">
        <v>3.2899999999999999E-2</v>
      </c>
      <c r="E467" s="33">
        <v>40494</v>
      </c>
      <c r="F467" s="33">
        <v>40480</v>
      </c>
      <c r="G467" s="34">
        <f>IF(Tabela4[[#This Row],[Tipo]]="Dividendo",Tabela4[[#This Row],[Valor]],IF(Tabela4[[#This Row],[Tipo]]="Jrs. Cap. Próprio",Tabela4[[#This Row],[Valor]]*85%,0))</f>
        <v>3.2899999999999999E-2</v>
      </c>
      <c r="I467" s="35" t="s">
        <v>100</v>
      </c>
      <c r="J467" s="35">
        <v>2007</v>
      </c>
      <c r="K467" s="34">
        <f>SUMPRODUCT(N(Tabela4[Ativo]=Tabela5[[#This Row],[Ativo]]),N(YEAR(Tabela4[Data ex-1])=Tabela5[[#This Row],[Ano]]),Tabela4[Líquido])</f>
        <v>1.9668000000000001</v>
      </c>
      <c r="L467" s="87"/>
      <c r="M467" s="87"/>
      <c r="N467" s="88">
        <f>IF(Tabela5[[#This Row],[Dividendos]]&gt;0,Tabela5[[#This Row],[Dividendos]]/Tabela5[[#This Row],[Lucro Líquido]],0)</f>
        <v>0</v>
      </c>
      <c r="O467" s="23"/>
      <c r="P467" s="10"/>
    </row>
    <row r="468" spans="1:16" x14ac:dyDescent="0.2">
      <c r="A468" s="35" t="s">
        <v>87</v>
      </c>
      <c r="B468" s="31" t="s">
        <v>14</v>
      </c>
      <c r="C468" s="32">
        <v>40298</v>
      </c>
      <c r="D468" s="34">
        <v>0.28189999999999998</v>
      </c>
      <c r="E468" s="33">
        <v>40312</v>
      </c>
      <c r="F468" s="33">
        <v>40298</v>
      </c>
      <c r="G468" s="34">
        <f>IF(Tabela4[[#This Row],[Tipo]]="Dividendo",Tabela4[[#This Row],[Valor]],IF(Tabela4[[#This Row],[Tipo]]="Jrs. Cap. Próprio",Tabela4[[#This Row],[Valor]]*85%,0))</f>
        <v>0.23961499999999997</v>
      </c>
      <c r="I468" s="35" t="s">
        <v>100</v>
      </c>
      <c r="J468" s="35">
        <v>2006</v>
      </c>
      <c r="K468" s="34">
        <f>SUMPRODUCT(N(Tabela4[Ativo]=Tabela5[[#This Row],[Ativo]]),N(YEAR(Tabela4[Data ex-1])=Tabela5[[#This Row],[Ano]]),Tabela4[Líquido])</f>
        <v>2.3159000000000001</v>
      </c>
      <c r="L468" s="87"/>
      <c r="M468" s="87"/>
      <c r="N468" s="88">
        <f>IF(Tabela5[[#This Row],[Dividendos]]&gt;0,Tabela5[[#This Row],[Dividendos]]/Tabela5[[#This Row],[Lucro Líquido]],0)</f>
        <v>0</v>
      </c>
      <c r="O468" s="23"/>
      <c r="P468" s="10"/>
    </row>
    <row r="469" spans="1:16" x14ac:dyDescent="0.2">
      <c r="A469" s="35" t="s">
        <v>87</v>
      </c>
      <c r="B469" s="31" t="s">
        <v>15</v>
      </c>
      <c r="C469" s="32">
        <v>40298</v>
      </c>
      <c r="D469" s="34">
        <v>0.22989999999999999</v>
      </c>
      <c r="E469" s="33">
        <v>40312</v>
      </c>
      <c r="F469" s="33">
        <v>40298</v>
      </c>
      <c r="G469" s="34">
        <f>IF(Tabela4[[#This Row],[Tipo]]="Dividendo",Tabela4[[#This Row],[Valor]],IF(Tabela4[[#This Row],[Tipo]]="Jrs. Cap. Próprio",Tabela4[[#This Row],[Valor]]*85%,0))</f>
        <v>0.22989999999999999</v>
      </c>
      <c r="I469" s="35" t="s">
        <v>100</v>
      </c>
      <c r="J469" s="35">
        <v>2005</v>
      </c>
      <c r="K469" s="34">
        <f>SUMPRODUCT(N(Tabela4[Ativo]=Tabela5[[#This Row],[Ativo]]),N(YEAR(Tabela4[Data ex-1])=Tabela5[[#This Row],[Ano]]),Tabela4[Líquido])</f>
        <v>0.97950000000000004</v>
      </c>
      <c r="L469" s="87"/>
      <c r="M469" s="87"/>
      <c r="N469" s="88">
        <f>IF(Tabela5[[#This Row],[Dividendos]]&gt;0,Tabela5[[#This Row],[Dividendos]]/Tabela5[[#This Row],[Lucro Líquido]],0)</f>
        <v>0</v>
      </c>
      <c r="O469" s="23"/>
      <c r="P469" s="10"/>
    </row>
    <row r="470" spans="1:16" x14ac:dyDescent="0.2">
      <c r="A470" s="35" t="s">
        <v>87</v>
      </c>
      <c r="B470" s="31" t="s">
        <v>15</v>
      </c>
      <c r="C470" s="32">
        <v>40116</v>
      </c>
      <c r="D470" s="34">
        <v>0.13700000000000001</v>
      </c>
      <c r="E470" s="33">
        <v>40130</v>
      </c>
      <c r="F470" s="33">
        <v>40116</v>
      </c>
      <c r="G470" s="34">
        <f>IF(Tabela4[[#This Row],[Tipo]]="Dividendo",Tabela4[[#This Row],[Valor]],IF(Tabela4[[#This Row],[Tipo]]="Jrs. Cap. Próprio",Tabela4[[#This Row],[Valor]]*85%,0))</f>
        <v>0.13700000000000001</v>
      </c>
      <c r="I470" s="35" t="s">
        <v>100</v>
      </c>
      <c r="J470" s="35">
        <v>2004</v>
      </c>
      <c r="K470" s="34">
        <f>SUMPRODUCT(N(Tabela4[Ativo]=Tabela5[[#This Row],[Ativo]]),N(YEAR(Tabela4[Data ex-1])=Tabela5[[#This Row],[Ano]]),Tabela4[Líquido])</f>
        <v>0.54869999999999997</v>
      </c>
      <c r="L470" s="87"/>
      <c r="M470" s="87"/>
      <c r="N470" s="88">
        <f>IF(Tabela5[[#This Row],[Dividendos]]&gt;0,Tabela5[[#This Row],[Dividendos]]/Tabela5[[#This Row],[Lucro Líquido]],0)</f>
        <v>0</v>
      </c>
      <c r="O470" s="23"/>
      <c r="P470" s="10"/>
    </row>
    <row r="471" spans="1:16" x14ac:dyDescent="0.2">
      <c r="A471" s="35" t="s">
        <v>87</v>
      </c>
      <c r="B471" s="31" t="s">
        <v>14</v>
      </c>
      <c r="C471" s="32">
        <v>40116</v>
      </c>
      <c r="D471" s="34">
        <v>0.37819999999999998</v>
      </c>
      <c r="E471" s="33">
        <v>40130</v>
      </c>
      <c r="F471" s="33">
        <v>40116</v>
      </c>
      <c r="G471" s="34">
        <f>IF(Tabela4[[#This Row],[Tipo]]="Dividendo",Tabela4[[#This Row],[Valor]],IF(Tabela4[[#This Row],[Tipo]]="Jrs. Cap. Próprio",Tabela4[[#This Row],[Valor]]*85%,0))</f>
        <v>0.32146999999999998</v>
      </c>
      <c r="I471" s="35" t="s">
        <v>100</v>
      </c>
      <c r="J471" s="35">
        <v>2003</v>
      </c>
      <c r="K471" s="34">
        <f>SUMPRODUCT(N(Tabela4[Ativo]=Tabela5[[#This Row],[Ativo]]),N(YEAR(Tabela4[Data ex-1])=Tabela5[[#This Row],[Ano]]),Tabela4[Líquido])</f>
        <v>0.32019999999999998</v>
      </c>
      <c r="L471" s="87"/>
      <c r="M471" s="87"/>
      <c r="N471" s="88">
        <f>IF(Tabela5[[#This Row],[Dividendos]]&gt;0,Tabela5[[#This Row],[Dividendos]]/Tabela5[[#This Row],[Lucro Líquido]],0)</f>
        <v>0</v>
      </c>
      <c r="O471" s="23"/>
      <c r="P471" s="10"/>
    </row>
    <row r="472" spans="1:16" x14ac:dyDescent="0.2">
      <c r="A472" s="35" t="s">
        <v>87</v>
      </c>
      <c r="B472" s="31" t="s">
        <v>14</v>
      </c>
      <c r="C472" s="32">
        <v>39933</v>
      </c>
      <c r="D472" s="34">
        <v>0.48870000000000002</v>
      </c>
      <c r="E472" s="33">
        <v>39948</v>
      </c>
      <c r="F472" s="33">
        <v>39933</v>
      </c>
      <c r="G472" s="34">
        <f>IF(Tabela4[[#This Row],[Tipo]]="Dividendo",Tabela4[[#This Row],[Valor]],IF(Tabela4[[#This Row],[Tipo]]="Jrs. Cap. Próprio",Tabela4[[#This Row],[Valor]]*85%,0))</f>
        <v>0.41539500000000001</v>
      </c>
      <c r="I472" s="35" t="s">
        <v>100</v>
      </c>
      <c r="J472" s="35">
        <v>2002</v>
      </c>
      <c r="K472" s="34">
        <f>SUMPRODUCT(N(Tabela4[Ativo]=Tabela5[[#This Row],[Ativo]]),N(YEAR(Tabela4[Data ex-1])=Tabela5[[#This Row],[Ano]]),Tabela4[Líquido])</f>
        <v>1.4801</v>
      </c>
      <c r="L472" s="87"/>
      <c r="M472" s="87"/>
      <c r="N472" s="88">
        <f>IF(Tabela5[[#This Row],[Dividendos]]&gt;0,Tabela5[[#This Row],[Dividendos]]/Tabela5[[#This Row],[Lucro Líquido]],0)</f>
        <v>0</v>
      </c>
      <c r="O472" s="23"/>
      <c r="P472" s="10"/>
    </row>
    <row r="473" spans="1:16" x14ac:dyDescent="0.2">
      <c r="A473" s="35" t="s">
        <v>87</v>
      </c>
      <c r="B473" s="31" t="s">
        <v>15</v>
      </c>
      <c r="C473" s="32">
        <v>39933</v>
      </c>
      <c r="D473" s="34">
        <v>0.1565</v>
      </c>
      <c r="E473" s="33">
        <v>39948</v>
      </c>
      <c r="F473" s="33">
        <v>39933</v>
      </c>
      <c r="G473" s="34">
        <f>IF(Tabela4[[#This Row],[Tipo]]="Dividendo",Tabela4[[#This Row],[Valor]],IF(Tabela4[[#This Row],[Tipo]]="Jrs. Cap. Próprio",Tabela4[[#This Row],[Valor]]*85%,0))</f>
        <v>0.1565</v>
      </c>
      <c r="I473" s="35" t="s">
        <v>100</v>
      </c>
      <c r="J473" s="35">
        <v>2001</v>
      </c>
      <c r="K473" s="34">
        <f>SUMPRODUCT(N(Tabela4[Ativo]=Tabela5[[#This Row],[Ativo]]),N(YEAR(Tabela4[Data ex-1])=Tabela5[[#This Row],[Ano]]),Tabela4[Líquido])</f>
        <v>0.74709999999999999</v>
      </c>
      <c r="L473" s="87"/>
      <c r="M473" s="87"/>
      <c r="N473" s="88">
        <f>IF(Tabela5[[#This Row],[Dividendos]]&gt;0,Tabela5[[#This Row],[Dividendos]]/Tabela5[[#This Row],[Lucro Líquido]],0)</f>
        <v>0</v>
      </c>
      <c r="O473" s="23"/>
      <c r="P473" s="10"/>
    </row>
    <row r="474" spans="1:16" x14ac:dyDescent="0.2">
      <c r="A474" s="35" t="s">
        <v>87</v>
      </c>
      <c r="B474" s="31" t="s">
        <v>14</v>
      </c>
      <c r="C474" s="32">
        <v>39752</v>
      </c>
      <c r="D474" s="34">
        <v>0.2009</v>
      </c>
      <c r="E474" s="33">
        <v>39766</v>
      </c>
      <c r="F474" s="33">
        <v>39752</v>
      </c>
      <c r="G474" s="34">
        <f>IF(Tabela4[[#This Row],[Tipo]]="Dividendo",Tabela4[[#This Row],[Valor]],IF(Tabela4[[#This Row],[Tipo]]="Jrs. Cap. Próprio",Tabela4[[#This Row],[Valor]]*85%,0))</f>
        <v>0.170765</v>
      </c>
      <c r="I474" s="35" t="s">
        <v>100</v>
      </c>
      <c r="J474" s="35">
        <v>2000</v>
      </c>
      <c r="K474" s="34">
        <f>SUMPRODUCT(N(Tabela4[Ativo]=Tabela5[[#This Row],[Ativo]]),N(YEAR(Tabela4[Data ex-1])=Tabela5[[#This Row],[Ano]]),Tabela4[Líquido])</f>
        <v>0.66171000000000002</v>
      </c>
      <c r="L474" s="87"/>
      <c r="M474" s="87"/>
      <c r="N474" s="88">
        <f>IF(Tabela5[[#This Row],[Dividendos]]&gt;0,Tabela5[[#This Row],[Dividendos]]/Tabela5[[#This Row],[Lucro Líquido]],0)</f>
        <v>0</v>
      </c>
      <c r="O474" s="23"/>
      <c r="P474" s="10"/>
    </row>
    <row r="475" spans="1:16" x14ac:dyDescent="0.2">
      <c r="A475" s="35" t="s">
        <v>87</v>
      </c>
      <c r="B475" s="31" t="s">
        <v>15</v>
      </c>
      <c r="C475" s="32">
        <v>39752</v>
      </c>
      <c r="D475" s="34">
        <v>0.42399999999999999</v>
      </c>
      <c r="E475" s="33">
        <v>39766</v>
      </c>
      <c r="F475" s="33">
        <v>39752</v>
      </c>
      <c r="G475" s="34">
        <f>IF(Tabela4[[#This Row],[Tipo]]="Dividendo",Tabela4[[#This Row],[Valor]],IF(Tabela4[[#This Row],[Tipo]]="Jrs. Cap. Próprio",Tabela4[[#This Row],[Valor]]*85%,0))</f>
        <v>0.42399999999999999</v>
      </c>
      <c r="I475" s="35" t="s">
        <v>91</v>
      </c>
      <c r="J475" s="35">
        <v>2013</v>
      </c>
      <c r="K475" s="38">
        <f>SUMPRODUCT(N(Tabela4[Ativo]=Tabela5[[#This Row],[Ativo]]),N(YEAR(Tabela4[Data ex-1])=Tabela5[[#This Row],[Ano]]),Tabela4[Líquido])</f>
        <v>2.2650092271499997</v>
      </c>
      <c r="L475" s="43"/>
      <c r="M475" s="43"/>
      <c r="N475" s="75">
        <f>IF(Tabela5[[#This Row],[Dividendos]]&gt;0,Tabela5[[#This Row],[Dividendos]]/Tabela5[[#This Row],[Lucro Líquido]],0)</f>
        <v>0</v>
      </c>
      <c r="O475" s="23">
        <v>1</v>
      </c>
      <c r="P475" s="10"/>
    </row>
    <row r="476" spans="1:16" x14ac:dyDescent="0.2">
      <c r="A476" s="35" t="s">
        <v>87</v>
      </c>
      <c r="B476" s="31" t="s">
        <v>14</v>
      </c>
      <c r="C476" s="32">
        <v>39568</v>
      </c>
      <c r="D476" s="34">
        <v>0.50870000000000004</v>
      </c>
      <c r="E476" s="33">
        <v>39583</v>
      </c>
      <c r="F476" s="33">
        <v>39568</v>
      </c>
      <c r="G476" s="34">
        <f>IF(Tabela4[[#This Row],[Tipo]]="Dividendo",Tabela4[[#This Row],[Valor]],IF(Tabela4[[#This Row],[Tipo]]="Jrs. Cap. Próprio",Tabela4[[#This Row],[Valor]]*85%,0))</f>
        <v>0.43239500000000003</v>
      </c>
      <c r="I476" s="35" t="s">
        <v>91</v>
      </c>
      <c r="J476" s="35">
        <v>2012</v>
      </c>
      <c r="K476" s="38">
        <f>SUMPRODUCT(N(Tabela4[Ativo]=Tabela5[[#This Row],[Ativo]]),N(YEAR(Tabela4[Data ex-1])=Tabela5[[#This Row],[Ano]]),Tabela4[Líquido])</f>
        <v>2.6120049999999999</v>
      </c>
      <c r="L476" s="43"/>
      <c r="M476" s="43"/>
      <c r="N476" s="75">
        <f>IF(Tabela5[[#This Row],[Dividendos]]&gt;0,Tabela5[[#This Row],[Dividendos]]/Tabela5[[#This Row],[Lucro Líquido]],0)</f>
        <v>0</v>
      </c>
      <c r="O476" s="23">
        <v>1.1000000000000001</v>
      </c>
      <c r="P476" s="10"/>
    </row>
    <row r="477" spans="1:16" x14ac:dyDescent="0.2">
      <c r="A477" s="35" t="s">
        <v>87</v>
      </c>
      <c r="B477" s="31" t="s">
        <v>14</v>
      </c>
      <c r="C477" s="32">
        <v>39386</v>
      </c>
      <c r="D477" s="34">
        <v>0.23930000000000001</v>
      </c>
      <c r="E477" s="33">
        <v>39400</v>
      </c>
      <c r="F477" s="33">
        <v>39386</v>
      </c>
      <c r="G477" s="34">
        <f>IF(Tabela4[[#This Row],[Tipo]]="Dividendo",Tabela4[[#This Row],[Valor]],IF(Tabela4[[#This Row],[Tipo]]="Jrs. Cap. Próprio",Tabela4[[#This Row],[Valor]]*85%,0))</f>
        <v>0.203405</v>
      </c>
      <c r="I477" s="35" t="s">
        <v>91</v>
      </c>
      <c r="J477" s="35">
        <v>2011</v>
      </c>
      <c r="K477" s="34">
        <f>SUMPRODUCT(N(Tabela4[Ativo]=Tabela5[[#This Row],[Ativo]]),N(YEAR(Tabela4[Data ex-1])=Tabela5[[#This Row],[Ano]]),Tabela4[Líquido])</f>
        <v>2.1747199999999998</v>
      </c>
      <c r="L477" s="87"/>
      <c r="M477" s="87"/>
      <c r="N477" s="88">
        <f>IF(Tabela5[[#This Row],[Dividendos]]&gt;0,Tabela5[[#This Row],[Dividendos]]/Tabela5[[#This Row],[Lucro Líquido]],0)</f>
        <v>0</v>
      </c>
      <c r="O477" s="23">
        <v>0.97</v>
      </c>
      <c r="P477" s="10"/>
    </row>
    <row r="478" spans="1:16" x14ac:dyDescent="0.2">
      <c r="A478" s="35" t="s">
        <v>87</v>
      </c>
      <c r="B478" s="31" t="s">
        <v>15</v>
      </c>
      <c r="C478" s="32">
        <v>39386</v>
      </c>
      <c r="D478" s="34">
        <v>0.1237</v>
      </c>
      <c r="E478" s="33">
        <v>39400</v>
      </c>
      <c r="F478" s="33">
        <v>39386</v>
      </c>
      <c r="G478" s="34">
        <f>IF(Tabela4[[#This Row],[Tipo]]="Dividendo",Tabela4[[#This Row],[Valor]],IF(Tabela4[[#This Row],[Tipo]]="Jrs. Cap. Próprio",Tabela4[[#This Row],[Valor]]*85%,0))</f>
        <v>0.1237</v>
      </c>
      <c r="I478" s="35" t="s">
        <v>91</v>
      </c>
      <c r="J478" s="35">
        <v>2010</v>
      </c>
      <c r="K478" s="34">
        <f>SUMPRODUCT(N(Tabela4[Ativo]=Tabela5[[#This Row],[Ativo]]),N(YEAR(Tabela4[Data ex-1])=Tabela5[[#This Row],[Ano]]),Tabela4[Líquido])</f>
        <v>1.9187199999999998</v>
      </c>
      <c r="L478" s="87"/>
      <c r="M478" s="87"/>
      <c r="N478" s="88">
        <f>IF(Tabela5[[#This Row],[Dividendos]]&gt;0,Tabela5[[#This Row],[Dividendos]]/Tabela5[[#This Row],[Lucro Líquido]],0)</f>
        <v>0</v>
      </c>
      <c r="O478" s="23">
        <v>0.98</v>
      </c>
      <c r="P478" s="10"/>
    </row>
    <row r="479" spans="1:16" x14ac:dyDescent="0.2">
      <c r="A479" s="35" t="s">
        <v>87</v>
      </c>
      <c r="B479" s="31" t="s">
        <v>14</v>
      </c>
      <c r="C479" s="32">
        <v>39202</v>
      </c>
      <c r="D479" s="34">
        <v>0.50180000000000002</v>
      </c>
      <c r="E479" s="33">
        <v>39217</v>
      </c>
      <c r="F479" s="33">
        <v>39202</v>
      </c>
      <c r="G479" s="34">
        <f>IF(Tabela4[[#This Row],[Tipo]]="Dividendo",Tabela4[[#This Row],[Valor]],IF(Tabela4[[#This Row],[Tipo]]="Jrs. Cap. Próprio",Tabela4[[#This Row],[Valor]]*85%,0))</f>
        <v>0.42653000000000002</v>
      </c>
      <c r="I479" s="35" t="s">
        <v>91</v>
      </c>
      <c r="J479" s="35">
        <v>2009</v>
      </c>
      <c r="K479" s="34">
        <f>SUMPRODUCT(N(Tabela4[Ativo]=Tabela5[[#This Row],[Ativo]]),N(YEAR(Tabela4[Data ex-1])=Tabela5[[#This Row],[Ano]]),Tabela4[Líquido])</f>
        <v>2.0731799999999998</v>
      </c>
      <c r="L479" s="87"/>
      <c r="M479" s="87"/>
      <c r="N479" s="88">
        <f>IF(Tabela5[[#This Row],[Dividendos]]&gt;0,Tabela5[[#This Row],[Dividendos]]/Tabela5[[#This Row],[Lucro Líquido]],0)</f>
        <v>0</v>
      </c>
      <c r="O479" s="23">
        <v>1</v>
      </c>
      <c r="P479" s="10"/>
    </row>
    <row r="480" spans="1:16" x14ac:dyDescent="0.2">
      <c r="A480" s="35" t="s">
        <v>87</v>
      </c>
      <c r="B480" s="31" t="s">
        <v>15</v>
      </c>
      <c r="C480" s="32">
        <v>39202</v>
      </c>
      <c r="D480" s="34">
        <v>0.33860000000000001</v>
      </c>
      <c r="E480" s="33">
        <v>39217</v>
      </c>
      <c r="F480" s="33">
        <v>39202</v>
      </c>
      <c r="G480" s="34">
        <f>IF(Tabela4[[#This Row],[Tipo]]="Dividendo",Tabela4[[#This Row],[Valor]],IF(Tabela4[[#This Row],[Tipo]]="Jrs. Cap. Próprio",Tabela4[[#This Row],[Valor]]*85%,0))</f>
        <v>0.33860000000000001</v>
      </c>
      <c r="I480" s="35" t="s">
        <v>91</v>
      </c>
      <c r="J480" s="35">
        <v>2008</v>
      </c>
      <c r="K480" s="34">
        <f>SUMPRODUCT(N(Tabela4[Ativo]=Tabela5[[#This Row],[Ativo]]),N(YEAR(Tabela4[Data ex-1])=Tabela5[[#This Row],[Ano]]),Tabela4[Líquido])</f>
        <v>1.64324</v>
      </c>
      <c r="L480" s="87"/>
      <c r="M480" s="87"/>
      <c r="N480" s="88">
        <f>IF(Tabela5[[#This Row],[Dividendos]]&gt;0,Tabela5[[#This Row],[Dividendos]]/Tabela5[[#This Row],[Lucro Líquido]],0)</f>
        <v>0</v>
      </c>
      <c r="O480" s="23">
        <v>0.89</v>
      </c>
      <c r="P480" s="10"/>
    </row>
    <row r="481" spans="1:16" x14ac:dyDescent="0.2">
      <c r="A481" s="35" t="s">
        <v>87</v>
      </c>
      <c r="B481" s="31" t="s">
        <v>14</v>
      </c>
      <c r="C481" s="32">
        <v>39072</v>
      </c>
      <c r="D481" s="34">
        <v>1.4178999999999999</v>
      </c>
      <c r="E481" s="33">
        <v>39090</v>
      </c>
      <c r="F481" s="33">
        <v>39072</v>
      </c>
      <c r="G481" s="34">
        <f>IF(Tabela4[[#This Row],[Tipo]]="Dividendo",Tabela4[[#This Row],[Valor]],IF(Tabela4[[#This Row],[Tipo]]="Jrs. Cap. Próprio",Tabela4[[#This Row],[Valor]]*85%,0))</f>
        <v>1.2052149999999999</v>
      </c>
      <c r="I481" s="35" t="s">
        <v>95</v>
      </c>
      <c r="J481" s="35">
        <v>2013</v>
      </c>
      <c r="K481" s="38">
        <f>SUMPRODUCT(N(Tabela4[Ativo]=Tabela5[[#This Row],[Ativo]]),N(YEAR(Tabela4[Data ex-1])=Tabela5[[#This Row],[Ano]]),Tabela4[Líquido])</f>
        <v>2.4914201493500001</v>
      </c>
      <c r="L481" s="43"/>
      <c r="M481" s="43"/>
      <c r="N481" s="75">
        <f>IF(Tabela5[[#This Row],[Dividendos]]&gt;0,Tabela5[[#This Row],[Dividendos]]/Tabela5[[#This Row],[Lucro Líquido]],0)</f>
        <v>0</v>
      </c>
      <c r="O481" s="23">
        <v>1</v>
      </c>
      <c r="P481" s="10"/>
    </row>
    <row r="482" spans="1:16" x14ac:dyDescent="0.2">
      <c r="A482" s="35" t="s">
        <v>87</v>
      </c>
      <c r="B482" s="31" t="s">
        <v>14</v>
      </c>
      <c r="C482" s="32">
        <v>39020</v>
      </c>
      <c r="D482" s="34">
        <v>1.0104</v>
      </c>
      <c r="E482" s="33">
        <v>39034</v>
      </c>
      <c r="F482" s="33">
        <v>38771</v>
      </c>
      <c r="G482" s="34">
        <f>IF(Tabela4[[#This Row],[Tipo]]="Dividendo",Tabela4[[#This Row],[Valor]],IF(Tabela4[[#This Row],[Tipo]]="Jrs. Cap. Próprio",Tabela4[[#This Row],[Valor]]*85%,0))</f>
        <v>0.85883999999999994</v>
      </c>
      <c r="I482" s="35" t="s">
        <v>95</v>
      </c>
      <c r="J482" s="35">
        <v>2012</v>
      </c>
      <c r="K482" s="38">
        <f>SUMPRODUCT(N(Tabela4[Ativo]=Tabela5[[#This Row],[Ativo]]),N(YEAR(Tabela4[Data ex-1])=Tabela5[[#This Row],[Ano]]),Tabela4[Líquido])</f>
        <v>2.8733149999999998</v>
      </c>
      <c r="L482" s="43"/>
      <c r="M482" s="43"/>
      <c r="N482" s="75">
        <f>IF(Tabela5[[#This Row],[Dividendos]]&gt;0,Tabela5[[#This Row],[Dividendos]]/Tabela5[[#This Row],[Lucro Líquido]],0)</f>
        <v>0</v>
      </c>
      <c r="O482" s="23">
        <v>1.21</v>
      </c>
      <c r="P482" s="10"/>
    </row>
    <row r="483" spans="1:16" x14ac:dyDescent="0.2">
      <c r="A483" s="35" t="s">
        <v>87</v>
      </c>
      <c r="B483" s="31" t="s">
        <v>14</v>
      </c>
      <c r="C483" s="32">
        <v>38835</v>
      </c>
      <c r="D483" s="34">
        <v>1.5058</v>
      </c>
      <c r="E483" s="33">
        <v>38852</v>
      </c>
      <c r="F483" s="33">
        <v>38835</v>
      </c>
      <c r="G483" s="34">
        <f>IF(Tabela4[[#This Row],[Tipo]]="Dividendo",Tabela4[[#This Row],[Valor]],IF(Tabela4[[#This Row],[Tipo]]="Jrs. Cap. Próprio",Tabela4[[#This Row],[Valor]]*85%,0))</f>
        <v>1.27993</v>
      </c>
      <c r="I483" s="35" t="s">
        <v>95</v>
      </c>
      <c r="J483" s="35">
        <v>2011</v>
      </c>
      <c r="K483" s="34">
        <f>SUMPRODUCT(N(Tabela4[Ativo]=Tabela5[[#This Row],[Ativo]]),N(YEAR(Tabela4[Data ex-1])=Tabela5[[#This Row],[Ano]]),Tabela4[Líquido])</f>
        <v>2.3922949999999998</v>
      </c>
      <c r="L483" s="87"/>
      <c r="M483" s="87"/>
      <c r="N483" s="88">
        <f>IF(Tabela5[[#This Row],[Dividendos]]&gt;0,Tabela5[[#This Row],[Dividendos]]/Tabela5[[#This Row],[Lucro Líquido]],0)</f>
        <v>0</v>
      </c>
      <c r="O483" s="23"/>
      <c r="P483" s="10"/>
    </row>
    <row r="484" spans="1:16" x14ac:dyDescent="0.2">
      <c r="A484" s="35" t="s">
        <v>87</v>
      </c>
      <c r="B484" s="31" t="s">
        <v>14</v>
      </c>
      <c r="C484" s="32">
        <v>38635</v>
      </c>
      <c r="D484" s="34">
        <v>1.1816</v>
      </c>
      <c r="E484" s="33">
        <v>38667</v>
      </c>
      <c r="F484" s="33">
        <v>38635</v>
      </c>
      <c r="G484" s="34">
        <f>IF(Tabela4[[#This Row],[Tipo]]="Dividendo",Tabela4[[#This Row],[Valor]],IF(Tabela4[[#This Row],[Tipo]]="Jrs. Cap. Próprio",Tabela4[[#This Row],[Valor]]*85%,0))</f>
        <v>1.0043599999999999</v>
      </c>
      <c r="I484" s="35" t="s">
        <v>95</v>
      </c>
      <c r="J484" s="35">
        <v>2010</v>
      </c>
      <c r="K484" s="34">
        <f>SUMPRODUCT(N(Tabela4[Ativo]=Tabela5[[#This Row],[Ativo]]),N(YEAR(Tabela4[Data ex-1])=Tabela5[[#This Row],[Ano]]),Tabela4[Líquido])</f>
        <v>2.110595</v>
      </c>
      <c r="L484" s="87"/>
      <c r="M484" s="87"/>
      <c r="N484" s="88">
        <f>IF(Tabela5[[#This Row],[Dividendos]]&gt;0,Tabela5[[#This Row],[Dividendos]]/Tabela5[[#This Row],[Lucro Líquido]],0)</f>
        <v>0</v>
      </c>
      <c r="O484" s="23"/>
      <c r="P484" s="10"/>
    </row>
    <row r="485" spans="1:16" x14ac:dyDescent="0.2">
      <c r="A485" s="35" t="s">
        <v>87</v>
      </c>
      <c r="B485" s="31" t="s">
        <v>14</v>
      </c>
      <c r="C485" s="32">
        <v>38358</v>
      </c>
      <c r="D485" s="34">
        <v>1.8905000000000001</v>
      </c>
      <c r="E485" s="33">
        <v>38376</v>
      </c>
      <c r="F485" s="33">
        <v>38358</v>
      </c>
      <c r="G485" s="34">
        <f>IF(Tabela4[[#This Row],[Tipo]]="Dividendo",Tabela4[[#This Row],[Valor]],IF(Tabela4[[#This Row],[Tipo]]="Jrs. Cap. Próprio",Tabela4[[#This Row],[Valor]]*85%,0))</f>
        <v>1.6069249999999999</v>
      </c>
      <c r="I485" s="35" t="s">
        <v>95</v>
      </c>
      <c r="J485" s="35">
        <v>2009</v>
      </c>
      <c r="K485" s="34">
        <f>SUMPRODUCT(N(Tabela4[Ativo]=Tabela5[[#This Row],[Ativo]]),N(YEAR(Tabela4[Data ex-1])=Tabela5[[#This Row],[Ano]]),Tabela4[Líquido])</f>
        <v>2.2804250000000001</v>
      </c>
      <c r="L485" s="87"/>
      <c r="M485" s="87"/>
      <c r="N485" s="88">
        <f>IF(Tabela5[[#This Row],[Dividendos]]&gt;0,Tabela5[[#This Row],[Dividendos]]/Tabela5[[#This Row],[Lucro Líquido]],0)</f>
        <v>0</v>
      </c>
      <c r="O485" s="23"/>
      <c r="P485" s="10"/>
    </row>
    <row r="486" spans="1:16" x14ac:dyDescent="0.2">
      <c r="A486" s="35" t="s">
        <v>87</v>
      </c>
      <c r="B486" s="31" t="s">
        <v>15</v>
      </c>
      <c r="C486" s="32">
        <v>37011</v>
      </c>
      <c r="D486" s="34">
        <v>1.9300000000000001E-2</v>
      </c>
      <c r="E486" s="33">
        <v>37041</v>
      </c>
      <c r="F486" s="33">
        <v>37011</v>
      </c>
      <c r="G486" s="34">
        <f>IF(Tabela4[[#This Row],[Tipo]]="Dividendo",Tabela4[[#This Row],[Valor]],IF(Tabela4[[#This Row],[Tipo]]="Jrs. Cap. Próprio",Tabela4[[#This Row],[Valor]]*85%,0))</f>
        <v>1.9300000000000001E-2</v>
      </c>
      <c r="I486" s="35" t="s">
        <v>95</v>
      </c>
      <c r="J486" s="35">
        <v>2008</v>
      </c>
      <c r="K486" s="34">
        <f>SUMPRODUCT(N(Tabela4[Ativo]=Tabela5[[#This Row],[Ativo]]),N(YEAR(Tabela4[Data ex-1])=Tabela5[[#This Row],[Ano]]),Tabela4[Líquido])</f>
        <v>1.8076700000000001</v>
      </c>
      <c r="L486" s="87"/>
      <c r="M486" s="87"/>
      <c r="N486" s="88">
        <f>IF(Tabela5[[#This Row],[Dividendos]]&gt;0,Tabela5[[#This Row],[Dividendos]]/Tabela5[[#This Row],[Lucro Líquido]],0)</f>
        <v>0</v>
      </c>
      <c r="O486" s="23"/>
      <c r="P486" s="10"/>
    </row>
    <row r="487" spans="1:16" x14ac:dyDescent="0.2">
      <c r="A487" s="3" t="s">
        <v>253</v>
      </c>
      <c r="B487" s="3" t="s">
        <v>14</v>
      </c>
      <c r="C487" s="80">
        <v>41499</v>
      </c>
      <c r="D487" s="10">
        <v>2.3999999999999998E-3</v>
      </c>
      <c r="E487" s="81"/>
      <c r="F487" s="81">
        <v>41499</v>
      </c>
      <c r="G487" s="10">
        <f>IF(Tabela4[[#This Row],[Tipo]]="Dividendo",Tabela4[[#This Row],[Valor]],IF(Tabela4[[#This Row],[Tipo]]="Jrs. Cap. Próprio",Tabela4[[#This Row],[Valor]]*85%,0))</f>
        <v>2.0399999999999997E-3</v>
      </c>
      <c r="I487" s="4" t="s">
        <v>39</v>
      </c>
      <c r="J487" s="4">
        <v>2013</v>
      </c>
      <c r="K487" s="14">
        <f>SUMPRODUCT(N(Tabela4[Ativo]=Tabela5[[#This Row],[Ativo]]),N(YEAR(Tabela4[Data ex-1])=Tabela5[[#This Row],[Ano]]),Tabela4[Líquido])</f>
        <v>0</v>
      </c>
      <c r="L487" s="6"/>
      <c r="M487" s="6"/>
      <c r="N487" s="24">
        <f>IF(Tabela5[[#This Row],[Dividendos]]&gt;0,Tabela5[[#This Row],[Dividendos]]/Tabela5[[#This Row],[Lucro Líquido]],0)</f>
        <v>0</v>
      </c>
      <c r="O487" s="23"/>
      <c r="P487" s="10"/>
    </row>
    <row r="488" spans="1:16" x14ac:dyDescent="0.2">
      <c r="A488" s="3" t="s">
        <v>253</v>
      </c>
      <c r="B488" s="3" t="s">
        <v>15</v>
      </c>
      <c r="C488" s="80">
        <v>41499</v>
      </c>
      <c r="D488" s="10">
        <v>0.24510000000000001</v>
      </c>
      <c r="E488" s="81">
        <v>41554</v>
      </c>
      <c r="F488" s="81">
        <v>41499</v>
      </c>
      <c r="G488" s="10">
        <f>IF(Tabela4[[#This Row],[Tipo]]="Dividendo",Tabela4[[#This Row],[Valor]],IF(Tabela4[[#This Row],[Tipo]]="Jrs. Cap. Próprio",Tabela4[[#This Row],[Valor]]*85%,0))</f>
        <v>0.24510000000000001</v>
      </c>
      <c r="I488" s="4" t="s">
        <v>39</v>
      </c>
      <c r="J488" s="4">
        <v>2012</v>
      </c>
      <c r="K488" s="14">
        <f>SUMPRODUCT(N(Tabela4[Ativo]=Tabela5[[#This Row],[Ativo]]),N(YEAR(Tabela4[Data ex-1])=Tabela5[[#This Row],[Ano]]),Tabela4[Líquido])</f>
        <v>0</v>
      </c>
      <c r="L488" s="6"/>
      <c r="M488" s="6"/>
      <c r="N488" s="24">
        <f>IF(Tabela5[[#This Row],[Dividendos]]&gt;0,Tabela5[[#This Row],[Dividendos]]/Tabela5[[#This Row],[Lucro Líquido]],0)</f>
        <v>0</v>
      </c>
      <c r="O488" s="23"/>
      <c r="P488" s="10"/>
    </row>
    <row r="489" spans="1:16" x14ac:dyDescent="0.2">
      <c r="A489" s="3" t="s">
        <v>253</v>
      </c>
      <c r="B489" s="3" t="s">
        <v>15</v>
      </c>
      <c r="C489" s="80">
        <v>41297</v>
      </c>
      <c r="D489" s="10">
        <v>0.22770000000000001</v>
      </c>
      <c r="E489" s="81">
        <v>41353</v>
      </c>
      <c r="F489" s="81">
        <v>41297</v>
      </c>
      <c r="G489" s="10">
        <f>IF(Tabela4[[#This Row],[Tipo]]="Dividendo",Tabela4[[#This Row],[Valor]],IF(Tabela4[[#This Row],[Tipo]]="Jrs. Cap. Próprio",Tabela4[[#This Row],[Valor]]*85%,0))</f>
        <v>0.22770000000000001</v>
      </c>
      <c r="I489" s="4" t="s">
        <v>39</v>
      </c>
      <c r="J489" s="4">
        <v>2011</v>
      </c>
      <c r="K489" s="10">
        <f>SUMPRODUCT(N(Tabela4[Ativo]=Tabela5[[#This Row],[Ativo]]),N(YEAR(Tabela4[Data ex-1])=Tabela5[[#This Row],[Ano]]),Tabela4[Líquido])</f>
        <v>0.2291</v>
      </c>
      <c r="N489" s="23">
        <f>IF(Tabela5[[#This Row],[Dividendos]]&gt;0,Tabela5[[#This Row],[Dividendos]]/Tabela5[[#This Row],[Lucro Líquido]],0)</f>
        <v>0</v>
      </c>
      <c r="O489" s="23"/>
      <c r="P489" s="10"/>
    </row>
    <row r="490" spans="1:16" x14ac:dyDescent="0.2">
      <c r="A490" s="3" t="s">
        <v>253</v>
      </c>
      <c r="B490" s="3" t="s">
        <v>14</v>
      </c>
      <c r="C490" s="80">
        <v>41134</v>
      </c>
      <c r="D490" s="10">
        <v>0.26790000000000003</v>
      </c>
      <c r="E490" s="81">
        <v>41179</v>
      </c>
      <c r="F490" s="81">
        <v>41134</v>
      </c>
      <c r="G490" s="10">
        <f>IF(Tabela4[[#This Row],[Tipo]]="Dividendo",Tabela4[[#This Row],[Valor]],IF(Tabela4[[#This Row],[Tipo]]="Jrs. Cap. Próprio",Tabela4[[#This Row],[Valor]]*85%,0))</f>
        <v>0.22771500000000003</v>
      </c>
      <c r="I490" s="4" t="s">
        <v>39</v>
      </c>
      <c r="J490" s="4">
        <v>2010</v>
      </c>
      <c r="K490" s="10">
        <f>SUMPRODUCT(N(Tabela4[Ativo]=Tabela5[[#This Row],[Ativo]]),N(YEAR(Tabela4[Data ex-1])=Tabela5[[#This Row],[Ano]]),Tabela4[Líquido])</f>
        <v>0.1211</v>
      </c>
      <c r="N490" s="23">
        <f>IF(Tabela5[[#This Row],[Dividendos]]&gt;0,Tabela5[[#This Row],[Dividendos]]/Tabela5[[#This Row],[Lucro Líquido]],0)</f>
        <v>0</v>
      </c>
      <c r="O490" s="23"/>
      <c r="P490" s="10"/>
    </row>
    <row r="491" spans="1:16" x14ac:dyDescent="0.2">
      <c r="A491" s="3" t="s">
        <v>253</v>
      </c>
      <c r="B491" s="3" t="s">
        <v>14</v>
      </c>
      <c r="C491" s="80">
        <v>40932</v>
      </c>
      <c r="D491" s="10">
        <v>1.1999999999999999E-3</v>
      </c>
      <c r="E491" s="81">
        <v>40977</v>
      </c>
      <c r="F491" s="81">
        <v>40932</v>
      </c>
      <c r="G491" s="10">
        <f>IF(Tabela4[[#This Row],[Tipo]]="Dividendo",Tabela4[[#This Row],[Valor]],IF(Tabela4[[#This Row],[Tipo]]="Jrs. Cap. Próprio",Tabela4[[#This Row],[Valor]]*85%,0))</f>
        <v>1.0199999999999999E-3</v>
      </c>
      <c r="I491" s="4" t="s">
        <v>39</v>
      </c>
      <c r="J491" s="4">
        <v>2009</v>
      </c>
      <c r="K491" s="10">
        <f>SUMPRODUCT(N(Tabela4[Ativo]=Tabela5[[#This Row],[Ativo]]),N(YEAR(Tabela4[Data ex-1])=Tabela5[[#This Row],[Ano]]),Tabela4[Líquido])</f>
        <v>0.2009</v>
      </c>
      <c r="N491" s="23">
        <f>IF(Tabela5[[#This Row],[Dividendos]]&gt;0,Tabela5[[#This Row],[Dividendos]]/Tabela5[[#This Row],[Lucro Líquido]],0)</f>
        <v>0</v>
      </c>
      <c r="O491" s="23"/>
      <c r="P491" s="10"/>
    </row>
    <row r="492" spans="1:16" x14ac:dyDescent="0.2">
      <c r="A492" s="3" t="s">
        <v>253</v>
      </c>
      <c r="B492" s="3" t="s">
        <v>15</v>
      </c>
      <c r="C492" s="80">
        <v>40932</v>
      </c>
      <c r="D492" s="10">
        <v>0.2092</v>
      </c>
      <c r="E492" s="81">
        <v>40977</v>
      </c>
      <c r="F492" s="81">
        <v>40932</v>
      </c>
      <c r="G492" s="10">
        <f>IF(Tabela4[[#This Row],[Tipo]]="Dividendo",Tabela4[[#This Row],[Valor]],IF(Tabela4[[#This Row],[Tipo]]="Jrs. Cap. Próprio",Tabela4[[#This Row],[Valor]]*85%,0))</f>
        <v>0.2092</v>
      </c>
      <c r="I492" s="4" t="s">
        <v>39</v>
      </c>
      <c r="J492" s="4">
        <v>2008</v>
      </c>
      <c r="K492" s="10">
        <f>SUMPRODUCT(N(Tabela4[Ativo]=Tabela5[[#This Row],[Ativo]]),N(YEAR(Tabela4[Data ex-1])=Tabela5[[#This Row],[Ano]]),Tabela4[Líquido])</f>
        <v>0.2084</v>
      </c>
      <c r="N492" s="23">
        <f>IF(Tabela5[[#This Row],[Dividendos]]&gt;0,Tabela5[[#This Row],[Dividendos]]/Tabela5[[#This Row],[Lucro Líquido]],0)</f>
        <v>0</v>
      </c>
      <c r="O492" s="23"/>
      <c r="P492" s="10"/>
    </row>
    <row r="493" spans="1:16" x14ac:dyDescent="0.2">
      <c r="A493" s="3" t="s">
        <v>253</v>
      </c>
      <c r="B493" s="3" t="s">
        <v>14</v>
      </c>
      <c r="C493" s="80">
        <v>40766</v>
      </c>
      <c r="D493" s="10">
        <v>0.24740000000000001</v>
      </c>
      <c r="E493" s="81">
        <v>40812</v>
      </c>
      <c r="F493" s="81">
        <v>40766</v>
      </c>
      <c r="G493" s="10">
        <f>IF(Tabela4[[#This Row],[Tipo]]="Dividendo",Tabela4[[#This Row],[Valor]],IF(Tabela4[[#This Row],[Tipo]]="Jrs. Cap. Próprio",Tabela4[[#This Row],[Valor]]*85%,0))</f>
        <v>0.21029</v>
      </c>
      <c r="I493" s="4" t="s">
        <v>39</v>
      </c>
      <c r="J493" s="4">
        <v>2007</v>
      </c>
      <c r="K493" s="10">
        <f>SUMPRODUCT(N(Tabela4[Ativo]=Tabela5[[#This Row],[Ativo]]),N(YEAR(Tabela4[Data ex-1])=Tabela5[[#This Row],[Ano]]),Tabela4[Líquido])</f>
        <v>0.1</v>
      </c>
      <c r="N493" s="23">
        <f>IF(Tabela5[[#This Row],[Dividendos]]&gt;0,Tabela5[[#This Row],[Dividendos]]/Tabela5[[#This Row],[Lucro Líquido]],0)</f>
        <v>0</v>
      </c>
      <c r="O493" s="23"/>
      <c r="P493" s="10"/>
    </row>
    <row r="494" spans="1:16" x14ac:dyDescent="0.2">
      <c r="A494" s="3" t="s">
        <v>253</v>
      </c>
      <c r="B494" s="3" t="s">
        <v>14</v>
      </c>
      <c r="C494" s="80">
        <v>40570</v>
      </c>
      <c r="D494" s="10">
        <v>0.22309999999999999</v>
      </c>
      <c r="E494" s="81">
        <v>40616</v>
      </c>
      <c r="F494" s="81">
        <v>40570</v>
      </c>
      <c r="G494" s="10">
        <f>IF(Tabela4[[#This Row],[Tipo]]="Dividendo",Tabela4[[#This Row],[Valor]],IF(Tabela4[[#This Row],[Tipo]]="Jrs. Cap. Próprio",Tabela4[[#This Row],[Valor]]*85%,0))</f>
        <v>0.189635</v>
      </c>
      <c r="I494" s="4" t="s">
        <v>47</v>
      </c>
      <c r="J494" s="4">
        <v>2013</v>
      </c>
      <c r="K494" s="14">
        <f>SUMPRODUCT(N(Tabela4[Ativo]=Tabela5[[#This Row],[Ativo]]),N(YEAR(Tabela4[Data ex-1])=Tabela5[[#This Row],[Ano]]),Tabela4[Líquido])</f>
        <v>0.52159999999999995</v>
      </c>
      <c r="L494" s="6"/>
      <c r="M494" s="6"/>
      <c r="N494" s="24">
        <f>IF(Tabela5[[#This Row],[Dividendos]]&gt;0,Tabela5[[#This Row],[Dividendos]]/Tabela5[[#This Row],[Lucro Líquido]],0)</f>
        <v>0</v>
      </c>
      <c r="O494" s="23">
        <v>0.33250000000000002</v>
      </c>
      <c r="P494" s="10"/>
    </row>
    <row r="495" spans="1:16" x14ac:dyDescent="0.2">
      <c r="A495" s="3" t="s">
        <v>253</v>
      </c>
      <c r="B495" s="3" t="s">
        <v>14</v>
      </c>
      <c r="C495" s="80">
        <v>40402</v>
      </c>
      <c r="D495" s="10">
        <v>0.22309999999999999</v>
      </c>
      <c r="E495" s="81">
        <v>40448</v>
      </c>
      <c r="F495" s="81">
        <v>40402</v>
      </c>
      <c r="G495" s="10">
        <f>IF(Tabela4[[#This Row],[Tipo]]="Dividendo",Tabela4[[#This Row],[Valor]],IF(Tabela4[[#This Row],[Tipo]]="Jrs. Cap. Próprio",Tabela4[[#This Row],[Valor]]*85%,0))</f>
        <v>0.189635</v>
      </c>
      <c r="I495" s="4" t="s">
        <v>47</v>
      </c>
      <c r="J495" s="4">
        <v>2012</v>
      </c>
      <c r="K495" s="14">
        <f>SUMPRODUCT(N(Tabela4[Ativo]=Tabela5[[#This Row],[Ativo]]),N(YEAR(Tabela4[Data ex-1])=Tabela5[[#This Row],[Ano]]),Tabela4[Líquido])</f>
        <v>1.0896999999999999</v>
      </c>
      <c r="L495" s="6"/>
      <c r="M495" s="6"/>
      <c r="N495" s="24">
        <f>IF(Tabela5[[#This Row],[Dividendos]]&gt;0,Tabela5[[#This Row],[Dividendos]]/Tabela5[[#This Row],[Lucro Líquido]],0)</f>
        <v>0</v>
      </c>
      <c r="O495" s="23">
        <v>0.18</v>
      </c>
      <c r="P495" s="10"/>
    </row>
    <row r="496" spans="1:16" x14ac:dyDescent="0.2">
      <c r="A496" s="3" t="s">
        <v>253</v>
      </c>
      <c r="B496" s="3" t="s">
        <v>14</v>
      </c>
      <c r="C496" s="80">
        <v>40206</v>
      </c>
      <c r="D496" s="10">
        <v>1.12E-2</v>
      </c>
      <c r="E496" s="81">
        <v>40252</v>
      </c>
      <c r="F496" s="81">
        <v>40206</v>
      </c>
      <c r="G496" s="10">
        <f>IF(Tabela4[[#This Row],[Tipo]]="Dividendo",Tabela4[[#This Row],[Valor]],IF(Tabela4[[#This Row],[Tipo]]="Jrs. Cap. Próprio",Tabela4[[#This Row],[Valor]]*85%,0))</f>
        <v>9.5199999999999989E-3</v>
      </c>
      <c r="I496" s="4" t="s">
        <v>47</v>
      </c>
      <c r="J496" s="4">
        <v>2011</v>
      </c>
      <c r="K496" s="10">
        <f>SUMPRODUCT(N(Tabela4[Ativo]=Tabela5[[#This Row],[Ativo]]),N(YEAR(Tabela4[Data ex-1])=Tabela5[[#This Row],[Ano]]),Tabela4[Líquido])</f>
        <v>0.79710000000000003</v>
      </c>
      <c r="N496" s="23">
        <f>IF(Tabela5[[#This Row],[Dividendos]]&gt;0,Tabela5[[#This Row],[Dividendos]]/Tabela5[[#This Row],[Lucro Líquido]],0)</f>
        <v>0</v>
      </c>
      <c r="O496" s="23">
        <v>0.23</v>
      </c>
      <c r="P496" s="10"/>
    </row>
    <row r="497" spans="1:16" x14ac:dyDescent="0.2">
      <c r="A497" s="3" t="s">
        <v>253</v>
      </c>
      <c r="B497" s="3" t="s">
        <v>15</v>
      </c>
      <c r="C497" s="80">
        <v>40206</v>
      </c>
      <c r="D497" s="10">
        <v>0.16600000000000001</v>
      </c>
      <c r="E497" s="81">
        <v>40252</v>
      </c>
      <c r="F497" s="81">
        <v>40206</v>
      </c>
      <c r="G497" s="10">
        <f>IF(Tabela4[[#This Row],[Tipo]]="Dividendo",Tabela4[[#This Row],[Valor]],IF(Tabela4[[#This Row],[Tipo]]="Jrs. Cap. Próprio",Tabela4[[#This Row],[Valor]]*85%,0))</f>
        <v>0.16600000000000001</v>
      </c>
      <c r="I497" s="4" t="s">
        <v>47</v>
      </c>
      <c r="J497" s="4">
        <v>2010</v>
      </c>
      <c r="K497" s="10">
        <f>SUMPRODUCT(N(Tabela4[Ativo]=Tabela5[[#This Row],[Ativo]]),N(YEAR(Tabela4[Data ex-1])=Tabela5[[#This Row],[Ano]]),Tabela4[Líquido])</f>
        <v>0.34439999999999998</v>
      </c>
      <c r="N497" s="23">
        <f>IF(Tabela5[[#This Row],[Dividendos]]&gt;0,Tabela5[[#This Row],[Dividendos]]/Tabela5[[#This Row],[Lucro Líquido]],0)</f>
        <v>0</v>
      </c>
      <c r="O497" s="23">
        <v>0.11</v>
      </c>
      <c r="P497" s="10"/>
    </row>
    <row r="498" spans="1:16" x14ac:dyDescent="0.2">
      <c r="A498" s="3" t="s">
        <v>253</v>
      </c>
      <c r="B498" s="3" t="s">
        <v>14</v>
      </c>
      <c r="C498" s="80">
        <v>40038</v>
      </c>
      <c r="D498" s="10">
        <v>0.20649999999999999</v>
      </c>
      <c r="E498" s="81">
        <v>40084</v>
      </c>
      <c r="F498" s="81">
        <v>40038</v>
      </c>
      <c r="G498" s="10">
        <f>IF(Tabela4[[#This Row],[Tipo]]="Dividendo",Tabela4[[#This Row],[Valor]],IF(Tabela4[[#This Row],[Tipo]]="Jrs. Cap. Próprio",Tabela4[[#This Row],[Valor]]*85%,0))</f>
        <v>0.17552499999999999</v>
      </c>
      <c r="I498" s="4" t="s">
        <v>47</v>
      </c>
      <c r="J498" s="4">
        <v>2009</v>
      </c>
      <c r="K498" s="10">
        <f>SUMPRODUCT(N(Tabela4[Ativo]=Tabela5[[#This Row],[Ativo]]),N(YEAR(Tabela4[Data ex-1])=Tabela5[[#This Row],[Ano]]),Tabela4[Líquido])</f>
        <v>0.2185</v>
      </c>
      <c r="N498" s="23">
        <f>IF(Tabela5[[#This Row],[Dividendos]]&gt;0,Tabela5[[#This Row],[Dividendos]]/Tabela5[[#This Row],[Lucro Líquido]],0)</f>
        <v>0</v>
      </c>
      <c r="O498" s="23">
        <v>0.14000000000000001</v>
      </c>
      <c r="P498" s="10"/>
    </row>
    <row r="499" spans="1:16" x14ac:dyDescent="0.2">
      <c r="A499" s="3" t="s">
        <v>253</v>
      </c>
      <c r="B499" s="3" t="s">
        <v>15</v>
      </c>
      <c r="C499" s="80">
        <v>39849</v>
      </c>
      <c r="D499" s="10">
        <v>0.1555</v>
      </c>
      <c r="E499" s="81">
        <v>39878</v>
      </c>
      <c r="F499" s="81">
        <v>39849</v>
      </c>
      <c r="G499" s="10">
        <f>IF(Tabela4[[#This Row],[Tipo]]="Dividendo",Tabela4[[#This Row],[Valor]],IF(Tabela4[[#This Row],[Tipo]]="Jrs. Cap. Próprio",Tabela4[[#This Row],[Valor]]*85%,0))</f>
        <v>0.1555</v>
      </c>
      <c r="I499" s="4" t="s">
        <v>47</v>
      </c>
      <c r="J499" s="4">
        <v>2008</v>
      </c>
      <c r="K499" s="10">
        <f>SUMPRODUCT(N(Tabela4[Ativo]=Tabela5[[#This Row],[Ativo]]),N(YEAR(Tabela4[Data ex-1])=Tabela5[[#This Row],[Ano]]),Tabela4[Líquido])</f>
        <v>0.03</v>
      </c>
      <c r="N499" s="23">
        <f>IF(Tabela5[[#This Row],[Dividendos]]&gt;0,Tabela5[[#This Row],[Dividendos]]/Tabela5[[#This Row],[Lucro Líquido]],0)</f>
        <v>0</v>
      </c>
      <c r="O499" s="23">
        <v>0.03</v>
      </c>
      <c r="P499" s="10"/>
    </row>
    <row r="500" spans="1:16" x14ac:dyDescent="0.2">
      <c r="A500" s="3" t="s">
        <v>253</v>
      </c>
      <c r="B500" s="3" t="s">
        <v>14</v>
      </c>
      <c r="C500" s="80">
        <v>39672</v>
      </c>
      <c r="D500" s="10">
        <v>0.183</v>
      </c>
      <c r="E500" s="81">
        <v>39689</v>
      </c>
      <c r="F500" s="81">
        <v>39672</v>
      </c>
      <c r="G500" s="10">
        <f>IF(Tabela4[[#This Row],[Tipo]]="Dividendo",Tabela4[[#This Row],[Valor]],IF(Tabela4[[#This Row],[Tipo]]="Jrs. Cap. Próprio",Tabela4[[#This Row],[Valor]]*85%,0))</f>
        <v>0.15554999999999999</v>
      </c>
      <c r="I500" s="35" t="s">
        <v>82</v>
      </c>
      <c r="J500" s="35">
        <v>2013</v>
      </c>
      <c r="K500" s="38">
        <f>SUMPRODUCT(N(Tabela4[Ativo]=Tabela5[[#This Row],[Ativo]]),N(YEAR(Tabela4[Data ex-1])=Tabela5[[#This Row],[Ano]]),Tabela4[Líquido])</f>
        <v>0.40229999999999999</v>
      </c>
      <c r="L500" s="43"/>
      <c r="M500" s="43"/>
      <c r="N500" s="75">
        <f>IF(Tabela5[[#This Row],[Dividendos]]&gt;0,Tabela5[[#This Row],[Dividendos]]/Tabela5[[#This Row],[Lucro Líquido]],0)</f>
        <v>0</v>
      </c>
      <c r="O500" s="23"/>
      <c r="P500" s="10"/>
    </row>
    <row r="501" spans="1:16" x14ac:dyDescent="0.2">
      <c r="A501" s="3" t="s">
        <v>253</v>
      </c>
      <c r="B501" s="3" t="s">
        <v>14</v>
      </c>
      <c r="C501" s="80">
        <v>39464</v>
      </c>
      <c r="D501" s="10">
        <v>0.17050000000000001</v>
      </c>
      <c r="E501" s="81">
        <v>39514</v>
      </c>
      <c r="F501" s="81">
        <v>39464</v>
      </c>
      <c r="G501" s="10">
        <f>IF(Tabela4[[#This Row],[Tipo]]="Dividendo",Tabela4[[#This Row],[Valor]],IF(Tabela4[[#This Row],[Tipo]]="Jrs. Cap. Próprio",Tabela4[[#This Row],[Valor]]*85%,0))</f>
        <v>0.144925</v>
      </c>
      <c r="I501" s="35" t="s">
        <v>82</v>
      </c>
      <c r="J501" s="35">
        <v>2012</v>
      </c>
      <c r="K501" s="38">
        <f>SUMPRODUCT(N(Tabela4[Ativo]=Tabela5[[#This Row],[Ativo]]),N(YEAR(Tabela4[Data ex-1])=Tabela5[[#This Row],[Ano]]),Tabela4[Líquido])</f>
        <v>0.38</v>
      </c>
      <c r="L501" s="43"/>
      <c r="M501" s="43"/>
      <c r="N501" s="75">
        <f>IF(Tabela5[[#This Row],[Dividendos]]&gt;0,Tabela5[[#This Row],[Dividendos]]/Tabela5[[#This Row],[Lucro Líquido]],0)</f>
        <v>0</v>
      </c>
      <c r="O501" s="23"/>
      <c r="P501" s="10"/>
    </row>
    <row r="502" spans="1:16" x14ac:dyDescent="0.2">
      <c r="A502" s="3" t="s">
        <v>253</v>
      </c>
      <c r="B502" s="3" t="s">
        <v>15</v>
      </c>
      <c r="C502" s="80">
        <v>39308</v>
      </c>
      <c r="D502" s="10">
        <v>0.1186</v>
      </c>
      <c r="E502" s="81">
        <v>39331</v>
      </c>
      <c r="F502" s="81">
        <v>39308</v>
      </c>
      <c r="G502" s="10">
        <f>IF(Tabela4[[#This Row],[Tipo]]="Dividendo",Tabela4[[#This Row],[Valor]],IF(Tabela4[[#This Row],[Tipo]]="Jrs. Cap. Próprio",Tabela4[[#This Row],[Valor]]*85%,0))</f>
        <v>0.1186</v>
      </c>
      <c r="I502" s="35" t="s">
        <v>82</v>
      </c>
      <c r="J502" s="35">
        <v>2011</v>
      </c>
      <c r="K502" s="34">
        <f>SUMPRODUCT(N(Tabela4[Ativo]=Tabela5[[#This Row],[Ativo]]),N(YEAR(Tabela4[Data ex-1])=Tabela5[[#This Row],[Ano]]),Tabela4[Líquido])</f>
        <v>0.63514999999999999</v>
      </c>
      <c r="L502" s="87"/>
      <c r="M502" s="87"/>
      <c r="N502" s="88">
        <f>IF(Tabela5[[#This Row],[Dividendos]]&gt;0,Tabela5[[#This Row],[Dividendos]]/Tabela5[[#This Row],[Lucro Líquido]],0)</f>
        <v>0</v>
      </c>
      <c r="O502" s="23"/>
      <c r="P502" s="10"/>
    </row>
    <row r="503" spans="1:16" x14ac:dyDescent="0.2">
      <c r="A503" s="3" t="s">
        <v>253</v>
      </c>
      <c r="B503" s="3" t="s">
        <v>14</v>
      </c>
      <c r="C503" s="80">
        <v>39104</v>
      </c>
      <c r="D503" s="10">
        <v>0.13950000000000001</v>
      </c>
      <c r="E503" s="81">
        <v>39148</v>
      </c>
      <c r="F503" s="81">
        <v>39104</v>
      </c>
      <c r="G503" s="10">
        <f>IF(Tabela4[[#This Row],[Tipo]]="Dividendo",Tabela4[[#This Row],[Valor]],IF(Tabela4[[#This Row],[Tipo]]="Jrs. Cap. Próprio",Tabela4[[#This Row],[Valor]]*85%,0))</f>
        <v>0.11857500000000001</v>
      </c>
      <c r="I503" s="35" t="s">
        <v>82</v>
      </c>
      <c r="J503" s="35">
        <v>2010</v>
      </c>
      <c r="K503" s="34">
        <f>SUMPRODUCT(N(Tabela4[Ativo]=Tabela5[[#This Row],[Ativo]]),N(YEAR(Tabela4[Data ex-1])=Tabela5[[#This Row],[Ano]]),Tabela4[Líquido])</f>
        <v>0.60559999999999992</v>
      </c>
      <c r="L503" s="87"/>
      <c r="M503" s="87"/>
      <c r="N503" s="88">
        <f>IF(Tabela5[[#This Row],[Dividendos]]&gt;0,Tabela5[[#This Row],[Dividendos]]/Tabela5[[#This Row],[Lucro Líquido]],0)</f>
        <v>0</v>
      </c>
      <c r="O503" s="23"/>
      <c r="P503" s="10"/>
    </row>
    <row r="504" spans="1:16" x14ac:dyDescent="0.2">
      <c r="A504" s="3" t="s">
        <v>253</v>
      </c>
      <c r="B504" s="3" t="s">
        <v>15</v>
      </c>
      <c r="C504" s="80">
        <v>38939</v>
      </c>
      <c r="D504" s="10">
        <v>0.1186</v>
      </c>
      <c r="E504" s="81">
        <v>38959</v>
      </c>
      <c r="F504" s="81">
        <v>38939</v>
      </c>
      <c r="G504" s="10">
        <f>IF(Tabela4[[#This Row],[Tipo]]="Dividendo",Tabela4[[#This Row],[Valor]],IF(Tabela4[[#This Row],[Tipo]]="Jrs. Cap. Próprio",Tabela4[[#This Row],[Valor]]*85%,0))</f>
        <v>0.1186</v>
      </c>
      <c r="I504" s="35" t="s">
        <v>82</v>
      </c>
      <c r="J504" s="35">
        <v>2009</v>
      </c>
      <c r="K504" s="34">
        <f>SUMPRODUCT(N(Tabela4[Ativo]=Tabela5[[#This Row],[Ativo]]),N(YEAR(Tabela4[Data ex-1])=Tabela5[[#This Row],[Ano]]),Tabela4[Líquido])</f>
        <v>0.78515000000000001</v>
      </c>
      <c r="L504" s="87"/>
      <c r="M504" s="87"/>
      <c r="N504" s="88">
        <f>IF(Tabela5[[#This Row],[Dividendos]]&gt;0,Tabela5[[#This Row],[Dividendos]]/Tabela5[[#This Row],[Lucro Líquido]],0)</f>
        <v>0</v>
      </c>
      <c r="O504" s="23"/>
      <c r="P504" s="10"/>
    </row>
    <row r="505" spans="1:16" x14ac:dyDescent="0.2">
      <c r="A505" s="3" t="s">
        <v>253</v>
      </c>
      <c r="B505" s="3" t="s">
        <v>15</v>
      </c>
      <c r="C505" s="80">
        <v>38748</v>
      </c>
      <c r="D505" s="10">
        <v>0.1095</v>
      </c>
      <c r="E505" s="81">
        <v>38783</v>
      </c>
      <c r="F505" s="81">
        <v>38748</v>
      </c>
      <c r="G505" s="10">
        <f>IF(Tabela4[[#This Row],[Tipo]]="Dividendo",Tabela4[[#This Row],[Valor]],IF(Tabela4[[#This Row],[Tipo]]="Jrs. Cap. Próprio",Tabela4[[#This Row],[Valor]]*85%,0))</f>
        <v>0.1095</v>
      </c>
      <c r="I505" s="35" t="s">
        <v>82</v>
      </c>
      <c r="J505" s="35">
        <v>2008</v>
      </c>
      <c r="K505" s="34">
        <f>SUMPRODUCT(N(Tabela4[Ativo]=Tabela5[[#This Row],[Ativo]]),N(YEAR(Tabela4[Data ex-1])=Tabela5[[#This Row],[Ano]]),Tabela4[Líquido])</f>
        <v>0.71179999999999999</v>
      </c>
      <c r="L505" s="87"/>
      <c r="M505" s="87"/>
      <c r="N505" s="88">
        <f>IF(Tabela5[[#This Row],[Dividendos]]&gt;0,Tabela5[[#This Row],[Dividendos]]/Tabela5[[#This Row],[Lucro Líquido]],0)</f>
        <v>0</v>
      </c>
      <c r="O505" s="23"/>
      <c r="P505" s="10"/>
    </row>
    <row r="506" spans="1:16" x14ac:dyDescent="0.2">
      <c r="A506" s="3" t="s">
        <v>253</v>
      </c>
      <c r="B506" s="3" t="s">
        <v>14</v>
      </c>
      <c r="C506" s="80">
        <v>38574</v>
      </c>
      <c r="D506" s="10">
        <v>0.1288</v>
      </c>
      <c r="E506" s="81">
        <v>38594</v>
      </c>
      <c r="F506" s="81">
        <v>38574</v>
      </c>
      <c r="G506" s="10">
        <f>IF(Tabela4[[#This Row],[Tipo]]="Dividendo",Tabela4[[#This Row],[Valor]],IF(Tabela4[[#This Row],[Tipo]]="Jrs. Cap. Próprio",Tabela4[[#This Row],[Valor]]*85%,0))</f>
        <v>0.10947999999999999</v>
      </c>
      <c r="I506" s="35" t="s">
        <v>82</v>
      </c>
      <c r="J506" s="35">
        <v>2007</v>
      </c>
      <c r="K506" s="34">
        <f>SUMPRODUCT(N(Tabela4[Ativo]=Tabela5[[#This Row],[Ativo]]),N(YEAR(Tabela4[Data ex-1])=Tabela5[[#This Row],[Ano]]),Tabela4[Líquido])</f>
        <v>0.52649999999999997</v>
      </c>
      <c r="L506" s="87"/>
      <c r="M506" s="87"/>
      <c r="N506" s="88">
        <f>IF(Tabela5[[#This Row],[Dividendos]]&gt;0,Tabela5[[#This Row],[Dividendos]]/Tabela5[[#This Row],[Lucro Líquido]],0)</f>
        <v>0</v>
      </c>
      <c r="O506" s="23"/>
      <c r="P506" s="10"/>
    </row>
    <row r="507" spans="1:16" x14ac:dyDescent="0.2">
      <c r="A507" s="3" t="s">
        <v>253</v>
      </c>
      <c r="B507" s="3" t="s">
        <v>14</v>
      </c>
      <c r="C507" s="80">
        <v>38385</v>
      </c>
      <c r="D507" s="10">
        <v>3.2199999999999999E-2</v>
      </c>
      <c r="E507" s="81">
        <v>38418</v>
      </c>
      <c r="F507" s="81">
        <v>38385</v>
      </c>
      <c r="G507" s="10">
        <f>IF(Tabela4[[#This Row],[Tipo]]="Dividendo",Tabela4[[#This Row],[Valor]],IF(Tabela4[[#This Row],[Tipo]]="Jrs. Cap. Próprio",Tabela4[[#This Row],[Valor]]*85%,0))</f>
        <v>2.7369999999999998E-2</v>
      </c>
      <c r="I507" s="4" t="s">
        <v>35</v>
      </c>
      <c r="J507" s="4">
        <v>2014</v>
      </c>
      <c r="K507" s="14">
        <f>SUMPRODUCT(N(Tabela4[Ativo]=Tabela5[[#This Row],[Ativo]]),N(YEAR(Tabela4[Data ex-1])=Tabela5[[#This Row],[Ano]]),Tabela4[Líquido])</f>
        <v>0</v>
      </c>
      <c r="L507" s="6"/>
      <c r="M507" s="6"/>
      <c r="N507" s="24">
        <f>IF(Tabela5[[#This Row],[Dividendos]]&gt;0,Tabela5[[#This Row],[Dividendos]]/Tabela5[[#This Row],[Lucro Líquido]],0)</f>
        <v>0</v>
      </c>
      <c r="O507" s="23"/>
      <c r="P507" s="10"/>
    </row>
    <row r="508" spans="1:16" x14ac:dyDescent="0.2">
      <c r="A508" s="3" t="s">
        <v>253</v>
      </c>
      <c r="B508" s="3" t="s">
        <v>15</v>
      </c>
      <c r="C508" s="80">
        <v>38385</v>
      </c>
      <c r="D508" s="10">
        <v>7.3999999999999996E-2</v>
      </c>
      <c r="E508" s="81">
        <v>38418</v>
      </c>
      <c r="F508" s="81">
        <v>38385</v>
      </c>
      <c r="G508" s="10">
        <f>IF(Tabela4[[#This Row],[Tipo]]="Dividendo",Tabela4[[#This Row],[Valor]],IF(Tabela4[[#This Row],[Tipo]]="Jrs. Cap. Próprio",Tabela4[[#This Row],[Valor]]*85%,0))</f>
        <v>7.3999999999999996E-2</v>
      </c>
      <c r="I508" s="4" t="s">
        <v>35</v>
      </c>
      <c r="J508" s="4">
        <v>2013</v>
      </c>
      <c r="K508" s="14">
        <f>SUMPRODUCT(N(Tabela4[Ativo]=Tabela5[[#This Row],[Ativo]]),N(YEAR(Tabela4[Data ex-1])=Tabela5[[#This Row],[Ano]]),Tabela4[Líquido])</f>
        <v>0.21227999999999997</v>
      </c>
      <c r="L508" s="6"/>
      <c r="M508" s="6"/>
      <c r="N508" s="24">
        <f>IF(Tabela5[[#This Row],[Dividendos]]&gt;0,Tabela5[[#This Row],[Dividendos]]/Tabela5[[#This Row],[Lucro Líquido]],0)</f>
        <v>0</v>
      </c>
      <c r="O508" s="23">
        <v>0.19500000000000001</v>
      </c>
      <c r="P508" s="10"/>
    </row>
    <row r="509" spans="1:16" x14ac:dyDescent="0.2">
      <c r="A509" s="3" t="s">
        <v>253</v>
      </c>
      <c r="B509" s="3" t="s">
        <v>15</v>
      </c>
      <c r="C509" s="80">
        <v>38202</v>
      </c>
      <c r="D509" s="10">
        <v>0.1013</v>
      </c>
      <c r="E509" s="81">
        <v>38223</v>
      </c>
      <c r="F509" s="81">
        <v>38202</v>
      </c>
      <c r="G509" s="10">
        <f>IF(Tabela4[[#This Row],[Tipo]]="Dividendo",Tabela4[[#This Row],[Valor]],IF(Tabela4[[#This Row],[Tipo]]="Jrs. Cap. Próprio",Tabela4[[#This Row],[Valor]]*85%,0))</f>
        <v>0.1013</v>
      </c>
      <c r="I509" s="4" t="s">
        <v>35</v>
      </c>
      <c r="J509" s="4">
        <v>2012</v>
      </c>
      <c r="K509" s="10">
        <f>SUMPRODUCT(N(Tabela4[Ativo]=Tabela5[[#This Row],[Ativo]]),N(YEAR(Tabela4[Data ex-1])=Tabela5[[#This Row],[Ano]]),Tabela4[Líquido])</f>
        <v>0.36049500000000001</v>
      </c>
      <c r="N509" s="23">
        <f>IF(Tabela5[[#This Row],[Dividendos]]&gt;0,Tabela5[[#This Row],[Dividendos]]/Tabela5[[#This Row],[Lucro Líquido]],0)</f>
        <v>0</v>
      </c>
      <c r="O509" s="23">
        <v>0.34</v>
      </c>
      <c r="P509" s="10"/>
    </row>
    <row r="510" spans="1:16" x14ac:dyDescent="0.2">
      <c r="A510" s="3" t="s">
        <v>253</v>
      </c>
      <c r="B510" s="3" t="s">
        <v>15</v>
      </c>
      <c r="C510" s="80">
        <v>38015</v>
      </c>
      <c r="D510" s="10">
        <v>8.9099999999999999E-2</v>
      </c>
      <c r="E510" s="81">
        <v>38049</v>
      </c>
      <c r="F510" s="81">
        <v>38015</v>
      </c>
      <c r="G510" s="10">
        <f>IF(Tabela4[[#This Row],[Tipo]]="Dividendo",Tabela4[[#This Row],[Valor]],IF(Tabela4[[#This Row],[Tipo]]="Jrs. Cap. Próprio",Tabela4[[#This Row],[Valor]]*85%,0))</f>
        <v>8.9099999999999999E-2</v>
      </c>
      <c r="I510" s="4" t="s">
        <v>35</v>
      </c>
      <c r="J510" s="4">
        <v>2011</v>
      </c>
      <c r="K510" s="10">
        <f>SUMPRODUCT(N(Tabela4[Ativo]=Tabela5[[#This Row],[Ativo]]),N(YEAR(Tabela4[Data ex-1])=Tabela5[[#This Row],[Ano]]),Tabela4[Líquido])</f>
        <v>0.37636500000000001</v>
      </c>
      <c r="N510" s="23">
        <f>IF(Tabela5[[#This Row],[Dividendos]]&gt;0,Tabela5[[#This Row],[Dividendos]]/Tabela5[[#This Row],[Lucro Líquido]],0)</f>
        <v>0</v>
      </c>
      <c r="O510" s="23">
        <v>0.28999999999999998</v>
      </c>
      <c r="P510" s="10"/>
    </row>
    <row r="511" spans="1:16" x14ac:dyDescent="0.2">
      <c r="A511" s="3" t="s">
        <v>253</v>
      </c>
      <c r="B511" s="3" t="s">
        <v>14</v>
      </c>
      <c r="C511" s="80">
        <v>37840</v>
      </c>
      <c r="D511" s="10">
        <v>0.1048</v>
      </c>
      <c r="E511" s="81">
        <v>37862</v>
      </c>
      <c r="F511" s="81">
        <v>37840</v>
      </c>
      <c r="G511" s="10">
        <f>IF(Tabela4[[#This Row],[Tipo]]="Dividendo",Tabela4[[#This Row],[Valor]],IF(Tabela4[[#This Row],[Tipo]]="Jrs. Cap. Próprio",Tabela4[[#This Row],[Valor]]*85%,0))</f>
        <v>8.9080000000000006E-2</v>
      </c>
      <c r="I511" s="4" t="s">
        <v>35</v>
      </c>
      <c r="J511" s="4">
        <v>2010</v>
      </c>
      <c r="K511" s="10">
        <f>SUMPRODUCT(N(Tabela4[Ativo]=Tabela5[[#This Row],[Ativo]]),N(YEAR(Tabela4[Data ex-1])=Tabela5[[#This Row],[Ano]]),Tabela4[Líquido])</f>
        <v>0.34542500000000004</v>
      </c>
      <c r="N511" s="23">
        <f>IF(Tabela5[[#This Row],[Dividendos]]&gt;0,Tabela5[[#This Row],[Dividendos]]/Tabela5[[#This Row],[Lucro Líquido]],0)</f>
        <v>0</v>
      </c>
      <c r="O511" s="23">
        <v>0.31</v>
      </c>
      <c r="P511" s="10"/>
    </row>
    <row r="512" spans="1:16" x14ac:dyDescent="0.2">
      <c r="A512" s="3" t="s">
        <v>253</v>
      </c>
      <c r="B512" s="3" t="s">
        <v>15</v>
      </c>
      <c r="C512" s="80">
        <v>37650</v>
      </c>
      <c r="D512" s="10">
        <v>0.1323</v>
      </c>
      <c r="E512" s="81">
        <v>37677</v>
      </c>
      <c r="F512" s="81">
        <v>37650</v>
      </c>
      <c r="G512" s="10">
        <f>IF(Tabela4[[#This Row],[Tipo]]="Dividendo",Tabela4[[#This Row],[Valor]],IF(Tabela4[[#This Row],[Tipo]]="Jrs. Cap. Próprio",Tabela4[[#This Row],[Valor]]*85%,0))</f>
        <v>0.1323</v>
      </c>
      <c r="I512" s="4" t="s">
        <v>35</v>
      </c>
      <c r="J512" s="4">
        <v>2009</v>
      </c>
      <c r="K512" s="10">
        <f>SUMPRODUCT(N(Tabela4[Ativo]=Tabela5[[#This Row],[Ativo]]),N(YEAR(Tabela4[Data ex-1])=Tabela5[[#This Row],[Ano]]),Tabela4[Líquido])</f>
        <v>0.35809000000000002</v>
      </c>
      <c r="N512" s="23">
        <f>IF(Tabela5[[#This Row],[Dividendos]]&gt;0,Tabela5[[#This Row],[Dividendos]]/Tabela5[[#This Row],[Lucro Líquido]],0)</f>
        <v>0</v>
      </c>
      <c r="O512" s="23">
        <v>0.41</v>
      </c>
      <c r="P512" s="10"/>
    </row>
    <row r="513" spans="1:16" x14ac:dyDescent="0.2">
      <c r="A513" s="3" t="s">
        <v>253</v>
      </c>
      <c r="B513" s="3" t="s">
        <v>15</v>
      </c>
      <c r="C513" s="80">
        <v>37461</v>
      </c>
      <c r="D513" s="10">
        <v>2.8000000000000001E-2</v>
      </c>
      <c r="E513" s="81">
        <v>37496</v>
      </c>
      <c r="F513" s="81">
        <v>37461</v>
      </c>
      <c r="G513" s="10">
        <f>IF(Tabela4[[#This Row],[Tipo]]="Dividendo",Tabela4[[#This Row],[Valor]],IF(Tabela4[[#This Row],[Tipo]]="Jrs. Cap. Próprio",Tabela4[[#This Row],[Valor]]*85%,0))</f>
        <v>2.8000000000000001E-2</v>
      </c>
      <c r="I513" s="4" t="s">
        <v>35</v>
      </c>
      <c r="J513" s="4">
        <v>2008</v>
      </c>
      <c r="K513" s="10">
        <f>SUMPRODUCT(N(Tabela4[Ativo]=Tabela5[[#This Row],[Ativo]]),N(YEAR(Tabela4[Data ex-1])=Tabela5[[#This Row],[Ano]]),Tabela4[Líquido])</f>
        <v>0.35309499999999999</v>
      </c>
      <c r="N513" s="23">
        <f>IF(Tabela5[[#This Row],[Dividendos]]&gt;0,Tabela5[[#This Row],[Dividendos]]/Tabela5[[#This Row],[Lucro Líquido]],0)</f>
        <v>0</v>
      </c>
      <c r="O513" s="23">
        <v>0.77</v>
      </c>
      <c r="P513" s="10"/>
    </row>
    <row r="514" spans="1:16" x14ac:dyDescent="0.2">
      <c r="A514" s="3" t="s">
        <v>253</v>
      </c>
      <c r="B514" s="3" t="s">
        <v>14</v>
      </c>
      <c r="C514" s="80">
        <v>37294</v>
      </c>
      <c r="D514" s="10">
        <v>0.1229</v>
      </c>
      <c r="E514" s="81">
        <v>37333</v>
      </c>
      <c r="F514" s="81">
        <v>37294</v>
      </c>
      <c r="G514" s="10">
        <f>IF(Tabela4[[#This Row],[Tipo]]="Dividendo",Tabela4[[#This Row],[Valor]],IF(Tabela4[[#This Row],[Tipo]]="Jrs. Cap. Próprio",Tabela4[[#This Row],[Valor]]*85%,0))</f>
        <v>0.10446499999999999</v>
      </c>
      <c r="I514" s="4" t="s">
        <v>35</v>
      </c>
      <c r="J514" s="4">
        <v>2007</v>
      </c>
      <c r="K514" s="10">
        <f>SUMPRODUCT(N(Tabela4[Ativo]=Tabela5[[#This Row],[Ativo]]),N(YEAR(Tabela4[Data ex-1])=Tabela5[[#This Row],[Ano]]),Tabela4[Líquido])</f>
        <v>0.26694499999999993</v>
      </c>
      <c r="N514" s="23">
        <f>IF(Tabela5[[#This Row],[Dividendos]]&gt;0,Tabela5[[#This Row],[Dividendos]]/Tabela5[[#This Row],[Lucro Líquido]],0)</f>
        <v>0</v>
      </c>
      <c r="O514" s="23">
        <v>0.28000000000000003</v>
      </c>
      <c r="P514" s="10"/>
    </row>
    <row r="515" spans="1:16" x14ac:dyDescent="0.2">
      <c r="A515" s="3" t="s">
        <v>253</v>
      </c>
      <c r="B515" s="3" t="s">
        <v>15</v>
      </c>
      <c r="C515" s="80">
        <v>37294</v>
      </c>
      <c r="D515" s="10">
        <v>1.4999999999999999E-2</v>
      </c>
      <c r="E515" s="81">
        <v>37333</v>
      </c>
      <c r="F515" s="81">
        <v>37294</v>
      </c>
      <c r="G515" s="10">
        <f>IF(Tabela4[[#This Row],[Tipo]]="Dividendo",Tabela4[[#This Row],[Valor]],IF(Tabela4[[#This Row],[Tipo]]="Jrs. Cap. Próprio",Tabela4[[#This Row],[Valor]]*85%,0))</f>
        <v>1.4999999999999999E-2</v>
      </c>
      <c r="I515" s="4" t="s">
        <v>35</v>
      </c>
      <c r="J515" s="4">
        <v>2006</v>
      </c>
      <c r="K515" s="10">
        <f>SUMPRODUCT(N(Tabela4[Ativo]=Tabela5[[#This Row],[Ativo]]),N(YEAR(Tabela4[Data ex-1])=Tabela5[[#This Row],[Ano]]),Tabela4[Líquido])</f>
        <v>0.21335000000000001</v>
      </c>
      <c r="N515" s="23">
        <f>IF(Tabela5[[#This Row],[Dividendos]]&gt;0,Tabela5[[#This Row],[Dividendos]]/Tabela5[[#This Row],[Lucro Líquido]],0)</f>
        <v>0</v>
      </c>
      <c r="O515" s="23">
        <v>0.17</v>
      </c>
      <c r="P515" s="10"/>
    </row>
    <row r="516" spans="1:16" x14ac:dyDescent="0.2">
      <c r="A516" s="3" t="s">
        <v>253</v>
      </c>
      <c r="B516" s="3" t="s">
        <v>15</v>
      </c>
      <c r="C516" s="80">
        <v>37113</v>
      </c>
      <c r="D516" s="10">
        <v>2.8000000000000001E-2</v>
      </c>
      <c r="E516" s="81">
        <v>37131</v>
      </c>
      <c r="F516" s="81">
        <v>37113</v>
      </c>
      <c r="G516" s="10">
        <f>IF(Tabela4[[#This Row],[Tipo]]="Dividendo",Tabela4[[#This Row],[Valor]],IF(Tabela4[[#This Row],[Tipo]]="Jrs. Cap. Próprio",Tabela4[[#This Row],[Valor]]*85%,0))</f>
        <v>2.8000000000000001E-2</v>
      </c>
      <c r="I516" s="4" t="s">
        <v>35</v>
      </c>
      <c r="J516" s="4">
        <v>2005</v>
      </c>
      <c r="K516" s="10">
        <f>SUMPRODUCT(N(Tabela4[Ativo]=Tabela5[[#This Row],[Ativo]]),N(YEAR(Tabela4[Data ex-1])=Tabela5[[#This Row],[Ano]]),Tabela4[Líquido])</f>
        <v>0.23145499999999999</v>
      </c>
      <c r="N516" s="23">
        <f>IF(Tabela5[[#This Row],[Dividendos]]&gt;0,Tabela5[[#This Row],[Dividendos]]/Tabela5[[#This Row],[Lucro Líquido]],0)</f>
        <v>0</v>
      </c>
      <c r="O516" s="23">
        <v>0.32</v>
      </c>
      <c r="P516" s="10"/>
    </row>
    <row r="517" spans="1:16" x14ac:dyDescent="0.2">
      <c r="A517" s="3" t="s">
        <v>253</v>
      </c>
      <c r="B517" s="3" t="s">
        <v>14</v>
      </c>
      <c r="C517" s="80">
        <v>36942</v>
      </c>
      <c r="D517" s="10">
        <v>0.1303</v>
      </c>
      <c r="E517" s="81">
        <v>36970</v>
      </c>
      <c r="F517" s="81">
        <v>36942</v>
      </c>
      <c r="G517" s="10">
        <f>IF(Tabela4[[#This Row],[Tipo]]="Dividendo",Tabela4[[#This Row],[Valor]],IF(Tabela4[[#This Row],[Tipo]]="Jrs. Cap. Próprio",Tabela4[[#This Row],[Valor]]*85%,0))</f>
        <v>0.11075499999999999</v>
      </c>
      <c r="I517" s="4" t="s">
        <v>35</v>
      </c>
      <c r="J517" s="4">
        <v>2004</v>
      </c>
      <c r="K517" s="10">
        <f>SUMPRODUCT(N(Tabela4[Ativo]=Tabela5[[#This Row],[Ativo]]),N(YEAR(Tabela4[Data ex-1])=Tabela5[[#This Row],[Ano]]),Tabela4[Líquido])</f>
        <v>0.17373999999999995</v>
      </c>
      <c r="N517" s="23">
        <f>IF(Tabela5[[#This Row],[Dividendos]]&gt;0,Tabela5[[#This Row],[Dividendos]]/Tabela5[[#This Row],[Lucro Líquido]],0)</f>
        <v>0</v>
      </c>
      <c r="O517" s="23">
        <v>0.28999999999999998</v>
      </c>
      <c r="P517" s="10"/>
    </row>
    <row r="518" spans="1:16" x14ac:dyDescent="0.2">
      <c r="A518" s="3" t="s">
        <v>253</v>
      </c>
      <c r="B518" s="3" t="s">
        <v>15</v>
      </c>
      <c r="C518" s="80">
        <v>36727</v>
      </c>
      <c r="D518" s="10">
        <v>2.8000000000000001E-2</v>
      </c>
      <c r="E518" s="81">
        <v>36752</v>
      </c>
      <c r="F518" s="81">
        <v>36727</v>
      </c>
      <c r="G518" s="10">
        <f>IF(Tabela4[[#This Row],[Tipo]]="Dividendo",Tabela4[[#This Row],[Valor]],IF(Tabela4[[#This Row],[Tipo]]="Jrs. Cap. Próprio",Tabela4[[#This Row],[Valor]]*85%,0))</f>
        <v>2.8000000000000001E-2</v>
      </c>
      <c r="I518" s="4" t="s">
        <v>35</v>
      </c>
      <c r="J518" s="4">
        <v>2003</v>
      </c>
      <c r="K518" s="10">
        <f>SUMPRODUCT(N(Tabela4[Ativo]=Tabela5[[#This Row],[Ativo]]),N(YEAR(Tabela4[Data ex-1])=Tabela5[[#This Row],[Ano]]),Tabela4[Líquido])</f>
        <v>0.19022999999999998</v>
      </c>
      <c r="N518" s="23">
        <f>IF(Tabela5[[#This Row],[Dividendos]]&gt;0,Tabela5[[#This Row],[Dividendos]]/Tabela5[[#This Row],[Lucro Líquido]],0)</f>
        <v>0</v>
      </c>
      <c r="O518" s="23">
        <v>0.4</v>
      </c>
      <c r="P518" s="10"/>
    </row>
    <row r="519" spans="1:16" x14ac:dyDescent="0.2">
      <c r="A519" s="3" t="s">
        <v>253</v>
      </c>
      <c r="B519" s="3" t="s">
        <v>14</v>
      </c>
      <c r="C519" s="80">
        <v>36551</v>
      </c>
      <c r="D519" s="10">
        <v>0.1009</v>
      </c>
      <c r="E519" s="81">
        <v>36581</v>
      </c>
      <c r="F519" s="81">
        <v>36551</v>
      </c>
      <c r="G519" s="10">
        <f>IF(Tabela4[[#This Row],[Tipo]]="Dividendo",Tabela4[[#This Row],[Valor]],IF(Tabela4[[#This Row],[Tipo]]="Jrs. Cap. Próprio",Tabela4[[#This Row],[Valor]]*85%,0))</f>
        <v>8.5764999999999994E-2</v>
      </c>
      <c r="I519" s="4" t="s">
        <v>35</v>
      </c>
      <c r="J519" s="4">
        <v>2002</v>
      </c>
      <c r="K519" s="10">
        <f>SUMPRODUCT(N(Tabela4[Ativo]=Tabela5[[#This Row],[Ativo]]),N(YEAR(Tabela4[Data ex-1])=Tabela5[[#This Row],[Ano]]),Tabela4[Líquido])</f>
        <v>0.11763999999999999</v>
      </c>
      <c r="N519" s="23">
        <f>IF(Tabela5[[#This Row],[Dividendos]]&gt;0,Tabela5[[#This Row],[Dividendos]]/Tabela5[[#This Row],[Lucro Líquido]],0)</f>
        <v>0</v>
      </c>
      <c r="O519" s="23">
        <v>0.22</v>
      </c>
      <c r="P519" s="10"/>
    </row>
    <row r="520" spans="1:16" x14ac:dyDescent="0.2">
      <c r="A520" s="3" t="s">
        <v>253</v>
      </c>
      <c r="B520" s="3" t="s">
        <v>14</v>
      </c>
      <c r="C520" s="80">
        <v>36370</v>
      </c>
      <c r="D520" s="10">
        <v>3.4099999999999998E-2</v>
      </c>
      <c r="E520" s="81">
        <v>36399</v>
      </c>
      <c r="F520" s="81">
        <v>36370</v>
      </c>
      <c r="G520" s="10">
        <f>IF(Tabela4[[#This Row],[Tipo]]="Dividendo",Tabela4[[#This Row],[Valor]],IF(Tabela4[[#This Row],[Tipo]]="Jrs. Cap. Próprio",Tabela4[[#This Row],[Valor]]*85%,0))</f>
        <v>2.8984999999999997E-2</v>
      </c>
      <c r="I520" s="4" t="s">
        <v>35</v>
      </c>
      <c r="J520" s="4">
        <v>2001</v>
      </c>
      <c r="K520" s="10">
        <f>SUMPRODUCT(N(Tabela4[Ativo]=Tabela5[[#This Row],[Ativo]]),N(YEAR(Tabela4[Data ex-1])=Tabela5[[#This Row],[Ano]]),Tabela4[Líquido])</f>
        <v>8.6019999999999999E-2</v>
      </c>
      <c r="N520" s="23">
        <f>IF(Tabela5[[#This Row],[Dividendos]]&gt;0,Tabela5[[#This Row],[Dividendos]]/Tabela5[[#This Row],[Lucro Líquido]],0)</f>
        <v>0</v>
      </c>
      <c r="O520" s="23">
        <v>0.2</v>
      </c>
      <c r="P520" s="10"/>
    </row>
    <row r="521" spans="1:16" x14ac:dyDescent="0.2">
      <c r="A521" s="3" t="s">
        <v>253</v>
      </c>
      <c r="B521" s="3" t="s">
        <v>15</v>
      </c>
      <c r="C521" s="80">
        <v>36188</v>
      </c>
      <c r="D521" s="10">
        <v>0.1361</v>
      </c>
      <c r="E521" s="81"/>
      <c r="F521" s="81">
        <v>36188</v>
      </c>
      <c r="G521" s="10">
        <f>IF(Tabela4[[#This Row],[Tipo]]="Dividendo",Tabela4[[#This Row],[Valor]],IF(Tabela4[[#This Row],[Tipo]]="Jrs. Cap. Próprio",Tabela4[[#This Row],[Valor]]*85%,0))</f>
        <v>0.1361</v>
      </c>
      <c r="I521" s="4" t="s">
        <v>35</v>
      </c>
      <c r="J521" s="4">
        <v>2000</v>
      </c>
      <c r="K521" s="10">
        <f>SUMPRODUCT(N(Tabela4[Ativo]=Tabela5[[#This Row],[Ativo]]),N(YEAR(Tabela4[Data ex-1])=Tabela5[[#This Row],[Ano]]),Tabela4[Líquido])</f>
        <v>6.9869999999999988E-2</v>
      </c>
      <c r="N521" s="23">
        <f>IF(Tabela5[[#This Row],[Dividendos]]&gt;0,Tabela5[[#This Row],[Dividendos]]/Tabela5[[#This Row],[Lucro Líquido]],0)</f>
        <v>0</v>
      </c>
      <c r="O521" s="23"/>
      <c r="P521" s="10"/>
    </row>
    <row r="522" spans="1:16" x14ac:dyDescent="0.2">
      <c r="A522" s="3" t="s">
        <v>253</v>
      </c>
      <c r="B522" s="3" t="s">
        <v>14</v>
      </c>
      <c r="C522" s="80">
        <v>36013</v>
      </c>
      <c r="D522" s="10">
        <v>3.7499999999999999E-2</v>
      </c>
      <c r="E522" s="81"/>
      <c r="F522" s="81">
        <v>36013</v>
      </c>
      <c r="G522" s="10">
        <f>IF(Tabela4[[#This Row],[Tipo]]="Dividendo",Tabela4[[#This Row],[Valor]],IF(Tabela4[[#This Row],[Tipo]]="Jrs. Cap. Próprio",Tabela4[[#This Row],[Valor]]*85%,0))</f>
        <v>3.1875000000000001E-2</v>
      </c>
      <c r="I522" s="4" t="s">
        <v>35</v>
      </c>
      <c r="J522" s="4">
        <v>1999</v>
      </c>
      <c r="K522" s="10">
        <f>SUMPRODUCT(N(Tabela4[Ativo]=Tabela5[[#This Row],[Ativo]]),N(YEAR(Tabela4[Data ex-1])=Tabela5[[#This Row],[Ano]]),Tabela4[Líquido])</f>
        <v>7.2589999999999988E-2</v>
      </c>
      <c r="N522" s="23">
        <f>IF(Tabela5[[#This Row],[Dividendos]]&gt;0,Tabela5[[#This Row],[Dividendos]]/Tabela5[[#This Row],[Lucro Líquido]],0)</f>
        <v>0</v>
      </c>
      <c r="O522" s="23"/>
      <c r="P522" s="10"/>
    </row>
    <row r="523" spans="1:16" x14ac:dyDescent="0.2">
      <c r="A523" s="3" t="s">
        <v>253</v>
      </c>
      <c r="B523" s="3" t="s">
        <v>15</v>
      </c>
      <c r="C523" s="80">
        <v>35823</v>
      </c>
      <c r="D523" s="10">
        <v>0.15290000000000001</v>
      </c>
      <c r="E523" s="81"/>
      <c r="F523" s="81">
        <v>35823</v>
      </c>
      <c r="G523" s="10">
        <f>IF(Tabela4[[#This Row],[Tipo]]="Dividendo",Tabela4[[#This Row],[Valor]],IF(Tabela4[[#This Row],[Tipo]]="Jrs. Cap. Próprio",Tabela4[[#This Row],[Valor]]*85%,0))</f>
        <v>0.15290000000000001</v>
      </c>
      <c r="I523" s="3" t="s">
        <v>304</v>
      </c>
      <c r="J523" s="3">
        <v>2013</v>
      </c>
      <c r="K523" s="10">
        <f>SUMPRODUCT(N(Tabela4[Ativo]=Tabela5[[#This Row],[Ativo]]),N(YEAR(Tabela4[Data ex-1])=Tabela5[[#This Row],[Ano]]),Tabela4[Líquido])</f>
        <v>0.86889000000000005</v>
      </c>
      <c r="N523" s="23">
        <f>IF(Tabela5[[#This Row],[Dividendos]]&gt;0,Tabela5[[#This Row],[Dividendos]]/Tabela5[[#This Row],[Lucro Líquido]],0)</f>
        <v>0</v>
      </c>
      <c r="O523" s="28">
        <v>0.25359999999999999</v>
      </c>
      <c r="P523" s="10"/>
    </row>
    <row r="524" spans="1:16" x14ac:dyDescent="0.2">
      <c r="A524" s="3" t="s">
        <v>253</v>
      </c>
      <c r="B524" s="3" t="s">
        <v>15</v>
      </c>
      <c r="C524" s="80">
        <v>35640</v>
      </c>
      <c r="D524" s="10">
        <v>2.87E-2</v>
      </c>
      <c r="E524" s="81"/>
      <c r="F524" s="81">
        <v>35640</v>
      </c>
      <c r="G524" s="10">
        <f>IF(Tabela4[[#This Row],[Tipo]]="Dividendo",Tabela4[[#This Row],[Valor]],IF(Tabela4[[#This Row],[Tipo]]="Jrs. Cap. Próprio",Tabela4[[#This Row],[Valor]]*85%,0))</f>
        <v>2.87E-2</v>
      </c>
      <c r="I524" s="3" t="s">
        <v>304</v>
      </c>
      <c r="J524" s="3">
        <v>2012</v>
      </c>
      <c r="K524" s="10">
        <f>SUMPRODUCT(N(Tabela4[Ativo]=Tabela5[[#This Row],[Ativo]]),N(YEAR(Tabela4[Data ex-1])=Tabela5[[#This Row],[Ano]]),Tabela4[Líquido])</f>
        <v>1.03193</v>
      </c>
      <c r="N524" s="23">
        <f>IF(Tabela5[[#This Row],[Dividendos]]&gt;0,Tabela5[[#This Row],[Dividendos]]/Tabela5[[#This Row],[Lucro Líquido]],0)</f>
        <v>0</v>
      </c>
      <c r="O524" s="28">
        <v>0.37</v>
      </c>
      <c r="P524" s="10"/>
    </row>
    <row r="525" spans="1:16" x14ac:dyDescent="0.2">
      <c r="A525" s="3" t="s">
        <v>253</v>
      </c>
      <c r="B525" s="3" t="s">
        <v>15</v>
      </c>
      <c r="C525" s="80">
        <v>35459</v>
      </c>
      <c r="D525" s="10">
        <v>0.13600000000000001</v>
      </c>
      <c r="E525" s="81"/>
      <c r="F525" s="81">
        <v>35459</v>
      </c>
      <c r="G525" s="10">
        <f>IF(Tabela4[[#This Row],[Tipo]]="Dividendo",Tabela4[[#This Row],[Valor]],IF(Tabela4[[#This Row],[Tipo]]="Jrs. Cap. Próprio",Tabela4[[#This Row],[Valor]]*85%,0))</f>
        <v>0.13600000000000001</v>
      </c>
      <c r="I525" s="3" t="s">
        <v>304</v>
      </c>
      <c r="J525" s="3">
        <v>2011</v>
      </c>
      <c r="K525" s="10">
        <f>SUMPRODUCT(N(Tabela4[Ativo]=Tabela5[[#This Row],[Ativo]]),N(YEAR(Tabela4[Data ex-1])=Tabela5[[#This Row],[Ano]]),Tabela4[Líquido])</f>
        <v>0.94334000000000007</v>
      </c>
      <c r="N525" s="23">
        <f>IF(Tabela5[[#This Row],[Dividendos]]&gt;0,Tabela5[[#This Row],[Dividendos]]/Tabela5[[#This Row],[Lucro Líquido]],0)</f>
        <v>0</v>
      </c>
      <c r="O525" s="28">
        <v>0.32</v>
      </c>
      <c r="P525" s="10"/>
    </row>
    <row r="526" spans="1:16" x14ac:dyDescent="0.2">
      <c r="A526" s="3" t="s">
        <v>253</v>
      </c>
      <c r="B526" s="3" t="s">
        <v>15</v>
      </c>
      <c r="C526" s="80">
        <v>35283</v>
      </c>
      <c r="D526" s="10">
        <v>2.6100000000000002E-2</v>
      </c>
      <c r="E526" s="81"/>
      <c r="F526" s="81">
        <v>35283</v>
      </c>
      <c r="G526" s="10">
        <f>IF(Tabela4[[#This Row],[Tipo]]="Dividendo",Tabela4[[#This Row],[Valor]],IF(Tabela4[[#This Row],[Tipo]]="Jrs. Cap. Próprio",Tabela4[[#This Row],[Valor]]*85%,0))</f>
        <v>2.6100000000000002E-2</v>
      </c>
      <c r="I526" s="3" t="s">
        <v>304</v>
      </c>
      <c r="J526" s="3">
        <v>2010</v>
      </c>
      <c r="K526" s="10">
        <f>SUMPRODUCT(N(Tabela4[Ativo]=Tabela5[[#This Row],[Ativo]]),N(YEAR(Tabela4[Data ex-1])=Tabela5[[#This Row],[Ano]]),Tabela4[Líquido])</f>
        <v>0.86301500000000009</v>
      </c>
      <c r="N526" s="23">
        <f>IF(Tabela5[[#This Row],[Dividendos]]&gt;0,Tabela5[[#This Row],[Dividendos]]/Tabela5[[#This Row],[Lucro Líquido]],0)</f>
        <v>0</v>
      </c>
      <c r="O526" s="28">
        <v>0.32</v>
      </c>
      <c r="P526" s="10"/>
    </row>
    <row r="527" spans="1:16" x14ac:dyDescent="0.2">
      <c r="A527" s="3" t="s">
        <v>253</v>
      </c>
      <c r="B527" s="3" t="s">
        <v>15</v>
      </c>
      <c r="C527" s="80">
        <v>35094</v>
      </c>
      <c r="D527" s="10">
        <v>9.1700000000000004E-2</v>
      </c>
      <c r="E527" s="81"/>
      <c r="F527" s="81">
        <v>35094</v>
      </c>
      <c r="G527" s="10">
        <f>IF(Tabela4[[#This Row],[Tipo]]="Dividendo",Tabela4[[#This Row],[Valor]],IF(Tabela4[[#This Row],[Tipo]]="Jrs. Cap. Próprio",Tabela4[[#This Row],[Valor]]*85%,0))</f>
        <v>9.1700000000000004E-2</v>
      </c>
      <c r="I527" s="3" t="s">
        <v>304</v>
      </c>
      <c r="J527" s="3">
        <v>2009</v>
      </c>
      <c r="K527" s="10">
        <f>SUMPRODUCT(N(Tabela4[Ativo]=Tabela5[[#This Row],[Ativo]]),N(YEAR(Tabela4[Data ex-1])=Tabela5[[#This Row],[Ano]]),Tabela4[Líquido])</f>
        <v>0.64924000000000015</v>
      </c>
      <c r="N527" s="23">
        <f>IF(Tabela5[[#This Row],[Dividendos]]&gt;0,Tabela5[[#This Row],[Dividendos]]/Tabela5[[#This Row],[Lucro Líquido]],0)</f>
        <v>0</v>
      </c>
      <c r="O527" s="28">
        <v>0.31</v>
      </c>
      <c r="P527" s="10"/>
    </row>
    <row r="528" spans="1:16" x14ac:dyDescent="0.2">
      <c r="A528" s="35" t="s">
        <v>78</v>
      </c>
      <c r="B528" s="35" t="s">
        <v>15</v>
      </c>
      <c r="C528" s="36">
        <v>41596</v>
      </c>
      <c r="D528" s="38">
        <v>0.2</v>
      </c>
      <c r="E528" s="37">
        <v>41610</v>
      </c>
      <c r="F528" s="37">
        <v>41592</v>
      </c>
      <c r="G528" s="38">
        <f>IF(Tabela4[[#This Row],[Tipo]]="Dividendo",Tabela4[[#This Row],[Valor]],IF(Tabela4[[#This Row],[Tipo]]="Jrs. Cap. Próprio",Tabela4[[#This Row],[Valor]]*85%,0))</f>
        <v>0.2</v>
      </c>
      <c r="I528" s="3" t="s">
        <v>304</v>
      </c>
      <c r="J528" s="3">
        <v>2008</v>
      </c>
      <c r="K528" s="10">
        <f>SUMPRODUCT(N(Tabela4[Ativo]=Tabela5[[#This Row],[Ativo]]),N(YEAR(Tabela4[Data ex-1])=Tabela5[[#This Row],[Ano]]),Tabela4[Líquido])</f>
        <v>1.3856950000000001</v>
      </c>
      <c r="N528" s="23">
        <f>IF(Tabela5[[#This Row],[Dividendos]]&gt;0,Tabela5[[#This Row],[Dividendos]]/Tabela5[[#This Row],[Lucro Líquido]],0)</f>
        <v>0</v>
      </c>
      <c r="O528" s="28">
        <v>0.8</v>
      </c>
      <c r="P528" s="10"/>
    </row>
    <row r="529" spans="1:16" x14ac:dyDescent="0.2">
      <c r="A529" s="31" t="s">
        <v>78</v>
      </c>
      <c r="B529" s="31" t="s">
        <v>15</v>
      </c>
      <c r="C529" s="32">
        <v>41500</v>
      </c>
      <c r="D529" s="34">
        <v>0.2</v>
      </c>
      <c r="E529" s="33">
        <v>41516</v>
      </c>
      <c r="F529" s="33">
        <v>41500</v>
      </c>
      <c r="G529" s="34">
        <f>IF(Tabela4[[#This Row],[Tipo]]="Dividendo",Tabela4[[#This Row],[Valor]],IF(Tabela4[[#This Row],[Tipo]]="Jrs. Cap. Próprio",Tabela4[[#This Row],[Valor]]*85%,0))</f>
        <v>0.2</v>
      </c>
      <c r="I529" s="3" t="s">
        <v>304</v>
      </c>
      <c r="J529" s="3">
        <v>2007</v>
      </c>
      <c r="K529" s="10">
        <f>SUMPRODUCT(N(Tabela4[Ativo]=Tabela5[[#This Row],[Ativo]]),N(YEAR(Tabela4[Data ex-1])=Tabela5[[#This Row],[Ano]]),Tabela4[Líquido])</f>
        <v>1.7499000000000002</v>
      </c>
      <c r="N529" s="23">
        <f>IF(Tabela5[[#This Row],[Dividendos]]&gt;0,Tabela5[[#This Row],[Dividendos]]/Tabela5[[#This Row],[Lucro Líquido]],0)</f>
        <v>0</v>
      </c>
      <c r="O529" s="28"/>
      <c r="P529" s="10"/>
    </row>
    <row r="530" spans="1:16" x14ac:dyDescent="0.2">
      <c r="A530" s="35" t="s">
        <v>78</v>
      </c>
      <c r="B530" s="31" t="s">
        <v>15</v>
      </c>
      <c r="C530" s="32">
        <v>41409</v>
      </c>
      <c r="D530" s="34">
        <v>0.2</v>
      </c>
      <c r="E530" s="33">
        <v>41428</v>
      </c>
      <c r="F530" s="33">
        <v>41409</v>
      </c>
      <c r="G530" s="34">
        <f>IF(Tabela4[[#This Row],[Tipo]]="Dividendo",Tabela4[[#This Row],[Valor]],IF(Tabela4[[#This Row],[Tipo]]="Jrs. Cap. Próprio",Tabela4[[#This Row],[Valor]]*85%,0))</f>
        <v>0.2</v>
      </c>
      <c r="I530" s="3" t="s">
        <v>304</v>
      </c>
      <c r="J530" s="3">
        <v>2006</v>
      </c>
      <c r="K530" s="10">
        <f>SUMPRODUCT(N(Tabela4[Ativo]=Tabela5[[#This Row],[Ativo]]),N(YEAR(Tabela4[Data ex-1])=Tabela5[[#This Row],[Ano]]),Tabela4[Líquido])</f>
        <v>1.2301999999999997</v>
      </c>
      <c r="N530" s="23">
        <f>IF(Tabela5[[#This Row],[Dividendos]]&gt;0,Tabela5[[#This Row],[Dividendos]]/Tabela5[[#This Row],[Lucro Líquido]],0)</f>
        <v>0</v>
      </c>
      <c r="O530" s="28"/>
      <c r="P530" s="10"/>
    </row>
    <row r="531" spans="1:16" x14ac:dyDescent="0.2">
      <c r="A531" s="31" t="s">
        <v>78</v>
      </c>
      <c r="B531" s="31" t="s">
        <v>15</v>
      </c>
      <c r="C531" s="32">
        <v>41393</v>
      </c>
      <c r="D531" s="34">
        <v>1.125</v>
      </c>
      <c r="E531" s="33">
        <v>41407</v>
      </c>
      <c r="F531" s="33">
        <v>41393</v>
      </c>
      <c r="G531" s="34">
        <f>IF(Tabela4[[#This Row],[Tipo]]="Dividendo",Tabela4[[#This Row],[Valor]],IF(Tabela4[[#This Row],[Tipo]]="Jrs. Cap. Próprio",Tabela4[[#This Row],[Valor]]*85%,0))</f>
        <v>1.125</v>
      </c>
      <c r="I531" s="3" t="s">
        <v>304</v>
      </c>
      <c r="J531" s="3">
        <v>2005</v>
      </c>
      <c r="K531" s="10">
        <f>SUMPRODUCT(N(Tabela4[Ativo]=Tabela5[[#This Row],[Ativo]]),N(YEAR(Tabela4[Data ex-1])=Tabela5[[#This Row],[Ano]]),Tabela4[Líquido])</f>
        <v>6.9827499999999993</v>
      </c>
      <c r="N531" s="23">
        <f>IF(Tabela5[[#This Row],[Dividendos]]&gt;0,Tabela5[[#This Row],[Dividendos]]/Tabela5[[#This Row],[Lucro Líquido]],0)</f>
        <v>0</v>
      </c>
      <c r="O531" s="28"/>
      <c r="P531" s="10"/>
    </row>
    <row r="532" spans="1:16" x14ac:dyDescent="0.2">
      <c r="A532" s="35" t="s">
        <v>78</v>
      </c>
      <c r="B532" s="31" t="s">
        <v>15</v>
      </c>
      <c r="C532" s="32">
        <v>41033</v>
      </c>
      <c r="D532" s="34">
        <v>0.98429999999999995</v>
      </c>
      <c r="E532" s="33">
        <v>41047</v>
      </c>
      <c r="F532" s="33">
        <v>41033</v>
      </c>
      <c r="G532" s="34">
        <f>IF(Tabela4[[#This Row],[Tipo]]="Dividendo",Tabela4[[#This Row],[Valor]],IF(Tabela4[[#This Row],[Tipo]]="Jrs. Cap. Próprio",Tabela4[[#This Row],[Valor]]*85%,0))</f>
        <v>0.98429999999999995</v>
      </c>
      <c r="I532" s="3" t="s">
        <v>304</v>
      </c>
      <c r="J532" s="3">
        <v>2004</v>
      </c>
      <c r="K532" s="10">
        <f>SUMPRODUCT(N(Tabela4[Ativo]=Tabela5[[#This Row],[Ativo]]),N(YEAR(Tabela4[Data ex-1])=Tabela5[[#This Row],[Ano]]),Tabela4[Líquido])</f>
        <v>8.1004999999999985</v>
      </c>
      <c r="N532" s="23">
        <f>IF(Tabela5[[#This Row],[Dividendos]]&gt;0,Tabela5[[#This Row],[Dividendos]]/Tabela5[[#This Row],[Lucro Líquido]],0)</f>
        <v>0</v>
      </c>
      <c r="O532" s="28"/>
      <c r="P532" s="10"/>
    </row>
    <row r="533" spans="1:16" x14ac:dyDescent="0.2">
      <c r="A533" s="31" t="s">
        <v>78</v>
      </c>
      <c r="B533" s="31" t="s">
        <v>15</v>
      </c>
      <c r="C533" s="32">
        <v>40662</v>
      </c>
      <c r="D533" s="34">
        <v>3.49</v>
      </c>
      <c r="E533" s="33">
        <v>40721</v>
      </c>
      <c r="F533" s="33">
        <v>40662</v>
      </c>
      <c r="G533" s="34">
        <f>IF(Tabela4[[#This Row],[Tipo]]="Dividendo",Tabela4[[#This Row],[Valor]],IF(Tabela4[[#This Row],[Tipo]]="Jrs. Cap. Próprio",Tabela4[[#This Row],[Valor]]*85%,0))</f>
        <v>3.49</v>
      </c>
      <c r="I533" s="3" t="s">
        <v>304</v>
      </c>
      <c r="J533" s="3">
        <v>2003</v>
      </c>
      <c r="K533" s="10">
        <f>SUMPRODUCT(N(Tabela4[Ativo]=Tabela5[[#This Row],[Ativo]]),N(YEAR(Tabela4[Data ex-1])=Tabela5[[#This Row],[Ano]]),Tabela4[Líquido])</f>
        <v>9.5030000000000019</v>
      </c>
      <c r="N533" s="23">
        <f>IF(Tabela5[[#This Row],[Dividendos]]&gt;0,Tabela5[[#This Row],[Dividendos]]/Tabela5[[#This Row],[Lucro Líquido]],0)</f>
        <v>0</v>
      </c>
      <c r="O533" s="28"/>
      <c r="P533" s="10"/>
    </row>
    <row r="534" spans="1:16" x14ac:dyDescent="0.2">
      <c r="A534" s="35" t="s">
        <v>72</v>
      </c>
      <c r="B534" s="35" t="s">
        <v>15</v>
      </c>
      <c r="C534" s="36">
        <v>41394</v>
      </c>
      <c r="D534" s="38">
        <v>0.47149999999999997</v>
      </c>
      <c r="E534" s="37">
        <v>41425</v>
      </c>
      <c r="F534" s="37">
        <v>41394</v>
      </c>
      <c r="G534" s="38">
        <f>IF(Tabela4[[#This Row],[Tipo]]="Dividendo",Tabela4[[#This Row],[Valor]],IF(Tabela4[[#This Row],[Tipo]]="Jrs. Cap. Próprio",Tabela4[[#This Row],[Valor]]*85%,0))</f>
        <v>0.47149999999999997</v>
      </c>
      <c r="I534" s="3" t="s">
        <v>304</v>
      </c>
      <c r="J534" s="3">
        <v>2002</v>
      </c>
      <c r="K534" s="10">
        <f>SUMPRODUCT(N(Tabela4[Ativo]=Tabela5[[#This Row],[Ativo]]),N(YEAR(Tabela4[Data ex-1])=Tabela5[[#This Row],[Ano]]),Tabela4[Líquido])</f>
        <v>6.2730000000000006</v>
      </c>
      <c r="N534" s="23">
        <f>IF(Tabela5[[#This Row],[Dividendos]]&gt;0,Tabela5[[#This Row],[Dividendos]]/Tabela5[[#This Row],[Lucro Líquido]],0)</f>
        <v>0</v>
      </c>
      <c r="O534" s="28"/>
      <c r="P534" s="10"/>
    </row>
    <row r="535" spans="1:16" x14ac:dyDescent="0.2">
      <c r="A535" s="35" t="s">
        <v>72</v>
      </c>
      <c r="B535" s="31" t="s">
        <v>15</v>
      </c>
      <c r="C535" s="32">
        <v>41023</v>
      </c>
      <c r="D535" s="34">
        <v>0.1507</v>
      </c>
      <c r="E535" s="33">
        <v>41040</v>
      </c>
      <c r="F535" s="33">
        <v>41023</v>
      </c>
      <c r="G535" s="34">
        <f>IF(Tabela4[[#This Row],[Tipo]]="Dividendo",Tabela4[[#This Row],[Valor]],IF(Tabela4[[#This Row],[Tipo]]="Jrs. Cap. Próprio",Tabela4[[#This Row],[Valor]]*85%,0))</f>
        <v>0.1507</v>
      </c>
      <c r="I535" s="3" t="s">
        <v>304</v>
      </c>
      <c r="J535" s="3">
        <v>2001</v>
      </c>
      <c r="K535" s="10">
        <f>SUMPRODUCT(N(Tabela4[Ativo]=Tabela5[[#This Row],[Ativo]]),N(YEAR(Tabela4[Data ex-1])=Tabela5[[#This Row],[Ano]]),Tabela4[Líquido])</f>
        <v>4.6665000000000001</v>
      </c>
      <c r="N535" s="23">
        <f>IF(Tabela5[[#This Row],[Dividendos]]&gt;0,Tabela5[[#This Row],[Dividendos]]/Tabela5[[#This Row],[Lucro Líquido]],0)</f>
        <v>0</v>
      </c>
      <c r="O535" s="28"/>
      <c r="P535" s="10"/>
    </row>
    <row r="536" spans="1:16" x14ac:dyDescent="0.2">
      <c r="A536" s="35" t="s">
        <v>72</v>
      </c>
      <c r="B536" s="31" t="s">
        <v>15</v>
      </c>
      <c r="C536" s="32">
        <v>40662</v>
      </c>
      <c r="D536" s="34">
        <v>0.16520000000000001</v>
      </c>
      <c r="E536" s="33">
        <v>40673</v>
      </c>
      <c r="F536" s="33">
        <v>40662</v>
      </c>
      <c r="G536" s="34">
        <f>IF(Tabela4[[#This Row],[Tipo]]="Dividendo",Tabela4[[#This Row],[Valor]],IF(Tabela4[[#This Row],[Tipo]]="Jrs. Cap. Próprio",Tabela4[[#This Row],[Valor]]*85%,0))</f>
        <v>0.16520000000000001</v>
      </c>
      <c r="I536" s="3" t="s">
        <v>304</v>
      </c>
      <c r="J536" s="3">
        <v>2000</v>
      </c>
      <c r="K536" s="10">
        <f>SUMPRODUCT(N(Tabela4[Ativo]=Tabela5[[#This Row],[Ativo]]),N(YEAR(Tabela4[Data ex-1])=Tabela5[[#This Row],[Ano]]),Tabela4[Líquido])</f>
        <v>4.0992949999999997</v>
      </c>
      <c r="N536" s="23">
        <f>IF(Tabela5[[#This Row],[Dividendos]]&gt;0,Tabela5[[#This Row],[Dividendos]]/Tabela5[[#This Row],[Lucro Líquido]],0)</f>
        <v>0</v>
      </c>
      <c r="O536" s="28"/>
      <c r="P536" s="10"/>
    </row>
    <row r="537" spans="1:16" x14ac:dyDescent="0.2">
      <c r="A537" s="35" t="s">
        <v>72</v>
      </c>
      <c r="B537" s="31" t="s">
        <v>15</v>
      </c>
      <c r="C537" s="32">
        <v>40301</v>
      </c>
      <c r="D537" s="34">
        <v>0.24399999999999999</v>
      </c>
      <c r="E537" s="33">
        <v>40309</v>
      </c>
      <c r="F537" s="33">
        <v>40298</v>
      </c>
      <c r="G537" s="34">
        <f>IF(Tabela4[[#This Row],[Tipo]]="Dividendo",Tabela4[[#This Row],[Valor]],IF(Tabela4[[#This Row],[Tipo]]="Jrs. Cap. Próprio",Tabela4[[#This Row],[Valor]]*85%,0))</f>
        <v>0.24399999999999999</v>
      </c>
      <c r="I537" s="3" t="s">
        <v>304</v>
      </c>
      <c r="J537" s="3">
        <v>1999</v>
      </c>
      <c r="K537" s="10">
        <f>SUMPRODUCT(N(Tabela4[Ativo]=Tabela5[[#This Row],[Ativo]]),N(YEAR(Tabela4[Data ex-1])=Tabela5[[#This Row],[Ano]]),Tabela4[Líquido])</f>
        <v>14.602999999999998</v>
      </c>
      <c r="N537" s="23">
        <f>IF(Tabela5[[#This Row],[Dividendos]]&gt;0,Tabela5[[#This Row],[Dividendos]]/Tabela5[[#This Row],[Lucro Líquido]],0)</f>
        <v>0</v>
      </c>
      <c r="O537" s="28"/>
      <c r="P537" s="10"/>
    </row>
    <row r="538" spans="1:16" x14ac:dyDescent="0.2">
      <c r="A538" s="35" t="s">
        <v>75</v>
      </c>
      <c r="B538" s="35" t="s">
        <v>15</v>
      </c>
      <c r="C538" s="36">
        <v>41394</v>
      </c>
      <c r="D538" s="38">
        <v>0.51349999999999996</v>
      </c>
      <c r="E538" s="37">
        <v>41404</v>
      </c>
      <c r="F538" s="37">
        <v>41394</v>
      </c>
      <c r="G538" s="38">
        <f>IF(Tabela4[[#This Row],[Tipo]]="Dividendo",Tabela4[[#This Row],[Valor]],IF(Tabela4[[#This Row],[Tipo]]="Jrs. Cap. Próprio",Tabela4[[#This Row],[Valor]]*85%,0))</f>
        <v>0.51349999999999996</v>
      </c>
      <c r="I538" s="4" t="s">
        <v>40</v>
      </c>
      <c r="J538" s="4">
        <v>2013</v>
      </c>
      <c r="K538" s="14">
        <f>SUMPRODUCT(N(Tabela4[Ativo]=Tabela5[[#This Row],[Ativo]]),N(YEAR(Tabela4[Data ex-1])=Tabela5[[#This Row],[Ano]]),Tabela4[Líquido])</f>
        <v>0.18559999999999999</v>
      </c>
      <c r="L538" s="6"/>
      <c r="M538" s="6"/>
      <c r="N538" s="24">
        <f>IF(Tabela5[[#This Row],[Dividendos]]&gt;0,Tabela5[[#This Row],[Dividendos]]/Tabela5[[#This Row],[Lucro Líquido]],0)</f>
        <v>0</v>
      </c>
      <c r="O538" s="23">
        <v>0.78129999999999999</v>
      </c>
      <c r="P538" s="10"/>
    </row>
    <row r="539" spans="1:16" x14ac:dyDescent="0.2">
      <c r="A539" s="35" t="s">
        <v>75</v>
      </c>
      <c r="B539" s="31" t="s">
        <v>15</v>
      </c>
      <c r="C539" s="32">
        <v>41029</v>
      </c>
      <c r="D539" s="34">
        <v>0.19339999999999999</v>
      </c>
      <c r="E539" s="33">
        <v>41040</v>
      </c>
      <c r="F539" s="33">
        <v>41029</v>
      </c>
      <c r="G539" s="34">
        <f>IF(Tabela4[[#This Row],[Tipo]]="Dividendo",Tabela4[[#This Row],[Valor]],IF(Tabela4[[#This Row],[Tipo]]="Jrs. Cap. Próprio",Tabela4[[#This Row],[Valor]]*85%,0))</f>
        <v>0.19339999999999999</v>
      </c>
      <c r="I539" s="4" t="s">
        <v>40</v>
      </c>
      <c r="J539" s="4">
        <v>2012</v>
      </c>
      <c r="K539" s="14">
        <f>SUMPRODUCT(N(Tabela4[Ativo]=Tabela5[[#This Row],[Ativo]]),N(YEAR(Tabela4[Data ex-1])=Tabela5[[#This Row],[Ano]]),Tabela4[Líquido])</f>
        <v>0.1867</v>
      </c>
      <c r="L539" s="6"/>
      <c r="M539" s="6"/>
      <c r="N539" s="24">
        <f>IF(Tabela5[[#This Row],[Dividendos]]&gt;0,Tabela5[[#This Row],[Dividendos]]/Tabela5[[#This Row],[Lucro Líquido]],0)</f>
        <v>0</v>
      </c>
      <c r="O539" s="23">
        <v>0.4</v>
      </c>
      <c r="P539" s="10"/>
    </row>
    <row r="540" spans="1:16" x14ac:dyDescent="0.2">
      <c r="A540" s="35" t="s">
        <v>75</v>
      </c>
      <c r="B540" s="31" t="s">
        <v>15</v>
      </c>
      <c r="C540" s="32">
        <v>40658</v>
      </c>
      <c r="D540" s="34">
        <v>0.10829999999999999</v>
      </c>
      <c r="E540" s="33">
        <v>40669</v>
      </c>
      <c r="F540" s="33">
        <v>40658</v>
      </c>
      <c r="G540" s="34">
        <f>IF(Tabela4[[#This Row],[Tipo]]="Dividendo",Tabela4[[#This Row],[Valor]],IF(Tabela4[[#This Row],[Tipo]]="Jrs. Cap. Próprio",Tabela4[[#This Row],[Valor]]*85%,0))</f>
        <v>0.10829999999999999</v>
      </c>
      <c r="I540" s="4" t="s">
        <v>40</v>
      </c>
      <c r="J540" s="4">
        <v>2011</v>
      </c>
      <c r="K540" s="10">
        <f>SUMPRODUCT(N(Tabela4[Ativo]=Tabela5[[#This Row],[Ativo]]),N(YEAR(Tabela4[Data ex-1])=Tabela5[[#This Row],[Ano]]),Tabela4[Líquido])</f>
        <v>0.2346</v>
      </c>
      <c r="N540" s="23">
        <f>IF(Tabela5[[#This Row],[Dividendos]]&gt;0,Tabela5[[#This Row],[Dividendos]]/Tabela5[[#This Row],[Lucro Líquido]],0)</f>
        <v>0</v>
      </c>
      <c r="O540" s="23">
        <v>0.45</v>
      </c>
      <c r="P540" s="10"/>
    </row>
    <row r="541" spans="1:16" x14ac:dyDescent="0.2">
      <c r="A541" s="35" t="s">
        <v>75</v>
      </c>
      <c r="B541" s="31" t="s">
        <v>15</v>
      </c>
      <c r="C541" s="32">
        <v>40291</v>
      </c>
      <c r="D541" s="34">
        <v>2.5700000000000001E-2</v>
      </c>
      <c r="E541" s="33">
        <v>40304</v>
      </c>
      <c r="F541" s="33">
        <v>40291</v>
      </c>
      <c r="G541" s="34">
        <f>IF(Tabela4[[#This Row],[Tipo]]="Dividendo",Tabela4[[#This Row],[Valor]],IF(Tabela4[[#This Row],[Tipo]]="Jrs. Cap. Próprio",Tabela4[[#This Row],[Valor]]*85%,0))</f>
        <v>2.5700000000000001E-2</v>
      </c>
      <c r="I541" s="4" t="s">
        <v>40</v>
      </c>
      <c r="J541" s="4">
        <v>2010</v>
      </c>
      <c r="K541" s="10">
        <f>SUMPRODUCT(N(Tabela4[Ativo]=Tabela5[[#This Row],[Ativo]]),N(YEAR(Tabela4[Data ex-1])=Tabela5[[#This Row],[Ano]]),Tabela4[Líquido])</f>
        <v>0.16611000000000001</v>
      </c>
      <c r="N541" s="23">
        <f>IF(Tabela5[[#This Row],[Dividendos]]&gt;0,Tabela5[[#This Row],[Dividendos]]/Tabela5[[#This Row],[Lucro Líquido]],0)</f>
        <v>0</v>
      </c>
      <c r="O541" s="23">
        <v>0.36</v>
      </c>
      <c r="P541" s="10"/>
    </row>
    <row r="542" spans="1:16" x14ac:dyDescent="0.2">
      <c r="A542" s="35" t="s">
        <v>71</v>
      </c>
      <c r="B542" s="35" t="s">
        <v>14</v>
      </c>
      <c r="C542" s="36">
        <v>41600</v>
      </c>
      <c r="D542" s="38">
        <v>0.157</v>
      </c>
      <c r="E542" s="37">
        <v>41626</v>
      </c>
      <c r="F542" s="37">
        <v>41600</v>
      </c>
      <c r="G542" s="38">
        <f>IF(Tabela4[[#This Row],[Tipo]]="Dividendo",Tabela4[[#This Row],[Valor]],IF(Tabela4[[#This Row],[Tipo]]="Jrs. Cap. Próprio",Tabela4[[#This Row],[Valor]]*85%,0))</f>
        <v>0.13344999999999999</v>
      </c>
      <c r="I542" s="4" t="s">
        <v>40</v>
      </c>
      <c r="J542" s="4">
        <v>2009</v>
      </c>
      <c r="K542" s="10">
        <f>SUMPRODUCT(N(Tabela4[Ativo]=Tabela5[[#This Row],[Ativo]]),N(YEAR(Tabela4[Data ex-1])=Tabela5[[#This Row],[Ano]]),Tabela4[Líquido])</f>
        <v>0.210065</v>
      </c>
      <c r="N542" s="23">
        <f>IF(Tabela5[[#This Row],[Dividendos]]&gt;0,Tabela5[[#This Row],[Dividendos]]/Tabela5[[#This Row],[Lucro Líquido]],0)</f>
        <v>0</v>
      </c>
      <c r="O542" s="23">
        <v>0.61</v>
      </c>
      <c r="P542" s="10"/>
    </row>
    <row r="543" spans="1:16" x14ac:dyDescent="0.2">
      <c r="A543" s="35" t="s">
        <v>71</v>
      </c>
      <c r="B543" s="31" t="s">
        <v>14</v>
      </c>
      <c r="C543" s="32">
        <v>41520</v>
      </c>
      <c r="D543" s="34">
        <v>0.15090000000000001</v>
      </c>
      <c r="E543" s="33">
        <v>41543</v>
      </c>
      <c r="F543" s="33">
        <v>39574</v>
      </c>
      <c r="G543" s="34">
        <f>IF(Tabela4[[#This Row],[Tipo]]="Dividendo",Tabela4[[#This Row],[Valor]],IF(Tabela4[[#This Row],[Tipo]]="Jrs. Cap. Próprio",Tabela4[[#This Row],[Valor]]*85%,0))</f>
        <v>0.12826499999999999</v>
      </c>
      <c r="I543" s="4" t="s">
        <v>40</v>
      </c>
      <c r="J543" s="4">
        <v>2008</v>
      </c>
      <c r="K543" s="10">
        <f>SUMPRODUCT(N(Tabela4[Ativo]=Tabela5[[#This Row],[Ativo]]),N(YEAR(Tabela4[Data ex-1])=Tabela5[[#This Row],[Ano]]),Tabela4[Líquido])</f>
        <v>3.5200000000000002E-2</v>
      </c>
      <c r="N543" s="23">
        <f>IF(Tabela5[[#This Row],[Dividendos]]&gt;0,Tabela5[[#This Row],[Dividendos]]/Tabela5[[#This Row],[Lucro Líquido]],0)</f>
        <v>0</v>
      </c>
      <c r="O543" s="23">
        <v>0.08</v>
      </c>
      <c r="P543" s="10"/>
    </row>
    <row r="544" spans="1:16" x14ac:dyDescent="0.2">
      <c r="A544" s="35" t="s">
        <v>71</v>
      </c>
      <c r="B544" s="31" t="s">
        <v>14</v>
      </c>
      <c r="C544" s="32">
        <v>41429</v>
      </c>
      <c r="D544" s="34">
        <v>0.14849999999999999</v>
      </c>
      <c r="E544" s="33">
        <v>41452</v>
      </c>
      <c r="F544" s="33">
        <v>39574</v>
      </c>
      <c r="G544" s="34">
        <f>IF(Tabela4[[#This Row],[Tipo]]="Dividendo",Tabela4[[#This Row],[Valor]],IF(Tabela4[[#This Row],[Tipo]]="Jrs. Cap. Próprio",Tabela4[[#This Row],[Valor]]*85%,0))</f>
        <v>0.126225</v>
      </c>
      <c r="I544" s="4" t="s">
        <v>173</v>
      </c>
      <c r="J544" s="4">
        <v>2013</v>
      </c>
      <c r="K544" s="14">
        <f>SUMPRODUCT(N(Tabela4[Ativo]=Tabela5[[#This Row],[Ativo]]),N(YEAR(Tabela4[Data ex-1])=Tabela5[[#This Row],[Ano]]),Tabela4[Líquido])</f>
        <v>0.35058</v>
      </c>
      <c r="L544" s="6"/>
      <c r="M544" s="6"/>
      <c r="N544" s="24">
        <f>IF(Tabela5[[#This Row],[Dividendos]]&gt;0,Tabela5[[#This Row],[Dividendos]]/Tabela5[[#This Row],[Lucro Líquido]],0)</f>
        <v>0</v>
      </c>
      <c r="O544" s="23"/>
      <c r="P544" s="10"/>
    </row>
    <row r="545" spans="1:16" x14ac:dyDescent="0.2">
      <c r="A545" s="35" t="s">
        <v>71</v>
      </c>
      <c r="B545" s="31" t="s">
        <v>15</v>
      </c>
      <c r="C545" s="32">
        <v>41394</v>
      </c>
      <c r="D545" s="34">
        <v>8.0799999999999997E-2</v>
      </c>
      <c r="E545" s="33">
        <v>41422</v>
      </c>
      <c r="F545" s="33">
        <v>41394</v>
      </c>
      <c r="G545" s="34">
        <f>IF(Tabela4[[#This Row],[Tipo]]="Dividendo",Tabela4[[#This Row],[Valor]],IF(Tabela4[[#This Row],[Tipo]]="Jrs. Cap. Próprio",Tabela4[[#This Row],[Valor]]*85%,0))</f>
        <v>8.0799999999999997E-2</v>
      </c>
      <c r="I545" s="4" t="s">
        <v>173</v>
      </c>
      <c r="J545" s="4">
        <v>2012</v>
      </c>
      <c r="K545" s="14">
        <f>SUMPRODUCT(N(Tabela4[Ativo]=Tabela5[[#This Row],[Ativo]]),N(YEAR(Tabela4[Data ex-1])=Tabela5[[#This Row],[Ano]]),Tabela4[Líquido])</f>
        <v>0.32031000000000004</v>
      </c>
      <c r="L545" s="6"/>
      <c r="M545" s="6"/>
      <c r="N545" s="24">
        <f>IF(Tabela5[[#This Row],[Dividendos]]&gt;0,Tabela5[[#This Row],[Dividendos]]/Tabela5[[#This Row],[Lucro Líquido]],0)</f>
        <v>0</v>
      </c>
      <c r="O545" s="23"/>
      <c r="P545" s="10"/>
    </row>
    <row r="546" spans="1:16" x14ac:dyDescent="0.2">
      <c r="A546" s="35" t="s">
        <v>71</v>
      </c>
      <c r="B546" s="31" t="s">
        <v>14</v>
      </c>
      <c r="C546" s="32">
        <v>41337</v>
      </c>
      <c r="D546" s="34">
        <v>0.14729999999999999</v>
      </c>
      <c r="E546" s="33">
        <v>41360</v>
      </c>
      <c r="F546" s="33">
        <v>39574</v>
      </c>
      <c r="G546" s="34">
        <f>IF(Tabela4[[#This Row],[Tipo]]="Dividendo",Tabela4[[#This Row],[Valor]],IF(Tabela4[[#This Row],[Tipo]]="Jrs. Cap. Próprio",Tabela4[[#This Row],[Valor]]*85%,0))</f>
        <v>0.12520499999999998</v>
      </c>
      <c r="I546" s="4" t="s">
        <v>173</v>
      </c>
      <c r="J546" s="4">
        <v>2011</v>
      </c>
      <c r="K546" s="10">
        <f>SUMPRODUCT(N(Tabela4[Ativo]=Tabela5[[#This Row],[Ativo]]),N(YEAR(Tabela4[Data ex-1])=Tabela5[[#This Row],[Ano]]),Tabela4[Líquido])</f>
        <v>0.24044000000000001</v>
      </c>
      <c r="N546" s="23">
        <f>IF(Tabela5[[#This Row],[Dividendos]]&gt;0,Tabela5[[#This Row],[Dividendos]]/Tabela5[[#This Row],[Lucro Líquido]],0)</f>
        <v>0</v>
      </c>
      <c r="O546" s="23"/>
      <c r="P546" s="10"/>
    </row>
    <row r="547" spans="1:16" x14ac:dyDescent="0.2">
      <c r="A547" s="35" t="s">
        <v>71</v>
      </c>
      <c r="B547" s="31" t="s">
        <v>15</v>
      </c>
      <c r="C547" s="32">
        <v>41261</v>
      </c>
      <c r="D547" s="34">
        <v>9.7699999999999995E-2</v>
      </c>
      <c r="E547" s="33">
        <v>41271</v>
      </c>
      <c r="F547" s="33">
        <v>41254</v>
      </c>
      <c r="G547" s="34">
        <f>IF(Tabela4[[#This Row],[Tipo]]="Dividendo",Tabela4[[#This Row],[Valor]],IF(Tabela4[[#This Row],[Tipo]]="Jrs. Cap. Próprio",Tabela4[[#This Row],[Valor]]*85%,0))</f>
        <v>9.7699999999999995E-2</v>
      </c>
      <c r="I547" s="4" t="s">
        <v>173</v>
      </c>
      <c r="J547" s="4">
        <v>2010</v>
      </c>
      <c r="K547" s="10">
        <f>SUMPRODUCT(N(Tabela4[Ativo]=Tabela5[[#This Row],[Ativo]]),N(YEAR(Tabela4[Data ex-1])=Tabela5[[#This Row],[Ano]]),Tabela4[Líquido])</f>
        <v>0.20299</v>
      </c>
      <c r="N547" s="23">
        <f>IF(Tabela5[[#This Row],[Dividendos]]&gt;0,Tabela5[[#This Row],[Dividendos]]/Tabela5[[#This Row],[Lucro Líquido]],0)</f>
        <v>0</v>
      </c>
      <c r="O547" s="23"/>
      <c r="P547" s="10"/>
    </row>
    <row r="548" spans="1:16" x14ac:dyDescent="0.2">
      <c r="A548" s="35" t="s">
        <v>71</v>
      </c>
      <c r="B548" s="31" t="s">
        <v>14</v>
      </c>
      <c r="C548" s="32">
        <v>41239</v>
      </c>
      <c r="D548" s="34">
        <v>0.15179999999999999</v>
      </c>
      <c r="E548" s="33">
        <v>41257</v>
      </c>
      <c r="F548" s="33">
        <v>39574</v>
      </c>
      <c r="G548" s="34">
        <f>IF(Tabela4[[#This Row],[Tipo]]="Dividendo",Tabela4[[#This Row],[Valor]],IF(Tabela4[[#This Row],[Tipo]]="Jrs. Cap. Próprio",Tabela4[[#This Row],[Valor]]*85%,0))</f>
        <v>0.12902999999999998</v>
      </c>
      <c r="I548" s="4" t="s">
        <v>173</v>
      </c>
      <c r="J548" s="4">
        <v>2009</v>
      </c>
      <c r="K548" s="10">
        <f>SUMPRODUCT(N(Tabela4[Ativo]=Tabela5[[#This Row],[Ativo]]),N(YEAR(Tabela4[Data ex-1])=Tabela5[[#This Row],[Ano]]),Tabela4[Líquido])</f>
        <v>9.1299999999999992E-2</v>
      </c>
      <c r="N548" s="23">
        <f>IF(Tabela5[[#This Row],[Dividendos]]&gt;0,Tabela5[[#This Row],[Dividendos]]/Tabela5[[#This Row],[Lucro Líquido]],0)</f>
        <v>0</v>
      </c>
      <c r="O548" s="23"/>
      <c r="P548" s="10"/>
    </row>
    <row r="549" spans="1:16" x14ac:dyDescent="0.2">
      <c r="A549" s="35" t="s">
        <v>71</v>
      </c>
      <c r="B549" s="31" t="s">
        <v>14</v>
      </c>
      <c r="C549" s="32">
        <v>41155</v>
      </c>
      <c r="D549" s="34">
        <v>0.1487</v>
      </c>
      <c r="E549" s="33">
        <v>41179</v>
      </c>
      <c r="F549" s="33">
        <v>39574</v>
      </c>
      <c r="G549" s="34">
        <f>IF(Tabela4[[#This Row],[Tipo]]="Dividendo",Tabela4[[#This Row],[Valor]],IF(Tabela4[[#This Row],[Tipo]]="Jrs. Cap. Próprio",Tabela4[[#This Row],[Valor]]*85%,0))</f>
        <v>0.12639500000000001</v>
      </c>
      <c r="I549" s="4" t="s">
        <v>173</v>
      </c>
      <c r="J549" s="4">
        <v>2008</v>
      </c>
      <c r="K549" s="10">
        <f>SUMPRODUCT(N(Tabela4[Ativo]=Tabela5[[#This Row],[Ativo]]),N(YEAR(Tabela4[Data ex-1])=Tabela5[[#This Row],[Ano]]),Tabela4[Líquido])</f>
        <v>0.2712</v>
      </c>
      <c r="N549" s="23">
        <f>IF(Tabela5[[#This Row],[Dividendos]]&gt;0,Tabela5[[#This Row],[Dividendos]]/Tabela5[[#This Row],[Lucro Líquido]],0)</f>
        <v>0</v>
      </c>
      <c r="O549" s="23"/>
      <c r="P549" s="10"/>
    </row>
    <row r="550" spans="1:16" x14ac:dyDescent="0.2">
      <c r="A550" s="35" t="s">
        <v>71</v>
      </c>
      <c r="B550" s="31" t="s">
        <v>14</v>
      </c>
      <c r="C550" s="32">
        <v>41064</v>
      </c>
      <c r="D550" s="34">
        <v>0.1605</v>
      </c>
      <c r="E550" s="33">
        <v>41089</v>
      </c>
      <c r="F550" s="33">
        <v>41064</v>
      </c>
      <c r="G550" s="34">
        <f>IF(Tabela4[[#This Row],[Tipo]]="Dividendo",Tabela4[[#This Row],[Valor]],IF(Tabela4[[#This Row],[Tipo]]="Jrs. Cap. Próprio",Tabela4[[#This Row],[Valor]]*85%,0))</f>
        <v>0.13642499999999999</v>
      </c>
      <c r="I550" s="4" t="s">
        <v>173</v>
      </c>
      <c r="J550" s="4">
        <v>2007</v>
      </c>
      <c r="K550" s="10">
        <f>SUMPRODUCT(N(Tabela4[Ativo]=Tabela5[[#This Row],[Ativo]]),N(YEAR(Tabela4[Data ex-1])=Tabela5[[#This Row],[Ano]]),Tabela4[Líquido])</f>
        <v>0.32357000000000002</v>
      </c>
      <c r="N550" s="23">
        <f>IF(Tabela5[[#This Row],[Dividendos]]&gt;0,Tabela5[[#This Row],[Dividendos]]/Tabela5[[#This Row],[Lucro Líquido]],0)</f>
        <v>0</v>
      </c>
      <c r="O550" s="23"/>
      <c r="P550" s="10"/>
    </row>
    <row r="551" spans="1:16" x14ac:dyDescent="0.2">
      <c r="A551" s="35" t="s">
        <v>71</v>
      </c>
      <c r="B551" s="31" t="s">
        <v>15</v>
      </c>
      <c r="C551" s="32">
        <v>41029</v>
      </c>
      <c r="D551" s="34">
        <v>0.16289999999999999</v>
      </c>
      <c r="E551" s="33">
        <v>41054</v>
      </c>
      <c r="F551" s="33">
        <v>41029</v>
      </c>
      <c r="G551" s="34">
        <f>IF(Tabela4[[#This Row],[Tipo]]="Dividendo",Tabela4[[#This Row],[Valor]],IF(Tabela4[[#This Row],[Tipo]]="Jrs. Cap. Próprio",Tabela4[[#This Row],[Valor]]*85%,0))</f>
        <v>0.16289999999999999</v>
      </c>
      <c r="I551" s="4" t="s">
        <v>173</v>
      </c>
      <c r="J551" s="4">
        <v>2006</v>
      </c>
      <c r="K551" s="10">
        <f>SUMPRODUCT(N(Tabela4[Ativo]=Tabela5[[#This Row],[Ativo]]),N(YEAR(Tabela4[Data ex-1])=Tabela5[[#This Row],[Ano]]),Tabela4[Líquido])</f>
        <v>0.21648000000000001</v>
      </c>
      <c r="N551" s="23">
        <f>IF(Tabela5[[#This Row],[Dividendos]]&gt;0,Tabela5[[#This Row],[Dividendos]]/Tabela5[[#This Row],[Lucro Líquido]],0)</f>
        <v>0</v>
      </c>
      <c r="O551" s="23"/>
      <c r="P551" s="10"/>
    </row>
    <row r="552" spans="1:16" x14ac:dyDescent="0.2">
      <c r="A552" s="35" t="s">
        <v>71</v>
      </c>
      <c r="B552" s="31" t="s">
        <v>14</v>
      </c>
      <c r="C552" s="32">
        <v>40970</v>
      </c>
      <c r="D552" s="34">
        <v>0.15840000000000001</v>
      </c>
      <c r="E552" s="33">
        <v>40996</v>
      </c>
      <c r="F552" s="33">
        <v>40970</v>
      </c>
      <c r="G552" s="34">
        <f>IF(Tabela4[[#This Row],[Tipo]]="Dividendo",Tabela4[[#This Row],[Valor]],IF(Tabela4[[#This Row],[Tipo]]="Jrs. Cap. Próprio",Tabela4[[#This Row],[Valor]]*85%,0))</f>
        <v>0.13464000000000001</v>
      </c>
      <c r="I552" s="4" t="s">
        <v>173</v>
      </c>
      <c r="J552" s="4">
        <v>2005</v>
      </c>
      <c r="K552" s="10">
        <f>SUMPRODUCT(N(Tabela4[Ativo]=Tabela5[[#This Row],[Ativo]]),N(YEAR(Tabela4[Data ex-1])=Tabela5[[#This Row],[Ano]]),Tabela4[Líquido])</f>
        <v>0.21433000000000002</v>
      </c>
      <c r="N552" s="23">
        <f>IF(Tabela5[[#This Row],[Dividendos]]&gt;0,Tabela5[[#This Row],[Dividendos]]/Tabela5[[#This Row],[Lucro Líquido]],0)</f>
        <v>0</v>
      </c>
      <c r="O552" s="23"/>
      <c r="P552" s="10"/>
    </row>
    <row r="553" spans="1:16" x14ac:dyDescent="0.2">
      <c r="A553" s="35" t="s">
        <v>71</v>
      </c>
      <c r="B553" s="31" t="s">
        <v>15</v>
      </c>
      <c r="C553" s="32">
        <v>40891</v>
      </c>
      <c r="D553" s="34">
        <v>0.14660000000000001</v>
      </c>
      <c r="E553" s="33">
        <v>40903</v>
      </c>
      <c r="F553" s="33">
        <v>40891</v>
      </c>
      <c r="G553" s="34">
        <f>IF(Tabela4[[#This Row],[Tipo]]="Dividendo",Tabela4[[#This Row],[Valor]],IF(Tabela4[[#This Row],[Tipo]]="Jrs. Cap. Próprio",Tabela4[[#This Row],[Valor]]*85%,0))</f>
        <v>0.14660000000000001</v>
      </c>
      <c r="I553" s="4" t="s">
        <v>173</v>
      </c>
      <c r="J553" s="4">
        <v>2004</v>
      </c>
      <c r="K553" s="10">
        <f>SUMPRODUCT(N(Tabela4[Ativo]=Tabela5[[#This Row],[Ativo]]),N(YEAR(Tabela4[Data ex-1])=Tabela5[[#This Row],[Ano]]),Tabela4[Líquido])</f>
        <v>0.30964999999999998</v>
      </c>
      <c r="N553" s="23">
        <f>IF(Tabela5[[#This Row],[Dividendos]]&gt;0,Tabela5[[#This Row],[Dividendos]]/Tabela5[[#This Row],[Lucro Líquido]],0)</f>
        <v>0</v>
      </c>
      <c r="O553" s="23"/>
      <c r="P553" s="10"/>
    </row>
    <row r="554" spans="1:16" x14ac:dyDescent="0.2">
      <c r="A554" s="35" t="s">
        <v>71</v>
      </c>
      <c r="B554" s="31" t="s">
        <v>14</v>
      </c>
      <c r="C554" s="32">
        <v>40869</v>
      </c>
      <c r="D554" s="34">
        <v>0.14430000000000001</v>
      </c>
      <c r="E554" s="33">
        <v>40893</v>
      </c>
      <c r="F554" s="33">
        <v>40869</v>
      </c>
      <c r="G554" s="34">
        <f>IF(Tabela4[[#This Row],[Tipo]]="Dividendo",Tabela4[[#This Row],[Valor]],IF(Tabela4[[#This Row],[Tipo]]="Jrs. Cap. Próprio",Tabela4[[#This Row],[Valor]]*85%,0))</f>
        <v>0.122655</v>
      </c>
      <c r="I554" s="4" t="s">
        <v>173</v>
      </c>
      <c r="J554" s="4">
        <v>2003</v>
      </c>
      <c r="K554" s="10">
        <f>SUMPRODUCT(N(Tabela4[Ativo]=Tabela5[[#This Row],[Ativo]]),N(YEAR(Tabela4[Data ex-1])=Tabela5[[#This Row],[Ano]]),Tabela4[Líquido])</f>
        <v>7.4249999999999997E-2</v>
      </c>
      <c r="N554" s="23">
        <f>IF(Tabela5[[#This Row],[Dividendos]]&gt;0,Tabela5[[#This Row],[Dividendos]]/Tabela5[[#This Row],[Lucro Líquido]],0)</f>
        <v>0</v>
      </c>
      <c r="O554" s="23"/>
      <c r="P554" s="10"/>
    </row>
    <row r="555" spans="1:16" x14ac:dyDescent="0.2">
      <c r="A555" s="35" t="s">
        <v>71</v>
      </c>
      <c r="B555" s="31" t="s">
        <v>14</v>
      </c>
      <c r="C555" s="32">
        <v>40787</v>
      </c>
      <c r="D555" s="34">
        <v>0.14249999999999999</v>
      </c>
      <c r="E555" s="33">
        <v>40814</v>
      </c>
      <c r="F555" s="33">
        <v>40787</v>
      </c>
      <c r="G555" s="34">
        <f>IF(Tabela4[[#This Row],[Tipo]]="Dividendo",Tabela4[[#This Row],[Valor]],IF(Tabela4[[#This Row],[Tipo]]="Jrs. Cap. Próprio",Tabela4[[#This Row],[Valor]]*85%,0))</f>
        <v>0.12112499999999998</v>
      </c>
      <c r="I555" s="4" t="s">
        <v>175</v>
      </c>
      <c r="J555" s="4">
        <v>2013</v>
      </c>
      <c r="K555" s="14">
        <f>SUMPRODUCT(N(Tabela4[Ativo]=Tabela5[[#This Row],[Ativo]]),N(YEAR(Tabela4[Data ex-1])=Tabela5[[#This Row],[Ano]]),Tabela4[Líquido])</f>
        <v>0</v>
      </c>
      <c r="L555" s="6"/>
      <c r="M555" s="6"/>
      <c r="N555" s="24">
        <f>IF(Tabela5[[#This Row],[Dividendos]]&gt;0,Tabela5[[#This Row],[Dividendos]]/Tabela5[[#This Row],[Lucro Líquido]],0)</f>
        <v>0</v>
      </c>
      <c r="O555" s="23">
        <v>0.1484</v>
      </c>
      <c r="P555" s="10"/>
    </row>
    <row r="556" spans="1:16" x14ac:dyDescent="0.2">
      <c r="A556" s="35" t="s">
        <v>71</v>
      </c>
      <c r="B556" s="31" t="s">
        <v>14</v>
      </c>
      <c r="C556" s="32">
        <v>40683</v>
      </c>
      <c r="D556" s="34">
        <v>0.14069999999999999</v>
      </c>
      <c r="E556" s="33">
        <v>40715</v>
      </c>
      <c r="F556" s="33">
        <v>39574</v>
      </c>
      <c r="G556" s="34">
        <f>IF(Tabela4[[#This Row],[Tipo]]="Dividendo",Tabela4[[#This Row],[Valor]],IF(Tabela4[[#This Row],[Tipo]]="Jrs. Cap. Próprio",Tabela4[[#This Row],[Valor]]*85%,0))</f>
        <v>0.11959499999999999</v>
      </c>
      <c r="I556" s="4" t="s">
        <v>175</v>
      </c>
      <c r="J556" s="4">
        <v>2012</v>
      </c>
      <c r="K556" s="14">
        <f>SUMPRODUCT(N(Tabela4[Ativo]=Tabela5[[#This Row],[Ativo]]),N(YEAR(Tabela4[Data ex-1])=Tabela5[[#This Row],[Ano]]),Tabela4[Líquido])</f>
        <v>0</v>
      </c>
      <c r="L556" s="6"/>
      <c r="M556" s="6"/>
      <c r="N556" s="24">
        <f>IF(Tabela5[[#This Row],[Dividendos]]&gt;0,Tabela5[[#This Row],[Dividendos]]/Tabela5[[#This Row],[Lucro Líquido]],0)</f>
        <v>0</v>
      </c>
      <c r="O556" s="23">
        <v>1.03</v>
      </c>
      <c r="P556" s="10"/>
    </row>
    <row r="557" spans="1:16" x14ac:dyDescent="0.2">
      <c r="A557" s="35" t="s">
        <v>71</v>
      </c>
      <c r="B557" s="31" t="s">
        <v>15</v>
      </c>
      <c r="C557" s="32">
        <v>40662</v>
      </c>
      <c r="D557" s="34">
        <v>5.7000000000000002E-2</v>
      </c>
      <c r="E557" s="33">
        <v>40694</v>
      </c>
      <c r="F557" s="33">
        <v>40662</v>
      </c>
      <c r="G557" s="34">
        <f>IF(Tabela4[[#This Row],[Tipo]]="Dividendo",Tabela4[[#This Row],[Valor]],IF(Tabela4[[#This Row],[Tipo]]="Jrs. Cap. Próprio",Tabela4[[#This Row],[Valor]]*85%,0))</f>
        <v>5.7000000000000002E-2</v>
      </c>
      <c r="I557" s="4" t="s">
        <v>175</v>
      </c>
      <c r="J557" s="4">
        <v>2011</v>
      </c>
      <c r="K557" s="10">
        <f>SUMPRODUCT(N(Tabela4[Ativo]=Tabela5[[#This Row],[Ativo]]),N(YEAR(Tabela4[Data ex-1])=Tabela5[[#This Row],[Ano]]),Tabela4[Líquido])</f>
        <v>0</v>
      </c>
      <c r="N557" s="23">
        <f>IF(Tabela5[[#This Row],[Dividendos]]&gt;0,Tabela5[[#This Row],[Dividendos]]/Tabela5[[#This Row],[Lucro Líquido]],0)</f>
        <v>0</v>
      </c>
      <c r="O557" s="23"/>
      <c r="P557" s="10"/>
    </row>
    <row r="558" spans="1:16" x14ac:dyDescent="0.2">
      <c r="A558" s="35" t="s">
        <v>71</v>
      </c>
      <c r="B558" s="31" t="s">
        <v>14</v>
      </c>
      <c r="C558" s="32">
        <v>40606</v>
      </c>
      <c r="D558" s="34">
        <v>0.13880000000000001</v>
      </c>
      <c r="E558" s="33">
        <v>40633</v>
      </c>
      <c r="F558" s="33">
        <v>39574</v>
      </c>
      <c r="G558" s="34">
        <f>IF(Tabela4[[#This Row],[Tipo]]="Dividendo",Tabela4[[#This Row],[Valor]],IF(Tabela4[[#This Row],[Tipo]]="Jrs. Cap. Próprio",Tabela4[[#This Row],[Valor]]*85%,0))</f>
        <v>0.11798</v>
      </c>
      <c r="I558" s="4" t="s">
        <v>175</v>
      </c>
      <c r="J558" s="4">
        <v>2010</v>
      </c>
      <c r="K558" s="10">
        <f>SUMPRODUCT(N(Tabela4[Ativo]=Tabela5[[#This Row],[Ativo]]),N(YEAR(Tabela4[Data ex-1])=Tabela5[[#This Row],[Ano]]),Tabela4[Líquido])</f>
        <v>0</v>
      </c>
      <c r="N558" s="23">
        <f>IF(Tabela5[[#This Row],[Dividendos]]&gt;0,Tabela5[[#This Row],[Dividendos]]/Tabela5[[#This Row],[Lucro Líquido]],0)</f>
        <v>0</v>
      </c>
      <c r="O558" s="23"/>
      <c r="P558" s="10"/>
    </row>
    <row r="559" spans="1:16" x14ac:dyDescent="0.2">
      <c r="A559" s="35" t="s">
        <v>71</v>
      </c>
      <c r="B559" s="31" t="s">
        <v>15</v>
      </c>
      <c r="C559" s="32">
        <v>40527</v>
      </c>
      <c r="D559" s="34">
        <v>0.1588</v>
      </c>
      <c r="E559" s="33">
        <v>40541</v>
      </c>
      <c r="F559" s="33">
        <v>40522</v>
      </c>
      <c r="G559" s="34">
        <f>IF(Tabela4[[#This Row],[Tipo]]="Dividendo",Tabela4[[#This Row],[Valor]],IF(Tabela4[[#This Row],[Tipo]]="Jrs. Cap. Próprio",Tabela4[[#This Row],[Valor]]*85%,0))</f>
        <v>0.1588</v>
      </c>
      <c r="I559" s="4" t="s">
        <v>175</v>
      </c>
      <c r="J559" s="4">
        <v>2009</v>
      </c>
      <c r="K559" s="10">
        <f>SUMPRODUCT(N(Tabela4[Ativo]=Tabela5[[#This Row],[Ativo]]),N(YEAR(Tabela4[Data ex-1])=Tabela5[[#This Row],[Ano]]),Tabela4[Líquido])</f>
        <v>0</v>
      </c>
      <c r="N559" s="23">
        <f>IF(Tabela5[[#This Row],[Dividendos]]&gt;0,Tabela5[[#This Row],[Dividendos]]/Tabela5[[#This Row],[Lucro Líquido]],0)</f>
        <v>0</v>
      </c>
      <c r="O559" s="23"/>
      <c r="P559" s="10"/>
    </row>
    <row r="560" spans="1:16" x14ac:dyDescent="0.2">
      <c r="A560" s="35" t="s">
        <v>71</v>
      </c>
      <c r="B560" s="31" t="s">
        <v>14</v>
      </c>
      <c r="C560" s="32">
        <v>40513</v>
      </c>
      <c r="D560" s="34">
        <v>0.12770000000000001</v>
      </c>
      <c r="E560" s="33">
        <v>40533</v>
      </c>
      <c r="F560" s="33">
        <v>40513</v>
      </c>
      <c r="G560" s="34">
        <f>IF(Tabela4[[#This Row],[Tipo]]="Dividendo",Tabela4[[#This Row],[Valor]],IF(Tabela4[[#This Row],[Tipo]]="Jrs. Cap. Próprio",Tabela4[[#This Row],[Valor]]*85%,0))</f>
        <v>0.108545</v>
      </c>
      <c r="I560" s="4" t="s">
        <v>175</v>
      </c>
      <c r="J560" s="4">
        <v>2008</v>
      </c>
      <c r="K560" s="10">
        <f>SUMPRODUCT(N(Tabela4[Ativo]=Tabela5[[#This Row],[Ativo]]),N(YEAR(Tabela4[Data ex-1])=Tabela5[[#This Row],[Ano]]),Tabela4[Líquido])</f>
        <v>0</v>
      </c>
      <c r="N560" s="23">
        <f>IF(Tabela5[[#This Row],[Dividendos]]&gt;0,Tabela5[[#This Row],[Dividendos]]/Tabela5[[#This Row],[Lucro Líquido]],0)</f>
        <v>0</v>
      </c>
      <c r="O560" s="23"/>
      <c r="P560" s="10"/>
    </row>
    <row r="561" spans="1:16" x14ac:dyDescent="0.2">
      <c r="A561" s="35" t="s">
        <v>71</v>
      </c>
      <c r="B561" s="31" t="s">
        <v>14</v>
      </c>
      <c r="C561" s="32">
        <v>40422</v>
      </c>
      <c r="D561" s="34">
        <v>0.12609999999999999</v>
      </c>
      <c r="E561" s="33">
        <v>40451</v>
      </c>
      <c r="F561" s="33">
        <v>39574</v>
      </c>
      <c r="G561" s="34">
        <f>IF(Tabela4[[#This Row],[Tipo]]="Dividendo",Tabela4[[#This Row],[Valor]],IF(Tabela4[[#This Row],[Tipo]]="Jrs. Cap. Próprio",Tabela4[[#This Row],[Valor]]*85%,0))</f>
        <v>0.10718499999999999</v>
      </c>
      <c r="I561" s="4" t="s">
        <v>175</v>
      </c>
      <c r="J561" s="4">
        <v>2007</v>
      </c>
      <c r="K561" s="10">
        <f>SUMPRODUCT(N(Tabela4[Ativo]=Tabela5[[#This Row],[Ativo]]),N(YEAR(Tabela4[Data ex-1])=Tabela5[[#This Row],[Ano]]),Tabela4[Líquido])</f>
        <v>2.5499999999999998</v>
      </c>
      <c r="N561" s="23">
        <f>IF(Tabela5[[#This Row],[Dividendos]]&gt;0,Tabela5[[#This Row],[Dividendos]]/Tabela5[[#This Row],[Lucro Líquido]],0)</f>
        <v>0</v>
      </c>
      <c r="O561" s="23"/>
      <c r="P561" s="10"/>
    </row>
    <row r="562" spans="1:16" x14ac:dyDescent="0.2">
      <c r="A562" s="35" t="s">
        <v>71</v>
      </c>
      <c r="B562" s="31" t="s">
        <v>14</v>
      </c>
      <c r="C562" s="32">
        <v>40333</v>
      </c>
      <c r="D562" s="34">
        <v>0.1244</v>
      </c>
      <c r="E562" s="33">
        <v>40359</v>
      </c>
      <c r="F562" s="33">
        <v>40333</v>
      </c>
      <c r="G562" s="34">
        <f>IF(Tabela4[[#This Row],[Tipo]]="Dividendo",Tabela4[[#This Row],[Valor]],IF(Tabela4[[#This Row],[Tipo]]="Jrs. Cap. Próprio",Tabela4[[#This Row],[Valor]]*85%,0))</f>
        <v>0.10574</v>
      </c>
      <c r="I562" s="35" t="s">
        <v>65</v>
      </c>
      <c r="J562" s="35">
        <v>2013</v>
      </c>
      <c r="K562" s="38">
        <f>SUMPRODUCT(N(Tabela4[Ativo]=Tabela5[[#This Row],[Ativo]]),N(YEAR(Tabela4[Data ex-1])=Tabela5[[#This Row],[Ano]]),Tabela4[Líquido])</f>
        <v>0.30908000000000002</v>
      </c>
      <c r="L562" s="43"/>
      <c r="M562" s="43"/>
      <c r="N562" s="75">
        <f>IF(Tabela5[[#This Row],[Dividendos]]&gt;0,Tabela5[[#This Row],[Dividendos]]/Tabela5[[#This Row],[Lucro Líquido]],0)</f>
        <v>0</v>
      </c>
      <c r="O562" s="23"/>
      <c r="P562" s="10"/>
    </row>
    <row r="563" spans="1:16" x14ac:dyDescent="0.2">
      <c r="A563" s="35" t="s">
        <v>71</v>
      </c>
      <c r="B563" s="31" t="s">
        <v>15</v>
      </c>
      <c r="C563" s="32">
        <v>40298</v>
      </c>
      <c r="D563" s="34">
        <v>6.4500000000000002E-2</v>
      </c>
      <c r="E563" s="33">
        <v>40329</v>
      </c>
      <c r="F563" s="33">
        <v>40298</v>
      </c>
      <c r="G563" s="34">
        <f>IF(Tabela4[[#This Row],[Tipo]]="Dividendo",Tabela4[[#This Row],[Valor]],IF(Tabela4[[#This Row],[Tipo]]="Jrs. Cap. Próprio",Tabela4[[#This Row],[Valor]]*85%,0))</f>
        <v>6.4500000000000002E-2</v>
      </c>
      <c r="I563" s="35" t="s">
        <v>51</v>
      </c>
      <c r="J563" s="35">
        <v>2013</v>
      </c>
      <c r="K563" s="38">
        <f>SUMPRODUCT(N(Tabela4[Ativo]=Tabela5[[#This Row],[Ativo]]),N(YEAR(Tabela4[Data ex-1])=Tabela5[[#This Row],[Ano]]),Tabela4[Líquido])</f>
        <v>0.33623500000000001</v>
      </c>
      <c r="L563" s="43"/>
      <c r="M563" s="43"/>
      <c r="N563" s="75">
        <f>IF(Tabela5[[#This Row],[Dividendos]]&gt;0,Tabela5[[#This Row],[Dividendos]]/Tabela5[[#This Row],[Lucro Líquido]],0)</f>
        <v>0</v>
      </c>
      <c r="O563" s="23"/>
      <c r="P563" s="10"/>
    </row>
    <row r="564" spans="1:16" x14ac:dyDescent="0.2">
      <c r="A564" s="35" t="s">
        <v>71</v>
      </c>
      <c r="B564" s="31" t="s">
        <v>14</v>
      </c>
      <c r="C564" s="32">
        <v>40242</v>
      </c>
      <c r="D564" s="34">
        <v>0.1227</v>
      </c>
      <c r="E564" s="33">
        <v>40268</v>
      </c>
      <c r="F564" s="33">
        <v>39574</v>
      </c>
      <c r="G564" s="34">
        <f>IF(Tabela4[[#This Row],[Tipo]]="Dividendo",Tabela4[[#This Row],[Valor]],IF(Tabela4[[#This Row],[Tipo]]="Jrs. Cap. Próprio",Tabela4[[#This Row],[Valor]]*85%,0))</f>
        <v>0.104295</v>
      </c>
      <c r="I564" s="35" t="s">
        <v>51</v>
      </c>
      <c r="J564" s="35">
        <v>2012</v>
      </c>
      <c r="K564" s="38">
        <f>SUMPRODUCT(N(Tabela4[Ativo]=Tabela5[[#This Row],[Ativo]]),N(YEAR(Tabela4[Data ex-1])=Tabela5[[#This Row],[Ano]]),Tabela4[Líquido])</f>
        <v>0.62237500000000001</v>
      </c>
      <c r="L564" s="43"/>
      <c r="M564" s="43"/>
      <c r="N564" s="75">
        <f>IF(Tabela5[[#This Row],[Dividendos]]&gt;0,Tabela5[[#This Row],[Dividendos]]/Tabela5[[#This Row],[Lucro Líquido]],0)</f>
        <v>0</v>
      </c>
      <c r="O564" s="23"/>
      <c r="P564" s="10"/>
    </row>
    <row r="565" spans="1:16" x14ac:dyDescent="0.2">
      <c r="A565" s="35" t="s">
        <v>71</v>
      </c>
      <c r="B565" s="31" t="s">
        <v>14</v>
      </c>
      <c r="C565" s="32">
        <v>40148</v>
      </c>
      <c r="D565" s="34">
        <v>0.11550000000000001</v>
      </c>
      <c r="E565" s="33">
        <v>40168</v>
      </c>
      <c r="F565" s="33">
        <v>39574</v>
      </c>
      <c r="G565" s="34">
        <f>IF(Tabela4[[#This Row],[Tipo]]="Dividendo",Tabela4[[#This Row],[Valor]],IF(Tabela4[[#This Row],[Tipo]]="Jrs. Cap. Próprio",Tabela4[[#This Row],[Valor]]*85%,0))</f>
        <v>9.8174999999999998E-2</v>
      </c>
      <c r="I565" s="35" t="s">
        <v>51</v>
      </c>
      <c r="J565" s="35">
        <v>2011</v>
      </c>
      <c r="K565" s="34">
        <f>SUMPRODUCT(N(Tabela4[Ativo]=Tabela5[[#This Row],[Ativo]]),N(YEAR(Tabela4[Data ex-1])=Tabela5[[#This Row],[Ano]]),Tabela4[Líquido])</f>
        <v>0.54669500000000004</v>
      </c>
      <c r="L565" s="87"/>
      <c r="M565" s="87"/>
      <c r="N565" s="88">
        <f>IF(Tabela5[[#This Row],[Dividendos]]&gt;0,Tabela5[[#This Row],[Dividendos]]/Tabela5[[#This Row],[Lucro Líquido]],0)</f>
        <v>0</v>
      </c>
      <c r="O565" s="23"/>
      <c r="P565" s="10"/>
    </row>
    <row r="566" spans="1:16" x14ac:dyDescent="0.2">
      <c r="A566" s="35" t="s">
        <v>71</v>
      </c>
      <c r="B566" s="31" t="s">
        <v>14</v>
      </c>
      <c r="C566" s="32">
        <v>40057</v>
      </c>
      <c r="D566" s="34">
        <v>0.114</v>
      </c>
      <c r="E566" s="33">
        <v>40084</v>
      </c>
      <c r="F566" s="33">
        <v>39574</v>
      </c>
      <c r="G566" s="34">
        <f>IF(Tabela4[[#This Row],[Tipo]]="Dividendo",Tabela4[[#This Row],[Valor]],IF(Tabela4[[#This Row],[Tipo]]="Jrs. Cap. Próprio",Tabela4[[#This Row],[Valor]]*85%,0))</f>
        <v>9.69E-2</v>
      </c>
      <c r="I566" s="35" t="s">
        <v>51</v>
      </c>
      <c r="J566" s="35">
        <v>2010</v>
      </c>
      <c r="K566" s="34">
        <f>SUMPRODUCT(N(Tabela4[Ativo]=Tabela5[[#This Row],[Ativo]]),N(YEAR(Tabela4[Data ex-1])=Tabela5[[#This Row],[Ano]]),Tabela4[Líquido])</f>
        <v>0.47460999999999998</v>
      </c>
      <c r="L566" s="87"/>
      <c r="M566" s="87"/>
      <c r="N566" s="88">
        <f>IF(Tabela5[[#This Row],[Dividendos]]&gt;0,Tabela5[[#This Row],[Dividendos]]/Tabela5[[#This Row],[Lucro Líquido]],0)</f>
        <v>0</v>
      </c>
      <c r="O566" s="23"/>
      <c r="P566" s="10"/>
    </row>
    <row r="567" spans="1:16" x14ac:dyDescent="0.2">
      <c r="A567" s="35" t="s">
        <v>71</v>
      </c>
      <c r="B567" s="31" t="s">
        <v>14</v>
      </c>
      <c r="C567" s="32">
        <v>39969</v>
      </c>
      <c r="D567" s="34">
        <v>0.1174</v>
      </c>
      <c r="E567" s="33">
        <v>39963</v>
      </c>
      <c r="F567" s="33">
        <v>39939</v>
      </c>
      <c r="G567" s="34">
        <f>IF(Tabela4[[#This Row],[Tipo]]="Dividendo",Tabela4[[#This Row],[Valor]],IF(Tabela4[[#This Row],[Tipo]]="Jrs. Cap. Próprio",Tabela4[[#This Row],[Valor]]*85%,0))</f>
        <v>9.9790000000000004E-2</v>
      </c>
      <c r="I567" s="35" t="s">
        <v>51</v>
      </c>
      <c r="J567" s="35">
        <v>2009</v>
      </c>
      <c r="K567" s="34">
        <f>SUMPRODUCT(N(Tabela4[Ativo]=Tabela5[[#This Row],[Ativo]]),N(YEAR(Tabela4[Data ex-1])=Tabela5[[#This Row],[Ano]]),Tabela4[Líquido])</f>
        <v>3.8084999999999996</v>
      </c>
      <c r="L567" s="87"/>
      <c r="M567" s="87"/>
      <c r="N567" s="88">
        <f>IF(Tabela5[[#This Row],[Dividendos]]&gt;0,Tabela5[[#This Row],[Dividendos]]/Tabela5[[#This Row],[Lucro Líquido]],0)</f>
        <v>0</v>
      </c>
      <c r="O567" s="23"/>
      <c r="P567" s="10"/>
    </row>
    <row r="568" spans="1:16" x14ac:dyDescent="0.2">
      <c r="A568" s="35" t="s">
        <v>71</v>
      </c>
      <c r="B568" s="31" t="s">
        <v>15</v>
      </c>
      <c r="C568" s="32">
        <v>39903</v>
      </c>
      <c r="D568" s="34">
        <v>9.4100000000000003E-2</v>
      </c>
      <c r="E568" s="33">
        <v>39927</v>
      </c>
      <c r="F568" s="33">
        <v>39903</v>
      </c>
      <c r="G568" s="34">
        <f>IF(Tabela4[[#This Row],[Tipo]]="Dividendo",Tabela4[[#This Row],[Valor]],IF(Tabela4[[#This Row],[Tipo]]="Jrs. Cap. Próprio",Tabela4[[#This Row],[Valor]]*85%,0))</f>
        <v>9.4100000000000003E-2</v>
      </c>
      <c r="I568" s="35" t="s">
        <v>51</v>
      </c>
      <c r="J568" s="35">
        <v>2008</v>
      </c>
      <c r="K568" s="34">
        <f>SUMPRODUCT(N(Tabela4[Ativo]=Tabela5[[#This Row],[Ativo]]),N(YEAR(Tabela4[Data ex-1])=Tabela5[[#This Row],[Ano]]),Tabela4[Líquido])</f>
        <v>0.47089999999999999</v>
      </c>
      <c r="L568" s="87"/>
      <c r="M568" s="87"/>
      <c r="N568" s="88">
        <f>IF(Tabela5[[#This Row],[Dividendos]]&gt;0,Tabela5[[#This Row],[Dividendos]]/Tabela5[[#This Row],[Lucro Líquido]],0)</f>
        <v>0</v>
      </c>
      <c r="O568" s="23"/>
      <c r="P568" s="10"/>
    </row>
    <row r="569" spans="1:16" x14ac:dyDescent="0.2">
      <c r="A569" s="35" t="s">
        <v>71</v>
      </c>
      <c r="B569" s="31" t="s">
        <v>14</v>
      </c>
      <c r="C569" s="32">
        <v>39883</v>
      </c>
      <c r="D569" s="34">
        <v>0.1152</v>
      </c>
      <c r="E569" s="33">
        <v>39903</v>
      </c>
      <c r="F569" s="33">
        <v>39574</v>
      </c>
      <c r="G569" s="34">
        <f>IF(Tabela4[[#This Row],[Tipo]]="Dividendo",Tabela4[[#This Row],[Valor]],IF(Tabela4[[#This Row],[Tipo]]="Jrs. Cap. Próprio",Tabela4[[#This Row],[Valor]]*85%,0))</f>
        <v>9.7919999999999993E-2</v>
      </c>
      <c r="I569" s="35" t="s">
        <v>51</v>
      </c>
      <c r="J569" s="35">
        <v>2007</v>
      </c>
      <c r="K569" s="34">
        <f>SUMPRODUCT(N(Tabela4[Ativo]=Tabela5[[#This Row],[Ativo]]),N(YEAR(Tabela4[Data ex-1])=Tabela5[[#This Row],[Ano]]),Tabela4[Líquido])</f>
        <v>0.88691000000000009</v>
      </c>
      <c r="L569" s="87"/>
      <c r="M569" s="87"/>
      <c r="N569" s="88">
        <f>IF(Tabela5[[#This Row],[Dividendos]]&gt;0,Tabela5[[#This Row],[Dividendos]]/Tabela5[[#This Row],[Lucro Líquido]],0)</f>
        <v>0</v>
      </c>
      <c r="O569" s="23"/>
      <c r="P569" s="10"/>
    </row>
    <row r="570" spans="1:16" x14ac:dyDescent="0.2">
      <c r="A570" s="35" t="s">
        <v>71</v>
      </c>
      <c r="B570" s="31" t="s">
        <v>14</v>
      </c>
      <c r="C570" s="32">
        <v>39794</v>
      </c>
      <c r="D570" s="34">
        <v>0.1038</v>
      </c>
      <c r="E570" s="33">
        <v>39808</v>
      </c>
      <c r="F570" s="33">
        <v>39574</v>
      </c>
      <c r="G570" s="34">
        <f>IF(Tabela4[[#This Row],[Tipo]]="Dividendo",Tabela4[[#This Row],[Valor]],IF(Tabela4[[#This Row],[Tipo]]="Jrs. Cap. Próprio",Tabela4[[#This Row],[Valor]]*85%,0))</f>
        <v>8.8230000000000003E-2</v>
      </c>
      <c r="I570" s="4" t="s">
        <v>37</v>
      </c>
      <c r="J570" s="4">
        <v>2013</v>
      </c>
      <c r="K570" s="14">
        <f>SUMPRODUCT(N(Tabela4[Ativo]=Tabela5[[#This Row],[Ativo]]),N(YEAR(Tabela4[Data ex-1])=Tabela5[[#This Row],[Ano]]),Tabela4[Líquido])</f>
        <v>0</v>
      </c>
      <c r="L570" s="6"/>
      <c r="M570" s="6"/>
      <c r="N570" s="24">
        <f>IF(Tabela5[[#This Row],[Dividendos]]&gt;0,Tabela5[[#This Row],[Dividendos]]/Tabela5[[#This Row],[Lucro Líquido]],0)</f>
        <v>0</v>
      </c>
      <c r="O570" s="23"/>
      <c r="P570" s="10"/>
    </row>
    <row r="571" spans="1:16" x14ac:dyDescent="0.2">
      <c r="A571" s="35" t="s">
        <v>71</v>
      </c>
      <c r="B571" s="31" t="s">
        <v>14</v>
      </c>
      <c r="C571" s="32">
        <v>39700</v>
      </c>
      <c r="D571" s="34">
        <v>0.10249999999999999</v>
      </c>
      <c r="E571" s="33">
        <v>39721</v>
      </c>
      <c r="F571" s="33">
        <v>39574</v>
      </c>
      <c r="G571" s="34">
        <f>IF(Tabela4[[#This Row],[Tipo]]="Dividendo",Tabela4[[#This Row],[Valor]],IF(Tabela4[[#This Row],[Tipo]]="Jrs. Cap. Próprio",Tabela4[[#This Row],[Valor]]*85%,0))</f>
        <v>8.7124999999999994E-2</v>
      </c>
      <c r="I571" s="4" t="s">
        <v>37</v>
      </c>
      <c r="J571" s="4">
        <v>2012</v>
      </c>
      <c r="K571" s="14">
        <f>SUMPRODUCT(N(Tabela4[Ativo]=Tabela5[[#This Row],[Ativo]]),N(YEAR(Tabela4[Data ex-1])=Tabela5[[#This Row],[Ano]]),Tabela4[Líquido])</f>
        <v>0.1484</v>
      </c>
      <c r="L571" s="6"/>
      <c r="M571" s="6"/>
      <c r="N571" s="24">
        <f>IF(Tabela5[[#This Row],[Dividendos]]&gt;0,Tabela5[[#This Row],[Dividendos]]/Tabela5[[#This Row],[Lucro Líquido]],0)</f>
        <v>0</v>
      </c>
      <c r="O571" s="23"/>
      <c r="P571" s="10"/>
    </row>
    <row r="572" spans="1:16" x14ac:dyDescent="0.2">
      <c r="A572" s="35" t="s">
        <v>71</v>
      </c>
      <c r="B572" s="31" t="s">
        <v>14</v>
      </c>
      <c r="C572" s="32">
        <v>39608</v>
      </c>
      <c r="D572" s="34">
        <v>0.1012</v>
      </c>
      <c r="E572" s="33">
        <v>39629</v>
      </c>
      <c r="F572" s="33">
        <v>39574</v>
      </c>
      <c r="G572" s="34">
        <f>IF(Tabela4[[#This Row],[Tipo]]="Dividendo",Tabela4[[#This Row],[Valor]],IF(Tabela4[[#This Row],[Tipo]]="Jrs. Cap. Próprio",Tabela4[[#This Row],[Valor]]*85%,0))</f>
        <v>8.6019999999999999E-2</v>
      </c>
      <c r="I572" s="4" t="s">
        <v>37</v>
      </c>
      <c r="J572" s="4">
        <v>2011</v>
      </c>
      <c r="K572" s="10">
        <f>SUMPRODUCT(N(Tabela4[Ativo]=Tabela5[[#This Row],[Ativo]]),N(YEAR(Tabela4[Data ex-1])=Tabela5[[#This Row],[Ano]]),Tabela4[Líquido])</f>
        <v>0.16919999999999999</v>
      </c>
      <c r="N572" s="23">
        <f>IF(Tabela5[[#This Row],[Dividendos]]&gt;0,Tabela5[[#This Row],[Dividendos]]/Tabela5[[#This Row],[Lucro Líquido]],0)</f>
        <v>0</v>
      </c>
      <c r="O572" s="23"/>
      <c r="P572" s="10"/>
    </row>
    <row r="573" spans="1:16" x14ac:dyDescent="0.2">
      <c r="A573" s="35" t="s">
        <v>71</v>
      </c>
      <c r="B573" s="31" t="s">
        <v>14</v>
      </c>
      <c r="C573" s="32">
        <v>39575</v>
      </c>
      <c r="D573" s="34">
        <v>0.1045</v>
      </c>
      <c r="E573" s="33">
        <v>39598</v>
      </c>
      <c r="F573" s="33">
        <v>39574</v>
      </c>
      <c r="G573" s="34">
        <f>IF(Tabela4[[#This Row],[Tipo]]="Dividendo",Tabela4[[#This Row],[Valor]],IF(Tabela4[[#This Row],[Tipo]]="Jrs. Cap. Próprio",Tabela4[[#This Row],[Valor]]*85%,0))</f>
        <v>8.8824999999999987E-2</v>
      </c>
      <c r="I573" s="4" t="s">
        <v>37</v>
      </c>
      <c r="J573" s="4">
        <v>2010</v>
      </c>
      <c r="K573" s="10">
        <f>SUMPRODUCT(N(Tabela4[Ativo]=Tabela5[[#This Row],[Ativo]]),N(YEAR(Tabela4[Data ex-1])=Tabela5[[#This Row],[Ano]]),Tabela4[Líquido])</f>
        <v>0.20599999999999999</v>
      </c>
      <c r="N573" s="23">
        <f>IF(Tabela5[[#This Row],[Dividendos]]&gt;0,Tabela5[[#This Row],[Dividendos]]/Tabela5[[#This Row],[Lucro Líquido]],0)</f>
        <v>0</v>
      </c>
      <c r="O573" s="23"/>
      <c r="P573" s="10"/>
    </row>
    <row r="574" spans="1:16" x14ac:dyDescent="0.2">
      <c r="A574" s="35" t="s">
        <v>71</v>
      </c>
      <c r="B574" s="31" t="s">
        <v>15</v>
      </c>
      <c r="C574" s="32">
        <v>39532</v>
      </c>
      <c r="D574" s="34">
        <v>0.3236</v>
      </c>
      <c r="E574" s="33">
        <v>39561</v>
      </c>
      <c r="F574" s="33">
        <v>39532</v>
      </c>
      <c r="G574" s="34">
        <f>IF(Tabela4[[#This Row],[Tipo]]="Dividendo",Tabela4[[#This Row],[Valor]],IF(Tabela4[[#This Row],[Tipo]]="Jrs. Cap. Próprio",Tabela4[[#This Row],[Valor]]*85%,0))</f>
        <v>0.3236</v>
      </c>
      <c r="I574" s="4" t="s">
        <v>37</v>
      </c>
      <c r="J574" s="4">
        <v>2009</v>
      </c>
      <c r="K574" s="10">
        <f>SUMPRODUCT(N(Tabela4[Ativo]=Tabela5[[#This Row],[Ativo]]),N(YEAR(Tabela4[Data ex-1])=Tabela5[[#This Row],[Ano]]),Tabela4[Líquido])</f>
        <v>0.2</v>
      </c>
      <c r="N574" s="23">
        <f>IF(Tabela5[[#This Row],[Dividendos]]&gt;0,Tabela5[[#This Row],[Dividendos]]/Tabela5[[#This Row],[Lucro Líquido]],0)</f>
        <v>0</v>
      </c>
      <c r="O574" s="23"/>
      <c r="P574" s="10"/>
    </row>
    <row r="575" spans="1:16" x14ac:dyDescent="0.2">
      <c r="A575" s="35" t="s">
        <v>71</v>
      </c>
      <c r="B575" s="31" t="s">
        <v>15</v>
      </c>
      <c r="C575" s="32">
        <v>39430</v>
      </c>
      <c r="D575" s="34">
        <v>0.17469999999999999</v>
      </c>
      <c r="E575" s="33"/>
      <c r="F575" s="33">
        <v>39430</v>
      </c>
      <c r="G575" s="34">
        <f>IF(Tabela4[[#This Row],[Tipo]]="Dividendo",Tabela4[[#This Row],[Valor]],IF(Tabela4[[#This Row],[Tipo]]="Jrs. Cap. Próprio",Tabela4[[#This Row],[Valor]]*85%,0))</f>
        <v>0.17469999999999999</v>
      </c>
      <c r="I575" s="4" t="s">
        <v>37</v>
      </c>
      <c r="J575" s="4">
        <v>2008</v>
      </c>
      <c r="K575" s="10">
        <f>SUMPRODUCT(N(Tabela4[Ativo]=Tabela5[[#This Row],[Ativo]]),N(YEAR(Tabela4[Data ex-1])=Tabela5[[#This Row],[Ano]]),Tabela4[Líquido])</f>
        <v>0.21040500000000001</v>
      </c>
      <c r="N575" s="23">
        <f>IF(Tabela5[[#This Row],[Dividendos]]&gt;0,Tabela5[[#This Row],[Dividendos]]/Tabela5[[#This Row],[Lucro Líquido]],0)</f>
        <v>0</v>
      </c>
      <c r="O575" s="23"/>
      <c r="P575" s="10"/>
    </row>
    <row r="576" spans="1:16" x14ac:dyDescent="0.2">
      <c r="A576" s="35" t="s">
        <v>68</v>
      </c>
      <c r="B576" s="35" t="s">
        <v>15</v>
      </c>
      <c r="C576" s="36">
        <v>41589</v>
      </c>
      <c r="D576" s="38">
        <v>0.1183</v>
      </c>
      <c r="E576" s="37">
        <v>41605</v>
      </c>
      <c r="F576" s="37">
        <v>41585</v>
      </c>
      <c r="G576" s="38">
        <f>IF(Tabela4[[#This Row],[Tipo]]="Dividendo",Tabela4[[#This Row],[Valor]],IF(Tabela4[[#This Row],[Tipo]]="Jrs. Cap. Próprio",Tabela4[[#This Row],[Valor]]*85%,0))</f>
        <v>0.1183</v>
      </c>
      <c r="I576" s="4" t="s">
        <v>37</v>
      </c>
      <c r="J576" s="4">
        <v>2007</v>
      </c>
      <c r="K576" s="10">
        <f>SUMPRODUCT(N(Tabela4[Ativo]=Tabela5[[#This Row],[Ativo]]),N(YEAR(Tabela4[Data ex-1])=Tabela5[[#This Row],[Ano]]),Tabela4[Líquido])</f>
        <v>4.4400000000000002E-2</v>
      </c>
      <c r="N576" s="23">
        <f>IF(Tabela5[[#This Row],[Dividendos]]&gt;0,Tabela5[[#This Row],[Dividendos]]/Tabela5[[#This Row],[Lucro Líquido]],0)</f>
        <v>0</v>
      </c>
      <c r="O576" s="23"/>
      <c r="P576" s="10"/>
    </row>
    <row r="577" spans="1:16" x14ac:dyDescent="0.2">
      <c r="A577" s="35" t="s">
        <v>68</v>
      </c>
      <c r="B577" s="31" t="s">
        <v>15</v>
      </c>
      <c r="C577" s="32">
        <v>41507</v>
      </c>
      <c r="D577" s="34">
        <v>0.1469</v>
      </c>
      <c r="E577" s="33">
        <v>41547</v>
      </c>
      <c r="F577" s="33">
        <v>41494</v>
      </c>
      <c r="G577" s="34">
        <f>IF(Tabela4[[#This Row],[Tipo]]="Dividendo",Tabela4[[#This Row],[Valor]],IF(Tabela4[[#This Row],[Tipo]]="Jrs. Cap. Próprio",Tabela4[[#This Row],[Valor]]*85%,0))</f>
        <v>0.1469</v>
      </c>
      <c r="I577" s="35" t="s">
        <v>58</v>
      </c>
      <c r="J577" s="35">
        <v>2013</v>
      </c>
      <c r="K577" s="38">
        <f>SUMPRODUCT(N(Tabela4[Ativo]=Tabela5[[#This Row],[Ativo]]),N(YEAR(Tabela4[Data ex-1])=Tabela5[[#This Row],[Ano]]),Tabela4[Líquido])</f>
        <v>0.234685</v>
      </c>
      <c r="L577" s="43"/>
      <c r="M577" s="43"/>
      <c r="N577" s="75">
        <f>IF(Tabela5[[#This Row],[Dividendos]]&gt;0,Tabela5[[#This Row],[Dividendos]]/Tabela5[[#This Row],[Lucro Líquido]],0)</f>
        <v>0</v>
      </c>
      <c r="O577" s="23">
        <v>0.1366</v>
      </c>
      <c r="P577" s="10"/>
    </row>
    <row r="578" spans="1:16" x14ac:dyDescent="0.2">
      <c r="A578" s="35" t="s">
        <v>68</v>
      </c>
      <c r="B578" s="31" t="s">
        <v>14</v>
      </c>
      <c r="C578" s="32">
        <v>41415</v>
      </c>
      <c r="D578" s="34">
        <v>2.5899999999999999E-2</v>
      </c>
      <c r="E578" s="33">
        <v>41432</v>
      </c>
      <c r="F578" s="33">
        <v>41403</v>
      </c>
      <c r="G578" s="34">
        <f>IF(Tabela4[[#This Row],[Tipo]]="Dividendo",Tabela4[[#This Row],[Valor]],IF(Tabela4[[#This Row],[Tipo]]="Jrs. Cap. Próprio",Tabela4[[#This Row],[Valor]]*85%,0))</f>
        <v>2.2015E-2</v>
      </c>
      <c r="I578" s="35" t="s">
        <v>58</v>
      </c>
      <c r="J578" s="35">
        <v>2012</v>
      </c>
      <c r="K578" s="38">
        <f>SUMPRODUCT(N(Tabela4[Ativo]=Tabela5[[#This Row],[Ativo]]),N(YEAR(Tabela4[Data ex-1])=Tabela5[[#This Row],[Ano]]),Tabela4[Líquido])</f>
        <v>0.4627</v>
      </c>
      <c r="L578" s="43"/>
      <c r="M578" s="43"/>
      <c r="N578" s="75">
        <f>IF(Tabela5[[#This Row],[Dividendos]]&gt;0,Tabela5[[#This Row],[Dividendos]]/Tabela5[[#This Row],[Lucro Líquido]],0)</f>
        <v>0</v>
      </c>
      <c r="O578" s="23">
        <v>0.2</v>
      </c>
      <c r="P578" s="10"/>
    </row>
    <row r="579" spans="1:16" x14ac:dyDescent="0.2">
      <c r="A579" s="35" t="s">
        <v>68</v>
      </c>
      <c r="B579" s="31" t="s">
        <v>15</v>
      </c>
      <c r="C579" s="32">
        <v>41415</v>
      </c>
      <c r="D579" s="34">
        <v>8.4599999999999995E-2</v>
      </c>
      <c r="E579" s="33">
        <v>41432</v>
      </c>
      <c r="F579" s="33">
        <v>41403</v>
      </c>
      <c r="G579" s="34">
        <f>IF(Tabela4[[#This Row],[Tipo]]="Dividendo",Tabela4[[#This Row],[Valor]],IF(Tabela4[[#This Row],[Tipo]]="Jrs. Cap. Próprio",Tabela4[[#This Row],[Valor]]*85%,0))</f>
        <v>8.4599999999999995E-2</v>
      </c>
      <c r="I579" s="35" t="s">
        <v>58</v>
      </c>
      <c r="J579" s="35">
        <v>2011</v>
      </c>
      <c r="K579" s="34">
        <f>SUMPRODUCT(N(Tabela4[Ativo]=Tabela5[[#This Row],[Ativo]]),N(YEAR(Tabela4[Data ex-1])=Tabela5[[#This Row],[Ano]]),Tabela4[Líquido])</f>
        <v>0.76399499999999998</v>
      </c>
      <c r="L579" s="87"/>
      <c r="M579" s="87"/>
      <c r="N579" s="88">
        <f>IF(Tabela5[[#This Row],[Dividendos]]&gt;0,Tabela5[[#This Row],[Dividendos]]/Tabela5[[#This Row],[Lucro Líquido]],0)</f>
        <v>0</v>
      </c>
      <c r="O579" s="23">
        <v>0.41</v>
      </c>
      <c r="P579" s="10"/>
    </row>
    <row r="580" spans="1:16" x14ac:dyDescent="0.2">
      <c r="A580" s="35" t="s">
        <v>68</v>
      </c>
      <c r="B580" s="31" t="s">
        <v>15</v>
      </c>
      <c r="C580" s="32">
        <v>41381</v>
      </c>
      <c r="D580" s="34">
        <v>0.20119999999999999</v>
      </c>
      <c r="E580" s="33">
        <v>41394</v>
      </c>
      <c r="F580" s="33">
        <v>41381</v>
      </c>
      <c r="G580" s="34">
        <f>IF(Tabela4[[#This Row],[Tipo]]="Dividendo",Tabela4[[#This Row],[Valor]],IF(Tabela4[[#This Row],[Tipo]]="Jrs. Cap. Próprio",Tabela4[[#This Row],[Valor]]*85%,0))</f>
        <v>0.20119999999999999</v>
      </c>
      <c r="I580" s="35" t="s">
        <v>58</v>
      </c>
      <c r="J580" s="35">
        <v>2010</v>
      </c>
      <c r="K580" s="34">
        <f>SUMPRODUCT(N(Tabela4[Ativo]=Tabela5[[#This Row],[Ativo]]),N(YEAR(Tabela4[Data ex-1])=Tabela5[[#This Row],[Ano]]),Tabela4[Líquido])</f>
        <v>0.8643550000000001</v>
      </c>
      <c r="L580" s="87"/>
      <c r="M580" s="87"/>
      <c r="N580" s="88">
        <f>IF(Tabela5[[#This Row],[Dividendos]]&gt;0,Tabela5[[#This Row],[Dividendos]]/Tabela5[[#This Row],[Lucro Líquido]],0)</f>
        <v>0</v>
      </c>
      <c r="O580" s="23">
        <v>0.36</v>
      </c>
      <c r="P580" s="10"/>
    </row>
    <row r="581" spans="1:16" x14ac:dyDescent="0.2">
      <c r="A581" s="35" t="s">
        <v>68</v>
      </c>
      <c r="B581" s="31" t="s">
        <v>14</v>
      </c>
      <c r="C581" s="32">
        <v>41234</v>
      </c>
      <c r="D581" s="34">
        <v>4.6600000000000003E-2</v>
      </c>
      <c r="E581" s="33">
        <v>41260</v>
      </c>
      <c r="F581" s="33">
        <v>41219</v>
      </c>
      <c r="G581" s="34">
        <f>IF(Tabela4[[#This Row],[Tipo]]="Dividendo",Tabela4[[#This Row],[Valor]],IF(Tabela4[[#This Row],[Tipo]]="Jrs. Cap. Próprio",Tabela4[[#This Row],[Valor]]*85%,0))</f>
        <v>3.9609999999999999E-2</v>
      </c>
      <c r="I581" s="35" t="s">
        <v>58</v>
      </c>
      <c r="J581" s="35">
        <v>2009</v>
      </c>
      <c r="K581" s="34">
        <f>SUMPRODUCT(N(Tabela4[Ativo]=Tabela5[[#This Row],[Ativo]]),N(YEAR(Tabela4[Data ex-1])=Tabela5[[#This Row],[Ano]]),Tabela4[Líquido])</f>
        <v>0.93540000000000001</v>
      </c>
      <c r="L581" s="87"/>
      <c r="M581" s="87"/>
      <c r="N581" s="88">
        <f>IF(Tabela5[[#This Row],[Dividendos]]&gt;0,Tabela5[[#This Row],[Dividendos]]/Tabela5[[#This Row],[Lucro Líquido]],0)</f>
        <v>0</v>
      </c>
      <c r="O581" s="23">
        <v>0.3</v>
      </c>
      <c r="P581" s="10"/>
    </row>
    <row r="582" spans="1:16" x14ac:dyDescent="0.2">
      <c r="A582" s="35" t="s">
        <v>68</v>
      </c>
      <c r="B582" s="31" t="s">
        <v>15</v>
      </c>
      <c r="C582" s="32">
        <v>41234</v>
      </c>
      <c r="D582" s="34">
        <v>6.7900000000000002E-2</v>
      </c>
      <c r="E582" s="33">
        <v>41260</v>
      </c>
      <c r="F582" s="33">
        <v>41219</v>
      </c>
      <c r="G582" s="34">
        <f>IF(Tabela4[[#This Row],[Tipo]]="Dividendo",Tabela4[[#This Row],[Valor]],IF(Tabela4[[#This Row],[Tipo]]="Jrs. Cap. Próprio",Tabela4[[#This Row],[Valor]]*85%,0))</f>
        <v>6.7900000000000002E-2</v>
      </c>
      <c r="I582" s="35" t="s">
        <v>58</v>
      </c>
      <c r="J582" s="35">
        <v>2008</v>
      </c>
      <c r="K582" s="34">
        <f>SUMPRODUCT(N(Tabela4[Ativo]=Tabela5[[#This Row],[Ativo]]),N(YEAR(Tabela4[Data ex-1])=Tabela5[[#This Row],[Ano]]),Tabela4[Líquido])</f>
        <v>1.11816</v>
      </c>
      <c r="L582" s="87"/>
      <c r="M582" s="87"/>
      <c r="N582" s="88">
        <f>IF(Tabela5[[#This Row],[Dividendos]]&gt;0,Tabela5[[#This Row],[Dividendos]]/Tabela5[[#This Row],[Lucro Líquido]],0)</f>
        <v>0</v>
      </c>
      <c r="O582" s="23">
        <v>0.23</v>
      </c>
      <c r="P582" s="10"/>
    </row>
    <row r="583" spans="1:16" x14ac:dyDescent="0.2">
      <c r="A583" s="35" t="s">
        <v>68</v>
      </c>
      <c r="B583" s="31" t="s">
        <v>15</v>
      </c>
      <c r="C583" s="32">
        <v>41130</v>
      </c>
      <c r="D583" s="34">
        <v>0.1244</v>
      </c>
      <c r="E583" s="33">
        <v>41213</v>
      </c>
      <c r="F583" s="33">
        <v>41128</v>
      </c>
      <c r="G583" s="34">
        <f>IF(Tabela4[[#This Row],[Tipo]]="Dividendo",Tabela4[[#This Row],[Valor]],IF(Tabela4[[#This Row],[Tipo]]="Jrs. Cap. Próprio",Tabela4[[#This Row],[Valor]]*85%,0))</f>
        <v>0.1244</v>
      </c>
      <c r="I583" s="35" t="s">
        <v>58</v>
      </c>
      <c r="J583" s="35">
        <v>2007</v>
      </c>
      <c r="K583" s="34">
        <f>SUMPRODUCT(N(Tabela4[Ativo]=Tabela5[[#This Row],[Ativo]]),N(YEAR(Tabela4[Data ex-1])=Tabela5[[#This Row],[Ano]]),Tabela4[Líquido])</f>
        <v>1.2105999999999999</v>
      </c>
      <c r="L583" s="87"/>
      <c r="M583" s="87"/>
      <c r="N583" s="88">
        <f>IF(Tabela5[[#This Row],[Dividendos]]&gt;0,Tabela5[[#This Row],[Dividendos]]/Tabela5[[#This Row],[Lucro Líquido]],0)</f>
        <v>0</v>
      </c>
      <c r="O583" s="23">
        <v>0.33</v>
      </c>
      <c r="P583" s="10"/>
    </row>
    <row r="584" spans="1:16" x14ac:dyDescent="0.2">
      <c r="A584" s="35" t="s">
        <v>68</v>
      </c>
      <c r="B584" s="31" t="s">
        <v>15</v>
      </c>
      <c r="C584" s="32">
        <v>41043</v>
      </c>
      <c r="D584" s="34">
        <v>0.1162</v>
      </c>
      <c r="E584" s="33">
        <v>41121</v>
      </c>
      <c r="F584" s="33">
        <v>41039</v>
      </c>
      <c r="G584" s="34">
        <f>IF(Tabela4[[#This Row],[Tipo]]="Dividendo",Tabela4[[#This Row],[Valor]],IF(Tabela4[[#This Row],[Tipo]]="Jrs. Cap. Próprio",Tabela4[[#This Row],[Valor]]*85%,0))</f>
        <v>0.1162</v>
      </c>
      <c r="I584" s="35" t="s">
        <v>58</v>
      </c>
      <c r="J584" s="35">
        <v>2006</v>
      </c>
      <c r="K584" s="34">
        <f>SUMPRODUCT(N(Tabela4[Ativo]=Tabela5[[#This Row],[Ativo]]),N(YEAR(Tabela4[Data ex-1])=Tabela5[[#This Row],[Ano]]),Tabela4[Líquido])</f>
        <v>1.8179400000000001</v>
      </c>
      <c r="L584" s="87"/>
      <c r="M584" s="87"/>
      <c r="N584" s="88">
        <f>IF(Tabela5[[#This Row],[Dividendos]]&gt;0,Tabela5[[#This Row],[Dividendos]]/Tabela5[[#This Row],[Lucro Líquido]],0)</f>
        <v>0</v>
      </c>
      <c r="O584" s="23">
        <v>0.34</v>
      </c>
      <c r="P584" s="10"/>
    </row>
    <row r="585" spans="1:16" x14ac:dyDescent="0.2">
      <c r="A585" s="35" t="s">
        <v>68</v>
      </c>
      <c r="B585" s="31" t="s">
        <v>15</v>
      </c>
      <c r="C585" s="32">
        <v>40997</v>
      </c>
      <c r="D585" s="34">
        <v>0.1174</v>
      </c>
      <c r="E585" s="33">
        <v>41029</v>
      </c>
      <c r="F585" s="33">
        <v>40953</v>
      </c>
      <c r="G585" s="34">
        <f>IF(Tabela4[[#This Row],[Tipo]]="Dividendo",Tabela4[[#This Row],[Valor]],IF(Tabela4[[#This Row],[Tipo]]="Jrs. Cap. Próprio",Tabela4[[#This Row],[Valor]]*85%,0))</f>
        <v>0.1174</v>
      </c>
      <c r="I585" s="35" t="s">
        <v>58</v>
      </c>
      <c r="J585" s="35">
        <v>2005</v>
      </c>
      <c r="K585" s="34">
        <f>SUMPRODUCT(N(Tabela4[Ativo]=Tabela5[[#This Row],[Ativo]]),N(YEAR(Tabela4[Data ex-1])=Tabela5[[#This Row],[Ano]]),Tabela4[Líquido])</f>
        <v>3.6380850000000002</v>
      </c>
      <c r="L585" s="87"/>
      <c r="M585" s="87"/>
      <c r="N585" s="88">
        <f>IF(Tabela5[[#This Row],[Dividendos]]&gt;0,Tabela5[[#This Row],[Dividendos]]/Tabela5[[#This Row],[Lucro Líquido]],0)</f>
        <v>0</v>
      </c>
      <c r="O585" s="23">
        <v>1.1000000000000001</v>
      </c>
      <c r="P585" s="10"/>
    </row>
    <row r="586" spans="1:16" x14ac:dyDescent="0.2">
      <c r="A586" s="35" t="s">
        <v>68</v>
      </c>
      <c r="B586" s="31" t="s">
        <v>15</v>
      </c>
      <c r="C586" s="32">
        <v>40864</v>
      </c>
      <c r="D586" s="34">
        <v>0.1211</v>
      </c>
      <c r="E586" s="33">
        <v>40939</v>
      </c>
      <c r="F586" s="33">
        <v>40855</v>
      </c>
      <c r="G586" s="34">
        <f>IF(Tabela4[[#This Row],[Tipo]]="Dividendo",Tabela4[[#This Row],[Valor]],IF(Tabela4[[#This Row],[Tipo]]="Jrs. Cap. Próprio",Tabela4[[#This Row],[Valor]]*85%,0))</f>
        <v>0.1211</v>
      </c>
      <c r="I586" s="35" t="s">
        <v>58</v>
      </c>
      <c r="J586" s="35">
        <v>2004</v>
      </c>
      <c r="K586" s="34">
        <f>SUMPRODUCT(N(Tabela4[Ativo]=Tabela5[[#This Row],[Ativo]]),N(YEAR(Tabela4[Data ex-1])=Tabela5[[#This Row],[Ano]]),Tabela4[Líquido])</f>
        <v>4.6014999999999997</v>
      </c>
      <c r="L586" s="87"/>
      <c r="M586" s="87"/>
      <c r="N586" s="88">
        <f>IF(Tabela5[[#This Row],[Dividendos]]&gt;0,Tabela5[[#This Row],[Dividendos]]/Tabela5[[#This Row],[Lucro Líquido]],0)</f>
        <v>0</v>
      </c>
      <c r="O586" s="23">
        <v>2.0299999999999998</v>
      </c>
      <c r="P586" s="10"/>
    </row>
    <row r="587" spans="1:16" x14ac:dyDescent="0.2">
      <c r="A587" s="35" t="s">
        <v>68</v>
      </c>
      <c r="B587" s="31" t="s">
        <v>15</v>
      </c>
      <c r="C587" s="32">
        <v>40781</v>
      </c>
      <c r="D587" s="34">
        <v>0.1217</v>
      </c>
      <c r="E587" s="33">
        <v>40819</v>
      </c>
      <c r="F587" s="33">
        <v>40764</v>
      </c>
      <c r="G587" s="34">
        <f>IF(Tabela4[[#This Row],[Tipo]]="Dividendo",Tabela4[[#This Row],[Valor]],IF(Tabela4[[#This Row],[Tipo]]="Jrs. Cap. Próprio",Tabela4[[#This Row],[Valor]]*85%,0))</f>
        <v>0.1217</v>
      </c>
      <c r="I587" s="35" t="s">
        <v>58</v>
      </c>
      <c r="J587" s="35">
        <v>2003</v>
      </c>
      <c r="K587" s="34">
        <f>SUMPRODUCT(N(Tabela4[Ativo]=Tabela5[[#This Row],[Ativo]]),N(YEAR(Tabela4[Data ex-1])=Tabela5[[#This Row],[Ano]]),Tabela4[Líquido])</f>
        <v>4.0132499999999993</v>
      </c>
      <c r="L587" s="87"/>
      <c r="M587" s="87"/>
      <c r="N587" s="88">
        <f>IF(Tabela5[[#This Row],[Dividendos]]&gt;0,Tabela5[[#This Row],[Dividendos]]/Tabela5[[#This Row],[Lucro Líquido]],0)</f>
        <v>0</v>
      </c>
      <c r="O587" s="23">
        <v>1.7</v>
      </c>
      <c r="P587" s="10"/>
    </row>
    <row r="588" spans="1:16" x14ac:dyDescent="0.2">
      <c r="A588" s="35" t="s">
        <v>68</v>
      </c>
      <c r="B588" s="31" t="s">
        <v>14</v>
      </c>
      <c r="C588" s="32">
        <v>40715</v>
      </c>
      <c r="D588" s="34">
        <v>5.11E-2</v>
      </c>
      <c r="E588" s="33">
        <v>40729</v>
      </c>
      <c r="F588" s="33">
        <v>40675</v>
      </c>
      <c r="G588" s="34">
        <f>IF(Tabela4[[#This Row],[Tipo]]="Dividendo",Tabela4[[#This Row],[Valor]],IF(Tabela4[[#This Row],[Tipo]]="Jrs. Cap. Próprio",Tabela4[[#This Row],[Valor]]*85%,0))</f>
        <v>4.3435000000000001E-2</v>
      </c>
      <c r="I588" s="35" t="s">
        <v>58</v>
      </c>
      <c r="J588" s="35">
        <v>2002</v>
      </c>
      <c r="K588" s="34">
        <f>SUMPRODUCT(N(Tabela4[Ativo]=Tabela5[[#This Row],[Ativo]]),N(YEAR(Tabela4[Data ex-1])=Tabela5[[#This Row],[Ano]]),Tabela4[Líquido])</f>
        <v>2.9897499999999999</v>
      </c>
      <c r="L588" s="87"/>
      <c r="M588" s="87"/>
      <c r="N588" s="88">
        <f>IF(Tabela5[[#This Row],[Dividendos]]&gt;0,Tabela5[[#This Row],[Dividendos]]/Tabela5[[#This Row],[Lucro Líquido]],0)</f>
        <v>0</v>
      </c>
      <c r="O588" s="23">
        <v>2.62</v>
      </c>
      <c r="P588" s="10"/>
    </row>
    <row r="589" spans="1:16" x14ac:dyDescent="0.2">
      <c r="A589" s="35" t="s">
        <v>68</v>
      </c>
      <c r="B589" s="31" t="s">
        <v>15</v>
      </c>
      <c r="C589" s="32">
        <v>40715</v>
      </c>
      <c r="D589" s="34">
        <v>3.4099999999999998E-2</v>
      </c>
      <c r="E589" s="33">
        <v>40729</v>
      </c>
      <c r="F589" s="33">
        <v>40675</v>
      </c>
      <c r="G589" s="34">
        <f>IF(Tabela4[[#This Row],[Tipo]]="Dividendo",Tabela4[[#This Row],[Valor]],IF(Tabela4[[#This Row],[Tipo]]="Jrs. Cap. Próprio",Tabela4[[#This Row],[Valor]]*85%,0))</f>
        <v>3.4099999999999998E-2</v>
      </c>
      <c r="I589" s="35" t="s">
        <v>58</v>
      </c>
      <c r="J589" s="35">
        <v>2001</v>
      </c>
      <c r="K589" s="34">
        <f>SUMPRODUCT(N(Tabela4[Ativo]=Tabela5[[#This Row],[Ativo]]),N(YEAR(Tabela4[Data ex-1])=Tabela5[[#This Row],[Ano]]),Tabela4[Líquido])</f>
        <v>2.9512499999999999</v>
      </c>
      <c r="L589" s="87"/>
      <c r="M589" s="87"/>
      <c r="N589" s="88">
        <f>IF(Tabela5[[#This Row],[Dividendos]]&gt;0,Tabela5[[#This Row],[Dividendos]]/Tabela5[[#This Row],[Lucro Líquido]],0)</f>
        <v>0</v>
      </c>
      <c r="O589" s="23">
        <v>2.21</v>
      </c>
      <c r="P589" s="10"/>
    </row>
    <row r="590" spans="1:16" x14ac:dyDescent="0.2">
      <c r="A590" s="35" t="s">
        <v>68</v>
      </c>
      <c r="B590" s="31" t="s">
        <v>15</v>
      </c>
      <c r="C590" s="32">
        <v>40665</v>
      </c>
      <c r="D590" s="34">
        <v>0.20699999999999999</v>
      </c>
      <c r="E590" s="33">
        <v>40679</v>
      </c>
      <c r="F590" s="33">
        <v>40591</v>
      </c>
      <c r="G590" s="34">
        <f>IF(Tabela4[[#This Row],[Tipo]]="Dividendo",Tabela4[[#This Row],[Valor]],IF(Tabela4[[#This Row],[Tipo]]="Jrs. Cap. Próprio",Tabela4[[#This Row],[Valor]]*85%,0))</f>
        <v>0.20699999999999999</v>
      </c>
      <c r="I590" s="35" t="s">
        <v>58</v>
      </c>
      <c r="J590" s="35">
        <v>2000</v>
      </c>
      <c r="K590" s="34">
        <f>SUMPRODUCT(N(Tabela4[Ativo]=Tabela5[[#This Row],[Ativo]]),N(YEAR(Tabela4[Data ex-1])=Tabela5[[#This Row],[Ano]]),Tabela4[Líquido])</f>
        <v>7.4962499999999999</v>
      </c>
      <c r="L590" s="87"/>
      <c r="M590" s="87"/>
      <c r="N590" s="88">
        <f>IF(Tabela5[[#This Row],[Dividendos]]&gt;0,Tabela5[[#This Row],[Dividendos]]/Tabela5[[#This Row],[Lucro Líquido]],0)</f>
        <v>0</v>
      </c>
      <c r="O590" s="23"/>
      <c r="P590" s="10"/>
    </row>
    <row r="591" spans="1:16" x14ac:dyDescent="0.2">
      <c r="A591" s="35" t="s">
        <v>68</v>
      </c>
      <c r="B591" s="31" t="s">
        <v>14</v>
      </c>
      <c r="C591" s="32">
        <v>40595</v>
      </c>
      <c r="D591" s="34">
        <v>2.5499999999999998E-2</v>
      </c>
      <c r="E591" s="33">
        <v>40612</v>
      </c>
      <c r="F591" s="33">
        <v>40591</v>
      </c>
      <c r="G591" s="34">
        <f>IF(Tabela4[[#This Row],[Tipo]]="Dividendo",Tabela4[[#This Row],[Valor]],IF(Tabela4[[#This Row],[Tipo]]="Jrs. Cap. Próprio",Tabela4[[#This Row],[Valor]]*85%,0))</f>
        <v>2.1674999999999996E-2</v>
      </c>
      <c r="I591" s="35" t="s">
        <v>59</v>
      </c>
      <c r="J591" s="35">
        <v>2013</v>
      </c>
      <c r="K591" s="38">
        <f>SUMPRODUCT(N(Tabela4[Ativo]=Tabela5[[#This Row],[Ativo]]),N(YEAR(Tabela4[Data ex-1])=Tabela5[[#This Row],[Ano]]),Tabela4[Líquido])</f>
        <v>0.66053499999999998</v>
      </c>
      <c r="L591" s="43"/>
      <c r="M591" s="43"/>
      <c r="N591" s="75">
        <f>IF(Tabela5[[#This Row],[Dividendos]]&gt;0,Tabela5[[#This Row],[Dividendos]]/Tabela5[[#This Row],[Lucro Líquido]],0)</f>
        <v>0</v>
      </c>
      <c r="O591" s="23">
        <v>0.39929999999999999</v>
      </c>
      <c r="P591" s="10"/>
    </row>
    <row r="592" spans="1:16" x14ac:dyDescent="0.2">
      <c r="A592" s="35" t="s">
        <v>68</v>
      </c>
      <c r="B592" s="31" t="s">
        <v>14</v>
      </c>
      <c r="C592" s="32">
        <v>40533</v>
      </c>
      <c r="D592" s="34">
        <v>1.6199999999999999E-2</v>
      </c>
      <c r="E592" s="33">
        <v>40562</v>
      </c>
      <c r="F592" s="33">
        <v>40528</v>
      </c>
      <c r="G592" s="34">
        <f>IF(Tabela4[[#This Row],[Tipo]]="Dividendo",Tabela4[[#This Row],[Valor]],IF(Tabela4[[#This Row],[Tipo]]="Jrs. Cap. Próprio",Tabela4[[#This Row],[Valor]]*85%,0))</f>
        <v>1.3769999999999999E-2</v>
      </c>
      <c r="I592" s="35" t="s">
        <v>59</v>
      </c>
      <c r="J592" s="35">
        <v>2012</v>
      </c>
      <c r="K592" s="38">
        <f>SUMPRODUCT(N(Tabela4[Ativo]=Tabela5[[#This Row],[Ativo]]),N(YEAR(Tabela4[Data ex-1])=Tabela5[[#This Row],[Ano]]),Tabela4[Líquido])</f>
        <v>0.4627</v>
      </c>
      <c r="L592" s="43"/>
      <c r="M592" s="43"/>
      <c r="N592" s="75">
        <f>IF(Tabela5[[#This Row],[Dividendos]]&gt;0,Tabela5[[#This Row],[Dividendos]]/Tabela5[[#This Row],[Lucro Líquido]],0)</f>
        <v>0</v>
      </c>
      <c r="O592" s="23">
        <v>0.2</v>
      </c>
      <c r="P592" s="10"/>
    </row>
    <row r="593" spans="1:16" x14ac:dyDescent="0.2">
      <c r="A593" s="35" t="s">
        <v>68</v>
      </c>
      <c r="B593" s="31" t="s">
        <v>15</v>
      </c>
      <c r="C593" s="32">
        <v>40493</v>
      </c>
      <c r="D593" s="34">
        <v>0.1191</v>
      </c>
      <c r="E593" s="33">
        <v>40507</v>
      </c>
      <c r="F593" s="33">
        <v>40491</v>
      </c>
      <c r="G593" s="34">
        <f>IF(Tabela4[[#This Row],[Tipo]]="Dividendo",Tabela4[[#This Row],[Valor]],IF(Tabela4[[#This Row],[Tipo]]="Jrs. Cap. Próprio",Tabela4[[#This Row],[Valor]]*85%,0))</f>
        <v>0.1191</v>
      </c>
      <c r="I593" s="35" t="s">
        <v>59</v>
      </c>
      <c r="J593" s="35">
        <v>2011</v>
      </c>
      <c r="K593" s="34">
        <f>SUMPRODUCT(N(Tabela4[Ativo]=Tabela5[[#This Row],[Ativo]]),N(YEAR(Tabela4[Data ex-1])=Tabela5[[#This Row],[Ano]]),Tabela4[Líquido])</f>
        <v>0.76399499999999998</v>
      </c>
      <c r="L593" s="87"/>
      <c r="M593" s="87"/>
      <c r="N593" s="88">
        <f>IF(Tabela5[[#This Row],[Dividendos]]&gt;0,Tabela5[[#This Row],[Dividendos]]/Tabela5[[#This Row],[Lucro Líquido]],0)</f>
        <v>0</v>
      </c>
      <c r="O593" s="23">
        <v>0.41</v>
      </c>
      <c r="P593" s="10"/>
    </row>
    <row r="594" spans="1:16" x14ac:dyDescent="0.2">
      <c r="A594" s="35" t="s">
        <v>68</v>
      </c>
      <c r="B594" s="31" t="s">
        <v>14</v>
      </c>
      <c r="C594" s="32">
        <v>40413</v>
      </c>
      <c r="D594" s="34">
        <v>2.24E-2</v>
      </c>
      <c r="E594" s="33">
        <v>40431</v>
      </c>
      <c r="F594" s="33">
        <v>40402</v>
      </c>
      <c r="G594" s="34">
        <f>IF(Tabela4[[#This Row],[Tipo]]="Dividendo",Tabela4[[#This Row],[Valor]],IF(Tabela4[[#This Row],[Tipo]]="Jrs. Cap. Próprio",Tabela4[[#This Row],[Valor]]*85%,0))</f>
        <v>1.9039999999999998E-2</v>
      </c>
      <c r="I594" s="35" t="s">
        <v>59</v>
      </c>
      <c r="J594" s="35">
        <v>2010</v>
      </c>
      <c r="K594" s="34">
        <f>SUMPRODUCT(N(Tabela4[Ativo]=Tabela5[[#This Row],[Ativo]]),N(YEAR(Tabela4[Data ex-1])=Tabela5[[#This Row],[Ano]]),Tabela4[Líquido])</f>
        <v>0.8643550000000001</v>
      </c>
      <c r="L594" s="87"/>
      <c r="M594" s="87"/>
      <c r="N594" s="88">
        <f>IF(Tabela5[[#This Row],[Dividendos]]&gt;0,Tabela5[[#This Row],[Dividendos]]/Tabela5[[#This Row],[Lucro Líquido]],0)</f>
        <v>0</v>
      </c>
      <c r="O594" s="23">
        <v>0.36</v>
      </c>
      <c r="P594" s="10"/>
    </row>
    <row r="595" spans="1:16" x14ac:dyDescent="0.2">
      <c r="A595" s="35" t="s">
        <v>68</v>
      </c>
      <c r="B595" s="31" t="s">
        <v>15</v>
      </c>
      <c r="C595" s="32">
        <v>40413</v>
      </c>
      <c r="D595" s="34">
        <v>9.9000000000000005E-2</v>
      </c>
      <c r="E595" s="33">
        <v>40431</v>
      </c>
      <c r="F595" s="33">
        <v>40402</v>
      </c>
      <c r="G595" s="34">
        <f>IF(Tabela4[[#This Row],[Tipo]]="Dividendo",Tabela4[[#This Row],[Valor]],IF(Tabela4[[#This Row],[Tipo]]="Jrs. Cap. Próprio",Tabela4[[#This Row],[Valor]]*85%,0))</f>
        <v>9.9000000000000005E-2</v>
      </c>
      <c r="I595" s="35" t="s">
        <v>59</v>
      </c>
      <c r="J595" s="35">
        <v>2009</v>
      </c>
      <c r="K595" s="34">
        <f>SUMPRODUCT(N(Tabela4[Ativo]=Tabela5[[#This Row],[Ativo]]),N(YEAR(Tabela4[Data ex-1])=Tabela5[[#This Row],[Ano]]),Tabela4[Líquido])</f>
        <v>0.93540000000000001</v>
      </c>
      <c r="L595" s="87"/>
      <c r="M595" s="87"/>
      <c r="N595" s="88">
        <f>IF(Tabela5[[#This Row],[Dividendos]]&gt;0,Tabela5[[#This Row],[Dividendos]]/Tabela5[[#This Row],[Lucro Líquido]],0)</f>
        <v>0</v>
      </c>
      <c r="O595" s="23">
        <v>0.3</v>
      </c>
      <c r="P595" s="10"/>
    </row>
    <row r="596" spans="1:16" x14ac:dyDescent="0.2">
      <c r="A596" s="35" t="s">
        <v>68</v>
      </c>
      <c r="B596" s="31" t="s">
        <v>14</v>
      </c>
      <c r="C596" s="32">
        <v>40310</v>
      </c>
      <c r="D596" s="34">
        <v>6.8199999999999997E-2</v>
      </c>
      <c r="E596" s="33">
        <v>40325</v>
      </c>
      <c r="F596" s="33">
        <v>40309</v>
      </c>
      <c r="G596" s="34">
        <f>IF(Tabela4[[#This Row],[Tipo]]="Dividendo",Tabela4[[#This Row],[Valor]],IF(Tabela4[[#This Row],[Tipo]]="Jrs. Cap. Próprio",Tabela4[[#This Row],[Valor]]*85%,0))</f>
        <v>5.7969999999999994E-2</v>
      </c>
      <c r="I596" s="35" t="s">
        <v>59</v>
      </c>
      <c r="J596" s="35">
        <v>2008</v>
      </c>
      <c r="K596" s="34">
        <f>SUMPRODUCT(N(Tabela4[Ativo]=Tabela5[[#This Row],[Ativo]]),N(YEAR(Tabela4[Data ex-1])=Tabela5[[#This Row],[Ano]]),Tabela4[Líquido])</f>
        <v>1.11816</v>
      </c>
      <c r="L596" s="87"/>
      <c r="M596" s="87"/>
      <c r="N596" s="88">
        <f>IF(Tabela5[[#This Row],[Dividendos]]&gt;0,Tabela5[[#This Row],[Dividendos]]/Tabela5[[#This Row],[Lucro Líquido]],0)</f>
        <v>0</v>
      </c>
      <c r="O596" s="23">
        <v>0.23</v>
      </c>
      <c r="P596" s="10"/>
    </row>
    <row r="597" spans="1:16" x14ac:dyDescent="0.2">
      <c r="A597" s="35" t="s">
        <v>68</v>
      </c>
      <c r="B597" s="31" t="s">
        <v>15</v>
      </c>
      <c r="C597" s="32">
        <v>40298</v>
      </c>
      <c r="D597" s="34">
        <v>0.1235</v>
      </c>
      <c r="E597" s="33">
        <v>40312</v>
      </c>
      <c r="F597" s="33">
        <v>40288</v>
      </c>
      <c r="G597" s="34">
        <f>IF(Tabela4[[#This Row],[Tipo]]="Dividendo",Tabela4[[#This Row],[Valor]],IF(Tabela4[[#This Row],[Tipo]]="Jrs. Cap. Próprio",Tabela4[[#This Row],[Valor]]*85%,0))</f>
        <v>0.1235</v>
      </c>
      <c r="I597" s="35" t="s">
        <v>59</v>
      </c>
      <c r="J597" s="35">
        <v>2007</v>
      </c>
      <c r="K597" s="34">
        <f>SUMPRODUCT(N(Tabela4[Ativo]=Tabela5[[#This Row],[Ativo]]),N(YEAR(Tabela4[Data ex-1])=Tabela5[[#This Row],[Ano]]),Tabela4[Líquido])</f>
        <v>1.2105999999999999</v>
      </c>
      <c r="L597" s="87"/>
      <c r="M597" s="87"/>
      <c r="N597" s="88">
        <f>IF(Tabela5[[#This Row],[Dividendos]]&gt;0,Tabela5[[#This Row],[Dividendos]]/Tabela5[[#This Row],[Lucro Líquido]],0)</f>
        <v>0</v>
      </c>
      <c r="O597" s="23">
        <v>0.33</v>
      </c>
      <c r="P597" s="10"/>
    </row>
    <row r="598" spans="1:16" x14ac:dyDescent="0.2">
      <c r="A598" s="35" t="s">
        <v>68</v>
      </c>
      <c r="B598" s="31" t="s">
        <v>14</v>
      </c>
      <c r="C598" s="32">
        <v>40267</v>
      </c>
      <c r="D598" s="34">
        <v>2.9899999999999999E-2</v>
      </c>
      <c r="E598" s="33">
        <v>40281</v>
      </c>
      <c r="F598" s="33">
        <v>40262</v>
      </c>
      <c r="G598" s="34">
        <f>IF(Tabela4[[#This Row],[Tipo]]="Dividendo",Tabela4[[#This Row],[Valor]],IF(Tabela4[[#This Row],[Tipo]]="Jrs. Cap. Próprio",Tabela4[[#This Row],[Valor]]*85%,0))</f>
        <v>2.5415E-2</v>
      </c>
      <c r="I598" s="35" t="s">
        <v>59</v>
      </c>
      <c r="J598" s="35">
        <v>2006</v>
      </c>
      <c r="K598" s="34">
        <f>SUMPRODUCT(N(Tabela4[Ativo]=Tabela5[[#This Row],[Ativo]]),N(YEAR(Tabela4[Data ex-1])=Tabela5[[#This Row],[Ano]]),Tabela4[Líquido])</f>
        <v>1.8179400000000001</v>
      </c>
      <c r="L598" s="87"/>
      <c r="M598" s="87"/>
      <c r="N598" s="88">
        <f>IF(Tabela5[[#This Row],[Dividendos]]&gt;0,Tabela5[[#This Row],[Dividendos]]/Tabela5[[#This Row],[Lucro Líquido]],0)</f>
        <v>0</v>
      </c>
      <c r="O598" s="23">
        <v>0.34</v>
      </c>
      <c r="P598" s="10"/>
    </row>
    <row r="599" spans="1:16" x14ac:dyDescent="0.2">
      <c r="A599" s="35" t="s">
        <v>68</v>
      </c>
      <c r="B599" s="31" t="s">
        <v>14</v>
      </c>
      <c r="C599" s="32">
        <v>40235</v>
      </c>
      <c r="D599" s="34">
        <v>1.4999999999999999E-2</v>
      </c>
      <c r="E599" s="33">
        <v>40248</v>
      </c>
      <c r="F599" s="33">
        <v>40232</v>
      </c>
      <c r="G599" s="34">
        <f>IF(Tabela4[[#This Row],[Tipo]]="Dividendo",Tabela4[[#This Row],[Valor]],IF(Tabela4[[#This Row],[Tipo]]="Jrs. Cap. Próprio",Tabela4[[#This Row],[Valor]]*85%,0))</f>
        <v>1.2749999999999999E-2</v>
      </c>
      <c r="I599" s="35" t="s">
        <v>59</v>
      </c>
      <c r="J599" s="35">
        <v>2005</v>
      </c>
      <c r="K599" s="34">
        <f>SUMPRODUCT(N(Tabela4[Ativo]=Tabela5[[#This Row],[Ativo]]),N(YEAR(Tabela4[Data ex-1])=Tabela5[[#This Row],[Ano]]),Tabela4[Líquido])</f>
        <v>3.6380850000000002</v>
      </c>
      <c r="L599" s="87"/>
      <c r="M599" s="87"/>
      <c r="N599" s="88">
        <f>IF(Tabela5[[#This Row],[Dividendos]]&gt;0,Tabela5[[#This Row],[Dividendos]]/Tabela5[[#This Row],[Lucro Líquido]],0)</f>
        <v>0</v>
      </c>
      <c r="O599" s="23">
        <v>1.1000000000000001</v>
      </c>
      <c r="P599" s="10"/>
    </row>
    <row r="600" spans="1:16" x14ac:dyDescent="0.2">
      <c r="A600" s="35" t="s">
        <v>68</v>
      </c>
      <c r="B600" s="31" t="s">
        <v>14</v>
      </c>
      <c r="C600" s="32">
        <v>40169</v>
      </c>
      <c r="D600" s="34">
        <v>0.01</v>
      </c>
      <c r="E600" s="33">
        <v>40186</v>
      </c>
      <c r="F600" s="33">
        <v>40164</v>
      </c>
      <c r="G600" s="34">
        <f>IF(Tabela4[[#This Row],[Tipo]]="Dividendo",Tabela4[[#This Row],[Valor]],IF(Tabela4[[#This Row],[Tipo]]="Jrs. Cap. Próprio",Tabela4[[#This Row],[Valor]]*85%,0))</f>
        <v>8.5000000000000006E-3</v>
      </c>
      <c r="I600" s="35" t="s">
        <v>59</v>
      </c>
      <c r="J600" s="35">
        <v>2004</v>
      </c>
      <c r="K600" s="34">
        <f>SUMPRODUCT(N(Tabela4[Ativo]=Tabela5[[#This Row],[Ativo]]),N(YEAR(Tabela4[Data ex-1])=Tabela5[[#This Row],[Ano]]),Tabela4[Líquido])</f>
        <v>4.6014999999999997</v>
      </c>
      <c r="L600" s="87"/>
      <c r="M600" s="87"/>
      <c r="N600" s="88">
        <f>IF(Tabela5[[#This Row],[Dividendos]]&gt;0,Tabela5[[#This Row],[Dividendos]]/Tabela5[[#This Row],[Lucro Líquido]],0)</f>
        <v>0</v>
      </c>
      <c r="O600" s="23">
        <v>2.0299999999999998</v>
      </c>
      <c r="P600" s="10"/>
    </row>
    <row r="601" spans="1:16" x14ac:dyDescent="0.2">
      <c r="A601" s="35" t="s">
        <v>68</v>
      </c>
      <c r="B601" s="31" t="s">
        <v>15</v>
      </c>
      <c r="C601" s="32">
        <v>40129</v>
      </c>
      <c r="D601" s="34">
        <v>7.4899999999999994E-2</v>
      </c>
      <c r="E601" s="33">
        <v>40141</v>
      </c>
      <c r="F601" s="33">
        <v>40127</v>
      </c>
      <c r="G601" s="34">
        <f>IF(Tabela4[[#This Row],[Tipo]]="Dividendo",Tabela4[[#This Row],[Valor]],IF(Tabela4[[#This Row],[Tipo]]="Jrs. Cap. Próprio",Tabela4[[#This Row],[Valor]]*85%,0))</f>
        <v>7.4899999999999994E-2</v>
      </c>
      <c r="I601" s="35" t="s">
        <v>59</v>
      </c>
      <c r="J601" s="35">
        <v>2003</v>
      </c>
      <c r="K601" s="34">
        <f>SUMPRODUCT(N(Tabela4[Ativo]=Tabela5[[#This Row],[Ativo]]),N(YEAR(Tabela4[Data ex-1])=Tabela5[[#This Row],[Ano]]),Tabela4[Líquido])</f>
        <v>4.0132499999999993</v>
      </c>
      <c r="L601" s="87"/>
      <c r="M601" s="87"/>
      <c r="N601" s="88">
        <f>IF(Tabela5[[#This Row],[Dividendos]]&gt;0,Tabela5[[#This Row],[Dividendos]]/Tabela5[[#This Row],[Lucro Líquido]],0)</f>
        <v>0</v>
      </c>
      <c r="O601" s="23">
        <v>1.7</v>
      </c>
      <c r="P601" s="10"/>
    </row>
    <row r="602" spans="1:16" x14ac:dyDescent="0.2">
      <c r="A602" s="35" t="s">
        <v>68</v>
      </c>
      <c r="B602" s="31" t="s">
        <v>14</v>
      </c>
      <c r="C602" s="32">
        <v>40039</v>
      </c>
      <c r="D602" s="34">
        <v>7.0699999999999999E-2</v>
      </c>
      <c r="E602" s="33">
        <v>40051</v>
      </c>
      <c r="F602" s="33">
        <v>40036</v>
      </c>
      <c r="G602" s="34">
        <f>IF(Tabela4[[#This Row],[Tipo]]="Dividendo",Tabela4[[#This Row],[Valor]],IF(Tabela4[[#This Row],[Tipo]]="Jrs. Cap. Próprio",Tabela4[[#This Row],[Valor]]*85%,0))</f>
        <v>6.0094999999999996E-2</v>
      </c>
      <c r="I602" s="35" t="s">
        <v>59</v>
      </c>
      <c r="J602" s="35">
        <v>2002</v>
      </c>
      <c r="K602" s="34">
        <f>SUMPRODUCT(N(Tabela4[Ativo]=Tabela5[[#This Row],[Ativo]]),N(YEAR(Tabela4[Data ex-1])=Tabela5[[#This Row],[Ano]]),Tabela4[Líquido])</f>
        <v>2.9897499999999999</v>
      </c>
      <c r="L602" s="87"/>
      <c r="M602" s="87"/>
      <c r="N602" s="88">
        <f>IF(Tabela5[[#This Row],[Dividendos]]&gt;0,Tabela5[[#This Row],[Dividendos]]/Tabela5[[#This Row],[Lucro Líquido]],0)</f>
        <v>0</v>
      </c>
      <c r="O602" s="23">
        <v>2.62</v>
      </c>
      <c r="P602" s="10"/>
    </row>
    <row r="603" spans="1:16" x14ac:dyDescent="0.2">
      <c r="A603" s="35" t="s">
        <v>68</v>
      </c>
      <c r="B603" s="31" t="s">
        <v>15</v>
      </c>
      <c r="C603" s="32">
        <v>40039</v>
      </c>
      <c r="D603" s="34">
        <v>1.67E-2</v>
      </c>
      <c r="E603" s="33">
        <v>40051</v>
      </c>
      <c r="F603" s="33">
        <v>40036</v>
      </c>
      <c r="G603" s="34">
        <f>IF(Tabela4[[#This Row],[Tipo]]="Dividendo",Tabela4[[#This Row],[Valor]],IF(Tabela4[[#This Row],[Tipo]]="Jrs. Cap. Próprio",Tabela4[[#This Row],[Valor]]*85%,0))</f>
        <v>1.67E-2</v>
      </c>
      <c r="I603" s="35" t="s">
        <v>59</v>
      </c>
      <c r="J603" s="35">
        <v>2001</v>
      </c>
      <c r="K603" s="34">
        <f>SUMPRODUCT(N(Tabela4[Ativo]=Tabela5[[#This Row],[Ativo]]),N(YEAR(Tabela4[Data ex-1])=Tabela5[[#This Row],[Ano]]),Tabela4[Líquido])</f>
        <v>2.9512499999999999</v>
      </c>
      <c r="L603" s="87"/>
      <c r="M603" s="87"/>
      <c r="N603" s="88">
        <f>IF(Tabela5[[#This Row],[Dividendos]]&gt;0,Tabela5[[#This Row],[Dividendos]]/Tabela5[[#This Row],[Lucro Líquido]],0)</f>
        <v>0</v>
      </c>
      <c r="O603" s="23">
        <v>2.21</v>
      </c>
      <c r="P603" s="10"/>
    </row>
    <row r="604" spans="1:16" x14ac:dyDescent="0.2">
      <c r="A604" s="35" t="s">
        <v>68</v>
      </c>
      <c r="B604" s="31" t="s">
        <v>14</v>
      </c>
      <c r="C604" s="32">
        <v>39948</v>
      </c>
      <c r="D604" s="34">
        <v>5.5899999999999998E-2</v>
      </c>
      <c r="E604" s="33">
        <v>39962</v>
      </c>
      <c r="F604" s="33">
        <v>39945</v>
      </c>
      <c r="G604" s="34">
        <f>IF(Tabela4[[#This Row],[Tipo]]="Dividendo",Tabela4[[#This Row],[Valor]],IF(Tabela4[[#This Row],[Tipo]]="Jrs. Cap. Próprio",Tabela4[[#This Row],[Valor]]*85%,0))</f>
        <v>4.7514999999999995E-2</v>
      </c>
      <c r="I604" s="35" t="s">
        <v>59</v>
      </c>
      <c r="J604" s="35">
        <v>2000</v>
      </c>
      <c r="K604" s="34">
        <f>SUMPRODUCT(N(Tabela4[Ativo]=Tabela5[[#This Row],[Ativo]]),N(YEAR(Tabela4[Data ex-1])=Tabela5[[#This Row],[Ano]]),Tabela4[Líquido])</f>
        <v>7.4962499999999999</v>
      </c>
      <c r="L604" s="87"/>
      <c r="M604" s="87"/>
      <c r="N604" s="88">
        <f>IF(Tabela5[[#This Row],[Dividendos]]&gt;0,Tabela5[[#This Row],[Dividendos]]/Tabela5[[#This Row],[Lucro Líquido]],0)</f>
        <v>0</v>
      </c>
      <c r="O604" s="23"/>
      <c r="P604" s="10"/>
    </row>
    <row r="605" spans="1:16" x14ac:dyDescent="0.2">
      <c r="A605" s="35" t="s">
        <v>68</v>
      </c>
      <c r="B605" s="31" t="s">
        <v>15</v>
      </c>
      <c r="C605" s="32">
        <v>39933</v>
      </c>
      <c r="D605" s="34">
        <v>3.0300000000000001E-2</v>
      </c>
      <c r="E605" s="33">
        <v>39945</v>
      </c>
      <c r="F605" s="33">
        <v>39889</v>
      </c>
      <c r="G605" s="34">
        <f>IF(Tabela4[[#This Row],[Tipo]]="Dividendo",Tabela4[[#This Row],[Valor]],IF(Tabela4[[#This Row],[Tipo]]="Jrs. Cap. Próprio",Tabela4[[#This Row],[Valor]]*85%,0))</f>
        <v>3.0300000000000001E-2</v>
      </c>
      <c r="I605" s="3" t="s">
        <v>238</v>
      </c>
      <c r="J605" s="3">
        <v>2013</v>
      </c>
      <c r="K605" s="10">
        <f>SUMPRODUCT(N(Tabela4[Ativo]=Tabela5[[#This Row],[Ativo]]),N(YEAR(Tabela4[Data ex-1])=Tabela5[[#This Row],[Ano]]),Tabela4[Líquido])</f>
        <v>0.76332999999999995</v>
      </c>
      <c r="N605" s="23">
        <f>IF(Tabela5[[#This Row],[Dividendos]]&gt;0,Tabela5[[#This Row],[Dividendos]]/Tabela5[[#This Row],[Lucro Líquido]],0)</f>
        <v>0</v>
      </c>
      <c r="O605" s="28">
        <v>0.71009999999999995</v>
      </c>
      <c r="P605" s="10"/>
    </row>
    <row r="606" spans="1:16" x14ac:dyDescent="0.2">
      <c r="A606" s="35" t="s">
        <v>68</v>
      </c>
      <c r="B606" s="31" t="s">
        <v>14</v>
      </c>
      <c r="C606" s="32">
        <v>39812</v>
      </c>
      <c r="D606" s="34">
        <v>6.9199999999999998E-2</v>
      </c>
      <c r="E606" s="33">
        <v>39918</v>
      </c>
      <c r="F606" s="33">
        <v>39801</v>
      </c>
      <c r="G606" s="34">
        <f>IF(Tabela4[[#This Row],[Tipo]]="Dividendo",Tabela4[[#This Row],[Valor]],IF(Tabela4[[#This Row],[Tipo]]="Jrs. Cap. Próprio",Tabela4[[#This Row],[Valor]]*85%,0))</f>
        <v>5.8819999999999997E-2</v>
      </c>
      <c r="I606" s="3" t="s">
        <v>238</v>
      </c>
      <c r="J606" s="3">
        <v>2012</v>
      </c>
      <c r="K606" s="10">
        <f>SUMPRODUCT(N(Tabela4[Ativo]=Tabela5[[#This Row],[Ativo]]),N(YEAR(Tabela4[Data ex-1])=Tabela5[[#This Row],[Ano]]),Tabela4[Líquido])</f>
        <v>0.89859499999999992</v>
      </c>
      <c r="N606" s="23">
        <f>IF(Tabela5[[#This Row],[Dividendos]]&gt;0,Tabela5[[#This Row],[Dividendos]]/Tabela5[[#This Row],[Lucro Líquido]],0)</f>
        <v>0</v>
      </c>
      <c r="O606" s="28">
        <v>0.52</v>
      </c>
      <c r="P606" s="10"/>
    </row>
    <row r="607" spans="1:16" x14ac:dyDescent="0.2">
      <c r="A607" s="35" t="s">
        <v>68</v>
      </c>
      <c r="B607" s="31" t="s">
        <v>14</v>
      </c>
      <c r="C607" s="32">
        <v>39685</v>
      </c>
      <c r="D607" s="34">
        <v>7.2999999999999995E-2</v>
      </c>
      <c r="E607" s="33">
        <v>39693</v>
      </c>
      <c r="F607" s="33">
        <v>39674</v>
      </c>
      <c r="G607" s="34">
        <f>IF(Tabela4[[#This Row],[Tipo]]="Dividendo",Tabela4[[#This Row],[Valor]],IF(Tabela4[[#This Row],[Tipo]]="Jrs. Cap. Próprio",Tabela4[[#This Row],[Valor]]*85%,0))</f>
        <v>6.2049999999999994E-2</v>
      </c>
      <c r="I607" s="3" t="s">
        <v>238</v>
      </c>
      <c r="J607" s="3">
        <v>2011</v>
      </c>
      <c r="K607" s="10">
        <f>SUMPRODUCT(N(Tabela4[Ativo]=Tabela5[[#This Row],[Ativo]]),N(YEAR(Tabela4[Data ex-1])=Tabela5[[#This Row],[Ano]]),Tabela4[Líquido])</f>
        <v>0.97699499999999995</v>
      </c>
      <c r="N607" s="23">
        <f>IF(Tabela5[[#This Row],[Dividendos]]&gt;0,Tabela5[[#This Row],[Dividendos]]/Tabela5[[#This Row],[Lucro Líquido]],0)</f>
        <v>0</v>
      </c>
      <c r="O607" s="28"/>
      <c r="P607" s="10"/>
    </row>
    <row r="608" spans="1:16" x14ac:dyDescent="0.2">
      <c r="A608" s="35" t="s">
        <v>68</v>
      </c>
      <c r="B608" s="31" t="s">
        <v>15</v>
      </c>
      <c r="C608" s="32">
        <v>39685</v>
      </c>
      <c r="D608" s="34">
        <v>7.0000000000000007E-2</v>
      </c>
      <c r="E608" s="33">
        <v>39693</v>
      </c>
      <c r="F608" s="33">
        <v>39674</v>
      </c>
      <c r="G608" s="34">
        <f>IF(Tabela4[[#This Row],[Tipo]]="Dividendo",Tabela4[[#This Row],[Valor]],IF(Tabela4[[#This Row],[Tipo]]="Jrs. Cap. Próprio",Tabela4[[#This Row],[Valor]]*85%,0))</f>
        <v>7.0000000000000007E-2</v>
      </c>
      <c r="I608" s="3" t="s">
        <v>238</v>
      </c>
      <c r="J608" s="3">
        <v>2010</v>
      </c>
      <c r="K608" s="10">
        <f>SUMPRODUCT(N(Tabela4[Ativo]=Tabela5[[#This Row],[Ativo]]),N(YEAR(Tabela4[Data ex-1])=Tabela5[[#This Row],[Ano]]),Tabela4[Líquido])</f>
        <v>0.8093499999999999</v>
      </c>
      <c r="N608" s="23">
        <f>IF(Tabela5[[#This Row],[Dividendos]]&gt;0,Tabela5[[#This Row],[Dividendos]]/Tabela5[[#This Row],[Lucro Líquido]],0)</f>
        <v>0</v>
      </c>
      <c r="O608" s="28"/>
      <c r="P608" s="10"/>
    </row>
    <row r="609" spans="1:16" x14ac:dyDescent="0.2">
      <c r="A609" s="4" t="s">
        <v>208</v>
      </c>
      <c r="B609" s="4" t="s">
        <v>15</v>
      </c>
      <c r="C609" s="19">
        <v>41394</v>
      </c>
      <c r="D609" s="3">
        <v>2.9872832200000001E-2</v>
      </c>
      <c r="E609" s="68">
        <v>41618</v>
      </c>
      <c r="F609" s="68">
        <v>41394</v>
      </c>
      <c r="G609" s="14">
        <f>IF(Tabela4[[#This Row],[Tipo]]="Dividendo",Tabela4[[#This Row],[Valor]],IF(Tabela4[[#This Row],[Tipo]]="Jrs. Cap. Próprio",Tabela4[[#This Row],[Valor]]*85%,0))</f>
        <v>2.9872832200000001E-2</v>
      </c>
      <c r="I609" s="3" t="s">
        <v>238</v>
      </c>
      <c r="J609" s="3">
        <v>2009</v>
      </c>
      <c r="K609" s="10">
        <f>SUMPRODUCT(N(Tabela4[Ativo]=Tabela5[[#This Row],[Ativo]]),N(YEAR(Tabela4[Data ex-1])=Tabela5[[#This Row],[Ano]]),Tabela4[Líquido])</f>
        <v>0.80384999999999995</v>
      </c>
      <c r="N609" s="23">
        <f>IF(Tabela5[[#This Row],[Dividendos]]&gt;0,Tabela5[[#This Row],[Dividendos]]/Tabela5[[#This Row],[Lucro Líquido]],0)</f>
        <v>0</v>
      </c>
      <c r="O609" s="28"/>
      <c r="P609" s="10"/>
    </row>
    <row r="610" spans="1:16" x14ac:dyDescent="0.2">
      <c r="A610" s="4" t="s">
        <v>208</v>
      </c>
      <c r="B610" s="3" t="s">
        <v>15</v>
      </c>
      <c r="C610" s="80">
        <v>41026</v>
      </c>
      <c r="D610" s="3">
        <v>6.0000000000000001E-3</v>
      </c>
      <c r="E610" s="81">
        <v>41253</v>
      </c>
      <c r="F610" s="81">
        <v>41026</v>
      </c>
      <c r="G610" s="10">
        <f>IF(Tabela4[[#This Row],[Tipo]]="Dividendo",Tabela4[[#This Row],[Valor]],IF(Tabela4[[#This Row],[Tipo]]="Jrs. Cap. Próprio",Tabela4[[#This Row],[Valor]]*85%,0))</f>
        <v>6.0000000000000001E-3</v>
      </c>
      <c r="I610" s="3" t="s">
        <v>238</v>
      </c>
      <c r="J610" s="3">
        <v>2008</v>
      </c>
      <c r="K610" s="10">
        <f>SUMPRODUCT(N(Tabela4[Ativo]=Tabela5[[#This Row],[Ativo]]),N(YEAR(Tabela4[Data ex-1])=Tabela5[[#This Row],[Ano]]),Tabela4[Líquido])</f>
        <v>0.80878000000000005</v>
      </c>
      <c r="N610" s="23">
        <f>IF(Tabela5[[#This Row],[Dividendos]]&gt;0,Tabela5[[#This Row],[Dividendos]]/Tabela5[[#This Row],[Lucro Líquido]],0)</f>
        <v>0</v>
      </c>
      <c r="O610" s="28"/>
      <c r="P610" s="10"/>
    </row>
    <row r="611" spans="1:16" x14ac:dyDescent="0.2">
      <c r="A611" s="4" t="s">
        <v>208</v>
      </c>
      <c r="B611" s="3" t="s">
        <v>15</v>
      </c>
      <c r="C611" s="80">
        <v>40662</v>
      </c>
      <c r="D611" s="3">
        <v>1.3100000000000001E-2</v>
      </c>
      <c r="E611" s="81">
        <v>40886</v>
      </c>
      <c r="F611" s="81">
        <v>40662</v>
      </c>
      <c r="G611" s="10">
        <f>IF(Tabela4[[#This Row],[Tipo]]="Dividendo",Tabela4[[#This Row],[Valor]],IF(Tabela4[[#This Row],[Tipo]]="Jrs. Cap. Próprio",Tabela4[[#This Row],[Valor]]*85%,0))</f>
        <v>1.3100000000000001E-2</v>
      </c>
      <c r="I611" s="3" t="s">
        <v>238</v>
      </c>
      <c r="J611" s="3">
        <v>2007</v>
      </c>
      <c r="K611" s="10">
        <f>SUMPRODUCT(N(Tabela4[Ativo]=Tabela5[[#This Row],[Ativo]]),N(YEAR(Tabela4[Data ex-1])=Tabela5[[#This Row],[Ano]]),Tabela4[Líquido])</f>
        <v>0.15325499999999997</v>
      </c>
      <c r="N611" s="23">
        <f>IF(Tabela5[[#This Row],[Dividendos]]&gt;0,Tabela5[[#This Row],[Dividendos]]/Tabela5[[#This Row],[Lucro Líquido]],0)</f>
        <v>0</v>
      </c>
      <c r="O611" s="28"/>
      <c r="P611" s="10"/>
    </row>
    <row r="612" spans="1:16" x14ac:dyDescent="0.2">
      <c r="A612" s="4" t="s">
        <v>208</v>
      </c>
      <c r="B612" s="3" t="s">
        <v>15</v>
      </c>
      <c r="C612" s="80">
        <v>40298</v>
      </c>
      <c r="D612" s="3">
        <v>2.9100000000000001E-2</v>
      </c>
      <c r="E612" s="81">
        <v>40350</v>
      </c>
      <c r="F612" s="81">
        <v>40298</v>
      </c>
      <c r="G612" s="10">
        <f>IF(Tabela4[[#This Row],[Tipo]]="Dividendo",Tabela4[[#This Row],[Valor]],IF(Tabela4[[#This Row],[Tipo]]="Jrs. Cap. Próprio",Tabela4[[#This Row],[Valor]]*85%,0))</f>
        <v>2.9100000000000001E-2</v>
      </c>
      <c r="I612" s="4" t="s">
        <v>30</v>
      </c>
      <c r="J612" s="4">
        <v>2013</v>
      </c>
      <c r="K612" s="14">
        <f>SUMPRODUCT(N(Tabela4[Ativo]=Tabela5[[#This Row],[Ativo]]),N(YEAR(Tabela4[Data ex-1])=Tabela5[[#This Row],[Ano]]),Tabela4[Líquido])</f>
        <v>7.4375000000000011E-2</v>
      </c>
      <c r="L612" s="6"/>
      <c r="M612" s="6"/>
      <c r="N612" s="24">
        <f>IF(Tabela5[[#This Row],[Dividendos]]&gt;0,Tabela5[[#This Row],[Dividendos]]/Tabela5[[#This Row],[Lucro Líquido]],0)</f>
        <v>0</v>
      </c>
      <c r="O612" s="23">
        <v>0.20180000000000001</v>
      </c>
      <c r="P612" s="10"/>
    </row>
    <row r="613" spans="1:16" x14ac:dyDescent="0.2">
      <c r="A613" s="4" t="s">
        <v>208</v>
      </c>
      <c r="B613" s="3" t="s">
        <v>15</v>
      </c>
      <c r="C613" s="80">
        <v>40134</v>
      </c>
      <c r="D613" s="3">
        <v>4.9299999999999997E-2</v>
      </c>
      <c r="E613" s="81">
        <v>40147</v>
      </c>
      <c r="F613" s="81">
        <v>40134</v>
      </c>
      <c r="G613" s="10">
        <f>IF(Tabela4[[#This Row],[Tipo]]="Dividendo",Tabela4[[#This Row],[Valor]],IF(Tabela4[[#This Row],[Tipo]]="Jrs. Cap. Próprio",Tabela4[[#This Row],[Valor]]*85%,0))</f>
        <v>4.9299999999999997E-2</v>
      </c>
      <c r="I613" s="4" t="s">
        <v>30</v>
      </c>
      <c r="J613" s="4">
        <v>2012</v>
      </c>
      <c r="K613" s="14">
        <f>SUMPRODUCT(N(Tabela4[Ativo]=Tabela5[[#This Row],[Ativo]]),N(YEAR(Tabela4[Data ex-1])=Tabela5[[#This Row],[Ano]]),Tabela4[Líquido])</f>
        <v>0.29885</v>
      </c>
      <c r="L613" s="6"/>
      <c r="M613" s="6"/>
      <c r="N613" s="24">
        <f>IF(Tabela5[[#This Row],[Dividendos]]&gt;0,Tabela5[[#This Row],[Dividendos]]/Tabela5[[#This Row],[Lucro Líquido]],0)</f>
        <v>0</v>
      </c>
      <c r="O613" s="23">
        <v>0.43</v>
      </c>
      <c r="P613" s="10"/>
    </row>
    <row r="614" spans="1:16" x14ac:dyDescent="0.2">
      <c r="A614" s="4" t="s">
        <v>208</v>
      </c>
      <c r="B614" s="3" t="s">
        <v>15</v>
      </c>
      <c r="C614" s="80">
        <v>39932</v>
      </c>
      <c r="D614" s="3">
        <v>2.3699999999999999E-2</v>
      </c>
      <c r="E614" s="81">
        <v>40116</v>
      </c>
      <c r="F614" s="81">
        <v>39932</v>
      </c>
      <c r="G614" s="10">
        <f>IF(Tabela4[[#This Row],[Tipo]]="Dividendo",Tabela4[[#This Row],[Valor]],IF(Tabela4[[#This Row],[Tipo]]="Jrs. Cap. Próprio",Tabela4[[#This Row],[Valor]]*85%,0))</f>
        <v>2.3699999999999999E-2</v>
      </c>
      <c r="I614" s="4" t="s">
        <v>30</v>
      </c>
      <c r="J614" s="4">
        <v>2011</v>
      </c>
      <c r="K614" s="10">
        <f>SUMPRODUCT(N(Tabela4[Ativo]=Tabela5[[#This Row],[Ativo]]),N(YEAR(Tabela4[Data ex-1])=Tabela5[[#This Row],[Ano]]),Tabela4[Líquido])</f>
        <v>0.35370000000000001</v>
      </c>
      <c r="N614" s="23">
        <f>IF(Tabela5[[#This Row],[Dividendos]]&gt;0,Tabela5[[#This Row],[Dividendos]]/Tabela5[[#This Row],[Lucro Líquido]],0)</f>
        <v>0</v>
      </c>
      <c r="O614" s="23">
        <v>0.44</v>
      </c>
      <c r="P614" s="10"/>
    </row>
    <row r="615" spans="1:16" x14ac:dyDescent="0.2">
      <c r="A615" s="4" t="s">
        <v>208</v>
      </c>
      <c r="B615" s="3" t="s">
        <v>15</v>
      </c>
      <c r="C615" s="80">
        <v>39567</v>
      </c>
      <c r="D615" s="3">
        <v>9.2999999999999992E-3</v>
      </c>
      <c r="E615" s="81">
        <v>39801</v>
      </c>
      <c r="F615" s="81">
        <v>39567</v>
      </c>
      <c r="G615" s="10">
        <f>IF(Tabela4[[#This Row],[Tipo]]="Dividendo",Tabela4[[#This Row],[Valor]],IF(Tabela4[[#This Row],[Tipo]]="Jrs. Cap. Próprio",Tabela4[[#This Row],[Valor]]*85%,0))</f>
        <v>9.2999999999999992E-3</v>
      </c>
      <c r="I615" s="4" t="s">
        <v>30</v>
      </c>
      <c r="J615" s="4">
        <v>2010</v>
      </c>
      <c r="K615" s="10">
        <f>SUMPRODUCT(N(Tabela4[Ativo]=Tabela5[[#This Row],[Ativo]]),N(YEAR(Tabela4[Data ex-1])=Tabela5[[#This Row],[Ano]]),Tabela4[Líquido])</f>
        <v>0.36274999999999996</v>
      </c>
      <c r="N615" s="23">
        <f>IF(Tabela5[[#This Row],[Dividendos]]&gt;0,Tabela5[[#This Row],[Dividendos]]/Tabela5[[#This Row],[Lucro Líquido]],0)</f>
        <v>0</v>
      </c>
      <c r="O615" s="23">
        <v>0.56000000000000005</v>
      </c>
      <c r="P615" s="10"/>
    </row>
    <row r="616" spans="1:16" x14ac:dyDescent="0.2">
      <c r="A616" s="4" t="s">
        <v>208</v>
      </c>
      <c r="B616" s="3" t="s">
        <v>15</v>
      </c>
      <c r="C616" s="80">
        <v>39202</v>
      </c>
      <c r="D616" s="3">
        <v>1.1599999999999999E-2</v>
      </c>
      <c r="E616" s="81">
        <v>39224</v>
      </c>
      <c r="F616" s="81">
        <v>39202</v>
      </c>
      <c r="G616" s="10">
        <f>IF(Tabela4[[#This Row],[Tipo]]="Dividendo",Tabela4[[#This Row],[Valor]],IF(Tabela4[[#This Row],[Tipo]]="Jrs. Cap. Próprio",Tabela4[[#This Row],[Valor]]*85%,0))</f>
        <v>1.1599999999999999E-2</v>
      </c>
      <c r="I616" s="4" t="s">
        <v>30</v>
      </c>
      <c r="J616" s="4">
        <v>2009</v>
      </c>
      <c r="K616" s="10">
        <f>SUMPRODUCT(N(Tabela4[Ativo]=Tabela5[[#This Row],[Ativo]]),N(YEAR(Tabela4[Data ex-1])=Tabela5[[#This Row],[Ano]]),Tabela4[Líquido])</f>
        <v>0.2928</v>
      </c>
      <c r="N616" s="23">
        <f>IF(Tabela5[[#This Row],[Dividendos]]&gt;0,Tabela5[[#This Row],[Dividendos]]/Tabela5[[#This Row],[Lucro Líquido]],0)</f>
        <v>0</v>
      </c>
      <c r="O616" s="23">
        <v>1.1399999999999999</v>
      </c>
      <c r="P616" s="10"/>
    </row>
    <row r="617" spans="1:16" x14ac:dyDescent="0.2">
      <c r="A617" s="4" t="s">
        <v>225</v>
      </c>
      <c r="B617" s="4" t="s">
        <v>15</v>
      </c>
      <c r="C617" s="19">
        <v>41394</v>
      </c>
      <c r="D617" s="3">
        <v>3.7692999999999999</v>
      </c>
      <c r="E617" s="68">
        <v>41628</v>
      </c>
      <c r="F617" s="68">
        <v>41394</v>
      </c>
      <c r="G617" s="14">
        <f>IF(Tabela4[[#This Row],[Tipo]]="Dividendo",Tabela4[[#This Row],[Valor]],IF(Tabela4[[#This Row],[Tipo]]="Jrs. Cap. Próprio",Tabela4[[#This Row],[Valor]]*85%,0))</f>
        <v>3.7692999999999999</v>
      </c>
      <c r="I617" s="4" t="s">
        <v>30</v>
      </c>
      <c r="J617" s="4">
        <v>2008</v>
      </c>
      <c r="K617" s="10">
        <f>SUMPRODUCT(N(Tabela4[Ativo]=Tabela5[[#This Row],[Ativo]]),N(YEAR(Tabela4[Data ex-1])=Tabela5[[#This Row],[Ano]]),Tabela4[Líquido])</f>
        <v>0.20862</v>
      </c>
      <c r="N617" s="23">
        <f>IF(Tabela5[[#This Row],[Dividendos]]&gt;0,Tabela5[[#This Row],[Dividendos]]/Tabela5[[#This Row],[Lucro Líquido]],0)</f>
        <v>0</v>
      </c>
      <c r="O617" s="23">
        <v>0.81</v>
      </c>
      <c r="P617" s="10"/>
    </row>
    <row r="618" spans="1:16" x14ac:dyDescent="0.2">
      <c r="A618" s="4" t="s">
        <v>225</v>
      </c>
      <c r="B618" s="3" t="s">
        <v>15</v>
      </c>
      <c r="C618" s="80">
        <v>40298</v>
      </c>
      <c r="D618" s="3">
        <v>0.68840000000000001</v>
      </c>
      <c r="E618" s="81">
        <v>40329</v>
      </c>
      <c r="F618" s="81">
        <v>40298</v>
      </c>
      <c r="G618" s="10">
        <f>IF(Tabela4[[#This Row],[Tipo]]="Dividendo",Tabela4[[#This Row],[Valor]],IF(Tabela4[[#This Row],[Tipo]]="Jrs. Cap. Próprio",Tabela4[[#This Row],[Valor]]*85%,0))</f>
        <v>0.68840000000000001</v>
      </c>
      <c r="I618" s="4" t="s">
        <v>30</v>
      </c>
      <c r="J618" s="4">
        <v>2007</v>
      </c>
      <c r="K618" s="10">
        <f>SUMPRODUCT(N(Tabela4[Ativo]=Tabela5[[#This Row],[Ativo]]),N(YEAR(Tabela4[Data ex-1])=Tabela5[[#This Row],[Ano]]),Tabela4[Líquido])</f>
        <v>0.31215499999999996</v>
      </c>
      <c r="N618" s="23">
        <f>IF(Tabela5[[#This Row],[Dividendos]]&gt;0,Tabela5[[#This Row],[Dividendos]]/Tabela5[[#This Row],[Lucro Líquido]],0)</f>
        <v>0</v>
      </c>
      <c r="O618" s="23">
        <v>1.03</v>
      </c>
      <c r="P618" s="10"/>
    </row>
    <row r="619" spans="1:16" x14ac:dyDescent="0.2">
      <c r="A619" s="4" t="s">
        <v>225</v>
      </c>
      <c r="B619" s="3" t="s">
        <v>15</v>
      </c>
      <c r="C619" s="80">
        <v>37391</v>
      </c>
      <c r="D619" s="3">
        <v>1.7585</v>
      </c>
      <c r="E619" s="81">
        <v>37452</v>
      </c>
      <c r="F619" s="81">
        <v>37391</v>
      </c>
      <c r="G619" s="10">
        <f>IF(Tabela4[[#This Row],[Tipo]]="Dividendo",Tabela4[[#This Row],[Valor]],IF(Tabela4[[#This Row],[Tipo]]="Jrs. Cap. Próprio",Tabela4[[#This Row],[Valor]]*85%,0))</f>
        <v>1.7585</v>
      </c>
      <c r="I619" s="4" t="s">
        <v>30</v>
      </c>
      <c r="J619" s="4">
        <v>2006</v>
      </c>
      <c r="K619" s="10">
        <f>SUMPRODUCT(N(Tabela4[Ativo]=Tabela5[[#This Row],[Ativo]]),N(YEAR(Tabela4[Data ex-1])=Tabela5[[#This Row],[Ano]]),Tabela4[Líquido])</f>
        <v>0.20058999999999999</v>
      </c>
      <c r="N619" s="23">
        <f>IF(Tabela5[[#This Row],[Dividendos]]&gt;0,Tabela5[[#This Row],[Dividendos]]/Tabela5[[#This Row],[Lucro Líquido]],0)</f>
        <v>0</v>
      </c>
      <c r="O619" s="23">
        <v>0.84</v>
      </c>
      <c r="P619" s="10"/>
    </row>
    <row r="620" spans="1:16" x14ac:dyDescent="0.2">
      <c r="A620" s="4" t="s">
        <v>225</v>
      </c>
      <c r="B620" s="3" t="s">
        <v>15</v>
      </c>
      <c r="C620" s="80">
        <v>37011</v>
      </c>
      <c r="D620" s="3">
        <v>0.67010000000000003</v>
      </c>
      <c r="E620" s="81">
        <v>37071</v>
      </c>
      <c r="F620" s="81">
        <v>37011</v>
      </c>
      <c r="G620" s="10">
        <f>IF(Tabela4[[#This Row],[Tipo]]="Dividendo",Tabela4[[#This Row],[Valor]],IF(Tabela4[[#This Row],[Tipo]]="Jrs. Cap. Próprio",Tabela4[[#This Row],[Valor]]*85%,0))</f>
        <v>0.67010000000000003</v>
      </c>
      <c r="I620" s="4" t="s">
        <v>30</v>
      </c>
      <c r="J620" s="4">
        <v>2005</v>
      </c>
      <c r="K620" s="10">
        <f>SUMPRODUCT(N(Tabela4[Ativo]=Tabela5[[#This Row],[Ativo]]),N(YEAR(Tabela4[Data ex-1])=Tabela5[[#This Row],[Ano]]),Tabela4[Líquido])</f>
        <v>0.32300000000000001</v>
      </c>
      <c r="N620" s="23">
        <f>IF(Tabela5[[#This Row],[Dividendos]]&gt;0,Tabela5[[#This Row],[Dividendos]]/Tabela5[[#This Row],[Lucro Líquido]],0)</f>
        <v>0</v>
      </c>
      <c r="O620" s="23">
        <v>2.11</v>
      </c>
      <c r="P620" s="10"/>
    </row>
    <row r="621" spans="1:16" x14ac:dyDescent="0.2">
      <c r="A621" s="4" t="s">
        <v>225</v>
      </c>
      <c r="B621" s="3" t="s">
        <v>15</v>
      </c>
      <c r="C621" s="80">
        <v>36642</v>
      </c>
      <c r="D621" s="3">
        <v>0.45390000000000003</v>
      </c>
      <c r="E621" s="81">
        <v>36703</v>
      </c>
      <c r="F621" s="81">
        <v>36642</v>
      </c>
      <c r="G621" s="10">
        <f>IF(Tabela4[[#This Row],[Tipo]]="Dividendo",Tabela4[[#This Row],[Valor]],IF(Tabela4[[#This Row],[Tipo]]="Jrs. Cap. Próprio",Tabela4[[#This Row],[Valor]]*85%,0))</f>
        <v>0.45390000000000003</v>
      </c>
      <c r="I621" s="4" t="s">
        <v>30</v>
      </c>
      <c r="J621" s="4">
        <v>2004</v>
      </c>
      <c r="K621" s="10">
        <f>SUMPRODUCT(N(Tabela4[Ativo]=Tabela5[[#This Row],[Ativo]]),N(YEAR(Tabela4[Data ex-1])=Tabela5[[#This Row],[Ano]]),Tabela4[Líquido])</f>
        <v>0.28900000000000003</v>
      </c>
      <c r="N621" s="23">
        <f>IF(Tabela5[[#This Row],[Dividendos]]&gt;0,Tabela5[[#This Row],[Dividendos]]/Tabela5[[#This Row],[Lucro Líquido]],0)</f>
        <v>0</v>
      </c>
      <c r="O621" s="23"/>
      <c r="P621" s="10"/>
    </row>
    <row r="622" spans="1:16" x14ac:dyDescent="0.2">
      <c r="A622" s="4" t="s">
        <v>225</v>
      </c>
      <c r="B622" s="3" t="s">
        <v>15</v>
      </c>
      <c r="C622" s="80">
        <v>36301</v>
      </c>
      <c r="D622" s="3">
        <v>1.1358999999999999</v>
      </c>
      <c r="E622" s="81">
        <v>36336</v>
      </c>
      <c r="F622" s="81">
        <v>36301</v>
      </c>
      <c r="G622" s="10">
        <f>IF(Tabela4[[#This Row],[Tipo]]="Dividendo",Tabela4[[#This Row],[Valor]],IF(Tabela4[[#This Row],[Tipo]]="Jrs. Cap. Próprio",Tabela4[[#This Row],[Valor]]*85%,0))</f>
        <v>1.1358999999999999</v>
      </c>
      <c r="I622" s="4" t="s">
        <v>30</v>
      </c>
      <c r="J622" s="4">
        <v>2003</v>
      </c>
      <c r="K622" s="10">
        <f>SUMPRODUCT(N(Tabela4[Ativo]=Tabela5[[#This Row],[Ativo]]),N(YEAR(Tabela4[Data ex-1])=Tabela5[[#This Row],[Ano]]),Tabela4[Líquido])</f>
        <v>0.30259999999999998</v>
      </c>
      <c r="N622" s="23">
        <f>IF(Tabela5[[#This Row],[Dividendos]]&gt;0,Tabela5[[#This Row],[Dividendos]]/Tabela5[[#This Row],[Lucro Líquido]],0)</f>
        <v>0</v>
      </c>
      <c r="O622" s="23"/>
      <c r="P622" s="10"/>
    </row>
    <row r="623" spans="1:16" x14ac:dyDescent="0.2">
      <c r="A623" s="4" t="s">
        <v>228</v>
      </c>
      <c r="B623" s="4" t="s">
        <v>15</v>
      </c>
      <c r="C623" s="19">
        <v>41390</v>
      </c>
      <c r="D623" s="3">
        <v>0.2024</v>
      </c>
      <c r="E623" s="68">
        <v>41409</v>
      </c>
      <c r="F623" s="68">
        <v>41390</v>
      </c>
      <c r="G623" s="14">
        <f>IF(Tabela4[[#This Row],[Tipo]]="Dividendo",Tabela4[[#This Row],[Valor]],IF(Tabela4[[#This Row],[Tipo]]="Jrs. Cap. Próprio",Tabela4[[#This Row],[Valor]]*85%,0))</f>
        <v>0.2024</v>
      </c>
      <c r="I623" s="4" t="s">
        <v>30</v>
      </c>
      <c r="J623" s="4">
        <v>2002</v>
      </c>
      <c r="K623" s="10">
        <f>SUMPRODUCT(N(Tabela4[Ativo]=Tabela5[[#This Row],[Ativo]]),N(YEAR(Tabela4[Data ex-1])=Tabela5[[#This Row],[Ano]]),Tabela4[Líquido])</f>
        <v>0.38309499999999996</v>
      </c>
      <c r="N623" s="23">
        <f>IF(Tabela5[[#This Row],[Dividendos]]&gt;0,Tabela5[[#This Row],[Dividendos]]/Tabela5[[#This Row],[Lucro Líquido]],0)</f>
        <v>0</v>
      </c>
      <c r="O623" s="23"/>
      <c r="P623" s="10"/>
    </row>
    <row r="624" spans="1:16" x14ac:dyDescent="0.2">
      <c r="A624" s="3" t="s">
        <v>228</v>
      </c>
      <c r="B624" s="3" t="s">
        <v>15</v>
      </c>
      <c r="C624" s="80">
        <v>41017</v>
      </c>
      <c r="D624" s="3">
        <v>0.77729999999999999</v>
      </c>
      <c r="E624" s="81">
        <v>41038</v>
      </c>
      <c r="F624" s="81">
        <v>41017</v>
      </c>
      <c r="G624" s="10">
        <f>IF(Tabela4[[#This Row],[Tipo]]="Dividendo",Tabela4[[#This Row],[Valor]],IF(Tabela4[[#This Row],[Tipo]]="Jrs. Cap. Próprio",Tabela4[[#This Row],[Valor]]*85%,0))</f>
        <v>0.77729999999999999</v>
      </c>
      <c r="I624" s="4" t="s">
        <v>30</v>
      </c>
      <c r="J624" s="4">
        <v>2001</v>
      </c>
      <c r="K624" s="10">
        <f>SUMPRODUCT(N(Tabela4[Ativo]=Tabela5[[#This Row],[Ativo]]),N(YEAR(Tabela4[Data ex-1])=Tabela5[[#This Row],[Ano]]),Tabela4[Líquido])</f>
        <v>0</v>
      </c>
      <c r="N624" s="23">
        <f>IF(Tabela5[[#This Row],[Dividendos]]&gt;0,Tabela5[[#This Row],[Dividendos]]/Tabela5[[#This Row],[Lucro Líquido]],0)</f>
        <v>0</v>
      </c>
      <c r="O624" s="23"/>
      <c r="P624" s="10"/>
    </row>
    <row r="625" spans="1:16" x14ac:dyDescent="0.2">
      <c r="A625" s="4" t="s">
        <v>228</v>
      </c>
      <c r="B625" s="3" t="s">
        <v>14</v>
      </c>
      <c r="C625" s="80">
        <v>40906</v>
      </c>
      <c r="D625" s="3">
        <v>0.30009999999999998</v>
      </c>
      <c r="E625" s="81"/>
      <c r="F625" s="81">
        <v>40906</v>
      </c>
      <c r="G625" s="10">
        <f>IF(Tabela4[[#This Row],[Tipo]]="Dividendo",Tabela4[[#This Row],[Valor]],IF(Tabela4[[#This Row],[Tipo]]="Jrs. Cap. Próprio",Tabela4[[#This Row],[Valor]]*85%,0))</f>
        <v>0.25508499999999995</v>
      </c>
      <c r="I625" s="4" t="s">
        <v>30</v>
      </c>
      <c r="J625" s="4">
        <v>2000</v>
      </c>
      <c r="K625" s="10">
        <f>SUMPRODUCT(N(Tabela4[Ativo]=Tabela5[[#This Row],[Ativo]]),N(YEAR(Tabela4[Data ex-1])=Tabela5[[#This Row],[Ano]]),Tabela4[Líquido])</f>
        <v>8.1259999999999999E-2</v>
      </c>
      <c r="N625" s="23">
        <f>IF(Tabela5[[#This Row],[Dividendos]]&gt;0,Tabela5[[#This Row],[Dividendos]]/Tabela5[[#This Row],[Lucro Líquido]],0)</f>
        <v>0</v>
      </c>
      <c r="O625" s="23"/>
      <c r="P625" s="10"/>
    </row>
    <row r="626" spans="1:16" x14ac:dyDescent="0.2">
      <c r="A626" s="3" t="s">
        <v>228</v>
      </c>
      <c r="B626" s="3" t="s">
        <v>14</v>
      </c>
      <c r="C626" s="80">
        <v>40816</v>
      </c>
      <c r="D626" s="3">
        <v>0.30009999999999998</v>
      </c>
      <c r="E626" s="81">
        <v>40856</v>
      </c>
      <c r="F626" s="81">
        <v>40816</v>
      </c>
      <c r="G626" s="10">
        <f>IF(Tabela4[[#This Row],[Tipo]]="Dividendo",Tabela4[[#This Row],[Valor]],IF(Tabela4[[#This Row],[Tipo]]="Jrs. Cap. Próprio",Tabela4[[#This Row],[Valor]]*85%,0))</f>
        <v>0.25508499999999995</v>
      </c>
      <c r="I626" s="4" t="s">
        <v>30</v>
      </c>
      <c r="J626" s="4">
        <v>1999</v>
      </c>
      <c r="K626" s="10">
        <f>SUMPRODUCT(N(Tabela4[Ativo]=Tabela5[[#This Row],[Ativo]]),N(YEAR(Tabela4[Data ex-1])=Tabela5[[#This Row],[Ano]]),Tabela4[Líquido])</f>
        <v>4.2075000000000001E-2</v>
      </c>
      <c r="N626" s="23">
        <f>IF(Tabela5[[#This Row],[Dividendos]]&gt;0,Tabela5[[#This Row],[Dividendos]]/Tabela5[[#This Row],[Lucro Líquido]],0)</f>
        <v>0</v>
      </c>
      <c r="O626" s="23"/>
      <c r="P626" s="10"/>
    </row>
    <row r="627" spans="1:16" x14ac:dyDescent="0.2">
      <c r="A627" s="4" t="s">
        <v>228</v>
      </c>
      <c r="B627" s="3" t="s">
        <v>15</v>
      </c>
      <c r="C627" s="80">
        <v>40784</v>
      </c>
      <c r="D627" s="3">
        <v>1.2732000000000001</v>
      </c>
      <c r="E627" s="81">
        <v>40800</v>
      </c>
      <c r="F627" s="81">
        <v>40784</v>
      </c>
      <c r="G627" s="10">
        <f>IF(Tabela4[[#This Row],[Tipo]]="Dividendo",Tabela4[[#This Row],[Valor]],IF(Tabela4[[#This Row],[Tipo]]="Jrs. Cap. Próprio",Tabela4[[#This Row],[Valor]]*85%,0))</f>
        <v>1.2732000000000001</v>
      </c>
      <c r="I627" s="3" t="s">
        <v>310</v>
      </c>
      <c r="J627" s="3">
        <v>2013</v>
      </c>
      <c r="K627" s="10">
        <f>SUMPRODUCT(N(Tabela4[Ativo]=Tabela5[[#This Row],[Ativo]]),N(YEAR(Tabela4[Data ex-1])=Tabela5[[#This Row],[Ano]]),Tabela4[Líquido])</f>
        <v>0.374</v>
      </c>
      <c r="N627" s="23">
        <f>IF(Tabela5[[#This Row],[Dividendos]]&gt;0,Tabela5[[#This Row],[Dividendos]]/Tabela5[[#This Row],[Lucro Líquido]],0)</f>
        <v>0</v>
      </c>
      <c r="O627" s="28">
        <v>0.38490000000000002</v>
      </c>
      <c r="P627" s="10"/>
    </row>
    <row r="628" spans="1:16" x14ac:dyDescent="0.2">
      <c r="A628" s="3" t="s">
        <v>228</v>
      </c>
      <c r="B628" s="3" t="s">
        <v>14</v>
      </c>
      <c r="C628" s="80">
        <v>40724</v>
      </c>
      <c r="D628" s="3">
        <v>0.30009999999999998</v>
      </c>
      <c r="E628" s="81">
        <v>40765</v>
      </c>
      <c r="F628" s="81">
        <v>40724</v>
      </c>
      <c r="G628" s="10">
        <f>IF(Tabela4[[#This Row],[Tipo]]="Dividendo",Tabela4[[#This Row],[Valor]],IF(Tabela4[[#This Row],[Tipo]]="Jrs. Cap. Próprio",Tabela4[[#This Row],[Valor]]*85%,0))</f>
        <v>0.25508499999999995</v>
      </c>
      <c r="I628" s="3" t="s">
        <v>310</v>
      </c>
      <c r="J628" s="3">
        <v>2012</v>
      </c>
      <c r="K628" s="10">
        <f>SUMPRODUCT(N(Tabela4[Ativo]=Tabela5[[#This Row],[Ativo]]),N(YEAR(Tabela4[Data ex-1])=Tabela5[[#This Row],[Ano]]),Tabela4[Líquido])</f>
        <v>0.91199999999999992</v>
      </c>
      <c r="N628" s="23">
        <f>IF(Tabela5[[#This Row],[Dividendos]]&gt;0,Tabela5[[#This Row],[Dividendos]]/Tabela5[[#This Row],[Lucro Líquido]],0)</f>
        <v>0</v>
      </c>
      <c r="O628" s="28">
        <v>0.45</v>
      </c>
      <c r="P628" s="10"/>
    </row>
    <row r="629" spans="1:16" x14ac:dyDescent="0.2">
      <c r="A629" s="4" t="s">
        <v>228</v>
      </c>
      <c r="B629" s="3" t="s">
        <v>15</v>
      </c>
      <c r="C629" s="80">
        <v>40659</v>
      </c>
      <c r="D629" s="3">
        <v>0.67420000000000002</v>
      </c>
      <c r="E629" s="81">
        <v>40674</v>
      </c>
      <c r="F629" s="81">
        <v>40659</v>
      </c>
      <c r="G629" s="10">
        <f>IF(Tabela4[[#This Row],[Tipo]]="Dividendo",Tabela4[[#This Row],[Valor]],IF(Tabela4[[#This Row],[Tipo]]="Jrs. Cap. Próprio",Tabela4[[#This Row],[Valor]]*85%,0))</f>
        <v>0.67420000000000002</v>
      </c>
      <c r="I629" s="3" t="s">
        <v>310</v>
      </c>
      <c r="J629" s="3">
        <v>2011</v>
      </c>
      <c r="K629" s="10">
        <f>SUMPRODUCT(N(Tabela4[Ativo]=Tabela5[[#This Row],[Ativo]]),N(YEAR(Tabela4[Data ex-1])=Tabela5[[#This Row],[Ano]]),Tabela4[Líquido])</f>
        <v>0.91850000000000009</v>
      </c>
      <c r="N629" s="23">
        <f>IF(Tabela5[[#This Row],[Dividendos]]&gt;0,Tabela5[[#This Row],[Dividendos]]/Tabela5[[#This Row],[Lucro Líquido]],0)</f>
        <v>0</v>
      </c>
      <c r="O629" s="28">
        <v>0.19</v>
      </c>
      <c r="P629" s="10"/>
    </row>
    <row r="630" spans="1:16" x14ac:dyDescent="0.2">
      <c r="A630" s="3" t="s">
        <v>228</v>
      </c>
      <c r="B630" s="3" t="s">
        <v>14</v>
      </c>
      <c r="C630" s="80">
        <v>40633</v>
      </c>
      <c r="D630" s="3">
        <v>0.30009999999999998</v>
      </c>
      <c r="E630" s="81">
        <v>40688</v>
      </c>
      <c r="F630" s="81">
        <v>40633</v>
      </c>
      <c r="G630" s="10">
        <f>IF(Tabela4[[#This Row],[Tipo]]="Dividendo",Tabela4[[#This Row],[Valor]],IF(Tabela4[[#This Row],[Tipo]]="Jrs. Cap. Próprio",Tabela4[[#This Row],[Valor]]*85%,0))</f>
        <v>0.25508499999999995</v>
      </c>
      <c r="I630" s="3" t="s">
        <v>310</v>
      </c>
      <c r="J630" s="3">
        <v>2010</v>
      </c>
      <c r="K630" s="10">
        <f>SUMPRODUCT(N(Tabela4[Ativo]=Tabela5[[#This Row],[Ativo]]),N(YEAR(Tabela4[Data ex-1])=Tabela5[[#This Row],[Ano]]),Tabela4[Líquido])</f>
        <v>0.37867499999999998</v>
      </c>
      <c r="N630" s="23">
        <f>IF(Tabela5[[#This Row],[Dividendos]]&gt;0,Tabela5[[#This Row],[Dividendos]]/Tabela5[[#This Row],[Lucro Líquido]],0)</f>
        <v>0</v>
      </c>
      <c r="O630" s="28">
        <v>0.39</v>
      </c>
      <c r="P630" s="10"/>
    </row>
    <row r="631" spans="1:16" x14ac:dyDescent="0.2">
      <c r="A631" s="4" t="s">
        <v>228</v>
      </c>
      <c r="B631" s="3" t="s">
        <v>14</v>
      </c>
      <c r="C631" s="80">
        <v>40542</v>
      </c>
      <c r="D631" s="3">
        <v>0.2838</v>
      </c>
      <c r="E631" s="81">
        <v>40597</v>
      </c>
      <c r="F631" s="81">
        <v>40542</v>
      </c>
      <c r="G631" s="10">
        <f>IF(Tabela4[[#This Row],[Tipo]]="Dividendo",Tabela4[[#This Row],[Valor]],IF(Tabela4[[#This Row],[Tipo]]="Jrs. Cap. Próprio",Tabela4[[#This Row],[Valor]]*85%,0))</f>
        <v>0.24123</v>
      </c>
      <c r="I631" s="3" t="s">
        <v>310</v>
      </c>
      <c r="J631" s="3">
        <v>2009</v>
      </c>
      <c r="K631" s="10">
        <f>SUMPRODUCT(N(Tabela4[Ativo]=Tabela5[[#This Row],[Ativo]]),N(YEAR(Tabela4[Data ex-1])=Tabela5[[#This Row],[Ano]]),Tabela4[Líquido])</f>
        <v>0.28050000000000003</v>
      </c>
      <c r="N631" s="23">
        <f>IF(Tabela5[[#This Row],[Dividendos]]&gt;0,Tabela5[[#This Row],[Dividendos]]/Tabela5[[#This Row],[Lucro Líquido]],0)</f>
        <v>0</v>
      </c>
      <c r="O631" s="28">
        <v>0.45</v>
      </c>
      <c r="P631" s="10"/>
    </row>
    <row r="632" spans="1:16" x14ac:dyDescent="0.2">
      <c r="A632" s="3" t="s">
        <v>228</v>
      </c>
      <c r="B632" s="3" t="s">
        <v>14</v>
      </c>
      <c r="C632" s="80">
        <v>40451</v>
      </c>
      <c r="D632" s="3">
        <v>0.28489999999999999</v>
      </c>
      <c r="E632" s="81">
        <v>40527</v>
      </c>
      <c r="F632" s="81">
        <v>40451</v>
      </c>
      <c r="G632" s="10">
        <f>IF(Tabela4[[#This Row],[Tipo]]="Dividendo",Tabela4[[#This Row],[Valor]],IF(Tabela4[[#This Row],[Tipo]]="Jrs. Cap. Próprio",Tabela4[[#This Row],[Valor]]*85%,0))</f>
        <v>0.24216499999999999</v>
      </c>
      <c r="I632" s="3" t="s">
        <v>310</v>
      </c>
      <c r="J632" s="3">
        <v>2008</v>
      </c>
      <c r="K632" s="10">
        <f>SUMPRODUCT(N(Tabela4[Ativo]=Tabela5[[#This Row],[Ativo]]),N(YEAR(Tabela4[Data ex-1])=Tabela5[[#This Row],[Ano]]),Tabela4[Líquido])</f>
        <v>0.33150000000000002</v>
      </c>
      <c r="N632" s="23">
        <f>IF(Tabela5[[#This Row],[Dividendos]]&gt;0,Tabela5[[#This Row],[Dividendos]]/Tabela5[[#This Row],[Lucro Líquido]],0)</f>
        <v>0</v>
      </c>
      <c r="O632" s="28">
        <v>0.5</v>
      </c>
      <c r="P632" s="10"/>
    </row>
    <row r="633" spans="1:16" x14ac:dyDescent="0.2">
      <c r="A633" s="4" t="s">
        <v>228</v>
      </c>
      <c r="B633" s="3" t="s">
        <v>15</v>
      </c>
      <c r="C633" s="80">
        <v>40451</v>
      </c>
      <c r="D633" s="3">
        <v>1.5223</v>
      </c>
      <c r="E633" s="81">
        <v>40527</v>
      </c>
      <c r="F633" s="81">
        <v>40451</v>
      </c>
      <c r="G633" s="10">
        <f>IF(Tabela4[[#This Row],[Tipo]]="Dividendo",Tabela4[[#This Row],[Valor]],IF(Tabela4[[#This Row],[Tipo]]="Jrs. Cap. Próprio",Tabela4[[#This Row],[Valor]]*85%,0))</f>
        <v>1.5223</v>
      </c>
      <c r="I633" s="35" t="s">
        <v>54</v>
      </c>
      <c r="J633" s="35">
        <v>2013</v>
      </c>
      <c r="K633" s="38">
        <f>SUMPRODUCT(N(Tabela4[Ativo]=Tabela5[[#This Row],[Ativo]]),N(YEAR(Tabela4[Data ex-1])=Tabela5[[#This Row],[Ano]]),Tabela4[Líquido])</f>
        <v>0.64650000000000007</v>
      </c>
      <c r="L633" s="43"/>
      <c r="M633" s="43"/>
      <c r="N633" s="75">
        <f>IF(Tabela5[[#This Row],[Dividendos]]&gt;0,Tabela5[[#This Row],[Dividendos]]/Tabela5[[#This Row],[Lucro Líquido]],0)</f>
        <v>0</v>
      </c>
      <c r="O633" s="23"/>
      <c r="P633" s="10"/>
    </row>
    <row r="634" spans="1:16" x14ac:dyDescent="0.2">
      <c r="A634" s="3" t="s">
        <v>228</v>
      </c>
      <c r="B634" s="3" t="s">
        <v>14</v>
      </c>
      <c r="C634" s="80">
        <v>40359</v>
      </c>
      <c r="D634" s="3">
        <v>0.28389999999999999</v>
      </c>
      <c r="E634" s="81">
        <v>40436</v>
      </c>
      <c r="F634" s="81">
        <v>40359</v>
      </c>
      <c r="G634" s="10">
        <f>IF(Tabela4[[#This Row],[Tipo]]="Dividendo",Tabela4[[#This Row],[Valor]],IF(Tabela4[[#This Row],[Tipo]]="Jrs. Cap. Próprio",Tabela4[[#This Row],[Valor]]*85%,0))</f>
        <v>0.24131499999999997</v>
      </c>
      <c r="I634" s="35" t="s">
        <v>54</v>
      </c>
      <c r="J634" s="35">
        <v>2012</v>
      </c>
      <c r="K634" s="38">
        <f>SUMPRODUCT(N(Tabela4[Ativo]=Tabela5[[#This Row],[Ativo]]),N(YEAR(Tabela4[Data ex-1])=Tabela5[[#This Row],[Ano]]),Tabela4[Líquido])</f>
        <v>0.5595</v>
      </c>
      <c r="L634" s="43"/>
      <c r="M634" s="43"/>
      <c r="N634" s="75">
        <f>IF(Tabela5[[#This Row],[Dividendos]]&gt;0,Tabela5[[#This Row],[Dividendos]]/Tabela5[[#This Row],[Lucro Líquido]],0)</f>
        <v>0</v>
      </c>
      <c r="O634" s="23"/>
      <c r="P634" s="10"/>
    </row>
    <row r="635" spans="1:16" x14ac:dyDescent="0.2">
      <c r="A635" s="4" t="s">
        <v>228</v>
      </c>
      <c r="B635" s="3" t="s">
        <v>14</v>
      </c>
      <c r="C635" s="80">
        <v>40269</v>
      </c>
      <c r="D635" s="3">
        <v>0.28260000000000002</v>
      </c>
      <c r="E635" s="81">
        <v>40317</v>
      </c>
      <c r="F635" s="81">
        <v>40269</v>
      </c>
      <c r="G635" s="10">
        <f>IF(Tabela4[[#This Row],[Tipo]]="Dividendo",Tabela4[[#This Row],[Valor]],IF(Tabela4[[#This Row],[Tipo]]="Jrs. Cap. Próprio",Tabela4[[#This Row],[Valor]]*85%,0))</f>
        <v>0.24021000000000001</v>
      </c>
      <c r="I635" s="35" t="s">
        <v>54</v>
      </c>
      <c r="J635" s="35">
        <v>2011</v>
      </c>
      <c r="K635" s="34">
        <f>SUMPRODUCT(N(Tabela4[Ativo]=Tabela5[[#This Row],[Ativo]]),N(YEAR(Tabela4[Data ex-1])=Tabela5[[#This Row],[Ano]]),Tabela4[Líquido])</f>
        <v>0.44850000000000001</v>
      </c>
      <c r="L635" s="87"/>
      <c r="M635" s="87"/>
      <c r="N635" s="88">
        <f>IF(Tabela5[[#This Row],[Dividendos]]&gt;0,Tabela5[[#This Row],[Dividendos]]/Tabela5[[#This Row],[Lucro Líquido]],0)</f>
        <v>0</v>
      </c>
      <c r="O635" s="23"/>
      <c r="P635" s="10"/>
    </row>
    <row r="636" spans="1:16" x14ac:dyDescent="0.2">
      <c r="A636" s="3" t="s">
        <v>228</v>
      </c>
      <c r="B636" s="3" t="s">
        <v>15</v>
      </c>
      <c r="C636" s="80">
        <v>40266</v>
      </c>
      <c r="D636" s="3">
        <v>1.502</v>
      </c>
      <c r="E636" s="81">
        <v>40345</v>
      </c>
      <c r="F636" s="81">
        <v>40266</v>
      </c>
      <c r="G636" s="10">
        <f>IF(Tabela4[[#This Row],[Tipo]]="Dividendo",Tabela4[[#This Row],[Valor]],IF(Tabela4[[#This Row],[Tipo]]="Jrs. Cap. Próprio",Tabela4[[#This Row],[Valor]]*85%,0))</f>
        <v>1.502</v>
      </c>
      <c r="I636" s="35" t="s">
        <v>54</v>
      </c>
      <c r="J636" s="35">
        <v>2010</v>
      </c>
      <c r="K636" s="34">
        <f>SUMPRODUCT(N(Tabela4[Ativo]=Tabela5[[#This Row],[Ativo]]),N(YEAR(Tabela4[Data ex-1])=Tabela5[[#This Row],[Ano]]),Tabela4[Líquido])</f>
        <v>0.31030000000000002</v>
      </c>
      <c r="L636" s="87"/>
      <c r="M636" s="87"/>
      <c r="N636" s="88">
        <f>IF(Tabela5[[#This Row],[Dividendos]]&gt;0,Tabela5[[#This Row],[Dividendos]]/Tabela5[[#This Row],[Lucro Líquido]],0)</f>
        <v>0</v>
      </c>
      <c r="O636" s="23"/>
      <c r="P636" s="10"/>
    </row>
    <row r="637" spans="1:16" x14ac:dyDescent="0.2">
      <c r="A637" s="4" t="s">
        <v>228</v>
      </c>
      <c r="B637" s="3" t="s">
        <v>14</v>
      </c>
      <c r="C637" s="80">
        <v>40165</v>
      </c>
      <c r="D637" s="3">
        <v>0.26910000000000001</v>
      </c>
      <c r="E637" s="81">
        <v>40317</v>
      </c>
      <c r="F637" s="81">
        <v>40165</v>
      </c>
      <c r="G637" s="10">
        <f>IF(Tabela4[[#This Row],[Tipo]]="Dividendo",Tabela4[[#This Row],[Valor]],IF(Tabela4[[#This Row],[Tipo]]="Jrs. Cap. Próprio",Tabela4[[#This Row],[Valor]]*85%,0))</f>
        <v>0.22873499999999999</v>
      </c>
      <c r="I637" s="35" t="s">
        <v>54</v>
      </c>
      <c r="J637" s="35">
        <v>2009</v>
      </c>
      <c r="K637" s="34">
        <f>SUMPRODUCT(N(Tabela4[Ativo]=Tabela5[[#This Row],[Ativo]]),N(YEAR(Tabela4[Data ex-1])=Tabela5[[#This Row],[Ano]]),Tabela4[Líquido])</f>
        <v>0.2505</v>
      </c>
      <c r="L637" s="87"/>
      <c r="M637" s="87"/>
      <c r="N637" s="88">
        <f>IF(Tabela5[[#This Row],[Dividendos]]&gt;0,Tabela5[[#This Row],[Dividendos]]/Tabela5[[#This Row],[Lucro Líquido]],0)</f>
        <v>0</v>
      </c>
      <c r="O637" s="23"/>
      <c r="P637" s="10"/>
    </row>
    <row r="638" spans="1:16" x14ac:dyDescent="0.2">
      <c r="A638" s="3" t="s">
        <v>228</v>
      </c>
      <c r="B638" s="3" t="s">
        <v>14</v>
      </c>
      <c r="C638" s="80">
        <v>40086</v>
      </c>
      <c r="D638" s="3">
        <v>0.26779999999999998</v>
      </c>
      <c r="E638" s="81">
        <v>40163</v>
      </c>
      <c r="F638" s="81">
        <v>40086</v>
      </c>
      <c r="G638" s="10">
        <f>IF(Tabela4[[#This Row],[Tipo]]="Dividendo",Tabela4[[#This Row],[Valor]],IF(Tabela4[[#This Row],[Tipo]]="Jrs. Cap. Próprio",Tabela4[[#This Row],[Valor]]*85%,0))</f>
        <v>0.22762999999999997</v>
      </c>
      <c r="I638" s="35" t="s">
        <v>54</v>
      </c>
      <c r="J638" s="35">
        <v>2008</v>
      </c>
      <c r="K638" s="34">
        <f>SUMPRODUCT(N(Tabela4[Ativo]=Tabela5[[#This Row],[Ativo]]),N(YEAR(Tabela4[Data ex-1])=Tabela5[[#This Row],[Ano]]),Tabela4[Líquido])</f>
        <v>1.4800000000000001E-2</v>
      </c>
      <c r="L638" s="87"/>
      <c r="M638" s="87"/>
      <c r="N638" s="88">
        <f>IF(Tabela5[[#This Row],[Dividendos]]&gt;0,Tabela5[[#This Row],[Dividendos]]/Tabela5[[#This Row],[Lucro Líquido]],0)</f>
        <v>0</v>
      </c>
      <c r="O638" s="23"/>
      <c r="P638" s="10"/>
    </row>
    <row r="639" spans="1:16" x14ac:dyDescent="0.2">
      <c r="A639" s="4" t="s">
        <v>228</v>
      </c>
      <c r="B639" s="3" t="s">
        <v>15</v>
      </c>
      <c r="C639" s="80">
        <v>40086</v>
      </c>
      <c r="D639" s="3">
        <v>1.8553999999999999</v>
      </c>
      <c r="E639" s="81">
        <v>40163</v>
      </c>
      <c r="F639" s="81">
        <v>40086</v>
      </c>
      <c r="G639" s="10">
        <f>IF(Tabela4[[#This Row],[Tipo]]="Dividendo",Tabela4[[#This Row],[Valor]],IF(Tabela4[[#This Row],[Tipo]]="Jrs. Cap. Próprio",Tabela4[[#This Row],[Valor]]*85%,0))</f>
        <v>1.8553999999999999</v>
      </c>
      <c r="I639" s="4" t="s">
        <v>41</v>
      </c>
      <c r="J639" s="4">
        <v>2013</v>
      </c>
      <c r="K639" s="14">
        <f>SUMPRODUCT(N(Tabela4[Ativo]=Tabela5[[#This Row],[Ativo]]),N(YEAR(Tabela4[Data ex-1])=Tabela5[[#This Row],[Ano]]),Tabela4[Líquido])</f>
        <v>9.4170000000000004E-2</v>
      </c>
      <c r="L639" s="6"/>
      <c r="M639" s="6"/>
      <c r="N639" s="24">
        <f>IF(Tabela5[[#This Row],[Dividendos]]&gt;0,Tabela5[[#This Row],[Dividendos]]/Tabela5[[#This Row],[Lucro Líquido]],0)</f>
        <v>0</v>
      </c>
      <c r="O639" s="23">
        <v>0.17910000000000001</v>
      </c>
      <c r="P639" s="10"/>
    </row>
    <row r="640" spans="1:16" x14ac:dyDescent="0.2">
      <c r="A640" s="3" t="s">
        <v>228</v>
      </c>
      <c r="B640" s="3" t="s">
        <v>14</v>
      </c>
      <c r="C640" s="80">
        <v>39993</v>
      </c>
      <c r="D640" s="3">
        <v>0.53559999999999997</v>
      </c>
      <c r="E640" s="81">
        <v>40065</v>
      </c>
      <c r="F640" s="81">
        <v>39993</v>
      </c>
      <c r="G640" s="10">
        <f>IF(Tabela4[[#This Row],[Tipo]]="Dividendo",Tabela4[[#This Row],[Valor]],IF(Tabela4[[#This Row],[Tipo]]="Jrs. Cap. Próprio",Tabela4[[#This Row],[Valor]]*85%,0))</f>
        <v>0.45525999999999994</v>
      </c>
      <c r="I640" s="4" t="s">
        <v>41</v>
      </c>
      <c r="J640" s="4">
        <v>2012</v>
      </c>
      <c r="K640" s="14">
        <f>SUMPRODUCT(N(Tabela4[Ativo]=Tabela5[[#This Row],[Ativo]]),N(YEAR(Tabela4[Data ex-1])=Tabela5[[#This Row],[Ano]]),Tabela4[Líquido])</f>
        <v>4.3319999999999997E-2</v>
      </c>
      <c r="L640" s="6"/>
      <c r="M640" s="6"/>
      <c r="N640" s="24">
        <f>IF(Tabela5[[#This Row],[Dividendos]]&gt;0,Tabela5[[#This Row],[Dividendos]]/Tabela5[[#This Row],[Lucro Líquido]],0)</f>
        <v>0</v>
      </c>
      <c r="O640" s="23">
        <v>0.1</v>
      </c>
      <c r="P640" s="10"/>
    </row>
    <row r="641" spans="1:16" x14ac:dyDescent="0.2">
      <c r="A641" s="4" t="s">
        <v>228</v>
      </c>
      <c r="B641" s="3" t="s">
        <v>15</v>
      </c>
      <c r="C641" s="80">
        <v>39897</v>
      </c>
      <c r="D641" s="3">
        <v>2.0802</v>
      </c>
      <c r="E641" s="81">
        <v>39974</v>
      </c>
      <c r="F641" s="81">
        <v>39896</v>
      </c>
      <c r="G641" s="10">
        <f>IF(Tabela4[[#This Row],[Tipo]]="Dividendo",Tabela4[[#This Row],[Valor]],IF(Tabela4[[#This Row],[Tipo]]="Jrs. Cap. Próprio",Tabela4[[#This Row],[Valor]]*85%,0))</f>
        <v>2.0802</v>
      </c>
      <c r="I641" s="4" t="s">
        <v>41</v>
      </c>
      <c r="J641" s="4">
        <v>2011</v>
      </c>
      <c r="K641" s="10">
        <f>SUMPRODUCT(N(Tabela4[Ativo]=Tabela5[[#This Row],[Ativo]]),N(YEAR(Tabela4[Data ex-1])=Tabela5[[#This Row],[Ano]]),Tabela4[Líquido])</f>
        <v>0</v>
      </c>
      <c r="N641" s="23">
        <f>IF(Tabela5[[#This Row],[Dividendos]]&gt;0,Tabela5[[#This Row],[Dividendos]]/Tabela5[[#This Row],[Lucro Líquido]],0)</f>
        <v>0</v>
      </c>
      <c r="O641" s="23"/>
      <c r="P641" s="10"/>
    </row>
    <row r="642" spans="1:16" x14ac:dyDescent="0.2">
      <c r="A642" s="3" t="s">
        <v>228</v>
      </c>
      <c r="B642" s="3" t="s">
        <v>14</v>
      </c>
      <c r="C642" s="80">
        <v>39812</v>
      </c>
      <c r="D642" s="3">
        <v>0.25219999999999998</v>
      </c>
      <c r="E642" s="81">
        <v>39946</v>
      </c>
      <c r="F642" s="81">
        <v>39812</v>
      </c>
      <c r="G642" s="10">
        <f>IF(Tabela4[[#This Row],[Tipo]]="Dividendo",Tabela4[[#This Row],[Valor]],IF(Tabela4[[#This Row],[Tipo]]="Jrs. Cap. Próprio",Tabela4[[#This Row],[Valor]]*85%,0))</f>
        <v>0.21436999999999998</v>
      </c>
      <c r="I642" s="4" t="s">
        <v>41</v>
      </c>
      <c r="J642" s="4">
        <v>2010</v>
      </c>
      <c r="K642" s="10">
        <f>SUMPRODUCT(N(Tabela4[Ativo]=Tabela5[[#This Row],[Ativo]]),N(YEAR(Tabela4[Data ex-1])=Tabela5[[#This Row],[Ano]]),Tabela4[Líquido])</f>
        <v>0</v>
      </c>
      <c r="N642" s="23">
        <f>IF(Tabela5[[#This Row],[Dividendos]]&gt;0,Tabela5[[#This Row],[Dividendos]]/Tabela5[[#This Row],[Lucro Líquido]],0)</f>
        <v>0</v>
      </c>
      <c r="O642" s="23"/>
      <c r="P642" s="10"/>
    </row>
    <row r="643" spans="1:16" x14ac:dyDescent="0.2">
      <c r="A643" s="4" t="s">
        <v>228</v>
      </c>
      <c r="B643" s="3" t="s">
        <v>14</v>
      </c>
      <c r="C643" s="80">
        <v>39752</v>
      </c>
      <c r="D643" s="3">
        <v>0.25319999999999998</v>
      </c>
      <c r="E643" s="81">
        <v>39792</v>
      </c>
      <c r="F643" s="81">
        <v>39752</v>
      </c>
      <c r="G643" s="10">
        <f>IF(Tabela4[[#This Row],[Tipo]]="Dividendo",Tabela4[[#This Row],[Valor]],IF(Tabela4[[#This Row],[Tipo]]="Jrs. Cap. Próprio",Tabela4[[#This Row],[Valor]]*85%,0))</f>
        <v>0.21521999999999997</v>
      </c>
      <c r="I643" s="4" t="s">
        <v>41</v>
      </c>
      <c r="J643" s="4">
        <v>2009</v>
      </c>
      <c r="K643" s="10">
        <f>SUMPRODUCT(N(Tabela4[Ativo]=Tabela5[[#This Row],[Ativo]]),N(YEAR(Tabela4[Data ex-1])=Tabela5[[#This Row],[Ano]]),Tabela4[Líquido])</f>
        <v>0</v>
      </c>
      <c r="N643" s="23">
        <f>IF(Tabela5[[#This Row],[Dividendos]]&gt;0,Tabela5[[#This Row],[Dividendos]]/Tabela5[[#This Row],[Lucro Líquido]],0)</f>
        <v>0</v>
      </c>
      <c r="O643" s="23"/>
      <c r="P643" s="10"/>
    </row>
    <row r="644" spans="1:16" x14ac:dyDescent="0.2">
      <c r="A644" s="3" t="s">
        <v>228</v>
      </c>
      <c r="B644" s="3" t="s">
        <v>15</v>
      </c>
      <c r="C644" s="80">
        <v>39752</v>
      </c>
      <c r="D644" s="3">
        <v>1.7784</v>
      </c>
      <c r="E644" s="81">
        <v>39792</v>
      </c>
      <c r="F644" s="81">
        <v>39752</v>
      </c>
      <c r="G644" s="10">
        <f>IF(Tabela4[[#This Row],[Tipo]]="Dividendo",Tabela4[[#This Row],[Valor]],IF(Tabela4[[#This Row],[Tipo]]="Jrs. Cap. Próprio",Tabela4[[#This Row],[Valor]]*85%,0))</f>
        <v>1.7784</v>
      </c>
      <c r="I644" s="4" t="s">
        <v>41</v>
      </c>
      <c r="J644" s="4">
        <v>2008</v>
      </c>
      <c r="K644" s="10">
        <f>SUMPRODUCT(N(Tabela4[Ativo]=Tabela5[[#This Row],[Ativo]]),N(YEAR(Tabela4[Data ex-1])=Tabela5[[#This Row],[Ano]]),Tabela4[Líquido])</f>
        <v>0</v>
      </c>
      <c r="N644" s="23">
        <f>IF(Tabela5[[#This Row],[Dividendos]]&gt;0,Tabela5[[#This Row],[Dividendos]]/Tabela5[[#This Row],[Lucro Líquido]],0)</f>
        <v>0</v>
      </c>
      <c r="O644" s="23"/>
      <c r="P644" s="10"/>
    </row>
    <row r="645" spans="1:16" x14ac:dyDescent="0.2">
      <c r="A645" s="4" t="s">
        <v>228</v>
      </c>
      <c r="B645" s="3" t="s">
        <v>14</v>
      </c>
      <c r="C645" s="80">
        <v>39660</v>
      </c>
      <c r="D645" s="3">
        <v>0.25169999999999998</v>
      </c>
      <c r="E645" s="81"/>
      <c r="F645" s="81">
        <v>39660</v>
      </c>
      <c r="G645" s="10">
        <f>IF(Tabela4[[#This Row],[Tipo]]="Dividendo",Tabela4[[#This Row],[Valor]],IF(Tabela4[[#This Row],[Tipo]]="Jrs. Cap. Próprio",Tabela4[[#This Row],[Valor]]*85%,0))</f>
        <v>0.21394499999999997</v>
      </c>
      <c r="I645" s="4" t="s">
        <v>41</v>
      </c>
      <c r="J645" s="4">
        <v>2007</v>
      </c>
      <c r="K645" s="10">
        <f>SUMPRODUCT(N(Tabela4[Ativo]=Tabela5[[#This Row],[Ativo]]),N(YEAR(Tabela4[Data ex-1])=Tabela5[[#This Row],[Ano]]),Tabela4[Líquido])</f>
        <v>0</v>
      </c>
      <c r="N645" s="23">
        <f>IF(Tabela5[[#This Row],[Dividendos]]&gt;0,Tabela5[[#This Row],[Dividendos]]/Tabela5[[#This Row],[Lucro Líquido]],0)</f>
        <v>0</v>
      </c>
      <c r="O645" s="23"/>
      <c r="P645" s="10"/>
    </row>
    <row r="646" spans="1:16" x14ac:dyDescent="0.2">
      <c r="A646" s="3" t="s">
        <v>228</v>
      </c>
      <c r="B646" s="3" t="s">
        <v>14</v>
      </c>
      <c r="C646" s="80">
        <v>39566</v>
      </c>
      <c r="D646" s="3">
        <v>0.25169999999999998</v>
      </c>
      <c r="E646" s="81"/>
      <c r="F646" s="81">
        <v>39566</v>
      </c>
      <c r="G646" s="10">
        <f>IF(Tabela4[[#This Row],[Tipo]]="Dividendo",Tabela4[[#This Row],[Valor]],IF(Tabela4[[#This Row],[Tipo]]="Jrs. Cap. Próprio",Tabela4[[#This Row],[Valor]]*85%,0))</f>
        <v>0.21394499999999997</v>
      </c>
      <c r="I646" s="4" t="s">
        <v>41</v>
      </c>
      <c r="J646" s="4">
        <v>2006</v>
      </c>
      <c r="K646" s="10">
        <f>SUMPRODUCT(N(Tabela4[Ativo]=Tabela5[[#This Row],[Ativo]]),N(YEAR(Tabela4[Data ex-1])=Tabela5[[#This Row],[Ano]]),Tabela4[Líquido])</f>
        <v>0</v>
      </c>
      <c r="N646" s="23">
        <f>IF(Tabela5[[#This Row],[Dividendos]]&gt;0,Tabela5[[#This Row],[Dividendos]]/Tabela5[[#This Row],[Lucro Líquido]],0)</f>
        <v>0</v>
      </c>
      <c r="O646" s="23"/>
      <c r="P646" s="10"/>
    </row>
    <row r="647" spans="1:16" x14ac:dyDescent="0.2">
      <c r="A647" s="4" t="s">
        <v>228</v>
      </c>
      <c r="B647" s="3" t="s">
        <v>15</v>
      </c>
      <c r="C647" s="80">
        <v>39563</v>
      </c>
      <c r="D647" s="3">
        <v>1.5661</v>
      </c>
      <c r="E647" s="81">
        <v>39610</v>
      </c>
      <c r="F647" s="81">
        <v>39563</v>
      </c>
      <c r="G647" s="10">
        <f>IF(Tabela4[[#This Row],[Tipo]]="Dividendo",Tabela4[[#This Row],[Valor]],IF(Tabela4[[#This Row],[Tipo]]="Jrs. Cap. Próprio",Tabela4[[#This Row],[Valor]]*85%,0))</f>
        <v>1.5661</v>
      </c>
      <c r="I647" s="4" t="s">
        <v>41</v>
      </c>
      <c r="J647" s="4">
        <v>2005</v>
      </c>
      <c r="K647" s="10">
        <f>SUMPRODUCT(N(Tabela4[Ativo]=Tabela5[[#This Row],[Ativo]]),N(YEAR(Tabela4[Data ex-1])=Tabela5[[#This Row],[Ano]]),Tabela4[Líquido])</f>
        <v>0</v>
      </c>
      <c r="N647" s="23">
        <f>IF(Tabela5[[#This Row],[Dividendos]]&gt;0,Tabela5[[#This Row],[Dividendos]]/Tabela5[[#This Row],[Lucro Líquido]],0)</f>
        <v>0</v>
      </c>
      <c r="O647" s="23"/>
      <c r="P647" s="10"/>
    </row>
    <row r="648" spans="1:16" x14ac:dyDescent="0.2">
      <c r="A648" s="3" t="s">
        <v>228</v>
      </c>
      <c r="B648" s="3" t="s">
        <v>14</v>
      </c>
      <c r="C648" s="80">
        <v>39436</v>
      </c>
      <c r="D648" s="3">
        <v>0.2389</v>
      </c>
      <c r="E648" s="81">
        <v>39456</v>
      </c>
      <c r="F648" s="81">
        <v>39436</v>
      </c>
      <c r="G648" s="10">
        <f>IF(Tabela4[[#This Row],[Tipo]]="Dividendo",Tabela4[[#This Row],[Valor]],IF(Tabela4[[#This Row],[Tipo]]="Jrs. Cap. Próprio",Tabela4[[#This Row],[Valor]]*85%,0))</f>
        <v>0.203065</v>
      </c>
      <c r="I648" s="4" t="s">
        <v>41</v>
      </c>
      <c r="J648" s="4">
        <v>2004</v>
      </c>
      <c r="K648" s="10">
        <f>SUMPRODUCT(N(Tabela4[Ativo]=Tabela5[[#This Row],[Ativo]]),N(YEAR(Tabela4[Data ex-1])=Tabela5[[#This Row],[Ano]]),Tabela4[Líquido])</f>
        <v>0</v>
      </c>
      <c r="N648" s="23">
        <f>IF(Tabela5[[#This Row],[Dividendos]]&gt;0,Tabela5[[#This Row],[Dividendos]]/Tabela5[[#This Row],[Lucro Líquido]],0)</f>
        <v>0</v>
      </c>
      <c r="O648" s="23"/>
      <c r="P648" s="10"/>
    </row>
    <row r="649" spans="1:16" x14ac:dyDescent="0.2">
      <c r="A649" s="4" t="s">
        <v>228</v>
      </c>
      <c r="B649" s="3" t="s">
        <v>14</v>
      </c>
      <c r="C649" s="80">
        <v>39386</v>
      </c>
      <c r="D649" s="3">
        <v>0.23569999999999999</v>
      </c>
      <c r="E649" s="81"/>
      <c r="F649" s="81">
        <v>39386</v>
      </c>
      <c r="G649" s="10">
        <f>IF(Tabela4[[#This Row],[Tipo]]="Dividendo",Tabela4[[#This Row],[Valor]],IF(Tabela4[[#This Row],[Tipo]]="Jrs. Cap. Próprio",Tabela4[[#This Row],[Valor]]*85%,0))</f>
        <v>0.200345</v>
      </c>
      <c r="I649" s="4" t="s">
        <v>41</v>
      </c>
      <c r="J649" s="4">
        <v>2003</v>
      </c>
      <c r="K649" s="10">
        <f>SUMPRODUCT(N(Tabela4[Ativo]=Tabela5[[#This Row],[Ativo]]),N(YEAR(Tabela4[Data ex-1])=Tabela5[[#This Row],[Ano]]),Tabela4[Líquido])</f>
        <v>0</v>
      </c>
      <c r="N649" s="23">
        <f>IF(Tabela5[[#This Row],[Dividendos]]&gt;0,Tabela5[[#This Row],[Dividendos]]/Tabela5[[#This Row],[Lucro Líquido]],0)</f>
        <v>0</v>
      </c>
      <c r="O649" s="23"/>
      <c r="P649" s="10"/>
    </row>
    <row r="650" spans="1:16" x14ac:dyDescent="0.2">
      <c r="A650" s="3" t="s">
        <v>228</v>
      </c>
      <c r="B650" s="3" t="s">
        <v>15</v>
      </c>
      <c r="C650" s="80">
        <v>39356</v>
      </c>
      <c r="D650" s="3">
        <v>1.4319</v>
      </c>
      <c r="E650" s="81">
        <v>39385</v>
      </c>
      <c r="F650" s="81">
        <v>39356</v>
      </c>
      <c r="G650" s="10">
        <f>IF(Tabela4[[#This Row],[Tipo]]="Dividendo",Tabela4[[#This Row],[Valor]],IF(Tabela4[[#This Row],[Tipo]]="Jrs. Cap. Próprio",Tabela4[[#This Row],[Valor]]*85%,0))</f>
        <v>1.4319</v>
      </c>
      <c r="I650" s="4" t="s">
        <v>41</v>
      </c>
      <c r="J650" s="4">
        <v>2002</v>
      </c>
      <c r="K650" s="10">
        <f>SUMPRODUCT(N(Tabela4[Ativo]=Tabela5[[#This Row],[Ativo]]),N(YEAR(Tabela4[Data ex-1])=Tabela5[[#This Row],[Ano]]),Tabela4[Líquido])</f>
        <v>0</v>
      </c>
      <c r="N650" s="23">
        <f>IF(Tabela5[[#This Row],[Dividendos]]&gt;0,Tabela5[[#This Row],[Dividendos]]/Tabela5[[#This Row],[Lucro Líquido]],0)</f>
        <v>0</v>
      </c>
      <c r="O650" s="23"/>
      <c r="P650" s="10"/>
    </row>
    <row r="651" spans="1:16" x14ac:dyDescent="0.2">
      <c r="A651" s="4" t="s">
        <v>228</v>
      </c>
      <c r="B651" s="3" t="s">
        <v>14</v>
      </c>
      <c r="C651" s="80">
        <v>39293</v>
      </c>
      <c r="D651" s="3">
        <v>0.245</v>
      </c>
      <c r="E651" s="81">
        <v>39325</v>
      </c>
      <c r="F651" s="81">
        <v>39293</v>
      </c>
      <c r="G651" s="10">
        <f>IF(Tabela4[[#This Row],[Tipo]]="Dividendo",Tabela4[[#This Row],[Valor]],IF(Tabela4[[#This Row],[Tipo]]="Jrs. Cap. Próprio",Tabela4[[#This Row],[Valor]]*85%,0))</f>
        <v>0.20824999999999999</v>
      </c>
      <c r="I651" s="4" t="s">
        <v>41</v>
      </c>
      <c r="J651" s="4">
        <v>2001</v>
      </c>
      <c r="K651" s="10">
        <f>SUMPRODUCT(N(Tabela4[Ativo]=Tabela5[[#This Row],[Ativo]]),N(YEAR(Tabela4[Data ex-1])=Tabela5[[#This Row],[Ano]]),Tabela4[Líquido])</f>
        <v>0</v>
      </c>
      <c r="N651" s="23">
        <f>IF(Tabela5[[#This Row],[Dividendos]]&gt;0,Tabela5[[#This Row],[Dividendos]]/Tabela5[[#This Row],[Lucro Líquido]],0)</f>
        <v>0</v>
      </c>
      <c r="O651" s="23"/>
      <c r="P651" s="10"/>
    </row>
    <row r="652" spans="1:16" x14ac:dyDescent="0.2">
      <c r="A652" s="3" t="s">
        <v>228</v>
      </c>
      <c r="B652" s="3" t="s">
        <v>14</v>
      </c>
      <c r="C652" s="80">
        <v>39230</v>
      </c>
      <c r="D652" s="3">
        <v>0.245</v>
      </c>
      <c r="E652" s="81">
        <v>39262</v>
      </c>
      <c r="F652" s="81">
        <v>39230</v>
      </c>
      <c r="G652" s="10">
        <f>IF(Tabela4[[#This Row],[Tipo]]="Dividendo",Tabela4[[#This Row],[Valor]],IF(Tabela4[[#This Row],[Tipo]]="Jrs. Cap. Próprio",Tabela4[[#This Row],[Valor]]*85%,0))</f>
        <v>0.20824999999999999</v>
      </c>
      <c r="I652" s="4" t="s">
        <v>41</v>
      </c>
      <c r="J652" s="4">
        <v>2000</v>
      </c>
      <c r="K652" s="10">
        <f>SUMPRODUCT(N(Tabela4[Ativo]=Tabela5[[#This Row],[Ativo]]),N(YEAR(Tabela4[Data ex-1])=Tabela5[[#This Row],[Ano]]),Tabela4[Líquido])</f>
        <v>0</v>
      </c>
      <c r="N652" s="23">
        <f>IF(Tabela5[[#This Row],[Dividendos]]&gt;0,Tabela5[[#This Row],[Dividendos]]/Tabela5[[#This Row],[Lucro Líquido]],0)</f>
        <v>0</v>
      </c>
      <c r="O652" s="23"/>
      <c r="P652" s="10"/>
    </row>
    <row r="653" spans="1:16" x14ac:dyDescent="0.2">
      <c r="A653" s="4" t="s">
        <v>228</v>
      </c>
      <c r="B653" s="3" t="s">
        <v>15</v>
      </c>
      <c r="C653" s="80">
        <v>39169</v>
      </c>
      <c r="D653" s="3">
        <v>1.7133</v>
      </c>
      <c r="E653" s="81">
        <v>39199</v>
      </c>
      <c r="F653" s="81">
        <v>39169</v>
      </c>
      <c r="G653" s="10">
        <f>IF(Tabela4[[#This Row],[Tipo]]="Dividendo",Tabela4[[#This Row],[Valor]],IF(Tabela4[[#This Row],[Tipo]]="Jrs. Cap. Próprio",Tabela4[[#This Row],[Valor]]*85%,0))</f>
        <v>1.7133</v>
      </c>
      <c r="I653" s="4" t="s">
        <v>41</v>
      </c>
      <c r="J653" s="4">
        <v>1999</v>
      </c>
      <c r="K653" s="10">
        <f>SUMPRODUCT(N(Tabela4[Ativo]=Tabela5[[#This Row],[Ativo]]),N(YEAR(Tabela4[Data ex-1])=Tabela5[[#This Row],[Ano]]),Tabela4[Líquido])</f>
        <v>0</v>
      </c>
      <c r="N653" s="23">
        <f>IF(Tabela5[[#This Row],[Dividendos]]&gt;0,Tabela5[[#This Row],[Dividendos]]/Tabela5[[#This Row],[Lucro Líquido]],0)</f>
        <v>0</v>
      </c>
      <c r="O653" s="23"/>
      <c r="P653" s="10"/>
    </row>
    <row r="654" spans="1:16" x14ac:dyDescent="0.2">
      <c r="A654" s="3" t="s">
        <v>228</v>
      </c>
      <c r="B654" s="3" t="s">
        <v>14</v>
      </c>
      <c r="C654" s="80">
        <v>39069</v>
      </c>
      <c r="D654" s="3">
        <v>0.25309999999999999</v>
      </c>
      <c r="E654" s="81">
        <v>39169</v>
      </c>
      <c r="F654" s="81">
        <v>39069</v>
      </c>
      <c r="G654" s="10">
        <f>IF(Tabela4[[#This Row],[Tipo]]="Dividendo",Tabela4[[#This Row],[Valor]],IF(Tabela4[[#This Row],[Tipo]]="Jrs. Cap. Próprio",Tabela4[[#This Row],[Valor]]*85%,0))</f>
        <v>0.21513499999999999</v>
      </c>
      <c r="I654" s="4" t="s">
        <v>41</v>
      </c>
      <c r="J654" s="4">
        <v>1998</v>
      </c>
      <c r="K654" s="10">
        <f>SUMPRODUCT(N(Tabela4[Ativo]=Tabela5[[#This Row],[Ativo]]),N(YEAR(Tabela4[Data ex-1])=Tabela5[[#This Row],[Ano]]),Tabela4[Líquido])</f>
        <v>1.7999999999999999E-2</v>
      </c>
      <c r="N654" s="23">
        <f>IF(Tabela5[[#This Row],[Dividendos]]&gt;0,Tabela5[[#This Row],[Dividendos]]/Tabela5[[#This Row],[Lucro Líquido]],0)</f>
        <v>0</v>
      </c>
      <c r="O654" s="23"/>
      <c r="P654" s="10"/>
    </row>
    <row r="655" spans="1:16" x14ac:dyDescent="0.2">
      <c r="A655" s="4" t="s">
        <v>228</v>
      </c>
      <c r="B655" s="3" t="s">
        <v>14</v>
      </c>
      <c r="C655" s="80">
        <v>39038</v>
      </c>
      <c r="D655" s="3">
        <v>0.2772</v>
      </c>
      <c r="E655" s="81">
        <v>39050</v>
      </c>
      <c r="F655" s="81">
        <v>39038</v>
      </c>
      <c r="G655" s="10">
        <f>IF(Tabela4[[#This Row],[Tipo]]="Dividendo",Tabela4[[#This Row],[Valor]],IF(Tabela4[[#This Row],[Tipo]]="Jrs. Cap. Próprio",Tabela4[[#This Row],[Valor]]*85%,0))</f>
        <v>0.23562</v>
      </c>
      <c r="I655" s="35" t="s">
        <v>67</v>
      </c>
      <c r="J655" s="35">
        <v>2013</v>
      </c>
      <c r="K655" s="38">
        <f>SUMPRODUCT(N(Tabela4[Ativo]=Tabela5[[#This Row],[Ativo]]),N(YEAR(Tabela4[Data ex-1])=Tabela5[[#This Row],[Ano]]),Tabela4[Líquido])</f>
        <v>0.11247</v>
      </c>
      <c r="L655" s="43"/>
      <c r="M655" s="43"/>
      <c r="N655" s="75">
        <f>IF(Tabela5[[#This Row],[Dividendos]]&gt;0,Tabela5[[#This Row],[Dividendos]]/Tabela5[[#This Row],[Lucro Líquido]],0)</f>
        <v>0</v>
      </c>
      <c r="O655" s="23">
        <v>0.1048</v>
      </c>
      <c r="P655" s="10"/>
    </row>
    <row r="656" spans="1:16" x14ac:dyDescent="0.2">
      <c r="A656" s="3" t="s">
        <v>228</v>
      </c>
      <c r="B656" s="3" t="s">
        <v>14</v>
      </c>
      <c r="C656" s="80">
        <v>38922</v>
      </c>
      <c r="D656" s="3">
        <v>0.30259999999999998</v>
      </c>
      <c r="E656" s="81">
        <v>39050</v>
      </c>
      <c r="F656" s="81">
        <v>38922</v>
      </c>
      <c r="G656" s="10">
        <f>IF(Tabela4[[#This Row],[Tipo]]="Dividendo",Tabela4[[#This Row],[Valor]],IF(Tabela4[[#This Row],[Tipo]]="Jrs. Cap. Próprio",Tabela4[[#This Row],[Valor]]*85%,0))</f>
        <v>0.25720999999999999</v>
      </c>
      <c r="I656" s="35" t="s">
        <v>67</v>
      </c>
      <c r="J656" s="35">
        <v>2012</v>
      </c>
      <c r="K656" s="38">
        <f>SUMPRODUCT(N(Tabela4[Ativo]=Tabela5[[#This Row],[Ativo]]),N(YEAR(Tabela4[Data ex-1])=Tabela5[[#This Row],[Ano]]),Tabela4[Líquido])</f>
        <v>0.21057000000000001</v>
      </c>
      <c r="L656" s="43"/>
      <c r="M656" s="43"/>
      <c r="N656" s="75">
        <f>IF(Tabela5[[#This Row],[Dividendos]]&gt;0,Tabela5[[#This Row],[Dividendos]]/Tabela5[[#This Row],[Lucro Líquido]],0)</f>
        <v>0</v>
      </c>
      <c r="O656" s="23">
        <v>0.51</v>
      </c>
      <c r="P656" s="10"/>
    </row>
    <row r="657" spans="1:16" x14ac:dyDescent="0.2">
      <c r="A657" s="4" t="s">
        <v>228</v>
      </c>
      <c r="B657" s="3" t="s">
        <v>14</v>
      </c>
      <c r="C657" s="80">
        <v>38860</v>
      </c>
      <c r="D657" s="3">
        <v>0.33210000000000001</v>
      </c>
      <c r="E657" s="81"/>
      <c r="F657" s="81">
        <v>38859</v>
      </c>
      <c r="G657" s="10">
        <f>IF(Tabela4[[#This Row],[Tipo]]="Dividendo",Tabela4[[#This Row],[Valor]],IF(Tabela4[[#This Row],[Tipo]]="Jrs. Cap. Próprio",Tabela4[[#This Row],[Valor]]*85%,0))</f>
        <v>0.28228500000000001</v>
      </c>
      <c r="I657" s="35" t="s">
        <v>67</v>
      </c>
      <c r="J657" s="35">
        <v>2011</v>
      </c>
      <c r="K657" s="34">
        <f>SUMPRODUCT(N(Tabela4[Ativo]=Tabela5[[#This Row],[Ativo]]),N(YEAR(Tabela4[Data ex-1])=Tabela5[[#This Row],[Ano]]),Tabela4[Líquido])</f>
        <v>0.32927000000000001</v>
      </c>
      <c r="L657" s="87"/>
      <c r="M657" s="87"/>
      <c r="N657" s="88">
        <f>IF(Tabela5[[#This Row],[Dividendos]]&gt;0,Tabela5[[#This Row],[Dividendos]]/Tabela5[[#This Row],[Lucro Líquido]],0)</f>
        <v>0</v>
      </c>
      <c r="O657" s="23">
        <v>0.23</v>
      </c>
      <c r="P657" s="10"/>
    </row>
    <row r="658" spans="1:16" x14ac:dyDescent="0.2">
      <c r="A658" s="3" t="s">
        <v>228</v>
      </c>
      <c r="B658" s="3" t="s">
        <v>15</v>
      </c>
      <c r="C658" s="80">
        <v>38783</v>
      </c>
      <c r="D658" s="3">
        <v>0.72799999999999998</v>
      </c>
      <c r="E658" s="81">
        <v>39050</v>
      </c>
      <c r="F658" s="81">
        <v>38783</v>
      </c>
      <c r="G658" s="10">
        <f>IF(Tabela4[[#This Row],[Tipo]]="Dividendo",Tabela4[[#This Row],[Valor]],IF(Tabela4[[#This Row],[Tipo]]="Jrs. Cap. Próprio",Tabela4[[#This Row],[Valor]]*85%,0))</f>
        <v>0.72799999999999998</v>
      </c>
      <c r="I658" s="35" t="s">
        <v>67</v>
      </c>
      <c r="J658" s="35">
        <v>2010</v>
      </c>
      <c r="K658" s="34">
        <f>SUMPRODUCT(N(Tabela4[Ativo]=Tabela5[[#This Row],[Ativo]]),N(YEAR(Tabela4[Data ex-1])=Tabela5[[#This Row],[Ano]]),Tabela4[Líquido])</f>
        <v>0.2606</v>
      </c>
      <c r="L658" s="87"/>
      <c r="M658" s="87"/>
      <c r="N658" s="88">
        <f>IF(Tabela5[[#This Row],[Dividendos]]&gt;0,Tabela5[[#This Row],[Dividendos]]/Tabela5[[#This Row],[Lucro Líquido]],0)</f>
        <v>0</v>
      </c>
      <c r="O658" s="23">
        <v>0.19</v>
      </c>
      <c r="P658" s="10"/>
    </row>
    <row r="659" spans="1:16" x14ac:dyDescent="0.2">
      <c r="A659" s="4" t="s">
        <v>228</v>
      </c>
      <c r="B659" s="3" t="s">
        <v>14</v>
      </c>
      <c r="C659" s="80">
        <v>38708</v>
      </c>
      <c r="D659" s="3">
        <v>0.83679999999999999</v>
      </c>
      <c r="E659" s="81">
        <v>38897</v>
      </c>
      <c r="F659" s="81">
        <v>38708</v>
      </c>
      <c r="G659" s="10">
        <f>IF(Tabela4[[#This Row],[Tipo]]="Dividendo",Tabela4[[#This Row],[Valor]],IF(Tabela4[[#This Row],[Tipo]]="Jrs. Cap. Próprio",Tabela4[[#This Row],[Valor]]*85%,0))</f>
        <v>0.71128000000000002</v>
      </c>
      <c r="I659" s="35" t="s">
        <v>67</v>
      </c>
      <c r="J659" s="35">
        <v>2009</v>
      </c>
      <c r="K659" s="34">
        <f>SUMPRODUCT(N(Tabela4[Ativo]=Tabela5[[#This Row],[Ativo]]),N(YEAR(Tabela4[Data ex-1])=Tabela5[[#This Row],[Ano]]),Tabela4[Líquido])</f>
        <v>0.38419999999999999</v>
      </c>
      <c r="L659" s="87"/>
      <c r="M659" s="87"/>
      <c r="N659" s="88">
        <f>IF(Tabela5[[#This Row],[Dividendos]]&gt;0,Tabela5[[#This Row],[Dividendos]]/Tabela5[[#This Row],[Lucro Líquido]],0)</f>
        <v>0</v>
      </c>
      <c r="O659" s="23">
        <v>0.49</v>
      </c>
      <c r="P659" s="10"/>
    </row>
    <row r="660" spans="1:16" x14ac:dyDescent="0.2">
      <c r="A660" s="3" t="s">
        <v>228</v>
      </c>
      <c r="B660" s="3" t="s">
        <v>15</v>
      </c>
      <c r="C660" s="80">
        <v>38441</v>
      </c>
      <c r="D660" s="3">
        <v>0.29010000000000002</v>
      </c>
      <c r="E660" s="81">
        <v>38708</v>
      </c>
      <c r="F660" s="81">
        <v>38441</v>
      </c>
      <c r="G660" s="10">
        <f>IF(Tabela4[[#This Row],[Tipo]]="Dividendo",Tabela4[[#This Row],[Valor]],IF(Tabela4[[#This Row],[Tipo]]="Jrs. Cap. Próprio",Tabela4[[#This Row],[Valor]]*85%,0))</f>
        <v>0.29010000000000002</v>
      </c>
      <c r="I660" s="35" t="s">
        <v>67</v>
      </c>
      <c r="J660" s="35">
        <v>2008</v>
      </c>
      <c r="K660" s="34">
        <f>SUMPRODUCT(N(Tabela4[Ativo]=Tabela5[[#This Row],[Ativo]]),N(YEAR(Tabela4[Data ex-1])=Tabela5[[#This Row],[Ano]]),Tabela4[Líquido])</f>
        <v>0.29444499999999996</v>
      </c>
      <c r="L660" s="87"/>
      <c r="M660" s="87"/>
      <c r="N660" s="88">
        <f>IF(Tabela5[[#This Row],[Dividendos]]&gt;0,Tabela5[[#This Row],[Dividendos]]/Tabela5[[#This Row],[Lucro Líquido]],0)</f>
        <v>0</v>
      </c>
      <c r="O660" s="23">
        <v>0.33</v>
      </c>
      <c r="P660" s="10"/>
    </row>
    <row r="661" spans="1:16" x14ac:dyDescent="0.2">
      <c r="A661" s="4" t="s">
        <v>228</v>
      </c>
      <c r="B661" s="3" t="s">
        <v>14</v>
      </c>
      <c r="C661" s="80">
        <v>38334</v>
      </c>
      <c r="D661" s="3">
        <v>0.72330000000000005</v>
      </c>
      <c r="E661" s="81">
        <v>38708</v>
      </c>
      <c r="F661" s="81">
        <v>38331</v>
      </c>
      <c r="G661" s="10">
        <f>IF(Tabela4[[#This Row],[Tipo]]="Dividendo",Tabela4[[#This Row],[Valor]],IF(Tabela4[[#This Row],[Tipo]]="Jrs. Cap. Próprio",Tabela4[[#This Row],[Valor]]*85%,0))</f>
        <v>0.61480500000000005</v>
      </c>
      <c r="I661" s="35" t="s">
        <v>67</v>
      </c>
      <c r="J661" s="35">
        <v>2007</v>
      </c>
      <c r="K661" s="34">
        <f>SUMPRODUCT(N(Tabela4[Ativo]=Tabela5[[#This Row],[Ativo]]),N(YEAR(Tabela4[Data ex-1])=Tabela5[[#This Row],[Ano]]),Tabela4[Líquido])</f>
        <v>0.28985499999999997</v>
      </c>
      <c r="L661" s="87"/>
      <c r="M661" s="87"/>
      <c r="N661" s="88">
        <f>IF(Tabela5[[#This Row],[Dividendos]]&gt;0,Tabela5[[#This Row],[Dividendos]]/Tabela5[[#This Row],[Lucro Líquido]],0)</f>
        <v>0</v>
      </c>
      <c r="O661" s="23">
        <v>0.44</v>
      </c>
      <c r="P661" s="10"/>
    </row>
    <row r="662" spans="1:16" x14ac:dyDescent="0.2">
      <c r="A662" s="3" t="s">
        <v>228</v>
      </c>
      <c r="B662" s="3" t="s">
        <v>15</v>
      </c>
      <c r="C662" s="80">
        <v>38077</v>
      </c>
      <c r="D662" s="3">
        <v>0.66610000000000003</v>
      </c>
      <c r="E662" s="81">
        <v>38167</v>
      </c>
      <c r="F662" s="81">
        <v>38076</v>
      </c>
      <c r="G662" s="10">
        <f>IF(Tabela4[[#This Row],[Tipo]]="Dividendo",Tabela4[[#This Row],[Valor]],IF(Tabela4[[#This Row],[Tipo]]="Jrs. Cap. Próprio",Tabela4[[#This Row],[Valor]]*85%,0))</f>
        <v>0.66610000000000003</v>
      </c>
      <c r="I662" s="35" t="s">
        <v>67</v>
      </c>
      <c r="J662" s="35">
        <v>2006</v>
      </c>
      <c r="K662" s="34">
        <f>SUMPRODUCT(N(Tabela4[Ativo]=Tabela5[[#This Row],[Ativo]]),N(YEAR(Tabela4[Data ex-1])=Tabela5[[#This Row],[Ano]]),Tabela4[Líquido])</f>
        <v>0.24737999999999999</v>
      </c>
      <c r="L662" s="87"/>
      <c r="M662" s="87"/>
      <c r="N662" s="88">
        <f>IF(Tabela5[[#This Row],[Dividendos]]&gt;0,Tabela5[[#This Row],[Dividendos]]/Tabela5[[#This Row],[Lucro Líquido]],0)</f>
        <v>0</v>
      </c>
      <c r="O662" s="23">
        <v>0.48</v>
      </c>
      <c r="P662" s="10"/>
    </row>
    <row r="663" spans="1:16" x14ac:dyDescent="0.2">
      <c r="A663" s="4" t="s">
        <v>228</v>
      </c>
      <c r="B663" s="3" t="s">
        <v>14</v>
      </c>
      <c r="C663" s="80">
        <v>37984</v>
      </c>
      <c r="D663" s="3">
        <v>0.63690000000000002</v>
      </c>
      <c r="E663" s="81">
        <v>38167</v>
      </c>
      <c r="F663" s="81">
        <v>37984</v>
      </c>
      <c r="G663" s="10">
        <f>IF(Tabela4[[#This Row],[Tipo]]="Dividendo",Tabela4[[#This Row],[Valor]],IF(Tabela4[[#This Row],[Tipo]]="Jrs. Cap. Próprio",Tabela4[[#This Row],[Valor]]*85%,0))</f>
        <v>0.54136499999999999</v>
      </c>
      <c r="I663" s="35" t="s">
        <v>67</v>
      </c>
      <c r="J663" s="35">
        <v>2005</v>
      </c>
      <c r="K663" s="34">
        <f>SUMPRODUCT(N(Tabela4[Ativo]=Tabela5[[#This Row],[Ativo]]),N(YEAR(Tabela4[Data ex-1])=Tabela5[[#This Row],[Ano]]),Tabela4[Líquido])</f>
        <v>0.28576499999999999</v>
      </c>
      <c r="L663" s="87"/>
      <c r="M663" s="87"/>
      <c r="N663" s="88">
        <f>IF(Tabela5[[#This Row],[Dividendos]]&gt;0,Tabela5[[#This Row],[Dividendos]]/Tabela5[[#This Row],[Lucro Líquido]],0)</f>
        <v>0</v>
      </c>
      <c r="O663" s="23">
        <v>0.56999999999999995</v>
      </c>
      <c r="P663" s="10"/>
    </row>
    <row r="664" spans="1:16" x14ac:dyDescent="0.2">
      <c r="A664" s="3" t="s">
        <v>228</v>
      </c>
      <c r="B664" s="3" t="s">
        <v>15</v>
      </c>
      <c r="C664" s="80">
        <v>37740</v>
      </c>
      <c r="D664" s="3">
        <v>0.17150000000000001</v>
      </c>
      <c r="E664" s="81">
        <v>37925</v>
      </c>
      <c r="F664" s="81">
        <v>37740</v>
      </c>
      <c r="G664" s="10">
        <f>IF(Tabela4[[#This Row],[Tipo]]="Dividendo",Tabela4[[#This Row],[Valor]],IF(Tabela4[[#This Row],[Tipo]]="Jrs. Cap. Próprio",Tabela4[[#This Row],[Valor]]*85%,0))</f>
        <v>0.17150000000000001</v>
      </c>
      <c r="I664" s="35" t="s">
        <v>67</v>
      </c>
      <c r="J664" s="35">
        <v>2004</v>
      </c>
      <c r="K664" s="34">
        <f>SUMPRODUCT(N(Tabela4[Ativo]=Tabela5[[#This Row],[Ativo]]),N(YEAR(Tabela4[Data ex-1])=Tabela5[[#This Row],[Ano]]),Tabela4[Líquido])</f>
        <v>0.225025</v>
      </c>
      <c r="L664" s="87"/>
      <c r="M664" s="87"/>
      <c r="N664" s="88">
        <f>IF(Tabela5[[#This Row],[Dividendos]]&gt;0,Tabela5[[#This Row],[Dividendos]]/Tabela5[[#This Row],[Lucro Líquido]],0)</f>
        <v>0</v>
      </c>
      <c r="O664" s="23">
        <v>0.42</v>
      </c>
      <c r="P664" s="10"/>
    </row>
    <row r="665" spans="1:16" x14ac:dyDescent="0.2">
      <c r="A665" s="4" t="s">
        <v>228</v>
      </c>
      <c r="B665" s="3" t="s">
        <v>15</v>
      </c>
      <c r="C665" s="80">
        <v>37375</v>
      </c>
      <c r="D665" s="3">
        <v>1.2094</v>
      </c>
      <c r="E665" s="81">
        <v>37620</v>
      </c>
      <c r="F665" s="81">
        <v>37375</v>
      </c>
      <c r="G665" s="10">
        <f>IF(Tabela4[[#This Row],[Tipo]]="Dividendo",Tabela4[[#This Row],[Valor]],IF(Tabela4[[#This Row],[Tipo]]="Jrs. Cap. Próprio",Tabela4[[#This Row],[Valor]]*85%,0))</f>
        <v>1.2094</v>
      </c>
      <c r="I665" s="35" t="s">
        <v>67</v>
      </c>
      <c r="J665" s="35">
        <v>2003</v>
      </c>
      <c r="K665" s="34">
        <f>SUMPRODUCT(N(Tabela4[Ativo]=Tabela5[[#This Row],[Ativo]]),N(YEAR(Tabela4[Data ex-1])=Tabela5[[#This Row],[Ano]]),Tabela4[Líquido])</f>
        <v>2.5999999999999999E-2</v>
      </c>
      <c r="L665" s="87"/>
      <c r="M665" s="87"/>
      <c r="N665" s="88">
        <f>IF(Tabela5[[#This Row],[Dividendos]]&gt;0,Tabela5[[#This Row],[Dividendos]]/Tabela5[[#This Row],[Lucro Líquido]],0)</f>
        <v>0</v>
      </c>
      <c r="O665" s="23">
        <v>0.06</v>
      </c>
      <c r="P665" s="10"/>
    </row>
    <row r="666" spans="1:16" x14ac:dyDescent="0.2">
      <c r="A666" s="3" t="s">
        <v>228</v>
      </c>
      <c r="B666" s="3" t="s">
        <v>14</v>
      </c>
      <c r="C666" s="80">
        <v>37260</v>
      </c>
      <c r="D666" s="3">
        <v>0.2268</v>
      </c>
      <c r="E666" s="81">
        <v>37589</v>
      </c>
      <c r="F666" s="81">
        <v>37256</v>
      </c>
      <c r="G666" s="10">
        <f>IF(Tabela4[[#This Row],[Tipo]]="Dividendo",Tabela4[[#This Row],[Valor]],IF(Tabela4[[#This Row],[Tipo]]="Jrs. Cap. Próprio",Tabela4[[#This Row],[Valor]]*85%,0))</f>
        <v>0.19278000000000001</v>
      </c>
      <c r="I666" s="35" t="s">
        <v>67</v>
      </c>
      <c r="J666" s="35">
        <v>2002</v>
      </c>
      <c r="K666" s="34">
        <f>SUMPRODUCT(N(Tabela4[Ativo]=Tabela5[[#This Row],[Ativo]]),N(YEAR(Tabela4[Data ex-1])=Tabela5[[#This Row],[Ano]]),Tabela4[Líquido])</f>
        <v>3.5275000000000001E-2</v>
      </c>
      <c r="L666" s="87"/>
      <c r="M666" s="87"/>
      <c r="N666" s="88">
        <f>IF(Tabela5[[#This Row],[Dividendos]]&gt;0,Tabela5[[#This Row],[Dividendos]]/Tabela5[[#This Row],[Lucro Líquido]],0)</f>
        <v>0</v>
      </c>
      <c r="O666" s="23"/>
      <c r="P666" s="10"/>
    </row>
    <row r="667" spans="1:16" x14ac:dyDescent="0.2">
      <c r="A667" s="4" t="s">
        <v>228</v>
      </c>
      <c r="B667" s="3" t="s">
        <v>14</v>
      </c>
      <c r="C667" s="80">
        <v>37071</v>
      </c>
      <c r="D667" s="3">
        <v>0.36930000000000002</v>
      </c>
      <c r="E667" s="81">
        <v>37085</v>
      </c>
      <c r="F667" s="81">
        <v>37071</v>
      </c>
      <c r="G667" s="10">
        <f>IF(Tabela4[[#This Row],[Tipo]]="Dividendo",Tabela4[[#This Row],[Valor]],IF(Tabela4[[#This Row],[Tipo]]="Jrs. Cap. Próprio",Tabela4[[#This Row],[Valor]]*85%,0))</f>
        <v>0.31390499999999999</v>
      </c>
      <c r="I667" s="35" t="s">
        <v>67</v>
      </c>
      <c r="J667" s="35">
        <v>2001</v>
      </c>
      <c r="K667" s="34">
        <f>SUMPRODUCT(N(Tabela4[Ativo]=Tabela5[[#This Row],[Ativo]]),N(YEAR(Tabela4[Data ex-1])=Tabela5[[#This Row],[Ano]]),Tabela4[Líquido])</f>
        <v>3.2199999999999999E-2</v>
      </c>
      <c r="L667" s="87"/>
      <c r="M667" s="87"/>
      <c r="N667" s="88">
        <f>IF(Tabela5[[#This Row],[Dividendos]]&gt;0,Tabela5[[#This Row],[Dividendos]]/Tabela5[[#This Row],[Lucro Líquido]],0)</f>
        <v>0</v>
      </c>
      <c r="O667" s="23"/>
      <c r="P667" s="10"/>
    </row>
    <row r="668" spans="1:16" x14ac:dyDescent="0.2">
      <c r="A668" s="3" t="s">
        <v>228</v>
      </c>
      <c r="B668" s="3" t="s">
        <v>14</v>
      </c>
      <c r="C668" s="80">
        <v>36893</v>
      </c>
      <c r="D668" s="3">
        <v>0.82869999999999999</v>
      </c>
      <c r="E668" s="81"/>
      <c r="F668" s="81">
        <v>36889</v>
      </c>
      <c r="G668" s="10">
        <f>IF(Tabela4[[#This Row],[Tipo]]="Dividendo",Tabela4[[#This Row],[Valor]],IF(Tabela4[[#This Row],[Tipo]]="Jrs. Cap. Próprio",Tabela4[[#This Row],[Valor]]*85%,0))</f>
        <v>0.70439499999999999</v>
      </c>
      <c r="I668" s="35" t="s">
        <v>67</v>
      </c>
      <c r="J668" s="35">
        <v>2000</v>
      </c>
      <c r="K668" s="34">
        <f>SUMPRODUCT(N(Tabela4[Ativo]=Tabela5[[#This Row],[Ativo]]),N(YEAR(Tabela4[Data ex-1])=Tabela5[[#This Row],[Ano]]),Tabela4[Líquido])</f>
        <v>0</v>
      </c>
      <c r="L668" s="87"/>
      <c r="M668" s="87"/>
      <c r="N668" s="88">
        <f>IF(Tabela5[[#This Row],[Dividendos]]&gt;0,Tabela5[[#This Row],[Dividendos]]/Tabela5[[#This Row],[Lucro Líquido]],0)</f>
        <v>0</v>
      </c>
      <c r="O668" s="23"/>
      <c r="P668" s="10"/>
    </row>
    <row r="669" spans="1:16" x14ac:dyDescent="0.2">
      <c r="A669" s="4" t="s">
        <v>228</v>
      </c>
      <c r="B669" s="3" t="s">
        <v>15</v>
      </c>
      <c r="C669" s="80">
        <v>36578</v>
      </c>
      <c r="D669" s="3">
        <v>8.8999999999999996E-2</v>
      </c>
      <c r="E669" s="81">
        <v>36638</v>
      </c>
      <c r="F669" s="81">
        <v>36578</v>
      </c>
      <c r="G669" s="10">
        <f>IF(Tabela4[[#This Row],[Tipo]]="Dividendo",Tabela4[[#This Row],[Valor]],IF(Tabela4[[#This Row],[Tipo]]="Jrs. Cap. Próprio",Tabela4[[#This Row],[Valor]]*85%,0))</f>
        <v>8.8999999999999996E-2</v>
      </c>
      <c r="I669" s="35" t="s">
        <v>67</v>
      </c>
      <c r="J669" s="35">
        <v>1999</v>
      </c>
      <c r="K669" s="34">
        <f>SUMPRODUCT(N(Tabela4[Ativo]=Tabela5[[#This Row],[Ativo]]),N(YEAR(Tabela4[Data ex-1])=Tabela5[[#This Row],[Ano]]),Tabela4[Líquido])</f>
        <v>9.7999999999999997E-3</v>
      </c>
      <c r="L669" s="87"/>
      <c r="M669" s="87"/>
      <c r="N669" s="88">
        <f>IF(Tabela5[[#This Row],[Dividendos]]&gt;0,Tabela5[[#This Row],[Dividendos]]/Tabela5[[#This Row],[Lucro Líquido]],0)</f>
        <v>0</v>
      </c>
      <c r="O669" s="23"/>
      <c r="P669" s="10"/>
    </row>
    <row r="670" spans="1:16" x14ac:dyDescent="0.2">
      <c r="A670" s="3" t="s">
        <v>228</v>
      </c>
      <c r="B670" s="3" t="s">
        <v>14</v>
      </c>
      <c r="C670" s="80">
        <v>36546</v>
      </c>
      <c r="D670" s="3">
        <v>0.47399999999999998</v>
      </c>
      <c r="E670" s="81">
        <v>36571</v>
      </c>
      <c r="F670" s="81">
        <v>36546</v>
      </c>
      <c r="G670" s="10">
        <f>IF(Tabela4[[#This Row],[Tipo]]="Dividendo",Tabela4[[#This Row],[Valor]],IF(Tabela4[[#This Row],[Tipo]]="Jrs. Cap. Próprio",Tabela4[[#This Row],[Valor]]*85%,0))</f>
        <v>0.40289999999999998</v>
      </c>
      <c r="I670" s="4" t="s">
        <v>215</v>
      </c>
      <c r="J670" s="4">
        <v>2013</v>
      </c>
      <c r="K670" s="14">
        <f>SUMPRODUCT(N(Tabela4[Ativo]=Tabela5[[#This Row],[Ativo]]),N(YEAR(Tabela4[Data ex-1])=Tabela5[[#This Row],[Ano]]),Tabela4[Líquido])</f>
        <v>0.25600000000000001</v>
      </c>
      <c r="L670" s="6">
        <v>50944000</v>
      </c>
      <c r="M670" s="6">
        <v>27769000</v>
      </c>
      <c r="N670" s="24">
        <f>IF(Tabela5[[#This Row],[Dividendos]]&gt;0,Tabela5[[#This Row],[Dividendos]]/Tabela5[[#This Row],[Lucro Líquido]],0)</f>
        <v>0.54508872487437188</v>
      </c>
      <c r="O670" s="23">
        <f>Tabela5[[#This Row],[Payout2]]</f>
        <v>0.54508872487437188</v>
      </c>
      <c r="P670" s="10"/>
    </row>
    <row r="671" spans="1:16" x14ac:dyDescent="0.2">
      <c r="A671" s="4" t="s">
        <v>228</v>
      </c>
      <c r="B671" s="3" t="s">
        <v>14</v>
      </c>
      <c r="C671" s="80">
        <v>36434</v>
      </c>
      <c r="D671" s="3">
        <v>0.33400000000000002</v>
      </c>
      <c r="E671" s="81"/>
      <c r="F671" s="81">
        <v>36433</v>
      </c>
      <c r="G671" s="10">
        <f>IF(Tabela4[[#This Row],[Tipo]]="Dividendo",Tabela4[[#This Row],[Valor]],IF(Tabela4[[#This Row],[Tipo]]="Jrs. Cap. Próprio",Tabela4[[#This Row],[Valor]]*85%,0))</f>
        <v>0.28389999999999999</v>
      </c>
      <c r="I671" s="4" t="s">
        <v>215</v>
      </c>
      <c r="J671" s="4">
        <v>2012</v>
      </c>
      <c r="K671" s="14">
        <f>SUMPRODUCT(N(Tabela4[Ativo]=Tabela5[[#This Row],[Ativo]]),N(YEAR(Tabela4[Data ex-1])=Tabela5[[#This Row],[Ano]]),Tabela4[Líquido])</f>
        <v>0.36249999999999999</v>
      </c>
      <c r="L671" s="6">
        <v>41245000</v>
      </c>
      <c r="M671" s="6">
        <v>39324499.450000003</v>
      </c>
      <c r="N671" s="24">
        <f>IF(Tabela5[[#This Row],[Dividendos]]&gt;0,Tabela5[[#This Row],[Dividendos]]/Tabela5[[#This Row],[Lucro Líquido]],0)</f>
        <v>0.95343676688083412</v>
      </c>
      <c r="O671" s="23">
        <f>Tabela5[[#This Row],[Payout2]]</f>
        <v>0.95343676688083412</v>
      </c>
      <c r="P671" s="10"/>
    </row>
    <row r="672" spans="1:16" x14ac:dyDescent="0.2">
      <c r="A672" s="3" t="s">
        <v>228</v>
      </c>
      <c r="B672" s="3" t="s">
        <v>14</v>
      </c>
      <c r="C672" s="80">
        <v>36290</v>
      </c>
      <c r="D672" s="3">
        <v>0.18</v>
      </c>
      <c r="E672" s="81"/>
      <c r="F672" s="81">
        <v>36290</v>
      </c>
      <c r="G672" s="10">
        <f>IF(Tabela4[[#This Row],[Tipo]]="Dividendo",Tabela4[[#This Row],[Valor]],IF(Tabela4[[#This Row],[Tipo]]="Jrs. Cap. Próprio",Tabela4[[#This Row],[Valor]]*85%,0))</f>
        <v>0.153</v>
      </c>
      <c r="I672" s="4" t="s">
        <v>215</v>
      </c>
      <c r="J672" s="4">
        <v>2011</v>
      </c>
      <c r="K672" s="14">
        <f>SUMPRODUCT(N(Tabela4[Ativo]=Tabela5[[#This Row],[Ativo]]),N(YEAR(Tabela4[Data ex-1])=Tabela5[[#This Row],[Ano]]),Tabela4[Líquido])</f>
        <v>0.41899999999999998</v>
      </c>
      <c r="L672" s="6">
        <v>75022983.519999996</v>
      </c>
      <c r="M672" s="6">
        <v>45453466.93</v>
      </c>
      <c r="N672" s="24">
        <f>IF(Tabela5[[#This Row],[Dividendos]]&gt;0,Tabela5[[#This Row],[Dividendos]]/Tabela5[[#This Row],[Lucro Líquido]],0)</f>
        <v>0.60586056162219659</v>
      </c>
      <c r="O672" s="23">
        <f>Tabela5[[#This Row],[Payout2]]</f>
        <v>0.60586056162219659</v>
      </c>
      <c r="P672" s="10"/>
    </row>
    <row r="673" spans="1:17" x14ac:dyDescent="0.2">
      <c r="A673" s="4" t="s">
        <v>228</v>
      </c>
      <c r="B673" s="3" t="s">
        <v>14</v>
      </c>
      <c r="C673" s="80">
        <v>36159</v>
      </c>
      <c r="D673" s="3">
        <v>0.2379</v>
      </c>
      <c r="E673" s="81"/>
      <c r="F673" s="81">
        <v>36159</v>
      </c>
      <c r="G673" s="10">
        <f>IF(Tabela4[[#This Row],[Tipo]]="Dividendo",Tabela4[[#This Row],[Valor]],IF(Tabela4[[#This Row],[Tipo]]="Jrs. Cap. Próprio",Tabela4[[#This Row],[Valor]]*85%,0))</f>
        <v>0.20221500000000001</v>
      </c>
      <c r="I673" s="3" t="s">
        <v>250</v>
      </c>
      <c r="J673" s="3">
        <v>2013</v>
      </c>
      <c r="K673" s="10">
        <f>SUMPRODUCT(N(Tabela4[Ativo]=Tabela5[[#This Row],[Ativo]]),N(YEAR(Tabela4[Data ex-1])=Tabela5[[#This Row],[Ano]]),Tabela4[Líquido])</f>
        <v>0.35022999999999999</v>
      </c>
      <c r="N673" s="23">
        <f>IF(Tabela5[[#This Row],[Dividendos]]&gt;0,Tabela5[[#This Row],[Dividendos]]/Tabela5[[#This Row],[Lucro Líquido]],0)</f>
        <v>0</v>
      </c>
      <c r="O673" s="28">
        <v>0.57579999999999998</v>
      </c>
      <c r="P673" s="10"/>
    </row>
    <row r="674" spans="1:17" x14ac:dyDescent="0.2">
      <c r="A674" s="3" t="s">
        <v>228</v>
      </c>
      <c r="B674" s="3" t="s">
        <v>14</v>
      </c>
      <c r="C674" s="80">
        <v>36007</v>
      </c>
      <c r="D674" s="3">
        <v>0.36209999999999998</v>
      </c>
      <c r="E674" s="81"/>
      <c r="F674" s="81">
        <v>36007</v>
      </c>
      <c r="G674" s="10">
        <f>IF(Tabela4[[#This Row],[Tipo]]="Dividendo",Tabela4[[#This Row],[Valor]],IF(Tabela4[[#This Row],[Tipo]]="Jrs. Cap. Próprio",Tabela4[[#This Row],[Valor]]*85%,0))</f>
        <v>0.30778499999999998</v>
      </c>
      <c r="I674" s="3" t="s">
        <v>250</v>
      </c>
      <c r="J674" s="3">
        <v>2012</v>
      </c>
      <c r="K674" s="10">
        <f>SUMPRODUCT(N(Tabela4[Ativo]=Tabela5[[#This Row],[Ativo]]),N(YEAR(Tabela4[Data ex-1])=Tabela5[[#This Row],[Ano]]),Tabela4[Líquido])</f>
        <v>0.38053999999999999</v>
      </c>
      <c r="N674" s="23">
        <f>IF(Tabela5[[#This Row],[Dividendos]]&gt;0,Tabela5[[#This Row],[Dividendos]]/Tabela5[[#This Row],[Lucro Líquido]],0)</f>
        <v>0</v>
      </c>
      <c r="O674" s="28">
        <v>0.66</v>
      </c>
      <c r="P674" s="10"/>
    </row>
    <row r="675" spans="1:17" x14ac:dyDescent="0.2">
      <c r="A675" s="4" t="s">
        <v>232</v>
      </c>
      <c r="B675" s="4" t="s">
        <v>14</v>
      </c>
      <c r="C675" s="19">
        <v>41502</v>
      </c>
      <c r="D675" s="3">
        <v>0.26579999999999998</v>
      </c>
      <c r="E675" s="68">
        <v>41578</v>
      </c>
      <c r="F675" s="68">
        <v>41499</v>
      </c>
      <c r="G675" s="14">
        <f>IF(Tabela4[[#This Row],[Tipo]]="Dividendo",Tabela4[[#This Row],[Valor]],IF(Tabela4[[#This Row],[Tipo]]="Jrs. Cap. Próprio",Tabela4[[#This Row],[Valor]]*85%,0))</f>
        <v>0.22592999999999996</v>
      </c>
      <c r="I675" s="3" t="s">
        <v>250</v>
      </c>
      <c r="J675" s="3">
        <v>2011</v>
      </c>
      <c r="K675" s="10">
        <f>SUMPRODUCT(N(Tabela4[Ativo]=Tabela5[[#This Row],[Ativo]]),N(YEAR(Tabela4[Data ex-1])=Tabela5[[#This Row],[Ano]]),Tabela4[Líquido])</f>
        <v>0.29673499999999997</v>
      </c>
      <c r="N675" s="23">
        <f>IF(Tabela5[[#This Row],[Dividendos]]&gt;0,Tabela5[[#This Row],[Dividendos]]/Tabela5[[#This Row],[Lucro Líquido]],0)</f>
        <v>0</v>
      </c>
      <c r="O675" s="28"/>
      <c r="P675" s="10"/>
    </row>
    <row r="676" spans="1:17" x14ac:dyDescent="0.2">
      <c r="A676" s="4" t="s">
        <v>232</v>
      </c>
      <c r="B676" s="3" t="s">
        <v>14</v>
      </c>
      <c r="C676" s="80">
        <v>41404</v>
      </c>
      <c r="D676" s="3">
        <v>0.30309999999999998</v>
      </c>
      <c r="E676" s="81">
        <v>41481</v>
      </c>
      <c r="F676" s="81">
        <v>41401</v>
      </c>
      <c r="G676" s="10">
        <f>IF(Tabela4[[#This Row],[Tipo]]="Dividendo",Tabela4[[#This Row],[Valor]],IF(Tabela4[[#This Row],[Tipo]]="Jrs. Cap. Próprio",Tabela4[[#This Row],[Valor]]*85%,0))</f>
        <v>0.257635</v>
      </c>
      <c r="I676" s="3" t="s">
        <v>250</v>
      </c>
      <c r="J676" s="3">
        <v>2010</v>
      </c>
      <c r="K676" s="10">
        <f>SUMPRODUCT(N(Tabela4[Ativo]=Tabela5[[#This Row],[Ativo]]),N(YEAR(Tabela4[Data ex-1])=Tabela5[[#This Row],[Ano]]),Tabela4[Líquido])</f>
        <v>0.24819999999999998</v>
      </c>
      <c r="N676" s="23">
        <f>IF(Tabela5[[#This Row],[Dividendos]]&gt;0,Tabela5[[#This Row],[Dividendos]]/Tabela5[[#This Row],[Lucro Líquido]],0)</f>
        <v>0</v>
      </c>
      <c r="O676" s="28"/>
      <c r="P676" s="10"/>
    </row>
    <row r="677" spans="1:17" x14ac:dyDescent="0.2">
      <c r="A677" s="4" t="s">
        <v>232</v>
      </c>
      <c r="B677" s="3" t="s">
        <v>15</v>
      </c>
      <c r="C677" s="80">
        <v>41390</v>
      </c>
      <c r="D677" s="3">
        <v>0.84789999999999999</v>
      </c>
      <c r="E677" s="81">
        <v>41607</v>
      </c>
      <c r="F677" s="81">
        <v>41388</v>
      </c>
      <c r="G677" s="10">
        <f>IF(Tabela4[[#This Row],[Tipo]]="Dividendo",Tabela4[[#This Row],[Valor]],IF(Tabela4[[#This Row],[Tipo]]="Jrs. Cap. Próprio",Tabela4[[#This Row],[Valor]]*85%,0))</f>
        <v>0.84789999999999999</v>
      </c>
      <c r="I677" s="3" t="s">
        <v>250</v>
      </c>
      <c r="J677" s="3">
        <v>2009</v>
      </c>
      <c r="K677" s="10">
        <f>SUMPRODUCT(N(Tabela4[Ativo]=Tabela5[[#This Row],[Ativo]]),N(YEAR(Tabela4[Data ex-1])=Tabela5[[#This Row],[Ano]]),Tabela4[Líquido])</f>
        <v>0.25631999999999999</v>
      </c>
      <c r="N677" s="23">
        <f>IF(Tabela5[[#This Row],[Dividendos]]&gt;0,Tabela5[[#This Row],[Dividendos]]/Tabela5[[#This Row],[Lucro Líquido]],0)</f>
        <v>0</v>
      </c>
      <c r="O677" s="28"/>
      <c r="P677" s="10"/>
    </row>
    <row r="678" spans="1:17" x14ac:dyDescent="0.2">
      <c r="A678" s="4" t="s">
        <v>232</v>
      </c>
      <c r="B678" s="3" t="s">
        <v>14</v>
      </c>
      <c r="C678" s="80">
        <v>41129</v>
      </c>
      <c r="D678" s="3">
        <v>0.12509999999999999</v>
      </c>
      <c r="E678" s="81">
        <v>41208</v>
      </c>
      <c r="F678" s="81">
        <v>41128</v>
      </c>
      <c r="G678" s="10">
        <f>IF(Tabela4[[#This Row],[Tipo]]="Dividendo",Tabela4[[#This Row],[Valor]],IF(Tabela4[[#This Row],[Tipo]]="Jrs. Cap. Próprio",Tabela4[[#This Row],[Valor]]*85%,0))</f>
        <v>0.10633499999999999</v>
      </c>
      <c r="I678" s="3" t="s">
        <v>250</v>
      </c>
      <c r="J678" s="3">
        <v>2008</v>
      </c>
      <c r="K678" s="10">
        <f>SUMPRODUCT(N(Tabela4[Ativo]=Tabela5[[#This Row],[Ativo]]),N(YEAR(Tabela4[Data ex-1])=Tabela5[[#This Row],[Ano]]),Tabela4[Líquido])</f>
        <v>0.23519499999999999</v>
      </c>
      <c r="N678" s="23">
        <f>IF(Tabela5[[#This Row],[Dividendos]]&gt;0,Tabela5[[#This Row],[Dividendos]]/Tabela5[[#This Row],[Lucro Líquido]],0)</f>
        <v>0</v>
      </c>
      <c r="O678" s="28"/>
      <c r="P678" s="10"/>
    </row>
    <row r="679" spans="1:17" x14ac:dyDescent="0.2">
      <c r="A679" s="4" t="s">
        <v>232</v>
      </c>
      <c r="B679" s="3" t="s">
        <v>14</v>
      </c>
      <c r="C679" s="80">
        <v>41038</v>
      </c>
      <c r="D679" s="3">
        <v>0.18840000000000001</v>
      </c>
      <c r="E679" s="81">
        <v>41109</v>
      </c>
      <c r="F679" s="81">
        <v>41037</v>
      </c>
      <c r="G679" s="10">
        <f>IF(Tabela4[[#This Row],[Tipo]]="Dividendo",Tabela4[[#This Row],[Valor]],IF(Tabela4[[#This Row],[Tipo]]="Jrs. Cap. Próprio",Tabela4[[#This Row],[Valor]]*85%,0))</f>
        <v>0.16014</v>
      </c>
      <c r="I679" s="3" t="s">
        <v>250</v>
      </c>
      <c r="J679" s="3">
        <v>2007</v>
      </c>
      <c r="K679" s="10">
        <f>SUMPRODUCT(N(Tabela4[Ativo]=Tabela5[[#This Row],[Ativo]]),N(YEAR(Tabela4[Data ex-1])=Tabela5[[#This Row],[Ano]]),Tabela4[Líquido])</f>
        <v>0.21932499999999999</v>
      </c>
      <c r="N679" s="23">
        <f>IF(Tabela5[[#This Row],[Dividendos]]&gt;0,Tabela5[[#This Row],[Dividendos]]/Tabela5[[#This Row],[Lucro Líquido]],0)</f>
        <v>0</v>
      </c>
      <c r="O679" s="28"/>
      <c r="P679" s="10"/>
    </row>
    <row r="680" spans="1:17" x14ac:dyDescent="0.2">
      <c r="A680" s="4" t="s">
        <v>232</v>
      </c>
      <c r="B680" s="3" t="s">
        <v>15</v>
      </c>
      <c r="C680" s="80">
        <v>41024</v>
      </c>
      <c r="D680" s="3">
        <v>1.2223999999999999</v>
      </c>
      <c r="E680" s="81"/>
      <c r="F680" s="81">
        <v>41023</v>
      </c>
      <c r="G680" s="10">
        <f>IF(Tabela4[[#This Row],[Tipo]]="Dividendo",Tabela4[[#This Row],[Valor]],IF(Tabela4[[#This Row],[Tipo]]="Jrs. Cap. Próprio",Tabela4[[#This Row],[Valor]]*85%,0))</f>
        <v>1.2223999999999999</v>
      </c>
      <c r="I680" s="3" t="s">
        <v>250</v>
      </c>
      <c r="J680" s="3">
        <v>2006</v>
      </c>
      <c r="K680" s="10">
        <f>SUMPRODUCT(N(Tabela4[Ativo]=Tabela5[[#This Row],[Ativo]]),N(YEAR(Tabela4[Data ex-1])=Tabela5[[#This Row],[Ano]]),Tabela4[Líquido])</f>
        <v>0.1812</v>
      </c>
      <c r="N680" s="23">
        <f>IF(Tabela5[[#This Row],[Dividendos]]&gt;0,Tabela5[[#This Row],[Dividendos]]/Tabela5[[#This Row],[Lucro Líquido]],0)</f>
        <v>0</v>
      </c>
      <c r="O680" s="28"/>
      <c r="P680" s="10"/>
    </row>
    <row r="681" spans="1:17" x14ac:dyDescent="0.2">
      <c r="A681" s="4" t="s">
        <v>232</v>
      </c>
      <c r="B681" s="3" t="s">
        <v>14</v>
      </c>
      <c r="C681" s="80">
        <v>40763</v>
      </c>
      <c r="D681" s="3">
        <v>0.15659999999999999</v>
      </c>
      <c r="E681" s="81">
        <v>40837</v>
      </c>
      <c r="F681" s="81">
        <v>40759</v>
      </c>
      <c r="G681" s="10">
        <f>IF(Tabela4[[#This Row],[Tipo]]="Dividendo",Tabela4[[#This Row],[Valor]],IF(Tabela4[[#This Row],[Tipo]]="Jrs. Cap. Próprio",Tabela4[[#This Row],[Valor]]*85%,0))</f>
        <v>0.13310999999999998</v>
      </c>
      <c r="I681" s="3" t="s">
        <v>250</v>
      </c>
      <c r="J681" s="3">
        <v>2005</v>
      </c>
      <c r="K681" s="10">
        <f>SUMPRODUCT(N(Tabela4[Ativo]=Tabela5[[#This Row],[Ativo]]),N(YEAR(Tabela4[Data ex-1])=Tabela5[[#This Row],[Ano]]),Tabela4[Líquido])</f>
        <v>0.18690000000000001</v>
      </c>
      <c r="N681" s="23">
        <f>IF(Tabela5[[#This Row],[Dividendos]]&gt;0,Tabela5[[#This Row],[Dividendos]]/Tabela5[[#This Row],[Lucro Líquido]],0)</f>
        <v>0</v>
      </c>
      <c r="O681" s="28"/>
      <c r="P681" s="10"/>
    </row>
    <row r="682" spans="1:17" x14ac:dyDescent="0.2">
      <c r="A682" s="4" t="s">
        <v>232</v>
      </c>
      <c r="B682" s="3" t="s">
        <v>14</v>
      </c>
      <c r="C682" s="80">
        <v>40669</v>
      </c>
      <c r="D682" s="3">
        <v>3.1899999999999998E-2</v>
      </c>
      <c r="E682" s="81">
        <v>40744</v>
      </c>
      <c r="F682" s="81">
        <v>40668</v>
      </c>
      <c r="G682" s="10">
        <f>IF(Tabela4[[#This Row],[Tipo]]="Dividendo",Tabela4[[#This Row],[Valor]],IF(Tabela4[[#This Row],[Tipo]]="Jrs. Cap. Próprio",Tabela4[[#This Row],[Valor]]*85%,0))</f>
        <v>2.7114999999999997E-2</v>
      </c>
      <c r="I682" s="3" t="s">
        <v>250</v>
      </c>
      <c r="J682" s="3">
        <v>2004</v>
      </c>
      <c r="K682" s="10">
        <f>SUMPRODUCT(N(Tabela4[Ativo]=Tabela5[[#This Row],[Ativo]]),N(YEAR(Tabela4[Data ex-1])=Tabela5[[#This Row],[Ano]]),Tabela4[Líquido])</f>
        <v>0.14329999999999998</v>
      </c>
      <c r="N682" s="23">
        <f>IF(Tabela5[[#This Row],[Dividendos]]&gt;0,Tabela5[[#This Row],[Dividendos]]/Tabela5[[#This Row],[Lucro Líquido]],0)</f>
        <v>0</v>
      </c>
      <c r="O682" s="28"/>
      <c r="P682" s="10"/>
    </row>
    <row r="683" spans="1:17" x14ac:dyDescent="0.2">
      <c r="A683" s="4" t="s">
        <v>232</v>
      </c>
      <c r="B683" s="3" t="s">
        <v>15</v>
      </c>
      <c r="C683" s="80">
        <v>40665</v>
      </c>
      <c r="D683" s="3">
        <v>0.51490000000000002</v>
      </c>
      <c r="E683" s="81">
        <v>40809</v>
      </c>
      <c r="F683" s="81">
        <v>40662</v>
      </c>
      <c r="G683" s="10">
        <f>IF(Tabela4[[#This Row],[Tipo]]="Dividendo",Tabela4[[#This Row],[Valor]],IF(Tabela4[[#This Row],[Tipo]]="Jrs. Cap. Próprio",Tabela4[[#This Row],[Valor]]*85%,0))</f>
        <v>0.51490000000000002</v>
      </c>
      <c r="I683" s="3" t="s">
        <v>250</v>
      </c>
      <c r="J683" s="3">
        <v>2003</v>
      </c>
      <c r="K683" s="10">
        <f>SUMPRODUCT(N(Tabela4[Ativo]=Tabela5[[#This Row],[Ativo]]),N(YEAR(Tabela4[Data ex-1])=Tabela5[[#This Row],[Ano]]),Tabela4[Líquido])</f>
        <v>0.12877</v>
      </c>
      <c r="N683" s="23">
        <f>IF(Tabela5[[#This Row],[Dividendos]]&gt;0,Tabela5[[#This Row],[Dividendos]]/Tabela5[[#This Row],[Lucro Líquido]],0)</f>
        <v>0</v>
      </c>
      <c r="O683" s="28"/>
      <c r="P683" s="10"/>
    </row>
    <row r="684" spans="1:17" x14ac:dyDescent="0.2">
      <c r="A684" s="4" t="s">
        <v>232</v>
      </c>
      <c r="B684" s="3" t="s">
        <v>14</v>
      </c>
      <c r="C684" s="80">
        <v>40498</v>
      </c>
      <c r="D684" s="3">
        <v>7.8299999999999995E-2</v>
      </c>
      <c r="E684" s="81">
        <v>40533</v>
      </c>
      <c r="F684" s="81">
        <v>40494</v>
      </c>
      <c r="G684" s="10">
        <f>IF(Tabela4[[#This Row],[Tipo]]="Dividendo",Tabela4[[#This Row],[Valor]],IF(Tabela4[[#This Row],[Tipo]]="Jrs. Cap. Próprio",Tabela4[[#This Row],[Valor]]*85%,0))</f>
        <v>6.6554999999999989E-2</v>
      </c>
      <c r="I684" s="3" t="s">
        <v>250</v>
      </c>
      <c r="J684" s="3">
        <v>2002</v>
      </c>
      <c r="K684" s="10">
        <f>SUMPRODUCT(N(Tabela4[Ativo]=Tabela5[[#This Row],[Ativo]]),N(YEAR(Tabela4[Data ex-1])=Tabela5[[#This Row],[Ano]]),Tabela4[Líquido])</f>
        <v>0.11531</v>
      </c>
      <c r="N684" s="23">
        <f>IF(Tabela5[[#This Row],[Dividendos]]&gt;0,Tabela5[[#This Row],[Dividendos]]/Tabela5[[#This Row],[Lucro Líquido]],0)</f>
        <v>0</v>
      </c>
      <c r="O684" s="28"/>
      <c r="P684" s="10"/>
    </row>
    <row r="685" spans="1:17" x14ac:dyDescent="0.2">
      <c r="A685" s="4" t="s">
        <v>232</v>
      </c>
      <c r="B685" s="3" t="s">
        <v>14</v>
      </c>
      <c r="C685" s="80">
        <v>40402</v>
      </c>
      <c r="D685" s="3">
        <v>7.8299999999999995E-2</v>
      </c>
      <c r="E685" s="81">
        <v>40459</v>
      </c>
      <c r="F685" s="81">
        <v>40400</v>
      </c>
      <c r="G685" s="10">
        <f>IF(Tabela4[[#This Row],[Tipo]]="Dividendo",Tabela4[[#This Row],[Valor]],IF(Tabela4[[#This Row],[Tipo]]="Jrs. Cap. Próprio",Tabela4[[#This Row],[Valor]]*85%,0))</f>
        <v>6.6554999999999989E-2</v>
      </c>
      <c r="I685" s="3" t="s">
        <v>250</v>
      </c>
      <c r="J685" s="3">
        <v>2001</v>
      </c>
      <c r="K685" s="10">
        <f>SUMPRODUCT(N(Tabela4[Ativo]=Tabela5[[#This Row],[Ativo]]),N(YEAR(Tabela4[Data ex-1])=Tabela5[[#This Row],[Ano]]),Tabela4[Líquido])</f>
        <v>0.10645499999999999</v>
      </c>
      <c r="N685" s="23">
        <f>IF(Tabela5[[#This Row],[Dividendos]]&gt;0,Tabela5[[#This Row],[Dividendos]]/Tabela5[[#This Row],[Lucro Líquido]],0)</f>
        <v>0</v>
      </c>
      <c r="O685" s="28"/>
      <c r="P685" s="10"/>
      <c r="Q685" s="5"/>
    </row>
    <row r="686" spans="1:17" x14ac:dyDescent="0.2">
      <c r="A686" s="4" t="s">
        <v>232</v>
      </c>
      <c r="B686" s="3" t="s">
        <v>14</v>
      </c>
      <c r="C686" s="80">
        <v>40309</v>
      </c>
      <c r="D686" s="3">
        <v>3.1899999999999998E-2</v>
      </c>
      <c r="E686" s="81">
        <v>40367</v>
      </c>
      <c r="F686" s="81">
        <v>40309</v>
      </c>
      <c r="G686" s="10">
        <f>IF(Tabela4[[#This Row],[Tipo]]="Dividendo",Tabela4[[#This Row],[Valor]],IF(Tabela4[[#This Row],[Tipo]]="Jrs. Cap. Próprio",Tabela4[[#This Row],[Valor]]*85%,0))</f>
        <v>2.7114999999999997E-2</v>
      </c>
      <c r="I686" s="3" t="s">
        <v>250</v>
      </c>
      <c r="J686" s="3">
        <v>2000</v>
      </c>
      <c r="K686" s="10">
        <f>SUMPRODUCT(N(Tabela4[Ativo]=Tabela5[[#This Row],[Ativo]]),N(YEAR(Tabela4[Data ex-1])=Tabela5[[#This Row],[Ano]]),Tabela4[Líquido])</f>
        <v>9.3024999999999997E-2</v>
      </c>
      <c r="N686" s="23">
        <f>IF(Tabela5[[#This Row],[Dividendos]]&gt;0,Tabela5[[#This Row],[Dividendos]]/Tabela5[[#This Row],[Lucro Líquido]],0)</f>
        <v>0</v>
      </c>
      <c r="O686" s="28"/>
      <c r="P686" s="10"/>
    </row>
    <row r="687" spans="1:17" x14ac:dyDescent="0.2">
      <c r="A687" s="4" t="s">
        <v>232</v>
      </c>
      <c r="B687" s="3" t="s">
        <v>15</v>
      </c>
      <c r="C687" s="80">
        <v>40298</v>
      </c>
      <c r="D687" s="3">
        <v>0.1084</v>
      </c>
      <c r="E687" s="81">
        <v>40359</v>
      </c>
      <c r="F687" s="81">
        <v>40298</v>
      </c>
      <c r="G687" s="10">
        <f>IF(Tabela4[[#This Row],[Tipo]]="Dividendo",Tabela4[[#This Row],[Valor]],IF(Tabela4[[#This Row],[Tipo]]="Jrs. Cap. Próprio",Tabela4[[#This Row],[Valor]]*85%,0))</f>
        <v>0.1084</v>
      </c>
      <c r="I687" s="3" t="s">
        <v>250</v>
      </c>
      <c r="J687" s="3">
        <v>1999</v>
      </c>
      <c r="K687" s="10">
        <f>SUMPRODUCT(N(Tabela4[Ativo]=Tabela5[[#This Row],[Ativo]]),N(YEAR(Tabela4[Data ex-1])=Tabela5[[#This Row],[Ano]]),Tabela4[Líquido])</f>
        <v>0.12631000000000001</v>
      </c>
      <c r="N687" s="23">
        <f>IF(Tabela5[[#This Row],[Dividendos]]&gt;0,Tabela5[[#This Row],[Dividendos]]/Tabela5[[#This Row],[Lucro Líquido]],0)</f>
        <v>0</v>
      </c>
      <c r="O687" s="28"/>
      <c r="P687" s="10"/>
    </row>
    <row r="688" spans="1:17" x14ac:dyDescent="0.2">
      <c r="A688" s="4" t="s">
        <v>232</v>
      </c>
      <c r="B688" s="3" t="s">
        <v>14</v>
      </c>
      <c r="C688" s="80">
        <v>40128</v>
      </c>
      <c r="D688" s="3">
        <v>0.1096</v>
      </c>
      <c r="E688" s="81">
        <v>40186</v>
      </c>
      <c r="F688" s="81">
        <v>40127</v>
      </c>
      <c r="G688" s="10">
        <f>IF(Tabela4[[#This Row],[Tipo]]="Dividendo",Tabela4[[#This Row],[Valor]],IF(Tabela4[[#This Row],[Tipo]]="Jrs. Cap. Próprio",Tabela4[[#This Row],[Valor]]*85%,0))</f>
        <v>9.3160000000000007E-2</v>
      </c>
      <c r="I688" s="4" t="s">
        <v>38</v>
      </c>
      <c r="J688" s="4">
        <v>2013</v>
      </c>
      <c r="K688" s="14">
        <f>SUMPRODUCT(N(Tabela4[Ativo]=Tabela5[[#This Row],[Ativo]]),N(YEAR(Tabela4[Data ex-1])=Tabela5[[#This Row],[Ano]]),Tabela4[Líquido])</f>
        <v>0</v>
      </c>
      <c r="L688" s="6"/>
      <c r="M688" s="6"/>
      <c r="N688" s="24">
        <f>IF(Tabela5[[#This Row],[Dividendos]]&gt;0,Tabela5[[#This Row],[Dividendos]]/Tabela5[[#This Row],[Lucro Líquido]],0)</f>
        <v>0</v>
      </c>
      <c r="O688" s="23"/>
      <c r="P688" s="10"/>
    </row>
    <row r="689" spans="1:16" x14ac:dyDescent="0.2">
      <c r="A689" s="4" t="s">
        <v>232</v>
      </c>
      <c r="B689" s="3" t="s">
        <v>14</v>
      </c>
      <c r="C689" s="80">
        <v>40038</v>
      </c>
      <c r="D689" s="3">
        <v>0.1409</v>
      </c>
      <c r="E689" s="81">
        <v>40095</v>
      </c>
      <c r="F689" s="81">
        <v>40036</v>
      </c>
      <c r="G689" s="10">
        <f>IF(Tabela4[[#This Row],[Tipo]]="Dividendo",Tabela4[[#This Row],[Valor]],IF(Tabela4[[#This Row],[Tipo]]="Jrs. Cap. Próprio",Tabela4[[#This Row],[Valor]]*85%,0))</f>
        <v>0.119765</v>
      </c>
      <c r="I689" s="4" t="s">
        <v>38</v>
      </c>
      <c r="J689" s="4">
        <v>2012</v>
      </c>
      <c r="K689" s="14">
        <f>SUMPRODUCT(N(Tabela4[Ativo]=Tabela5[[#This Row],[Ativo]]),N(YEAR(Tabela4[Data ex-1])=Tabela5[[#This Row],[Ano]]),Tabela4[Líquido])</f>
        <v>0.307</v>
      </c>
      <c r="L689" s="6"/>
      <c r="M689" s="6"/>
      <c r="N689" s="24">
        <f>IF(Tabela5[[#This Row],[Dividendos]]&gt;0,Tabela5[[#This Row],[Dividendos]]/Tabela5[[#This Row],[Lucro Líquido]],0)</f>
        <v>0</v>
      </c>
      <c r="O689" s="23"/>
      <c r="P689" s="10"/>
    </row>
    <row r="690" spans="1:16" x14ac:dyDescent="0.2">
      <c r="A690" s="4" t="s">
        <v>232</v>
      </c>
      <c r="B690" s="3" t="s">
        <v>14</v>
      </c>
      <c r="C690" s="80">
        <v>39947</v>
      </c>
      <c r="D690" s="3">
        <v>4.7500000000000001E-2</v>
      </c>
      <c r="E690" s="81">
        <v>39980</v>
      </c>
      <c r="F690" s="81">
        <v>39947</v>
      </c>
      <c r="G690" s="10">
        <f>IF(Tabela4[[#This Row],[Tipo]]="Dividendo",Tabela4[[#This Row],[Valor]],IF(Tabela4[[#This Row],[Tipo]]="Jrs. Cap. Próprio",Tabela4[[#This Row],[Valor]]*85%,0))</f>
        <v>4.0375000000000001E-2</v>
      </c>
      <c r="I690" s="4" t="s">
        <v>38</v>
      </c>
      <c r="J690" s="4">
        <v>2011</v>
      </c>
      <c r="K690" s="10">
        <f>SUMPRODUCT(N(Tabela4[Ativo]=Tabela5[[#This Row],[Ativo]]),N(YEAR(Tabela4[Data ex-1])=Tabela5[[#This Row],[Ano]]),Tabela4[Líquido])</f>
        <v>0.31230000000000002</v>
      </c>
      <c r="N690" s="23">
        <f>IF(Tabela5[[#This Row],[Dividendos]]&gt;0,Tabela5[[#This Row],[Dividendos]]/Tabela5[[#This Row],[Lucro Líquido]],0)</f>
        <v>0</v>
      </c>
      <c r="O690" s="23">
        <v>0.24</v>
      </c>
      <c r="P690" s="10"/>
    </row>
    <row r="691" spans="1:16" x14ac:dyDescent="0.2">
      <c r="A691" s="4" t="s">
        <v>232</v>
      </c>
      <c r="B691" s="3" t="s">
        <v>14</v>
      </c>
      <c r="C691" s="80">
        <v>39672</v>
      </c>
      <c r="D691" s="3">
        <v>0.13739999999999999</v>
      </c>
      <c r="E691" s="81">
        <v>39696</v>
      </c>
      <c r="F691" s="81">
        <v>39668</v>
      </c>
      <c r="G691" s="10">
        <f>IF(Tabela4[[#This Row],[Tipo]]="Dividendo",Tabela4[[#This Row],[Valor]],IF(Tabela4[[#This Row],[Tipo]]="Jrs. Cap. Próprio",Tabela4[[#This Row],[Valor]]*85%,0))</f>
        <v>0.11678999999999999</v>
      </c>
      <c r="I691" s="4" t="s">
        <v>38</v>
      </c>
      <c r="J691" s="4">
        <v>2010</v>
      </c>
      <c r="K691" s="10">
        <f>SUMPRODUCT(N(Tabela4[Ativo]=Tabela5[[#This Row],[Ativo]]),N(YEAR(Tabela4[Data ex-1])=Tabela5[[#This Row],[Ano]]),Tabela4[Líquido])</f>
        <v>0.1956</v>
      </c>
      <c r="N691" s="23">
        <f>IF(Tabela5[[#This Row],[Dividendos]]&gt;0,Tabela5[[#This Row],[Dividendos]]/Tabela5[[#This Row],[Lucro Líquido]],0)</f>
        <v>0</v>
      </c>
      <c r="O691" s="23">
        <v>0.14000000000000001</v>
      </c>
      <c r="P691" s="10"/>
    </row>
    <row r="692" spans="1:16" x14ac:dyDescent="0.2">
      <c r="A692" s="4" t="s">
        <v>232</v>
      </c>
      <c r="B692" s="3" t="s">
        <v>14</v>
      </c>
      <c r="C692" s="80">
        <v>39581</v>
      </c>
      <c r="D692" s="3">
        <v>1.78E-2</v>
      </c>
      <c r="E692" s="81"/>
      <c r="F692" s="81">
        <v>39577</v>
      </c>
      <c r="G692" s="10">
        <f>IF(Tabela4[[#This Row],[Tipo]]="Dividendo",Tabela4[[#This Row],[Valor]],IF(Tabela4[[#This Row],[Tipo]]="Jrs. Cap. Próprio",Tabela4[[#This Row],[Valor]]*85%,0))</f>
        <v>1.5129999999999999E-2</v>
      </c>
      <c r="I692" s="4" t="s">
        <v>38</v>
      </c>
      <c r="J692" s="4">
        <v>2009</v>
      </c>
      <c r="K692" s="10">
        <f>SUMPRODUCT(N(Tabela4[Ativo]=Tabela5[[#This Row],[Ativo]]),N(YEAR(Tabela4[Data ex-1])=Tabela5[[#This Row],[Ano]]),Tabela4[Líquido])</f>
        <v>0.14779999999999999</v>
      </c>
      <c r="N692" s="23">
        <f>IF(Tabela5[[#This Row],[Dividendos]]&gt;0,Tabela5[[#This Row],[Dividendos]]/Tabela5[[#This Row],[Lucro Líquido]],0)</f>
        <v>0</v>
      </c>
      <c r="O692" s="23">
        <v>0.18</v>
      </c>
      <c r="P692" s="10"/>
    </row>
    <row r="693" spans="1:16" x14ac:dyDescent="0.2">
      <c r="A693" s="4" t="s">
        <v>232</v>
      </c>
      <c r="B693" s="3" t="s">
        <v>15</v>
      </c>
      <c r="C693" s="80">
        <v>36277</v>
      </c>
      <c r="D693" s="3">
        <v>0.58709999999999996</v>
      </c>
      <c r="E693" s="81">
        <v>36336</v>
      </c>
      <c r="F693" s="81">
        <v>36277</v>
      </c>
      <c r="G693" s="10">
        <f>IF(Tabela4[[#This Row],[Tipo]]="Dividendo",Tabela4[[#This Row],[Valor]],IF(Tabela4[[#This Row],[Tipo]]="Jrs. Cap. Próprio",Tabela4[[#This Row],[Valor]]*85%,0))</f>
        <v>0.58709999999999996</v>
      </c>
      <c r="I693" s="4" t="s">
        <v>38</v>
      </c>
      <c r="J693" s="4">
        <v>2008</v>
      </c>
      <c r="K693" s="10">
        <f>SUMPRODUCT(N(Tabela4[Ativo]=Tabela5[[#This Row],[Ativo]]),N(YEAR(Tabela4[Data ex-1])=Tabela5[[#This Row],[Ano]]),Tabela4[Líquido])</f>
        <v>0.2</v>
      </c>
      <c r="N693" s="23">
        <f>IF(Tabela5[[#This Row],[Dividendos]]&gt;0,Tabela5[[#This Row],[Dividendos]]/Tabela5[[#This Row],[Lucro Líquido]],0)</f>
        <v>0</v>
      </c>
      <c r="O693" s="23">
        <v>0.32</v>
      </c>
      <c r="P693" s="10"/>
    </row>
    <row r="694" spans="1:16" x14ac:dyDescent="0.2">
      <c r="A694" s="4" t="s">
        <v>232</v>
      </c>
      <c r="B694" s="3" t="s">
        <v>14</v>
      </c>
      <c r="C694" s="80">
        <v>36031</v>
      </c>
      <c r="D694" s="3">
        <v>3.3271000000000002</v>
      </c>
      <c r="E694" s="81"/>
      <c r="F694" s="81">
        <v>36031</v>
      </c>
      <c r="G694" s="10">
        <f>IF(Tabela4[[#This Row],[Tipo]]="Dividendo",Tabela4[[#This Row],[Valor]],IF(Tabela4[[#This Row],[Tipo]]="Jrs. Cap. Próprio",Tabela4[[#This Row],[Valor]]*85%,0))</f>
        <v>2.8280349999999999</v>
      </c>
      <c r="I694" s="4" t="s">
        <v>38</v>
      </c>
      <c r="J694" s="4">
        <v>2007</v>
      </c>
      <c r="K694" s="10">
        <f>SUMPRODUCT(N(Tabela4[Ativo]=Tabela5[[#This Row],[Ativo]]),N(YEAR(Tabela4[Data ex-1])=Tabela5[[#This Row],[Ano]]),Tabela4[Líquido])</f>
        <v>0.13159999999999999</v>
      </c>
      <c r="N694" s="23">
        <f>IF(Tabela5[[#This Row],[Dividendos]]&gt;0,Tabela5[[#This Row],[Dividendos]]/Tabela5[[#This Row],[Lucro Líquido]],0)</f>
        <v>0</v>
      </c>
      <c r="O694" s="23">
        <v>0.06</v>
      </c>
      <c r="P694" s="10"/>
    </row>
    <row r="695" spans="1:16" x14ac:dyDescent="0.2">
      <c r="A695" s="4" t="s">
        <v>232</v>
      </c>
      <c r="B695" s="3" t="s">
        <v>14</v>
      </c>
      <c r="C695" s="80">
        <v>35774</v>
      </c>
      <c r="D695" s="3">
        <v>3.9142000000000001</v>
      </c>
      <c r="E695" s="81"/>
      <c r="F695" s="81">
        <v>35774</v>
      </c>
      <c r="G695" s="10">
        <f>IF(Tabela4[[#This Row],[Tipo]]="Dividendo",Tabela4[[#This Row],[Valor]],IF(Tabela4[[#This Row],[Tipo]]="Jrs. Cap. Próprio",Tabela4[[#This Row],[Valor]]*85%,0))</f>
        <v>3.32707</v>
      </c>
      <c r="I695" s="4" t="s">
        <v>38</v>
      </c>
      <c r="J695" s="4">
        <v>2006</v>
      </c>
      <c r="K695" s="10">
        <f>SUMPRODUCT(N(Tabela4[Ativo]=Tabela5[[#This Row],[Ativo]]),N(YEAR(Tabela4[Data ex-1])=Tabela5[[#This Row],[Ano]]),Tabela4[Líquido])</f>
        <v>6.08E-2</v>
      </c>
      <c r="N695" s="23">
        <f>IF(Tabela5[[#This Row],[Dividendos]]&gt;0,Tabela5[[#This Row],[Dividendos]]/Tabela5[[#This Row],[Lucro Líquido]],0)</f>
        <v>0</v>
      </c>
      <c r="O695" s="23">
        <v>0.05</v>
      </c>
      <c r="P695" s="10"/>
    </row>
    <row r="696" spans="1:16" x14ac:dyDescent="0.2">
      <c r="A696" s="4" t="s">
        <v>230</v>
      </c>
      <c r="B696" s="4" t="s">
        <v>15</v>
      </c>
      <c r="C696" s="19">
        <v>41029</v>
      </c>
      <c r="D696" s="3">
        <v>0.26390000000000002</v>
      </c>
      <c r="E696" s="68">
        <v>41088</v>
      </c>
      <c r="F696" s="68">
        <v>41029</v>
      </c>
      <c r="G696" s="14">
        <f>IF(Tabela4[[#This Row],[Tipo]]="Dividendo",Tabela4[[#This Row],[Valor]],IF(Tabela4[[#This Row],[Tipo]]="Jrs. Cap. Próprio",Tabela4[[#This Row],[Valor]]*85%,0))</f>
        <v>0.26390000000000002</v>
      </c>
      <c r="I696" s="4" t="s">
        <v>38</v>
      </c>
      <c r="J696" s="4">
        <v>2005</v>
      </c>
      <c r="K696" s="10">
        <f>SUMPRODUCT(N(Tabela4[Ativo]=Tabela5[[#This Row],[Ativo]]),N(YEAR(Tabela4[Data ex-1])=Tabela5[[#This Row],[Ano]]),Tabela4[Líquido])</f>
        <v>1.9900000000000001E-2</v>
      </c>
      <c r="N696" s="23">
        <f>IF(Tabela5[[#This Row],[Dividendos]]&gt;0,Tabela5[[#This Row],[Dividendos]]/Tabela5[[#This Row],[Lucro Líquido]],0)</f>
        <v>0</v>
      </c>
      <c r="O696" s="23">
        <v>0.4</v>
      </c>
      <c r="P696" s="10"/>
    </row>
    <row r="697" spans="1:16" x14ac:dyDescent="0.2">
      <c r="A697" s="4" t="s">
        <v>230</v>
      </c>
      <c r="B697" s="3" t="s">
        <v>14</v>
      </c>
      <c r="C697" s="80">
        <v>40906</v>
      </c>
      <c r="D697" s="3">
        <v>2.2201</v>
      </c>
      <c r="E697" s="81"/>
      <c r="F697" s="81">
        <v>40886</v>
      </c>
      <c r="G697" s="10">
        <f>IF(Tabela4[[#This Row],[Tipo]]="Dividendo",Tabela4[[#This Row],[Valor]],IF(Tabela4[[#This Row],[Tipo]]="Jrs. Cap. Próprio",Tabela4[[#This Row],[Valor]]*85%,0))</f>
        <v>1.8870849999999999</v>
      </c>
      <c r="I697" s="4" t="s">
        <v>38</v>
      </c>
      <c r="J697" s="4">
        <v>2004</v>
      </c>
      <c r="K697" s="10">
        <f>SUMPRODUCT(N(Tabela4[Ativo]=Tabela5[[#This Row],[Ativo]]),N(YEAR(Tabela4[Data ex-1])=Tabela5[[#This Row],[Ano]]),Tabela4[Líquido])</f>
        <v>0</v>
      </c>
      <c r="N697" s="23">
        <f>IF(Tabela5[[#This Row],[Dividendos]]&gt;0,Tabela5[[#This Row],[Dividendos]]/Tabela5[[#This Row],[Lucro Líquido]],0)</f>
        <v>0</v>
      </c>
      <c r="O697" s="23"/>
      <c r="P697" s="10"/>
    </row>
    <row r="698" spans="1:16" x14ac:dyDescent="0.2">
      <c r="A698" s="4" t="s">
        <v>230</v>
      </c>
      <c r="B698" s="3" t="s">
        <v>14</v>
      </c>
      <c r="C698" s="80">
        <v>40542</v>
      </c>
      <c r="D698" s="3">
        <v>2.0973999999999999</v>
      </c>
      <c r="E698" s="81"/>
      <c r="F698" s="81">
        <v>40528</v>
      </c>
      <c r="G698" s="10">
        <f>IF(Tabela4[[#This Row],[Tipo]]="Dividendo",Tabela4[[#This Row],[Valor]],IF(Tabela4[[#This Row],[Tipo]]="Jrs. Cap. Próprio",Tabela4[[#This Row],[Valor]]*85%,0))</f>
        <v>1.7827899999999999</v>
      </c>
      <c r="I698" s="4" t="s">
        <v>38</v>
      </c>
      <c r="J698" s="4">
        <v>2003</v>
      </c>
      <c r="K698" s="10">
        <f>SUMPRODUCT(N(Tabela4[Ativo]=Tabela5[[#This Row],[Ativo]]),N(YEAR(Tabela4[Data ex-1])=Tabela5[[#This Row],[Ano]]),Tabela4[Líquido])</f>
        <v>8.0999999999999996E-3</v>
      </c>
      <c r="N698" s="23">
        <f>IF(Tabela5[[#This Row],[Dividendos]]&gt;0,Tabela5[[#This Row],[Dividendos]]/Tabela5[[#This Row],[Lucro Líquido]],0)</f>
        <v>0</v>
      </c>
      <c r="O698" s="23">
        <v>1</v>
      </c>
      <c r="P698" s="10"/>
    </row>
    <row r="699" spans="1:16" x14ac:dyDescent="0.2">
      <c r="A699" s="4" t="s">
        <v>230</v>
      </c>
      <c r="B699" s="3" t="s">
        <v>15</v>
      </c>
      <c r="C699" s="80">
        <v>40298</v>
      </c>
      <c r="D699" s="3">
        <v>0.97619999999999996</v>
      </c>
      <c r="E699" s="81"/>
      <c r="F699" s="81">
        <v>40298</v>
      </c>
      <c r="G699" s="10">
        <f>IF(Tabela4[[#This Row],[Tipo]]="Dividendo",Tabela4[[#This Row],[Valor]],IF(Tabela4[[#This Row],[Tipo]]="Jrs. Cap. Próprio",Tabela4[[#This Row],[Valor]]*85%,0))</f>
        <v>0.97619999999999996</v>
      </c>
      <c r="I699" s="4" t="s">
        <v>38</v>
      </c>
      <c r="J699" s="4">
        <v>2002</v>
      </c>
      <c r="K699" s="10">
        <f>SUMPRODUCT(N(Tabela4[Ativo]=Tabela5[[#This Row],[Ativo]]),N(YEAR(Tabela4[Data ex-1])=Tabela5[[#This Row],[Ano]]),Tabela4[Líquido])</f>
        <v>0</v>
      </c>
      <c r="N699" s="23">
        <f>IF(Tabela5[[#This Row],[Dividendos]]&gt;0,Tabela5[[#This Row],[Dividendos]]/Tabela5[[#This Row],[Lucro Líquido]],0)</f>
        <v>0</v>
      </c>
      <c r="O699" s="23"/>
      <c r="P699" s="10"/>
    </row>
    <row r="700" spans="1:16" x14ac:dyDescent="0.2">
      <c r="A700" s="4" t="s">
        <v>230</v>
      </c>
      <c r="B700" s="3" t="s">
        <v>15</v>
      </c>
      <c r="C700" s="80">
        <v>39930</v>
      </c>
      <c r="D700" s="3">
        <v>1.9821</v>
      </c>
      <c r="E700" s="81">
        <v>39990</v>
      </c>
      <c r="F700" s="81">
        <v>39930</v>
      </c>
      <c r="G700" s="10">
        <f>IF(Tabela4[[#This Row],[Tipo]]="Dividendo",Tabela4[[#This Row],[Valor]],IF(Tabela4[[#This Row],[Tipo]]="Jrs. Cap. Próprio",Tabela4[[#This Row],[Valor]]*85%,0))</f>
        <v>1.9821</v>
      </c>
      <c r="I700" s="4" t="s">
        <v>38</v>
      </c>
      <c r="J700" s="4">
        <v>2001</v>
      </c>
      <c r="K700" s="10">
        <f>SUMPRODUCT(N(Tabela4[Ativo]=Tabela5[[#This Row],[Ativo]]),N(YEAR(Tabela4[Data ex-1])=Tabela5[[#This Row],[Ano]]),Tabela4[Líquido])</f>
        <v>2.5000000000000001E-2</v>
      </c>
      <c r="N700" s="23">
        <f>IF(Tabela5[[#This Row],[Dividendos]]&gt;0,Tabela5[[#This Row],[Dividendos]]/Tabela5[[#This Row],[Lucro Líquido]],0)</f>
        <v>0</v>
      </c>
      <c r="O700" s="23"/>
      <c r="P700" s="10"/>
    </row>
    <row r="701" spans="1:16" x14ac:dyDescent="0.2">
      <c r="A701" s="4" t="s">
        <v>230</v>
      </c>
      <c r="B701" s="3" t="s">
        <v>15</v>
      </c>
      <c r="C701" s="80">
        <v>39566</v>
      </c>
      <c r="D701" s="3">
        <v>0.76559999999999995</v>
      </c>
      <c r="E701" s="81">
        <v>39626</v>
      </c>
      <c r="F701" s="81">
        <v>39566</v>
      </c>
      <c r="G701" s="10">
        <f>IF(Tabela4[[#This Row],[Tipo]]="Dividendo",Tabela4[[#This Row],[Valor]],IF(Tabela4[[#This Row],[Tipo]]="Jrs. Cap. Próprio",Tabela4[[#This Row],[Valor]]*85%,0))</f>
        <v>0.76559999999999995</v>
      </c>
      <c r="I701" s="4" t="s">
        <v>38</v>
      </c>
      <c r="J701" s="4">
        <v>2000</v>
      </c>
      <c r="K701" s="10">
        <f>SUMPRODUCT(N(Tabela4[Ativo]=Tabela5[[#This Row],[Ativo]]),N(YEAR(Tabela4[Data ex-1])=Tabela5[[#This Row],[Ano]]),Tabela4[Líquido])</f>
        <v>2.2499999999999999E-2</v>
      </c>
      <c r="N701" s="23">
        <f>IF(Tabela5[[#This Row],[Dividendos]]&gt;0,Tabela5[[#This Row],[Dividendos]]/Tabela5[[#This Row],[Lucro Líquido]],0)</f>
        <v>0</v>
      </c>
      <c r="O701" s="23"/>
      <c r="P701" s="10"/>
    </row>
    <row r="702" spans="1:16" x14ac:dyDescent="0.2">
      <c r="A702" s="4" t="s">
        <v>230</v>
      </c>
      <c r="B702" s="3" t="s">
        <v>14</v>
      </c>
      <c r="C702" s="80">
        <v>39433</v>
      </c>
      <c r="D702" s="3">
        <v>1.8878999999999999</v>
      </c>
      <c r="E702" s="81">
        <v>39444</v>
      </c>
      <c r="F702" s="81">
        <v>39433</v>
      </c>
      <c r="G702" s="10">
        <f>IF(Tabela4[[#This Row],[Tipo]]="Dividendo",Tabela4[[#This Row],[Valor]],IF(Tabela4[[#This Row],[Tipo]]="Jrs. Cap. Próprio",Tabela4[[#This Row],[Valor]]*85%,0))</f>
        <v>1.6047149999999999</v>
      </c>
      <c r="I702" s="4" t="s">
        <v>38</v>
      </c>
      <c r="J702" s="4">
        <v>1999</v>
      </c>
      <c r="K702" s="10">
        <f>SUMPRODUCT(N(Tabela4[Ativo]=Tabela5[[#This Row],[Ativo]]),N(YEAR(Tabela4[Data ex-1])=Tabela5[[#This Row],[Ano]]),Tabela4[Líquido])</f>
        <v>3.09E-2</v>
      </c>
      <c r="N702" s="23">
        <f>IF(Tabela5[[#This Row],[Dividendos]]&gt;0,Tabela5[[#This Row],[Dividendos]]/Tabela5[[#This Row],[Lucro Líquido]],0)</f>
        <v>0</v>
      </c>
      <c r="O702" s="23"/>
      <c r="P702" s="10"/>
    </row>
    <row r="703" spans="1:16" x14ac:dyDescent="0.2">
      <c r="A703" s="4" t="s">
        <v>230</v>
      </c>
      <c r="B703" s="3" t="s">
        <v>15</v>
      </c>
      <c r="C703" s="80">
        <v>39202</v>
      </c>
      <c r="D703" s="3">
        <v>1.9900000000000001E-2</v>
      </c>
      <c r="E703" s="81">
        <v>39260</v>
      </c>
      <c r="F703" s="81">
        <v>39202</v>
      </c>
      <c r="G703" s="10">
        <f>IF(Tabela4[[#This Row],[Tipo]]="Dividendo",Tabela4[[#This Row],[Valor]],IF(Tabela4[[#This Row],[Tipo]]="Jrs. Cap. Próprio",Tabela4[[#This Row],[Valor]]*85%,0))</f>
        <v>1.9900000000000001E-2</v>
      </c>
      <c r="I703" s="4" t="s">
        <v>217</v>
      </c>
      <c r="J703" s="4">
        <v>2013</v>
      </c>
      <c r="K703" s="14">
        <f>SUMPRODUCT(N(Tabela4[Ativo]=Tabela5[[#This Row],[Ativo]]),N(YEAR(Tabela4[Data ex-1])=Tabela5[[#This Row],[Ano]]),Tabela4[Líquido])</f>
        <v>0.22408</v>
      </c>
      <c r="L703" s="6"/>
      <c r="M703" s="6"/>
      <c r="N703" s="24">
        <f>IF(Tabela5[[#This Row],[Dividendos]]&gt;0,Tabela5[[#This Row],[Dividendos]]/Tabela5[[#This Row],[Lucro Líquido]],0)</f>
        <v>0</v>
      </c>
      <c r="O703" s="23">
        <v>0.30830000000000002</v>
      </c>
      <c r="P703" s="10"/>
    </row>
    <row r="704" spans="1:16" x14ac:dyDescent="0.2">
      <c r="A704" s="4" t="s">
        <v>230</v>
      </c>
      <c r="B704" s="3" t="s">
        <v>14</v>
      </c>
      <c r="C704" s="80">
        <v>38960</v>
      </c>
      <c r="D704" s="3">
        <v>6.7299999999999999E-2</v>
      </c>
      <c r="E704" s="81">
        <v>38989</v>
      </c>
      <c r="F704" s="81">
        <v>38960</v>
      </c>
      <c r="G704" s="10">
        <f>IF(Tabela4[[#This Row],[Tipo]]="Dividendo",Tabela4[[#This Row],[Valor]],IF(Tabela4[[#This Row],[Tipo]]="Jrs. Cap. Próprio",Tabela4[[#This Row],[Valor]]*85%,0))</f>
        <v>5.7204999999999999E-2</v>
      </c>
      <c r="I704" s="4" t="s">
        <v>217</v>
      </c>
      <c r="J704" s="4">
        <v>2012</v>
      </c>
      <c r="K704" s="14">
        <f>SUMPRODUCT(N(Tabela4[Ativo]=Tabela5[[#This Row],[Ativo]]),N(YEAR(Tabela4[Data ex-1])=Tabela5[[#This Row],[Ano]]),Tabela4[Líquido])</f>
        <v>0.26690000000000003</v>
      </c>
      <c r="L704" s="6"/>
      <c r="M704" s="6"/>
      <c r="N704" s="24">
        <f>IF(Tabela5[[#This Row],[Dividendos]]&gt;0,Tabela5[[#This Row],[Dividendos]]/Tabela5[[#This Row],[Lucro Líquido]],0)</f>
        <v>0</v>
      </c>
      <c r="O704" s="23">
        <v>0.36</v>
      </c>
      <c r="P704" s="10"/>
    </row>
    <row r="705" spans="1:16" x14ac:dyDescent="0.2">
      <c r="A705" s="4" t="s">
        <v>230</v>
      </c>
      <c r="B705" s="3" t="s">
        <v>15</v>
      </c>
      <c r="C705" s="80">
        <v>38834</v>
      </c>
      <c r="D705" s="3">
        <v>1.2E-2</v>
      </c>
      <c r="E705" s="81">
        <v>38894</v>
      </c>
      <c r="F705" s="81">
        <v>38834</v>
      </c>
      <c r="G705" s="10">
        <f>IF(Tabela4[[#This Row],[Tipo]]="Dividendo",Tabela4[[#This Row],[Valor]],IF(Tabela4[[#This Row],[Tipo]]="Jrs. Cap. Próprio",Tabela4[[#This Row],[Valor]]*85%,0))</f>
        <v>1.2E-2</v>
      </c>
      <c r="I705" s="4" t="s">
        <v>217</v>
      </c>
      <c r="J705" s="4">
        <v>2011</v>
      </c>
      <c r="K705" s="10">
        <f>SUMPRODUCT(N(Tabela4[Ativo]=Tabela5[[#This Row],[Ativo]]),N(YEAR(Tabela4[Data ex-1])=Tabela5[[#This Row],[Ano]]),Tabela4[Líquido])</f>
        <v>0.25992999999999999</v>
      </c>
      <c r="N705" s="23">
        <f>IF(Tabela5[[#This Row],[Dividendos]]&gt;0,Tabela5[[#This Row],[Dividendos]]/Tabela5[[#This Row],[Lucro Líquido]],0)</f>
        <v>0</v>
      </c>
      <c r="O705" s="23"/>
      <c r="P705" s="10"/>
    </row>
    <row r="706" spans="1:16" x14ac:dyDescent="0.2">
      <c r="A706" s="4" t="s">
        <v>230</v>
      </c>
      <c r="B706" s="3" t="s">
        <v>14</v>
      </c>
      <c r="C706" s="80">
        <v>38715</v>
      </c>
      <c r="D706" s="3">
        <v>5.4300000000000001E-2</v>
      </c>
      <c r="E706" s="81"/>
      <c r="F706" s="81">
        <v>38705</v>
      </c>
      <c r="G706" s="10">
        <f>IF(Tabela4[[#This Row],[Tipo]]="Dividendo",Tabela4[[#This Row],[Valor]],IF(Tabela4[[#This Row],[Tipo]]="Jrs. Cap. Próprio",Tabela4[[#This Row],[Valor]]*85%,0))</f>
        <v>4.6155000000000002E-2</v>
      </c>
      <c r="I706" s="4" t="s">
        <v>217</v>
      </c>
      <c r="J706" s="4">
        <v>2010</v>
      </c>
      <c r="K706" s="10">
        <f>SUMPRODUCT(N(Tabela4[Ativo]=Tabela5[[#This Row],[Ativo]]),N(YEAR(Tabela4[Data ex-1])=Tabela5[[#This Row],[Ano]]),Tabela4[Líquido])</f>
        <v>8.1600000000000006E-2</v>
      </c>
      <c r="N706" s="23">
        <f>IF(Tabela5[[#This Row],[Dividendos]]&gt;0,Tabela5[[#This Row],[Dividendos]]/Tabela5[[#This Row],[Lucro Líquido]],0)</f>
        <v>0</v>
      </c>
      <c r="O706" s="23"/>
      <c r="P706" s="10"/>
    </row>
    <row r="707" spans="1:16" x14ac:dyDescent="0.2">
      <c r="A707" s="4" t="s">
        <v>230</v>
      </c>
      <c r="B707" s="3" t="s">
        <v>15</v>
      </c>
      <c r="C707" s="80">
        <v>38471</v>
      </c>
      <c r="D707" s="3">
        <v>2.9999999999999997E-4</v>
      </c>
      <c r="E707" s="81">
        <v>38531</v>
      </c>
      <c r="F707" s="81">
        <v>38471</v>
      </c>
      <c r="G707" s="10">
        <f>IF(Tabela4[[#This Row],[Tipo]]="Dividendo",Tabela4[[#This Row],[Valor]],IF(Tabela4[[#This Row],[Tipo]]="Jrs. Cap. Próprio",Tabela4[[#This Row],[Valor]]*85%,0))</f>
        <v>2.9999999999999997E-4</v>
      </c>
      <c r="I707" s="4" t="s">
        <v>217</v>
      </c>
      <c r="J707" s="4">
        <v>2009</v>
      </c>
      <c r="K707" s="10">
        <f>SUMPRODUCT(N(Tabela4[Ativo]=Tabela5[[#This Row],[Ativo]]),N(YEAR(Tabela4[Data ex-1])=Tabela5[[#This Row],[Ano]]),Tabela4[Líquido])</f>
        <v>8.5595000000000004E-2</v>
      </c>
      <c r="N707" s="23">
        <f>IF(Tabela5[[#This Row],[Dividendos]]&gt;0,Tabela5[[#This Row],[Dividendos]]/Tabela5[[#This Row],[Lucro Líquido]],0)</f>
        <v>0</v>
      </c>
      <c r="O707" s="23"/>
      <c r="P707" s="10"/>
    </row>
    <row r="708" spans="1:16" x14ac:dyDescent="0.2">
      <c r="A708" s="4" t="s">
        <v>230</v>
      </c>
      <c r="B708" s="3" t="s">
        <v>14</v>
      </c>
      <c r="C708" s="80">
        <v>38351</v>
      </c>
      <c r="D708" s="3">
        <v>6.3899999999999998E-2</v>
      </c>
      <c r="E708" s="81">
        <v>38531</v>
      </c>
      <c r="F708" s="81">
        <v>38336</v>
      </c>
      <c r="G708" s="10">
        <f>IF(Tabela4[[#This Row],[Tipo]]="Dividendo",Tabela4[[#This Row],[Valor]],IF(Tabela4[[#This Row],[Tipo]]="Jrs. Cap. Próprio",Tabela4[[#This Row],[Valor]]*85%,0))</f>
        <v>5.4314999999999995E-2</v>
      </c>
      <c r="I708" s="4" t="s">
        <v>217</v>
      </c>
      <c r="J708" s="4">
        <v>2008</v>
      </c>
      <c r="K708" s="10">
        <f>SUMPRODUCT(N(Tabela4[Ativo]=Tabela5[[#This Row],[Ativo]]),N(YEAR(Tabela4[Data ex-1])=Tabela5[[#This Row],[Ano]]),Tabela4[Líquido])</f>
        <v>8.7379999999999999E-2</v>
      </c>
      <c r="N708" s="23">
        <f>IF(Tabela5[[#This Row],[Dividendos]]&gt;0,Tabela5[[#This Row],[Dividendos]]/Tabela5[[#This Row],[Lucro Líquido]],0)</f>
        <v>0</v>
      </c>
      <c r="O708" s="23"/>
      <c r="P708" s="10"/>
    </row>
    <row r="709" spans="1:16" x14ac:dyDescent="0.2">
      <c r="A709" s="4" t="s">
        <v>230</v>
      </c>
      <c r="B709" s="3" t="s">
        <v>14</v>
      </c>
      <c r="C709" s="80">
        <v>37984</v>
      </c>
      <c r="D709" s="3">
        <v>3.7699999999999997E-2</v>
      </c>
      <c r="E709" s="81">
        <v>38135</v>
      </c>
      <c r="F709" s="81">
        <v>37965</v>
      </c>
      <c r="G709" s="10">
        <f>IF(Tabela4[[#This Row],[Tipo]]="Dividendo",Tabela4[[#This Row],[Valor]],IF(Tabela4[[#This Row],[Tipo]]="Jrs. Cap. Próprio",Tabela4[[#This Row],[Valor]]*85%,0))</f>
        <v>3.2044999999999997E-2</v>
      </c>
      <c r="I709" s="4" t="s">
        <v>217</v>
      </c>
      <c r="J709" s="4">
        <v>2007</v>
      </c>
      <c r="K709" s="10">
        <f>SUMPRODUCT(N(Tabela4[Ativo]=Tabela5[[#This Row],[Ativo]]),N(YEAR(Tabela4[Data ex-1])=Tabela5[[#This Row],[Ano]]),Tabela4[Líquido])</f>
        <v>9.638999999999999E-2</v>
      </c>
      <c r="N709" s="23">
        <f>IF(Tabela5[[#This Row],[Dividendos]]&gt;0,Tabela5[[#This Row],[Dividendos]]/Tabela5[[#This Row],[Lucro Líquido]],0)</f>
        <v>0</v>
      </c>
      <c r="O709" s="23"/>
      <c r="P709" s="10"/>
    </row>
    <row r="710" spans="1:16" x14ac:dyDescent="0.2">
      <c r="A710" s="4" t="s">
        <v>230</v>
      </c>
      <c r="B710" s="3" t="s">
        <v>15</v>
      </c>
      <c r="C710" s="80">
        <v>37008</v>
      </c>
      <c r="D710" s="3">
        <v>1.4E-3</v>
      </c>
      <c r="E710" s="81">
        <v>37069</v>
      </c>
      <c r="F710" s="81">
        <v>37008</v>
      </c>
      <c r="G710" s="10">
        <f>IF(Tabela4[[#This Row],[Tipo]]="Dividendo",Tabela4[[#This Row],[Valor]],IF(Tabela4[[#This Row],[Tipo]]="Jrs. Cap. Próprio",Tabela4[[#This Row],[Valor]]*85%,0))</f>
        <v>1.4E-3</v>
      </c>
      <c r="I710" s="4" t="s">
        <v>217</v>
      </c>
      <c r="J710" s="4">
        <v>2006</v>
      </c>
      <c r="K710" s="10">
        <f>SUMPRODUCT(N(Tabela4[Ativo]=Tabela5[[#This Row],[Ativo]]),N(YEAR(Tabela4[Data ex-1])=Tabela5[[#This Row],[Ano]]),Tabela4[Líquido])</f>
        <v>0.108885</v>
      </c>
      <c r="N710" s="23">
        <f>IF(Tabela5[[#This Row],[Dividendos]]&gt;0,Tabela5[[#This Row],[Dividendos]]/Tabela5[[#This Row],[Lucro Líquido]],0)</f>
        <v>0</v>
      </c>
      <c r="O710" s="23"/>
      <c r="P710" s="10"/>
    </row>
    <row r="711" spans="1:16" x14ac:dyDescent="0.2">
      <c r="A711" s="4" t="s">
        <v>230</v>
      </c>
      <c r="B711" s="3" t="s">
        <v>15</v>
      </c>
      <c r="C711" s="80">
        <v>36644</v>
      </c>
      <c r="D711" s="3">
        <v>5.0000000000000001E-4</v>
      </c>
      <c r="E711" s="81">
        <v>36705</v>
      </c>
      <c r="F711" s="81">
        <v>36644</v>
      </c>
      <c r="G711" s="10">
        <f>IF(Tabela4[[#This Row],[Tipo]]="Dividendo",Tabela4[[#This Row],[Valor]],IF(Tabela4[[#This Row],[Tipo]]="Jrs. Cap. Próprio",Tabela4[[#This Row],[Valor]]*85%,0))</f>
        <v>5.0000000000000001E-4</v>
      </c>
      <c r="I711" s="4" t="s">
        <v>217</v>
      </c>
      <c r="J711" s="4">
        <v>2005</v>
      </c>
      <c r="K711" s="10">
        <f>SUMPRODUCT(N(Tabela4[Ativo]=Tabela5[[#This Row],[Ativo]]),N(YEAR(Tabela4[Data ex-1])=Tabela5[[#This Row],[Ano]]),Tabela4[Líquido])</f>
        <v>0.11840500000000001</v>
      </c>
      <c r="N711" s="23">
        <f>IF(Tabela5[[#This Row],[Dividendos]]&gt;0,Tabela5[[#This Row],[Dividendos]]/Tabela5[[#This Row],[Lucro Líquido]],0)</f>
        <v>0</v>
      </c>
      <c r="O711" s="23"/>
      <c r="P711" s="10"/>
    </row>
    <row r="712" spans="1:16" x14ac:dyDescent="0.2">
      <c r="A712" s="4" t="s">
        <v>230</v>
      </c>
      <c r="B712" s="3" t="s">
        <v>15</v>
      </c>
      <c r="C712" s="80">
        <v>36381</v>
      </c>
      <c r="D712" s="3">
        <v>1.2999999999999999E-3</v>
      </c>
      <c r="E712" s="81">
        <v>36441</v>
      </c>
      <c r="F712" s="81">
        <v>36381</v>
      </c>
      <c r="G712" s="10">
        <f>IF(Tabela4[[#This Row],[Tipo]]="Dividendo",Tabela4[[#This Row],[Valor]],IF(Tabela4[[#This Row],[Tipo]]="Jrs. Cap. Próprio",Tabela4[[#This Row],[Valor]]*85%,0))</f>
        <v>1.2999999999999999E-3</v>
      </c>
      <c r="I712" s="4" t="s">
        <v>217</v>
      </c>
      <c r="J712" s="4">
        <v>2004</v>
      </c>
      <c r="K712" s="10">
        <f>SUMPRODUCT(N(Tabela4[Ativo]=Tabela5[[#This Row],[Ativo]]),N(YEAR(Tabela4[Data ex-1])=Tabela5[[#This Row],[Ano]]),Tabela4[Líquido])</f>
        <v>0.13047500000000001</v>
      </c>
      <c r="N712" s="23">
        <f>IF(Tabela5[[#This Row],[Dividendos]]&gt;0,Tabela5[[#This Row],[Dividendos]]/Tabela5[[#This Row],[Lucro Líquido]],0)</f>
        <v>0</v>
      </c>
      <c r="O712" s="23"/>
      <c r="P712" s="10"/>
    </row>
    <row r="713" spans="1:16" x14ac:dyDescent="0.2">
      <c r="A713" s="4" t="s">
        <v>230</v>
      </c>
      <c r="B713" s="3" t="s">
        <v>14</v>
      </c>
      <c r="C713" s="80">
        <v>35915</v>
      </c>
      <c r="D713" s="3">
        <v>1.3299999999999999E-2</v>
      </c>
      <c r="E713" s="81"/>
      <c r="F713" s="81">
        <v>35915</v>
      </c>
      <c r="G713" s="10">
        <f>IF(Tabela4[[#This Row],[Tipo]]="Dividendo",Tabela4[[#This Row],[Valor]],IF(Tabela4[[#This Row],[Tipo]]="Jrs. Cap. Próprio",Tabela4[[#This Row],[Valor]]*85%,0))</f>
        <v>1.1304999999999999E-2</v>
      </c>
      <c r="I713" s="4" t="s">
        <v>217</v>
      </c>
      <c r="J713" s="4">
        <v>2003</v>
      </c>
      <c r="K713" s="10">
        <f>SUMPRODUCT(N(Tabela4[Ativo]=Tabela5[[#This Row],[Ativo]]),N(YEAR(Tabela4[Data ex-1])=Tabela5[[#This Row],[Ano]]),Tabela4[Líquido])</f>
        <v>0.22304000000000002</v>
      </c>
      <c r="N713" s="23">
        <f>IF(Tabela5[[#This Row],[Dividendos]]&gt;0,Tabela5[[#This Row],[Dividendos]]/Tabela5[[#This Row],[Lucro Líquido]],0)</f>
        <v>0</v>
      </c>
      <c r="O713" s="23"/>
      <c r="P713" s="10"/>
    </row>
    <row r="714" spans="1:16" x14ac:dyDescent="0.2">
      <c r="A714" s="4" t="s">
        <v>230</v>
      </c>
      <c r="B714" s="3" t="s">
        <v>15</v>
      </c>
      <c r="C714" s="80">
        <v>35915</v>
      </c>
      <c r="D714" s="3">
        <v>1.5E-3</v>
      </c>
      <c r="E714" s="81"/>
      <c r="F714" s="81">
        <v>35915</v>
      </c>
      <c r="G714" s="10">
        <f>IF(Tabela4[[#This Row],[Tipo]]="Dividendo",Tabela4[[#This Row],[Valor]],IF(Tabela4[[#This Row],[Tipo]]="Jrs. Cap. Próprio",Tabela4[[#This Row],[Valor]]*85%,0))</f>
        <v>1.5E-3</v>
      </c>
      <c r="I714" s="35" t="s">
        <v>98</v>
      </c>
      <c r="J714" s="35">
        <v>2013</v>
      </c>
      <c r="K714" s="38">
        <f>SUMPRODUCT(N(Tabela4[Ativo]=Tabela5[[#This Row],[Ativo]]),N(YEAR(Tabela4[Data ex-1])=Tabela5[[#This Row],[Ano]]),Tabela4[Líquido])</f>
        <v>1.9932500000000002</v>
      </c>
      <c r="L714" s="43"/>
      <c r="M714" s="43"/>
      <c r="N714" s="75">
        <f>IF(Tabela5[[#This Row],[Dividendos]]&gt;0,Tabela5[[#This Row],[Dividendos]]/Tabela5[[#This Row],[Lucro Líquido]],0)</f>
        <v>0</v>
      </c>
      <c r="O714" s="23">
        <v>0.25409999999999999</v>
      </c>
      <c r="P714" s="10"/>
    </row>
    <row r="715" spans="1:16" x14ac:dyDescent="0.2">
      <c r="A715" s="4" t="s">
        <v>230</v>
      </c>
      <c r="B715" s="3" t="s">
        <v>14</v>
      </c>
      <c r="C715" s="80">
        <v>35550</v>
      </c>
      <c r="D715" s="3">
        <v>1.6199999999999999E-2</v>
      </c>
      <c r="E715" s="81"/>
      <c r="F715" s="81">
        <v>35550</v>
      </c>
      <c r="G715" s="10">
        <f>IF(Tabela4[[#This Row],[Tipo]]="Dividendo",Tabela4[[#This Row],[Valor]],IF(Tabela4[[#This Row],[Tipo]]="Jrs. Cap. Próprio",Tabela4[[#This Row],[Valor]]*85%,0))</f>
        <v>1.3769999999999999E-2</v>
      </c>
      <c r="I715" s="35" t="s">
        <v>98</v>
      </c>
      <c r="J715" s="35">
        <v>2012</v>
      </c>
      <c r="K715" s="38">
        <f>SUMPRODUCT(N(Tabela4[Ativo]=Tabela5[[#This Row],[Ativo]]),N(YEAR(Tabela4[Data ex-1])=Tabela5[[#This Row],[Ano]]),Tabela4[Líquido])</f>
        <v>2.1589999999999998</v>
      </c>
      <c r="L715" s="43"/>
      <c r="M715" s="43"/>
      <c r="N715" s="75">
        <f>IF(Tabela5[[#This Row],[Dividendos]]&gt;0,Tabela5[[#This Row],[Dividendos]]/Tabela5[[#This Row],[Lucro Líquido]],0)</f>
        <v>0</v>
      </c>
      <c r="O715" s="23">
        <v>0.3</v>
      </c>
      <c r="P715" s="10"/>
    </row>
    <row r="716" spans="1:16" x14ac:dyDescent="0.2">
      <c r="A716" s="4" t="s">
        <v>230</v>
      </c>
      <c r="B716" s="3" t="s">
        <v>15</v>
      </c>
      <c r="C716" s="80">
        <v>35550</v>
      </c>
      <c r="D716" s="3">
        <v>2.8999999999999998E-3</v>
      </c>
      <c r="E716" s="81"/>
      <c r="F716" s="81">
        <v>35550</v>
      </c>
      <c r="G716" s="10">
        <f>IF(Tabela4[[#This Row],[Tipo]]="Dividendo",Tabela4[[#This Row],[Valor]],IF(Tabela4[[#This Row],[Tipo]]="Jrs. Cap. Próprio",Tabela4[[#This Row],[Valor]]*85%,0))</f>
        <v>2.8999999999999998E-3</v>
      </c>
      <c r="I716" s="35" t="s">
        <v>98</v>
      </c>
      <c r="J716" s="35">
        <v>2011</v>
      </c>
      <c r="K716" s="34">
        <f>SUMPRODUCT(N(Tabela4[Ativo]=Tabela5[[#This Row],[Ativo]]),N(YEAR(Tabela4[Data ex-1])=Tabela5[[#This Row],[Ano]]),Tabela4[Líquido])</f>
        <v>0</v>
      </c>
      <c r="L716" s="87"/>
      <c r="M716" s="87"/>
      <c r="N716" s="88">
        <f>IF(Tabela5[[#This Row],[Dividendos]]&gt;0,Tabela5[[#This Row],[Dividendos]]/Tabela5[[#This Row],[Lucro Líquido]],0)</f>
        <v>0</v>
      </c>
      <c r="O716" s="23"/>
      <c r="P716" s="10"/>
    </row>
    <row r="717" spans="1:16" x14ac:dyDescent="0.2">
      <c r="A717" s="35" t="s">
        <v>93</v>
      </c>
      <c r="B717" s="35" t="s">
        <v>14</v>
      </c>
      <c r="C717" s="36">
        <v>41613</v>
      </c>
      <c r="D717" s="38">
        <v>0.55410000000000004</v>
      </c>
      <c r="E717" s="37">
        <v>41627</v>
      </c>
      <c r="F717" s="37">
        <v>41613</v>
      </c>
      <c r="G717" s="38">
        <f>IF(Tabela4[[#This Row],[Tipo]]="Dividendo",Tabela4[[#This Row],[Valor]],IF(Tabela4[[#This Row],[Tipo]]="Jrs. Cap. Próprio",Tabela4[[#This Row],[Valor]]*85%,0))</f>
        <v>0.47098500000000004</v>
      </c>
      <c r="I717" s="35" t="s">
        <v>98</v>
      </c>
      <c r="J717" s="35">
        <v>2010</v>
      </c>
      <c r="K717" s="34">
        <f>SUMPRODUCT(N(Tabela4[Ativo]=Tabela5[[#This Row],[Ativo]]),N(YEAR(Tabela4[Data ex-1])=Tabela5[[#This Row],[Ano]]),Tabela4[Líquido])</f>
        <v>1.8286899999999997</v>
      </c>
      <c r="L717" s="87"/>
      <c r="M717" s="87"/>
      <c r="N717" s="88">
        <f>IF(Tabela5[[#This Row],[Dividendos]]&gt;0,Tabela5[[#This Row],[Dividendos]]/Tabela5[[#This Row],[Lucro Líquido]],0)</f>
        <v>0</v>
      </c>
      <c r="O717" s="23">
        <v>0.28999999999999998</v>
      </c>
      <c r="P717" s="10"/>
    </row>
    <row r="718" spans="1:16" x14ac:dyDescent="0.2">
      <c r="A718" s="35" t="s">
        <v>93</v>
      </c>
      <c r="B718" s="31" t="s">
        <v>15</v>
      </c>
      <c r="C718" s="32">
        <v>41394</v>
      </c>
      <c r="D718" s="34">
        <v>1.4286000000000001</v>
      </c>
      <c r="E718" s="33"/>
      <c r="F718" s="33">
        <v>41394</v>
      </c>
      <c r="G718" s="34">
        <f>IF(Tabela4[[#This Row],[Tipo]]="Dividendo",Tabela4[[#This Row],[Valor]],IF(Tabela4[[#This Row],[Tipo]]="Jrs. Cap. Próprio",Tabela4[[#This Row],[Valor]]*85%,0))</f>
        <v>1.4286000000000001</v>
      </c>
      <c r="I718" s="35" t="s">
        <v>98</v>
      </c>
      <c r="J718" s="35">
        <v>2009</v>
      </c>
      <c r="K718" s="34">
        <f>SUMPRODUCT(N(Tabela4[Ativo]=Tabela5[[#This Row],[Ativo]]),N(YEAR(Tabela4[Data ex-1])=Tabela5[[#This Row],[Ano]]),Tabela4[Líquido])</f>
        <v>1.7</v>
      </c>
      <c r="L718" s="87"/>
      <c r="M718" s="87"/>
      <c r="N718" s="88">
        <f>IF(Tabela5[[#This Row],[Dividendos]]&gt;0,Tabela5[[#This Row],[Dividendos]]/Tabela5[[#This Row],[Lucro Líquido]],0)</f>
        <v>0</v>
      </c>
      <c r="O718" s="23">
        <v>0.3</v>
      </c>
      <c r="P718" s="10"/>
    </row>
    <row r="719" spans="1:16" x14ac:dyDescent="0.2">
      <c r="A719" s="35" t="s">
        <v>93</v>
      </c>
      <c r="B719" s="31" t="s">
        <v>15</v>
      </c>
      <c r="C719" s="32">
        <v>41264</v>
      </c>
      <c r="D719" s="34">
        <v>1.8765000000000001</v>
      </c>
      <c r="E719" s="33">
        <v>41338</v>
      </c>
      <c r="F719" s="33">
        <v>41263</v>
      </c>
      <c r="G719" s="34">
        <f>IF(Tabela4[[#This Row],[Tipo]]="Dividendo",Tabela4[[#This Row],[Valor]],IF(Tabela4[[#This Row],[Tipo]]="Jrs. Cap. Próprio",Tabela4[[#This Row],[Valor]]*85%,0))</f>
        <v>1.8765000000000001</v>
      </c>
      <c r="I719" s="35" t="s">
        <v>98</v>
      </c>
      <c r="J719" s="35">
        <v>2008</v>
      </c>
      <c r="K719" s="34">
        <f>SUMPRODUCT(N(Tabela4[Ativo]=Tabela5[[#This Row],[Ativo]]),N(YEAR(Tabela4[Data ex-1])=Tabela5[[#This Row],[Ano]]),Tabela4[Líquido])</f>
        <v>0.86699999999999999</v>
      </c>
      <c r="L719" s="87"/>
      <c r="M719" s="87"/>
      <c r="N719" s="88">
        <f>IF(Tabela5[[#This Row],[Dividendos]]&gt;0,Tabela5[[#This Row],[Dividendos]]/Tabela5[[#This Row],[Lucro Líquido]],0)</f>
        <v>0</v>
      </c>
      <c r="O719" s="23">
        <v>0.26</v>
      </c>
      <c r="P719" s="10"/>
    </row>
    <row r="720" spans="1:16" x14ac:dyDescent="0.2">
      <c r="A720" s="35" t="s">
        <v>93</v>
      </c>
      <c r="B720" s="31" t="s">
        <v>14</v>
      </c>
      <c r="C720" s="32">
        <v>41264</v>
      </c>
      <c r="D720" s="34">
        <v>1.9938</v>
      </c>
      <c r="E720" s="33">
        <v>41338</v>
      </c>
      <c r="F720" s="33">
        <v>41263</v>
      </c>
      <c r="G720" s="34">
        <f>IF(Tabela4[[#This Row],[Tipo]]="Dividendo",Tabela4[[#This Row],[Valor]],IF(Tabela4[[#This Row],[Tipo]]="Jrs. Cap. Próprio",Tabela4[[#This Row],[Valor]]*85%,0))</f>
        <v>1.6947300000000001</v>
      </c>
      <c r="I720" s="35" t="s">
        <v>98</v>
      </c>
      <c r="J720" s="35">
        <v>2007</v>
      </c>
      <c r="K720" s="34">
        <f>SUMPRODUCT(N(Tabela4[Ativo]=Tabela5[[#This Row],[Ativo]]),N(YEAR(Tabela4[Data ex-1])=Tabela5[[#This Row],[Ano]]),Tabela4[Líquido])</f>
        <v>1.0029999999999999</v>
      </c>
      <c r="L720" s="87"/>
      <c r="M720" s="87"/>
      <c r="N720" s="88">
        <f>IF(Tabela5[[#This Row],[Dividendos]]&gt;0,Tabela5[[#This Row],[Dividendos]]/Tabela5[[#This Row],[Lucro Líquido]],0)</f>
        <v>0</v>
      </c>
      <c r="O720" s="23">
        <v>0.25</v>
      </c>
      <c r="P720" s="10"/>
    </row>
    <row r="721" spans="1:16" x14ac:dyDescent="0.2">
      <c r="A721" s="35" t="s">
        <v>93</v>
      </c>
      <c r="B721" s="31" t="s">
        <v>15</v>
      </c>
      <c r="C721" s="32">
        <v>41026</v>
      </c>
      <c r="D721" s="34">
        <v>1.8971</v>
      </c>
      <c r="E721" s="33"/>
      <c r="F721" s="33">
        <v>41026</v>
      </c>
      <c r="G721" s="34">
        <f>IF(Tabela4[[#This Row],[Tipo]]="Dividendo",Tabela4[[#This Row],[Valor]],IF(Tabela4[[#This Row],[Tipo]]="Jrs. Cap. Próprio",Tabela4[[#This Row],[Valor]]*85%,0))</f>
        <v>1.8971</v>
      </c>
      <c r="I721" s="35" t="s">
        <v>98</v>
      </c>
      <c r="J721" s="35">
        <v>2006</v>
      </c>
      <c r="K721" s="34">
        <f>SUMPRODUCT(N(Tabela4[Ativo]=Tabela5[[#This Row],[Ativo]]),N(YEAR(Tabela4[Data ex-1])=Tabela5[[#This Row],[Ano]]),Tabela4[Líquido])</f>
        <v>8.0835000000000008</v>
      </c>
      <c r="L721" s="87"/>
      <c r="M721" s="87"/>
      <c r="N721" s="88">
        <f>IF(Tabela5[[#This Row],[Dividendos]]&gt;0,Tabela5[[#This Row],[Dividendos]]/Tabela5[[#This Row],[Lucro Líquido]],0)</f>
        <v>0</v>
      </c>
      <c r="O721" s="23"/>
      <c r="P721" s="10"/>
    </row>
    <row r="722" spans="1:16" x14ac:dyDescent="0.2">
      <c r="A722" s="35" t="s">
        <v>93</v>
      </c>
      <c r="B722" s="31" t="s">
        <v>15</v>
      </c>
      <c r="C722" s="32">
        <v>40886</v>
      </c>
      <c r="D722" s="34">
        <v>1.2461</v>
      </c>
      <c r="E722" s="33"/>
      <c r="F722" s="33">
        <v>40886</v>
      </c>
      <c r="G722" s="34">
        <f>IF(Tabela4[[#This Row],[Tipo]]="Dividendo",Tabela4[[#This Row],[Valor]],IF(Tabela4[[#This Row],[Tipo]]="Jrs. Cap. Próprio",Tabela4[[#This Row],[Valor]]*85%,0))</f>
        <v>1.2461</v>
      </c>
      <c r="I722" s="35" t="s">
        <v>98</v>
      </c>
      <c r="J722" s="35">
        <v>2005</v>
      </c>
      <c r="K722" s="34">
        <f>SUMPRODUCT(N(Tabela4[Ativo]=Tabela5[[#This Row],[Ativo]]),N(YEAR(Tabela4[Data ex-1])=Tabela5[[#This Row],[Ano]]),Tabela4[Líquido])</f>
        <v>11.23428</v>
      </c>
      <c r="L722" s="87"/>
      <c r="M722" s="87"/>
      <c r="N722" s="88">
        <f>IF(Tabela5[[#This Row],[Dividendos]]&gt;0,Tabela5[[#This Row],[Dividendos]]/Tabela5[[#This Row],[Lucro Líquido]],0)</f>
        <v>0</v>
      </c>
      <c r="O722" s="23"/>
      <c r="P722" s="10"/>
    </row>
    <row r="723" spans="1:16" x14ac:dyDescent="0.2">
      <c r="A723" s="35" t="s">
        <v>93</v>
      </c>
      <c r="B723" s="31" t="s">
        <v>15</v>
      </c>
      <c r="C723" s="32">
        <v>40662</v>
      </c>
      <c r="D723" s="34">
        <v>1.75</v>
      </c>
      <c r="E723" s="33"/>
      <c r="F723" s="33">
        <v>40662</v>
      </c>
      <c r="G723" s="34">
        <f>IF(Tabela4[[#This Row],[Tipo]]="Dividendo",Tabela4[[#This Row],[Valor]],IF(Tabela4[[#This Row],[Tipo]]="Jrs. Cap. Próprio",Tabela4[[#This Row],[Valor]]*85%,0))</f>
        <v>1.75</v>
      </c>
      <c r="I723" s="35" t="s">
        <v>98</v>
      </c>
      <c r="J723" s="35">
        <v>2004</v>
      </c>
      <c r="K723" s="34">
        <f>SUMPRODUCT(N(Tabela4[Ativo]=Tabela5[[#This Row],[Ativo]]),N(YEAR(Tabela4[Data ex-1])=Tabela5[[#This Row],[Ano]]),Tabela4[Líquido])</f>
        <v>9.4179999999999993</v>
      </c>
      <c r="L723" s="87"/>
      <c r="M723" s="87"/>
      <c r="N723" s="88">
        <f>IF(Tabela5[[#This Row],[Dividendos]]&gt;0,Tabela5[[#This Row],[Dividendos]]/Tabela5[[#This Row],[Lucro Líquido]],0)</f>
        <v>0</v>
      </c>
      <c r="O723" s="23"/>
      <c r="P723" s="10"/>
    </row>
    <row r="724" spans="1:16" x14ac:dyDescent="0.2">
      <c r="A724" s="35" t="s">
        <v>93</v>
      </c>
      <c r="B724" s="31" t="s">
        <v>15</v>
      </c>
      <c r="C724" s="32">
        <v>40528</v>
      </c>
      <c r="D724" s="34">
        <v>1.3193999999999999</v>
      </c>
      <c r="E724" s="33">
        <v>40541</v>
      </c>
      <c r="F724" s="33">
        <v>40528</v>
      </c>
      <c r="G724" s="34">
        <f>IF(Tabela4[[#This Row],[Tipo]]="Dividendo",Tabela4[[#This Row],[Valor]],IF(Tabela4[[#This Row],[Tipo]]="Jrs. Cap. Próprio",Tabela4[[#This Row],[Valor]]*85%,0))</f>
        <v>1.3193999999999999</v>
      </c>
      <c r="I724" s="35" t="s">
        <v>98</v>
      </c>
      <c r="J724" s="35">
        <v>2003</v>
      </c>
      <c r="K724" s="34">
        <f>SUMPRODUCT(N(Tabela4[Ativo]=Tabela5[[#This Row],[Ativo]]),N(YEAR(Tabela4[Data ex-1])=Tabela5[[#This Row],[Ano]]),Tabela4[Líquido])</f>
        <v>9.35</v>
      </c>
      <c r="L724" s="87"/>
      <c r="M724" s="87"/>
      <c r="N724" s="88">
        <f>IF(Tabela5[[#This Row],[Dividendos]]&gt;0,Tabela5[[#This Row],[Dividendos]]/Tabela5[[#This Row],[Lucro Líquido]],0)</f>
        <v>0</v>
      </c>
      <c r="O724" s="23"/>
      <c r="P724" s="10"/>
    </row>
    <row r="725" spans="1:16" x14ac:dyDescent="0.2">
      <c r="A725" s="35" t="s">
        <v>93</v>
      </c>
      <c r="B725" s="31" t="s">
        <v>15</v>
      </c>
      <c r="C725" s="32">
        <v>40297</v>
      </c>
      <c r="D725" s="34">
        <v>1.5008999999999999</v>
      </c>
      <c r="E725" s="33"/>
      <c r="F725" s="33">
        <v>40297</v>
      </c>
      <c r="G725" s="34">
        <f>IF(Tabela4[[#This Row],[Tipo]]="Dividendo",Tabela4[[#This Row],[Valor]],IF(Tabela4[[#This Row],[Tipo]]="Jrs. Cap. Próprio",Tabela4[[#This Row],[Valor]]*85%,0))</f>
        <v>1.5008999999999999</v>
      </c>
      <c r="I725" s="35" t="s">
        <v>98</v>
      </c>
      <c r="J725" s="35">
        <v>2002</v>
      </c>
      <c r="K725" s="34">
        <f>SUMPRODUCT(N(Tabela4[Ativo]=Tabela5[[#This Row],[Ativo]]),N(YEAR(Tabela4[Data ex-1])=Tabela5[[#This Row],[Ano]]),Tabela4[Líquido])</f>
        <v>17.849999999999998</v>
      </c>
      <c r="L725" s="87"/>
      <c r="M725" s="87"/>
      <c r="N725" s="88">
        <f>IF(Tabela5[[#This Row],[Dividendos]]&gt;0,Tabela5[[#This Row],[Dividendos]]/Tabela5[[#This Row],[Lucro Líquido]],0)</f>
        <v>0</v>
      </c>
      <c r="O725" s="23"/>
      <c r="P725" s="10"/>
    </row>
    <row r="726" spans="1:16" x14ac:dyDescent="0.2">
      <c r="A726" s="35" t="s">
        <v>93</v>
      </c>
      <c r="B726" s="31" t="s">
        <v>15</v>
      </c>
      <c r="C726" s="32">
        <v>39932</v>
      </c>
      <c r="D726" s="34">
        <v>1.9018999999999999</v>
      </c>
      <c r="E726" s="33"/>
      <c r="F726" s="33">
        <v>39932</v>
      </c>
      <c r="G726" s="34">
        <f>IF(Tabela4[[#This Row],[Tipo]]="Dividendo",Tabela4[[#This Row],[Valor]],IF(Tabela4[[#This Row],[Tipo]]="Jrs. Cap. Próprio",Tabela4[[#This Row],[Valor]]*85%,0))</f>
        <v>1.9018999999999999</v>
      </c>
      <c r="I726" s="35" t="s">
        <v>98</v>
      </c>
      <c r="J726" s="35">
        <v>2001</v>
      </c>
      <c r="K726" s="34">
        <f>SUMPRODUCT(N(Tabela4[Ativo]=Tabela5[[#This Row],[Ativo]]),N(YEAR(Tabela4[Data ex-1])=Tabela5[[#This Row],[Ano]]),Tabela4[Líquido])</f>
        <v>0</v>
      </c>
      <c r="L726" s="87"/>
      <c r="M726" s="87"/>
      <c r="N726" s="88">
        <f>IF(Tabela5[[#This Row],[Dividendos]]&gt;0,Tabela5[[#This Row],[Dividendos]]/Tabela5[[#This Row],[Lucro Líquido]],0)</f>
        <v>0</v>
      </c>
      <c r="O726" s="23"/>
      <c r="P726" s="10"/>
    </row>
    <row r="727" spans="1:16" x14ac:dyDescent="0.2">
      <c r="A727" s="35" t="s">
        <v>93</v>
      </c>
      <c r="B727" s="31" t="s">
        <v>15</v>
      </c>
      <c r="C727" s="32">
        <v>39563</v>
      </c>
      <c r="D727" s="34">
        <v>1.78</v>
      </c>
      <c r="E727" s="33">
        <v>39626</v>
      </c>
      <c r="F727" s="33">
        <v>39563</v>
      </c>
      <c r="G727" s="34">
        <f>IF(Tabela4[[#This Row],[Tipo]]="Dividendo",Tabela4[[#This Row],[Valor]],IF(Tabela4[[#This Row],[Tipo]]="Jrs. Cap. Próprio",Tabela4[[#This Row],[Valor]]*85%,0))</f>
        <v>1.78</v>
      </c>
      <c r="I727" s="35" t="s">
        <v>98</v>
      </c>
      <c r="J727" s="35">
        <v>2000</v>
      </c>
      <c r="K727" s="34">
        <f>SUMPRODUCT(N(Tabela4[Ativo]=Tabela5[[#This Row],[Ativo]]),N(YEAR(Tabela4[Data ex-1])=Tabela5[[#This Row],[Ano]]),Tabela4[Líquido])</f>
        <v>16.120249999999999</v>
      </c>
      <c r="L727" s="87"/>
      <c r="M727" s="87"/>
      <c r="N727" s="88">
        <f>IF(Tabela5[[#This Row],[Dividendos]]&gt;0,Tabela5[[#This Row],[Dividendos]]/Tabela5[[#This Row],[Lucro Líquido]],0)</f>
        <v>0</v>
      </c>
      <c r="O727" s="23"/>
      <c r="P727" s="10"/>
    </row>
    <row r="728" spans="1:16" x14ac:dyDescent="0.2">
      <c r="A728" s="35" t="s">
        <v>93</v>
      </c>
      <c r="B728" s="31" t="s">
        <v>15</v>
      </c>
      <c r="C728" s="32">
        <v>39198</v>
      </c>
      <c r="D728" s="34">
        <v>4.9880000000000004</v>
      </c>
      <c r="E728" s="33"/>
      <c r="F728" s="33">
        <v>39198</v>
      </c>
      <c r="G728" s="34">
        <f>IF(Tabela4[[#This Row],[Tipo]]="Dividendo",Tabela4[[#This Row],[Valor]],IF(Tabela4[[#This Row],[Tipo]]="Jrs. Cap. Próprio",Tabela4[[#This Row],[Valor]]*85%,0))</f>
        <v>4.9880000000000004</v>
      </c>
      <c r="I728" s="35" t="s">
        <v>98</v>
      </c>
      <c r="J728" s="35">
        <v>1999</v>
      </c>
      <c r="K728" s="34">
        <f>SUMPRODUCT(N(Tabela4[Ativo]=Tabela5[[#This Row],[Ativo]]),N(YEAR(Tabela4[Data ex-1])=Tabela5[[#This Row],[Ano]]),Tabela4[Líquido])</f>
        <v>4.0119999999999996</v>
      </c>
      <c r="L728" s="87"/>
      <c r="M728" s="87"/>
      <c r="N728" s="88">
        <f>IF(Tabela5[[#This Row],[Dividendos]]&gt;0,Tabela5[[#This Row],[Dividendos]]/Tabela5[[#This Row],[Lucro Líquido]],0)</f>
        <v>0</v>
      </c>
      <c r="O728" s="23"/>
      <c r="P728" s="10"/>
    </row>
    <row r="729" spans="1:16" x14ac:dyDescent="0.2">
      <c r="A729" s="35" t="s">
        <v>93</v>
      </c>
      <c r="B729" s="31" t="s">
        <v>15</v>
      </c>
      <c r="C729" s="32">
        <v>38909</v>
      </c>
      <c r="D729" s="34">
        <v>0.47199999999999998</v>
      </c>
      <c r="E729" s="33">
        <v>38939</v>
      </c>
      <c r="F729" s="33">
        <v>38897</v>
      </c>
      <c r="G729" s="34">
        <f>IF(Tabela4[[#This Row],[Tipo]]="Dividendo",Tabela4[[#This Row],[Valor]],IF(Tabela4[[#This Row],[Tipo]]="Jrs. Cap. Próprio",Tabela4[[#This Row],[Valor]]*85%,0))</f>
        <v>0.47199999999999998</v>
      </c>
      <c r="I729" s="3" t="s">
        <v>248</v>
      </c>
      <c r="J729" s="3">
        <v>2013</v>
      </c>
      <c r="K729" s="10">
        <f>SUMPRODUCT(N(Tabela4[Ativo]=Tabela5[[#This Row],[Ativo]]),N(YEAR(Tabela4[Data ex-1])=Tabela5[[#This Row],[Ano]]),Tabela4[Líquido])</f>
        <v>0.505</v>
      </c>
      <c r="N729" s="23">
        <f>IF(Tabela5[[#This Row],[Dividendos]]&gt;0,Tabela5[[#This Row],[Dividendos]]/Tabela5[[#This Row],[Lucro Líquido]],0)</f>
        <v>0</v>
      </c>
      <c r="O729" s="28">
        <v>7.6525999999999996</v>
      </c>
      <c r="P729" s="10"/>
    </row>
    <row r="730" spans="1:16" x14ac:dyDescent="0.2">
      <c r="A730" s="35" t="s">
        <v>93</v>
      </c>
      <c r="B730" s="31" t="s">
        <v>14</v>
      </c>
      <c r="C730" s="32">
        <v>38848</v>
      </c>
      <c r="D730" s="34">
        <v>1.0430999999999999</v>
      </c>
      <c r="E730" s="33"/>
      <c r="F730" s="33">
        <v>38834</v>
      </c>
      <c r="G730" s="34">
        <f>IF(Tabela4[[#This Row],[Tipo]]="Dividendo",Tabela4[[#This Row],[Valor]],IF(Tabela4[[#This Row],[Tipo]]="Jrs. Cap. Próprio",Tabela4[[#This Row],[Valor]]*85%,0))</f>
        <v>0.88663499999999995</v>
      </c>
      <c r="I730" s="3" t="s">
        <v>248</v>
      </c>
      <c r="J730" s="3">
        <v>2012</v>
      </c>
      <c r="K730" s="10">
        <f>SUMPRODUCT(N(Tabela4[Ativo]=Tabela5[[#This Row],[Ativo]]),N(YEAR(Tabela4[Data ex-1])=Tabela5[[#This Row],[Ano]]),Tabela4[Líquido])</f>
        <v>0.12341999999999999</v>
      </c>
      <c r="N730" s="23">
        <f>IF(Tabela5[[#This Row],[Dividendos]]&gt;0,Tabela5[[#This Row],[Dividendos]]/Tabela5[[#This Row],[Lucro Líquido]],0)</f>
        <v>0</v>
      </c>
      <c r="O730" s="28">
        <v>0.72</v>
      </c>
      <c r="P730" s="10"/>
    </row>
    <row r="731" spans="1:16" x14ac:dyDescent="0.2">
      <c r="A731" s="35" t="s">
        <v>93</v>
      </c>
      <c r="B731" s="31" t="s">
        <v>15</v>
      </c>
      <c r="C731" s="32">
        <v>38835</v>
      </c>
      <c r="D731" s="34">
        <v>2.85</v>
      </c>
      <c r="E731" s="33"/>
      <c r="F731" s="33">
        <v>38835</v>
      </c>
      <c r="G731" s="34">
        <f>IF(Tabela4[[#This Row],[Tipo]]="Dividendo",Tabela4[[#This Row],[Valor]],IF(Tabela4[[#This Row],[Tipo]]="Jrs. Cap. Próprio",Tabela4[[#This Row],[Valor]]*85%,0))</f>
        <v>2.85</v>
      </c>
      <c r="I731" s="3" t="s">
        <v>248</v>
      </c>
      <c r="J731" s="3">
        <v>2011</v>
      </c>
      <c r="K731" s="10">
        <f>SUMPRODUCT(N(Tabela4[Ativo]=Tabela5[[#This Row],[Ativo]]),N(YEAR(Tabela4[Data ex-1])=Tabela5[[#This Row],[Ano]]),Tabela4[Líquido])</f>
        <v>0.24412</v>
      </c>
      <c r="N731" s="23">
        <f>IF(Tabela5[[#This Row],[Dividendos]]&gt;0,Tabela5[[#This Row],[Dividendos]]/Tabela5[[#This Row],[Lucro Líquido]],0)</f>
        <v>0</v>
      </c>
      <c r="O731" s="28"/>
      <c r="P731" s="10"/>
    </row>
    <row r="732" spans="1:16" x14ac:dyDescent="0.2">
      <c r="A732" s="35" t="s">
        <v>93</v>
      </c>
      <c r="B732" s="31" t="s">
        <v>15</v>
      </c>
      <c r="C732" s="32">
        <v>38733</v>
      </c>
      <c r="D732" s="34">
        <v>5.5340999999999996</v>
      </c>
      <c r="E732" s="33">
        <v>38744</v>
      </c>
      <c r="F732" s="33">
        <v>38693</v>
      </c>
      <c r="G732" s="34">
        <f>IF(Tabela4[[#This Row],[Tipo]]="Dividendo",Tabela4[[#This Row],[Valor]],IF(Tabela4[[#This Row],[Tipo]]="Jrs. Cap. Próprio",Tabela4[[#This Row],[Valor]]*85%,0))</f>
        <v>5.5340999999999996</v>
      </c>
      <c r="I732" s="3" t="s">
        <v>248</v>
      </c>
      <c r="J732" s="3">
        <v>2010</v>
      </c>
      <c r="K732" s="10">
        <f>SUMPRODUCT(N(Tabela4[Ativo]=Tabela5[[#This Row],[Ativo]]),N(YEAR(Tabela4[Data ex-1])=Tabela5[[#This Row],[Ano]]),Tabela4[Líquido])</f>
        <v>0.57281500000000007</v>
      </c>
      <c r="N732" s="23">
        <f>IF(Tabela5[[#This Row],[Dividendos]]&gt;0,Tabela5[[#This Row],[Dividendos]]/Tabela5[[#This Row],[Lucro Líquido]],0)</f>
        <v>0</v>
      </c>
      <c r="O732" s="28"/>
      <c r="P732" s="10"/>
    </row>
    <row r="733" spans="1:16" x14ac:dyDescent="0.2">
      <c r="A733" s="35" t="s">
        <v>93</v>
      </c>
      <c r="B733" s="31" t="s">
        <v>14</v>
      </c>
      <c r="C733" s="32">
        <v>38719</v>
      </c>
      <c r="D733" s="34">
        <v>0.96860000000000002</v>
      </c>
      <c r="E733" s="33"/>
      <c r="F733" s="33">
        <v>38707</v>
      </c>
      <c r="G733" s="34">
        <f>IF(Tabela4[[#This Row],[Tipo]]="Dividendo",Tabela4[[#This Row],[Valor]],IF(Tabela4[[#This Row],[Tipo]]="Jrs. Cap. Próprio",Tabela4[[#This Row],[Valor]]*85%,0))</f>
        <v>0.82330999999999999</v>
      </c>
      <c r="I733" s="3" t="s">
        <v>248</v>
      </c>
      <c r="J733" s="3">
        <v>2009</v>
      </c>
      <c r="K733" s="10">
        <f>SUMPRODUCT(N(Tabela4[Ativo]=Tabela5[[#This Row],[Ativo]]),N(YEAR(Tabela4[Data ex-1])=Tabela5[[#This Row],[Ano]]),Tabela4[Líquido])</f>
        <v>0.27157500000000001</v>
      </c>
      <c r="N733" s="23">
        <f>IF(Tabela5[[#This Row],[Dividendos]]&gt;0,Tabela5[[#This Row],[Dividendos]]/Tabela5[[#This Row],[Lucro Líquido]],0)</f>
        <v>0</v>
      </c>
      <c r="O733" s="28"/>
      <c r="P733" s="10"/>
    </row>
    <row r="734" spans="1:16" x14ac:dyDescent="0.2">
      <c r="A734" s="35" t="s">
        <v>93</v>
      </c>
      <c r="B734" s="31" t="s">
        <v>14</v>
      </c>
      <c r="C734" s="32">
        <v>38664</v>
      </c>
      <c r="D734" s="34">
        <v>1.2031000000000001</v>
      </c>
      <c r="E734" s="33"/>
      <c r="F734" s="33">
        <v>38652</v>
      </c>
      <c r="G734" s="34">
        <f>IF(Tabela4[[#This Row],[Tipo]]="Dividendo",Tabela4[[#This Row],[Valor]],IF(Tabela4[[#This Row],[Tipo]]="Jrs. Cap. Próprio",Tabela4[[#This Row],[Valor]]*85%,0))</f>
        <v>1.022635</v>
      </c>
      <c r="I734" s="3" t="s">
        <v>248</v>
      </c>
      <c r="J734" s="3">
        <v>2008</v>
      </c>
      <c r="K734" s="10">
        <f>SUMPRODUCT(N(Tabela4[Ativo]=Tabela5[[#This Row],[Ativo]]),N(YEAR(Tabela4[Data ex-1])=Tabela5[[#This Row],[Ano]]),Tabela4[Líquido])</f>
        <v>1.47E-2</v>
      </c>
      <c r="N734" s="23">
        <f>IF(Tabela5[[#This Row],[Dividendos]]&gt;0,Tabela5[[#This Row],[Dividendos]]/Tabela5[[#This Row],[Lucro Líquido]],0)</f>
        <v>0</v>
      </c>
      <c r="O734" s="28"/>
      <c r="P734" s="10"/>
    </row>
    <row r="735" spans="1:16" x14ac:dyDescent="0.2">
      <c r="A735" s="35" t="s">
        <v>93</v>
      </c>
      <c r="B735" s="31" t="s">
        <v>14</v>
      </c>
      <c r="C735" s="32">
        <v>38541</v>
      </c>
      <c r="D735" s="34">
        <v>1.746</v>
      </c>
      <c r="E735" s="33"/>
      <c r="F735" s="33">
        <v>38532</v>
      </c>
      <c r="G735" s="34">
        <f>IF(Tabela4[[#This Row],[Tipo]]="Dividendo",Tabela4[[#This Row],[Valor]],IF(Tabela4[[#This Row],[Tipo]]="Jrs. Cap. Próprio",Tabela4[[#This Row],[Valor]]*85%,0))</f>
        <v>1.4841</v>
      </c>
      <c r="I735" s="35" t="s">
        <v>74</v>
      </c>
      <c r="J735" s="35">
        <v>2013</v>
      </c>
      <c r="K735" s="38">
        <f>SUMPRODUCT(N(Tabela4[Ativo]=Tabela5[[#This Row],[Ativo]]),N(YEAR(Tabela4[Data ex-1])=Tabela5[[#This Row],[Ano]]),Tabela4[Líquido])</f>
        <v>0.35</v>
      </c>
      <c r="L735" s="43"/>
      <c r="M735" s="43"/>
      <c r="N735" s="75">
        <f>IF(Tabela5[[#This Row],[Dividendos]]&gt;0,Tabela5[[#This Row],[Dividendos]]/Tabela5[[#This Row],[Lucro Líquido]],0)</f>
        <v>0</v>
      </c>
      <c r="O735" s="23">
        <v>8.4599999999999995E-2</v>
      </c>
      <c r="P735" s="10"/>
    </row>
    <row r="736" spans="1:16" x14ac:dyDescent="0.2">
      <c r="A736" s="35" t="s">
        <v>93</v>
      </c>
      <c r="B736" s="31" t="s">
        <v>15</v>
      </c>
      <c r="C736" s="32">
        <v>38471</v>
      </c>
      <c r="D736" s="34">
        <v>1.1253</v>
      </c>
      <c r="E736" s="33">
        <v>38715</v>
      </c>
      <c r="F736" s="33">
        <v>38471</v>
      </c>
      <c r="G736" s="34">
        <f>IF(Tabela4[[#This Row],[Tipo]]="Dividendo",Tabela4[[#This Row],[Valor]],IF(Tabela4[[#This Row],[Tipo]]="Jrs. Cap. Próprio",Tabela4[[#This Row],[Valor]]*85%,0))</f>
        <v>1.1253</v>
      </c>
      <c r="I736" s="35" t="s">
        <v>74</v>
      </c>
      <c r="J736" s="35">
        <v>2012</v>
      </c>
      <c r="K736" s="38">
        <f>SUMPRODUCT(N(Tabela4[Ativo]=Tabela5[[#This Row],[Ativo]]),N(YEAR(Tabela4[Data ex-1])=Tabela5[[#This Row],[Ano]]),Tabela4[Líquido])</f>
        <v>0.32</v>
      </c>
      <c r="L736" s="43"/>
      <c r="M736" s="43"/>
      <c r="N736" s="75">
        <f>IF(Tabela5[[#This Row],[Dividendos]]&gt;0,Tabela5[[#This Row],[Dividendos]]/Tabela5[[#This Row],[Lucro Líquido]],0)</f>
        <v>0</v>
      </c>
      <c r="O736" s="23">
        <v>7.0000000000000007E-2</v>
      </c>
      <c r="P736" s="10"/>
    </row>
    <row r="737" spans="1:16" x14ac:dyDescent="0.2">
      <c r="A737" s="35" t="s">
        <v>93</v>
      </c>
      <c r="B737" s="31" t="s">
        <v>14</v>
      </c>
      <c r="C737" s="32">
        <v>38362</v>
      </c>
      <c r="D737" s="34">
        <v>0.24679999999999999</v>
      </c>
      <c r="E737" s="33">
        <v>38715</v>
      </c>
      <c r="F737" s="33">
        <v>38348</v>
      </c>
      <c r="G737" s="34">
        <f>IF(Tabela4[[#This Row],[Tipo]]="Dividendo",Tabela4[[#This Row],[Valor]],IF(Tabela4[[#This Row],[Tipo]]="Jrs. Cap. Próprio",Tabela4[[#This Row],[Valor]]*85%,0))</f>
        <v>0.20977999999999999</v>
      </c>
      <c r="I737" s="35" t="s">
        <v>74</v>
      </c>
      <c r="J737" s="35">
        <v>2011</v>
      </c>
      <c r="K737" s="38">
        <f>SUMPRODUCT(N(Tabela4[Ativo]=Tabela5[[#This Row],[Ativo]]),N(YEAR(Tabela4[Data ex-1])=Tabela5[[#This Row],[Ano]]),Tabela4[Líquido])</f>
        <v>3.85E-2</v>
      </c>
      <c r="L737" s="43"/>
      <c r="M737" s="43"/>
      <c r="N737" s="75">
        <f>IF(Tabela5[[#This Row],[Dividendos]]&gt;0,Tabela5[[#This Row],[Dividendos]]/Tabela5[[#This Row],[Lucro Líquido]],0)</f>
        <v>0</v>
      </c>
      <c r="O737" s="23"/>
      <c r="P737" s="10"/>
    </row>
    <row r="738" spans="1:16" x14ac:dyDescent="0.2">
      <c r="A738" s="35" t="s">
        <v>93</v>
      </c>
      <c r="B738" s="31" t="s">
        <v>14</v>
      </c>
      <c r="C738" s="32">
        <v>38331</v>
      </c>
      <c r="D738" s="34">
        <v>1.0488</v>
      </c>
      <c r="E738" s="33"/>
      <c r="F738" s="33">
        <v>38321</v>
      </c>
      <c r="G738" s="34">
        <f>IF(Tabela4[[#This Row],[Tipo]]="Dividendo",Tabela4[[#This Row],[Valor]],IF(Tabela4[[#This Row],[Tipo]]="Jrs. Cap. Próprio",Tabela4[[#This Row],[Valor]]*85%,0))</f>
        <v>0.89147999999999994</v>
      </c>
      <c r="I738" s="4" t="s">
        <v>182</v>
      </c>
      <c r="J738" s="4">
        <v>2013</v>
      </c>
      <c r="K738" s="14">
        <f>SUMPRODUCT(N(Tabela4[Ativo]=Tabela5[[#This Row],[Ativo]]),N(YEAR(Tabela4[Data ex-1])=Tabela5[[#This Row],[Ano]]),Tabela4[Líquido])</f>
        <v>0</v>
      </c>
      <c r="L738" s="6"/>
      <c r="M738" s="6"/>
      <c r="N738" s="24">
        <f>IF(Tabela5[[#This Row],[Dividendos]]&gt;0,Tabela5[[#This Row],[Dividendos]]/Tabela5[[#This Row],[Lucro Líquido]],0)</f>
        <v>0</v>
      </c>
      <c r="O738" s="23"/>
      <c r="P738" s="10"/>
    </row>
    <row r="739" spans="1:16" x14ac:dyDescent="0.2">
      <c r="A739" s="35" t="s">
        <v>93</v>
      </c>
      <c r="B739" s="31" t="s">
        <v>14</v>
      </c>
      <c r="C739" s="32">
        <v>38238</v>
      </c>
      <c r="D739" s="34">
        <v>0.61699999999999999</v>
      </c>
      <c r="E739" s="33">
        <v>38533</v>
      </c>
      <c r="F739" s="33">
        <v>38225</v>
      </c>
      <c r="G739" s="34">
        <f>IF(Tabela4[[#This Row],[Tipo]]="Dividendo",Tabela4[[#This Row],[Valor]],IF(Tabela4[[#This Row],[Tipo]]="Jrs. Cap. Próprio",Tabela4[[#This Row],[Valor]]*85%,0))</f>
        <v>0.52444999999999997</v>
      </c>
      <c r="I739" s="4" t="s">
        <v>182</v>
      </c>
      <c r="J739" s="4">
        <v>2012</v>
      </c>
      <c r="K739" s="14">
        <f>SUMPRODUCT(N(Tabela4[Ativo]=Tabela5[[#This Row],[Ativo]]),N(YEAR(Tabela4[Data ex-1])=Tabela5[[#This Row],[Ano]]),Tabela4[Líquido])</f>
        <v>0</v>
      </c>
      <c r="L739" s="6"/>
      <c r="M739" s="6"/>
      <c r="N739" s="24">
        <f>IF(Tabela5[[#This Row],[Dividendos]]&gt;0,Tabela5[[#This Row],[Dividendos]]/Tabela5[[#This Row],[Lucro Líquido]],0)</f>
        <v>0</v>
      </c>
      <c r="O739" s="23"/>
      <c r="P739" s="10"/>
    </row>
    <row r="740" spans="1:16" x14ac:dyDescent="0.2">
      <c r="A740" s="35" t="s">
        <v>93</v>
      </c>
      <c r="B740" s="31" t="s">
        <v>14</v>
      </c>
      <c r="C740" s="32">
        <v>38147</v>
      </c>
      <c r="D740" s="34">
        <v>1.2339</v>
      </c>
      <c r="E740" s="33"/>
      <c r="F740" s="33">
        <v>38138</v>
      </c>
      <c r="G740" s="34">
        <f>IF(Tabela4[[#This Row],[Tipo]]="Dividendo",Tabela4[[#This Row],[Valor]],IF(Tabela4[[#This Row],[Tipo]]="Jrs. Cap. Próprio",Tabela4[[#This Row],[Valor]]*85%,0))</f>
        <v>1.0488150000000001</v>
      </c>
      <c r="I740" s="4" t="s">
        <v>182</v>
      </c>
      <c r="J740" s="4">
        <v>2011</v>
      </c>
      <c r="K740" s="10">
        <f>SUMPRODUCT(N(Tabela4[Ativo]=Tabela5[[#This Row],[Ativo]]),N(YEAR(Tabela4[Data ex-1])=Tabela5[[#This Row],[Ano]]),Tabela4[Líquido])</f>
        <v>0</v>
      </c>
      <c r="N740" s="23">
        <f>IF(Tabela5[[#This Row],[Dividendos]]&gt;0,Tabela5[[#This Row],[Dividendos]]/Tabela5[[#This Row],[Lucro Líquido]],0)</f>
        <v>0</v>
      </c>
      <c r="O740" s="23"/>
      <c r="P740" s="10"/>
    </row>
    <row r="741" spans="1:16" x14ac:dyDescent="0.2">
      <c r="A741" s="35" t="s">
        <v>93</v>
      </c>
      <c r="B741" s="31" t="s">
        <v>15</v>
      </c>
      <c r="C741" s="32">
        <v>38107</v>
      </c>
      <c r="D741" s="34">
        <v>0.44</v>
      </c>
      <c r="E741" s="33">
        <v>38349</v>
      </c>
      <c r="F741" s="33">
        <v>38107</v>
      </c>
      <c r="G741" s="34">
        <f>IF(Tabela4[[#This Row],[Tipo]]="Dividendo",Tabela4[[#This Row],[Valor]],IF(Tabela4[[#This Row],[Tipo]]="Jrs. Cap. Próprio",Tabela4[[#This Row],[Valor]]*85%,0))</f>
        <v>0.44</v>
      </c>
      <c r="I741" s="4" t="s">
        <v>182</v>
      </c>
      <c r="J741" s="4">
        <v>2010</v>
      </c>
      <c r="K741" s="10">
        <f>SUMPRODUCT(N(Tabela4[Ativo]=Tabela5[[#This Row],[Ativo]]),N(YEAR(Tabela4[Data ex-1])=Tabela5[[#This Row],[Ano]]),Tabela4[Líquido])</f>
        <v>0</v>
      </c>
      <c r="N741" s="23">
        <f>IF(Tabela5[[#This Row],[Dividendos]]&gt;0,Tabela5[[#This Row],[Dividendos]]/Tabela5[[#This Row],[Lucro Líquido]],0)</f>
        <v>0</v>
      </c>
      <c r="O741" s="23"/>
      <c r="P741" s="10"/>
    </row>
    <row r="742" spans="1:16" x14ac:dyDescent="0.2">
      <c r="A742" s="35" t="s">
        <v>93</v>
      </c>
      <c r="B742" s="31" t="s">
        <v>14</v>
      </c>
      <c r="C742" s="32">
        <v>37984</v>
      </c>
      <c r="D742" s="34">
        <v>0.61699999999999999</v>
      </c>
      <c r="E742" s="33">
        <v>38349</v>
      </c>
      <c r="F742" s="33">
        <v>37973</v>
      </c>
      <c r="G742" s="34">
        <f>IF(Tabela4[[#This Row],[Tipo]]="Dividendo",Tabela4[[#This Row],[Valor]],IF(Tabela4[[#This Row],[Tipo]]="Jrs. Cap. Próprio",Tabela4[[#This Row],[Valor]]*85%,0))</f>
        <v>0.52444999999999997</v>
      </c>
      <c r="I742" s="4" t="s">
        <v>182</v>
      </c>
      <c r="J742" s="4">
        <v>2009</v>
      </c>
      <c r="K742" s="10">
        <f>SUMPRODUCT(N(Tabela4[Ativo]=Tabela5[[#This Row],[Ativo]]),N(YEAR(Tabela4[Data ex-1])=Tabela5[[#This Row],[Ano]]),Tabela4[Líquido])</f>
        <v>0</v>
      </c>
      <c r="N742" s="23">
        <f>IF(Tabela5[[#This Row],[Dividendos]]&gt;0,Tabela5[[#This Row],[Dividendos]]/Tabela5[[#This Row],[Lucro Líquido]],0)</f>
        <v>0</v>
      </c>
      <c r="O742" s="23"/>
      <c r="P742" s="10"/>
    </row>
    <row r="743" spans="1:16" x14ac:dyDescent="0.2">
      <c r="A743" s="35" t="s">
        <v>93</v>
      </c>
      <c r="B743" s="31" t="s">
        <v>14</v>
      </c>
      <c r="C743" s="32">
        <v>37963</v>
      </c>
      <c r="D743" s="34">
        <v>0.9254</v>
      </c>
      <c r="E743" s="33">
        <v>38349</v>
      </c>
      <c r="F743" s="33">
        <v>37953</v>
      </c>
      <c r="G743" s="34">
        <f>IF(Tabela4[[#This Row],[Tipo]]="Dividendo",Tabela4[[#This Row],[Valor]],IF(Tabela4[[#This Row],[Tipo]]="Jrs. Cap. Próprio",Tabela4[[#This Row],[Valor]]*85%,0))</f>
        <v>0.78659000000000001</v>
      </c>
      <c r="I743" s="4" t="s">
        <v>182</v>
      </c>
      <c r="J743" s="4">
        <v>2008</v>
      </c>
      <c r="K743" s="10">
        <f>SUMPRODUCT(N(Tabela4[Ativo]=Tabela5[[#This Row],[Ativo]]),N(YEAR(Tabela4[Data ex-1])=Tabela5[[#This Row],[Ano]]),Tabela4[Líquido])</f>
        <v>0</v>
      </c>
      <c r="N743" s="23">
        <f>IF(Tabela5[[#This Row],[Dividendos]]&gt;0,Tabela5[[#This Row],[Dividendos]]/Tabela5[[#This Row],[Lucro Líquido]],0)</f>
        <v>0</v>
      </c>
      <c r="O743" s="23"/>
      <c r="P743" s="10"/>
    </row>
    <row r="744" spans="1:16" x14ac:dyDescent="0.2">
      <c r="A744" s="35" t="s">
        <v>93</v>
      </c>
      <c r="B744" s="31" t="s">
        <v>14</v>
      </c>
      <c r="C744" s="32">
        <v>37617</v>
      </c>
      <c r="D744" s="34">
        <v>0.61699999999999999</v>
      </c>
      <c r="E744" s="33">
        <v>37977</v>
      </c>
      <c r="F744" s="33">
        <v>37609</v>
      </c>
      <c r="G744" s="34">
        <f>IF(Tabela4[[#This Row],[Tipo]]="Dividendo",Tabela4[[#This Row],[Valor]],IF(Tabela4[[#This Row],[Tipo]]="Jrs. Cap. Próprio",Tabela4[[#This Row],[Valor]]*85%,0))</f>
        <v>0.52444999999999997</v>
      </c>
      <c r="I744" s="35" t="s">
        <v>56</v>
      </c>
      <c r="J744" s="35">
        <v>2013</v>
      </c>
      <c r="K744" s="38">
        <f>SUMPRODUCT(N(Tabela4[Ativo]=Tabela5[[#This Row],[Ativo]]),N(YEAR(Tabela4[Data ex-1])=Tabela5[[#This Row],[Ano]]),Tabela4[Líquido])</f>
        <v>9.5200000000000007E-2</v>
      </c>
      <c r="L744" s="43"/>
      <c r="M744" s="43"/>
      <c r="N744" s="75">
        <f>IF(Tabela5[[#This Row],[Dividendos]]&gt;0,Tabela5[[#This Row],[Dividendos]]/Tabela5[[#This Row],[Lucro Líquido]],0)</f>
        <v>0</v>
      </c>
      <c r="O744" s="23"/>
      <c r="P744" s="10"/>
    </row>
    <row r="745" spans="1:16" x14ac:dyDescent="0.2">
      <c r="A745" s="35" t="s">
        <v>93</v>
      </c>
      <c r="B745" s="31" t="s">
        <v>14</v>
      </c>
      <c r="C745" s="32">
        <v>37399</v>
      </c>
      <c r="D745" s="34">
        <v>0.74039999999999995</v>
      </c>
      <c r="E745" s="33">
        <v>37977</v>
      </c>
      <c r="F745" s="33">
        <v>37396</v>
      </c>
      <c r="G745" s="34">
        <f>IF(Tabela4[[#This Row],[Tipo]]="Dividendo",Tabela4[[#This Row],[Valor]],IF(Tabela4[[#This Row],[Tipo]]="Jrs. Cap. Próprio",Tabela4[[#This Row],[Valor]]*85%,0))</f>
        <v>0.6293399999999999</v>
      </c>
      <c r="I745" s="35" t="s">
        <v>56</v>
      </c>
      <c r="J745" s="35">
        <v>2012</v>
      </c>
      <c r="K745" s="38">
        <f>SUMPRODUCT(N(Tabela4[Ativo]=Tabela5[[#This Row],[Ativo]]),N(YEAR(Tabela4[Data ex-1])=Tabela5[[#This Row],[Ano]]),Tabela4[Líquido])</f>
        <v>0</v>
      </c>
      <c r="L745" s="43"/>
      <c r="M745" s="43"/>
      <c r="N745" s="75">
        <f>IF(Tabela5[[#This Row],[Dividendos]]&gt;0,Tabela5[[#This Row],[Dividendos]]/Tabela5[[#This Row],[Lucro Líquido]],0)</f>
        <v>0</v>
      </c>
      <c r="O745" s="23"/>
      <c r="P745" s="10"/>
    </row>
    <row r="746" spans="1:16" x14ac:dyDescent="0.2">
      <c r="A746" s="35" t="s">
        <v>93</v>
      </c>
      <c r="B746" s="31" t="s">
        <v>15</v>
      </c>
      <c r="C746" s="32">
        <v>37376</v>
      </c>
      <c r="D746" s="34">
        <v>0.70250000000000001</v>
      </c>
      <c r="E746" s="33">
        <v>37529</v>
      </c>
      <c r="F746" s="33">
        <v>37376</v>
      </c>
      <c r="G746" s="34">
        <f>IF(Tabela4[[#This Row],[Tipo]]="Dividendo",Tabela4[[#This Row],[Valor]],IF(Tabela4[[#This Row],[Tipo]]="Jrs. Cap. Próprio",Tabela4[[#This Row],[Valor]]*85%,0))</f>
        <v>0.70250000000000001</v>
      </c>
      <c r="I746" s="35" t="s">
        <v>56</v>
      </c>
      <c r="J746" s="35">
        <v>2011</v>
      </c>
      <c r="K746" s="34">
        <f>SUMPRODUCT(N(Tabela4[Ativo]=Tabela5[[#This Row],[Ativo]]),N(YEAR(Tabela4[Data ex-1])=Tabela5[[#This Row],[Ano]]),Tabela4[Líquido])</f>
        <v>0.24618000000000001</v>
      </c>
      <c r="L746" s="87"/>
      <c r="M746" s="87"/>
      <c r="N746" s="88">
        <f>IF(Tabela5[[#This Row],[Dividendos]]&gt;0,Tabela5[[#This Row],[Dividendos]]/Tabela5[[#This Row],[Lucro Líquido]],0)</f>
        <v>0</v>
      </c>
      <c r="O746" s="23"/>
      <c r="P746" s="10"/>
    </row>
    <row r="747" spans="1:16" x14ac:dyDescent="0.2">
      <c r="A747" s="35" t="s">
        <v>93</v>
      </c>
      <c r="B747" s="31" t="s">
        <v>14</v>
      </c>
      <c r="C747" s="32">
        <v>37252</v>
      </c>
      <c r="D747" s="34">
        <v>0.64810000000000001</v>
      </c>
      <c r="E747" s="33">
        <v>37529</v>
      </c>
      <c r="F747" s="33">
        <v>37251</v>
      </c>
      <c r="G747" s="34">
        <f>IF(Tabela4[[#This Row],[Tipo]]="Dividendo",Tabela4[[#This Row],[Valor]],IF(Tabela4[[#This Row],[Tipo]]="Jrs. Cap. Próprio",Tabela4[[#This Row],[Valor]]*85%,0))</f>
        <v>0.55088499999999996</v>
      </c>
      <c r="I747" s="35" t="s">
        <v>56</v>
      </c>
      <c r="J747" s="35">
        <v>2010</v>
      </c>
      <c r="K747" s="34">
        <f>SUMPRODUCT(N(Tabela4[Ativo]=Tabela5[[#This Row],[Ativo]]),N(YEAR(Tabela4[Data ex-1])=Tabela5[[#This Row],[Ano]]),Tabela4[Líquido])</f>
        <v>0.48606500000000002</v>
      </c>
      <c r="L747" s="87"/>
      <c r="M747" s="87"/>
      <c r="N747" s="88">
        <f>IF(Tabela5[[#This Row],[Dividendos]]&gt;0,Tabela5[[#This Row],[Dividendos]]/Tabela5[[#This Row],[Lucro Líquido]],0)</f>
        <v>0</v>
      </c>
      <c r="O747" s="23"/>
      <c r="P747" s="10"/>
    </row>
    <row r="748" spans="1:16" x14ac:dyDescent="0.2">
      <c r="A748" s="35" t="s">
        <v>93</v>
      </c>
      <c r="B748" s="31" t="s">
        <v>14</v>
      </c>
      <c r="C748" s="32">
        <v>36706</v>
      </c>
      <c r="D748" s="34">
        <v>0.61029999999999995</v>
      </c>
      <c r="E748" s="33">
        <v>37162</v>
      </c>
      <c r="F748" s="33">
        <v>36706</v>
      </c>
      <c r="G748" s="34">
        <f>IF(Tabela4[[#This Row],[Tipo]]="Dividendo",Tabela4[[#This Row],[Valor]],IF(Tabela4[[#This Row],[Tipo]]="Jrs. Cap. Próprio",Tabela4[[#This Row],[Valor]]*85%,0))</f>
        <v>0.51875499999999997</v>
      </c>
      <c r="I748" s="35" t="s">
        <v>56</v>
      </c>
      <c r="J748" s="35">
        <v>2009</v>
      </c>
      <c r="K748" s="34">
        <f>SUMPRODUCT(N(Tabela4[Ativo]=Tabela5[[#This Row],[Ativo]]),N(YEAR(Tabela4[Data ex-1])=Tabela5[[#This Row],[Ano]]),Tabela4[Líquido])</f>
        <v>0.65076000000000001</v>
      </c>
      <c r="L748" s="87"/>
      <c r="M748" s="87"/>
      <c r="N748" s="88">
        <f>IF(Tabela5[[#This Row],[Dividendos]]&gt;0,Tabela5[[#This Row],[Dividendos]]/Tabela5[[#This Row],[Lucro Líquido]],0)</f>
        <v>0</v>
      </c>
      <c r="O748" s="23"/>
      <c r="P748" s="10"/>
    </row>
    <row r="749" spans="1:16" x14ac:dyDescent="0.2">
      <c r="A749" s="35" t="s">
        <v>93</v>
      </c>
      <c r="B749" s="31" t="s">
        <v>14</v>
      </c>
      <c r="C749" s="32">
        <v>36630</v>
      </c>
      <c r="D749" s="34">
        <v>0.56630000000000003</v>
      </c>
      <c r="E749" s="33">
        <v>37162</v>
      </c>
      <c r="F749" s="33">
        <v>36630</v>
      </c>
      <c r="G749" s="34">
        <f>IF(Tabela4[[#This Row],[Tipo]]="Dividendo",Tabela4[[#This Row],[Valor]],IF(Tabela4[[#This Row],[Tipo]]="Jrs. Cap. Próprio",Tabela4[[#This Row],[Valor]]*85%,0))</f>
        <v>0.48135500000000003</v>
      </c>
      <c r="I749" s="35" t="s">
        <v>56</v>
      </c>
      <c r="J749" s="35">
        <v>2008</v>
      </c>
      <c r="K749" s="34">
        <f>SUMPRODUCT(N(Tabela4[Ativo]=Tabela5[[#This Row],[Ativo]]),N(YEAR(Tabela4[Data ex-1])=Tabela5[[#This Row],[Ano]]),Tabela4[Líquido])</f>
        <v>0.30120000000000002</v>
      </c>
      <c r="L749" s="87"/>
      <c r="M749" s="87"/>
      <c r="N749" s="88">
        <f>IF(Tabela5[[#This Row],[Dividendos]]&gt;0,Tabela5[[#This Row],[Dividendos]]/Tabela5[[#This Row],[Lucro Líquido]],0)</f>
        <v>0</v>
      </c>
      <c r="O749" s="23"/>
      <c r="P749" s="10"/>
    </row>
    <row r="750" spans="1:16" x14ac:dyDescent="0.2">
      <c r="A750" s="35" t="s">
        <v>93</v>
      </c>
      <c r="B750" s="31" t="s">
        <v>14</v>
      </c>
      <c r="C750" s="32">
        <v>36514</v>
      </c>
      <c r="D750" s="34">
        <v>1.1765000000000001</v>
      </c>
      <c r="E750" s="33">
        <v>36846</v>
      </c>
      <c r="F750" s="33">
        <v>36514</v>
      </c>
      <c r="G750" s="34">
        <f>IF(Tabela4[[#This Row],[Tipo]]="Dividendo",Tabela4[[#This Row],[Valor]],IF(Tabela4[[#This Row],[Tipo]]="Jrs. Cap. Próprio",Tabela4[[#This Row],[Valor]]*85%,0))</f>
        <v>1.0000250000000002</v>
      </c>
      <c r="I750" s="35" t="s">
        <v>56</v>
      </c>
      <c r="J750" s="35">
        <v>2007</v>
      </c>
      <c r="K750" s="34">
        <f>SUMPRODUCT(N(Tabela4[Ativo]=Tabela5[[#This Row],[Ativo]]),N(YEAR(Tabela4[Data ex-1])=Tabela5[[#This Row],[Ano]]),Tabela4[Líquido])</f>
        <v>0.48187000000000002</v>
      </c>
      <c r="L750" s="87"/>
      <c r="M750" s="87"/>
      <c r="N750" s="88">
        <f>IF(Tabela5[[#This Row],[Dividendos]]&gt;0,Tabela5[[#This Row],[Dividendos]]/Tabela5[[#This Row],[Lucro Líquido]],0)</f>
        <v>0</v>
      </c>
      <c r="O750" s="23"/>
      <c r="P750" s="10"/>
    </row>
    <row r="751" spans="1:16" x14ac:dyDescent="0.2">
      <c r="A751" s="35" t="s">
        <v>93</v>
      </c>
      <c r="B751" s="31" t="s">
        <v>15</v>
      </c>
      <c r="C751" s="32">
        <v>36277</v>
      </c>
      <c r="D751" s="34">
        <v>1.0569999999999999</v>
      </c>
      <c r="E751" s="33">
        <v>36311</v>
      </c>
      <c r="F751" s="33">
        <v>36277</v>
      </c>
      <c r="G751" s="34">
        <f>IF(Tabela4[[#This Row],[Tipo]]="Dividendo",Tabela4[[#This Row],[Valor]],IF(Tabela4[[#This Row],[Tipo]]="Jrs. Cap. Próprio",Tabela4[[#This Row],[Valor]]*85%,0))</f>
        <v>1.0569999999999999</v>
      </c>
      <c r="I751" s="35" t="s">
        <v>56</v>
      </c>
      <c r="J751" s="35">
        <v>2006</v>
      </c>
      <c r="K751" s="34">
        <f>SUMPRODUCT(N(Tabela4[Ativo]=Tabela5[[#This Row],[Ativo]]),N(YEAR(Tabela4[Data ex-1])=Tabela5[[#This Row],[Ano]]),Tabela4[Líquido])</f>
        <v>0.32723999999999998</v>
      </c>
      <c r="L751" s="87"/>
      <c r="M751" s="87"/>
      <c r="N751" s="88">
        <f>IF(Tabela5[[#This Row],[Dividendos]]&gt;0,Tabela5[[#This Row],[Dividendos]]/Tabela5[[#This Row],[Lucro Líquido]],0)</f>
        <v>0</v>
      </c>
      <c r="O751" s="23"/>
      <c r="P751" s="10"/>
    </row>
    <row r="752" spans="1:16" x14ac:dyDescent="0.2">
      <c r="A752" s="35" t="s">
        <v>93</v>
      </c>
      <c r="B752" s="31" t="s">
        <v>14</v>
      </c>
      <c r="C752" s="32">
        <v>36150</v>
      </c>
      <c r="D752" s="34">
        <v>0.62919999999999998</v>
      </c>
      <c r="E752" s="33"/>
      <c r="F752" s="33">
        <v>36150</v>
      </c>
      <c r="G752" s="34">
        <f>IF(Tabela4[[#This Row],[Tipo]]="Dividendo",Tabela4[[#This Row],[Valor]],IF(Tabela4[[#This Row],[Tipo]]="Jrs. Cap. Próprio",Tabela4[[#This Row],[Valor]]*85%,0))</f>
        <v>0.53481999999999996</v>
      </c>
      <c r="I752" s="35" t="s">
        <v>56</v>
      </c>
      <c r="J752" s="35">
        <v>2005</v>
      </c>
      <c r="K752" s="34">
        <f>SUMPRODUCT(N(Tabela4[Ativo]=Tabela5[[#This Row],[Ativo]]),N(YEAR(Tabela4[Data ex-1])=Tabela5[[#This Row],[Ano]]),Tabela4[Líquido])</f>
        <v>0.66079999999999994</v>
      </c>
      <c r="L752" s="87"/>
      <c r="M752" s="87"/>
      <c r="N752" s="88">
        <f>IF(Tabela5[[#This Row],[Dividendos]]&gt;0,Tabela5[[#This Row],[Dividendos]]/Tabela5[[#This Row],[Lucro Líquido]],0)</f>
        <v>0</v>
      </c>
      <c r="O752" s="23"/>
      <c r="P752" s="10"/>
    </row>
    <row r="753" spans="1:16" x14ac:dyDescent="0.2">
      <c r="A753" s="35" t="s">
        <v>93</v>
      </c>
      <c r="B753" s="31" t="s">
        <v>14</v>
      </c>
      <c r="C753" s="32">
        <v>36095</v>
      </c>
      <c r="D753" s="34">
        <v>0.62919999999999998</v>
      </c>
      <c r="E753" s="33"/>
      <c r="F753" s="33">
        <v>36095</v>
      </c>
      <c r="G753" s="34">
        <f>IF(Tabela4[[#This Row],[Tipo]]="Dividendo",Tabela4[[#This Row],[Valor]],IF(Tabela4[[#This Row],[Tipo]]="Jrs. Cap. Próprio",Tabela4[[#This Row],[Valor]]*85%,0))</f>
        <v>0.53481999999999996</v>
      </c>
      <c r="I753" s="35" t="s">
        <v>56</v>
      </c>
      <c r="J753" s="35">
        <v>2004</v>
      </c>
      <c r="K753" s="34">
        <f>SUMPRODUCT(N(Tabela4[Ativo]=Tabela5[[#This Row],[Ativo]]),N(YEAR(Tabela4[Data ex-1])=Tabela5[[#This Row],[Ano]]),Tabela4[Líquido])</f>
        <v>13.340815000000001</v>
      </c>
      <c r="L753" s="87"/>
      <c r="M753" s="87"/>
      <c r="N753" s="88">
        <f>IF(Tabela5[[#This Row],[Dividendos]]&gt;0,Tabela5[[#This Row],[Dividendos]]/Tabela5[[#This Row],[Lucro Líquido]],0)</f>
        <v>0</v>
      </c>
      <c r="O753" s="23"/>
      <c r="P753" s="10"/>
    </row>
    <row r="754" spans="1:16" x14ac:dyDescent="0.2">
      <c r="A754" s="35" t="s">
        <v>93</v>
      </c>
      <c r="B754" s="31" t="s">
        <v>14</v>
      </c>
      <c r="C754" s="32">
        <v>36038</v>
      </c>
      <c r="D754" s="34">
        <v>1.1955</v>
      </c>
      <c r="E754" s="33"/>
      <c r="F754" s="33">
        <v>36035</v>
      </c>
      <c r="G754" s="34">
        <f>IF(Tabela4[[#This Row],[Tipo]]="Dividendo",Tabela4[[#This Row],[Valor]],IF(Tabela4[[#This Row],[Tipo]]="Jrs. Cap. Próprio",Tabela4[[#This Row],[Valor]]*85%,0))</f>
        <v>1.0161750000000001</v>
      </c>
      <c r="I754" s="35" t="s">
        <v>56</v>
      </c>
      <c r="J754" s="35">
        <v>2003</v>
      </c>
      <c r="K754" s="34">
        <f>SUMPRODUCT(N(Tabela4[Ativo]=Tabela5[[#This Row],[Ativo]]),N(YEAR(Tabela4[Data ex-1])=Tabela5[[#This Row],[Ano]]),Tabela4[Líquido])</f>
        <v>25.799900000000001</v>
      </c>
      <c r="L754" s="87"/>
      <c r="M754" s="87"/>
      <c r="N754" s="88">
        <f>IF(Tabela5[[#This Row],[Dividendos]]&gt;0,Tabela5[[#This Row],[Dividendos]]/Tabela5[[#This Row],[Lucro Líquido]],0)</f>
        <v>0</v>
      </c>
      <c r="O754" s="23"/>
      <c r="P754" s="10"/>
    </row>
    <row r="755" spans="1:16" x14ac:dyDescent="0.2">
      <c r="A755" s="35" t="s">
        <v>93</v>
      </c>
      <c r="B755" s="31" t="s">
        <v>14</v>
      </c>
      <c r="C755" s="32">
        <v>35915</v>
      </c>
      <c r="D755" s="34">
        <v>0.5605</v>
      </c>
      <c r="E755" s="33"/>
      <c r="F755" s="33">
        <v>35915</v>
      </c>
      <c r="G755" s="34">
        <f>IF(Tabela4[[#This Row],[Tipo]]="Dividendo",Tabela4[[#This Row],[Valor]],IF(Tabela4[[#This Row],[Tipo]]="Jrs. Cap. Próprio",Tabela4[[#This Row],[Valor]]*85%,0))</f>
        <v>0.47642499999999999</v>
      </c>
      <c r="I755" s="35" t="s">
        <v>56</v>
      </c>
      <c r="J755" s="35">
        <v>2002</v>
      </c>
      <c r="K755" s="34">
        <f>SUMPRODUCT(N(Tabela4[Ativo]=Tabela5[[#This Row],[Ativo]]),N(YEAR(Tabela4[Data ex-1])=Tabela5[[#This Row],[Ano]]),Tabela4[Líquido])</f>
        <v>3.5361799999999999</v>
      </c>
      <c r="L755" s="87"/>
      <c r="M755" s="87"/>
      <c r="N755" s="88">
        <f>IF(Tabela5[[#This Row],[Dividendos]]&gt;0,Tabela5[[#This Row],[Dividendos]]/Tabela5[[#This Row],[Lucro Líquido]],0)</f>
        <v>0</v>
      </c>
      <c r="O755" s="23"/>
      <c r="P755" s="10"/>
    </row>
    <row r="756" spans="1:16" x14ac:dyDescent="0.2">
      <c r="A756" s="35" t="s">
        <v>93</v>
      </c>
      <c r="B756" s="31" t="s">
        <v>15</v>
      </c>
      <c r="C756" s="32">
        <v>35915</v>
      </c>
      <c r="D756" s="34">
        <v>0.92400000000000004</v>
      </c>
      <c r="E756" s="33"/>
      <c r="F756" s="33">
        <v>35915</v>
      </c>
      <c r="G756" s="34">
        <f>IF(Tabela4[[#This Row],[Tipo]]="Dividendo",Tabela4[[#This Row],[Valor]],IF(Tabela4[[#This Row],[Tipo]]="Jrs. Cap. Próprio",Tabela4[[#This Row],[Valor]]*85%,0))</f>
        <v>0.92400000000000004</v>
      </c>
      <c r="I756" s="35" t="s">
        <v>56</v>
      </c>
      <c r="J756" s="35">
        <v>2001</v>
      </c>
      <c r="K756" s="34">
        <f>SUMPRODUCT(N(Tabela4[Ativo]=Tabela5[[#This Row],[Ativo]]),N(YEAR(Tabela4[Data ex-1])=Tabela5[[#This Row],[Ano]]),Tabela4[Líquido])</f>
        <v>7.01</v>
      </c>
      <c r="L756" s="87"/>
      <c r="M756" s="87"/>
      <c r="N756" s="88">
        <f>IF(Tabela5[[#This Row],[Dividendos]]&gt;0,Tabela5[[#This Row],[Dividendos]]/Tabela5[[#This Row],[Lucro Líquido]],0)</f>
        <v>0</v>
      </c>
      <c r="O756" s="23"/>
      <c r="P756" s="10"/>
    </row>
    <row r="757" spans="1:16" x14ac:dyDescent="0.2">
      <c r="A757" s="35" t="s">
        <v>93</v>
      </c>
      <c r="B757" s="31" t="s">
        <v>14</v>
      </c>
      <c r="C757" s="32">
        <v>35787</v>
      </c>
      <c r="D757" s="34">
        <v>0.61570000000000003</v>
      </c>
      <c r="E757" s="33"/>
      <c r="F757" s="33">
        <v>35787</v>
      </c>
      <c r="G757" s="34">
        <f>IF(Tabela4[[#This Row],[Tipo]]="Dividendo",Tabela4[[#This Row],[Valor]],IF(Tabela4[[#This Row],[Tipo]]="Jrs. Cap. Próprio",Tabela4[[#This Row],[Valor]]*85%,0))</f>
        <v>0.52334500000000006</v>
      </c>
      <c r="I757" s="35" t="s">
        <v>56</v>
      </c>
      <c r="J757" s="35">
        <v>2000</v>
      </c>
      <c r="K757" s="34">
        <f>SUMPRODUCT(N(Tabela4[Ativo]=Tabela5[[#This Row],[Ativo]]),N(YEAR(Tabela4[Data ex-1])=Tabela5[[#This Row],[Ano]]),Tabela4[Líquido])</f>
        <v>6.5</v>
      </c>
      <c r="L757" s="87"/>
      <c r="M757" s="87"/>
      <c r="N757" s="88">
        <f>IF(Tabela5[[#This Row],[Dividendos]]&gt;0,Tabela5[[#This Row],[Dividendos]]/Tabela5[[#This Row],[Lucro Líquido]],0)</f>
        <v>0</v>
      </c>
      <c r="O757" s="23"/>
      <c r="P757" s="10"/>
    </row>
    <row r="758" spans="1:16" x14ac:dyDescent="0.2">
      <c r="A758" s="35" t="s">
        <v>93</v>
      </c>
      <c r="B758" s="31" t="s">
        <v>15</v>
      </c>
      <c r="C758" s="32">
        <v>35550</v>
      </c>
      <c r="D758" s="34">
        <v>1</v>
      </c>
      <c r="E758" s="33"/>
      <c r="F758" s="33">
        <v>35550</v>
      </c>
      <c r="G758" s="34">
        <f>IF(Tabela4[[#This Row],[Tipo]]="Dividendo",Tabela4[[#This Row],[Valor]],IF(Tabela4[[#This Row],[Tipo]]="Jrs. Cap. Próprio",Tabela4[[#This Row],[Valor]]*85%,0))</f>
        <v>1</v>
      </c>
      <c r="I758" s="4" t="s">
        <v>177</v>
      </c>
      <c r="J758" s="4">
        <v>2013</v>
      </c>
      <c r="K758" s="14">
        <f>SUMPRODUCT(N(Tabela4[Ativo]=Tabela5[[#This Row],[Ativo]]),N(YEAR(Tabela4[Data ex-1])=Tabela5[[#This Row],[Ano]]),Tabela4[Líquido])</f>
        <v>0</v>
      </c>
      <c r="L758" s="6"/>
      <c r="M758" s="6"/>
      <c r="N758" s="24">
        <f>IF(Tabela5[[#This Row],[Dividendos]]&gt;0,Tabela5[[#This Row],[Dividendos]]/Tabela5[[#This Row],[Lucro Líquido]],0)</f>
        <v>0</v>
      </c>
      <c r="O758" s="23">
        <v>0.5</v>
      </c>
      <c r="P758" s="10"/>
    </row>
    <row r="759" spans="1:16" x14ac:dyDescent="0.2">
      <c r="A759" s="35" t="s">
        <v>93</v>
      </c>
      <c r="B759" s="31" t="s">
        <v>15</v>
      </c>
      <c r="C759" s="32">
        <v>35184</v>
      </c>
      <c r="D759" s="34">
        <v>1</v>
      </c>
      <c r="E759" s="33"/>
      <c r="F759" s="33">
        <v>35184</v>
      </c>
      <c r="G759" s="34">
        <f>IF(Tabela4[[#This Row],[Tipo]]="Dividendo",Tabela4[[#This Row],[Valor]],IF(Tabela4[[#This Row],[Tipo]]="Jrs. Cap. Próprio",Tabela4[[#This Row],[Valor]]*85%,0))</f>
        <v>1</v>
      </c>
      <c r="I759" s="4" t="s">
        <v>177</v>
      </c>
      <c r="J759" s="4">
        <v>2012</v>
      </c>
      <c r="K759" s="14">
        <f>SUMPRODUCT(N(Tabela4[Ativo]=Tabela5[[#This Row],[Ativo]]),N(YEAR(Tabela4[Data ex-1])=Tabela5[[#This Row],[Ano]]),Tabela4[Líquido])</f>
        <v>0</v>
      </c>
      <c r="L759" s="6"/>
      <c r="M759" s="6"/>
      <c r="N759" s="24">
        <f>IF(Tabela5[[#This Row],[Dividendos]]&gt;0,Tabela5[[#This Row],[Dividendos]]/Tabela5[[#This Row],[Lucro Líquido]],0)</f>
        <v>0</v>
      </c>
      <c r="O759" s="23"/>
      <c r="P759" s="10"/>
    </row>
    <row r="760" spans="1:16" x14ac:dyDescent="0.2">
      <c r="A760" s="35" t="s">
        <v>92</v>
      </c>
      <c r="B760" s="35" t="s">
        <v>14</v>
      </c>
      <c r="C760" s="36">
        <v>41613</v>
      </c>
      <c r="D760" s="38">
        <v>0.55410000000000004</v>
      </c>
      <c r="E760" s="37">
        <v>41627</v>
      </c>
      <c r="F760" s="37">
        <v>41613</v>
      </c>
      <c r="G760" s="38">
        <f>IF(Tabela4[[#This Row],[Tipo]]="Dividendo",Tabela4[[#This Row],[Valor]],IF(Tabela4[[#This Row],[Tipo]]="Jrs. Cap. Próprio",Tabela4[[#This Row],[Valor]]*85%,0))</f>
        <v>0.47098500000000004</v>
      </c>
      <c r="I760" s="4" t="s">
        <v>177</v>
      </c>
      <c r="J760" s="4">
        <v>2011</v>
      </c>
      <c r="K760" s="14">
        <f>SUMPRODUCT(N(Tabela4[Ativo]=Tabela5[[#This Row],[Ativo]]),N(YEAR(Tabela4[Data ex-1])=Tabela5[[#This Row],[Ano]]),Tabela4[Líquido])</f>
        <v>0</v>
      </c>
      <c r="L760" s="6"/>
      <c r="M760" s="6"/>
      <c r="N760" s="24">
        <f>IF(Tabela5[[#This Row],[Dividendos]]&gt;0,Tabela5[[#This Row],[Dividendos]]/Tabela5[[#This Row],[Lucro Líquido]],0)</f>
        <v>0</v>
      </c>
      <c r="O760" s="23"/>
      <c r="P760" s="10"/>
    </row>
    <row r="761" spans="1:16" x14ac:dyDescent="0.2">
      <c r="A761" s="35" t="s">
        <v>92</v>
      </c>
      <c r="B761" s="31" t="s">
        <v>15</v>
      </c>
      <c r="C761" s="32">
        <v>41394</v>
      </c>
      <c r="D761" s="34">
        <v>1.4286000000000001</v>
      </c>
      <c r="E761" s="33"/>
      <c r="F761" s="33">
        <v>41394</v>
      </c>
      <c r="G761" s="34">
        <f>IF(Tabela4[[#This Row],[Tipo]]="Dividendo",Tabela4[[#This Row],[Valor]],IF(Tabela4[[#This Row],[Tipo]]="Jrs. Cap. Próprio",Tabela4[[#This Row],[Valor]]*85%,0))</f>
        <v>1.4286000000000001</v>
      </c>
      <c r="I761" s="4" t="s">
        <v>177</v>
      </c>
      <c r="J761" s="4">
        <v>2010</v>
      </c>
      <c r="K761" s="14">
        <f>SUMPRODUCT(N(Tabela4[Ativo]=Tabela5[[#This Row],[Ativo]]),N(YEAR(Tabela4[Data ex-1])=Tabela5[[#This Row],[Ano]]),Tabela4[Líquido])</f>
        <v>0</v>
      </c>
      <c r="L761" s="6"/>
      <c r="M761" s="6"/>
      <c r="N761" s="24">
        <f>IF(Tabela5[[#This Row],[Dividendos]]&gt;0,Tabela5[[#This Row],[Dividendos]]/Tabela5[[#This Row],[Lucro Líquido]],0)</f>
        <v>0</v>
      </c>
      <c r="O761" s="23"/>
      <c r="P761" s="10"/>
    </row>
    <row r="762" spans="1:16" x14ac:dyDescent="0.2">
      <c r="A762" s="35" t="s">
        <v>92</v>
      </c>
      <c r="B762" s="31" t="s">
        <v>14</v>
      </c>
      <c r="C762" s="32">
        <v>41264</v>
      </c>
      <c r="D762" s="34">
        <v>1.9938</v>
      </c>
      <c r="E762" s="33">
        <v>41338</v>
      </c>
      <c r="F762" s="33">
        <v>41263</v>
      </c>
      <c r="G762" s="34">
        <f>IF(Tabela4[[#This Row],[Tipo]]="Dividendo",Tabela4[[#This Row],[Valor]],IF(Tabela4[[#This Row],[Tipo]]="Jrs. Cap. Próprio",Tabela4[[#This Row],[Valor]]*85%,0))</f>
        <v>1.6947300000000001</v>
      </c>
      <c r="I762" s="4" t="s">
        <v>177</v>
      </c>
      <c r="J762" s="4">
        <v>2009</v>
      </c>
      <c r="K762" s="14">
        <f>SUMPRODUCT(N(Tabela4[Ativo]=Tabela5[[#This Row],[Ativo]]),N(YEAR(Tabela4[Data ex-1])=Tabela5[[#This Row],[Ano]]),Tabela4[Líquido])</f>
        <v>0</v>
      </c>
      <c r="L762" s="6"/>
      <c r="M762" s="6"/>
      <c r="N762" s="24">
        <f>IF(Tabela5[[#This Row],[Dividendos]]&gt;0,Tabela5[[#This Row],[Dividendos]]/Tabela5[[#This Row],[Lucro Líquido]],0)</f>
        <v>0</v>
      </c>
      <c r="O762" s="23"/>
      <c r="P762" s="10"/>
    </row>
    <row r="763" spans="1:16" x14ac:dyDescent="0.2">
      <c r="A763" s="35" t="s">
        <v>92</v>
      </c>
      <c r="B763" s="31" t="s">
        <v>15</v>
      </c>
      <c r="C763" s="32">
        <v>41264</v>
      </c>
      <c r="D763" s="34">
        <v>1.8765000000000001</v>
      </c>
      <c r="E763" s="33">
        <v>41338</v>
      </c>
      <c r="F763" s="33">
        <v>41263</v>
      </c>
      <c r="G763" s="34">
        <f>IF(Tabela4[[#This Row],[Tipo]]="Dividendo",Tabela4[[#This Row],[Valor]],IF(Tabela4[[#This Row],[Tipo]]="Jrs. Cap. Próprio",Tabela4[[#This Row],[Valor]]*85%,0))</f>
        <v>1.8765000000000001</v>
      </c>
      <c r="I763" s="4" t="s">
        <v>177</v>
      </c>
      <c r="J763" s="4">
        <v>2008</v>
      </c>
      <c r="K763" s="14">
        <f>SUMPRODUCT(N(Tabela4[Ativo]=Tabela5[[#This Row],[Ativo]]),N(YEAR(Tabela4[Data ex-1])=Tabela5[[#This Row],[Ano]]),Tabela4[Líquido])</f>
        <v>0</v>
      </c>
      <c r="L763" s="6"/>
      <c r="M763" s="6"/>
      <c r="N763" s="24">
        <f>IF(Tabela5[[#This Row],[Dividendos]]&gt;0,Tabela5[[#This Row],[Dividendos]]/Tabela5[[#This Row],[Lucro Líquido]],0)</f>
        <v>0</v>
      </c>
      <c r="O763" s="23"/>
      <c r="P763" s="10"/>
    </row>
    <row r="764" spans="1:16" x14ac:dyDescent="0.2">
      <c r="A764" s="35" t="s">
        <v>92</v>
      </c>
      <c r="B764" s="31" t="s">
        <v>15</v>
      </c>
      <c r="C764" s="32">
        <v>41026</v>
      </c>
      <c r="D764" s="34">
        <v>1.8971</v>
      </c>
      <c r="E764" s="33"/>
      <c r="F764" s="33">
        <v>41026</v>
      </c>
      <c r="G764" s="34">
        <f>IF(Tabela4[[#This Row],[Tipo]]="Dividendo",Tabela4[[#This Row],[Valor]],IF(Tabela4[[#This Row],[Tipo]]="Jrs. Cap. Próprio",Tabela4[[#This Row],[Valor]]*85%,0))</f>
        <v>1.8971</v>
      </c>
      <c r="I764" s="4" t="s">
        <v>177</v>
      </c>
      <c r="J764" s="4">
        <v>2007</v>
      </c>
      <c r="K764" s="14">
        <f>SUMPRODUCT(N(Tabela4[Ativo]=Tabela5[[#This Row],[Ativo]]),N(YEAR(Tabela4[Data ex-1])=Tabela5[[#This Row],[Ano]]),Tabela4[Líquido])</f>
        <v>0</v>
      </c>
      <c r="L764" s="6"/>
      <c r="M764" s="6"/>
      <c r="N764" s="24">
        <f>IF(Tabela5[[#This Row],[Dividendos]]&gt;0,Tabela5[[#This Row],[Dividendos]]/Tabela5[[#This Row],[Lucro Líquido]],0)</f>
        <v>0</v>
      </c>
      <c r="O764" s="23"/>
      <c r="P764" s="10"/>
    </row>
    <row r="765" spans="1:16" x14ac:dyDescent="0.2">
      <c r="A765" s="35" t="s">
        <v>92</v>
      </c>
      <c r="B765" s="31" t="s">
        <v>15</v>
      </c>
      <c r="C765" s="32">
        <v>40886</v>
      </c>
      <c r="D765" s="34">
        <v>1.2461</v>
      </c>
      <c r="E765" s="33"/>
      <c r="F765" s="33">
        <v>40886</v>
      </c>
      <c r="G765" s="34">
        <f>IF(Tabela4[[#This Row],[Tipo]]="Dividendo",Tabela4[[#This Row],[Valor]],IF(Tabela4[[#This Row],[Tipo]]="Jrs. Cap. Próprio",Tabela4[[#This Row],[Valor]]*85%,0))</f>
        <v>1.2461</v>
      </c>
      <c r="I765" s="3" t="s">
        <v>260</v>
      </c>
      <c r="J765" s="3">
        <v>2013</v>
      </c>
      <c r="K765" s="10">
        <f>SUMPRODUCT(N(Tabela4[Ativo]=Tabela5[[#This Row],[Ativo]]),N(YEAR(Tabela4[Data ex-1])=Tabela5[[#This Row],[Ano]]),Tabela4[Líquido])</f>
        <v>4.6199999999999998E-2</v>
      </c>
      <c r="N765" s="23">
        <f>IF(Tabela5[[#This Row],[Dividendos]]&gt;0,Tabela5[[#This Row],[Dividendos]]/Tabela5[[#This Row],[Lucro Líquido]],0)</f>
        <v>0</v>
      </c>
      <c r="O765" s="28">
        <v>1.4866999999999999</v>
      </c>
      <c r="P765" s="10"/>
    </row>
    <row r="766" spans="1:16" x14ac:dyDescent="0.2">
      <c r="A766" s="35" t="s">
        <v>92</v>
      </c>
      <c r="B766" s="31" t="s">
        <v>15</v>
      </c>
      <c r="C766" s="32">
        <v>40662</v>
      </c>
      <c r="D766" s="34">
        <v>1.75</v>
      </c>
      <c r="E766" s="33"/>
      <c r="F766" s="33">
        <v>40662</v>
      </c>
      <c r="G766" s="34">
        <f>IF(Tabela4[[#This Row],[Tipo]]="Dividendo",Tabela4[[#This Row],[Valor]],IF(Tabela4[[#This Row],[Tipo]]="Jrs. Cap. Próprio",Tabela4[[#This Row],[Valor]]*85%,0))</f>
        <v>1.75</v>
      </c>
      <c r="I766" s="3" t="s">
        <v>260</v>
      </c>
      <c r="J766" s="3">
        <v>2012</v>
      </c>
      <c r="K766" s="10">
        <f>SUMPRODUCT(N(Tabela4[Ativo]=Tabela5[[#This Row],[Ativo]]),N(YEAR(Tabela4[Data ex-1])=Tabela5[[#This Row],[Ano]]),Tabela4[Líquido])</f>
        <v>6.6040000000000001E-2</v>
      </c>
      <c r="N766" s="23">
        <f>IF(Tabela5[[#This Row],[Dividendos]]&gt;0,Tabela5[[#This Row],[Dividendos]]/Tabela5[[#This Row],[Lucro Líquido]],0)</f>
        <v>0</v>
      </c>
      <c r="O766" s="28">
        <v>0.31</v>
      </c>
      <c r="P766" s="10"/>
    </row>
    <row r="767" spans="1:16" x14ac:dyDescent="0.2">
      <c r="A767" s="35" t="s">
        <v>92</v>
      </c>
      <c r="B767" s="31" t="s">
        <v>15</v>
      </c>
      <c r="C767" s="32">
        <v>40528</v>
      </c>
      <c r="D767" s="34">
        <v>1.3193999999999999</v>
      </c>
      <c r="E767" s="33">
        <v>40541</v>
      </c>
      <c r="F767" s="33">
        <v>40528</v>
      </c>
      <c r="G767" s="34">
        <f>IF(Tabela4[[#This Row],[Tipo]]="Dividendo",Tabela4[[#This Row],[Valor]],IF(Tabela4[[#This Row],[Tipo]]="Jrs. Cap. Próprio",Tabela4[[#This Row],[Valor]]*85%,0))</f>
        <v>1.3193999999999999</v>
      </c>
      <c r="I767" s="3" t="s">
        <v>260</v>
      </c>
      <c r="J767" s="3">
        <v>2011</v>
      </c>
      <c r="K767" s="10">
        <f>SUMPRODUCT(N(Tabela4[Ativo]=Tabela5[[#This Row],[Ativo]]),N(YEAR(Tabela4[Data ex-1])=Tabela5[[#This Row],[Ano]]),Tabela4[Líquido])</f>
        <v>6.6070000000000004E-2</v>
      </c>
      <c r="N767" s="23">
        <f>IF(Tabela5[[#This Row],[Dividendos]]&gt;0,Tabela5[[#This Row],[Dividendos]]/Tabela5[[#This Row],[Lucro Líquido]],0)</f>
        <v>0</v>
      </c>
      <c r="O767" s="28"/>
      <c r="P767" s="10"/>
    </row>
    <row r="768" spans="1:16" x14ac:dyDescent="0.2">
      <c r="A768" s="35" t="s">
        <v>92</v>
      </c>
      <c r="B768" s="31" t="s">
        <v>15</v>
      </c>
      <c r="C768" s="32">
        <v>40297</v>
      </c>
      <c r="D768" s="34">
        <v>1.5008999999999999</v>
      </c>
      <c r="E768" s="33"/>
      <c r="F768" s="33">
        <v>40297</v>
      </c>
      <c r="G768" s="34">
        <f>IF(Tabela4[[#This Row],[Tipo]]="Dividendo",Tabela4[[#This Row],[Valor]],IF(Tabela4[[#This Row],[Tipo]]="Jrs. Cap. Próprio",Tabela4[[#This Row],[Valor]]*85%,0))</f>
        <v>1.5008999999999999</v>
      </c>
      <c r="I768" s="35" t="s">
        <v>63</v>
      </c>
      <c r="J768" s="35">
        <v>2013</v>
      </c>
      <c r="K768" s="38">
        <f>SUMPRODUCT(N(Tabela4[Ativo]=Tabela5[[#This Row],[Ativo]]),N(YEAR(Tabela4[Data ex-1])=Tabela5[[#This Row],[Ano]]),Tabela4[Líquido])</f>
        <v>0.59409500000000004</v>
      </c>
      <c r="L768" s="43"/>
      <c r="M768" s="43"/>
      <c r="N768" s="75">
        <f>IF(Tabela5[[#This Row],[Dividendos]]&gt;0,Tabela5[[#This Row],[Dividendos]]/Tabela5[[#This Row],[Lucro Líquido]],0)</f>
        <v>0</v>
      </c>
      <c r="O768" s="23"/>
      <c r="P768" s="10"/>
    </row>
    <row r="769" spans="1:16" x14ac:dyDescent="0.2">
      <c r="A769" s="35" t="s">
        <v>92</v>
      </c>
      <c r="B769" s="31" t="s">
        <v>15</v>
      </c>
      <c r="C769" s="32">
        <v>39932</v>
      </c>
      <c r="D769" s="34">
        <v>1.9018999999999999</v>
      </c>
      <c r="E769" s="33"/>
      <c r="F769" s="33">
        <v>39932</v>
      </c>
      <c r="G769" s="34">
        <f>IF(Tabela4[[#This Row],[Tipo]]="Dividendo",Tabela4[[#This Row],[Valor]],IF(Tabela4[[#This Row],[Tipo]]="Jrs. Cap. Próprio",Tabela4[[#This Row],[Valor]]*85%,0))</f>
        <v>1.9018999999999999</v>
      </c>
      <c r="I769" s="35" t="s">
        <v>63</v>
      </c>
      <c r="J769" s="35">
        <v>2012</v>
      </c>
      <c r="K769" s="38">
        <f>SUMPRODUCT(N(Tabela4[Ativo]=Tabela5[[#This Row],[Ativo]]),N(YEAR(Tabela4[Data ex-1])=Tabela5[[#This Row],[Ano]]),Tabela4[Líquido])</f>
        <v>0.61589500000000008</v>
      </c>
      <c r="L769" s="43"/>
      <c r="M769" s="43"/>
      <c r="N769" s="75">
        <f>IF(Tabela5[[#This Row],[Dividendos]]&gt;0,Tabela5[[#This Row],[Dividendos]]/Tabela5[[#This Row],[Lucro Líquido]],0)</f>
        <v>0</v>
      </c>
      <c r="O769" s="23"/>
      <c r="P769" s="10"/>
    </row>
    <row r="770" spans="1:16" x14ac:dyDescent="0.2">
      <c r="A770" s="35" t="s">
        <v>92</v>
      </c>
      <c r="B770" s="31" t="s">
        <v>15</v>
      </c>
      <c r="C770" s="32">
        <v>39563</v>
      </c>
      <c r="D770" s="34">
        <v>1.78</v>
      </c>
      <c r="E770" s="33">
        <v>39626</v>
      </c>
      <c r="F770" s="33">
        <v>39563</v>
      </c>
      <c r="G770" s="34">
        <f>IF(Tabela4[[#This Row],[Tipo]]="Dividendo",Tabela4[[#This Row],[Valor]],IF(Tabela4[[#This Row],[Tipo]]="Jrs. Cap. Próprio",Tabela4[[#This Row],[Valor]]*85%,0))</f>
        <v>1.78</v>
      </c>
      <c r="I770" s="35" t="s">
        <v>63</v>
      </c>
      <c r="J770" s="35">
        <v>2011</v>
      </c>
      <c r="K770" s="34">
        <f>SUMPRODUCT(N(Tabela4[Ativo]=Tabela5[[#This Row],[Ativo]]),N(YEAR(Tabela4[Data ex-1])=Tabela5[[#This Row],[Ano]]),Tabela4[Líquido])</f>
        <v>2.097175</v>
      </c>
      <c r="L770" s="87"/>
      <c r="M770" s="87"/>
      <c r="N770" s="88">
        <f>IF(Tabela5[[#This Row],[Dividendos]]&gt;0,Tabela5[[#This Row],[Dividendos]]/Tabela5[[#This Row],[Lucro Líquido]],0)</f>
        <v>0</v>
      </c>
      <c r="O770" s="23"/>
      <c r="P770" s="10"/>
    </row>
    <row r="771" spans="1:16" x14ac:dyDescent="0.2">
      <c r="A771" s="35" t="s">
        <v>92</v>
      </c>
      <c r="B771" s="31" t="s">
        <v>15</v>
      </c>
      <c r="C771" s="32">
        <v>39198</v>
      </c>
      <c r="D771" s="34">
        <v>4.9880000000000004</v>
      </c>
      <c r="E771" s="33"/>
      <c r="F771" s="33">
        <v>39198</v>
      </c>
      <c r="G771" s="34">
        <f>IF(Tabela4[[#This Row],[Tipo]]="Dividendo",Tabela4[[#This Row],[Valor]],IF(Tabela4[[#This Row],[Tipo]]="Jrs. Cap. Próprio",Tabela4[[#This Row],[Valor]]*85%,0))</f>
        <v>4.9880000000000004</v>
      </c>
      <c r="I771" s="35" t="s">
        <v>63</v>
      </c>
      <c r="J771" s="35">
        <v>2010</v>
      </c>
      <c r="K771" s="34">
        <f>SUMPRODUCT(N(Tabela4[Ativo]=Tabela5[[#This Row],[Ativo]]),N(YEAR(Tabela4[Data ex-1])=Tabela5[[#This Row],[Ano]]),Tabela4[Líquido])</f>
        <v>2.3216549999999998</v>
      </c>
      <c r="L771" s="87"/>
      <c r="M771" s="87"/>
      <c r="N771" s="88">
        <f>IF(Tabela5[[#This Row],[Dividendos]]&gt;0,Tabela5[[#This Row],[Dividendos]]/Tabela5[[#This Row],[Lucro Líquido]],0)</f>
        <v>0</v>
      </c>
      <c r="O771" s="23"/>
      <c r="P771" s="10"/>
    </row>
    <row r="772" spans="1:16" x14ac:dyDescent="0.2">
      <c r="A772" s="35" t="s">
        <v>92</v>
      </c>
      <c r="B772" s="31" t="s">
        <v>15</v>
      </c>
      <c r="C772" s="32">
        <v>38909</v>
      </c>
      <c r="D772" s="34">
        <v>0.47199999999999998</v>
      </c>
      <c r="E772" s="33">
        <v>38939</v>
      </c>
      <c r="F772" s="33">
        <v>38897</v>
      </c>
      <c r="G772" s="34">
        <f>IF(Tabela4[[#This Row],[Tipo]]="Dividendo",Tabela4[[#This Row],[Valor]],IF(Tabela4[[#This Row],[Tipo]]="Jrs. Cap. Próprio",Tabela4[[#This Row],[Valor]]*85%,0))</f>
        <v>0.47199999999999998</v>
      </c>
      <c r="I772" s="35" t="s">
        <v>63</v>
      </c>
      <c r="J772" s="35">
        <v>2009</v>
      </c>
      <c r="K772" s="34">
        <f>SUMPRODUCT(N(Tabela4[Ativo]=Tabela5[[#This Row],[Ativo]]),N(YEAR(Tabela4[Data ex-1])=Tabela5[[#This Row],[Ano]]),Tabela4[Líquido])</f>
        <v>1.1439550000000001</v>
      </c>
      <c r="L772" s="87"/>
      <c r="M772" s="87"/>
      <c r="N772" s="88">
        <f>IF(Tabela5[[#This Row],[Dividendos]]&gt;0,Tabela5[[#This Row],[Dividendos]]/Tabela5[[#This Row],[Lucro Líquido]],0)</f>
        <v>0</v>
      </c>
      <c r="O772" s="23"/>
      <c r="P772" s="10"/>
    </row>
    <row r="773" spans="1:16" x14ac:dyDescent="0.2">
      <c r="A773" s="35" t="s">
        <v>92</v>
      </c>
      <c r="B773" s="31" t="s">
        <v>14</v>
      </c>
      <c r="C773" s="32">
        <v>38848</v>
      </c>
      <c r="D773" s="34">
        <v>1.0430999999999999</v>
      </c>
      <c r="E773" s="33"/>
      <c r="F773" s="33">
        <v>38834</v>
      </c>
      <c r="G773" s="34">
        <f>IF(Tabela4[[#This Row],[Tipo]]="Dividendo",Tabela4[[#This Row],[Valor]],IF(Tabela4[[#This Row],[Tipo]]="Jrs. Cap. Próprio",Tabela4[[#This Row],[Valor]]*85%,0))</f>
        <v>0.88663499999999995</v>
      </c>
      <c r="I773" s="35" t="s">
        <v>63</v>
      </c>
      <c r="J773" s="35">
        <v>2008</v>
      </c>
      <c r="K773" s="34">
        <f>SUMPRODUCT(N(Tabela4[Ativo]=Tabela5[[#This Row],[Ativo]]),N(YEAR(Tabela4[Data ex-1])=Tabela5[[#This Row],[Ano]]),Tabela4[Líquido])</f>
        <v>1.6405000000000001</v>
      </c>
      <c r="L773" s="87"/>
      <c r="M773" s="87"/>
      <c r="N773" s="88">
        <f>IF(Tabela5[[#This Row],[Dividendos]]&gt;0,Tabela5[[#This Row],[Dividendos]]/Tabela5[[#This Row],[Lucro Líquido]],0)</f>
        <v>0</v>
      </c>
      <c r="O773" s="23"/>
      <c r="P773" s="10"/>
    </row>
    <row r="774" spans="1:16" x14ac:dyDescent="0.2">
      <c r="A774" s="35" t="s">
        <v>92</v>
      </c>
      <c r="B774" s="31" t="s">
        <v>15</v>
      </c>
      <c r="C774" s="32">
        <v>38835</v>
      </c>
      <c r="D774" s="34">
        <v>2.85</v>
      </c>
      <c r="E774" s="33"/>
      <c r="F774" s="33">
        <v>38835</v>
      </c>
      <c r="G774" s="34">
        <f>IF(Tabela4[[#This Row],[Tipo]]="Dividendo",Tabela4[[#This Row],[Valor]],IF(Tabela4[[#This Row],[Tipo]]="Jrs. Cap. Próprio",Tabela4[[#This Row],[Valor]]*85%,0))</f>
        <v>2.85</v>
      </c>
      <c r="I774" s="35" t="s">
        <v>63</v>
      </c>
      <c r="J774" s="35">
        <v>2007</v>
      </c>
      <c r="K774" s="34">
        <f>SUMPRODUCT(N(Tabela4[Ativo]=Tabela5[[#This Row],[Ativo]]),N(YEAR(Tabela4[Data ex-1])=Tabela5[[#This Row],[Ano]]),Tabela4[Líquido])</f>
        <v>0.84540000000000004</v>
      </c>
      <c r="L774" s="87"/>
      <c r="M774" s="87"/>
      <c r="N774" s="88">
        <f>IF(Tabela5[[#This Row],[Dividendos]]&gt;0,Tabela5[[#This Row],[Dividendos]]/Tabela5[[#This Row],[Lucro Líquido]],0)</f>
        <v>0</v>
      </c>
      <c r="O774" s="23"/>
      <c r="P774" s="10"/>
    </row>
    <row r="775" spans="1:16" x14ac:dyDescent="0.2">
      <c r="A775" s="35" t="s">
        <v>92</v>
      </c>
      <c r="B775" s="31" t="s">
        <v>15</v>
      </c>
      <c r="C775" s="32">
        <v>38733</v>
      </c>
      <c r="D775" s="34">
        <v>5.5340999999999996</v>
      </c>
      <c r="E775" s="33">
        <v>38744</v>
      </c>
      <c r="F775" s="33">
        <v>38693</v>
      </c>
      <c r="G775" s="34">
        <f>IF(Tabela4[[#This Row],[Tipo]]="Dividendo",Tabela4[[#This Row],[Valor]],IF(Tabela4[[#This Row],[Tipo]]="Jrs. Cap. Próprio",Tabela4[[#This Row],[Valor]]*85%,0))</f>
        <v>5.5340999999999996</v>
      </c>
      <c r="I775" s="3" t="s">
        <v>49</v>
      </c>
      <c r="J775" s="3">
        <v>2013</v>
      </c>
      <c r="K775" s="10">
        <f>SUMPRODUCT(N(Tabela4[Ativo]=Tabela5[[#This Row],[Ativo]]),N(YEAR(Tabela4[Data ex-1])=Tabela5[[#This Row],[Ano]]),Tabela4[Líquido])</f>
        <v>0.39429999999999998</v>
      </c>
      <c r="N775" s="23">
        <f>IF(Tabela5[[#This Row],[Dividendos]]&gt;0,Tabela5[[#This Row],[Dividendos]]/Tabela5[[#This Row],[Lucro Líquido]],0)</f>
        <v>0</v>
      </c>
      <c r="O775" s="23"/>
      <c r="P775" s="10"/>
    </row>
    <row r="776" spans="1:16" x14ac:dyDescent="0.2">
      <c r="A776" s="35" t="s">
        <v>92</v>
      </c>
      <c r="B776" s="31" t="s">
        <v>14</v>
      </c>
      <c r="C776" s="32">
        <v>38719</v>
      </c>
      <c r="D776" s="34">
        <v>0.96860000000000002</v>
      </c>
      <c r="E776" s="33"/>
      <c r="F776" s="33">
        <v>38707</v>
      </c>
      <c r="G776" s="34">
        <f>IF(Tabela4[[#This Row],[Tipo]]="Dividendo",Tabela4[[#This Row],[Valor]],IF(Tabela4[[#This Row],[Tipo]]="Jrs. Cap. Próprio",Tabela4[[#This Row],[Valor]]*85%,0))</f>
        <v>0.82330999999999999</v>
      </c>
      <c r="I776" s="4" t="s">
        <v>235</v>
      </c>
      <c r="J776" s="4">
        <v>2013</v>
      </c>
      <c r="K776" s="14">
        <f>SUMPRODUCT(N(Tabela4[Ativo]=Tabela5[[#This Row],[Ativo]]),N(YEAR(Tabela4[Data ex-1])=Tabela5[[#This Row],[Ano]]),Tabela4[Líquido])</f>
        <v>4.3900000000000002E-2</v>
      </c>
      <c r="L776" s="6">
        <v>39281689.020000003</v>
      </c>
      <c r="M776" s="6">
        <v>7072289.3099999996</v>
      </c>
      <c r="N776" s="24">
        <f>IF(Tabela5[[#This Row],[Dividendos]]&gt;0,Tabela5[[#This Row],[Dividendos]]/Tabela5[[#This Row],[Lucro Líquido]],0)</f>
        <v>0.18004035687974598</v>
      </c>
      <c r="O776" s="23">
        <f>Tabela5[[#This Row],[Payout2]]</f>
        <v>0.18004035687974598</v>
      </c>
      <c r="P776" s="10"/>
    </row>
    <row r="777" spans="1:16" x14ac:dyDescent="0.2">
      <c r="A777" s="35" t="s">
        <v>92</v>
      </c>
      <c r="B777" s="31" t="s">
        <v>14</v>
      </c>
      <c r="C777" s="32">
        <v>38664</v>
      </c>
      <c r="D777" s="34">
        <v>1.2031000000000001</v>
      </c>
      <c r="E777" s="33"/>
      <c r="F777" s="33">
        <v>38652</v>
      </c>
      <c r="G777" s="34">
        <f>IF(Tabela4[[#This Row],[Tipo]]="Dividendo",Tabela4[[#This Row],[Valor]],IF(Tabela4[[#This Row],[Tipo]]="Jrs. Cap. Próprio",Tabela4[[#This Row],[Valor]]*85%,0))</f>
        <v>1.022635</v>
      </c>
      <c r="I777" s="4" t="s">
        <v>235</v>
      </c>
      <c r="J777" s="4">
        <v>2012</v>
      </c>
      <c r="K777" s="14">
        <f>SUMPRODUCT(N(Tabela4[Ativo]=Tabela5[[#This Row],[Ativo]]),N(YEAR(Tabela4[Data ex-1])=Tabela5[[#This Row],[Ano]]),Tabela4[Líquido])</f>
        <v>2.0999999999999999E-3</v>
      </c>
      <c r="L777" s="6"/>
      <c r="M777" s="6"/>
      <c r="N777" s="24">
        <f>IF(Tabela5[[#This Row],[Dividendos]]&gt;0,Tabela5[[#This Row],[Dividendos]]/Tabela5[[#This Row],[Lucro Líquido]],0)</f>
        <v>0</v>
      </c>
      <c r="O777" s="23"/>
      <c r="P777" s="10"/>
    </row>
    <row r="778" spans="1:16" x14ac:dyDescent="0.2">
      <c r="A778" s="35" t="s">
        <v>92</v>
      </c>
      <c r="B778" s="31" t="s">
        <v>14</v>
      </c>
      <c r="C778" s="32">
        <v>38541</v>
      </c>
      <c r="D778" s="34">
        <v>1.746</v>
      </c>
      <c r="E778" s="33"/>
      <c r="F778" s="33">
        <v>38532</v>
      </c>
      <c r="G778" s="34">
        <f>IF(Tabela4[[#This Row],[Tipo]]="Dividendo",Tabela4[[#This Row],[Valor]],IF(Tabela4[[#This Row],[Tipo]]="Jrs. Cap. Próprio",Tabela4[[#This Row],[Valor]]*85%,0))</f>
        <v>1.4841</v>
      </c>
      <c r="I778" s="4" t="s">
        <v>235</v>
      </c>
      <c r="J778" s="4">
        <v>2011</v>
      </c>
      <c r="K778" s="10">
        <f>SUMPRODUCT(N(Tabela4[Ativo]=Tabela5[[#This Row],[Ativo]]),N(YEAR(Tabela4[Data ex-1])=Tabela5[[#This Row],[Ano]]),Tabela4[Líquido])</f>
        <v>0</v>
      </c>
      <c r="N778" s="23">
        <f>IF(Tabela5[[#This Row],[Dividendos]]&gt;0,Tabela5[[#This Row],[Dividendos]]/Tabela5[[#This Row],[Lucro Líquido]],0)</f>
        <v>0</v>
      </c>
      <c r="O778" s="23"/>
      <c r="P778" s="10"/>
    </row>
    <row r="779" spans="1:16" x14ac:dyDescent="0.2">
      <c r="A779" s="35" t="s">
        <v>92</v>
      </c>
      <c r="B779" s="31" t="s">
        <v>15</v>
      </c>
      <c r="C779" s="32">
        <v>38471</v>
      </c>
      <c r="D779" s="34">
        <v>1.1253</v>
      </c>
      <c r="E779" s="33">
        <v>38715</v>
      </c>
      <c r="F779" s="33">
        <v>38471</v>
      </c>
      <c r="G779" s="34">
        <f>IF(Tabela4[[#This Row],[Tipo]]="Dividendo",Tabela4[[#This Row],[Valor]],IF(Tabela4[[#This Row],[Tipo]]="Jrs. Cap. Próprio",Tabela4[[#This Row],[Valor]]*85%,0))</f>
        <v>1.1253</v>
      </c>
      <c r="I779" s="4" t="s">
        <v>235</v>
      </c>
      <c r="J779" s="4">
        <v>2010</v>
      </c>
      <c r="K779" s="10">
        <f>SUMPRODUCT(N(Tabela4[Ativo]=Tabela5[[#This Row],[Ativo]]),N(YEAR(Tabela4[Data ex-1])=Tabela5[[#This Row],[Ano]]),Tabela4[Líquido])</f>
        <v>8.8999999999999996E-2</v>
      </c>
      <c r="N779" s="23">
        <f>IF(Tabela5[[#This Row],[Dividendos]]&gt;0,Tabela5[[#This Row],[Dividendos]]/Tabela5[[#This Row],[Lucro Líquido]],0)</f>
        <v>0</v>
      </c>
      <c r="O779" s="23"/>
      <c r="P779" s="10"/>
    </row>
    <row r="780" spans="1:16" x14ac:dyDescent="0.2">
      <c r="A780" s="35" t="s">
        <v>92</v>
      </c>
      <c r="B780" s="31" t="s">
        <v>14</v>
      </c>
      <c r="C780" s="32">
        <v>38362</v>
      </c>
      <c r="D780" s="34">
        <v>0.24679999999999999</v>
      </c>
      <c r="E780" s="33">
        <v>38715</v>
      </c>
      <c r="F780" s="33">
        <v>38348</v>
      </c>
      <c r="G780" s="34">
        <f>IF(Tabela4[[#This Row],[Tipo]]="Dividendo",Tabela4[[#This Row],[Valor]],IF(Tabela4[[#This Row],[Tipo]]="Jrs. Cap. Próprio",Tabela4[[#This Row],[Valor]]*85%,0))</f>
        <v>0.20977999999999999</v>
      </c>
      <c r="I780" s="4" t="s">
        <v>235</v>
      </c>
      <c r="J780" s="4">
        <v>2009</v>
      </c>
      <c r="K780" s="10">
        <f>SUMPRODUCT(N(Tabela4[Ativo]=Tabela5[[#This Row],[Ativo]]),N(YEAR(Tabela4[Data ex-1])=Tabela5[[#This Row],[Ano]]),Tabela4[Líquido])</f>
        <v>8.4600000000000009E-2</v>
      </c>
      <c r="N780" s="23">
        <f>IF(Tabela5[[#This Row],[Dividendos]]&gt;0,Tabela5[[#This Row],[Dividendos]]/Tabela5[[#This Row],[Lucro Líquido]],0)</f>
        <v>0</v>
      </c>
      <c r="O780" s="23"/>
      <c r="P780" s="10"/>
    </row>
    <row r="781" spans="1:16" x14ac:dyDescent="0.2">
      <c r="A781" s="35" t="s">
        <v>92</v>
      </c>
      <c r="B781" s="31" t="s">
        <v>14</v>
      </c>
      <c r="C781" s="32">
        <v>38331</v>
      </c>
      <c r="D781" s="34">
        <v>1.0488</v>
      </c>
      <c r="E781" s="33"/>
      <c r="F781" s="33">
        <v>38321</v>
      </c>
      <c r="G781" s="34">
        <f>IF(Tabela4[[#This Row],[Tipo]]="Dividendo",Tabela4[[#This Row],[Valor]],IF(Tabela4[[#This Row],[Tipo]]="Jrs. Cap. Próprio",Tabela4[[#This Row],[Valor]]*85%,0))</f>
        <v>0.89147999999999994</v>
      </c>
      <c r="I781" s="4" t="s">
        <v>235</v>
      </c>
      <c r="J781" s="4">
        <v>2008</v>
      </c>
      <c r="K781" s="10">
        <f>SUMPRODUCT(N(Tabela4[Ativo]=Tabela5[[#This Row],[Ativo]]),N(YEAR(Tabela4[Data ex-1])=Tabela5[[#This Row],[Ano]]),Tabela4[Líquido])</f>
        <v>0.10044</v>
      </c>
      <c r="N781" s="23">
        <f>IF(Tabela5[[#This Row],[Dividendos]]&gt;0,Tabela5[[#This Row],[Dividendos]]/Tabela5[[#This Row],[Lucro Líquido]],0)</f>
        <v>0</v>
      </c>
      <c r="O781" s="23"/>
      <c r="P781" s="10"/>
    </row>
    <row r="782" spans="1:16" x14ac:dyDescent="0.2">
      <c r="A782" s="35" t="s">
        <v>92</v>
      </c>
      <c r="B782" s="31" t="s">
        <v>14</v>
      </c>
      <c r="C782" s="32">
        <v>38238</v>
      </c>
      <c r="D782" s="34">
        <v>0.61699999999999999</v>
      </c>
      <c r="E782" s="33">
        <v>38533</v>
      </c>
      <c r="F782" s="33">
        <v>38225</v>
      </c>
      <c r="G782" s="34">
        <f>IF(Tabela4[[#This Row],[Tipo]]="Dividendo",Tabela4[[#This Row],[Valor]],IF(Tabela4[[#This Row],[Tipo]]="Jrs. Cap. Próprio",Tabela4[[#This Row],[Valor]]*85%,0))</f>
        <v>0.52444999999999997</v>
      </c>
      <c r="I782" s="35" t="s">
        <v>101</v>
      </c>
      <c r="J782" s="35">
        <v>2013</v>
      </c>
      <c r="K782" s="38">
        <f>SUMPRODUCT(N(Tabela4[Ativo]=Tabela5[[#This Row],[Ativo]]),N(YEAR(Tabela4[Data ex-1])=Tabela5[[#This Row],[Ano]]),Tabela4[Líquido])</f>
        <v>7.6E-3</v>
      </c>
      <c r="L782" s="6">
        <v>39281689.020000003</v>
      </c>
      <c r="M782" s="6">
        <v>7072289.3099999996</v>
      </c>
      <c r="N782" s="75">
        <f>IF(Tabela5[[#This Row],[Dividendos]]&gt;0,Tabela5[[#This Row],[Dividendos]]/Tabela5[[#This Row],[Lucro Líquido]],0)</f>
        <v>0.18004035687974598</v>
      </c>
      <c r="O782" s="23">
        <f>Tabela5[[#This Row],[Payout2]]</f>
        <v>0.18004035687974598</v>
      </c>
      <c r="P782" s="10"/>
    </row>
    <row r="783" spans="1:16" x14ac:dyDescent="0.2">
      <c r="A783" s="35" t="s">
        <v>92</v>
      </c>
      <c r="B783" s="31" t="s">
        <v>14</v>
      </c>
      <c r="C783" s="32">
        <v>38147</v>
      </c>
      <c r="D783" s="34">
        <v>1.2339</v>
      </c>
      <c r="E783" s="33"/>
      <c r="F783" s="33">
        <v>38138</v>
      </c>
      <c r="G783" s="34">
        <f>IF(Tabela4[[#This Row],[Tipo]]="Dividendo",Tabela4[[#This Row],[Valor]],IF(Tabela4[[#This Row],[Tipo]]="Jrs. Cap. Próprio",Tabela4[[#This Row],[Valor]]*85%,0))</f>
        <v>1.0488150000000001</v>
      </c>
      <c r="I783" s="35" t="s">
        <v>101</v>
      </c>
      <c r="J783" s="35">
        <v>2012</v>
      </c>
      <c r="K783" s="38">
        <f>SUMPRODUCT(N(Tabela4[Ativo]=Tabela5[[#This Row],[Ativo]]),N(YEAR(Tabela4[Data ex-1])=Tabela5[[#This Row],[Ano]]),Tabela4[Líquido])</f>
        <v>2.0999999999999999E-3</v>
      </c>
      <c r="L783" s="6"/>
      <c r="M783" s="6"/>
      <c r="N783" s="75">
        <f>IF(Tabela5[[#This Row],[Dividendos]]&gt;0,Tabela5[[#This Row],[Dividendos]]/Tabela5[[#This Row],[Lucro Líquido]],0)</f>
        <v>0</v>
      </c>
      <c r="O783" s="23"/>
      <c r="P783" s="10"/>
    </row>
    <row r="784" spans="1:16" x14ac:dyDescent="0.2">
      <c r="A784" s="35" t="s">
        <v>92</v>
      </c>
      <c r="B784" s="31" t="s">
        <v>15</v>
      </c>
      <c r="C784" s="32">
        <v>38107</v>
      </c>
      <c r="D784" s="34">
        <v>0.44</v>
      </c>
      <c r="E784" s="33">
        <v>38349</v>
      </c>
      <c r="F784" s="33">
        <v>38107</v>
      </c>
      <c r="G784" s="34">
        <f>IF(Tabela4[[#This Row],[Tipo]]="Dividendo",Tabela4[[#This Row],[Valor]],IF(Tabela4[[#This Row],[Tipo]]="Jrs. Cap. Próprio",Tabela4[[#This Row],[Valor]]*85%,0))</f>
        <v>0.44</v>
      </c>
      <c r="I784" s="35" t="s">
        <v>101</v>
      </c>
      <c r="J784" s="35">
        <v>2011</v>
      </c>
      <c r="K784" s="34">
        <f>SUMPRODUCT(N(Tabela4[Ativo]=Tabela5[[#This Row],[Ativo]]),N(YEAR(Tabela4[Data ex-1])=Tabela5[[#This Row],[Ano]]),Tabela4[Líquido])</f>
        <v>0</v>
      </c>
      <c r="L784" s="87"/>
      <c r="M784" s="87"/>
      <c r="N784" s="88">
        <f>IF(Tabela5[[#This Row],[Dividendos]]&gt;0,Tabela5[[#This Row],[Dividendos]]/Tabela5[[#This Row],[Lucro Líquido]],0)</f>
        <v>0</v>
      </c>
      <c r="O784" s="23"/>
      <c r="P784" s="10"/>
    </row>
    <row r="785" spans="1:16" x14ac:dyDescent="0.2">
      <c r="A785" s="35" t="s">
        <v>92</v>
      </c>
      <c r="B785" s="31" t="s">
        <v>14</v>
      </c>
      <c r="C785" s="32">
        <v>37984</v>
      </c>
      <c r="D785" s="34">
        <v>0.61699999999999999</v>
      </c>
      <c r="E785" s="33">
        <v>38349</v>
      </c>
      <c r="F785" s="33">
        <v>37973</v>
      </c>
      <c r="G785" s="34">
        <f>IF(Tabela4[[#This Row],[Tipo]]="Dividendo",Tabela4[[#This Row],[Valor]],IF(Tabela4[[#This Row],[Tipo]]="Jrs. Cap. Próprio",Tabela4[[#This Row],[Valor]]*85%,0))</f>
        <v>0.52444999999999997</v>
      </c>
      <c r="I785" s="35" t="s">
        <v>101</v>
      </c>
      <c r="J785" s="35">
        <v>2010</v>
      </c>
      <c r="K785" s="34">
        <f>SUMPRODUCT(N(Tabela4[Ativo]=Tabela5[[#This Row],[Ativo]]),N(YEAR(Tabela4[Data ex-1])=Tabela5[[#This Row],[Ano]]),Tabela4[Líquido])</f>
        <v>0</v>
      </c>
      <c r="L785" s="87"/>
      <c r="M785" s="87"/>
      <c r="N785" s="88">
        <f>IF(Tabela5[[#This Row],[Dividendos]]&gt;0,Tabela5[[#This Row],[Dividendos]]/Tabela5[[#This Row],[Lucro Líquido]],0)</f>
        <v>0</v>
      </c>
      <c r="O785" s="23"/>
      <c r="P785" s="10"/>
    </row>
    <row r="786" spans="1:16" x14ac:dyDescent="0.2">
      <c r="A786" s="35" t="s">
        <v>92</v>
      </c>
      <c r="B786" s="31" t="s">
        <v>14</v>
      </c>
      <c r="C786" s="32">
        <v>37963</v>
      </c>
      <c r="D786" s="34">
        <v>0.9254</v>
      </c>
      <c r="E786" s="33">
        <v>38349</v>
      </c>
      <c r="F786" s="33">
        <v>37953</v>
      </c>
      <c r="G786" s="34">
        <f>IF(Tabela4[[#This Row],[Tipo]]="Dividendo",Tabela4[[#This Row],[Valor]],IF(Tabela4[[#This Row],[Tipo]]="Jrs. Cap. Próprio",Tabela4[[#This Row],[Valor]]*85%,0))</f>
        <v>0.78659000000000001</v>
      </c>
      <c r="I786" s="35" t="s">
        <v>101</v>
      </c>
      <c r="J786" s="35">
        <v>2009</v>
      </c>
      <c r="K786" s="34">
        <f>SUMPRODUCT(N(Tabela4[Ativo]=Tabela5[[#This Row],[Ativo]]),N(YEAR(Tabela4[Data ex-1])=Tabela5[[#This Row],[Ano]]),Tabela4[Líquido])</f>
        <v>3.3000000000000002E-2</v>
      </c>
      <c r="L786" s="87"/>
      <c r="M786" s="87"/>
      <c r="N786" s="88">
        <f>IF(Tabela5[[#This Row],[Dividendos]]&gt;0,Tabela5[[#This Row],[Dividendos]]/Tabela5[[#This Row],[Lucro Líquido]],0)</f>
        <v>0</v>
      </c>
      <c r="O786" s="23"/>
      <c r="P786" s="10"/>
    </row>
    <row r="787" spans="1:16" x14ac:dyDescent="0.2">
      <c r="A787" s="35" t="s">
        <v>92</v>
      </c>
      <c r="B787" s="31" t="s">
        <v>14</v>
      </c>
      <c r="C787" s="32">
        <v>37617</v>
      </c>
      <c r="D787" s="34">
        <v>0.61699999999999999</v>
      </c>
      <c r="E787" s="33">
        <v>37977</v>
      </c>
      <c r="F787" s="33">
        <v>37609</v>
      </c>
      <c r="G787" s="34">
        <f>IF(Tabela4[[#This Row],[Tipo]]="Dividendo",Tabela4[[#This Row],[Valor]],IF(Tabela4[[#This Row],[Tipo]]="Jrs. Cap. Próprio",Tabela4[[#This Row],[Valor]]*85%,0))</f>
        <v>0.52444999999999997</v>
      </c>
      <c r="I787" s="35" t="s">
        <v>101</v>
      </c>
      <c r="J787" s="35">
        <v>2008</v>
      </c>
      <c r="K787" s="34">
        <f>SUMPRODUCT(N(Tabela4[Ativo]=Tabela5[[#This Row],[Ativo]]),N(YEAR(Tabela4[Data ex-1])=Tabela5[[#This Row],[Ano]]),Tabela4[Líquido])</f>
        <v>5.6539999999999993E-2</v>
      </c>
      <c r="L787" s="87"/>
      <c r="M787" s="87"/>
      <c r="N787" s="88">
        <f>IF(Tabela5[[#This Row],[Dividendos]]&gt;0,Tabela5[[#This Row],[Dividendos]]/Tabela5[[#This Row],[Lucro Líquido]],0)</f>
        <v>0</v>
      </c>
      <c r="O787" s="23"/>
      <c r="P787" s="10"/>
    </row>
    <row r="788" spans="1:16" x14ac:dyDescent="0.2">
      <c r="A788" s="35" t="s">
        <v>92</v>
      </c>
      <c r="B788" s="31" t="s">
        <v>14</v>
      </c>
      <c r="C788" s="32">
        <v>37399</v>
      </c>
      <c r="D788" s="34">
        <v>0.74039999999999995</v>
      </c>
      <c r="E788" s="33">
        <v>37977</v>
      </c>
      <c r="F788" s="33">
        <v>37396</v>
      </c>
      <c r="G788" s="34">
        <f>IF(Tabela4[[#This Row],[Tipo]]="Dividendo",Tabela4[[#This Row],[Valor]],IF(Tabela4[[#This Row],[Tipo]]="Jrs. Cap. Próprio",Tabela4[[#This Row],[Valor]]*85%,0))</f>
        <v>0.6293399999999999</v>
      </c>
      <c r="I788" s="35" t="s">
        <v>101</v>
      </c>
      <c r="J788" s="35">
        <v>2007</v>
      </c>
      <c r="K788" s="34">
        <f>SUMPRODUCT(N(Tabela4[Ativo]=Tabela5[[#This Row],[Ativo]]),N(YEAR(Tabela4[Data ex-1])=Tabela5[[#This Row],[Ano]]),Tabela4[Líquido])</f>
        <v>2.2799999999999997E-2</v>
      </c>
      <c r="L788" s="87"/>
      <c r="M788" s="87"/>
      <c r="N788" s="88">
        <f>IF(Tabela5[[#This Row],[Dividendos]]&gt;0,Tabela5[[#This Row],[Dividendos]]/Tabela5[[#This Row],[Lucro Líquido]],0)</f>
        <v>0</v>
      </c>
      <c r="O788" s="23"/>
      <c r="P788" s="10"/>
    </row>
    <row r="789" spans="1:16" x14ac:dyDescent="0.2">
      <c r="A789" s="35" t="s">
        <v>92</v>
      </c>
      <c r="B789" s="31" t="s">
        <v>15</v>
      </c>
      <c r="C789" s="32">
        <v>37376</v>
      </c>
      <c r="D789" s="34">
        <v>0.70250000000000001</v>
      </c>
      <c r="E789" s="33">
        <v>37529</v>
      </c>
      <c r="F789" s="33">
        <v>37376</v>
      </c>
      <c r="G789" s="34">
        <f>IF(Tabela4[[#This Row],[Tipo]]="Dividendo",Tabela4[[#This Row],[Valor]],IF(Tabela4[[#This Row],[Tipo]]="Jrs. Cap. Próprio",Tabela4[[#This Row],[Valor]]*85%,0))</f>
        <v>0.70250000000000001</v>
      </c>
      <c r="I789" s="35" t="s">
        <v>101</v>
      </c>
      <c r="J789" s="35">
        <v>2006</v>
      </c>
      <c r="K789" s="34">
        <f>SUMPRODUCT(N(Tabela4[Ativo]=Tabela5[[#This Row],[Ativo]]),N(YEAR(Tabela4[Data ex-1])=Tabela5[[#This Row],[Ano]]),Tabela4[Líquido])</f>
        <v>5.6845E-2</v>
      </c>
      <c r="L789" s="87"/>
      <c r="M789" s="87"/>
      <c r="N789" s="88">
        <f>IF(Tabela5[[#This Row],[Dividendos]]&gt;0,Tabela5[[#This Row],[Dividendos]]/Tabela5[[#This Row],[Lucro Líquido]],0)</f>
        <v>0</v>
      </c>
      <c r="O789" s="23"/>
      <c r="P789" s="10"/>
    </row>
    <row r="790" spans="1:16" x14ac:dyDescent="0.2">
      <c r="A790" s="35" t="s">
        <v>92</v>
      </c>
      <c r="B790" s="31" t="s">
        <v>14</v>
      </c>
      <c r="C790" s="32">
        <v>37252</v>
      </c>
      <c r="D790" s="34">
        <v>0.64810000000000001</v>
      </c>
      <c r="E790" s="33">
        <v>37529</v>
      </c>
      <c r="F790" s="33">
        <v>37251</v>
      </c>
      <c r="G790" s="34">
        <f>IF(Tabela4[[#This Row],[Tipo]]="Dividendo",Tabela4[[#This Row],[Valor]],IF(Tabela4[[#This Row],[Tipo]]="Jrs. Cap. Próprio",Tabela4[[#This Row],[Valor]]*85%,0))</f>
        <v>0.55088499999999996</v>
      </c>
      <c r="I790" s="35" t="s">
        <v>101</v>
      </c>
      <c r="J790" s="35">
        <v>2005</v>
      </c>
      <c r="K790" s="34">
        <f>SUMPRODUCT(N(Tabela4[Ativo]=Tabela5[[#This Row],[Ativo]]),N(YEAR(Tabela4[Data ex-1])=Tabela5[[#This Row],[Ano]]),Tabela4[Líquido])</f>
        <v>0.10257499999999999</v>
      </c>
      <c r="L790" s="87"/>
      <c r="M790" s="87"/>
      <c r="N790" s="88">
        <f>IF(Tabela5[[#This Row],[Dividendos]]&gt;0,Tabela5[[#This Row],[Dividendos]]/Tabela5[[#This Row],[Lucro Líquido]],0)</f>
        <v>0</v>
      </c>
      <c r="O790" s="23"/>
      <c r="P790" s="10"/>
    </row>
    <row r="791" spans="1:16" x14ac:dyDescent="0.2">
      <c r="A791" s="35" t="s">
        <v>92</v>
      </c>
      <c r="B791" s="31" t="s">
        <v>14</v>
      </c>
      <c r="C791" s="32">
        <v>36706</v>
      </c>
      <c r="D791" s="34">
        <v>0.61029999999999995</v>
      </c>
      <c r="E791" s="33">
        <v>37162</v>
      </c>
      <c r="F791" s="33">
        <v>36706</v>
      </c>
      <c r="G791" s="34">
        <f>IF(Tabela4[[#This Row],[Tipo]]="Dividendo",Tabela4[[#This Row],[Valor]],IF(Tabela4[[#This Row],[Tipo]]="Jrs. Cap. Próprio",Tabela4[[#This Row],[Valor]]*85%,0))</f>
        <v>0.51875499999999997</v>
      </c>
      <c r="I791" s="35" t="s">
        <v>101</v>
      </c>
      <c r="J791" s="35">
        <v>2004</v>
      </c>
      <c r="K791" s="34">
        <f>SUMPRODUCT(N(Tabela4[Ativo]=Tabela5[[#This Row],[Ativo]]),N(YEAR(Tabela4[Data ex-1])=Tabela5[[#This Row],[Ano]]),Tabela4[Líquido])</f>
        <v>0.12155000000000001</v>
      </c>
      <c r="L791" s="87"/>
      <c r="M791" s="87"/>
      <c r="N791" s="88">
        <f>IF(Tabela5[[#This Row],[Dividendos]]&gt;0,Tabela5[[#This Row],[Dividendos]]/Tabela5[[#This Row],[Lucro Líquido]],0)</f>
        <v>0</v>
      </c>
      <c r="O791" s="23"/>
      <c r="P791" s="10"/>
    </row>
    <row r="792" spans="1:16" x14ac:dyDescent="0.2">
      <c r="A792" s="35" t="s">
        <v>92</v>
      </c>
      <c r="B792" s="31" t="s">
        <v>14</v>
      </c>
      <c r="C792" s="32">
        <v>36630</v>
      </c>
      <c r="D792" s="34">
        <v>0.56630000000000003</v>
      </c>
      <c r="E792" s="33">
        <v>37162</v>
      </c>
      <c r="F792" s="33">
        <v>36630</v>
      </c>
      <c r="G792" s="34">
        <f>IF(Tabela4[[#This Row],[Tipo]]="Dividendo",Tabela4[[#This Row],[Valor]],IF(Tabela4[[#This Row],[Tipo]]="Jrs. Cap. Próprio",Tabela4[[#This Row],[Valor]]*85%,0))</f>
        <v>0.48135500000000003</v>
      </c>
      <c r="I792" s="35" t="s">
        <v>101</v>
      </c>
      <c r="J792" s="35">
        <v>2003</v>
      </c>
      <c r="K792" s="34">
        <f>SUMPRODUCT(N(Tabela4[Ativo]=Tabela5[[#This Row],[Ativo]]),N(YEAR(Tabela4[Data ex-1])=Tabela5[[#This Row],[Ano]]),Tabela4[Líquido])</f>
        <v>7.5500000000000012E-2</v>
      </c>
      <c r="L792" s="87"/>
      <c r="M792" s="87"/>
      <c r="N792" s="88">
        <f>IF(Tabela5[[#This Row],[Dividendos]]&gt;0,Tabela5[[#This Row],[Dividendos]]/Tabela5[[#This Row],[Lucro Líquido]],0)</f>
        <v>0</v>
      </c>
      <c r="O792" s="23"/>
      <c r="P792" s="10"/>
    </row>
    <row r="793" spans="1:16" x14ac:dyDescent="0.2">
      <c r="A793" s="35" t="s">
        <v>92</v>
      </c>
      <c r="B793" s="31" t="s">
        <v>14</v>
      </c>
      <c r="C793" s="32">
        <v>36514</v>
      </c>
      <c r="D793" s="34">
        <v>1.1765000000000001</v>
      </c>
      <c r="E793" s="33">
        <v>36846</v>
      </c>
      <c r="F793" s="33">
        <v>36514</v>
      </c>
      <c r="G793" s="34">
        <f>IF(Tabela4[[#This Row],[Tipo]]="Dividendo",Tabela4[[#This Row],[Valor]],IF(Tabela4[[#This Row],[Tipo]]="Jrs. Cap. Próprio",Tabela4[[#This Row],[Valor]]*85%,0))</f>
        <v>1.0000250000000002</v>
      </c>
      <c r="I793" s="35" t="s">
        <v>101</v>
      </c>
      <c r="J793" s="35">
        <v>2002</v>
      </c>
      <c r="K793" s="34">
        <f>SUMPRODUCT(N(Tabela4[Ativo]=Tabela5[[#This Row],[Ativo]]),N(YEAR(Tabela4[Data ex-1])=Tabela5[[#This Row],[Ano]]),Tabela4[Líquido])</f>
        <v>8.7649999999999992E-2</v>
      </c>
      <c r="L793" s="87"/>
      <c r="M793" s="87"/>
      <c r="N793" s="88">
        <f>IF(Tabela5[[#This Row],[Dividendos]]&gt;0,Tabela5[[#This Row],[Dividendos]]/Tabela5[[#This Row],[Lucro Líquido]],0)</f>
        <v>0</v>
      </c>
      <c r="O793" s="23"/>
      <c r="P793" s="10"/>
    </row>
    <row r="794" spans="1:16" x14ac:dyDescent="0.2">
      <c r="A794" s="35" t="s">
        <v>92</v>
      </c>
      <c r="B794" s="31" t="s">
        <v>15</v>
      </c>
      <c r="C794" s="32">
        <v>36277</v>
      </c>
      <c r="D794" s="34">
        <v>1.0569999999999999</v>
      </c>
      <c r="E794" s="33">
        <v>36311</v>
      </c>
      <c r="F794" s="33">
        <v>36277</v>
      </c>
      <c r="G794" s="34">
        <f>IF(Tabela4[[#This Row],[Tipo]]="Dividendo",Tabela4[[#This Row],[Valor]],IF(Tabela4[[#This Row],[Tipo]]="Jrs. Cap. Próprio",Tabela4[[#This Row],[Valor]]*85%,0))</f>
        <v>1.0569999999999999</v>
      </c>
      <c r="I794" s="35" t="s">
        <v>101</v>
      </c>
      <c r="J794" s="35">
        <v>2001</v>
      </c>
      <c r="K794" s="34">
        <f>SUMPRODUCT(N(Tabela4[Ativo]=Tabela5[[#This Row],[Ativo]]),N(YEAR(Tabela4[Data ex-1])=Tabela5[[#This Row],[Ano]]),Tabela4[Líquido])</f>
        <v>0.1215</v>
      </c>
      <c r="L794" s="87"/>
      <c r="M794" s="87"/>
      <c r="N794" s="88">
        <f>IF(Tabela5[[#This Row],[Dividendos]]&gt;0,Tabela5[[#This Row],[Dividendos]]/Tabela5[[#This Row],[Lucro Líquido]],0)</f>
        <v>0</v>
      </c>
      <c r="O794" s="23"/>
      <c r="P794" s="10"/>
    </row>
    <row r="795" spans="1:16" x14ac:dyDescent="0.2">
      <c r="A795" s="35" t="s">
        <v>92</v>
      </c>
      <c r="B795" s="31" t="s">
        <v>14</v>
      </c>
      <c r="C795" s="32">
        <v>36150</v>
      </c>
      <c r="D795" s="34">
        <v>0.62919999999999998</v>
      </c>
      <c r="E795" s="33"/>
      <c r="F795" s="33">
        <v>36150</v>
      </c>
      <c r="G795" s="34">
        <f>IF(Tabela4[[#This Row],[Tipo]]="Dividendo",Tabela4[[#This Row],[Valor]],IF(Tabela4[[#This Row],[Tipo]]="Jrs. Cap. Próprio",Tabela4[[#This Row],[Valor]]*85%,0))</f>
        <v>0.53481999999999996</v>
      </c>
      <c r="I795" s="35" t="s">
        <v>101</v>
      </c>
      <c r="J795" s="35">
        <v>2000</v>
      </c>
      <c r="K795" s="34">
        <f>SUMPRODUCT(N(Tabela4[Ativo]=Tabela5[[#This Row],[Ativo]]),N(YEAR(Tabela4[Data ex-1])=Tabela5[[#This Row],[Ano]]),Tabela4[Líquido])</f>
        <v>0.1678</v>
      </c>
      <c r="L795" s="87"/>
      <c r="M795" s="87"/>
      <c r="N795" s="88">
        <f>IF(Tabela5[[#This Row],[Dividendos]]&gt;0,Tabela5[[#This Row],[Dividendos]]/Tabela5[[#This Row],[Lucro Líquido]],0)</f>
        <v>0</v>
      </c>
      <c r="O795" s="23"/>
      <c r="P795" s="10"/>
    </row>
    <row r="796" spans="1:16" x14ac:dyDescent="0.2">
      <c r="A796" s="35" t="s">
        <v>92</v>
      </c>
      <c r="B796" s="31" t="s">
        <v>14</v>
      </c>
      <c r="C796" s="32">
        <v>36095</v>
      </c>
      <c r="D796" s="34">
        <v>0.62919999999999998</v>
      </c>
      <c r="E796" s="33"/>
      <c r="F796" s="33">
        <v>36095</v>
      </c>
      <c r="G796" s="34">
        <f>IF(Tabela4[[#This Row],[Tipo]]="Dividendo",Tabela4[[#This Row],[Valor]],IF(Tabela4[[#This Row],[Tipo]]="Jrs. Cap. Próprio",Tabela4[[#This Row],[Valor]]*85%,0))</f>
        <v>0.53481999999999996</v>
      </c>
      <c r="I796" s="35" t="s">
        <v>101</v>
      </c>
      <c r="J796" s="35">
        <v>1999</v>
      </c>
      <c r="K796" s="34">
        <f>SUMPRODUCT(N(Tabela4[Ativo]=Tabela5[[#This Row],[Ativo]]),N(YEAR(Tabela4[Data ex-1])=Tabela5[[#This Row],[Ano]]),Tabela4[Líquido])</f>
        <v>0.11259999999999999</v>
      </c>
      <c r="L796" s="87"/>
      <c r="M796" s="87"/>
      <c r="N796" s="88">
        <f>IF(Tabela5[[#This Row],[Dividendos]]&gt;0,Tabela5[[#This Row],[Dividendos]]/Tabela5[[#This Row],[Lucro Líquido]],0)</f>
        <v>0</v>
      </c>
      <c r="O796" s="23"/>
      <c r="P796" s="10"/>
    </row>
    <row r="797" spans="1:16" x14ac:dyDescent="0.2">
      <c r="A797" s="35" t="s">
        <v>92</v>
      </c>
      <c r="B797" s="31" t="s">
        <v>14</v>
      </c>
      <c r="C797" s="32">
        <v>36038</v>
      </c>
      <c r="D797" s="34">
        <v>1.1955</v>
      </c>
      <c r="E797" s="33"/>
      <c r="F797" s="33">
        <v>36035</v>
      </c>
      <c r="G797" s="34">
        <f>IF(Tabela4[[#This Row],[Tipo]]="Dividendo",Tabela4[[#This Row],[Valor]],IF(Tabela4[[#This Row],[Tipo]]="Jrs. Cap. Próprio",Tabela4[[#This Row],[Valor]]*85%,0))</f>
        <v>1.0161750000000001</v>
      </c>
      <c r="I797" s="35" t="s">
        <v>104</v>
      </c>
      <c r="J797" s="35">
        <v>2013</v>
      </c>
      <c r="K797" s="38">
        <f>SUMPRODUCT(N(Tabela4[Ativo]=Tabela5[[#This Row],[Ativo]]),N(YEAR(Tabela4[Data ex-1])=Tabela5[[#This Row],[Ano]]),Tabela4[Líquido])</f>
        <v>0</v>
      </c>
      <c r="L797" s="43"/>
      <c r="M797" s="43"/>
      <c r="N797" s="75">
        <f>IF(Tabela5[[#This Row],[Dividendos]]&gt;0,Tabela5[[#This Row],[Dividendos]]/Tabela5[[#This Row],[Lucro Líquido]],0)</f>
        <v>0</v>
      </c>
      <c r="O797" s="23"/>
      <c r="P797" s="10"/>
    </row>
    <row r="798" spans="1:16" x14ac:dyDescent="0.2">
      <c r="A798" s="35" t="s">
        <v>92</v>
      </c>
      <c r="B798" s="31" t="s">
        <v>14</v>
      </c>
      <c r="C798" s="32">
        <v>35915</v>
      </c>
      <c r="D798" s="34">
        <v>0.5605</v>
      </c>
      <c r="E798" s="33"/>
      <c r="F798" s="33">
        <v>35915</v>
      </c>
      <c r="G798" s="34">
        <f>IF(Tabela4[[#This Row],[Tipo]]="Dividendo",Tabela4[[#This Row],[Valor]],IF(Tabela4[[#This Row],[Tipo]]="Jrs. Cap. Próprio",Tabela4[[#This Row],[Valor]]*85%,0))</f>
        <v>0.47642499999999999</v>
      </c>
      <c r="I798" s="35" t="s">
        <v>104</v>
      </c>
      <c r="J798" s="35">
        <v>2012</v>
      </c>
      <c r="K798" s="38">
        <f>SUMPRODUCT(N(Tabela4[Ativo]=Tabela5[[#This Row],[Ativo]]),N(YEAR(Tabela4[Data ex-1])=Tabela5[[#This Row],[Ano]]),Tabela4[Líquido])</f>
        <v>7.3609999999999995E-2</v>
      </c>
      <c r="L798" s="43"/>
      <c r="M798" s="43"/>
      <c r="N798" s="75">
        <f>IF(Tabela5[[#This Row],[Dividendos]]&gt;0,Tabela5[[#This Row],[Dividendos]]/Tabela5[[#This Row],[Lucro Líquido]],0)</f>
        <v>0</v>
      </c>
      <c r="O798" s="23"/>
      <c r="P798" s="10"/>
    </row>
    <row r="799" spans="1:16" x14ac:dyDescent="0.2">
      <c r="A799" s="35" t="s">
        <v>92</v>
      </c>
      <c r="B799" s="31" t="s">
        <v>15</v>
      </c>
      <c r="C799" s="32">
        <v>35915</v>
      </c>
      <c r="D799" s="34">
        <v>0.92400000000000004</v>
      </c>
      <c r="E799" s="33"/>
      <c r="F799" s="33">
        <v>35915</v>
      </c>
      <c r="G799" s="34">
        <f>IF(Tabela4[[#This Row],[Tipo]]="Dividendo",Tabela4[[#This Row],[Valor]],IF(Tabela4[[#This Row],[Tipo]]="Jrs. Cap. Próprio",Tabela4[[#This Row],[Valor]]*85%,0))</f>
        <v>0.92400000000000004</v>
      </c>
      <c r="I799" s="35" t="s">
        <v>104</v>
      </c>
      <c r="J799" s="35">
        <v>2011</v>
      </c>
      <c r="K799" s="34">
        <f>SUMPRODUCT(N(Tabela4[Ativo]=Tabela5[[#This Row],[Ativo]]),N(YEAR(Tabela4[Data ex-1])=Tabela5[[#This Row],[Ano]]),Tabela4[Líquido])</f>
        <v>0.12801000000000001</v>
      </c>
      <c r="L799" s="87"/>
      <c r="M799" s="87"/>
      <c r="N799" s="88">
        <f>IF(Tabela5[[#This Row],[Dividendos]]&gt;0,Tabela5[[#This Row],[Dividendos]]/Tabela5[[#This Row],[Lucro Líquido]],0)</f>
        <v>0</v>
      </c>
      <c r="O799" s="23"/>
      <c r="P799" s="10"/>
    </row>
    <row r="800" spans="1:16" x14ac:dyDescent="0.2">
      <c r="A800" s="35" t="s">
        <v>92</v>
      </c>
      <c r="B800" s="31" t="s">
        <v>14</v>
      </c>
      <c r="C800" s="32">
        <v>35787</v>
      </c>
      <c r="D800" s="34">
        <v>0.61570000000000003</v>
      </c>
      <c r="E800" s="33"/>
      <c r="F800" s="33">
        <v>35787</v>
      </c>
      <c r="G800" s="34">
        <f>IF(Tabela4[[#This Row],[Tipo]]="Dividendo",Tabela4[[#This Row],[Valor]],IF(Tabela4[[#This Row],[Tipo]]="Jrs. Cap. Próprio",Tabela4[[#This Row],[Valor]]*85%,0))</f>
        <v>0.52334500000000006</v>
      </c>
      <c r="I800" s="35" t="s">
        <v>104</v>
      </c>
      <c r="J800" s="35">
        <v>2010</v>
      </c>
      <c r="K800" s="34">
        <f>SUMPRODUCT(N(Tabela4[Ativo]=Tabela5[[#This Row],[Ativo]]),N(YEAR(Tabela4[Data ex-1])=Tabela5[[#This Row],[Ano]]),Tabela4[Líquido])</f>
        <v>0.52234500000000006</v>
      </c>
      <c r="L800" s="87"/>
      <c r="M800" s="87"/>
      <c r="N800" s="88">
        <f>IF(Tabela5[[#This Row],[Dividendos]]&gt;0,Tabela5[[#This Row],[Dividendos]]/Tabela5[[#This Row],[Lucro Líquido]],0)</f>
        <v>0</v>
      </c>
      <c r="O800" s="23"/>
      <c r="P800" s="10"/>
    </row>
    <row r="801" spans="1:16" x14ac:dyDescent="0.2">
      <c r="A801" s="35" t="s">
        <v>92</v>
      </c>
      <c r="B801" s="31" t="s">
        <v>15</v>
      </c>
      <c r="C801" s="32">
        <v>35550</v>
      </c>
      <c r="D801" s="34">
        <v>1</v>
      </c>
      <c r="E801" s="33"/>
      <c r="F801" s="33">
        <v>35550</v>
      </c>
      <c r="G801" s="34">
        <f>IF(Tabela4[[#This Row],[Tipo]]="Dividendo",Tabela4[[#This Row],[Valor]],IF(Tabela4[[#This Row],[Tipo]]="Jrs. Cap. Próprio",Tabela4[[#This Row],[Valor]]*85%,0))</f>
        <v>1</v>
      </c>
      <c r="I801" s="35" t="s">
        <v>104</v>
      </c>
      <c r="J801" s="35">
        <v>2009</v>
      </c>
      <c r="K801" s="34">
        <f>SUMPRODUCT(N(Tabela4[Ativo]=Tabela5[[#This Row],[Ativo]]),N(YEAR(Tabela4[Data ex-1])=Tabela5[[#This Row],[Ano]]),Tabela4[Líquido])</f>
        <v>1.21522</v>
      </c>
      <c r="L801" s="87"/>
      <c r="M801" s="87"/>
      <c r="N801" s="88">
        <f>IF(Tabela5[[#This Row],[Dividendos]]&gt;0,Tabela5[[#This Row],[Dividendos]]/Tabela5[[#This Row],[Lucro Líquido]],0)</f>
        <v>0</v>
      </c>
      <c r="O801" s="23"/>
      <c r="P801" s="10"/>
    </row>
    <row r="802" spans="1:16" x14ac:dyDescent="0.2">
      <c r="A802" s="35" t="s">
        <v>92</v>
      </c>
      <c r="B802" s="31" t="s">
        <v>15</v>
      </c>
      <c r="C802" s="32">
        <v>35184</v>
      </c>
      <c r="D802" s="34">
        <v>1</v>
      </c>
      <c r="E802" s="33"/>
      <c r="F802" s="33">
        <v>35184</v>
      </c>
      <c r="G802" s="34">
        <f>IF(Tabela4[[#This Row],[Tipo]]="Dividendo",Tabela4[[#This Row],[Valor]],IF(Tabela4[[#This Row],[Tipo]]="Jrs. Cap. Próprio",Tabela4[[#This Row],[Valor]]*85%,0))</f>
        <v>1</v>
      </c>
      <c r="I802" s="35" t="s">
        <v>104</v>
      </c>
      <c r="J802" s="35">
        <v>2008</v>
      </c>
      <c r="K802" s="34">
        <f>SUMPRODUCT(N(Tabela4[Ativo]=Tabela5[[#This Row],[Ativo]]),N(YEAR(Tabela4[Data ex-1])=Tabela5[[#This Row],[Ano]]),Tabela4[Líquido])</f>
        <v>2.62127</v>
      </c>
      <c r="L802" s="87"/>
      <c r="M802" s="87"/>
      <c r="N802" s="88">
        <f>IF(Tabela5[[#This Row],[Dividendos]]&gt;0,Tabela5[[#This Row],[Dividendos]]/Tabela5[[#This Row],[Lucro Líquido]],0)</f>
        <v>0</v>
      </c>
      <c r="O802" s="23"/>
      <c r="P802" s="10"/>
    </row>
    <row r="803" spans="1:16" x14ac:dyDescent="0.2">
      <c r="A803" s="3" t="s">
        <v>308</v>
      </c>
      <c r="B803" s="3" t="s">
        <v>15</v>
      </c>
      <c r="C803" s="80">
        <v>41393</v>
      </c>
      <c r="D803" s="10">
        <v>2.7486000000000002</v>
      </c>
      <c r="E803" s="81">
        <v>41618</v>
      </c>
      <c r="F803" s="81">
        <v>41393</v>
      </c>
      <c r="G803" s="10">
        <f>IF(Tabela4[[#This Row],[Tipo]]="Dividendo",Tabela4[[#This Row],[Valor]],IF(Tabela4[[#This Row],[Tipo]]="Jrs. Cap. Próprio",Tabela4[[#This Row],[Valor]]*85%,0))</f>
        <v>2.7486000000000002</v>
      </c>
      <c r="I803" s="35" t="s">
        <v>104</v>
      </c>
      <c r="J803" s="35">
        <v>2007</v>
      </c>
      <c r="K803" s="34">
        <f>SUMPRODUCT(N(Tabela4[Ativo]=Tabela5[[#This Row],[Ativo]]),N(YEAR(Tabela4[Data ex-1])=Tabela5[[#This Row],[Ano]]),Tabela4[Líquido])</f>
        <v>3.98421</v>
      </c>
      <c r="L803" s="87"/>
      <c r="M803" s="87"/>
      <c r="N803" s="88">
        <f>IF(Tabela5[[#This Row],[Dividendos]]&gt;0,Tabela5[[#This Row],[Dividendos]]/Tabela5[[#This Row],[Lucro Líquido]],0)</f>
        <v>0</v>
      </c>
      <c r="O803" s="23"/>
      <c r="P803" s="10"/>
    </row>
    <row r="804" spans="1:16" x14ac:dyDescent="0.2">
      <c r="A804" s="3" t="s">
        <v>308</v>
      </c>
      <c r="B804" s="3" t="s">
        <v>15</v>
      </c>
      <c r="C804" s="80">
        <v>41024</v>
      </c>
      <c r="D804" s="10">
        <v>3.5451999999999999</v>
      </c>
      <c r="E804" s="81">
        <v>41270</v>
      </c>
      <c r="F804" s="81">
        <v>41024</v>
      </c>
      <c r="G804" s="10">
        <f>IF(Tabela4[[#This Row],[Tipo]]="Dividendo",Tabela4[[#This Row],[Valor]],IF(Tabela4[[#This Row],[Tipo]]="Jrs. Cap. Próprio",Tabela4[[#This Row],[Valor]]*85%,0))</f>
        <v>3.5451999999999999</v>
      </c>
      <c r="I804" s="35" t="s">
        <v>104</v>
      </c>
      <c r="J804" s="35">
        <v>2006</v>
      </c>
      <c r="K804" s="34">
        <f>SUMPRODUCT(N(Tabela4[Ativo]=Tabela5[[#This Row],[Ativo]]),N(YEAR(Tabela4[Data ex-1])=Tabela5[[#This Row],[Ano]]),Tabela4[Líquido])</f>
        <v>4.1020799999999999</v>
      </c>
      <c r="L804" s="87"/>
      <c r="M804" s="87"/>
      <c r="N804" s="88">
        <f>IF(Tabela5[[#This Row],[Dividendos]]&gt;0,Tabela5[[#This Row],[Dividendos]]/Tabela5[[#This Row],[Lucro Líquido]],0)</f>
        <v>0</v>
      </c>
      <c r="O804" s="23"/>
      <c r="P804" s="10"/>
    </row>
    <row r="805" spans="1:16" x14ac:dyDescent="0.2">
      <c r="A805" s="3" t="s">
        <v>308</v>
      </c>
      <c r="B805" s="3" t="s">
        <v>15</v>
      </c>
      <c r="C805" s="80">
        <v>40662</v>
      </c>
      <c r="D805" s="10">
        <v>4.2725999999999997</v>
      </c>
      <c r="E805" s="81">
        <v>40886</v>
      </c>
      <c r="F805" s="81">
        <v>40662</v>
      </c>
      <c r="G805" s="10">
        <f>IF(Tabela4[[#This Row],[Tipo]]="Dividendo",Tabela4[[#This Row],[Valor]],IF(Tabela4[[#This Row],[Tipo]]="Jrs. Cap. Próprio",Tabela4[[#This Row],[Valor]]*85%,0))</f>
        <v>4.2725999999999997</v>
      </c>
      <c r="I805" s="35" t="s">
        <v>104</v>
      </c>
      <c r="J805" s="35">
        <v>2005</v>
      </c>
      <c r="K805" s="34">
        <f>SUMPRODUCT(N(Tabela4[Ativo]=Tabela5[[#This Row],[Ativo]]),N(YEAR(Tabela4[Data ex-1])=Tabela5[[#This Row],[Ano]]),Tabela4[Líquido])</f>
        <v>6.7076200000000004</v>
      </c>
      <c r="L805" s="87"/>
      <c r="M805" s="87"/>
      <c r="N805" s="88">
        <f>IF(Tabela5[[#This Row],[Dividendos]]&gt;0,Tabela5[[#This Row],[Dividendos]]/Tabela5[[#This Row],[Lucro Líquido]],0)</f>
        <v>0</v>
      </c>
      <c r="O805" s="23"/>
      <c r="P805" s="10"/>
    </row>
    <row r="806" spans="1:16" x14ac:dyDescent="0.2">
      <c r="A806" s="3" t="s">
        <v>308</v>
      </c>
      <c r="B806" s="3" t="s">
        <v>15</v>
      </c>
      <c r="C806" s="80">
        <v>40296</v>
      </c>
      <c r="D806" s="10">
        <v>2.7357999999999998</v>
      </c>
      <c r="E806" s="81">
        <v>40522</v>
      </c>
      <c r="F806" s="81">
        <v>40296</v>
      </c>
      <c r="G806" s="10">
        <f>IF(Tabela4[[#This Row],[Tipo]]="Dividendo",Tabela4[[#This Row],[Valor]],IF(Tabela4[[#This Row],[Tipo]]="Jrs. Cap. Próprio",Tabela4[[#This Row],[Valor]]*85%,0))</f>
        <v>2.7357999999999998</v>
      </c>
      <c r="I806" s="35" t="s">
        <v>104</v>
      </c>
      <c r="J806" s="35">
        <v>2004</v>
      </c>
      <c r="K806" s="34">
        <f>SUMPRODUCT(N(Tabela4[Ativo]=Tabela5[[#This Row],[Ativo]]),N(YEAR(Tabela4[Data ex-1])=Tabela5[[#This Row],[Ano]]),Tabela4[Líquido])</f>
        <v>1.8202199999999999</v>
      </c>
      <c r="L806" s="87"/>
      <c r="M806" s="87"/>
      <c r="N806" s="88">
        <f>IF(Tabela5[[#This Row],[Dividendos]]&gt;0,Tabela5[[#This Row],[Dividendos]]/Tabela5[[#This Row],[Lucro Líquido]],0)</f>
        <v>0</v>
      </c>
      <c r="O806" s="23"/>
      <c r="P806" s="10"/>
    </row>
    <row r="807" spans="1:16" x14ac:dyDescent="0.2">
      <c r="A807" s="3" t="s">
        <v>308</v>
      </c>
      <c r="B807" s="3" t="s">
        <v>15</v>
      </c>
      <c r="C807" s="80">
        <v>39933</v>
      </c>
      <c r="D807" s="10">
        <v>3.3797000000000001</v>
      </c>
      <c r="E807" s="81"/>
      <c r="F807" s="81">
        <v>39933</v>
      </c>
      <c r="G807" s="10">
        <f>IF(Tabela4[[#This Row],[Tipo]]="Dividendo",Tabela4[[#This Row],[Valor]],IF(Tabela4[[#This Row],[Tipo]]="Jrs. Cap. Próprio",Tabela4[[#This Row],[Valor]]*85%,0))</f>
        <v>3.3797000000000001</v>
      </c>
      <c r="I807" s="35" t="s">
        <v>104</v>
      </c>
      <c r="J807" s="35">
        <v>2003</v>
      </c>
      <c r="K807" s="34">
        <f>SUMPRODUCT(N(Tabela4[Ativo]=Tabela5[[#This Row],[Ativo]]),N(YEAR(Tabela4[Data ex-1])=Tabela5[[#This Row],[Ano]]),Tabela4[Líquido])</f>
        <v>1.4686299999999999</v>
      </c>
      <c r="L807" s="87"/>
      <c r="M807" s="87"/>
      <c r="N807" s="88">
        <f>IF(Tabela5[[#This Row],[Dividendos]]&gt;0,Tabela5[[#This Row],[Dividendos]]/Tabela5[[#This Row],[Lucro Líquido]],0)</f>
        <v>0</v>
      </c>
      <c r="O807" s="23"/>
      <c r="P807" s="10"/>
    </row>
    <row r="808" spans="1:16" x14ac:dyDescent="0.2">
      <c r="A808" s="3" t="s">
        <v>308</v>
      </c>
      <c r="B808" s="3" t="s">
        <v>15</v>
      </c>
      <c r="C808" s="80">
        <v>39566</v>
      </c>
      <c r="D808" s="10">
        <v>3.1436999999999999</v>
      </c>
      <c r="E808" s="81"/>
      <c r="F808" s="81">
        <v>39566</v>
      </c>
      <c r="G808" s="10">
        <f>IF(Tabela4[[#This Row],[Tipo]]="Dividendo",Tabela4[[#This Row],[Valor]],IF(Tabela4[[#This Row],[Tipo]]="Jrs. Cap. Próprio",Tabela4[[#This Row],[Valor]]*85%,0))</f>
        <v>3.1436999999999999</v>
      </c>
      <c r="I808" s="35" t="s">
        <v>104</v>
      </c>
      <c r="J808" s="35">
        <v>2002</v>
      </c>
      <c r="K808" s="34">
        <f>SUMPRODUCT(N(Tabela4[Ativo]=Tabela5[[#This Row],[Ativo]]),N(YEAR(Tabela4[Data ex-1])=Tabela5[[#This Row],[Ano]]),Tabela4[Líquido])</f>
        <v>0.24399999999999999</v>
      </c>
      <c r="L808" s="87"/>
      <c r="M808" s="87"/>
      <c r="N808" s="88">
        <f>IF(Tabela5[[#This Row],[Dividendos]]&gt;0,Tabela5[[#This Row],[Dividendos]]/Tabela5[[#This Row],[Lucro Líquido]],0)</f>
        <v>0</v>
      </c>
      <c r="O808" s="23"/>
      <c r="P808" s="10"/>
    </row>
    <row r="809" spans="1:16" x14ac:dyDescent="0.2">
      <c r="A809" s="3" t="s">
        <v>308</v>
      </c>
      <c r="B809" s="3" t="s">
        <v>15</v>
      </c>
      <c r="C809" s="80">
        <v>39202</v>
      </c>
      <c r="D809" s="10">
        <v>1.4503999999999999</v>
      </c>
      <c r="E809" s="81"/>
      <c r="F809" s="81">
        <v>39202</v>
      </c>
      <c r="G809" s="10">
        <f>IF(Tabela4[[#This Row],[Tipo]]="Dividendo",Tabela4[[#This Row],[Valor]],IF(Tabela4[[#This Row],[Tipo]]="Jrs. Cap. Próprio",Tabela4[[#This Row],[Valor]]*85%,0))</f>
        <v>1.4503999999999999</v>
      </c>
      <c r="I809" s="35" t="s">
        <v>104</v>
      </c>
      <c r="J809" s="35">
        <v>2001</v>
      </c>
      <c r="K809" s="34">
        <f>SUMPRODUCT(N(Tabela4[Ativo]=Tabela5[[#This Row],[Ativo]]),N(YEAR(Tabela4[Data ex-1])=Tabela5[[#This Row],[Ano]]),Tabela4[Líquido])</f>
        <v>0.44847500000000001</v>
      </c>
      <c r="L809" s="87"/>
      <c r="M809" s="87"/>
      <c r="N809" s="88">
        <f>IF(Tabela5[[#This Row],[Dividendos]]&gt;0,Tabela5[[#This Row],[Dividendos]]/Tabela5[[#This Row],[Lucro Líquido]],0)</f>
        <v>0</v>
      </c>
      <c r="O809" s="23"/>
      <c r="P809" s="10"/>
    </row>
    <row r="810" spans="1:16" x14ac:dyDescent="0.2">
      <c r="A810" s="3" t="s">
        <v>308</v>
      </c>
      <c r="B810" s="3" t="s">
        <v>14</v>
      </c>
      <c r="C810" s="80">
        <v>39049</v>
      </c>
      <c r="D810" s="10">
        <v>0.36930000000000002</v>
      </c>
      <c r="E810" s="81">
        <v>39233</v>
      </c>
      <c r="F810" s="81">
        <v>39049</v>
      </c>
      <c r="G810" s="10">
        <f>IF(Tabela4[[#This Row],[Tipo]]="Dividendo",Tabela4[[#This Row],[Valor]],IF(Tabela4[[#This Row],[Tipo]]="Jrs. Cap. Próprio",Tabela4[[#This Row],[Valor]]*85%,0))</f>
        <v>0.31390499999999999</v>
      </c>
      <c r="I810" s="35" t="s">
        <v>104</v>
      </c>
      <c r="J810" s="35">
        <v>2000</v>
      </c>
      <c r="K810" s="34">
        <f>SUMPRODUCT(N(Tabela4[Ativo]=Tabela5[[#This Row],[Ativo]]),N(YEAR(Tabela4[Data ex-1])=Tabela5[[#This Row],[Ano]]),Tabela4[Líquido])</f>
        <v>0.39040000000000002</v>
      </c>
      <c r="L810" s="87"/>
      <c r="M810" s="87"/>
      <c r="N810" s="88">
        <f>IF(Tabela5[[#This Row],[Dividendos]]&gt;0,Tabela5[[#This Row],[Dividendos]]/Tabela5[[#This Row],[Lucro Líquido]],0)</f>
        <v>0</v>
      </c>
      <c r="O810" s="23"/>
      <c r="P810" s="10"/>
    </row>
    <row r="811" spans="1:16" x14ac:dyDescent="0.2">
      <c r="A811" s="3" t="s">
        <v>308</v>
      </c>
      <c r="B811" s="3" t="s">
        <v>14</v>
      </c>
      <c r="C811" s="80">
        <v>38834</v>
      </c>
      <c r="D811" s="10">
        <v>0.1734</v>
      </c>
      <c r="E811" s="81">
        <v>38868</v>
      </c>
      <c r="F811" s="81">
        <v>38834</v>
      </c>
      <c r="G811" s="10">
        <f>IF(Tabela4[[#This Row],[Tipo]]="Dividendo",Tabela4[[#This Row],[Valor]],IF(Tabela4[[#This Row],[Tipo]]="Jrs. Cap. Próprio",Tabela4[[#This Row],[Valor]]*85%,0))</f>
        <v>0.14738999999999999</v>
      </c>
      <c r="I811" s="35" t="s">
        <v>104</v>
      </c>
      <c r="J811" s="35">
        <v>1999</v>
      </c>
      <c r="K811" s="34">
        <f>SUMPRODUCT(N(Tabela4[Ativo]=Tabela5[[#This Row],[Ativo]]),N(YEAR(Tabela4[Data ex-1])=Tabela5[[#This Row],[Ano]]),Tabela4[Líquido])</f>
        <v>0.19520000000000001</v>
      </c>
      <c r="L811" s="87"/>
      <c r="M811" s="87"/>
      <c r="N811" s="88">
        <f>IF(Tabela5[[#This Row],[Dividendos]]&gt;0,Tabela5[[#This Row],[Dividendos]]/Tabela5[[#This Row],[Lucro Líquido]],0)</f>
        <v>0</v>
      </c>
      <c r="O811" s="23"/>
      <c r="P811" s="10"/>
    </row>
    <row r="812" spans="1:16" x14ac:dyDescent="0.2">
      <c r="A812" s="3" t="s">
        <v>308</v>
      </c>
      <c r="B812" s="3" t="s">
        <v>15</v>
      </c>
      <c r="C812" s="80">
        <v>38834</v>
      </c>
      <c r="D812" s="10">
        <v>0.90400000000000003</v>
      </c>
      <c r="E812" s="81"/>
      <c r="F812" s="81">
        <v>38834</v>
      </c>
      <c r="G812" s="10">
        <f>IF(Tabela4[[#This Row],[Tipo]]="Dividendo",Tabela4[[#This Row],[Valor]],IF(Tabela4[[#This Row],[Tipo]]="Jrs. Cap. Próprio",Tabela4[[#This Row],[Valor]]*85%,0))</f>
        <v>0.90400000000000003</v>
      </c>
      <c r="I812" s="3" t="s">
        <v>306</v>
      </c>
      <c r="J812" s="3">
        <v>2013</v>
      </c>
      <c r="K812" s="10">
        <f>SUMPRODUCT(N(Tabela4[Ativo]=Tabela5[[#This Row],[Ativo]]),N(YEAR(Tabela4[Data ex-1])=Tabela5[[#This Row],[Ano]]),Tabela4[Líquido])</f>
        <v>4.3414400000000004</v>
      </c>
      <c r="N812" s="23">
        <f>IF(Tabela5[[#This Row],[Dividendos]]&gt;0,Tabela5[[#This Row],[Dividendos]]/Tabela5[[#This Row],[Lucro Líquido]],0)</f>
        <v>0</v>
      </c>
      <c r="O812" s="28">
        <v>1.2655000000000001</v>
      </c>
      <c r="P812" s="10"/>
    </row>
    <row r="813" spans="1:16" x14ac:dyDescent="0.2">
      <c r="A813" s="3" t="s">
        <v>308</v>
      </c>
      <c r="B813" s="3" t="s">
        <v>14</v>
      </c>
      <c r="C813" s="80">
        <v>38707</v>
      </c>
      <c r="D813" s="10">
        <v>0.38529999999999998</v>
      </c>
      <c r="E813" s="81">
        <v>38733</v>
      </c>
      <c r="F813" s="81">
        <v>38707</v>
      </c>
      <c r="G813" s="10">
        <f>IF(Tabela4[[#This Row],[Tipo]]="Dividendo",Tabela4[[#This Row],[Valor]],IF(Tabela4[[#This Row],[Tipo]]="Jrs. Cap. Próprio",Tabela4[[#This Row],[Valor]]*85%,0))</f>
        <v>0.32750499999999999</v>
      </c>
      <c r="I813" s="3" t="s">
        <v>306</v>
      </c>
      <c r="J813" s="3">
        <v>2012</v>
      </c>
      <c r="K813" s="10">
        <f>SUMPRODUCT(N(Tabela4[Ativo]=Tabela5[[#This Row],[Ativo]]),N(YEAR(Tabela4[Data ex-1])=Tabela5[[#This Row],[Ano]]),Tabela4[Líquido])</f>
        <v>2.8243</v>
      </c>
      <c r="N813" s="23">
        <f>IF(Tabela5[[#This Row],[Dividendos]]&gt;0,Tabela5[[#This Row],[Dividendos]]/Tabela5[[#This Row],[Lucro Líquido]],0)</f>
        <v>0</v>
      </c>
      <c r="O813" s="28">
        <v>0.71</v>
      </c>
      <c r="P813" s="10"/>
    </row>
    <row r="814" spans="1:16" x14ac:dyDescent="0.2">
      <c r="A814" s="3" t="s">
        <v>308</v>
      </c>
      <c r="B814" s="3" t="s">
        <v>14</v>
      </c>
      <c r="C814" s="80">
        <v>38470</v>
      </c>
      <c r="D814" s="10">
        <v>0.183</v>
      </c>
      <c r="E814" s="81">
        <v>38527</v>
      </c>
      <c r="F814" s="81">
        <v>38470</v>
      </c>
      <c r="G814" s="10">
        <f>IF(Tabela4[[#This Row],[Tipo]]="Dividendo",Tabela4[[#This Row],[Valor]],IF(Tabela4[[#This Row],[Tipo]]="Jrs. Cap. Próprio",Tabela4[[#This Row],[Valor]]*85%,0))</f>
        <v>0.15554999999999999</v>
      </c>
      <c r="I814" s="3" t="s">
        <v>306</v>
      </c>
      <c r="J814" s="3">
        <v>2011</v>
      </c>
      <c r="K814" s="10">
        <f>SUMPRODUCT(N(Tabela4[Ativo]=Tabela5[[#This Row],[Ativo]]),N(YEAR(Tabela4[Data ex-1])=Tabela5[[#This Row],[Ano]]),Tabela4[Líquido])</f>
        <v>8.0720449999999992</v>
      </c>
      <c r="N814" s="23">
        <f>IF(Tabela5[[#This Row],[Dividendos]]&gt;0,Tabela5[[#This Row],[Dividendos]]/Tabela5[[#This Row],[Lucro Líquido]],0)</f>
        <v>0</v>
      </c>
      <c r="O814" s="28"/>
      <c r="P814" s="10"/>
    </row>
    <row r="815" spans="1:16" x14ac:dyDescent="0.2">
      <c r="A815" s="3" t="s">
        <v>308</v>
      </c>
      <c r="B815" s="3" t="s">
        <v>15</v>
      </c>
      <c r="C815" s="80">
        <v>38470</v>
      </c>
      <c r="D815" s="10">
        <v>3.9800000000000002E-2</v>
      </c>
      <c r="E815" s="81">
        <v>38527</v>
      </c>
      <c r="F815" s="81">
        <v>38470</v>
      </c>
      <c r="G815" s="10">
        <f>IF(Tabela4[[#This Row],[Tipo]]="Dividendo",Tabela4[[#This Row],[Valor]],IF(Tabela4[[#This Row],[Tipo]]="Jrs. Cap. Próprio",Tabela4[[#This Row],[Valor]]*85%,0))</f>
        <v>3.9800000000000002E-2</v>
      </c>
      <c r="I815" s="3" t="s">
        <v>306</v>
      </c>
      <c r="J815" s="3">
        <v>2010</v>
      </c>
      <c r="K815" s="10">
        <f>SUMPRODUCT(N(Tabela4[Ativo]=Tabela5[[#This Row],[Ativo]]),N(YEAR(Tabela4[Data ex-1])=Tabela5[[#This Row],[Ano]]),Tabela4[Líquido])</f>
        <v>4.3813649999999997</v>
      </c>
      <c r="N815" s="23">
        <f>IF(Tabela5[[#This Row],[Dividendos]]&gt;0,Tabela5[[#This Row],[Dividendos]]/Tabela5[[#This Row],[Lucro Líquido]],0)</f>
        <v>0</v>
      </c>
      <c r="O815" s="28"/>
      <c r="P815" s="10"/>
    </row>
    <row r="816" spans="1:16" x14ac:dyDescent="0.2">
      <c r="A816" s="3" t="s">
        <v>308</v>
      </c>
      <c r="B816" s="3" t="s">
        <v>15</v>
      </c>
      <c r="C816" s="80">
        <v>38106</v>
      </c>
      <c r="D816" s="10">
        <v>0.1019</v>
      </c>
      <c r="E816" s="81">
        <v>38166</v>
      </c>
      <c r="F816" s="81">
        <v>38106</v>
      </c>
      <c r="G816" s="10">
        <f>IF(Tabela4[[#This Row],[Tipo]]="Dividendo",Tabela4[[#This Row],[Valor]],IF(Tabela4[[#This Row],[Tipo]]="Jrs. Cap. Próprio",Tabela4[[#This Row],[Valor]]*85%,0))</f>
        <v>0.1019</v>
      </c>
      <c r="I816" s="3" t="s">
        <v>306</v>
      </c>
      <c r="J816" s="3">
        <v>2009</v>
      </c>
      <c r="K816" s="10">
        <f>SUMPRODUCT(N(Tabela4[Ativo]=Tabela5[[#This Row],[Ativo]]),N(YEAR(Tabela4[Data ex-1])=Tabela5[[#This Row],[Ano]]),Tabela4[Líquido])</f>
        <v>3.9943900000000001</v>
      </c>
      <c r="N816" s="23">
        <f>IF(Tabela5[[#This Row],[Dividendos]]&gt;0,Tabela5[[#This Row],[Dividendos]]/Tabela5[[#This Row],[Lucro Líquido]],0)</f>
        <v>0</v>
      </c>
      <c r="O816" s="28"/>
      <c r="P816" s="10"/>
    </row>
    <row r="817" spans="1:16" x14ac:dyDescent="0.2">
      <c r="A817" s="3" t="s">
        <v>308</v>
      </c>
      <c r="B817" s="3" t="s">
        <v>14</v>
      </c>
      <c r="C817" s="80">
        <v>38072</v>
      </c>
      <c r="D817" s="10">
        <v>0.11559999999999999</v>
      </c>
      <c r="E817" s="81">
        <v>38084</v>
      </c>
      <c r="F817" s="81">
        <v>38070</v>
      </c>
      <c r="G817" s="10">
        <f>IF(Tabela4[[#This Row],[Tipo]]="Dividendo",Tabela4[[#This Row],[Valor]],IF(Tabela4[[#This Row],[Tipo]]="Jrs. Cap. Próprio",Tabela4[[#This Row],[Valor]]*85%,0))</f>
        <v>9.8259999999999986E-2</v>
      </c>
      <c r="I817" s="3" t="s">
        <v>306</v>
      </c>
      <c r="J817" s="3">
        <v>2008</v>
      </c>
      <c r="K817" s="10">
        <f>SUMPRODUCT(N(Tabela4[Ativo]=Tabela5[[#This Row],[Ativo]]),N(YEAR(Tabela4[Data ex-1])=Tabela5[[#This Row],[Ano]]),Tabela4[Líquido])</f>
        <v>5.5623100000000001</v>
      </c>
      <c r="N817" s="23">
        <f>IF(Tabela5[[#This Row],[Dividendos]]&gt;0,Tabela5[[#This Row],[Dividendos]]/Tabela5[[#This Row],[Lucro Líquido]],0)</f>
        <v>0</v>
      </c>
      <c r="O817" s="28"/>
      <c r="P817" s="10"/>
    </row>
    <row r="818" spans="1:16" x14ac:dyDescent="0.2">
      <c r="A818" s="3" t="s">
        <v>308</v>
      </c>
      <c r="B818" s="3" t="s">
        <v>15</v>
      </c>
      <c r="C818" s="80">
        <v>37971</v>
      </c>
      <c r="D818" s="10">
        <v>0.11559999999999999</v>
      </c>
      <c r="E818" s="81">
        <v>37984</v>
      </c>
      <c r="F818" s="81">
        <v>37971</v>
      </c>
      <c r="G818" s="10">
        <f>IF(Tabela4[[#This Row],[Tipo]]="Dividendo",Tabela4[[#This Row],[Valor]],IF(Tabela4[[#This Row],[Tipo]]="Jrs. Cap. Próprio",Tabela4[[#This Row],[Valor]]*85%,0))</f>
        <v>0.11559999999999999</v>
      </c>
      <c r="I818" s="3" t="s">
        <v>306</v>
      </c>
      <c r="J818" s="3">
        <v>2007</v>
      </c>
      <c r="K818" s="10">
        <f>SUMPRODUCT(N(Tabela4[Ativo]=Tabela5[[#This Row],[Ativo]]),N(YEAR(Tabela4[Data ex-1])=Tabela5[[#This Row],[Ano]]),Tabela4[Líquido])</f>
        <v>6.5916399999999999</v>
      </c>
      <c r="N818" s="23">
        <f>IF(Tabela5[[#This Row],[Dividendos]]&gt;0,Tabela5[[#This Row],[Dividendos]]/Tabela5[[#This Row],[Lucro Líquido]],0)</f>
        <v>0</v>
      </c>
      <c r="O818" s="28"/>
      <c r="P818" s="10"/>
    </row>
    <row r="819" spans="1:16" x14ac:dyDescent="0.2">
      <c r="A819" s="3" t="s">
        <v>308</v>
      </c>
      <c r="B819" s="3" t="s">
        <v>14</v>
      </c>
      <c r="C819" s="80">
        <v>37853</v>
      </c>
      <c r="D819" s="10">
        <v>0.2248</v>
      </c>
      <c r="E819" s="81">
        <v>37869</v>
      </c>
      <c r="F819" s="81">
        <v>37853</v>
      </c>
      <c r="G819" s="10">
        <f>IF(Tabela4[[#This Row],[Tipo]]="Dividendo",Tabela4[[#This Row],[Valor]],IF(Tabela4[[#This Row],[Tipo]]="Jrs. Cap. Próprio",Tabela4[[#This Row],[Valor]]*85%,0))</f>
        <v>0.19108</v>
      </c>
      <c r="I819" s="3" t="s">
        <v>306</v>
      </c>
      <c r="J819" s="3">
        <v>2006</v>
      </c>
      <c r="K819" s="10">
        <f>SUMPRODUCT(N(Tabela4[Ativo]=Tabela5[[#This Row],[Ativo]]),N(YEAR(Tabela4[Data ex-1])=Tabela5[[#This Row],[Ano]]),Tabela4[Líquido])</f>
        <v>6.1394450000000003</v>
      </c>
      <c r="N819" s="23">
        <f>IF(Tabela5[[#This Row],[Dividendos]]&gt;0,Tabela5[[#This Row],[Dividendos]]/Tabela5[[#This Row],[Lucro Líquido]],0)</f>
        <v>0</v>
      </c>
      <c r="O819" s="28"/>
      <c r="P819" s="10"/>
    </row>
    <row r="820" spans="1:16" x14ac:dyDescent="0.2">
      <c r="A820" s="3" t="s">
        <v>308</v>
      </c>
      <c r="B820" s="3" t="s">
        <v>52</v>
      </c>
      <c r="C820" s="80">
        <v>37740</v>
      </c>
      <c r="D820" s="10">
        <v>7.5182000000000002</v>
      </c>
      <c r="E820" s="81"/>
      <c r="F820" s="81">
        <v>37740</v>
      </c>
      <c r="G820" s="10">
        <f>IF(Tabela4[[#This Row],[Tipo]]="Dividendo",Tabela4[[#This Row],[Valor]],IF(Tabela4[[#This Row],[Tipo]]="Jrs. Cap. Próprio",Tabela4[[#This Row],[Valor]]*85%,0))</f>
        <v>0</v>
      </c>
      <c r="I820" s="3" t="s">
        <v>306</v>
      </c>
      <c r="J820" s="3">
        <v>2005</v>
      </c>
      <c r="K820" s="10">
        <f>SUMPRODUCT(N(Tabela4[Ativo]=Tabela5[[#This Row],[Ativo]]),N(YEAR(Tabela4[Data ex-1])=Tabela5[[#This Row],[Ano]]),Tabela4[Líquido])</f>
        <v>7.5821299999999994</v>
      </c>
      <c r="N820" s="23">
        <f>IF(Tabela5[[#This Row],[Dividendos]]&gt;0,Tabela5[[#This Row],[Dividendos]]/Tabela5[[#This Row],[Lucro Líquido]],0)</f>
        <v>0</v>
      </c>
      <c r="O820" s="28"/>
      <c r="P820" s="10"/>
    </row>
    <row r="821" spans="1:16" x14ac:dyDescent="0.2">
      <c r="A821" s="3" t="s">
        <v>308</v>
      </c>
      <c r="B821" s="3" t="s">
        <v>14</v>
      </c>
      <c r="C821" s="80">
        <v>37740</v>
      </c>
      <c r="D821" s="10">
        <v>0.34489999999999998</v>
      </c>
      <c r="E821" s="81">
        <v>37799</v>
      </c>
      <c r="F821" s="81">
        <v>37740</v>
      </c>
      <c r="G821" s="10">
        <f>IF(Tabela4[[#This Row],[Tipo]]="Dividendo",Tabela4[[#This Row],[Valor]],IF(Tabela4[[#This Row],[Tipo]]="Jrs. Cap. Próprio",Tabela4[[#This Row],[Valor]]*85%,0))</f>
        <v>0.29316499999999995</v>
      </c>
      <c r="I821" s="3" t="s">
        <v>306</v>
      </c>
      <c r="J821" s="3">
        <v>2004</v>
      </c>
      <c r="K821" s="10">
        <f>SUMPRODUCT(N(Tabela4[Ativo]=Tabela5[[#This Row],[Ativo]]),N(YEAR(Tabela4[Data ex-1])=Tabela5[[#This Row],[Ano]]),Tabela4[Líquido])</f>
        <v>6.1955799999999996</v>
      </c>
      <c r="N821" s="23">
        <f>IF(Tabela5[[#This Row],[Dividendos]]&gt;0,Tabela5[[#This Row],[Dividendos]]/Tabela5[[#This Row],[Lucro Líquido]],0)</f>
        <v>0</v>
      </c>
      <c r="O821" s="28"/>
      <c r="P821" s="10"/>
    </row>
    <row r="822" spans="1:16" x14ac:dyDescent="0.2">
      <c r="A822" s="3" t="s">
        <v>308</v>
      </c>
      <c r="B822" s="3" t="s">
        <v>15</v>
      </c>
      <c r="C822" s="80">
        <v>37740</v>
      </c>
      <c r="D822" s="10">
        <v>0.1636</v>
      </c>
      <c r="E822" s="81">
        <v>37767</v>
      </c>
      <c r="F822" s="81">
        <v>37740</v>
      </c>
      <c r="G822" s="10">
        <f>IF(Tabela4[[#This Row],[Tipo]]="Dividendo",Tabela4[[#This Row],[Valor]],IF(Tabela4[[#This Row],[Tipo]]="Jrs. Cap. Próprio",Tabela4[[#This Row],[Valor]]*85%,0))</f>
        <v>0.1636</v>
      </c>
      <c r="I822" s="3" t="s">
        <v>306</v>
      </c>
      <c r="J822" s="3">
        <v>2003</v>
      </c>
      <c r="K822" s="10">
        <f>SUMPRODUCT(N(Tabela4[Ativo]=Tabela5[[#This Row],[Ativo]]),N(YEAR(Tabela4[Data ex-1])=Tabela5[[#This Row],[Ano]]),Tabela4[Líquido])</f>
        <v>7.8630250000000004</v>
      </c>
      <c r="N822" s="23">
        <f>IF(Tabela5[[#This Row],[Dividendos]]&gt;0,Tabela5[[#This Row],[Dividendos]]/Tabela5[[#This Row],[Lucro Líquido]],0)</f>
        <v>0</v>
      </c>
      <c r="O822" s="28"/>
      <c r="P822" s="10"/>
    </row>
    <row r="823" spans="1:16" x14ac:dyDescent="0.2">
      <c r="A823" s="3" t="s">
        <v>308</v>
      </c>
      <c r="B823" s="3" t="s">
        <v>52</v>
      </c>
      <c r="C823" s="80">
        <v>37372</v>
      </c>
      <c r="D823" s="10">
        <v>7.7302999999999997</v>
      </c>
      <c r="E823" s="81"/>
      <c r="F823" s="81">
        <v>37372</v>
      </c>
      <c r="G823" s="10">
        <f>IF(Tabela4[[#This Row],[Tipo]]="Dividendo",Tabela4[[#This Row],[Valor]],IF(Tabela4[[#This Row],[Tipo]]="Jrs. Cap. Próprio",Tabela4[[#This Row],[Valor]]*85%,0))</f>
        <v>0</v>
      </c>
      <c r="I823" s="3" t="s">
        <v>306</v>
      </c>
      <c r="J823" s="3">
        <v>2002</v>
      </c>
      <c r="K823" s="10">
        <f>SUMPRODUCT(N(Tabela4[Ativo]=Tabela5[[#This Row],[Ativo]]),N(YEAR(Tabela4[Data ex-1])=Tabela5[[#This Row],[Ano]]),Tabela4[Líquido])</f>
        <v>1.6946300000000001</v>
      </c>
      <c r="N823" s="23">
        <f>IF(Tabela5[[#This Row],[Dividendos]]&gt;0,Tabela5[[#This Row],[Dividendos]]/Tabela5[[#This Row],[Lucro Líquido]],0)</f>
        <v>0</v>
      </c>
      <c r="O823" s="28"/>
      <c r="P823" s="10"/>
    </row>
    <row r="824" spans="1:16" x14ac:dyDescent="0.2">
      <c r="A824" s="3" t="s">
        <v>308</v>
      </c>
      <c r="B824" s="3" t="s">
        <v>14</v>
      </c>
      <c r="C824" s="80">
        <v>37372</v>
      </c>
      <c r="D824" s="10">
        <v>0.27150000000000002</v>
      </c>
      <c r="E824" s="81">
        <v>37432</v>
      </c>
      <c r="F824" s="81">
        <v>37372</v>
      </c>
      <c r="G824" s="10">
        <f>IF(Tabela4[[#This Row],[Tipo]]="Dividendo",Tabela4[[#This Row],[Valor]],IF(Tabela4[[#This Row],[Tipo]]="Jrs. Cap. Próprio",Tabela4[[#This Row],[Valor]]*85%,0))</f>
        <v>0.23077500000000001</v>
      </c>
      <c r="I824" s="3" t="s">
        <v>306</v>
      </c>
      <c r="J824" s="3">
        <v>2001</v>
      </c>
      <c r="K824" s="10">
        <f>SUMPRODUCT(N(Tabela4[Ativo]=Tabela5[[#This Row],[Ativo]]),N(YEAR(Tabela4[Data ex-1])=Tabela5[[#This Row],[Ano]]),Tabela4[Líquido])</f>
        <v>1.8258000000000001</v>
      </c>
      <c r="N824" s="23">
        <f>IF(Tabela5[[#This Row],[Dividendos]]&gt;0,Tabela5[[#This Row],[Dividendos]]/Tabela5[[#This Row],[Lucro Líquido]],0)</f>
        <v>0</v>
      </c>
      <c r="O824" s="28"/>
      <c r="P824" s="10"/>
    </row>
    <row r="825" spans="1:16" x14ac:dyDescent="0.2">
      <c r="A825" s="3" t="s">
        <v>308</v>
      </c>
      <c r="B825" s="3" t="s">
        <v>15</v>
      </c>
      <c r="C825" s="80">
        <v>37372</v>
      </c>
      <c r="D825" s="10">
        <v>0.20710000000000001</v>
      </c>
      <c r="E825" s="81">
        <v>37432</v>
      </c>
      <c r="F825" s="81">
        <v>37372</v>
      </c>
      <c r="G825" s="10">
        <f>IF(Tabela4[[#This Row],[Tipo]]="Dividendo",Tabela4[[#This Row],[Valor]],IF(Tabela4[[#This Row],[Tipo]]="Jrs. Cap. Próprio",Tabela4[[#This Row],[Valor]]*85%,0))</f>
        <v>0.20710000000000001</v>
      </c>
      <c r="P825" s="10"/>
    </row>
    <row r="826" spans="1:16" x14ac:dyDescent="0.2">
      <c r="A826" s="3" t="s">
        <v>308</v>
      </c>
      <c r="B826" s="3" t="s">
        <v>14</v>
      </c>
      <c r="C826" s="80">
        <v>37104</v>
      </c>
      <c r="D826" s="10">
        <v>0.161</v>
      </c>
      <c r="E826" s="81">
        <v>37162</v>
      </c>
      <c r="F826" s="81">
        <v>37104</v>
      </c>
      <c r="G826" s="10">
        <f>IF(Tabela4[[#This Row],[Tipo]]="Dividendo",Tabela4[[#This Row],[Valor]],IF(Tabela4[[#This Row],[Tipo]]="Jrs. Cap. Próprio",Tabela4[[#This Row],[Valor]]*85%,0))</f>
        <v>0.13685</v>
      </c>
    </row>
    <row r="827" spans="1:16" x14ac:dyDescent="0.2">
      <c r="A827" s="3" t="s">
        <v>308</v>
      </c>
      <c r="B827" s="3" t="s">
        <v>52</v>
      </c>
      <c r="C827" s="80">
        <v>37011</v>
      </c>
      <c r="D827" s="10">
        <v>7.8624999999999998</v>
      </c>
      <c r="E827" s="81"/>
      <c r="F827" s="81">
        <v>37011</v>
      </c>
      <c r="G827" s="10">
        <f>IF(Tabela4[[#This Row],[Tipo]]="Dividendo",Tabela4[[#This Row],[Valor]],IF(Tabela4[[#This Row],[Tipo]]="Jrs. Cap. Próprio",Tabela4[[#This Row],[Valor]]*85%,0))</f>
        <v>0</v>
      </c>
    </row>
    <row r="828" spans="1:16" x14ac:dyDescent="0.2">
      <c r="A828" s="3" t="s">
        <v>308</v>
      </c>
      <c r="B828" s="3" t="s">
        <v>14</v>
      </c>
      <c r="C828" s="80">
        <v>37011</v>
      </c>
      <c r="D828" s="10">
        <v>2.8E-3</v>
      </c>
      <c r="E828" s="81">
        <v>37071</v>
      </c>
      <c r="F828" s="81">
        <v>37011</v>
      </c>
      <c r="G828" s="10">
        <f>IF(Tabela4[[#This Row],[Tipo]]="Dividendo",Tabela4[[#This Row],[Valor]],IF(Tabela4[[#This Row],[Tipo]]="Jrs. Cap. Próprio",Tabela4[[#This Row],[Valor]]*85%,0))</f>
        <v>2.3799999999999997E-3</v>
      </c>
    </row>
    <row r="829" spans="1:16" x14ac:dyDescent="0.2">
      <c r="A829" s="3" t="s">
        <v>308</v>
      </c>
      <c r="B829" s="3" t="s">
        <v>15</v>
      </c>
      <c r="C829" s="80">
        <v>37011</v>
      </c>
      <c r="D829" s="10">
        <v>0.2291</v>
      </c>
      <c r="E829" s="81">
        <v>37071</v>
      </c>
      <c r="F829" s="81">
        <v>37011</v>
      </c>
      <c r="G829" s="10">
        <f>IF(Tabela4[[#This Row],[Tipo]]="Dividendo",Tabela4[[#This Row],[Valor]],IF(Tabela4[[#This Row],[Tipo]]="Jrs. Cap. Próprio",Tabela4[[#This Row],[Valor]]*85%,0))</f>
        <v>0.2291</v>
      </c>
    </row>
    <row r="830" spans="1:16" x14ac:dyDescent="0.2">
      <c r="A830" s="3" t="s">
        <v>308</v>
      </c>
      <c r="B830" s="3" t="s">
        <v>14</v>
      </c>
      <c r="C830" s="80">
        <v>36840</v>
      </c>
      <c r="D830" s="10">
        <v>0.1459</v>
      </c>
      <c r="E830" s="81"/>
      <c r="F830" s="81">
        <v>36839</v>
      </c>
      <c r="G830" s="10">
        <f>IF(Tabela4[[#This Row],[Tipo]]="Dividendo",Tabela4[[#This Row],[Valor]],IF(Tabela4[[#This Row],[Tipo]]="Jrs. Cap. Próprio",Tabela4[[#This Row],[Valor]]*85%,0))</f>
        <v>0.124015</v>
      </c>
    </row>
    <row r="831" spans="1:16" x14ac:dyDescent="0.2">
      <c r="A831" s="3" t="s">
        <v>308</v>
      </c>
      <c r="B831" s="3" t="s">
        <v>14</v>
      </c>
      <c r="C831" s="80">
        <v>36753</v>
      </c>
      <c r="D831" s="10">
        <v>6.7299999999999999E-2</v>
      </c>
      <c r="E831" s="81">
        <v>36768</v>
      </c>
      <c r="F831" s="81">
        <v>36753</v>
      </c>
      <c r="G831" s="10">
        <f>IF(Tabela4[[#This Row],[Tipo]]="Dividendo",Tabela4[[#This Row],[Valor]],IF(Tabela4[[#This Row],[Tipo]]="Jrs. Cap. Próprio",Tabela4[[#This Row],[Valor]]*85%,0))</f>
        <v>5.7204999999999999E-2</v>
      </c>
    </row>
    <row r="832" spans="1:16" x14ac:dyDescent="0.2">
      <c r="A832" s="3" t="s">
        <v>308</v>
      </c>
      <c r="B832" s="3" t="s">
        <v>14</v>
      </c>
      <c r="C832" s="80">
        <v>36641</v>
      </c>
      <c r="D832" s="10">
        <v>6.6600000000000006E-2</v>
      </c>
      <c r="E832" s="81"/>
      <c r="F832" s="81">
        <v>36641</v>
      </c>
      <c r="G832" s="10">
        <f>IF(Tabela4[[#This Row],[Tipo]]="Dividendo",Tabela4[[#This Row],[Valor]],IF(Tabela4[[#This Row],[Tipo]]="Jrs. Cap. Próprio",Tabela4[[#This Row],[Valor]]*85%,0))</f>
        <v>5.6610000000000001E-2</v>
      </c>
    </row>
    <row r="833" spans="1:7" x14ac:dyDescent="0.2">
      <c r="A833" s="3" t="s">
        <v>308</v>
      </c>
      <c r="B833" s="3" t="s">
        <v>52</v>
      </c>
      <c r="C833" s="80">
        <v>36620</v>
      </c>
      <c r="D833" s="10">
        <v>7.94</v>
      </c>
      <c r="E833" s="81"/>
      <c r="F833" s="81">
        <v>36620</v>
      </c>
      <c r="G833" s="10">
        <f>IF(Tabela4[[#This Row],[Tipo]]="Dividendo",Tabela4[[#This Row],[Valor]],IF(Tabela4[[#This Row],[Tipo]]="Jrs. Cap. Próprio",Tabela4[[#This Row],[Valor]]*85%,0))</f>
        <v>0</v>
      </c>
    </row>
    <row r="834" spans="1:7" x14ac:dyDescent="0.2">
      <c r="A834" s="3" t="s">
        <v>308</v>
      </c>
      <c r="B834" s="3" t="s">
        <v>15</v>
      </c>
      <c r="C834" s="80">
        <v>36620</v>
      </c>
      <c r="D834" s="10">
        <v>1.37E-2</v>
      </c>
      <c r="E834" s="81">
        <v>36671</v>
      </c>
      <c r="F834" s="81">
        <v>36620</v>
      </c>
      <c r="G834" s="10">
        <f>IF(Tabela4[[#This Row],[Tipo]]="Dividendo",Tabela4[[#This Row],[Valor]],IF(Tabela4[[#This Row],[Tipo]]="Jrs. Cap. Próprio",Tabela4[[#This Row],[Valor]]*85%,0))</f>
        <v>1.37E-2</v>
      </c>
    </row>
    <row r="835" spans="1:7" x14ac:dyDescent="0.2">
      <c r="A835" s="3" t="s">
        <v>308</v>
      </c>
      <c r="B835" s="3" t="s">
        <v>14</v>
      </c>
      <c r="C835" s="80">
        <v>36544</v>
      </c>
      <c r="D835" s="10">
        <v>5.6099999999999997E-2</v>
      </c>
      <c r="E835" s="81">
        <v>36584</v>
      </c>
      <c r="F835" s="81">
        <v>36544</v>
      </c>
      <c r="G835" s="10">
        <f>IF(Tabela4[[#This Row],[Tipo]]="Dividendo",Tabela4[[#This Row],[Valor]],IF(Tabela4[[#This Row],[Tipo]]="Jrs. Cap. Próprio",Tabela4[[#This Row],[Valor]]*85%,0))</f>
        <v>4.7684999999999998E-2</v>
      </c>
    </row>
    <row r="836" spans="1:7" x14ac:dyDescent="0.2">
      <c r="A836" s="3" t="s">
        <v>308</v>
      </c>
      <c r="B836" s="3" t="s">
        <v>14</v>
      </c>
      <c r="C836" s="80">
        <v>36476</v>
      </c>
      <c r="D836" s="10">
        <v>0.24</v>
      </c>
      <c r="E836" s="81">
        <v>36490</v>
      </c>
      <c r="F836" s="81">
        <v>36476</v>
      </c>
      <c r="G836" s="10">
        <f>IF(Tabela4[[#This Row],[Tipo]]="Dividendo",Tabela4[[#This Row],[Valor]],IF(Tabela4[[#This Row],[Tipo]]="Jrs. Cap. Próprio",Tabela4[[#This Row],[Valor]]*85%,0))</f>
        <v>0.20399999999999999</v>
      </c>
    </row>
    <row r="837" spans="1:7" x14ac:dyDescent="0.2">
      <c r="A837" s="3" t="s">
        <v>308</v>
      </c>
      <c r="B837" s="3" t="s">
        <v>15</v>
      </c>
      <c r="C837" s="80">
        <v>36256</v>
      </c>
      <c r="D837" s="10">
        <v>9.4700000000000006E-2</v>
      </c>
      <c r="E837" s="81">
        <v>36266</v>
      </c>
      <c r="F837" s="81">
        <v>36256</v>
      </c>
      <c r="G837" s="10">
        <f>IF(Tabela4[[#This Row],[Tipo]]="Dividendo",Tabela4[[#This Row],[Valor]],IF(Tabela4[[#This Row],[Tipo]]="Jrs. Cap. Próprio",Tabela4[[#This Row],[Valor]]*85%,0))</f>
        <v>9.4700000000000006E-2</v>
      </c>
    </row>
    <row r="838" spans="1:7" x14ac:dyDescent="0.2">
      <c r="A838" s="3" t="s">
        <v>308</v>
      </c>
      <c r="B838" s="3" t="s">
        <v>14</v>
      </c>
      <c r="C838" s="80">
        <v>36200</v>
      </c>
      <c r="D838" s="10">
        <v>8.4900000000000003E-2</v>
      </c>
      <c r="E838" s="81"/>
      <c r="F838" s="81">
        <v>36199</v>
      </c>
      <c r="G838" s="10">
        <f>IF(Tabela4[[#This Row],[Tipo]]="Dividendo",Tabela4[[#This Row],[Valor]],IF(Tabela4[[#This Row],[Tipo]]="Jrs. Cap. Próprio",Tabela4[[#This Row],[Valor]]*85%,0))</f>
        <v>7.2165000000000007E-2</v>
      </c>
    </row>
    <row r="839" spans="1:7" x14ac:dyDescent="0.2">
      <c r="A839" s="3" t="s">
        <v>308</v>
      </c>
      <c r="B839" s="3" t="s">
        <v>15</v>
      </c>
      <c r="C839" s="80">
        <v>35884</v>
      </c>
      <c r="D839" s="10">
        <v>0.1651</v>
      </c>
      <c r="E839" s="81"/>
      <c r="F839" s="81">
        <v>35884</v>
      </c>
      <c r="G839" s="10">
        <f>IF(Tabela4[[#This Row],[Tipo]]="Dividendo",Tabela4[[#This Row],[Valor]],IF(Tabela4[[#This Row],[Tipo]]="Jrs. Cap. Próprio",Tabela4[[#This Row],[Valor]]*85%,0))</f>
        <v>0.1651</v>
      </c>
    </row>
    <row r="840" spans="1:7" x14ac:dyDescent="0.2">
      <c r="A840" s="35" t="s">
        <v>94</v>
      </c>
      <c r="B840" s="35" t="s">
        <v>15</v>
      </c>
      <c r="C840" s="36">
        <v>41508</v>
      </c>
      <c r="D840" s="38">
        <v>0.37730000000000002</v>
      </c>
      <c r="E840" s="37">
        <v>41548</v>
      </c>
      <c r="F840" s="37">
        <v>41500</v>
      </c>
      <c r="G840" s="38">
        <f>IF(Tabela4[[#This Row],[Tipo]]="Dividendo",Tabela4[[#This Row],[Valor]],IF(Tabela4[[#This Row],[Tipo]]="Jrs. Cap. Próprio",Tabela4[[#This Row],[Valor]]*85%,0))</f>
        <v>0.37730000000000002</v>
      </c>
    </row>
    <row r="841" spans="1:7" x14ac:dyDescent="0.2">
      <c r="A841" s="35" t="s">
        <v>94</v>
      </c>
      <c r="B841" s="31" t="s">
        <v>15</v>
      </c>
      <c r="C841" s="32">
        <v>41383</v>
      </c>
      <c r="D841" s="34">
        <v>0.4738</v>
      </c>
      <c r="E841" s="33">
        <v>41394</v>
      </c>
      <c r="F841" s="33">
        <v>41383</v>
      </c>
      <c r="G841" s="34">
        <f>IF(Tabela4[[#This Row],[Tipo]]="Dividendo",Tabela4[[#This Row],[Valor]],IF(Tabela4[[#This Row],[Tipo]]="Jrs. Cap. Próprio",Tabela4[[#This Row],[Valor]]*85%,0))</f>
        <v>0.4738</v>
      </c>
    </row>
    <row r="842" spans="1:7" x14ac:dyDescent="0.2">
      <c r="A842" s="35" t="s">
        <v>94</v>
      </c>
      <c r="B842" s="31" t="s">
        <v>15</v>
      </c>
      <c r="C842" s="32">
        <v>41136</v>
      </c>
      <c r="D842" s="34">
        <v>0.6653</v>
      </c>
      <c r="E842" s="33">
        <v>41180</v>
      </c>
      <c r="F842" s="33">
        <v>41127</v>
      </c>
      <c r="G842" s="34">
        <f>IF(Tabela4[[#This Row],[Tipo]]="Dividendo",Tabela4[[#This Row],[Valor]],IF(Tabela4[[#This Row],[Tipo]]="Jrs. Cap. Próprio",Tabela4[[#This Row],[Valor]]*85%,0))</f>
        <v>0.6653</v>
      </c>
    </row>
    <row r="843" spans="1:7" x14ac:dyDescent="0.2">
      <c r="A843" s="35" t="s">
        <v>94</v>
      </c>
      <c r="B843" s="31" t="s">
        <v>15</v>
      </c>
      <c r="C843" s="32">
        <v>41011</v>
      </c>
      <c r="D843" s="34">
        <v>0.78820000000000001</v>
      </c>
      <c r="E843" s="33">
        <v>41026</v>
      </c>
      <c r="F843" s="33">
        <v>41011</v>
      </c>
      <c r="G843" s="34">
        <f>IF(Tabela4[[#This Row],[Tipo]]="Dividendo",Tabela4[[#This Row],[Valor]],IF(Tabela4[[#This Row],[Tipo]]="Jrs. Cap. Próprio",Tabela4[[#This Row],[Valor]]*85%,0))</f>
        <v>0.78820000000000001</v>
      </c>
    </row>
    <row r="844" spans="1:7" x14ac:dyDescent="0.2">
      <c r="A844" s="35" t="s">
        <v>94</v>
      </c>
      <c r="B844" s="31" t="s">
        <v>15</v>
      </c>
      <c r="C844" s="32">
        <v>40772</v>
      </c>
      <c r="D844" s="34">
        <v>0.77700000000000002</v>
      </c>
      <c r="E844" s="33">
        <v>40816</v>
      </c>
      <c r="F844" s="33">
        <v>40765</v>
      </c>
      <c r="G844" s="34">
        <f>IF(Tabela4[[#This Row],[Tipo]]="Dividendo",Tabela4[[#This Row],[Valor]],IF(Tabela4[[#This Row],[Tipo]]="Jrs. Cap. Próprio",Tabela4[[#This Row],[Valor]]*85%,0))</f>
        <v>0.77700000000000002</v>
      </c>
    </row>
    <row r="845" spans="1:7" x14ac:dyDescent="0.2">
      <c r="A845" s="35" t="s">
        <v>94</v>
      </c>
      <c r="B845" s="31" t="s">
        <v>15</v>
      </c>
      <c r="C845" s="32">
        <v>40637</v>
      </c>
      <c r="D845" s="34">
        <v>1.0102</v>
      </c>
      <c r="E845" s="33">
        <v>40662</v>
      </c>
      <c r="F845" s="33">
        <v>40625</v>
      </c>
      <c r="G845" s="34">
        <f>IF(Tabela4[[#This Row],[Tipo]]="Dividendo",Tabela4[[#This Row],[Valor]],IF(Tabela4[[#This Row],[Tipo]]="Jrs. Cap. Próprio",Tabela4[[#This Row],[Valor]]*85%,0))</f>
        <v>1.0102</v>
      </c>
    </row>
    <row r="846" spans="1:7" x14ac:dyDescent="0.2">
      <c r="A846" s="35" t="s">
        <v>94</v>
      </c>
      <c r="B846" s="31" t="s">
        <v>15</v>
      </c>
      <c r="C846" s="32">
        <v>40408</v>
      </c>
      <c r="D846" s="34">
        <v>1.6095999999999999</v>
      </c>
      <c r="E846" s="33">
        <v>40451</v>
      </c>
      <c r="F846" s="33">
        <v>40401</v>
      </c>
      <c r="G846" s="34">
        <f>IF(Tabela4[[#This Row],[Tipo]]="Dividendo",Tabela4[[#This Row],[Valor]],IF(Tabela4[[#This Row],[Tipo]]="Jrs. Cap. Próprio",Tabela4[[#This Row],[Valor]]*85%,0))</f>
        <v>1.6095999999999999</v>
      </c>
    </row>
    <row r="847" spans="1:7" x14ac:dyDescent="0.2">
      <c r="A847" s="35" t="s">
        <v>94</v>
      </c>
      <c r="B847" s="31" t="s">
        <v>15</v>
      </c>
      <c r="C847" s="32">
        <v>40245</v>
      </c>
      <c r="D847" s="34">
        <v>1.3649</v>
      </c>
      <c r="E847" s="33">
        <v>40298</v>
      </c>
      <c r="F847" s="33">
        <v>40233</v>
      </c>
      <c r="G847" s="34">
        <f>IF(Tabela4[[#This Row],[Tipo]]="Dividendo",Tabela4[[#This Row],[Valor]],IF(Tabela4[[#This Row],[Tipo]]="Jrs. Cap. Próprio",Tabela4[[#This Row],[Valor]]*85%,0))</f>
        <v>1.3649</v>
      </c>
    </row>
    <row r="848" spans="1:7" x14ac:dyDescent="0.2">
      <c r="A848" s="35" t="s">
        <v>94</v>
      </c>
      <c r="B848" s="31" t="s">
        <v>15</v>
      </c>
      <c r="C848" s="32">
        <v>40042</v>
      </c>
      <c r="D848" s="34">
        <v>1.1912</v>
      </c>
      <c r="E848" s="33">
        <v>40086</v>
      </c>
      <c r="F848" s="33">
        <v>40035</v>
      </c>
      <c r="G848" s="34">
        <f>IF(Tabela4[[#This Row],[Tipo]]="Dividendo",Tabela4[[#This Row],[Valor]],IF(Tabela4[[#This Row],[Tipo]]="Jrs. Cap. Próprio",Tabela4[[#This Row],[Valor]]*85%,0))</f>
        <v>1.1912</v>
      </c>
    </row>
    <row r="849" spans="1:7" x14ac:dyDescent="0.2">
      <c r="A849" s="35" t="s">
        <v>94</v>
      </c>
      <c r="B849" s="31" t="s">
        <v>15</v>
      </c>
      <c r="C849" s="32">
        <v>39874</v>
      </c>
      <c r="D849" s="34">
        <v>1.2629999999999999</v>
      </c>
      <c r="E849" s="33">
        <v>39933</v>
      </c>
      <c r="F849" s="33">
        <v>39862</v>
      </c>
      <c r="G849" s="34">
        <f>IF(Tabela4[[#This Row],[Tipo]]="Dividendo",Tabela4[[#This Row],[Valor]],IF(Tabela4[[#This Row],[Tipo]]="Jrs. Cap. Próprio",Tabela4[[#This Row],[Valor]]*85%,0))</f>
        <v>1.2629999999999999</v>
      </c>
    </row>
    <row r="850" spans="1:7" x14ac:dyDescent="0.2">
      <c r="A850" s="35" t="s">
        <v>94</v>
      </c>
      <c r="B850" s="31" t="s">
        <v>15</v>
      </c>
      <c r="C850" s="32">
        <v>39679</v>
      </c>
      <c r="D850" s="34">
        <v>1.2535000000000001</v>
      </c>
      <c r="E850" s="33">
        <v>39721</v>
      </c>
      <c r="F850" s="33">
        <v>39671</v>
      </c>
      <c r="G850" s="34">
        <f>IF(Tabela4[[#This Row],[Tipo]]="Dividendo",Tabela4[[#This Row],[Valor]],IF(Tabela4[[#This Row],[Tipo]]="Jrs. Cap. Próprio",Tabela4[[#This Row],[Valor]]*85%,0))</f>
        <v>1.2535000000000001</v>
      </c>
    </row>
    <row r="851" spans="1:7" x14ac:dyDescent="0.2">
      <c r="A851" s="35" t="s">
        <v>94</v>
      </c>
      <c r="B851" s="31" t="s">
        <v>15</v>
      </c>
      <c r="C851" s="32">
        <v>39513</v>
      </c>
      <c r="D851" s="34">
        <v>1.498</v>
      </c>
      <c r="E851" s="33">
        <v>39568</v>
      </c>
      <c r="F851" s="33">
        <v>39505</v>
      </c>
      <c r="G851" s="34">
        <f>IF(Tabela4[[#This Row],[Tipo]]="Dividendo",Tabela4[[#This Row],[Valor]],IF(Tabela4[[#This Row],[Tipo]]="Jrs. Cap. Próprio",Tabela4[[#This Row],[Valor]]*85%,0))</f>
        <v>1.498</v>
      </c>
    </row>
    <row r="852" spans="1:7" x14ac:dyDescent="0.2">
      <c r="A852" s="35" t="s">
        <v>94</v>
      </c>
      <c r="B852" s="31" t="s">
        <v>15</v>
      </c>
      <c r="C852" s="32">
        <v>39308</v>
      </c>
      <c r="D852" s="34">
        <v>1.7558</v>
      </c>
      <c r="E852" s="33">
        <v>39353</v>
      </c>
      <c r="F852" s="33">
        <v>39295</v>
      </c>
      <c r="G852" s="34">
        <f>IF(Tabela4[[#This Row],[Tipo]]="Dividendo",Tabela4[[#This Row],[Valor]],IF(Tabela4[[#This Row],[Tipo]]="Jrs. Cap. Próprio",Tabela4[[#This Row],[Valor]]*85%,0))</f>
        <v>1.7558</v>
      </c>
    </row>
    <row r="853" spans="1:7" x14ac:dyDescent="0.2">
      <c r="A853" s="35" t="s">
        <v>94</v>
      </c>
      <c r="B853" s="31" t="s">
        <v>15</v>
      </c>
      <c r="C853" s="32">
        <v>39168</v>
      </c>
      <c r="D853" s="34">
        <v>1.5046999999999999</v>
      </c>
      <c r="E853" s="33">
        <v>39199</v>
      </c>
      <c r="F853" s="33">
        <v>39125</v>
      </c>
      <c r="G853" s="34">
        <f>IF(Tabela4[[#This Row],[Tipo]]="Dividendo",Tabela4[[#This Row],[Valor]],IF(Tabela4[[#This Row],[Tipo]]="Jrs. Cap. Próprio",Tabela4[[#This Row],[Valor]]*85%,0))</f>
        <v>1.5046999999999999</v>
      </c>
    </row>
    <row r="854" spans="1:7" x14ac:dyDescent="0.2">
      <c r="A854" s="35" t="s">
        <v>94</v>
      </c>
      <c r="B854" s="31" t="s">
        <v>15</v>
      </c>
      <c r="C854" s="32">
        <v>38945</v>
      </c>
      <c r="D854" s="34">
        <v>1.2756000000000001</v>
      </c>
      <c r="E854" s="33">
        <v>38989</v>
      </c>
      <c r="F854" s="33">
        <v>38938</v>
      </c>
      <c r="G854" s="34">
        <f>IF(Tabela4[[#This Row],[Tipo]]="Dividendo",Tabela4[[#This Row],[Valor]],IF(Tabela4[[#This Row],[Tipo]]="Jrs. Cap. Próprio",Tabela4[[#This Row],[Valor]]*85%,0))</f>
        <v>1.2756000000000001</v>
      </c>
    </row>
    <row r="855" spans="1:7" x14ac:dyDescent="0.2">
      <c r="A855" s="35" t="s">
        <v>94</v>
      </c>
      <c r="B855" s="31" t="s">
        <v>15</v>
      </c>
      <c r="C855" s="32">
        <v>38811</v>
      </c>
      <c r="D855" s="34">
        <v>0.81120000000000003</v>
      </c>
      <c r="E855" s="33">
        <v>38827</v>
      </c>
      <c r="F855" s="33">
        <v>38811</v>
      </c>
      <c r="G855" s="34">
        <f>IF(Tabela4[[#This Row],[Tipo]]="Dividendo",Tabela4[[#This Row],[Valor]],IF(Tabela4[[#This Row],[Tipo]]="Jrs. Cap. Próprio",Tabela4[[#This Row],[Valor]]*85%,0))</f>
        <v>0.81120000000000003</v>
      </c>
    </row>
    <row r="856" spans="1:7" x14ac:dyDescent="0.2">
      <c r="A856" s="35" t="s">
        <v>94</v>
      </c>
      <c r="B856" s="31" t="s">
        <v>14</v>
      </c>
      <c r="C856" s="32">
        <v>38721</v>
      </c>
      <c r="D856" s="34">
        <v>0.2278</v>
      </c>
      <c r="E856" s="33">
        <v>38827</v>
      </c>
      <c r="F856" s="33">
        <v>38707</v>
      </c>
      <c r="G856" s="34">
        <f>IF(Tabela4[[#This Row],[Tipo]]="Dividendo",Tabela4[[#This Row],[Valor]],IF(Tabela4[[#This Row],[Tipo]]="Jrs. Cap. Próprio",Tabela4[[#This Row],[Valor]]*85%,0))</f>
        <v>0.19363</v>
      </c>
    </row>
    <row r="857" spans="1:7" x14ac:dyDescent="0.2">
      <c r="A857" s="35" t="s">
        <v>94</v>
      </c>
      <c r="B857" s="31" t="s">
        <v>15</v>
      </c>
      <c r="C857" s="32">
        <v>38586</v>
      </c>
      <c r="D857" s="34">
        <v>0.7087</v>
      </c>
      <c r="E857" s="33">
        <v>38604</v>
      </c>
      <c r="F857" s="33">
        <v>38573</v>
      </c>
      <c r="G857" s="34">
        <f>IF(Tabela4[[#This Row],[Tipo]]="Dividendo",Tabela4[[#This Row],[Valor]],IF(Tabela4[[#This Row],[Tipo]]="Jrs. Cap. Próprio",Tabela4[[#This Row],[Valor]]*85%,0))</f>
        <v>0.7087</v>
      </c>
    </row>
    <row r="858" spans="1:7" x14ac:dyDescent="0.2">
      <c r="A858" s="35" t="s">
        <v>94</v>
      </c>
      <c r="B858" s="31" t="s">
        <v>14</v>
      </c>
      <c r="C858" s="32">
        <v>38533</v>
      </c>
      <c r="D858" s="34">
        <v>0.16839999999999999</v>
      </c>
      <c r="E858" s="33">
        <v>38604</v>
      </c>
      <c r="F858" s="33">
        <v>38533</v>
      </c>
      <c r="G858" s="34">
        <f>IF(Tabela4[[#This Row],[Tipo]]="Dividendo",Tabela4[[#This Row],[Valor]],IF(Tabela4[[#This Row],[Tipo]]="Jrs. Cap. Próprio",Tabela4[[#This Row],[Valor]]*85%,0))</f>
        <v>0.14313999999999999</v>
      </c>
    </row>
    <row r="859" spans="1:7" x14ac:dyDescent="0.2">
      <c r="A859" s="35" t="s">
        <v>94</v>
      </c>
      <c r="B859" s="31" t="s">
        <v>15</v>
      </c>
      <c r="C859" s="32">
        <v>38471</v>
      </c>
      <c r="D859" s="34">
        <v>0.31030000000000002</v>
      </c>
      <c r="E859" s="33">
        <v>38484</v>
      </c>
      <c r="F859" s="33">
        <v>38471</v>
      </c>
      <c r="G859" s="34">
        <f>IF(Tabela4[[#This Row],[Tipo]]="Dividendo",Tabela4[[#This Row],[Valor]],IF(Tabela4[[#This Row],[Tipo]]="Jrs. Cap. Próprio",Tabela4[[#This Row],[Valor]]*85%,0))</f>
        <v>0.31030000000000002</v>
      </c>
    </row>
    <row r="860" spans="1:7" x14ac:dyDescent="0.2">
      <c r="A860" s="35" t="s">
        <v>96</v>
      </c>
      <c r="B860" s="35" t="s">
        <v>14</v>
      </c>
      <c r="C860" s="36">
        <v>41604</v>
      </c>
      <c r="D860" s="38">
        <v>0.62819999999999998</v>
      </c>
      <c r="E860" s="37">
        <v>41624</v>
      </c>
      <c r="F860" s="37">
        <v>41591</v>
      </c>
      <c r="G860" s="38">
        <f>IF(Tabela4[[#This Row],[Tipo]]="Dividendo",Tabela4[[#This Row],[Valor]],IF(Tabela4[[#This Row],[Tipo]]="Jrs. Cap. Próprio",Tabela4[[#This Row],[Valor]]*85%,0))</f>
        <v>0.53396999999999994</v>
      </c>
    </row>
    <row r="861" spans="1:7" x14ac:dyDescent="0.2">
      <c r="A861" s="35" t="s">
        <v>96</v>
      </c>
      <c r="B861" s="31" t="s">
        <v>15</v>
      </c>
      <c r="C861" s="32">
        <v>41604</v>
      </c>
      <c r="D861" s="34">
        <v>0.50619999999999998</v>
      </c>
      <c r="E861" s="33">
        <v>41624</v>
      </c>
      <c r="F861" s="33">
        <v>41591</v>
      </c>
      <c r="G861" s="34">
        <f>IF(Tabela4[[#This Row],[Tipo]]="Dividendo",Tabela4[[#This Row],[Valor]],IF(Tabela4[[#This Row],[Tipo]]="Jrs. Cap. Próprio",Tabela4[[#This Row],[Valor]]*85%,0))</f>
        <v>0.50619999999999998</v>
      </c>
    </row>
    <row r="862" spans="1:7" x14ac:dyDescent="0.2">
      <c r="A862" s="35" t="s">
        <v>96</v>
      </c>
      <c r="B862" s="31" t="s">
        <v>15</v>
      </c>
      <c r="C862" s="32">
        <v>41389</v>
      </c>
      <c r="D862" s="34">
        <v>0.45610000000000001</v>
      </c>
      <c r="E862" s="33">
        <v>41417</v>
      </c>
      <c r="F862" s="33">
        <v>41389</v>
      </c>
      <c r="G862" s="34">
        <f>IF(Tabela4[[#This Row],[Tipo]]="Dividendo",Tabela4[[#This Row],[Valor]],IF(Tabela4[[#This Row],[Tipo]]="Jrs. Cap. Próprio",Tabela4[[#This Row],[Valor]]*85%,0))</f>
        <v>0.45610000000000001</v>
      </c>
    </row>
    <row r="863" spans="1:7" x14ac:dyDescent="0.2">
      <c r="A863" s="35" t="s">
        <v>96</v>
      </c>
      <c r="B863" s="31" t="s">
        <v>14</v>
      </c>
      <c r="C863" s="32">
        <v>41276</v>
      </c>
      <c r="D863" s="34">
        <v>0.47920000000000001</v>
      </c>
      <c r="E863" s="33">
        <v>41289</v>
      </c>
      <c r="F863" s="33">
        <v>41262</v>
      </c>
      <c r="G863" s="34">
        <f>IF(Tabela4[[#This Row],[Tipo]]="Dividendo",Tabela4[[#This Row],[Valor]],IF(Tabela4[[#This Row],[Tipo]]="Jrs. Cap. Próprio",Tabela4[[#This Row],[Valor]]*85%,0))</f>
        <v>0.40732000000000002</v>
      </c>
    </row>
    <row r="864" spans="1:7" x14ac:dyDescent="0.2">
      <c r="A864" s="35" t="s">
        <v>96</v>
      </c>
      <c r="B864" s="31" t="s">
        <v>14</v>
      </c>
      <c r="C864" s="32">
        <v>41025</v>
      </c>
      <c r="D864" s="34">
        <v>0.68030000000000002</v>
      </c>
      <c r="E864" s="33">
        <v>41058</v>
      </c>
      <c r="F864" s="33">
        <v>41025</v>
      </c>
      <c r="G864" s="34">
        <f>IF(Tabela4[[#This Row],[Tipo]]="Dividendo",Tabela4[[#This Row],[Valor]],IF(Tabela4[[#This Row],[Tipo]]="Jrs. Cap. Próprio",Tabela4[[#This Row],[Valor]]*85%,0))</f>
        <v>0.57825499999999996</v>
      </c>
    </row>
    <row r="865" spans="1:7" x14ac:dyDescent="0.2">
      <c r="A865" s="35" t="s">
        <v>96</v>
      </c>
      <c r="B865" s="31" t="s">
        <v>14</v>
      </c>
      <c r="C865" s="32">
        <v>40773</v>
      </c>
      <c r="D865" s="34">
        <v>0.78800000000000003</v>
      </c>
      <c r="E865" s="33">
        <v>40801</v>
      </c>
      <c r="F865" s="33">
        <v>40766</v>
      </c>
      <c r="G865" s="34">
        <f>IF(Tabela4[[#This Row],[Tipo]]="Dividendo",Tabela4[[#This Row],[Valor]],IF(Tabela4[[#This Row],[Tipo]]="Jrs. Cap. Próprio",Tabela4[[#This Row],[Valor]]*85%,0))</f>
        <v>0.66980000000000006</v>
      </c>
    </row>
    <row r="866" spans="1:7" x14ac:dyDescent="0.2">
      <c r="A866" s="35" t="s">
        <v>96</v>
      </c>
      <c r="B866" s="31" t="s">
        <v>14</v>
      </c>
      <c r="C866" s="32">
        <v>40661</v>
      </c>
      <c r="D866" s="34">
        <v>0.40039999999999998</v>
      </c>
      <c r="E866" s="33">
        <v>40686</v>
      </c>
      <c r="F866" s="33">
        <v>40661</v>
      </c>
      <c r="G866" s="34">
        <f>IF(Tabela4[[#This Row],[Tipo]]="Dividendo",Tabela4[[#This Row],[Valor]],IF(Tabela4[[#This Row],[Tipo]]="Jrs. Cap. Próprio",Tabela4[[#This Row],[Valor]]*85%,0))</f>
        <v>0.34033999999999998</v>
      </c>
    </row>
    <row r="867" spans="1:7" x14ac:dyDescent="0.2">
      <c r="A867" s="35" t="s">
        <v>96</v>
      </c>
      <c r="B867" s="31" t="s">
        <v>15</v>
      </c>
      <c r="C867" s="32">
        <v>40661</v>
      </c>
      <c r="D867" s="34">
        <v>0.2833</v>
      </c>
      <c r="E867" s="33">
        <v>40686</v>
      </c>
      <c r="F867" s="33">
        <v>40661</v>
      </c>
      <c r="G867" s="34">
        <f>IF(Tabela4[[#This Row],[Tipo]]="Dividendo",Tabela4[[#This Row],[Valor]],IF(Tabela4[[#This Row],[Tipo]]="Jrs. Cap. Próprio",Tabela4[[#This Row],[Valor]]*85%,0))</f>
        <v>0.2833</v>
      </c>
    </row>
    <row r="868" spans="1:7" x14ac:dyDescent="0.2">
      <c r="A868" s="35" t="s">
        <v>96</v>
      </c>
      <c r="B868" s="31" t="s">
        <v>14</v>
      </c>
      <c r="C868" s="32">
        <v>40410</v>
      </c>
      <c r="D868" s="34">
        <v>0.29659999999999997</v>
      </c>
      <c r="E868" s="33">
        <v>40441</v>
      </c>
      <c r="F868" s="33">
        <v>40407</v>
      </c>
      <c r="G868" s="34">
        <f>IF(Tabela4[[#This Row],[Tipo]]="Dividendo",Tabela4[[#This Row],[Valor]],IF(Tabela4[[#This Row],[Tipo]]="Jrs. Cap. Próprio",Tabela4[[#This Row],[Valor]]*85%,0))</f>
        <v>0.25210999999999995</v>
      </c>
    </row>
    <row r="869" spans="1:7" x14ac:dyDescent="0.2">
      <c r="A869" s="35" t="s">
        <v>96</v>
      </c>
      <c r="B869" s="31" t="s">
        <v>15</v>
      </c>
      <c r="C869" s="32">
        <v>40295</v>
      </c>
      <c r="D869" s="34">
        <v>6.7799999999999999E-2</v>
      </c>
      <c r="E869" s="33">
        <v>40325</v>
      </c>
      <c r="F869" s="33">
        <v>40295</v>
      </c>
      <c r="G869" s="34">
        <f>IF(Tabela4[[#This Row],[Tipo]]="Dividendo",Tabela4[[#This Row],[Valor]],IF(Tabela4[[#This Row],[Tipo]]="Jrs. Cap. Próprio",Tabela4[[#This Row],[Valor]]*85%,0))</f>
        <v>6.7799999999999999E-2</v>
      </c>
    </row>
    <row r="870" spans="1:7" x14ac:dyDescent="0.2">
      <c r="A870" s="35" t="s">
        <v>96</v>
      </c>
      <c r="B870" s="31" t="s">
        <v>14</v>
      </c>
      <c r="C870" s="32">
        <v>40295</v>
      </c>
      <c r="D870" s="34">
        <v>0.21560000000000001</v>
      </c>
      <c r="E870" s="33">
        <v>40325</v>
      </c>
      <c r="F870" s="33">
        <v>40295</v>
      </c>
      <c r="G870" s="34">
        <f>IF(Tabela4[[#This Row],[Tipo]]="Dividendo",Tabela4[[#This Row],[Valor]],IF(Tabela4[[#This Row],[Tipo]]="Jrs. Cap. Próprio",Tabela4[[#This Row],[Valor]]*85%,0))</f>
        <v>0.18326000000000001</v>
      </c>
    </row>
    <row r="871" spans="1:7" x14ac:dyDescent="0.2">
      <c r="A871" s="35" t="s">
        <v>96</v>
      </c>
      <c r="B871" s="31" t="s">
        <v>14</v>
      </c>
      <c r="C871" s="32">
        <v>40129</v>
      </c>
      <c r="D871" s="34">
        <v>0.58630000000000004</v>
      </c>
      <c r="E871" s="33">
        <v>40154</v>
      </c>
      <c r="F871" s="33">
        <v>40128</v>
      </c>
      <c r="G871" s="34">
        <f>IF(Tabela4[[#This Row],[Tipo]]="Dividendo",Tabela4[[#This Row],[Valor]],IF(Tabela4[[#This Row],[Tipo]]="Jrs. Cap. Próprio",Tabela4[[#This Row],[Valor]]*85%,0))</f>
        <v>0.49835500000000005</v>
      </c>
    </row>
    <row r="872" spans="1:7" x14ac:dyDescent="0.2">
      <c r="A872" s="35" t="s">
        <v>96</v>
      </c>
      <c r="B872" s="31" t="s">
        <v>14</v>
      </c>
      <c r="C872" s="32">
        <v>39926</v>
      </c>
      <c r="D872" s="34">
        <v>0.79490000000000005</v>
      </c>
      <c r="E872" s="33">
        <v>39962</v>
      </c>
      <c r="F872" s="33">
        <v>39926</v>
      </c>
      <c r="G872" s="34">
        <f>IF(Tabela4[[#This Row],[Tipo]]="Dividendo",Tabela4[[#This Row],[Valor]],IF(Tabela4[[#This Row],[Tipo]]="Jrs. Cap. Próprio",Tabela4[[#This Row],[Valor]]*85%,0))</f>
        <v>0.67566500000000007</v>
      </c>
    </row>
    <row r="873" spans="1:7" x14ac:dyDescent="0.2">
      <c r="A873" s="35" t="s">
        <v>96</v>
      </c>
      <c r="B873" s="31" t="s">
        <v>15</v>
      </c>
      <c r="C873" s="32">
        <v>39926</v>
      </c>
      <c r="D873" s="34">
        <v>0.11799999999999999</v>
      </c>
      <c r="E873" s="33">
        <v>39962</v>
      </c>
      <c r="F873" s="33">
        <v>39926</v>
      </c>
      <c r="G873" s="34">
        <f>IF(Tabela4[[#This Row],[Tipo]]="Dividendo",Tabela4[[#This Row],[Valor]],IF(Tabela4[[#This Row],[Tipo]]="Jrs. Cap. Próprio",Tabela4[[#This Row],[Valor]]*85%,0))</f>
        <v>0.11799999999999999</v>
      </c>
    </row>
    <row r="874" spans="1:7" x14ac:dyDescent="0.2">
      <c r="A874" s="35" t="s">
        <v>96</v>
      </c>
      <c r="B874" s="31" t="s">
        <v>14</v>
      </c>
      <c r="C874" s="32">
        <v>39555</v>
      </c>
      <c r="D874" s="34">
        <v>0.69730000000000003</v>
      </c>
      <c r="E874" s="33">
        <v>39584</v>
      </c>
      <c r="F874" s="33">
        <v>39555</v>
      </c>
      <c r="G874" s="34">
        <f>IF(Tabela4[[#This Row],[Tipo]]="Dividendo",Tabela4[[#This Row],[Valor]],IF(Tabela4[[#This Row],[Tipo]]="Jrs. Cap. Próprio",Tabela4[[#This Row],[Valor]]*85%,0))</f>
        <v>0.59270500000000004</v>
      </c>
    </row>
    <row r="875" spans="1:7" x14ac:dyDescent="0.2">
      <c r="A875" s="35" t="s">
        <v>96</v>
      </c>
      <c r="B875" s="31" t="s">
        <v>15</v>
      </c>
      <c r="C875" s="32">
        <v>39555</v>
      </c>
      <c r="D875" s="34">
        <v>0.23619999999999999</v>
      </c>
      <c r="E875" s="33">
        <v>39584</v>
      </c>
      <c r="F875" s="33">
        <v>39555</v>
      </c>
      <c r="G875" s="34">
        <f>IF(Tabela4[[#This Row],[Tipo]]="Dividendo",Tabela4[[#This Row],[Valor]],IF(Tabela4[[#This Row],[Tipo]]="Jrs. Cap. Próprio",Tabela4[[#This Row],[Valor]]*85%,0))</f>
        <v>0.23619999999999999</v>
      </c>
    </row>
    <row r="876" spans="1:7" x14ac:dyDescent="0.2">
      <c r="A876" s="35" t="s">
        <v>96</v>
      </c>
      <c r="B876" s="31" t="s">
        <v>14</v>
      </c>
      <c r="C876" s="32">
        <v>39199</v>
      </c>
      <c r="D876" s="34">
        <v>0.42909999999999998</v>
      </c>
      <c r="E876" s="33">
        <v>39259</v>
      </c>
      <c r="F876" s="33">
        <v>39199</v>
      </c>
      <c r="G876" s="34">
        <f>IF(Tabela4[[#This Row],[Tipo]]="Dividendo",Tabela4[[#This Row],[Valor]],IF(Tabela4[[#This Row],[Tipo]]="Jrs. Cap. Próprio",Tabela4[[#This Row],[Valor]]*85%,0))</f>
        <v>0.36473499999999998</v>
      </c>
    </row>
    <row r="877" spans="1:7" x14ac:dyDescent="0.2">
      <c r="A877" s="35" t="s">
        <v>96</v>
      </c>
      <c r="B877" s="31" t="s">
        <v>15</v>
      </c>
      <c r="C877" s="32">
        <v>39199</v>
      </c>
      <c r="D877" s="34">
        <v>0.55100000000000005</v>
      </c>
      <c r="E877" s="33">
        <v>39259</v>
      </c>
      <c r="F877" s="33">
        <v>39199</v>
      </c>
      <c r="G877" s="34">
        <f>IF(Tabela4[[#This Row],[Tipo]]="Dividendo",Tabela4[[#This Row],[Valor]],IF(Tabela4[[#This Row],[Tipo]]="Jrs. Cap. Próprio",Tabela4[[#This Row],[Valor]]*85%,0))</f>
        <v>0.55100000000000005</v>
      </c>
    </row>
    <row r="878" spans="1:7" x14ac:dyDescent="0.2">
      <c r="A878" s="35" t="s">
        <v>96</v>
      </c>
      <c r="B878" s="31" t="s">
        <v>14</v>
      </c>
      <c r="C878" s="32">
        <v>38834</v>
      </c>
      <c r="D878" s="34">
        <v>0.42809999999999998</v>
      </c>
      <c r="E878" s="33">
        <v>38887</v>
      </c>
      <c r="F878" s="33">
        <v>38834</v>
      </c>
      <c r="G878" s="34">
        <f>IF(Tabela4[[#This Row],[Tipo]]="Dividendo",Tabela4[[#This Row],[Valor]],IF(Tabela4[[#This Row],[Tipo]]="Jrs. Cap. Próprio",Tabela4[[#This Row],[Valor]]*85%,0))</f>
        <v>0.36388499999999996</v>
      </c>
    </row>
    <row r="879" spans="1:7" x14ac:dyDescent="0.2">
      <c r="A879" s="35" t="s">
        <v>96</v>
      </c>
      <c r="B879" s="31" t="s">
        <v>14</v>
      </c>
      <c r="C879" s="32">
        <v>38467</v>
      </c>
      <c r="D879" s="34">
        <v>0.33400000000000002</v>
      </c>
      <c r="E879" s="33">
        <v>38527</v>
      </c>
      <c r="F879" s="33">
        <v>38467</v>
      </c>
      <c r="G879" s="34">
        <f>IF(Tabela4[[#This Row],[Tipo]]="Dividendo",Tabela4[[#This Row],[Valor]],IF(Tabela4[[#This Row],[Tipo]]="Jrs. Cap. Próprio",Tabela4[[#This Row],[Valor]]*85%,0))</f>
        <v>0.28389999999999999</v>
      </c>
    </row>
    <row r="880" spans="1:7" x14ac:dyDescent="0.2">
      <c r="A880" s="35" t="s">
        <v>96</v>
      </c>
      <c r="B880" s="31" t="s">
        <v>14</v>
      </c>
      <c r="C880" s="32">
        <v>38106</v>
      </c>
      <c r="D880" s="34">
        <v>0.14729999999999999</v>
      </c>
      <c r="E880" s="33">
        <v>38153</v>
      </c>
      <c r="F880" s="33">
        <v>38106</v>
      </c>
      <c r="G880" s="34">
        <f>IF(Tabela4[[#This Row],[Tipo]]="Dividendo",Tabela4[[#This Row],[Valor]],IF(Tabela4[[#This Row],[Tipo]]="Jrs. Cap. Próprio",Tabela4[[#This Row],[Valor]]*85%,0))</f>
        <v>0.12520499999999998</v>
      </c>
    </row>
    <row r="881" spans="1:7" x14ac:dyDescent="0.2">
      <c r="A881" s="35" t="s">
        <v>96</v>
      </c>
      <c r="B881" s="31" t="s">
        <v>14</v>
      </c>
      <c r="C881" s="32">
        <v>37376</v>
      </c>
      <c r="D881" s="34">
        <v>0.31319999999999998</v>
      </c>
      <c r="E881" s="33">
        <v>37410</v>
      </c>
      <c r="F881" s="33">
        <v>37376</v>
      </c>
      <c r="G881" s="34">
        <f>IF(Tabela4[[#This Row],[Tipo]]="Dividendo",Tabela4[[#This Row],[Valor]],IF(Tabela4[[#This Row],[Tipo]]="Jrs. Cap. Próprio",Tabela4[[#This Row],[Valor]]*85%,0))</f>
        <v>0.26621999999999996</v>
      </c>
    </row>
    <row r="882" spans="1:7" x14ac:dyDescent="0.2">
      <c r="A882" s="35" t="s">
        <v>96</v>
      </c>
      <c r="B882" s="31" t="s">
        <v>14</v>
      </c>
      <c r="C882" s="32">
        <v>37179</v>
      </c>
      <c r="D882" s="34">
        <v>0.27850000000000003</v>
      </c>
      <c r="E882" s="33">
        <v>37194</v>
      </c>
      <c r="F882" s="33">
        <v>37167</v>
      </c>
      <c r="G882" s="34">
        <f>IF(Tabela4[[#This Row],[Tipo]]="Dividendo",Tabela4[[#This Row],[Valor]],IF(Tabela4[[#This Row],[Tipo]]="Jrs. Cap. Próprio",Tabela4[[#This Row],[Valor]]*85%,0))</f>
        <v>0.23672500000000002</v>
      </c>
    </row>
    <row r="883" spans="1:7" x14ac:dyDescent="0.2">
      <c r="A883" s="35" t="s">
        <v>96</v>
      </c>
      <c r="B883" s="31" t="s">
        <v>14</v>
      </c>
      <c r="C883" s="32">
        <v>36977</v>
      </c>
      <c r="D883" s="34">
        <v>0.31459999999999999</v>
      </c>
      <c r="E883" s="33">
        <v>37008</v>
      </c>
      <c r="F883" s="33">
        <v>36977</v>
      </c>
      <c r="G883" s="34">
        <f>IF(Tabela4[[#This Row],[Tipo]]="Dividendo",Tabela4[[#This Row],[Valor]],IF(Tabela4[[#This Row],[Tipo]]="Jrs. Cap. Próprio",Tabela4[[#This Row],[Valor]]*85%,0))</f>
        <v>0.26740999999999998</v>
      </c>
    </row>
    <row r="884" spans="1:7" x14ac:dyDescent="0.2">
      <c r="A884" s="35" t="s">
        <v>96</v>
      </c>
      <c r="B884" s="31" t="s">
        <v>14</v>
      </c>
      <c r="C884" s="32">
        <v>36871</v>
      </c>
      <c r="D884" s="34">
        <v>0.24379999999999999</v>
      </c>
      <c r="E884" s="33">
        <v>36887</v>
      </c>
      <c r="F884" s="33">
        <v>36860</v>
      </c>
      <c r="G884" s="34">
        <f>IF(Tabela4[[#This Row],[Tipo]]="Dividendo",Tabela4[[#This Row],[Valor]],IF(Tabela4[[#This Row],[Tipo]]="Jrs. Cap. Próprio",Tabela4[[#This Row],[Valor]]*85%,0))</f>
        <v>0.20723</v>
      </c>
    </row>
    <row r="885" spans="1:7" x14ac:dyDescent="0.2">
      <c r="A885" s="35" t="s">
        <v>96</v>
      </c>
      <c r="B885" s="31" t="s">
        <v>14</v>
      </c>
      <c r="C885" s="32">
        <v>36612</v>
      </c>
      <c r="D885" s="34">
        <v>0.3836</v>
      </c>
      <c r="E885" s="33">
        <v>36642</v>
      </c>
      <c r="F885" s="33">
        <v>36612</v>
      </c>
      <c r="G885" s="34">
        <f>IF(Tabela4[[#This Row],[Tipo]]="Dividendo",Tabela4[[#This Row],[Valor]],IF(Tabela4[[#This Row],[Tipo]]="Jrs. Cap. Próprio",Tabela4[[#This Row],[Valor]]*85%,0))</f>
        <v>0.32605999999999996</v>
      </c>
    </row>
    <row r="886" spans="1:7" x14ac:dyDescent="0.2">
      <c r="A886" s="35" t="s">
        <v>96</v>
      </c>
      <c r="B886" s="31" t="s">
        <v>14</v>
      </c>
      <c r="C886" s="32">
        <v>36244</v>
      </c>
      <c r="D886" s="34">
        <v>0.47560000000000002</v>
      </c>
      <c r="E886" s="33">
        <v>36300</v>
      </c>
      <c r="F886" s="33">
        <v>36244</v>
      </c>
      <c r="G886" s="34">
        <f>IF(Tabela4[[#This Row],[Tipo]]="Dividendo",Tabela4[[#This Row],[Valor]],IF(Tabela4[[#This Row],[Tipo]]="Jrs. Cap. Próprio",Tabela4[[#This Row],[Valor]]*85%,0))</f>
        <v>0.40426000000000001</v>
      </c>
    </row>
    <row r="887" spans="1:7" x14ac:dyDescent="0.2">
      <c r="A887" s="35" t="s">
        <v>96</v>
      </c>
      <c r="B887" s="31" t="s">
        <v>14</v>
      </c>
      <c r="C887" s="32">
        <v>35866</v>
      </c>
      <c r="D887" s="34">
        <v>0.2631</v>
      </c>
      <c r="E887" s="33"/>
      <c r="F887" s="33">
        <v>35866</v>
      </c>
      <c r="G887" s="34">
        <f>IF(Tabela4[[#This Row],[Tipo]]="Dividendo",Tabela4[[#This Row],[Valor]],IF(Tabela4[[#This Row],[Tipo]]="Jrs. Cap. Próprio",Tabela4[[#This Row],[Valor]]*85%,0))</f>
        <v>0.223635</v>
      </c>
    </row>
    <row r="888" spans="1:7" x14ac:dyDescent="0.2">
      <c r="A888" s="35" t="s">
        <v>96</v>
      </c>
      <c r="B888" s="31" t="s">
        <v>14</v>
      </c>
      <c r="C888" s="32">
        <v>35762</v>
      </c>
      <c r="D888" s="34">
        <v>0.26050000000000001</v>
      </c>
      <c r="E888" s="33"/>
      <c r="F888" s="33">
        <v>35752</v>
      </c>
      <c r="G888" s="34">
        <f>IF(Tabela4[[#This Row],[Tipo]]="Dividendo",Tabela4[[#This Row],[Valor]],IF(Tabela4[[#This Row],[Tipo]]="Jrs. Cap. Próprio",Tabela4[[#This Row],[Valor]]*85%,0))</f>
        <v>0.22142500000000001</v>
      </c>
    </row>
    <row r="889" spans="1:7" x14ac:dyDescent="0.2">
      <c r="A889" s="35" t="s">
        <v>96</v>
      </c>
      <c r="B889" s="31" t="s">
        <v>14</v>
      </c>
      <c r="C889" s="32">
        <v>35545</v>
      </c>
      <c r="D889" s="34">
        <v>0.48349999999999999</v>
      </c>
      <c r="E889" s="33"/>
      <c r="F889" s="33">
        <v>35545</v>
      </c>
      <c r="G889" s="34">
        <f>IF(Tabela4[[#This Row],[Tipo]]="Dividendo",Tabela4[[#This Row],[Valor]],IF(Tabela4[[#This Row],[Tipo]]="Jrs. Cap. Próprio",Tabela4[[#This Row],[Valor]]*85%,0))</f>
        <v>0.41097499999999998</v>
      </c>
    </row>
    <row r="890" spans="1:7" x14ac:dyDescent="0.2">
      <c r="A890" s="35" t="s">
        <v>96</v>
      </c>
      <c r="B890" s="31" t="s">
        <v>15</v>
      </c>
      <c r="C890" s="32">
        <v>35178</v>
      </c>
      <c r="D890" s="34">
        <v>7.9000000000000001E-2</v>
      </c>
      <c r="E890" s="33"/>
      <c r="F890" s="33">
        <v>35178</v>
      </c>
      <c r="G890" s="34">
        <f>IF(Tabela4[[#This Row],[Tipo]]="Dividendo",Tabela4[[#This Row],[Valor]],IF(Tabela4[[#This Row],[Tipo]]="Jrs. Cap. Próprio",Tabela4[[#This Row],[Valor]]*85%,0))</f>
        <v>7.9000000000000001E-2</v>
      </c>
    </row>
    <row r="891" spans="1:7" x14ac:dyDescent="0.2">
      <c r="A891" s="3" t="s">
        <v>255</v>
      </c>
      <c r="B891" s="3" t="s">
        <v>14</v>
      </c>
      <c r="C891" s="80">
        <v>41499</v>
      </c>
      <c r="D891" s="10">
        <v>0.14729999999999999</v>
      </c>
      <c r="E891" s="81">
        <v>41554</v>
      </c>
      <c r="F891" s="81">
        <v>41499</v>
      </c>
      <c r="G891" s="10">
        <f>IF(Tabela4[[#This Row],[Tipo]]="Dividendo",Tabela4[[#This Row],[Valor]],IF(Tabela4[[#This Row],[Tipo]]="Jrs. Cap. Próprio",Tabela4[[#This Row],[Valor]]*85%,0))</f>
        <v>0.12520499999999998</v>
      </c>
    </row>
    <row r="892" spans="1:7" x14ac:dyDescent="0.2">
      <c r="A892" s="3" t="s">
        <v>255</v>
      </c>
      <c r="B892" s="3" t="s">
        <v>14</v>
      </c>
      <c r="C892" s="80">
        <v>41297</v>
      </c>
      <c r="D892" s="10">
        <v>0.13220000000000001</v>
      </c>
      <c r="E892" s="81">
        <v>41353</v>
      </c>
      <c r="F892" s="81">
        <v>41297</v>
      </c>
      <c r="G892" s="10">
        <f>IF(Tabela4[[#This Row],[Tipo]]="Dividendo",Tabela4[[#This Row],[Valor]],IF(Tabela4[[#This Row],[Tipo]]="Jrs. Cap. Próprio",Tabela4[[#This Row],[Valor]]*85%,0))</f>
        <v>0.11237000000000001</v>
      </c>
    </row>
    <row r="893" spans="1:7" x14ac:dyDescent="0.2">
      <c r="A893" s="3" t="s">
        <v>255</v>
      </c>
      <c r="B893" s="3" t="s">
        <v>14</v>
      </c>
      <c r="C893" s="80">
        <v>41134</v>
      </c>
      <c r="D893" s="10">
        <v>0.13220000000000001</v>
      </c>
      <c r="E893" s="81">
        <v>41179</v>
      </c>
      <c r="F893" s="81">
        <v>41134</v>
      </c>
      <c r="G893" s="10">
        <f>IF(Tabela4[[#This Row],[Tipo]]="Dividendo",Tabela4[[#This Row],[Valor]],IF(Tabela4[[#This Row],[Tipo]]="Jrs. Cap. Próprio",Tabela4[[#This Row],[Valor]]*85%,0))</f>
        <v>0.11237000000000001</v>
      </c>
    </row>
    <row r="894" spans="1:7" x14ac:dyDescent="0.2">
      <c r="A894" s="3" t="s">
        <v>255</v>
      </c>
      <c r="B894" s="3" t="s">
        <v>14</v>
      </c>
      <c r="C894" s="80">
        <v>40932</v>
      </c>
      <c r="D894" s="10">
        <v>0.1201</v>
      </c>
      <c r="E894" s="81">
        <v>40977</v>
      </c>
      <c r="F894" s="81">
        <v>40932</v>
      </c>
      <c r="G894" s="10">
        <f>IF(Tabela4[[#This Row],[Tipo]]="Dividendo",Tabela4[[#This Row],[Valor]],IF(Tabela4[[#This Row],[Tipo]]="Jrs. Cap. Próprio",Tabela4[[#This Row],[Valor]]*85%,0))</f>
        <v>0.102085</v>
      </c>
    </row>
    <row r="895" spans="1:7" x14ac:dyDescent="0.2">
      <c r="A895" s="3" t="s">
        <v>255</v>
      </c>
      <c r="B895" s="3" t="s">
        <v>14</v>
      </c>
      <c r="C895" s="80">
        <v>40766</v>
      </c>
      <c r="D895" s="10">
        <v>0.1201</v>
      </c>
      <c r="E895" s="81">
        <v>40812</v>
      </c>
      <c r="F895" s="81">
        <v>40766</v>
      </c>
      <c r="G895" s="10">
        <f>IF(Tabela4[[#This Row],[Tipo]]="Dividendo",Tabela4[[#This Row],[Valor]],IF(Tabela4[[#This Row],[Tipo]]="Jrs. Cap. Próprio",Tabela4[[#This Row],[Valor]]*85%,0))</f>
        <v>0.102085</v>
      </c>
    </row>
    <row r="896" spans="1:7" x14ac:dyDescent="0.2">
      <c r="A896" s="3" t="s">
        <v>255</v>
      </c>
      <c r="B896" s="3" t="s">
        <v>14</v>
      </c>
      <c r="C896" s="80">
        <v>40570</v>
      </c>
      <c r="D896" s="10">
        <v>0.1099</v>
      </c>
      <c r="E896" s="81">
        <v>40616</v>
      </c>
      <c r="F896" s="81">
        <v>40570</v>
      </c>
      <c r="G896" s="10">
        <f>IF(Tabela4[[#This Row],[Tipo]]="Dividendo",Tabela4[[#This Row],[Valor]],IF(Tabela4[[#This Row],[Tipo]]="Jrs. Cap. Próprio",Tabela4[[#This Row],[Valor]]*85%,0))</f>
        <v>9.3414999999999998E-2</v>
      </c>
    </row>
    <row r="897" spans="1:7" x14ac:dyDescent="0.2">
      <c r="A897" s="3" t="s">
        <v>255</v>
      </c>
      <c r="B897" s="3" t="s">
        <v>14</v>
      </c>
      <c r="C897" s="80">
        <v>40402</v>
      </c>
      <c r="D897" s="10">
        <v>0.1099</v>
      </c>
      <c r="E897" s="81">
        <v>40448</v>
      </c>
      <c r="F897" s="81">
        <v>40402</v>
      </c>
      <c r="G897" s="10">
        <f>IF(Tabela4[[#This Row],[Tipo]]="Dividendo",Tabela4[[#This Row],[Valor]],IF(Tabela4[[#This Row],[Tipo]]="Jrs. Cap. Próprio",Tabela4[[#This Row],[Valor]]*85%,0))</f>
        <v>9.3414999999999998E-2</v>
      </c>
    </row>
    <row r="898" spans="1:7" x14ac:dyDescent="0.2">
      <c r="A898" s="3" t="s">
        <v>255</v>
      </c>
      <c r="B898" s="3" t="s">
        <v>14</v>
      </c>
      <c r="C898" s="80">
        <v>40206</v>
      </c>
      <c r="D898" s="10">
        <v>6.1600000000000002E-2</v>
      </c>
      <c r="E898" s="81">
        <v>40252</v>
      </c>
      <c r="F898" s="81">
        <v>40206</v>
      </c>
      <c r="G898" s="10">
        <f>IF(Tabela4[[#This Row],[Tipo]]="Dividendo",Tabela4[[#This Row],[Valor]],IF(Tabela4[[#This Row],[Tipo]]="Jrs. Cap. Próprio",Tabela4[[#This Row],[Valor]]*85%,0))</f>
        <v>5.2360000000000004E-2</v>
      </c>
    </row>
    <row r="899" spans="1:7" x14ac:dyDescent="0.2">
      <c r="A899" s="3" t="s">
        <v>255</v>
      </c>
      <c r="B899" s="3" t="s">
        <v>14</v>
      </c>
      <c r="C899" s="80">
        <v>40038</v>
      </c>
      <c r="D899" s="10">
        <v>0.1368</v>
      </c>
      <c r="E899" s="81">
        <v>40084</v>
      </c>
      <c r="F899" s="81">
        <v>40038</v>
      </c>
      <c r="G899" s="10">
        <f>IF(Tabela4[[#This Row],[Tipo]]="Dividendo",Tabela4[[#This Row],[Valor]],IF(Tabela4[[#This Row],[Tipo]]="Jrs. Cap. Próprio",Tabela4[[#This Row],[Valor]]*85%,0))</f>
        <v>0.11627999999999999</v>
      </c>
    </row>
    <row r="900" spans="1:7" x14ac:dyDescent="0.2">
      <c r="A900" s="3" t="s">
        <v>255</v>
      </c>
      <c r="B900" s="3" t="s">
        <v>14</v>
      </c>
      <c r="C900" s="80">
        <v>39849</v>
      </c>
      <c r="D900" s="10">
        <v>9.0300000000000005E-2</v>
      </c>
      <c r="E900" s="81">
        <v>39878</v>
      </c>
      <c r="F900" s="81">
        <v>39849</v>
      </c>
      <c r="G900" s="10">
        <f>IF(Tabela4[[#This Row],[Tipo]]="Dividendo",Tabela4[[#This Row],[Valor]],IF(Tabela4[[#This Row],[Tipo]]="Jrs. Cap. Próprio",Tabela4[[#This Row],[Valor]]*85%,0))</f>
        <v>7.6755000000000004E-2</v>
      </c>
    </row>
    <row r="901" spans="1:7" x14ac:dyDescent="0.2">
      <c r="A901" s="3" t="s">
        <v>255</v>
      </c>
      <c r="B901" s="3" t="s">
        <v>14</v>
      </c>
      <c r="C901" s="80">
        <v>39672</v>
      </c>
      <c r="D901" s="10">
        <v>9.0300000000000005E-2</v>
      </c>
      <c r="E901" s="81">
        <v>39689</v>
      </c>
      <c r="F901" s="81">
        <v>39672</v>
      </c>
      <c r="G901" s="10">
        <f>IF(Tabela4[[#This Row],[Tipo]]="Dividendo",Tabela4[[#This Row],[Valor]],IF(Tabela4[[#This Row],[Tipo]]="Jrs. Cap. Próprio",Tabela4[[#This Row],[Valor]]*85%,0))</f>
        <v>7.6755000000000004E-2</v>
      </c>
    </row>
    <row r="902" spans="1:7" x14ac:dyDescent="0.2">
      <c r="A902" s="3" t="s">
        <v>255</v>
      </c>
      <c r="B902" s="3" t="s">
        <v>14</v>
      </c>
      <c r="C902" s="80">
        <v>39464</v>
      </c>
      <c r="D902" s="10">
        <v>8.2799999999999999E-2</v>
      </c>
      <c r="E902" s="81">
        <v>39514</v>
      </c>
      <c r="F902" s="81">
        <v>39464</v>
      </c>
      <c r="G902" s="10">
        <f>IF(Tabela4[[#This Row],[Tipo]]="Dividendo",Tabela4[[#This Row],[Valor]],IF(Tabela4[[#This Row],[Tipo]]="Jrs. Cap. Próprio",Tabela4[[#This Row],[Valor]]*85%,0))</f>
        <v>7.0379999999999998E-2</v>
      </c>
    </row>
    <row r="903" spans="1:7" x14ac:dyDescent="0.2">
      <c r="A903" s="3" t="s">
        <v>255</v>
      </c>
      <c r="B903" s="3" t="s">
        <v>14</v>
      </c>
      <c r="C903" s="80">
        <v>39308</v>
      </c>
      <c r="D903" s="10">
        <v>8.4599999999999995E-2</v>
      </c>
      <c r="E903" s="81">
        <v>39331</v>
      </c>
      <c r="F903" s="81">
        <v>39308</v>
      </c>
      <c r="G903" s="10">
        <f>IF(Tabela4[[#This Row],[Tipo]]="Dividendo",Tabela4[[#This Row],[Valor]],IF(Tabela4[[#This Row],[Tipo]]="Jrs. Cap. Próprio",Tabela4[[#This Row],[Valor]]*85%,0))</f>
        <v>7.1909999999999988E-2</v>
      </c>
    </row>
    <row r="904" spans="1:7" x14ac:dyDescent="0.2">
      <c r="A904" s="3" t="s">
        <v>255</v>
      </c>
      <c r="B904" s="3" t="s">
        <v>14</v>
      </c>
      <c r="C904" s="80">
        <v>39104</v>
      </c>
      <c r="D904" s="10">
        <v>9.4500000000000001E-2</v>
      </c>
      <c r="E904" s="81">
        <v>39148</v>
      </c>
      <c r="F904" s="81">
        <v>39104</v>
      </c>
      <c r="G904" s="10">
        <f>IF(Tabela4[[#This Row],[Tipo]]="Dividendo",Tabela4[[#This Row],[Valor]],IF(Tabela4[[#This Row],[Tipo]]="Jrs. Cap. Próprio",Tabela4[[#This Row],[Valor]]*85%,0))</f>
        <v>8.0324999999999994E-2</v>
      </c>
    </row>
    <row r="905" spans="1:7" x14ac:dyDescent="0.2">
      <c r="A905" s="3" t="s">
        <v>255</v>
      </c>
      <c r="B905" s="3" t="s">
        <v>14</v>
      </c>
      <c r="C905" s="80">
        <v>38939</v>
      </c>
      <c r="D905" s="10">
        <v>7.1199999999999999E-2</v>
      </c>
      <c r="E905" s="81">
        <v>38959</v>
      </c>
      <c r="F905" s="81">
        <v>38939</v>
      </c>
      <c r="G905" s="10">
        <f>IF(Tabela4[[#This Row],[Tipo]]="Dividendo",Tabela4[[#This Row],[Valor]],IF(Tabela4[[#This Row],[Tipo]]="Jrs. Cap. Próprio",Tabela4[[#This Row],[Valor]]*85%,0))</f>
        <v>6.0519999999999997E-2</v>
      </c>
    </row>
    <row r="906" spans="1:7" x14ac:dyDescent="0.2">
      <c r="A906" s="3" t="s">
        <v>255</v>
      </c>
      <c r="B906" s="3" t="s">
        <v>14</v>
      </c>
      <c r="C906" s="80">
        <v>38748</v>
      </c>
      <c r="D906" s="10">
        <v>7.6200000000000004E-2</v>
      </c>
      <c r="E906" s="81">
        <v>38783</v>
      </c>
      <c r="F906" s="81">
        <v>38748</v>
      </c>
      <c r="G906" s="10">
        <f>IF(Tabela4[[#This Row],[Tipo]]="Dividendo",Tabela4[[#This Row],[Valor]],IF(Tabela4[[#This Row],[Tipo]]="Jrs. Cap. Próprio",Tabela4[[#This Row],[Valor]]*85%,0))</f>
        <v>6.4770000000000008E-2</v>
      </c>
    </row>
    <row r="907" spans="1:7" x14ac:dyDescent="0.2">
      <c r="A907" s="3" t="s">
        <v>255</v>
      </c>
      <c r="B907" s="3" t="s">
        <v>14</v>
      </c>
      <c r="C907" s="80">
        <v>38574</v>
      </c>
      <c r="D907" s="10">
        <v>6.6600000000000006E-2</v>
      </c>
      <c r="E907" s="81">
        <v>38594</v>
      </c>
      <c r="F907" s="81">
        <v>38574</v>
      </c>
      <c r="G907" s="10">
        <f>IF(Tabela4[[#This Row],[Tipo]]="Dividendo",Tabela4[[#This Row],[Valor]],IF(Tabela4[[#This Row],[Tipo]]="Jrs. Cap. Próprio",Tabela4[[#This Row],[Valor]]*85%,0))</f>
        <v>5.6610000000000001E-2</v>
      </c>
    </row>
    <row r="908" spans="1:7" x14ac:dyDescent="0.2">
      <c r="A908" s="3" t="s">
        <v>255</v>
      </c>
      <c r="B908" s="3" t="s">
        <v>14</v>
      </c>
      <c r="C908" s="80">
        <v>38385</v>
      </c>
      <c r="D908" s="10">
        <v>7.0400000000000004E-2</v>
      </c>
      <c r="E908" s="81">
        <v>38418</v>
      </c>
      <c r="F908" s="81">
        <v>38385</v>
      </c>
      <c r="G908" s="10">
        <f>IF(Tabela4[[#This Row],[Tipo]]="Dividendo",Tabela4[[#This Row],[Valor]],IF(Tabela4[[#This Row],[Tipo]]="Jrs. Cap. Próprio",Tabela4[[#This Row],[Valor]]*85%,0))</f>
        <v>5.9840000000000004E-2</v>
      </c>
    </row>
    <row r="909" spans="1:7" x14ac:dyDescent="0.2">
      <c r="A909" s="3" t="s">
        <v>255</v>
      </c>
      <c r="B909" s="3" t="s">
        <v>14</v>
      </c>
      <c r="C909" s="80">
        <v>38202</v>
      </c>
      <c r="D909" s="10">
        <v>5.9799999999999999E-2</v>
      </c>
      <c r="E909" s="81">
        <v>38223</v>
      </c>
      <c r="F909" s="81">
        <v>38202</v>
      </c>
      <c r="G909" s="10">
        <f>IF(Tabela4[[#This Row],[Tipo]]="Dividendo",Tabela4[[#This Row],[Valor]],IF(Tabela4[[#This Row],[Tipo]]="Jrs. Cap. Próprio",Tabela4[[#This Row],[Valor]]*85%,0))</f>
        <v>5.083E-2</v>
      </c>
    </row>
    <row r="910" spans="1:7" x14ac:dyDescent="0.2">
      <c r="A910" s="3" t="s">
        <v>255</v>
      </c>
      <c r="B910" s="3" t="s">
        <v>14</v>
      </c>
      <c r="C910" s="80">
        <v>38015</v>
      </c>
      <c r="D910" s="10">
        <v>4.99E-2</v>
      </c>
      <c r="E910" s="81">
        <v>38049</v>
      </c>
      <c r="F910" s="81">
        <v>38015</v>
      </c>
      <c r="G910" s="10">
        <f>IF(Tabela4[[#This Row],[Tipo]]="Dividendo",Tabela4[[#This Row],[Valor]],IF(Tabela4[[#This Row],[Tipo]]="Jrs. Cap. Próprio",Tabela4[[#This Row],[Valor]]*85%,0))</f>
        <v>4.2415000000000001E-2</v>
      </c>
    </row>
    <row r="911" spans="1:7" x14ac:dyDescent="0.2">
      <c r="A911" s="3" t="s">
        <v>255</v>
      </c>
      <c r="B911" s="3" t="s">
        <v>14</v>
      </c>
      <c r="C911" s="80">
        <v>37840</v>
      </c>
      <c r="D911" s="10">
        <v>4.99E-2</v>
      </c>
      <c r="E911" s="81">
        <v>37862</v>
      </c>
      <c r="F911" s="81">
        <v>37840</v>
      </c>
      <c r="G911" s="10">
        <f>IF(Tabela4[[#This Row],[Tipo]]="Dividendo",Tabela4[[#This Row],[Valor]],IF(Tabela4[[#This Row],[Tipo]]="Jrs. Cap. Próprio",Tabela4[[#This Row],[Valor]]*85%,0))</f>
        <v>4.2415000000000001E-2</v>
      </c>
    </row>
    <row r="912" spans="1:7" x14ac:dyDescent="0.2">
      <c r="A912" s="3" t="s">
        <v>255</v>
      </c>
      <c r="B912" s="3" t="s">
        <v>14</v>
      </c>
      <c r="C912" s="80">
        <v>37651</v>
      </c>
      <c r="D912" s="10">
        <v>4.5600000000000002E-2</v>
      </c>
      <c r="E912" s="81">
        <v>37677</v>
      </c>
      <c r="F912" s="81">
        <v>37651</v>
      </c>
      <c r="G912" s="10">
        <f>IF(Tabela4[[#This Row],[Tipo]]="Dividendo",Tabela4[[#This Row],[Valor]],IF(Tabela4[[#This Row],[Tipo]]="Jrs. Cap. Próprio",Tabela4[[#This Row],[Valor]]*85%,0))</f>
        <v>3.8760000000000003E-2</v>
      </c>
    </row>
    <row r="913" spans="1:7" x14ac:dyDescent="0.2">
      <c r="A913" s="3" t="s">
        <v>255</v>
      </c>
      <c r="B913" s="3" t="s">
        <v>14</v>
      </c>
      <c r="C913" s="80">
        <v>37461</v>
      </c>
      <c r="D913" s="10">
        <v>4.5600000000000002E-2</v>
      </c>
      <c r="E913" s="81">
        <v>37498</v>
      </c>
      <c r="F913" s="81">
        <v>37461</v>
      </c>
      <c r="G913" s="10">
        <f>IF(Tabela4[[#This Row],[Tipo]]="Dividendo",Tabela4[[#This Row],[Valor]],IF(Tabela4[[#This Row],[Tipo]]="Jrs. Cap. Próprio",Tabela4[[#This Row],[Valor]]*85%,0))</f>
        <v>3.8760000000000003E-2</v>
      </c>
    </row>
    <row r="914" spans="1:7" x14ac:dyDescent="0.2">
      <c r="A914" s="3" t="s">
        <v>255</v>
      </c>
      <c r="B914" s="3" t="s">
        <v>14</v>
      </c>
      <c r="C914" s="80">
        <v>37294</v>
      </c>
      <c r="D914" s="10">
        <v>4.1799999999999997E-2</v>
      </c>
      <c r="E914" s="81">
        <v>37333</v>
      </c>
      <c r="F914" s="81">
        <v>37294</v>
      </c>
      <c r="G914" s="10">
        <f>IF(Tabela4[[#This Row],[Tipo]]="Dividendo",Tabela4[[#This Row],[Valor]],IF(Tabela4[[#This Row],[Tipo]]="Jrs. Cap. Próprio",Tabela4[[#This Row],[Valor]]*85%,0))</f>
        <v>3.5529999999999999E-2</v>
      </c>
    </row>
    <row r="915" spans="1:7" x14ac:dyDescent="0.2">
      <c r="A915" s="3" t="s">
        <v>255</v>
      </c>
      <c r="B915" s="3" t="s">
        <v>14</v>
      </c>
      <c r="C915" s="80">
        <v>37113</v>
      </c>
      <c r="D915" s="10">
        <v>4.1099999999999998E-2</v>
      </c>
      <c r="E915" s="81">
        <v>37131</v>
      </c>
      <c r="F915" s="81">
        <v>37113</v>
      </c>
      <c r="G915" s="10">
        <f>IF(Tabela4[[#This Row],[Tipo]]="Dividendo",Tabela4[[#This Row],[Valor]],IF(Tabela4[[#This Row],[Tipo]]="Jrs. Cap. Próprio",Tabela4[[#This Row],[Valor]]*85%,0))</f>
        <v>3.4934999999999994E-2</v>
      </c>
    </row>
    <row r="916" spans="1:7" x14ac:dyDescent="0.2">
      <c r="A916" s="3" t="s">
        <v>255</v>
      </c>
      <c r="B916" s="3" t="s">
        <v>14</v>
      </c>
      <c r="C916" s="80">
        <v>36942</v>
      </c>
      <c r="D916" s="10">
        <v>3.8399999999999997E-2</v>
      </c>
      <c r="E916" s="81">
        <v>36970</v>
      </c>
      <c r="F916" s="81">
        <v>36942</v>
      </c>
      <c r="G916" s="10">
        <f>IF(Tabela4[[#This Row],[Tipo]]="Dividendo",Tabela4[[#This Row],[Valor]],IF(Tabela4[[#This Row],[Tipo]]="Jrs. Cap. Próprio",Tabela4[[#This Row],[Valor]]*85%,0))</f>
        <v>3.2639999999999995E-2</v>
      </c>
    </row>
    <row r="917" spans="1:7" x14ac:dyDescent="0.2">
      <c r="A917" s="3" t="s">
        <v>255</v>
      </c>
      <c r="B917" s="3" t="s">
        <v>15</v>
      </c>
      <c r="C917" s="80">
        <v>36727</v>
      </c>
      <c r="D917" s="10">
        <v>3.2300000000000002E-2</v>
      </c>
      <c r="E917" s="81">
        <v>36752</v>
      </c>
      <c r="F917" s="81">
        <v>36727</v>
      </c>
      <c r="G917" s="10">
        <f>IF(Tabela4[[#This Row],[Tipo]]="Dividendo",Tabela4[[#This Row],[Valor]],IF(Tabela4[[#This Row],[Tipo]]="Jrs. Cap. Próprio",Tabela4[[#This Row],[Valor]]*85%,0))</f>
        <v>3.2300000000000002E-2</v>
      </c>
    </row>
    <row r="918" spans="1:7" x14ac:dyDescent="0.2">
      <c r="A918" s="3" t="s">
        <v>255</v>
      </c>
      <c r="B918" s="3" t="s">
        <v>14</v>
      </c>
      <c r="C918" s="80">
        <v>36551</v>
      </c>
      <c r="D918" s="10">
        <v>3.5299999999999998E-2</v>
      </c>
      <c r="E918" s="81">
        <v>36581</v>
      </c>
      <c r="F918" s="81">
        <v>36551</v>
      </c>
      <c r="G918" s="10">
        <f>IF(Tabela4[[#This Row],[Tipo]]="Dividendo",Tabela4[[#This Row],[Valor]],IF(Tabela4[[#This Row],[Tipo]]="Jrs. Cap. Próprio",Tabela4[[#This Row],[Valor]]*85%,0))</f>
        <v>3.0004999999999997E-2</v>
      </c>
    </row>
    <row r="919" spans="1:7" x14ac:dyDescent="0.2">
      <c r="A919" s="3" t="s">
        <v>255</v>
      </c>
      <c r="B919" s="3" t="s">
        <v>14</v>
      </c>
      <c r="C919" s="80">
        <v>36370</v>
      </c>
      <c r="D919" s="10">
        <v>3.5000000000000003E-2</v>
      </c>
      <c r="E919" s="81">
        <v>36399</v>
      </c>
      <c r="F919" s="81">
        <v>36370</v>
      </c>
      <c r="G919" s="10">
        <f>IF(Tabela4[[#This Row],[Tipo]]="Dividendo",Tabela4[[#This Row],[Valor]],IF(Tabela4[[#This Row],[Tipo]]="Jrs. Cap. Próprio",Tabela4[[#This Row],[Valor]]*85%,0))</f>
        <v>2.9750000000000002E-2</v>
      </c>
    </row>
    <row r="920" spans="1:7" x14ac:dyDescent="0.2">
      <c r="A920" s="3" t="s">
        <v>255</v>
      </c>
      <c r="B920" s="3" t="s">
        <v>14</v>
      </c>
      <c r="C920" s="80">
        <v>36188</v>
      </c>
      <c r="D920" s="10">
        <v>3.3500000000000002E-2</v>
      </c>
      <c r="E920" s="81"/>
      <c r="F920" s="81">
        <v>36188</v>
      </c>
      <c r="G920" s="10">
        <f>IF(Tabela4[[#This Row],[Tipo]]="Dividendo",Tabela4[[#This Row],[Valor]],IF(Tabela4[[#This Row],[Tipo]]="Jrs. Cap. Próprio",Tabela4[[#This Row],[Valor]]*85%,0))</f>
        <v>2.8475E-2</v>
      </c>
    </row>
    <row r="921" spans="1:7" x14ac:dyDescent="0.2">
      <c r="A921" s="3" t="s">
        <v>255</v>
      </c>
      <c r="B921" s="3" t="s">
        <v>14</v>
      </c>
      <c r="C921" s="80">
        <v>36013</v>
      </c>
      <c r="D921" s="10">
        <v>3.2800000000000003E-2</v>
      </c>
      <c r="E921" s="81"/>
      <c r="F921" s="81">
        <v>36013</v>
      </c>
      <c r="G921" s="10">
        <f>IF(Tabela4[[#This Row],[Tipo]]="Dividendo",Tabela4[[#This Row],[Valor]],IF(Tabela4[[#This Row],[Tipo]]="Jrs. Cap. Próprio",Tabela4[[#This Row],[Valor]]*85%,0))</f>
        <v>2.7880000000000002E-2</v>
      </c>
    </row>
    <row r="922" spans="1:7" x14ac:dyDescent="0.2">
      <c r="A922" s="3" t="s">
        <v>255</v>
      </c>
      <c r="B922" s="3" t="s">
        <v>14</v>
      </c>
      <c r="C922" s="80">
        <v>35823</v>
      </c>
      <c r="D922" s="10">
        <v>2.9399999999999999E-2</v>
      </c>
      <c r="E922" s="81"/>
      <c r="F922" s="81">
        <v>35823</v>
      </c>
      <c r="G922" s="10">
        <f>IF(Tabela4[[#This Row],[Tipo]]="Dividendo",Tabela4[[#This Row],[Valor]],IF(Tabela4[[#This Row],[Tipo]]="Jrs. Cap. Próprio",Tabela4[[#This Row],[Valor]]*85%,0))</f>
        <v>2.4989999999999998E-2</v>
      </c>
    </row>
    <row r="923" spans="1:7" x14ac:dyDescent="0.2">
      <c r="A923" s="3" t="s">
        <v>255</v>
      </c>
      <c r="B923" s="3" t="s">
        <v>14</v>
      </c>
      <c r="C923" s="80">
        <v>35640</v>
      </c>
      <c r="D923" s="10">
        <v>2.9899999999999999E-2</v>
      </c>
      <c r="E923" s="81"/>
      <c r="F923" s="81">
        <v>35640</v>
      </c>
      <c r="G923" s="10">
        <f>IF(Tabela4[[#This Row],[Tipo]]="Dividendo",Tabela4[[#This Row],[Valor]],IF(Tabela4[[#This Row],[Tipo]]="Jrs. Cap. Próprio",Tabela4[[#This Row],[Valor]]*85%,0))</f>
        <v>2.5415E-2</v>
      </c>
    </row>
    <row r="924" spans="1:7" x14ac:dyDescent="0.2">
      <c r="A924" s="3" t="s">
        <v>255</v>
      </c>
      <c r="B924" s="3" t="s">
        <v>15</v>
      </c>
      <c r="C924" s="80">
        <v>35459</v>
      </c>
      <c r="D924" s="10">
        <v>3.2000000000000001E-2</v>
      </c>
      <c r="E924" s="81"/>
      <c r="F924" s="81">
        <v>35459</v>
      </c>
      <c r="G924" s="10">
        <f>IF(Tabela4[[#This Row],[Tipo]]="Dividendo",Tabela4[[#This Row],[Valor]],IF(Tabela4[[#This Row],[Tipo]]="Jrs. Cap. Próprio",Tabela4[[#This Row],[Valor]]*85%,0))</f>
        <v>3.2000000000000001E-2</v>
      </c>
    </row>
    <row r="925" spans="1:7" x14ac:dyDescent="0.2">
      <c r="A925" s="3" t="s">
        <v>255</v>
      </c>
      <c r="B925" s="3" t="s">
        <v>15</v>
      </c>
      <c r="C925" s="80">
        <v>35283</v>
      </c>
      <c r="D925" s="10">
        <v>17</v>
      </c>
      <c r="E925" s="81"/>
      <c r="F925" s="81">
        <v>35283</v>
      </c>
      <c r="G925" s="10">
        <f>IF(Tabela4[[#This Row],[Tipo]]="Dividendo",Tabela4[[#This Row],[Valor]],IF(Tabela4[[#This Row],[Tipo]]="Jrs. Cap. Próprio",Tabela4[[#This Row],[Valor]]*85%,0))</f>
        <v>17</v>
      </c>
    </row>
    <row r="926" spans="1:7" x14ac:dyDescent="0.2">
      <c r="A926" s="3" t="s">
        <v>255</v>
      </c>
      <c r="B926" s="3" t="s">
        <v>15</v>
      </c>
      <c r="C926" s="80">
        <v>35094</v>
      </c>
      <c r="D926" s="10">
        <v>23.5</v>
      </c>
      <c r="E926" s="81"/>
      <c r="F926" s="81">
        <v>35094</v>
      </c>
      <c r="G926" s="10">
        <f>IF(Tabela4[[#This Row],[Tipo]]="Dividendo",Tabela4[[#This Row],[Valor]],IF(Tabela4[[#This Row],[Tipo]]="Jrs. Cap. Próprio",Tabela4[[#This Row],[Valor]]*85%,0))</f>
        <v>23.5</v>
      </c>
    </row>
    <row r="927" spans="1:7" x14ac:dyDescent="0.2">
      <c r="A927" s="4" t="s">
        <v>221</v>
      </c>
      <c r="B927" s="4" t="s">
        <v>15</v>
      </c>
      <c r="C927" s="19">
        <v>41389</v>
      </c>
      <c r="D927" s="3">
        <v>9.2399999999999996E-2</v>
      </c>
      <c r="E927" s="68">
        <v>41409</v>
      </c>
      <c r="F927" s="68">
        <v>41389</v>
      </c>
      <c r="G927" s="14">
        <f>IF(Tabela4[[#This Row],[Tipo]]="Dividendo",Tabela4[[#This Row],[Valor]],IF(Tabela4[[#This Row],[Tipo]]="Jrs. Cap. Próprio",Tabela4[[#This Row],[Valor]]*85%,0))</f>
        <v>9.2399999999999996E-2</v>
      </c>
    </row>
    <row r="928" spans="1:7" x14ac:dyDescent="0.2">
      <c r="A928" s="3" t="s">
        <v>221</v>
      </c>
      <c r="B928" s="3" t="s">
        <v>14</v>
      </c>
      <c r="C928" s="80">
        <v>41271</v>
      </c>
      <c r="D928" s="3">
        <v>0.2316</v>
      </c>
      <c r="E928" s="81">
        <v>41367</v>
      </c>
      <c r="F928" s="81">
        <v>41271</v>
      </c>
      <c r="G928" s="10">
        <f>IF(Tabela4[[#This Row],[Tipo]]="Dividendo",Tabela4[[#This Row],[Valor]],IF(Tabela4[[#This Row],[Tipo]]="Jrs. Cap. Próprio",Tabela4[[#This Row],[Valor]]*85%,0))</f>
        <v>0.19686000000000001</v>
      </c>
    </row>
    <row r="929" spans="1:7" x14ac:dyDescent="0.2">
      <c r="A929" s="4" t="s">
        <v>221</v>
      </c>
      <c r="B929" s="3" t="s">
        <v>15</v>
      </c>
      <c r="C929" s="80">
        <v>41016</v>
      </c>
      <c r="D929" s="3">
        <v>0.8478</v>
      </c>
      <c r="E929" s="81">
        <v>41031</v>
      </c>
      <c r="F929" s="81">
        <v>41016</v>
      </c>
      <c r="G929" s="10">
        <f>IF(Tabela4[[#This Row],[Tipo]]="Dividendo",Tabela4[[#This Row],[Valor]],IF(Tabela4[[#This Row],[Tipo]]="Jrs. Cap. Próprio",Tabela4[[#This Row],[Valor]]*85%,0))</f>
        <v>0.8478</v>
      </c>
    </row>
    <row r="930" spans="1:7" x14ac:dyDescent="0.2">
      <c r="A930" s="3" t="s">
        <v>221</v>
      </c>
      <c r="B930" s="3" t="s">
        <v>14</v>
      </c>
      <c r="C930" s="80">
        <v>40906</v>
      </c>
      <c r="D930" s="3">
        <v>3.3399999999999999E-2</v>
      </c>
      <c r="E930" s="81">
        <v>40954</v>
      </c>
      <c r="F930" s="81">
        <v>40906</v>
      </c>
      <c r="G930" s="10">
        <f>IF(Tabela4[[#This Row],[Tipo]]="Dividendo",Tabela4[[#This Row],[Valor]],IF(Tabela4[[#This Row],[Tipo]]="Jrs. Cap. Próprio",Tabela4[[#This Row],[Valor]]*85%,0))</f>
        <v>2.8389999999999999E-2</v>
      </c>
    </row>
    <row r="931" spans="1:7" x14ac:dyDescent="0.2">
      <c r="A931" s="4" t="s">
        <v>221</v>
      </c>
      <c r="B931" s="3" t="s">
        <v>14</v>
      </c>
      <c r="C931" s="80">
        <v>40816</v>
      </c>
      <c r="D931" s="3">
        <v>6.9099999999999995E-2</v>
      </c>
      <c r="E931" s="81">
        <v>40856</v>
      </c>
      <c r="F931" s="81">
        <v>40816</v>
      </c>
      <c r="G931" s="10">
        <f>IF(Tabela4[[#This Row],[Tipo]]="Dividendo",Tabela4[[#This Row],[Valor]],IF(Tabela4[[#This Row],[Tipo]]="Jrs. Cap. Próprio",Tabela4[[#This Row],[Valor]]*85%,0))</f>
        <v>5.8734999999999996E-2</v>
      </c>
    </row>
    <row r="932" spans="1:7" x14ac:dyDescent="0.2">
      <c r="A932" s="3" t="s">
        <v>221</v>
      </c>
      <c r="B932" s="3" t="s">
        <v>15</v>
      </c>
      <c r="C932" s="80">
        <v>40784</v>
      </c>
      <c r="D932" s="3">
        <v>0.38119999999999998</v>
      </c>
      <c r="E932" s="81">
        <v>40800</v>
      </c>
      <c r="F932" s="81">
        <v>40784</v>
      </c>
      <c r="G932" s="10">
        <f>IF(Tabela4[[#This Row],[Tipo]]="Dividendo",Tabela4[[#This Row],[Valor]],IF(Tabela4[[#This Row],[Tipo]]="Jrs. Cap. Próprio",Tabela4[[#This Row],[Valor]]*85%,0))</f>
        <v>0.38119999999999998</v>
      </c>
    </row>
    <row r="933" spans="1:7" x14ac:dyDescent="0.2">
      <c r="A933" s="4" t="s">
        <v>221</v>
      </c>
      <c r="B933" s="3" t="s">
        <v>14</v>
      </c>
      <c r="C933" s="80">
        <v>40724</v>
      </c>
      <c r="D933" s="3">
        <v>6.9099999999999995E-2</v>
      </c>
      <c r="E933" s="81">
        <v>40765</v>
      </c>
      <c r="F933" s="81">
        <v>40724</v>
      </c>
      <c r="G933" s="10">
        <f>IF(Tabela4[[#This Row],[Tipo]]="Dividendo",Tabela4[[#This Row],[Valor]],IF(Tabela4[[#This Row],[Tipo]]="Jrs. Cap. Próprio",Tabela4[[#This Row],[Valor]]*85%,0))</f>
        <v>5.8734999999999996E-2</v>
      </c>
    </row>
    <row r="934" spans="1:7" x14ac:dyDescent="0.2">
      <c r="A934" s="3" t="s">
        <v>221</v>
      </c>
      <c r="B934" s="3" t="s">
        <v>15</v>
      </c>
      <c r="C934" s="80">
        <v>40658</v>
      </c>
      <c r="D934" s="3">
        <v>0.55889999999999995</v>
      </c>
      <c r="E934" s="81">
        <v>40681</v>
      </c>
      <c r="F934" s="81">
        <v>40658</v>
      </c>
      <c r="G934" s="10">
        <f>IF(Tabela4[[#This Row],[Tipo]]="Dividendo",Tabela4[[#This Row],[Valor]],IF(Tabela4[[#This Row],[Tipo]]="Jrs. Cap. Próprio",Tabela4[[#This Row],[Valor]]*85%,0))</f>
        <v>0.55889999999999995</v>
      </c>
    </row>
    <row r="935" spans="1:7" x14ac:dyDescent="0.2">
      <c r="A935" s="4" t="s">
        <v>221</v>
      </c>
      <c r="B935" s="3" t="s">
        <v>14</v>
      </c>
      <c r="C935" s="80">
        <v>40633</v>
      </c>
      <c r="D935" s="3">
        <v>6.9099999999999995E-2</v>
      </c>
      <c r="E935" s="81">
        <v>40688</v>
      </c>
      <c r="F935" s="81">
        <v>40633</v>
      </c>
      <c r="G935" s="10">
        <f>IF(Tabela4[[#This Row],[Tipo]]="Dividendo",Tabela4[[#This Row],[Valor]],IF(Tabela4[[#This Row],[Tipo]]="Jrs. Cap. Próprio",Tabela4[[#This Row],[Valor]]*85%,0))</f>
        <v>5.8734999999999996E-2</v>
      </c>
    </row>
    <row r="936" spans="1:7" x14ac:dyDescent="0.2">
      <c r="A936" s="3" t="s">
        <v>221</v>
      </c>
      <c r="B936" s="3" t="s">
        <v>14</v>
      </c>
      <c r="C936" s="80">
        <v>40542</v>
      </c>
      <c r="D936" s="3">
        <v>5.62E-2</v>
      </c>
      <c r="E936" s="81">
        <v>40597</v>
      </c>
      <c r="F936" s="81">
        <v>40542</v>
      </c>
      <c r="G936" s="10">
        <f>IF(Tabela4[[#This Row],[Tipo]]="Dividendo",Tabela4[[#This Row],[Valor]],IF(Tabela4[[#This Row],[Tipo]]="Jrs. Cap. Próprio",Tabela4[[#This Row],[Valor]]*85%,0))</f>
        <v>4.777E-2</v>
      </c>
    </row>
    <row r="937" spans="1:7" x14ac:dyDescent="0.2">
      <c r="A937" s="4" t="s">
        <v>221</v>
      </c>
      <c r="B937" s="3" t="s">
        <v>14</v>
      </c>
      <c r="C937" s="80">
        <v>40451</v>
      </c>
      <c r="D937" s="3">
        <v>5.62E-2</v>
      </c>
      <c r="E937" s="81">
        <v>40527</v>
      </c>
      <c r="F937" s="81">
        <v>40451</v>
      </c>
      <c r="G937" s="10">
        <f>IF(Tabela4[[#This Row],[Tipo]]="Dividendo",Tabela4[[#This Row],[Valor]],IF(Tabela4[[#This Row],[Tipo]]="Jrs. Cap. Próprio",Tabela4[[#This Row],[Valor]]*85%,0))</f>
        <v>4.777E-2</v>
      </c>
    </row>
    <row r="938" spans="1:7" x14ac:dyDescent="0.2">
      <c r="A938" s="3" t="s">
        <v>221</v>
      </c>
      <c r="B938" s="3" t="s">
        <v>15</v>
      </c>
      <c r="C938" s="80">
        <v>40451</v>
      </c>
      <c r="D938" s="3">
        <v>0.46729999999999999</v>
      </c>
      <c r="E938" s="81">
        <v>40527</v>
      </c>
      <c r="F938" s="81">
        <v>40451</v>
      </c>
      <c r="G938" s="10">
        <f>IF(Tabela4[[#This Row],[Tipo]]="Dividendo",Tabela4[[#This Row],[Valor]],IF(Tabela4[[#This Row],[Tipo]]="Jrs. Cap. Próprio",Tabela4[[#This Row],[Valor]]*85%,0))</f>
        <v>0.46729999999999999</v>
      </c>
    </row>
    <row r="939" spans="1:7" x14ac:dyDescent="0.2">
      <c r="A939" s="4" t="s">
        <v>221</v>
      </c>
      <c r="B939" s="3" t="s">
        <v>14</v>
      </c>
      <c r="C939" s="80">
        <v>40359</v>
      </c>
      <c r="D939" s="3">
        <v>5.62E-2</v>
      </c>
      <c r="E939" s="81">
        <v>40436</v>
      </c>
      <c r="F939" s="81">
        <v>40359</v>
      </c>
      <c r="G939" s="10">
        <f>IF(Tabela4[[#This Row],[Tipo]]="Dividendo",Tabela4[[#This Row],[Valor]],IF(Tabela4[[#This Row],[Tipo]]="Jrs. Cap. Próprio",Tabela4[[#This Row],[Valor]]*85%,0))</f>
        <v>4.777E-2</v>
      </c>
    </row>
    <row r="940" spans="1:7" x14ac:dyDescent="0.2">
      <c r="A940" s="3" t="s">
        <v>221</v>
      </c>
      <c r="B940" s="3" t="s">
        <v>14</v>
      </c>
      <c r="C940" s="80">
        <v>40268</v>
      </c>
      <c r="D940" s="3">
        <v>5.62E-2</v>
      </c>
      <c r="E940" s="81">
        <v>40317</v>
      </c>
      <c r="F940" s="81">
        <v>40268</v>
      </c>
      <c r="G940" s="10">
        <f>IF(Tabela4[[#This Row],[Tipo]]="Dividendo",Tabela4[[#This Row],[Valor]],IF(Tabela4[[#This Row],[Tipo]]="Jrs. Cap. Próprio",Tabela4[[#This Row],[Valor]]*85%,0))</f>
        <v>4.777E-2</v>
      </c>
    </row>
    <row r="941" spans="1:7" x14ac:dyDescent="0.2">
      <c r="A941" s="4" t="s">
        <v>221</v>
      </c>
      <c r="B941" s="3" t="s">
        <v>15</v>
      </c>
      <c r="C941" s="80">
        <v>40263</v>
      </c>
      <c r="D941" s="3">
        <v>0.57669999999999999</v>
      </c>
      <c r="E941" s="81">
        <v>40345</v>
      </c>
      <c r="F941" s="81">
        <v>40263</v>
      </c>
      <c r="G941" s="10">
        <f>IF(Tabela4[[#This Row],[Tipo]]="Dividendo",Tabela4[[#This Row],[Valor]],IF(Tabela4[[#This Row],[Tipo]]="Jrs. Cap. Próprio",Tabela4[[#This Row],[Valor]]*85%,0))</f>
        <v>0.57669999999999999</v>
      </c>
    </row>
    <row r="942" spans="1:7" x14ac:dyDescent="0.2">
      <c r="A942" s="3" t="s">
        <v>221</v>
      </c>
      <c r="B942" s="3" t="s">
        <v>14</v>
      </c>
      <c r="C942" s="80">
        <v>40165</v>
      </c>
      <c r="D942" s="3">
        <v>5.2900000000000003E-2</v>
      </c>
      <c r="E942" s="81">
        <v>40317</v>
      </c>
      <c r="F942" s="81">
        <v>40165</v>
      </c>
      <c r="G942" s="10">
        <f>IF(Tabela4[[#This Row],[Tipo]]="Dividendo",Tabela4[[#This Row],[Valor]],IF(Tabela4[[#This Row],[Tipo]]="Jrs. Cap. Próprio",Tabela4[[#This Row],[Valor]]*85%,0))</f>
        <v>4.4964999999999998E-2</v>
      </c>
    </row>
    <row r="943" spans="1:7" x14ac:dyDescent="0.2">
      <c r="A943" s="4" t="s">
        <v>221</v>
      </c>
      <c r="B943" s="3" t="s">
        <v>14</v>
      </c>
      <c r="C943" s="80">
        <v>40086</v>
      </c>
      <c r="D943" s="3">
        <v>7.1300000000000002E-2</v>
      </c>
      <c r="E943" s="81">
        <v>40163</v>
      </c>
      <c r="F943" s="81">
        <v>40086</v>
      </c>
      <c r="G943" s="10">
        <f>IF(Tabela4[[#This Row],[Tipo]]="Dividendo",Tabela4[[#This Row],[Valor]],IF(Tabela4[[#This Row],[Tipo]]="Jrs. Cap. Próprio",Tabela4[[#This Row],[Valor]]*85%,0))</f>
        <v>6.0604999999999999E-2</v>
      </c>
    </row>
    <row r="944" spans="1:7" x14ac:dyDescent="0.2">
      <c r="A944" s="3" t="s">
        <v>221</v>
      </c>
      <c r="B944" s="3" t="s">
        <v>15</v>
      </c>
      <c r="C944" s="80">
        <v>40086</v>
      </c>
      <c r="D944" s="3">
        <v>0.25280000000000002</v>
      </c>
      <c r="E944" s="81">
        <v>40163</v>
      </c>
      <c r="F944" s="81">
        <v>40086</v>
      </c>
      <c r="G944" s="10">
        <f>IF(Tabela4[[#This Row],[Tipo]]="Dividendo",Tabela4[[#This Row],[Valor]],IF(Tabela4[[#This Row],[Tipo]]="Jrs. Cap. Próprio",Tabela4[[#This Row],[Valor]]*85%,0))</f>
        <v>0.25280000000000002</v>
      </c>
    </row>
    <row r="945" spans="1:7" x14ac:dyDescent="0.2">
      <c r="A945" s="4" t="s">
        <v>221</v>
      </c>
      <c r="B945" s="3" t="s">
        <v>14</v>
      </c>
      <c r="C945" s="80">
        <v>39993</v>
      </c>
      <c r="D945" s="3">
        <v>9.1899999999999996E-2</v>
      </c>
      <c r="E945" s="81">
        <v>40065</v>
      </c>
      <c r="F945" s="81">
        <v>39993</v>
      </c>
      <c r="G945" s="10">
        <f>IF(Tabela4[[#This Row],[Tipo]]="Dividendo",Tabela4[[#This Row],[Valor]],IF(Tabela4[[#This Row],[Tipo]]="Jrs. Cap. Próprio",Tabela4[[#This Row],[Valor]]*85%,0))</f>
        <v>7.811499999999999E-2</v>
      </c>
    </row>
    <row r="946" spans="1:7" x14ac:dyDescent="0.2">
      <c r="A946" s="3" t="s">
        <v>221</v>
      </c>
      <c r="B946" s="3" t="s">
        <v>15</v>
      </c>
      <c r="C946" s="80">
        <v>39898</v>
      </c>
      <c r="D946" s="3">
        <v>0.44140000000000001</v>
      </c>
      <c r="E946" s="81">
        <v>39974</v>
      </c>
      <c r="F946" s="81">
        <v>39898</v>
      </c>
      <c r="G946" s="10">
        <f>IF(Tabela4[[#This Row],[Tipo]]="Dividendo",Tabela4[[#This Row],[Valor]],IF(Tabela4[[#This Row],[Tipo]]="Jrs. Cap. Próprio",Tabela4[[#This Row],[Valor]]*85%,0))</f>
        <v>0.44140000000000001</v>
      </c>
    </row>
    <row r="947" spans="1:7" x14ac:dyDescent="0.2">
      <c r="A947" s="4" t="s">
        <v>221</v>
      </c>
      <c r="B947" s="3" t="s">
        <v>14</v>
      </c>
      <c r="C947" s="80">
        <v>39812</v>
      </c>
      <c r="D947" s="3">
        <v>5.1299999999999998E-2</v>
      </c>
      <c r="E947" s="81">
        <v>39946</v>
      </c>
      <c r="F947" s="81">
        <v>39812</v>
      </c>
      <c r="G947" s="10">
        <f>IF(Tabela4[[#This Row],[Tipo]]="Dividendo",Tabela4[[#This Row],[Valor]],IF(Tabela4[[#This Row],[Tipo]]="Jrs. Cap. Próprio",Tabela4[[#This Row],[Valor]]*85%,0))</f>
        <v>4.3604999999999998E-2</v>
      </c>
    </row>
    <row r="948" spans="1:7" x14ac:dyDescent="0.2">
      <c r="A948" s="3" t="s">
        <v>221</v>
      </c>
      <c r="B948" s="3" t="s">
        <v>14</v>
      </c>
      <c r="C948" s="80">
        <v>39752</v>
      </c>
      <c r="D948" s="3">
        <v>5.1299999999999998E-2</v>
      </c>
      <c r="E948" s="81">
        <v>39792</v>
      </c>
      <c r="F948" s="81">
        <v>39752</v>
      </c>
      <c r="G948" s="10">
        <f>IF(Tabela4[[#This Row],[Tipo]]="Dividendo",Tabela4[[#This Row],[Valor]],IF(Tabela4[[#This Row],[Tipo]]="Jrs. Cap. Próprio",Tabela4[[#This Row],[Valor]]*85%,0))</f>
        <v>4.3604999999999998E-2</v>
      </c>
    </row>
    <row r="949" spans="1:7" x14ac:dyDescent="0.2">
      <c r="A949" s="4" t="s">
        <v>221</v>
      </c>
      <c r="B949" s="3" t="s">
        <v>15</v>
      </c>
      <c r="C949" s="80">
        <v>39752</v>
      </c>
      <c r="D949" s="3">
        <v>0.46510000000000001</v>
      </c>
      <c r="E949" s="81">
        <v>39792</v>
      </c>
      <c r="F949" s="81">
        <v>39752</v>
      </c>
      <c r="G949" s="10">
        <f>IF(Tabela4[[#This Row],[Tipo]]="Dividendo",Tabela4[[#This Row],[Valor]],IF(Tabela4[[#This Row],[Tipo]]="Jrs. Cap. Próprio",Tabela4[[#This Row],[Valor]]*85%,0))</f>
        <v>0.46510000000000001</v>
      </c>
    </row>
    <row r="950" spans="1:7" x14ac:dyDescent="0.2">
      <c r="A950" s="3" t="s">
        <v>221</v>
      </c>
      <c r="B950" s="3" t="s">
        <v>14</v>
      </c>
      <c r="C950" s="80">
        <v>39660</v>
      </c>
      <c r="D950" s="3">
        <v>5.1299999999999998E-2</v>
      </c>
      <c r="E950" s="81"/>
      <c r="F950" s="81">
        <v>39660</v>
      </c>
      <c r="G950" s="10">
        <f>IF(Tabela4[[#This Row],[Tipo]]="Dividendo",Tabela4[[#This Row],[Valor]],IF(Tabela4[[#This Row],[Tipo]]="Jrs. Cap. Próprio",Tabela4[[#This Row],[Valor]]*85%,0))</f>
        <v>4.3604999999999998E-2</v>
      </c>
    </row>
    <row r="951" spans="1:7" x14ac:dyDescent="0.2">
      <c r="A951" s="4" t="s">
        <v>221</v>
      </c>
      <c r="B951" s="3" t="s">
        <v>14</v>
      </c>
      <c r="C951" s="80">
        <v>39566</v>
      </c>
      <c r="D951" s="3">
        <v>5.1299999999999998E-2</v>
      </c>
      <c r="E951" s="81">
        <v>39610</v>
      </c>
      <c r="F951" s="81">
        <v>39566</v>
      </c>
      <c r="G951" s="10">
        <f>IF(Tabela4[[#This Row],[Tipo]]="Dividendo",Tabela4[[#This Row],[Valor]],IF(Tabela4[[#This Row],[Tipo]]="Jrs. Cap. Próprio",Tabela4[[#This Row],[Valor]]*85%,0))</f>
        <v>4.3604999999999998E-2</v>
      </c>
    </row>
    <row r="952" spans="1:7" x14ac:dyDescent="0.2">
      <c r="A952" s="3" t="s">
        <v>221</v>
      </c>
      <c r="B952" s="3" t="s">
        <v>15</v>
      </c>
      <c r="C952" s="80">
        <v>39561</v>
      </c>
      <c r="D952" s="3">
        <v>0.46910000000000002</v>
      </c>
      <c r="E952" s="81">
        <v>39610</v>
      </c>
      <c r="F952" s="81">
        <v>39561</v>
      </c>
      <c r="G952" s="10">
        <f>IF(Tabela4[[#This Row],[Tipo]]="Dividendo",Tabela4[[#This Row],[Valor]],IF(Tabela4[[#This Row],[Tipo]]="Jrs. Cap. Próprio",Tabela4[[#This Row],[Valor]]*85%,0))</f>
        <v>0.46910000000000002</v>
      </c>
    </row>
    <row r="953" spans="1:7" x14ac:dyDescent="0.2">
      <c r="A953" s="4" t="s">
        <v>221</v>
      </c>
      <c r="B953" s="3" t="s">
        <v>14</v>
      </c>
      <c r="C953" s="80">
        <v>39434</v>
      </c>
      <c r="D953" s="3">
        <v>4.8000000000000001E-2</v>
      </c>
      <c r="E953" s="81">
        <v>39456</v>
      </c>
      <c r="F953" s="81">
        <v>39434</v>
      </c>
      <c r="G953" s="10">
        <f>IF(Tabela4[[#This Row],[Tipo]]="Dividendo",Tabela4[[#This Row],[Valor]],IF(Tabela4[[#This Row],[Tipo]]="Jrs. Cap. Próprio",Tabela4[[#This Row],[Valor]]*85%,0))</f>
        <v>4.0800000000000003E-2</v>
      </c>
    </row>
    <row r="954" spans="1:7" x14ac:dyDescent="0.2">
      <c r="A954" s="3" t="s">
        <v>221</v>
      </c>
      <c r="B954" s="3" t="s">
        <v>14</v>
      </c>
      <c r="C954" s="80">
        <v>39386</v>
      </c>
      <c r="D954" s="3">
        <v>4.7399999999999998E-2</v>
      </c>
      <c r="E954" s="81">
        <v>39428</v>
      </c>
      <c r="F954" s="81">
        <v>39386</v>
      </c>
      <c r="G954" s="10">
        <f>IF(Tabela4[[#This Row],[Tipo]]="Dividendo",Tabela4[[#This Row],[Valor]],IF(Tabela4[[#This Row],[Tipo]]="Jrs. Cap. Próprio",Tabela4[[#This Row],[Valor]]*85%,0))</f>
        <v>4.0289999999999999E-2</v>
      </c>
    </row>
    <row r="955" spans="1:7" x14ac:dyDescent="0.2">
      <c r="A955" s="4" t="s">
        <v>221</v>
      </c>
      <c r="B955" s="3" t="s">
        <v>15</v>
      </c>
      <c r="C955" s="80">
        <v>39356</v>
      </c>
      <c r="D955" s="3">
        <v>0.41920000000000002</v>
      </c>
      <c r="E955" s="81">
        <v>39385</v>
      </c>
      <c r="F955" s="81">
        <v>39356</v>
      </c>
      <c r="G955" s="10">
        <f>IF(Tabela4[[#This Row],[Tipo]]="Dividendo",Tabela4[[#This Row],[Valor]],IF(Tabela4[[#This Row],[Tipo]]="Jrs. Cap. Próprio",Tabela4[[#This Row],[Valor]]*85%,0))</f>
        <v>0.41920000000000002</v>
      </c>
    </row>
    <row r="956" spans="1:7" x14ac:dyDescent="0.2">
      <c r="A956" s="3" t="s">
        <v>221</v>
      </c>
      <c r="B956" s="3" t="s">
        <v>14</v>
      </c>
      <c r="C956" s="80">
        <v>39293</v>
      </c>
      <c r="D956" s="3">
        <v>4.9299999999999997E-2</v>
      </c>
      <c r="E956" s="81">
        <v>39325</v>
      </c>
      <c r="F956" s="81">
        <v>39293</v>
      </c>
      <c r="G956" s="10">
        <f>IF(Tabela4[[#This Row],[Tipo]]="Dividendo",Tabela4[[#This Row],[Valor]],IF(Tabela4[[#This Row],[Tipo]]="Jrs. Cap. Próprio",Tabela4[[#This Row],[Valor]]*85%,0))</f>
        <v>4.1904999999999998E-2</v>
      </c>
    </row>
    <row r="957" spans="1:7" x14ac:dyDescent="0.2">
      <c r="A957" s="4" t="s">
        <v>221</v>
      </c>
      <c r="B957" s="3" t="s">
        <v>14</v>
      </c>
      <c r="C957" s="80">
        <v>39230</v>
      </c>
      <c r="D957" s="3">
        <v>4.9299999999999997E-2</v>
      </c>
      <c r="E957" s="81">
        <v>39262</v>
      </c>
      <c r="F957" s="81">
        <v>39230</v>
      </c>
      <c r="G957" s="10">
        <f>IF(Tabela4[[#This Row],[Tipo]]="Dividendo",Tabela4[[#This Row],[Valor]],IF(Tabela4[[#This Row],[Tipo]]="Jrs. Cap. Próprio",Tabela4[[#This Row],[Valor]]*85%,0))</f>
        <v>4.1904999999999998E-2</v>
      </c>
    </row>
    <row r="958" spans="1:7" x14ac:dyDescent="0.2">
      <c r="A958" s="3" t="s">
        <v>221</v>
      </c>
      <c r="B958" s="3" t="s">
        <v>15</v>
      </c>
      <c r="C958" s="80">
        <v>39168</v>
      </c>
      <c r="D958" s="3">
        <v>0.42330000000000001</v>
      </c>
      <c r="E958" s="81">
        <v>39199</v>
      </c>
      <c r="F958" s="81">
        <v>39168</v>
      </c>
      <c r="G958" s="10">
        <f>IF(Tabela4[[#This Row],[Tipo]]="Dividendo",Tabela4[[#This Row],[Valor]],IF(Tabela4[[#This Row],[Tipo]]="Jrs. Cap. Próprio",Tabela4[[#This Row],[Valor]]*85%,0))</f>
        <v>0.42330000000000001</v>
      </c>
    </row>
    <row r="959" spans="1:7" x14ac:dyDescent="0.2">
      <c r="A959" s="4" t="s">
        <v>221</v>
      </c>
      <c r="B959" s="3" t="s">
        <v>14</v>
      </c>
      <c r="C959" s="80">
        <v>39078</v>
      </c>
      <c r="D959" s="3">
        <v>4.8599999999999997E-2</v>
      </c>
      <c r="E959" s="81">
        <v>39199</v>
      </c>
      <c r="F959" s="81">
        <v>39078</v>
      </c>
      <c r="G959" s="10">
        <f>IF(Tabela4[[#This Row],[Tipo]]="Dividendo",Tabela4[[#This Row],[Valor]],IF(Tabela4[[#This Row],[Tipo]]="Jrs. Cap. Próprio",Tabela4[[#This Row],[Valor]]*85%,0))</f>
        <v>4.1309999999999999E-2</v>
      </c>
    </row>
    <row r="960" spans="1:7" x14ac:dyDescent="0.2">
      <c r="A960" s="3" t="s">
        <v>221</v>
      </c>
      <c r="B960" s="3" t="s">
        <v>14</v>
      </c>
      <c r="C960" s="80">
        <v>39038</v>
      </c>
      <c r="D960" s="3">
        <v>5.3100000000000001E-2</v>
      </c>
      <c r="E960" s="81">
        <v>39050</v>
      </c>
      <c r="F960" s="81">
        <v>39038</v>
      </c>
      <c r="G960" s="10">
        <f>IF(Tabela4[[#This Row],[Tipo]]="Dividendo",Tabela4[[#This Row],[Valor]],IF(Tabela4[[#This Row],[Tipo]]="Jrs. Cap. Próprio",Tabela4[[#This Row],[Valor]]*85%,0))</f>
        <v>4.5135000000000002E-2</v>
      </c>
    </row>
    <row r="961" spans="1:7" x14ac:dyDescent="0.2">
      <c r="A961" s="4" t="s">
        <v>221</v>
      </c>
      <c r="B961" s="3" t="s">
        <v>15</v>
      </c>
      <c r="C961" s="80">
        <v>38988</v>
      </c>
      <c r="D961" s="3">
        <v>0.2225</v>
      </c>
      <c r="E961" s="81">
        <v>39050</v>
      </c>
      <c r="F961" s="81">
        <v>38988</v>
      </c>
      <c r="G961" s="10">
        <f>IF(Tabela4[[#This Row],[Tipo]]="Dividendo",Tabela4[[#This Row],[Valor]],IF(Tabela4[[#This Row],[Tipo]]="Jrs. Cap. Próprio",Tabela4[[#This Row],[Valor]]*85%,0))</f>
        <v>0.2225</v>
      </c>
    </row>
    <row r="962" spans="1:7" x14ac:dyDescent="0.2">
      <c r="A962" s="3" t="s">
        <v>221</v>
      </c>
      <c r="B962" s="3" t="s">
        <v>14</v>
      </c>
      <c r="C962" s="80">
        <v>38922</v>
      </c>
      <c r="D962" s="3">
        <v>5.8200000000000002E-2</v>
      </c>
      <c r="E962" s="81">
        <v>39050</v>
      </c>
      <c r="F962" s="81">
        <v>38922</v>
      </c>
      <c r="G962" s="10">
        <f>IF(Tabela4[[#This Row],[Tipo]]="Dividendo",Tabela4[[#This Row],[Valor]],IF(Tabela4[[#This Row],[Tipo]]="Jrs. Cap. Próprio",Tabela4[[#This Row],[Valor]]*85%,0))</f>
        <v>4.947E-2</v>
      </c>
    </row>
    <row r="963" spans="1:7" x14ac:dyDescent="0.2">
      <c r="A963" s="4" t="s">
        <v>221</v>
      </c>
      <c r="B963" s="3" t="s">
        <v>14</v>
      </c>
      <c r="C963" s="80">
        <v>38859</v>
      </c>
      <c r="D963" s="3">
        <v>6.3299999999999995E-2</v>
      </c>
      <c r="E963" s="81">
        <v>39050</v>
      </c>
      <c r="F963" s="81">
        <v>38859</v>
      </c>
      <c r="G963" s="10">
        <f>IF(Tabela4[[#This Row],[Tipo]]="Dividendo",Tabela4[[#This Row],[Valor]],IF(Tabela4[[#This Row],[Tipo]]="Jrs. Cap. Próprio",Tabela4[[#This Row],[Valor]]*85%,0))</f>
        <v>5.3804999999999992E-2</v>
      </c>
    </row>
    <row r="964" spans="1:7" x14ac:dyDescent="0.2">
      <c r="A964" s="3" t="s">
        <v>221</v>
      </c>
      <c r="B964" s="3" t="s">
        <v>15</v>
      </c>
      <c r="C964" s="80">
        <v>38783</v>
      </c>
      <c r="D964" s="3">
        <v>0.44409999999999999</v>
      </c>
      <c r="E964" s="81">
        <v>38847</v>
      </c>
      <c r="F964" s="81">
        <v>38783</v>
      </c>
      <c r="G964" s="10">
        <f>IF(Tabela4[[#This Row],[Tipo]]="Dividendo",Tabela4[[#This Row],[Valor]],IF(Tabela4[[#This Row],[Tipo]]="Jrs. Cap. Próprio",Tabela4[[#This Row],[Valor]]*85%,0))</f>
        <v>0.44409999999999999</v>
      </c>
    </row>
    <row r="965" spans="1:7" x14ac:dyDescent="0.2">
      <c r="A965" s="4" t="s">
        <v>221</v>
      </c>
      <c r="B965" s="3" t="s">
        <v>14</v>
      </c>
      <c r="C965" s="80">
        <v>38715</v>
      </c>
      <c r="D965" s="3">
        <v>0.2656</v>
      </c>
      <c r="E965" s="81">
        <v>38727</v>
      </c>
      <c r="F965" s="81">
        <v>38715</v>
      </c>
      <c r="G965" s="10">
        <f>IF(Tabela4[[#This Row],[Tipo]]="Dividendo",Tabela4[[#This Row],[Valor]],IF(Tabela4[[#This Row],[Tipo]]="Jrs. Cap. Próprio",Tabela4[[#This Row],[Valor]]*85%,0))</f>
        <v>0.22575999999999999</v>
      </c>
    </row>
    <row r="966" spans="1:7" x14ac:dyDescent="0.2">
      <c r="A966" s="3" t="s">
        <v>221</v>
      </c>
      <c r="B966" s="3" t="s">
        <v>15</v>
      </c>
      <c r="C966" s="80">
        <v>38439</v>
      </c>
      <c r="D966" s="3">
        <v>9.7199999999999995E-2</v>
      </c>
      <c r="E966" s="81">
        <v>38503</v>
      </c>
      <c r="F966" s="81">
        <v>38439</v>
      </c>
      <c r="G966" s="10">
        <f>IF(Tabela4[[#This Row],[Tipo]]="Dividendo",Tabela4[[#This Row],[Valor]],IF(Tabela4[[#This Row],[Tipo]]="Jrs. Cap. Próprio",Tabela4[[#This Row],[Valor]]*85%,0))</f>
        <v>9.7199999999999995E-2</v>
      </c>
    </row>
    <row r="967" spans="1:7" x14ac:dyDescent="0.2">
      <c r="A967" s="4" t="s">
        <v>221</v>
      </c>
      <c r="B967" s="3" t="s">
        <v>14</v>
      </c>
      <c r="C967" s="80">
        <v>38334</v>
      </c>
      <c r="D967" s="3">
        <v>5.4399999999999997E-2</v>
      </c>
      <c r="E967" s="81">
        <v>38503</v>
      </c>
      <c r="F967" s="81">
        <v>38331</v>
      </c>
      <c r="G967" s="10">
        <f>IF(Tabela4[[#This Row],[Tipo]]="Dividendo",Tabela4[[#This Row],[Valor]],IF(Tabela4[[#This Row],[Tipo]]="Jrs. Cap. Próprio",Tabela4[[#This Row],[Valor]]*85%,0))</f>
        <v>4.6239999999999996E-2</v>
      </c>
    </row>
    <row r="968" spans="1:7" x14ac:dyDescent="0.2">
      <c r="A968" s="3" t="s">
        <v>221</v>
      </c>
      <c r="B968" s="3" t="s">
        <v>15</v>
      </c>
      <c r="C968" s="80">
        <v>38320</v>
      </c>
      <c r="D968" s="3">
        <v>0.30099999999999999</v>
      </c>
      <c r="E968" s="81">
        <v>38561</v>
      </c>
      <c r="F968" s="81">
        <v>38320</v>
      </c>
      <c r="G968" s="10">
        <f>IF(Tabela4[[#This Row],[Tipo]]="Dividendo",Tabela4[[#This Row],[Valor]],IF(Tabela4[[#This Row],[Tipo]]="Jrs. Cap. Próprio",Tabela4[[#This Row],[Valor]]*85%,0))</f>
        <v>0.30099999999999999</v>
      </c>
    </row>
    <row r="969" spans="1:7" x14ac:dyDescent="0.2">
      <c r="A969" s="4" t="s">
        <v>221</v>
      </c>
      <c r="B969" s="3" t="s">
        <v>14</v>
      </c>
      <c r="C969" s="80">
        <v>38302</v>
      </c>
      <c r="D969" s="3">
        <v>0.13439999999999999</v>
      </c>
      <c r="E969" s="81">
        <v>38321</v>
      </c>
      <c r="F969" s="81">
        <v>38301</v>
      </c>
      <c r="G969" s="10">
        <f>IF(Tabela4[[#This Row],[Tipo]]="Dividendo",Tabela4[[#This Row],[Valor]],IF(Tabela4[[#This Row],[Tipo]]="Jrs. Cap. Próprio",Tabela4[[#This Row],[Valor]]*85%,0))</f>
        <v>0.11423999999999999</v>
      </c>
    </row>
    <row r="970" spans="1:7" x14ac:dyDescent="0.2">
      <c r="A970" s="3" t="s">
        <v>221</v>
      </c>
      <c r="B970" s="3" t="s">
        <v>14</v>
      </c>
      <c r="C970" s="80">
        <v>38191</v>
      </c>
      <c r="D970" s="3">
        <v>9.9199999999999997E-2</v>
      </c>
      <c r="E970" s="81">
        <v>38205</v>
      </c>
      <c r="F970" s="81">
        <v>38181</v>
      </c>
      <c r="G970" s="10">
        <f>IF(Tabela4[[#This Row],[Tipo]]="Dividendo",Tabela4[[#This Row],[Valor]],IF(Tabela4[[#This Row],[Tipo]]="Jrs. Cap. Próprio",Tabela4[[#This Row],[Valor]]*85%,0))</f>
        <v>8.4319999999999992E-2</v>
      </c>
    </row>
    <row r="971" spans="1:7" x14ac:dyDescent="0.2">
      <c r="A971" s="4" t="s">
        <v>221</v>
      </c>
      <c r="B971" s="3" t="s">
        <v>15</v>
      </c>
      <c r="C971" s="80">
        <v>38075</v>
      </c>
      <c r="D971" s="3">
        <v>0.77700000000000002</v>
      </c>
      <c r="E971" s="81">
        <v>38077</v>
      </c>
      <c r="F971" s="81">
        <v>38075</v>
      </c>
      <c r="G971" s="10">
        <f>IF(Tabela4[[#This Row],[Tipo]]="Dividendo",Tabela4[[#This Row],[Valor]],IF(Tabela4[[#This Row],[Tipo]]="Jrs. Cap. Próprio",Tabela4[[#This Row],[Valor]]*85%,0))</f>
        <v>0.77700000000000002</v>
      </c>
    </row>
    <row r="972" spans="1:7" x14ac:dyDescent="0.2">
      <c r="A972" s="3" t="s">
        <v>221</v>
      </c>
      <c r="B972" s="3" t="s">
        <v>14</v>
      </c>
      <c r="C972" s="80">
        <v>37984</v>
      </c>
      <c r="D972" s="3">
        <v>9.6799999999999997E-2</v>
      </c>
      <c r="E972" s="81">
        <v>38016</v>
      </c>
      <c r="F972" s="81">
        <v>37984</v>
      </c>
      <c r="G972" s="10">
        <f>IF(Tabela4[[#This Row],[Tipo]]="Dividendo",Tabela4[[#This Row],[Valor]],IF(Tabela4[[#This Row],[Tipo]]="Jrs. Cap. Próprio",Tabela4[[#This Row],[Valor]]*85%,0))</f>
        <v>8.2279999999999992E-2</v>
      </c>
    </row>
    <row r="973" spans="1:7" x14ac:dyDescent="0.2">
      <c r="A973" s="4" t="s">
        <v>221</v>
      </c>
      <c r="B973" s="3" t="s">
        <v>15</v>
      </c>
      <c r="C973" s="80">
        <v>37739</v>
      </c>
      <c r="D973" s="3">
        <v>4.6699999999999998E-2</v>
      </c>
      <c r="E973" s="81">
        <v>37953</v>
      </c>
      <c r="F973" s="81">
        <v>37739</v>
      </c>
      <c r="G973" s="10">
        <f>IF(Tabela4[[#This Row],[Tipo]]="Dividendo",Tabela4[[#This Row],[Valor]],IF(Tabela4[[#This Row],[Tipo]]="Jrs. Cap. Próprio",Tabela4[[#This Row],[Valor]]*85%,0))</f>
        <v>4.6699999999999998E-2</v>
      </c>
    </row>
    <row r="974" spans="1:7" x14ac:dyDescent="0.2">
      <c r="A974" s="3" t="s">
        <v>221</v>
      </c>
      <c r="B974" s="3" t="s">
        <v>14</v>
      </c>
      <c r="C974" s="80">
        <v>37260</v>
      </c>
      <c r="D974" s="3">
        <v>0.22919999999999999</v>
      </c>
      <c r="E974" s="81">
        <v>37589</v>
      </c>
      <c r="F974" s="81">
        <v>37256</v>
      </c>
      <c r="G974" s="10">
        <f>IF(Tabela4[[#This Row],[Tipo]]="Dividendo",Tabela4[[#This Row],[Valor]],IF(Tabela4[[#This Row],[Tipo]]="Jrs. Cap. Próprio",Tabela4[[#This Row],[Valor]]*85%,0))</f>
        <v>0.19481999999999999</v>
      </c>
    </row>
    <row r="975" spans="1:7" x14ac:dyDescent="0.2">
      <c r="A975" s="4" t="s">
        <v>221</v>
      </c>
      <c r="B975" s="3" t="s">
        <v>15</v>
      </c>
      <c r="C975" s="80">
        <v>36983</v>
      </c>
      <c r="D975" s="3">
        <v>0.28270000000000001</v>
      </c>
      <c r="E975" s="81">
        <v>37043</v>
      </c>
      <c r="F975" s="81">
        <v>36983</v>
      </c>
      <c r="G975" s="10">
        <f>IF(Tabela4[[#This Row],[Tipo]]="Dividendo",Tabela4[[#This Row],[Valor]],IF(Tabela4[[#This Row],[Tipo]]="Jrs. Cap. Próprio",Tabela4[[#This Row],[Valor]]*85%,0))</f>
        <v>0.28270000000000001</v>
      </c>
    </row>
    <row r="976" spans="1:7" x14ac:dyDescent="0.2">
      <c r="A976" s="3" t="s">
        <v>221</v>
      </c>
      <c r="B976" s="3" t="s">
        <v>14</v>
      </c>
      <c r="C976" s="80">
        <v>36893</v>
      </c>
      <c r="D976" s="3">
        <v>0.1177</v>
      </c>
      <c r="E976" s="81"/>
      <c r="F976" s="81">
        <v>36889</v>
      </c>
      <c r="G976" s="10">
        <f>IF(Tabela4[[#This Row],[Tipo]]="Dividendo",Tabela4[[#This Row],[Valor]],IF(Tabela4[[#This Row],[Tipo]]="Jrs. Cap. Próprio",Tabela4[[#This Row],[Valor]]*85%,0))</f>
        <v>0.100045</v>
      </c>
    </row>
    <row r="977" spans="1:7" x14ac:dyDescent="0.2">
      <c r="A977" s="4" t="s">
        <v>221</v>
      </c>
      <c r="B977" s="3" t="s">
        <v>14</v>
      </c>
      <c r="C977" s="80">
        <v>36623</v>
      </c>
      <c r="D977" s="3">
        <v>0.1129</v>
      </c>
      <c r="E977" s="81">
        <v>36629</v>
      </c>
      <c r="F977" s="81">
        <v>36623</v>
      </c>
      <c r="G977" s="10">
        <f>IF(Tabela4[[#This Row],[Tipo]]="Dividendo",Tabela4[[#This Row],[Valor]],IF(Tabela4[[#This Row],[Tipo]]="Jrs. Cap. Próprio",Tabela4[[#This Row],[Valor]]*85%,0))</f>
        <v>9.5964999999999995E-2</v>
      </c>
    </row>
    <row r="978" spans="1:7" x14ac:dyDescent="0.2">
      <c r="A978" s="3" t="s">
        <v>221</v>
      </c>
      <c r="B978" s="3" t="s">
        <v>15</v>
      </c>
      <c r="C978" s="80">
        <v>36623</v>
      </c>
      <c r="D978" s="3">
        <v>5.9299999999999999E-2</v>
      </c>
      <c r="E978" s="81">
        <v>36629</v>
      </c>
      <c r="F978" s="81">
        <v>36623</v>
      </c>
      <c r="G978" s="10">
        <f>IF(Tabela4[[#This Row],[Tipo]]="Dividendo",Tabela4[[#This Row],[Valor]],IF(Tabela4[[#This Row],[Tipo]]="Jrs. Cap. Próprio",Tabela4[[#This Row],[Valor]]*85%,0))</f>
        <v>5.9299999999999999E-2</v>
      </c>
    </row>
    <row r="979" spans="1:7" x14ac:dyDescent="0.2">
      <c r="A979" s="4" t="s">
        <v>28</v>
      </c>
      <c r="B979" s="3" t="s">
        <v>15</v>
      </c>
      <c r="C979" s="80">
        <v>38642</v>
      </c>
      <c r="D979" s="63">
        <v>5.4613999999999999E-3</v>
      </c>
      <c r="E979" s="81">
        <v>38652</v>
      </c>
      <c r="F979" s="81">
        <v>38471</v>
      </c>
      <c r="G979" s="10">
        <f>IF(Tabela4[[#This Row],[Tipo]]="Dividendo",Tabela4[[#This Row],[Valor]],IF(Tabela4[[#This Row],[Tipo]]="Jrs. Cap. Próprio",Tabela4[[#This Row],[Valor]]*85%,0))</f>
        <v>5.4613999999999999E-3</v>
      </c>
    </row>
    <row r="980" spans="1:7" x14ac:dyDescent="0.2">
      <c r="A980" s="4" t="s">
        <v>28</v>
      </c>
      <c r="B980" s="3" t="s">
        <v>15</v>
      </c>
      <c r="C980" s="80">
        <v>38825</v>
      </c>
      <c r="D980" s="63">
        <v>3.5150000000000001E-2</v>
      </c>
      <c r="E980" s="81">
        <v>38873</v>
      </c>
      <c r="F980" s="81">
        <v>38825</v>
      </c>
      <c r="G980" s="10">
        <f>IF(Tabela4[[#This Row],[Tipo]]="Dividendo",Tabela4[[#This Row],[Valor]],IF(Tabela4[[#This Row],[Tipo]]="Jrs. Cap. Próprio",Tabela4[[#This Row],[Valor]]*85%,0))</f>
        <v>3.5150000000000001E-2</v>
      </c>
    </row>
    <row r="981" spans="1:7" x14ac:dyDescent="0.2">
      <c r="A981" s="4" t="s">
        <v>28</v>
      </c>
      <c r="B981" s="3" t="s">
        <v>15</v>
      </c>
      <c r="C981" s="80">
        <v>39188</v>
      </c>
      <c r="D981" s="63">
        <v>5.2060000000000002E-2</v>
      </c>
      <c r="E981" s="81">
        <v>39199</v>
      </c>
      <c r="F981" s="81">
        <v>39188</v>
      </c>
      <c r="G981" s="10">
        <f>IF(Tabela4[[#This Row],[Tipo]]="Dividendo",Tabela4[[#This Row],[Valor]],IF(Tabela4[[#This Row],[Tipo]]="Jrs. Cap. Próprio",Tabela4[[#This Row],[Valor]]*85%,0))</f>
        <v>5.2060000000000002E-2</v>
      </c>
    </row>
    <row r="982" spans="1:7" x14ac:dyDescent="0.2">
      <c r="A982" s="4" t="s">
        <v>28</v>
      </c>
      <c r="B982" s="3" t="s">
        <v>15</v>
      </c>
      <c r="C982" s="80">
        <v>39542</v>
      </c>
      <c r="D982" s="63">
        <v>0.77660781999999995</v>
      </c>
      <c r="E982" s="81">
        <v>39568</v>
      </c>
      <c r="F982" s="81">
        <v>39542</v>
      </c>
      <c r="G982" s="10">
        <f>IF(Tabela4[[#This Row],[Tipo]]="Dividendo",Tabela4[[#This Row],[Valor]],IF(Tabela4[[#This Row],[Tipo]]="Jrs. Cap. Próprio",Tabela4[[#This Row],[Valor]]*85%,0))</f>
        <v>0.77660781999999995</v>
      </c>
    </row>
    <row r="983" spans="1:7" x14ac:dyDescent="0.2">
      <c r="A983" s="4" t="s">
        <v>28</v>
      </c>
      <c r="B983" s="3" t="s">
        <v>15</v>
      </c>
      <c r="C983" s="80">
        <v>39910</v>
      </c>
      <c r="D983" s="63">
        <v>3.4029812910000001</v>
      </c>
      <c r="E983" s="81">
        <v>39930</v>
      </c>
      <c r="F983" s="81">
        <v>39910</v>
      </c>
      <c r="G983" s="10">
        <f>IF(Tabela4[[#This Row],[Tipo]]="Dividendo",Tabela4[[#This Row],[Valor]],IF(Tabela4[[#This Row],[Tipo]]="Jrs. Cap. Próprio",Tabela4[[#This Row],[Valor]]*85%,0))</f>
        <v>3.4029812910000001</v>
      </c>
    </row>
    <row r="984" spans="1:7" x14ac:dyDescent="0.2">
      <c r="A984" s="4" t="s">
        <v>28</v>
      </c>
      <c r="B984" s="3" t="s">
        <v>15</v>
      </c>
      <c r="C984" s="80">
        <v>40346</v>
      </c>
      <c r="D984" s="63">
        <v>1.5084792650000001</v>
      </c>
      <c r="E984" s="81">
        <v>40357</v>
      </c>
      <c r="F984" s="81">
        <v>40296</v>
      </c>
      <c r="G984" s="10">
        <f>IF(Tabela4[[#This Row],[Tipo]]="Dividendo",Tabela4[[#This Row],[Valor]],IF(Tabela4[[#This Row],[Tipo]]="Jrs. Cap. Próprio",Tabela4[[#This Row],[Valor]]*85%,0))</f>
        <v>1.5084792650000001</v>
      </c>
    </row>
    <row r="985" spans="1:7" x14ac:dyDescent="0.2">
      <c r="A985" s="4" t="s">
        <v>28</v>
      </c>
      <c r="B985" s="3" t="s">
        <v>15</v>
      </c>
      <c r="C985" s="80">
        <v>40735</v>
      </c>
      <c r="D985" s="63">
        <v>1.5641441252999999</v>
      </c>
      <c r="E985" s="81">
        <v>40744</v>
      </c>
      <c r="F985" s="81">
        <v>40658</v>
      </c>
      <c r="G985" s="10">
        <f>IF(Tabela4[[#This Row],[Tipo]]="Dividendo",Tabela4[[#This Row],[Valor]],IF(Tabela4[[#This Row],[Tipo]]="Jrs. Cap. Próprio",Tabela4[[#This Row],[Valor]]*85%,0))</f>
        <v>1.5641441252999999</v>
      </c>
    </row>
    <row r="986" spans="1:7" x14ac:dyDescent="0.2">
      <c r="A986" s="4" t="s">
        <v>28</v>
      </c>
      <c r="B986" s="3" t="s">
        <v>15</v>
      </c>
      <c r="C986" s="80">
        <v>41011</v>
      </c>
      <c r="D986" s="63">
        <v>1.5584985517000001</v>
      </c>
      <c r="E986" s="81">
        <v>41029</v>
      </c>
      <c r="F986" s="81">
        <v>41010</v>
      </c>
      <c r="G986" s="10">
        <f>IF(Tabela4[[#This Row],[Tipo]]="Dividendo",Tabela4[[#This Row],[Valor]],IF(Tabela4[[#This Row],[Tipo]]="Jrs. Cap. Próprio",Tabela4[[#This Row],[Valor]]*85%,0))</f>
        <v>1.5584985517000001</v>
      </c>
    </row>
    <row r="987" spans="1:7" x14ac:dyDescent="0.2">
      <c r="A987" s="4" t="s">
        <v>28</v>
      </c>
      <c r="B987" s="4" t="s">
        <v>15</v>
      </c>
      <c r="C987" s="19">
        <v>41393</v>
      </c>
      <c r="D987" s="55">
        <v>0.80520000000000003</v>
      </c>
      <c r="E987" s="68">
        <v>41472</v>
      </c>
      <c r="F987" s="68">
        <v>41393</v>
      </c>
      <c r="G987" s="14">
        <f>IF(Tabela4[[#This Row],[Tipo]]="Dividendo",Tabela4[[#This Row],[Valor]],IF(Tabela4[[#This Row],[Tipo]]="Jrs. Cap. Próprio",Tabela4[[#This Row],[Valor]]*85%,0))</f>
        <v>0.80520000000000003</v>
      </c>
    </row>
    <row r="988" spans="1:7" x14ac:dyDescent="0.2">
      <c r="A988" s="35" t="s">
        <v>86</v>
      </c>
      <c r="B988" s="35" t="s">
        <v>14</v>
      </c>
      <c r="C988" s="36">
        <v>41540</v>
      </c>
      <c r="D988" s="38">
        <v>7.0199999999999999E-2</v>
      </c>
      <c r="E988" s="37">
        <v>41555</v>
      </c>
      <c r="F988" s="37">
        <v>41536</v>
      </c>
      <c r="G988" s="38">
        <f>IF(Tabela4[[#This Row],[Tipo]]="Dividendo",Tabela4[[#This Row],[Valor]],IF(Tabela4[[#This Row],[Tipo]]="Jrs. Cap. Próprio",Tabela4[[#This Row],[Valor]]*85%,0))</f>
        <v>5.9669999999999994E-2</v>
      </c>
    </row>
    <row r="989" spans="1:7" x14ac:dyDescent="0.2">
      <c r="A989" s="35" t="s">
        <v>86</v>
      </c>
      <c r="B989" s="31" t="s">
        <v>14</v>
      </c>
      <c r="C989" s="32">
        <v>41446</v>
      </c>
      <c r="D989" s="34">
        <v>6.8699999999999997E-2</v>
      </c>
      <c r="E989" s="33">
        <v>41463</v>
      </c>
      <c r="F989" s="33">
        <v>41444</v>
      </c>
      <c r="G989" s="34">
        <f>IF(Tabela4[[#This Row],[Tipo]]="Dividendo",Tabela4[[#This Row],[Valor]],IF(Tabela4[[#This Row],[Tipo]]="Jrs. Cap. Próprio",Tabela4[[#This Row],[Valor]]*85%,0))</f>
        <v>5.8394999999999996E-2</v>
      </c>
    </row>
    <row r="990" spans="1:7" x14ac:dyDescent="0.2">
      <c r="A990" s="35" t="s">
        <v>86</v>
      </c>
      <c r="B990" s="31" t="s">
        <v>15</v>
      </c>
      <c r="C990" s="32">
        <v>41386</v>
      </c>
      <c r="D990" s="34">
        <v>0.25850000000000001</v>
      </c>
      <c r="E990" s="33">
        <v>41402</v>
      </c>
      <c r="F990" s="33">
        <v>41382</v>
      </c>
      <c r="G990" s="34">
        <f>IF(Tabela4[[#This Row],[Tipo]]="Dividendo",Tabela4[[#This Row],[Valor]],IF(Tabela4[[#This Row],[Tipo]]="Jrs. Cap. Próprio",Tabela4[[#This Row],[Valor]]*85%,0))</f>
        <v>0.25850000000000001</v>
      </c>
    </row>
    <row r="991" spans="1:7" x14ac:dyDescent="0.2">
      <c r="A991" s="35" t="s">
        <v>86</v>
      </c>
      <c r="B991" s="31" t="s">
        <v>14</v>
      </c>
      <c r="C991" s="32">
        <v>41354</v>
      </c>
      <c r="D991" s="34">
        <v>6.8599999999999994E-2</v>
      </c>
      <c r="E991" s="33">
        <v>41372</v>
      </c>
      <c r="F991" s="33">
        <v>41352</v>
      </c>
      <c r="G991" s="34">
        <f>IF(Tabela4[[#This Row],[Tipo]]="Dividendo",Tabela4[[#This Row],[Valor]],IF(Tabela4[[#This Row],[Tipo]]="Jrs. Cap. Próprio",Tabela4[[#This Row],[Valor]]*85%,0))</f>
        <v>5.8309999999999994E-2</v>
      </c>
    </row>
    <row r="992" spans="1:7" x14ac:dyDescent="0.2">
      <c r="A992" s="35" t="s">
        <v>86</v>
      </c>
      <c r="B992" s="31" t="s">
        <v>14</v>
      </c>
      <c r="C992" s="32">
        <v>41264</v>
      </c>
      <c r="D992" s="34">
        <v>6.8699999999999997E-2</v>
      </c>
      <c r="E992" s="33">
        <v>41283</v>
      </c>
      <c r="F992" s="33">
        <v>41262</v>
      </c>
      <c r="G992" s="34">
        <f>IF(Tabela4[[#This Row],[Tipo]]="Dividendo",Tabela4[[#This Row],[Valor]],IF(Tabela4[[#This Row],[Tipo]]="Jrs. Cap. Próprio",Tabela4[[#This Row],[Valor]]*85%,0))</f>
        <v>5.8394999999999996E-2</v>
      </c>
    </row>
    <row r="993" spans="1:7" x14ac:dyDescent="0.2">
      <c r="A993" s="35" t="s">
        <v>86</v>
      </c>
      <c r="B993" s="31" t="s">
        <v>14</v>
      </c>
      <c r="C993" s="32">
        <v>41173</v>
      </c>
      <c r="D993" s="34">
        <v>6.7299999999999999E-2</v>
      </c>
      <c r="E993" s="33">
        <v>41190</v>
      </c>
      <c r="F993" s="33">
        <v>41171</v>
      </c>
      <c r="G993" s="34">
        <f>IF(Tabela4[[#This Row],[Tipo]]="Dividendo",Tabela4[[#This Row],[Valor]],IF(Tabela4[[#This Row],[Tipo]]="Jrs. Cap. Próprio",Tabela4[[#This Row],[Valor]]*85%,0))</f>
        <v>5.7204999999999999E-2</v>
      </c>
    </row>
    <row r="994" spans="1:7" x14ac:dyDescent="0.2">
      <c r="A994" s="35" t="s">
        <v>86</v>
      </c>
      <c r="B994" s="31" t="s">
        <v>14</v>
      </c>
      <c r="C994" s="32">
        <v>41081</v>
      </c>
      <c r="D994" s="34">
        <v>7.0900000000000005E-2</v>
      </c>
      <c r="E994" s="33">
        <v>41100</v>
      </c>
      <c r="F994" s="33">
        <v>41079</v>
      </c>
      <c r="G994" s="34">
        <f>IF(Tabela4[[#This Row],[Tipo]]="Dividendo",Tabela4[[#This Row],[Valor]],IF(Tabela4[[#This Row],[Tipo]]="Jrs. Cap. Próprio",Tabela4[[#This Row],[Valor]]*85%,0))</f>
        <v>6.0264999999999999E-2</v>
      </c>
    </row>
    <row r="995" spans="1:7" x14ac:dyDescent="0.2">
      <c r="A995" s="35" t="s">
        <v>86</v>
      </c>
      <c r="B995" s="31" t="s">
        <v>15</v>
      </c>
      <c r="C995" s="32">
        <v>41018</v>
      </c>
      <c r="D995" s="34">
        <v>1.6799999999999999E-2</v>
      </c>
      <c r="E995" s="33">
        <v>41038</v>
      </c>
      <c r="F995" s="33">
        <v>41018</v>
      </c>
      <c r="G995" s="34">
        <f>IF(Tabela4[[#This Row],[Tipo]]="Dividendo",Tabela4[[#This Row],[Valor]],IF(Tabela4[[#This Row],[Tipo]]="Jrs. Cap. Próprio",Tabela4[[#This Row],[Valor]]*85%,0))</f>
        <v>1.6799999999999999E-2</v>
      </c>
    </row>
    <row r="996" spans="1:7" x14ac:dyDescent="0.2">
      <c r="A996" s="35" t="s">
        <v>86</v>
      </c>
      <c r="B996" s="31" t="s">
        <v>14</v>
      </c>
      <c r="C996" s="32">
        <v>40989</v>
      </c>
      <c r="D996" s="34">
        <v>6.9500000000000006E-2</v>
      </c>
      <c r="E996" s="33">
        <v>41038</v>
      </c>
      <c r="F996" s="33">
        <v>40987</v>
      </c>
      <c r="G996" s="34">
        <f>IF(Tabela4[[#This Row],[Tipo]]="Dividendo",Tabela4[[#This Row],[Valor]],IF(Tabela4[[#This Row],[Tipo]]="Jrs. Cap. Próprio",Tabela4[[#This Row],[Valor]]*85%,0))</f>
        <v>5.9075000000000003E-2</v>
      </c>
    </row>
    <row r="997" spans="1:7" x14ac:dyDescent="0.2">
      <c r="A997" s="35" t="s">
        <v>86</v>
      </c>
      <c r="B997" s="31" t="s">
        <v>14</v>
      </c>
      <c r="C997" s="32">
        <v>40898</v>
      </c>
      <c r="D997" s="34">
        <v>0.1237</v>
      </c>
      <c r="E997" s="33">
        <v>40917</v>
      </c>
      <c r="F997" s="33">
        <v>40896</v>
      </c>
      <c r="G997" s="34">
        <f>IF(Tabela4[[#This Row],[Tipo]]="Dividendo",Tabela4[[#This Row],[Valor]],IF(Tabela4[[#This Row],[Tipo]]="Jrs. Cap. Próprio",Tabela4[[#This Row],[Valor]]*85%,0))</f>
        <v>0.105145</v>
      </c>
    </row>
    <row r="998" spans="1:7" x14ac:dyDescent="0.2">
      <c r="A998" s="35" t="s">
        <v>86</v>
      </c>
      <c r="B998" s="31" t="s">
        <v>14</v>
      </c>
      <c r="C998" s="32">
        <v>40716</v>
      </c>
      <c r="D998" s="34">
        <v>0.1135</v>
      </c>
      <c r="E998" s="33">
        <v>40732</v>
      </c>
      <c r="F998" s="33">
        <v>40714</v>
      </c>
      <c r="G998" s="34">
        <f>IF(Tabela4[[#This Row],[Tipo]]="Dividendo",Tabela4[[#This Row],[Valor]],IF(Tabela4[[#This Row],[Tipo]]="Jrs. Cap. Próprio",Tabela4[[#This Row],[Valor]]*85%,0))</f>
        <v>9.6475000000000005E-2</v>
      </c>
    </row>
    <row r="999" spans="1:7" x14ac:dyDescent="0.2">
      <c r="A999" s="35" t="s">
        <v>86</v>
      </c>
      <c r="B999" s="31" t="s">
        <v>15</v>
      </c>
      <c r="C999" s="32">
        <v>40666</v>
      </c>
      <c r="D999" s="34">
        <v>4.5100000000000001E-2</v>
      </c>
      <c r="E999" s="33">
        <v>40674</v>
      </c>
      <c r="F999" s="33">
        <v>40662</v>
      </c>
      <c r="G999" s="34">
        <f>IF(Tabela4[[#This Row],[Tipo]]="Dividendo",Tabela4[[#This Row],[Valor]],IF(Tabela4[[#This Row],[Tipo]]="Jrs. Cap. Próprio",Tabela4[[#This Row],[Valor]]*85%,0))</f>
        <v>4.5100000000000001E-2</v>
      </c>
    </row>
    <row r="1000" spans="1:7" x14ac:dyDescent="0.2">
      <c r="A1000" s="35" t="s">
        <v>86</v>
      </c>
      <c r="B1000" s="31" t="s">
        <v>14</v>
      </c>
      <c r="C1000" s="32">
        <v>40533</v>
      </c>
      <c r="D1000" s="34">
        <v>4.4600000000000001E-2</v>
      </c>
      <c r="E1000" s="33">
        <v>40553</v>
      </c>
      <c r="F1000" s="33">
        <v>40532</v>
      </c>
      <c r="G1000" s="34">
        <f>IF(Tabela4[[#This Row],[Tipo]]="Dividendo",Tabela4[[#This Row],[Valor]],IF(Tabela4[[#This Row],[Tipo]]="Jrs. Cap. Próprio",Tabela4[[#This Row],[Valor]]*85%,0))</f>
        <v>3.7909999999999999E-2</v>
      </c>
    </row>
    <row r="1001" spans="1:7" x14ac:dyDescent="0.2">
      <c r="A1001" s="35" t="s">
        <v>86</v>
      </c>
      <c r="B1001" s="31" t="s">
        <v>14</v>
      </c>
      <c r="C1001" s="32">
        <v>40350</v>
      </c>
      <c r="D1001" s="34">
        <v>4.1200000000000001E-2</v>
      </c>
      <c r="E1001" s="33">
        <v>40371</v>
      </c>
      <c r="F1001" s="33">
        <v>40350</v>
      </c>
      <c r="G1001" s="34">
        <f>IF(Tabela4[[#This Row],[Tipo]]="Dividendo",Tabela4[[#This Row],[Valor]],IF(Tabela4[[#This Row],[Tipo]]="Jrs. Cap. Próprio",Tabela4[[#This Row],[Valor]]*85%,0))</f>
        <v>3.5020000000000003E-2</v>
      </c>
    </row>
    <row r="1002" spans="1:7" x14ac:dyDescent="0.2">
      <c r="A1002" s="35" t="s">
        <v>86</v>
      </c>
      <c r="B1002" s="31" t="s">
        <v>15</v>
      </c>
      <c r="C1002" s="32">
        <v>40301</v>
      </c>
      <c r="D1002" s="34">
        <v>0.22689999999999999</v>
      </c>
      <c r="E1002" s="33">
        <v>40315</v>
      </c>
      <c r="F1002" s="33">
        <v>40298</v>
      </c>
      <c r="G1002" s="34">
        <f>IF(Tabela4[[#This Row],[Tipo]]="Dividendo",Tabela4[[#This Row],[Valor]],IF(Tabela4[[#This Row],[Tipo]]="Jrs. Cap. Próprio",Tabela4[[#This Row],[Valor]]*85%,0))</f>
        <v>0.22689999999999999</v>
      </c>
    </row>
    <row r="1003" spans="1:7" x14ac:dyDescent="0.2">
      <c r="A1003" s="35" t="s">
        <v>86</v>
      </c>
      <c r="B1003" s="31" t="s">
        <v>14</v>
      </c>
      <c r="C1003" s="32">
        <v>40168</v>
      </c>
      <c r="D1003" s="34">
        <v>0.04</v>
      </c>
      <c r="E1003" s="33">
        <v>40191</v>
      </c>
      <c r="F1003" s="33">
        <v>40168</v>
      </c>
      <c r="G1003" s="34">
        <f>IF(Tabela4[[#This Row],[Tipo]]="Dividendo",Tabela4[[#This Row],[Valor]],IF(Tabela4[[#This Row],[Tipo]]="Jrs. Cap. Próprio",Tabela4[[#This Row],[Valor]]*85%,0))</f>
        <v>3.4000000000000002E-2</v>
      </c>
    </row>
    <row r="1004" spans="1:7" x14ac:dyDescent="0.2">
      <c r="A1004" s="3" t="s">
        <v>34</v>
      </c>
      <c r="B1004" s="3" t="s">
        <v>14</v>
      </c>
      <c r="C1004" s="80">
        <v>41547</v>
      </c>
      <c r="D1004" s="63">
        <v>0.12720000000000001</v>
      </c>
      <c r="E1004" s="81">
        <v>41562</v>
      </c>
      <c r="F1004" s="81">
        <v>41547</v>
      </c>
      <c r="G1004" s="10">
        <f>IF(Tabela4[[#This Row],[Tipo]]="Dividendo",Tabela4[[#This Row],[Valor]],IF(Tabela4[[#This Row],[Tipo]]="Jrs. Cap. Próprio",Tabela4[[#This Row],[Valor]]*85%,0))</f>
        <v>0.10812000000000001</v>
      </c>
    </row>
    <row r="1005" spans="1:7" x14ac:dyDescent="0.2">
      <c r="A1005" s="3" t="s">
        <v>34</v>
      </c>
      <c r="B1005" s="3" t="s">
        <v>14</v>
      </c>
      <c r="C1005" s="80">
        <v>41452</v>
      </c>
      <c r="D1005" s="63">
        <v>0.12239999999999999</v>
      </c>
      <c r="E1005" s="81">
        <v>41470</v>
      </c>
      <c r="F1005" s="81">
        <v>41452</v>
      </c>
      <c r="G1005" s="10">
        <f>IF(Tabela4[[#This Row],[Tipo]]="Dividendo",Tabela4[[#This Row],[Valor]],IF(Tabela4[[#This Row],[Tipo]]="Jrs. Cap. Próprio",Tabela4[[#This Row],[Valor]]*85%,0))</f>
        <v>0.10403999999999999</v>
      </c>
    </row>
    <row r="1006" spans="1:7" x14ac:dyDescent="0.2">
      <c r="A1006" s="3" t="s">
        <v>34</v>
      </c>
      <c r="B1006" s="3" t="s">
        <v>14</v>
      </c>
      <c r="C1006" s="80">
        <v>41360</v>
      </c>
      <c r="D1006" s="63">
        <v>0.114</v>
      </c>
      <c r="E1006" s="81">
        <v>41379</v>
      </c>
      <c r="F1006" s="81">
        <v>41360</v>
      </c>
      <c r="G1006" s="10">
        <f>IF(Tabela4[[#This Row],[Tipo]]="Dividendo",Tabela4[[#This Row],[Valor]],IF(Tabela4[[#This Row],[Tipo]]="Jrs. Cap. Próprio",Tabela4[[#This Row],[Valor]]*85%,0))</f>
        <v>9.69E-2</v>
      </c>
    </row>
    <row r="1007" spans="1:7" x14ac:dyDescent="0.2">
      <c r="A1007" s="3" t="s">
        <v>34</v>
      </c>
      <c r="B1007" s="3" t="s">
        <v>15</v>
      </c>
      <c r="C1007" s="80">
        <v>41323</v>
      </c>
      <c r="D1007" s="63">
        <v>3.1899999999999998E-2</v>
      </c>
      <c r="E1007" s="81">
        <v>41393</v>
      </c>
      <c r="F1007" s="81">
        <v>41323</v>
      </c>
      <c r="G1007" s="10">
        <f>IF(Tabela4[[#This Row],[Tipo]]="Dividendo",Tabela4[[#This Row],[Valor]],IF(Tabela4[[#This Row],[Tipo]]="Jrs. Cap. Próprio",Tabela4[[#This Row],[Valor]]*85%,0))</f>
        <v>3.1899999999999998E-2</v>
      </c>
    </row>
    <row r="1008" spans="1:7" x14ac:dyDescent="0.2">
      <c r="A1008" s="3" t="s">
        <v>34</v>
      </c>
      <c r="B1008" s="3" t="s">
        <v>14</v>
      </c>
      <c r="C1008" s="80">
        <v>41270</v>
      </c>
      <c r="D1008" s="63">
        <v>0.1174</v>
      </c>
      <c r="E1008" s="81">
        <v>41289</v>
      </c>
      <c r="F1008" s="81">
        <v>41270</v>
      </c>
      <c r="G1008" s="10">
        <f>IF(Tabela4[[#This Row],[Tipo]]="Dividendo",Tabela4[[#This Row],[Valor]],IF(Tabela4[[#This Row],[Tipo]]="Jrs. Cap. Próprio",Tabela4[[#This Row],[Valor]]*85%,0))</f>
        <v>9.9790000000000004E-2</v>
      </c>
    </row>
    <row r="1009" spans="1:7" x14ac:dyDescent="0.2">
      <c r="A1009" s="3" t="s">
        <v>34</v>
      </c>
      <c r="B1009" s="3" t="s">
        <v>14</v>
      </c>
      <c r="C1009" s="80">
        <v>41180</v>
      </c>
      <c r="D1009" s="63">
        <v>0.1216</v>
      </c>
      <c r="E1009" s="81">
        <v>41197</v>
      </c>
      <c r="F1009" s="81">
        <v>41180</v>
      </c>
      <c r="G1009" s="10">
        <f>IF(Tabela4[[#This Row],[Tipo]]="Dividendo",Tabela4[[#This Row],[Valor]],IF(Tabela4[[#This Row],[Tipo]]="Jrs. Cap. Próprio",Tabela4[[#This Row],[Valor]]*85%,0))</f>
        <v>0.10335999999999999</v>
      </c>
    </row>
    <row r="1010" spans="1:7" x14ac:dyDescent="0.2">
      <c r="A1010" s="3" t="s">
        <v>34</v>
      </c>
      <c r="B1010" s="3" t="s">
        <v>15</v>
      </c>
      <c r="C1010" s="80">
        <v>41180</v>
      </c>
      <c r="D1010" s="63">
        <v>7.0000000000000007E-2</v>
      </c>
      <c r="E1010" s="81">
        <v>41197</v>
      </c>
      <c r="F1010" s="81">
        <v>41180</v>
      </c>
      <c r="G1010" s="10">
        <f>IF(Tabela4[[#This Row],[Tipo]]="Dividendo",Tabela4[[#This Row],[Valor]],IF(Tabela4[[#This Row],[Tipo]]="Jrs. Cap. Próprio",Tabela4[[#This Row],[Valor]]*85%,0))</f>
        <v>7.0000000000000007E-2</v>
      </c>
    </row>
    <row r="1011" spans="1:7" x14ac:dyDescent="0.2">
      <c r="A1011" s="3" t="s">
        <v>34</v>
      </c>
      <c r="B1011" s="3" t="s">
        <v>14</v>
      </c>
      <c r="C1011" s="80">
        <v>41089</v>
      </c>
      <c r="D1011" s="63">
        <v>0.13339999999999999</v>
      </c>
      <c r="E1011" s="81">
        <v>41106</v>
      </c>
      <c r="F1011" s="81">
        <v>41089</v>
      </c>
      <c r="G1011" s="10">
        <f>IF(Tabela4[[#This Row],[Tipo]]="Dividendo",Tabela4[[#This Row],[Valor]],IF(Tabela4[[#This Row],[Tipo]]="Jrs. Cap. Próprio",Tabela4[[#This Row],[Valor]]*85%,0))</f>
        <v>0.11338999999999999</v>
      </c>
    </row>
    <row r="1012" spans="1:7" x14ac:dyDescent="0.2">
      <c r="A1012" s="3" t="s">
        <v>34</v>
      </c>
      <c r="B1012" s="3" t="s">
        <v>15</v>
      </c>
      <c r="C1012" s="80">
        <v>41089</v>
      </c>
      <c r="D1012" s="63">
        <v>0.1391</v>
      </c>
      <c r="E1012" s="81">
        <v>41106</v>
      </c>
      <c r="F1012" s="81">
        <v>41089</v>
      </c>
      <c r="G1012" s="10">
        <f>IF(Tabela4[[#This Row],[Tipo]]="Dividendo",Tabela4[[#This Row],[Valor]],IF(Tabela4[[#This Row],[Tipo]]="Jrs. Cap. Próprio",Tabela4[[#This Row],[Valor]]*85%,0))</f>
        <v>0.1391</v>
      </c>
    </row>
    <row r="1013" spans="1:7" x14ac:dyDescent="0.2">
      <c r="A1013" s="3" t="s">
        <v>34</v>
      </c>
      <c r="B1013" s="3" t="s">
        <v>14</v>
      </c>
      <c r="C1013" s="80">
        <v>40997</v>
      </c>
      <c r="D1013" s="63">
        <v>0.1313</v>
      </c>
      <c r="E1013" s="81">
        <v>41015</v>
      </c>
      <c r="F1013" s="81">
        <v>40997</v>
      </c>
      <c r="G1013" s="10">
        <f>IF(Tabela4[[#This Row],[Tipo]]="Dividendo",Tabela4[[#This Row],[Valor]],IF(Tabela4[[#This Row],[Tipo]]="Jrs. Cap. Próprio",Tabela4[[#This Row],[Valor]]*85%,0))</f>
        <v>0.111605</v>
      </c>
    </row>
    <row r="1014" spans="1:7" x14ac:dyDescent="0.2">
      <c r="A1014" s="3" t="s">
        <v>34</v>
      </c>
      <c r="B1014" s="3" t="s">
        <v>15</v>
      </c>
      <c r="C1014" s="80">
        <v>40953</v>
      </c>
      <c r="D1014" s="63">
        <v>0.14899999999999999</v>
      </c>
      <c r="E1014" s="81">
        <v>41026</v>
      </c>
      <c r="F1014" s="81">
        <v>40952</v>
      </c>
      <c r="G1014" s="10">
        <f>IF(Tabela4[[#This Row],[Tipo]]="Dividendo",Tabela4[[#This Row],[Valor]],IF(Tabela4[[#This Row],[Tipo]]="Jrs. Cap. Próprio",Tabela4[[#This Row],[Valor]]*85%,0))</f>
        <v>0.14899999999999999</v>
      </c>
    </row>
    <row r="1015" spans="1:7" x14ac:dyDescent="0.2">
      <c r="A1015" s="3" t="s">
        <v>34</v>
      </c>
      <c r="B1015" s="3" t="s">
        <v>14</v>
      </c>
      <c r="C1015" s="80">
        <v>40905</v>
      </c>
      <c r="D1015" s="63">
        <v>0.18390000000000001</v>
      </c>
      <c r="E1015" s="81">
        <v>40924</v>
      </c>
      <c r="F1015" s="81">
        <v>40905</v>
      </c>
      <c r="G1015" s="10">
        <f>IF(Tabela4[[#This Row],[Tipo]]="Dividendo",Tabela4[[#This Row],[Valor]],IF(Tabela4[[#This Row],[Tipo]]="Jrs. Cap. Próprio",Tabela4[[#This Row],[Valor]]*85%,0))</f>
        <v>0.15631500000000001</v>
      </c>
    </row>
    <row r="1016" spans="1:7" x14ac:dyDescent="0.2">
      <c r="A1016" s="3" t="s">
        <v>34</v>
      </c>
      <c r="B1016" s="3" t="s">
        <v>14</v>
      </c>
      <c r="C1016" s="80">
        <v>40816</v>
      </c>
      <c r="D1016" s="63">
        <v>0.18290000000000001</v>
      </c>
      <c r="E1016" s="81">
        <v>40833</v>
      </c>
      <c r="F1016" s="81">
        <v>40816</v>
      </c>
      <c r="G1016" s="10">
        <f>IF(Tabela4[[#This Row],[Tipo]]="Dividendo",Tabela4[[#This Row],[Valor]],IF(Tabela4[[#This Row],[Tipo]]="Jrs. Cap. Próprio",Tabela4[[#This Row],[Valor]]*85%,0))</f>
        <v>0.15546499999999999</v>
      </c>
    </row>
    <row r="1017" spans="1:7" x14ac:dyDescent="0.2">
      <c r="A1017" s="3" t="s">
        <v>34</v>
      </c>
      <c r="B1017" s="3" t="s">
        <v>15</v>
      </c>
      <c r="C1017" s="80">
        <v>40703</v>
      </c>
      <c r="D1017" s="63">
        <v>0.12540000000000001</v>
      </c>
      <c r="E1017" s="81">
        <v>40714</v>
      </c>
      <c r="F1017" s="81">
        <v>40703</v>
      </c>
      <c r="G1017" s="10">
        <f>IF(Tabela4[[#This Row],[Tipo]]="Dividendo",Tabela4[[#This Row],[Valor]],IF(Tabela4[[#This Row],[Tipo]]="Jrs. Cap. Próprio",Tabela4[[#This Row],[Valor]]*85%,0))</f>
        <v>0.12540000000000001</v>
      </c>
    </row>
    <row r="1018" spans="1:7" x14ac:dyDescent="0.2">
      <c r="A1018" s="3" t="s">
        <v>34</v>
      </c>
      <c r="B1018" s="3" t="s">
        <v>14</v>
      </c>
      <c r="C1018" s="80">
        <v>40632</v>
      </c>
      <c r="D1018" s="63">
        <v>0.1197</v>
      </c>
      <c r="E1018" s="81">
        <v>40648</v>
      </c>
      <c r="F1018" s="81">
        <v>40632</v>
      </c>
      <c r="G1018" s="10">
        <f>IF(Tabela4[[#This Row],[Tipo]]="Dividendo",Tabela4[[#This Row],[Valor]],IF(Tabela4[[#This Row],[Tipo]]="Jrs. Cap. Próprio",Tabela4[[#This Row],[Valor]]*85%,0))</f>
        <v>0.101745</v>
      </c>
    </row>
    <row r="1019" spans="1:7" x14ac:dyDescent="0.2">
      <c r="A1019" s="3" t="s">
        <v>34</v>
      </c>
      <c r="B1019" s="3" t="s">
        <v>14</v>
      </c>
      <c r="C1019" s="80">
        <v>40541</v>
      </c>
      <c r="D1019" s="63">
        <v>0.11609999999999999</v>
      </c>
      <c r="E1019" s="81">
        <v>40560</v>
      </c>
      <c r="F1019" s="81">
        <v>40541</v>
      </c>
      <c r="G1019" s="10">
        <f>IF(Tabela4[[#This Row],[Tipo]]="Dividendo",Tabela4[[#This Row],[Valor]],IF(Tabela4[[#This Row],[Tipo]]="Jrs. Cap. Próprio",Tabela4[[#This Row],[Valor]]*85%,0))</f>
        <v>9.8684999999999995E-2</v>
      </c>
    </row>
    <row r="1020" spans="1:7" x14ac:dyDescent="0.2">
      <c r="A1020" s="3" t="s">
        <v>34</v>
      </c>
      <c r="B1020" s="3" t="s">
        <v>14</v>
      </c>
      <c r="C1020" s="80">
        <v>40450</v>
      </c>
      <c r="D1020" s="63">
        <v>0.111</v>
      </c>
      <c r="E1020" s="81">
        <v>40466</v>
      </c>
      <c r="F1020" s="81">
        <v>40450</v>
      </c>
      <c r="G1020" s="10">
        <f>IF(Tabela4[[#This Row],[Tipo]]="Dividendo",Tabela4[[#This Row],[Valor]],IF(Tabela4[[#This Row],[Tipo]]="Jrs. Cap. Próprio",Tabela4[[#This Row],[Valor]]*85%,0))</f>
        <v>9.4350000000000003E-2</v>
      </c>
    </row>
    <row r="1021" spans="1:7" x14ac:dyDescent="0.2">
      <c r="A1021" s="3" t="s">
        <v>34</v>
      </c>
      <c r="B1021" s="3" t="s">
        <v>14</v>
      </c>
      <c r="C1021" s="80">
        <v>40358</v>
      </c>
      <c r="D1021" s="63">
        <v>0.10730000000000001</v>
      </c>
      <c r="E1021" s="81">
        <v>40374</v>
      </c>
      <c r="F1021" s="81">
        <v>40358</v>
      </c>
      <c r="G1021" s="10">
        <f>IF(Tabela4[[#This Row],[Tipo]]="Dividendo",Tabela4[[#This Row],[Valor]],IF(Tabela4[[#This Row],[Tipo]]="Jrs. Cap. Próprio",Tabela4[[#This Row],[Valor]]*85%,0))</f>
        <v>9.1205000000000008E-2</v>
      </c>
    </row>
    <row r="1022" spans="1:7" x14ac:dyDescent="0.2">
      <c r="A1022" s="3" t="s">
        <v>34</v>
      </c>
      <c r="B1022" s="3" t="s">
        <v>15</v>
      </c>
      <c r="C1022" s="80">
        <v>40303</v>
      </c>
      <c r="D1022" s="63">
        <v>0.45040000000000002</v>
      </c>
      <c r="E1022" s="81"/>
      <c r="F1022" s="81">
        <v>40303</v>
      </c>
      <c r="G1022" s="10">
        <f>IF(Tabela4[[#This Row],[Tipo]]="Dividendo",Tabela4[[#This Row],[Valor]],IF(Tabela4[[#This Row],[Tipo]]="Jrs. Cap. Próprio",Tabela4[[#This Row],[Valor]]*85%,0))</f>
        <v>0.45040000000000002</v>
      </c>
    </row>
    <row r="1023" spans="1:7" x14ac:dyDescent="0.2">
      <c r="A1023" s="3" t="s">
        <v>34</v>
      </c>
      <c r="B1023" s="3" t="s">
        <v>14</v>
      </c>
      <c r="C1023" s="80">
        <v>40267</v>
      </c>
      <c r="D1023" s="63">
        <v>0.1142</v>
      </c>
      <c r="E1023" s="81">
        <v>40283</v>
      </c>
      <c r="F1023" s="81">
        <v>40267</v>
      </c>
      <c r="G1023" s="10">
        <f>IF(Tabela4[[#This Row],[Tipo]]="Dividendo",Tabela4[[#This Row],[Valor]],IF(Tabela4[[#This Row],[Tipo]]="Jrs. Cap. Próprio",Tabela4[[#This Row],[Valor]]*85%,0))</f>
        <v>9.706999999999999E-2</v>
      </c>
    </row>
    <row r="1024" spans="1:7" x14ac:dyDescent="0.2">
      <c r="A1024" s="3" t="s">
        <v>34</v>
      </c>
      <c r="B1024" s="3" t="s">
        <v>14</v>
      </c>
      <c r="C1024" s="80">
        <v>40169</v>
      </c>
      <c r="D1024" s="63">
        <v>9.7799999999999998E-2</v>
      </c>
      <c r="E1024" s="81">
        <v>40193</v>
      </c>
      <c r="F1024" s="81">
        <v>40169</v>
      </c>
      <c r="G1024" s="10">
        <f>IF(Tabela4[[#This Row],[Tipo]]="Dividendo",Tabela4[[#This Row],[Valor]],IF(Tabela4[[#This Row],[Tipo]]="Jrs. Cap. Próprio",Tabela4[[#This Row],[Valor]]*85%,0))</f>
        <v>8.3129999999999996E-2</v>
      </c>
    </row>
    <row r="1025" spans="1:7" x14ac:dyDescent="0.2">
      <c r="A1025" s="3" t="s">
        <v>34</v>
      </c>
      <c r="B1025" s="3" t="s">
        <v>14</v>
      </c>
      <c r="C1025" s="80">
        <v>40086</v>
      </c>
      <c r="D1025" s="63">
        <v>0.1177</v>
      </c>
      <c r="E1025" s="81">
        <v>40094</v>
      </c>
      <c r="F1025" s="81">
        <v>40086</v>
      </c>
      <c r="G1025" s="10">
        <f>IF(Tabela4[[#This Row],[Tipo]]="Dividendo",Tabela4[[#This Row],[Valor]],IF(Tabela4[[#This Row],[Tipo]]="Jrs. Cap. Próprio",Tabela4[[#This Row],[Valor]]*85%,0))</f>
        <v>0.100045</v>
      </c>
    </row>
    <row r="1026" spans="1:7" x14ac:dyDescent="0.2">
      <c r="A1026" s="3" t="s">
        <v>34</v>
      </c>
      <c r="B1026" s="3" t="s">
        <v>14</v>
      </c>
      <c r="C1026" s="80">
        <v>39990</v>
      </c>
      <c r="D1026" s="63">
        <v>0.1101</v>
      </c>
      <c r="E1026" s="81">
        <v>40009</v>
      </c>
      <c r="F1026" s="81">
        <v>39990</v>
      </c>
      <c r="G1026" s="10">
        <f>IF(Tabela4[[#This Row],[Tipo]]="Dividendo",Tabela4[[#This Row],[Valor]],IF(Tabela4[[#This Row],[Tipo]]="Jrs. Cap. Próprio",Tabela4[[#This Row],[Valor]]*85%,0))</f>
        <v>9.3585000000000002E-2</v>
      </c>
    </row>
    <row r="1027" spans="1:7" x14ac:dyDescent="0.2">
      <c r="A1027" s="3" t="s">
        <v>34</v>
      </c>
      <c r="B1027" s="3" t="s">
        <v>14</v>
      </c>
      <c r="C1027" s="80">
        <v>39902</v>
      </c>
      <c r="D1027" s="63">
        <v>0.1106</v>
      </c>
      <c r="E1027" s="81">
        <v>39918</v>
      </c>
      <c r="F1027" s="81">
        <v>39902</v>
      </c>
      <c r="G1027" s="10">
        <f>IF(Tabela4[[#This Row],[Tipo]]="Dividendo",Tabela4[[#This Row],[Valor]],IF(Tabela4[[#This Row],[Tipo]]="Jrs. Cap. Próprio",Tabela4[[#This Row],[Valor]]*85%,0))</f>
        <v>9.4009999999999996E-2</v>
      </c>
    </row>
    <row r="1028" spans="1:7" x14ac:dyDescent="0.2">
      <c r="A1028" s="3" t="s">
        <v>34</v>
      </c>
      <c r="B1028" s="3" t="s">
        <v>14</v>
      </c>
      <c r="C1028" s="80">
        <v>39805</v>
      </c>
      <c r="D1028" s="63">
        <v>9.7600000000000006E-2</v>
      </c>
      <c r="E1028" s="81">
        <v>39828</v>
      </c>
      <c r="F1028" s="81">
        <v>39805</v>
      </c>
      <c r="G1028" s="10">
        <f>IF(Tabela4[[#This Row],[Tipo]]="Dividendo",Tabela4[[#This Row],[Valor]],IF(Tabela4[[#This Row],[Tipo]]="Jrs. Cap. Próprio",Tabela4[[#This Row],[Valor]]*85%,0))</f>
        <v>8.2960000000000006E-2</v>
      </c>
    </row>
    <row r="1029" spans="1:7" x14ac:dyDescent="0.2">
      <c r="A1029" s="3" t="s">
        <v>34</v>
      </c>
      <c r="B1029" s="3" t="s">
        <v>14</v>
      </c>
      <c r="C1029" s="80">
        <v>39720</v>
      </c>
      <c r="D1029" s="63">
        <v>0.1114</v>
      </c>
      <c r="E1029" s="81">
        <v>39736</v>
      </c>
      <c r="F1029" s="81">
        <v>39720</v>
      </c>
      <c r="G1029" s="10">
        <f>IF(Tabela4[[#This Row],[Tipo]]="Dividendo",Tabela4[[#This Row],[Valor]],IF(Tabela4[[#This Row],[Tipo]]="Jrs. Cap. Próprio",Tabela4[[#This Row],[Valor]]*85%,0))</f>
        <v>9.4689999999999996E-2</v>
      </c>
    </row>
    <row r="1030" spans="1:7" x14ac:dyDescent="0.2">
      <c r="A1030" s="3" t="s">
        <v>34</v>
      </c>
      <c r="B1030" s="3" t="s">
        <v>14</v>
      </c>
      <c r="C1030" s="80">
        <v>39626</v>
      </c>
      <c r="D1030" s="63">
        <v>0.10920000000000001</v>
      </c>
      <c r="E1030" s="81">
        <v>39644</v>
      </c>
      <c r="F1030" s="81">
        <v>39626</v>
      </c>
      <c r="G1030" s="10">
        <f>IF(Tabela4[[#This Row],[Tipo]]="Dividendo",Tabela4[[#This Row],[Valor]],IF(Tabela4[[#This Row],[Tipo]]="Jrs. Cap. Próprio",Tabela4[[#This Row],[Valor]]*85%,0))</f>
        <v>9.282E-2</v>
      </c>
    </row>
    <row r="1031" spans="1:7" x14ac:dyDescent="0.2">
      <c r="A1031" s="3" t="s">
        <v>34</v>
      </c>
      <c r="B1031" s="3" t="s">
        <v>15</v>
      </c>
      <c r="C1031" s="80">
        <v>39535</v>
      </c>
      <c r="D1031" s="63">
        <v>5.7000000000000002E-3</v>
      </c>
      <c r="E1031" s="81"/>
      <c r="F1031" s="81">
        <v>39535</v>
      </c>
      <c r="G1031" s="10">
        <f>IF(Tabela4[[#This Row],[Tipo]]="Dividendo",Tabela4[[#This Row],[Valor]],IF(Tabela4[[#This Row],[Tipo]]="Jrs. Cap. Próprio",Tabela4[[#This Row],[Valor]]*85%,0))</f>
        <v>5.7000000000000002E-3</v>
      </c>
    </row>
    <row r="1032" spans="1:7" x14ac:dyDescent="0.2">
      <c r="A1032" s="3" t="s">
        <v>34</v>
      </c>
      <c r="B1032" s="3" t="s">
        <v>14</v>
      </c>
      <c r="C1032" s="80">
        <v>39534</v>
      </c>
      <c r="D1032" s="63">
        <v>0.1031</v>
      </c>
      <c r="E1032" s="81">
        <v>39548</v>
      </c>
      <c r="F1032" s="81">
        <v>39534</v>
      </c>
      <c r="G1032" s="10">
        <f>IF(Tabela4[[#This Row],[Tipo]]="Dividendo",Tabela4[[#This Row],[Valor]],IF(Tabela4[[#This Row],[Tipo]]="Jrs. Cap. Próprio",Tabela4[[#This Row],[Valor]]*85%,0))</f>
        <v>8.7634999999999991E-2</v>
      </c>
    </row>
    <row r="1033" spans="1:7" x14ac:dyDescent="0.2">
      <c r="A1033" s="3" t="s">
        <v>34</v>
      </c>
      <c r="B1033" s="4" t="s">
        <v>14</v>
      </c>
      <c r="C1033" s="19">
        <v>39435</v>
      </c>
      <c r="D1033" s="55">
        <v>0.19059999999999999</v>
      </c>
      <c r="E1033" s="68">
        <v>39457</v>
      </c>
      <c r="F1033" s="68">
        <v>39435</v>
      </c>
      <c r="G1033" s="14">
        <f>IF(Tabela4[[#This Row],[Tipo]]="Dividendo",Tabela4[[#This Row],[Valor]],IF(Tabela4[[#This Row],[Tipo]]="Jrs. Cap. Próprio",Tabela4[[#This Row],[Valor]]*85%,0))</f>
        <v>0.16200999999999999</v>
      </c>
    </row>
    <row r="1034" spans="1:7" x14ac:dyDescent="0.2">
      <c r="A1034" s="4" t="s">
        <v>223</v>
      </c>
      <c r="B1034" s="4" t="s">
        <v>14</v>
      </c>
      <c r="C1034" s="19">
        <v>41568</v>
      </c>
      <c r="D1034" s="3">
        <v>0.50190000000000001</v>
      </c>
      <c r="E1034" s="68"/>
      <c r="F1034" s="68">
        <v>41563</v>
      </c>
      <c r="G1034" s="14">
        <f>IF(Tabela4[[#This Row],[Tipo]]="Dividendo",Tabela4[[#This Row],[Valor]],IF(Tabela4[[#This Row],[Tipo]]="Jrs. Cap. Próprio",Tabela4[[#This Row],[Valor]]*85%,0))</f>
        <v>0.42661500000000002</v>
      </c>
    </row>
    <row r="1035" spans="1:7" x14ac:dyDescent="0.2">
      <c r="A1035" s="3" t="s">
        <v>223</v>
      </c>
      <c r="B1035" s="3" t="s">
        <v>15</v>
      </c>
      <c r="C1035" s="80">
        <v>41568</v>
      </c>
      <c r="D1035" s="3">
        <v>0.4224</v>
      </c>
      <c r="E1035" s="81">
        <v>41579</v>
      </c>
      <c r="F1035" s="81">
        <v>41563</v>
      </c>
      <c r="G1035" s="10">
        <f>IF(Tabela4[[#This Row],[Tipo]]="Dividendo",Tabela4[[#This Row],[Valor]],IF(Tabela4[[#This Row],[Tipo]]="Jrs. Cap. Próprio",Tabela4[[#This Row],[Valor]]*85%,0))</f>
        <v>0.4224</v>
      </c>
    </row>
    <row r="1036" spans="1:7" x14ac:dyDescent="0.2">
      <c r="A1036" s="4" t="s">
        <v>223</v>
      </c>
      <c r="B1036" s="3" t="s">
        <v>15</v>
      </c>
      <c r="C1036" s="80">
        <v>41390</v>
      </c>
      <c r="D1036" s="3">
        <v>0.25119999999999998</v>
      </c>
      <c r="E1036" s="81">
        <v>41547</v>
      </c>
      <c r="F1036" s="81">
        <v>41381</v>
      </c>
      <c r="G1036" s="10">
        <f>IF(Tabela4[[#This Row],[Tipo]]="Dividendo",Tabela4[[#This Row],[Valor]],IF(Tabela4[[#This Row],[Tipo]]="Jrs. Cap. Próprio",Tabela4[[#This Row],[Valor]]*85%,0))</f>
        <v>0.25119999999999998</v>
      </c>
    </row>
    <row r="1037" spans="1:7" x14ac:dyDescent="0.2">
      <c r="A1037" s="3" t="s">
        <v>223</v>
      </c>
      <c r="B1037" s="3" t="s">
        <v>14</v>
      </c>
      <c r="C1037" s="80">
        <v>41257</v>
      </c>
      <c r="D1037" s="3">
        <v>0.49590000000000001</v>
      </c>
      <c r="E1037" s="81">
        <v>41547</v>
      </c>
      <c r="F1037" s="81">
        <v>41201</v>
      </c>
      <c r="G1037" s="10">
        <f>IF(Tabela4[[#This Row],[Tipo]]="Dividendo",Tabela4[[#This Row],[Valor]],IF(Tabela4[[#This Row],[Tipo]]="Jrs. Cap. Próprio",Tabela4[[#This Row],[Valor]]*85%,0))</f>
        <v>0.42151499999999997</v>
      </c>
    </row>
    <row r="1038" spans="1:7" x14ac:dyDescent="0.2">
      <c r="A1038" s="4" t="s">
        <v>223</v>
      </c>
      <c r="B1038" s="3" t="s">
        <v>15</v>
      </c>
      <c r="C1038" s="80">
        <v>41135</v>
      </c>
      <c r="D1038" s="3">
        <v>1.0976999999999999</v>
      </c>
      <c r="E1038" s="81"/>
      <c r="F1038" s="81">
        <v>41129</v>
      </c>
      <c r="G1038" s="10">
        <f>IF(Tabela4[[#This Row],[Tipo]]="Dividendo",Tabela4[[#This Row],[Valor]],IF(Tabela4[[#This Row],[Tipo]]="Jrs. Cap. Próprio",Tabela4[[#This Row],[Valor]]*85%,0))</f>
        <v>1.0976999999999999</v>
      </c>
    </row>
    <row r="1039" spans="1:7" x14ac:dyDescent="0.2">
      <c r="A1039" s="3" t="s">
        <v>223</v>
      </c>
      <c r="B1039" s="3" t="s">
        <v>15</v>
      </c>
      <c r="C1039" s="80">
        <v>41008</v>
      </c>
      <c r="D1039" s="3">
        <v>0.72660000000000002</v>
      </c>
      <c r="E1039" s="81">
        <v>41019</v>
      </c>
      <c r="F1039" s="81">
        <v>41008</v>
      </c>
      <c r="G1039" s="10">
        <f>IF(Tabela4[[#This Row],[Tipo]]="Dividendo",Tabela4[[#This Row],[Valor]],IF(Tabela4[[#This Row],[Tipo]]="Jrs. Cap. Próprio",Tabela4[[#This Row],[Valor]]*85%,0))</f>
        <v>0.72660000000000002</v>
      </c>
    </row>
    <row r="1040" spans="1:7" x14ac:dyDescent="0.2">
      <c r="A1040" s="4" t="s">
        <v>223</v>
      </c>
      <c r="B1040" s="3" t="s">
        <v>14</v>
      </c>
      <c r="C1040" s="80">
        <v>40893</v>
      </c>
      <c r="D1040" s="3">
        <v>0.38640000000000002</v>
      </c>
      <c r="E1040" s="81">
        <v>40931</v>
      </c>
      <c r="F1040" s="81">
        <v>40857</v>
      </c>
      <c r="G1040" s="10">
        <f>IF(Tabela4[[#This Row],[Tipo]]="Dividendo",Tabela4[[#This Row],[Valor]],IF(Tabela4[[#This Row],[Tipo]]="Jrs. Cap. Próprio",Tabela4[[#This Row],[Valor]]*85%,0))</f>
        <v>0.32844000000000001</v>
      </c>
    </row>
    <row r="1041" spans="1:7" x14ac:dyDescent="0.2">
      <c r="A1041" s="3" t="s">
        <v>223</v>
      </c>
      <c r="B1041" s="3" t="s">
        <v>15</v>
      </c>
      <c r="C1041" s="80">
        <v>40770</v>
      </c>
      <c r="D1041" s="3">
        <v>1.3693</v>
      </c>
      <c r="E1041" s="81"/>
      <c r="F1041" s="81">
        <v>40766</v>
      </c>
      <c r="G1041" s="10">
        <f>IF(Tabela4[[#This Row],[Tipo]]="Dividendo",Tabela4[[#This Row],[Valor]],IF(Tabela4[[#This Row],[Tipo]]="Jrs. Cap. Próprio",Tabela4[[#This Row],[Valor]]*85%,0))</f>
        <v>1.3693</v>
      </c>
    </row>
    <row r="1042" spans="1:7" x14ac:dyDescent="0.2">
      <c r="A1042" s="4" t="s">
        <v>223</v>
      </c>
      <c r="B1042" s="3" t="s">
        <v>15</v>
      </c>
      <c r="C1042" s="80">
        <v>40662</v>
      </c>
      <c r="D1042" s="3">
        <v>0.90629999999999999</v>
      </c>
      <c r="E1042" s="81">
        <v>40781</v>
      </c>
      <c r="F1042" s="81">
        <v>40662</v>
      </c>
      <c r="G1042" s="10">
        <f>IF(Tabela4[[#This Row],[Tipo]]="Dividendo",Tabela4[[#This Row],[Valor]],IF(Tabela4[[#This Row],[Tipo]]="Jrs. Cap. Próprio",Tabela4[[#This Row],[Valor]]*85%,0))</f>
        <v>0.90629999999999999</v>
      </c>
    </row>
    <row r="1043" spans="1:7" x14ac:dyDescent="0.2">
      <c r="A1043" s="3" t="s">
        <v>223</v>
      </c>
      <c r="B1043" s="3" t="s">
        <v>14</v>
      </c>
      <c r="C1043" s="80">
        <v>40529</v>
      </c>
      <c r="D1043" s="3">
        <v>0.36480000000000001</v>
      </c>
      <c r="E1043" s="81">
        <v>40562</v>
      </c>
      <c r="F1043" s="81">
        <v>40492</v>
      </c>
      <c r="G1043" s="10">
        <f>IF(Tabela4[[#This Row],[Tipo]]="Dividendo",Tabela4[[#This Row],[Valor]],IF(Tabela4[[#This Row],[Tipo]]="Jrs. Cap. Próprio",Tabela4[[#This Row],[Valor]]*85%,0))</f>
        <v>0.31008000000000002</v>
      </c>
    </row>
    <row r="1044" spans="1:7" x14ac:dyDescent="0.2">
      <c r="A1044" s="4" t="s">
        <v>223</v>
      </c>
      <c r="B1044" s="3" t="s">
        <v>15</v>
      </c>
      <c r="C1044" s="80">
        <v>40406</v>
      </c>
      <c r="D1044" s="3">
        <v>1.0266999999999999</v>
      </c>
      <c r="E1044" s="81"/>
      <c r="F1044" s="81">
        <v>40403</v>
      </c>
      <c r="G1044" s="10">
        <f>IF(Tabela4[[#This Row],[Tipo]]="Dividendo",Tabela4[[#This Row],[Valor]],IF(Tabela4[[#This Row],[Tipo]]="Jrs. Cap. Próprio",Tabela4[[#This Row],[Valor]]*85%,0))</f>
        <v>1.0266999999999999</v>
      </c>
    </row>
    <row r="1045" spans="1:7" x14ac:dyDescent="0.2">
      <c r="A1045" s="3" t="s">
        <v>223</v>
      </c>
      <c r="B1045" s="3" t="s">
        <v>15</v>
      </c>
      <c r="C1045" s="80">
        <v>40282</v>
      </c>
      <c r="D1045" s="3">
        <v>0.83919999999999995</v>
      </c>
      <c r="E1045" s="81">
        <v>40296</v>
      </c>
      <c r="F1045" s="81">
        <v>40267</v>
      </c>
      <c r="G1045" s="10">
        <f>IF(Tabela4[[#This Row],[Tipo]]="Dividendo",Tabela4[[#This Row],[Valor]],IF(Tabela4[[#This Row],[Tipo]]="Jrs. Cap. Próprio",Tabela4[[#This Row],[Valor]]*85%,0))</f>
        <v>0.83919999999999995</v>
      </c>
    </row>
    <row r="1046" spans="1:7" x14ac:dyDescent="0.2">
      <c r="A1046" s="4" t="s">
        <v>223</v>
      </c>
      <c r="B1046" s="3" t="s">
        <v>14</v>
      </c>
      <c r="C1046" s="80">
        <v>40165</v>
      </c>
      <c r="D1046" s="3">
        <v>0.3644</v>
      </c>
      <c r="E1046" s="81">
        <v>40199</v>
      </c>
      <c r="F1046" s="81">
        <v>40127</v>
      </c>
      <c r="G1046" s="10">
        <f>IF(Tabela4[[#This Row],[Tipo]]="Dividendo",Tabela4[[#This Row],[Valor]],IF(Tabela4[[#This Row],[Tipo]]="Jrs. Cap. Próprio",Tabela4[[#This Row],[Valor]]*85%,0))</f>
        <v>0.30974000000000002</v>
      </c>
    </row>
    <row r="1047" spans="1:7" x14ac:dyDescent="0.2">
      <c r="A1047" s="3" t="s">
        <v>223</v>
      </c>
      <c r="B1047" s="3" t="s">
        <v>15</v>
      </c>
      <c r="C1047" s="80">
        <v>40037</v>
      </c>
      <c r="D1047" s="3">
        <v>1.2844</v>
      </c>
      <c r="E1047" s="81"/>
      <c r="F1047" s="81">
        <v>40036</v>
      </c>
      <c r="G1047" s="10">
        <f>IF(Tabela4[[#This Row],[Tipo]]="Dividendo",Tabela4[[#This Row],[Valor]],IF(Tabela4[[#This Row],[Tipo]]="Jrs. Cap. Próprio",Tabela4[[#This Row],[Valor]]*85%,0))</f>
        <v>1.2844</v>
      </c>
    </row>
    <row r="1048" spans="1:7" x14ac:dyDescent="0.2">
      <c r="A1048" s="4" t="s">
        <v>223</v>
      </c>
      <c r="B1048" s="3" t="s">
        <v>15</v>
      </c>
      <c r="C1048" s="80">
        <v>39905</v>
      </c>
      <c r="D1048" s="3">
        <v>0.90639999999999998</v>
      </c>
      <c r="E1048" s="81">
        <v>39931</v>
      </c>
      <c r="F1048" s="81">
        <v>39905</v>
      </c>
      <c r="G1048" s="10">
        <f>IF(Tabela4[[#This Row],[Tipo]]="Dividendo",Tabela4[[#This Row],[Valor]],IF(Tabela4[[#This Row],[Tipo]]="Jrs. Cap. Próprio",Tabela4[[#This Row],[Valor]]*85%,0))</f>
        <v>0.90639999999999998</v>
      </c>
    </row>
    <row r="1049" spans="1:7" x14ac:dyDescent="0.2">
      <c r="A1049" s="3" t="s">
        <v>223</v>
      </c>
      <c r="B1049" s="3" t="s">
        <v>14</v>
      </c>
      <c r="C1049" s="80">
        <v>39815</v>
      </c>
      <c r="D1049" s="3">
        <v>0.36520000000000002</v>
      </c>
      <c r="E1049" s="81">
        <v>39841</v>
      </c>
      <c r="F1049" s="81">
        <v>39763</v>
      </c>
      <c r="G1049" s="10">
        <f>IF(Tabela4[[#This Row],[Tipo]]="Dividendo",Tabela4[[#This Row],[Valor]],IF(Tabela4[[#This Row],[Tipo]]="Jrs. Cap. Próprio",Tabela4[[#This Row],[Valor]]*85%,0))</f>
        <v>0.31042000000000003</v>
      </c>
    </row>
    <row r="1050" spans="1:7" x14ac:dyDescent="0.2">
      <c r="A1050" s="4" t="s">
        <v>223</v>
      </c>
      <c r="B1050" s="3" t="s">
        <v>15</v>
      </c>
      <c r="C1050" s="80">
        <v>39674</v>
      </c>
      <c r="D1050" s="3">
        <v>0.73019999999999996</v>
      </c>
      <c r="E1050" s="81"/>
      <c r="F1050" s="81">
        <v>39672</v>
      </c>
      <c r="G1050" s="10">
        <f>IF(Tabela4[[#This Row],[Tipo]]="Dividendo",Tabela4[[#This Row],[Valor]],IF(Tabela4[[#This Row],[Tipo]]="Jrs. Cap. Próprio",Tabela4[[#This Row],[Valor]]*85%,0))</f>
        <v>0.73019999999999996</v>
      </c>
    </row>
    <row r="1051" spans="1:7" x14ac:dyDescent="0.2">
      <c r="A1051" s="3" t="s">
        <v>223</v>
      </c>
      <c r="B1051" s="3" t="s">
        <v>15</v>
      </c>
      <c r="C1051" s="80">
        <v>39538</v>
      </c>
      <c r="D1051" s="3">
        <v>0.37530000000000002</v>
      </c>
      <c r="E1051" s="81">
        <v>39547</v>
      </c>
      <c r="F1051" s="81">
        <v>39538</v>
      </c>
      <c r="G1051" s="10">
        <f>IF(Tabela4[[#This Row],[Tipo]]="Dividendo",Tabela4[[#This Row],[Valor]],IF(Tabela4[[#This Row],[Tipo]]="Jrs. Cap. Próprio",Tabela4[[#This Row],[Valor]]*85%,0))</f>
        <v>0.37530000000000002</v>
      </c>
    </row>
    <row r="1052" spans="1:7" x14ac:dyDescent="0.2">
      <c r="A1052" s="4" t="s">
        <v>223</v>
      </c>
      <c r="B1052" s="3" t="s">
        <v>14</v>
      </c>
      <c r="C1052" s="80">
        <v>39444</v>
      </c>
      <c r="D1052" s="3">
        <v>1.49E-2</v>
      </c>
      <c r="E1052" s="81">
        <v>39470</v>
      </c>
      <c r="F1052" s="81">
        <v>39395</v>
      </c>
      <c r="G1052" s="10">
        <f>IF(Tabela4[[#This Row],[Tipo]]="Dividendo",Tabela4[[#This Row],[Valor]],IF(Tabela4[[#This Row],[Tipo]]="Jrs. Cap. Próprio",Tabela4[[#This Row],[Valor]]*85%,0))</f>
        <v>1.2664999999999999E-2</v>
      </c>
    </row>
    <row r="1053" spans="1:7" x14ac:dyDescent="0.2">
      <c r="A1053" s="3" t="s">
        <v>223</v>
      </c>
      <c r="B1053" s="3" t="s">
        <v>14</v>
      </c>
      <c r="C1053" s="80">
        <v>39416</v>
      </c>
      <c r="D1053" s="3">
        <v>0.16739999999999999</v>
      </c>
      <c r="E1053" s="81">
        <v>39426</v>
      </c>
      <c r="F1053" s="81">
        <v>39395</v>
      </c>
      <c r="G1053" s="10">
        <f>IF(Tabela4[[#This Row],[Tipo]]="Dividendo",Tabela4[[#This Row],[Valor]],IF(Tabela4[[#This Row],[Tipo]]="Jrs. Cap. Próprio",Tabela4[[#This Row],[Valor]]*85%,0))</f>
        <v>0.14229</v>
      </c>
    </row>
    <row r="1054" spans="1:7" x14ac:dyDescent="0.2">
      <c r="A1054" s="4" t="s">
        <v>223</v>
      </c>
      <c r="B1054" s="3" t="s">
        <v>15</v>
      </c>
      <c r="C1054" s="80">
        <v>39339</v>
      </c>
      <c r="D1054" s="3">
        <v>0.63859999999999995</v>
      </c>
      <c r="E1054" s="81">
        <v>39351</v>
      </c>
      <c r="F1054" s="81">
        <v>39339</v>
      </c>
      <c r="G1054" s="10">
        <f>IF(Tabela4[[#This Row],[Tipo]]="Dividendo",Tabela4[[#This Row],[Valor]],IF(Tabela4[[#This Row],[Tipo]]="Jrs. Cap. Próprio",Tabela4[[#This Row],[Valor]]*85%,0))</f>
        <v>0.63859999999999995</v>
      </c>
    </row>
    <row r="1055" spans="1:7" x14ac:dyDescent="0.2">
      <c r="A1055" s="3" t="s">
        <v>223</v>
      </c>
      <c r="B1055" s="3" t="s">
        <v>15</v>
      </c>
      <c r="C1055" s="80">
        <v>39192</v>
      </c>
      <c r="D1055" s="3">
        <v>1.2853000000000001</v>
      </c>
      <c r="E1055" s="81">
        <v>39204</v>
      </c>
      <c r="F1055" s="81">
        <v>39192</v>
      </c>
      <c r="G1055" s="10">
        <f>IF(Tabela4[[#This Row],[Tipo]]="Dividendo",Tabela4[[#This Row],[Valor]],IF(Tabela4[[#This Row],[Tipo]]="Jrs. Cap. Próprio",Tabela4[[#This Row],[Valor]]*85%,0))</f>
        <v>1.2853000000000001</v>
      </c>
    </row>
    <row r="1056" spans="1:7" x14ac:dyDescent="0.2">
      <c r="A1056" s="4" t="s">
        <v>223</v>
      </c>
      <c r="B1056" s="3" t="s">
        <v>15</v>
      </c>
      <c r="C1056" s="80">
        <v>38824</v>
      </c>
      <c r="D1056" s="3">
        <v>1.6415</v>
      </c>
      <c r="E1056" s="81"/>
      <c r="F1056" s="81">
        <v>38824</v>
      </c>
      <c r="G1056" s="10">
        <f>IF(Tabela4[[#This Row],[Tipo]]="Dividendo",Tabela4[[#This Row],[Valor]],IF(Tabela4[[#This Row],[Tipo]]="Jrs. Cap. Próprio",Tabela4[[#This Row],[Valor]]*85%,0))</f>
        <v>1.6415</v>
      </c>
    </row>
    <row r="1057" spans="1:7" x14ac:dyDescent="0.2">
      <c r="A1057" s="3" t="s">
        <v>223</v>
      </c>
      <c r="B1057" s="3" t="s">
        <v>52</v>
      </c>
      <c r="C1057" s="80">
        <v>36894</v>
      </c>
      <c r="D1057" s="3">
        <v>4.7295999999999996</v>
      </c>
      <c r="E1057" s="81"/>
      <c r="F1057" s="81">
        <v>36882</v>
      </c>
      <c r="G1057" s="10">
        <f>IF(Tabela4[[#This Row],[Tipo]]="Dividendo",Tabela4[[#This Row],[Valor]],IF(Tabela4[[#This Row],[Tipo]]="Jrs. Cap. Próprio",Tabela4[[#This Row],[Valor]]*85%,0))</f>
        <v>0</v>
      </c>
    </row>
    <row r="1058" spans="1:7" x14ac:dyDescent="0.2">
      <c r="A1058" s="4" t="s">
        <v>223</v>
      </c>
      <c r="B1058" s="3" t="s">
        <v>14</v>
      </c>
      <c r="C1058" s="80">
        <v>36524</v>
      </c>
      <c r="D1058" s="3">
        <v>0.10730000000000001</v>
      </c>
      <c r="E1058" s="81">
        <v>36646</v>
      </c>
      <c r="F1058" s="81">
        <v>36524</v>
      </c>
      <c r="G1058" s="10">
        <f>IF(Tabela4[[#This Row],[Tipo]]="Dividendo",Tabela4[[#This Row],[Valor]],IF(Tabela4[[#This Row],[Tipo]]="Jrs. Cap. Próprio",Tabela4[[#This Row],[Valor]]*85%,0))</f>
        <v>9.1205000000000008E-2</v>
      </c>
    </row>
    <row r="1059" spans="1:7" x14ac:dyDescent="0.2">
      <c r="A1059" s="3" t="s">
        <v>223</v>
      </c>
      <c r="B1059" s="3" t="s">
        <v>15</v>
      </c>
      <c r="C1059" s="80">
        <v>36280</v>
      </c>
      <c r="D1059" s="3">
        <v>0.13120000000000001</v>
      </c>
      <c r="E1059" s="81">
        <v>36327</v>
      </c>
      <c r="F1059" s="81">
        <v>36280</v>
      </c>
      <c r="G1059" s="10">
        <f>IF(Tabela4[[#This Row],[Tipo]]="Dividendo",Tabela4[[#This Row],[Valor]],IF(Tabela4[[#This Row],[Tipo]]="Jrs. Cap. Próprio",Tabela4[[#This Row],[Valor]]*85%,0))</f>
        <v>0.13120000000000001</v>
      </c>
    </row>
    <row r="1060" spans="1:7" x14ac:dyDescent="0.2">
      <c r="A1060" s="4" t="s">
        <v>5</v>
      </c>
      <c r="B1060" s="4" t="s">
        <v>14</v>
      </c>
      <c r="C1060" s="19">
        <v>41394</v>
      </c>
      <c r="D1060" s="55">
        <v>0.42140208200000001</v>
      </c>
      <c r="E1060" s="68">
        <v>41537</v>
      </c>
      <c r="F1060" s="68">
        <v>41394</v>
      </c>
      <c r="G1060" s="14">
        <f>IF(Tabela4[[#This Row],[Tipo]]="Dividendo",Tabela4[[#This Row],[Valor]],IF(Tabela4[[#This Row],[Tipo]]="Jrs. Cap. Próprio",Tabela4[[#This Row],[Valor]]*85%,0))</f>
        <v>0.3581917697</v>
      </c>
    </row>
    <row r="1061" spans="1:7" x14ac:dyDescent="0.2">
      <c r="A1061" s="4" t="s">
        <v>5</v>
      </c>
      <c r="B1061" s="3" t="s">
        <v>14</v>
      </c>
      <c r="C1061" s="80">
        <v>41047</v>
      </c>
      <c r="D1061" s="63">
        <v>1.2761</v>
      </c>
      <c r="E1061" s="81">
        <v>41058</v>
      </c>
      <c r="F1061" s="81">
        <v>41047</v>
      </c>
      <c r="G1061" s="10">
        <f>IF(Tabela4[[#This Row],[Tipo]]="Dividendo",Tabela4[[#This Row],[Valor]],IF(Tabela4[[#This Row],[Tipo]]="Jrs. Cap. Próprio",Tabela4[[#This Row],[Valor]]*85%,0))</f>
        <v>1.0846849999999999</v>
      </c>
    </row>
    <row r="1062" spans="1:7" x14ac:dyDescent="0.2">
      <c r="A1062" s="4" t="s">
        <v>5</v>
      </c>
      <c r="B1062" s="3" t="s">
        <v>14</v>
      </c>
      <c r="C1062" s="80">
        <v>40710</v>
      </c>
      <c r="D1062" s="63">
        <v>0.87460000000000004</v>
      </c>
      <c r="E1062" s="81">
        <v>40723</v>
      </c>
      <c r="F1062" s="81">
        <v>40710</v>
      </c>
      <c r="G1062" s="10">
        <f>IF(Tabela4[[#This Row],[Tipo]]="Dividendo",Tabela4[[#This Row],[Valor]],IF(Tabela4[[#This Row],[Tipo]]="Jrs. Cap. Próprio",Tabela4[[#This Row],[Valor]]*85%,0))</f>
        <v>0.74341000000000002</v>
      </c>
    </row>
    <row r="1063" spans="1:7" x14ac:dyDescent="0.2">
      <c r="A1063" s="4" t="s">
        <v>5</v>
      </c>
      <c r="B1063" s="3" t="s">
        <v>14</v>
      </c>
      <c r="C1063" s="80">
        <v>40298</v>
      </c>
      <c r="D1063" s="63">
        <v>0.4209</v>
      </c>
      <c r="E1063" s="81">
        <v>40316</v>
      </c>
      <c r="F1063" s="81">
        <v>40298</v>
      </c>
      <c r="G1063" s="10">
        <f>IF(Tabela4[[#This Row],[Tipo]]="Dividendo",Tabela4[[#This Row],[Valor]],IF(Tabela4[[#This Row],[Tipo]]="Jrs. Cap. Próprio",Tabela4[[#This Row],[Valor]]*85%,0))</f>
        <v>0.357765</v>
      </c>
    </row>
    <row r="1064" spans="1:7" x14ac:dyDescent="0.2">
      <c r="A1064" s="4" t="s">
        <v>5</v>
      </c>
      <c r="B1064" s="3" t="s">
        <v>15</v>
      </c>
      <c r="C1064" s="80">
        <v>40207</v>
      </c>
      <c r="D1064" s="63">
        <v>11.3643</v>
      </c>
      <c r="E1064" s="81"/>
      <c r="F1064" s="81">
        <v>40200</v>
      </c>
      <c r="G1064" s="10">
        <f>IF(Tabela4[[#This Row],[Tipo]]="Dividendo",Tabela4[[#This Row],[Valor]],IF(Tabela4[[#This Row],[Tipo]]="Jrs. Cap. Próprio",Tabela4[[#This Row],[Valor]]*85%,0))</f>
        <v>11.3643</v>
      </c>
    </row>
    <row r="1065" spans="1:7" x14ac:dyDescent="0.2">
      <c r="A1065" s="4" t="s">
        <v>5</v>
      </c>
      <c r="B1065" s="3" t="s">
        <v>14</v>
      </c>
      <c r="C1065" s="80">
        <v>39937</v>
      </c>
      <c r="D1065" s="63">
        <v>1.5423</v>
      </c>
      <c r="E1065" s="81">
        <v>39953</v>
      </c>
      <c r="F1065" s="81">
        <v>39933</v>
      </c>
      <c r="G1065" s="10">
        <f>IF(Tabela4[[#This Row],[Tipo]]="Dividendo",Tabela4[[#This Row],[Valor]],IF(Tabela4[[#This Row],[Tipo]]="Jrs. Cap. Próprio",Tabela4[[#This Row],[Valor]]*85%,0))</f>
        <v>1.3109549999999999</v>
      </c>
    </row>
    <row r="1066" spans="1:7" x14ac:dyDescent="0.2">
      <c r="A1066" s="4" t="s">
        <v>5</v>
      </c>
      <c r="B1066" s="3" t="s">
        <v>14</v>
      </c>
      <c r="C1066" s="80">
        <v>39570</v>
      </c>
      <c r="D1066" s="63">
        <v>0.41610000000000003</v>
      </c>
      <c r="E1066" s="81">
        <v>39629</v>
      </c>
      <c r="F1066" s="81">
        <v>39568</v>
      </c>
      <c r="G1066" s="10">
        <f>IF(Tabela4[[#This Row],[Tipo]]="Dividendo",Tabela4[[#This Row],[Valor]],IF(Tabela4[[#This Row],[Tipo]]="Jrs. Cap. Próprio",Tabela4[[#This Row],[Valor]]*85%,0))</f>
        <v>0.35368500000000003</v>
      </c>
    </row>
    <row r="1067" spans="1:7" x14ac:dyDescent="0.2">
      <c r="A1067" s="4" t="s">
        <v>5</v>
      </c>
      <c r="B1067" s="3" t="s">
        <v>14</v>
      </c>
      <c r="C1067" s="80">
        <v>39204</v>
      </c>
      <c r="D1067" s="63">
        <v>0.27460000000000001</v>
      </c>
      <c r="E1067" s="81">
        <v>39248</v>
      </c>
      <c r="F1067" s="81">
        <v>39202</v>
      </c>
      <c r="G1067" s="10">
        <f>IF(Tabela4[[#This Row],[Tipo]]="Dividendo",Tabela4[[#This Row],[Valor]],IF(Tabela4[[#This Row],[Tipo]]="Jrs. Cap. Próprio",Tabela4[[#This Row],[Valor]]*85%,0))</f>
        <v>0.23341000000000001</v>
      </c>
    </row>
    <row r="1068" spans="1:7" x14ac:dyDescent="0.2">
      <c r="A1068" s="4" t="s">
        <v>5</v>
      </c>
      <c r="B1068" s="3" t="s">
        <v>15</v>
      </c>
      <c r="C1068" s="80">
        <v>38833</v>
      </c>
      <c r="D1068" s="63">
        <v>0.3553</v>
      </c>
      <c r="E1068" s="81">
        <v>38896</v>
      </c>
      <c r="F1068" s="81">
        <v>38833</v>
      </c>
      <c r="G1068" s="10">
        <f>IF(Tabela4[[#This Row],[Tipo]]="Dividendo",Tabela4[[#This Row],[Valor]],IF(Tabela4[[#This Row],[Tipo]]="Jrs. Cap. Próprio",Tabela4[[#This Row],[Valor]]*85%,0))</f>
        <v>0.3553</v>
      </c>
    </row>
    <row r="1069" spans="1:7" x14ac:dyDescent="0.2">
      <c r="A1069" s="4" t="s">
        <v>5</v>
      </c>
      <c r="B1069" s="3" t="s">
        <v>14</v>
      </c>
      <c r="C1069" s="80">
        <v>38471</v>
      </c>
      <c r="D1069" s="63">
        <v>0.30209999999999998</v>
      </c>
      <c r="E1069" s="81">
        <v>38707</v>
      </c>
      <c r="F1069" s="81">
        <v>38470</v>
      </c>
      <c r="G1069" s="10">
        <f>IF(Tabela4[[#This Row],[Tipo]]="Dividendo",Tabela4[[#This Row],[Valor]],IF(Tabela4[[#This Row],[Tipo]]="Jrs. Cap. Próprio",Tabela4[[#This Row],[Valor]]*85%,0))</f>
        <v>0.25678499999999999</v>
      </c>
    </row>
    <row r="1070" spans="1:7" x14ac:dyDescent="0.2">
      <c r="A1070" s="4" t="s">
        <v>5</v>
      </c>
      <c r="B1070" s="3" t="s">
        <v>15</v>
      </c>
      <c r="C1070" s="80">
        <v>38107</v>
      </c>
      <c r="D1070" s="63">
        <v>0.2923</v>
      </c>
      <c r="E1070" s="81">
        <v>38336</v>
      </c>
      <c r="F1070" s="81">
        <v>38106</v>
      </c>
      <c r="G1070" s="10">
        <f>IF(Tabela4[[#This Row],[Tipo]]="Dividendo",Tabela4[[#This Row],[Valor]],IF(Tabela4[[#This Row],[Tipo]]="Jrs. Cap. Próprio",Tabela4[[#This Row],[Valor]]*85%,0))</f>
        <v>0.2923</v>
      </c>
    </row>
    <row r="1071" spans="1:7" x14ac:dyDescent="0.2">
      <c r="A1071" s="4" t="s">
        <v>5</v>
      </c>
      <c r="B1071" s="3" t="s">
        <v>15</v>
      </c>
      <c r="C1071" s="80">
        <v>37741</v>
      </c>
      <c r="D1071" s="63">
        <v>0.54620000000000002</v>
      </c>
      <c r="E1071" s="81">
        <v>37753</v>
      </c>
      <c r="F1071" s="81">
        <v>37741</v>
      </c>
      <c r="G1071" s="10">
        <f>IF(Tabela4[[#This Row],[Tipo]]="Dividendo",Tabela4[[#This Row],[Valor]],IF(Tabela4[[#This Row],[Tipo]]="Jrs. Cap. Próprio",Tabela4[[#This Row],[Valor]]*85%,0))</f>
        <v>0.54620000000000002</v>
      </c>
    </row>
    <row r="1072" spans="1:7" x14ac:dyDescent="0.2">
      <c r="A1072" s="4" t="s">
        <v>5</v>
      </c>
      <c r="B1072" s="3" t="s">
        <v>14</v>
      </c>
      <c r="C1072" s="80">
        <v>37342</v>
      </c>
      <c r="D1072" s="63">
        <v>1.4</v>
      </c>
      <c r="E1072" s="81">
        <v>37607</v>
      </c>
      <c r="F1072" s="81">
        <v>37342</v>
      </c>
      <c r="G1072" s="10">
        <f>IF(Tabela4[[#This Row],[Tipo]]="Dividendo",Tabela4[[#This Row],[Valor]],IF(Tabela4[[#This Row],[Tipo]]="Jrs. Cap. Próprio",Tabela4[[#This Row],[Valor]]*85%,0))</f>
        <v>1.19</v>
      </c>
    </row>
    <row r="1073" spans="1:7" x14ac:dyDescent="0.2">
      <c r="A1073" s="4" t="s">
        <v>5</v>
      </c>
      <c r="B1073" s="3" t="s">
        <v>14</v>
      </c>
      <c r="C1073" s="80">
        <v>37253</v>
      </c>
      <c r="D1073" s="63">
        <v>1.2867999999999999</v>
      </c>
      <c r="E1073" s="81">
        <v>37607</v>
      </c>
      <c r="F1073" s="81">
        <v>37246</v>
      </c>
      <c r="G1073" s="10">
        <f>IF(Tabela4[[#This Row],[Tipo]]="Dividendo",Tabela4[[#This Row],[Valor]],IF(Tabela4[[#This Row],[Tipo]]="Jrs. Cap. Próprio",Tabela4[[#This Row],[Valor]]*85%,0))</f>
        <v>1.09378</v>
      </c>
    </row>
    <row r="1074" spans="1:7" x14ac:dyDescent="0.2">
      <c r="A1074" s="4" t="s">
        <v>5</v>
      </c>
      <c r="B1074" s="3" t="s">
        <v>14</v>
      </c>
      <c r="C1074" s="80">
        <v>36888</v>
      </c>
      <c r="D1074" s="63">
        <v>1.2327999999999999</v>
      </c>
      <c r="E1074" s="81">
        <v>37222</v>
      </c>
      <c r="F1074" s="81">
        <v>36887</v>
      </c>
      <c r="G1074" s="10">
        <f>IF(Tabela4[[#This Row],[Tipo]]="Dividendo",Tabela4[[#This Row],[Valor]],IF(Tabela4[[#This Row],[Tipo]]="Jrs. Cap. Próprio",Tabela4[[#This Row],[Valor]]*85%,0))</f>
        <v>1.0478799999999999</v>
      </c>
    </row>
    <row r="1075" spans="1:7" x14ac:dyDescent="0.2">
      <c r="A1075" s="4" t="s">
        <v>5</v>
      </c>
      <c r="B1075" s="3" t="s">
        <v>14</v>
      </c>
      <c r="C1075" s="80">
        <v>36524</v>
      </c>
      <c r="D1075" s="63">
        <v>0.81310000000000004</v>
      </c>
      <c r="E1075" s="81">
        <v>36693</v>
      </c>
      <c r="F1075" s="81">
        <v>36523</v>
      </c>
      <c r="G1075" s="10">
        <f>IF(Tabela4[[#This Row],[Tipo]]="Dividendo",Tabela4[[#This Row],[Valor]],IF(Tabela4[[#This Row],[Tipo]]="Jrs. Cap. Próprio",Tabela4[[#This Row],[Valor]]*85%,0))</f>
        <v>0.69113500000000005</v>
      </c>
    </row>
    <row r="1076" spans="1:7" x14ac:dyDescent="0.2">
      <c r="A1076" s="4" t="s">
        <v>5</v>
      </c>
      <c r="B1076" s="3" t="s">
        <v>15</v>
      </c>
      <c r="C1076" s="80">
        <v>36256</v>
      </c>
      <c r="D1076" s="63">
        <v>0.43640000000000001</v>
      </c>
      <c r="E1076" s="81">
        <v>36433</v>
      </c>
      <c r="F1076" s="81">
        <v>36256</v>
      </c>
      <c r="G1076" s="10">
        <f>IF(Tabela4[[#This Row],[Tipo]]="Dividendo",Tabela4[[#This Row],[Valor]],IF(Tabela4[[#This Row],[Tipo]]="Jrs. Cap. Próprio",Tabela4[[#This Row],[Valor]]*85%,0))</f>
        <v>0.43640000000000001</v>
      </c>
    </row>
    <row r="1077" spans="1:7" x14ac:dyDescent="0.2">
      <c r="A1077" s="4" t="s">
        <v>5</v>
      </c>
      <c r="B1077" s="3" t="s">
        <v>14</v>
      </c>
      <c r="C1077" s="80">
        <v>35888</v>
      </c>
      <c r="D1077" s="63">
        <v>2.8361000000000001</v>
      </c>
      <c r="E1077" s="81"/>
      <c r="F1077" s="81">
        <v>35888</v>
      </c>
      <c r="G1077" s="10">
        <f>IF(Tabela4[[#This Row],[Tipo]]="Dividendo",Tabela4[[#This Row],[Valor]],IF(Tabela4[[#This Row],[Tipo]]="Jrs. Cap. Próprio",Tabela4[[#This Row],[Valor]]*85%,0))</f>
        <v>2.410685</v>
      </c>
    </row>
    <row r="1078" spans="1:7" x14ac:dyDescent="0.2">
      <c r="A1078" s="4" t="s">
        <v>5</v>
      </c>
      <c r="B1078" s="3" t="s">
        <v>14</v>
      </c>
      <c r="C1078" s="80">
        <v>35549</v>
      </c>
      <c r="D1078" s="63">
        <v>9.3566000000000003</v>
      </c>
      <c r="E1078" s="81"/>
      <c r="F1078" s="81">
        <v>35549</v>
      </c>
      <c r="G1078" s="10">
        <f>IF(Tabela4[[#This Row],[Tipo]]="Dividendo",Tabela4[[#This Row],[Valor]],IF(Tabela4[[#This Row],[Tipo]]="Jrs. Cap. Próprio",Tabela4[[#This Row],[Valor]]*85%,0))</f>
        <v>7.9531099999999997</v>
      </c>
    </row>
    <row r="1079" spans="1:7" x14ac:dyDescent="0.2">
      <c r="A1079" s="4" t="s">
        <v>5</v>
      </c>
      <c r="B1079" s="3" t="s">
        <v>15</v>
      </c>
      <c r="C1079" s="80">
        <v>35549</v>
      </c>
      <c r="D1079" s="63">
        <v>0.25879999999999997</v>
      </c>
      <c r="E1079" s="81"/>
      <c r="F1079" s="81">
        <v>35549</v>
      </c>
      <c r="G1079" s="10">
        <f>IF(Tabela4[[#This Row],[Tipo]]="Dividendo",Tabela4[[#This Row],[Valor]],IF(Tabela4[[#This Row],[Tipo]]="Jrs. Cap. Próprio",Tabela4[[#This Row],[Valor]]*85%,0))</f>
        <v>0.25879999999999997</v>
      </c>
    </row>
    <row r="1080" spans="1:7" x14ac:dyDescent="0.2">
      <c r="A1080" s="4" t="s">
        <v>5</v>
      </c>
      <c r="B1080" s="3" t="s">
        <v>15</v>
      </c>
      <c r="C1080" s="80">
        <v>35180</v>
      </c>
      <c r="D1080" s="63">
        <v>2.2734999999999999</v>
      </c>
      <c r="E1080" s="81"/>
      <c r="F1080" s="81">
        <v>35180</v>
      </c>
      <c r="G1080" s="10">
        <f>IF(Tabela4[[#This Row],[Tipo]]="Dividendo",Tabela4[[#This Row],[Valor]],IF(Tabela4[[#This Row],[Tipo]]="Jrs. Cap. Próprio",Tabela4[[#This Row],[Valor]]*85%,0))</f>
        <v>2.2734999999999999</v>
      </c>
    </row>
    <row r="1081" spans="1:7" x14ac:dyDescent="0.2">
      <c r="A1081" s="35" t="s">
        <v>88</v>
      </c>
      <c r="B1081" s="35" t="s">
        <v>14</v>
      </c>
      <c r="C1081" s="36">
        <v>41394</v>
      </c>
      <c r="D1081" s="38">
        <v>1.6718</v>
      </c>
      <c r="E1081" s="37">
        <v>41537</v>
      </c>
      <c r="F1081" s="37">
        <v>41394</v>
      </c>
      <c r="G1081" s="38">
        <f>IF(Tabela4[[#This Row],[Tipo]]="Dividendo",Tabela4[[#This Row],[Valor]],IF(Tabela4[[#This Row],[Tipo]]="Jrs. Cap. Próprio",Tabela4[[#This Row],[Valor]]*85%,0))</f>
        <v>1.42103</v>
      </c>
    </row>
    <row r="1082" spans="1:7" x14ac:dyDescent="0.2">
      <c r="A1082" s="35" t="s">
        <v>88</v>
      </c>
      <c r="B1082" s="31" t="s">
        <v>14</v>
      </c>
      <c r="C1082" s="32">
        <v>41047</v>
      </c>
      <c r="D1082" s="34">
        <v>1.6923999999999999</v>
      </c>
      <c r="E1082" s="33">
        <v>41058</v>
      </c>
      <c r="F1082" s="33">
        <v>41047</v>
      </c>
      <c r="G1082" s="34">
        <f>IF(Tabela4[[#This Row],[Tipo]]="Dividendo",Tabela4[[#This Row],[Valor]],IF(Tabela4[[#This Row],[Tipo]]="Jrs. Cap. Próprio",Tabela4[[#This Row],[Valor]]*85%,0))</f>
        <v>1.4385399999999999</v>
      </c>
    </row>
    <row r="1083" spans="1:7" x14ac:dyDescent="0.2">
      <c r="A1083" s="35" t="s">
        <v>88</v>
      </c>
      <c r="B1083" s="31" t="s">
        <v>14</v>
      </c>
      <c r="C1083" s="32">
        <v>40710</v>
      </c>
      <c r="D1083" s="34">
        <v>1.7135</v>
      </c>
      <c r="E1083" s="33">
        <v>40723</v>
      </c>
      <c r="F1083" s="33">
        <v>40710</v>
      </c>
      <c r="G1083" s="34">
        <f>IF(Tabela4[[#This Row],[Tipo]]="Dividendo",Tabela4[[#This Row],[Valor]],IF(Tabela4[[#This Row],[Tipo]]="Jrs. Cap. Próprio",Tabela4[[#This Row],[Valor]]*85%,0))</f>
        <v>1.456475</v>
      </c>
    </row>
    <row r="1084" spans="1:7" x14ac:dyDescent="0.2">
      <c r="A1084" s="35" t="s">
        <v>88</v>
      </c>
      <c r="B1084" s="31" t="s">
        <v>14</v>
      </c>
      <c r="C1084" s="32">
        <v>40298</v>
      </c>
      <c r="D1084" s="34">
        <v>1.6752</v>
      </c>
      <c r="E1084" s="33">
        <v>40316</v>
      </c>
      <c r="F1084" s="33">
        <v>40298</v>
      </c>
      <c r="G1084" s="34">
        <f>IF(Tabela4[[#This Row],[Tipo]]="Dividendo",Tabela4[[#This Row],[Valor]],IF(Tabela4[[#This Row],[Tipo]]="Jrs. Cap. Próprio",Tabela4[[#This Row],[Valor]]*85%,0))</f>
        <v>1.4239200000000001</v>
      </c>
    </row>
    <row r="1085" spans="1:7" x14ac:dyDescent="0.2">
      <c r="A1085" s="35" t="s">
        <v>88</v>
      </c>
      <c r="B1085" s="31" t="s">
        <v>15</v>
      </c>
      <c r="C1085" s="32">
        <v>40207</v>
      </c>
      <c r="D1085" s="34">
        <v>0.18240000000000001</v>
      </c>
      <c r="E1085" s="33"/>
      <c r="F1085" s="33">
        <v>40200</v>
      </c>
      <c r="G1085" s="34">
        <f>IF(Tabela4[[#This Row],[Tipo]]="Dividendo",Tabela4[[#This Row],[Valor]],IF(Tabela4[[#This Row],[Tipo]]="Jrs. Cap. Próprio",Tabela4[[#This Row],[Valor]]*85%,0))</f>
        <v>0.18240000000000001</v>
      </c>
    </row>
    <row r="1086" spans="1:7" x14ac:dyDescent="0.2">
      <c r="A1086" s="35" t="s">
        <v>88</v>
      </c>
      <c r="B1086" s="31" t="s">
        <v>14</v>
      </c>
      <c r="C1086" s="32">
        <v>39937</v>
      </c>
      <c r="D1086" s="34">
        <v>1.6964999999999999</v>
      </c>
      <c r="E1086" s="33">
        <v>39953</v>
      </c>
      <c r="F1086" s="33">
        <v>39933</v>
      </c>
      <c r="G1086" s="34">
        <f>IF(Tabela4[[#This Row],[Tipo]]="Dividendo",Tabela4[[#This Row],[Valor]],IF(Tabela4[[#This Row],[Tipo]]="Jrs. Cap. Próprio",Tabela4[[#This Row],[Valor]]*85%,0))</f>
        <v>1.4420249999999999</v>
      </c>
    </row>
    <row r="1087" spans="1:7" x14ac:dyDescent="0.2">
      <c r="A1087" s="35" t="s">
        <v>88</v>
      </c>
      <c r="B1087" s="31" t="s">
        <v>14</v>
      </c>
      <c r="C1087" s="32">
        <v>39570</v>
      </c>
      <c r="D1087" s="34">
        <v>1.5692999999999999</v>
      </c>
      <c r="E1087" s="33">
        <v>39629</v>
      </c>
      <c r="F1087" s="33">
        <v>39568</v>
      </c>
      <c r="G1087" s="34">
        <f>IF(Tabela4[[#This Row],[Tipo]]="Dividendo",Tabela4[[#This Row],[Valor]],IF(Tabela4[[#This Row],[Tipo]]="Jrs. Cap. Próprio",Tabela4[[#This Row],[Valor]]*85%,0))</f>
        <v>1.3339049999999999</v>
      </c>
    </row>
    <row r="1088" spans="1:7" x14ac:dyDescent="0.2">
      <c r="A1088" s="35" t="s">
        <v>88</v>
      </c>
      <c r="B1088" s="31" t="s">
        <v>14</v>
      </c>
      <c r="C1088" s="32">
        <v>39204</v>
      </c>
      <c r="D1088" s="34">
        <v>3.1507999999999998</v>
      </c>
      <c r="E1088" s="33">
        <v>39248</v>
      </c>
      <c r="F1088" s="33">
        <v>39204</v>
      </c>
      <c r="G1088" s="34">
        <f>IF(Tabela4[[#This Row],[Tipo]]="Dividendo",Tabela4[[#This Row],[Valor]],IF(Tabela4[[#This Row],[Tipo]]="Jrs. Cap. Próprio",Tabela4[[#This Row],[Valor]]*85%,0))</f>
        <v>2.6781799999999998</v>
      </c>
    </row>
    <row r="1089" spans="1:7" x14ac:dyDescent="0.2">
      <c r="A1089" s="35" t="s">
        <v>88</v>
      </c>
      <c r="B1089" s="31" t="s">
        <v>15</v>
      </c>
      <c r="C1089" s="32">
        <v>38833</v>
      </c>
      <c r="D1089" s="34">
        <v>2.7048999999999999</v>
      </c>
      <c r="E1089" s="33">
        <v>38896</v>
      </c>
      <c r="F1089" s="33">
        <v>38833</v>
      </c>
      <c r="G1089" s="34">
        <f>IF(Tabela4[[#This Row],[Tipo]]="Dividendo",Tabela4[[#This Row],[Valor]],IF(Tabela4[[#This Row],[Tipo]]="Jrs. Cap. Próprio",Tabela4[[#This Row],[Valor]]*85%,0))</f>
        <v>2.7048999999999999</v>
      </c>
    </row>
    <row r="1090" spans="1:7" x14ac:dyDescent="0.2">
      <c r="A1090" s="35" t="s">
        <v>88</v>
      </c>
      <c r="B1090" s="31" t="s">
        <v>14</v>
      </c>
      <c r="C1090" s="32">
        <v>38471</v>
      </c>
      <c r="D1090" s="34">
        <v>2.8858999999999999</v>
      </c>
      <c r="E1090" s="33">
        <v>38707</v>
      </c>
      <c r="F1090" s="33">
        <v>38470</v>
      </c>
      <c r="G1090" s="34">
        <f>IF(Tabela4[[#This Row],[Tipo]]="Dividendo",Tabela4[[#This Row],[Valor]],IF(Tabela4[[#This Row],[Tipo]]="Jrs. Cap. Próprio",Tabela4[[#This Row],[Valor]]*85%,0))</f>
        <v>2.4530149999999997</v>
      </c>
    </row>
    <row r="1091" spans="1:7" x14ac:dyDescent="0.2">
      <c r="A1091" s="35" t="s">
        <v>88</v>
      </c>
      <c r="B1091" s="31" t="s">
        <v>15</v>
      </c>
      <c r="C1091" s="32">
        <v>38107</v>
      </c>
      <c r="D1091" s="34">
        <v>2.4378000000000002</v>
      </c>
      <c r="E1091" s="33">
        <v>38336</v>
      </c>
      <c r="F1091" s="33">
        <v>38106</v>
      </c>
      <c r="G1091" s="34">
        <f>IF(Tabela4[[#This Row],[Tipo]]="Dividendo",Tabela4[[#This Row],[Valor]],IF(Tabela4[[#This Row],[Tipo]]="Jrs. Cap. Próprio",Tabela4[[#This Row],[Valor]]*85%,0))</f>
        <v>2.4378000000000002</v>
      </c>
    </row>
    <row r="1092" spans="1:7" x14ac:dyDescent="0.2">
      <c r="A1092" s="35" t="s">
        <v>88</v>
      </c>
      <c r="B1092" s="31" t="s">
        <v>15</v>
      </c>
      <c r="C1092" s="32">
        <v>37741</v>
      </c>
      <c r="D1092" s="34">
        <v>2.4792999999999998</v>
      </c>
      <c r="E1092" s="33">
        <v>37753</v>
      </c>
      <c r="F1092" s="33">
        <v>37741</v>
      </c>
      <c r="G1092" s="34">
        <f>IF(Tabela4[[#This Row],[Tipo]]="Dividendo",Tabela4[[#This Row],[Valor]],IF(Tabela4[[#This Row],[Tipo]]="Jrs. Cap. Próprio",Tabela4[[#This Row],[Valor]]*85%,0))</f>
        <v>2.4792999999999998</v>
      </c>
    </row>
    <row r="1093" spans="1:7" x14ac:dyDescent="0.2">
      <c r="A1093" s="35" t="s">
        <v>88</v>
      </c>
      <c r="B1093" s="31" t="s">
        <v>14</v>
      </c>
      <c r="C1093" s="32">
        <v>37342</v>
      </c>
      <c r="D1093" s="34">
        <v>0.34320000000000001</v>
      </c>
      <c r="E1093" s="33">
        <v>37607</v>
      </c>
      <c r="F1093" s="33">
        <v>37342</v>
      </c>
      <c r="G1093" s="34">
        <f>IF(Tabela4[[#This Row],[Tipo]]="Dividendo",Tabela4[[#This Row],[Valor]],IF(Tabela4[[#This Row],[Tipo]]="Jrs. Cap. Próprio",Tabela4[[#This Row],[Valor]]*85%,0))</f>
        <v>0.29171999999999998</v>
      </c>
    </row>
    <row r="1094" spans="1:7" x14ac:dyDescent="0.2">
      <c r="A1094" s="35" t="s">
        <v>88</v>
      </c>
      <c r="B1094" s="31" t="s">
        <v>14</v>
      </c>
      <c r="C1094" s="32">
        <v>37253</v>
      </c>
      <c r="D1094" s="34">
        <v>2.7069000000000001</v>
      </c>
      <c r="E1094" s="33">
        <v>37607</v>
      </c>
      <c r="F1094" s="33">
        <v>37246</v>
      </c>
      <c r="G1094" s="34">
        <f>IF(Tabela4[[#This Row],[Tipo]]="Dividendo",Tabela4[[#This Row],[Valor]],IF(Tabela4[[#This Row],[Tipo]]="Jrs. Cap. Próprio",Tabela4[[#This Row],[Valor]]*85%,0))</f>
        <v>2.3008649999999999</v>
      </c>
    </row>
    <row r="1095" spans="1:7" x14ac:dyDescent="0.2">
      <c r="A1095" s="35" t="s">
        <v>88</v>
      </c>
      <c r="B1095" s="31" t="s">
        <v>14</v>
      </c>
      <c r="C1095" s="32">
        <v>36888</v>
      </c>
      <c r="D1095" s="34">
        <v>2.7069000000000001</v>
      </c>
      <c r="E1095" s="33">
        <v>37222</v>
      </c>
      <c r="F1095" s="33">
        <v>36887</v>
      </c>
      <c r="G1095" s="34">
        <f>IF(Tabela4[[#This Row],[Tipo]]="Dividendo",Tabela4[[#This Row],[Valor]],IF(Tabela4[[#This Row],[Tipo]]="Jrs. Cap. Próprio",Tabela4[[#This Row],[Valor]]*85%,0))</f>
        <v>2.3008649999999999</v>
      </c>
    </row>
    <row r="1096" spans="1:7" x14ac:dyDescent="0.2">
      <c r="A1096" s="35" t="s">
        <v>88</v>
      </c>
      <c r="B1096" s="31" t="s">
        <v>14</v>
      </c>
      <c r="C1096" s="32">
        <v>36524</v>
      </c>
      <c r="D1096" s="34">
        <v>2.7069000000000001</v>
      </c>
      <c r="E1096" s="33">
        <v>36693</v>
      </c>
      <c r="F1096" s="33">
        <v>36523</v>
      </c>
      <c r="G1096" s="34">
        <f>IF(Tabela4[[#This Row],[Tipo]]="Dividendo",Tabela4[[#This Row],[Valor]],IF(Tabela4[[#This Row],[Tipo]]="Jrs. Cap. Próprio",Tabela4[[#This Row],[Valor]]*85%,0))</f>
        <v>2.3008649999999999</v>
      </c>
    </row>
    <row r="1097" spans="1:7" x14ac:dyDescent="0.2">
      <c r="A1097" s="35" t="s">
        <v>88</v>
      </c>
      <c r="B1097" s="31" t="s">
        <v>15</v>
      </c>
      <c r="C1097" s="32">
        <v>36256</v>
      </c>
      <c r="D1097" s="34">
        <v>1.7456</v>
      </c>
      <c r="E1097" s="33">
        <v>36433</v>
      </c>
      <c r="F1097" s="33">
        <v>36256</v>
      </c>
      <c r="G1097" s="34">
        <f>IF(Tabela4[[#This Row],[Tipo]]="Dividendo",Tabela4[[#This Row],[Valor]],IF(Tabela4[[#This Row],[Tipo]]="Jrs. Cap. Próprio",Tabela4[[#This Row],[Valor]]*85%,0))</f>
        <v>1.7456</v>
      </c>
    </row>
    <row r="1098" spans="1:7" x14ac:dyDescent="0.2">
      <c r="A1098" s="35" t="s">
        <v>88</v>
      </c>
      <c r="B1098" s="31" t="s">
        <v>14</v>
      </c>
      <c r="C1098" s="32">
        <v>35888</v>
      </c>
      <c r="D1098" s="34">
        <v>2.8361000000000001</v>
      </c>
      <c r="E1098" s="33"/>
      <c r="F1098" s="33">
        <v>35888</v>
      </c>
      <c r="G1098" s="34">
        <f>IF(Tabela4[[#This Row],[Tipo]]="Dividendo",Tabela4[[#This Row],[Valor]],IF(Tabela4[[#This Row],[Tipo]]="Jrs. Cap. Próprio",Tabela4[[#This Row],[Valor]]*85%,0))</f>
        <v>2.410685</v>
      </c>
    </row>
    <row r="1099" spans="1:7" x14ac:dyDescent="0.2">
      <c r="A1099" s="35" t="s">
        <v>88</v>
      </c>
      <c r="B1099" s="31" t="s">
        <v>14</v>
      </c>
      <c r="C1099" s="32">
        <v>35549</v>
      </c>
      <c r="D1099" s="34">
        <v>9.3566000000000003</v>
      </c>
      <c r="E1099" s="33"/>
      <c r="F1099" s="33">
        <v>35549</v>
      </c>
      <c r="G1099" s="34">
        <f>IF(Tabela4[[#This Row],[Tipo]]="Dividendo",Tabela4[[#This Row],[Valor]],IF(Tabela4[[#This Row],[Tipo]]="Jrs. Cap. Próprio",Tabela4[[#This Row],[Valor]]*85%,0))</f>
        <v>7.9531099999999997</v>
      </c>
    </row>
    <row r="1100" spans="1:7" x14ac:dyDescent="0.2">
      <c r="A1100" s="35" t="s">
        <v>88</v>
      </c>
      <c r="B1100" s="31" t="s">
        <v>15</v>
      </c>
      <c r="C1100" s="32">
        <v>35549</v>
      </c>
      <c r="D1100" s="34">
        <v>11.2598</v>
      </c>
      <c r="E1100" s="33"/>
      <c r="F1100" s="33">
        <v>35549</v>
      </c>
      <c r="G1100" s="34">
        <f>IF(Tabela4[[#This Row],[Tipo]]="Dividendo",Tabela4[[#This Row],[Valor]],IF(Tabela4[[#This Row],[Tipo]]="Jrs. Cap. Próprio",Tabela4[[#This Row],[Valor]]*85%,0))</f>
        <v>11.2598</v>
      </c>
    </row>
    <row r="1101" spans="1:7" x14ac:dyDescent="0.2">
      <c r="A1101" s="35" t="s">
        <v>88</v>
      </c>
      <c r="B1101" s="31" t="s">
        <v>15</v>
      </c>
      <c r="C1101" s="32">
        <v>35180</v>
      </c>
      <c r="D1101" s="34">
        <v>17.000399999999999</v>
      </c>
      <c r="E1101" s="33"/>
      <c r="F1101" s="33">
        <v>35180</v>
      </c>
      <c r="G1101" s="34">
        <f>IF(Tabela4[[#This Row],[Tipo]]="Dividendo",Tabela4[[#This Row],[Valor]],IF(Tabela4[[#This Row],[Tipo]]="Jrs. Cap. Próprio",Tabela4[[#This Row],[Valor]]*85%,0))</f>
        <v>17.000399999999999</v>
      </c>
    </row>
    <row r="1102" spans="1:7" x14ac:dyDescent="0.2">
      <c r="A1102" s="4" t="s">
        <v>4</v>
      </c>
      <c r="B1102" s="4" t="s">
        <v>15</v>
      </c>
      <c r="C1102" s="19">
        <v>41368</v>
      </c>
      <c r="D1102" s="55">
        <v>3.3361380000000002E-3</v>
      </c>
      <c r="E1102" s="68">
        <v>41603</v>
      </c>
      <c r="F1102" s="68">
        <v>41368</v>
      </c>
      <c r="G1102" s="14">
        <f>IF(Tabela4[[#This Row],[Tipo]]="Dividendo",Tabela4[[#This Row],[Valor]],IF(Tabela4[[#This Row],[Tipo]]="Jrs. Cap. Próprio",Tabela4[[#This Row],[Valor]]*85%,0))</f>
        <v>3.3361380000000002E-3</v>
      </c>
    </row>
    <row r="1103" spans="1:7" x14ac:dyDescent="0.2">
      <c r="A1103" s="4" t="s">
        <v>4</v>
      </c>
      <c r="B1103" s="3" t="s">
        <v>14</v>
      </c>
      <c r="C1103" s="80">
        <v>41263</v>
      </c>
      <c r="D1103" s="63">
        <v>0.336775467</v>
      </c>
      <c r="E1103" s="81">
        <v>41603</v>
      </c>
      <c r="F1103" s="81">
        <v>41263</v>
      </c>
      <c r="G1103" s="10">
        <f>IF(Tabela4[[#This Row],[Tipo]]="Dividendo",Tabela4[[#This Row],[Valor]],IF(Tabela4[[#This Row],[Tipo]]="Jrs. Cap. Próprio",Tabela4[[#This Row],[Valor]]*85%,0))</f>
        <v>0.28625914694999999</v>
      </c>
    </row>
    <row r="1104" spans="1:7" x14ac:dyDescent="0.2">
      <c r="A1104" s="4" t="s">
        <v>4</v>
      </c>
      <c r="B1104" s="3" t="s">
        <v>15</v>
      </c>
      <c r="C1104" s="80">
        <v>41015</v>
      </c>
      <c r="D1104" s="63">
        <v>3.3917547369999999</v>
      </c>
      <c r="E1104" s="81">
        <v>41044</v>
      </c>
      <c r="F1104" s="81">
        <v>41015</v>
      </c>
      <c r="G1104" s="10">
        <f>IF(Tabela4[[#This Row],[Tipo]]="Dividendo",Tabela4[[#This Row],[Valor]],IF(Tabela4[[#This Row],[Tipo]]="Jrs. Cap. Próprio",Tabela4[[#This Row],[Valor]]*85%,0))</f>
        <v>3.3917547369999999</v>
      </c>
    </row>
    <row r="1105" spans="1:7" x14ac:dyDescent="0.2">
      <c r="A1105" s="4" t="s">
        <v>4</v>
      </c>
      <c r="B1105" s="3" t="s">
        <v>14</v>
      </c>
      <c r="C1105" s="80">
        <v>40884</v>
      </c>
      <c r="D1105" s="63">
        <v>0.45284636700000003</v>
      </c>
      <c r="E1105" s="81">
        <v>41044</v>
      </c>
      <c r="F1105" s="81">
        <v>40884</v>
      </c>
      <c r="G1105" s="10">
        <f>IF(Tabela4[[#This Row],[Tipo]]="Dividendo",Tabela4[[#This Row],[Valor]],IF(Tabela4[[#This Row],[Tipo]]="Jrs. Cap. Próprio",Tabela4[[#This Row],[Valor]]*85%,0))</f>
        <v>0.38491941195000001</v>
      </c>
    </row>
    <row r="1106" spans="1:7" x14ac:dyDescent="0.2">
      <c r="A1106" s="4" t="s">
        <v>4</v>
      </c>
      <c r="B1106" s="3" t="s">
        <v>15</v>
      </c>
      <c r="C1106" s="80">
        <v>40765</v>
      </c>
      <c r="D1106" s="63">
        <v>1.8040943250000001</v>
      </c>
      <c r="E1106" s="81">
        <v>40808</v>
      </c>
      <c r="F1106" s="81">
        <v>40765</v>
      </c>
      <c r="G1106" s="10">
        <f>IF(Tabela4[[#This Row],[Tipo]]="Dividendo",Tabela4[[#This Row],[Valor]],IF(Tabela4[[#This Row],[Tipo]]="Jrs. Cap. Próprio",Tabela4[[#This Row],[Valor]]*85%,0))</f>
        <v>1.8040943250000001</v>
      </c>
    </row>
    <row r="1107" spans="1:7" x14ac:dyDescent="0.2">
      <c r="A1107" s="4" t="s">
        <v>4</v>
      </c>
      <c r="B1107" s="3" t="s">
        <v>15</v>
      </c>
      <c r="C1107" s="80">
        <v>40662</v>
      </c>
      <c r="D1107" s="63">
        <v>5.2304521460000002</v>
      </c>
      <c r="E1107" s="81">
        <v>40680</v>
      </c>
      <c r="F1107" s="81">
        <v>40662</v>
      </c>
      <c r="G1107" s="10">
        <f>IF(Tabela4[[#This Row],[Tipo]]="Dividendo",Tabela4[[#This Row],[Valor]],IF(Tabela4[[#This Row],[Tipo]]="Jrs. Cap. Próprio",Tabela4[[#This Row],[Valor]]*85%,0))</f>
        <v>5.2304521460000002</v>
      </c>
    </row>
    <row r="1108" spans="1:7" x14ac:dyDescent="0.2">
      <c r="A1108" s="4" t="s">
        <v>4</v>
      </c>
      <c r="B1108" s="3" t="s">
        <v>14</v>
      </c>
      <c r="C1108" s="80">
        <v>40514</v>
      </c>
      <c r="D1108" s="63">
        <v>0.45114385820000003</v>
      </c>
      <c r="E1108" s="81">
        <v>40680</v>
      </c>
      <c r="F1108" s="81">
        <v>40514</v>
      </c>
      <c r="G1108" s="10">
        <f>IF(Tabela4[[#This Row],[Tipo]]="Dividendo",Tabela4[[#This Row],[Valor]],IF(Tabela4[[#This Row],[Tipo]]="Jrs. Cap. Próprio",Tabela4[[#This Row],[Valor]]*85%,0))</f>
        <v>0.38347227947000001</v>
      </c>
    </row>
    <row r="1109" spans="1:7" x14ac:dyDescent="0.2">
      <c r="A1109" s="4" t="s">
        <v>4</v>
      </c>
      <c r="B1109" s="3" t="s">
        <v>15</v>
      </c>
      <c r="C1109" s="80">
        <v>40395</v>
      </c>
      <c r="D1109" s="63">
        <v>1.939144931</v>
      </c>
      <c r="E1109" s="81">
        <v>40519</v>
      </c>
      <c r="F1109" s="81">
        <v>40395</v>
      </c>
      <c r="G1109" s="10">
        <f>IF(Tabela4[[#This Row],[Tipo]]="Dividendo",Tabela4[[#This Row],[Valor]],IF(Tabela4[[#This Row],[Tipo]]="Jrs. Cap. Próprio",Tabela4[[#This Row],[Valor]]*85%,0))</f>
        <v>1.939144931</v>
      </c>
    </row>
    <row r="1110" spans="1:7" x14ac:dyDescent="0.2">
      <c r="A1110" s="4" t="s">
        <v>4</v>
      </c>
      <c r="B1110" s="3" t="s">
        <v>15</v>
      </c>
      <c r="C1110" s="80">
        <v>40395</v>
      </c>
      <c r="D1110" s="63">
        <v>1.939144931</v>
      </c>
      <c r="E1110" s="81">
        <v>40436</v>
      </c>
      <c r="F1110" s="81">
        <v>40395</v>
      </c>
      <c r="G1110" s="10">
        <f>IF(Tabela4[[#This Row],[Tipo]]="Dividendo",Tabela4[[#This Row],[Valor]],IF(Tabela4[[#This Row],[Tipo]]="Jrs. Cap. Próprio",Tabela4[[#This Row],[Valor]]*85%,0))</f>
        <v>1.939144931</v>
      </c>
    </row>
    <row r="1111" spans="1:7" x14ac:dyDescent="0.2">
      <c r="A1111" s="4" t="s">
        <v>4</v>
      </c>
      <c r="B1111" s="3" t="s">
        <v>15</v>
      </c>
      <c r="C1111" s="80">
        <v>40298</v>
      </c>
      <c r="D1111" s="63">
        <v>1.5941278612000001</v>
      </c>
      <c r="E1111" s="81">
        <v>40436</v>
      </c>
      <c r="F1111" s="81">
        <v>40248</v>
      </c>
      <c r="G1111" s="10">
        <f>IF(Tabela4[[#This Row],[Tipo]]="Dividendo",Tabela4[[#This Row],[Valor]],IF(Tabela4[[#This Row],[Tipo]]="Jrs. Cap. Próprio",Tabela4[[#This Row],[Valor]]*85%,0))</f>
        <v>1.5941278612000001</v>
      </c>
    </row>
    <row r="1112" spans="1:7" x14ac:dyDescent="0.2">
      <c r="A1112" s="4" t="s">
        <v>4</v>
      </c>
      <c r="B1112" s="3" t="s">
        <v>15</v>
      </c>
      <c r="C1112" s="80">
        <v>40298</v>
      </c>
      <c r="D1112" s="63">
        <v>2.6610728438</v>
      </c>
      <c r="E1112" s="81">
        <v>40317</v>
      </c>
      <c r="F1112" s="81">
        <v>40248</v>
      </c>
      <c r="G1112" s="10">
        <f>IF(Tabela4[[#This Row],[Tipo]]="Dividendo",Tabela4[[#This Row],[Valor]],IF(Tabela4[[#This Row],[Tipo]]="Jrs. Cap. Próprio",Tabela4[[#This Row],[Valor]]*85%,0))</f>
        <v>2.6610728438</v>
      </c>
    </row>
    <row r="1113" spans="1:7" x14ac:dyDescent="0.2">
      <c r="A1113" s="4" t="s">
        <v>4</v>
      </c>
      <c r="B1113" s="3" t="s">
        <v>14</v>
      </c>
      <c r="C1113" s="80">
        <v>40163</v>
      </c>
      <c r="D1113" s="63">
        <v>0.43895442849999999</v>
      </c>
      <c r="E1113" s="81">
        <v>40317</v>
      </c>
      <c r="F1113" s="81">
        <v>40163</v>
      </c>
      <c r="G1113" s="10">
        <f>IF(Tabela4[[#This Row],[Tipo]]="Dividendo",Tabela4[[#This Row],[Valor]],IF(Tabela4[[#This Row],[Tipo]]="Jrs. Cap. Próprio",Tabela4[[#This Row],[Valor]]*85%,0))</f>
        <v>0.37311126422499996</v>
      </c>
    </row>
    <row r="1114" spans="1:7" x14ac:dyDescent="0.2">
      <c r="A1114" s="4" t="s">
        <v>4</v>
      </c>
      <c r="B1114" s="3" t="s">
        <v>15</v>
      </c>
      <c r="C1114" s="80">
        <v>40038</v>
      </c>
      <c r="D1114" s="63">
        <v>2.0008863030000001</v>
      </c>
      <c r="E1114" s="81">
        <v>40080</v>
      </c>
      <c r="F1114" s="81">
        <v>40038</v>
      </c>
      <c r="G1114" s="10">
        <f>IF(Tabela4[[#This Row],[Tipo]]="Dividendo",Tabela4[[#This Row],[Valor]],IF(Tabela4[[#This Row],[Tipo]]="Jrs. Cap. Próprio",Tabela4[[#This Row],[Valor]]*85%,0))</f>
        <v>2.0008863030000001</v>
      </c>
    </row>
    <row r="1115" spans="1:7" x14ac:dyDescent="0.2">
      <c r="A1115" s="4" t="s">
        <v>4</v>
      </c>
      <c r="B1115" s="3" t="s">
        <v>15</v>
      </c>
      <c r="C1115" s="80">
        <v>39930</v>
      </c>
      <c r="D1115" s="63">
        <v>1.905552986</v>
      </c>
      <c r="E1115" s="81">
        <v>40157</v>
      </c>
      <c r="F1115" s="81">
        <v>39930</v>
      </c>
      <c r="G1115" s="10">
        <f>IF(Tabela4[[#This Row],[Tipo]]="Dividendo",Tabela4[[#This Row],[Valor]],IF(Tabela4[[#This Row],[Tipo]]="Jrs. Cap. Próprio",Tabela4[[#This Row],[Valor]]*85%,0))</f>
        <v>1.905552986</v>
      </c>
    </row>
    <row r="1116" spans="1:7" x14ac:dyDescent="0.2">
      <c r="A1116" s="4" t="s">
        <v>4</v>
      </c>
      <c r="B1116" s="3" t="s">
        <v>15</v>
      </c>
      <c r="C1116" s="80">
        <v>39930</v>
      </c>
      <c r="D1116" s="63">
        <v>1.905552986</v>
      </c>
      <c r="E1116" s="81">
        <v>39947</v>
      </c>
      <c r="F1116" s="81">
        <v>39930</v>
      </c>
      <c r="G1116" s="10">
        <f>IF(Tabela4[[#This Row],[Tipo]]="Dividendo",Tabela4[[#This Row],[Valor]],IF(Tabela4[[#This Row],[Tipo]]="Jrs. Cap. Próprio",Tabela4[[#This Row],[Valor]]*85%,0))</f>
        <v>1.905552986</v>
      </c>
    </row>
    <row r="1117" spans="1:7" x14ac:dyDescent="0.2">
      <c r="A1117" s="4" t="s">
        <v>4</v>
      </c>
      <c r="B1117" s="3" t="s">
        <v>14</v>
      </c>
      <c r="C1117" s="80">
        <v>39801</v>
      </c>
      <c r="D1117" s="63">
        <v>0.42664698400000001</v>
      </c>
      <c r="E1117" s="81">
        <v>39947</v>
      </c>
      <c r="F1117" s="81">
        <v>39801</v>
      </c>
      <c r="G1117" s="10">
        <f>IF(Tabela4[[#This Row],[Tipo]]="Dividendo",Tabela4[[#This Row],[Valor]],IF(Tabela4[[#This Row],[Tipo]]="Jrs. Cap. Próprio",Tabela4[[#This Row],[Valor]]*85%,0))</f>
        <v>0.36264993639999998</v>
      </c>
    </row>
    <row r="1118" spans="1:7" x14ac:dyDescent="0.2">
      <c r="A1118" s="4" t="s">
        <v>4</v>
      </c>
      <c r="B1118" s="3" t="s">
        <v>15</v>
      </c>
      <c r="C1118" s="80">
        <v>39673</v>
      </c>
      <c r="D1118" s="63">
        <v>2.2287441650000002</v>
      </c>
      <c r="E1118" s="81">
        <v>39688</v>
      </c>
      <c r="F1118" s="81">
        <v>39672</v>
      </c>
      <c r="G1118" s="10">
        <f>IF(Tabela4[[#This Row],[Tipo]]="Dividendo",Tabela4[[#This Row],[Valor]],IF(Tabela4[[#This Row],[Tipo]]="Jrs. Cap. Próprio",Tabela4[[#This Row],[Valor]]*85%,0))</f>
        <v>2.2287441650000002</v>
      </c>
    </row>
    <row r="1119" spans="1:7" x14ac:dyDescent="0.2">
      <c r="A1119" s="4" t="s">
        <v>4</v>
      </c>
      <c r="B1119" s="3" t="s">
        <v>15</v>
      </c>
      <c r="C1119" s="80">
        <v>39561</v>
      </c>
      <c r="D1119" s="63">
        <v>0.98829999999999996</v>
      </c>
      <c r="E1119" s="81">
        <v>39584</v>
      </c>
      <c r="F1119" s="81">
        <v>39561</v>
      </c>
      <c r="G1119" s="10">
        <f>IF(Tabela4[[#This Row],[Tipo]]="Dividendo",Tabela4[[#This Row],[Valor]],IF(Tabela4[[#This Row],[Tipo]]="Jrs. Cap. Próprio",Tabela4[[#This Row],[Valor]]*85%,0))</f>
        <v>0.98829999999999996</v>
      </c>
    </row>
    <row r="1120" spans="1:7" x14ac:dyDescent="0.2">
      <c r="A1120" s="4" t="s">
        <v>4</v>
      </c>
      <c r="B1120" s="3" t="s">
        <v>14</v>
      </c>
      <c r="C1120" s="80">
        <v>39436</v>
      </c>
      <c r="D1120" s="63">
        <v>0.4203001965</v>
      </c>
      <c r="E1120" s="81">
        <v>39584</v>
      </c>
      <c r="F1120" s="81">
        <v>39436</v>
      </c>
      <c r="G1120" s="10">
        <f>IF(Tabela4[[#This Row],[Tipo]]="Dividendo",Tabela4[[#This Row],[Valor]],IF(Tabela4[[#This Row],[Tipo]]="Jrs. Cap. Próprio",Tabela4[[#This Row],[Valor]]*85%,0))</f>
        <v>0.35725516702499999</v>
      </c>
    </row>
    <row r="1121" spans="1:7" x14ac:dyDescent="0.2">
      <c r="A1121" s="4" t="s">
        <v>4</v>
      </c>
      <c r="B1121" s="3" t="s">
        <v>15</v>
      </c>
      <c r="C1121" s="80">
        <v>39318</v>
      </c>
      <c r="D1121" s="63">
        <v>3.0246670727499998</v>
      </c>
      <c r="E1121" s="81">
        <v>39328</v>
      </c>
      <c r="F1121" s="81">
        <v>39304</v>
      </c>
      <c r="G1121" s="10">
        <f>IF(Tabela4[[#This Row],[Tipo]]="Dividendo",Tabela4[[#This Row],[Valor]],IF(Tabela4[[#This Row],[Tipo]]="Jrs. Cap. Próprio",Tabela4[[#This Row],[Valor]]*85%,0))</f>
        <v>3.0246670727499998</v>
      </c>
    </row>
    <row r="1122" spans="1:7" x14ac:dyDescent="0.2">
      <c r="A1122" s="4" t="s">
        <v>4</v>
      </c>
      <c r="B1122" s="3" t="s">
        <v>15</v>
      </c>
      <c r="C1122" s="80">
        <v>39191</v>
      </c>
      <c r="D1122" s="63">
        <v>0.81</v>
      </c>
      <c r="E1122" s="81">
        <v>39205</v>
      </c>
      <c r="F1122" s="81">
        <v>39181</v>
      </c>
      <c r="G1122" s="10">
        <f>IF(Tabela4[[#This Row],[Tipo]]="Dividendo",Tabela4[[#This Row],[Valor]],IF(Tabela4[[#This Row],[Tipo]]="Jrs. Cap. Próprio",Tabela4[[#This Row],[Valor]]*85%,0))</f>
        <v>0.81</v>
      </c>
    </row>
    <row r="1123" spans="1:7" x14ac:dyDescent="0.2">
      <c r="A1123" s="35" t="s">
        <v>89</v>
      </c>
      <c r="B1123" s="35" t="s">
        <v>15</v>
      </c>
      <c r="C1123" s="36">
        <v>41374</v>
      </c>
      <c r="D1123" s="38">
        <v>0.50429999999999997</v>
      </c>
      <c r="E1123" s="37"/>
      <c r="F1123" s="37">
        <v>41374</v>
      </c>
      <c r="G1123" s="38">
        <f>IF(Tabela4[[#This Row],[Tipo]]="Dividendo",Tabela4[[#This Row],[Valor]],IF(Tabela4[[#This Row],[Tipo]]="Jrs. Cap. Próprio",Tabela4[[#This Row],[Valor]]*85%,0))</f>
        <v>0.50429999999999997</v>
      </c>
    </row>
    <row r="1124" spans="1:7" x14ac:dyDescent="0.2">
      <c r="A1124" s="35" t="s">
        <v>89</v>
      </c>
      <c r="B1124" s="31" t="s">
        <v>14</v>
      </c>
      <c r="C1124" s="32">
        <v>41269</v>
      </c>
      <c r="D1124" s="34">
        <v>0.2742</v>
      </c>
      <c r="E1124" s="33">
        <v>41442</v>
      </c>
      <c r="F1124" s="33">
        <v>41269</v>
      </c>
      <c r="G1124" s="34">
        <f>IF(Tabela4[[#This Row],[Tipo]]="Dividendo",Tabela4[[#This Row],[Valor]],IF(Tabela4[[#This Row],[Tipo]]="Jrs. Cap. Próprio",Tabela4[[#This Row],[Valor]]*85%,0))</f>
        <v>0.23307</v>
      </c>
    </row>
    <row r="1125" spans="1:7" x14ac:dyDescent="0.2">
      <c r="A1125" s="35" t="s">
        <v>89</v>
      </c>
      <c r="B1125" s="31" t="s">
        <v>15</v>
      </c>
      <c r="C1125" s="32">
        <v>41009</v>
      </c>
      <c r="D1125" s="34">
        <v>1.5092000000000001</v>
      </c>
      <c r="E1125" s="33">
        <v>41065</v>
      </c>
      <c r="F1125" s="33">
        <v>41009</v>
      </c>
      <c r="G1125" s="34">
        <f>IF(Tabela4[[#This Row],[Tipo]]="Dividendo",Tabela4[[#This Row],[Valor]],IF(Tabela4[[#This Row],[Tipo]]="Jrs. Cap. Próprio",Tabela4[[#This Row],[Valor]]*85%,0))</f>
        <v>1.5092000000000001</v>
      </c>
    </row>
    <row r="1126" spans="1:7" x14ac:dyDescent="0.2">
      <c r="A1126" s="35" t="s">
        <v>89</v>
      </c>
      <c r="B1126" s="31" t="s">
        <v>14</v>
      </c>
      <c r="C1126" s="32">
        <v>40890</v>
      </c>
      <c r="D1126" s="34">
        <v>0.82640000000000002</v>
      </c>
      <c r="E1126" s="33">
        <v>41065</v>
      </c>
      <c r="F1126" s="33">
        <v>40889</v>
      </c>
      <c r="G1126" s="34">
        <f>IF(Tabela4[[#This Row],[Tipo]]="Dividendo",Tabela4[[#This Row],[Valor]],IF(Tabela4[[#This Row],[Tipo]]="Jrs. Cap. Próprio",Tabela4[[#This Row],[Valor]]*85%,0))</f>
        <v>0.70243999999999995</v>
      </c>
    </row>
    <row r="1127" spans="1:7" x14ac:dyDescent="0.2">
      <c r="A1127" s="35" t="s">
        <v>89</v>
      </c>
      <c r="B1127" s="31" t="s">
        <v>15</v>
      </c>
      <c r="C1127" s="32">
        <v>40640</v>
      </c>
      <c r="D1127" s="34">
        <v>1.5557000000000001</v>
      </c>
      <c r="E1127" s="33">
        <v>40689</v>
      </c>
      <c r="F1127" s="33">
        <v>40640</v>
      </c>
      <c r="G1127" s="34">
        <f>IF(Tabela4[[#This Row],[Tipo]]="Dividendo",Tabela4[[#This Row],[Valor]],IF(Tabela4[[#This Row],[Tipo]]="Jrs. Cap. Próprio",Tabela4[[#This Row],[Valor]]*85%,0))</f>
        <v>1.5557000000000001</v>
      </c>
    </row>
    <row r="1128" spans="1:7" x14ac:dyDescent="0.2">
      <c r="A1128" s="35" t="s">
        <v>89</v>
      </c>
      <c r="B1128" s="31" t="s">
        <v>14</v>
      </c>
      <c r="C1128" s="32">
        <v>40535</v>
      </c>
      <c r="D1128" s="34">
        <v>0.66869999999999996</v>
      </c>
      <c r="E1128" s="33">
        <v>40689</v>
      </c>
      <c r="F1128" s="33">
        <v>40534</v>
      </c>
      <c r="G1128" s="34">
        <f>IF(Tabela4[[#This Row],[Tipo]]="Dividendo",Tabela4[[#This Row],[Valor]],IF(Tabela4[[#This Row],[Tipo]]="Jrs. Cap. Próprio",Tabela4[[#This Row],[Valor]]*85%,0))</f>
        <v>0.56839499999999998</v>
      </c>
    </row>
    <row r="1129" spans="1:7" x14ac:dyDescent="0.2">
      <c r="A1129" s="35" t="s">
        <v>89</v>
      </c>
      <c r="B1129" s="31" t="s">
        <v>15</v>
      </c>
      <c r="C1129" s="32">
        <v>40277</v>
      </c>
      <c r="D1129" s="34">
        <v>1.8692</v>
      </c>
      <c r="E1129" s="33">
        <v>40315</v>
      </c>
      <c r="F1129" s="33">
        <v>40277</v>
      </c>
      <c r="G1129" s="34">
        <f>IF(Tabela4[[#This Row],[Tipo]]="Dividendo",Tabela4[[#This Row],[Valor]],IF(Tabela4[[#This Row],[Tipo]]="Jrs. Cap. Próprio",Tabela4[[#This Row],[Valor]]*85%,0))</f>
        <v>1.8692</v>
      </c>
    </row>
    <row r="1130" spans="1:7" x14ac:dyDescent="0.2">
      <c r="A1130" s="35" t="s">
        <v>89</v>
      </c>
      <c r="B1130" s="31" t="s">
        <v>15</v>
      </c>
      <c r="C1130" s="32">
        <v>39911</v>
      </c>
      <c r="D1130" s="34">
        <v>0.93840000000000001</v>
      </c>
      <c r="E1130" s="33">
        <v>39969</v>
      </c>
      <c r="F1130" s="33">
        <v>39911</v>
      </c>
      <c r="G1130" s="34">
        <f>IF(Tabela4[[#This Row],[Tipo]]="Dividendo",Tabela4[[#This Row],[Valor]],IF(Tabela4[[#This Row],[Tipo]]="Jrs. Cap. Próprio",Tabela4[[#This Row],[Valor]]*85%,0))</f>
        <v>0.93840000000000001</v>
      </c>
    </row>
    <row r="1131" spans="1:7" x14ac:dyDescent="0.2">
      <c r="A1131" s="35" t="s">
        <v>89</v>
      </c>
      <c r="B1131" s="31" t="s">
        <v>14</v>
      </c>
      <c r="C1131" s="32">
        <v>39812</v>
      </c>
      <c r="D1131" s="34">
        <v>0.72060000000000002</v>
      </c>
      <c r="E1131" s="33">
        <v>39969</v>
      </c>
      <c r="F1131" s="33">
        <v>39805</v>
      </c>
      <c r="G1131" s="34">
        <f>IF(Tabela4[[#This Row],[Tipo]]="Dividendo",Tabela4[[#This Row],[Valor]],IF(Tabela4[[#This Row],[Tipo]]="Jrs. Cap. Próprio",Tabela4[[#This Row],[Valor]]*85%,0))</f>
        <v>0.61251</v>
      </c>
    </row>
    <row r="1132" spans="1:7" x14ac:dyDescent="0.2">
      <c r="A1132" s="35" t="s">
        <v>89</v>
      </c>
      <c r="B1132" s="31" t="s">
        <v>15</v>
      </c>
      <c r="C1132" s="32">
        <v>39512</v>
      </c>
      <c r="D1132" s="34">
        <v>0.54500000000000004</v>
      </c>
      <c r="E1132" s="33">
        <v>39581</v>
      </c>
      <c r="F1132" s="33">
        <v>39512</v>
      </c>
      <c r="G1132" s="34">
        <f>IF(Tabela4[[#This Row],[Tipo]]="Dividendo",Tabela4[[#This Row],[Valor]],IF(Tabela4[[#This Row],[Tipo]]="Jrs. Cap. Próprio",Tabela4[[#This Row],[Valor]]*85%,0))</f>
        <v>0.54500000000000004</v>
      </c>
    </row>
    <row r="1133" spans="1:7" x14ac:dyDescent="0.2">
      <c r="A1133" s="35" t="s">
        <v>89</v>
      </c>
      <c r="B1133" s="31" t="s">
        <v>14</v>
      </c>
      <c r="C1133" s="32">
        <v>39444</v>
      </c>
      <c r="D1133" s="34">
        <v>0.72670000000000001</v>
      </c>
      <c r="E1133" s="33">
        <v>39581</v>
      </c>
      <c r="F1133" s="33">
        <v>39434</v>
      </c>
      <c r="G1133" s="34">
        <f>IF(Tabela4[[#This Row],[Tipo]]="Dividendo",Tabela4[[#This Row],[Valor]],IF(Tabela4[[#This Row],[Tipo]]="Jrs. Cap. Próprio",Tabela4[[#This Row],[Valor]]*85%,0))</f>
        <v>0.61769499999999999</v>
      </c>
    </row>
    <row r="1134" spans="1:7" x14ac:dyDescent="0.2">
      <c r="A1134" s="35" t="s">
        <v>89</v>
      </c>
      <c r="B1134" s="31" t="s">
        <v>14</v>
      </c>
      <c r="C1134" s="32">
        <v>39079</v>
      </c>
      <c r="D1134" s="34">
        <v>1.0297000000000001</v>
      </c>
      <c r="E1134" s="33">
        <v>39205</v>
      </c>
      <c r="F1134" s="33">
        <v>39072</v>
      </c>
      <c r="G1134" s="34">
        <f>IF(Tabela4[[#This Row],[Tipo]]="Dividendo",Tabela4[[#This Row],[Valor]],IF(Tabela4[[#This Row],[Tipo]]="Jrs. Cap. Próprio",Tabela4[[#This Row],[Valor]]*85%,0))</f>
        <v>0.87524500000000005</v>
      </c>
    </row>
    <row r="1135" spans="1:7" x14ac:dyDescent="0.2">
      <c r="A1135" s="35" t="s">
        <v>89</v>
      </c>
      <c r="B1135" s="31" t="s">
        <v>15</v>
      </c>
      <c r="C1135" s="32">
        <v>38804</v>
      </c>
      <c r="D1135" s="34">
        <v>0.33439999999999998</v>
      </c>
      <c r="E1135" s="33">
        <v>38824</v>
      </c>
      <c r="F1135" s="33">
        <v>38804</v>
      </c>
      <c r="G1135" s="34">
        <f>IF(Tabela4[[#This Row],[Tipo]]="Dividendo",Tabela4[[#This Row],[Valor]],IF(Tabela4[[#This Row],[Tipo]]="Jrs. Cap. Próprio",Tabela4[[#This Row],[Valor]]*85%,0))</f>
        <v>0.33439999999999998</v>
      </c>
    </row>
    <row r="1136" spans="1:7" x14ac:dyDescent="0.2">
      <c r="A1136" s="35" t="s">
        <v>89</v>
      </c>
      <c r="B1136" s="31" t="s">
        <v>14</v>
      </c>
      <c r="C1136" s="32">
        <v>38715</v>
      </c>
      <c r="D1136" s="34">
        <v>0.58209999999999995</v>
      </c>
      <c r="E1136" s="33"/>
      <c r="F1136" s="33">
        <v>38714</v>
      </c>
      <c r="G1136" s="34">
        <f>IF(Tabela4[[#This Row],[Tipo]]="Dividendo",Tabela4[[#This Row],[Valor]],IF(Tabela4[[#This Row],[Tipo]]="Jrs. Cap. Próprio",Tabela4[[#This Row],[Valor]]*85%,0))</f>
        <v>0.49478499999999992</v>
      </c>
    </row>
    <row r="1137" spans="1:7" x14ac:dyDescent="0.2">
      <c r="A1137" s="4" t="s">
        <v>210</v>
      </c>
      <c r="B1137" s="4" t="s">
        <v>15</v>
      </c>
      <c r="C1137" s="19">
        <v>41495</v>
      </c>
      <c r="D1137" s="3">
        <v>2.3300000000000001E-2</v>
      </c>
      <c r="E1137" s="68">
        <v>41507</v>
      </c>
      <c r="F1137" s="68">
        <v>41494</v>
      </c>
      <c r="G1137" s="14">
        <f>IF(Tabela4[[#This Row],[Tipo]]="Dividendo",Tabela4[[#This Row],[Valor]],IF(Tabela4[[#This Row],[Tipo]]="Jrs. Cap. Próprio",Tabela4[[#This Row],[Valor]]*85%,0))</f>
        <v>2.3300000000000001E-2</v>
      </c>
    </row>
    <row r="1138" spans="1:7" x14ac:dyDescent="0.2">
      <c r="A1138" s="4" t="s">
        <v>210</v>
      </c>
      <c r="B1138" s="3" t="s">
        <v>15</v>
      </c>
      <c r="C1138" s="80">
        <v>41418</v>
      </c>
      <c r="D1138" s="3">
        <v>3.27E-2</v>
      </c>
      <c r="E1138" s="81">
        <v>41428</v>
      </c>
      <c r="F1138" s="81">
        <v>41418</v>
      </c>
      <c r="G1138" s="10">
        <f>IF(Tabela4[[#This Row],[Tipo]]="Dividendo",Tabela4[[#This Row],[Valor]],IF(Tabela4[[#This Row],[Tipo]]="Jrs. Cap. Próprio",Tabela4[[#This Row],[Valor]]*85%,0))</f>
        <v>3.27E-2</v>
      </c>
    </row>
    <row r="1139" spans="1:7" x14ac:dyDescent="0.2">
      <c r="A1139" s="4" t="s">
        <v>210</v>
      </c>
      <c r="B1139" s="3" t="s">
        <v>15</v>
      </c>
      <c r="C1139" s="80">
        <v>41304</v>
      </c>
      <c r="D1139" s="3">
        <v>0.10299999999999999</v>
      </c>
      <c r="E1139" s="81">
        <v>41312</v>
      </c>
      <c r="F1139" s="81">
        <v>41303</v>
      </c>
      <c r="G1139" s="10">
        <f>IF(Tabela4[[#This Row],[Tipo]]="Dividendo",Tabela4[[#This Row],[Valor]],IF(Tabela4[[#This Row],[Tipo]]="Jrs. Cap. Próprio",Tabela4[[#This Row],[Valor]]*85%,0))</f>
        <v>0.10299999999999999</v>
      </c>
    </row>
    <row r="1140" spans="1:7" x14ac:dyDescent="0.2">
      <c r="A1140" s="4" t="s">
        <v>210</v>
      </c>
      <c r="B1140" s="3" t="s">
        <v>15</v>
      </c>
      <c r="C1140" s="80">
        <v>41130</v>
      </c>
      <c r="D1140" s="3">
        <v>5.6000000000000001E-2</v>
      </c>
      <c r="E1140" s="81">
        <v>41141</v>
      </c>
      <c r="F1140" s="81">
        <v>41130</v>
      </c>
      <c r="G1140" s="10">
        <f>IF(Tabela4[[#This Row],[Tipo]]="Dividendo",Tabela4[[#This Row],[Valor]],IF(Tabela4[[#This Row],[Tipo]]="Jrs. Cap. Próprio",Tabela4[[#This Row],[Valor]]*85%,0))</f>
        <v>5.6000000000000001E-2</v>
      </c>
    </row>
    <row r="1141" spans="1:7" x14ac:dyDescent="0.2">
      <c r="A1141" s="4" t="s">
        <v>210</v>
      </c>
      <c r="B1141" s="3" t="s">
        <v>15</v>
      </c>
      <c r="C1141" s="80">
        <v>40989</v>
      </c>
      <c r="D1141" s="3">
        <v>0.04</v>
      </c>
      <c r="E1141" s="81">
        <v>41003</v>
      </c>
      <c r="F1141" s="81">
        <v>40976</v>
      </c>
      <c r="G1141" s="10">
        <f>IF(Tabela4[[#This Row],[Tipo]]="Dividendo",Tabela4[[#This Row],[Valor]],IF(Tabela4[[#This Row],[Tipo]]="Jrs. Cap. Próprio",Tabela4[[#This Row],[Valor]]*85%,0))</f>
        <v>0.04</v>
      </c>
    </row>
    <row r="1142" spans="1:7" x14ac:dyDescent="0.2">
      <c r="A1142" s="4" t="s">
        <v>210</v>
      </c>
      <c r="B1142" s="3" t="s">
        <v>15</v>
      </c>
      <c r="C1142" s="80">
        <v>40774</v>
      </c>
      <c r="D1142" s="3">
        <v>5.6000000000000001E-2</v>
      </c>
      <c r="E1142" s="81">
        <v>40788</v>
      </c>
      <c r="F1142" s="81">
        <v>40765</v>
      </c>
      <c r="G1142" s="10">
        <f>IF(Tabela4[[#This Row],[Tipo]]="Dividendo",Tabela4[[#This Row],[Valor]],IF(Tabela4[[#This Row],[Tipo]]="Jrs. Cap. Próprio",Tabela4[[#This Row],[Valor]]*85%,0))</f>
        <v>5.6000000000000001E-2</v>
      </c>
    </row>
    <row r="1143" spans="1:7" x14ac:dyDescent="0.2">
      <c r="A1143" s="4" t="s">
        <v>210</v>
      </c>
      <c r="B1143" s="3" t="s">
        <v>15</v>
      </c>
      <c r="C1143" s="80">
        <v>40604</v>
      </c>
      <c r="D1143" s="3">
        <v>3.3000000000000002E-2</v>
      </c>
      <c r="E1143" s="81">
        <v>40617</v>
      </c>
      <c r="F1143" s="81">
        <v>40598</v>
      </c>
      <c r="G1143" s="10">
        <f>IF(Tabela4[[#This Row],[Tipo]]="Dividendo",Tabela4[[#This Row],[Valor]],IF(Tabela4[[#This Row],[Tipo]]="Jrs. Cap. Próprio",Tabela4[[#This Row],[Valor]]*85%,0))</f>
        <v>3.3000000000000002E-2</v>
      </c>
    </row>
    <row r="1144" spans="1:7" x14ac:dyDescent="0.2">
      <c r="A1144" s="4" t="s">
        <v>210</v>
      </c>
      <c r="B1144" s="3" t="s">
        <v>15</v>
      </c>
      <c r="C1144" s="80">
        <v>40438</v>
      </c>
      <c r="D1144" s="3">
        <v>5.6000000000000001E-2</v>
      </c>
      <c r="E1144" s="81">
        <v>40449</v>
      </c>
      <c r="F1144" s="81">
        <v>40436</v>
      </c>
      <c r="G1144" s="10">
        <f>IF(Tabela4[[#This Row],[Tipo]]="Dividendo",Tabela4[[#This Row],[Valor]],IF(Tabela4[[#This Row],[Tipo]]="Jrs. Cap. Próprio",Tabela4[[#This Row],[Valor]]*85%,0))</f>
        <v>5.6000000000000001E-2</v>
      </c>
    </row>
    <row r="1145" spans="1:7" x14ac:dyDescent="0.2">
      <c r="A1145" s="4" t="s">
        <v>210</v>
      </c>
      <c r="B1145" s="3" t="s">
        <v>15</v>
      </c>
      <c r="C1145" s="80">
        <v>40248</v>
      </c>
      <c r="D1145" s="3">
        <v>3.3000000000000002E-2</v>
      </c>
      <c r="E1145" s="81">
        <v>40259</v>
      </c>
      <c r="F1145" s="81">
        <v>40246</v>
      </c>
      <c r="G1145" s="10">
        <f>IF(Tabela4[[#This Row],[Tipo]]="Dividendo",Tabela4[[#This Row],[Valor]],IF(Tabela4[[#This Row],[Tipo]]="Jrs. Cap. Próprio",Tabela4[[#This Row],[Valor]]*85%,0))</f>
        <v>3.3000000000000002E-2</v>
      </c>
    </row>
    <row r="1146" spans="1:7" x14ac:dyDescent="0.2">
      <c r="A1146" s="4" t="s">
        <v>210</v>
      </c>
      <c r="B1146" s="3" t="s">
        <v>15</v>
      </c>
      <c r="C1146" s="80">
        <v>40108</v>
      </c>
      <c r="D1146" s="3">
        <v>0.08</v>
      </c>
      <c r="E1146" s="81">
        <v>40115</v>
      </c>
      <c r="F1146" s="81">
        <v>40108</v>
      </c>
      <c r="G1146" s="10">
        <f>IF(Tabela4[[#This Row],[Tipo]]="Dividendo",Tabela4[[#This Row],[Valor]],IF(Tabela4[[#This Row],[Tipo]]="Jrs. Cap. Próprio",Tabela4[[#This Row],[Valor]]*85%,0))</f>
        <v>0.08</v>
      </c>
    </row>
    <row r="1147" spans="1:7" x14ac:dyDescent="0.2">
      <c r="A1147" s="4" t="s">
        <v>210</v>
      </c>
      <c r="B1147" s="3" t="s">
        <v>15</v>
      </c>
      <c r="C1147" s="80">
        <v>39695</v>
      </c>
      <c r="D1147" s="3">
        <v>0.28599999999999998</v>
      </c>
      <c r="E1147" s="81">
        <v>39716</v>
      </c>
      <c r="F1147" s="81">
        <v>39687</v>
      </c>
      <c r="G1147" s="10">
        <f>IF(Tabela4[[#This Row],[Tipo]]="Dividendo",Tabela4[[#This Row],[Valor]],IF(Tabela4[[#This Row],[Tipo]]="Jrs. Cap. Próprio",Tabela4[[#This Row],[Valor]]*85%,0))</f>
        <v>0.28599999999999998</v>
      </c>
    </row>
    <row r="1148" spans="1:7" x14ac:dyDescent="0.2">
      <c r="A1148" s="4" t="s">
        <v>210</v>
      </c>
      <c r="B1148" s="3" t="s">
        <v>15</v>
      </c>
      <c r="C1148" s="80">
        <v>39520</v>
      </c>
      <c r="D1148" s="3">
        <v>0.44</v>
      </c>
      <c r="E1148" s="81">
        <v>39531</v>
      </c>
      <c r="F1148" s="81">
        <v>39519</v>
      </c>
      <c r="G1148" s="10">
        <f>IF(Tabela4[[#This Row],[Tipo]]="Dividendo",Tabela4[[#This Row],[Valor]],IF(Tabela4[[#This Row],[Tipo]]="Jrs. Cap. Próprio",Tabela4[[#This Row],[Valor]]*85%,0))</f>
        <v>0.44</v>
      </c>
    </row>
    <row r="1149" spans="1:7" x14ac:dyDescent="0.2">
      <c r="A1149" s="4" t="s">
        <v>210</v>
      </c>
      <c r="B1149" s="3" t="s">
        <v>15</v>
      </c>
      <c r="C1149" s="80">
        <v>39317</v>
      </c>
      <c r="D1149" s="3">
        <v>0.33</v>
      </c>
      <c r="E1149" s="81">
        <v>39336</v>
      </c>
      <c r="F1149" s="81">
        <v>39315</v>
      </c>
      <c r="G1149" s="10">
        <f>IF(Tabela4[[#This Row],[Tipo]]="Dividendo",Tabela4[[#This Row],[Valor]],IF(Tabela4[[#This Row],[Tipo]]="Jrs. Cap. Próprio",Tabela4[[#This Row],[Valor]]*85%,0))</f>
        <v>0.33</v>
      </c>
    </row>
    <row r="1150" spans="1:7" x14ac:dyDescent="0.2">
      <c r="A1150" s="35" t="s">
        <v>97</v>
      </c>
      <c r="B1150" s="35" t="s">
        <v>15</v>
      </c>
      <c r="C1150" s="36">
        <v>41394</v>
      </c>
      <c r="D1150" s="38">
        <v>0.17</v>
      </c>
      <c r="E1150" s="37">
        <v>41621</v>
      </c>
      <c r="F1150" s="37">
        <v>41394</v>
      </c>
      <c r="G1150" s="38">
        <f>IF(Tabela4[[#This Row],[Tipo]]="Dividendo",Tabela4[[#This Row],[Valor]],IF(Tabela4[[#This Row],[Tipo]]="Jrs. Cap. Próprio",Tabela4[[#This Row],[Valor]]*85%,0))</f>
        <v>0.17</v>
      </c>
    </row>
    <row r="1151" spans="1:7" x14ac:dyDescent="0.2">
      <c r="A1151" s="35" t="s">
        <v>97</v>
      </c>
      <c r="B1151" s="31" t="s">
        <v>15</v>
      </c>
      <c r="C1151" s="32">
        <v>40987</v>
      </c>
      <c r="D1151" s="34">
        <v>0.46</v>
      </c>
      <c r="E1151" s="33">
        <v>41261</v>
      </c>
      <c r="F1151" s="33">
        <v>40987</v>
      </c>
      <c r="G1151" s="34">
        <f>IF(Tabela4[[#This Row],[Tipo]]="Dividendo",Tabela4[[#This Row],[Valor]],IF(Tabela4[[#This Row],[Tipo]]="Jrs. Cap. Próprio",Tabela4[[#This Row],[Valor]]*85%,0))</f>
        <v>0.46</v>
      </c>
    </row>
    <row r="1152" spans="1:7" x14ac:dyDescent="0.2">
      <c r="A1152" s="35" t="s">
        <v>97</v>
      </c>
      <c r="B1152" s="31" t="s">
        <v>15</v>
      </c>
      <c r="C1152" s="32">
        <v>40662</v>
      </c>
      <c r="D1152" s="34">
        <v>1.8</v>
      </c>
      <c r="E1152" s="33">
        <v>40683</v>
      </c>
      <c r="F1152" s="33">
        <v>40662</v>
      </c>
      <c r="G1152" s="34">
        <f>IF(Tabela4[[#This Row],[Tipo]]="Dividendo",Tabela4[[#This Row],[Valor]],IF(Tabela4[[#This Row],[Tipo]]="Jrs. Cap. Próprio",Tabela4[[#This Row],[Valor]]*85%,0))</f>
        <v>1.8</v>
      </c>
    </row>
    <row r="1153" spans="1:7" x14ac:dyDescent="0.2">
      <c r="A1153" s="35" t="s">
        <v>97</v>
      </c>
      <c r="B1153" s="31" t="s">
        <v>15</v>
      </c>
      <c r="C1153" s="32">
        <v>40297</v>
      </c>
      <c r="D1153" s="34">
        <v>0.4</v>
      </c>
      <c r="E1153" s="33">
        <v>40315</v>
      </c>
      <c r="F1153" s="33">
        <v>40297</v>
      </c>
      <c r="G1153" s="34">
        <f>IF(Tabela4[[#This Row],[Tipo]]="Dividendo",Tabela4[[#This Row],[Valor]],IF(Tabela4[[#This Row],[Tipo]]="Jrs. Cap. Próprio",Tabela4[[#This Row],[Valor]]*85%,0))</f>
        <v>0.4</v>
      </c>
    </row>
    <row r="1154" spans="1:7" x14ac:dyDescent="0.2">
      <c r="A1154" s="35" t="s">
        <v>97</v>
      </c>
      <c r="B1154" s="31" t="s">
        <v>14</v>
      </c>
      <c r="C1154" s="32">
        <v>40175</v>
      </c>
      <c r="D1154" s="34">
        <v>7.0000000000000007E-2</v>
      </c>
      <c r="E1154" s="33">
        <v>40315</v>
      </c>
      <c r="F1154" s="33">
        <v>40170</v>
      </c>
      <c r="G1154" s="34">
        <f>IF(Tabela4[[#This Row],[Tipo]]="Dividendo",Tabela4[[#This Row],[Valor]],IF(Tabela4[[#This Row],[Tipo]]="Jrs. Cap. Próprio",Tabela4[[#This Row],[Valor]]*85%,0))</f>
        <v>5.9500000000000004E-2</v>
      </c>
    </row>
    <row r="1155" spans="1:7" x14ac:dyDescent="0.2">
      <c r="A1155" s="35" t="s">
        <v>97</v>
      </c>
      <c r="B1155" s="31" t="s">
        <v>52</v>
      </c>
      <c r="C1155" s="32">
        <v>39955</v>
      </c>
      <c r="D1155" s="34">
        <v>0.77780000000000005</v>
      </c>
      <c r="E1155" s="33">
        <v>39968</v>
      </c>
      <c r="F1155" s="33">
        <v>39892</v>
      </c>
      <c r="G1155" s="34">
        <f>IF(Tabela4[[#This Row],[Tipo]]="Dividendo",Tabela4[[#This Row],[Valor]],IF(Tabela4[[#This Row],[Tipo]]="Jrs. Cap. Próprio",Tabela4[[#This Row],[Valor]]*85%,0))</f>
        <v>0</v>
      </c>
    </row>
    <row r="1156" spans="1:7" x14ac:dyDescent="0.2">
      <c r="A1156" s="35" t="s">
        <v>97</v>
      </c>
      <c r="B1156" s="31" t="s">
        <v>15</v>
      </c>
      <c r="C1156" s="32">
        <v>39892</v>
      </c>
      <c r="D1156" s="34">
        <v>1.7972999999999999</v>
      </c>
      <c r="E1156" s="33"/>
      <c r="F1156" s="33">
        <v>39892</v>
      </c>
      <c r="G1156" s="34">
        <f>IF(Tabela4[[#This Row],[Tipo]]="Dividendo",Tabela4[[#This Row],[Valor]],IF(Tabela4[[#This Row],[Tipo]]="Jrs. Cap. Próprio",Tabela4[[#This Row],[Valor]]*85%,0))</f>
        <v>1.7972999999999999</v>
      </c>
    </row>
    <row r="1157" spans="1:7" x14ac:dyDescent="0.2">
      <c r="A1157" s="35" t="s">
        <v>97</v>
      </c>
      <c r="B1157" s="31" t="s">
        <v>14</v>
      </c>
      <c r="C1157" s="32">
        <v>39804</v>
      </c>
      <c r="D1157" s="34">
        <v>0.1123</v>
      </c>
      <c r="E1157" s="33">
        <v>39804</v>
      </c>
      <c r="F1157" s="33">
        <v>39804</v>
      </c>
      <c r="G1157" s="34">
        <f>IF(Tabela4[[#This Row],[Tipo]]="Dividendo",Tabela4[[#This Row],[Valor]],IF(Tabela4[[#This Row],[Tipo]]="Jrs. Cap. Próprio",Tabela4[[#This Row],[Valor]]*85%,0))</f>
        <v>9.5454999999999998E-2</v>
      </c>
    </row>
    <row r="1158" spans="1:7" x14ac:dyDescent="0.2">
      <c r="A1158" s="35" t="s">
        <v>97</v>
      </c>
      <c r="B1158" s="31" t="s">
        <v>15</v>
      </c>
      <c r="C1158" s="32">
        <v>39556</v>
      </c>
      <c r="D1158" s="34">
        <v>1.2867999999999999</v>
      </c>
      <c r="E1158" s="33">
        <v>39575</v>
      </c>
      <c r="F1158" s="33">
        <v>39555</v>
      </c>
      <c r="G1158" s="34">
        <f>IF(Tabela4[[#This Row],[Tipo]]="Dividendo",Tabela4[[#This Row],[Valor]],IF(Tabela4[[#This Row],[Tipo]]="Jrs. Cap. Próprio",Tabela4[[#This Row],[Valor]]*85%,0))</f>
        <v>1.2867999999999999</v>
      </c>
    </row>
    <row r="1159" spans="1:7" x14ac:dyDescent="0.2">
      <c r="A1159" s="35" t="s">
        <v>97</v>
      </c>
      <c r="B1159" s="31" t="s">
        <v>14</v>
      </c>
      <c r="C1159" s="32">
        <v>39444</v>
      </c>
      <c r="D1159" s="34">
        <v>7.3200000000000001E-2</v>
      </c>
      <c r="E1159" s="33">
        <v>39575</v>
      </c>
      <c r="F1159" s="33">
        <v>39442</v>
      </c>
      <c r="G1159" s="34">
        <f>IF(Tabela4[[#This Row],[Tipo]]="Dividendo",Tabela4[[#This Row],[Valor]],IF(Tabela4[[#This Row],[Tipo]]="Jrs. Cap. Próprio",Tabela4[[#This Row],[Valor]]*85%,0))</f>
        <v>6.2219999999999998E-2</v>
      </c>
    </row>
    <row r="1160" spans="1:7" x14ac:dyDescent="0.2">
      <c r="A1160" s="35" t="s">
        <v>97</v>
      </c>
      <c r="B1160" s="31" t="s">
        <v>15</v>
      </c>
      <c r="C1160" s="32">
        <v>39177</v>
      </c>
      <c r="D1160" s="34">
        <v>0.54820000000000002</v>
      </c>
      <c r="E1160" s="33">
        <v>39209</v>
      </c>
      <c r="F1160" s="33">
        <v>39177</v>
      </c>
      <c r="G1160" s="34">
        <f>IF(Tabela4[[#This Row],[Tipo]]="Dividendo",Tabela4[[#This Row],[Valor]],IF(Tabela4[[#This Row],[Tipo]]="Jrs. Cap. Próprio",Tabela4[[#This Row],[Valor]]*85%,0))</f>
        <v>0.54820000000000002</v>
      </c>
    </row>
    <row r="1161" spans="1:7" x14ac:dyDescent="0.2">
      <c r="A1161" s="4" t="s">
        <v>48</v>
      </c>
      <c r="B1161" s="4" t="s">
        <v>15</v>
      </c>
      <c r="C1161" s="19">
        <v>41393</v>
      </c>
      <c r="D1161" s="55">
        <v>0.2616</v>
      </c>
      <c r="E1161" s="68">
        <v>41403</v>
      </c>
      <c r="F1161" s="68">
        <v>41393</v>
      </c>
      <c r="G1161" s="14">
        <f>IF(Tabela4[[#This Row],[Tipo]]="Dividendo",Tabela4[[#This Row],[Valor]],IF(Tabela4[[#This Row],[Tipo]]="Jrs. Cap. Próprio",Tabela4[[#This Row],[Valor]]*85%,0))</f>
        <v>0.2616</v>
      </c>
    </row>
    <row r="1162" spans="1:7" x14ac:dyDescent="0.2">
      <c r="A1162" s="3" t="s">
        <v>48</v>
      </c>
      <c r="B1162" s="3" t="s">
        <v>15</v>
      </c>
      <c r="C1162" s="80">
        <v>41017</v>
      </c>
      <c r="D1162" s="63">
        <v>0.23019999999999999</v>
      </c>
      <c r="E1162" s="81">
        <v>41029</v>
      </c>
      <c r="F1162" s="81">
        <v>41017</v>
      </c>
      <c r="G1162" s="10">
        <f>IF(Tabela4[[#This Row],[Tipo]]="Dividendo",Tabela4[[#This Row],[Valor]],IF(Tabela4[[#This Row],[Tipo]]="Jrs. Cap. Próprio",Tabela4[[#This Row],[Valor]]*85%,0))</f>
        <v>0.23019999999999999</v>
      </c>
    </row>
    <row r="1163" spans="1:7" x14ac:dyDescent="0.2">
      <c r="A1163" s="3" t="s">
        <v>48</v>
      </c>
      <c r="B1163" s="3" t="s">
        <v>15</v>
      </c>
      <c r="C1163" s="80">
        <v>40662</v>
      </c>
      <c r="D1163" s="63">
        <v>0.25700000000000001</v>
      </c>
      <c r="E1163" s="81">
        <v>40673</v>
      </c>
      <c r="F1163" s="81">
        <v>40662</v>
      </c>
      <c r="G1163" s="10">
        <f>IF(Tabela4[[#This Row],[Tipo]]="Dividendo",Tabela4[[#This Row],[Valor]],IF(Tabela4[[#This Row],[Tipo]]="Jrs. Cap. Próprio",Tabela4[[#This Row],[Valor]]*85%,0))</f>
        <v>0.25700000000000001</v>
      </c>
    </row>
    <row r="1164" spans="1:7" x14ac:dyDescent="0.2">
      <c r="A1164" s="3" t="s">
        <v>48</v>
      </c>
      <c r="B1164" s="3" t="s">
        <v>15</v>
      </c>
      <c r="C1164" s="80">
        <v>40277</v>
      </c>
      <c r="D1164" s="63">
        <v>0.1661</v>
      </c>
      <c r="E1164" s="81">
        <v>40291</v>
      </c>
      <c r="F1164" s="81">
        <v>40277</v>
      </c>
      <c r="G1164" s="10">
        <f>IF(Tabela4[[#This Row],[Tipo]]="Dividendo",Tabela4[[#This Row],[Valor]],IF(Tabela4[[#This Row],[Tipo]]="Jrs. Cap. Próprio",Tabela4[[#This Row],[Valor]]*85%,0))</f>
        <v>0.1661</v>
      </c>
    </row>
    <row r="1165" spans="1:7" x14ac:dyDescent="0.2">
      <c r="A1165" s="3" t="s">
        <v>48</v>
      </c>
      <c r="B1165" s="3" t="s">
        <v>15</v>
      </c>
      <c r="C1165" s="80">
        <v>39925</v>
      </c>
      <c r="D1165" s="63">
        <v>7.9799999999999996E-2</v>
      </c>
      <c r="E1165" s="81">
        <v>39938</v>
      </c>
      <c r="F1165" s="81">
        <v>39925</v>
      </c>
      <c r="G1165" s="10">
        <f>IF(Tabela4[[#This Row],[Tipo]]="Dividendo",Tabela4[[#This Row],[Valor]],IF(Tabela4[[#This Row],[Tipo]]="Jrs. Cap. Próprio",Tabela4[[#This Row],[Valor]]*85%,0))</f>
        <v>7.9799999999999996E-2</v>
      </c>
    </row>
    <row r="1166" spans="1:7" x14ac:dyDescent="0.2">
      <c r="A1166" s="3" t="s">
        <v>48</v>
      </c>
      <c r="B1166" s="3" t="s">
        <v>15</v>
      </c>
      <c r="C1166" s="80">
        <v>39552</v>
      </c>
      <c r="D1166" s="63">
        <v>4.9000000000000002E-2</v>
      </c>
      <c r="E1166" s="81">
        <v>39568</v>
      </c>
      <c r="F1166" s="81">
        <v>39552</v>
      </c>
      <c r="G1166" s="10">
        <f>IF(Tabela4[[#This Row],[Tipo]]="Dividendo",Tabela4[[#This Row],[Valor]],IF(Tabela4[[#This Row],[Tipo]]="Jrs. Cap. Próprio",Tabela4[[#This Row],[Valor]]*85%,0))</f>
        <v>4.9000000000000002E-2</v>
      </c>
    </row>
    <row r="1167" spans="1:7" x14ac:dyDescent="0.2">
      <c r="A1167" s="3" t="s">
        <v>301</v>
      </c>
      <c r="B1167" s="3" t="s">
        <v>14</v>
      </c>
      <c r="C1167" s="80">
        <v>41626</v>
      </c>
      <c r="D1167" s="10">
        <v>0.16170000000000001</v>
      </c>
      <c r="E1167" s="81">
        <v>41716</v>
      </c>
      <c r="F1167" s="81">
        <v>41625</v>
      </c>
      <c r="G1167" s="10">
        <f>IF(Tabela4[[#This Row],[Tipo]]="Dividendo",Tabela4[[#This Row],[Valor]],IF(Tabela4[[#This Row],[Tipo]]="Jrs. Cap. Próprio",Tabela4[[#This Row],[Valor]]*85%,0))</f>
        <v>0.13744500000000001</v>
      </c>
    </row>
    <row r="1168" spans="1:7" x14ac:dyDescent="0.2">
      <c r="A1168" s="3" t="s">
        <v>301</v>
      </c>
      <c r="B1168" s="3" t="s">
        <v>15</v>
      </c>
      <c r="C1168" s="80">
        <v>41388</v>
      </c>
      <c r="D1168" s="10">
        <v>2.24E-2</v>
      </c>
      <c r="E1168" s="81">
        <v>41402</v>
      </c>
      <c r="F1168" s="81">
        <v>41388</v>
      </c>
      <c r="G1168" s="10">
        <f>IF(Tabela4[[#This Row],[Tipo]]="Dividendo",Tabela4[[#This Row],[Valor]],IF(Tabela4[[#This Row],[Tipo]]="Jrs. Cap. Próprio",Tabela4[[#This Row],[Valor]]*85%,0))</f>
        <v>2.24E-2</v>
      </c>
    </row>
    <row r="1169" spans="1:7" x14ac:dyDescent="0.2">
      <c r="A1169" s="3" t="s">
        <v>301</v>
      </c>
      <c r="B1169" s="3" t="s">
        <v>14</v>
      </c>
      <c r="C1169" s="80">
        <v>41242</v>
      </c>
      <c r="D1169" s="10">
        <v>0.22009999999999999</v>
      </c>
      <c r="E1169" s="81">
        <v>41351</v>
      </c>
      <c r="F1169" s="81">
        <v>41242</v>
      </c>
      <c r="G1169" s="10">
        <f>IF(Tabela4[[#This Row],[Tipo]]="Dividendo",Tabela4[[#This Row],[Valor]],IF(Tabela4[[#This Row],[Tipo]]="Jrs. Cap. Próprio",Tabela4[[#This Row],[Valor]]*85%,0))</f>
        <v>0.18708499999999997</v>
      </c>
    </row>
    <row r="1170" spans="1:7" x14ac:dyDescent="0.2">
      <c r="A1170" s="3" t="s">
        <v>301</v>
      </c>
      <c r="B1170" s="3" t="s">
        <v>15</v>
      </c>
      <c r="C1170" s="80">
        <v>41023</v>
      </c>
      <c r="D1170" s="10">
        <v>1.44E-2</v>
      </c>
      <c r="E1170" s="81">
        <v>41039</v>
      </c>
      <c r="F1170" s="81">
        <v>41023</v>
      </c>
      <c r="G1170" s="10">
        <f>IF(Tabela4[[#This Row],[Tipo]]="Dividendo",Tabela4[[#This Row],[Valor]],IF(Tabela4[[#This Row],[Tipo]]="Jrs. Cap. Próprio",Tabela4[[#This Row],[Valor]]*85%,0))</f>
        <v>1.44E-2</v>
      </c>
    </row>
    <row r="1171" spans="1:7" x14ac:dyDescent="0.2">
      <c r="A1171" s="3" t="s">
        <v>301</v>
      </c>
      <c r="B1171" s="3" t="s">
        <v>14</v>
      </c>
      <c r="C1171" s="80">
        <v>40871</v>
      </c>
      <c r="D1171" s="10">
        <v>0.25419999999999998</v>
      </c>
      <c r="E1171" s="81">
        <v>40618</v>
      </c>
      <c r="F1171" s="81">
        <v>40870</v>
      </c>
      <c r="G1171" s="10">
        <f>IF(Tabela4[[#This Row],[Tipo]]="Dividendo",Tabela4[[#This Row],[Valor]],IF(Tabela4[[#This Row],[Tipo]]="Jrs. Cap. Próprio",Tabela4[[#This Row],[Valor]]*85%,0))</f>
        <v>0.21606999999999998</v>
      </c>
    </row>
    <row r="1172" spans="1:7" x14ac:dyDescent="0.2">
      <c r="A1172" s="3" t="s">
        <v>301</v>
      </c>
      <c r="B1172" s="3" t="s">
        <v>15</v>
      </c>
      <c r="C1172" s="80">
        <v>40662</v>
      </c>
      <c r="D1172" s="10">
        <v>9.11E-2</v>
      </c>
      <c r="E1172" s="81">
        <v>40679</v>
      </c>
      <c r="F1172" s="81">
        <v>40662</v>
      </c>
      <c r="G1172" s="10">
        <f>IF(Tabela4[[#This Row],[Tipo]]="Dividendo",Tabela4[[#This Row],[Valor]],IF(Tabela4[[#This Row],[Tipo]]="Jrs. Cap. Próprio",Tabela4[[#This Row],[Valor]]*85%,0))</f>
        <v>9.11E-2</v>
      </c>
    </row>
    <row r="1173" spans="1:7" x14ac:dyDescent="0.2">
      <c r="A1173" s="3" t="s">
        <v>301</v>
      </c>
      <c r="B1173" s="3" t="s">
        <v>14</v>
      </c>
      <c r="C1173" s="80">
        <v>40479</v>
      </c>
      <c r="D1173" s="10">
        <v>0.25669999999999998</v>
      </c>
      <c r="E1173" s="81">
        <v>40195</v>
      </c>
      <c r="F1173" s="81">
        <v>40479</v>
      </c>
      <c r="G1173" s="10">
        <f>IF(Tabela4[[#This Row],[Tipo]]="Dividendo",Tabela4[[#This Row],[Valor]],IF(Tabela4[[#This Row],[Tipo]]="Jrs. Cap. Próprio",Tabela4[[#This Row],[Valor]]*85%,0))</f>
        <v>0.21819499999999997</v>
      </c>
    </row>
    <row r="1174" spans="1:7" x14ac:dyDescent="0.2">
      <c r="A1174" s="3" t="s">
        <v>301</v>
      </c>
      <c r="B1174" s="3" t="s">
        <v>15</v>
      </c>
      <c r="C1174" s="80">
        <v>40291</v>
      </c>
      <c r="D1174" s="10">
        <v>8.9999999999999993E-3</v>
      </c>
      <c r="E1174" s="81">
        <v>40308</v>
      </c>
      <c r="F1174" s="81">
        <v>40291</v>
      </c>
      <c r="G1174" s="10">
        <f>IF(Tabela4[[#This Row],[Tipo]]="Dividendo",Tabela4[[#This Row],[Valor]],IF(Tabela4[[#This Row],[Tipo]]="Jrs. Cap. Próprio",Tabela4[[#This Row],[Valor]]*85%,0))</f>
        <v>8.9999999999999993E-3</v>
      </c>
    </row>
    <row r="1175" spans="1:7" x14ac:dyDescent="0.2">
      <c r="A1175" s="3" t="s">
        <v>301</v>
      </c>
      <c r="B1175" s="3" t="s">
        <v>14</v>
      </c>
      <c r="C1175" s="80">
        <v>40165</v>
      </c>
      <c r="D1175" s="10">
        <v>0.1021</v>
      </c>
      <c r="E1175" s="81">
        <v>40196</v>
      </c>
      <c r="F1175" s="81">
        <v>40165</v>
      </c>
      <c r="G1175" s="10">
        <f>IF(Tabela4[[#This Row],[Tipo]]="Dividendo",Tabela4[[#This Row],[Valor]],IF(Tabela4[[#This Row],[Tipo]]="Jrs. Cap. Próprio",Tabela4[[#This Row],[Valor]]*85%,0))</f>
        <v>8.6785000000000001E-2</v>
      </c>
    </row>
    <row r="1176" spans="1:7" x14ac:dyDescent="0.2">
      <c r="A1176" s="3" t="s">
        <v>301</v>
      </c>
      <c r="B1176" s="3" t="s">
        <v>15</v>
      </c>
      <c r="C1176" s="80">
        <v>39917</v>
      </c>
      <c r="D1176" s="10">
        <v>0.39579999999999999</v>
      </c>
      <c r="E1176" s="81">
        <v>39930</v>
      </c>
      <c r="F1176" s="81">
        <v>39917</v>
      </c>
      <c r="G1176" s="10">
        <f>IF(Tabela4[[#This Row],[Tipo]]="Dividendo",Tabela4[[#This Row],[Valor]],IF(Tabela4[[#This Row],[Tipo]]="Jrs. Cap. Próprio",Tabela4[[#This Row],[Valor]]*85%,0))</f>
        <v>0.39579999999999999</v>
      </c>
    </row>
    <row r="1177" spans="1:7" x14ac:dyDescent="0.2">
      <c r="A1177" s="3" t="s">
        <v>301</v>
      </c>
      <c r="B1177" s="3" t="s">
        <v>14</v>
      </c>
      <c r="C1177" s="80">
        <v>39673</v>
      </c>
      <c r="D1177" s="10">
        <v>0.41799999999999998</v>
      </c>
      <c r="E1177" s="81">
        <v>39689</v>
      </c>
      <c r="F1177" s="81">
        <v>39673</v>
      </c>
      <c r="G1177" s="10">
        <f>IF(Tabela4[[#This Row],[Tipo]]="Dividendo",Tabela4[[#This Row],[Valor]],IF(Tabela4[[#This Row],[Tipo]]="Jrs. Cap. Próprio",Tabela4[[#This Row],[Valor]]*85%,0))</f>
        <v>0.35529999999999995</v>
      </c>
    </row>
    <row r="1178" spans="1:7" x14ac:dyDescent="0.2">
      <c r="A1178" s="3" t="s">
        <v>301</v>
      </c>
      <c r="B1178" s="3" t="s">
        <v>15</v>
      </c>
      <c r="C1178" s="80">
        <v>39567</v>
      </c>
      <c r="D1178" s="10">
        <v>0.73260000000000003</v>
      </c>
      <c r="E1178" s="81">
        <v>39580</v>
      </c>
      <c r="F1178" s="81">
        <v>39567</v>
      </c>
      <c r="G1178" s="10">
        <f>IF(Tabela4[[#This Row],[Tipo]]="Dividendo",Tabela4[[#This Row],[Valor]],IF(Tabela4[[#This Row],[Tipo]]="Jrs. Cap. Próprio",Tabela4[[#This Row],[Valor]]*85%,0))</f>
        <v>0.73260000000000003</v>
      </c>
    </row>
    <row r="1179" spans="1:7" x14ac:dyDescent="0.2">
      <c r="A1179" s="3" t="s">
        <v>301</v>
      </c>
      <c r="B1179" s="3" t="s">
        <v>14</v>
      </c>
      <c r="C1179" s="80">
        <v>39430</v>
      </c>
      <c r="D1179" s="10">
        <v>1.056</v>
      </c>
      <c r="E1179" s="81">
        <v>39461</v>
      </c>
      <c r="F1179" s="81">
        <v>39430</v>
      </c>
      <c r="G1179" s="10">
        <f>IF(Tabela4[[#This Row],[Tipo]]="Dividendo",Tabela4[[#This Row],[Valor]],IF(Tabela4[[#This Row],[Tipo]]="Jrs. Cap. Próprio",Tabela4[[#This Row],[Valor]]*85%,0))</f>
        <v>0.89760000000000006</v>
      </c>
    </row>
    <row r="1180" spans="1:7" x14ac:dyDescent="0.2">
      <c r="A1180" s="3" t="s">
        <v>301</v>
      </c>
      <c r="B1180" s="3" t="s">
        <v>15</v>
      </c>
      <c r="C1180" s="80">
        <v>39182</v>
      </c>
      <c r="D1180" s="10">
        <v>0.38600000000000001</v>
      </c>
      <c r="E1180" s="81">
        <v>39192</v>
      </c>
      <c r="F1180" s="81">
        <v>39182</v>
      </c>
      <c r="G1180" s="10">
        <f>IF(Tabela4[[#This Row],[Tipo]]="Dividendo",Tabela4[[#This Row],[Valor]],IF(Tabela4[[#This Row],[Tipo]]="Jrs. Cap. Próprio",Tabela4[[#This Row],[Valor]]*85%,0))</f>
        <v>0.38600000000000001</v>
      </c>
    </row>
    <row r="1181" spans="1:7" x14ac:dyDescent="0.2">
      <c r="A1181" s="3" t="s">
        <v>301</v>
      </c>
      <c r="B1181" s="3" t="s">
        <v>14</v>
      </c>
      <c r="C1181" s="80">
        <v>39057</v>
      </c>
      <c r="D1181" s="10">
        <v>0.44</v>
      </c>
      <c r="E1181" s="81">
        <v>39086</v>
      </c>
      <c r="F1181" s="81">
        <v>39056</v>
      </c>
      <c r="G1181" s="10">
        <f>IF(Tabela4[[#This Row],[Tipo]]="Dividendo",Tabela4[[#This Row],[Valor]],IF(Tabela4[[#This Row],[Tipo]]="Jrs. Cap. Próprio",Tabela4[[#This Row],[Valor]]*85%,0))</f>
        <v>0.374</v>
      </c>
    </row>
    <row r="1182" spans="1:7" x14ac:dyDescent="0.2">
      <c r="A1182" s="3" t="s">
        <v>301</v>
      </c>
      <c r="B1182" s="3" t="s">
        <v>15</v>
      </c>
      <c r="C1182" s="80">
        <v>38825</v>
      </c>
      <c r="D1182" s="10">
        <v>1.06</v>
      </c>
      <c r="E1182" s="81">
        <v>38835</v>
      </c>
      <c r="F1182" s="81">
        <v>38825</v>
      </c>
      <c r="G1182" s="10">
        <f>IF(Tabela4[[#This Row],[Tipo]]="Dividendo",Tabela4[[#This Row],[Valor]],IF(Tabela4[[#This Row],[Tipo]]="Jrs. Cap. Próprio",Tabela4[[#This Row],[Valor]]*85%,0))</f>
        <v>1.06</v>
      </c>
    </row>
    <row r="1183" spans="1:7" x14ac:dyDescent="0.2">
      <c r="A1183" s="3" t="s">
        <v>301</v>
      </c>
      <c r="B1183" s="3" t="s">
        <v>15</v>
      </c>
      <c r="C1183" s="80">
        <v>38446</v>
      </c>
      <c r="D1183" s="10">
        <v>22.66</v>
      </c>
      <c r="E1183" s="81">
        <v>38457</v>
      </c>
      <c r="F1183" s="81">
        <v>38446</v>
      </c>
      <c r="G1183" s="10">
        <f>IF(Tabela4[[#This Row],[Tipo]]="Dividendo",Tabela4[[#This Row],[Valor]],IF(Tabela4[[#This Row],[Tipo]]="Jrs. Cap. Próprio",Tabela4[[#This Row],[Valor]]*85%,0))</f>
        <v>22.66</v>
      </c>
    </row>
    <row r="1184" spans="1:7" x14ac:dyDescent="0.2">
      <c r="A1184" s="3" t="s">
        <v>301</v>
      </c>
      <c r="B1184" s="3" t="s">
        <v>15</v>
      </c>
      <c r="C1184" s="80">
        <v>38079</v>
      </c>
      <c r="D1184" s="10">
        <v>18.809999999999999</v>
      </c>
      <c r="E1184" s="81">
        <v>38093</v>
      </c>
      <c r="F1184" s="81">
        <v>38079</v>
      </c>
      <c r="G1184" s="10">
        <f>IF(Tabela4[[#This Row],[Tipo]]="Dividendo",Tabela4[[#This Row],[Valor]],IF(Tabela4[[#This Row],[Tipo]]="Jrs. Cap. Próprio",Tabela4[[#This Row],[Valor]]*85%,0))</f>
        <v>18.809999999999999</v>
      </c>
    </row>
    <row r="1185" spans="1:7" x14ac:dyDescent="0.2">
      <c r="A1185" s="3" t="s">
        <v>301</v>
      </c>
      <c r="B1185" s="3" t="s">
        <v>15</v>
      </c>
      <c r="C1185" s="80">
        <v>37686</v>
      </c>
      <c r="D1185" s="10">
        <v>10.29</v>
      </c>
      <c r="E1185" s="81">
        <v>37701</v>
      </c>
      <c r="F1185" s="81">
        <v>37686</v>
      </c>
      <c r="G1185" s="10">
        <f>IF(Tabela4[[#This Row],[Tipo]]="Dividendo",Tabela4[[#This Row],[Valor]],IF(Tabela4[[#This Row],[Tipo]]="Jrs. Cap. Próprio",Tabela4[[#This Row],[Valor]]*85%,0))</f>
        <v>10.29</v>
      </c>
    </row>
    <row r="1186" spans="1:7" x14ac:dyDescent="0.2">
      <c r="A1186" s="3" t="s">
        <v>301</v>
      </c>
      <c r="B1186" s="3" t="s">
        <v>15</v>
      </c>
      <c r="C1186" s="80">
        <v>37358</v>
      </c>
      <c r="D1186" s="10">
        <v>8.9499999999999993</v>
      </c>
      <c r="E1186" s="81">
        <v>37372</v>
      </c>
      <c r="F1186" s="81">
        <v>37358</v>
      </c>
      <c r="G1186" s="10">
        <f>IF(Tabela4[[#This Row],[Tipo]]="Dividendo",Tabela4[[#This Row],[Valor]],IF(Tabela4[[#This Row],[Tipo]]="Jrs. Cap. Próprio",Tabela4[[#This Row],[Valor]]*85%,0))</f>
        <v>8.9499999999999993</v>
      </c>
    </row>
    <row r="1187" spans="1:7" x14ac:dyDescent="0.2">
      <c r="A1187" s="3" t="s">
        <v>301</v>
      </c>
      <c r="B1187" s="3" t="s">
        <v>15</v>
      </c>
      <c r="C1187" s="80">
        <v>37007</v>
      </c>
      <c r="D1187" s="10">
        <v>4.5599999999999996</v>
      </c>
      <c r="E1187" s="81">
        <v>37022</v>
      </c>
      <c r="F1187" s="81">
        <v>37007</v>
      </c>
      <c r="G1187" s="10">
        <f>IF(Tabela4[[#This Row],[Tipo]]="Dividendo",Tabela4[[#This Row],[Valor]],IF(Tabela4[[#This Row],[Tipo]]="Jrs. Cap. Próprio",Tabela4[[#This Row],[Valor]]*85%,0))</f>
        <v>4.5599999999999996</v>
      </c>
    </row>
    <row r="1188" spans="1:7" x14ac:dyDescent="0.2">
      <c r="A1188" s="3" t="s">
        <v>301</v>
      </c>
      <c r="B1188" s="3" t="s">
        <v>15</v>
      </c>
      <c r="C1188" s="80">
        <v>36643</v>
      </c>
      <c r="D1188" s="10">
        <v>2.29</v>
      </c>
      <c r="E1188" s="81">
        <v>36661</v>
      </c>
      <c r="F1188" s="81">
        <v>36643</v>
      </c>
      <c r="G1188" s="10">
        <f>IF(Tabela4[[#This Row],[Tipo]]="Dividendo",Tabela4[[#This Row],[Valor]],IF(Tabela4[[#This Row],[Tipo]]="Jrs. Cap. Próprio",Tabela4[[#This Row],[Valor]]*85%,0))</f>
        <v>2.29</v>
      </c>
    </row>
    <row r="1189" spans="1:7" x14ac:dyDescent="0.2">
      <c r="A1189" s="3" t="s">
        <v>301</v>
      </c>
      <c r="B1189" s="3" t="s">
        <v>15</v>
      </c>
      <c r="C1189" s="80">
        <v>36497</v>
      </c>
      <c r="D1189" s="10">
        <v>1.1000000000000001</v>
      </c>
      <c r="E1189" s="81">
        <v>36516</v>
      </c>
      <c r="F1189" s="81">
        <v>36497</v>
      </c>
      <c r="G1189" s="10">
        <f>IF(Tabela4[[#This Row],[Tipo]]="Dividendo",Tabela4[[#This Row],[Valor]],IF(Tabela4[[#This Row],[Tipo]]="Jrs. Cap. Próprio",Tabela4[[#This Row],[Valor]]*85%,0))</f>
        <v>1.1000000000000001</v>
      </c>
    </row>
    <row r="1190" spans="1:7" x14ac:dyDescent="0.2">
      <c r="A1190" s="3" t="s">
        <v>301</v>
      </c>
      <c r="B1190" s="3" t="s">
        <v>15</v>
      </c>
      <c r="C1190" s="80">
        <v>36280</v>
      </c>
      <c r="D1190" s="10">
        <v>0.33689999999999998</v>
      </c>
      <c r="E1190" s="81">
        <v>36308</v>
      </c>
      <c r="F1190" s="81">
        <v>36280</v>
      </c>
      <c r="G1190" s="10">
        <f>IF(Tabela4[[#This Row],[Tipo]]="Dividendo",Tabela4[[#This Row],[Valor]],IF(Tabela4[[#This Row],[Tipo]]="Jrs. Cap. Próprio",Tabela4[[#This Row],[Valor]]*85%,0))</f>
        <v>0.33689999999999998</v>
      </c>
    </row>
    <row r="1191" spans="1:7" x14ac:dyDescent="0.2">
      <c r="A1191" s="3" t="s">
        <v>301</v>
      </c>
      <c r="B1191" s="3" t="s">
        <v>15</v>
      </c>
      <c r="C1191" s="80">
        <v>35915</v>
      </c>
      <c r="D1191" s="10">
        <v>0.59</v>
      </c>
      <c r="E1191" s="81"/>
      <c r="F1191" s="81">
        <v>35915</v>
      </c>
      <c r="G1191" s="10">
        <f>IF(Tabela4[[#This Row],[Tipo]]="Dividendo",Tabela4[[#This Row],[Valor]],IF(Tabela4[[#This Row],[Tipo]]="Jrs. Cap. Próprio",Tabela4[[#This Row],[Valor]]*85%,0))</f>
        <v>0.59</v>
      </c>
    </row>
    <row r="1192" spans="1:7" x14ac:dyDescent="0.2">
      <c r="A1192" s="3" t="s">
        <v>301</v>
      </c>
      <c r="B1192" s="3" t="s">
        <v>15</v>
      </c>
      <c r="C1192" s="80">
        <v>35550</v>
      </c>
      <c r="D1192" s="10">
        <v>1.67</v>
      </c>
      <c r="E1192" s="81"/>
      <c r="F1192" s="81">
        <v>35550</v>
      </c>
      <c r="G1192" s="10">
        <f>IF(Tabela4[[#This Row],[Tipo]]="Dividendo",Tabela4[[#This Row],[Valor]],IF(Tabela4[[#This Row],[Tipo]]="Jrs. Cap. Próprio",Tabela4[[#This Row],[Valor]]*85%,0))</f>
        <v>1.67</v>
      </c>
    </row>
    <row r="1193" spans="1:7" x14ac:dyDescent="0.2">
      <c r="A1193" s="3" t="s">
        <v>301</v>
      </c>
      <c r="B1193" s="3" t="s">
        <v>15</v>
      </c>
      <c r="C1193" s="80">
        <v>35167</v>
      </c>
      <c r="D1193" s="10">
        <v>2</v>
      </c>
      <c r="E1193" s="81"/>
      <c r="F1193" s="81">
        <v>35167</v>
      </c>
      <c r="G1193" s="10">
        <f>IF(Tabela4[[#This Row],[Tipo]]="Dividendo",Tabela4[[#This Row],[Valor]],IF(Tabela4[[#This Row],[Tipo]]="Jrs. Cap. Próprio",Tabela4[[#This Row],[Valor]]*85%,0))</f>
        <v>2</v>
      </c>
    </row>
    <row r="1194" spans="1:7" x14ac:dyDescent="0.2">
      <c r="A1194" s="4" t="s">
        <v>25</v>
      </c>
      <c r="B1194" s="4" t="s">
        <v>15</v>
      </c>
      <c r="C1194" s="19">
        <v>41390</v>
      </c>
      <c r="D1194" s="55">
        <v>2.7099999999999999E-2</v>
      </c>
      <c r="E1194" s="68">
        <v>41421</v>
      </c>
      <c r="F1194" s="68">
        <v>41390</v>
      </c>
      <c r="G1194" s="14">
        <f>IF(Tabela4[[#This Row],[Tipo]]="Dividendo",Tabela4[[#This Row],[Valor]],IF(Tabela4[[#This Row],[Tipo]]="Jrs. Cap. Próprio",Tabela4[[#This Row],[Valor]]*85%,0))</f>
        <v>2.7099999999999999E-2</v>
      </c>
    </row>
    <row r="1195" spans="1:7" x14ac:dyDescent="0.2">
      <c r="A1195" s="4" t="s">
        <v>25</v>
      </c>
      <c r="B1195" s="3" t="s">
        <v>14</v>
      </c>
      <c r="C1195" s="80">
        <v>41232</v>
      </c>
      <c r="D1195" s="63">
        <v>3.2300000000000002E-2</v>
      </c>
      <c r="E1195" s="81">
        <v>41420</v>
      </c>
      <c r="F1195" s="81">
        <v>41232</v>
      </c>
      <c r="G1195" s="10">
        <f>IF(Tabela4[[#This Row],[Tipo]]="Dividendo",Tabela4[[#This Row],[Valor]],IF(Tabela4[[#This Row],[Tipo]]="Jrs. Cap. Próprio",Tabela4[[#This Row],[Valor]]*85%,0))</f>
        <v>2.7455E-2</v>
      </c>
    </row>
    <row r="1196" spans="1:7" x14ac:dyDescent="0.2">
      <c r="A1196" s="4" t="s">
        <v>25</v>
      </c>
      <c r="B1196" s="3" t="s">
        <v>15</v>
      </c>
      <c r="C1196" s="80">
        <v>41137</v>
      </c>
      <c r="D1196" s="63">
        <v>7.0000000000000007E-2</v>
      </c>
      <c r="E1196" s="81">
        <v>41234</v>
      </c>
      <c r="F1196" s="81">
        <v>41137</v>
      </c>
      <c r="G1196" s="10">
        <f>IF(Tabela4[[#This Row],[Tipo]]="Dividendo",Tabela4[[#This Row],[Valor]],IF(Tabela4[[#This Row],[Tipo]]="Jrs. Cap. Próprio",Tabela4[[#This Row],[Valor]]*85%,0))</f>
        <v>7.0000000000000007E-2</v>
      </c>
    </row>
    <row r="1197" spans="1:7" x14ac:dyDescent="0.2">
      <c r="A1197" s="4" t="s">
        <v>25</v>
      </c>
      <c r="B1197" s="3" t="s">
        <v>14</v>
      </c>
      <c r="C1197" s="80">
        <v>40864</v>
      </c>
      <c r="D1197" s="63">
        <v>0.1</v>
      </c>
      <c r="E1197" s="81">
        <v>41001</v>
      </c>
      <c r="F1197" s="81">
        <v>40864</v>
      </c>
      <c r="G1197" s="10">
        <f>IF(Tabela4[[#This Row],[Tipo]]="Dividendo",Tabela4[[#This Row],[Valor]],IF(Tabela4[[#This Row],[Tipo]]="Jrs. Cap. Próprio",Tabela4[[#This Row],[Valor]]*85%,0))</f>
        <v>8.5000000000000006E-2</v>
      </c>
    </row>
    <row r="1198" spans="1:7" x14ac:dyDescent="0.2">
      <c r="A1198" s="4" t="s">
        <v>25</v>
      </c>
      <c r="B1198" s="3" t="s">
        <v>14</v>
      </c>
      <c r="C1198" s="80">
        <v>40765</v>
      </c>
      <c r="D1198" s="63">
        <v>0.03</v>
      </c>
      <c r="E1198" s="81">
        <v>40833</v>
      </c>
      <c r="F1198" s="81">
        <v>40765</v>
      </c>
      <c r="G1198" s="10">
        <f>IF(Tabela4[[#This Row],[Tipo]]="Dividendo",Tabela4[[#This Row],[Valor]],IF(Tabela4[[#This Row],[Tipo]]="Jrs. Cap. Próprio",Tabela4[[#This Row],[Valor]]*85%,0))</f>
        <v>2.5499999999999998E-2</v>
      </c>
    </row>
    <row r="1199" spans="1:7" x14ac:dyDescent="0.2">
      <c r="A1199" s="4" t="s">
        <v>25</v>
      </c>
      <c r="B1199" s="3" t="s">
        <v>15</v>
      </c>
      <c r="C1199" s="80">
        <v>40662</v>
      </c>
      <c r="D1199" s="63">
        <v>2E-3</v>
      </c>
      <c r="E1199" s="81">
        <v>40676</v>
      </c>
      <c r="F1199" s="81">
        <v>40662</v>
      </c>
      <c r="G1199" s="10">
        <f>IF(Tabela4[[#This Row],[Tipo]]="Dividendo",Tabela4[[#This Row],[Valor]],IF(Tabela4[[#This Row],[Tipo]]="Jrs. Cap. Próprio",Tabela4[[#This Row],[Valor]]*85%,0))</f>
        <v>2E-3</v>
      </c>
    </row>
    <row r="1200" spans="1:7" x14ac:dyDescent="0.2">
      <c r="A1200" s="4" t="s">
        <v>25</v>
      </c>
      <c r="B1200" s="3" t="s">
        <v>14</v>
      </c>
      <c r="C1200" s="80">
        <v>40499</v>
      </c>
      <c r="D1200" s="63">
        <v>0.1</v>
      </c>
      <c r="E1200" s="81">
        <v>40574</v>
      </c>
      <c r="F1200" s="81">
        <v>40499</v>
      </c>
      <c r="G1200" s="10">
        <f>IF(Tabela4[[#This Row],[Tipo]]="Dividendo",Tabela4[[#This Row],[Valor]],IF(Tabela4[[#This Row],[Tipo]]="Jrs. Cap. Próprio",Tabela4[[#This Row],[Valor]]*85%,0))</f>
        <v>8.5000000000000006E-2</v>
      </c>
    </row>
    <row r="1201" spans="1:7" x14ac:dyDescent="0.2">
      <c r="A1201" s="4" t="s">
        <v>25</v>
      </c>
      <c r="B1201" s="3" t="s">
        <v>14</v>
      </c>
      <c r="C1201" s="80">
        <v>40359</v>
      </c>
      <c r="D1201" s="63">
        <v>7.0000000000000007E-2</v>
      </c>
      <c r="E1201" s="81">
        <v>40378</v>
      </c>
      <c r="F1201" s="81">
        <v>40359</v>
      </c>
      <c r="G1201" s="10">
        <f>IF(Tabela4[[#This Row],[Tipo]]="Dividendo",Tabela4[[#This Row],[Valor]],IF(Tabela4[[#This Row],[Tipo]]="Jrs. Cap. Próprio",Tabela4[[#This Row],[Valor]]*85%,0))</f>
        <v>5.9500000000000004E-2</v>
      </c>
    </row>
    <row r="1202" spans="1:7" x14ac:dyDescent="0.2">
      <c r="A1202" s="4" t="s">
        <v>25</v>
      </c>
      <c r="B1202" s="3" t="s">
        <v>15</v>
      </c>
      <c r="C1202" s="80">
        <v>40298</v>
      </c>
      <c r="D1202" s="63">
        <v>2E-3</v>
      </c>
      <c r="E1202" s="81">
        <v>40305</v>
      </c>
      <c r="F1202" s="81">
        <v>40298</v>
      </c>
      <c r="G1202" s="10">
        <f>IF(Tabela4[[#This Row],[Tipo]]="Dividendo",Tabela4[[#This Row],[Valor]],IF(Tabela4[[#This Row],[Tipo]]="Jrs. Cap. Próprio",Tabela4[[#This Row],[Valor]]*85%,0))</f>
        <v>2E-3</v>
      </c>
    </row>
    <row r="1203" spans="1:7" x14ac:dyDescent="0.2">
      <c r="A1203" s="4" t="s">
        <v>25</v>
      </c>
      <c r="B1203" s="3" t="s">
        <v>14</v>
      </c>
      <c r="C1203" s="80">
        <v>40134</v>
      </c>
      <c r="D1203" s="63">
        <v>0.14000000000000001</v>
      </c>
      <c r="E1203" s="81">
        <v>40207</v>
      </c>
      <c r="F1203" s="81">
        <v>40134</v>
      </c>
      <c r="G1203" s="10">
        <f>IF(Tabela4[[#This Row],[Tipo]]="Dividendo",Tabela4[[#This Row],[Valor]],IF(Tabela4[[#This Row],[Tipo]]="Jrs. Cap. Próprio",Tabela4[[#This Row],[Valor]]*85%,0))</f>
        <v>0.11900000000000001</v>
      </c>
    </row>
    <row r="1204" spans="1:7" x14ac:dyDescent="0.2">
      <c r="A1204" s="4" t="s">
        <v>25</v>
      </c>
      <c r="B1204" s="3" t="s">
        <v>14</v>
      </c>
      <c r="C1204" s="80">
        <v>39778</v>
      </c>
      <c r="D1204" s="63">
        <v>0.2</v>
      </c>
      <c r="E1204" s="81">
        <v>39888</v>
      </c>
      <c r="F1204" s="81">
        <v>39778</v>
      </c>
      <c r="G1204" s="10">
        <f>IF(Tabela4[[#This Row],[Tipo]]="Dividendo",Tabela4[[#This Row],[Valor]],IF(Tabela4[[#This Row],[Tipo]]="Jrs. Cap. Próprio",Tabela4[[#This Row],[Valor]]*85%,0))</f>
        <v>0.17</v>
      </c>
    </row>
    <row r="1205" spans="1:7" x14ac:dyDescent="0.2">
      <c r="A1205" s="4" t="s">
        <v>25</v>
      </c>
      <c r="B1205" s="3" t="s">
        <v>14</v>
      </c>
      <c r="C1205" s="80">
        <v>39413</v>
      </c>
      <c r="D1205" s="63">
        <v>0.16</v>
      </c>
      <c r="E1205" s="81">
        <v>39478</v>
      </c>
      <c r="F1205" s="81">
        <v>39413</v>
      </c>
      <c r="G1205" s="10">
        <f>IF(Tabela4[[#This Row],[Tipo]]="Dividendo",Tabela4[[#This Row],[Valor]],IF(Tabela4[[#This Row],[Tipo]]="Jrs. Cap. Próprio",Tabela4[[#This Row],[Valor]]*85%,0))</f>
        <v>0.13600000000000001</v>
      </c>
    </row>
    <row r="1206" spans="1:7" x14ac:dyDescent="0.2">
      <c r="A1206" s="4" t="s">
        <v>25</v>
      </c>
      <c r="B1206" s="3" t="s">
        <v>15</v>
      </c>
      <c r="C1206" s="80">
        <v>39188</v>
      </c>
      <c r="D1206" s="63">
        <v>5.0000000000000001E-3</v>
      </c>
      <c r="E1206" s="81">
        <v>39202</v>
      </c>
      <c r="F1206" s="81">
        <v>39188</v>
      </c>
      <c r="G1206" s="10">
        <f>IF(Tabela4[[#This Row],[Tipo]]="Dividendo",Tabela4[[#This Row],[Valor]],IF(Tabela4[[#This Row],[Tipo]]="Jrs. Cap. Próprio",Tabela4[[#This Row],[Valor]]*85%,0))</f>
        <v>5.0000000000000001E-3</v>
      </c>
    </row>
    <row r="1207" spans="1:7" x14ac:dyDescent="0.2">
      <c r="A1207" s="4" t="s">
        <v>25</v>
      </c>
      <c r="B1207" s="3" t="s">
        <v>14</v>
      </c>
      <c r="C1207" s="80">
        <v>39065</v>
      </c>
      <c r="D1207" s="63">
        <v>0.1</v>
      </c>
      <c r="E1207" s="81">
        <v>39111</v>
      </c>
      <c r="F1207" s="81">
        <v>39065</v>
      </c>
      <c r="G1207" s="10">
        <f>IF(Tabela4[[#This Row],[Tipo]]="Dividendo",Tabela4[[#This Row],[Valor]],IF(Tabela4[[#This Row],[Tipo]]="Jrs. Cap. Próprio",Tabela4[[#This Row],[Valor]]*85%,0))</f>
        <v>8.5000000000000006E-2</v>
      </c>
    </row>
    <row r="1208" spans="1:7" x14ac:dyDescent="0.2">
      <c r="A1208" s="4" t="s">
        <v>25</v>
      </c>
      <c r="B1208" s="3" t="s">
        <v>15</v>
      </c>
      <c r="C1208" s="80">
        <v>38743</v>
      </c>
      <c r="D1208" s="63">
        <v>7.4099999999999999E-2</v>
      </c>
      <c r="E1208" s="81">
        <v>38751</v>
      </c>
      <c r="F1208" s="81">
        <v>38743</v>
      </c>
      <c r="G1208" s="10">
        <f>IF(Tabela4[[#This Row],[Tipo]]="Dividendo",Tabela4[[#This Row],[Valor]],IF(Tabela4[[#This Row],[Tipo]]="Jrs. Cap. Próprio",Tabela4[[#This Row],[Valor]]*85%,0))</f>
        <v>7.4099999999999999E-2</v>
      </c>
    </row>
    <row r="1209" spans="1:7" x14ac:dyDescent="0.2">
      <c r="A1209" s="4" t="s">
        <v>25</v>
      </c>
      <c r="B1209" s="3" t="s">
        <v>14</v>
      </c>
      <c r="C1209" s="80">
        <v>38308</v>
      </c>
      <c r="D1209" s="63">
        <v>0.08</v>
      </c>
      <c r="E1209" s="81">
        <v>38380</v>
      </c>
      <c r="F1209" s="81">
        <v>38308</v>
      </c>
      <c r="G1209" s="10">
        <f>IF(Tabela4[[#This Row],[Tipo]]="Dividendo",Tabela4[[#This Row],[Valor]],IF(Tabela4[[#This Row],[Tipo]]="Jrs. Cap. Próprio",Tabela4[[#This Row],[Valor]]*85%,0))</f>
        <v>6.8000000000000005E-2</v>
      </c>
    </row>
    <row r="1210" spans="1:7" x14ac:dyDescent="0.2">
      <c r="A1210" s="4" t="s">
        <v>25</v>
      </c>
      <c r="B1210" s="3" t="s">
        <v>14</v>
      </c>
      <c r="C1210" s="80">
        <v>37939</v>
      </c>
      <c r="D1210" s="63">
        <v>7.51E-2</v>
      </c>
      <c r="E1210" s="81">
        <v>38015</v>
      </c>
      <c r="F1210" s="81">
        <v>37939</v>
      </c>
      <c r="G1210" s="10">
        <f>IF(Tabela4[[#This Row],[Tipo]]="Dividendo",Tabela4[[#This Row],[Valor]],IF(Tabela4[[#This Row],[Tipo]]="Jrs. Cap. Próprio",Tabela4[[#This Row],[Valor]]*85%,0))</f>
        <v>6.3835000000000003E-2</v>
      </c>
    </row>
    <row r="1211" spans="1:7" x14ac:dyDescent="0.2">
      <c r="A1211" s="4" t="s">
        <v>25</v>
      </c>
      <c r="B1211" s="3" t="s">
        <v>15</v>
      </c>
      <c r="C1211" s="80">
        <v>37740</v>
      </c>
      <c r="D1211" s="63">
        <v>1.29E-2</v>
      </c>
      <c r="E1211" s="81">
        <v>37750</v>
      </c>
      <c r="F1211" s="81">
        <v>37740</v>
      </c>
      <c r="G1211" s="10">
        <f>IF(Tabela4[[#This Row],[Tipo]]="Dividendo",Tabela4[[#This Row],[Valor]],IF(Tabela4[[#This Row],[Tipo]]="Jrs. Cap. Próprio",Tabela4[[#This Row],[Valor]]*85%,0))</f>
        <v>1.29E-2</v>
      </c>
    </row>
    <row r="1212" spans="1:7" x14ac:dyDescent="0.2">
      <c r="A1212" s="4" t="s">
        <v>25</v>
      </c>
      <c r="B1212" s="3" t="s">
        <v>14</v>
      </c>
      <c r="C1212" s="80">
        <v>37610</v>
      </c>
      <c r="D1212" s="63">
        <v>9.4200000000000006E-2</v>
      </c>
      <c r="E1212" s="81">
        <v>37651</v>
      </c>
      <c r="F1212" s="81">
        <v>37610</v>
      </c>
      <c r="G1212" s="10">
        <f>IF(Tabela4[[#This Row],[Tipo]]="Dividendo",Tabela4[[#This Row],[Valor]],IF(Tabela4[[#This Row],[Tipo]]="Jrs. Cap. Próprio",Tabela4[[#This Row],[Valor]]*85%,0))</f>
        <v>8.0070000000000002E-2</v>
      </c>
    </row>
    <row r="1213" spans="1:7" x14ac:dyDescent="0.2">
      <c r="A1213" s="4" t="s">
        <v>25</v>
      </c>
      <c r="B1213" s="3" t="s">
        <v>14</v>
      </c>
      <c r="C1213" s="80">
        <v>37412</v>
      </c>
      <c r="D1213" s="63">
        <v>6.1600000000000002E-2</v>
      </c>
      <c r="E1213" s="81">
        <v>37421</v>
      </c>
      <c r="F1213" s="81">
        <v>37412</v>
      </c>
      <c r="G1213" s="10">
        <f>IF(Tabela4[[#This Row],[Tipo]]="Dividendo",Tabela4[[#This Row],[Valor]],IF(Tabela4[[#This Row],[Tipo]]="Jrs. Cap. Próprio",Tabela4[[#This Row],[Valor]]*85%,0))</f>
        <v>5.2360000000000004E-2</v>
      </c>
    </row>
    <row r="1214" spans="1:7" x14ac:dyDescent="0.2">
      <c r="A1214" s="4" t="s">
        <v>25</v>
      </c>
      <c r="B1214" s="3" t="s">
        <v>14</v>
      </c>
      <c r="C1214" s="80">
        <v>37238</v>
      </c>
      <c r="D1214" s="63">
        <v>9.5200000000000007E-2</v>
      </c>
      <c r="E1214" s="81">
        <v>37287</v>
      </c>
      <c r="F1214" s="81">
        <v>37238</v>
      </c>
      <c r="G1214" s="10">
        <f>IF(Tabela4[[#This Row],[Tipo]]="Dividendo",Tabela4[[#This Row],[Valor]],IF(Tabela4[[#This Row],[Tipo]]="Jrs. Cap. Próprio",Tabela4[[#This Row],[Valor]]*85%,0))</f>
        <v>8.0920000000000006E-2</v>
      </c>
    </row>
    <row r="1215" spans="1:7" x14ac:dyDescent="0.2">
      <c r="A1215" s="4" t="s">
        <v>25</v>
      </c>
      <c r="B1215" s="3" t="s">
        <v>14</v>
      </c>
      <c r="C1215" s="80">
        <v>36879</v>
      </c>
      <c r="D1215" s="63">
        <v>6.1600000000000002E-2</v>
      </c>
      <c r="E1215" s="81">
        <v>36922</v>
      </c>
      <c r="F1215" s="81">
        <v>36879</v>
      </c>
      <c r="G1215" s="10">
        <f>IF(Tabela4[[#This Row],[Tipo]]="Dividendo",Tabela4[[#This Row],[Valor]],IF(Tabela4[[#This Row],[Tipo]]="Jrs. Cap. Próprio",Tabela4[[#This Row],[Valor]]*85%,0))</f>
        <v>5.2360000000000004E-2</v>
      </c>
    </row>
    <row r="1216" spans="1:7" x14ac:dyDescent="0.2">
      <c r="A1216" s="4" t="s">
        <v>25</v>
      </c>
      <c r="B1216" s="3" t="s">
        <v>15</v>
      </c>
      <c r="C1216" s="80">
        <v>36644</v>
      </c>
      <c r="D1216" s="63">
        <v>2.5000000000000001E-3</v>
      </c>
      <c r="E1216" s="81">
        <v>36663</v>
      </c>
      <c r="F1216" s="81">
        <v>36644</v>
      </c>
      <c r="G1216" s="10">
        <f>IF(Tabela4[[#This Row],[Tipo]]="Dividendo",Tabela4[[#This Row],[Valor]],IF(Tabela4[[#This Row],[Tipo]]="Jrs. Cap. Próprio",Tabela4[[#This Row],[Valor]]*85%,0))</f>
        <v>2.5000000000000001E-3</v>
      </c>
    </row>
    <row r="1217" spans="1:7" x14ac:dyDescent="0.2">
      <c r="A1217" s="4" t="s">
        <v>25</v>
      </c>
      <c r="B1217" s="3" t="s">
        <v>14</v>
      </c>
      <c r="C1217" s="80">
        <v>36507</v>
      </c>
      <c r="D1217" s="63">
        <v>6.1600000000000002E-2</v>
      </c>
      <c r="E1217" s="81">
        <v>36544</v>
      </c>
      <c r="F1217" s="81">
        <v>36507</v>
      </c>
      <c r="G1217" s="10">
        <f>IF(Tabela4[[#This Row],[Tipo]]="Dividendo",Tabela4[[#This Row],[Valor]],IF(Tabela4[[#This Row],[Tipo]]="Jrs. Cap. Próprio",Tabela4[[#This Row],[Valor]]*85%,0))</f>
        <v>5.2360000000000004E-2</v>
      </c>
    </row>
    <row r="1218" spans="1:7" x14ac:dyDescent="0.2">
      <c r="A1218" s="4" t="s">
        <v>25</v>
      </c>
      <c r="B1218" s="3" t="s">
        <v>14</v>
      </c>
      <c r="C1218" s="80">
        <v>36150</v>
      </c>
      <c r="D1218" s="63">
        <v>6.1600000000000002E-2</v>
      </c>
      <c r="E1218" s="81">
        <v>36179</v>
      </c>
      <c r="F1218" s="81">
        <v>36150</v>
      </c>
      <c r="G1218" s="10">
        <f>IF(Tabela4[[#This Row],[Tipo]]="Dividendo",Tabela4[[#This Row],[Valor]],IF(Tabela4[[#This Row],[Tipo]]="Jrs. Cap. Próprio",Tabela4[[#This Row],[Valor]]*85%,0))</f>
        <v>5.2360000000000004E-2</v>
      </c>
    </row>
    <row r="1219" spans="1:7" x14ac:dyDescent="0.2">
      <c r="A1219" s="4" t="s">
        <v>25</v>
      </c>
      <c r="B1219" s="3" t="s">
        <v>14</v>
      </c>
      <c r="C1219" s="80">
        <v>35881</v>
      </c>
      <c r="D1219" s="63">
        <v>3.1E-2</v>
      </c>
      <c r="E1219" s="81"/>
      <c r="F1219" s="81">
        <v>35881</v>
      </c>
      <c r="G1219" s="10">
        <f>IF(Tabela4[[#This Row],[Tipo]]="Dividendo",Tabela4[[#This Row],[Valor]],IF(Tabela4[[#This Row],[Tipo]]="Jrs. Cap. Próprio",Tabela4[[#This Row],[Valor]]*85%,0))</f>
        <v>2.6349999999999998E-2</v>
      </c>
    </row>
    <row r="1220" spans="1:7" x14ac:dyDescent="0.2">
      <c r="A1220" s="4" t="s">
        <v>25</v>
      </c>
      <c r="B1220" s="3" t="s">
        <v>15</v>
      </c>
      <c r="C1220" s="80">
        <v>35550</v>
      </c>
      <c r="D1220" s="63">
        <v>5.2400000000000002E-2</v>
      </c>
      <c r="E1220" s="81"/>
      <c r="F1220" s="81">
        <v>35550</v>
      </c>
      <c r="G1220" s="10">
        <f>IF(Tabela4[[#This Row],[Tipo]]="Dividendo",Tabela4[[#This Row],[Valor]],IF(Tabela4[[#This Row],[Tipo]]="Jrs. Cap. Próprio",Tabela4[[#This Row],[Valor]]*85%,0))</f>
        <v>5.2400000000000002E-2</v>
      </c>
    </row>
    <row r="1221" spans="1:7" x14ac:dyDescent="0.2">
      <c r="A1221" s="35" t="s">
        <v>100</v>
      </c>
      <c r="B1221" s="35" t="s">
        <v>15</v>
      </c>
      <c r="C1221" s="36">
        <v>41561</v>
      </c>
      <c r="D1221" s="38">
        <v>1.9730000000000001</v>
      </c>
      <c r="E1221" s="37">
        <v>41603</v>
      </c>
      <c r="F1221" s="37">
        <v>41561</v>
      </c>
      <c r="G1221" s="38">
        <f>IF(Tabela4[[#This Row],[Tipo]]="Dividendo",Tabela4[[#This Row],[Valor]],IF(Tabela4[[#This Row],[Tipo]]="Jrs. Cap. Próprio",Tabela4[[#This Row],[Valor]]*85%,0))</f>
        <v>1.9730000000000001</v>
      </c>
    </row>
    <row r="1222" spans="1:7" x14ac:dyDescent="0.2">
      <c r="A1222" s="35" t="s">
        <v>100</v>
      </c>
      <c r="B1222" s="31" t="s">
        <v>15</v>
      </c>
      <c r="C1222" s="32">
        <v>41390</v>
      </c>
      <c r="D1222" s="34">
        <v>0.88919999999999999</v>
      </c>
      <c r="E1222" s="33">
        <v>41422</v>
      </c>
      <c r="F1222" s="33">
        <v>41390</v>
      </c>
      <c r="G1222" s="34">
        <f>IF(Tabela4[[#This Row],[Tipo]]="Dividendo",Tabela4[[#This Row],[Valor]],IF(Tabela4[[#This Row],[Tipo]]="Jrs. Cap. Próprio",Tabela4[[#This Row],[Valor]]*85%,0))</f>
        <v>0.88919999999999999</v>
      </c>
    </row>
    <row r="1223" spans="1:7" x14ac:dyDescent="0.2">
      <c r="A1223" s="35" t="s">
        <v>100</v>
      </c>
      <c r="B1223" s="31" t="s">
        <v>14</v>
      </c>
      <c r="C1223" s="32">
        <v>41264</v>
      </c>
      <c r="D1223" s="34">
        <v>0.91800000000000004</v>
      </c>
      <c r="E1223" s="33">
        <v>41333</v>
      </c>
      <c r="F1223" s="33">
        <v>41264</v>
      </c>
      <c r="G1223" s="34">
        <f>IF(Tabela4[[#This Row],[Tipo]]="Dividendo",Tabela4[[#This Row],[Valor]],IF(Tabela4[[#This Row],[Tipo]]="Jrs. Cap. Próprio",Tabela4[[#This Row],[Valor]]*85%,0))</f>
        <v>0.78029999999999999</v>
      </c>
    </row>
    <row r="1224" spans="1:7" x14ac:dyDescent="0.2">
      <c r="A1224" s="35" t="s">
        <v>100</v>
      </c>
      <c r="B1224" s="31" t="s">
        <v>15</v>
      </c>
      <c r="C1224" s="32">
        <v>41213</v>
      </c>
      <c r="D1224" s="34">
        <v>2.1901000000000002</v>
      </c>
      <c r="E1224" s="33">
        <v>41236</v>
      </c>
      <c r="F1224" s="33">
        <v>41213</v>
      </c>
      <c r="G1224" s="34">
        <f>IF(Tabela4[[#This Row],[Tipo]]="Dividendo",Tabela4[[#This Row],[Valor]],IF(Tabela4[[#This Row],[Tipo]]="Jrs. Cap. Próprio",Tabela4[[#This Row],[Valor]]*85%,0))</f>
        <v>2.1901000000000002</v>
      </c>
    </row>
    <row r="1225" spans="1:7" x14ac:dyDescent="0.2">
      <c r="A1225" s="35" t="s">
        <v>100</v>
      </c>
      <c r="B1225" s="31" t="s">
        <v>52</v>
      </c>
      <c r="C1225" s="32">
        <v>41113</v>
      </c>
      <c r="D1225" s="34">
        <v>3.1768000000000001</v>
      </c>
      <c r="E1225" s="33">
        <v>41131</v>
      </c>
      <c r="F1225" s="33">
        <v>41050</v>
      </c>
      <c r="G1225" s="34">
        <f>IF(Tabela4[[#This Row],[Tipo]]="Dividendo",Tabela4[[#This Row],[Valor]],IF(Tabela4[[#This Row],[Tipo]]="Jrs. Cap. Próprio",Tabela4[[#This Row],[Valor]]*85%,0))</f>
        <v>0</v>
      </c>
    </row>
    <row r="1226" spans="1:7" x14ac:dyDescent="0.2">
      <c r="A1226" s="35" t="s">
        <v>100</v>
      </c>
      <c r="B1226" s="31" t="s">
        <v>15</v>
      </c>
      <c r="C1226" s="32">
        <v>41026</v>
      </c>
      <c r="D1226" s="34">
        <v>0.83699999999999997</v>
      </c>
      <c r="E1226" s="33">
        <v>41059</v>
      </c>
      <c r="F1226" s="33">
        <v>41026</v>
      </c>
      <c r="G1226" s="34">
        <f>IF(Tabela4[[#This Row],[Tipo]]="Dividendo",Tabela4[[#This Row],[Valor]],IF(Tabela4[[#This Row],[Tipo]]="Jrs. Cap. Próprio",Tabela4[[#This Row],[Valor]]*85%,0))</f>
        <v>0.83699999999999997</v>
      </c>
    </row>
    <row r="1227" spans="1:7" x14ac:dyDescent="0.2">
      <c r="A1227" s="35" t="s">
        <v>100</v>
      </c>
      <c r="B1227" s="31" t="s">
        <v>14</v>
      </c>
      <c r="C1227" s="32">
        <v>40904</v>
      </c>
      <c r="D1227" s="34">
        <v>1.04</v>
      </c>
      <c r="E1227" s="33">
        <v>40967</v>
      </c>
      <c r="F1227" s="33">
        <v>40904</v>
      </c>
      <c r="G1227" s="34">
        <f>IF(Tabela4[[#This Row],[Tipo]]="Dividendo",Tabela4[[#This Row],[Valor]],IF(Tabela4[[#This Row],[Tipo]]="Jrs. Cap. Próprio",Tabela4[[#This Row],[Valor]]*85%,0))</f>
        <v>0.88400000000000001</v>
      </c>
    </row>
    <row r="1228" spans="1:7" x14ac:dyDescent="0.2">
      <c r="A1228" s="35" t="s">
        <v>100</v>
      </c>
      <c r="B1228" s="31" t="s">
        <v>15</v>
      </c>
      <c r="C1228" s="32">
        <v>40835</v>
      </c>
      <c r="D1228" s="34">
        <v>1.7358</v>
      </c>
      <c r="E1228" s="33">
        <v>40857</v>
      </c>
      <c r="F1228" s="33">
        <v>40835</v>
      </c>
      <c r="G1228" s="34">
        <f>IF(Tabela4[[#This Row],[Tipo]]="Dividendo",Tabela4[[#This Row],[Valor]],IF(Tabela4[[#This Row],[Tipo]]="Jrs. Cap. Próprio",Tabela4[[#This Row],[Valor]]*85%,0))</f>
        <v>1.7358</v>
      </c>
    </row>
    <row r="1229" spans="1:7" x14ac:dyDescent="0.2">
      <c r="A1229" s="35" t="s">
        <v>100</v>
      </c>
      <c r="B1229" s="31" t="s">
        <v>15</v>
      </c>
      <c r="C1229" s="32">
        <v>40662</v>
      </c>
      <c r="D1229" s="34">
        <v>0.76519999999999999</v>
      </c>
      <c r="E1229" s="33">
        <v>40693</v>
      </c>
      <c r="F1229" s="33">
        <v>40662</v>
      </c>
      <c r="G1229" s="34">
        <f>IF(Tabela4[[#This Row],[Tipo]]="Dividendo",Tabela4[[#This Row],[Valor]],IF(Tabela4[[#This Row],[Tipo]]="Jrs. Cap. Próprio",Tabela4[[#This Row],[Valor]]*85%,0))</f>
        <v>0.76519999999999999</v>
      </c>
    </row>
    <row r="1230" spans="1:7" x14ac:dyDescent="0.2">
      <c r="A1230" s="35" t="s">
        <v>100</v>
      </c>
      <c r="B1230" s="31" t="s">
        <v>52</v>
      </c>
      <c r="C1230" s="32">
        <v>40557</v>
      </c>
      <c r="D1230" s="34">
        <v>3.8121999999999998</v>
      </c>
      <c r="E1230" s="33">
        <v>40567</v>
      </c>
      <c r="F1230" s="33">
        <v>40493</v>
      </c>
      <c r="G1230" s="34">
        <f>IF(Tabela4[[#This Row],[Tipo]]="Dividendo",Tabela4[[#This Row],[Valor]],IF(Tabela4[[#This Row],[Tipo]]="Jrs. Cap. Próprio",Tabela4[[#This Row],[Valor]]*85%,0))</f>
        <v>0</v>
      </c>
    </row>
    <row r="1231" spans="1:7" x14ac:dyDescent="0.2">
      <c r="A1231" s="35" t="s">
        <v>100</v>
      </c>
      <c r="B1231" s="31" t="s">
        <v>14</v>
      </c>
      <c r="C1231" s="32">
        <v>40542</v>
      </c>
      <c r="D1231" s="34">
        <v>0.2</v>
      </c>
      <c r="E1231" s="33">
        <v>40557</v>
      </c>
      <c r="F1231" s="33">
        <v>40542</v>
      </c>
      <c r="G1231" s="34">
        <f>IF(Tabela4[[#This Row],[Tipo]]="Dividendo",Tabela4[[#This Row],[Valor]],IF(Tabela4[[#This Row],[Tipo]]="Jrs. Cap. Próprio",Tabela4[[#This Row],[Valor]]*85%,0))</f>
        <v>0.17</v>
      </c>
    </row>
    <row r="1232" spans="1:7" x14ac:dyDescent="0.2">
      <c r="A1232" s="35" t="s">
        <v>100</v>
      </c>
      <c r="B1232" s="31" t="s">
        <v>15</v>
      </c>
      <c r="C1232" s="32">
        <v>40480</v>
      </c>
      <c r="D1232" s="34">
        <v>1.6917</v>
      </c>
      <c r="E1232" s="33">
        <v>40494</v>
      </c>
      <c r="F1232" s="33">
        <v>40480</v>
      </c>
      <c r="G1232" s="34">
        <f>IF(Tabela4[[#This Row],[Tipo]]="Dividendo",Tabela4[[#This Row],[Valor]],IF(Tabela4[[#This Row],[Tipo]]="Jrs. Cap. Próprio",Tabela4[[#This Row],[Valor]]*85%,0))</f>
        <v>1.6917</v>
      </c>
    </row>
    <row r="1233" spans="1:7" x14ac:dyDescent="0.2">
      <c r="A1233" s="35" t="s">
        <v>100</v>
      </c>
      <c r="B1233" s="31" t="s">
        <v>15</v>
      </c>
      <c r="C1233" s="32">
        <v>40298</v>
      </c>
      <c r="D1233" s="34">
        <v>0.87719999999999998</v>
      </c>
      <c r="E1233" s="33">
        <v>40359</v>
      </c>
      <c r="F1233" s="33">
        <v>40298</v>
      </c>
      <c r="G1233" s="34">
        <f>IF(Tabela4[[#This Row],[Tipo]]="Dividendo",Tabela4[[#This Row],[Valor]],IF(Tabela4[[#This Row],[Tipo]]="Jrs. Cap. Próprio",Tabela4[[#This Row],[Valor]]*85%,0))</f>
        <v>0.87719999999999998</v>
      </c>
    </row>
    <row r="1234" spans="1:7" x14ac:dyDescent="0.2">
      <c r="A1234" s="35" t="s">
        <v>100</v>
      </c>
      <c r="B1234" s="31" t="s">
        <v>15</v>
      </c>
      <c r="C1234" s="32">
        <v>40116</v>
      </c>
      <c r="D1234" s="34">
        <v>1.3043</v>
      </c>
      <c r="E1234" s="33">
        <v>40177</v>
      </c>
      <c r="F1234" s="33">
        <v>40116</v>
      </c>
      <c r="G1234" s="34">
        <f>IF(Tabela4[[#This Row],[Tipo]]="Dividendo",Tabela4[[#This Row],[Valor]],IF(Tabela4[[#This Row],[Tipo]]="Jrs. Cap. Próprio",Tabela4[[#This Row],[Valor]]*85%,0))</f>
        <v>1.3043</v>
      </c>
    </row>
    <row r="1235" spans="1:7" x14ac:dyDescent="0.2">
      <c r="A1235" s="35" t="s">
        <v>100</v>
      </c>
      <c r="B1235" s="31" t="s">
        <v>15</v>
      </c>
      <c r="C1235" s="32">
        <v>39923</v>
      </c>
      <c r="D1235" s="34">
        <v>1.6073</v>
      </c>
      <c r="E1235" s="33">
        <v>39932</v>
      </c>
      <c r="F1235" s="33">
        <v>39923</v>
      </c>
      <c r="G1235" s="34">
        <f>IF(Tabela4[[#This Row],[Tipo]]="Dividendo",Tabela4[[#This Row],[Valor]],IF(Tabela4[[#This Row],[Tipo]]="Jrs. Cap. Próprio",Tabela4[[#This Row],[Valor]]*85%,0))</f>
        <v>1.6073</v>
      </c>
    </row>
    <row r="1236" spans="1:7" x14ac:dyDescent="0.2">
      <c r="A1236" s="35" t="s">
        <v>100</v>
      </c>
      <c r="B1236" s="31" t="s">
        <v>15</v>
      </c>
      <c r="C1236" s="32">
        <v>39692</v>
      </c>
      <c r="D1236" s="34">
        <v>0.50970000000000004</v>
      </c>
      <c r="E1236" s="33">
        <v>39793</v>
      </c>
      <c r="F1236" s="33">
        <v>39692</v>
      </c>
      <c r="G1236" s="34">
        <f>IF(Tabela4[[#This Row],[Tipo]]="Dividendo",Tabela4[[#This Row],[Valor]],IF(Tabela4[[#This Row],[Tipo]]="Jrs. Cap. Próprio",Tabela4[[#This Row],[Valor]]*85%,0))</f>
        <v>0.50970000000000004</v>
      </c>
    </row>
    <row r="1237" spans="1:7" x14ac:dyDescent="0.2">
      <c r="A1237" s="35" t="s">
        <v>100</v>
      </c>
      <c r="B1237" s="31" t="s">
        <v>15</v>
      </c>
      <c r="C1237" s="32">
        <v>39568</v>
      </c>
      <c r="D1237" s="34">
        <v>0.25219999999999998</v>
      </c>
      <c r="E1237" s="33">
        <v>39612</v>
      </c>
      <c r="F1237" s="33">
        <v>39568</v>
      </c>
      <c r="G1237" s="34">
        <f>IF(Tabela4[[#This Row],[Tipo]]="Dividendo",Tabela4[[#This Row],[Valor]],IF(Tabela4[[#This Row],[Tipo]]="Jrs. Cap. Próprio",Tabela4[[#This Row],[Valor]]*85%,0))</f>
        <v>0.25219999999999998</v>
      </c>
    </row>
    <row r="1238" spans="1:7" x14ac:dyDescent="0.2">
      <c r="A1238" s="35" t="s">
        <v>100</v>
      </c>
      <c r="B1238" s="31" t="s">
        <v>15</v>
      </c>
      <c r="C1238" s="32">
        <v>39386</v>
      </c>
      <c r="D1238" s="34">
        <v>1.1876</v>
      </c>
      <c r="E1238" s="33"/>
      <c r="F1238" s="33">
        <v>39386</v>
      </c>
      <c r="G1238" s="34">
        <f>IF(Tabela4[[#This Row],[Tipo]]="Dividendo",Tabela4[[#This Row],[Valor]],IF(Tabela4[[#This Row],[Tipo]]="Jrs. Cap. Próprio",Tabela4[[#This Row],[Valor]]*85%,0))</f>
        <v>1.1876</v>
      </c>
    </row>
    <row r="1239" spans="1:7" x14ac:dyDescent="0.2">
      <c r="A1239" s="35" t="s">
        <v>100</v>
      </c>
      <c r="B1239" s="31" t="s">
        <v>15</v>
      </c>
      <c r="C1239" s="32">
        <v>39202</v>
      </c>
      <c r="D1239" s="34">
        <v>0.7792</v>
      </c>
      <c r="E1239" s="33">
        <v>39259</v>
      </c>
      <c r="F1239" s="33">
        <v>39202</v>
      </c>
      <c r="G1239" s="34">
        <f>IF(Tabela4[[#This Row],[Tipo]]="Dividendo",Tabela4[[#This Row],[Valor]],IF(Tabela4[[#This Row],[Tipo]]="Jrs. Cap. Próprio",Tabela4[[#This Row],[Valor]]*85%,0))</f>
        <v>0.7792</v>
      </c>
    </row>
    <row r="1240" spans="1:7" x14ac:dyDescent="0.2">
      <c r="A1240" s="35" t="s">
        <v>100</v>
      </c>
      <c r="B1240" s="31" t="s">
        <v>15</v>
      </c>
      <c r="C1240" s="32">
        <v>39021</v>
      </c>
      <c r="D1240" s="34">
        <v>0.98880000000000001</v>
      </c>
      <c r="E1240" s="33"/>
      <c r="F1240" s="33">
        <v>39021</v>
      </c>
      <c r="G1240" s="34">
        <f>IF(Tabela4[[#This Row],[Tipo]]="Dividendo",Tabela4[[#This Row],[Valor]],IF(Tabela4[[#This Row],[Tipo]]="Jrs. Cap. Próprio",Tabela4[[#This Row],[Valor]]*85%,0))</f>
        <v>0.98880000000000001</v>
      </c>
    </row>
    <row r="1241" spans="1:7" x14ac:dyDescent="0.2">
      <c r="A1241" s="35" t="s">
        <v>100</v>
      </c>
      <c r="B1241" s="31" t="s">
        <v>15</v>
      </c>
      <c r="C1241" s="32">
        <v>38912</v>
      </c>
      <c r="D1241" s="34">
        <v>0.6875</v>
      </c>
      <c r="E1241" s="33"/>
      <c r="F1241" s="33">
        <v>38912</v>
      </c>
      <c r="G1241" s="34">
        <f>IF(Tabela4[[#This Row],[Tipo]]="Dividendo",Tabela4[[#This Row],[Valor]],IF(Tabela4[[#This Row],[Tipo]]="Jrs. Cap. Próprio",Tabela4[[#This Row],[Valor]]*85%,0))</f>
        <v>0.6875</v>
      </c>
    </row>
    <row r="1242" spans="1:7" x14ac:dyDescent="0.2">
      <c r="A1242" s="35" t="s">
        <v>100</v>
      </c>
      <c r="B1242" s="31" t="s">
        <v>15</v>
      </c>
      <c r="C1242" s="32">
        <v>38832</v>
      </c>
      <c r="D1242" s="34">
        <v>0.63959999999999995</v>
      </c>
      <c r="E1242" s="33"/>
      <c r="F1242" s="33">
        <v>38832</v>
      </c>
      <c r="G1242" s="34">
        <f>IF(Tabela4[[#This Row],[Tipo]]="Dividendo",Tabela4[[#This Row],[Valor]],IF(Tabela4[[#This Row],[Tipo]]="Jrs. Cap. Próprio",Tabela4[[#This Row],[Valor]]*85%,0))</f>
        <v>0.63959999999999995</v>
      </c>
    </row>
    <row r="1243" spans="1:7" x14ac:dyDescent="0.2">
      <c r="A1243" s="35" t="s">
        <v>100</v>
      </c>
      <c r="B1243" s="31" t="s">
        <v>52</v>
      </c>
      <c r="C1243" s="32">
        <v>38691</v>
      </c>
      <c r="D1243" s="34">
        <v>1.7396</v>
      </c>
      <c r="E1243" s="33">
        <v>38701</v>
      </c>
      <c r="F1243" s="33">
        <v>38691</v>
      </c>
      <c r="G1243" s="34">
        <f>IF(Tabela4[[#This Row],[Tipo]]="Dividendo",Tabela4[[#This Row],[Valor]],IF(Tabela4[[#This Row],[Tipo]]="Jrs. Cap. Próprio",Tabela4[[#This Row],[Valor]]*85%,0))</f>
        <v>0</v>
      </c>
    </row>
    <row r="1244" spans="1:7" x14ac:dyDescent="0.2">
      <c r="A1244" s="35" t="s">
        <v>100</v>
      </c>
      <c r="B1244" s="31" t="s">
        <v>15</v>
      </c>
      <c r="C1244" s="32">
        <v>38587</v>
      </c>
      <c r="D1244" s="34">
        <v>0.50690000000000002</v>
      </c>
      <c r="E1244" s="33">
        <v>38594</v>
      </c>
      <c r="F1244" s="33">
        <v>38587</v>
      </c>
      <c r="G1244" s="34">
        <f>IF(Tabela4[[#This Row],[Tipo]]="Dividendo",Tabela4[[#This Row],[Valor]],IF(Tabela4[[#This Row],[Tipo]]="Jrs. Cap. Próprio",Tabela4[[#This Row],[Valor]]*85%,0))</f>
        <v>0.50690000000000002</v>
      </c>
    </row>
    <row r="1245" spans="1:7" x14ac:dyDescent="0.2">
      <c r="A1245" s="35" t="s">
        <v>100</v>
      </c>
      <c r="B1245" s="31" t="s">
        <v>15</v>
      </c>
      <c r="C1245" s="32">
        <v>38471</v>
      </c>
      <c r="D1245" s="34">
        <v>0.47260000000000002</v>
      </c>
      <c r="E1245" s="33">
        <v>38531</v>
      </c>
      <c r="F1245" s="33">
        <v>38471</v>
      </c>
      <c r="G1245" s="34">
        <f>IF(Tabela4[[#This Row],[Tipo]]="Dividendo",Tabela4[[#This Row],[Valor]],IF(Tabela4[[#This Row],[Tipo]]="Jrs. Cap. Próprio",Tabela4[[#This Row],[Valor]]*85%,0))</f>
        <v>0.47260000000000002</v>
      </c>
    </row>
    <row r="1246" spans="1:7" x14ac:dyDescent="0.2">
      <c r="A1246" s="35" t="s">
        <v>100</v>
      </c>
      <c r="B1246" s="31" t="s">
        <v>15</v>
      </c>
      <c r="C1246" s="32">
        <v>38106</v>
      </c>
      <c r="D1246" s="34">
        <v>0.54869999999999997</v>
      </c>
      <c r="E1246" s="33">
        <v>38166</v>
      </c>
      <c r="F1246" s="33">
        <v>38106</v>
      </c>
      <c r="G1246" s="34">
        <f>IF(Tabela4[[#This Row],[Tipo]]="Dividendo",Tabela4[[#This Row],[Valor]],IF(Tabela4[[#This Row],[Tipo]]="Jrs. Cap. Próprio",Tabela4[[#This Row],[Valor]]*85%,0))</f>
        <v>0.54869999999999997</v>
      </c>
    </row>
    <row r="1247" spans="1:7" x14ac:dyDescent="0.2">
      <c r="A1247" s="35" t="s">
        <v>100</v>
      </c>
      <c r="B1247" s="31" t="s">
        <v>15</v>
      </c>
      <c r="C1247" s="32">
        <v>37880</v>
      </c>
      <c r="D1247" s="34">
        <v>0.32019999999999998</v>
      </c>
      <c r="E1247" s="33">
        <v>37893</v>
      </c>
      <c r="F1247" s="33">
        <v>37880</v>
      </c>
      <c r="G1247" s="34">
        <f>IF(Tabela4[[#This Row],[Tipo]]="Dividendo",Tabela4[[#This Row],[Valor]],IF(Tabela4[[#This Row],[Tipo]]="Jrs. Cap. Próprio",Tabela4[[#This Row],[Valor]]*85%,0))</f>
        <v>0.32019999999999998</v>
      </c>
    </row>
    <row r="1248" spans="1:7" x14ac:dyDescent="0.2">
      <c r="A1248" s="35" t="s">
        <v>100</v>
      </c>
      <c r="B1248" s="31" t="s">
        <v>15</v>
      </c>
      <c r="C1248" s="32">
        <v>37554</v>
      </c>
      <c r="D1248" s="34">
        <v>0.96050000000000002</v>
      </c>
      <c r="E1248" s="33">
        <v>37567</v>
      </c>
      <c r="F1248" s="33">
        <v>37554</v>
      </c>
      <c r="G1248" s="34">
        <f>IF(Tabela4[[#This Row],[Tipo]]="Dividendo",Tabela4[[#This Row],[Valor]],IF(Tabela4[[#This Row],[Tipo]]="Jrs. Cap. Próprio",Tabela4[[#This Row],[Valor]]*85%,0))</f>
        <v>0.96050000000000002</v>
      </c>
    </row>
    <row r="1249" spans="1:7" x14ac:dyDescent="0.2">
      <c r="A1249" s="35" t="s">
        <v>100</v>
      </c>
      <c r="B1249" s="31" t="s">
        <v>15</v>
      </c>
      <c r="C1249" s="32">
        <v>37376</v>
      </c>
      <c r="D1249" s="34">
        <v>0.51959999999999995</v>
      </c>
      <c r="E1249" s="33">
        <v>37391</v>
      </c>
      <c r="F1249" s="33">
        <v>37376</v>
      </c>
      <c r="G1249" s="34">
        <f>IF(Tabela4[[#This Row],[Tipo]]="Dividendo",Tabela4[[#This Row],[Valor]],IF(Tabela4[[#This Row],[Tipo]]="Jrs. Cap. Próprio",Tabela4[[#This Row],[Valor]]*85%,0))</f>
        <v>0.51959999999999995</v>
      </c>
    </row>
    <row r="1250" spans="1:7" x14ac:dyDescent="0.2">
      <c r="A1250" s="35" t="s">
        <v>100</v>
      </c>
      <c r="B1250" s="31" t="s">
        <v>15</v>
      </c>
      <c r="C1250" s="32">
        <v>37008</v>
      </c>
      <c r="D1250" s="34">
        <v>0.74709999999999999</v>
      </c>
      <c r="E1250" s="33">
        <v>37026</v>
      </c>
      <c r="F1250" s="33">
        <v>37008</v>
      </c>
      <c r="G1250" s="34">
        <f>IF(Tabela4[[#This Row],[Tipo]]="Dividendo",Tabela4[[#This Row],[Valor]],IF(Tabela4[[#This Row],[Tipo]]="Jrs. Cap. Próprio",Tabela4[[#This Row],[Valor]]*85%,0))</f>
        <v>0.74709999999999999</v>
      </c>
    </row>
    <row r="1251" spans="1:7" x14ac:dyDescent="0.2">
      <c r="A1251" s="35" t="s">
        <v>100</v>
      </c>
      <c r="B1251" s="31" t="s">
        <v>14</v>
      </c>
      <c r="C1251" s="32">
        <v>36826</v>
      </c>
      <c r="D1251" s="34">
        <v>0.16059999999999999</v>
      </c>
      <c r="E1251" s="33">
        <v>36857</v>
      </c>
      <c r="F1251" s="33">
        <v>36826</v>
      </c>
      <c r="G1251" s="34">
        <f>IF(Tabela4[[#This Row],[Tipo]]="Dividendo",Tabela4[[#This Row],[Valor]],IF(Tabela4[[#This Row],[Tipo]]="Jrs. Cap. Próprio",Tabela4[[#This Row],[Valor]]*85%,0))</f>
        <v>0.13650999999999999</v>
      </c>
    </row>
    <row r="1252" spans="1:7" x14ac:dyDescent="0.2">
      <c r="A1252" s="35" t="s">
        <v>100</v>
      </c>
      <c r="B1252" s="31" t="s">
        <v>15</v>
      </c>
      <c r="C1252" s="32">
        <v>36826</v>
      </c>
      <c r="D1252" s="34">
        <v>0.39710000000000001</v>
      </c>
      <c r="E1252" s="33">
        <v>36857</v>
      </c>
      <c r="F1252" s="33">
        <v>36826</v>
      </c>
      <c r="G1252" s="34">
        <f>IF(Tabela4[[#This Row],[Tipo]]="Dividendo",Tabela4[[#This Row],[Valor]],IF(Tabela4[[#This Row],[Tipo]]="Jrs. Cap. Próprio",Tabela4[[#This Row],[Valor]]*85%,0))</f>
        <v>0.39710000000000001</v>
      </c>
    </row>
    <row r="1253" spans="1:7" x14ac:dyDescent="0.2">
      <c r="A1253" s="35" t="s">
        <v>100</v>
      </c>
      <c r="B1253" s="31" t="s">
        <v>15</v>
      </c>
      <c r="C1253" s="32">
        <v>36644</v>
      </c>
      <c r="D1253" s="34">
        <v>0.12809999999999999</v>
      </c>
      <c r="E1253" s="33">
        <v>36671</v>
      </c>
      <c r="F1253" s="33">
        <v>36644</v>
      </c>
      <c r="G1253" s="34">
        <f>IF(Tabela4[[#This Row],[Tipo]]="Dividendo",Tabela4[[#This Row],[Valor]],IF(Tabela4[[#This Row],[Tipo]]="Jrs. Cap. Próprio",Tabela4[[#This Row],[Valor]]*85%,0))</f>
        <v>0.12809999999999999</v>
      </c>
    </row>
    <row r="1254" spans="1:7" x14ac:dyDescent="0.2">
      <c r="A1254" s="31" t="s">
        <v>91</v>
      </c>
      <c r="B1254" s="31" t="s">
        <v>14</v>
      </c>
      <c r="C1254" s="32">
        <v>41618</v>
      </c>
      <c r="D1254" s="34">
        <v>5.5957919000000002E-2</v>
      </c>
      <c r="E1254" s="33"/>
      <c r="F1254" s="33">
        <v>41618</v>
      </c>
      <c r="G1254" s="34">
        <f>IF(Tabela4[[#This Row],[Tipo]]="Dividendo",Tabela4[[#This Row],[Valor]],IF(Tabela4[[#This Row],[Tipo]]="Jrs. Cap. Próprio",Tabela4[[#This Row],[Valor]]*85%,0))</f>
        <v>4.7564231149999997E-2</v>
      </c>
    </row>
    <row r="1255" spans="1:7" x14ac:dyDescent="0.2">
      <c r="A1255" s="31" t="s">
        <v>91</v>
      </c>
      <c r="B1255" s="31" t="s">
        <v>15</v>
      </c>
      <c r="C1255" s="32">
        <v>41584</v>
      </c>
      <c r="D1255" s="34">
        <v>0.606544996</v>
      </c>
      <c r="E1255" s="33">
        <v>41603</v>
      </c>
      <c r="F1255" s="33">
        <v>41584</v>
      </c>
      <c r="G1255" s="34">
        <f>IF(Tabela4[[#This Row],[Tipo]]="Dividendo",Tabela4[[#This Row],[Valor]],IF(Tabela4[[#This Row],[Tipo]]="Jrs. Cap. Próprio",Tabela4[[#This Row],[Valor]]*85%,0))</f>
        <v>0.606544996</v>
      </c>
    </row>
    <row r="1256" spans="1:7" x14ac:dyDescent="0.2">
      <c r="A1256" s="31" t="s">
        <v>91</v>
      </c>
      <c r="B1256" s="31" t="s">
        <v>15</v>
      </c>
      <c r="C1256" s="32">
        <v>41493</v>
      </c>
      <c r="D1256" s="34">
        <v>0.64610000000000001</v>
      </c>
      <c r="E1256" s="33">
        <v>41542</v>
      </c>
      <c r="F1256" s="33">
        <v>41493</v>
      </c>
      <c r="G1256" s="34">
        <f>IF(Tabela4[[#This Row],[Tipo]]="Dividendo",Tabela4[[#This Row],[Valor]],IF(Tabela4[[#This Row],[Tipo]]="Jrs. Cap. Próprio",Tabela4[[#This Row],[Valor]]*85%,0))</f>
        <v>0.64610000000000001</v>
      </c>
    </row>
    <row r="1257" spans="1:7" x14ac:dyDescent="0.2">
      <c r="A1257" s="31" t="s">
        <v>91</v>
      </c>
      <c r="B1257" s="31" t="s">
        <v>15</v>
      </c>
      <c r="C1257" s="32">
        <v>41402</v>
      </c>
      <c r="D1257" s="34">
        <v>0.50970000000000004</v>
      </c>
      <c r="E1257" s="33">
        <v>41421</v>
      </c>
      <c r="F1257" s="33">
        <v>41402</v>
      </c>
      <c r="G1257" s="34">
        <f>IF(Tabela4[[#This Row],[Tipo]]="Dividendo",Tabela4[[#This Row],[Valor]],IF(Tabela4[[#This Row],[Tipo]]="Jrs. Cap. Próprio",Tabela4[[#This Row],[Valor]]*85%,0))</f>
        <v>0.50970000000000004</v>
      </c>
    </row>
    <row r="1258" spans="1:7" x14ac:dyDescent="0.2">
      <c r="A1258" s="31" t="s">
        <v>91</v>
      </c>
      <c r="B1258" s="31" t="s">
        <v>15</v>
      </c>
      <c r="C1258" s="32">
        <v>41331</v>
      </c>
      <c r="D1258" s="34">
        <v>0.4551</v>
      </c>
      <c r="E1258" s="33">
        <v>41401</v>
      </c>
      <c r="F1258" s="33">
        <v>41331</v>
      </c>
      <c r="G1258" s="34">
        <f>IF(Tabela4[[#This Row],[Tipo]]="Dividendo",Tabela4[[#This Row],[Valor]],IF(Tabela4[[#This Row],[Tipo]]="Jrs. Cap. Próprio",Tabela4[[#This Row],[Valor]]*85%,0))</f>
        <v>0.4551</v>
      </c>
    </row>
    <row r="1259" spans="1:7" x14ac:dyDescent="0.2">
      <c r="A1259" s="31" t="s">
        <v>91</v>
      </c>
      <c r="B1259" s="31" t="s">
        <v>14</v>
      </c>
      <c r="C1259" s="32">
        <v>41263</v>
      </c>
      <c r="D1259" s="34">
        <v>6.5299999999999997E-2</v>
      </c>
      <c r="E1259" s="33">
        <v>41401</v>
      </c>
      <c r="F1259" s="33">
        <v>41263</v>
      </c>
      <c r="G1259" s="34">
        <f>IF(Tabela4[[#This Row],[Tipo]]="Dividendo",Tabela4[[#This Row],[Valor]],IF(Tabela4[[#This Row],[Tipo]]="Jrs. Cap. Próprio",Tabela4[[#This Row],[Valor]]*85%,0))</f>
        <v>5.5504999999999999E-2</v>
      </c>
    </row>
    <row r="1260" spans="1:7" x14ac:dyDescent="0.2">
      <c r="A1260" s="31" t="s">
        <v>91</v>
      </c>
      <c r="B1260" s="31" t="s">
        <v>15</v>
      </c>
      <c r="C1260" s="32">
        <v>41219</v>
      </c>
      <c r="D1260" s="34">
        <v>0.63500000000000001</v>
      </c>
      <c r="E1260" s="33">
        <v>41235</v>
      </c>
      <c r="F1260" s="33">
        <v>41219</v>
      </c>
      <c r="G1260" s="34">
        <f>IF(Tabela4[[#This Row],[Tipo]]="Dividendo",Tabela4[[#This Row],[Valor]],IF(Tabela4[[#This Row],[Tipo]]="Jrs. Cap. Próprio",Tabela4[[#This Row],[Valor]]*85%,0))</f>
        <v>0.63500000000000001</v>
      </c>
    </row>
    <row r="1261" spans="1:7" x14ac:dyDescent="0.2">
      <c r="A1261" s="31" t="s">
        <v>91</v>
      </c>
      <c r="B1261" s="31" t="s">
        <v>15</v>
      </c>
      <c r="C1261" s="32">
        <v>41124</v>
      </c>
      <c r="D1261" s="34">
        <v>0.62739999999999996</v>
      </c>
      <c r="E1261" s="33">
        <v>41148</v>
      </c>
      <c r="F1261" s="33">
        <v>41124</v>
      </c>
      <c r="G1261" s="34">
        <f>IF(Tabela4[[#This Row],[Tipo]]="Dividendo",Tabela4[[#This Row],[Valor]],IF(Tabela4[[#This Row],[Tipo]]="Jrs. Cap. Próprio",Tabela4[[#This Row],[Valor]]*85%,0))</f>
        <v>0.62739999999999996</v>
      </c>
    </row>
    <row r="1262" spans="1:7" x14ac:dyDescent="0.2">
      <c r="A1262" s="31" t="s">
        <v>91</v>
      </c>
      <c r="B1262" s="31" t="s">
        <v>15</v>
      </c>
      <c r="C1262" s="32">
        <v>41032</v>
      </c>
      <c r="D1262" s="34">
        <v>0.66069999999999995</v>
      </c>
      <c r="E1262" s="33">
        <v>41054</v>
      </c>
      <c r="F1262" s="33">
        <v>41032</v>
      </c>
      <c r="G1262" s="34">
        <f>IF(Tabela4[[#This Row],[Tipo]]="Dividendo",Tabela4[[#This Row],[Valor]],IF(Tabela4[[#This Row],[Tipo]]="Jrs. Cap. Próprio",Tabela4[[#This Row],[Valor]]*85%,0))</f>
        <v>0.66069999999999995</v>
      </c>
    </row>
    <row r="1263" spans="1:7" x14ac:dyDescent="0.2">
      <c r="A1263" s="31" t="s">
        <v>91</v>
      </c>
      <c r="B1263" s="31" t="s">
        <v>15</v>
      </c>
      <c r="C1263" s="32">
        <v>41015</v>
      </c>
      <c r="D1263" s="34">
        <v>0.63339999999999996</v>
      </c>
      <c r="E1263" s="33">
        <v>41044</v>
      </c>
      <c r="F1263" s="33">
        <v>41015</v>
      </c>
      <c r="G1263" s="34">
        <f>IF(Tabela4[[#This Row],[Tipo]]="Dividendo",Tabela4[[#This Row],[Valor]],IF(Tabela4[[#This Row],[Tipo]]="Jrs. Cap. Próprio",Tabela4[[#This Row],[Valor]]*85%,0))</f>
        <v>0.63339999999999996</v>
      </c>
    </row>
    <row r="1264" spans="1:7" x14ac:dyDescent="0.2">
      <c r="A1264" s="31" t="s">
        <v>91</v>
      </c>
      <c r="B1264" s="31" t="s">
        <v>14</v>
      </c>
      <c r="C1264" s="32">
        <v>40884</v>
      </c>
      <c r="D1264" s="34">
        <v>7.5200000000000003E-2</v>
      </c>
      <c r="E1264" s="33">
        <v>41044</v>
      </c>
      <c r="F1264" s="33">
        <v>40884</v>
      </c>
      <c r="G1264" s="34">
        <f>IF(Tabela4[[#This Row],[Tipo]]="Dividendo",Tabela4[[#This Row],[Valor]],IF(Tabela4[[#This Row],[Tipo]]="Jrs. Cap. Próprio",Tabela4[[#This Row],[Valor]]*85%,0))</f>
        <v>6.3920000000000005E-2</v>
      </c>
    </row>
    <row r="1265" spans="1:7" x14ac:dyDescent="0.2">
      <c r="A1265" s="31" t="s">
        <v>91</v>
      </c>
      <c r="B1265" s="31" t="s">
        <v>15</v>
      </c>
      <c r="C1265" s="32">
        <v>40857</v>
      </c>
      <c r="D1265" s="34">
        <v>0.61860000000000004</v>
      </c>
      <c r="E1265" s="33">
        <v>40872</v>
      </c>
      <c r="F1265" s="33">
        <v>40857</v>
      </c>
      <c r="G1265" s="34">
        <f>IF(Tabela4[[#This Row],[Tipo]]="Dividendo",Tabela4[[#This Row],[Valor]],IF(Tabela4[[#This Row],[Tipo]]="Jrs. Cap. Próprio",Tabela4[[#This Row],[Valor]]*85%,0))</f>
        <v>0.61860000000000004</v>
      </c>
    </row>
    <row r="1266" spans="1:7" x14ac:dyDescent="0.2">
      <c r="A1266" s="31" t="s">
        <v>91</v>
      </c>
      <c r="B1266" s="31" t="s">
        <v>15</v>
      </c>
      <c r="C1266" s="32">
        <v>40766</v>
      </c>
      <c r="D1266" s="34">
        <v>0.4491</v>
      </c>
      <c r="E1266" s="33">
        <v>40808</v>
      </c>
      <c r="F1266" s="33">
        <v>40766</v>
      </c>
      <c r="G1266" s="34">
        <f>IF(Tabela4[[#This Row],[Tipo]]="Dividendo",Tabela4[[#This Row],[Valor]],IF(Tabela4[[#This Row],[Tipo]]="Jrs. Cap. Próprio",Tabela4[[#This Row],[Valor]]*85%,0))</f>
        <v>0.4491</v>
      </c>
    </row>
    <row r="1267" spans="1:7" x14ac:dyDescent="0.2">
      <c r="A1267" s="31" t="s">
        <v>91</v>
      </c>
      <c r="B1267" s="31" t="s">
        <v>15</v>
      </c>
      <c r="C1267" s="32">
        <v>40675</v>
      </c>
      <c r="D1267" s="34">
        <v>0.53120000000000001</v>
      </c>
      <c r="E1267" s="33">
        <v>40689</v>
      </c>
      <c r="F1267" s="33">
        <v>40675</v>
      </c>
      <c r="G1267" s="34">
        <f>IF(Tabela4[[#This Row],[Tipo]]="Dividendo",Tabela4[[#This Row],[Valor]],IF(Tabela4[[#This Row],[Tipo]]="Jrs. Cap. Próprio",Tabela4[[#This Row],[Valor]]*85%,0))</f>
        <v>0.53120000000000001</v>
      </c>
    </row>
    <row r="1268" spans="1:7" x14ac:dyDescent="0.2">
      <c r="A1268" s="31" t="s">
        <v>91</v>
      </c>
      <c r="B1268" s="31" t="s">
        <v>15</v>
      </c>
      <c r="C1268" s="32">
        <v>40662</v>
      </c>
      <c r="D1268" s="34">
        <v>0.51190000000000002</v>
      </c>
      <c r="E1268" s="33">
        <v>40680</v>
      </c>
      <c r="F1268" s="33">
        <v>40662</v>
      </c>
      <c r="G1268" s="34">
        <f>IF(Tabela4[[#This Row],[Tipo]]="Dividendo",Tabela4[[#This Row],[Valor]],IF(Tabela4[[#This Row],[Tipo]]="Jrs. Cap. Próprio",Tabela4[[#This Row],[Valor]]*85%,0))</f>
        <v>0.51190000000000002</v>
      </c>
    </row>
    <row r="1269" spans="1:7" x14ac:dyDescent="0.2">
      <c r="A1269" s="31" t="s">
        <v>91</v>
      </c>
      <c r="B1269" s="31" t="s">
        <v>14</v>
      </c>
      <c r="C1269" s="32">
        <v>40515</v>
      </c>
      <c r="D1269" s="34">
        <v>7.5200000000000003E-2</v>
      </c>
      <c r="E1269" s="33">
        <v>40680</v>
      </c>
      <c r="F1269" s="33">
        <v>40515</v>
      </c>
      <c r="G1269" s="34">
        <f>IF(Tabela4[[#This Row],[Tipo]]="Dividendo",Tabela4[[#This Row],[Valor]],IF(Tabela4[[#This Row],[Tipo]]="Jrs. Cap. Próprio",Tabela4[[#This Row],[Valor]]*85%,0))</f>
        <v>6.3920000000000005E-2</v>
      </c>
    </row>
    <row r="1270" spans="1:7" x14ac:dyDescent="0.2">
      <c r="A1270" s="31" t="s">
        <v>91</v>
      </c>
      <c r="B1270" s="31" t="s">
        <v>15</v>
      </c>
      <c r="C1270" s="32">
        <v>40487</v>
      </c>
      <c r="D1270" s="34">
        <v>0.54149999999999998</v>
      </c>
      <c r="E1270" s="33">
        <v>40519</v>
      </c>
      <c r="F1270" s="33">
        <v>40487</v>
      </c>
      <c r="G1270" s="34">
        <f>IF(Tabela4[[#This Row],[Tipo]]="Dividendo",Tabela4[[#This Row],[Valor]],IF(Tabela4[[#This Row],[Tipo]]="Jrs. Cap. Próprio",Tabela4[[#This Row],[Valor]]*85%,0))</f>
        <v>0.54149999999999998</v>
      </c>
    </row>
    <row r="1271" spans="1:7" x14ac:dyDescent="0.2">
      <c r="A1271" s="31" t="s">
        <v>91</v>
      </c>
      <c r="B1271" s="31" t="s">
        <v>15</v>
      </c>
      <c r="C1271" s="32">
        <v>40396</v>
      </c>
      <c r="D1271" s="34">
        <v>0.43130000000000002</v>
      </c>
      <c r="E1271" s="33">
        <v>40436</v>
      </c>
      <c r="F1271" s="33">
        <v>40396</v>
      </c>
      <c r="G1271" s="34">
        <f>IF(Tabela4[[#This Row],[Tipo]]="Dividendo",Tabela4[[#This Row],[Valor]],IF(Tabela4[[#This Row],[Tipo]]="Jrs. Cap. Próprio",Tabela4[[#This Row],[Valor]]*85%,0))</f>
        <v>0.43130000000000002</v>
      </c>
    </row>
    <row r="1272" spans="1:7" x14ac:dyDescent="0.2">
      <c r="A1272" s="31" t="s">
        <v>91</v>
      </c>
      <c r="B1272" s="31" t="s">
        <v>15</v>
      </c>
      <c r="C1272" s="32">
        <v>40312</v>
      </c>
      <c r="D1272" s="34">
        <v>0.59760000000000002</v>
      </c>
      <c r="E1272" s="33">
        <v>40396</v>
      </c>
      <c r="F1272" s="33">
        <v>40312</v>
      </c>
      <c r="G1272" s="34">
        <f>IF(Tabela4[[#This Row],[Tipo]]="Dividendo",Tabela4[[#This Row],[Valor]],IF(Tabela4[[#This Row],[Tipo]]="Jrs. Cap. Próprio",Tabela4[[#This Row],[Valor]]*85%,0))</f>
        <v>0.59760000000000002</v>
      </c>
    </row>
    <row r="1273" spans="1:7" x14ac:dyDescent="0.2">
      <c r="A1273" s="31" t="s">
        <v>91</v>
      </c>
      <c r="B1273" s="31" t="s">
        <v>15</v>
      </c>
      <c r="C1273" s="32">
        <v>40298</v>
      </c>
      <c r="D1273" s="34">
        <v>0.28439999999999999</v>
      </c>
      <c r="E1273" s="33">
        <v>40317</v>
      </c>
      <c r="F1273" s="33">
        <v>40298</v>
      </c>
      <c r="G1273" s="34">
        <f>IF(Tabela4[[#This Row],[Tipo]]="Dividendo",Tabela4[[#This Row],[Valor]],IF(Tabela4[[#This Row],[Tipo]]="Jrs. Cap. Próprio",Tabela4[[#This Row],[Valor]]*85%,0))</f>
        <v>0.28439999999999999</v>
      </c>
    </row>
    <row r="1274" spans="1:7" x14ac:dyDescent="0.2">
      <c r="A1274" s="31" t="s">
        <v>91</v>
      </c>
      <c r="B1274" s="31" t="s">
        <v>14</v>
      </c>
      <c r="C1274" s="32">
        <v>40162</v>
      </c>
      <c r="D1274" s="34">
        <v>7.6799999999999993E-2</v>
      </c>
      <c r="E1274" s="33">
        <v>40317</v>
      </c>
      <c r="F1274" s="33">
        <v>40162</v>
      </c>
      <c r="G1274" s="34">
        <f>IF(Tabela4[[#This Row],[Tipo]]="Dividendo",Tabela4[[#This Row],[Valor]],IF(Tabela4[[#This Row],[Tipo]]="Jrs. Cap. Próprio",Tabela4[[#This Row],[Valor]]*85%,0))</f>
        <v>6.5279999999999991E-2</v>
      </c>
    </row>
    <row r="1275" spans="1:7" x14ac:dyDescent="0.2">
      <c r="A1275" s="31" t="s">
        <v>91</v>
      </c>
      <c r="B1275" s="31" t="s">
        <v>15</v>
      </c>
      <c r="C1275" s="32">
        <v>40129</v>
      </c>
      <c r="D1275" s="34">
        <v>0.55400000000000005</v>
      </c>
      <c r="E1275" s="33">
        <v>40157</v>
      </c>
      <c r="F1275" s="33">
        <v>40129</v>
      </c>
      <c r="G1275" s="34">
        <f>IF(Tabela4[[#This Row],[Tipo]]="Dividendo",Tabela4[[#This Row],[Valor]],IF(Tabela4[[#This Row],[Tipo]]="Jrs. Cap. Próprio",Tabela4[[#This Row],[Valor]]*85%,0))</f>
        <v>0.55400000000000005</v>
      </c>
    </row>
    <row r="1276" spans="1:7" x14ac:dyDescent="0.2">
      <c r="A1276" s="31" t="s">
        <v>91</v>
      </c>
      <c r="B1276" s="31" t="s">
        <v>15</v>
      </c>
      <c r="C1276" s="32">
        <v>40038</v>
      </c>
      <c r="D1276" s="34">
        <v>0.4985</v>
      </c>
      <c r="E1276" s="33">
        <v>40071</v>
      </c>
      <c r="F1276" s="33">
        <v>40038</v>
      </c>
      <c r="G1276" s="34">
        <f>IF(Tabela4[[#This Row],[Tipo]]="Dividendo",Tabela4[[#This Row],[Valor]],IF(Tabela4[[#This Row],[Tipo]]="Jrs. Cap. Próprio",Tabela4[[#This Row],[Valor]]*85%,0))</f>
        <v>0.4985</v>
      </c>
    </row>
    <row r="1277" spans="1:7" x14ac:dyDescent="0.2">
      <c r="A1277" s="31" t="s">
        <v>91</v>
      </c>
      <c r="B1277" s="31" t="s">
        <v>15</v>
      </c>
      <c r="C1277" s="32">
        <v>39947</v>
      </c>
      <c r="D1277" s="34">
        <v>0.53869999999999996</v>
      </c>
      <c r="E1277" s="33">
        <v>39962</v>
      </c>
      <c r="F1277" s="33">
        <v>39947</v>
      </c>
      <c r="G1277" s="34">
        <f>IF(Tabela4[[#This Row],[Tipo]]="Dividendo",Tabela4[[#This Row],[Valor]],IF(Tabela4[[#This Row],[Tipo]]="Jrs. Cap. Próprio",Tabela4[[#This Row],[Valor]]*85%,0))</f>
        <v>0.53869999999999996</v>
      </c>
    </row>
    <row r="1278" spans="1:7" x14ac:dyDescent="0.2">
      <c r="A1278" s="31" t="s">
        <v>91</v>
      </c>
      <c r="B1278" s="31" t="s">
        <v>15</v>
      </c>
      <c r="C1278" s="32">
        <v>39930</v>
      </c>
      <c r="D1278" s="34">
        <v>0.41670000000000001</v>
      </c>
      <c r="E1278" s="33">
        <v>39940</v>
      </c>
      <c r="F1278" s="33">
        <v>39930</v>
      </c>
      <c r="G1278" s="34">
        <f>IF(Tabela4[[#This Row],[Tipo]]="Dividendo",Tabela4[[#This Row],[Valor]],IF(Tabela4[[#This Row],[Tipo]]="Jrs. Cap. Próprio",Tabela4[[#This Row],[Valor]]*85%,0))</f>
        <v>0.41670000000000001</v>
      </c>
    </row>
    <row r="1279" spans="1:7" x14ac:dyDescent="0.2">
      <c r="A1279" s="31" t="s">
        <v>91</v>
      </c>
      <c r="B1279" s="31" t="s">
        <v>14</v>
      </c>
      <c r="C1279" s="32">
        <v>39801</v>
      </c>
      <c r="D1279" s="34">
        <v>7.8399999999999997E-2</v>
      </c>
      <c r="E1279" s="33">
        <v>39940</v>
      </c>
      <c r="F1279" s="33">
        <v>39801</v>
      </c>
      <c r="G1279" s="34">
        <f>IF(Tabela4[[#This Row],[Tipo]]="Dividendo",Tabela4[[#This Row],[Valor]],IF(Tabela4[[#This Row],[Tipo]]="Jrs. Cap. Próprio",Tabela4[[#This Row],[Valor]]*85%,0))</f>
        <v>6.6639999999999991E-2</v>
      </c>
    </row>
    <row r="1280" spans="1:7" x14ac:dyDescent="0.2">
      <c r="A1280" s="31" t="s">
        <v>91</v>
      </c>
      <c r="B1280" s="31" t="s">
        <v>15</v>
      </c>
      <c r="C1280" s="32">
        <v>39765</v>
      </c>
      <c r="D1280" s="34">
        <v>0.4698</v>
      </c>
      <c r="E1280" s="33">
        <v>39779</v>
      </c>
      <c r="F1280" s="33">
        <v>39765</v>
      </c>
      <c r="G1280" s="34">
        <f>IF(Tabela4[[#This Row],[Tipo]]="Dividendo",Tabela4[[#This Row],[Valor]],IF(Tabela4[[#This Row],[Tipo]]="Jrs. Cap. Próprio",Tabela4[[#This Row],[Valor]]*85%,0))</f>
        <v>0.4698</v>
      </c>
    </row>
    <row r="1281" spans="1:7" x14ac:dyDescent="0.2">
      <c r="A1281" s="31" t="s">
        <v>91</v>
      </c>
      <c r="B1281" s="31" t="s">
        <v>15</v>
      </c>
      <c r="C1281" s="32">
        <v>39673</v>
      </c>
      <c r="D1281" s="34">
        <v>0.33550000000000002</v>
      </c>
      <c r="E1281" s="33">
        <v>39688</v>
      </c>
      <c r="F1281" s="33">
        <v>39672</v>
      </c>
      <c r="G1281" s="34">
        <f>IF(Tabela4[[#This Row],[Tipo]]="Dividendo",Tabela4[[#This Row],[Valor]],IF(Tabela4[[#This Row],[Tipo]]="Jrs. Cap. Próprio",Tabela4[[#This Row],[Valor]]*85%,0))</f>
        <v>0.33550000000000002</v>
      </c>
    </row>
    <row r="1282" spans="1:7" x14ac:dyDescent="0.2">
      <c r="A1282" s="31" t="s">
        <v>91</v>
      </c>
      <c r="B1282" s="31" t="s">
        <v>15</v>
      </c>
      <c r="C1282" s="32">
        <v>39583</v>
      </c>
      <c r="D1282" s="34">
        <v>0.43240000000000001</v>
      </c>
      <c r="E1282" s="33">
        <v>39597</v>
      </c>
      <c r="F1282" s="33">
        <v>39582</v>
      </c>
      <c r="G1282" s="34">
        <f>IF(Tabela4[[#This Row],[Tipo]]="Dividendo",Tabela4[[#This Row],[Valor]],IF(Tabela4[[#This Row],[Tipo]]="Jrs. Cap. Próprio",Tabela4[[#This Row],[Valor]]*85%,0))</f>
        <v>0.43240000000000001</v>
      </c>
    </row>
    <row r="1283" spans="1:7" x14ac:dyDescent="0.2">
      <c r="A1283" s="31" t="s">
        <v>91</v>
      </c>
      <c r="B1283" s="31" t="s">
        <v>15</v>
      </c>
      <c r="C1283" s="32">
        <v>39561</v>
      </c>
      <c r="D1283" s="34">
        <v>0.33889999999999998</v>
      </c>
      <c r="E1283" s="33"/>
      <c r="F1283" s="33">
        <v>39561</v>
      </c>
      <c r="G1283" s="34">
        <f>IF(Tabela4[[#This Row],[Tipo]]="Dividendo",Tabela4[[#This Row],[Valor]],IF(Tabela4[[#This Row],[Tipo]]="Jrs. Cap. Próprio",Tabela4[[#This Row],[Valor]]*85%,0))</f>
        <v>0.33889999999999998</v>
      </c>
    </row>
    <row r="1284" spans="1:7" x14ac:dyDescent="0.2">
      <c r="A1284" s="31" t="s">
        <v>91</v>
      </c>
      <c r="B1284" s="31" t="s">
        <v>14</v>
      </c>
      <c r="C1284" s="32">
        <v>39436</v>
      </c>
      <c r="D1284" s="34">
        <v>0.3034</v>
      </c>
      <c r="E1284" s="33">
        <v>39576</v>
      </c>
      <c r="F1284" s="33">
        <v>39436</v>
      </c>
      <c r="G1284" s="34">
        <f>IF(Tabela4[[#This Row],[Tipo]]="Dividendo",Tabela4[[#This Row],[Valor]],IF(Tabela4[[#This Row],[Tipo]]="Jrs. Cap. Próprio",Tabela4[[#This Row],[Valor]]*85%,0))</f>
        <v>0.25789000000000001</v>
      </c>
    </row>
    <row r="1285" spans="1:7" x14ac:dyDescent="0.2">
      <c r="A1285" s="35" t="s">
        <v>95</v>
      </c>
      <c r="B1285" s="35" t="s">
        <v>14</v>
      </c>
      <c r="C1285" s="36">
        <v>41618</v>
      </c>
      <c r="D1285" s="38">
        <v>6.1553710999999997E-2</v>
      </c>
      <c r="E1285" s="37"/>
      <c r="F1285" s="37">
        <v>41618</v>
      </c>
      <c r="G1285" s="38">
        <f>IF(Tabela4[[#This Row],[Tipo]]="Dividendo",Tabela4[[#This Row],[Valor]],IF(Tabela4[[#This Row],[Tipo]]="Jrs. Cap. Próprio",Tabela4[[#This Row],[Valor]]*85%,0))</f>
        <v>5.2320654349999995E-2</v>
      </c>
    </row>
    <row r="1286" spans="1:7" x14ac:dyDescent="0.2">
      <c r="A1286" s="35" t="s">
        <v>95</v>
      </c>
      <c r="B1286" s="31" t="s">
        <v>15</v>
      </c>
      <c r="C1286" s="32">
        <v>41584</v>
      </c>
      <c r="D1286" s="34">
        <v>0.66719949499999998</v>
      </c>
      <c r="E1286" s="33">
        <v>41603</v>
      </c>
      <c r="F1286" s="33">
        <v>41584</v>
      </c>
      <c r="G1286" s="34">
        <f>IF(Tabela4[[#This Row],[Tipo]]="Dividendo",Tabela4[[#This Row],[Valor]],IF(Tabela4[[#This Row],[Tipo]]="Jrs. Cap. Próprio",Tabela4[[#This Row],[Valor]]*85%,0))</f>
        <v>0.66719949499999998</v>
      </c>
    </row>
    <row r="1287" spans="1:7" x14ac:dyDescent="0.2">
      <c r="A1287" s="35" t="s">
        <v>95</v>
      </c>
      <c r="B1287" s="31" t="s">
        <v>15</v>
      </c>
      <c r="C1287" s="32">
        <v>41493</v>
      </c>
      <c r="D1287" s="34">
        <v>0.7107</v>
      </c>
      <c r="E1287" s="33">
        <v>41542</v>
      </c>
      <c r="F1287" s="33">
        <v>41493</v>
      </c>
      <c r="G1287" s="34">
        <f>IF(Tabela4[[#This Row],[Tipo]]="Dividendo",Tabela4[[#This Row],[Valor]],IF(Tabela4[[#This Row],[Tipo]]="Jrs. Cap. Próprio",Tabela4[[#This Row],[Valor]]*85%,0))</f>
        <v>0.7107</v>
      </c>
    </row>
    <row r="1288" spans="1:7" x14ac:dyDescent="0.2">
      <c r="A1288" s="35" t="s">
        <v>95</v>
      </c>
      <c r="B1288" s="31" t="s">
        <v>15</v>
      </c>
      <c r="C1288" s="32">
        <v>41402</v>
      </c>
      <c r="D1288" s="34">
        <v>0.56059999999999999</v>
      </c>
      <c r="E1288" s="33">
        <v>41421</v>
      </c>
      <c r="F1288" s="33">
        <v>41402</v>
      </c>
      <c r="G1288" s="34">
        <f>IF(Tabela4[[#This Row],[Tipo]]="Dividendo",Tabela4[[#This Row],[Valor]],IF(Tabela4[[#This Row],[Tipo]]="Jrs. Cap. Próprio",Tabela4[[#This Row],[Valor]]*85%,0))</f>
        <v>0.56059999999999999</v>
      </c>
    </row>
    <row r="1289" spans="1:7" x14ac:dyDescent="0.2">
      <c r="A1289" s="35" t="s">
        <v>95</v>
      </c>
      <c r="B1289" s="31" t="s">
        <v>15</v>
      </c>
      <c r="C1289" s="32">
        <v>41331</v>
      </c>
      <c r="D1289" s="34">
        <v>0.50060000000000004</v>
      </c>
      <c r="E1289" s="33">
        <v>41401</v>
      </c>
      <c r="F1289" s="33">
        <v>41331</v>
      </c>
      <c r="G1289" s="34">
        <f>IF(Tabela4[[#This Row],[Tipo]]="Dividendo",Tabela4[[#This Row],[Valor]],IF(Tabela4[[#This Row],[Tipo]]="Jrs. Cap. Próprio",Tabela4[[#This Row],[Valor]]*85%,0))</f>
        <v>0.50060000000000004</v>
      </c>
    </row>
    <row r="1290" spans="1:7" x14ac:dyDescent="0.2">
      <c r="A1290" s="35" t="s">
        <v>95</v>
      </c>
      <c r="B1290" s="31" t="s">
        <v>14</v>
      </c>
      <c r="C1290" s="32">
        <v>41263</v>
      </c>
      <c r="D1290" s="34">
        <v>7.1900000000000006E-2</v>
      </c>
      <c r="E1290" s="33">
        <v>41401</v>
      </c>
      <c r="F1290" s="33">
        <v>41263</v>
      </c>
      <c r="G1290" s="34">
        <f>IF(Tabela4[[#This Row],[Tipo]]="Dividendo",Tabela4[[#This Row],[Valor]],IF(Tabela4[[#This Row],[Tipo]]="Jrs. Cap. Próprio",Tabela4[[#This Row],[Valor]]*85%,0))</f>
        <v>6.1115000000000003E-2</v>
      </c>
    </row>
    <row r="1291" spans="1:7" x14ac:dyDescent="0.2">
      <c r="A1291" s="35" t="s">
        <v>95</v>
      </c>
      <c r="B1291" s="31" t="s">
        <v>15</v>
      </c>
      <c r="C1291" s="32">
        <v>41219</v>
      </c>
      <c r="D1291" s="34">
        <v>0.69850000000000001</v>
      </c>
      <c r="E1291" s="33">
        <v>41235</v>
      </c>
      <c r="F1291" s="33">
        <v>41219</v>
      </c>
      <c r="G1291" s="34">
        <f>IF(Tabela4[[#This Row],[Tipo]]="Dividendo",Tabela4[[#This Row],[Valor]],IF(Tabela4[[#This Row],[Tipo]]="Jrs. Cap. Próprio",Tabela4[[#This Row],[Valor]]*85%,0))</f>
        <v>0.69850000000000001</v>
      </c>
    </row>
    <row r="1292" spans="1:7" x14ac:dyDescent="0.2">
      <c r="A1292" s="35" t="s">
        <v>95</v>
      </c>
      <c r="B1292" s="31" t="s">
        <v>15</v>
      </c>
      <c r="C1292" s="32">
        <v>41124</v>
      </c>
      <c r="D1292" s="34">
        <v>0.69020000000000004</v>
      </c>
      <c r="E1292" s="33">
        <v>41148</v>
      </c>
      <c r="F1292" s="33">
        <v>41124</v>
      </c>
      <c r="G1292" s="34">
        <f>IF(Tabela4[[#This Row],[Tipo]]="Dividendo",Tabela4[[#This Row],[Valor]],IF(Tabela4[[#This Row],[Tipo]]="Jrs. Cap. Próprio",Tabela4[[#This Row],[Valor]]*85%,0))</f>
        <v>0.69020000000000004</v>
      </c>
    </row>
    <row r="1293" spans="1:7" x14ac:dyDescent="0.2">
      <c r="A1293" s="35" t="s">
        <v>95</v>
      </c>
      <c r="B1293" s="31" t="s">
        <v>15</v>
      </c>
      <c r="C1293" s="32">
        <v>41032</v>
      </c>
      <c r="D1293" s="34">
        <v>0.7268</v>
      </c>
      <c r="E1293" s="33">
        <v>41054</v>
      </c>
      <c r="F1293" s="33">
        <v>41032</v>
      </c>
      <c r="G1293" s="34">
        <f>IF(Tabela4[[#This Row],[Tipo]]="Dividendo",Tabela4[[#This Row],[Valor]],IF(Tabela4[[#This Row],[Tipo]]="Jrs. Cap. Próprio",Tabela4[[#This Row],[Valor]]*85%,0))</f>
        <v>0.7268</v>
      </c>
    </row>
    <row r="1294" spans="1:7" x14ac:dyDescent="0.2">
      <c r="A1294" s="35" t="s">
        <v>95</v>
      </c>
      <c r="B1294" s="31" t="s">
        <v>15</v>
      </c>
      <c r="C1294" s="32">
        <v>41015</v>
      </c>
      <c r="D1294" s="34">
        <v>0.69669999999999999</v>
      </c>
      <c r="E1294" s="33">
        <v>41044</v>
      </c>
      <c r="F1294" s="33">
        <v>41015</v>
      </c>
      <c r="G1294" s="34">
        <f>IF(Tabela4[[#This Row],[Tipo]]="Dividendo",Tabela4[[#This Row],[Valor]],IF(Tabela4[[#This Row],[Tipo]]="Jrs. Cap. Próprio",Tabela4[[#This Row],[Valor]]*85%,0))</f>
        <v>0.69669999999999999</v>
      </c>
    </row>
    <row r="1295" spans="1:7" x14ac:dyDescent="0.2">
      <c r="A1295" s="35" t="s">
        <v>95</v>
      </c>
      <c r="B1295" s="31" t="s">
        <v>14</v>
      </c>
      <c r="C1295" s="32">
        <v>40884</v>
      </c>
      <c r="D1295" s="34">
        <v>8.2699999999999996E-2</v>
      </c>
      <c r="E1295" s="33">
        <v>41044</v>
      </c>
      <c r="F1295" s="33">
        <v>40884</v>
      </c>
      <c r="G1295" s="34">
        <f>IF(Tabela4[[#This Row],[Tipo]]="Dividendo",Tabela4[[#This Row],[Valor]],IF(Tabela4[[#This Row],[Tipo]]="Jrs. Cap. Próprio",Tabela4[[#This Row],[Valor]]*85%,0))</f>
        <v>7.0294999999999996E-2</v>
      </c>
    </row>
    <row r="1296" spans="1:7" x14ac:dyDescent="0.2">
      <c r="A1296" s="35" t="s">
        <v>95</v>
      </c>
      <c r="B1296" s="31" t="s">
        <v>15</v>
      </c>
      <c r="C1296" s="32">
        <v>40857</v>
      </c>
      <c r="D1296" s="34">
        <v>0.68049999999999999</v>
      </c>
      <c r="E1296" s="33">
        <v>40872</v>
      </c>
      <c r="F1296" s="33">
        <v>40857</v>
      </c>
      <c r="G1296" s="34">
        <f>IF(Tabela4[[#This Row],[Tipo]]="Dividendo",Tabela4[[#This Row],[Valor]],IF(Tabela4[[#This Row],[Tipo]]="Jrs. Cap. Próprio",Tabela4[[#This Row],[Valor]]*85%,0))</f>
        <v>0.68049999999999999</v>
      </c>
    </row>
    <row r="1297" spans="1:7" x14ac:dyDescent="0.2">
      <c r="A1297" s="35" t="s">
        <v>95</v>
      </c>
      <c r="B1297" s="31" t="s">
        <v>15</v>
      </c>
      <c r="C1297" s="32">
        <v>40766</v>
      </c>
      <c r="D1297" s="34">
        <v>0.49399999999999999</v>
      </c>
      <c r="E1297" s="33">
        <v>40808</v>
      </c>
      <c r="F1297" s="33">
        <v>40766</v>
      </c>
      <c r="G1297" s="34">
        <f>IF(Tabela4[[#This Row],[Tipo]]="Dividendo",Tabela4[[#This Row],[Valor]],IF(Tabela4[[#This Row],[Tipo]]="Jrs. Cap. Próprio",Tabela4[[#This Row],[Valor]]*85%,0))</f>
        <v>0.49399999999999999</v>
      </c>
    </row>
    <row r="1298" spans="1:7" x14ac:dyDescent="0.2">
      <c r="A1298" s="35" t="s">
        <v>95</v>
      </c>
      <c r="B1298" s="31" t="s">
        <v>15</v>
      </c>
      <c r="C1298" s="32">
        <v>40675</v>
      </c>
      <c r="D1298" s="34">
        <v>0.58440000000000003</v>
      </c>
      <c r="E1298" s="33">
        <v>40689</v>
      </c>
      <c r="F1298" s="33">
        <v>40675</v>
      </c>
      <c r="G1298" s="34">
        <f>IF(Tabela4[[#This Row],[Tipo]]="Dividendo",Tabela4[[#This Row],[Valor]],IF(Tabela4[[#This Row],[Tipo]]="Jrs. Cap. Próprio",Tabela4[[#This Row],[Valor]]*85%,0))</f>
        <v>0.58440000000000003</v>
      </c>
    </row>
    <row r="1299" spans="1:7" x14ac:dyDescent="0.2">
      <c r="A1299" s="35" t="s">
        <v>95</v>
      </c>
      <c r="B1299" s="31" t="s">
        <v>15</v>
      </c>
      <c r="C1299" s="32">
        <v>40662</v>
      </c>
      <c r="D1299" s="34">
        <v>0.56310000000000004</v>
      </c>
      <c r="E1299" s="33">
        <v>40680</v>
      </c>
      <c r="F1299" s="33">
        <v>40662</v>
      </c>
      <c r="G1299" s="34">
        <f>IF(Tabela4[[#This Row],[Tipo]]="Dividendo",Tabela4[[#This Row],[Valor]],IF(Tabela4[[#This Row],[Tipo]]="Jrs. Cap. Próprio",Tabela4[[#This Row],[Valor]]*85%,0))</f>
        <v>0.56310000000000004</v>
      </c>
    </row>
    <row r="1300" spans="1:7" x14ac:dyDescent="0.2">
      <c r="A1300" s="35" t="s">
        <v>95</v>
      </c>
      <c r="B1300" s="31" t="s">
        <v>14</v>
      </c>
      <c r="C1300" s="32">
        <v>40515</v>
      </c>
      <c r="D1300" s="34">
        <v>8.2699999999999996E-2</v>
      </c>
      <c r="E1300" s="33">
        <v>40680</v>
      </c>
      <c r="F1300" s="33">
        <v>40515</v>
      </c>
      <c r="G1300" s="34">
        <f>IF(Tabela4[[#This Row],[Tipo]]="Dividendo",Tabela4[[#This Row],[Valor]],IF(Tabela4[[#This Row],[Tipo]]="Jrs. Cap. Próprio",Tabela4[[#This Row],[Valor]]*85%,0))</f>
        <v>7.0294999999999996E-2</v>
      </c>
    </row>
    <row r="1301" spans="1:7" x14ac:dyDescent="0.2">
      <c r="A1301" s="35" t="s">
        <v>95</v>
      </c>
      <c r="B1301" s="31" t="s">
        <v>15</v>
      </c>
      <c r="C1301" s="32">
        <v>40487</v>
      </c>
      <c r="D1301" s="34">
        <v>0.59570000000000001</v>
      </c>
      <c r="E1301" s="33">
        <v>40519</v>
      </c>
      <c r="F1301" s="33">
        <v>40487</v>
      </c>
      <c r="G1301" s="34">
        <f>IF(Tabela4[[#This Row],[Tipo]]="Dividendo",Tabela4[[#This Row],[Valor]],IF(Tabela4[[#This Row],[Tipo]]="Jrs. Cap. Próprio",Tabela4[[#This Row],[Valor]]*85%,0))</f>
        <v>0.59570000000000001</v>
      </c>
    </row>
    <row r="1302" spans="1:7" x14ac:dyDescent="0.2">
      <c r="A1302" s="35" t="s">
        <v>95</v>
      </c>
      <c r="B1302" s="31" t="s">
        <v>15</v>
      </c>
      <c r="C1302" s="32">
        <v>40396</v>
      </c>
      <c r="D1302" s="34">
        <v>0.47439999999999999</v>
      </c>
      <c r="E1302" s="33">
        <v>40436</v>
      </c>
      <c r="F1302" s="33">
        <v>40396</v>
      </c>
      <c r="G1302" s="34">
        <f>IF(Tabela4[[#This Row],[Tipo]]="Dividendo",Tabela4[[#This Row],[Valor]],IF(Tabela4[[#This Row],[Tipo]]="Jrs. Cap. Próprio",Tabela4[[#This Row],[Valor]]*85%,0))</f>
        <v>0.47439999999999999</v>
      </c>
    </row>
    <row r="1303" spans="1:7" x14ac:dyDescent="0.2">
      <c r="A1303" s="35" t="s">
        <v>95</v>
      </c>
      <c r="B1303" s="31" t="s">
        <v>15</v>
      </c>
      <c r="C1303" s="32">
        <v>40312</v>
      </c>
      <c r="D1303" s="34">
        <v>0.65739999999999998</v>
      </c>
      <c r="E1303" s="33">
        <v>40396</v>
      </c>
      <c r="F1303" s="33">
        <v>40312</v>
      </c>
      <c r="G1303" s="34">
        <f>IF(Tabela4[[#This Row],[Tipo]]="Dividendo",Tabela4[[#This Row],[Valor]],IF(Tabela4[[#This Row],[Tipo]]="Jrs. Cap. Próprio",Tabela4[[#This Row],[Valor]]*85%,0))</f>
        <v>0.65739999999999998</v>
      </c>
    </row>
    <row r="1304" spans="1:7" x14ac:dyDescent="0.2">
      <c r="A1304" s="35" t="s">
        <v>95</v>
      </c>
      <c r="B1304" s="31" t="s">
        <v>15</v>
      </c>
      <c r="C1304" s="32">
        <v>40298</v>
      </c>
      <c r="D1304" s="34">
        <v>0.31280000000000002</v>
      </c>
      <c r="E1304" s="33">
        <v>40317</v>
      </c>
      <c r="F1304" s="33">
        <v>40298</v>
      </c>
      <c r="G1304" s="34">
        <f>IF(Tabela4[[#This Row],[Tipo]]="Dividendo",Tabela4[[#This Row],[Valor]],IF(Tabela4[[#This Row],[Tipo]]="Jrs. Cap. Próprio",Tabela4[[#This Row],[Valor]]*85%,0))</f>
        <v>0.31280000000000002</v>
      </c>
    </row>
    <row r="1305" spans="1:7" x14ac:dyDescent="0.2">
      <c r="A1305" s="35" t="s">
        <v>95</v>
      </c>
      <c r="B1305" s="31" t="s">
        <v>14</v>
      </c>
      <c r="C1305" s="32">
        <v>40162</v>
      </c>
      <c r="D1305" s="34">
        <v>8.4500000000000006E-2</v>
      </c>
      <c r="E1305" s="33">
        <v>40317</v>
      </c>
      <c r="F1305" s="33">
        <v>40162</v>
      </c>
      <c r="G1305" s="34">
        <f>IF(Tabela4[[#This Row],[Tipo]]="Dividendo",Tabela4[[#This Row],[Valor]],IF(Tabela4[[#This Row],[Tipo]]="Jrs. Cap. Próprio",Tabela4[[#This Row],[Valor]]*85%,0))</f>
        <v>7.1825E-2</v>
      </c>
    </row>
    <row r="1306" spans="1:7" x14ac:dyDescent="0.2">
      <c r="A1306" s="35" t="s">
        <v>95</v>
      </c>
      <c r="B1306" s="31" t="s">
        <v>15</v>
      </c>
      <c r="C1306" s="32">
        <v>40129</v>
      </c>
      <c r="D1306" s="34">
        <v>0.60940000000000005</v>
      </c>
      <c r="E1306" s="33">
        <v>40157</v>
      </c>
      <c r="F1306" s="33">
        <v>40129</v>
      </c>
      <c r="G1306" s="34">
        <f>IF(Tabela4[[#This Row],[Tipo]]="Dividendo",Tabela4[[#This Row],[Valor]],IF(Tabela4[[#This Row],[Tipo]]="Jrs. Cap. Próprio",Tabela4[[#This Row],[Valor]]*85%,0))</f>
        <v>0.60940000000000005</v>
      </c>
    </row>
    <row r="1307" spans="1:7" x14ac:dyDescent="0.2">
      <c r="A1307" s="35" t="s">
        <v>95</v>
      </c>
      <c r="B1307" s="31" t="s">
        <v>15</v>
      </c>
      <c r="C1307" s="32">
        <v>40038</v>
      </c>
      <c r="D1307" s="34">
        <v>0.54830000000000001</v>
      </c>
      <c r="E1307" s="33">
        <v>40071</v>
      </c>
      <c r="F1307" s="33">
        <v>40038</v>
      </c>
      <c r="G1307" s="34">
        <f>IF(Tabela4[[#This Row],[Tipo]]="Dividendo",Tabela4[[#This Row],[Valor]],IF(Tabela4[[#This Row],[Tipo]]="Jrs. Cap. Próprio",Tabela4[[#This Row],[Valor]]*85%,0))</f>
        <v>0.54830000000000001</v>
      </c>
    </row>
    <row r="1308" spans="1:7" x14ac:dyDescent="0.2">
      <c r="A1308" s="35" t="s">
        <v>95</v>
      </c>
      <c r="B1308" s="31" t="s">
        <v>15</v>
      </c>
      <c r="C1308" s="32">
        <v>39947</v>
      </c>
      <c r="D1308" s="34">
        <v>0.59260000000000002</v>
      </c>
      <c r="E1308" s="33">
        <v>39962</v>
      </c>
      <c r="F1308" s="33">
        <v>39947</v>
      </c>
      <c r="G1308" s="34">
        <f>IF(Tabela4[[#This Row],[Tipo]]="Dividendo",Tabela4[[#This Row],[Valor]],IF(Tabela4[[#This Row],[Tipo]]="Jrs. Cap. Próprio",Tabela4[[#This Row],[Valor]]*85%,0))</f>
        <v>0.59260000000000002</v>
      </c>
    </row>
    <row r="1309" spans="1:7" x14ac:dyDescent="0.2">
      <c r="A1309" s="35" t="s">
        <v>95</v>
      </c>
      <c r="B1309" s="31" t="s">
        <v>15</v>
      </c>
      <c r="C1309" s="32">
        <v>39930</v>
      </c>
      <c r="D1309" s="34">
        <v>0.45829999999999999</v>
      </c>
      <c r="E1309" s="33">
        <v>39940</v>
      </c>
      <c r="F1309" s="33">
        <v>39930</v>
      </c>
      <c r="G1309" s="34">
        <f>IF(Tabela4[[#This Row],[Tipo]]="Dividendo",Tabela4[[#This Row],[Valor]],IF(Tabela4[[#This Row],[Tipo]]="Jrs. Cap. Próprio",Tabela4[[#This Row],[Valor]]*85%,0))</f>
        <v>0.45829999999999999</v>
      </c>
    </row>
    <row r="1310" spans="1:7" x14ac:dyDescent="0.2">
      <c r="A1310" s="35" t="s">
        <v>95</v>
      </c>
      <c r="B1310" s="31" t="s">
        <v>14</v>
      </c>
      <c r="C1310" s="32">
        <v>39801</v>
      </c>
      <c r="D1310" s="34">
        <v>8.6199999999999999E-2</v>
      </c>
      <c r="E1310" s="33">
        <v>39940</v>
      </c>
      <c r="F1310" s="33">
        <v>39801</v>
      </c>
      <c r="G1310" s="34">
        <f>IF(Tabela4[[#This Row],[Tipo]]="Dividendo",Tabela4[[#This Row],[Valor]],IF(Tabela4[[#This Row],[Tipo]]="Jrs. Cap. Próprio",Tabela4[[#This Row],[Valor]]*85%,0))</f>
        <v>7.3270000000000002E-2</v>
      </c>
    </row>
    <row r="1311" spans="1:7" x14ac:dyDescent="0.2">
      <c r="A1311" s="35" t="s">
        <v>95</v>
      </c>
      <c r="B1311" s="31" t="s">
        <v>15</v>
      </c>
      <c r="C1311" s="32">
        <v>39765</v>
      </c>
      <c r="D1311" s="34">
        <v>0.51680000000000004</v>
      </c>
      <c r="E1311" s="33">
        <v>39779</v>
      </c>
      <c r="F1311" s="33">
        <v>39765</v>
      </c>
      <c r="G1311" s="34">
        <f>IF(Tabela4[[#This Row],[Tipo]]="Dividendo",Tabela4[[#This Row],[Valor]],IF(Tabela4[[#This Row],[Tipo]]="Jrs. Cap. Próprio",Tabela4[[#This Row],[Valor]]*85%,0))</f>
        <v>0.51680000000000004</v>
      </c>
    </row>
    <row r="1312" spans="1:7" x14ac:dyDescent="0.2">
      <c r="A1312" s="35" t="s">
        <v>95</v>
      </c>
      <c r="B1312" s="31" t="s">
        <v>15</v>
      </c>
      <c r="C1312" s="32">
        <v>39673</v>
      </c>
      <c r="D1312" s="34">
        <v>0.36909999999999998</v>
      </c>
      <c r="E1312" s="33">
        <v>39688</v>
      </c>
      <c r="F1312" s="33">
        <v>39672</v>
      </c>
      <c r="G1312" s="34">
        <f>IF(Tabela4[[#This Row],[Tipo]]="Dividendo",Tabela4[[#This Row],[Valor]],IF(Tabela4[[#This Row],[Tipo]]="Jrs. Cap. Próprio",Tabela4[[#This Row],[Valor]]*85%,0))</f>
        <v>0.36909999999999998</v>
      </c>
    </row>
    <row r="1313" spans="1:11" x14ac:dyDescent="0.2">
      <c r="A1313" s="35" t="s">
        <v>95</v>
      </c>
      <c r="B1313" s="31" t="s">
        <v>15</v>
      </c>
      <c r="C1313" s="32">
        <v>39583</v>
      </c>
      <c r="D1313" s="34">
        <v>0.47570000000000001</v>
      </c>
      <c r="E1313" s="33">
        <v>39597</v>
      </c>
      <c r="F1313" s="33">
        <v>39582</v>
      </c>
      <c r="G1313" s="34">
        <f>IF(Tabela4[[#This Row],[Tipo]]="Dividendo",Tabela4[[#This Row],[Valor]],IF(Tabela4[[#This Row],[Tipo]]="Jrs. Cap. Próprio",Tabela4[[#This Row],[Valor]]*85%,0))</f>
        <v>0.47570000000000001</v>
      </c>
    </row>
    <row r="1314" spans="1:11" x14ac:dyDescent="0.2">
      <c r="A1314" s="35" t="s">
        <v>95</v>
      </c>
      <c r="B1314" s="31" t="s">
        <v>15</v>
      </c>
      <c r="C1314" s="32">
        <v>39561</v>
      </c>
      <c r="D1314" s="34">
        <v>0.37280000000000002</v>
      </c>
      <c r="E1314" s="33"/>
      <c r="F1314" s="33">
        <v>39561</v>
      </c>
      <c r="G1314" s="34">
        <f>IF(Tabela4[[#This Row],[Tipo]]="Dividendo",Tabela4[[#This Row],[Valor]],IF(Tabela4[[#This Row],[Tipo]]="Jrs. Cap. Próprio",Tabela4[[#This Row],[Valor]]*85%,0))</f>
        <v>0.37280000000000002</v>
      </c>
    </row>
    <row r="1315" spans="1:11" x14ac:dyDescent="0.2">
      <c r="A1315" s="35" t="s">
        <v>95</v>
      </c>
      <c r="B1315" s="31" t="s">
        <v>14</v>
      </c>
      <c r="C1315" s="32">
        <v>39436</v>
      </c>
      <c r="D1315" s="34">
        <v>0.3337</v>
      </c>
      <c r="E1315" s="33">
        <v>39576</v>
      </c>
      <c r="F1315" s="33">
        <v>39436</v>
      </c>
      <c r="G1315" s="34">
        <f>IF(Tabela4[[#This Row],[Tipo]]="Dividendo",Tabela4[[#This Row],[Valor]],IF(Tabela4[[#This Row],[Tipo]]="Jrs. Cap. Próprio",Tabela4[[#This Row],[Valor]]*85%,0))</f>
        <v>0.28364499999999998</v>
      </c>
    </row>
    <row r="1316" spans="1:11" x14ac:dyDescent="0.2">
      <c r="A1316" s="4" t="s">
        <v>39</v>
      </c>
      <c r="B1316" s="4" t="s">
        <v>15</v>
      </c>
      <c r="C1316" s="19">
        <v>40662</v>
      </c>
      <c r="D1316" s="55">
        <v>0.2291</v>
      </c>
      <c r="E1316" s="68">
        <v>40905</v>
      </c>
      <c r="F1316" s="68">
        <v>40662</v>
      </c>
      <c r="G1316" s="14">
        <f>IF(Tabela4[[#This Row],[Tipo]]="Dividendo",Tabela4[[#This Row],[Valor]],IF(Tabela4[[#This Row],[Tipo]]="Jrs. Cap. Próprio",Tabela4[[#This Row],[Valor]]*85%,0))</f>
        <v>0.2291</v>
      </c>
      <c r="K1316" s="21"/>
    </row>
    <row r="1317" spans="1:11" x14ac:dyDescent="0.2">
      <c r="A1317" s="4" t="s">
        <v>39</v>
      </c>
      <c r="B1317" s="3" t="s">
        <v>15</v>
      </c>
      <c r="C1317" s="25">
        <v>40295</v>
      </c>
      <c r="D1317" s="63">
        <v>0.1211</v>
      </c>
      <c r="E1317" s="26">
        <v>40527</v>
      </c>
      <c r="F1317" s="26">
        <v>40295</v>
      </c>
      <c r="G1317" s="10">
        <f>IF(Tabela4[[#This Row],[Tipo]]="Dividendo",Tabela4[[#This Row],[Valor]],IF(Tabela4[[#This Row],[Tipo]]="Jrs. Cap. Próprio",Tabela4[[#This Row],[Valor]]*85%,0))</f>
        <v>0.1211</v>
      </c>
      <c r="K1317" s="21"/>
    </row>
    <row r="1318" spans="1:11" x14ac:dyDescent="0.2">
      <c r="A1318" s="4" t="s">
        <v>39</v>
      </c>
      <c r="B1318" s="3" t="s">
        <v>15</v>
      </c>
      <c r="C1318" s="25">
        <v>39933</v>
      </c>
      <c r="D1318" s="63">
        <v>0.2009</v>
      </c>
      <c r="E1318" s="26">
        <v>40165</v>
      </c>
      <c r="F1318" s="26">
        <v>39933</v>
      </c>
      <c r="G1318" s="10">
        <f>IF(Tabela4[[#This Row],[Tipo]]="Dividendo",Tabela4[[#This Row],[Valor]],IF(Tabela4[[#This Row],[Tipo]]="Jrs. Cap. Próprio",Tabela4[[#This Row],[Valor]]*85%,0))</f>
        <v>0.2009</v>
      </c>
      <c r="K1318" s="21"/>
    </row>
    <row r="1319" spans="1:11" x14ac:dyDescent="0.2">
      <c r="A1319" s="4" t="s">
        <v>39</v>
      </c>
      <c r="B1319" s="3" t="s">
        <v>15</v>
      </c>
      <c r="C1319" s="25">
        <v>39542</v>
      </c>
      <c r="D1319" s="63">
        <v>0.2084</v>
      </c>
      <c r="E1319" s="26">
        <v>39567</v>
      </c>
      <c r="F1319" s="26">
        <v>39542</v>
      </c>
      <c r="G1319" s="10">
        <f>IF(Tabela4[[#This Row],[Tipo]]="Dividendo",Tabela4[[#This Row],[Valor]],IF(Tabela4[[#This Row],[Tipo]]="Jrs. Cap. Próprio",Tabela4[[#This Row],[Valor]]*85%,0))</f>
        <v>0.2084</v>
      </c>
      <c r="K1319" s="21"/>
    </row>
    <row r="1320" spans="1:11" x14ac:dyDescent="0.2">
      <c r="A1320" s="4" t="s">
        <v>39</v>
      </c>
      <c r="B1320" s="3" t="s">
        <v>15</v>
      </c>
      <c r="C1320" s="25">
        <v>39127</v>
      </c>
      <c r="D1320" s="63">
        <v>0.1</v>
      </c>
      <c r="E1320" s="26">
        <v>39184</v>
      </c>
      <c r="F1320" s="26">
        <v>39122</v>
      </c>
      <c r="G1320" s="10">
        <f>IF(Tabela4[[#This Row],[Tipo]]="Dividendo",Tabela4[[#This Row],[Valor]],IF(Tabela4[[#This Row],[Tipo]]="Jrs. Cap. Próprio",Tabela4[[#This Row],[Valor]]*85%,0))</f>
        <v>0.1</v>
      </c>
      <c r="K1320" s="21"/>
    </row>
    <row r="1321" spans="1:11" x14ac:dyDescent="0.2">
      <c r="A1321" s="4" t="s">
        <v>39</v>
      </c>
      <c r="B1321" s="3" t="s">
        <v>14</v>
      </c>
      <c r="C1321" s="25">
        <v>37263</v>
      </c>
      <c r="D1321" s="63">
        <v>0.26090000000000002</v>
      </c>
      <c r="E1321" s="26"/>
      <c r="F1321" s="26">
        <v>37242</v>
      </c>
      <c r="G1321" s="10">
        <f>IF(Tabela4[[#This Row],[Tipo]]="Dividendo",Tabela4[[#This Row],[Valor]],IF(Tabela4[[#This Row],[Tipo]]="Jrs. Cap. Próprio",Tabela4[[#This Row],[Valor]]*85%,0))</f>
        <v>0.22176500000000002</v>
      </c>
      <c r="K1321" s="21"/>
    </row>
    <row r="1322" spans="1:11" x14ac:dyDescent="0.2">
      <c r="A1322" s="4" t="s">
        <v>47</v>
      </c>
      <c r="B1322" s="4" t="s">
        <v>15</v>
      </c>
      <c r="C1322" s="19">
        <v>41383</v>
      </c>
      <c r="D1322" s="55">
        <v>0.52159999999999995</v>
      </c>
      <c r="E1322" s="68">
        <v>41397</v>
      </c>
      <c r="F1322" s="68">
        <v>41383</v>
      </c>
      <c r="G1322" s="14">
        <f>IF(Tabela4[[#This Row],[Tipo]]="Dividendo",Tabela4[[#This Row],[Valor]],IF(Tabela4[[#This Row],[Tipo]]="Jrs. Cap. Próprio",Tabela4[[#This Row],[Valor]]*85%,0))</f>
        <v>0.52159999999999995</v>
      </c>
      <c r="K1322" s="21"/>
    </row>
    <row r="1323" spans="1:11" x14ac:dyDescent="0.2">
      <c r="A1323" s="4" t="s">
        <v>47</v>
      </c>
      <c r="B1323" s="3" t="s">
        <v>15</v>
      </c>
      <c r="C1323" s="25">
        <v>41015</v>
      </c>
      <c r="D1323" s="63">
        <v>1.0896999999999999</v>
      </c>
      <c r="E1323" s="26">
        <v>41025</v>
      </c>
      <c r="F1323" s="26">
        <v>41015</v>
      </c>
      <c r="G1323" s="10">
        <f>IF(Tabela4[[#This Row],[Tipo]]="Dividendo",Tabela4[[#This Row],[Valor]],IF(Tabela4[[#This Row],[Tipo]]="Jrs. Cap. Próprio",Tabela4[[#This Row],[Valor]]*85%,0))</f>
        <v>1.0896999999999999</v>
      </c>
      <c r="K1323" s="21"/>
    </row>
    <row r="1324" spans="1:11" x14ac:dyDescent="0.2">
      <c r="A1324" s="4" t="s">
        <v>47</v>
      </c>
      <c r="B1324" s="3" t="s">
        <v>15</v>
      </c>
      <c r="C1324" s="25">
        <v>40648</v>
      </c>
      <c r="D1324" s="63">
        <v>0.79710000000000003</v>
      </c>
      <c r="E1324" s="26">
        <v>40662</v>
      </c>
      <c r="F1324" s="26">
        <v>40648</v>
      </c>
      <c r="G1324" s="10">
        <f>IF(Tabela4[[#This Row],[Tipo]]="Dividendo",Tabela4[[#This Row],[Valor]],IF(Tabela4[[#This Row],[Tipo]]="Jrs. Cap. Próprio",Tabela4[[#This Row],[Valor]]*85%,0))</f>
        <v>0.79710000000000003</v>
      </c>
      <c r="K1324" s="21"/>
    </row>
    <row r="1325" spans="1:11" x14ac:dyDescent="0.2">
      <c r="A1325" s="4" t="s">
        <v>47</v>
      </c>
      <c r="B1325" s="3" t="s">
        <v>15</v>
      </c>
      <c r="C1325" s="25">
        <v>40294</v>
      </c>
      <c r="D1325" s="63">
        <v>0.34439999999999998</v>
      </c>
      <c r="E1325" s="26">
        <v>40329</v>
      </c>
      <c r="F1325" s="26">
        <v>40294</v>
      </c>
      <c r="G1325" s="10">
        <f>IF(Tabela4[[#This Row],[Tipo]]="Dividendo",Tabela4[[#This Row],[Valor]],IF(Tabela4[[#This Row],[Tipo]]="Jrs. Cap. Próprio",Tabela4[[#This Row],[Valor]]*85%,0))</f>
        <v>0.34439999999999998</v>
      </c>
      <c r="K1325" s="21"/>
    </row>
    <row r="1326" spans="1:11" x14ac:dyDescent="0.2">
      <c r="A1326" s="4" t="s">
        <v>47</v>
      </c>
      <c r="B1326" s="3" t="s">
        <v>15</v>
      </c>
      <c r="C1326" s="25">
        <v>39925</v>
      </c>
      <c r="D1326" s="63">
        <v>0.2185</v>
      </c>
      <c r="E1326" s="26">
        <v>39962</v>
      </c>
      <c r="F1326" s="26">
        <v>39925</v>
      </c>
      <c r="G1326" s="10">
        <f>IF(Tabela4[[#This Row],[Tipo]]="Dividendo",Tabela4[[#This Row],[Valor]],IF(Tabela4[[#This Row],[Tipo]]="Jrs. Cap. Próprio",Tabela4[[#This Row],[Valor]]*85%,0))</f>
        <v>0.2185</v>
      </c>
      <c r="K1326" s="21"/>
    </row>
    <row r="1327" spans="1:11" x14ac:dyDescent="0.2">
      <c r="A1327" s="4" t="s">
        <v>47</v>
      </c>
      <c r="B1327" s="3" t="s">
        <v>15</v>
      </c>
      <c r="C1327" s="25">
        <v>39493</v>
      </c>
      <c r="D1327" s="63">
        <v>0.03</v>
      </c>
      <c r="E1327" s="26">
        <v>39512</v>
      </c>
      <c r="F1327" s="26">
        <v>39491</v>
      </c>
      <c r="G1327" s="10">
        <f>IF(Tabela4[[#This Row],[Tipo]]="Dividendo",Tabela4[[#This Row],[Valor]],IF(Tabela4[[#This Row],[Tipo]]="Jrs. Cap. Próprio",Tabela4[[#This Row],[Valor]]*85%,0))</f>
        <v>0.03</v>
      </c>
      <c r="K1327" s="21"/>
    </row>
    <row r="1328" spans="1:11" x14ac:dyDescent="0.2">
      <c r="A1328" s="4" t="s">
        <v>47</v>
      </c>
      <c r="B1328" s="3" t="s">
        <v>15</v>
      </c>
      <c r="C1328" s="25">
        <v>37375</v>
      </c>
      <c r="D1328" s="63">
        <v>2</v>
      </c>
      <c r="E1328" s="26"/>
      <c r="F1328" s="26">
        <v>37375</v>
      </c>
      <c r="G1328" s="10">
        <f>IF(Tabela4[[#This Row],[Tipo]]="Dividendo",Tabela4[[#This Row],[Valor]],IF(Tabela4[[#This Row],[Tipo]]="Jrs. Cap. Próprio",Tabela4[[#This Row],[Valor]]*85%,0))</f>
        <v>2</v>
      </c>
      <c r="K1328" s="21"/>
    </row>
    <row r="1329" spans="1:11" x14ac:dyDescent="0.2">
      <c r="A1329" s="4" t="s">
        <v>47</v>
      </c>
      <c r="B1329" s="3" t="s">
        <v>15</v>
      </c>
      <c r="C1329" s="25">
        <v>37007</v>
      </c>
      <c r="D1329" s="63">
        <v>11.0238</v>
      </c>
      <c r="E1329" s="26"/>
      <c r="F1329" s="26">
        <v>37007</v>
      </c>
      <c r="G1329" s="10">
        <f>IF(Tabela4[[#This Row],[Tipo]]="Dividendo",Tabela4[[#This Row],[Valor]],IF(Tabela4[[#This Row],[Tipo]]="Jrs. Cap. Próprio",Tabela4[[#This Row],[Valor]]*85%,0))</f>
        <v>11.0238</v>
      </c>
      <c r="K1329" s="21"/>
    </row>
    <row r="1330" spans="1:11" x14ac:dyDescent="0.2">
      <c r="A1330" s="4" t="s">
        <v>47</v>
      </c>
      <c r="B1330" s="3" t="s">
        <v>15</v>
      </c>
      <c r="C1330" s="80">
        <v>35550</v>
      </c>
      <c r="D1330" s="63">
        <v>4.34</v>
      </c>
      <c r="E1330" s="81"/>
      <c r="F1330" s="81">
        <v>35550</v>
      </c>
      <c r="G1330" s="10">
        <f>IF(Tabela4[[#This Row],[Tipo]]="Dividendo",Tabela4[[#This Row],[Valor]],IF(Tabela4[[#This Row],[Tipo]]="Jrs. Cap. Próprio",Tabela4[[#This Row],[Valor]]*85%,0))</f>
        <v>4.34</v>
      </c>
      <c r="K1330" s="21"/>
    </row>
    <row r="1331" spans="1:11" x14ac:dyDescent="0.2">
      <c r="A1331" s="35" t="s">
        <v>82</v>
      </c>
      <c r="B1331" s="35" t="s">
        <v>15</v>
      </c>
      <c r="C1331" s="36">
        <v>41388</v>
      </c>
      <c r="D1331" s="38">
        <v>0.40229999999999999</v>
      </c>
      <c r="E1331" s="37"/>
      <c r="F1331" s="37">
        <v>41388</v>
      </c>
      <c r="G1331" s="38">
        <f>IF(Tabela4[[#This Row],[Tipo]]="Dividendo",Tabela4[[#This Row],[Valor]],IF(Tabela4[[#This Row],[Tipo]]="Jrs. Cap. Próprio",Tabela4[[#This Row],[Valor]]*85%,0))</f>
        <v>0.40229999999999999</v>
      </c>
      <c r="K1331" s="21"/>
    </row>
    <row r="1332" spans="1:11" x14ac:dyDescent="0.2">
      <c r="A1332" s="35" t="s">
        <v>82</v>
      </c>
      <c r="B1332" s="31" t="s">
        <v>15</v>
      </c>
      <c r="C1332" s="32">
        <v>41023</v>
      </c>
      <c r="D1332" s="34">
        <v>0.38</v>
      </c>
      <c r="E1332" s="33">
        <v>41038</v>
      </c>
      <c r="F1332" s="33">
        <v>41023</v>
      </c>
      <c r="G1332" s="34">
        <f>IF(Tabela4[[#This Row],[Tipo]]="Dividendo",Tabela4[[#This Row],[Valor]],IF(Tabela4[[#This Row],[Tipo]]="Jrs. Cap. Próprio",Tabela4[[#This Row],[Valor]]*85%,0))</f>
        <v>0.38</v>
      </c>
      <c r="K1332" s="21"/>
    </row>
    <row r="1333" spans="1:11" x14ac:dyDescent="0.2">
      <c r="A1333" s="35" t="s">
        <v>82</v>
      </c>
      <c r="B1333" s="31" t="s">
        <v>14</v>
      </c>
      <c r="C1333" s="32">
        <v>40877</v>
      </c>
      <c r="D1333" s="34">
        <v>0.379</v>
      </c>
      <c r="E1333" s="33">
        <v>41038</v>
      </c>
      <c r="F1333" s="33">
        <v>40877</v>
      </c>
      <c r="G1333" s="34">
        <f>IF(Tabela4[[#This Row],[Tipo]]="Dividendo",Tabela4[[#This Row],[Valor]],IF(Tabela4[[#This Row],[Tipo]]="Jrs. Cap. Próprio",Tabela4[[#This Row],[Valor]]*85%,0))</f>
        <v>0.32214999999999999</v>
      </c>
      <c r="K1333" s="21"/>
    </row>
    <row r="1334" spans="1:11" x14ac:dyDescent="0.2">
      <c r="A1334" s="35" t="s">
        <v>82</v>
      </c>
      <c r="B1334" s="31" t="s">
        <v>15</v>
      </c>
      <c r="C1334" s="32">
        <v>40660</v>
      </c>
      <c r="D1334" s="34">
        <v>0.313</v>
      </c>
      <c r="E1334" s="33">
        <v>40681</v>
      </c>
      <c r="F1334" s="33">
        <v>40660</v>
      </c>
      <c r="G1334" s="34">
        <f>IF(Tabela4[[#This Row],[Tipo]]="Dividendo",Tabela4[[#This Row],[Valor]],IF(Tabela4[[#This Row],[Tipo]]="Jrs. Cap. Próprio",Tabela4[[#This Row],[Valor]]*85%,0))</f>
        <v>0.313</v>
      </c>
      <c r="K1334" s="21"/>
    </row>
    <row r="1335" spans="1:11" x14ac:dyDescent="0.2">
      <c r="A1335" s="35" t="s">
        <v>82</v>
      </c>
      <c r="B1335" s="31" t="s">
        <v>14</v>
      </c>
      <c r="C1335" s="32">
        <v>40493</v>
      </c>
      <c r="D1335" s="34">
        <v>0.41599999999999998</v>
      </c>
      <c r="E1335" s="33">
        <v>40681</v>
      </c>
      <c r="F1335" s="33">
        <v>40493</v>
      </c>
      <c r="G1335" s="34">
        <f>IF(Tabela4[[#This Row],[Tipo]]="Dividendo",Tabela4[[#This Row],[Valor]],IF(Tabela4[[#This Row],[Tipo]]="Jrs. Cap. Próprio",Tabela4[[#This Row],[Valor]]*85%,0))</f>
        <v>0.35359999999999997</v>
      </c>
      <c r="K1335" s="21"/>
    </row>
    <row r="1336" spans="1:11" x14ac:dyDescent="0.2">
      <c r="A1336" s="35" t="s">
        <v>82</v>
      </c>
      <c r="B1336" s="31" t="s">
        <v>15</v>
      </c>
      <c r="C1336" s="32">
        <v>40296</v>
      </c>
      <c r="D1336" s="34">
        <v>0.252</v>
      </c>
      <c r="E1336" s="33">
        <v>40318</v>
      </c>
      <c r="F1336" s="33">
        <v>40296</v>
      </c>
      <c r="G1336" s="34">
        <f>IF(Tabela4[[#This Row],[Tipo]]="Dividendo",Tabela4[[#This Row],[Valor]],IF(Tabela4[[#This Row],[Tipo]]="Jrs. Cap. Próprio",Tabela4[[#This Row],[Valor]]*85%,0))</f>
        <v>0.252</v>
      </c>
      <c r="K1336" s="21"/>
    </row>
    <row r="1337" spans="1:11" x14ac:dyDescent="0.2">
      <c r="A1337" s="35" t="s">
        <v>82</v>
      </c>
      <c r="B1337" s="31" t="s">
        <v>14</v>
      </c>
      <c r="C1337" s="32">
        <v>40148</v>
      </c>
      <c r="D1337" s="34">
        <v>0.379</v>
      </c>
      <c r="E1337" s="33">
        <v>40318</v>
      </c>
      <c r="F1337" s="33">
        <v>40148</v>
      </c>
      <c r="G1337" s="34">
        <f>IF(Tabela4[[#This Row],[Tipo]]="Dividendo",Tabela4[[#This Row],[Valor]],IF(Tabela4[[#This Row],[Tipo]]="Jrs. Cap. Próprio",Tabela4[[#This Row],[Valor]]*85%,0))</f>
        <v>0.32214999999999999</v>
      </c>
      <c r="K1337" s="21"/>
    </row>
    <row r="1338" spans="1:11" x14ac:dyDescent="0.2">
      <c r="A1338" s="35" t="s">
        <v>82</v>
      </c>
      <c r="B1338" s="31" t="s">
        <v>15</v>
      </c>
      <c r="C1338" s="32">
        <v>39926</v>
      </c>
      <c r="D1338" s="34">
        <v>0.46300000000000002</v>
      </c>
      <c r="E1338" s="33">
        <v>39941</v>
      </c>
      <c r="F1338" s="33">
        <v>39926</v>
      </c>
      <c r="G1338" s="34">
        <f>IF(Tabela4[[#This Row],[Tipo]]="Dividendo",Tabela4[[#This Row],[Valor]],IF(Tabela4[[#This Row],[Tipo]]="Jrs. Cap. Próprio",Tabela4[[#This Row],[Valor]]*85%,0))</f>
        <v>0.46300000000000002</v>
      </c>
      <c r="K1338" s="21"/>
    </row>
    <row r="1339" spans="1:11" x14ac:dyDescent="0.2">
      <c r="A1339" s="35" t="s">
        <v>82</v>
      </c>
      <c r="B1339" s="31" t="s">
        <v>14</v>
      </c>
      <c r="C1339" s="32">
        <v>39763</v>
      </c>
      <c r="D1339" s="34">
        <v>0.308</v>
      </c>
      <c r="E1339" s="33"/>
      <c r="F1339" s="33">
        <v>39763</v>
      </c>
      <c r="G1339" s="34">
        <f>IF(Tabela4[[#This Row],[Tipo]]="Dividendo",Tabela4[[#This Row],[Valor]],IF(Tabela4[[#This Row],[Tipo]]="Jrs. Cap. Próprio",Tabela4[[#This Row],[Valor]]*85%,0))</f>
        <v>0.26179999999999998</v>
      </c>
      <c r="K1339" s="21"/>
    </row>
    <row r="1340" spans="1:11" x14ac:dyDescent="0.2">
      <c r="A1340" s="35" t="s">
        <v>82</v>
      </c>
      <c r="B1340" s="31" t="s">
        <v>15</v>
      </c>
      <c r="C1340" s="32">
        <v>39562</v>
      </c>
      <c r="D1340" s="34">
        <v>0.45</v>
      </c>
      <c r="E1340" s="33">
        <v>39583</v>
      </c>
      <c r="F1340" s="33">
        <v>39562</v>
      </c>
      <c r="G1340" s="34">
        <f>IF(Tabela4[[#This Row],[Tipo]]="Dividendo",Tabela4[[#This Row],[Valor]],IF(Tabela4[[#This Row],[Tipo]]="Jrs. Cap. Próprio",Tabela4[[#This Row],[Valor]]*85%,0))</f>
        <v>0.45</v>
      </c>
      <c r="K1340" s="21"/>
    </row>
    <row r="1341" spans="1:11" x14ac:dyDescent="0.2">
      <c r="A1341" s="35" t="s">
        <v>82</v>
      </c>
      <c r="B1341" s="31" t="s">
        <v>14</v>
      </c>
      <c r="C1341" s="32">
        <v>39416</v>
      </c>
      <c r="D1341" s="34">
        <v>0.16500000000000001</v>
      </c>
      <c r="E1341" s="33"/>
      <c r="F1341" s="33">
        <v>39415</v>
      </c>
      <c r="G1341" s="34">
        <f>IF(Tabela4[[#This Row],[Tipo]]="Dividendo",Tabela4[[#This Row],[Valor]],IF(Tabela4[[#This Row],[Tipo]]="Jrs. Cap. Próprio",Tabela4[[#This Row],[Valor]]*85%,0))</f>
        <v>0.14025000000000001</v>
      </c>
      <c r="K1341" s="21"/>
    </row>
    <row r="1342" spans="1:11" x14ac:dyDescent="0.2">
      <c r="A1342" s="35" t="s">
        <v>82</v>
      </c>
      <c r="B1342" s="31" t="s">
        <v>14</v>
      </c>
      <c r="C1342" s="32">
        <v>39353</v>
      </c>
      <c r="D1342" s="34">
        <v>0.16500000000000001</v>
      </c>
      <c r="E1342" s="33"/>
      <c r="F1342" s="33">
        <v>39352</v>
      </c>
      <c r="G1342" s="34">
        <f>IF(Tabela4[[#This Row],[Tipo]]="Dividendo",Tabela4[[#This Row],[Valor]],IF(Tabela4[[#This Row],[Tipo]]="Jrs. Cap. Próprio",Tabela4[[#This Row],[Valor]]*85%,0))</f>
        <v>0.14025000000000001</v>
      </c>
      <c r="K1342" s="21"/>
    </row>
    <row r="1343" spans="1:11" x14ac:dyDescent="0.2">
      <c r="A1343" s="35" t="s">
        <v>82</v>
      </c>
      <c r="B1343" s="31" t="s">
        <v>15</v>
      </c>
      <c r="C1343" s="32">
        <v>39197</v>
      </c>
      <c r="D1343" s="34">
        <v>0.246</v>
      </c>
      <c r="E1343" s="33">
        <v>39217</v>
      </c>
      <c r="F1343" s="33">
        <v>39197</v>
      </c>
      <c r="G1343" s="34">
        <f>IF(Tabela4[[#This Row],[Tipo]]="Dividendo",Tabela4[[#This Row],[Valor]],IF(Tabela4[[#This Row],[Tipo]]="Jrs. Cap. Próprio",Tabela4[[#This Row],[Valor]]*85%,0))</f>
        <v>0.246</v>
      </c>
      <c r="K1343" s="21"/>
    </row>
    <row r="1344" spans="1:11" x14ac:dyDescent="0.2">
      <c r="A1344" s="4" t="s">
        <v>35</v>
      </c>
      <c r="B1344" s="4" t="s">
        <v>15</v>
      </c>
      <c r="C1344" s="19">
        <v>41607</v>
      </c>
      <c r="D1344" s="55">
        <v>1.4999999999999999E-2</v>
      </c>
      <c r="E1344" s="68">
        <v>41641</v>
      </c>
      <c r="F1344" s="68">
        <v>41607</v>
      </c>
      <c r="G1344" s="14">
        <f>IF(Tabela4[[#This Row],[Tipo]]="Dividendo",Tabela4[[#This Row],[Valor]],IF(Tabela4[[#This Row],[Tipo]]="Jrs. Cap. Próprio",Tabela4[[#This Row],[Valor]]*85%,0))</f>
        <v>1.4999999999999999E-2</v>
      </c>
      <c r="K1344" s="21"/>
    </row>
    <row r="1345" spans="1:11" x14ac:dyDescent="0.2">
      <c r="A1345" s="4" t="s">
        <v>35</v>
      </c>
      <c r="B1345" s="3" t="s">
        <v>15</v>
      </c>
      <c r="C1345" s="25">
        <v>41516</v>
      </c>
      <c r="D1345" s="63">
        <v>1.4999999999999999E-2</v>
      </c>
      <c r="E1345" s="67">
        <v>41548</v>
      </c>
      <c r="F1345" s="26">
        <v>39762</v>
      </c>
      <c r="G1345" s="10">
        <f>IF(Tabela4[[#This Row],[Tipo]]="Dividendo",Tabela4[[#This Row],[Valor]],IF(Tabela4[[#This Row],[Tipo]]="Jrs. Cap. Próprio",Tabela4[[#This Row],[Valor]]*85%,0))</f>
        <v>1.4999999999999999E-2</v>
      </c>
      <c r="K1345" s="21"/>
    </row>
    <row r="1346" spans="1:11" x14ac:dyDescent="0.2">
      <c r="A1346" s="4" t="s">
        <v>35</v>
      </c>
      <c r="B1346" s="3" t="s">
        <v>14</v>
      </c>
      <c r="C1346" s="25">
        <v>41492</v>
      </c>
      <c r="D1346" s="63">
        <v>7.0999999999999994E-2</v>
      </c>
      <c r="E1346" s="67">
        <v>41507</v>
      </c>
      <c r="F1346" s="26">
        <v>41491</v>
      </c>
      <c r="G1346" s="10">
        <f>IF(Tabela4[[#This Row],[Tipo]]="Dividendo",Tabela4[[#This Row],[Valor]],IF(Tabela4[[#This Row],[Tipo]]="Jrs. Cap. Próprio",Tabela4[[#This Row],[Valor]]*85%,0))</f>
        <v>6.0349999999999994E-2</v>
      </c>
      <c r="K1346" s="21"/>
    </row>
    <row r="1347" spans="1:11" x14ac:dyDescent="0.2">
      <c r="A1347" s="4" t="s">
        <v>35</v>
      </c>
      <c r="B1347" s="3" t="s">
        <v>15</v>
      </c>
      <c r="C1347" s="80">
        <v>41425</v>
      </c>
      <c r="D1347" s="63">
        <v>1.4999999999999999E-2</v>
      </c>
      <c r="E1347" s="81">
        <v>41456</v>
      </c>
      <c r="F1347" s="81">
        <v>39762</v>
      </c>
      <c r="G1347" s="10">
        <f>IF(Tabela4[[#This Row],[Tipo]]="Dividendo",Tabela4[[#This Row],[Valor]],IF(Tabela4[[#This Row],[Tipo]]="Jrs. Cap. Próprio",Tabela4[[#This Row],[Valor]]*85%,0))</f>
        <v>1.4999999999999999E-2</v>
      </c>
      <c r="K1347" s="21"/>
    </row>
    <row r="1348" spans="1:11" x14ac:dyDescent="0.2">
      <c r="A1348" s="4" t="s">
        <v>35</v>
      </c>
      <c r="B1348" s="3" t="s">
        <v>14</v>
      </c>
      <c r="C1348" s="80">
        <v>41338</v>
      </c>
      <c r="D1348" s="63">
        <v>0.1258</v>
      </c>
      <c r="E1348" s="81">
        <v>41453</v>
      </c>
      <c r="F1348" s="81">
        <v>41337</v>
      </c>
      <c r="G1348" s="10">
        <f>IF(Tabela4[[#This Row],[Tipo]]="Dividendo",Tabela4[[#This Row],[Valor]],IF(Tabela4[[#This Row],[Tipo]]="Jrs. Cap. Próprio",Tabela4[[#This Row],[Valor]]*85%,0))</f>
        <v>0.10693</v>
      </c>
      <c r="K1348" s="21"/>
    </row>
    <row r="1349" spans="1:11" x14ac:dyDescent="0.2">
      <c r="A1349" s="4" t="s">
        <v>35</v>
      </c>
      <c r="B1349" s="3" t="s">
        <v>14</v>
      </c>
      <c r="C1349" s="80">
        <v>41264</v>
      </c>
      <c r="D1349" s="63">
        <v>0.20699999999999999</v>
      </c>
      <c r="E1349" s="81"/>
      <c r="F1349" s="81">
        <v>41260</v>
      </c>
      <c r="G1349" s="10">
        <f>IF(Tabela4[[#This Row],[Tipo]]="Dividendo",Tabela4[[#This Row],[Valor]],IF(Tabela4[[#This Row],[Tipo]]="Jrs. Cap. Próprio",Tabela4[[#This Row],[Valor]]*85%,0))</f>
        <v>0.17595</v>
      </c>
      <c r="K1349" s="21"/>
    </row>
    <row r="1350" spans="1:11" x14ac:dyDescent="0.2">
      <c r="A1350" s="4" t="s">
        <v>35</v>
      </c>
      <c r="B1350" s="3" t="s">
        <v>15</v>
      </c>
      <c r="C1350" s="80">
        <v>41243</v>
      </c>
      <c r="D1350" s="63">
        <v>1.4999999999999999E-2</v>
      </c>
      <c r="E1350" s="81">
        <v>41276</v>
      </c>
      <c r="F1350" s="81">
        <v>39762</v>
      </c>
      <c r="G1350" s="10">
        <f>IF(Tabela4[[#This Row],[Tipo]]="Dividendo",Tabela4[[#This Row],[Valor]],IF(Tabela4[[#This Row],[Tipo]]="Jrs. Cap. Próprio",Tabela4[[#This Row],[Valor]]*85%,0))</f>
        <v>1.4999999999999999E-2</v>
      </c>
      <c r="K1350" s="21"/>
    </row>
    <row r="1351" spans="1:11" x14ac:dyDescent="0.2">
      <c r="A1351" s="4" t="s">
        <v>35</v>
      </c>
      <c r="B1351" s="3" t="s">
        <v>15</v>
      </c>
      <c r="C1351" s="80">
        <v>41152</v>
      </c>
      <c r="D1351" s="63">
        <v>1.4999999999999999E-2</v>
      </c>
      <c r="E1351" s="81">
        <v>41183</v>
      </c>
      <c r="F1351" s="81">
        <v>39762</v>
      </c>
      <c r="G1351" s="10">
        <f>IF(Tabela4[[#This Row],[Tipo]]="Dividendo",Tabela4[[#This Row],[Valor]],IF(Tabela4[[#This Row],[Tipo]]="Jrs. Cap. Próprio",Tabela4[[#This Row],[Valor]]*85%,0))</f>
        <v>1.4999999999999999E-2</v>
      </c>
      <c r="K1351" s="21"/>
    </row>
    <row r="1352" spans="1:11" x14ac:dyDescent="0.2">
      <c r="A1352" s="4" t="s">
        <v>35</v>
      </c>
      <c r="B1352" s="3" t="s">
        <v>15</v>
      </c>
      <c r="C1352" s="80">
        <v>41060</v>
      </c>
      <c r="D1352" s="63">
        <v>1.4999999999999999E-2</v>
      </c>
      <c r="E1352" s="81">
        <v>41092</v>
      </c>
      <c r="F1352" s="81">
        <v>39762</v>
      </c>
      <c r="G1352" s="10">
        <f>IF(Tabela4[[#This Row],[Tipo]]="Dividendo",Tabela4[[#This Row],[Valor]],IF(Tabela4[[#This Row],[Tipo]]="Jrs. Cap. Próprio",Tabela4[[#This Row],[Valor]]*85%,0))</f>
        <v>1.4999999999999999E-2</v>
      </c>
      <c r="K1352" s="21"/>
    </row>
    <row r="1353" spans="1:11" x14ac:dyDescent="0.2">
      <c r="A1353" s="4" t="s">
        <v>35</v>
      </c>
      <c r="B1353" s="3" t="s">
        <v>14</v>
      </c>
      <c r="C1353" s="80">
        <v>40968</v>
      </c>
      <c r="D1353" s="63">
        <v>0.1477</v>
      </c>
      <c r="E1353" s="81"/>
      <c r="F1353" s="81">
        <v>40967</v>
      </c>
      <c r="G1353" s="10">
        <f>IF(Tabela4[[#This Row],[Tipo]]="Dividendo",Tabela4[[#This Row],[Valor]],IF(Tabela4[[#This Row],[Tipo]]="Jrs. Cap. Próprio",Tabela4[[#This Row],[Valor]]*85%,0))</f>
        <v>0.12554499999999999</v>
      </c>
      <c r="K1353" s="21"/>
    </row>
    <row r="1354" spans="1:11" x14ac:dyDescent="0.2">
      <c r="A1354" s="4" t="s">
        <v>35</v>
      </c>
      <c r="B1354" s="3" t="s">
        <v>15</v>
      </c>
      <c r="C1354" s="80">
        <v>40968</v>
      </c>
      <c r="D1354" s="63">
        <v>1.4E-2</v>
      </c>
      <c r="E1354" s="81">
        <v>41001</v>
      </c>
      <c r="F1354" s="81">
        <v>39762</v>
      </c>
      <c r="G1354" s="10">
        <f>IF(Tabela4[[#This Row],[Tipo]]="Dividendo",Tabela4[[#This Row],[Valor]],IF(Tabela4[[#This Row],[Tipo]]="Jrs. Cap. Próprio",Tabela4[[#This Row],[Valor]]*85%,0))</f>
        <v>1.4E-2</v>
      </c>
      <c r="K1354" s="21"/>
    </row>
    <row r="1355" spans="1:11" x14ac:dyDescent="0.2">
      <c r="A1355" s="4" t="s">
        <v>35</v>
      </c>
      <c r="B1355" s="3" t="s">
        <v>14</v>
      </c>
      <c r="C1355" s="80">
        <v>40903</v>
      </c>
      <c r="D1355" s="63">
        <v>0.14000000000000001</v>
      </c>
      <c r="E1355" s="81">
        <v>40981</v>
      </c>
      <c r="F1355" s="81">
        <v>40896</v>
      </c>
      <c r="G1355" s="10">
        <f>IF(Tabela4[[#This Row],[Tipo]]="Dividendo",Tabela4[[#This Row],[Valor]],IF(Tabela4[[#This Row],[Tipo]]="Jrs. Cap. Próprio",Tabela4[[#This Row],[Valor]]*85%,0))</f>
        <v>0.11900000000000001</v>
      </c>
      <c r="K1355" s="21"/>
    </row>
    <row r="1356" spans="1:11" x14ac:dyDescent="0.2">
      <c r="A1356" s="4" t="s">
        <v>35</v>
      </c>
      <c r="B1356" s="3" t="s">
        <v>15</v>
      </c>
      <c r="C1356" s="80">
        <v>40877</v>
      </c>
      <c r="D1356" s="63">
        <v>1.4E-2</v>
      </c>
      <c r="E1356" s="81">
        <v>40910</v>
      </c>
      <c r="F1356" s="81">
        <v>39762</v>
      </c>
      <c r="G1356" s="10">
        <f>IF(Tabela4[[#This Row],[Tipo]]="Dividendo",Tabela4[[#This Row],[Valor]],IF(Tabela4[[#This Row],[Tipo]]="Jrs. Cap. Próprio",Tabela4[[#This Row],[Valor]]*85%,0))</f>
        <v>1.4E-2</v>
      </c>
      <c r="K1356" s="21"/>
    </row>
    <row r="1357" spans="1:11" x14ac:dyDescent="0.2">
      <c r="A1357" s="4" t="s">
        <v>35</v>
      </c>
      <c r="B1357" s="3" t="s">
        <v>15</v>
      </c>
      <c r="C1357" s="80">
        <v>40786</v>
      </c>
      <c r="D1357" s="63">
        <v>1.4E-2</v>
      </c>
      <c r="E1357" s="81">
        <v>40819</v>
      </c>
      <c r="F1357" s="81">
        <v>39762</v>
      </c>
      <c r="G1357" s="10">
        <f>IF(Tabela4[[#This Row],[Tipo]]="Dividendo",Tabela4[[#This Row],[Valor]],IF(Tabela4[[#This Row],[Tipo]]="Jrs. Cap. Próprio",Tabela4[[#This Row],[Valor]]*85%,0))</f>
        <v>1.4E-2</v>
      </c>
      <c r="K1357" s="21"/>
    </row>
    <row r="1358" spans="1:11" x14ac:dyDescent="0.2">
      <c r="A1358" s="4" t="s">
        <v>35</v>
      </c>
      <c r="B1358" s="3" t="s">
        <v>14</v>
      </c>
      <c r="C1358" s="80">
        <v>40764</v>
      </c>
      <c r="D1358" s="63">
        <v>7.8E-2</v>
      </c>
      <c r="E1358" s="81">
        <v>40777</v>
      </c>
      <c r="F1358" s="81">
        <v>40763</v>
      </c>
      <c r="G1358" s="10">
        <f>IF(Tabela4[[#This Row],[Tipo]]="Dividendo",Tabela4[[#This Row],[Valor]],IF(Tabela4[[#This Row],[Tipo]]="Jrs. Cap. Próprio",Tabela4[[#This Row],[Valor]]*85%,0))</f>
        <v>6.6299999999999998E-2</v>
      </c>
      <c r="K1358" s="21"/>
    </row>
    <row r="1359" spans="1:11" x14ac:dyDescent="0.2">
      <c r="A1359" s="4" t="s">
        <v>35</v>
      </c>
      <c r="B1359" s="3" t="s">
        <v>15</v>
      </c>
      <c r="C1359" s="80">
        <v>40694</v>
      </c>
      <c r="D1359" s="63">
        <v>1.4E-2</v>
      </c>
      <c r="E1359" s="81">
        <v>40725</v>
      </c>
      <c r="F1359" s="81">
        <v>39762</v>
      </c>
      <c r="G1359" s="10">
        <f>IF(Tabela4[[#This Row],[Tipo]]="Dividendo",Tabela4[[#This Row],[Valor]],IF(Tabela4[[#This Row],[Tipo]]="Jrs. Cap. Próprio",Tabela4[[#This Row],[Valor]]*85%,0))</f>
        <v>1.4E-2</v>
      </c>
      <c r="K1359" s="21"/>
    </row>
    <row r="1360" spans="1:11" x14ac:dyDescent="0.2">
      <c r="A1360" s="4" t="s">
        <v>35</v>
      </c>
      <c r="B1360" s="3" t="s">
        <v>14</v>
      </c>
      <c r="C1360" s="80">
        <v>40631</v>
      </c>
      <c r="D1360" s="63">
        <v>0.11169999999999999</v>
      </c>
      <c r="E1360" s="81">
        <v>40704</v>
      </c>
      <c r="F1360" s="81">
        <v>40630</v>
      </c>
      <c r="G1360" s="10">
        <f>IF(Tabela4[[#This Row],[Tipo]]="Dividendo",Tabela4[[#This Row],[Valor]],IF(Tabela4[[#This Row],[Tipo]]="Jrs. Cap. Próprio",Tabela4[[#This Row],[Valor]]*85%,0))</f>
        <v>9.4944999999999988E-2</v>
      </c>
      <c r="K1360" s="21"/>
    </row>
    <row r="1361" spans="1:11" x14ac:dyDescent="0.2">
      <c r="A1361" s="4" t="s">
        <v>35</v>
      </c>
      <c r="B1361" s="3" t="s">
        <v>14</v>
      </c>
      <c r="C1361" s="80">
        <v>40606</v>
      </c>
      <c r="D1361" s="63">
        <v>4.7199999999999999E-2</v>
      </c>
      <c r="E1361" s="81">
        <v>40619</v>
      </c>
      <c r="F1361" s="81">
        <v>40605</v>
      </c>
      <c r="G1361" s="10">
        <f>IF(Tabela4[[#This Row],[Tipo]]="Dividendo",Tabela4[[#This Row],[Valor]],IF(Tabela4[[#This Row],[Tipo]]="Jrs. Cap. Próprio",Tabela4[[#This Row],[Valor]]*85%,0))</f>
        <v>4.0119999999999996E-2</v>
      </c>
      <c r="K1361" s="21"/>
    </row>
    <row r="1362" spans="1:11" x14ac:dyDescent="0.2">
      <c r="A1362" s="4" t="s">
        <v>35</v>
      </c>
      <c r="B1362" s="3" t="s">
        <v>15</v>
      </c>
      <c r="C1362" s="80">
        <v>40602</v>
      </c>
      <c r="D1362" s="63">
        <v>1.4E-2</v>
      </c>
      <c r="E1362" s="81">
        <v>40634</v>
      </c>
      <c r="F1362" s="81">
        <v>39762</v>
      </c>
      <c r="G1362" s="10">
        <f>IF(Tabela4[[#This Row],[Tipo]]="Dividendo",Tabela4[[#This Row],[Valor]],IF(Tabela4[[#This Row],[Tipo]]="Jrs. Cap. Próprio",Tabela4[[#This Row],[Valor]]*85%,0))</f>
        <v>1.4E-2</v>
      </c>
      <c r="K1362" s="21"/>
    </row>
    <row r="1363" spans="1:11" x14ac:dyDescent="0.2">
      <c r="A1363" s="4" t="s">
        <v>35</v>
      </c>
      <c r="B1363" s="3" t="s">
        <v>14</v>
      </c>
      <c r="C1363" s="80">
        <v>40542</v>
      </c>
      <c r="D1363" s="63">
        <v>8.7400000000000005E-2</v>
      </c>
      <c r="E1363" s="81">
        <v>40619</v>
      </c>
      <c r="F1363" s="81">
        <v>40526</v>
      </c>
      <c r="G1363" s="10">
        <f>IF(Tabela4[[#This Row],[Tipo]]="Dividendo",Tabela4[[#This Row],[Valor]],IF(Tabela4[[#This Row],[Tipo]]="Jrs. Cap. Próprio",Tabela4[[#This Row],[Valor]]*85%,0))</f>
        <v>7.4290000000000009E-2</v>
      </c>
      <c r="K1363" s="21"/>
    </row>
    <row r="1364" spans="1:11" x14ac:dyDescent="0.2">
      <c r="A1364" s="4" t="s">
        <v>35</v>
      </c>
      <c r="B1364" s="3" t="s">
        <v>15</v>
      </c>
      <c r="C1364" s="80">
        <v>40512</v>
      </c>
      <c r="D1364" s="63">
        <v>1.4E-2</v>
      </c>
      <c r="E1364" s="81">
        <v>40546</v>
      </c>
      <c r="F1364" s="81">
        <v>40512</v>
      </c>
      <c r="G1364" s="10">
        <f>IF(Tabela4[[#This Row],[Tipo]]="Dividendo",Tabela4[[#This Row],[Valor]],IF(Tabela4[[#This Row],[Tipo]]="Jrs. Cap. Próprio",Tabela4[[#This Row],[Valor]]*85%,0))</f>
        <v>1.4E-2</v>
      </c>
      <c r="K1364" s="21"/>
    </row>
    <row r="1365" spans="1:11" x14ac:dyDescent="0.2">
      <c r="A1365" s="4" t="s">
        <v>35</v>
      </c>
      <c r="B1365" s="3" t="s">
        <v>15</v>
      </c>
      <c r="C1365" s="80">
        <v>40421</v>
      </c>
      <c r="D1365" s="63">
        <v>1.4E-2</v>
      </c>
      <c r="E1365" s="81">
        <v>40452</v>
      </c>
      <c r="F1365" s="81">
        <v>40421</v>
      </c>
      <c r="G1365" s="10">
        <f>IF(Tabela4[[#This Row],[Tipo]]="Dividendo",Tabela4[[#This Row],[Valor]],IF(Tabela4[[#This Row],[Tipo]]="Jrs. Cap. Próprio",Tabela4[[#This Row],[Valor]]*85%,0))</f>
        <v>1.4E-2</v>
      </c>
      <c r="K1365" s="21"/>
    </row>
    <row r="1366" spans="1:11" x14ac:dyDescent="0.2">
      <c r="A1366" s="4" t="s">
        <v>35</v>
      </c>
      <c r="B1366" s="3" t="s">
        <v>14</v>
      </c>
      <c r="C1366" s="25">
        <v>40400</v>
      </c>
      <c r="D1366" s="63">
        <v>7.1599999999999997E-2</v>
      </c>
      <c r="E1366" s="67">
        <v>40410</v>
      </c>
      <c r="F1366" s="26">
        <v>40399</v>
      </c>
      <c r="G1366" s="10">
        <f>IF(Tabela4[[#This Row],[Tipo]]="Dividendo",Tabela4[[#This Row],[Valor]],IF(Tabela4[[#This Row],[Tipo]]="Jrs. Cap. Próprio",Tabela4[[#This Row],[Valor]]*85%,0))</f>
        <v>6.0859999999999997E-2</v>
      </c>
      <c r="K1366" s="21"/>
    </row>
    <row r="1367" spans="1:11" x14ac:dyDescent="0.2">
      <c r="A1367" s="4" t="s">
        <v>35</v>
      </c>
      <c r="B1367" s="3" t="s">
        <v>15</v>
      </c>
      <c r="C1367" s="25">
        <v>40329</v>
      </c>
      <c r="D1367" s="63">
        <v>1.4E-2</v>
      </c>
      <c r="E1367" s="67">
        <v>40360</v>
      </c>
      <c r="F1367" s="26">
        <v>40329</v>
      </c>
      <c r="G1367" s="10">
        <f>IF(Tabela4[[#This Row],[Tipo]]="Dividendo",Tabela4[[#This Row],[Valor]],IF(Tabela4[[#This Row],[Tipo]]="Jrs. Cap. Próprio",Tabela4[[#This Row],[Valor]]*85%,0))</f>
        <v>1.4E-2</v>
      </c>
      <c r="K1367" s="21"/>
    </row>
    <row r="1368" spans="1:11" x14ac:dyDescent="0.2">
      <c r="A1368" s="4" t="s">
        <v>35</v>
      </c>
      <c r="B1368" s="3" t="s">
        <v>14</v>
      </c>
      <c r="C1368" s="25">
        <v>40239</v>
      </c>
      <c r="D1368" s="63">
        <v>0.18149999999999999</v>
      </c>
      <c r="E1368" s="67"/>
      <c r="F1368" s="26">
        <v>40238</v>
      </c>
      <c r="G1368" s="10">
        <f>IF(Tabela4[[#This Row],[Tipo]]="Dividendo",Tabela4[[#This Row],[Valor]],IF(Tabela4[[#This Row],[Tipo]]="Jrs. Cap. Próprio",Tabela4[[#This Row],[Valor]]*85%,0))</f>
        <v>0.154275</v>
      </c>
      <c r="K1368" s="21"/>
    </row>
    <row r="1369" spans="1:11" x14ac:dyDescent="0.2">
      <c r="A1369" s="4" t="s">
        <v>35</v>
      </c>
      <c r="B1369" s="3" t="s">
        <v>15</v>
      </c>
      <c r="C1369" s="25">
        <v>40235</v>
      </c>
      <c r="D1369" s="63">
        <v>1.4E-2</v>
      </c>
      <c r="E1369" s="67">
        <v>40269</v>
      </c>
      <c r="F1369" s="26">
        <v>40235</v>
      </c>
      <c r="G1369" s="10">
        <f>IF(Tabela4[[#This Row],[Tipo]]="Dividendo",Tabela4[[#This Row],[Valor]],IF(Tabela4[[#This Row],[Tipo]]="Jrs. Cap. Próprio",Tabela4[[#This Row],[Valor]]*85%,0))</f>
        <v>1.4E-2</v>
      </c>
      <c r="K1369" s="21"/>
    </row>
    <row r="1370" spans="1:11" x14ac:dyDescent="0.2">
      <c r="A1370" s="4" t="s">
        <v>35</v>
      </c>
      <c r="B1370" s="3" t="s">
        <v>14</v>
      </c>
      <c r="C1370" s="25">
        <v>40177</v>
      </c>
      <c r="D1370" s="63">
        <v>3.5000000000000003E-2</v>
      </c>
      <c r="E1370" s="67">
        <v>40247</v>
      </c>
      <c r="F1370" s="26">
        <v>40163</v>
      </c>
      <c r="G1370" s="10">
        <f>IF(Tabela4[[#This Row],[Tipo]]="Dividendo",Tabela4[[#This Row],[Valor]],IF(Tabela4[[#This Row],[Tipo]]="Jrs. Cap. Próprio",Tabela4[[#This Row],[Valor]]*85%,0))</f>
        <v>2.9750000000000002E-2</v>
      </c>
      <c r="K1370" s="21"/>
    </row>
    <row r="1371" spans="1:11" x14ac:dyDescent="0.2">
      <c r="A1371" s="4" t="s">
        <v>35</v>
      </c>
      <c r="B1371" s="3" t="s">
        <v>15</v>
      </c>
      <c r="C1371" s="25">
        <v>40147</v>
      </c>
      <c r="D1371" s="63">
        <v>1.4E-2</v>
      </c>
      <c r="E1371" s="67">
        <v>40182</v>
      </c>
      <c r="F1371" s="26">
        <v>40147</v>
      </c>
      <c r="G1371" s="10">
        <f>IF(Tabela4[[#This Row],[Tipo]]="Dividendo",Tabela4[[#This Row],[Valor]],IF(Tabela4[[#This Row],[Tipo]]="Jrs. Cap. Próprio",Tabela4[[#This Row],[Valor]]*85%,0))</f>
        <v>1.4E-2</v>
      </c>
      <c r="K1371" s="21"/>
    </row>
    <row r="1372" spans="1:11" x14ac:dyDescent="0.2">
      <c r="A1372" s="4" t="s">
        <v>35</v>
      </c>
      <c r="B1372" s="3" t="s">
        <v>15</v>
      </c>
      <c r="C1372" s="25">
        <v>40056</v>
      </c>
      <c r="D1372" s="63">
        <v>1.4E-2</v>
      </c>
      <c r="E1372" s="67">
        <v>40087</v>
      </c>
      <c r="F1372" s="26">
        <v>39762</v>
      </c>
      <c r="G1372" s="10">
        <f>IF(Tabela4[[#This Row],[Tipo]]="Dividendo",Tabela4[[#This Row],[Valor]],IF(Tabela4[[#This Row],[Tipo]]="Jrs. Cap. Próprio",Tabela4[[#This Row],[Valor]]*85%,0))</f>
        <v>1.4E-2</v>
      </c>
      <c r="K1372" s="21"/>
    </row>
    <row r="1373" spans="1:11" x14ac:dyDescent="0.2">
      <c r="A1373" s="4" t="s">
        <v>35</v>
      </c>
      <c r="B1373" s="3" t="s">
        <v>14</v>
      </c>
      <c r="C1373" s="25">
        <v>40046</v>
      </c>
      <c r="D1373" s="63">
        <v>5.1200000000000002E-2</v>
      </c>
      <c r="E1373" s="67">
        <v>40056</v>
      </c>
      <c r="F1373" s="26">
        <v>40037</v>
      </c>
      <c r="G1373" s="10">
        <f>IF(Tabela4[[#This Row],[Tipo]]="Dividendo",Tabela4[[#This Row],[Valor]],IF(Tabela4[[#This Row],[Tipo]]="Jrs. Cap. Próprio",Tabela4[[#This Row],[Valor]]*85%,0))</f>
        <v>4.3520000000000003E-2</v>
      </c>
      <c r="K1373" s="21"/>
    </row>
    <row r="1374" spans="1:11" x14ac:dyDescent="0.2">
      <c r="A1374" s="4" t="s">
        <v>35</v>
      </c>
      <c r="B1374" s="3" t="s">
        <v>15</v>
      </c>
      <c r="C1374" s="25">
        <v>39962</v>
      </c>
      <c r="D1374" s="63">
        <v>1.4E-2</v>
      </c>
      <c r="E1374" s="67">
        <v>39995</v>
      </c>
      <c r="F1374" s="26">
        <v>39962</v>
      </c>
      <c r="G1374" s="10">
        <f>IF(Tabela4[[#This Row],[Tipo]]="Dividendo",Tabela4[[#This Row],[Valor]],IF(Tabela4[[#This Row],[Tipo]]="Jrs. Cap. Próprio",Tabela4[[#This Row],[Valor]]*85%,0))</f>
        <v>1.4E-2</v>
      </c>
      <c r="K1374" s="21"/>
    </row>
    <row r="1375" spans="1:11" x14ac:dyDescent="0.2">
      <c r="A1375" s="4" t="s">
        <v>35</v>
      </c>
      <c r="B1375" s="3" t="s">
        <v>14</v>
      </c>
      <c r="C1375" s="25">
        <v>39881</v>
      </c>
      <c r="D1375" s="63">
        <v>0.26919999999999999</v>
      </c>
      <c r="E1375" s="67"/>
      <c r="F1375" s="26">
        <v>39874</v>
      </c>
      <c r="G1375" s="10">
        <f>IF(Tabela4[[#This Row],[Tipo]]="Dividendo",Tabela4[[#This Row],[Valor]],IF(Tabela4[[#This Row],[Tipo]]="Jrs. Cap. Próprio",Tabela4[[#This Row],[Valor]]*85%,0))</f>
        <v>0.22882</v>
      </c>
      <c r="K1375" s="21"/>
    </row>
    <row r="1376" spans="1:11" x14ac:dyDescent="0.2">
      <c r="A1376" s="4" t="s">
        <v>35</v>
      </c>
      <c r="B1376" s="3" t="s">
        <v>15</v>
      </c>
      <c r="C1376" s="25">
        <v>39871</v>
      </c>
      <c r="D1376" s="63">
        <v>1.4E-2</v>
      </c>
      <c r="E1376" s="67">
        <v>39904</v>
      </c>
      <c r="F1376" s="26">
        <v>39871</v>
      </c>
      <c r="G1376" s="10">
        <f>IF(Tabela4[[#This Row],[Tipo]]="Dividendo",Tabela4[[#This Row],[Valor]],IF(Tabela4[[#This Row],[Tipo]]="Jrs. Cap. Próprio",Tabela4[[#This Row],[Valor]]*85%,0))</f>
        <v>1.4E-2</v>
      </c>
      <c r="K1376" s="21"/>
    </row>
    <row r="1377" spans="1:15" x14ac:dyDescent="0.2">
      <c r="A1377" s="4" t="s">
        <v>35</v>
      </c>
      <c r="B1377" s="3" t="s">
        <v>14</v>
      </c>
      <c r="C1377" s="25">
        <v>39812</v>
      </c>
      <c r="D1377" s="63">
        <v>4.2700000000000002E-2</v>
      </c>
      <c r="E1377" s="67">
        <v>39889</v>
      </c>
      <c r="F1377" s="26">
        <v>39800</v>
      </c>
      <c r="G1377" s="10">
        <f>IF(Tabela4[[#This Row],[Tipo]]="Dividendo",Tabela4[[#This Row],[Valor]],IF(Tabela4[[#This Row],[Tipo]]="Jrs. Cap. Próprio",Tabela4[[#This Row],[Valor]]*85%,0))</f>
        <v>3.6295000000000001E-2</v>
      </c>
      <c r="K1377" s="21"/>
    </row>
    <row r="1378" spans="1:15" x14ac:dyDescent="0.2">
      <c r="A1378" s="4" t="s">
        <v>35</v>
      </c>
      <c r="B1378" s="3" t="s">
        <v>15</v>
      </c>
      <c r="C1378" s="25">
        <v>39780</v>
      </c>
      <c r="D1378" s="63">
        <v>1.4E-2</v>
      </c>
      <c r="E1378" s="67">
        <v>39815</v>
      </c>
      <c r="F1378" s="26">
        <v>39762</v>
      </c>
      <c r="G1378" s="10">
        <f>IF(Tabela4[[#This Row],[Tipo]]="Dividendo",Tabela4[[#This Row],[Valor]],IF(Tabela4[[#This Row],[Tipo]]="Jrs. Cap. Próprio",Tabela4[[#This Row],[Valor]]*85%,0))</f>
        <v>1.4E-2</v>
      </c>
      <c r="K1378" s="21"/>
    </row>
    <row r="1379" spans="1:15" x14ac:dyDescent="0.2">
      <c r="A1379" s="4" t="s">
        <v>35</v>
      </c>
      <c r="B1379" s="3" t="s">
        <v>15</v>
      </c>
      <c r="C1379" s="80">
        <v>39709</v>
      </c>
      <c r="D1379" s="63">
        <v>1.4E-2</v>
      </c>
      <c r="E1379" s="81">
        <v>39722</v>
      </c>
      <c r="F1379" s="81">
        <v>39708</v>
      </c>
      <c r="G1379" s="10">
        <f>IF(Tabela4[[#This Row],[Tipo]]="Dividendo",Tabela4[[#This Row],[Valor]],IF(Tabela4[[#This Row],[Tipo]]="Jrs. Cap. Próprio",Tabela4[[#This Row],[Valor]]*85%,0))</f>
        <v>1.4E-2</v>
      </c>
      <c r="K1379" s="21"/>
    </row>
    <row r="1380" spans="1:15" x14ac:dyDescent="0.2">
      <c r="A1380" s="4" t="s">
        <v>35</v>
      </c>
      <c r="B1380" s="3" t="s">
        <v>15</v>
      </c>
      <c r="C1380" s="80">
        <v>39675</v>
      </c>
      <c r="D1380" s="63">
        <v>4.3499999999999997E-2</v>
      </c>
      <c r="E1380" s="81">
        <v>39685</v>
      </c>
      <c r="F1380" s="81">
        <v>39671</v>
      </c>
      <c r="G1380" s="10">
        <f>IF(Tabela4[[#This Row],[Tipo]]="Dividendo",Tabela4[[#This Row],[Valor]],IF(Tabela4[[#This Row],[Tipo]]="Jrs. Cap. Próprio",Tabela4[[#This Row],[Valor]]*85%,0))</f>
        <v>4.3499999999999997E-2</v>
      </c>
      <c r="K1380" s="21"/>
    </row>
    <row r="1381" spans="1:15" x14ac:dyDescent="0.2">
      <c r="A1381" s="4" t="s">
        <v>35</v>
      </c>
      <c r="B1381" s="3" t="s">
        <v>15</v>
      </c>
      <c r="C1381" s="80">
        <v>39619</v>
      </c>
      <c r="D1381" s="63">
        <v>1.4E-2</v>
      </c>
      <c r="E1381" s="81">
        <v>39630</v>
      </c>
      <c r="F1381" s="81">
        <v>39548</v>
      </c>
      <c r="G1381" s="10">
        <f>IF(Tabela4[[#This Row],[Tipo]]="Dividendo",Tabela4[[#This Row],[Valor]],IF(Tabela4[[#This Row],[Tipo]]="Jrs. Cap. Próprio",Tabela4[[#This Row],[Valor]]*85%,0))</f>
        <v>1.4E-2</v>
      </c>
      <c r="K1381" s="21"/>
    </row>
    <row r="1382" spans="1:15" x14ac:dyDescent="0.2">
      <c r="A1382" s="4" t="s">
        <v>35</v>
      </c>
      <c r="B1382" s="3" t="s">
        <v>14</v>
      </c>
      <c r="C1382" s="25">
        <v>39500</v>
      </c>
      <c r="D1382" s="63">
        <v>0.25800000000000001</v>
      </c>
      <c r="E1382" s="67"/>
      <c r="F1382" s="26">
        <v>39496</v>
      </c>
      <c r="G1382" s="10">
        <f>IF(Tabela4[[#This Row],[Tipo]]="Dividendo",Tabela4[[#This Row],[Valor]],IF(Tabela4[[#This Row],[Tipo]]="Jrs. Cap. Próprio",Tabela4[[#This Row],[Valor]]*85%,0))</f>
        <v>0.21929999999999999</v>
      </c>
      <c r="K1382" s="21"/>
    </row>
    <row r="1383" spans="1:15" x14ac:dyDescent="0.2">
      <c r="A1383" s="4" t="s">
        <v>35</v>
      </c>
      <c r="B1383" s="3" t="s">
        <v>15</v>
      </c>
      <c r="C1383" s="25">
        <v>39500</v>
      </c>
      <c r="D1383" s="63">
        <v>1.2E-2</v>
      </c>
      <c r="E1383" s="67">
        <v>39539</v>
      </c>
      <c r="F1383" s="26">
        <v>39496</v>
      </c>
      <c r="G1383" s="10">
        <f>IF(Tabela4[[#This Row],[Tipo]]="Dividendo",Tabela4[[#This Row],[Valor]],IF(Tabela4[[#This Row],[Tipo]]="Jrs. Cap. Próprio",Tabela4[[#This Row],[Valor]]*85%,0))</f>
        <v>1.2E-2</v>
      </c>
      <c r="K1383" s="21"/>
      <c r="O1383" s="26"/>
    </row>
    <row r="1384" spans="1:15" x14ac:dyDescent="0.2">
      <c r="A1384" s="4" t="s">
        <v>35</v>
      </c>
      <c r="B1384" s="3" t="s">
        <v>14</v>
      </c>
      <c r="C1384" s="25">
        <v>39412</v>
      </c>
      <c r="D1384" s="63">
        <v>2.3E-2</v>
      </c>
      <c r="E1384" s="67">
        <v>39510</v>
      </c>
      <c r="F1384" s="26">
        <v>39398</v>
      </c>
      <c r="G1384" s="10">
        <f>IF(Tabela4[[#This Row],[Tipo]]="Dividendo",Tabela4[[#This Row],[Valor]],IF(Tabela4[[#This Row],[Tipo]]="Jrs. Cap. Próprio",Tabela4[[#This Row],[Valor]]*85%,0))</f>
        <v>1.9549999999999998E-2</v>
      </c>
      <c r="K1384" s="21"/>
      <c r="O1384" s="26"/>
    </row>
    <row r="1385" spans="1:15" x14ac:dyDescent="0.2">
      <c r="A1385" s="4" t="s">
        <v>35</v>
      </c>
      <c r="B1385" s="3" t="s">
        <v>15</v>
      </c>
      <c r="C1385" s="25">
        <v>39412</v>
      </c>
      <c r="D1385" s="63">
        <v>1.2E-2</v>
      </c>
      <c r="E1385" s="67">
        <v>39449</v>
      </c>
      <c r="F1385" s="26">
        <v>39398</v>
      </c>
      <c r="G1385" s="10">
        <f>IF(Tabela4[[#This Row],[Tipo]]="Dividendo",Tabela4[[#This Row],[Valor]],IF(Tabela4[[#This Row],[Tipo]]="Jrs. Cap. Próprio",Tabela4[[#This Row],[Valor]]*85%,0))</f>
        <v>1.2E-2</v>
      </c>
      <c r="K1385" s="21"/>
      <c r="O1385" s="26"/>
    </row>
    <row r="1386" spans="1:15" x14ac:dyDescent="0.2">
      <c r="A1386" s="4" t="s">
        <v>35</v>
      </c>
      <c r="B1386" s="3" t="s">
        <v>15</v>
      </c>
      <c r="C1386" s="25">
        <v>39343</v>
      </c>
      <c r="D1386" s="63">
        <v>1.2E-2</v>
      </c>
      <c r="E1386" s="67">
        <v>39356</v>
      </c>
      <c r="F1386" s="26">
        <v>39342</v>
      </c>
      <c r="G1386" s="10">
        <f>IF(Tabela4[[#This Row],[Tipo]]="Dividendo",Tabela4[[#This Row],[Valor]],IF(Tabela4[[#This Row],[Tipo]]="Jrs. Cap. Próprio",Tabela4[[#This Row],[Valor]]*85%,0))</f>
        <v>1.2E-2</v>
      </c>
      <c r="K1386" s="21"/>
      <c r="O1386" s="26"/>
    </row>
    <row r="1387" spans="1:15" x14ac:dyDescent="0.2">
      <c r="A1387" s="4" t="s">
        <v>35</v>
      </c>
      <c r="B1387" s="3" t="s">
        <v>14</v>
      </c>
      <c r="C1387" s="25">
        <v>39311</v>
      </c>
      <c r="D1387" s="63">
        <v>5.0999999999999997E-2</v>
      </c>
      <c r="E1387" s="67">
        <v>39321</v>
      </c>
      <c r="F1387" s="26">
        <v>39307</v>
      </c>
      <c r="G1387" s="10">
        <f>IF(Tabela4[[#This Row],[Tipo]]="Dividendo",Tabela4[[#This Row],[Valor]],IF(Tabela4[[#This Row],[Tipo]]="Jrs. Cap. Próprio",Tabela4[[#This Row],[Valor]]*85%,0))</f>
        <v>4.3349999999999993E-2</v>
      </c>
      <c r="K1387" s="21"/>
      <c r="O1387" s="26"/>
    </row>
    <row r="1388" spans="1:15" x14ac:dyDescent="0.2">
      <c r="A1388" s="4" t="s">
        <v>35</v>
      </c>
      <c r="B1388" s="3" t="s">
        <v>15</v>
      </c>
      <c r="C1388" s="25">
        <v>39254</v>
      </c>
      <c r="D1388" s="63">
        <v>1.2E-2</v>
      </c>
      <c r="E1388" s="67">
        <v>39265</v>
      </c>
      <c r="F1388" s="26">
        <v>39253</v>
      </c>
      <c r="G1388" s="10">
        <f>IF(Tabela4[[#This Row],[Tipo]]="Dividendo",Tabela4[[#This Row],[Valor]],IF(Tabela4[[#This Row],[Tipo]]="Jrs. Cap. Próprio",Tabela4[[#This Row],[Valor]]*85%,0))</f>
        <v>1.2E-2</v>
      </c>
      <c r="K1388" s="21"/>
      <c r="O1388" s="26"/>
    </row>
    <row r="1389" spans="1:15" x14ac:dyDescent="0.2">
      <c r="A1389" s="4" t="s">
        <v>35</v>
      </c>
      <c r="B1389" s="3" t="s">
        <v>14</v>
      </c>
      <c r="C1389" s="25">
        <v>39140</v>
      </c>
      <c r="D1389" s="63">
        <v>0.19769999999999999</v>
      </c>
      <c r="E1389" s="67">
        <v>39174</v>
      </c>
      <c r="F1389" s="26">
        <v>39139</v>
      </c>
      <c r="G1389" s="10">
        <f>IF(Tabela4[[#This Row],[Tipo]]="Dividendo",Tabela4[[#This Row],[Valor]],IF(Tabela4[[#This Row],[Tipo]]="Jrs. Cap. Próprio",Tabela4[[#This Row],[Valor]]*85%,0))</f>
        <v>0.16804499999999997</v>
      </c>
      <c r="K1389" s="21"/>
      <c r="O1389" s="26"/>
    </row>
    <row r="1390" spans="1:15" x14ac:dyDescent="0.2">
      <c r="A1390" s="4" t="s">
        <v>35</v>
      </c>
      <c r="B1390" s="3" t="s">
        <v>14</v>
      </c>
      <c r="C1390" s="25">
        <v>39070</v>
      </c>
      <c r="D1390" s="63">
        <v>0.13950000000000001</v>
      </c>
      <c r="E1390" s="67">
        <v>39159</v>
      </c>
      <c r="F1390" s="26">
        <v>39069</v>
      </c>
      <c r="G1390" s="10">
        <f>IF(Tabela4[[#This Row],[Tipo]]="Dividendo",Tabela4[[#This Row],[Valor]],IF(Tabela4[[#This Row],[Tipo]]="Jrs. Cap. Próprio",Tabela4[[#This Row],[Valor]]*85%,0))</f>
        <v>0.11857500000000001</v>
      </c>
      <c r="K1390" s="21"/>
      <c r="O1390" s="26"/>
    </row>
    <row r="1391" spans="1:15" x14ac:dyDescent="0.2">
      <c r="A1391" s="4" t="s">
        <v>35</v>
      </c>
      <c r="B1391" s="3" t="s">
        <v>14</v>
      </c>
      <c r="C1391" s="25">
        <v>38981</v>
      </c>
      <c r="D1391" s="63">
        <v>1.2E-2</v>
      </c>
      <c r="E1391" s="67">
        <v>38992</v>
      </c>
      <c r="F1391" s="26">
        <v>38980</v>
      </c>
      <c r="G1391" s="10">
        <f>IF(Tabela4[[#This Row],[Tipo]]="Dividendo",Tabela4[[#This Row],[Valor]],IF(Tabela4[[#This Row],[Tipo]]="Jrs. Cap. Próprio",Tabela4[[#This Row],[Valor]]*85%,0))</f>
        <v>1.0200000000000001E-2</v>
      </c>
      <c r="K1391" s="21"/>
      <c r="O1391" s="26"/>
    </row>
    <row r="1392" spans="1:15" x14ac:dyDescent="0.2">
      <c r="A1392" s="4" t="s">
        <v>35</v>
      </c>
      <c r="B1392" s="3" t="s">
        <v>14</v>
      </c>
      <c r="C1392" s="25">
        <v>38940</v>
      </c>
      <c r="D1392" s="63">
        <v>4.8000000000000001E-2</v>
      </c>
      <c r="E1392" s="67">
        <v>38950</v>
      </c>
      <c r="F1392" s="26">
        <v>38936</v>
      </c>
      <c r="G1392" s="10">
        <f>IF(Tabela4[[#This Row],[Tipo]]="Dividendo",Tabela4[[#This Row],[Valor]],IF(Tabela4[[#This Row],[Tipo]]="Jrs. Cap. Próprio",Tabela4[[#This Row],[Valor]]*85%,0))</f>
        <v>4.0800000000000003E-2</v>
      </c>
      <c r="K1392" s="21"/>
      <c r="O1392" s="26"/>
    </row>
    <row r="1393" spans="1:15" x14ac:dyDescent="0.2">
      <c r="A1393" s="4" t="s">
        <v>35</v>
      </c>
      <c r="B1393" s="3" t="s">
        <v>14</v>
      </c>
      <c r="C1393" s="25">
        <v>38891</v>
      </c>
      <c r="D1393" s="63">
        <v>1.2E-2</v>
      </c>
      <c r="E1393" s="67">
        <v>38901</v>
      </c>
      <c r="F1393" s="26">
        <v>38782</v>
      </c>
      <c r="G1393" s="10">
        <f>IF(Tabela4[[#This Row],[Tipo]]="Dividendo",Tabela4[[#This Row],[Valor]],IF(Tabela4[[#This Row],[Tipo]]="Jrs. Cap. Próprio",Tabela4[[#This Row],[Valor]]*85%,0))</f>
        <v>1.0200000000000001E-2</v>
      </c>
      <c r="K1393" s="21"/>
      <c r="O1393" s="26"/>
    </row>
    <row r="1394" spans="1:15" x14ac:dyDescent="0.2">
      <c r="A1394" s="4" t="s">
        <v>35</v>
      </c>
      <c r="B1394" s="3" t="s">
        <v>14</v>
      </c>
      <c r="C1394" s="25">
        <v>38783</v>
      </c>
      <c r="D1394" s="63">
        <v>3.95E-2</v>
      </c>
      <c r="E1394" s="67">
        <v>38789</v>
      </c>
      <c r="F1394" s="26">
        <v>38783</v>
      </c>
      <c r="G1394" s="10">
        <f>IF(Tabela4[[#This Row],[Tipo]]="Dividendo",Tabela4[[#This Row],[Valor]],IF(Tabela4[[#This Row],[Tipo]]="Jrs. Cap. Próprio",Tabela4[[#This Row],[Valor]]*85%,0))</f>
        <v>3.3575000000000001E-2</v>
      </c>
      <c r="K1394" s="21"/>
      <c r="O1394" s="26"/>
    </row>
    <row r="1395" spans="1:15" x14ac:dyDescent="0.2">
      <c r="A1395" s="4" t="s">
        <v>35</v>
      </c>
      <c r="B1395" s="3" t="s">
        <v>14</v>
      </c>
      <c r="C1395" s="25">
        <v>38712</v>
      </c>
      <c r="D1395" s="63">
        <v>0.1835</v>
      </c>
      <c r="E1395" s="67">
        <v>38719</v>
      </c>
      <c r="F1395" s="26">
        <v>38707</v>
      </c>
      <c r="G1395" s="10">
        <f>IF(Tabela4[[#This Row],[Tipo]]="Dividendo",Tabela4[[#This Row],[Valor]],IF(Tabela4[[#This Row],[Tipo]]="Jrs. Cap. Próprio",Tabela4[[#This Row],[Valor]]*85%,0))</f>
        <v>0.155975</v>
      </c>
      <c r="K1395" s="21"/>
      <c r="O1395" s="26"/>
    </row>
    <row r="1396" spans="1:15" x14ac:dyDescent="0.2">
      <c r="A1396" s="4" t="s">
        <v>35</v>
      </c>
      <c r="B1396" s="3" t="s">
        <v>14</v>
      </c>
      <c r="C1396" s="25">
        <v>38615</v>
      </c>
      <c r="D1396" s="63">
        <v>9.4999999999999998E-3</v>
      </c>
      <c r="E1396" s="67">
        <v>38628</v>
      </c>
      <c r="F1396" s="26">
        <v>38614</v>
      </c>
      <c r="G1396" s="10">
        <f>IF(Tabela4[[#This Row],[Tipo]]="Dividendo",Tabela4[[#This Row],[Valor]],IF(Tabela4[[#This Row],[Tipo]]="Jrs. Cap. Próprio",Tabela4[[#This Row],[Valor]]*85%,0))</f>
        <v>8.0749999999999988E-3</v>
      </c>
      <c r="K1396" s="21"/>
      <c r="O1396" s="26"/>
    </row>
    <row r="1397" spans="1:15" x14ac:dyDescent="0.2">
      <c r="A1397" s="4" t="s">
        <v>35</v>
      </c>
      <c r="B1397" s="3" t="s">
        <v>14</v>
      </c>
      <c r="C1397" s="25">
        <v>38576</v>
      </c>
      <c r="D1397" s="63">
        <v>3.7999999999999999E-2</v>
      </c>
      <c r="E1397" s="67">
        <v>38586</v>
      </c>
      <c r="F1397" s="26">
        <v>38572</v>
      </c>
      <c r="G1397" s="10">
        <f>IF(Tabela4[[#This Row],[Tipo]]="Dividendo",Tabela4[[#This Row],[Valor]],IF(Tabela4[[#This Row],[Tipo]]="Jrs. Cap. Próprio",Tabela4[[#This Row],[Valor]]*85%,0))</f>
        <v>3.2299999999999995E-2</v>
      </c>
      <c r="K1397" s="21"/>
      <c r="O1397" s="26"/>
    </row>
    <row r="1398" spans="1:15" x14ac:dyDescent="0.2">
      <c r="A1398" s="4" t="s">
        <v>35</v>
      </c>
      <c r="B1398" s="3" t="s">
        <v>14</v>
      </c>
      <c r="C1398" s="25">
        <v>38526</v>
      </c>
      <c r="D1398" s="63">
        <v>9.4999999999999998E-3</v>
      </c>
      <c r="E1398" s="67">
        <v>38534</v>
      </c>
      <c r="F1398" s="26">
        <v>38481</v>
      </c>
      <c r="G1398" s="10">
        <f>IF(Tabela4[[#This Row],[Tipo]]="Dividendo",Tabela4[[#This Row],[Valor]],IF(Tabela4[[#This Row],[Tipo]]="Jrs. Cap. Próprio",Tabela4[[#This Row],[Valor]]*85%,0))</f>
        <v>8.0749999999999988E-3</v>
      </c>
      <c r="K1398" s="21"/>
      <c r="O1398" s="26"/>
    </row>
    <row r="1399" spans="1:15" x14ac:dyDescent="0.2">
      <c r="A1399" s="4" t="s">
        <v>35</v>
      </c>
      <c r="B1399" s="3" t="s">
        <v>14</v>
      </c>
      <c r="C1399" s="25">
        <v>38418</v>
      </c>
      <c r="D1399" s="63">
        <v>3.1800000000000002E-2</v>
      </c>
      <c r="E1399" s="67">
        <v>38443</v>
      </c>
      <c r="F1399" s="26">
        <v>38418</v>
      </c>
      <c r="G1399" s="10">
        <f>IF(Tabela4[[#This Row],[Tipo]]="Dividendo",Tabela4[[#This Row],[Valor]],IF(Tabela4[[#This Row],[Tipo]]="Jrs. Cap. Próprio",Tabela4[[#This Row],[Valor]]*85%,0))</f>
        <v>2.7030000000000002E-2</v>
      </c>
      <c r="K1399" s="21"/>
      <c r="O1399" s="26"/>
    </row>
    <row r="1400" spans="1:15" x14ac:dyDescent="0.2">
      <c r="A1400" s="4" t="s">
        <v>35</v>
      </c>
      <c r="B1400" s="3" t="s">
        <v>14</v>
      </c>
      <c r="C1400" s="25">
        <v>38328</v>
      </c>
      <c r="D1400" s="63">
        <v>0.14499999999999999</v>
      </c>
      <c r="E1400" s="67">
        <v>38355</v>
      </c>
      <c r="F1400" s="26">
        <v>38327</v>
      </c>
      <c r="G1400" s="10">
        <f>IF(Tabela4[[#This Row],[Tipo]]="Dividendo",Tabela4[[#This Row],[Valor]],IF(Tabela4[[#This Row],[Tipo]]="Jrs. Cap. Próprio",Tabela4[[#This Row],[Valor]]*85%,0))</f>
        <v>0.12324999999999998</v>
      </c>
      <c r="K1400" s="21"/>
      <c r="O1400" s="26"/>
    </row>
    <row r="1401" spans="1:15" x14ac:dyDescent="0.2">
      <c r="A1401" s="4" t="s">
        <v>35</v>
      </c>
      <c r="B1401" s="3" t="s">
        <v>14</v>
      </c>
      <c r="C1401" s="25">
        <v>38251</v>
      </c>
      <c r="D1401" s="63">
        <v>7.3000000000000001E-3</v>
      </c>
      <c r="E1401" s="67">
        <v>38261</v>
      </c>
      <c r="F1401" s="26">
        <v>38250</v>
      </c>
      <c r="G1401" s="10">
        <f>IF(Tabela4[[#This Row],[Tipo]]="Dividendo",Tabela4[[#This Row],[Valor]],IF(Tabela4[[#This Row],[Tipo]]="Jrs. Cap. Próprio",Tabela4[[#This Row],[Valor]]*85%,0))</f>
        <v>6.2049999999999996E-3</v>
      </c>
      <c r="K1401" s="21"/>
      <c r="O1401" s="26"/>
    </row>
    <row r="1402" spans="1:15" x14ac:dyDescent="0.2">
      <c r="A1402" s="4" t="s">
        <v>35</v>
      </c>
      <c r="B1402" s="3" t="s">
        <v>14</v>
      </c>
      <c r="C1402" s="25">
        <v>38212</v>
      </c>
      <c r="D1402" s="63">
        <v>2.46E-2</v>
      </c>
      <c r="E1402" s="67">
        <v>38222</v>
      </c>
      <c r="F1402" s="26">
        <v>38208</v>
      </c>
      <c r="G1402" s="10">
        <f>IF(Tabela4[[#This Row],[Tipo]]="Dividendo",Tabela4[[#This Row],[Valor]],IF(Tabela4[[#This Row],[Tipo]]="Jrs. Cap. Próprio",Tabela4[[#This Row],[Valor]]*85%,0))</f>
        <v>2.0909999999999998E-2</v>
      </c>
      <c r="K1402" s="21"/>
      <c r="O1402" s="26"/>
    </row>
    <row r="1403" spans="1:15" x14ac:dyDescent="0.2">
      <c r="A1403" s="4" t="s">
        <v>35</v>
      </c>
      <c r="B1403" s="3" t="s">
        <v>14</v>
      </c>
      <c r="C1403" s="25">
        <v>38159</v>
      </c>
      <c r="D1403" s="63">
        <v>7.3000000000000001E-3</v>
      </c>
      <c r="E1403" s="67">
        <v>38169</v>
      </c>
      <c r="F1403" s="26">
        <v>38117</v>
      </c>
      <c r="G1403" s="10">
        <f>IF(Tabela4[[#This Row],[Tipo]]="Dividendo",Tabela4[[#This Row],[Valor]],IF(Tabela4[[#This Row],[Tipo]]="Jrs. Cap. Próprio",Tabela4[[#This Row],[Valor]]*85%,0))</f>
        <v>6.2049999999999996E-3</v>
      </c>
      <c r="K1403" s="21"/>
      <c r="O1403" s="26"/>
    </row>
    <row r="1404" spans="1:15" x14ac:dyDescent="0.2">
      <c r="A1404" s="4" t="s">
        <v>35</v>
      </c>
      <c r="B1404" s="3" t="s">
        <v>14</v>
      </c>
      <c r="C1404" s="25">
        <v>38055</v>
      </c>
      <c r="D1404" s="63">
        <v>5.5999999999999999E-3</v>
      </c>
      <c r="E1404" s="67">
        <v>38078</v>
      </c>
      <c r="F1404" s="26">
        <v>38054</v>
      </c>
      <c r="G1404" s="10">
        <f>IF(Tabela4[[#This Row],[Tipo]]="Dividendo",Tabela4[[#This Row],[Valor]],IF(Tabela4[[#This Row],[Tipo]]="Jrs. Cap. Próprio",Tabela4[[#This Row],[Valor]]*85%,0))</f>
        <v>4.7599999999999995E-3</v>
      </c>
      <c r="K1404" s="21"/>
      <c r="O1404" s="26"/>
    </row>
    <row r="1405" spans="1:15" x14ac:dyDescent="0.2">
      <c r="A1405" s="4" t="s">
        <v>35</v>
      </c>
      <c r="B1405" s="3" t="s">
        <v>14</v>
      </c>
      <c r="C1405" s="25">
        <v>38034</v>
      </c>
      <c r="D1405" s="63">
        <v>1.46E-2</v>
      </c>
      <c r="E1405" s="67">
        <v>38051</v>
      </c>
      <c r="F1405" s="26">
        <v>38033</v>
      </c>
      <c r="G1405" s="10">
        <f>IF(Tabela4[[#This Row],[Tipo]]="Dividendo",Tabela4[[#This Row],[Valor]],IF(Tabela4[[#This Row],[Tipo]]="Jrs. Cap. Próprio",Tabela4[[#This Row],[Valor]]*85%,0))</f>
        <v>1.2409999999999999E-2</v>
      </c>
      <c r="K1405" s="21"/>
      <c r="O1405" s="26"/>
    </row>
    <row r="1406" spans="1:15" x14ac:dyDescent="0.2">
      <c r="A1406" s="4" t="s">
        <v>35</v>
      </c>
      <c r="B1406" s="3" t="s">
        <v>14</v>
      </c>
      <c r="C1406" s="25">
        <v>37971</v>
      </c>
      <c r="D1406" s="63">
        <v>0.1391</v>
      </c>
      <c r="E1406" s="67">
        <v>37988</v>
      </c>
      <c r="F1406" s="26">
        <v>37970</v>
      </c>
      <c r="G1406" s="10">
        <f>IF(Tabela4[[#This Row],[Tipo]]="Dividendo",Tabela4[[#This Row],[Valor]],IF(Tabela4[[#This Row],[Tipo]]="Jrs. Cap. Próprio",Tabela4[[#This Row],[Valor]]*85%,0))</f>
        <v>0.11823499999999999</v>
      </c>
      <c r="K1406" s="21"/>
      <c r="O1406" s="26"/>
    </row>
    <row r="1407" spans="1:15" x14ac:dyDescent="0.2">
      <c r="A1407" s="4" t="s">
        <v>35</v>
      </c>
      <c r="B1407" s="3" t="s">
        <v>14</v>
      </c>
      <c r="C1407" s="25">
        <v>37882</v>
      </c>
      <c r="D1407" s="63">
        <v>5.5999999999999999E-3</v>
      </c>
      <c r="E1407" s="67">
        <v>37895</v>
      </c>
      <c r="F1407" s="26">
        <v>37881</v>
      </c>
      <c r="G1407" s="10">
        <f>IF(Tabela4[[#This Row],[Tipo]]="Dividendo",Tabela4[[#This Row],[Valor]],IF(Tabela4[[#This Row],[Tipo]]="Jrs. Cap. Próprio",Tabela4[[#This Row],[Valor]]*85%,0))</f>
        <v>4.7599999999999995E-3</v>
      </c>
      <c r="K1407" s="21"/>
      <c r="O1407" s="26"/>
    </row>
    <row r="1408" spans="1:15" x14ac:dyDescent="0.2">
      <c r="A1408" s="4" t="s">
        <v>35</v>
      </c>
      <c r="B1408" s="3" t="s">
        <v>14</v>
      </c>
      <c r="C1408" s="25">
        <v>37848</v>
      </c>
      <c r="D1408" s="63">
        <v>2.0500000000000001E-2</v>
      </c>
      <c r="E1408" s="67">
        <v>37858</v>
      </c>
      <c r="F1408" s="26">
        <v>37844</v>
      </c>
      <c r="G1408" s="10">
        <f>IF(Tabela4[[#This Row],[Tipo]]="Dividendo",Tabela4[[#This Row],[Valor]],IF(Tabela4[[#This Row],[Tipo]]="Jrs. Cap. Próprio",Tabela4[[#This Row],[Valor]]*85%,0))</f>
        <v>1.7425E-2</v>
      </c>
      <c r="K1408" s="21"/>
      <c r="O1408" s="26"/>
    </row>
    <row r="1409" spans="1:15" x14ac:dyDescent="0.2">
      <c r="A1409" s="4" t="s">
        <v>35</v>
      </c>
      <c r="B1409" s="3" t="s">
        <v>14</v>
      </c>
      <c r="C1409" s="25">
        <v>37790</v>
      </c>
      <c r="D1409" s="63">
        <v>5.5999999999999999E-3</v>
      </c>
      <c r="E1409" s="67">
        <v>37803</v>
      </c>
      <c r="F1409" s="26">
        <v>37697</v>
      </c>
      <c r="G1409" s="10">
        <f>IF(Tabela4[[#This Row],[Tipo]]="Dividendo",Tabela4[[#This Row],[Valor]],IF(Tabela4[[#This Row],[Tipo]]="Jrs. Cap. Próprio",Tabela4[[#This Row],[Valor]]*85%,0))</f>
        <v>4.7599999999999995E-3</v>
      </c>
      <c r="K1409" s="21"/>
      <c r="O1409" s="26"/>
    </row>
    <row r="1410" spans="1:15" x14ac:dyDescent="0.2">
      <c r="A1410" s="4" t="s">
        <v>35</v>
      </c>
      <c r="B1410" s="3" t="s">
        <v>14</v>
      </c>
      <c r="C1410" s="25">
        <v>37698</v>
      </c>
      <c r="D1410" s="63">
        <v>5.2999999999999999E-2</v>
      </c>
      <c r="E1410" s="67">
        <v>37712</v>
      </c>
      <c r="F1410" s="26">
        <v>37697</v>
      </c>
      <c r="G1410" s="10">
        <f>IF(Tabela4[[#This Row],[Tipo]]="Dividendo",Tabela4[[#This Row],[Valor]],IF(Tabela4[[#This Row],[Tipo]]="Jrs. Cap. Próprio",Tabela4[[#This Row],[Valor]]*85%,0))</f>
        <v>4.505E-2</v>
      </c>
      <c r="K1410" s="21"/>
      <c r="O1410" s="26"/>
    </row>
    <row r="1411" spans="1:15" x14ac:dyDescent="0.2">
      <c r="A1411" s="4" t="s">
        <v>35</v>
      </c>
      <c r="B1411" s="3" t="s">
        <v>14</v>
      </c>
      <c r="C1411" s="25">
        <v>37606</v>
      </c>
      <c r="D1411" s="63">
        <v>5.16E-2</v>
      </c>
      <c r="E1411" s="67">
        <v>37708</v>
      </c>
      <c r="F1411" s="26">
        <v>37603</v>
      </c>
      <c r="G1411" s="10">
        <f>IF(Tabela4[[#This Row],[Tipo]]="Dividendo",Tabela4[[#This Row],[Valor]],IF(Tabela4[[#This Row],[Tipo]]="Jrs. Cap. Próprio",Tabela4[[#This Row],[Valor]]*85%,0))</f>
        <v>4.3859999999999996E-2</v>
      </c>
      <c r="K1411" s="21"/>
      <c r="O1411" s="26"/>
    </row>
    <row r="1412" spans="1:15" x14ac:dyDescent="0.2">
      <c r="A1412" s="4" t="s">
        <v>35</v>
      </c>
      <c r="B1412" s="3" t="s">
        <v>14</v>
      </c>
      <c r="C1412" s="25">
        <v>37516</v>
      </c>
      <c r="D1412" s="63">
        <v>4.0000000000000001E-3</v>
      </c>
      <c r="E1412" s="67">
        <v>37530</v>
      </c>
      <c r="F1412" s="26">
        <v>37515</v>
      </c>
      <c r="G1412" s="10">
        <f>IF(Tabela4[[#This Row],[Tipo]]="Dividendo",Tabela4[[#This Row],[Valor]],IF(Tabela4[[#This Row],[Tipo]]="Jrs. Cap. Próprio",Tabela4[[#This Row],[Valor]]*85%,0))</f>
        <v>3.3999999999999998E-3</v>
      </c>
      <c r="K1412" s="21"/>
      <c r="O1412" s="26"/>
    </row>
    <row r="1413" spans="1:15" x14ac:dyDescent="0.2">
      <c r="A1413" s="4" t="s">
        <v>35</v>
      </c>
      <c r="B1413" s="3" t="s">
        <v>14</v>
      </c>
      <c r="C1413" s="25">
        <v>37481</v>
      </c>
      <c r="D1413" s="63">
        <v>1.9E-2</v>
      </c>
      <c r="E1413" s="67">
        <v>37501</v>
      </c>
      <c r="F1413" s="26">
        <v>37480</v>
      </c>
      <c r="G1413" s="10">
        <f>IF(Tabela4[[#This Row],[Tipo]]="Dividendo",Tabela4[[#This Row],[Valor]],IF(Tabela4[[#This Row],[Tipo]]="Jrs. Cap. Próprio",Tabela4[[#This Row],[Valor]]*85%,0))</f>
        <v>1.6149999999999998E-2</v>
      </c>
      <c r="K1413" s="21"/>
      <c r="O1413" s="26"/>
    </row>
    <row r="1414" spans="1:15" x14ac:dyDescent="0.2">
      <c r="A1414" s="4" t="s">
        <v>35</v>
      </c>
      <c r="B1414" s="3" t="s">
        <v>14</v>
      </c>
      <c r="C1414" s="25">
        <v>37421</v>
      </c>
      <c r="D1414" s="63">
        <v>4.0000000000000001E-3</v>
      </c>
      <c r="E1414" s="67">
        <v>37438</v>
      </c>
      <c r="F1414" s="26">
        <v>37333</v>
      </c>
      <c r="G1414" s="10">
        <f>IF(Tabela4[[#This Row],[Tipo]]="Dividendo",Tabela4[[#This Row],[Valor]],IF(Tabela4[[#This Row],[Tipo]]="Jrs. Cap. Próprio",Tabela4[[#This Row],[Valor]]*85%,0))</f>
        <v>3.3999999999999998E-3</v>
      </c>
      <c r="K1414" s="21"/>
      <c r="O1414" s="26"/>
    </row>
    <row r="1415" spans="1:15" x14ac:dyDescent="0.2">
      <c r="A1415" s="4" t="s">
        <v>35</v>
      </c>
      <c r="B1415" s="3" t="s">
        <v>14</v>
      </c>
      <c r="C1415" s="25">
        <v>37375</v>
      </c>
      <c r="D1415" s="63">
        <v>5.7000000000000002E-2</v>
      </c>
      <c r="E1415" s="67">
        <v>37412</v>
      </c>
      <c r="F1415" s="26">
        <v>37333</v>
      </c>
      <c r="G1415" s="10">
        <f>IF(Tabela4[[#This Row],[Tipo]]="Dividendo",Tabela4[[#This Row],[Valor]],IF(Tabela4[[#This Row],[Tipo]]="Jrs. Cap. Próprio",Tabela4[[#This Row],[Valor]]*85%,0))</f>
        <v>4.845E-2</v>
      </c>
      <c r="K1415" s="21"/>
      <c r="O1415" s="26"/>
    </row>
    <row r="1416" spans="1:15" x14ac:dyDescent="0.2">
      <c r="A1416" s="4" t="s">
        <v>35</v>
      </c>
      <c r="B1416" s="3" t="s">
        <v>14</v>
      </c>
      <c r="C1416" s="25">
        <v>37334</v>
      </c>
      <c r="D1416" s="63">
        <v>2.8E-3</v>
      </c>
      <c r="E1416" s="67">
        <v>37347</v>
      </c>
      <c r="F1416" s="26">
        <v>37333</v>
      </c>
      <c r="G1416" s="10">
        <f>IF(Tabela4[[#This Row],[Tipo]]="Dividendo",Tabela4[[#This Row],[Valor]],IF(Tabela4[[#This Row],[Tipo]]="Jrs. Cap. Próprio",Tabela4[[#This Row],[Valor]]*85%,0))</f>
        <v>2.3799999999999997E-3</v>
      </c>
      <c r="K1416" s="21"/>
      <c r="O1416" s="26"/>
    </row>
    <row r="1417" spans="1:15" x14ac:dyDescent="0.2">
      <c r="A1417" s="4" t="s">
        <v>35</v>
      </c>
      <c r="B1417" s="3" t="s">
        <v>14</v>
      </c>
      <c r="C1417" s="25">
        <v>37253</v>
      </c>
      <c r="D1417" s="63">
        <v>4.1200000000000001E-2</v>
      </c>
      <c r="E1417" s="67">
        <v>37334</v>
      </c>
      <c r="F1417" s="26">
        <v>37251</v>
      </c>
      <c r="G1417" s="10">
        <f>IF(Tabela4[[#This Row],[Tipo]]="Dividendo",Tabela4[[#This Row],[Valor]],IF(Tabela4[[#This Row],[Tipo]]="Jrs. Cap. Próprio",Tabela4[[#This Row],[Valor]]*85%,0))</f>
        <v>3.5020000000000003E-2</v>
      </c>
      <c r="K1417" s="21"/>
      <c r="O1417" s="26"/>
    </row>
    <row r="1418" spans="1:15" x14ac:dyDescent="0.2">
      <c r="A1418" s="4" t="s">
        <v>35</v>
      </c>
      <c r="B1418" s="3" t="s">
        <v>14</v>
      </c>
      <c r="C1418" s="25">
        <v>37239</v>
      </c>
      <c r="D1418" s="63">
        <v>2.8E-3</v>
      </c>
      <c r="E1418" s="67">
        <v>37258</v>
      </c>
      <c r="F1418" s="26">
        <v>37238</v>
      </c>
      <c r="G1418" s="10">
        <f>IF(Tabela4[[#This Row],[Tipo]]="Dividendo",Tabela4[[#This Row],[Valor]],IF(Tabela4[[#This Row],[Tipo]]="Jrs. Cap. Próprio",Tabela4[[#This Row],[Valor]]*85%,0))</f>
        <v>2.3799999999999997E-3</v>
      </c>
      <c r="K1418" s="26"/>
      <c r="O1418" s="26"/>
    </row>
    <row r="1419" spans="1:15" x14ac:dyDescent="0.2">
      <c r="A1419" s="4" t="s">
        <v>35</v>
      </c>
      <c r="B1419" s="3" t="s">
        <v>14</v>
      </c>
      <c r="C1419" s="25">
        <v>37152</v>
      </c>
      <c r="D1419" s="63">
        <v>2.8E-3</v>
      </c>
      <c r="E1419" s="67">
        <v>37165</v>
      </c>
      <c r="F1419" s="26">
        <v>37151</v>
      </c>
      <c r="G1419" s="10">
        <f>IF(Tabela4[[#This Row],[Tipo]]="Dividendo",Tabela4[[#This Row],[Valor]],IF(Tabela4[[#This Row],[Tipo]]="Jrs. Cap. Próprio",Tabela4[[#This Row],[Valor]]*85%,0))</f>
        <v>2.3799999999999997E-3</v>
      </c>
      <c r="K1419" s="26"/>
      <c r="O1419" s="26"/>
    </row>
    <row r="1420" spans="1:15" x14ac:dyDescent="0.2">
      <c r="A1420" s="4" t="s">
        <v>35</v>
      </c>
      <c r="B1420" s="3" t="s">
        <v>14</v>
      </c>
      <c r="C1420" s="25">
        <v>37117</v>
      </c>
      <c r="D1420" s="63">
        <v>1.9E-2</v>
      </c>
      <c r="E1420" s="67">
        <v>37137</v>
      </c>
      <c r="F1420" s="26">
        <v>37116</v>
      </c>
      <c r="G1420" s="10">
        <f>IF(Tabela4[[#This Row],[Tipo]]="Dividendo",Tabela4[[#This Row],[Valor]],IF(Tabela4[[#This Row],[Tipo]]="Jrs. Cap. Próprio",Tabela4[[#This Row],[Valor]]*85%,0))</f>
        <v>1.6149999999999998E-2</v>
      </c>
      <c r="K1420" s="26"/>
      <c r="O1420" s="26"/>
    </row>
    <row r="1421" spans="1:15" x14ac:dyDescent="0.2">
      <c r="A1421" s="4" t="s">
        <v>35</v>
      </c>
      <c r="B1421" s="3" t="s">
        <v>14</v>
      </c>
      <c r="C1421" s="25">
        <v>37061</v>
      </c>
      <c r="D1421" s="63">
        <v>2.8E-3</v>
      </c>
      <c r="E1421" s="67">
        <v>37074</v>
      </c>
      <c r="F1421" s="26">
        <v>37060</v>
      </c>
      <c r="G1421" s="10">
        <f>IF(Tabela4[[#This Row],[Tipo]]="Dividendo",Tabela4[[#This Row],[Valor]],IF(Tabela4[[#This Row],[Tipo]]="Jrs. Cap. Próprio",Tabela4[[#This Row],[Valor]]*85%,0))</f>
        <v>2.3799999999999997E-3</v>
      </c>
      <c r="K1421" s="26"/>
      <c r="O1421" s="26"/>
    </row>
    <row r="1422" spans="1:15" x14ac:dyDescent="0.2">
      <c r="A1422" s="4" t="s">
        <v>35</v>
      </c>
      <c r="B1422" s="3" t="s">
        <v>14</v>
      </c>
      <c r="C1422" s="25">
        <v>36959</v>
      </c>
      <c r="D1422" s="63">
        <v>3.2599999999999997E-2</v>
      </c>
      <c r="E1422" s="67">
        <v>36983</v>
      </c>
      <c r="F1422" s="26">
        <v>36958</v>
      </c>
      <c r="G1422" s="10">
        <f>IF(Tabela4[[#This Row],[Tipo]]="Dividendo",Tabela4[[#This Row],[Valor]],IF(Tabela4[[#This Row],[Tipo]]="Jrs. Cap. Próprio",Tabela4[[#This Row],[Valor]]*85%,0))</f>
        <v>2.7709999999999995E-2</v>
      </c>
      <c r="O1422" s="26"/>
    </row>
    <row r="1423" spans="1:15" x14ac:dyDescent="0.2">
      <c r="A1423" s="4" t="s">
        <v>35</v>
      </c>
      <c r="B1423" s="3" t="s">
        <v>14</v>
      </c>
      <c r="C1423" s="25">
        <v>36882</v>
      </c>
      <c r="D1423" s="63">
        <v>5.3699999999999998E-2</v>
      </c>
      <c r="E1423" s="67">
        <v>36950</v>
      </c>
      <c r="F1423" s="26">
        <v>36882</v>
      </c>
      <c r="G1423" s="10">
        <f>IF(Tabela4[[#This Row],[Tipo]]="Dividendo",Tabela4[[#This Row],[Valor]],IF(Tabela4[[#This Row],[Tipo]]="Jrs. Cap. Próprio",Tabela4[[#This Row],[Valor]]*85%,0))</f>
        <v>4.5644999999999998E-2</v>
      </c>
      <c r="O1423" s="26"/>
    </row>
    <row r="1424" spans="1:15" x14ac:dyDescent="0.2">
      <c r="A1424" s="4" t="s">
        <v>35</v>
      </c>
      <c r="B1424" s="3" t="s">
        <v>14</v>
      </c>
      <c r="C1424" s="25">
        <v>36879</v>
      </c>
      <c r="D1424" s="63">
        <v>2.8E-3</v>
      </c>
      <c r="E1424" s="67">
        <v>36893</v>
      </c>
      <c r="F1424" s="26">
        <v>36878</v>
      </c>
      <c r="G1424" s="10">
        <f>IF(Tabela4[[#This Row],[Tipo]]="Dividendo",Tabela4[[#This Row],[Valor]],IF(Tabela4[[#This Row],[Tipo]]="Jrs. Cap. Próprio",Tabela4[[#This Row],[Valor]]*85%,0))</f>
        <v>2.3799999999999997E-3</v>
      </c>
      <c r="O1424" s="26"/>
    </row>
    <row r="1425" spans="1:15" x14ac:dyDescent="0.2">
      <c r="A1425" s="4" t="s">
        <v>35</v>
      </c>
      <c r="B1425" s="3" t="s">
        <v>14</v>
      </c>
      <c r="C1425" s="25">
        <v>36787</v>
      </c>
      <c r="D1425" s="63">
        <v>2.8E-3</v>
      </c>
      <c r="E1425" s="67">
        <v>36801</v>
      </c>
      <c r="F1425" s="26">
        <v>36784</v>
      </c>
      <c r="G1425" s="10">
        <f>IF(Tabela4[[#This Row],[Tipo]]="Dividendo",Tabela4[[#This Row],[Valor]],IF(Tabela4[[#This Row],[Tipo]]="Jrs. Cap. Próprio",Tabela4[[#This Row],[Valor]]*85%,0))</f>
        <v>2.3799999999999997E-3</v>
      </c>
      <c r="O1425" s="26"/>
    </row>
    <row r="1426" spans="1:15" x14ac:dyDescent="0.2">
      <c r="A1426" s="4" t="s">
        <v>35</v>
      </c>
      <c r="B1426" s="3" t="s">
        <v>14</v>
      </c>
      <c r="C1426" s="25">
        <v>36753</v>
      </c>
      <c r="D1426" s="63">
        <v>1.7299999999999999E-2</v>
      </c>
      <c r="E1426" s="67">
        <v>36770</v>
      </c>
      <c r="F1426" s="26">
        <v>36752</v>
      </c>
      <c r="G1426" s="10">
        <f>IF(Tabela4[[#This Row],[Tipo]]="Dividendo",Tabela4[[#This Row],[Valor]],IF(Tabela4[[#This Row],[Tipo]]="Jrs. Cap. Próprio",Tabela4[[#This Row],[Valor]]*85%,0))</f>
        <v>1.4704999999999999E-2</v>
      </c>
      <c r="O1426" s="26"/>
    </row>
    <row r="1427" spans="1:15" x14ac:dyDescent="0.2">
      <c r="A1427" s="4" t="s">
        <v>35</v>
      </c>
      <c r="B1427" s="3" t="s">
        <v>14</v>
      </c>
      <c r="C1427" s="25">
        <v>36693</v>
      </c>
      <c r="D1427" s="63">
        <v>2.8E-3</v>
      </c>
      <c r="E1427" s="67">
        <v>36710</v>
      </c>
      <c r="F1427" s="26">
        <v>36692</v>
      </c>
      <c r="G1427" s="10">
        <f>IF(Tabela4[[#This Row],[Tipo]]="Dividendo",Tabela4[[#This Row],[Valor]],IF(Tabela4[[#This Row],[Tipo]]="Jrs. Cap. Próprio",Tabela4[[#This Row],[Valor]]*85%,0))</f>
        <v>2.3799999999999997E-3</v>
      </c>
      <c r="O1427" s="26"/>
    </row>
    <row r="1428" spans="1:15" x14ac:dyDescent="0.2">
      <c r="A1428" s="4" t="s">
        <v>35</v>
      </c>
      <c r="B1428" s="3" t="s">
        <v>14</v>
      </c>
      <c r="C1428" s="25">
        <v>36606</v>
      </c>
      <c r="D1428" s="63">
        <v>2.8E-3</v>
      </c>
      <c r="E1428" s="67">
        <v>36619</v>
      </c>
      <c r="F1428" s="26">
        <v>36605</v>
      </c>
      <c r="G1428" s="10">
        <f>IF(Tabela4[[#This Row],[Tipo]]="Dividendo",Tabela4[[#This Row],[Valor]],IF(Tabela4[[#This Row],[Tipo]]="Jrs. Cap. Próprio",Tabela4[[#This Row],[Valor]]*85%,0))</f>
        <v>2.3799999999999997E-3</v>
      </c>
      <c r="O1428" s="26"/>
    </row>
    <row r="1429" spans="1:15" x14ac:dyDescent="0.2">
      <c r="A1429" s="4" t="s">
        <v>35</v>
      </c>
      <c r="B1429" s="3" t="s">
        <v>14</v>
      </c>
      <c r="C1429" s="25">
        <v>36521</v>
      </c>
      <c r="D1429" s="63">
        <v>5.8200000000000002E-2</v>
      </c>
      <c r="E1429" s="67">
        <v>36584</v>
      </c>
      <c r="F1429" s="26">
        <v>36518</v>
      </c>
      <c r="G1429" s="10">
        <f>IF(Tabela4[[#This Row],[Tipo]]="Dividendo",Tabela4[[#This Row],[Valor]],IF(Tabela4[[#This Row],[Tipo]]="Jrs. Cap. Próprio",Tabela4[[#This Row],[Valor]]*85%,0))</f>
        <v>4.947E-2</v>
      </c>
      <c r="O1429" s="26"/>
    </row>
    <row r="1430" spans="1:15" x14ac:dyDescent="0.2">
      <c r="A1430" s="4" t="s">
        <v>35</v>
      </c>
      <c r="B1430" s="3" t="s">
        <v>14</v>
      </c>
      <c r="C1430" s="25">
        <v>36511</v>
      </c>
      <c r="D1430" s="63">
        <v>2.8E-3</v>
      </c>
      <c r="E1430" s="67">
        <v>36528</v>
      </c>
      <c r="F1430" s="26">
        <v>36510</v>
      </c>
      <c r="G1430" s="10">
        <f>IF(Tabela4[[#This Row],[Tipo]]="Dividendo",Tabela4[[#This Row],[Valor]],IF(Tabela4[[#This Row],[Tipo]]="Jrs. Cap. Próprio",Tabela4[[#This Row],[Valor]]*85%,0))</f>
        <v>2.3799999999999997E-3</v>
      </c>
      <c r="O1430" s="26"/>
    </row>
    <row r="1431" spans="1:15" x14ac:dyDescent="0.2">
      <c r="A1431" s="4" t="s">
        <v>35</v>
      </c>
      <c r="B1431" s="3" t="s">
        <v>14</v>
      </c>
      <c r="C1431" s="25">
        <v>36420</v>
      </c>
      <c r="D1431" s="63">
        <v>2.8E-3</v>
      </c>
      <c r="E1431" s="67">
        <v>36434</v>
      </c>
      <c r="F1431" s="26">
        <v>36419</v>
      </c>
      <c r="G1431" s="10">
        <f>IF(Tabela4[[#This Row],[Tipo]]="Dividendo",Tabela4[[#This Row],[Valor]],IF(Tabela4[[#This Row],[Tipo]]="Jrs. Cap. Próprio",Tabela4[[#This Row],[Valor]]*85%,0))</f>
        <v>2.3799999999999997E-3</v>
      </c>
      <c r="O1431" s="26"/>
    </row>
    <row r="1432" spans="1:15" x14ac:dyDescent="0.2">
      <c r="A1432" s="4" t="s">
        <v>35</v>
      </c>
      <c r="B1432" s="3" t="s">
        <v>14</v>
      </c>
      <c r="C1432" s="25">
        <v>36385</v>
      </c>
      <c r="D1432" s="63">
        <v>1.6E-2</v>
      </c>
      <c r="E1432" s="67">
        <v>36434</v>
      </c>
      <c r="F1432" s="26">
        <v>36384</v>
      </c>
      <c r="G1432" s="10">
        <f>IF(Tabela4[[#This Row],[Tipo]]="Dividendo",Tabela4[[#This Row],[Valor]],IF(Tabela4[[#This Row],[Tipo]]="Jrs. Cap. Próprio",Tabela4[[#This Row],[Valor]]*85%,0))</f>
        <v>1.3599999999999999E-2</v>
      </c>
      <c r="O1432" s="26"/>
    </row>
    <row r="1433" spans="1:15" x14ac:dyDescent="0.2">
      <c r="A1433" s="4" t="s">
        <v>35</v>
      </c>
      <c r="B1433" s="3" t="s">
        <v>14</v>
      </c>
      <c r="C1433" s="25">
        <v>36333</v>
      </c>
      <c r="D1433" s="63">
        <v>2.8E-3</v>
      </c>
      <c r="E1433" s="67">
        <v>36342</v>
      </c>
      <c r="F1433" s="26">
        <v>36332</v>
      </c>
      <c r="G1433" s="10">
        <f>IF(Tabela4[[#This Row],[Tipo]]="Dividendo",Tabela4[[#This Row],[Valor]],IF(Tabela4[[#This Row],[Tipo]]="Jrs. Cap. Próprio",Tabela4[[#This Row],[Valor]]*85%,0))</f>
        <v>2.3799999999999997E-3</v>
      </c>
      <c r="O1433" s="26"/>
    </row>
    <row r="1434" spans="1:15" x14ac:dyDescent="0.2">
      <c r="A1434" s="4" t="s">
        <v>35</v>
      </c>
      <c r="B1434" s="3" t="s">
        <v>14</v>
      </c>
      <c r="C1434" s="25">
        <v>36235</v>
      </c>
      <c r="D1434" s="63">
        <v>2.8E-3</v>
      </c>
      <c r="E1434" s="67"/>
      <c r="F1434" s="26">
        <v>36234</v>
      </c>
      <c r="G1434" s="10">
        <f>IF(Tabela4[[#This Row],[Tipo]]="Dividendo",Tabela4[[#This Row],[Valor]],IF(Tabela4[[#This Row],[Tipo]]="Jrs. Cap. Próprio",Tabela4[[#This Row],[Valor]]*85%,0))</f>
        <v>2.3799999999999997E-3</v>
      </c>
      <c r="O1434" s="26"/>
    </row>
    <row r="1435" spans="1:15" x14ac:dyDescent="0.2">
      <c r="A1435" s="4" t="s">
        <v>35</v>
      </c>
      <c r="B1435" s="3" t="s">
        <v>14</v>
      </c>
      <c r="C1435" s="25">
        <v>36152</v>
      </c>
      <c r="D1435" s="63">
        <v>2.8E-3</v>
      </c>
      <c r="E1435" s="67"/>
      <c r="F1435" s="26">
        <v>36151</v>
      </c>
      <c r="G1435" s="10">
        <f>IF(Tabela4[[#This Row],[Tipo]]="Dividendo",Tabela4[[#This Row],[Valor]],IF(Tabela4[[#This Row],[Tipo]]="Jrs. Cap. Próprio",Tabela4[[#This Row],[Valor]]*85%,0))</f>
        <v>2.3799999999999997E-3</v>
      </c>
      <c r="O1435" s="26"/>
    </row>
    <row r="1436" spans="1:15" x14ac:dyDescent="0.2">
      <c r="A1436" s="4" t="s">
        <v>35</v>
      </c>
      <c r="B1436" s="3" t="s">
        <v>14</v>
      </c>
      <c r="C1436" s="25">
        <v>36070</v>
      </c>
      <c r="D1436" s="63">
        <v>4.7300000000000002E-2</v>
      </c>
      <c r="E1436" s="67"/>
      <c r="F1436" s="26">
        <v>36070</v>
      </c>
      <c r="G1436" s="10">
        <f>IF(Tabela4[[#This Row],[Tipo]]="Dividendo",Tabela4[[#This Row],[Valor]],IF(Tabela4[[#This Row],[Tipo]]="Jrs. Cap. Próprio",Tabela4[[#This Row],[Valor]]*85%,0))</f>
        <v>4.0204999999999998E-2</v>
      </c>
      <c r="O1436" s="26"/>
    </row>
    <row r="1437" spans="1:15" x14ac:dyDescent="0.2">
      <c r="A1437" s="4" t="s">
        <v>35</v>
      </c>
      <c r="B1437" s="3" t="s">
        <v>15</v>
      </c>
      <c r="C1437" s="25">
        <v>36060</v>
      </c>
      <c r="D1437" s="63">
        <v>2.3999999999999998E-3</v>
      </c>
      <c r="E1437" s="67"/>
      <c r="F1437" s="26">
        <v>36059</v>
      </c>
      <c r="G1437" s="10">
        <f>IF(Tabela4[[#This Row],[Tipo]]="Dividendo",Tabela4[[#This Row],[Valor]],IF(Tabela4[[#This Row],[Tipo]]="Jrs. Cap. Próprio",Tabela4[[#This Row],[Valor]]*85%,0))</f>
        <v>2.3999999999999998E-3</v>
      </c>
      <c r="O1437" s="26"/>
    </row>
    <row r="1438" spans="1:15" x14ac:dyDescent="0.2">
      <c r="A1438" s="4" t="s">
        <v>35</v>
      </c>
      <c r="B1438" s="3" t="s">
        <v>15</v>
      </c>
      <c r="C1438" s="25">
        <v>36018</v>
      </c>
      <c r="D1438" s="63">
        <v>1.01E-2</v>
      </c>
      <c r="E1438" s="67"/>
      <c r="F1438" s="26">
        <v>36017</v>
      </c>
      <c r="G1438" s="10">
        <f>IF(Tabela4[[#This Row],[Tipo]]="Dividendo",Tabela4[[#This Row],[Valor]],IF(Tabela4[[#This Row],[Tipo]]="Jrs. Cap. Próprio",Tabela4[[#This Row],[Valor]]*85%,0))</f>
        <v>1.01E-2</v>
      </c>
      <c r="K1438" s="5">
        <v>81394860.719999999</v>
      </c>
      <c r="L1438" s="5">
        <v>47719241.460000001</v>
      </c>
      <c r="O1438" s="26"/>
    </row>
    <row r="1439" spans="1:15" x14ac:dyDescent="0.2">
      <c r="A1439" s="4" t="s">
        <v>35</v>
      </c>
      <c r="B1439" s="3" t="s">
        <v>15</v>
      </c>
      <c r="C1439" s="25">
        <v>35964</v>
      </c>
      <c r="D1439" s="63">
        <v>2.3999999999999998E-3</v>
      </c>
      <c r="E1439" s="67"/>
      <c r="F1439" s="26">
        <v>35963</v>
      </c>
      <c r="G1439" s="10">
        <f>IF(Tabela4[[#This Row],[Tipo]]="Dividendo",Tabela4[[#This Row],[Valor]],IF(Tabela4[[#This Row],[Tipo]]="Jrs. Cap. Próprio",Tabela4[[#This Row],[Valor]]*85%,0))</f>
        <v>2.3999999999999998E-3</v>
      </c>
      <c r="O1439" s="26"/>
    </row>
    <row r="1440" spans="1:15" x14ac:dyDescent="0.2">
      <c r="A1440" s="4" t="s">
        <v>35</v>
      </c>
      <c r="B1440" s="3" t="s">
        <v>15</v>
      </c>
      <c r="C1440" s="25">
        <v>35857</v>
      </c>
      <c r="D1440" s="63">
        <v>2.3900000000000001E-2</v>
      </c>
      <c r="E1440" s="67"/>
      <c r="F1440" s="26">
        <v>35856</v>
      </c>
      <c r="G1440" s="10">
        <f>IF(Tabela4[[#This Row],[Tipo]]="Dividendo",Tabela4[[#This Row],[Valor]],IF(Tabela4[[#This Row],[Tipo]]="Jrs. Cap. Próprio",Tabela4[[#This Row],[Valor]]*85%,0))</f>
        <v>2.3900000000000001E-2</v>
      </c>
      <c r="O1440" s="26"/>
    </row>
    <row r="1441" spans="1:15" x14ac:dyDescent="0.2">
      <c r="A1441" s="4" t="s">
        <v>35</v>
      </c>
      <c r="B1441" s="3" t="s">
        <v>15</v>
      </c>
      <c r="C1441" s="25">
        <v>35781</v>
      </c>
      <c r="D1441" s="63">
        <v>2.3999999999999998E-3</v>
      </c>
      <c r="E1441" s="67"/>
      <c r="F1441" s="26">
        <v>35781</v>
      </c>
      <c r="G1441" s="10">
        <f>IF(Tabela4[[#This Row],[Tipo]]="Dividendo",Tabela4[[#This Row],[Valor]],IF(Tabela4[[#This Row],[Tipo]]="Jrs. Cap. Próprio",Tabela4[[#This Row],[Valor]]*85%,0))</f>
        <v>2.3999999999999998E-3</v>
      </c>
      <c r="O1441" s="26"/>
    </row>
    <row r="1442" spans="1:15" x14ac:dyDescent="0.2">
      <c r="A1442" s="4" t="s">
        <v>35</v>
      </c>
      <c r="B1442" s="3" t="s">
        <v>15</v>
      </c>
      <c r="C1442" s="25">
        <v>35689</v>
      </c>
      <c r="D1442" s="63">
        <v>2.3999999999999998E-3</v>
      </c>
      <c r="E1442" s="67"/>
      <c r="F1442" s="26">
        <v>35688</v>
      </c>
      <c r="G1442" s="10">
        <f>IF(Tabela4[[#This Row],[Tipo]]="Dividendo",Tabela4[[#This Row],[Valor]],IF(Tabela4[[#This Row],[Tipo]]="Jrs. Cap. Próprio",Tabela4[[#This Row],[Valor]]*85%,0))</f>
        <v>2.3999999999999998E-3</v>
      </c>
      <c r="O1442" s="26"/>
    </row>
    <row r="1443" spans="1:15" x14ac:dyDescent="0.2">
      <c r="A1443" s="4" t="s">
        <v>35</v>
      </c>
      <c r="B1443" s="3" t="s">
        <v>15</v>
      </c>
      <c r="C1443" s="25">
        <v>35654</v>
      </c>
      <c r="D1443" s="63">
        <v>7.7999999999999996E-3</v>
      </c>
      <c r="E1443" s="67"/>
      <c r="F1443" s="26">
        <v>35653</v>
      </c>
      <c r="G1443" s="10">
        <f>IF(Tabela4[[#This Row],[Tipo]]="Dividendo",Tabela4[[#This Row],[Valor]],IF(Tabela4[[#This Row],[Tipo]]="Jrs. Cap. Próprio",Tabela4[[#This Row],[Valor]]*85%,0))</f>
        <v>7.7999999999999996E-3</v>
      </c>
      <c r="O1443" s="26"/>
    </row>
    <row r="1444" spans="1:15" x14ac:dyDescent="0.2">
      <c r="A1444" s="4" t="s">
        <v>35</v>
      </c>
      <c r="B1444" s="3" t="s">
        <v>15</v>
      </c>
      <c r="C1444" s="25">
        <v>35604</v>
      </c>
      <c r="D1444" s="63">
        <v>2.3999999999999998E-3</v>
      </c>
      <c r="E1444" s="67"/>
      <c r="F1444" s="26">
        <v>35601</v>
      </c>
      <c r="G1444" s="10">
        <f>IF(Tabela4[[#This Row],[Tipo]]="Dividendo",Tabela4[[#This Row],[Valor]],IF(Tabela4[[#This Row],[Tipo]]="Jrs. Cap. Próprio",Tabela4[[#This Row],[Valor]]*85%,0))</f>
        <v>2.3999999999999998E-3</v>
      </c>
      <c r="O1444" s="26"/>
    </row>
    <row r="1445" spans="1:15" x14ac:dyDescent="0.2">
      <c r="A1445" s="4" t="s">
        <v>35</v>
      </c>
      <c r="B1445" s="3" t="s">
        <v>15</v>
      </c>
      <c r="C1445" s="25">
        <v>35492</v>
      </c>
      <c r="D1445" s="63">
        <v>8.3999999999999995E-3</v>
      </c>
      <c r="E1445" s="67"/>
      <c r="F1445" s="26">
        <v>35492</v>
      </c>
      <c r="G1445" s="10">
        <f>IF(Tabela4[[#This Row],[Tipo]]="Dividendo",Tabela4[[#This Row],[Valor]],IF(Tabela4[[#This Row],[Tipo]]="Jrs. Cap. Próprio",Tabela4[[#This Row],[Valor]]*85%,0))</f>
        <v>8.3999999999999995E-3</v>
      </c>
      <c r="O1445" s="26"/>
    </row>
    <row r="1446" spans="1:15" x14ac:dyDescent="0.2">
      <c r="A1446" s="4" t="s">
        <v>35</v>
      </c>
      <c r="B1446" s="3" t="s">
        <v>15</v>
      </c>
      <c r="C1446" s="25">
        <v>35416</v>
      </c>
      <c r="D1446" s="63">
        <v>2.3999999999999998E-3</v>
      </c>
      <c r="E1446" s="67"/>
      <c r="F1446" s="26">
        <v>35415</v>
      </c>
      <c r="G1446" s="10">
        <f>IF(Tabela4[[#This Row],[Tipo]]="Dividendo",Tabela4[[#This Row],[Valor]],IF(Tabela4[[#This Row],[Tipo]]="Jrs. Cap. Próprio",Tabela4[[#This Row],[Valor]]*85%,0))</f>
        <v>2.3999999999999998E-3</v>
      </c>
      <c r="O1446" s="26"/>
    </row>
    <row r="1447" spans="1:15" x14ac:dyDescent="0.2">
      <c r="A1447" s="4" t="s">
        <v>35</v>
      </c>
      <c r="B1447" s="3" t="s">
        <v>15</v>
      </c>
      <c r="C1447" s="25">
        <v>35326</v>
      </c>
      <c r="D1447" s="63">
        <v>2.3999999999999998E-3</v>
      </c>
      <c r="E1447" s="67"/>
      <c r="F1447" s="26">
        <v>35325</v>
      </c>
      <c r="G1447" s="10">
        <f>IF(Tabela4[[#This Row],[Tipo]]="Dividendo",Tabela4[[#This Row],[Valor]],IF(Tabela4[[#This Row],[Tipo]]="Jrs. Cap. Próprio",Tabela4[[#This Row],[Valor]]*85%,0))</f>
        <v>2.3999999999999998E-3</v>
      </c>
      <c r="O1447" s="26"/>
    </row>
    <row r="1448" spans="1:15" x14ac:dyDescent="0.2">
      <c r="A1448" s="4" t="s">
        <v>35</v>
      </c>
      <c r="B1448" s="3" t="s">
        <v>15</v>
      </c>
      <c r="C1448" s="25">
        <v>35290</v>
      </c>
      <c r="D1448" s="63">
        <v>4.4000000000000003E-3</v>
      </c>
      <c r="E1448" s="67"/>
      <c r="F1448" s="26">
        <v>35289</v>
      </c>
      <c r="G1448" s="10">
        <f>IF(Tabela4[[#This Row],[Tipo]]="Dividendo",Tabela4[[#This Row],[Valor]],IF(Tabela4[[#This Row],[Tipo]]="Jrs. Cap. Próprio",Tabela4[[#This Row],[Valor]]*85%,0))</f>
        <v>4.4000000000000003E-3</v>
      </c>
      <c r="O1448" s="26"/>
    </row>
    <row r="1449" spans="1:15" x14ac:dyDescent="0.2">
      <c r="A1449" s="4" t="s">
        <v>35</v>
      </c>
      <c r="B1449" s="3" t="s">
        <v>15</v>
      </c>
      <c r="C1449" s="25">
        <v>35234</v>
      </c>
      <c r="D1449" s="63">
        <v>2.3999999999999998E-3</v>
      </c>
      <c r="E1449" s="67"/>
      <c r="F1449" s="26">
        <v>35234</v>
      </c>
      <c r="G1449" s="10">
        <f>IF(Tabela4[[#This Row],[Tipo]]="Dividendo",Tabela4[[#This Row],[Valor]],IF(Tabela4[[#This Row],[Tipo]]="Jrs. Cap. Próprio",Tabela4[[#This Row],[Valor]]*85%,0))</f>
        <v>2.3999999999999998E-3</v>
      </c>
      <c r="O1449" s="26"/>
    </row>
    <row r="1450" spans="1:15" x14ac:dyDescent="0.2">
      <c r="A1450" s="4" t="s">
        <v>35</v>
      </c>
      <c r="B1450" s="3" t="s">
        <v>15</v>
      </c>
      <c r="C1450" s="25">
        <v>35136</v>
      </c>
      <c r="D1450" s="63">
        <v>6.8999999999999999E-3</v>
      </c>
      <c r="E1450" s="67"/>
      <c r="F1450" s="26">
        <v>35135</v>
      </c>
      <c r="G1450" s="10">
        <f>IF(Tabela4[[#This Row],[Tipo]]="Dividendo",Tabela4[[#This Row],[Valor]],IF(Tabela4[[#This Row],[Tipo]]="Jrs. Cap. Próprio",Tabela4[[#This Row],[Valor]]*85%,0))</f>
        <v>6.8999999999999999E-3</v>
      </c>
      <c r="O1450" s="26"/>
    </row>
    <row r="1451" spans="1:15" x14ac:dyDescent="0.2">
      <c r="A1451" s="3" t="s">
        <v>304</v>
      </c>
      <c r="B1451" s="3" t="s">
        <v>14</v>
      </c>
      <c r="C1451" s="80">
        <v>41628</v>
      </c>
      <c r="D1451" s="10">
        <v>0.2036</v>
      </c>
      <c r="E1451" s="81"/>
      <c r="F1451" s="81">
        <v>41606</v>
      </c>
      <c r="G1451" s="10">
        <f>IF(Tabela4[[#This Row],[Tipo]]="Dividendo",Tabela4[[#This Row],[Valor]],IF(Tabela4[[#This Row],[Tipo]]="Jrs. Cap. Próprio",Tabela4[[#This Row],[Valor]]*85%,0))</f>
        <v>0.17305999999999999</v>
      </c>
      <c r="O1451" s="26"/>
    </row>
    <row r="1452" spans="1:15" x14ac:dyDescent="0.2">
      <c r="A1452" s="3" t="s">
        <v>304</v>
      </c>
      <c r="B1452" s="3" t="s">
        <v>15</v>
      </c>
      <c r="C1452" s="25">
        <v>41578</v>
      </c>
      <c r="D1452" s="10">
        <v>1.4999999999999999E-2</v>
      </c>
      <c r="E1452" s="67">
        <v>41610</v>
      </c>
      <c r="F1452" s="26">
        <v>41578</v>
      </c>
      <c r="G1452" s="10">
        <f>IF(Tabela4[[#This Row],[Tipo]]="Dividendo",Tabela4[[#This Row],[Valor]],IF(Tabela4[[#This Row],[Tipo]]="Jrs. Cap. Próprio",Tabela4[[#This Row],[Valor]]*85%,0))</f>
        <v>1.4999999999999999E-2</v>
      </c>
      <c r="M1452" s="5">
        <f>L1438/K1438</f>
        <v>0.58626848228360728</v>
      </c>
      <c r="O1452" s="26"/>
    </row>
    <row r="1453" spans="1:15" x14ac:dyDescent="0.2">
      <c r="A1453" s="3" t="s">
        <v>304</v>
      </c>
      <c r="B1453" s="3" t="s">
        <v>15</v>
      </c>
      <c r="C1453" s="25">
        <v>41547</v>
      </c>
      <c r="D1453" s="10">
        <v>1.4999999999999999E-2</v>
      </c>
      <c r="E1453" s="67">
        <v>41579</v>
      </c>
      <c r="F1453" s="26">
        <v>41547</v>
      </c>
      <c r="G1453" s="10">
        <f>IF(Tabela4[[#This Row],[Tipo]]="Dividendo",Tabela4[[#This Row],[Valor]],IF(Tabela4[[#This Row],[Tipo]]="Jrs. Cap. Próprio",Tabela4[[#This Row],[Valor]]*85%,0))</f>
        <v>1.4999999999999999E-2</v>
      </c>
      <c r="O1453" s="26"/>
    </row>
    <row r="1454" spans="1:15" x14ac:dyDescent="0.2">
      <c r="A1454" s="3" t="s">
        <v>304</v>
      </c>
      <c r="B1454" s="3" t="s">
        <v>15</v>
      </c>
      <c r="C1454" s="25">
        <v>41516</v>
      </c>
      <c r="D1454" s="10">
        <v>1.4999999999999999E-2</v>
      </c>
      <c r="E1454" s="67">
        <v>41548</v>
      </c>
      <c r="F1454" s="26">
        <v>41516</v>
      </c>
      <c r="G1454" s="10">
        <f>IF(Tabela4[[#This Row],[Tipo]]="Dividendo",Tabela4[[#This Row],[Valor]],IF(Tabela4[[#This Row],[Tipo]]="Jrs. Cap. Próprio",Tabela4[[#This Row],[Valor]]*85%,0))</f>
        <v>1.4999999999999999E-2</v>
      </c>
    </row>
    <row r="1455" spans="1:15" x14ac:dyDescent="0.2">
      <c r="A1455" s="3" t="s">
        <v>304</v>
      </c>
      <c r="B1455" s="3" t="s">
        <v>14</v>
      </c>
      <c r="C1455" s="25">
        <v>41492</v>
      </c>
      <c r="D1455" s="10">
        <v>0.27739999999999998</v>
      </c>
      <c r="E1455" s="67">
        <v>41507</v>
      </c>
      <c r="F1455" s="26">
        <v>41484</v>
      </c>
      <c r="G1455" s="10">
        <f>IF(Tabela4[[#This Row],[Tipo]]="Dividendo",Tabela4[[#This Row],[Valor]],IF(Tabela4[[#This Row],[Tipo]]="Jrs. Cap. Próprio",Tabela4[[#This Row],[Valor]]*85%,0))</f>
        <v>0.23578999999999997</v>
      </c>
    </row>
    <row r="1456" spans="1:15" x14ac:dyDescent="0.2">
      <c r="A1456" s="3" t="s">
        <v>304</v>
      </c>
      <c r="B1456" s="3" t="s">
        <v>15</v>
      </c>
      <c r="C1456" s="25">
        <v>41486</v>
      </c>
      <c r="D1456" s="10">
        <v>1.4999999999999999E-2</v>
      </c>
      <c r="E1456" s="67">
        <v>41519</v>
      </c>
      <c r="F1456" s="26">
        <v>41486</v>
      </c>
      <c r="G1456" s="10">
        <f>IF(Tabela4[[#This Row],[Tipo]]="Dividendo",Tabela4[[#This Row],[Valor]],IF(Tabela4[[#This Row],[Tipo]]="Jrs. Cap. Próprio",Tabela4[[#This Row],[Valor]]*85%,0))</f>
        <v>1.4999999999999999E-2</v>
      </c>
    </row>
    <row r="1457" spans="1:7" x14ac:dyDescent="0.2">
      <c r="A1457" s="3" t="s">
        <v>304</v>
      </c>
      <c r="B1457" s="3" t="s">
        <v>15</v>
      </c>
      <c r="C1457" s="25">
        <v>41453</v>
      </c>
      <c r="D1457" s="10">
        <v>1.4999999999999999E-2</v>
      </c>
      <c r="E1457" s="67">
        <v>41487</v>
      </c>
      <c r="F1457" s="26">
        <v>41453</v>
      </c>
      <c r="G1457" s="10">
        <f>IF(Tabela4[[#This Row],[Tipo]]="Dividendo",Tabela4[[#This Row],[Valor]],IF(Tabela4[[#This Row],[Tipo]]="Jrs. Cap. Próprio",Tabela4[[#This Row],[Valor]]*85%,0))</f>
        <v>1.4999999999999999E-2</v>
      </c>
    </row>
    <row r="1458" spans="1:7" x14ac:dyDescent="0.2">
      <c r="A1458" s="3" t="s">
        <v>304</v>
      </c>
      <c r="B1458" s="3" t="s">
        <v>15</v>
      </c>
      <c r="C1458" s="25">
        <v>41425</v>
      </c>
      <c r="D1458" s="10">
        <v>1.4999999999999999E-2</v>
      </c>
      <c r="E1458" s="67">
        <v>41456</v>
      </c>
      <c r="F1458" s="26">
        <v>41425</v>
      </c>
      <c r="G1458" s="10">
        <f>IF(Tabela4[[#This Row],[Tipo]]="Dividendo",Tabela4[[#This Row],[Valor]],IF(Tabela4[[#This Row],[Tipo]]="Jrs. Cap. Próprio",Tabela4[[#This Row],[Valor]]*85%,0))</f>
        <v>1.4999999999999999E-2</v>
      </c>
    </row>
    <row r="1459" spans="1:7" x14ac:dyDescent="0.2">
      <c r="A1459" s="3" t="s">
        <v>304</v>
      </c>
      <c r="B1459" s="3" t="s">
        <v>15</v>
      </c>
      <c r="C1459" s="25">
        <v>41394</v>
      </c>
      <c r="D1459" s="10">
        <v>1.4999999999999999E-2</v>
      </c>
      <c r="E1459" s="67">
        <v>41428</v>
      </c>
      <c r="F1459" s="26">
        <v>41394</v>
      </c>
      <c r="G1459" s="10">
        <f>IF(Tabela4[[#This Row],[Tipo]]="Dividendo",Tabela4[[#This Row],[Valor]],IF(Tabela4[[#This Row],[Tipo]]="Jrs. Cap. Próprio",Tabela4[[#This Row],[Valor]]*85%,0))</f>
        <v>1.4999999999999999E-2</v>
      </c>
    </row>
    <row r="1460" spans="1:7" x14ac:dyDescent="0.2">
      <c r="A1460" s="3" t="s">
        <v>304</v>
      </c>
      <c r="B1460" s="3" t="s">
        <v>15</v>
      </c>
      <c r="C1460" s="25">
        <v>41361</v>
      </c>
      <c r="D1460" s="10">
        <v>1.4999999999999999E-2</v>
      </c>
      <c r="E1460" s="67">
        <v>41396</v>
      </c>
      <c r="F1460" s="26">
        <v>41361</v>
      </c>
      <c r="G1460" s="10">
        <f>IF(Tabela4[[#This Row],[Tipo]]="Dividendo",Tabela4[[#This Row],[Valor]],IF(Tabela4[[#This Row],[Tipo]]="Jrs. Cap. Próprio",Tabela4[[#This Row],[Valor]]*85%,0))</f>
        <v>1.4999999999999999E-2</v>
      </c>
    </row>
    <row r="1461" spans="1:7" x14ac:dyDescent="0.2">
      <c r="A1461" s="3" t="s">
        <v>304</v>
      </c>
      <c r="B1461" s="3" t="s">
        <v>14</v>
      </c>
      <c r="C1461" s="25">
        <v>41338</v>
      </c>
      <c r="D1461" s="10">
        <v>0.38240000000000002</v>
      </c>
      <c r="E1461" s="67">
        <v>41347</v>
      </c>
      <c r="F1461" s="26">
        <v>41309</v>
      </c>
      <c r="G1461" s="10">
        <f>IF(Tabela4[[#This Row],[Tipo]]="Dividendo",Tabela4[[#This Row],[Valor]],IF(Tabela4[[#This Row],[Tipo]]="Jrs. Cap. Próprio",Tabela4[[#This Row],[Valor]]*85%,0))</f>
        <v>0.32504</v>
      </c>
    </row>
    <row r="1462" spans="1:7" x14ac:dyDescent="0.2">
      <c r="A1462" s="3" t="s">
        <v>304</v>
      </c>
      <c r="B1462" s="3" t="s">
        <v>15</v>
      </c>
      <c r="C1462" s="25">
        <v>41305</v>
      </c>
      <c r="D1462" s="10">
        <v>1.4999999999999999E-2</v>
      </c>
      <c r="E1462" s="67">
        <v>41334</v>
      </c>
      <c r="F1462" s="26">
        <v>41305</v>
      </c>
      <c r="G1462" s="10">
        <f>IF(Tabela4[[#This Row],[Tipo]]="Dividendo",Tabela4[[#This Row],[Valor]],IF(Tabela4[[#This Row],[Tipo]]="Jrs. Cap. Próprio",Tabela4[[#This Row],[Valor]]*85%,0))</f>
        <v>1.4999999999999999E-2</v>
      </c>
    </row>
    <row r="1463" spans="1:7" x14ac:dyDescent="0.2">
      <c r="A1463" s="3" t="s">
        <v>304</v>
      </c>
      <c r="B1463" s="3" t="s">
        <v>15</v>
      </c>
      <c r="C1463" s="25">
        <v>41271</v>
      </c>
      <c r="D1463" s="10">
        <v>1.4999999999999999E-2</v>
      </c>
      <c r="E1463" s="67">
        <v>41306</v>
      </c>
      <c r="F1463" s="26">
        <v>41271</v>
      </c>
      <c r="G1463" s="10">
        <f>IF(Tabela4[[#This Row],[Tipo]]="Dividendo",Tabela4[[#This Row],[Valor]],IF(Tabela4[[#This Row],[Tipo]]="Jrs. Cap. Próprio",Tabela4[[#This Row],[Valor]]*85%,0))</f>
        <v>1.4999999999999999E-2</v>
      </c>
    </row>
    <row r="1464" spans="1:7" x14ac:dyDescent="0.2">
      <c r="A1464" s="3" t="s">
        <v>304</v>
      </c>
      <c r="B1464" s="3" t="s">
        <v>14</v>
      </c>
      <c r="C1464" s="25">
        <v>41264</v>
      </c>
      <c r="D1464" s="10">
        <v>0.312</v>
      </c>
      <c r="E1464" s="67">
        <v>41347</v>
      </c>
      <c r="F1464" s="26">
        <v>41242</v>
      </c>
      <c r="G1464" s="10">
        <f>IF(Tabela4[[#This Row],[Tipo]]="Dividendo",Tabela4[[#This Row],[Valor]],IF(Tabela4[[#This Row],[Tipo]]="Jrs. Cap. Próprio",Tabela4[[#This Row],[Valor]]*85%,0))</f>
        <v>0.26519999999999999</v>
      </c>
    </row>
    <row r="1465" spans="1:7" x14ac:dyDescent="0.2">
      <c r="A1465" s="3" t="s">
        <v>304</v>
      </c>
      <c r="B1465" s="3" t="s">
        <v>15</v>
      </c>
      <c r="C1465" s="25">
        <v>41243</v>
      </c>
      <c r="D1465" s="10">
        <v>1.4999999999999999E-2</v>
      </c>
      <c r="E1465" s="67">
        <v>41276</v>
      </c>
      <c r="F1465" s="26">
        <v>41243</v>
      </c>
      <c r="G1465" s="10">
        <f>IF(Tabela4[[#This Row],[Tipo]]="Dividendo",Tabela4[[#This Row],[Valor]],IF(Tabela4[[#This Row],[Tipo]]="Jrs. Cap. Próprio",Tabela4[[#This Row],[Valor]]*85%,0))</f>
        <v>1.4999999999999999E-2</v>
      </c>
    </row>
    <row r="1466" spans="1:7" x14ac:dyDescent="0.2">
      <c r="A1466" s="3" t="s">
        <v>304</v>
      </c>
      <c r="B1466" s="3" t="s">
        <v>15</v>
      </c>
      <c r="C1466" s="25">
        <v>41213</v>
      </c>
      <c r="D1466" s="10">
        <v>1.4999999999999999E-2</v>
      </c>
      <c r="E1466" s="67">
        <v>41245</v>
      </c>
      <c r="F1466" s="26">
        <v>41213</v>
      </c>
      <c r="G1466" s="10">
        <f>IF(Tabela4[[#This Row],[Tipo]]="Dividendo",Tabela4[[#This Row],[Valor]],IF(Tabela4[[#This Row],[Tipo]]="Jrs. Cap. Próprio",Tabela4[[#This Row],[Valor]]*85%,0))</f>
        <v>1.4999999999999999E-2</v>
      </c>
    </row>
    <row r="1467" spans="1:7" x14ac:dyDescent="0.2">
      <c r="A1467" s="3" t="s">
        <v>304</v>
      </c>
      <c r="B1467" s="3" t="s">
        <v>15</v>
      </c>
      <c r="C1467" s="25">
        <v>41180</v>
      </c>
      <c r="D1467" s="10">
        <v>1.4999999999999999E-2</v>
      </c>
      <c r="E1467" s="67">
        <v>41214</v>
      </c>
      <c r="F1467" s="26">
        <v>41180</v>
      </c>
      <c r="G1467" s="10">
        <f>IF(Tabela4[[#This Row],[Tipo]]="Dividendo",Tabela4[[#This Row],[Valor]],IF(Tabela4[[#This Row],[Tipo]]="Jrs. Cap. Próprio",Tabela4[[#This Row],[Valor]]*85%,0))</f>
        <v>1.4999999999999999E-2</v>
      </c>
    </row>
    <row r="1468" spans="1:7" x14ac:dyDescent="0.2">
      <c r="A1468" s="3" t="s">
        <v>304</v>
      </c>
      <c r="B1468" s="3" t="s">
        <v>15</v>
      </c>
      <c r="C1468" s="25">
        <v>41152</v>
      </c>
      <c r="D1468" s="10">
        <v>1.4999999999999999E-2</v>
      </c>
      <c r="E1468" s="67">
        <v>41183</v>
      </c>
      <c r="F1468" s="26">
        <v>41152</v>
      </c>
      <c r="G1468" s="10">
        <f>IF(Tabela4[[#This Row],[Tipo]]="Dividendo",Tabela4[[#This Row],[Valor]],IF(Tabela4[[#This Row],[Tipo]]="Jrs. Cap. Próprio",Tabela4[[#This Row],[Valor]]*85%,0))</f>
        <v>1.4999999999999999E-2</v>
      </c>
    </row>
    <row r="1469" spans="1:7" x14ac:dyDescent="0.2">
      <c r="A1469" s="3" t="s">
        <v>304</v>
      </c>
      <c r="B1469" s="3" t="s">
        <v>14</v>
      </c>
      <c r="C1469" s="25">
        <v>41122</v>
      </c>
      <c r="D1469" s="10">
        <v>0.27739999999999998</v>
      </c>
      <c r="E1469" s="67">
        <v>41136</v>
      </c>
      <c r="F1469" s="26">
        <v>41113</v>
      </c>
      <c r="G1469" s="10">
        <f>IF(Tabela4[[#This Row],[Tipo]]="Dividendo",Tabela4[[#This Row],[Valor]],IF(Tabela4[[#This Row],[Tipo]]="Jrs. Cap. Próprio",Tabela4[[#This Row],[Valor]]*85%,0))</f>
        <v>0.23578999999999997</v>
      </c>
    </row>
    <row r="1470" spans="1:7" x14ac:dyDescent="0.2">
      <c r="A1470" s="3" t="s">
        <v>304</v>
      </c>
      <c r="B1470" s="3" t="s">
        <v>15</v>
      </c>
      <c r="C1470" s="25">
        <v>41121</v>
      </c>
      <c r="D1470" s="10">
        <v>1.4999999999999999E-2</v>
      </c>
      <c r="E1470" s="67">
        <v>41155</v>
      </c>
      <c r="F1470" s="26">
        <v>41121</v>
      </c>
      <c r="G1470" s="10">
        <f>IF(Tabela4[[#This Row],[Tipo]]="Dividendo",Tabela4[[#This Row],[Valor]],IF(Tabela4[[#This Row],[Tipo]]="Jrs. Cap. Próprio",Tabela4[[#This Row],[Valor]]*85%,0))</f>
        <v>1.4999999999999999E-2</v>
      </c>
    </row>
    <row r="1471" spans="1:7" x14ac:dyDescent="0.2">
      <c r="A1471" s="3" t="s">
        <v>304</v>
      </c>
      <c r="B1471" s="3" t="s">
        <v>15</v>
      </c>
      <c r="C1471" s="25">
        <v>41089</v>
      </c>
      <c r="D1471" s="10">
        <v>1.4999999999999999E-2</v>
      </c>
      <c r="E1471" s="67">
        <v>41122</v>
      </c>
      <c r="F1471" s="26">
        <v>41089</v>
      </c>
      <c r="G1471" s="10">
        <f>IF(Tabela4[[#This Row],[Tipo]]="Dividendo",Tabela4[[#This Row],[Valor]],IF(Tabela4[[#This Row],[Tipo]]="Jrs. Cap. Próprio",Tabela4[[#This Row],[Valor]]*85%,0))</f>
        <v>1.4999999999999999E-2</v>
      </c>
    </row>
    <row r="1472" spans="1:7" x14ac:dyDescent="0.2">
      <c r="A1472" s="3" t="s">
        <v>304</v>
      </c>
      <c r="B1472" s="3" t="s">
        <v>15</v>
      </c>
      <c r="C1472" s="25">
        <v>41060</v>
      </c>
      <c r="D1472" s="10">
        <v>1.4999999999999999E-2</v>
      </c>
      <c r="E1472" s="67">
        <v>41092</v>
      </c>
      <c r="F1472" s="26">
        <v>41060</v>
      </c>
      <c r="G1472" s="10">
        <f>IF(Tabela4[[#This Row],[Tipo]]="Dividendo",Tabela4[[#This Row],[Valor]],IF(Tabela4[[#This Row],[Tipo]]="Jrs. Cap. Próprio",Tabela4[[#This Row],[Valor]]*85%,0))</f>
        <v>1.4999999999999999E-2</v>
      </c>
    </row>
    <row r="1473" spans="1:7" x14ac:dyDescent="0.2">
      <c r="A1473" s="3" t="s">
        <v>304</v>
      </c>
      <c r="B1473" s="3" t="s">
        <v>15</v>
      </c>
      <c r="C1473" s="25">
        <v>41029</v>
      </c>
      <c r="D1473" s="10">
        <v>1.4999999999999999E-2</v>
      </c>
      <c r="E1473" s="67">
        <v>41061</v>
      </c>
      <c r="F1473" s="26">
        <v>41029</v>
      </c>
      <c r="G1473" s="10">
        <f>IF(Tabela4[[#This Row],[Tipo]]="Dividendo",Tabela4[[#This Row],[Valor]],IF(Tabela4[[#This Row],[Tipo]]="Jrs. Cap. Próprio",Tabela4[[#This Row],[Valor]]*85%,0))</f>
        <v>1.4999999999999999E-2</v>
      </c>
    </row>
    <row r="1474" spans="1:7" x14ac:dyDescent="0.2">
      <c r="A1474" s="3" t="s">
        <v>304</v>
      </c>
      <c r="B1474" s="3" t="s">
        <v>15</v>
      </c>
      <c r="C1474" s="25">
        <v>40998</v>
      </c>
      <c r="D1474" s="10">
        <v>1.4999999999999999E-2</v>
      </c>
      <c r="E1474" s="67">
        <v>41031</v>
      </c>
      <c r="F1474" s="26">
        <v>40998</v>
      </c>
      <c r="G1474" s="10">
        <f>IF(Tabela4[[#This Row],[Tipo]]="Dividendo",Tabela4[[#This Row],[Valor]],IF(Tabela4[[#This Row],[Tipo]]="Jrs. Cap. Próprio",Tabela4[[#This Row],[Valor]]*85%,0))</f>
        <v>1.4999999999999999E-2</v>
      </c>
    </row>
    <row r="1475" spans="1:7" x14ac:dyDescent="0.2">
      <c r="A1475" s="3" t="s">
        <v>304</v>
      </c>
      <c r="B1475" s="3" t="s">
        <v>14</v>
      </c>
      <c r="C1475" s="25">
        <v>40968</v>
      </c>
      <c r="D1475" s="10">
        <v>0.41639999999999999</v>
      </c>
      <c r="E1475" s="67">
        <v>40981</v>
      </c>
      <c r="F1475" s="26">
        <v>40945</v>
      </c>
      <c r="G1475" s="10">
        <f>IF(Tabela4[[#This Row],[Tipo]]="Dividendo",Tabela4[[#This Row],[Valor]],IF(Tabela4[[#This Row],[Tipo]]="Jrs. Cap. Próprio",Tabela4[[#This Row],[Valor]]*85%,0))</f>
        <v>0.35393999999999998</v>
      </c>
    </row>
    <row r="1476" spans="1:7" x14ac:dyDescent="0.2">
      <c r="A1476" s="3" t="s">
        <v>304</v>
      </c>
      <c r="B1476" s="3" t="s">
        <v>15</v>
      </c>
      <c r="C1476" s="25">
        <v>40968</v>
      </c>
      <c r="D1476" s="10">
        <v>1.4999999999999999E-2</v>
      </c>
      <c r="E1476" s="67">
        <v>41001</v>
      </c>
      <c r="F1476" s="26">
        <v>40945</v>
      </c>
      <c r="G1476" s="10">
        <f>IF(Tabela4[[#This Row],[Tipo]]="Dividendo",Tabela4[[#This Row],[Valor]],IF(Tabela4[[#This Row],[Tipo]]="Jrs. Cap. Próprio",Tabela4[[#This Row],[Valor]]*85%,0))</f>
        <v>1.4999999999999999E-2</v>
      </c>
    </row>
    <row r="1477" spans="1:7" x14ac:dyDescent="0.2">
      <c r="A1477" s="3" t="s">
        <v>304</v>
      </c>
      <c r="B1477" s="3" t="s">
        <v>15</v>
      </c>
      <c r="C1477" s="25">
        <v>40939</v>
      </c>
      <c r="D1477" s="10">
        <v>1.2E-2</v>
      </c>
      <c r="E1477" s="67">
        <v>40969</v>
      </c>
      <c r="F1477" s="26">
        <v>40939</v>
      </c>
      <c r="G1477" s="10">
        <f>IF(Tabela4[[#This Row],[Tipo]]="Dividendo",Tabela4[[#This Row],[Valor]],IF(Tabela4[[#This Row],[Tipo]]="Jrs. Cap. Próprio",Tabela4[[#This Row],[Valor]]*85%,0))</f>
        <v>1.2E-2</v>
      </c>
    </row>
    <row r="1478" spans="1:7" x14ac:dyDescent="0.2">
      <c r="A1478" s="3" t="s">
        <v>304</v>
      </c>
      <c r="B1478" s="3" t="s">
        <v>15</v>
      </c>
      <c r="C1478" s="25">
        <v>40906</v>
      </c>
      <c r="D1478" s="10">
        <v>1.2E-2</v>
      </c>
      <c r="E1478" s="67">
        <v>40940</v>
      </c>
      <c r="F1478" s="26">
        <v>40906</v>
      </c>
      <c r="G1478" s="10">
        <f>IF(Tabela4[[#This Row],[Tipo]]="Dividendo",Tabela4[[#This Row],[Valor]],IF(Tabela4[[#This Row],[Tipo]]="Jrs. Cap. Próprio",Tabela4[[#This Row],[Valor]]*85%,0))</f>
        <v>1.2E-2</v>
      </c>
    </row>
    <row r="1479" spans="1:7" x14ac:dyDescent="0.2">
      <c r="A1479" s="3" t="s">
        <v>304</v>
      </c>
      <c r="B1479" s="3" t="s">
        <v>14</v>
      </c>
      <c r="C1479" s="25">
        <v>40903</v>
      </c>
      <c r="D1479" s="10">
        <v>0.28799999999999998</v>
      </c>
      <c r="E1479" s="67">
        <v>40981</v>
      </c>
      <c r="F1479" s="26">
        <v>40893</v>
      </c>
      <c r="G1479" s="10">
        <f>IF(Tabela4[[#This Row],[Tipo]]="Dividendo",Tabela4[[#This Row],[Valor]],IF(Tabela4[[#This Row],[Tipo]]="Jrs. Cap. Próprio",Tabela4[[#This Row],[Valor]]*85%,0))</f>
        <v>0.24479999999999996</v>
      </c>
    </row>
    <row r="1480" spans="1:7" x14ac:dyDescent="0.2">
      <c r="A1480" s="3" t="s">
        <v>304</v>
      </c>
      <c r="B1480" s="3" t="s">
        <v>15</v>
      </c>
      <c r="C1480" s="25">
        <v>40877</v>
      </c>
      <c r="D1480" s="10">
        <v>1.2E-2</v>
      </c>
      <c r="E1480" s="67">
        <v>40545</v>
      </c>
      <c r="F1480" s="26">
        <v>40877</v>
      </c>
      <c r="G1480" s="10">
        <f>IF(Tabela4[[#This Row],[Tipo]]="Dividendo",Tabela4[[#This Row],[Valor]],IF(Tabela4[[#This Row],[Tipo]]="Jrs. Cap. Próprio",Tabela4[[#This Row],[Valor]]*85%,0))</f>
        <v>1.2E-2</v>
      </c>
    </row>
    <row r="1481" spans="1:7" x14ac:dyDescent="0.2">
      <c r="A1481" s="3" t="s">
        <v>304</v>
      </c>
      <c r="B1481" s="3" t="s">
        <v>15</v>
      </c>
      <c r="C1481" s="25">
        <v>40847</v>
      </c>
      <c r="D1481" s="10">
        <v>1.2E-2</v>
      </c>
      <c r="E1481" s="67">
        <v>40878</v>
      </c>
      <c r="F1481" s="26">
        <v>40847</v>
      </c>
      <c r="G1481" s="10">
        <f>IF(Tabela4[[#This Row],[Tipo]]="Dividendo",Tabela4[[#This Row],[Valor]],IF(Tabela4[[#This Row],[Tipo]]="Jrs. Cap. Próprio",Tabela4[[#This Row],[Valor]]*85%,0))</f>
        <v>1.2E-2</v>
      </c>
    </row>
    <row r="1482" spans="1:7" x14ac:dyDescent="0.2">
      <c r="A1482" s="3" t="s">
        <v>304</v>
      </c>
      <c r="B1482" s="3" t="s">
        <v>15</v>
      </c>
      <c r="C1482" s="25">
        <v>40816</v>
      </c>
      <c r="D1482" s="10">
        <v>1.2E-2</v>
      </c>
      <c r="E1482" s="67">
        <v>40848</v>
      </c>
      <c r="F1482" s="26">
        <v>40816</v>
      </c>
      <c r="G1482" s="10">
        <f>IF(Tabela4[[#This Row],[Tipo]]="Dividendo",Tabela4[[#This Row],[Valor]],IF(Tabela4[[#This Row],[Tipo]]="Jrs. Cap. Próprio",Tabela4[[#This Row],[Valor]]*85%,0))</f>
        <v>1.2E-2</v>
      </c>
    </row>
    <row r="1483" spans="1:7" x14ac:dyDescent="0.2">
      <c r="A1483" s="3" t="s">
        <v>304</v>
      </c>
      <c r="B1483" s="3" t="s">
        <v>15</v>
      </c>
      <c r="C1483" s="25">
        <v>40786</v>
      </c>
      <c r="D1483" s="10">
        <v>1.2E-2</v>
      </c>
      <c r="E1483" s="67">
        <v>40819</v>
      </c>
      <c r="F1483" s="26">
        <v>40786</v>
      </c>
      <c r="G1483" s="10">
        <f>IF(Tabela4[[#This Row],[Tipo]]="Dividendo",Tabela4[[#This Row],[Valor]],IF(Tabela4[[#This Row],[Tipo]]="Jrs. Cap. Próprio",Tabela4[[#This Row],[Valor]]*85%,0))</f>
        <v>1.2E-2</v>
      </c>
    </row>
    <row r="1484" spans="1:7" x14ac:dyDescent="0.2">
      <c r="A1484" s="3" t="s">
        <v>304</v>
      </c>
      <c r="B1484" s="3" t="s">
        <v>14</v>
      </c>
      <c r="C1484" s="25">
        <v>40764</v>
      </c>
      <c r="D1484" s="10">
        <v>0.27060000000000001</v>
      </c>
      <c r="E1484" s="67">
        <v>40777</v>
      </c>
      <c r="F1484" s="26">
        <v>40756</v>
      </c>
      <c r="G1484" s="10">
        <f>IF(Tabela4[[#This Row],[Tipo]]="Dividendo",Tabela4[[#This Row],[Valor]],IF(Tabela4[[#This Row],[Tipo]]="Jrs. Cap. Próprio",Tabela4[[#This Row],[Valor]]*85%,0))</f>
        <v>0.23000999999999999</v>
      </c>
    </row>
    <row r="1485" spans="1:7" x14ac:dyDescent="0.2">
      <c r="A1485" s="3" t="s">
        <v>304</v>
      </c>
      <c r="B1485" s="3" t="s">
        <v>15</v>
      </c>
      <c r="C1485" s="25">
        <v>40753</v>
      </c>
      <c r="D1485" s="10">
        <v>1.2E-2</v>
      </c>
      <c r="E1485" s="67">
        <v>40787</v>
      </c>
      <c r="F1485" s="26">
        <v>40753</v>
      </c>
      <c r="G1485" s="10">
        <f>IF(Tabela4[[#This Row],[Tipo]]="Dividendo",Tabela4[[#This Row],[Valor]],IF(Tabela4[[#This Row],[Tipo]]="Jrs. Cap. Próprio",Tabela4[[#This Row],[Valor]]*85%,0))</f>
        <v>1.2E-2</v>
      </c>
    </row>
    <row r="1486" spans="1:7" x14ac:dyDescent="0.2">
      <c r="A1486" s="3" t="s">
        <v>304</v>
      </c>
      <c r="B1486" s="3" t="s">
        <v>15</v>
      </c>
      <c r="C1486" s="25">
        <v>40724</v>
      </c>
      <c r="D1486" s="10">
        <v>1.2E-2</v>
      </c>
      <c r="E1486" s="67">
        <v>40756</v>
      </c>
      <c r="F1486" s="26">
        <v>40724</v>
      </c>
      <c r="G1486" s="10">
        <f>IF(Tabela4[[#This Row],[Tipo]]="Dividendo",Tabela4[[#This Row],[Valor]],IF(Tabela4[[#This Row],[Tipo]]="Jrs. Cap. Próprio",Tabela4[[#This Row],[Valor]]*85%,0))</f>
        <v>1.2E-2</v>
      </c>
    </row>
    <row r="1487" spans="1:7" x14ac:dyDescent="0.2">
      <c r="A1487" s="3" t="s">
        <v>304</v>
      </c>
      <c r="B1487" s="3" t="s">
        <v>15</v>
      </c>
      <c r="C1487" s="25">
        <v>40694</v>
      </c>
      <c r="D1487" s="10">
        <v>1.2E-2</v>
      </c>
      <c r="E1487" s="67">
        <v>40725</v>
      </c>
      <c r="F1487" s="26">
        <v>40694</v>
      </c>
      <c r="G1487" s="10">
        <f>IF(Tabela4[[#This Row],[Tipo]]="Dividendo",Tabela4[[#This Row],[Valor]],IF(Tabela4[[#This Row],[Tipo]]="Jrs. Cap. Próprio",Tabela4[[#This Row],[Valor]]*85%,0))</f>
        <v>1.2E-2</v>
      </c>
    </row>
    <row r="1488" spans="1:7" x14ac:dyDescent="0.2">
      <c r="A1488" s="3" t="s">
        <v>304</v>
      </c>
      <c r="B1488" s="3" t="s">
        <v>15</v>
      </c>
      <c r="C1488" s="25">
        <v>40662</v>
      </c>
      <c r="D1488" s="10">
        <v>1.2E-2</v>
      </c>
      <c r="E1488" s="67">
        <v>40695</v>
      </c>
      <c r="F1488" s="26">
        <v>40662</v>
      </c>
      <c r="G1488" s="10">
        <f>IF(Tabela4[[#This Row],[Tipo]]="Dividendo",Tabela4[[#This Row],[Valor]],IF(Tabela4[[#This Row],[Tipo]]="Jrs. Cap. Próprio",Tabela4[[#This Row],[Valor]]*85%,0))</f>
        <v>1.2E-2</v>
      </c>
    </row>
    <row r="1489" spans="1:7" x14ac:dyDescent="0.2">
      <c r="A1489" s="3" t="s">
        <v>304</v>
      </c>
      <c r="B1489" s="3" t="s">
        <v>15</v>
      </c>
      <c r="C1489" s="25">
        <v>40633</v>
      </c>
      <c r="D1489" s="10">
        <v>1.2E-2</v>
      </c>
      <c r="E1489" s="67">
        <v>40665</v>
      </c>
      <c r="F1489" s="26">
        <v>40633</v>
      </c>
      <c r="G1489" s="10">
        <f>IF(Tabela4[[#This Row],[Tipo]]="Dividendo",Tabela4[[#This Row],[Valor]],IF(Tabela4[[#This Row],[Tipo]]="Jrs. Cap. Próprio",Tabela4[[#This Row],[Valor]]*85%,0))</f>
        <v>1.2E-2</v>
      </c>
    </row>
    <row r="1490" spans="1:7" x14ac:dyDescent="0.2">
      <c r="A1490" s="3" t="s">
        <v>304</v>
      </c>
      <c r="B1490" s="3" t="s">
        <v>14</v>
      </c>
      <c r="C1490" s="25">
        <v>40606</v>
      </c>
      <c r="D1490" s="10">
        <v>0.38179999999999997</v>
      </c>
      <c r="E1490" s="67">
        <v>40619</v>
      </c>
      <c r="F1490" s="26">
        <v>40595</v>
      </c>
      <c r="G1490" s="10">
        <f>IF(Tabela4[[#This Row],[Tipo]]="Dividendo",Tabela4[[#This Row],[Valor]],IF(Tabela4[[#This Row],[Tipo]]="Jrs. Cap. Próprio",Tabela4[[#This Row],[Valor]]*85%,0))</f>
        <v>0.32452999999999999</v>
      </c>
    </row>
    <row r="1491" spans="1:7" x14ac:dyDescent="0.2">
      <c r="A1491" s="3" t="s">
        <v>304</v>
      </c>
      <c r="B1491" s="3" t="s">
        <v>15</v>
      </c>
      <c r="C1491" s="25">
        <v>40602</v>
      </c>
      <c r="D1491" s="10">
        <v>1.2E-2</v>
      </c>
      <c r="E1491" s="67">
        <v>40634</v>
      </c>
      <c r="F1491" s="26">
        <v>40602</v>
      </c>
      <c r="G1491" s="10">
        <f>IF(Tabela4[[#This Row],[Tipo]]="Dividendo",Tabela4[[#This Row],[Valor]],IF(Tabela4[[#This Row],[Tipo]]="Jrs. Cap. Próprio",Tabela4[[#This Row],[Valor]]*85%,0))</f>
        <v>1.2E-2</v>
      </c>
    </row>
    <row r="1492" spans="1:7" x14ac:dyDescent="0.2">
      <c r="A1492" s="3" t="s">
        <v>304</v>
      </c>
      <c r="B1492" s="3" t="s">
        <v>15</v>
      </c>
      <c r="C1492" s="25">
        <v>40574</v>
      </c>
      <c r="D1492" s="10">
        <v>1.2E-2</v>
      </c>
      <c r="E1492" s="67">
        <v>40603</v>
      </c>
      <c r="F1492" s="26">
        <v>40574</v>
      </c>
      <c r="G1492" s="10">
        <f>IF(Tabela4[[#This Row],[Tipo]]="Dividendo",Tabela4[[#This Row],[Valor]],IF(Tabela4[[#This Row],[Tipo]]="Jrs. Cap. Próprio",Tabela4[[#This Row],[Valor]]*85%,0))</f>
        <v>1.2E-2</v>
      </c>
    </row>
    <row r="1493" spans="1:7" x14ac:dyDescent="0.2">
      <c r="A1493" s="3" t="s">
        <v>304</v>
      </c>
      <c r="B1493" s="3" t="s">
        <v>15</v>
      </c>
      <c r="C1493" s="25">
        <v>40542</v>
      </c>
      <c r="D1493" s="10">
        <v>1.2E-2</v>
      </c>
      <c r="E1493" s="67">
        <v>40575</v>
      </c>
      <c r="F1493" s="26">
        <v>40542</v>
      </c>
      <c r="G1493" s="10">
        <f>IF(Tabela4[[#This Row],[Tipo]]="Dividendo",Tabela4[[#This Row],[Valor]],IF(Tabela4[[#This Row],[Tipo]]="Jrs. Cap. Próprio",Tabela4[[#This Row],[Valor]]*85%,0))</f>
        <v>1.2E-2</v>
      </c>
    </row>
    <row r="1494" spans="1:7" x14ac:dyDescent="0.2">
      <c r="A1494" s="3" t="s">
        <v>304</v>
      </c>
      <c r="B1494" s="3" t="s">
        <v>14</v>
      </c>
      <c r="C1494" s="25">
        <v>40542</v>
      </c>
      <c r="D1494" s="10">
        <v>0.215</v>
      </c>
      <c r="E1494" s="67">
        <v>40616</v>
      </c>
      <c r="F1494" s="26">
        <v>40542</v>
      </c>
      <c r="G1494" s="10">
        <f>IF(Tabela4[[#This Row],[Tipo]]="Dividendo",Tabela4[[#This Row],[Valor]],IF(Tabela4[[#This Row],[Tipo]]="Jrs. Cap. Próprio",Tabela4[[#This Row],[Valor]]*85%,0))</f>
        <v>0.18275</v>
      </c>
    </row>
    <row r="1495" spans="1:7" x14ac:dyDescent="0.2">
      <c r="A1495" s="3" t="s">
        <v>304</v>
      </c>
      <c r="B1495" s="3" t="s">
        <v>15</v>
      </c>
      <c r="C1495" s="25">
        <v>40512</v>
      </c>
      <c r="D1495" s="10">
        <v>1.2E-2</v>
      </c>
      <c r="E1495" s="67">
        <v>40546</v>
      </c>
      <c r="F1495" s="26">
        <v>40512</v>
      </c>
      <c r="G1495" s="10">
        <f>IF(Tabela4[[#This Row],[Tipo]]="Dividendo",Tabela4[[#This Row],[Valor]],IF(Tabela4[[#This Row],[Tipo]]="Jrs. Cap. Próprio",Tabela4[[#This Row],[Valor]]*85%,0))</f>
        <v>1.2E-2</v>
      </c>
    </row>
    <row r="1496" spans="1:7" x14ac:dyDescent="0.2">
      <c r="A1496" s="3" t="s">
        <v>304</v>
      </c>
      <c r="B1496" s="3" t="s">
        <v>15</v>
      </c>
      <c r="C1496" s="25">
        <v>40480</v>
      </c>
      <c r="D1496" s="10">
        <v>1.2E-2</v>
      </c>
      <c r="E1496" s="67">
        <v>40513</v>
      </c>
      <c r="F1496" s="26">
        <v>40480</v>
      </c>
      <c r="G1496" s="10">
        <f>IF(Tabela4[[#This Row],[Tipo]]="Dividendo",Tabela4[[#This Row],[Valor]],IF(Tabela4[[#This Row],[Tipo]]="Jrs. Cap. Próprio",Tabela4[[#This Row],[Valor]]*85%,0))</f>
        <v>1.2E-2</v>
      </c>
    </row>
    <row r="1497" spans="1:7" x14ac:dyDescent="0.2">
      <c r="A1497" s="3" t="s">
        <v>304</v>
      </c>
      <c r="B1497" s="3" t="s">
        <v>15</v>
      </c>
      <c r="C1497" s="25">
        <v>40451</v>
      </c>
      <c r="D1497" s="10">
        <v>1.2E-2</v>
      </c>
      <c r="E1497" s="67">
        <v>40483</v>
      </c>
      <c r="F1497" s="26">
        <v>40451</v>
      </c>
      <c r="G1497" s="10">
        <f>IF(Tabela4[[#This Row],[Tipo]]="Dividendo",Tabela4[[#This Row],[Valor]],IF(Tabela4[[#This Row],[Tipo]]="Jrs. Cap. Próprio",Tabela4[[#This Row],[Valor]]*85%,0))</f>
        <v>1.2E-2</v>
      </c>
    </row>
    <row r="1498" spans="1:7" x14ac:dyDescent="0.2">
      <c r="A1498" s="3" t="s">
        <v>304</v>
      </c>
      <c r="B1498" s="3" t="s">
        <v>15</v>
      </c>
      <c r="C1498" s="25">
        <v>40421</v>
      </c>
      <c r="D1498" s="10">
        <v>1.2E-2</v>
      </c>
      <c r="E1498" s="67">
        <v>40452</v>
      </c>
      <c r="F1498" s="26">
        <v>40421</v>
      </c>
      <c r="G1498" s="10">
        <f>IF(Tabela4[[#This Row],[Tipo]]="Dividendo",Tabela4[[#This Row],[Valor]],IF(Tabela4[[#This Row],[Tipo]]="Jrs. Cap. Próprio",Tabela4[[#This Row],[Valor]]*85%,0))</f>
        <v>1.2E-2</v>
      </c>
    </row>
    <row r="1499" spans="1:7" x14ac:dyDescent="0.2">
      <c r="A1499" s="3" t="s">
        <v>304</v>
      </c>
      <c r="B1499" s="3" t="s">
        <v>14</v>
      </c>
      <c r="C1499" s="25">
        <v>40400</v>
      </c>
      <c r="D1499" s="10">
        <v>0.2465</v>
      </c>
      <c r="E1499" s="67">
        <v>40410</v>
      </c>
      <c r="F1499" s="26">
        <v>40392</v>
      </c>
      <c r="G1499" s="10">
        <f>IF(Tabela4[[#This Row],[Tipo]]="Dividendo",Tabela4[[#This Row],[Valor]],IF(Tabela4[[#This Row],[Tipo]]="Jrs. Cap. Próprio",Tabela4[[#This Row],[Valor]]*85%,0))</f>
        <v>0.20952499999999999</v>
      </c>
    </row>
    <row r="1500" spans="1:7" x14ac:dyDescent="0.2">
      <c r="A1500" s="3" t="s">
        <v>304</v>
      </c>
      <c r="B1500" s="3" t="s">
        <v>15</v>
      </c>
      <c r="C1500" s="25">
        <v>40389</v>
      </c>
      <c r="D1500" s="10">
        <v>1.2E-2</v>
      </c>
      <c r="E1500" s="67">
        <v>40422</v>
      </c>
      <c r="F1500" s="26">
        <v>40389</v>
      </c>
      <c r="G1500" s="10">
        <f>IF(Tabela4[[#This Row],[Tipo]]="Dividendo",Tabela4[[#This Row],[Valor]],IF(Tabela4[[#This Row],[Tipo]]="Jrs. Cap. Próprio",Tabela4[[#This Row],[Valor]]*85%,0))</f>
        <v>1.2E-2</v>
      </c>
    </row>
    <row r="1501" spans="1:7" x14ac:dyDescent="0.2">
      <c r="A1501" s="3" t="s">
        <v>304</v>
      </c>
      <c r="B1501" s="3" t="s">
        <v>15</v>
      </c>
      <c r="C1501" s="25">
        <v>40359</v>
      </c>
      <c r="D1501" s="10">
        <v>1.2E-2</v>
      </c>
      <c r="E1501" s="67">
        <v>40392</v>
      </c>
      <c r="F1501" s="26">
        <v>40359</v>
      </c>
      <c r="G1501" s="10">
        <f>IF(Tabela4[[#This Row],[Tipo]]="Dividendo",Tabela4[[#This Row],[Valor]],IF(Tabela4[[#This Row],[Tipo]]="Jrs. Cap. Próprio",Tabela4[[#This Row],[Valor]]*85%,0))</f>
        <v>1.2E-2</v>
      </c>
    </row>
    <row r="1502" spans="1:7" x14ac:dyDescent="0.2">
      <c r="A1502" s="3" t="s">
        <v>304</v>
      </c>
      <c r="B1502" s="3" t="s">
        <v>15</v>
      </c>
      <c r="C1502" s="25">
        <v>40329</v>
      </c>
      <c r="D1502" s="10">
        <v>1.2E-2</v>
      </c>
      <c r="E1502" s="67">
        <v>40360</v>
      </c>
      <c r="F1502" s="26">
        <v>40329</v>
      </c>
      <c r="G1502" s="10">
        <f>IF(Tabela4[[#This Row],[Tipo]]="Dividendo",Tabela4[[#This Row],[Valor]],IF(Tabela4[[#This Row],[Tipo]]="Jrs. Cap. Próprio",Tabela4[[#This Row],[Valor]]*85%,0))</f>
        <v>1.2E-2</v>
      </c>
    </row>
    <row r="1503" spans="1:7" x14ac:dyDescent="0.2">
      <c r="A1503" s="3" t="s">
        <v>304</v>
      </c>
      <c r="B1503" s="3" t="s">
        <v>15</v>
      </c>
      <c r="C1503" s="25">
        <v>40298</v>
      </c>
      <c r="D1503" s="10">
        <v>1.2E-2</v>
      </c>
      <c r="E1503" s="67">
        <v>40330</v>
      </c>
      <c r="F1503" s="26">
        <v>40298</v>
      </c>
      <c r="G1503" s="10">
        <f>IF(Tabela4[[#This Row],[Tipo]]="Dividendo",Tabela4[[#This Row],[Valor]],IF(Tabela4[[#This Row],[Tipo]]="Jrs. Cap. Próprio",Tabela4[[#This Row],[Valor]]*85%,0))</f>
        <v>1.2E-2</v>
      </c>
    </row>
    <row r="1504" spans="1:7" x14ac:dyDescent="0.2">
      <c r="A1504" s="3" t="s">
        <v>304</v>
      </c>
      <c r="B1504" s="3" t="s">
        <v>15</v>
      </c>
      <c r="C1504" s="25">
        <v>40268</v>
      </c>
      <c r="D1504" s="10">
        <v>1.2E-2</v>
      </c>
      <c r="E1504" s="67">
        <v>40301</v>
      </c>
      <c r="F1504" s="26">
        <v>40268</v>
      </c>
      <c r="G1504" s="10">
        <f>IF(Tabela4[[#This Row],[Tipo]]="Dividendo",Tabela4[[#This Row],[Valor]],IF(Tabela4[[#This Row],[Tipo]]="Jrs. Cap. Próprio",Tabela4[[#This Row],[Valor]]*85%,0))</f>
        <v>1.2E-2</v>
      </c>
    </row>
    <row r="1505" spans="1:7" x14ac:dyDescent="0.2">
      <c r="A1505" s="3" t="s">
        <v>304</v>
      </c>
      <c r="B1505" s="3" t="s">
        <v>15</v>
      </c>
      <c r="C1505" s="25">
        <v>40235</v>
      </c>
      <c r="D1505" s="10">
        <v>1.2E-2</v>
      </c>
      <c r="E1505" s="67">
        <v>40269</v>
      </c>
      <c r="F1505" s="26">
        <v>40235</v>
      </c>
      <c r="G1505" s="10">
        <f>IF(Tabela4[[#This Row],[Tipo]]="Dividendo",Tabela4[[#This Row],[Valor]],IF(Tabela4[[#This Row],[Tipo]]="Jrs. Cap. Próprio",Tabela4[[#This Row],[Valor]]*85%,0))</f>
        <v>1.2E-2</v>
      </c>
    </row>
    <row r="1506" spans="1:7" x14ac:dyDescent="0.2">
      <c r="A1506" s="3" t="s">
        <v>304</v>
      </c>
      <c r="B1506" s="3" t="s">
        <v>14</v>
      </c>
      <c r="C1506" s="25">
        <v>40228</v>
      </c>
      <c r="D1506" s="10">
        <v>0.38440000000000002</v>
      </c>
      <c r="E1506" s="67">
        <v>40238</v>
      </c>
      <c r="F1506" s="26">
        <v>40217</v>
      </c>
      <c r="G1506" s="10">
        <f>IF(Tabela4[[#This Row],[Tipo]]="Dividendo",Tabela4[[#This Row],[Valor]],IF(Tabela4[[#This Row],[Tipo]]="Jrs. Cap. Próprio",Tabela4[[#This Row],[Valor]]*85%,0))</f>
        <v>0.32674000000000003</v>
      </c>
    </row>
    <row r="1507" spans="1:7" x14ac:dyDescent="0.2">
      <c r="A1507" s="3" t="s">
        <v>304</v>
      </c>
      <c r="B1507" s="3" t="s">
        <v>15</v>
      </c>
      <c r="C1507" s="25">
        <v>40207</v>
      </c>
      <c r="D1507" s="10">
        <v>1.2E-2</v>
      </c>
      <c r="E1507" s="67">
        <v>40238</v>
      </c>
      <c r="F1507" s="26">
        <v>40207</v>
      </c>
      <c r="G1507" s="10">
        <f>IF(Tabela4[[#This Row],[Tipo]]="Dividendo",Tabela4[[#This Row],[Valor]],IF(Tabela4[[#This Row],[Tipo]]="Jrs. Cap. Próprio",Tabela4[[#This Row],[Valor]]*85%,0))</f>
        <v>1.2E-2</v>
      </c>
    </row>
    <row r="1508" spans="1:7" x14ac:dyDescent="0.2">
      <c r="A1508" s="3" t="s">
        <v>304</v>
      </c>
      <c r="B1508" s="3" t="s">
        <v>14</v>
      </c>
      <c r="C1508" s="25">
        <v>40177</v>
      </c>
      <c r="D1508" s="10">
        <v>0.17760000000000001</v>
      </c>
      <c r="E1508" s="67">
        <v>40238</v>
      </c>
      <c r="F1508" s="26">
        <v>40177</v>
      </c>
      <c r="G1508" s="10">
        <f>IF(Tabela4[[#This Row],[Tipo]]="Dividendo",Tabela4[[#This Row],[Valor]],IF(Tabela4[[#This Row],[Tipo]]="Jrs. Cap. Próprio",Tabela4[[#This Row],[Valor]]*85%,0))</f>
        <v>0.15096000000000001</v>
      </c>
    </row>
    <row r="1509" spans="1:7" x14ac:dyDescent="0.2">
      <c r="A1509" s="3" t="s">
        <v>304</v>
      </c>
      <c r="B1509" s="3" t="s">
        <v>15</v>
      </c>
      <c r="C1509" s="25">
        <v>40177</v>
      </c>
      <c r="D1509" s="10">
        <v>1.2E-2</v>
      </c>
      <c r="E1509" s="67">
        <v>40210</v>
      </c>
      <c r="F1509" s="26">
        <v>40177</v>
      </c>
      <c r="G1509" s="10">
        <f>IF(Tabela4[[#This Row],[Tipo]]="Dividendo",Tabela4[[#This Row],[Valor]],IF(Tabela4[[#This Row],[Tipo]]="Jrs. Cap. Próprio",Tabela4[[#This Row],[Valor]]*85%,0))</f>
        <v>1.2E-2</v>
      </c>
    </row>
    <row r="1510" spans="1:7" x14ac:dyDescent="0.2">
      <c r="A1510" s="3" t="s">
        <v>304</v>
      </c>
      <c r="B1510" s="3" t="s">
        <v>15</v>
      </c>
      <c r="C1510" s="25">
        <v>40147</v>
      </c>
      <c r="D1510" s="10">
        <v>1.2E-2</v>
      </c>
      <c r="E1510" s="67">
        <v>40182</v>
      </c>
      <c r="F1510" s="26">
        <v>40147</v>
      </c>
      <c r="G1510" s="10">
        <f>IF(Tabela4[[#This Row],[Tipo]]="Dividendo",Tabela4[[#This Row],[Valor]],IF(Tabela4[[#This Row],[Tipo]]="Jrs. Cap. Próprio",Tabela4[[#This Row],[Valor]]*85%,0))</f>
        <v>1.2E-2</v>
      </c>
    </row>
    <row r="1511" spans="1:7" x14ac:dyDescent="0.2">
      <c r="A1511" s="3" t="s">
        <v>304</v>
      </c>
      <c r="B1511" s="3" t="s">
        <v>15</v>
      </c>
      <c r="C1511" s="25">
        <v>40116</v>
      </c>
      <c r="D1511" s="10">
        <v>1.2E-2</v>
      </c>
      <c r="E1511" s="67">
        <v>40148</v>
      </c>
      <c r="F1511" s="26">
        <v>40116</v>
      </c>
      <c r="G1511" s="10">
        <f>IF(Tabela4[[#This Row],[Tipo]]="Dividendo",Tabela4[[#This Row],[Valor]],IF(Tabela4[[#This Row],[Tipo]]="Jrs. Cap. Próprio",Tabela4[[#This Row],[Valor]]*85%,0))</f>
        <v>1.2E-2</v>
      </c>
    </row>
    <row r="1512" spans="1:7" x14ac:dyDescent="0.2">
      <c r="A1512" s="3" t="s">
        <v>304</v>
      </c>
      <c r="B1512" s="3" t="s">
        <v>15</v>
      </c>
      <c r="C1512" s="25">
        <v>40086</v>
      </c>
      <c r="D1512" s="10">
        <v>1.2E-2</v>
      </c>
      <c r="E1512" s="67">
        <v>40120</v>
      </c>
      <c r="F1512" s="26">
        <v>40086</v>
      </c>
      <c r="G1512" s="10">
        <f>IF(Tabela4[[#This Row],[Tipo]]="Dividendo",Tabela4[[#This Row],[Valor]],IF(Tabela4[[#This Row],[Tipo]]="Jrs. Cap. Próprio",Tabela4[[#This Row],[Valor]]*85%,0))</f>
        <v>1.2E-2</v>
      </c>
    </row>
    <row r="1513" spans="1:7" x14ac:dyDescent="0.2">
      <c r="A1513" s="3" t="s">
        <v>304</v>
      </c>
      <c r="B1513" s="3" t="s">
        <v>15</v>
      </c>
      <c r="C1513" s="25">
        <v>40056</v>
      </c>
      <c r="D1513" s="10">
        <v>1.2E-2</v>
      </c>
      <c r="E1513" s="67">
        <v>40087</v>
      </c>
      <c r="F1513" s="26">
        <v>40056</v>
      </c>
      <c r="G1513" s="10">
        <f>IF(Tabela4[[#This Row],[Tipo]]="Dividendo",Tabela4[[#This Row],[Valor]],IF(Tabela4[[#This Row],[Tipo]]="Jrs. Cap. Próprio",Tabela4[[#This Row],[Valor]]*85%,0))</f>
        <v>1.2E-2</v>
      </c>
    </row>
    <row r="1514" spans="1:7" x14ac:dyDescent="0.2">
      <c r="A1514" s="3" t="s">
        <v>304</v>
      </c>
      <c r="B1514" s="3" t="s">
        <v>14</v>
      </c>
      <c r="C1514" s="25">
        <v>40046</v>
      </c>
      <c r="D1514" s="10">
        <v>0.2</v>
      </c>
      <c r="E1514" s="67">
        <v>40056</v>
      </c>
      <c r="F1514" s="26">
        <v>40035</v>
      </c>
      <c r="G1514" s="10">
        <f>IF(Tabela4[[#This Row],[Tipo]]="Dividendo",Tabela4[[#This Row],[Valor]],IF(Tabela4[[#This Row],[Tipo]]="Jrs. Cap. Próprio",Tabela4[[#This Row],[Valor]]*85%,0))</f>
        <v>0.17</v>
      </c>
    </row>
    <row r="1515" spans="1:7" x14ac:dyDescent="0.2">
      <c r="A1515" s="3" t="s">
        <v>304</v>
      </c>
      <c r="B1515" s="3" t="s">
        <v>15</v>
      </c>
      <c r="C1515" s="25">
        <v>40025</v>
      </c>
      <c r="D1515" s="10">
        <v>1.2E-2</v>
      </c>
      <c r="E1515" s="67">
        <v>40057</v>
      </c>
      <c r="F1515" s="26">
        <v>40025</v>
      </c>
      <c r="G1515" s="10">
        <f>IF(Tabela4[[#This Row],[Tipo]]="Dividendo",Tabela4[[#This Row],[Valor]],IF(Tabela4[[#This Row],[Tipo]]="Jrs. Cap. Próprio",Tabela4[[#This Row],[Valor]]*85%,0))</f>
        <v>1.2E-2</v>
      </c>
    </row>
    <row r="1516" spans="1:7" x14ac:dyDescent="0.2">
      <c r="A1516" s="3" t="s">
        <v>304</v>
      </c>
      <c r="B1516" s="3" t="s">
        <v>15</v>
      </c>
      <c r="C1516" s="25">
        <v>39994</v>
      </c>
      <c r="D1516" s="10">
        <v>1.2E-2</v>
      </c>
      <c r="E1516" s="67">
        <v>40028</v>
      </c>
      <c r="F1516" s="26">
        <v>39994</v>
      </c>
      <c r="G1516" s="10">
        <f>IF(Tabela4[[#This Row],[Tipo]]="Dividendo",Tabela4[[#This Row],[Valor]],IF(Tabela4[[#This Row],[Tipo]]="Jrs. Cap. Próprio",Tabela4[[#This Row],[Valor]]*85%,0))</f>
        <v>1.2E-2</v>
      </c>
    </row>
    <row r="1517" spans="1:7" x14ac:dyDescent="0.2">
      <c r="A1517" s="3" t="s">
        <v>304</v>
      </c>
      <c r="B1517" s="3" t="s">
        <v>15</v>
      </c>
      <c r="C1517" s="80">
        <v>39962</v>
      </c>
      <c r="D1517" s="10">
        <v>1.2E-2</v>
      </c>
      <c r="E1517" s="81">
        <v>39995</v>
      </c>
      <c r="F1517" s="81">
        <v>39962</v>
      </c>
      <c r="G1517" s="10">
        <f>IF(Tabela4[[#This Row],[Tipo]]="Dividendo",Tabela4[[#This Row],[Valor]],IF(Tabela4[[#This Row],[Tipo]]="Jrs. Cap. Próprio",Tabela4[[#This Row],[Valor]]*85%,0))</f>
        <v>1.2E-2</v>
      </c>
    </row>
    <row r="1518" spans="1:7" x14ac:dyDescent="0.2">
      <c r="A1518" s="3" t="s">
        <v>304</v>
      </c>
      <c r="B1518" s="3" t="s">
        <v>15</v>
      </c>
      <c r="C1518" s="25">
        <v>39933</v>
      </c>
      <c r="D1518" s="10">
        <v>1.2E-2</v>
      </c>
      <c r="E1518" s="67">
        <v>39965</v>
      </c>
      <c r="F1518" s="26">
        <v>39933</v>
      </c>
      <c r="G1518" s="10">
        <f>IF(Tabela4[[#This Row],[Tipo]]="Dividendo",Tabela4[[#This Row],[Valor]],IF(Tabela4[[#This Row],[Tipo]]="Jrs. Cap. Próprio",Tabela4[[#This Row],[Valor]]*85%,0))</f>
        <v>1.2E-2</v>
      </c>
    </row>
    <row r="1519" spans="1:7" x14ac:dyDescent="0.2">
      <c r="A1519" s="3" t="s">
        <v>304</v>
      </c>
      <c r="B1519" s="3" t="s">
        <v>15</v>
      </c>
      <c r="C1519" s="25">
        <v>39903</v>
      </c>
      <c r="D1519" s="10">
        <v>1.2E-2</v>
      </c>
      <c r="E1519" s="67">
        <v>39935</v>
      </c>
      <c r="F1519" s="26">
        <v>39903</v>
      </c>
      <c r="G1519" s="10">
        <f>IF(Tabela4[[#This Row],[Tipo]]="Dividendo",Tabela4[[#This Row],[Valor]],IF(Tabela4[[#This Row],[Tipo]]="Jrs. Cap. Próprio",Tabela4[[#This Row],[Valor]]*85%,0))</f>
        <v>1.2E-2</v>
      </c>
    </row>
    <row r="1520" spans="1:7" x14ac:dyDescent="0.2">
      <c r="A1520" s="3" t="s">
        <v>304</v>
      </c>
      <c r="B1520" s="3" t="s">
        <v>14</v>
      </c>
      <c r="C1520" s="80">
        <v>39881</v>
      </c>
      <c r="D1520" s="10">
        <v>0.21679999999999999</v>
      </c>
      <c r="E1520" s="81">
        <v>39889</v>
      </c>
      <c r="F1520" s="81">
        <v>39863</v>
      </c>
      <c r="G1520" s="10">
        <f>IF(Tabela4[[#This Row],[Tipo]]="Dividendo",Tabela4[[#This Row],[Valor]],IF(Tabela4[[#This Row],[Tipo]]="Jrs. Cap. Próprio",Tabela4[[#This Row],[Valor]]*85%,0))</f>
        <v>0.18428</v>
      </c>
    </row>
    <row r="1521" spans="1:7" x14ac:dyDescent="0.2">
      <c r="A1521" s="3" t="s">
        <v>304</v>
      </c>
      <c r="B1521" s="3" t="s">
        <v>15</v>
      </c>
      <c r="C1521" s="25">
        <v>39871</v>
      </c>
      <c r="D1521" s="10">
        <v>1.2E-2</v>
      </c>
      <c r="E1521" s="67">
        <v>39904</v>
      </c>
      <c r="F1521" s="26">
        <v>39871</v>
      </c>
      <c r="G1521" s="10">
        <f>IF(Tabela4[[#This Row],[Tipo]]="Dividendo",Tabela4[[#This Row],[Valor]],IF(Tabela4[[#This Row],[Tipo]]="Jrs. Cap. Próprio",Tabela4[[#This Row],[Valor]]*85%,0))</f>
        <v>1.2E-2</v>
      </c>
    </row>
    <row r="1522" spans="1:7" x14ac:dyDescent="0.2">
      <c r="A1522" s="3" t="s">
        <v>304</v>
      </c>
      <c r="B1522" s="3" t="s">
        <v>15</v>
      </c>
      <c r="C1522" s="25">
        <v>39843</v>
      </c>
      <c r="D1522" s="10">
        <v>1.2E-2</v>
      </c>
      <c r="E1522" s="67">
        <v>39874</v>
      </c>
      <c r="F1522" s="26">
        <v>39843</v>
      </c>
      <c r="G1522" s="10">
        <f>IF(Tabela4[[#This Row],[Tipo]]="Dividendo",Tabela4[[#This Row],[Valor]],IF(Tabela4[[#This Row],[Tipo]]="Jrs. Cap. Próprio",Tabela4[[#This Row],[Valor]]*85%,0))</f>
        <v>1.2E-2</v>
      </c>
    </row>
    <row r="1523" spans="1:7" x14ac:dyDescent="0.2">
      <c r="A1523" s="3" t="s">
        <v>304</v>
      </c>
      <c r="B1523" s="3" t="s">
        <v>15</v>
      </c>
      <c r="C1523" s="25">
        <v>39812</v>
      </c>
      <c r="D1523" s="10">
        <v>1.2E-2</v>
      </c>
      <c r="E1523" s="67">
        <v>39846</v>
      </c>
      <c r="F1523" s="26">
        <v>39812</v>
      </c>
      <c r="G1523" s="10">
        <f>IF(Tabela4[[#This Row],[Tipo]]="Dividendo",Tabela4[[#This Row],[Valor]],IF(Tabela4[[#This Row],[Tipo]]="Jrs. Cap. Próprio",Tabela4[[#This Row],[Valor]]*85%,0))</f>
        <v>1.2E-2</v>
      </c>
    </row>
    <row r="1524" spans="1:7" x14ac:dyDescent="0.2">
      <c r="A1524" s="3" t="s">
        <v>304</v>
      </c>
      <c r="B1524" s="3" t="s">
        <v>14</v>
      </c>
      <c r="C1524" s="25">
        <v>39812</v>
      </c>
      <c r="D1524" s="10">
        <v>7.6999999999999999E-2</v>
      </c>
      <c r="E1524" s="67">
        <v>39889</v>
      </c>
      <c r="F1524" s="26">
        <v>39812</v>
      </c>
      <c r="G1524" s="10">
        <f>IF(Tabela4[[#This Row],[Tipo]]="Dividendo",Tabela4[[#This Row],[Valor]],IF(Tabela4[[#This Row],[Tipo]]="Jrs. Cap. Próprio",Tabela4[[#This Row],[Valor]]*85%,0))</f>
        <v>6.5449999999999994E-2</v>
      </c>
    </row>
    <row r="1525" spans="1:7" x14ac:dyDescent="0.2">
      <c r="A1525" s="3" t="s">
        <v>304</v>
      </c>
      <c r="B1525" s="3" t="s">
        <v>15</v>
      </c>
      <c r="C1525" s="25">
        <v>39780</v>
      </c>
      <c r="D1525" s="10">
        <v>1.2E-2</v>
      </c>
      <c r="E1525" s="67">
        <v>39815</v>
      </c>
      <c r="F1525" s="26">
        <v>39780</v>
      </c>
      <c r="G1525" s="10">
        <f>IF(Tabela4[[#This Row],[Tipo]]="Dividendo",Tabela4[[#This Row],[Valor]],IF(Tabela4[[#This Row],[Tipo]]="Jrs. Cap. Próprio",Tabela4[[#This Row],[Valor]]*85%,0))</f>
        <v>1.2E-2</v>
      </c>
    </row>
    <row r="1526" spans="1:7" x14ac:dyDescent="0.2">
      <c r="A1526" s="3" t="s">
        <v>304</v>
      </c>
      <c r="B1526" s="3" t="s">
        <v>14</v>
      </c>
      <c r="C1526" s="25">
        <v>39773</v>
      </c>
      <c r="D1526" s="10">
        <v>0.38969999999999999</v>
      </c>
      <c r="E1526" s="67">
        <v>39843</v>
      </c>
      <c r="F1526" s="26">
        <v>39769</v>
      </c>
      <c r="G1526" s="10">
        <f>IF(Tabela4[[#This Row],[Tipo]]="Dividendo",Tabela4[[#This Row],[Valor]],IF(Tabela4[[#This Row],[Tipo]]="Jrs. Cap. Próprio",Tabela4[[#This Row],[Valor]]*85%,0))</f>
        <v>0.33124499999999996</v>
      </c>
    </row>
    <row r="1527" spans="1:7" x14ac:dyDescent="0.2">
      <c r="A1527" s="3" t="s">
        <v>304</v>
      </c>
      <c r="B1527" s="3" t="s">
        <v>15</v>
      </c>
      <c r="C1527" s="25">
        <v>39752</v>
      </c>
      <c r="D1527" s="10">
        <v>1.2E-2</v>
      </c>
      <c r="E1527" s="67">
        <v>39783</v>
      </c>
      <c r="F1527" s="26">
        <v>39752</v>
      </c>
      <c r="G1527" s="10">
        <f>IF(Tabela4[[#This Row],[Tipo]]="Dividendo",Tabela4[[#This Row],[Valor]],IF(Tabela4[[#This Row],[Tipo]]="Jrs. Cap. Próprio",Tabela4[[#This Row],[Valor]]*85%,0))</f>
        <v>1.2E-2</v>
      </c>
    </row>
    <row r="1528" spans="1:7" x14ac:dyDescent="0.2">
      <c r="A1528" s="3" t="s">
        <v>304</v>
      </c>
      <c r="B1528" s="3" t="s">
        <v>15</v>
      </c>
      <c r="C1528" s="25">
        <v>39721</v>
      </c>
      <c r="D1528" s="10">
        <v>1.2E-2</v>
      </c>
      <c r="E1528" s="67">
        <v>39755</v>
      </c>
      <c r="F1528" s="26">
        <v>39721</v>
      </c>
      <c r="G1528" s="10">
        <f>IF(Tabela4[[#This Row],[Tipo]]="Dividendo",Tabela4[[#This Row],[Valor]],IF(Tabela4[[#This Row],[Tipo]]="Jrs. Cap. Próprio",Tabela4[[#This Row],[Valor]]*85%,0))</f>
        <v>1.2E-2</v>
      </c>
    </row>
    <row r="1529" spans="1:7" x14ac:dyDescent="0.2">
      <c r="A1529" s="3" t="s">
        <v>304</v>
      </c>
      <c r="B1529" s="3" t="s">
        <v>15</v>
      </c>
      <c r="C1529" s="25">
        <v>39689</v>
      </c>
      <c r="D1529" s="10">
        <v>1.2E-2</v>
      </c>
      <c r="E1529" s="67">
        <v>39722</v>
      </c>
      <c r="F1529" s="26">
        <v>39689</v>
      </c>
      <c r="G1529" s="10">
        <f>IF(Tabela4[[#This Row],[Tipo]]="Dividendo",Tabela4[[#This Row],[Valor]],IF(Tabela4[[#This Row],[Tipo]]="Jrs. Cap. Próprio",Tabela4[[#This Row],[Valor]]*85%,0))</f>
        <v>1.2E-2</v>
      </c>
    </row>
    <row r="1530" spans="1:7" x14ac:dyDescent="0.2">
      <c r="A1530" s="3" t="s">
        <v>304</v>
      </c>
      <c r="B1530" s="3" t="s">
        <v>15</v>
      </c>
      <c r="C1530" s="25">
        <v>39675</v>
      </c>
      <c r="D1530" s="10">
        <v>0.15</v>
      </c>
      <c r="E1530" s="67">
        <v>39685</v>
      </c>
      <c r="F1530" s="26">
        <v>39664</v>
      </c>
      <c r="G1530" s="10">
        <f>IF(Tabela4[[#This Row],[Tipo]]="Dividendo",Tabela4[[#This Row],[Valor]],IF(Tabela4[[#This Row],[Tipo]]="Jrs. Cap. Próprio",Tabela4[[#This Row],[Valor]]*85%,0))</f>
        <v>0.15</v>
      </c>
    </row>
    <row r="1531" spans="1:7" x14ac:dyDescent="0.2">
      <c r="A1531" s="3" t="s">
        <v>304</v>
      </c>
      <c r="B1531" s="3" t="s">
        <v>15</v>
      </c>
      <c r="C1531" s="25">
        <v>39660</v>
      </c>
      <c r="D1531" s="10">
        <v>1.2E-2</v>
      </c>
      <c r="E1531" s="67">
        <v>39692</v>
      </c>
      <c r="F1531" s="26">
        <v>39660</v>
      </c>
      <c r="G1531" s="10">
        <f>IF(Tabela4[[#This Row],[Tipo]]="Dividendo",Tabela4[[#This Row],[Valor]],IF(Tabela4[[#This Row],[Tipo]]="Jrs. Cap. Próprio",Tabela4[[#This Row],[Valor]]*85%,0))</f>
        <v>1.2E-2</v>
      </c>
    </row>
    <row r="1532" spans="1:7" x14ac:dyDescent="0.2">
      <c r="A1532" s="3" t="s">
        <v>304</v>
      </c>
      <c r="B1532" s="3" t="s">
        <v>15</v>
      </c>
      <c r="C1532" s="25">
        <v>39629</v>
      </c>
      <c r="D1532" s="10">
        <v>1.2E-2</v>
      </c>
      <c r="E1532" s="67">
        <v>39661</v>
      </c>
      <c r="F1532" s="26">
        <v>39629</v>
      </c>
      <c r="G1532" s="10">
        <f>IF(Tabela4[[#This Row],[Tipo]]="Dividendo",Tabela4[[#This Row],[Valor]],IF(Tabela4[[#This Row],[Tipo]]="Jrs. Cap. Próprio",Tabela4[[#This Row],[Valor]]*85%,0))</f>
        <v>1.2E-2</v>
      </c>
    </row>
    <row r="1533" spans="1:7" x14ac:dyDescent="0.2">
      <c r="A1533" s="3" t="s">
        <v>304</v>
      </c>
      <c r="B1533" s="3" t="s">
        <v>15</v>
      </c>
      <c r="C1533" s="25">
        <v>39598</v>
      </c>
      <c r="D1533" s="10">
        <v>1.2E-2</v>
      </c>
      <c r="E1533" s="67">
        <v>39630</v>
      </c>
      <c r="F1533" s="26">
        <v>39598</v>
      </c>
      <c r="G1533" s="10">
        <f>IF(Tabela4[[#This Row],[Tipo]]="Dividendo",Tabela4[[#This Row],[Valor]],IF(Tabela4[[#This Row],[Tipo]]="Jrs. Cap. Próprio",Tabela4[[#This Row],[Valor]]*85%,0))</f>
        <v>1.2E-2</v>
      </c>
    </row>
    <row r="1534" spans="1:7" x14ac:dyDescent="0.2">
      <c r="A1534" s="3" t="s">
        <v>304</v>
      </c>
      <c r="B1534" s="3" t="s">
        <v>15</v>
      </c>
      <c r="C1534" s="25">
        <v>39568</v>
      </c>
      <c r="D1534" s="10">
        <v>1.2E-2</v>
      </c>
      <c r="E1534" s="67">
        <v>39601</v>
      </c>
      <c r="F1534" s="26">
        <v>39568</v>
      </c>
      <c r="G1534" s="10">
        <f>IF(Tabela4[[#This Row],[Tipo]]="Dividendo",Tabela4[[#This Row],[Valor]],IF(Tabela4[[#This Row],[Tipo]]="Jrs. Cap. Próprio",Tabela4[[#This Row],[Valor]]*85%,0))</f>
        <v>1.2E-2</v>
      </c>
    </row>
    <row r="1535" spans="1:7" x14ac:dyDescent="0.2">
      <c r="A1535" s="3" t="s">
        <v>304</v>
      </c>
      <c r="B1535" s="3" t="s">
        <v>15</v>
      </c>
      <c r="C1535" s="25">
        <v>39538</v>
      </c>
      <c r="D1535" s="10">
        <v>1.2E-2</v>
      </c>
      <c r="E1535" s="67">
        <v>39570</v>
      </c>
      <c r="F1535" s="26">
        <v>39538</v>
      </c>
      <c r="G1535" s="10">
        <f>IF(Tabela4[[#This Row],[Tipo]]="Dividendo",Tabela4[[#This Row],[Valor]],IF(Tabela4[[#This Row],[Tipo]]="Jrs. Cap. Próprio",Tabela4[[#This Row],[Valor]]*85%,0))</f>
        <v>1.2E-2</v>
      </c>
    </row>
    <row r="1536" spans="1:7" x14ac:dyDescent="0.2">
      <c r="A1536" s="3" t="s">
        <v>304</v>
      </c>
      <c r="B1536" s="3" t="s">
        <v>15</v>
      </c>
      <c r="C1536" s="25">
        <v>39507</v>
      </c>
      <c r="D1536" s="10">
        <v>1.2E-2</v>
      </c>
      <c r="E1536" s="67">
        <v>39539</v>
      </c>
      <c r="F1536" s="26">
        <v>39507</v>
      </c>
      <c r="G1536" s="10">
        <f>IF(Tabela4[[#This Row],[Tipo]]="Dividendo",Tabela4[[#This Row],[Valor]],IF(Tabela4[[#This Row],[Tipo]]="Jrs. Cap. Próprio",Tabela4[[#This Row],[Valor]]*85%,0))</f>
        <v>1.2E-2</v>
      </c>
    </row>
    <row r="1537" spans="1:7" x14ac:dyDescent="0.2">
      <c r="A1537" s="3" t="s">
        <v>304</v>
      </c>
      <c r="B1537" s="3" t="s">
        <v>14</v>
      </c>
      <c r="C1537" s="25">
        <v>39500</v>
      </c>
      <c r="D1537" s="10">
        <v>0.7</v>
      </c>
      <c r="E1537" s="67">
        <v>39510</v>
      </c>
      <c r="F1537" s="26">
        <v>39489</v>
      </c>
      <c r="G1537" s="10">
        <f>IF(Tabela4[[#This Row],[Tipo]]="Dividendo",Tabela4[[#This Row],[Valor]],IF(Tabela4[[#This Row],[Tipo]]="Jrs. Cap. Próprio",Tabela4[[#This Row],[Valor]]*85%,0))</f>
        <v>0.59499999999999997</v>
      </c>
    </row>
    <row r="1538" spans="1:7" x14ac:dyDescent="0.2">
      <c r="A1538" s="3" t="s">
        <v>304</v>
      </c>
      <c r="B1538" s="3" t="s">
        <v>15</v>
      </c>
      <c r="C1538" s="25">
        <v>39500</v>
      </c>
      <c r="D1538" s="10">
        <v>0.1</v>
      </c>
      <c r="E1538" s="67">
        <v>39510</v>
      </c>
      <c r="F1538" s="26">
        <v>39489</v>
      </c>
      <c r="G1538" s="10">
        <f>IF(Tabela4[[#This Row],[Tipo]]="Dividendo",Tabela4[[#This Row],[Valor]],IF(Tabela4[[#This Row],[Tipo]]="Jrs. Cap. Próprio",Tabela4[[#This Row],[Valor]]*85%,0))</f>
        <v>0.1</v>
      </c>
    </row>
    <row r="1539" spans="1:7" x14ac:dyDescent="0.2">
      <c r="A1539" s="3" t="s">
        <v>304</v>
      </c>
      <c r="B1539" s="3" t="s">
        <v>15</v>
      </c>
      <c r="C1539" s="25">
        <v>39478</v>
      </c>
      <c r="D1539" s="10">
        <v>1.2E-2</v>
      </c>
      <c r="E1539" s="67">
        <v>39510</v>
      </c>
      <c r="F1539" s="26">
        <v>39478</v>
      </c>
      <c r="G1539" s="10">
        <f>IF(Tabela4[[#This Row],[Tipo]]="Dividendo",Tabela4[[#This Row],[Valor]],IF(Tabela4[[#This Row],[Tipo]]="Jrs. Cap. Próprio",Tabela4[[#This Row],[Valor]]*85%,0))</f>
        <v>1.2E-2</v>
      </c>
    </row>
    <row r="1540" spans="1:7" x14ac:dyDescent="0.2">
      <c r="A1540" s="3" t="s">
        <v>304</v>
      </c>
      <c r="B1540" s="3" t="s">
        <v>15</v>
      </c>
      <c r="C1540" s="25">
        <v>39444</v>
      </c>
      <c r="D1540" s="10">
        <v>1.2E-2</v>
      </c>
      <c r="E1540" s="67">
        <v>39479</v>
      </c>
      <c r="F1540" s="26">
        <v>39444</v>
      </c>
      <c r="G1540" s="10">
        <f>IF(Tabela4[[#This Row],[Tipo]]="Dividendo",Tabela4[[#This Row],[Valor]],IF(Tabela4[[#This Row],[Tipo]]="Jrs. Cap. Próprio",Tabela4[[#This Row],[Valor]]*85%,0))</f>
        <v>1.2E-2</v>
      </c>
    </row>
    <row r="1541" spans="1:7" x14ac:dyDescent="0.2">
      <c r="A1541" s="3" t="s">
        <v>304</v>
      </c>
      <c r="B1541" s="3" t="s">
        <v>15</v>
      </c>
      <c r="C1541" s="25">
        <v>39416</v>
      </c>
      <c r="D1541" s="10">
        <v>1.2E-2</v>
      </c>
      <c r="E1541" s="67">
        <v>39419</v>
      </c>
      <c r="F1541" s="26">
        <v>39416</v>
      </c>
      <c r="G1541" s="10">
        <f>IF(Tabela4[[#This Row],[Tipo]]="Dividendo",Tabela4[[#This Row],[Valor]],IF(Tabela4[[#This Row],[Tipo]]="Jrs. Cap. Próprio",Tabela4[[#This Row],[Valor]]*85%,0))</f>
        <v>1.2E-2</v>
      </c>
    </row>
    <row r="1542" spans="1:7" x14ac:dyDescent="0.2">
      <c r="A1542" s="3" t="s">
        <v>304</v>
      </c>
      <c r="B1542" s="3" t="s">
        <v>14</v>
      </c>
      <c r="C1542" s="25">
        <v>39412</v>
      </c>
      <c r="D1542" s="10">
        <v>7.0000000000000007E-2</v>
      </c>
      <c r="E1542" s="67">
        <v>39510</v>
      </c>
      <c r="F1542" s="26">
        <v>39391</v>
      </c>
      <c r="G1542" s="10">
        <f>IF(Tabela4[[#This Row],[Tipo]]="Dividendo",Tabela4[[#This Row],[Valor]],IF(Tabela4[[#This Row],[Tipo]]="Jrs. Cap. Próprio",Tabela4[[#This Row],[Valor]]*85%,0))</f>
        <v>5.9500000000000004E-2</v>
      </c>
    </row>
    <row r="1543" spans="1:7" x14ac:dyDescent="0.2">
      <c r="A1543" s="3" t="s">
        <v>304</v>
      </c>
      <c r="B1543" s="3" t="s">
        <v>15</v>
      </c>
      <c r="C1543" s="25">
        <v>39386</v>
      </c>
      <c r="D1543" s="10">
        <v>1.2E-2</v>
      </c>
      <c r="E1543" s="67">
        <v>39419</v>
      </c>
      <c r="F1543" s="26">
        <v>39386</v>
      </c>
      <c r="G1543" s="10">
        <f>IF(Tabela4[[#This Row],[Tipo]]="Dividendo",Tabela4[[#This Row],[Valor]],IF(Tabela4[[#This Row],[Tipo]]="Jrs. Cap. Próprio",Tabela4[[#This Row],[Valor]]*85%,0))</f>
        <v>1.2E-2</v>
      </c>
    </row>
    <row r="1544" spans="1:7" x14ac:dyDescent="0.2">
      <c r="A1544" s="3" t="s">
        <v>304</v>
      </c>
      <c r="B1544" s="3" t="s">
        <v>15</v>
      </c>
      <c r="C1544" s="25">
        <v>39353</v>
      </c>
      <c r="D1544" s="10">
        <v>1.2E-2</v>
      </c>
      <c r="E1544" s="67">
        <v>39387</v>
      </c>
      <c r="F1544" s="26">
        <v>39353</v>
      </c>
      <c r="G1544" s="10">
        <f>IF(Tabela4[[#This Row],[Tipo]]="Dividendo",Tabela4[[#This Row],[Valor]],IF(Tabela4[[#This Row],[Tipo]]="Jrs. Cap. Próprio",Tabela4[[#This Row],[Valor]]*85%,0))</f>
        <v>1.2E-2</v>
      </c>
    </row>
    <row r="1545" spans="1:7" x14ac:dyDescent="0.2">
      <c r="A1545" s="3" t="s">
        <v>304</v>
      </c>
      <c r="B1545" s="3" t="s">
        <v>15</v>
      </c>
      <c r="C1545" s="25">
        <v>39325</v>
      </c>
      <c r="D1545" s="10">
        <v>2.4E-2</v>
      </c>
      <c r="E1545" s="67">
        <v>39356</v>
      </c>
      <c r="F1545" s="26">
        <v>39325</v>
      </c>
      <c r="G1545" s="10">
        <f>IF(Tabela4[[#This Row],[Tipo]]="Dividendo",Tabela4[[#This Row],[Valor]],IF(Tabela4[[#This Row],[Tipo]]="Jrs. Cap. Próprio",Tabela4[[#This Row],[Valor]]*85%,0))</f>
        <v>2.4E-2</v>
      </c>
    </row>
    <row r="1546" spans="1:7" x14ac:dyDescent="0.2">
      <c r="A1546" s="3" t="s">
        <v>304</v>
      </c>
      <c r="B1546" s="3" t="s">
        <v>15</v>
      </c>
      <c r="C1546" s="25">
        <v>39311</v>
      </c>
      <c r="D1546" s="10">
        <v>0.33300000000000002</v>
      </c>
      <c r="E1546" s="67">
        <v>39321</v>
      </c>
      <c r="F1546" s="26">
        <v>39300</v>
      </c>
      <c r="G1546" s="10">
        <f>IF(Tabela4[[#This Row],[Tipo]]="Dividendo",Tabela4[[#This Row],[Valor]],IF(Tabela4[[#This Row],[Tipo]]="Jrs. Cap. Próprio",Tabela4[[#This Row],[Valor]]*85%,0))</f>
        <v>0.33300000000000002</v>
      </c>
    </row>
    <row r="1547" spans="1:7" x14ac:dyDescent="0.2">
      <c r="A1547" s="3" t="s">
        <v>304</v>
      </c>
      <c r="B1547" s="3" t="s">
        <v>15</v>
      </c>
      <c r="C1547" s="25">
        <v>39294</v>
      </c>
      <c r="D1547" s="10">
        <v>2.4E-2</v>
      </c>
      <c r="E1547" s="67">
        <v>39328</v>
      </c>
      <c r="F1547" s="26">
        <v>39294</v>
      </c>
      <c r="G1547" s="10">
        <f>IF(Tabela4[[#This Row],[Tipo]]="Dividendo",Tabela4[[#This Row],[Valor]],IF(Tabela4[[#This Row],[Tipo]]="Jrs. Cap. Próprio",Tabela4[[#This Row],[Valor]]*85%,0))</f>
        <v>2.4E-2</v>
      </c>
    </row>
    <row r="1548" spans="1:7" x14ac:dyDescent="0.2">
      <c r="A1548" s="3" t="s">
        <v>304</v>
      </c>
      <c r="B1548" s="3" t="s">
        <v>15</v>
      </c>
      <c r="C1548" s="25">
        <v>39262</v>
      </c>
      <c r="D1548" s="10">
        <v>2.4E-2</v>
      </c>
      <c r="E1548" s="67">
        <v>39295</v>
      </c>
      <c r="F1548" s="26">
        <v>39262</v>
      </c>
      <c r="G1548" s="10">
        <f>IF(Tabela4[[#This Row],[Tipo]]="Dividendo",Tabela4[[#This Row],[Valor]],IF(Tabela4[[#This Row],[Tipo]]="Jrs. Cap. Próprio",Tabela4[[#This Row],[Valor]]*85%,0))</f>
        <v>2.4E-2</v>
      </c>
    </row>
    <row r="1549" spans="1:7" x14ac:dyDescent="0.2">
      <c r="A1549" s="3" t="s">
        <v>304</v>
      </c>
      <c r="B1549" s="3" t="s">
        <v>15</v>
      </c>
      <c r="C1549" s="25">
        <v>39233</v>
      </c>
      <c r="D1549" s="10">
        <v>2.4E-2</v>
      </c>
      <c r="E1549" s="67">
        <v>39265</v>
      </c>
      <c r="F1549" s="26">
        <v>39233</v>
      </c>
      <c r="G1549" s="10">
        <f>IF(Tabela4[[#This Row],[Tipo]]="Dividendo",Tabela4[[#This Row],[Valor]],IF(Tabela4[[#This Row],[Tipo]]="Jrs. Cap. Próprio",Tabela4[[#This Row],[Valor]]*85%,0))</f>
        <v>2.4E-2</v>
      </c>
    </row>
    <row r="1550" spans="1:7" x14ac:dyDescent="0.2">
      <c r="A1550" s="3" t="s">
        <v>304</v>
      </c>
      <c r="B1550" s="3" t="s">
        <v>15</v>
      </c>
      <c r="C1550" s="25">
        <v>39202</v>
      </c>
      <c r="D1550" s="10">
        <v>2.4E-2</v>
      </c>
      <c r="E1550" s="67">
        <v>39234</v>
      </c>
      <c r="F1550" s="26">
        <v>39202</v>
      </c>
      <c r="G1550" s="10">
        <f>IF(Tabela4[[#This Row],[Tipo]]="Dividendo",Tabela4[[#This Row],[Valor]],IF(Tabela4[[#This Row],[Tipo]]="Jrs. Cap. Próprio",Tabela4[[#This Row],[Valor]]*85%,0))</f>
        <v>2.4E-2</v>
      </c>
    </row>
    <row r="1551" spans="1:7" x14ac:dyDescent="0.2">
      <c r="A1551" s="3" t="s">
        <v>304</v>
      </c>
      <c r="B1551" s="3" t="s">
        <v>15</v>
      </c>
      <c r="C1551" s="25">
        <v>39171</v>
      </c>
      <c r="D1551" s="10">
        <v>2.4E-2</v>
      </c>
      <c r="E1551" s="67">
        <v>39204</v>
      </c>
      <c r="F1551" s="26">
        <v>39171</v>
      </c>
      <c r="G1551" s="10">
        <f>IF(Tabela4[[#This Row],[Tipo]]="Dividendo",Tabela4[[#This Row],[Valor]],IF(Tabela4[[#This Row],[Tipo]]="Jrs. Cap. Próprio",Tabela4[[#This Row],[Valor]]*85%,0))</f>
        <v>2.4E-2</v>
      </c>
    </row>
    <row r="1552" spans="1:7" x14ac:dyDescent="0.2">
      <c r="A1552" s="3" t="s">
        <v>304</v>
      </c>
      <c r="B1552" s="3" t="s">
        <v>14</v>
      </c>
      <c r="C1552" s="25">
        <v>39141</v>
      </c>
      <c r="D1552" s="10">
        <v>1.22</v>
      </c>
      <c r="E1552" s="67">
        <v>39149</v>
      </c>
      <c r="F1552" s="26">
        <v>39141</v>
      </c>
      <c r="G1552" s="10">
        <f>IF(Tabela4[[#This Row],[Tipo]]="Dividendo",Tabela4[[#This Row],[Valor]],IF(Tabela4[[#This Row],[Tipo]]="Jrs. Cap. Próprio",Tabela4[[#This Row],[Valor]]*85%,0))</f>
        <v>1.0369999999999999</v>
      </c>
    </row>
    <row r="1553" spans="1:7" x14ac:dyDescent="0.2">
      <c r="A1553" s="3" t="s">
        <v>304</v>
      </c>
      <c r="B1553" s="3" t="s">
        <v>15</v>
      </c>
      <c r="C1553" s="25">
        <v>39141</v>
      </c>
      <c r="D1553" s="10">
        <v>0.108</v>
      </c>
      <c r="E1553" s="67">
        <v>39174</v>
      </c>
      <c r="F1553" s="26">
        <v>39141</v>
      </c>
      <c r="G1553" s="10">
        <f>IF(Tabela4[[#This Row],[Tipo]]="Dividendo",Tabela4[[#This Row],[Valor]],IF(Tabela4[[#This Row],[Tipo]]="Jrs. Cap. Próprio",Tabela4[[#This Row],[Valor]]*85%,0))</f>
        <v>0.108</v>
      </c>
    </row>
    <row r="1554" spans="1:7" x14ac:dyDescent="0.2">
      <c r="A1554" s="3" t="s">
        <v>304</v>
      </c>
      <c r="B1554" s="3" t="s">
        <v>14</v>
      </c>
      <c r="C1554" s="25">
        <v>39113</v>
      </c>
      <c r="D1554" s="10">
        <v>2.4E-2</v>
      </c>
      <c r="E1554" s="67">
        <v>39142</v>
      </c>
      <c r="F1554" s="26">
        <v>39113</v>
      </c>
      <c r="G1554" s="10">
        <f>IF(Tabela4[[#This Row],[Tipo]]="Dividendo",Tabela4[[#This Row],[Valor]],IF(Tabela4[[#This Row],[Tipo]]="Jrs. Cap. Próprio",Tabela4[[#This Row],[Valor]]*85%,0))</f>
        <v>2.0400000000000001E-2</v>
      </c>
    </row>
    <row r="1555" spans="1:7" x14ac:dyDescent="0.2">
      <c r="A1555" s="3" t="s">
        <v>304</v>
      </c>
      <c r="B1555" s="3" t="s">
        <v>14</v>
      </c>
      <c r="C1555" s="25">
        <v>39079</v>
      </c>
      <c r="D1555" s="10">
        <v>2.4E-2</v>
      </c>
      <c r="E1555" s="67">
        <v>39114</v>
      </c>
      <c r="F1555" s="26">
        <v>39079</v>
      </c>
      <c r="G1555" s="10">
        <f>IF(Tabela4[[#This Row],[Tipo]]="Dividendo",Tabela4[[#This Row],[Valor]],IF(Tabela4[[#This Row],[Tipo]]="Jrs. Cap. Próprio",Tabela4[[#This Row],[Valor]]*85%,0))</f>
        <v>2.0400000000000001E-2</v>
      </c>
    </row>
    <row r="1556" spans="1:7" x14ac:dyDescent="0.2">
      <c r="A1556" s="3" t="s">
        <v>304</v>
      </c>
      <c r="B1556" s="3" t="s">
        <v>14</v>
      </c>
      <c r="C1556" s="80">
        <v>39051</v>
      </c>
      <c r="D1556" s="10">
        <v>2.4E-2</v>
      </c>
      <c r="E1556" s="81">
        <v>39083</v>
      </c>
      <c r="F1556" s="81">
        <v>39051</v>
      </c>
      <c r="G1556" s="10">
        <f>IF(Tabela4[[#This Row],[Tipo]]="Dividendo",Tabela4[[#This Row],[Valor]],IF(Tabela4[[#This Row],[Tipo]]="Jrs. Cap. Próprio",Tabela4[[#This Row],[Valor]]*85%,0))</f>
        <v>2.0400000000000001E-2</v>
      </c>
    </row>
    <row r="1557" spans="1:7" x14ac:dyDescent="0.2">
      <c r="A1557" s="3" t="s">
        <v>304</v>
      </c>
      <c r="B1557" s="3" t="s">
        <v>14</v>
      </c>
      <c r="C1557" s="25">
        <v>39021</v>
      </c>
      <c r="D1557" s="10">
        <v>2.4E-2</v>
      </c>
      <c r="E1557" s="67">
        <v>39052</v>
      </c>
      <c r="F1557" s="26">
        <v>39021</v>
      </c>
      <c r="G1557" s="10">
        <f>IF(Tabela4[[#This Row],[Tipo]]="Dividendo",Tabela4[[#This Row],[Valor]],IF(Tabela4[[#This Row],[Tipo]]="Jrs. Cap. Próprio",Tabela4[[#This Row],[Valor]]*85%,0))</f>
        <v>2.0400000000000001E-2</v>
      </c>
    </row>
    <row r="1558" spans="1:7" x14ac:dyDescent="0.2">
      <c r="A1558" s="3" t="s">
        <v>304</v>
      </c>
      <c r="B1558" s="3" t="s">
        <v>14</v>
      </c>
      <c r="C1558" s="25">
        <v>38989</v>
      </c>
      <c r="D1558" s="10">
        <v>2.4E-2</v>
      </c>
      <c r="E1558" s="67">
        <v>39022</v>
      </c>
      <c r="F1558" s="26">
        <v>38989</v>
      </c>
      <c r="G1558" s="10">
        <f>IF(Tabela4[[#This Row],[Tipo]]="Dividendo",Tabela4[[#This Row],[Valor]],IF(Tabela4[[#This Row],[Tipo]]="Jrs. Cap. Próprio",Tabela4[[#This Row],[Valor]]*85%,0))</f>
        <v>2.0400000000000001E-2</v>
      </c>
    </row>
    <row r="1559" spans="1:7" x14ac:dyDescent="0.2">
      <c r="A1559" s="3" t="s">
        <v>304</v>
      </c>
      <c r="B1559" s="3" t="s">
        <v>14</v>
      </c>
      <c r="C1559" s="25">
        <v>38960</v>
      </c>
      <c r="D1559" s="10">
        <v>2.4E-2</v>
      </c>
      <c r="E1559" s="67">
        <v>38992</v>
      </c>
      <c r="F1559" s="26">
        <v>38960</v>
      </c>
      <c r="G1559" s="10">
        <f>IF(Tabela4[[#This Row],[Tipo]]="Dividendo",Tabela4[[#This Row],[Valor]],IF(Tabela4[[#This Row],[Tipo]]="Jrs. Cap. Próprio",Tabela4[[#This Row],[Valor]]*85%,0))</f>
        <v>2.0400000000000001E-2</v>
      </c>
    </row>
    <row r="1560" spans="1:7" x14ac:dyDescent="0.2">
      <c r="A1560" s="3" t="s">
        <v>304</v>
      </c>
      <c r="B1560" s="3" t="s">
        <v>14</v>
      </c>
      <c r="C1560" s="25">
        <v>38940</v>
      </c>
      <c r="D1560" s="10">
        <v>0.13700000000000001</v>
      </c>
      <c r="E1560" s="67">
        <v>38950</v>
      </c>
      <c r="F1560" s="26">
        <v>38929</v>
      </c>
      <c r="G1560" s="10">
        <f>IF(Tabela4[[#This Row],[Tipo]]="Dividendo",Tabela4[[#This Row],[Valor]],IF(Tabela4[[#This Row],[Tipo]]="Jrs. Cap. Próprio",Tabela4[[#This Row],[Valor]]*85%,0))</f>
        <v>0.11645000000000001</v>
      </c>
    </row>
    <row r="1561" spans="1:7" x14ac:dyDescent="0.2">
      <c r="A1561" s="3" t="s">
        <v>304</v>
      </c>
      <c r="B1561" s="3" t="s">
        <v>15</v>
      </c>
      <c r="C1561" s="25">
        <v>38940</v>
      </c>
      <c r="D1561" s="10">
        <v>0.16600000000000001</v>
      </c>
      <c r="E1561" s="67">
        <v>38950</v>
      </c>
      <c r="F1561" s="26">
        <v>38929</v>
      </c>
      <c r="G1561" s="10">
        <f>IF(Tabela4[[#This Row],[Tipo]]="Dividendo",Tabela4[[#This Row],[Valor]],IF(Tabela4[[#This Row],[Tipo]]="Jrs. Cap. Próprio",Tabela4[[#This Row],[Valor]]*85%,0))</f>
        <v>0.16600000000000001</v>
      </c>
    </row>
    <row r="1562" spans="1:7" x14ac:dyDescent="0.2">
      <c r="A1562" s="3" t="s">
        <v>304</v>
      </c>
      <c r="B1562" s="3" t="s">
        <v>14</v>
      </c>
      <c r="C1562" s="25">
        <v>38929</v>
      </c>
      <c r="D1562" s="10">
        <v>2.4E-2</v>
      </c>
      <c r="E1562" s="67">
        <v>38961</v>
      </c>
      <c r="F1562" s="26">
        <v>38929</v>
      </c>
      <c r="G1562" s="10">
        <f>IF(Tabela4[[#This Row],[Tipo]]="Dividendo",Tabela4[[#This Row],[Valor]],IF(Tabela4[[#This Row],[Tipo]]="Jrs. Cap. Próprio",Tabela4[[#This Row],[Valor]]*85%,0))</f>
        <v>2.0400000000000001E-2</v>
      </c>
    </row>
    <row r="1563" spans="1:7" x14ac:dyDescent="0.2">
      <c r="A1563" s="3" t="s">
        <v>304</v>
      </c>
      <c r="B1563" s="3" t="s">
        <v>14</v>
      </c>
      <c r="C1563" s="25">
        <v>38898</v>
      </c>
      <c r="D1563" s="10">
        <v>2.4E-2</v>
      </c>
      <c r="E1563" s="67">
        <v>38930</v>
      </c>
      <c r="F1563" s="26">
        <v>38898</v>
      </c>
      <c r="G1563" s="10">
        <f>IF(Tabela4[[#This Row],[Tipo]]="Dividendo",Tabela4[[#This Row],[Valor]],IF(Tabela4[[#This Row],[Tipo]]="Jrs. Cap. Próprio",Tabela4[[#This Row],[Valor]]*85%,0))</f>
        <v>2.0400000000000001E-2</v>
      </c>
    </row>
    <row r="1564" spans="1:7" x14ac:dyDescent="0.2">
      <c r="A1564" s="3" t="s">
        <v>304</v>
      </c>
      <c r="B1564" s="3" t="s">
        <v>14</v>
      </c>
      <c r="C1564" s="25">
        <v>38868</v>
      </c>
      <c r="D1564" s="10">
        <v>2.4E-2</v>
      </c>
      <c r="E1564" s="67">
        <v>38901</v>
      </c>
      <c r="F1564" s="26">
        <v>38868</v>
      </c>
      <c r="G1564" s="10">
        <f>IF(Tabela4[[#This Row],[Tipo]]="Dividendo",Tabela4[[#This Row],[Valor]],IF(Tabela4[[#This Row],[Tipo]]="Jrs. Cap. Próprio",Tabela4[[#This Row],[Valor]]*85%,0))</f>
        <v>2.0400000000000001E-2</v>
      </c>
    </row>
    <row r="1565" spans="1:7" x14ac:dyDescent="0.2">
      <c r="A1565" s="3" t="s">
        <v>304</v>
      </c>
      <c r="B1565" s="3" t="s">
        <v>14</v>
      </c>
      <c r="C1565" s="25">
        <v>38835</v>
      </c>
      <c r="D1565" s="10">
        <v>2.4E-2</v>
      </c>
      <c r="E1565" s="67">
        <v>38869</v>
      </c>
      <c r="F1565" s="26">
        <v>38835</v>
      </c>
      <c r="G1565" s="10">
        <f>IF(Tabela4[[#This Row],[Tipo]]="Dividendo",Tabela4[[#This Row],[Valor]],IF(Tabela4[[#This Row],[Tipo]]="Jrs. Cap. Próprio",Tabela4[[#This Row],[Valor]]*85%,0))</f>
        <v>2.0400000000000001E-2</v>
      </c>
    </row>
    <row r="1566" spans="1:7" x14ac:dyDescent="0.2">
      <c r="A1566" s="3" t="s">
        <v>304</v>
      </c>
      <c r="B1566" s="3" t="s">
        <v>14</v>
      </c>
      <c r="C1566" s="25">
        <v>38807</v>
      </c>
      <c r="D1566" s="10">
        <v>2.4E-2</v>
      </c>
      <c r="E1566" s="67">
        <v>38839</v>
      </c>
      <c r="F1566" s="26">
        <v>38807</v>
      </c>
      <c r="G1566" s="10">
        <f>IF(Tabela4[[#This Row],[Tipo]]="Dividendo",Tabela4[[#This Row],[Valor]],IF(Tabela4[[#This Row],[Tipo]]="Jrs. Cap. Próprio",Tabela4[[#This Row],[Valor]]*85%,0))</f>
        <v>2.0400000000000001E-2</v>
      </c>
    </row>
    <row r="1567" spans="1:7" x14ac:dyDescent="0.2">
      <c r="A1567" s="3" t="s">
        <v>304</v>
      </c>
      <c r="B1567" s="3" t="s">
        <v>14</v>
      </c>
      <c r="C1567" s="25">
        <v>38779</v>
      </c>
      <c r="D1567" s="10">
        <v>0.83</v>
      </c>
      <c r="E1567" s="67">
        <v>38789</v>
      </c>
      <c r="F1567" s="26">
        <v>38768</v>
      </c>
      <c r="G1567" s="10">
        <f>IF(Tabela4[[#This Row],[Tipo]]="Dividendo",Tabela4[[#This Row],[Valor]],IF(Tabela4[[#This Row],[Tipo]]="Jrs. Cap. Próprio",Tabela4[[#This Row],[Valor]]*85%,0))</f>
        <v>0.7054999999999999</v>
      </c>
    </row>
    <row r="1568" spans="1:7" x14ac:dyDescent="0.2">
      <c r="A1568" s="3" t="s">
        <v>304</v>
      </c>
      <c r="B1568" s="3" t="s">
        <v>14</v>
      </c>
      <c r="C1568" s="25">
        <v>38772</v>
      </c>
      <c r="D1568" s="10">
        <v>2.4E-2</v>
      </c>
      <c r="E1568" s="67">
        <v>38810</v>
      </c>
      <c r="F1568" s="26">
        <v>38772</v>
      </c>
      <c r="G1568" s="10">
        <f>IF(Tabela4[[#This Row],[Tipo]]="Dividendo",Tabela4[[#This Row],[Valor]],IF(Tabela4[[#This Row],[Tipo]]="Jrs. Cap. Próprio",Tabela4[[#This Row],[Valor]]*85%,0))</f>
        <v>2.0400000000000001E-2</v>
      </c>
    </row>
    <row r="1569" spans="1:7" x14ac:dyDescent="0.2">
      <c r="A1569" s="3" t="s">
        <v>304</v>
      </c>
      <c r="B1569" s="3" t="s">
        <v>14</v>
      </c>
      <c r="C1569" s="25">
        <v>38748</v>
      </c>
      <c r="D1569" s="10">
        <v>2.1000000000000001E-2</v>
      </c>
      <c r="E1569" s="67">
        <v>38777</v>
      </c>
      <c r="F1569" s="26">
        <v>38748</v>
      </c>
      <c r="G1569" s="10">
        <f>IF(Tabela4[[#This Row],[Tipo]]="Dividendo",Tabela4[[#This Row],[Valor]],IF(Tabela4[[#This Row],[Tipo]]="Jrs. Cap. Próprio",Tabela4[[#This Row],[Valor]]*85%,0))</f>
        <v>1.7850000000000001E-2</v>
      </c>
    </row>
    <row r="1570" spans="1:7" x14ac:dyDescent="0.2">
      <c r="A1570" s="3" t="s">
        <v>304</v>
      </c>
      <c r="B1570" s="3" t="s">
        <v>14</v>
      </c>
      <c r="C1570" s="25">
        <v>38715</v>
      </c>
      <c r="D1570" s="10">
        <v>2.1000000000000001E-2</v>
      </c>
      <c r="E1570" s="67">
        <v>38749</v>
      </c>
      <c r="F1570" s="26">
        <v>38715</v>
      </c>
      <c r="G1570" s="10">
        <f>IF(Tabela4[[#This Row],[Tipo]]="Dividendo",Tabela4[[#This Row],[Valor]],IF(Tabela4[[#This Row],[Tipo]]="Jrs. Cap. Próprio",Tabela4[[#This Row],[Valor]]*85%,0))</f>
        <v>1.7850000000000001E-2</v>
      </c>
    </row>
    <row r="1571" spans="1:7" x14ac:dyDescent="0.2">
      <c r="A1571" s="3" t="s">
        <v>304</v>
      </c>
      <c r="B1571" s="3" t="s">
        <v>14</v>
      </c>
      <c r="C1571" s="25">
        <v>38712</v>
      </c>
      <c r="D1571" s="10">
        <v>0.33</v>
      </c>
      <c r="E1571" s="67">
        <v>38789</v>
      </c>
      <c r="F1571" s="26">
        <v>38701</v>
      </c>
      <c r="G1571" s="10">
        <f>IF(Tabela4[[#This Row],[Tipo]]="Dividendo",Tabela4[[#This Row],[Valor]],IF(Tabela4[[#This Row],[Tipo]]="Jrs. Cap. Próprio",Tabela4[[#This Row],[Valor]]*85%,0))</f>
        <v>0.28050000000000003</v>
      </c>
    </row>
    <row r="1572" spans="1:7" x14ac:dyDescent="0.2">
      <c r="A1572" s="3" t="s">
        <v>304</v>
      </c>
      <c r="B1572" s="3" t="s">
        <v>14</v>
      </c>
      <c r="C1572" s="25">
        <v>38686</v>
      </c>
      <c r="D1572" s="10">
        <v>4.2000000000000003E-2</v>
      </c>
      <c r="E1572" s="67">
        <v>38719</v>
      </c>
      <c r="F1572" s="26">
        <v>38686</v>
      </c>
      <c r="G1572" s="10">
        <f>IF(Tabela4[[#This Row],[Tipo]]="Dividendo",Tabela4[[#This Row],[Valor]],IF(Tabela4[[#This Row],[Tipo]]="Jrs. Cap. Próprio",Tabela4[[#This Row],[Valor]]*85%,0))</f>
        <v>3.5700000000000003E-2</v>
      </c>
    </row>
    <row r="1573" spans="1:7" x14ac:dyDescent="0.2">
      <c r="A1573" s="3" t="s">
        <v>304</v>
      </c>
      <c r="B1573" s="3" t="s">
        <v>14</v>
      </c>
      <c r="C1573" s="25">
        <v>38656</v>
      </c>
      <c r="D1573" s="10">
        <v>2.1000000000000001E-2</v>
      </c>
      <c r="E1573" s="67">
        <v>38687</v>
      </c>
      <c r="F1573" s="26">
        <v>38656</v>
      </c>
      <c r="G1573" s="10">
        <f>IF(Tabela4[[#This Row],[Tipo]]="Dividendo",Tabela4[[#This Row],[Valor]],IF(Tabela4[[#This Row],[Tipo]]="Jrs. Cap. Próprio",Tabela4[[#This Row],[Valor]]*85%,0))</f>
        <v>1.7850000000000001E-2</v>
      </c>
    </row>
    <row r="1574" spans="1:7" x14ac:dyDescent="0.2">
      <c r="A1574" s="3" t="s">
        <v>304</v>
      </c>
      <c r="B1574" s="3" t="s">
        <v>14</v>
      </c>
      <c r="C1574" s="25">
        <v>38625</v>
      </c>
      <c r="D1574" s="10">
        <v>2.1000000000000001E-2</v>
      </c>
      <c r="E1574" s="67">
        <v>38657</v>
      </c>
      <c r="F1574" s="26">
        <v>38625</v>
      </c>
      <c r="G1574" s="10">
        <f>IF(Tabela4[[#This Row],[Tipo]]="Dividendo",Tabela4[[#This Row],[Valor]],IF(Tabela4[[#This Row],[Tipo]]="Jrs. Cap. Próprio",Tabela4[[#This Row],[Valor]]*85%,0))</f>
        <v>1.7850000000000001E-2</v>
      </c>
    </row>
    <row r="1575" spans="1:7" x14ac:dyDescent="0.2">
      <c r="A1575" s="3" t="s">
        <v>304</v>
      </c>
      <c r="B1575" s="3" t="s">
        <v>14</v>
      </c>
      <c r="C1575" s="25">
        <v>38595</v>
      </c>
      <c r="D1575" s="10">
        <v>0.21</v>
      </c>
      <c r="E1575" s="67">
        <v>38628</v>
      </c>
      <c r="F1575" s="26">
        <v>38595</v>
      </c>
      <c r="G1575" s="10">
        <f>IF(Tabela4[[#This Row],[Tipo]]="Dividendo",Tabela4[[#This Row],[Valor]],IF(Tabela4[[#This Row],[Tipo]]="Jrs. Cap. Próprio",Tabela4[[#This Row],[Valor]]*85%,0))</f>
        <v>0.17849999999999999</v>
      </c>
    </row>
    <row r="1576" spans="1:7" x14ac:dyDescent="0.2">
      <c r="A1576" s="3" t="s">
        <v>304</v>
      </c>
      <c r="B1576" s="3" t="s">
        <v>14</v>
      </c>
      <c r="C1576" s="25">
        <v>38576</v>
      </c>
      <c r="D1576" s="10">
        <v>2.76</v>
      </c>
      <c r="E1576" s="67">
        <v>38586</v>
      </c>
      <c r="F1576" s="26">
        <v>38565</v>
      </c>
      <c r="G1576" s="10">
        <f>IF(Tabela4[[#This Row],[Tipo]]="Dividendo",Tabela4[[#This Row],[Valor]],IF(Tabela4[[#This Row],[Tipo]]="Jrs. Cap. Próprio",Tabela4[[#This Row],[Valor]]*85%,0))</f>
        <v>2.3459999999999996</v>
      </c>
    </row>
    <row r="1577" spans="1:7" x14ac:dyDescent="0.2">
      <c r="A1577" s="3" t="s">
        <v>304</v>
      </c>
      <c r="B1577" s="3" t="s">
        <v>14</v>
      </c>
      <c r="C1577" s="25">
        <v>38562</v>
      </c>
      <c r="D1577" s="10">
        <v>0.21</v>
      </c>
      <c r="E1577" s="67">
        <v>38596</v>
      </c>
      <c r="F1577" s="26">
        <v>38562</v>
      </c>
      <c r="G1577" s="10">
        <f>IF(Tabela4[[#This Row],[Tipo]]="Dividendo",Tabela4[[#This Row],[Valor]],IF(Tabela4[[#This Row],[Tipo]]="Jrs. Cap. Próprio",Tabela4[[#This Row],[Valor]]*85%,0))</f>
        <v>0.17849999999999999</v>
      </c>
    </row>
    <row r="1578" spans="1:7" x14ac:dyDescent="0.2">
      <c r="A1578" s="3" t="s">
        <v>304</v>
      </c>
      <c r="B1578" s="3" t="s">
        <v>14</v>
      </c>
      <c r="C1578" s="25">
        <v>38533</v>
      </c>
      <c r="D1578" s="10">
        <v>0.21</v>
      </c>
      <c r="E1578" s="67">
        <v>38565</v>
      </c>
      <c r="F1578" s="26">
        <v>38533</v>
      </c>
      <c r="G1578" s="10">
        <f>IF(Tabela4[[#This Row],[Tipo]]="Dividendo",Tabela4[[#This Row],[Valor]],IF(Tabela4[[#This Row],[Tipo]]="Jrs. Cap. Próprio",Tabela4[[#This Row],[Valor]]*85%,0))</f>
        <v>0.17849999999999999</v>
      </c>
    </row>
    <row r="1579" spans="1:7" x14ac:dyDescent="0.2">
      <c r="A1579" s="3" t="s">
        <v>304</v>
      </c>
      <c r="B1579" s="3" t="s">
        <v>14</v>
      </c>
      <c r="C1579" s="25">
        <v>38503</v>
      </c>
      <c r="D1579" s="10">
        <v>0.21</v>
      </c>
      <c r="E1579" s="67">
        <v>38534</v>
      </c>
      <c r="F1579" s="26">
        <v>38503</v>
      </c>
      <c r="G1579" s="10">
        <f>IF(Tabela4[[#This Row],[Tipo]]="Dividendo",Tabela4[[#This Row],[Valor]],IF(Tabela4[[#This Row],[Tipo]]="Jrs. Cap. Próprio",Tabela4[[#This Row],[Valor]]*85%,0))</f>
        <v>0.17849999999999999</v>
      </c>
    </row>
    <row r="1580" spans="1:7" x14ac:dyDescent="0.2">
      <c r="A1580" s="3" t="s">
        <v>304</v>
      </c>
      <c r="B1580" s="3" t="s">
        <v>14</v>
      </c>
      <c r="C1580" s="25">
        <v>38471</v>
      </c>
      <c r="D1580" s="10">
        <v>0.17</v>
      </c>
      <c r="E1580" s="67">
        <v>38504</v>
      </c>
      <c r="F1580" s="26">
        <v>38471</v>
      </c>
      <c r="G1580" s="10">
        <f>IF(Tabela4[[#This Row],[Tipo]]="Dividendo",Tabela4[[#This Row],[Valor]],IF(Tabela4[[#This Row],[Tipo]]="Jrs. Cap. Próprio",Tabela4[[#This Row],[Valor]]*85%,0))</f>
        <v>0.14450000000000002</v>
      </c>
    </row>
    <row r="1581" spans="1:7" x14ac:dyDescent="0.2">
      <c r="A1581" s="3" t="s">
        <v>304</v>
      </c>
      <c r="B1581" s="3" t="s">
        <v>14</v>
      </c>
      <c r="C1581" s="25">
        <v>38442</v>
      </c>
      <c r="D1581" s="10">
        <v>0.17</v>
      </c>
      <c r="E1581" s="67">
        <v>38474</v>
      </c>
      <c r="F1581" s="26">
        <v>38442</v>
      </c>
      <c r="G1581" s="10">
        <f>IF(Tabela4[[#This Row],[Tipo]]="Dividendo",Tabela4[[#This Row],[Valor]],IF(Tabela4[[#This Row],[Tipo]]="Jrs. Cap. Próprio",Tabela4[[#This Row],[Valor]]*85%,0))</f>
        <v>0.14450000000000002</v>
      </c>
    </row>
    <row r="1582" spans="1:7" x14ac:dyDescent="0.2">
      <c r="A1582" s="3" t="s">
        <v>304</v>
      </c>
      <c r="B1582" s="3" t="s">
        <v>14</v>
      </c>
      <c r="C1582" s="25">
        <v>38415</v>
      </c>
      <c r="D1582" s="10">
        <v>3.5</v>
      </c>
      <c r="E1582" s="67">
        <v>38425</v>
      </c>
      <c r="F1582" s="26">
        <v>38404</v>
      </c>
      <c r="G1582" s="10">
        <f>IF(Tabela4[[#This Row],[Tipo]]="Dividendo",Tabela4[[#This Row],[Valor]],IF(Tabela4[[#This Row],[Tipo]]="Jrs. Cap. Próprio",Tabela4[[#This Row],[Valor]]*85%,0))</f>
        <v>2.9750000000000001</v>
      </c>
    </row>
    <row r="1583" spans="1:7" x14ac:dyDescent="0.2">
      <c r="A1583" s="3" t="s">
        <v>304</v>
      </c>
      <c r="B1583" s="3" t="s">
        <v>14</v>
      </c>
      <c r="C1583" s="80">
        <v>38411</v>
      </c>
      <c r="D1583" s="10">
        <v>0.17</v>
      </c>
      <c r="E1583" s="81">
        <v>38443</v>
      </c>
      <c r="F1583" s="81">
        <v>38411</v>
      </c>
      <c r="G1583" s="10">
        <f>IF(Tabela4[[#This Row],[Tipo]]="Dividendo",Tabela4[[#This Row],[Valor]],IF(Tabela4[[#This Row],[Tipo]]="Jrs. Cap. Próprio",Tabela4[[#This Row],[Valor]]*85%,0))</f>
        <v>0.14450000000000002</v>
      </c>
    </row>
    <row r="1584" spans="1:7" x14ac:dyDescent="0.2">
      <c r="A1584" s="3" t="s">
        <v>304</v>
      </c>
      <c r="B1584" s="3" t="s">
        <v>14</v>
      </c>
      <c r="C1584" s="25">
        <v>38383</v>
      </c>
      <c r="D1584" s="10">
        <v>0.17</v>
      </c>
      <c r="E1584" s="67">
        <v>38412</v>
      </c>
      <c r="F1584" s="26">
        <v>38383</v>
      </c>
      <c r="G1584" s="10">
        <f>IF(Tabela4[[#This Row],[Tipo]]="Dividendo",Tabela4[[#This Row],[Valor]],IF(Tabela4[[#This Row],[Tipo]]="Jrs. Cap. Próprio",Tabela4[[#This Row],[Valor]]*85%,0))</f>
        <v>0.14450000000000002</v>
      </c>
    </row>
    <row r="1585" spans="1:7" x14ac:dyDescent="0.2">
      <c r="A1585" s="3" t="s">
        <v>304</v>
      </c>
      <c r="B1585" s="3" t="s">
        <v>14</v>
      </c>
      <c r="C1585" s="25">
        <v>38351</v>
      </c>
      <c r="D1585" s="10">
        <v>0.17</v>
      </c>
      <c r="E1585" s="67">
        <v>38384</v>
      </c>
      <c r="F1585" s="26">
        <v>38351</v>
      </c>
      <c r="G1585" s="10">
        <f>IF(Tabela4[[#This Row],[Tipo]]="Dividendo",Tabela4[[#This Row],[Valor]],IF(Tabela4[[#This Row],[Tipo]]="Jrs. Cap. Próprio",Tabela4[[#This Row],[Valor]]*85%,0))</f>
        <v>0.14450000000000002</v>
      </c>
    </row>
    <row r="1586" spans="1:7" x14ac:dyDescent="0.2">
      <c r="A1586" s="3" t="s">
        <v>304</v>
      </c>
      <c r="B1586" s="3" t="s">
        <v>14</v>
      </c>
      <c r="C1586" s="25">
        <v>38344</v>
      </c>
      <c r="D1586" s="10">
        <v>4.7300000000000004</v>
      </c>
      <c r="E1586" s="67">
        <v>38425</v>
      </c>
      <c r="F1586" s="26">
        <v>38327</v>
      </c>
      <c r="G1586" s="10">
        <f>IF(Tabela4[[#This Row],[Tipo]]="Dividendo",Tabela4[[#This Row],[Valor]],IF(Tabela4[[#This Row],[Tipo]]="Jrs. Cap. Próprio",Tabela4[[#This Row],[Valor]]*85%,0))</f>
        <v>4.0205000000000002</v>
      </c>
    </row>
    <row r="1587" spans="1:7" x14ac:dyDescent="0.2">
      <c r="A1587" s="3" t="s">
        <v>304</v>
      </c>
      <c r="B1587" s="3" t="s">
        <v>14</v>
      </c>
      <c r="C1587" s="25">
        <v>38321</v>
      </c>
      <c r="D1587" s="10">
        <v>0.17</v>
      </c>
      <c r="E1587" s="67">
        <v>38355</v>
      </c>
      <c r="F1587" s="26">
        <v>38321</v>
      </c>
      <c r="G1587" s="10">
        <f>IF(Tabela4[[#This Row],[Tipo]]="Dividendo",Tabela4[[#This Row],[Valor]],IF(Tabela4[[#This Row],[Tipo]]="Jrs. Cap. Próprio",Tabela4[[#This Row],[Valor]]*85%,0))</f>
        <v>0.14450000000000002</v>
      </c>
    </row>
    <row r="1588" spans="1:7" x14ac:dyDescent="0.2">
      <c r="A1588" s="3" t="s">
        <v>304</v>
      </c>
      <c r="B1588" s="3" t="s">
        <v>14</v>
      </c>
      <c r="C1588" s="25">
        <v>38289</v>
      </c>
      <c r="D1588" s="10">
        <v>0.17</v>
      </c>
      <c r="E1588" s="67">
        <v>38322</v>
      </c>
      <c r="F1588" s="26">
        <v>38289</v>
      </c>
      <c r="G1588" s="10">
        <f>IF(Tabela4[[#This Row],[Tipo]]="Dividendo",Tabela4[[#This Row],[Valor]],IF(Tabela4[[#This Row],[Tipo]]="Jrs. Cap. Próprio",Tabela4[[#This Row],[Valor]]*85%,0))</f>
        <v>0.14450000000000002</v>
      </c>
    </row>
    <row r="1589" spans="1:7" x14ac:dyDescent="0.2">
      <c r="A1589" s="3" t="s">
        <v>304</v>
      </c>
      <c r="B1589" s="3" t="s">
        <v>14</v>
      </c>
      <c r="C1589" s="25">
        <v>38260</v>
      </c>
      <c r="D1589" s="10">
        <v>0.17</v>
      </c>
      <c r="E1589" s="67"/>
      <c r="F1589" s="26">
        <v>38260</v>
      </c>
      <c r="G1589" s="10">
        <f>IF(Tabela4[[#This Row],[Tipo]]="Dividendo",Tabela4[[#This Row],[Valor]],IF(Tabela4[[#This Row],[Tipo]]="Jrs. Cap. Próprio",Tabela4[[#This Row],[Valor]]*85%,0))</f>
        <v>0.14450000000000002</v>
      </c>
    </row>
    <row r="1590" spans="1:7" x14ac:dyDescent="0.2">
      <c r="A1590" s="3" t="s">
        <v>304</v>
      </c>
      <c r="B1590" s="3" t="s">
        <v>14</v>
      </c>
      <c r="C1590" s="25">
        <v>38230</v>
      </c>
      <c r="D1590" s="10">
        <v>0.17</v>
      </c>
      <c r="E1590" s="67"/>
      <c r="F1590" s="26">
        <v>38230</v>
      </c>
      <c r="G1590" s="10">
        <f>IF(Tabela4[[#This Row],[Tipo]]="Dividendo",Tabela4[[#This Row],[Valor]],IF(Tabela4[[#This Row],[Tipo]]="Jrs. Cap. Próprio",Tabela4[[#This Row],[Valor]]*85%,0))</f>
        <v>0.14450000000000002</v>
      </c>
    </row>
    <row r="1591" spans="1:7" x14ac:dyDescent="0.2">
      <c r="A1591" s="3" t="s">
        <v>304</v>
      </c>
      <c r="B1591" s="3" t="s">
        <v>14</v>
      </c>
      <c r="C1591" s="80">
        <v>38212</v>
      </c>
      <c r="D1591" s="10">
        <v>2.04</v>
      </c>
      <c r="E1591" s="81">
        <v>38222</v>
      </c>
      <c r="F1591" s="81">
        <v>38201</v>
      </c>
      <c r="G1591" s="10">
        <f>IF(Tabela4[[#This Row],[Tipo]]="Dividendo",Tabela4[[#This Row],[Valor]],IF(Tabela4[[#This Row],[Tipo]]="Jrs. Cap. Próprio",Tabela4[[#This Row],[Valor]]*85%,0))</f>
        <v>1.734</v>
      </c>
    </row>
    <row r="1592" spans="1:7" x14ac:dyDescent="0.2">
      <c r="A1592" s="3" t="s">
        <v>304</v>
      </c>
      <c r="B1592" s="3" t="s">
        <v>14</v>
      </c>
      <c r="C1592" s="25">
        <v>38198</v>
      </c>
      <c r="D1592" s="10">
        <v>0.17</v>
      </c>
      <c r="E1592" s="67">
        <v>38231</v>
      </c>
      <c r="F1592" s="26">
        <v>38198</v>
      </c>
      <c r="G1592" s="10">
        <f>IF(Tabela4[[#This Row],[Tipo]]="Dividendo",Tabela4[[#This Row],[Valor]],IF(Tabela4[[#This Row],[Tipo]]="Jrs. Cap. Próprio",Tabela4[[#This Row],[Valor]]*85%,0))</f>
        <v>0.14450000000000002</v>
      </c>
    </row>
    <row r="1593" spans="1:7" x14ac:dyDescent="0.2">
      <c r="A1593" s="3" t="s">
        <v>304</v>
      </c>
      <c r="B1593" s="3" t="s">
        <v>14</v>
      </c>
      <c r="C1593" s="25">
        <v>38168</v>
      </c>
      <c r="D1593" s="10">
        <v>0.17</v>
      </c>
      <c r="E1593" s="67">
        <v>38201</v>
      </c>
      <c r="F1593" s="26">
        <v>38168</v>
      </c>
      <c r="G1593" s="10">
        <f>IF(Tabela4[[#This Row],[Tipo]]="Dividendo",Tabela4[[#This Row],[Valor]],IF(Tabela4[[#This Row],[Tipo]]="Jrs. Cap. Próprio",Tabela4[[#This Row],[Valor]]*85%,0))</f>
        <v>0.14450000000000002</v>
      </c>
    </row>
    <row r="1594" spans="1:7" x14ac:dyDescent="0.2">
      <c r="A1594" s="3" t="s">
        <v>304</v>
      </c>
      <c r="B1594" s="3" t="s">
        <v>14</v>
      </c>
      <c r="C1594" s="25">
        <v>38138</v>
      </c>
      <c r="D1594" s="10">
        <v>0.17</v>
      </c>
      <c r="E1594" s="67">
        <v>38169</v>
      </c>
      <c r="F1594" s="26">
        <v>38138</v>
      </c>
      <c r="G1594" s="10">
        <f>IF(Tabela4[[#This Row],[Tipo]]="Dividendo",Tabela4[[#This Row],[Valor]],IF(Tabela4[[#This Row],[Tipo]]="Jrs. Cap. Próprio",Tabela4[[#This Row],[Valor]]*85%,0))</f>
        <v>0.14450000000000002</v>
      </c>
    </row>
    <row r="1595" spans="1:7" x14ac:dyDescent="0.2">
      <c r="A1595" s="3" t="s">
        <v>304</v>
      </c>
      <c r="B1595" s="3" t="s">
        <v>14</v>
      </c>
      <c r="C1595" s="25">
        <v>38107</v>
      </c>
      <c r="D1595" s="10">
        <v>0.13</v>
      </c>
      <c r="E1595" s="67">
        <v>38292</v>
      </c>
      <c r="F1595" s="26">
        <v>38107</v>
      </c>
      <c r="G1595" s="10">
        <f>IF(Tabela4[[#This Row],[Tipo]]="Dividendo",Tabela4[[#This Row],[Valor]],IF(Tabela4[[#This Row],[Tipo]]="Jrs. Cap. Próprio",Tabela4[[#This Row],[Valor]]*85%,0))</f>
        <v>0.1105</v>
      </c>
    </row>
    <row r="1596" spans="1:7" x14ac:dyDescent="0.2">
      <c r="A1596" s="3" t="s">
        <v>304</v>
      </c>
      <c r="B1596" s="3" t="s">
        <v>14</v>
      </c>
      <c r="C1596" s="25">
        <v>38077</v>
      </c>
      <c r="D1596" s="10">
        <v>0.13</v>
      </c>
      <c r="E1596" s="67">
        <v>38110</v>
      </c>
      <c r="F1596" s="26">
        <v>38077</v>
      </c>
      <c r="G1596" s="10">
        <f>IF(Tabela4[[#This Row],[Tipo]]="Dividendo",Tabela4[[#This Row],[Valor]],IF(Tabela4[[#This Row],[Tipo]]="Jrs. Cap. Próprio",Tabela4[[#This Row],[Valor]]*85%,0))</f>
        <v>0.1105</v>
      </c>
    </row>
    <row r="1597" spans="1:7" x14ac:dyDescent="0.2">
      <c r="A1597" s="3" t="s">
        <v>304</v>
      </c>
      <c r="B1597" s="3" t="s">
        <v>14</v>
      </c>
      <c r="C1597" s="25">
        <v>38044</v>
      </c>
      <c r="D1597" s="10">
        <v>0.13</v>
      </c>
      <c r="E1597" s="67">
        <v>38078</v>
      </c>
      <c r="F1597" s="26">
        <v>38044</v>
      </c>
      <c r="G1597" s="10">
        <f>IF(Tabela4[[#This Row],[Tipo]]="Dividendo",Tabela4[[#This Row],[Valor]],IF(Tabela4[[#This Row],[Tipo]]="Jrs. Cap. Próprio",Tabela4[[#This Row],[Valor]]*85%,0))</f>
        <v>0.1105</v>
      </c>
    </row>
    <row r="1598" spans="1:7" x14ac:dyDescent="0.2">
      <c r="A1598" s="3" t="s">
        <v>304</v>
      </c>
      <c r="B1598" s="3" t="s">
        <v>14</v>
      </c>
      <c r="C1598" s="25">
        <v>38043</v>
      </c>
      <c r="D1598" s="10">
        <v>0.88</v>
      </c>
      <c r="E1598" s="67">
        <v>38051</v>
      </c>
      <c r="F1598" s="26">
        <v>38033</v>
      </c>
      <c r="G1598" s="10">
        <f>IF(Tabela4[[#This Row],[Tipo]]="Dividendo",Tabela4[[#This Row],[Valor]],IF(Tabela4[[#This Row],[Tipo]]="Jrs. Cap. Próprio",Tabela4[[#This Row],[Valor]]*85%,0))</f>
        <v>0.748</v>
      </c>
    </row>
    <row r="1599" spans="1:7" x14ac:dyDescent="0.2">
      <c r="A1599" s="3" t="s">
        <v>304</v>
      </c>
      <c r="B1599" s="3" t="s">
        <v>14</v>
      </c>
      <c r="C1599" s="25">
        <v>38016</v>
      </c>
      <c r="D1599" s="10">
        <v>0.13</v>
      </c>
      <c r="E1599" s="67">
        <v>38047</v>
      </c>
      <c r="F1599" s="26">
        <v>38016</v>
      </c>
      <c r="G1599" s="10">
        <f>IF(Tabela4[[#This Row],[Tipo]]="Dividendo",Tabela4[[#This Row],[Valor]],IF(Tabela4[[#This Row],[Tipo]]="Jrs. Cap. Próprio",Tabela4[[#This Row],[Valor]]*85%,0))</f>
        <v>0.1105</v>
      </c>
    </row>
    <row r="1600" spans="1:7" x14ac:dyDescent="0.2">
      <c r="A1600" s="3" t="s">
        <v>304</v>
      </c>
      <c r="B1600" s="3" t="s">
        <v>14</v>
      </c>
      <c r="C1600" s="25">
        <v>37985</v>
      </c>
      <c r="D1600" s="10">
        <v>5.87</v>
      </c>
      <c r="E1600" s="67">
        <v>38019</v>
      </c>
      <c r="F1600" s="26">
        <v>37985</v>
      </c>
      <c r="G1600" s="10">
        <f>IF(Tabela4[[#This Row],[Tipo]]="Dividendo",Tabela4[[#This Row],[Valor]],IF(Tabela4[[#This Row],[Tipo]]="Jrs. Cap. Próprio",Tabela4[[#This Row],[Valor]]*85%,0))</f>
        <v>4.9894999999999996</v>
      </c>
    </row>
    <row r="1601" spans="1:7" x14ac:dyDescent="0.2">
      <c r="A1601" s="3" t="s">
        <v>304</v>
      </c>
      <c r="B1601" s="3" t="s">
        <v>14</v>
      </c>
      <c r="C1601" s="25">
        <v>37953</v>
      </c>
      <c r="D1601" s="10">
        <v>0.13</v>
      </c>
      <c r="E1601" s="67">
        <v>37988</v>
      </c>
      <c r="F1601" s="26">
        <v>37953</v>
      </c>
      <c r="G1601" s="10">
        <f>IF(Tabela4[[#This Row],[Tipo]]="Dividendo",Tabela4[[#This Row],[Valor]],IF(Tabela4[[#This Row],[Tipo]]="Jrs. Cap. Próprio",Tabela4[[#This Row],[Valor]]*85%,0))</f>
        <v>0.1105</v>
      </c>
    </row>
    <row r="1602" spans="1:7" x14ac:dyDescent="0.2">
      <c r="A1602" s="3" t="s">
        <v>304</v>
      </c>
      <c r="B1602" s="3" t="s">
        <v>14</v>
      </c>
      <c r="C1602" s="25">
        <v>37925</v>
      </c>
      <c r="D1602" s="10">
        <v>0.13</v>
      </c>
      <c r="E1602" s="67">
        <v>37956</v>
      </c>
      <c r="F1602" s="26">
        <v>37925</v>
      </c>
      <c r="G1602" s="10">
        <f>IF(Tabela4[[#This Row],[Tipo]]="Dividendo",Tabela4[[#This Row],[Valor]],IF(Tabela4[[#This Row],[Tipo]]="Jrs. Cap. Próprio",Tabela4[[#This Row],[Valor]]*85%,0))</f>
        <v>0.1105</v>
      </c>
    </row>
    <row r="1603" spans="1:7" x14ac:dyDescent="0.2">
      <c r="A1603" s="3" t="s">
        <v>304</v>
      </c>
      <c r="B1603" s="3" t="s">
        <v>14</v>
      </c>
      <c r="C1603" s="25">
        <v>37894</v>
      </c>
      <c r="D1603" s="10">
        <v>0.13</v>
      </c>
      <c r="E1603" s="67">
        <v>37928</v>
      </c>
      <c r="F1603" s="26">
        <v>37894</v>
      </c>
      <c r="G1603" s="10">
        <f>IF(Tabela4[[#This Row],[Tipo]]="Dividendo",Tabela4[[#This Row],[Valor]],IF(Tabela4[[#This Row],[Tipo]]="Jrs. Cap. Próprio",Tabela4[[#This Row],[Valor]]*85%,0))</f>
        <v>0.1105</v>
      </c>
    </row>
    <row r="1604" spans="1:7" x14ac:dyDescent="0.2">
      <c r="A1604" s="3" t="s">
        <v>304</v>
      </c>
      <c r="B1604" s="3" t="s">
        <v>14</v>
      </c>
      <c r="C1604" s="80">
        <v>37862</v>
      </c>
      <c r="D1604" s="10">
        <v>0.13</v>
      </c>
      <c r="E1604" s="81">
        <v>37895</v>
      </c>
      <c r="F1604" s="81">
        <v>37862</v>
      </c>
      <c r="G1604" s="10">
        <f>IF(Tabela4[[#This Row],[Tipo]]="Dividendo",Tabela4[[#This Row],[Valor]],IF(Tabela4[[#This Row],[Tipo]]="Jrs. Cap. Próprio",Tabela4[[#This Row],[Valor]]*85%,0))</f>
        <v>0.1105</v>
      </c>
    </row>
    <row r="1605" spans="1:7" x14ac:dyDescent="0.2">
      <c r="A1605" s="3" t="s">
        <v>304</v>
      </c>
      <c r="B1605" s="3" t="s">
        <v>14</v>
      </c>
      <c r="C1605" s="25">
        <v>37848</v>
      </c>
      <c r="D1605" s="10">
        <v>1.56</v>
      </c>
      <c r="E1605" s="67">
        <v>37858</v>
      </c>
      <c r="F1605" s="26">
        <v>37837</v>
      </c>
      <c r="G1605" s="10">
        <f>IF(Tabela4[[#This Row],[Tipo]]="Dividendo",Tabela4[[#This Row],[Valor]],IF(Tabela4[[#This Row],[Tipo]]="Jrs. Cap. Próprio",Tabela4[[#This Row],[Valor]]*85%,0))</f>
        <v>1.3260000000000001</v>
      </c>
    </row>
    <row r="1606" spans="1:7" x14ac:dyDescent="0.2">
      <c r="A1606" s="3" t="s">
        <v>304</v>
      </c>
      <c r="B1606" s="3" t="s">
        <v>14</v>
      </c>
      <c r="C1606" s="25">
        <v>37833</v>
      </c>
      <c r="D1606" s="10">
        <v>0.13</v>
      </c>
      <c r="E1606" s="67">
        <v>37865</v>
      </c>
      <c r="F1606" s="26">
        <v>37833</v>
      </c>
      <c r="G1606" s="10">
        <f>IF(Tabela4[[#This Row],[Tipo]]="Dividendo",Tabela4[[#This Row],[Valor]],IF(Tabela4[[#This Row],[Tipo]]="Jrs. Cap. Próprio",Tabela4[[#This Row],[Valor]]*85%,0))</f>
        <v>0.1105</v>
      </c>
    </row>
    <row r="1607" spans="1:7" x14ac:dyDescent="0.2">
      <c r="A1607" s="3" t="s">
        <v>304</v>
      </c>
      <c r="B1607" s="3" t="s">
        <v>14</v>
      </c>
      <c r="C1607" s="25">
        <v>37802</v>
      </c>
      <c r="D1607" s="10">
        <v>0.13</v>
      </c>
      <c r="E1607" s="67">
        <v>37834</v>
      </c>
      <c r="F1607" s="26">
        <v>37802</v>
      </c>
      <c r="G1607" s="10">
        <f>IF(Tabela4[[#This Row],[Tipo]]="Dividendo",Tabela4[[#This Row],[Valor]],IF(Tabela4[[#This Row],[Tipo]]="Jrs. Cap. Próprio",Tabela4[[#This Row],[Valor]]*85%,0))</f>
        <v>0.1105</v>
      </c>
    </row>
    <row r="1608" spans="1:7" x14ac:dyDescent="0.2">
      <c r="A1608" s="3" t="s">
        <v>304</v>
      </c>
      <c r="B1608" s="3" t="s">
        <v>14</v>
      </c>
      <c r="C1608" s="80">
        <v>37771</v>
      </c>
      <c r="D1608" s="10">
        <v>0.13</v>
      </c>
      <c r="E1608" s="81">
        <v>37803</v>
      </c>
      <c r="F1608" s="81">
        <v>37771</v>
      </c>
      <c r="G1608" s="10">
        <f>IF(Tabela4[[#This Row],[Tipo]]="Dividendo",Tabela4[[#This Row],[Valor]],IF(Tabela4[[#This Row],[Tipo]]="Jrs. Cap. Próprio",Tabela4[[#This Row],[Valor]]*85%,0))</f>
        <v>0.1105</v>
      </c>
    </row>
    <row r="1609" spans="1:7" x14ac:dyDescent="0.2">
      <c r="A1609" s="3" t="s">
        <v>304</v>
      </c>
      <c r="B1609" s="3" t="s">
        <v>14</v>
      </c>
      <c r="C1609" s="25">
        <v>37741</v>
      </c>
      <c r="D1609" s="10">
        <v>0.13</v>
      </c>
      <c r="E1609" s="67">
        <v>37774</v>
      </c>
      <c r="F1609" s="26">
        <v>37741</v>
      </c>
      <c r="G1609" s="10">
        <f>IF(Tabela4[[#This Row],[Tipo]]="Dividendo",Tabela4[[#This Row],[Valor]],IF(Tabela4[[#This Row],[Tipo]]="Jrs. Cap. Próprio",Tabela4[[#This Row],[Valor]]*85%,0))</f>
        <v>0.1105</v>
      </c>
    </row>
    <row r="1610" spans="1:7" x14ac:dyDescent="0.2">
      <c r="A1610" s="3" t="s">
        <v>304</v>
      </c>
      <c r="B1610" s="3" t="s">
        <v>14</v>
      </c>
      <c r="C1610" s="25">
        <v>37711</v>
      </c>
      <c r="D1610" s="10">
        <v>0.13</v>
      </c>
      <c r="E1610" s="67">
        <v>37743</v>
      </c>
      <c r="F1610" s="26">
        <v>37711</v>
      </c>
      <c r="G1610" s="10">
        <f>IF(Tabela4[[#This Row],[Tipo]]="Dividendo",Tabela4[[#This Row],[Valor]],IF(Tabela4[[#This Row],[Tipo]]="Jrs. Cap. Próprio",Tabela4[[#This Row],[Valor]]*85%,0))</f>
        <v>0.1105</v>
      </c>
    </row>
    <row r="1611" spans="1:7" x14ac:dyDescent="0.2">
      <c r="A1611" s="3" t="s">
        <v>304</v>
      </c>
      <c r="B1611" s="3" t="s">
        <v>14</v>
      </c>
      <c r="C1611" s="25">
        <v>37701</v>
      </c>
      <c r="D1611" s="10">
        <v>2.38</v>
      </c>
      <c r="E1611" s="67">
        <v>37708</v>
      </c>
      <c r="F1611" s="26">
        <v>37690</v>
      </c>
      <c r="G1611" s="10">
        <f>IF(Tabela4[[#This Row],[Tipo]]="Dividendo",Tabela4[[#This Row],[Valor]],IF(Tabela4[[#This Row],[Tipo]]="Jrs. Cap. Próprio",Tabela4[[#This Row],[Valor]]*85%,0))</f>
        <v>2.0229999999999997</v>
      </c>
    </row>
    <row r="1612" spans="1:7" x14ac:dyDescent="0.2">
      <c r="A1612" s="3" t="s">
        <v>304</v>
      </c>
      <c r="B1612" s="3" t="s">
        <v>14</v>
      </c>
      <c r="C1612" s="80">
        <v>37680</v>
      </c>
      <c r="D1612" s="10">
        <v>0.1</v>
      </c>
      <c r="E1612" s="81">
        <v>37712</v>
      </c>
      <c r="F1612" s="81">
        <v>37680</v>
      </c>
      <c r="G1612" s="10">
        <f>IF(Tabela4[[#This Row],[Tipo]]="Dividendo",Tabela4[[#This Row],[Valor]],IF(Tabela4[[#This Row],[Tipo]]="Jrs. Cap. Próprio",Tabela4[[#This Row],[Valor]]*85%,0))</f>
        <v>8.5000000000000006E-2</v>
      </c>
    </row>
    <row r="1613" spans="1:7" x14ac:dyDescent="0.2">
      <c r="A1613" s="3" t="s">
        <v>304</v>
      </c>
      <c r="B1613" s="3" t="s">
        <v>14</v>
      </c>
      <c r="C1613" s="25">
        <v>37652</v>
      </c>
      <c r="D1613" s="10">
        <v>0.1</v>
      </c>
      <c r="E1613" s="67"/>
      <c r="F1613" s="26">
        <v>37652</v>
      </c>
      <c r="G1613" s="10">
        <f>IF(Tabela4[[#This Row],[Tipo]]="Dividendo",Tabela4[[#This Row],[Valor]],IF(Tabela4[[#This Row],[Tipo]]="Jrs. Cap. Próprio",Tabela4[[#This Row],[Valor]]*85%,0))</f>
        <v>8.5000000000000006E-2</v>
      </c>
    </row>
    <row r="1614" spans="1:7" x14ac:dyDescent="0.2">
      <c r="A1614" s="3" t="s">
        <v>304</v>
      </c>
      <c r="B1614" s="3" t="s">
        <v>14</v>
      </c>
      <c r="C1614" s="25">
        <v>37620</v>
      </c>
      <c r="D1614" s="10">
        <v>2.95</v>
      </c>
      <c r="E1614" s="67">
        <v>37655</v>
      </c>
      <c r="F1614" s="26">
        <v>37620</v>
      </c>
      <c r="G1614" s="10">
        <f>IF(Tabela4[[#This Row],[Tipo]]="Dividendo",Tabela4[[#This Row],[Valor]],IF(Tabela4[[#This Row],[Tipo]]="Jrs. Cap. Próprio",Tabela4[[#This Row],[Valor]]*85%,0))</f>
        <v>2.5075000000000003</v>
      </c>
    </row>
    <row r="1615" spans="1:7" x14ac:dyDescent="0.2">
      <c r="A1615" s="3" t="s">
        <v>304</v>
      </c>
      <c r="B1615" s="3" t="s">
        <v>14</v>
      </c>
      <c r="C1615" s="25">
        <v>37589</v>
      </c>
      <c r="D1615" s="10">
        <v>0.1</v>
      </c>
      <c r="E1615" s="67">
        <v>37623</v>
      </c>
      <c r="F1615" s="26">
        <v>37589</v>
      </c>
      <c r="G1615" s="10">
        <f>IF(Tabela4[[#This Row],[Tipo]]="Dividendo",Tabela4[[#This Row],[Valor]],IF(Tabela4[[#This Row],[Tipo]]="Jrs. Cap. Próprio",Tabela4[[#This Row],[Valor]]*85%,0))</f>
        <v>8.5000000000000006E-2</v>
      </c>
    </row>
    <row r="1616" spans="1:7" x14ac:dyDescent="0.2">
      <c r="A1616" s="3" t="s">
        <v>304</v>
      </c>
      <c r="B1616" s="3" t="s">
        <v>14</v>
      </c>
      <c r="C1616" s="25">
        <v>37560</v>
      </c>
      <c r="D1616" s="10">
        <v>0.1</v>
      </c>
      <c r="E1616" s="67">
        <v>37592</v>
      </c>
      <c r="F1616" s="26">
        <v>37560</v>
      </c>
      <c r="G1616" s="10">
        <f>IF(Tabela4[[#This Row],[Tipo]]="Dividendo",Tabela4[[#This Row],[Valor]],IF(Tabela4[[#This Row],[Tipo]]="Jrs. Cap. Próprio",Tabela4[[#This Row],[Valor]]*85%,0))</f>
        <v>8.5000000000000006E-2</v>
      </c>
    </row>
    <row r="1617" spans="1:7" x14ac:dyDescent="0.2">
      <c r="A1617" s="3" t="s">
        <v>304</v>
      </c>
      <c r="B1617" s="3" t="s">
        <v>14</v>
      </c>
      <c r="C1617" s="25">
        <v>37529</v>
      </c>
      <c r="D1617" s="10">
        <v>0.1</v>
      </c>
      <c r="E1617" s="67">
        <v>37561</v>
      </c>
      <c r="F1617" s="26">
        <v>37529</v>
      </c>
      <c r="G1617" s="10">
        <f>IF(Tabela4[[#This Row],[Tipo]]="Dividendo",Tabela4[[#This Row],[Valor]],IF(Tabela4[[#This Row],[Tipo]]="Jrs. Cap. Próprio",Tabela4[[#This Row],[Valor]]*85%,0))</f>
        <v>8.5000000000000006E-2</v>
      </c>
    </row>
    <row r="1618" spans="1:7" x14ac:dyDescent="0.2">
      <c r="A1618" s="3" t="s">
        <v>304</v>
      </c>
      <c r="B1618" s="3" t="s">
        <v>14</v>
      </c>
      <c r="C1618" s="25">
        <v>37498</v>
      </c>
      <c r="D1618" s="10">
        <v>0.1</v>
      </c>
      <c r="E1618" s="67">
        <v>37530</v>
      </c>
      <c r="F1618" s="26">
        <v>37498</v>
      </c>
      <c r="G1618" s="10">
        <f>IF(Tabela4[[#This Row],[Tipo]]="Dividendo",Tabela4[[#This Row],[Valor]],IF(Tabela4[[#This Row],[Tipo]]="Jrs. Cap. Próprio",Tabela4[[#This Row],[Valor]]*85%,0))</f>
        <v>8.5000000000000006E-2</v>
      </c>
    </row>
    <row r="1619" spans="1:7" x14ac:dyDescent="0.2">
      <c r="A1619" s="3" t="s">
        <v>304</v>
      </c>
      <c r="B1619" s="3" t="s">
        <v>14</v>
      </c>
      <c r="C1619" s="25">
        <v>37484</v>
      </c>
      <c r="D1619" s="10">
        <v>1.06</v>
      </c>
      <c r="E1619" s="67">
        <v>37501</v>
      </c>
      <c r="F1619" s="26">
        <v>37473</v>
      </c>
      <c r="G1619" s="10">
        <f>IF(Tabela4[[#This Row],[Tipo]]="Dividendo",Tabela4[[#This Row],[Valor]],IF(Tabela4[[#This Row],[Tipo]]="Jrs. Cap. Próprio",Tabela4[[#This Row],[Valor]]*85%,0))</f>
        <v>0.90100000000000002</v>
      </c>
    </row>
    <row r="1620" spans="1:7" x14ac:dyDescent="0.2">
      <c r="A1620" s="3" t="s">
        <v>304</v>
      </c>
      <c r="B1620" s="3" t="s">
        <v>14</v>
      </c>
      <c r="C1620" s="25">
        <v>37468</v>
      </c>
      <c r="D1620" s="10">
        <v>0.1</v>
      </c>
      <c r="E1620" s="67">
        <v>37501</v>
      </c>
      <c r="F1620" s="26">
        <v>37468</v>
      </c>
      <c r="G1620" s="10">
        <f>IF(Tabela4[[#This Row],[Tipo]]="Dividendo",Tabela4[[#This Row],[Valor]],IF(Tabela4[[#This Row],[Tipo]]="Jrs. Cap. Próprio",Tabela4[[#This Row],[Valor]]*85%,0))</f>
        <v>8.5000000000000006E-2</v>
      </c>
    </row>
    <row r="1621" spans="1:7" x14ac:dyDescent="0.2">
      <c r="A1621" s="3" t="s">
        <v>304</v>
      </c>
      <c r="B1621" s="3" t="s">
        <v>14</v>
      </c>
      <c r="C1621" s="25">
        <v>37435</v>
      </c>
      <c r="D1621" s="10">
        <v>0.1</v>
      </c>
      <c r="E1621" s="67">
        <v>37469</v>
      </c>
      <c r="F1621" s="26">
        <v>37435</v>
      </c>
      <c r="G1621" s="10">
        <f>IF(Tabela4[[#This Row],[Tipo]]="Dividendo",Tabela4[[#This Row],[Valor]],IF(Tabela4[[#This Row],[Tipo]]="Jrs. Cap. Próprio",Tabela4[[#This Row],[Valor]]*85%,0))</f>
        <v>8.5000000000000006E-2</v>
      </c>
    </row>
    <row r="1622" spans="1:7" x14ac:dyDescent="0.2">
      <c r="A1622" s="3" t="s">
        <v>304</v>
      </c>
      <c r="B1622" s="3" t="s">
        <v>14</v>
      </c>
      <c r="C1622" s="25">
        <v>37407</v>
      </c>
      <c r="D1622" s="10">
        <v>0.1</v>
      </c>
      <c r="E1622" s="67">
        <v>37438</v>
      </c>
      <c r="F1622" s="26">
        <v>37407</v>
      </c>
      <c r="G1622" s="10">
        <f>IF(Tabela4[[#This Row],[Tipo]]="Dividendo",Tabela4[[#This Row],[Valor]],IF(Tabela4[[#This Row],[Tipo]]="Jrs. Cap. Próprio",Tabela4[[#This Row],[Valor]]*85%,0))</f>
        <v>8.5000000000000006E-2</v>
      </c>
    </row>
    <row r="1623" spans="1:7" x14ac:dyDescent="0.2">
      <c r="A1623" s="3" t="s">
        <v>304</v>
      </c>
      <c r="B1623" s="3" t="s">
        <v>14</v>
      </c>
      <c r="C1623" s="25">
        <v>37376</v>
      </c>
      <c r="D1623" s="10">
        <v>0.1</v>
      </c>
      <c r="E1623" s="67">
        <v>37410</v>
      </c>
      <c r="F1623" s="26">
        <v>37376</v>
      </c>
      <c r="G1623" s="10">
        <f>IF(Tabela4[[#This Row],[Tipo]]="Dividendo",Tabela4[[#This Row],[Valor]],IF(Tabela4[[#This Row],[Tipo]]="Jrs. Cap. Próprio",Tabela4[[#This Row],[Valor]]*85%,0))</f>
        <v>8.5000000000000006E-2</v>
      </c>
    </row>
    <row r="1624" spans="1:7" x14ac:dyDescent="0.2">
      <c r="A1624" s="3" t="s">
        <v>304</v>
      </c>
      <c r="B1624" s="3" t="s">
        <v>14</v>
      </c>
      <c r="C1624" s="25">
        <v>37343</v>
      </c>
      <c r="D1624" s="10">
        <v>0.1</v>
      </c>
      <c r="E1624" s="67">
        <v>37378</v>
      </c>
      <c r="F1624" s="26">
        <v>37343</v>
      </c>
      <c r="G1624" s="10">
        <f>IF(Tabela4[[#This Row],[Tipo]]="Dividendo",Tabela4[[#This Row],[Valor]],IF(Tabela4[[#This Row],[Tipo]]="Jrs. Cap. Próprio",Tabela4[[#This Row],[Valor]]*85%,0))</f>
        <v>8.5000000000000006E-2</v>
      </c>
    </row>
    <row r="1625" spans="1:7" x14ac:dyDescent="0.2">
      <c r="A1625" s="3" t="s">
        <v>304</v>
      </c>
      <c r="B1625" s="3" t="s">
        <v>14</v>
      </c>
      <c r="C1625" s="25">
        <v>37329</v>
      </c>
      <c r="D1625" s="10">
        <v>2.2999999999999998</v>
      </c>
      <c r="E1625" s="67">
        <v>37334</v>
      </c>
      <c r="F1625" s="26">
        <v>37319</v>
      </c>
      <c r="G1625" s="10">
        <f>IF(Tabela4[[#This Row],[Tipo]]="Dividendo",Tabela4[[#This Row],[Valor]],IF(Tabela4[[#This Row],[Tipo]]="Jrs. Cap. Próprio",Tabela4[[#This Row],[Valor]]*85%,0))</f>
        <v>1.9549999999999998</v>
      </c>
    </row>
    <row r="1626" spans="1:7" x14ac:dyDescent="0.2">
      <c r="A1626" s="3" t="s">
        <v>304</v>
      </c>
      <c r="B1626" s="3" t="s">
        <v>14</v>
      </c>
      <c r="C1626" s="25">
        <v>37315</v>
      </c>
      <c r="D1626" s="10">
        <v>8.5000000000000006E-2</v>
      </c>
      <c r="E1626" s="67">
        <v>37347</v>
      </c>
      <c r="F1626" s="26">
        <v>37315</v>
      </c>
      <c r="G1626" s="10">
        <f>IF(Tabela4[[#This Row],[Tipo]]="Dividendo",Tabela4[[#This Row],[Valor]],IF(Tabela4[[#This Row],[Tipo]]="Jrs. Cap. Próprio",Tabela4[[#This Row],[Valor]]*85%,0))</f>
        <v>7.2250000000000009E-2</v>
      </c>
    </row>
    <row r="1627" spans="1:7" x14ac:dyDescent="0.2">
      <c r="A1627" s="3" t="s">
        <v>304</v>
      </c>
      <c r="B1627" s="3" t="s">
        <v>14</v>
      </c>
      <c r="C1627" s="25">
        <v>37287</v>
      </c>
      <c r="D1627" s="10">
        <v>8.5000000000000006E-2</v>
      </c>
      <c r="E1627" s="67">
        <v>37316</v>
      </c>
      <c r="F1627" s="26">
        <v>37287</v>
      </c>
      <c r="G1627" s="10">
        <f>IF(Tabela4[[#This Row],[Tipo]]="Dividendo",Tabela4[[#This Row],[Valor]],IF(Tabela4[[#This Row],[Tipo]]="Jrs. Cap. Próprio",Tabela4[[#This Row],[Valor]]*85%,0))</f>
        <v>7.2250000000000009E-2</v>
      </c>
    </row>
    <row r="1628" spans="1:7" x14ac:dyDescent="0.2">
      <c r="A1628" s="3" t="s">
        <v>304</v>
      </c>
      <c r="B1628" s="3" t="s">
        <v>14</v>
      </c>
      <c r="C1628" s="25">
        <v>37253</v>
      </c>
      <c r="D1628" s="10">
        <v>8.5000000000000006E-2</v>
      </c>
      <c r="E1628" s="67">
        <v>37288</v>
      </c>
      <c r="F1628" s="26">
        <v>37253</v>
      </c>
      <c r="G1628" s="10">
        <f>IF(Tabela4[[#This Row],[Tipo]]="Dividendo",Tabela4[[#This Row],[Valor]],IF(Tabela4[[#This Row],[Tipo]]="Jrs. Cap. Próprio",Tabela4[[#This Row],[Valor]]*85%,0))</f>
        <v>7.2250000000000009E-2</v>
      </c>
    </row>
    <row r="1629" spans="1:7" x14ac:dyDescent="0.2">
      <c r="A1629" s="3" t="s">
        <v>304</v>
      </c>
      <c r="B1629" s="3" t="s">
        <v>14</v>
      </c>
      <c r="C1629" s="25">
        <v>37252</v>
      </c>
      <c r="D1629" s="10">
        <v>2.83</v>
      </c>
      <c r="E1629" s="67">
        <v>37334</v>
      </c>
      <c r="F1629" s="26">
        <v>37242</v>
      </c>
      <c r="G1629" s="10">
        <f>IF(Tabela4[[#This Row],[Tipo]]="Dividendo",Tabela4[[#This Row],[Valor]],IF(Tabela4[[#This Row],[Tipo]]="Jrs. Cap. Próprio",Tabela4[[#This Row],[Valor]]*85%,0))</f>
        <v>2.4055</v>
      </c>
    </row>
    <row r="1630" spans="1:7" x14ac:dyDescent="0.2">
      <c r="A1630" s="3" t="s">
        <v>304</v>
      </c>
      <c r="B1630" s="3" t="s">
        <v>14</v>
      </c>
      <c r="C1630" s="25">
        <v>37225</v>
      </c>
      <c r="D1630" s="10">
        <v>8.5000000000000006E-2</v>
      </c>
      <c r="E1630" s="67">
        <v>37258</v>
      </c>
      <c r="F1630" s="26">
        <v>37225</v>
      </c>
      <c r="G1630" s="10">
        <f>IF(Tabela4[[#This Row],[Tipo]]="Dividendo",Tabela4[[#This Row],[Valor]],IF(Tabela4[[#This Row],[Tipo]]="Jrs. Cap. Próprio",Tabela4[[#This Row],[Valor]]*85%,0))</f>
        <v>7.2250000000000009E-2</v>
      </c>
    </row>
    <row r="1631" spans="1:7" x14ac:dyDescent="0.2">
      <c r="A1631" s="3" t="s">
        <v>304</v>
      </c>
      <c r="B1631" s="3" t="s">
        <v>14</v>
      </c>
      <c r="C1631" s="25">
        <v>37195</v>
      </c>
      <c r="D1631" s="10">
        <v>8.5000000000000006E-2</v>
      </c>
      <c r="E1631" s="67">
        <v>37228</v>
      </c>
      <c r="F1631" s="26">
        <v>37195</v>
      </c>
      <c r="G1631" s="10">
        <f>IF(Tabela4[[#This Row],[Tipo]]="Dividendo",Tabela4[[#This Row],[Valor]],IF(Tabela4[[#This Row],[Tipo]]="Jrs. Cap. Próprio",Tabela4[[#This Row],[Valor]]*85%,0))</f>
        <v>7.2250000000000009E-2</v>
      </c>
    </row>
    <row r="1632" spans="1:7" x14ac:dyDescent="0.2">
      <c r="A1632" s="3" t="s">
        <v>304</v>
      </c>
      <c r="B1632" s="3" t="s">
        <v>14</v>
      </c>
      <c r="C1632" s="25">
        <v>37162</v>
      </c>
      <c r="D1632" s="10">
        <v>8.5000000000000006E-2</v>
      </c>
      <c r="E1632" s="67">
        <v>37196</v>
      </c>
      <c r="F1632" s="26">
        <v>37162</v>
      </c>
      <c r="G1632" s="10">
        <f>IF(Tabela4[[#This Row],[Tipo]]="Dividendo",Tabela4[[#This Row],[Valor]],IF(Tabela4[[#This Row],[Tipo]]="Jrs. Cap. Próprio",Tabela4[[#This Row],[Valor]]*85%,0))</f>
        <v>7.2250000000000009E-2</v>
      </c>
    </row>
    <row r="1633" spans="1:7" x14ac:dyDescent="0.2">
      <c r="A1633" s="3" t="s">
        <v>304</v>
      </c>
      <c r="B1633" s="3" t="s">
        <v>14</v>
      </c>
      <c r="C1633" s="25">
        <v>37134</v>
      </c>
      <c r="D1633" s="10">
        <v>8.5000000000000006E-2</v>
      </c>
      <c r="E1633" s="67">
        <v>37165</v>
      </c>
      <c r="F1633" s="26">
        <v>37134</v>
      </c>
      <c r="G1633" s="10">
        <f>IF(Tabela4[[#This Row],[Tipo]]="Dividendo",Tabela4[[#This Row],[Valor]],IF(Tabela4[[#This Row],[Tipo]]="Jrs. Cap. Próprio",Tabela4[[#This Row],[Valor]]*85%,0))</f>
        <v>7.2250000000000009E-2</v>
      </c>
    </row>
    <row r="1634" spans="1:7" x14ac:dyDescent="0.2">
      <c r="A1634" s="3" t="s">
        <v>304</v>
      </c>
      <c r="B1634" s="3" t="s">
        <v>14</v>
      </c>
      <c r="C1634" s="25">
        <v>37103</v>
      </c>
      <c r="D1634" s="10">
        <v>1.145</v>
      </c>
      <c r="E1634" s="67">
        <v>37137</v>
      </c>
      <c r="F1634" s="26">
        <v>37103</v>
      </c>
      <c r="G1634" s="10">
        <f>IF(Tabela4[[#This Row],[Tipo]]="Dividendo",Tabela4[[#This Row],[Valor]],IF(Tabela4[[#This Row],[Tipo]]="Jrs. Cap. Próprio",Tabela4[[#This Row],[Valor]]*85%,0))</f>
        <v>0.97324999999999995</v>
      </c>
    </row>
    <row r="1635" spans="1:7" x14ac:dyDescent="0.2">
      <c r="A1635" s="3" t="s">
        <v>304</v>
      </c>
      <c r="B1635" s="3" t="s">
        <v>14</v>
      </c>
      <c r="C1635" s="25">
        <v>37071</v>
      </c>
      <c r="D1635" s="10">
        <v>8.5000000000000006E-2</v>
      </c>
      <c r="E1635" s="67">
        <v>37104</v>
      </c>
      <c r="F1635" s="26">
        <v>37071</v>
      </c>
      <c r="G1635" s="10">
        <f>IF(Tabela4[[#This Row],[Tipo]]="Dividendo",Tabela4[[#This Row],[Valor]],IF(Tabela4[[#This Row],[Tipo]]="Jrs. Cap. Próprio",Tabela4[[#This Row],[Valor]]*85%,0))</f>
        <v>7.2250000000000009E-2</v>
      </c>
    </row>
    <row r="1636" spans="1:7" x14ac:dyDescent="0.2">
      <c r="A1636" s="3" t="s">
        <v>304</v>
      </c>
      <c r="B1636" s="3" t="s">
        <v>14</v>
      </c>
      <c r="C1636" s="25">
        <v>37042</v>
      </c>
      <c r="D1636" s="10">
        <v>8.5000000000000006E-2</v>
      </c>
      <c r="E1636" s="67">
        <v>37074</v>
      </c>
      <c r="F1636" s="26">
        <v>37042</v>
      </c>
      <c r="G1636" s="10">
        <f>IF(Tabela4[[#This Row],[Tipo]]="Dividendo",Tabela4[[#This Row],[Valor]],IF(Tabela4[[#This Row],[Tipo]]="Jrs. Cap. Próprio",Tabela4[[#This Row],[Valor]]*85%,0))</f>
        <v>7.2250000000000009E-2</v>
      </c>
    </row>
    <row r="1637" spans="1:7" x14ac:dyDescent="0.2">
      <c r="A1637" s="3" t="s">
        <v>304</v>
      </c>
      <c r="B1637" s="3" t="s">
        <v>14</v>
      </c>
      <c r="C1637" s="25">
        <v>37011</v>
      </c>
      <c r="D1637" s="10">
        <v>8.5000000000000006E-2</v>
      </c>
      <c r="E1637" s="67">
        <v>37043</v>
      </c>
      <c r="F1637" s="26">
        <v>37011</v>
      </c>
      <c r="G1637" s="10">
        <f>IF(Tabela4[[#This Row],[Tipo]]="Dividendo",Tabela4[[#This Row],[Valor]],IF(Tabela4[[#This Row],[Tipo]]="Jrs. Cap. Próprio",Tabela4[[#This Row],[Valor]]*85%,0))</f>
        <v>7.2250000000000009E-2</v>
      </c>
    </row>
    <row r="1638" spans="1:7" x14ac:dyDescent="0.2">
      <c r="A1638" s="3" t="s">
        <v>304</v>
      </c>
      <c r="B1638" s="3" t="s">
        <v>14</v>
      </c>
      <c r="C1638" s="80">
        <v>36980</v>
      </c>
      <c r="D1638" s="10">
        <v>8.5000000000000006E-2</v>
      </c>
      <c r="E1638" s="81">
        <v>37013</v>
      </c>
      <c r="F1638" s="81">
        <v>36980</v>
      </c>
      <c r="G1638" s="10">
        <f>IF(Tabela4[[#This Row],[Tipo]]="Dividendo",Tabela4[[#This Row],[Valor]],IF(Tabela4[[#This Row],[Tipo]]="Jrs. Cap. Próprio",Tabela4[[#This Row],[Valor]]*85%,0))</f>
        <v>7.2250000000000009E-2</v>
      </c>
    </row>
    <row r="1639" spans="1:7" x14ac:dyDescent="0.2">
      <c r="A1639" s="3" t="s">
        <v>304</v>
      </c>
      <c r="B1639" s="3" t="s">
        <v>14</v>
      </c>
      <c r="C1639" s="25">
        <v>36950</v>
      </c>
      <c r="D1639" s="10">
        <v>8.5000000000000006E-2</v>
      </c>
      <c r="E1639" s="67">
        <v>36983</v>
      </c>
      <c r="F1639" s="26">
        <v>36950</v>
      </c>
      <c r="G1639" s="10">
        <f>IF(Tabela4[[#This Row],[Tipo]]="Dividendo",Tabela4[[#This Row],[Valor]],IF(Tabela4[[#This Row],[Tipo]]="Jrs. Cap. Próprio",Tabela4[[#This Row],[Valor]]*85%,0))</f>
        <v>7.2250000000000009E-2</v>
      </c>
    </row>
    <row r="1640" spans="1:7" x14ac:dyDescent="0.2">
      <c r="A1640" s="3" t="s">
        <v>304</v>
      </c>
      <c r="B1640" s="3" t="s">
        <v>14</v>
      </c>
      <c r="C1640" s="25">
        <v>36941</v>
      </c>
      <c r="D1640" s="10">
        <v>0.57999999999999996</v>
      </c>
      <c r="E1640" s="67">
        <v>36950</v>
      </c>
      <c r="F1640" s="26">
        <v>36941</v>
      </c>
      <c r="G1640" s="10">
        <f>IF(Tabela4[[#This Row],[Tipo]]="Dividendo",Tabela4[[#This Row],[Valor]],IF(Tabela4[[#This Row],[Tipo]]="Jrs. Cap. Próprio",Tabela4[[#This Row],[Valor]]*85%,0))</f>
        <v>0.49299999999999994</v>
      </c>
    </row>
    <row r="1641" spans="1:7" x14ac:dyDescent="0.2">
      <c r="A1641" s="3" t="s">
        <v>304</v>
      </c>
      <c r="B1641" s="3" t="s">
        <v>14</v>
      </c>
      <c r="C1641" s="25">
        <v>36922</v>
      </c>
      <c r="D1641" s="10">
        <v>8.5000000000000006E-2</v>
      </c>
      <c r="E1641" s="67">
        <v>36951</v>
      </c>
      <c r="F1641" s="26">
        <v>36922</v>
      </c>
      <c r="G1641" s="10">
        <f>IF(Tabela4[[#This Row],[Tipo]]="Dividendo",Tabela4[[#This Row],[Valor]],IF(Tabela4[[#This Row],[Tipo]]="Jrs. Cap. Próprio",Tabela4[[#This Row],[Valor]]*85%,0))</f>
        <v>7.2250000000000009E-2</v>
      </c>
    </row>
    <row r="1642" spans="1:7" x14ac:dyDescent="0.2">
      <c r="A1642" s="3" t="s">
        <v>304</v>
      </c>
      <c r="B1642" s="3" t="s">
        <v>14</v>
      </c>
      <c r="C1642" s="25">
        <v>36888</v>
      </c>
      <c r="D1642" s="10">
        <v>8.5000000000000006E-2</v>
      </c>
      <c r="E1642" s="67">
        <v>36923</v>
      </c>
      <c r="F1642" s="26">
        <v>36888</v>
      </c>
      <c r="G1642" s="10">
        <f>IF(Tabela4[[#This Row],[Tipo]]="Dividendo",Tabela4[[#This Row],[Valor]],IF(Tabela4[[#This Row],[Tipo]]="Jrs. Cap. Próprio",Tabela4[[#This Row],[Valor]]*85%,0))</f>
        <v>7.2250000000000009E-2</v>
      </c>
    </row>
    <row r="1643" spans="1:7" x14ac:dyDescent="0.2">
      <c r="A1643" s="3" t="s">
        <v>304</v>
      </c>
      <c r="B1643" s="3" t="s">
        <v>14</v>
      </c>
      <c r="C1643" s="25">
        <v>36882</v>
      </c>
      <c r="D1643" s="10">
        <v>2.9426999999999999</v>
      </c>
      <c r="E1643" s="67">
        <v>36950</v>
      </c>
      <c r="F1643" s="26">
        <v>36882</v>
      </c>
      <c r="G1643" s="10">
        <f>IF(Tabela4[[#This Row],[Tipo]]="Dividendo",Tabela4[[#This Row],[Valor]],IF(Tabela4[[#This Row],[Tipo]]="Jrs. Cap. Próprio",Tabela4[[#This Row],[Valor]]*85%,0))</f>
        <v>2.5012949999999998</v>
      </c>
    </row>
    <row r="1644" spans="1:7" x14ac:dyDescent="0.2">
      <c r="A1644" s="3" t="s">
        <v>304</v>
      </c>
      <c r="B1644" s="3" t="s">
        <v>14</v>
      </c>
      <c r="C1644" s="25">
        <v>36860</v>
      </c>
      <c r="D1644" s="10">
        <v>8.5000000000000006E-2</v>
      </c>
      <c r="E1644" s="67">
        <v>36893</v>
      </c>
      <c r="F1644" s="26">
        <v>36860</v>
      </c>
      <c r="G1644" s="10">
        <f>IF(Tabela4[[#This Row],[Tipo]]="Dividendo",Tabela4[[#This Row],[Valor]],IF(Tabela4[[#This Row],[Tipo]]="Jrs. Cap. Próprio",Tabela4[[#This Row],[Valor]]*85%,0))</f>
        <v>7.2250000000000009E-2</v>
      </c>
    </row>
    <row r="1645" spans="1:7" x14ac:dyDescent="0.2">
      <c r="A1645" s="3" t="s">
        <v>304</v>
      </c>
      <c r="B1645" s="3" t="s">
        <v>14</v>
      </c>
      <c r="C1645" s="25">
        <v>36830</v>
      </c>
      <c r="D1645" s="10">
        <v>8.5000000000000006E-2</v>
      </c>
      <c r="E1645" s="67">
        <v>36861</v>
      </c>
      <c r="F1645" s="26">
        <v>36830</v>
      </c>
      <c r="G1645" s="10">
        <f>IF(Tabela4[[#This Row],[Tipo]]="Dividendo",Tabela4[[#This Row],[Valor]],IF(Tabela4[[#This Row],[Tipo]]="Jrs. Cap. Próprio",Tabela4[[#This Row],[Valor]]*85%,0))</f>
        <v>7.2250000000000009E-2</v>
      </c>
    </row>
    <row r="1646" spans="1:7" x14ac:dyDescent="0.2">
      <c r="A1646" s="3" t="s">
        <v>304</v>
      </c>
      <c r="B1646" s="3" t="s">
        <v>14</v>
      </c>
      <c r="C1646" s="25">
        <v>36798</v>
      </c>
      <c r="D1646" s="10">
        <v>8.5000000000000006E-2</v>
      </c>
      <c r="E1646" s="67">
        <v>36831</v>
      </c>
      <c r="F1646" s="26">
        <v>36798</v>
      </c>
      <c r="G1646" s="10">
        <f>IF(Tabela4[[#This Row],[Tipo]]="Dividendo",Tabela4[[#This Row],[Valor]],IF(Tabela4[[#This Row],[Tipo]]="Jrs. Cap. Próprio",Tabela4[[#This Row],[Valor]]*85%,0))</f>
        <v>7.2250000000000009E-2</v>
      </c>
    </row>
    <row r="1647" spans="1:7" x14ac:dyDescent="0.2">
      <c r="A1647" s="3" t="s">
        <v>304</v>
      </c>
      <c r="B1647" s="3" t="s">
        <v>14</v>
      </c>
      <c r="C1647" s="25">
        <v>36769</v>
      </c>
      <c r="D1647" s="10">
        <v>8.5000000000000006E-2</v>
      </c>
      <c r="E1647" s="67">
        <v>36801</v>
      </c>
      <c r="F1647" s="26">
        <v>36769</v>
      </c>
      <c r="G1647" s="10">
        <f>IF(Tabela4[[#This Row],[Tipo]]="Dividendo",Tabela4[[#This Row],[Valor]],IF(Tabela4[[#This Row],[Tipo]]="Jrs. Cap. Próprio",Tabela4[[#This Row],[Valor]]*85%,0))</f>
        <v>7.2250000000000009E-2</v>
      </c>
    </row>
    <row r="1648" spans="1:7" x14ac:dyDescent="0.2">
      <c r="A1648" s="3" t="s">
        <v>304</v>
      </c>
      <c r="B1648" s="3" t="s">
        <v>14</v>
      </c>
      <c r="C1648" s="25">
        <v>36746</v>
      </c>
      <c r="D1648" s="10">
        <v>0.9</v>
      </c>
      <c r="E1648" s="67">
        <v>36770</v>
      </c>
      <c r="F1648" s="26">
        <v>36745</v>
      </c>
      <c r="G1648" s="10">
        <f>IF(Tabela4[[#This Row],[Tipo]]="Dividendo",Tabela4[[#This Row],[Valor]],IF(Tabela4[[#This Row],[Tipo]]="Jrs. Cap. Próprio",Tabela4[[#This Row],[Valor]]*85%,0))</f>
        <v>0.76500000000000001</v>
      </c>
    </row>
    <row r="1649" spans="1:7" x14ac:dyDescent="0.2">
      <c r="A1649" s="3" t="s">
        <v>304</v>
      </c>
      <c r="B1649" s="3" t="s">
        <v>14</v>
      </c>
      <c r="C1649" s="25">
        <v>36738</v>
      </c>
      <c r="D1649" s="10">
        <v>8.5000000000000006E-2</v>
      </c>
      <c r="E1649" s="67">
        <v>36770</v>
      </c>
      <c r="F1649" s="26">
        <v>36738</v>
      </c>
      <c r="G1649" s="10">
        <f>IF(Tabela4[[#This Row],[Tipo]]="Dividendo",Tabela4[[#This Row],[Valor]],IF(Tabela4[[#This Row],[Tipo]]="Jrs. Cap. Próprio",Tabela4[[#This Row],[Valor]]*85%,0))</f>
        <v>7.2250000000000009E-2</v>
      </c>
    </row>
    <row r="1650" spans="1:7" x14ac:dyDescent="0.2">
      <c r="A1650" s="3" t="s">
        <v>304</v>
      </c>
      <c r="B1650" s="3" t="s">
        <v>14</v>
      </c>
      <c r="C1650" s="25">
        <v>36707</v>
      </c>
      <c r="D1650" s="10">
        <v>8.5000000000000006E-2</v>
      </c>
      <c r="E1650" s="67">
        <v>36739</v>
      </c>
      <c r="F1650" s="26">
        <v>36707</v>
      </c>
      <c r="G1650" s="10">
        <f>IF(Tabela4[[#This Row],[Tipo]]="Dividendo",Tabela4[[#This Row],[Valor]],IF(Tabela4[[#This Row],[Tipo]]="Jrs. Cap. Próprio",Tabela4[[#This Row],[Valor]]*85%,0))</f>
        <v>7.2250000000000009E-2</v>
      </c>
    </row>
    <row r="1651" spans="1:7" x14ac:dyDescent="0.2">
      <c r="A1651" s="3" t="s">
        <v>304</v>
      </c>
      <c r="B1651" s="3" t="s">
        <v>14</v>
      </c>
      <c r="C1651" s="25">
        <v>36677</v>
      </c>
      <c r="D1651" s="10">
        <v>8.5000000000000006E-2</v>
      </c>
      <c r="E1651" s="67">
        <v>36710</v>
      </c>
      <c r="F1651" s="26">
        <v>36677</v>
      </c>
      <c r="G1651" s="10">
        <f>IF(Tabela4[[#This Row],[Tipo]]="Dividendo",Tabela4[[#This Row],[Valor]],IF(Tabela4[[#This Row],[Tipo]]="Jrs. Cap. Próprio",Tabela4[[#This Row],[Valor]]*85%,0))</f>
        <v>7.2250000000000009E-2</v>
      </c>
    </row>
    <row r="1652" spans="1:7" x14ac:dyDescent="0.2">
      <c r="A1652" s="3" t="s">
        <v>304</v>
      </c>
      <c r="B1652" s="3" t="s">
        <v>14</v>
      </c>
      <c r="C1652" s="80">
        <v>36644</v>
      </c>
      <c r="D1652" s="10">
        <v>7.4999999999999997E-2</v>
      </c>
      <c r="E1652" s="81">
        <v>36678</v>
      </c>
      <c r="F1652" s="81">
        <v>36644</v>
      </c>
      <c r="G1652" s="10">
        <f>IF(Tabela4[[#This Row],[Tipo]]="Dividendo",Tabela4[[#This Row],[Valor]],IF(Tabela4[[#This Row],[Tipo]]="Jrs. Cap. Próprio",Tabela4[[#This Row],[Valor]]*85%,0))</f>
        <v>6.3750000000000001E-2</v>
      </c>
    </row>
    <row r="1653" spans="1:7" x14ac:dyDescent="0.2">
      <c r="A1653" s="3" t="s">
        <v>304</v>
      </c>
      <c r="B1653" s="3" t="s">
        <v>14</v>
      </c>
      <c r="C1653" s="25">
        <v>36616</v>
      </c>
      <c r="D1653" s="10">
        <v>7.4999999999999997E-2</v>
      </c>
      <c r="E1653" s="67">
        <v>36648</v>
      </c>
      <c r="F1653" s="26">
        <v>36616</v>
      </c>
      <c r="G1653" s="10">
        <f>IF(Tabela4[[#This Row],[Tipo]]="Dividendo",Tabela4[[#This Row],[Valor]],IF(Tabela4[[#This Row],[Tipo]]="Jrs. Cap. Próprio",Tabela4[[#This Row],[Valor]]*85%,0))</f>
        <v>6.3750000000000001E-2</v>
      </c>
    </row>
    <row r="1654" spans="1:7" x14ac:dyDescent="0.2">
      <c r="A1654" s="3" t="s">
        <v>304</v>
      </c>
      <c r="B1654" s="3" t="s">
        <v>14</v>
      </c>
      <c r="C1654" s="25">
        <v>36585</v>
      </c>
      <c r="D1654" s="10">
        <v>7.4999999999999997E-2</v>
      </c>
      <c r="E1654" s="67">
        <v>36619</v>
      </c>
      <c r="F1654" s="26">
        <v>36585</v>
      </c>
      <c r="G1654" s="10">
        <f>IF(Tabela4[[#This Row],[Tipo]]="Dividendo",Tabela4[[#This Row],[Valor]],IF(Tabela4[[#This Row],[Tipo]]="Jrs. Cap. Próprio",Tabela4[[#This Row],[Valor]]*85%,0))</f>
        <v>6.3750000000000001E-2</v>
      </c>
    </row>
    <row r="1655" spans="1:7" x14ac:dyDescent="0.2">
      <c r="A1655" s="3" t="s">
        <v>304</v>
      </c>
      <c r="B1655" s="3" t="s">
        <v>14</v>
      </c>
      <c r="C1655" s="25">
        <v>36556</v>
      </c>
      <c r="D1655" s="10">
        <v>7.4999999999999997E-2</v>
      </c>
      <c r="E1655" s="67">
        <v>36586</v>
      </c>
      <c r="F1655" s="26">
        <v>36556</v>
      </c>
      <c r="G1655" s="10">
        <f>IF(Tabela4[[#This Row],[Tipo]]="Dividendo",Tabela4[[#This Row],[Valor]],IF(Tabela4[[#This Row],[Tipo]]="Jrs. Cap. Próprio",Tabela4[[#This Row],[Valor]]*85%,0))</f>
        <v>6.3750000000000001E-2</v>
      </c>
    </row>
    <row r="1656" spans="1:7" x14ac:dyDescent="0.2">
      <c r="A1656" s="3" t="s">
        <v>304</v>
      </c>
      <c r="B1656" s="3" t="s">
        <v>14</v>
      </c>
      <c r="C1656" s="25">
        <v>36524</v>
      </c>
      <c r="D1656" s="10">
        <v>7.4999999999999997E-2</v>
      </c>
      <c r="E1656" s="67">
        <v>36557</v>
      </c>
      <c r="F1656" s="26">
        <v>36524</v>
      </c>
      <c r="G1656" s="10">
        <f>IF(Tabela4[[#This Row],[Tipo]]="Dividendo",Tabela4[[#This Row],[Valor]],IF(Tabela4[[#This Row],[Tipo]]="Jrs. Cap. Próprio",Tabela4[[#This Row],[Valor]]*85%,0))</f>
        <v>6.3750000000000001E-2</v>
      </c>
    </row>
    <row r="1657" spans="1:7" x14ac:dyDescent="0.2">
      <c r="A1657" s="3" t="s">
        <v>304</v>
      </c>
      <c r="B1657" s="3" t="s">
        <v>14</v>
      </c>
      <c r="C1657" s="25">
        <v>36521</v>
      </c>
      <c r="D1657" s="10">
        <v>3.48</v>
      </c>
      <c r="E1657" s="67">
        <v>36584</v>
      </c>
      <c r="F1657" s="26">
        <v>36518</v>
      </c>
      <c r="G1657" s="10">
        <f>IF(Tabela4[[#This Row],[Tipo]]="Dividendo",Tabela4[[#This Row],[Valor]],IF(Tabela4[[#This Row],[Tipo]]="Jrs. Cap. Próprio",Tabela4[[#This Row],[Valor]]*85%,0))</f>
        <v>2.9579999999999997</v>
      </c>
    </row>
    <row r="1658" spans="1:7" x14ac:dyDescent="0.2">
      <c r="A1658" s="3" t="s">
        <v>304</v>
      </c>
      <c r="B1658" s="3" t="s">
        <v>14</v>
      </c>
      <c r="C1658" s="25">
        <v>36494</v>
      </c>
      <c r="D1658" s="10">
        <v>7.4999999999999997E-2</v>
      </c>
      <c r="E1658" s="67"/>
      <c r="F1658" s="26">
        <v>36494</v>
      </c>
      <c r="G1658" s="10">
        <f>IF(Tabela4[[#This Row],[Tipo]]="Dividendo",Tabela4[[#This Row],[Valor]],IF(Tabela4[[#This Row],[Tipo]]="Jrs. Cap. Próprio",Tabela4[[#This Row],[Valor]]*85%,0))</f>
        <v>6.3750000000000001E-2</v>
      </c>
    </row>
    <row r="1659" spans="1:7" x14ac:dyDescent="0.2">
      <c r="A1659" s="3" t="s">
        <v>304</v>
      </c>
      <c r="B1659" s="3" t="s">
        <v>14</v>
      </c>
      <c r="C1659" s="25">
        <v>36462</v>
      </c>
      <c r="D1659" s="10">
        <v>7.4999999999999997E-2</v>
      </c>
      <c r="E1659" s="67"/>
      <c r="F1659" s="26">
        <v>36462</v>
      </c>
      <c r="G1659" s="10">
        <f>IF(Tabela4[[#This Row],[Tipo]]="Dividendo",Tabela4[[#This Row],[Valor]],IF(Tabela4[[#This Row],[Tipo]]="Jrs. Cap. Próprio",Tabela4[[#This Row],[Valor]]*85%,0))</f>
        <v>6.3750000000000001E-2</v>
      </c>
    </row>
    <row r="1660" spans="1:7" x14ac:dyDescent="0.2">
      <c r="A1660" s="3" t="s">
        <v>304</v>
      </c>
      <c r="B1660" s="3" t="s">
        <v>14</v>
      </c>
      <c r="C1660" s="25">
        <v>36433</v>
      </c>
      <c r="D1660" s="10">
        <v>7.4999999999999997E-2</v>
      </c>
      <c r="E1660" s="67"/>
      <c r="F1660" s="26">
        <v>36433</v>
      </c>
      <c r="G1660" s="10">
        <f>IF(Tabela4[[#This Row],[Tipo]]="Dividendo",Tabela4[[#This Row],[Valor]],IF(Tabela4[[#This Row],[Tipo]]="Jrs. Cap. Próprio",Tabela4[[#This Row],[Valor]]*85%,0))</f>
        <v>6.3750000000000001E-2</v>
      </c>
    </row>
    <row r="1661" spans="1:7" x14ac:dyDescent="0.2">
      <c r="A1661" s="3" t="s">
        <v>304</v>
      </c>
      <c r="B1661" s="3" t="s">
        <v>14</v>
      </c>
      <c r="C1661" s="25">
        <v>36403</v>
      </c>
      <c r="D1661" s="10">
        <v>0.75</v>
      </c>
      <c r="E1661" s="67"/>
      <c r="F1661" s="26"/>
      <c r="G1661" s="10">
        <f>IF(Tabela4[[#This Row],[Tipo]]="Dividendo",Tabela4[[#This Row],[Valor]],IF(Tabela4[[#This Row],[Tipo]]="Jrs. Cap. Próprio",Tabela4[[#This Row],[Valor]]*85%,0))</f>
        <v>0.63749999999999996</v>
      </c>
    </row>
    <row r="1662" spans="1:7" x14ac:dyDescent="0.2">
      <c r="A1662" s="3" t="s">
        <v>304</v>
      </c>
      <c r="B1662" s="3" t="s">
        <v>14</v>
      </c>
      <c r="C1662" s="25">
        <v>36375</v>
      </c>
      <c r="D1662" s="10">
        <v>7.7</v>
      </c>
      <c r="E1662" s="67">
        <v>36404</v>
      </c>
      <c r="F1662" s="26">
        <v>36374</v>
      </c>
      <c r="G1662" s="10">
        <f>IF(Tabela4[[#This Row],[Tipo]]="Dividendo",Tabela4[[#This Row],[Valor]],IF(Tabela4[[#This Row],[Tipo]]="Jrs. Cap. Próprio",Tabela4[[#This Row],[Valor]]*85%,0))</f>
        <v>6.5449999999999999</v>
      </c>
    </row>
    <row r="1663" spans="1:7" x14ac:dyDescent="0.2">
      <c r="A1663" s="3" t="s">
        <v>304</v>
      </c>
      <c r="B1663" s="3" t="s">
        <v>14</v>
      </c>
      <c r="C1663" s="25">
        <v>36371</v>
      </c>
      <c r="D1663" s="10">
        <v>0.75</v>
      </c>
      <c r="E1663" s="67"/>
      <c r="F1663" s="26"/>
      <c r="G1663" s="10">
        <f>IF(Tabela4[[#This Row],[Tipo]]="Dividendo",Tabela4[[#This Row],[Valor]],IF(Tabela4[[#This Row],[Tipo]]="Jrs. Cap. Próprio",Tabela4[[#This Row],[Valor]]*85%,0))</f>
        <v>0.63749999999999996</v>
      </c>
    </row>
    <row r="1664" spans="1:7" x14ac:dyDescent="0.2">
      <c r="A1664" s="3" t="s">
        <v>304</v>
      </c>
      <c r="B1664" s="3" t="s">
        <v>14</v>
      </c>
      <c r="C1664" s="25">
        <v>36341</v>
      </c>
      <c r="D1664" s="10">
        <v>0.75</v>
      </c>
      <c r="E1664" s="67"/>
      <c r="F1664" s="26"/>
      <c r="G1664" s="10">
        <f>IF(Tabela4[[#This Row],[Tipo]]="Dividendo",Tabela4[[#This Row],[Valor]],IF(Tabela4[[#This Row],[Tipo]]="Jrs. Cap. Próprio",Tabela4[[#This Row],[Valor]]*85%,0))</f>
        <v>0.63749999999999996</v>
      </c>
    </row>
    <row r="1665" spans="1:7" x14ac:dyDescent="0.2">
      <c r="A1665" s="3" t="s">
        <v>304</v>
      </c>
      <c r="B1665" s="3" t="s">
        <v>14</v>
      </c>
      <c r="C1665" s="25">
        <v>36311</v>
      </c>
      <c r="D1665" s="10">
        <v>0.75</v>
      </c>
      <c r="E1665" s="67"/>
      <c r="F1665" s="26"/>
      <c r="G1665" s="10">
        <f>IF(Tabela4[[#This Row],[Tipo]]="Dividendo",Tabela4[[#This Row],[Valor]],IF(Tabela4[[#This Row],[Tipo]]="Jrs. Cap. Próprio",Tabela4[[#This Row],[Valor]]*85%,0))</f>
        <v>0.63749999999999996</v>
      </c>
    </row>
    <row r="1666" spans="1:7" x14ac:dyDescent="0.2">
      <c r="A1666" s="3" t="s">
        <v>304</v>
      </c>
      <c r="B1666" s="3" t="s">
        <v>14</v>
      </c>
      <c r="C1666" s="25">
        <v>36280</v>
      </c>
      <c r="D1666" s="10">
        <v>0.75</v>
      </c>
      <c r="E1666" s="67"/>
      <c r="F1666" s="26"/>
      <c r="G1666" s="10">
        <f>IF(Tabela4[[#This Row],[Tipo]]="Dividendo",Tabela4[[#This Row],[Valor]],IF(Tabela4[[#This Row],[Tipo]]="Jrs. Cap. Próprio",Tabela4[[#This Row],[Valor]]*85%,0))</f>
        <v>0.63749999999999996</v>
      </c>
    </row>
    <row r="1667" spans="1:7" x14ac:dyDescent="0.2">
      <c r="A1667" s="3" t="s">
        <v>304</v>
      </c>
      <c r="B1667" s="3" t="s">
        <v>14</v>
      </c>
      <c r="C1667" s="25">
        <v>36250</v>
      </c>
      <c r="D1667" s="10">
        <v>0.65</v>
      </c>
      <c r="E1667" s="67"/>
      <c r="F1667" s="26"/>
      <c r="G1667" s="10">
        <f>IF(Tabela4[[#This Row],[Tipo]]="Dividendo",Tabela4[[#This Row],[Valor]],IF(Tabela4[[#This Row],[Tipo]]="Jrs. Cap. Próprio",Tabela4[[#This Row],[Valor]]*85%,0))</f>
        <v>0.55249999999999999</v>
      </c>
    </row>
    <row r="1668" spans="1:7" x14ac:dyDescent="0.2">
      <c r="A1668" s="3" t="s">
        <v>304</v>
      </c>
      <c r="B1668" s="3" t="s">
        <v>14</v>
      </c>
      <c r="C1668" s="25">
        <v>36217</v>
      </c>
      <c r="D1668" s="10">
        <v>0.65</v>
      </c>
      <c r="E1668" s="67"/>
      <c r="F1668" s="26"/>
      <c r="G1668" s="10">
        <f>IF(Tabela4[[#This Row],[Tipo]]="Dividendo",Tabela4[[#This Row],[Valor]],IF(Tabela4[[#This Row],[Tipo]]="Jrs. Cap. Próprio",Tabela4[[#This Row],[Valor]]*85%,0))</f>
        <v>0.55249999999999999</v>
      </c>
    </row>
    <row r="1669" spans="1:7" x14ac:dyDescent="0.2">
      <c r="A1669" s="3" t="s">
        <v>304</v>
      </c>
      <c r="B1669" s="3" t="s">
        <v>14</v>
      </c>
      <c r="C1669" s="25">
        <v>36189</v>
      </c>
      <c r="D1669" s="10">
        <v>0.65</v>
      </c>
      <c r="E1669" s="67"/>
      <c r="F1669" s="26"/>
      <c r="G1669" s="10">
        <f>IF(Tabela4[[#This Row],[Tipo]]="Dividendo",Tabela4[[#This Row],[Valor]],IF(Tabela4[[#This Row],[Tipo]]="Jrs. Cap. Próprio",Tabela4[[#This Row],[Valor]]*85%,0))</f>
        <v>0.55249999999999999</v>
      </c>
    </row>
    <row r="1670" spans="1:7" x14ac:dyDescent="0.2">
      <c r="A1670" s="3" t="s">
        <v>304</v>
      </c>
      <c r="B1670" s="3" t="s">
        <v>14</v>
      </c>
      <c r="C1670" s="25">
        <v>36159</v>
      </c>
      <c r="D1670" s="10">
        <v>0.65</v>
      </c>
      <c r="E1670" s="67"/>
      <c r="F1670" s="26"/>
      <c r="G1670" s="10">
        <f>IF(Tabela4[[#This Row],[Tipo]]="Dividendo",Tabela4[[#This Row],[Valor]],IF(Tabela4[[#This Row],[Tipo]]="Jrs. Cap. Próprio",Tabela4[[#This Row],[Valor]]*85%,0))</f>
        <v>0.55249999999999999</v>
      </c>
    </row>
    <row r="1671" spans="1:7" x14ac:dyDescent="0.2">
      <c r="A1671" s="3" t="s">
        <v>304</v>
      </c>
      <c r="B1671" s="3" t="s">
        <v>14</v>
      </c>
      <c r="C1671" s="25">
        <v>36129</v>
      </c>
      <c r="D1671" s="10">
        <v>0.65</v>
      </c>
      <c r="E1671" s="67"/>
      <c r="F1671" s="26"/>
      <c r="G1671" s="10">
        <f>IF(Tabela4[[#This Row],[Tipo]]="Dividendo",Tabela4[[#This Row],[Valor]],IF(Tabela4[[#This Row],[Tipo]]="Jrs. Cap. Próprio",Tabela4[[#This Row],[Valor]]*85%,0))</f>
        <v>0.55249999999999999</v>
      </c>
    </row>
    <row r="1672" spans="1:7" x14ac:dyDescent="0.2">
      <c r="A1672" s="3" t="s">
        <v>304</v>
      </c>
      <c r="B1672" s="3" t="s">
        <v>14</v>
      </c>
      <c r="C1672" s="25">
        <v>36098</v>
      </c>
      <c r="D1672" s="10">
        <v>0.65</v>
      </c>
      <c r="E1672" s="67"/>
      <c r="F1672" s="26"/>
      <c r="G1672" s="10">
        <f>IF(Tabela4[[#This Row],[Tipo]]="Dividendo",Tabela4[[#This Row],[Valor]],IF(Tabela4[[#This Row],[Tipo]]="Jrs. Cap. Próprio",Tabela4[[#This Row],[Valor]]*85%,0))</f>
        <v>0.55249999999999999</v>
      </c>
    </row>
    <row r="1673" spans="1:7" x14ac:dyDescent="0.2">
      <c r="A1673" s="3" t="s">
        <v>304</v>
      </c>
      <c r="B1673" s="3" t="s">
        <v>14</v>
      </c>
      <c r="C1673" s="25">
        <v>36070</v>
      </c>
      <c r="D1673" s="10">
        <v>15.34</v>
      </c>
      <c r="E1673" s="67"/>
      <c r="F1673" s="26">
        <v>36070</v>
      </c>
      <c r="G1673" s="10">
        <f>IF(Tabela4[[#This Row],[Tipo]]="Dividendo",Tabela4[[#This Row],[Valor]],IF(Tabela4[[#This Row],[Tipo]]="Jrs. Cap. Próprio",Tabela4[[#This Row],[Valor]]*85%,0))</f>
        <v>13.039</v>
      </c>
    </row>
    <row r="1674" spans="1:7" x14ac:dyDescent="0.2">
      <c r="A1674" s="3" t="s">
        <v>304</v>
      </c>
      <c r="B1674" s="3" t="s">
        <v>14</v>
      </c>
      <c r="C1674" s="25">
        <v>36068</v>
      </c>
      <c r="D1674" s="10">
        <v>0.65</v>
      </c>
      <c r="E1674" s="67"/>
      <c r="F1674" s="26"/>
      <c r="G1674" s="10">
        <f>IF(Tabela4[[#This Row],[Tipo]]="Dividendo",Tabela4[[#This Row],[Valor]],IF(Tabela4[[#This Row],[Tipo]]="Jrs. Cap. Próprio",Tabela4[[#This Row],[Valor]]*85%,0))</f>
        <v>0.55249999999999999</v>
      </c>
    </row>
    <row r="1675" spans="1:7" x14ac:dyDescent="0.2">
      <c r="A1675" s="3" t="s">
        <v>304</v>
      </c>
      <c r="B1675" s="3" t="s">
        <v>14</v>
      </c>
      <c r="C1675" s="25">
        <v>36038</v>
      </c>
      <c r="D1675" s="10">
        <v>0.65</v>
      </c>
      <c r="E1675" s="67"/>
      <c r="F1675" s="26"/>
      <c r="G1675" s="10">
        <f>IF(Tabela4[[#This Row],[Tipo]]="Dividendo",Tabela4[[#This Row],[Valor]],IF(Tabela4[[#This Row],[Tipo]]="Jrs. Cap. Próprio",Tabela4[[#This Row],[Valor]]*85%,0))</f>
        <v>0.55249999999999999</v>
      </c>
    </row>
    <row r="1676" spans="1:7" x14ac:dyDescent="0.2">
      <c r="A1676" s="3" t="s">
        <v>304</v>
      </c>
      <c r="B1676" s="3" t="s">
        <v>14</v>
      </c>
      <c r="C1676" s="25">
        <v>36010</v>
      </c>
      <c r="D1676" s="10">
        <v>5.82</v>
      </c>
      <c r="E1676" s="67"/>
      <c r="F1676" s="26">
        <v>36010</v>
      </c>
      <c r="G1676" s="10">
        <f>IF(Tabela4[[#This Row],[Tipo]]="Dividendo",Tabela4[[#This Row],[Valor]],IF(Tabela4[[#This Row],[Tipo]]="Jrs. Cap. Próprio",Tabela4[[#This Row],[Valor]]*85%,0))</f>
        <v>4.9470000000000001</v>
      </c>
    </row>
    <row r="1677" spans="1:7" x14ac:dyDescent="0.2">
      <c r="A1677" s="3" t="s">
        <v>304</v>
      </c>
      <c r="B1677" s="3" t="s">
        <v>14</v>
      </c>
      <c r="C1677" s="25">
        <v>36007</v>
      </c>
      <c r="D1677" s="10">
        <v>0.65</v>
      </c>
      <c r="E1677" s="67"/>
      <c r="F1677" s="26"/>
      <c r="G1677" s="10">
        <f>IF(Tabela4[[#This Row],[Tipo]]="Dividendo",Tabela4[[#This Row],[Valor]],IF(Tabela4[[#This Row],[Tipo]]="Jrs. Cap. Próprio",Tabela4[[#This Row],[Valor]]*85%,0))</f>
        <v>0.55249999999999999</v>
      </c>
    </row>
    <row r="1678" spans="1:7" x14ac:dyDescent="0.2">
      <c r="A1678" s="3" t="s">
        <v>304</v>
      </c>
      <c r="B1678" s="3" t="s">
        <v>14</v>
      </c>
      <c r="C1678" s="25">
        <v>35976</v>
      </c>
      <c r="D1678" s="10">
        <v>0.65</v>
      </c>
      <c r="E1678" s="67"/>
      <c r="F1678" s="26"/>
      <c r="G1678" s="10">
        <f>IF(Tabela4[[#This Row],[Tipo]]="Dividendo",Tabela4[[#This Row],[Valor]],IF(Tabela4[[#This Row],[Tipo]]="Jrs. Cap. Próprio",Tabela4[[#This Row],[Valor]]*85%,0))</f>
        <v>0.55249999999999999</v>
      </c>
    </row>
    <row r="1679" spans="1:7" x14ac:dyDescent="0.2">
      <c r="A1679" s="3" t="s">
        <v>304</v>
      </c>
      <c r="B1679" s="3" t="s">
        <v>14</v>
      </c>
      <c r="C1679" s="25">
        <v>35944</v>
      </c>
      <c r="D1679" s="10">
        <v>0.65</v>
      </c>
      <c r="E1679" s="67"/>
      <c r="F1679" s="26"/>
      <c r="G1679" s="10">
        <f>IF(Tabela4[[#This Row],[Tipo]]="Dividendo",Tabela4[[#This Row],[Valor]],IF(Tabela4[[#This Row],[Tipo]]="Jrs. Cap. Próprio",Tabela4[[#This Row],[Valor]]*85%,0))</f>
        <v>0.55249999999999999</v>
      </c>
    </row>
    <row r="1680" spans="1:7" x14ac:dyDescent="0.2">
      <c r="A1680" s="3" t="s">
        <v>304</v>
      </c>
      <c r="B1680" s="3" t="s">
        <v>14</v>
      </c>
      <c r="C1680" s="25">
        <v>35915</v>
      </c>
      <c r="D1680" s="10">
        <v>0.65</v>
      </c>
      <c r="E1680" s="67"/>
      <c r="F1680" s="26"/>
      <c r="G1680" s="10">
        <f>IF(Tabela4[[#This Row],[Tipo]]="Dividendo",Tabela4[[#This Row],[Valor]],IF(Tabela4[[#This Row],[Tipo]]="Jrs. Cap. Próprio",Tabela4[[#This Row],[Valor]]*85%,0))</f>
        <v>0.55249999999999999</v>
      </c>
    </row>
    <row r="1681" spans="1:7" x14ac:dyDescent="0.2">
      <c r="A1681" s="3" t="s">
        <v>304</v>
      </c>
      <c r="B1681" s="3" t="s">
        <v>14</v>
      </c>
      <c r="C1681" s="25">
        <v>35885</v>
      </c>
      <c r="D1681" s="10">
        <v>0.65</v>
      </c>
      <c r="E1681" s="67"/>
      <c r="F1681" s="26"/>
      <c r="G1681" s="10">
        <f>IF(Tabela4[[#This Row],[Tipo]]="Dividendo",Tabela4[[#This Row],[Valor]],IF(Tabela4[[#This Row],[Tipo]]="Jrs. Cap. Próprio",Tabela4[[#This Row],[Valor]]*85%,0))</f>
        <v>0.55249999999999999</v>
      </c>
    </row>
    <row r="1682" spans="1:7" x14ac:dyDescent="0.2">
      <c r="A1682" s="3" t="s">
        <v>304</v>
      </c>
      <c r="B1682" s="3" t="s">
        <v>14</v>
      </c>
      <c r="C1682" s="25">
        <v>35853</v>
      </c>
      <c r="D1682" s="10">
        <v>0.65</v>
      </c>
      <c r="E1682" s="67"/>
      <c r="F1682" s="26"/>
      <c r="G1682" s="10">
        <f>IF(Tabela4[[#This Row],[Tipo]]="Dividendo",Tabela4[[#This Row],[Valor]],IF(Tabela4[[#This Row],[Tipo]]="Jrs. Cap. Próprio",Tabela4[[#This Row],[Valor]]*85%,0))</f>
        <v>0.55249999999999999</v>
      </c>
    </row>
    <row r="1683" spans="1:7" x14ac:dyDescent="0.2">
      <c r="A1683" s="3" t="s">
        <v>304</v>
      </c>
      <c r="B1683" s="3" t="s">
        <v>14</v>
      </c>
      <c r="C1683" s="25">
        <v>35825</v>
      </c>
      <c r="D1683" s="10">
        <v>0.65</v>
      </c>
      <c r="E1683" s="67"/>
      <c r="F1683" s="26"/>
      <c r="G1683" s="10">
        <f>IF(Tabela4[[#This Row],[Tipo]]="Dividendo",Tabela4[[#This Row],[Valor]],IF(Tabela4[[#This Row],[Tipo]]="Jrs. Cap. Próprio",Tabela4[[#This Row],[Valor]]*85%,0))</f>
        <v>0.55249999999999999</v>
      </c>
    </row>
    <row r="1684" spans="1:7" x14ac:dyDescent="0.2">
      <c r="A1684" s="3" t="s">
        <v>304</v>
      </c>
      <c r="B1684" s="3" t="s">
        <v>14</v>
      </c>
      <c r="C1684" s="25">
        <v>35794</v>
      </c>
      <c r="D1684" s="10">
        <v>0.65</v>
      </c>
      <c r="E1684" s="67"/>
      <c r="F1684" s="26"/>
      <c r="G1684" s="10">
        <f>IF(Tabela4[[#This Row],[Tipo]]="Dividendo",Tabela4[[#This Row],[Valor]],IF(Tabela4[[#This Row],[Tipo]]="Jrs. Cap. Próprio",Tabela4[[#This Row],[Valor]]*85%,0))</f>
        <v>0.55249999999999999</v>
      </c>
    </row>
    <row r="1685" spans="1:7" x14ac:dyDescent="0.2">
      <c r="A1685" s="3" t="s">
        <v>304</v>
      </c>
      <c r="B1685" s="3" t="s">
        <v>14</v>
      </c>
      <c r="C1685" s="25">
        <v>35786</v>
      </c>
      <c r="D1685" s="10">
        <v>17.940000000000001</v>
      </c>
      <c r="E1685" s="67"/>
      <c r="F1685" s="26">
        <v>35786</v>
      </c>
      <c r="G1685" s="10">
        <f>IF(Tabela4[[#This Row],[Tipo]]="Dividendo",Tabela4[[#This Row],[Valor]],IF(Tabela4[[#This Row],[Tipo]]="Jrs. Cap. Próprio",Tabela4[[#This Row],[Valor]]*85%,0))</f>
        <v>15.249000000000001</v>
      </c>
    </row>
    <row r="1686" spans="1:7" x14ac:dyDescent="0.2">
      <c r="A1686" s="3" t="s">
        <v>304</v>
      </c>
      <c r="B1686" s="3" t="s">
        <v>14</v>
      </c>
      <c r="C1686" s="25">
        <v>35762</v>
      </c>
      <c r="D1686" s="10">
        <v>0.65</v>
      </c>
      <c r="E1686" s="67"/>
      <c r="F1686" s="26"/>
      <c r="G1686" s="10">
        <f>IF(Tabela4[[#This Row],[Tipo]]="Dividendo",Tabela4[[#This Row],[Valor]],IF(Tabela4[[#This Row],[Tipo]]="Jrs. Cap. Próprio",Tabela4[[#This Row],[Valor]]*85%,0))</f>
        <v>0.55249999999999999</v>
      </c>
    </row>
    <row r="1687" spans="1:7" x14ac:dyDescent="0.2">
      <c r="A1687" s="3" t="s">
        <v>304</v>
      </c>
      <c r="B1687" s="3" t="s">
        <v>14</v>
      </c>
      <c r="C1687" s="25">
        <v>35734</v>
      </c>
      <c r="D1687" s="10">
        <v>0.65</v>
      </c>
      <c r="E1687" s="67"/>
      <c r="F1687" s="26"/>
      <c r="G1687" s="10">
        <f>IF(Tabela4[[#This Row],[Tipo]]="Dividendo",Tabela4[[#This Row],[Valor]],IF(Tabela4[[#This Row],[Tipo]]="Jrs. Cap. Próprio",Tabela4[[#This Row],[Valor]]*85%,0))</f>
        <v>0.55249999999999999</v>
      </c>
    </row>
    <row r="1688" spans="1:7" x14ac:dyDescent="0.2">
      <c r="A1688" s="3" t="s">
        <v>304</v>
      </c>
      <c r="B1688" s="3" t="s">
        <v>14</v>
      </c>
      <c r="C1688" s="25">
        <v>35703</v>
      </c>
      <c r="D1688" s="10">
        <v>0.65</v>
      </c>
      <c r="E1688" s="67"/>
      <c r="F1688" s="26"/>
      <c r="G1688" s="10">
        <f>IF(Tabela4[[#This Row],[Tipo]]="Dividendo",Tabela4[[#This Row],[Valor]],IF(Tabela4[[#This Row],[Tipo]]="Jrs. Cap. Próprio",Tabela4[[#This Row],[Valor]]*85%,0))</f>
        <v>0.55249999999999999</v>
      </c>
    </row>
    <row r="1689" spans="1:7" x14ac:dyDescent="0.2">
      <c r="A1689" s="3" t="s">
        <v>304</v>
      </c>
      <c r="B1689" s="3" t="s">
        <v>14</v>
      </c>
      <c r="C1689" s="25">
        <v>35671</v>
      </c>
      <c r="D1689" s="10">
        <v>0.65</v>
      </c>
      <c r="E1689" s="67"/>
      <c r="F1689" s="26"/>
      <c r="G1689" s="10">
        <f>IF(Tabela4[[#This Row],[Tipo]]="Dividendo",Tabela4[[#This Row],[Valor]],IF(Tabela4[[#This Row],[Tipo]]="Jrs. Cap. Próprio",Tabela4[[#This Row],[Valor]]*85%,0))</f>
        <v>0.55249999999999999</v>
      </c>
    </row>
    <row r="1690" spans="1:7" x14ac:dyDescent="0.2">
      <c r="A1690" s="3" t="s">
        <v>304</v>
      </c>
      <c r="B1690" s="3" t="s">
        <v>14</v>
      </c>
      <c r="C1690" s="25">
        <v>35647</v>
      </c>
      <c r="D1690" s="10">
        <v>4.8099999999999996</v>
      </c>
      <c r="E1690" s="67"/>
      <c r="F1690" s="26">
        <v>35647</v>
      </c>
      <c r="G1690" s="10">
        <f>IF(Tabela4[[#This Row],[Tipo]]="Dividendo",Tabela4[[#This Row],[Valor]],IF(Tabela4[[#This Row],[Tipo]]="Jrs. Cap. Próprio",Tabela4[[#This Row],[Valor]]*85%,0))</f>
        <v>4.0884999999999998</v>
      </c>
    </row>
    <row r="1691" spans="1:7" x14ac:dyDescent="0.2">
      <c r="A1691" s="3" t="s">
        <v>304</v>
      </c>
      <c r="B1691" s="3" t="s">
        <v>14</v>
      </c>
      <c r="C1691" s="25">
        <v>35642</v>
      </c>
      <c r="D1691" s="10">
        <v>0.65</v>
      </c>
      <c r="E1691" s="67"/>
      <c r="F1691" s="26"/>
      <c r="G1691" s="10">
        <f>IF(Tabela4[[#This Row],[Tipo]]="Dividendo",Tabela4[[#This Row],[Valor]],IF(Tabela4[[#This Row],[Tipo]]="Jrs. Cap. Próprio",Tabela4[[#This Row],[Valor]]*85%,0))</f>
        <v>0.55249999999999999</v>
      </c>
    </row>
    <row r="1692" spans="1:7" x14ac:dyDescent="0.2">
      <c r="A1692" s="3" t="s">
        <v>304</v>
      </c>
      <c r="B1692" s="3" t="s">
        <v>14</v>
      </c>
      <c r="C1692" s="25">
        <v>35611</v>
      </c>
      <c r="D1692" s="10">
        <v>0.65</v>
      </c>
      <c r="E1692" s="67"/>
      <c r="F1692" s="26"/>
      <c r="G1692" s="10">
        <f>IF(Tabela4[[#This Row],[Tipo]]="Dividendo",Tabela4[[#This Row],[Valor]],IF(Tabela4[[#This Row],[Tipo]]="Jrs. Cap. Próprio",Tabela4[[#This Row],[Valor]]*85%,0))</f>
        <v>0.55249999999999999</v>
      </c>
    </row>
    <row r="1693" spans="1:7" x14ac:dyDescent="0.2">
      <c r="A1693" s="3" t="s">
        <v>304</v>
      </c>
      <c r="B1693" s="3" t="s">
        <v>14</v>
      </c>
      <c r="C1693" s="25">
        <v>35580</v>
      </c>
      <c r="D1693" s="10">
        <v>0.65</v>
      </c>
      <c r="E1693" s="67"/>
      <c r="F1693" s="26"/>
      <c r="G1693" s="10">
        <f>IF(Tabela4[[#This Row],[Tipo]]="Dividendo",Tabela4[[#This Row],[Valor]],IF(Tabela4[[#This Row],[Tipo]]="Jrs. Cap. Próprio",Tabela4[[#This Row],[Valor]]*85%,0))</f>
        <v>0.55249999999999999</v>
      </c>
    </row>
    <row r="1694" spans="1:7" x14ac:dyDescent="0.2">
      <c r="A1694" s="3" t="s">
        <v>304</v>
      </c>
      <c r="B1694" s="3" t="s">
        <v>14</v>
      </c>
      <c r="C1694" s="25">
        <v>35550</v>
      </c>
      <c r="D1694" s="10">
        <v>0.65</v>
      </c>
      <c r="E1694" s="67"/>
      <c r="F1694" s="26"/>
      <c r="G1694" s="10">
        <f>IF(Tabela4[[#This Row],[Tipo]]="Dividendo",Tabela4[[#This Row],[Valor]],IF(Tabela4[[#This Row],[Tipo]]="Jrs. Cap. Próprio",Tabela4[[#This Row],[Valor]]*85%,0))</f>
        <v>0.55249999999999999</v>
      </c>
    </row>
    <row r="1695" spans="1:7" x14ac:dyDescent="0.2">
      <c r="A1695" s="3" t="s">
        <v>304</v>
      </c>
      <c r="B1695" s="3" t="s">
        <v>14</v>
      </c>
      <c r="C1695" s="25">
        <v>35520</v>
      </c>
      <c r="D1695" s="10">
        <v>0.65</v>
      </c>
      <c r="E1695" s="67"/>
      <c r="F1695" s="26"/>
      <c r="G1695" s="10">
        <f>IF(Tabela4[[#This Row],[Tipo]]="Dividendo",Tabela4[[#This Row],[Valor]],IF(Tabela4[[#This Row],[Tipo]]="Jrs. Cap. Próprio",Tabela4[[#This Row],[Valor]]*85%,0))</f>
        <v>0.55249999999999999</v>
      </c>
    </row>
    <row r="1696" spans="1:7" x14ac:dyDescent="0.2">
      <c r="A1696" s="3" t="s">
        <v>304</v>
      </c>
      <c r="B1696" s="3" t="s">
        <v>14</v>
      </c>
      <c r="C1696" s="25">
        <v>35489</v>
      </c>
      <c r="D1696" s="10">
        <v>0.65</v>
      </c>
      <c r="E1696" s="67"/>
      <c r="F1696" s="26"/>
      <c r="G1696" s="10">
        <f>IF(Tabela4[[#This Row],[Tipo]]="Dividendo",Tabela4[[#This Row],[Valor]],IF(Tabela4[[#This Row],[Tipo]]="Jrs. Cap. Próprio",Tabela4[[#This Row],[Valor]]*85%,0))</f>
        <v>0.55249999999999999</v>
      </c>
    </row>
    <row r="1697" spans="1:7" x14ac:dyDescent="0.2">
      <c r="A1697" s="3" t="s">
        <v>304</v>
      </c>
      <c r="B1697" s="3" t="s">
        <v>15</v>
      </c>
      <c r="C1697" s="25">
        <v>35478</v>
      </c>
      <c r="D1697" s="10">
        <v>3.85</v>
      </c>
      <c r="E1697" s="67"/>
      <c r="F1697" s="26">
        <v>35478</v>
      </c>
      <c r="G1697" s="10">
        <f>IF(Tabela4[[#This Row],[Tipo]]="Dividendo",Tabela4[[#This Row],[Valor]],IF(Tabela4[[#This Row],[Tipo]]="Jrs. Cap. Próprio",Tabela4[[#This Row],[Valor]]*85%,0))</f>
        <v>3.85</v>
      </c>
    </row>
    <row r="1698" spans="1:7" x14ac:dyDescent="0.2">
      <c r="A1698" s="3" t="s">
        <v>304</v>
      </c>
      <c r="B1698" s="3" t="s">
        <v>14</v>
      </c>
      <c r="C1698" s="25">
        <v>35461</v>
      </c>
      <c r="D1698" s="10">
        <v>0.53</v>
      </c>
      <c r="E1698" s="67"/>
      <c r="F1698" s="26"/>
      <c r="G1698" s="10">
        <f>IF(Tabela4[[#This Row],[Tipo]]="Dividendo",Tabela4[[#This Row],[Valor]],IF(Tabela4[[#This Row],[Tipo]]="Jrs. Cap. Próprio",Tabela4[[#This Row],[Valor]]*85%,0))</f>
        <v>0.45050000000000001</v>
      </c>
    </row>
    <row r="1699" spans="1:7" x14ac:dyDescent="0.2">
      <c r="A1699" s="3" t="s">
        <v>304</v>
      </c>
      <c r="B1699" s="3" t="s">
        <v>14</v>
      </c>
      <c r="C1699" s="25">
        <v>35429</v>
      </c>
      <c r="D1699" s="10">
        <v>0.53</v>
      </c>
      <c r="E1699" s="67"/>
      <c r="F1699" s="26"/>
      <c r="G1699" s="10">
        <f>IF(Tabela4[[#This Row],[Tipo]]="Dividendo",Tabela4[[#This Row],[Valor]],IF(Tabela4[[#This Row],[Tipo]]="Jrs. Cap. Próprio",Tabela4[[#This Row],[Valor]]*85%,0))</f>
        <v>0.45050000000000001</v>
      </c>
    </row>
    <row r="1700" spans="1:7" x14ac:dyDescent="0.2">
      <c r="A1700" s="3" t="s">
        <v>304</v>
      </c>
      <c r="B1700" s="3" t="s">
        <v>15</v>
      </c>
      <c r="C1700" s="25">
        <v>35398</v>
      </c>
      <c r="D1700" s="10">
        <v>0.45</v>
      </c>
      <c r="E1700" s="67"/>
      <c r="F1700" s="26"/>
      <c r="G1700" s="10">
        <f>IF(Tabela4[[#This Row],[Tipo]]="Dividendo",Tabela4[[#This Row],[Valor]],IF(Tabela4[[#This Row],[Tipo]]="Jrs. Cap. Próprio",Tabela4[[#This Row],[Valor]]*85%,0))</f>
        <v>0.45</v>
      </c>
    </row>
    <row r="1701" spans="1:7" x14ac:dyDescent="0.2">
      <c r="A1701" s="3" t="s">
        <v>304</v>
      </c>
      <c r="B1701" s="3" t="s">
        <v>15</v>
      </c>
      <c r="C1701" s="25">
        <v>35369</v>
      </c>
      <c r="D1701" s="10">
        <v>0.45</v>
      </c>
      <c r="E1701" s="67"/>
      <c r="F1701" s="26"/>
      <c r="G1701" s="10">
        <f>IF(Tabela4[[#This Row],[Tipo]]="Dividendo",Tabela4[[#This Row],[Valor]],IF(Tabela4[[#This Row],[Tipo]]="Jrs. Cap. Próprio",Tabela4[[#This Row],[Valor]]*85%,0))</f>
        <v>0.45</v>
      </c>
    </row>
    <row r="1702" spans="1:7" x14ac:dyDescent="0.2">
      <c r="A1702" s="3" t="s">
        <v>304</v>
      </c>
      <c r="B1702" s="3" t="s">
        <v>15</v>
      </c>
      <c r="C1702" s="25">
        <v>35338</v>
      </c>
      <c r="D1702" s="10">
        <v>0.45</v>
      </c>
      <c r="E1702" s="67"/>
      <c r="F1702" s="26"/>
      <c r="G1702" s="10">
        <f>IF(Tabela4[[#This Row],[Tipo]]="Dividendo",Tabela4[[#This Row],[Valor]],IF(Tabela4[[#This Row],[Tipo]]="Jrs. Cap. Próprio",Tabela4[[#This Row],[Valor]]*85%,0))</f>
        <v>0.45</v>
      </c>
    </row>
    <row r="1703" spans="1:7" x14ac:dyDescent="0.2">
      <c r="A1703" s="3" t="s">
        <v>304</v>
      </c>
      <c r="B1703" s="3" t="s">
        <v>15</v>
      </c>
      <c r="C1703" s="25">
        <v>35307</v>
      </c>
      <c r="D1703" s="10">
        <v>0.45</v>
      </c>
      <c r="E1703" s="67"/>
      <c r="F1703" s="26"/>
      <c r="G1703" s="10">
        <f>IF(Tabela4[[#This Row],[Tipo]]="Dividendo",Tabela4[[#This Row],[Valor]],IF(Tabela4[[#This Row],[Tipo]]="Jrs. Cap. Próprio",Tabela4[[#This Row],[Valor]]*85%,0))</f>
        <v>0.45</v>
      </c>
    </row>
    <row r="1704" spans="1:7" x14ac:dyDescent="0.2">
      <c r="A1704" s="3" t="s">
        <v>304</v>
      </c>
      <c r="B1704" s="3" t="s">
        <v>15</v>
      </c>
      <c r="C1704" s="80">
        <v>35283</v>
      </c>
      <c r="D1704" s="10">
        <v>3.28</v>
      </c>
      <c r="E1704" s="81"/>
      <c r="F1704" s="81">
        <v>35282</v>
      </c>
      <c r="G1704" s="10">
        <f>IF(Tabela4[[#This Row],[Tipo]]="Dividendo",Tabela4[[#This Row],[Valor]],IF(Tabela4[[#This Row],[Tipo]]="Jrs. Cap. Próprio",Tabela4[[#This Row],[Valor]]*85%,0))</f>
        <v>3.28</v>
      </c>
    </row>
    <row r="1705" spans="1:7" x14ac:dyDescent="0.2">
      <c r="A1705" s="3" t="s">
        <v>304</v>
      </c>
      <c r="B1705" s="3" t="s">
        <v>15</v>
      </c>
      <c r="C1705" s="25">
        <v>35277</v>
      </c>
      <c r="D1705" s="10">
        <v>0.45</v>
      </c>
      <c r="E1705" s="67"/>
      <c r="F1705" s="26"/>
      <c r="G1705" s="10">
        <f>IF(Tabela4[[#This Row],[Tipo]]="Dividendo",Tabela4[[#This Row],[Valor]],IF(Tabela4[[#This Row],[Tipo]]="Jrs. Cap. Próprio",Tabela4[[#This Row],[Valor]]*85%,0))</f>
        <v>0.45</v>
      </c>
    </row>
    <row r="1706" spans="1:7" x14ac:dyDescent="0.2">
      <c r="A1706" s="3" t="s">
        <v>304</v>
      </c>
      <c r="B1706" s="3" t="s">
        <v>15</v>
      </c>
      <c r="C1706" s="25">
        <v>35244</v>
      </c>
      <c r="D1706" s="10">
        <v>0.45</v>
      </c>
      <c r="E1706" s="67"/>
      <c r="F1706" s="26"/>
      <c r="G1706" s="10">
        <f>IF(Tabela4[[#This Row],[Tipo]]="Dividendo",Tabela4[[#This Row],[Valor]],IF(Tabela4[[#This Row],[Tipo]]="Jrs. Cap. Próprio",Tabela4[[#This Row],[Valor]]*85%,0))</f>
        <v>0.45</v>
      </c>
    </row>
    <row r="1707" spans="1:7" x14ac:dyDescent="0.2">
      <c r="A1707" s="3" t="s">
        <v>304</v>
      </c>
      <c r="B1707" s="3" t="s">
        <v>15</v>
      </c>
      <c r="C1707" s="25">
        <v>35216</v>
      </c>
      <c r="D1707" s="10">
        <v>0.45</v>
      </c>
      <c r="E1707" s="67"/>
      <c r="F1707" s="26"/>
      <c r="G1707" s="10">
        <f>IF(Tabela4[[#This Row],[Tipo]]="Dividendo",Tabela4[[#This Row],[Valor]],IF(Tabela4[[#This Row],[Tipo]]="Jrs. Cap. Próprio",Tabela4[[#This Row],[Valor]]*85%,0))</f>
        <v>0.45</v>
      </c>
    </row>
    <row r="1708" spans="1:7" x14ac:dyDescent="0.2">
      <c r="A1708" s="3" t="s">
        <v>304</v>
      </c>
      <c r="B1708" s="3" t="s">
        <v>15</v>
      </c>
      <c r="C1708" s="25">
        <v>35185</v>
      </c>
      <c r="D1708" s="10">
        <v>0.45</v>
      </c>
      <c r="E1708" s="67"/>
      <c r="F1708" s="26"/>
      <c r="G1708" s="10">
        <f>IF(Tabela4[[#This Row],[Tipo]]="Dividendo",Tabela4[[#This Row],[Valor]],IF(Tabela4[[#This Row],[Tipo]]="Jrs. Cap. Próprio",Tabela4[[#This Row],[Valor]]*85%,0))</f>
        <v>0.45</v>
      </c>
    </row>
    <row r="1709" spans="1:7" x14ac:dyDescent="0.2">
      <c r="A1709" s="3" t="s">
        <v>304</v>
      </c>
      <c r="B1709" s="3" t="s">
        <v>15</v>
      </c>
      <c r="C1709" s="25">
        <v>35153</v>
      </c>
      <c r="D1709" s="10">
        <v>0.45</v>
      </c>
      <c r="E1709" s="67"/>
      <c r="F1709" s="26"/>
      <c r="G1709" s="10">
        <f>IF(Tabela4[[#This Row],[Tipo]]="Dividendo",Tabela4[[#This Row],[Valor]],IF(Tabela4[[#This Row],[Tipo]]="Jrs. Cap. Próprio",Tabela4[[#This Row],[Valor]]*85%,0))</f>
        <v>0.45</v>
      </c>
    </row>
    <row r="1710" spans="1:7" x14ac:dyDescent="0.2">
      <c r="A1710" s="3" t="s">
        <v>304</v>
      </c>
      <c r="B1710" s="3" t="s">
        <v>15</v>
      </c>
      <c r="C1710" s="25">
        <v>35124</v>
      </c>
      <c r="D1710" s="10">
        <v>0.45</v>
      </c>
      <c r="E1710" s="67"/>
      <c r="F1710" s="26"/>
      <c r="G1710" s="10">
        <f>IF(Tabela4[[#This Row],[Tipo]]="Dividendo",Tabela4[[#This Row],[Valor]],IF(Tabela4[[#This Row],[Tipo]]="Jrs. Cap. Próprio",Tabela4[[#This Row],[Valor]]*85%,0))</f>
        <v>0.45</v>
      </c>
    </row>
    <row r="1711" spans="1:7" x14ac:dyDescent="0.2">
      <c r="A1711" s="3" t="s">
        <v>304</v>
      </c>
      <c r="B1711" s="3" t="s">
        <v>15</v>
      </c>
      <c r="C1711" s="25">
        <v>35108</v>
      </c>
      <c r="D1711" s="10">
        <v>3.36</v>
      </c>
      <c r="E1711" s="67"/>
      <c r="F1711" s="26">
        <v>35107</v>
      </c>
      <c r="G1711" s="10">
        <f>IF(Tabela4[[#This Row],[Tipo]]="Dividendo",Tabela4[[#This Row],[Valor]],IF(Tabela4[[#This Row],[Tipo]]="Jrs. Cap. Próprio",Tabela4[[#This Row],[Valor]]*85%,0))</f>
        <v>3.36</v>
      </c>
    </row>
    <row r="1712" spans="1:7" x14ac:dyDescent="0.2">
      <c r="A1712" s="3" t="s">
        <v>304</v>
      </c>
      <c r="B1712" s="3" t="s">
        <v>15</v>
      </c>
      <c r="C1712" s="25">
        <v>35095</v>
      </c>
      <c r="D1712" s="10">
        <v>0.36</v>
      </c>
      <c r="E1712" s="67"/>
      <c r="F1712" s="26"/>
      <c r="G1712" s="10">
        <f>IF(Tabela4[[#This Row],[Tipo]]="Dividendo",Tabela4[[#This Row],[Valor]],IF(Tabela4[[#This Row],[Tipo]]="Jrs. Cap. Próprio",Tabela4[[#This Row],[Valor]]*85%,0))</f>
        <v>0.36</v>
      </c>
    </row>
    <row r="1713" spans="1:7" x14ac:dyDescent="0.2">
      <c r="A1713" s="3" t="s">
        <v>304</v>
      </c>
      <c r="B1713" s="3" t="s">
        <v>15</v>
      </c>
      <c r="C1713" s="25">
        <v>35061</v>
      </c>
      <c r="D1713" s="10">
        <v>0.36</v>
      </c>
      <c r="E1713" s="67"/>
      <c r="F1713" s="26"/>
      <c r="G1713" s="10">
        <f>IF(Tabela4[[#This Row],[Tipo]]="Dividendo",Tabela4[[#This Row],[Valor]],IF(Tabela4[[#This Row],[Tipo]]="Jrs. Cap. Próprio",Tabela4[[#This Row],[Valor]]*85%,0))</f>
        <v>0.36</v>
      </c>
    </row>
    <row r="1714" spans="1:7" x14ac:dyDescent="0.2">
      <c r="A1714" s="4" t="s">
        <v>40</v>
      </c>
      <c r="B1714" s="4" t="s">
        <v>15</v>
      </c>
      <c r="C1714" s="19">
        <v>41394</v>
      </c>
      <c r="D1714" s="55">
        <v>0.11600000000000001</v>
      </c>
      <c r="E1714" s="68">
        <v>41409</v>
      </c>
      <c r="F1714" s="68">
        <v>41394</v>
      </c>
      <c r="G1714" s="14">
        <f>IF(Tabela4[[#This Row],[Tipo]]="Dividendo",Tabela4[[#This Row],[Valor]],IF(Tabela4[[#This Row],[Tipo]]="Jrs. Cap. Próprio",Tabela4[[#This Row],[Valor]]*85%,0))</f>
        <v>0.11600000000000001</v>
      </c>
    </row>
    <row r="1715" spans="1:7" x14ac:dyDescent="0.2">
      <c r="A1715" s="4" t="s">
        <v>40</v>
      </c>
      <c r="B1715" s="3" t="s">
        <v>15</v>
      </c>
      <c r="C1715" s="25">
        <v>41376</v>
      </c>
      <c r="D1715" s="63">
        <v>6.9599999999999995E-2</v>
      </c>
      <c r="E1715" s="67">
        <v>41388</v>
      </c>
      <c r="F1715" s="26">
        <v>41376</v>
      </c>
      <c r="G1715" s="10">
        <f>IF(Tabela4[[#This Row],[Tipo]]="Dividendo",Tabela4[[#This Row],[Valor]],IF(Tabela4[[#This Row],[Tipo]]="Jrs. Cap. Próprio",Tabela4[[#This Row],[Valor]]*85%,0))</f>
        <v>6.9599999999999995E-2</v>
      </c>
    </row>
    <row r="1716" spans="1:7" x14ac:dyDescent="0.2">
      <c r="A1716" s="4" t="s">
        <v>40</v>
      </c>
      <c r="B1716" s="3" t="s">
        <v>15</v>
      </c>
      <c r="C1716" s="25">
        <v>40994</v>
      </c>
      <c r="D1716" s="63">
        <v>4.6699999999999998E-2</v>
      </c>
      <c r="E1716" s="67">
        <v>41009</v>
      </c>
      <c r="F1716" s="26">
        <v>40994</v>
      </c>
      <c r="G1716" s="10">
        <f>IF(Tabela4[[#This Row],[Tipo]]="Dividendo",Tabela4[[#This Row],[Valor]],IF(Tabela4[[#This Row],[Tipo]]="Jrs. Cap. Próprio",Tabela4[[#This Row],[Valor]]*85%,0))</f>
        <v>4.6699999999999998E-2</v>
      </c>
    </row>
    <row r="1717" spans="1:7" x14ac:dyDescent="0.2">
      <c r="A1717" s="4" t="s">
        <v>40</v>
      </c>
      <c r="B1717" s="3" t="s">
        <v>15</v>
      </c>
      <c r="C1717" s="25">
        <v>40932</v>
      </c>
      <c r="D1717" s="63">
        <v>0.14000000000000001</v>
      </c>
      <c r="E1717" s="67">
        <v>40949</v>
      </c>
      <c r="F1717" s="26">
        <v>40932</v>
      </c>
      <c r="G1717" s="10">
        <f>IF(Tabela4[[#This Row],[Tipo]]="Dividendo",Tabela4[[#This Row],[Valor]],IF(Tabela4[[#This Row],[Tipo]]="Jrs. Cap. Próprio",Tabela4[[#This Row],[Valor]]*85%,0))</f>
        <v>0.14000000000000001</v>
      </c>
    </row>
    <row r="1718" spans="1:7" x14ac:dyDescent="0.2">
      <c r="A1718" s="4" t="s">
        <v>40</v>
      </c>
      <c r="B1718" s="3" t="s">
        <v>15</v>
      </c>
      <c r="C1718" s="25">
        <v>40662</v>
      </c>
      <c r="D1718" s="63">
        <v>0.2346</v>
      </c>
      <c r="E1718" s="67">
        <v>40707</v>
      </c>
      <c r="F1718" s="26">
        <v>40662</v>
      </c>
      <c r="G1718" s="10">
        <f>IF(Tabela4[[#This Row],[Tipo]]="Dividendo",Tabela4[[#This Row],[Valor]],IF(Tabela4[[#This Row],[Tipo]]="Jrs. Cap. Próprio",Tabela4[[#This Row],[Valor]]*85%,0))</f>
        <v>0.2346</v>
      </c>
    </row>
    <row r="1719" spans="1:7" x14ac:dyDescent="0.2">
      <c r="A1719" s="4" t="s">
        <v>40</v>
      </c>
      <c r="B1719" s="3" t="s">
        <v>14</v>
      </c>
      <c r="C1719" s="25">
        <v>40478</v>
      </c>
      <c r="D1719" s="63">
        <v>0.11260000000000001</v>
      </c>
      <c r="E1719" s="67">
        <v>40491</v>
      </c>
      <c r="F1719" s="26">
        <v>40478</v>
      </c>
      <c r="G1719" s="10">
        <f>IF(Tabela4[[#This Row],[Tipo]]="Dividendo",Tabela4[[#This Row],[Valor]],IF(Tabela4[[#This Row],[Tipo]]="Jrs. Cap. Próprio",Tabela4[[#This Row],[Valor]]*85%,0))</f>
        <v>9.5710000000000003E-2</v>
      </c>
    </row>
    <row r="1720" spans="1:7" x14ac:dyDescent="0.2">
      <c r="A1720" s="4" t="s">
        <v>40</v>
      </c>
      <c r="B1720" s="3" t="s">
        <v>15</v>
      </c>
      <c r="C1720" s="25">
        <v>40298</v>
      </c>
      <c r="D1720" s="63">
        <v>7.0400000000000004E-2</v>
      </c>
      <c r="E1720" s="67">
        <v>40309</v>
      </c>
      <c r="F1720" s="26">
        <v>40298</v>
      </c>
      <c r="G1720" s="10">
        <f>IF(Tabela4[[#This Row],[Tipo]]="Dividendo",Tabela4[[#This Row],[Valor]],IF(Tabela4[[#This Row],[Tipo]]="Jrs. Cap. Próprio",Tabela4[[#This Row],[Valor]]*85%,0))</f>
        <v>7.0400000000000004E-2</v>
      </c>
    </row>
    <row r="1721" spans="1:7" x14ac:dyDescent="0.2">
      <c r="A1721" s="4" t="s">
        <v>40</v>
      </c>
      <c r="B1721" s="3" t="s">
        <v>14</v>
      </c>
      <c r="C1721" s="25">
        <v>40170</v>
      </c>
      <c r="D1721" s="63">
        <v>0.1229</v>
      </c>
      <c r="E1721" s="67">
        <v>40190</v>
      </c>
      <c r="F1721" s="26">
        <v>40170</v>
      </c>
      <c r="G1721" s="10">
        <f>IF(Tabela4[[#This Row],[Tipo]]="Dividendo",Tabela4[[#This Row],[Valor]],IF(Tabela4[[#This Row],[Tipo]]="Jrs. Cap. Próprio",Tabela4[[#This Row],[Valor]]*85%,0))</f>
        <v>0.10446499999999999</v>
      </c>
    </row>
    <row r="1722" spans="1:7" x14ac:dyDescent="0.2">
      <c r="A1722" s="4" t="s">
        <v>40</v>
      </c>
      <c r="B1722" s="3" t="s">
        <v>15</v>
      </c>
      <c r="C1722" s="25">
        <v>39931</v>
      </c>
      <c r="D1722" s="63">
        <v>0.1056</v>
      </c>
      <c r="E1722" s="67">
        <v>40162</v>
      </c>
      <c r="F1722" s="26">
        <v>39931</v>
      </c>
      <c r="G1722" s="10">
        <f>IF(Tabela4[[#This Row],[Tipo]]="Dividendo",Tabela4[[#This Row],[Valor]],IF(Tabela4[[#This Row],[Tipo]]="Jrs. Cap. Próprio",Tabela4[[#This Row],[Valor]]*85%,0))</f>
        <v>0.1056</v>
      </c>
    </row>
    <row r="1723" spans="1:7" x14ac:dyDescent="0.2">
      <c r="A1723" s="4" t="s">
        <v>40</v>
      </c>
      <c r="B1723" s="3" t="s">
        <v>15</v>
      </c>
      <c r="C1723" s="25">
        <v>39520</v>
      </c>
      <c r="D1723" s="63">
        <v>3.5200000000000002E-2</v>
      </c>
      <c r="E1723" s="67">
        <v>39534</v>
      </c>
      <c r="F1723" s="26">
        <v>39520</v>
      </c>
      <c r="G1723" s="10">
        <f>IF(Tabela4[[#This Row],[Tipo]]="Dividendo",Tabela4[[#This Row],[Valor]],IF(Tabela4[[#This Row],[Tipo]]="Jrs. Cap. Próprio",Tabela4[[#This Row],[Valor]]*85%,0))</f>
        <v>3.5200000000000002E-2</v>
      </c>
    </row>
    <row r="1724" spans="1:7" x14ac:dyDescent="0.2">
      <c r="A1724" s="3" t="s">
        <v>173</v>
      </c>
      <c r="B1724" s="54" t="s">
        <v>15</v>
      </c>
      <c r="C1724" s="25">
        <v>41589</v>
      </c>
      <c r="D1724" s="10">
        <v>9.8979999999999999E-2</v>
      </c>
      <c r="E1724" s="67">
        <v>41600</v>
      </c>
      <c r="F1724" s="26">
        <v>41577</v>
      </c>
      <c r="G1724" s="10">
        <f>IF(Tabela4[[#This Row],[Tipo]]="Dividendo",Tabela4[[#This Row],[Valor]],IF(Tabela4[[#This Row],[Tipo]]="Jrs. Cap. Próprio",Tabela4[[#This Row],[Valor]]*85%,0))</f>
        <v>9.8979999999999999E-2</v>
      </c>
    </row>
    <row r="1725" spans="1:7" x14ac:dyDescent="0.2">
      <c r="A1725" s="3" t="s">
        <v>173</v>
      </c>
      <c r="B1725" s="54" t="s">
        <v>15</v>
      </c>
      <c r="C1725" s="25">
        <v>41491</v>
      </c>
      <c r="D1725" s="10">
        <v>0.16303000000000001</v>
      </c>
      <c r="E1725" s="67">
        <v>41501</v>
      </c>
      <c r="F1725" s="26">
        <v>41480</v>
      </c>
      <c r="G1725" s="10">
        <f>IF(Tabela4[[#This Row],[Tipo]]="Dividendo",Tabela4[[#This Row],[Valor]],IF(Tabela4[[#This Row],[Tipo]]="Jrs. Cap. Próprio",Tabela4[[#This Row],[Valor]]*85%,0))</f>
        <v>0.16303000000000001</v>
      </c>
    </row>
    <row r="1726" spans="1:7" x14ac:dyDescent="0.2">
      <c r="A1726" s="3" t="s">
        <v>173</v>
      </c>
      <c r="B1726" s="54" t="s">
        <v>15</v>
      </c>
      <c r="C1726" s="25">
        <v>41376</v>
      </c>
      <c r="D1726" s="10">
        <v>8.8569999999999996E-2</v>
      </c>
      <c r="E1726" s="67"/>
      <c r="F1726" s="26">
        <v>41366</v>
      </c>
      <c r="G1726" s="10">
        <f>IF(Tabela4[[#This Row],[Tipo]]="Dividendo",Tabela4[[#This Row],[Valor]],IF(Tabela4[[#This Row],[Tipo]]="Jrs. Cap. Próprio",Tabela4[[#This Row],[Valor]]*85%,0))</f>
        <v>8.8569999999999996E-2</v>
      </c>
    </row>
    <row r="1727" spans="1:7" x14ac:dyDescent="0.2">
      <c r="A1727" s="3" t="s">
        <v>173</v>
      </c>
      <c r="B1727" s="54" t="s">
        <v>15</v>
      </c>
      <c r="C1727" s="25">
        <v>41225</v>
      </c>
      <c r="D1727" s="10">
        <v>8.7330000000000005E-2</v>
      </c>
      <c r="E1727" s="67">
        <v>41234</v>
      </c>
      <c r="F1727" s="26">
        <v>41208</v>
      </c>
      <c r="G1727" s="10">
        <f>IF(Tabela4[[#This Row],[Tipo]]="Dividendo",Tabela4[[#This Row],[Valor]],IF(Tabela4[[#This Row],[Tipo]]="Jrs. Cap. Próprio",Tabela4[[#This Row],[Valor]]*85%,0))</f>
        <v>8.7330000000000005E-2</v>
      </c>
    </row>
    <row r="1728" spans="1:7" x14ac:dyDescent="0.2">
      <c r="A1728" s="3" t="s">
        <v>173</v>
      </c>
      <c r="B1728" s="54" t="s">
        <v>15</v>
      </c>
      <c r="C1728" s="25">
        <v>41100</v>
      </c>
      <c r="D1728" s="10">
        <v>0.13972000000000001</v>
      </c>
      <c r="E1728" s="67">
        <v>41109</v>
      </c>
      <c r="F1728" s="26">
        <v>41087</v>
      </c>
      <c r="G1728" s="10">
        <f>IF(Tabela4[[#This Row],[Tipo]]="Dividendo",Tabela4[[#This Row],[Valor]],IF(Tabela4[[#This Row],[Tipo]]="Jrs. Cap. Próprio",Tabela4[[#This Row],[Valor]]*85%,0))</f>
        <v>0.13972000000000001</v>
      </c>
    </row>
    <row r="1729" spans="1:7" x14ac:dyDescent="0.2">
      <c r="A1729" s="3" t="s">
        <v>173</v>
      </c>
      <c r="B1729" s="54" t="s">
        <v>15</v>
      </c>
      <c r="C1729" s="25">
        <v>41010</v>
      </c>
      <c r="D1729" s="10">
        <v>9.3259999999999996E-2</v>
      </c>
      <c r="E1729" s="67">
        <v>41022</v>
      </c>
      <c r="F1729" s="26">
        <v>41002</v>
      </c>
      <c r="G1729" s="10">
        <f>IF(Tabela4[[#This Row],[Tipo]]="Dividendo",Tabela4[[#This Row],[Valor]],IF(Tabela4[[#This Row],[Tipo]]="Jrs. Cap. Próprio",Tabela4[[#This Row],[Valor]]*85%,0))</f>
        <v>9.3259999999999996E-2</v>
      </c>
    </row>
    <row r="1730" spans="1:7" x14ac:dyDescent="0.2">
      <c r="A1730" s="3" t="s">
        <v>173</v>
      </c>
      <c r="B1730" s="54" t="s">
        <v>15</v>
      </c>
      <c r="C1730" s="80">
        <v>40816</v>
      </c>
      <c r="D1730" s="10">
        <v>6.404E-2</v>
      </c>
      <c r="E1730" s="81">
        <v>40827</v>
      </c>
      <c r="F1730" s="81">
        <v>40808</v>
      </c>
      <c r="G1730" s="10">
        <f>IF(Tabela4[[#This Row],[Tipo]]="Dividendo",Tabela4[[#This Row],[Valor]],IF(Tabela4[[#This Row],[Tipo]]="Jrs. Cap. Próprio",Tabela4[[#This Row],[Valor]]*85%,0))</f>
        <v>6.404E-2</v>
      </c>
    </row>
    <row r="1731" spans="1:7" x14ac:dyDescent="0.2">
      <c r="A1731" s="3" t="s">
        <v>173</v>
      </c>
      <c r="B1731" s="54" t="s">
        <v>15</v>
      </c>
      <c r="C1731" s="25">
        <v>40728</v>
      </c>
      <c r="D1731" s="10">
        <v>9.5159999999999995E-2</v>
      </c>
      <c r="E1731" s="67">
        <v>40739</v>
      </c>
      <c r="F1731" s="26">
        <v>40715</v>
      </c>
      <c r="G1731" s="10">
        <f>IF(Tabela4[[#This Row],[Tipo]]="Dividendo",Tabela4[[#This Row],[Valor]],IF(Tabela4[[#This Row],[Tipo]]="Jrs. Cap. Próprio",Tabela4[[#This Row],[Valor]]*85%,0))</f>
        <v>9.5159999999999995E-2</v>
      </c>
    </row>
    <row r="1732" spans="1:7" x14ac:dyDescent="0.2">
      <c r="A1732" s="3" t="s">
        <v>173</v>
      </c>
      <c r="B1732" s="54" t="s">
        <v>15</v>
      </c>
      <c r="C1732" s="25">
        <v>40644</v>
      </c>
      <c r="D1732" s="10">
        <v>8.1240000000000007E-2</v>
      </c>
      <c r="E1732" s="67">
        <v>40653</v>
      </c>
      <c r="F1732" s="26">
        <v>40637</v>
      </c>
      <c r="G1732" s="10">
        <f>IF(Tabela4[[#This Row],[Tipo]]="Dividendo",Tabela4[[#This Row],[Valor]],IF(Tabela4[[#This Row],[Tipo]]="Jrs. Cap. Próprio",Tabela4[[#This Row],[Valor]]*85%,0))</f>
        <v>8.1240000000000007E-2</v>
      </c>
    </row>
    <row r="1733" spans="1:7" x14ac:dyDescent="0.2">
      <c r="A1733" s="3" t="s">
        <v>173</v>
      </c>
      <c r="B1733" s="54" t="s">
        <v>15</v>
      </c>
      <c r="C1733" s="25">
        <v>40450</v>
      </c>
      <c r="D1733" s="10">
        <v>8.0280000000000004E-2</v>
      </c>
      <c r="E1733" s="67">
        <v>40459</v>
      </c>
      <c r="F1733" s="26">
        <v>40442</v>
      </c>
      <c r="G1733" s="10">
        <f>IF(Tabela4[[#This Row],[Tipo]]="Dividendo",Tabela4[[#This Row],[Valor]],IF(Tabela4[[#This Row],[Tipo]]="Jrs. Cap. Próprio",Tabela4[[#This Row],[Valor]]*85%,0))</f>
        <v>8.0280000000000004E-2</v>
      </c>
    </row>
    <row r="1734" spans="1:7" x14ac:dyDescent="0.2">
      <c r="A1734" s="3" t="s">
        <v>173</v>
      </c>
      <c r="B1734" s="54" t="s">
        <v>15</v>
      </c>
      <c r="C1734" s="25">
        <v>40367</v>
      </c>
      <c r="D1734" s="10">
        <v>5.7340000000000002E-2</v>
      </c>
      <c r="E1734" s="67">
        <v>40379</v>
      </c>
      <c r="F1734" s="26">
        <v>40364</v>
      </c>
      <c r="G1734" s="10">
        <f>IF(Tabela4[[#This Row],[Tipo]]="Dividendo",Tabela4[[#This Row],[Valor]],IF(Tabela4[[#This Row],[Tipo]]="Jrs. Cap. Próprio",Tabela4[[#This Row],[Valor]]*85%,0))</f>
        <v>5.7340000000000002E-2</v>
      </c>
    </row>
    <row r="1735" spans="1:7" x14ac:dyDescent="0.2">
      <c r="A1735" s="3" t="s">
        <v>173</v>
      </c>
      <c r="B1735" s="54" t="s">
        <v>15</v>
      </c>
      <c r="C1735" s="25">
        <v>40290</v>
      </c>
      <c r="D1735" s="10">
        <v>6.5369999999999998E-2</v>
      </c>
      <c r="E1735" s="67">
        <v>40298</v>
      </c>
      <c r="F1735" s="26">
        <v>40284</v>
      </c>
      <c r="G1735" s="10">
        <f>IF(Tabela4[[#This Row],[Tipo]]="Dividendo",Tabela4[[#This Row],[Valor]],IF(Tabela4[[#This Row],[Tipo]]="Jrs. Cap. Próprio",Tabela4[[#This Row],[Valor]]*85%,0))</f>
        <v>6.5369999999999998E-2</v>
      </c>
    </row>
    <row r="1736" spans="1:7" x14ac:dyDescent="0.2">
      <c r="A1736" s="3" t="s">
        <v>173</v>
      </c>
      <c r="B1736" s="54" t="s">
        <v>15</v>
      </c>
      <c r="C1736" s="80">
        <v>40046</v>
      </c>
      <c r="D1736" s="10">
        <v>5.3679999999999999E-2</v>
      </c>
      <c r="E1736" s="81">
        <v>40056</v>
      </c>
      <c r="F1736" s="81">
        <v>40036</v>
      </c>
      <c r="G1736" s="10">
        <f>IF(Tabela4[[#This Row],[Tipo]]="Dividendo",Tabela4[[#This Row],[Valor]],IF(Tabela4[[#This Row],[Tipo]]="Jrs. Cap. Próprio",Tabela4[[#This Row],[Valor]]*85%,0))</f>
        <v>5.3679999999999999E-2</v>
      </c>
    </row>
    <row r="1737" spans="1:7" x14ac:dyDescent="0.2">
      <c r="A1737" s="3" t="s">
        <v>173</v>
      </c>
      <c r="B1737" s="54" t="s">
        <v>15</v>
      </c>
      <c r="C1737" s="25">
        <v>39948</v>
      </c>
      <c r="D1737" s="10">
        <v>3.7620000000000001E-2</v>
      </c>
      <c r="E1737" s="67">
        <v>39959</v>
      </c>
      <c r="F1737" s="26">
        <v>39940</v>
      </c>
      <c r="G1737" s="10">
        <f>IF(Tabela4[[#This Row],[Tipo]]="Dividendo",Tabela4[[#This Row],[Valor]],IF(Tabela4[[#This Row],[Tipo]]="Jrs. Cap. Próprio",Tabela4[[#This Row],[Valor]]*85%,0))</f>
        <v>3.7620000000000001E-2</v>
      </c>
    </row>
    <row r="1738" spans="1:7" x14ac:dyDescent="0.2">
      <c r="A1738" s="3" t="s">
        <v>173</v>
      </c>
      <c r="B1738" s="54" t="s">
        <v>15</v>
      </c>
      <c r="C1738" s="25">
        <v>39694</v>
      </c>
      <c r="D1738" s="10">
        <v>0.13388</v>
      </c>
      <c r="E1738" s="67">
        <v>39722</v>
      </c>
      <c r="F1738" s="26">
        <v>39687</v>
      </c>
      <c r="G1738" s="10">
        <f>IF(Tabela4[[#This Row],[Tipo]]="Dividendo",Tabela4[[#This Row],[Valor]],IF(Tabela4[[#This Row],[Tipo]]="Jrs. Cap. Próprio",Tabela4[[#This Row],[Valor]]*85%,0))</f>
        <v>0.13388</v>
      </c>
    </row>
    <row r="1739" spans="1:7" x14ac:dyDescent="0.2">
      <c r="A1739" s="3" t="s">
        <v>173</v>
      </c>
      <c r="B1739" s="54" t="s">
        <v>15</v>
      </c>
      <c r="C1739" s="25">
        <v>39531</v>
      </c>
      <c r="D1739" s="10">
        <v>0.13732</v>
      </c>
      <c r="E1739" s="67">
        <v>39540</v>
      </c>
      <c r="F1739" s="26">
        <v>39526</v>
      </c>
      <c r="G1739" s="10">
        <f>IF(Tabela4[[#This Row],[Tipo]]="Dividendo",Tabela4[[#This Row],[Valor]],IF(Tabela4[[#This Row],[Tipo]]="Jrs. Cap. Próprio",Tabela4[[#This Row],[Valor]]*85%,0))</f>
        <v>0.13732</v>
      </c>
    </row>
    <row r="1740" spans="1:7" x14ac:dyDescent="0.2">
      <c r="A1740" s="3" t="s">
        <v>173</v>
      </c>
      <c r="B1740" s="54" t="s">
        <v>15</v>
      </c>
      <c r="C1740" s="25">
        <v>39317</v>
      </c>
      <c r="D1740" s="10">
        <v>0.19797000000000001</v>
      </c>
      <c r="E1740" s="67">
        <v>39330</v>
      </c>
      <c r="F1740" s="26">
        <v>39293</v>
      </c>
      <c r="G1740" s="10">
        <f>IF(Tabela4[[#This Row],[Tipo]]="Dividendo",Tabela4[[#This Row],[Valor]],IF(Tabela4[[#This Row],[Tipo]]="Jrs. Cap. Próprio",Tabela4[[#This Row],[Valor]]*85%,0))</f>
        <v>0.19797000000000001</v>
      </c>
    </row>
    <row r="1741" spans="1:7" x14ac:dyDescent="0.2">
      <c r="A1741" s="3" t="s">
        <v>173</v>
      </c>
      <c r="B1741" s="54" t="s">
        <v>15</v>
      </c>
      <c r="C1741" s="25">
        <v>39163</v>
      </c>
      <c r="D1741" s="10">
        <v>0.12559999999999999</v>
      </c>
      <c r="E1741" s="67">
        <v>39171</v>
      </c>
      <c r="F1741" s="26">
        <v>39155</v>
      </c>
      <c r="G1741" s="10">
        <f>IF(Tabela4[[#This Row],[Tipo]]="Dividendo",Tabela4[[#This Row],[Valor]],IF(Tabela4[[#This Row],[Tipo]]="Jrs. Cap. Próprio",Tabela4[[#This Row],[Valor]]*85%,0))</f>
        <v>0.12559999999999999</v>
      </c>
    </row>
    <row r="1742" spans="1:7" x14ac:dyDescent="0.2">
      <c r="A1742" s="3" t="s">
        <v>173</v>
      </c>
      <c r="B1742" s="54" t="s">
        <v>15</v>
      </c>
      <c r="C1742" s="25">
        <v>38973</v>
      </c>
      <c r="D1742" s="10">
        <v>0.1363</v>
      </c>
      <c r="E1742" s="67">
        <v>38985</v>
      </c>
      <c r="F1742" s="26">
        <v>38961</v>
      </c>
      <c r="G1742" s="10">
        <f>IF(Tabela4[[#This Row],[Tipo]]="Dividendo",Tabela4[[#This Row],[Valor]],IF(Tabela4[[#This Row],[Tipo]]="Jrs. Cap. Próprio",Tabela4[[#This Row],[Valor]]*85%,0))</f>
        <v>0.1363</v>
      </c>
    </row>
    <row r="1743" spans="1:7" x14ac:dyDescent="0.2">
      <c r="A1743" s="3" t="s">
        <v>173</v>
      </c>
      <c r="B1743" s="54" t="s">
        <v>15</v>
      </c>
      <c r="C1743" s="25">
        <v>38803</v>
      </c>
      <c r="D1743" s="10">
        <v>8.0180000000000001E-2</v>
      </c>
      <c r="E1743" s="67">
        <v>38813</v>
      </c>
      <c r="F1743" s="26">
        <v>38796</v>
      </c>
      <c r="G1743" s="10">
        <f>IF(Tabela4[[#This Row],[Tipo]]="Dividendo",Tabela4[[#This Row],[Valor]],IF(Tabela4[[#This Row],[Tipo]]="Jrs. Cap. Próprio",Tabela4[[#This Row],[Valor]]*85%,0))</f>
        <v>8.0180000000000001E-2</v>
      </c>
    </row>
    <row r="1744" spans="1:7" x14ac:dyDescent="0.2">
      <c r="A1744" s="3" t="s">
        <v>173</v>
      </c>
      <c r="B1744" s="54" t="s">
        <v>15</v>
      </c>
      <c r="C1744" s="25">
        <v>38615</v>
      </c>
      <c r="D1744" s="10">
        <v>0.11307</v>
      </c>
      <c r="E1744" s="67">
        <v>38628</v>
      </c>
      <c r="F1744" s="26">
        <v>38595</v>
      </c>
      <c r="G1744" s="10">
        <f>IF(Tabela4[[#This Row],[Tipo]]="Dividendo",Tabela4[[#This Row],[Valor]],IF(Tabela4[[#This Row],[Tipo]]="Jrs. Cap. Próprio",Tabela4[[#This Row],[Valor]]*85%,0))</f>
        <v>0.11307</v>
      </c>
    </row>
    <row r="1745" spans="1:7" x14ac:dyDescent="0.2">
      <c r="A1745" s="3" t="s">
        <v>173</v>
      </c>
      <c r="B1745" s="54" t="s">
        <v>15</v>
      </c>
      <c r="C1745" s="25">
        <v>38441</v>
      </c>
      <c r="D1745" s="10">
        <v>0.10126</v>
      </c>
      <c r="E1745" s="67">
        <v>38450</v>
      </c>
      <c r="F1745" s="26">
        <v>38432</v>
      </c>
      <c r="G1745" s="10">
        <f>IF(Tabela4[[#This Row],[Tipo]]="Dividendo",Tabela4[[#This Row],[Valor]],IF(Tabela4[[#This Row],[Tipo]]="Jrs. Cap. Próprio",Tabela4[[#This Row],[Valor]]*85%,0))</f>
        <v>0.10126</v>
      </c>
    </row>
    <row r="1746" spans="1:7" x14ac:dyDescent="0.2">
      <c r="A1746" s="3" t="s">
        <v>173</v>
      </c>
      <c r="B1746" s="54" t="s">
        <v>15</v>
      </c>
      <c r="C1746" s="25">
        <v>38250</v>
      </c>
      <c r="D1746" s="10">
        <v>8.4379999999999997E-2</v>
      </c>
      <c r="E1746" s="67">
        <v>38266</v>
      </c>
      <c r="F1746" s="26">
        <v>38240</v>
      </c>
      <c r="G1746" s="10">
        <f>IF(Tabela4[[#This Row],[Tipo]]="Dividendo",Tabela4[[#This Row],[Valor]],IF(Tabela4[[#This Row],[Tipo]]="Jrs. Cap. Próprio",Tabela4[[#This Row],[Valor]]*85%,0))</f>
        <v>8.4379999999999997E-2</v>
      </c>
    </row>
    <row r="1747" spans="1:7" x14ac:dyDescent="0.2">
      <c r="A1747" s="3" t="s">
        <v>173</v>
      </c>
      <c r="B1747" s="54" t="s">
        <v>15</v>
      </c>
      <c r="C1747" s="25">
        <v>38077</v>
      </c>
      <c r="D1747" s="10">
        <v>0.22527</v>
      </c>
      <c r="E1747" s="67">
        <v>38089</v>
      </c>
      <c r="F1747" s="26">
        <v>38069</v>
      </c>
      <c r="G1747" s="10">
        <f>IF(Tabela4[[#This Row],[Tipo]]="Dividendo",Tabela4[[#This Row],[Valor]],IF(Tabela4[[#This Row],[Tipo]]="Jrs. Cap. Próprio",Tabela4[[#This Row],[Valor]]*85%,0))</f>
        <v>0.22527</v>
      </c>
    </row>
    <row r="1748" spans="1:7" x14ac:dyDescent="0.2">
      <c r="A1748" s="3" t="s">
        <v>173</v>
      </c>
      <c r="B1748" s="54" t="s">
        <v>15</v>
      </c>
      <c r="C1748" s="25">
        <v>37893</v>
      </c>
      <c r="D1748" s="10">
        <v>7.4249999999999997E-2</v>
      </c>
      <c r="E1748" s="67">
        <v>37904</v>
      </c>
      <c r="F1748" s="26">
        <v>37883</v>
      </c>
      <c r="G1748" s="10">
        <f>IF(Tabela4[[#This Row],[Tipo]]="Dividendo",Tabela4[[#This Row],[Valor]],IF(Tabela4[[#This Row],[Tipo]]="Jrs. Cap. Próprio",Tabela4[[#This Row],[Valor]]*85%,0))</f>
        <v>7.4249999999999997E-2</v>
      </c>
    </row>
    <row r="1749" spans="1:7" x14ac:dyDescent="0.2">
      <c r="A1749" s="4" t="s">
        <v>175</v>
      </c>
      <c r="B1749" s="4" t="s">
        <v>15</v>
      </c>
      <c r="C1749" s="19">
        <v>39384</v>
      </c>
      <c r="D1749" s="14">
        <v>2.5499999999999998</v>
      </c>
      <c r="E1749" s="68">
        <v>39407</v>
      </c>
      <c r="F1749" s="68">
        <v>39353</v>
      </c>
      <c r="G1749" s="14">
        <f>IF(Tabela4[[#This Row],[Tipo]]="Dividendo",Tabela4[[#This Row],[Valor]],IF(Tabela4[[#This Row],[Tipo]]="Jrs. Cap. Próprio",Tabela4[[#This Row],[Valor]]*85%,0))</f>
        <v>2.5499999999999998</v>
      </c>
    </row>
    <row r="1750" spans="1:7" x14ac:dyDescent="0.2">
      <c r="A1750" s="4" t="s">
        <v>175</v>
      </c>
      <c r="B1750" s="3" t="s">
        <v>15</v>
      </c>
      <c r="C1750" s="25"/>
      <c r="D1750" s="10">
        <v>1</v>
      </c>
      <c r="E1750" s="67">
        <v>39538</v>
      </c>
      <c r="F1750" s="26"/>
      <c r="G1750" s="10">
        <f>IF(Tabela4[[#This Row],[Tipo]]="Dividendo",Tabela4[[#This Row],[Valor]],IF(Tabela4[[#This Row],[Tipo]]="Jrs. Cap. Próprio",Tabela4[[#This Row],[Valor]]*85%,0))</f>
        <v>1</v>
      </c>
    </row>
    <row r="1751" spans="1:7" x14ac:dyDescent="0.2">
      <c r="A1751" s="4" t="s">
        <v>175</v>
      </c>
      <c r="B1751" s="3" t="s">
        <v>15</v>
      </c>
      <c r="C1751" s="25"/>
      <c r="D1751" s="10">
        <v>1.72</v>
      </c>
      <c r="E1751" s="67">
        <v>39773</v>
      </c>
      <c r="F1751" s="26"/>
      <c r="G1751" s="10">
        <f>IF(Tabela4[[#This Row],[Tipo]]="Dividendo",Tabela4[[#This Row],[Valor]],IF(Tabela4[[#This Row],[Tipo]]="Jrs. Cap. Próprio",Tabela4[[#This Row],[Valor]]*85%,0))</f>
        <v>1.72</v>
      </c>
    </row>
    <row r="1752" spans="1:7" x14ac:dyDescent="0.2">
      <c r="A1752" s="4" t="s">
        <v>175</v>
      </c>
      <c r="B1752" s="3" t="s">
        <v>15</v>
      </c>
      <c r="C1752" s="25"/>
      <c r="D1752" s="10">
        <v>2</v>
      </c>
      <c r="E1752" s="67">
        <v>39905</v>
      </c>
      <c r="F1752" s="26"/>
      <c r="G1752" s="10">
        <f>IF(Tabela4[[#This Row],[Tipo]]="Dividendo",Tabela4[[#This Row],[Valor]],IF(Tabela4[[#This Row],[Tipo]]="Jrs. Cap. Próprio",Tabela4[[#This Row],[Valor]]*85%,0))</f>
        <v>2</v>
      </c>
    </row>
    <row r="1753" spans="1:7" x14ac:dyDescent="0.2">
      <c r="A1753" s="4" t="s">
        <v>175</v>
      </c>
      <c r="B1753" s="3" t="s">
        <v>15</v>
      </c>
      <c r="C1753" s="25"/>
      <c r="D1753" s="10">
        <v>0.45</v>
      </c>
      <c r="E1753" s="67">
        <v>40144</v>
      </c>
      <c r="F1753" s="26"/>
      <c r="G1753" s="10">
        <f>IF(Tabela4[[#This Row],[Tipo]]="Dividendo",Tabela4[[#This Row],[Valor]],IF(Tabela4[[#This Row],[Tipo]]="Jrs. Cap. Próprio",Tabela4[[#This Row],[Valor]]*85%,0))</f>
        <v>0.45</v>
      </c>
    </row>
    <row r="1754" spans="1:7" x14ac:dyDescent="0.2">
      <c r="A1754" s="4" t="s">
        <v>175</v>
      </c>
      <c r="B1754" s="3" t="s">
        <v>15</v>
      </c>
      <c r="C1754" s="25"/>
      <c r="D1754" s="10">
        <v>0.46</v>
      </c>
      <c r="E1754" s="67">
        <v>40144</v>
      </c>
      <c r="F1754" s="26"/>
      <c r="G1754" s="10">
        <f>IF(Tabela4[[#This Row],[Tipo]]="Dividendo",Tabela4[[#This Row],[Valor]],IF(Tabela4[[#This Row],[Tipo]]="Jrs. Cap. Próprio",Tabela4[[#This Row],[Valor]]*85%,0))</f>
        <v>0.46</v>
      </c>
    </row>
    <row r="1755" spans="1:7" x14ac:dyDescent="0.2">
      <c r="A1755" s="4" t="s">
        <v>175</v>
      </c>
      <c r="B1755" s="3" t="s">
        <v>15</v>
      </c>
      <c r="C1755" s="25"/>
      <c r="D1755" s="10">
        <v>2.12</v>
      </c>
      <c r="E1755" s="67">
        <v>40269</v>
      </c>
      <c r="F1755" s="26"/>
      <c r="G1755" s="10">
        <f>IF(Tabela4[[#This Row],[Tipo]]="Dividendo",Tabela4[[#This Row],[Valor]],IF(Tabela4[[#This Row],[Tipo]]="Jrs. Cap. Próprio",Tabela4[[#This Row],[Valor]]*85%,0))</f>
        <v>2.12</v>
      </c>
    </row>
    <row r="1756" spans="1:7" x14ac:dyDescent="0.2">
      <c r="A1756" s="4" t="s">
        <v>175</v>
      </c>
      <c r="B1756" s="3" t="s">
        <v>15</v>
      </c>
      <c r="C1756" s="25"/>
      <c r="D1756" s="10">
        <v>1.78</v>
      </c>
      <c r="E1756" s="67">
        <v>40452</v>
      </c>
      <c r="F1756" s="26"/>
      <c r="G1756" s="10">
        <f>IF(Tabela4[[#This Row],[Tipo]]="Dividendo",Tabela4[[#This Row],[Valor]],IF(Tabela4[[#This Row],[Tipo]]="Jrs. Cap. Próprio",Tabela4[[#This Row],[Valor]]*85%,0))</f>
        <v>1.78</v>
      </c>
    </row>
    <row r="1757" spans="1:7" x14ac:dyDescent="0.2">
      <c r="A1757" s="4" t="s">
        <v>175</v>
      </c>
      <c r="B1757" s="3" t="s">
        <v>15</v>
      </c>
      <c r="C1757" s="25"/>
      <c r="D1757" s="10">
        <v>1.72</v>
      </c>
      <c r="E1757" s="67">
        <v>40681</v>
      </c>
      <c r="F1757" s="26"/>
      <c r="G1757" s="10">
        <f>IF(Tabela4[[#This Row],[Tipo]]="Dividendo",Tabela4[[#This Row],[Valor]],IF(Tabela4[[#This Row],[Tipo]]="Jrs. Cap. Próprio",Tabela4[[#This Row],[Valor]]*85%,0))</f>
        <v>1.72</v>
      </c>
    </row>
    <row r="1758" spans="1:7" x14ac:dyDescent="0.2">
      <c r="A1758" s="4" t="s">
        <v>175</v>
      </c>
      <c r="B1758" s="3" t="s">
        <v>15</v>
      </c>
      <c r="C1758" s="25"/>
      <c r="D1758" s="10">
        <v>0.57999999999999996</v>
      </c>
      <c r="E1758" s="67">
        <v>40905</v>
      </c>
      <c r="F1758" s="26"/>
      <c r="G1758" s="10">
        <f>IF(Tabela4[[#This Row],[Tipo]]="Dividendo",Tabela4[[#This Row],[Valor]],IF(Tabela4[[#This Row],[Tipo]]="Jrs. Cap. Próprio",Tabela4[[#This Row],[Valor]]*85%,0))</f>
        <v>0.57999999999999996</v>
      </c>
    </row>
    <row r="1759" spans="1:7" x14ac:dyDescent="0.2">
      <c r="A1759" s="4" t="s">
        <v>175</v>
      </c>
      <c r="B1759" s="3" t="s">
        <v>14</v>
      </c>
      <c r="C1759" s="25"/>
      <c r="D1759" s="10">
        <v>0.43</v>
      </c>
      <c r="E1759" s="67">
        <v>41026</v>
      </c>
      <c r="F1759" s="26"/>
      <c r="G1759" s="10">
        <f>IF(Tabela4[[#This Row],[Tipo]]="Dividendo",Tabela4[[#This Row],[Valor]],IF(Tabela4[[#This Row],[Tipo]]="Jrs. Cap. Próprio",Tabela4[[#This Row],[Valor]]*85%,0))</f>
        <v>0.36549999999999999</v>
      </c>
    </row>
    <row r="1760" spans="1:7" x14ac:dyDescent="0.2">
      <c r="A1760" s="4" t="s">
        <v>175</v>
      </c>
      <c r="B1760" s="3" t="s">
        <v>15</v>
      </c>
      <c r="C1760" s="25"/>
      <c r="D1760" s="10">
        <v>0.44</v>
      </c>
      <c r="E1760" s="67">
        <v>41193</v>
      </c>
      <c r="F1760" s="26"/>
      <c r="G1760" s="10">
        <f>IF(Tabela4[[#This Row],[Tipo]]="Dividendo",Tabela4[[#This Row],[Valor]],IF(Tabela4[[#This Row],[Tipo]]="Jrs. Cap. Próprio",Tabela4[[#This Row],[Valor]]*85%,0))</f>
        <v>0.44</v>
      </c>
    </row>
    <row r="1761" spans="1:7" x14ac:dyDescent="0.2">
      <c r="A1761" s="4" t="s">
        <v>175</v>
      </c>
      <c r="B1761" s="3" t="s">
        <v>15</v>
      </c>
      <c r="C1761" s="25"/>
      <c r="D1761" s="10">
        <v>0.45</v>
      </c>
      <c r="E1761" s="67">
        <v>41193</v>
      </c>
      <c r="F1761" s="26"/>
      <c r="G1761" s="10">
        <f>IF(Tabela4[[#This Row],[Tipo]]="Dividendo",Tabela4[[#This Row],[Valor]],IF(Tabela4[[#This Row],[Tipo]]="Jrs. Cap. Próprio",Tabela4[[#This Row],[Valor]]*85%,0))</f>
        <v>0.45</v>
      </c>
    </row>
    <row r="1762" spans="1:7" x14ac:dyDescent="0.2">
      <c r="A1762" s="4" t="s">
        <v>175</v>
      </c>
      <c r="B1762" s="3" t="s">
        <v>14</v>
      </c>
      <c r="C1762" s="25"/>
      <c r="D1762" s="10">
        <v>0.35</v>
      </c>
      <c r="E1762" s="67">
        <v>41394</v>
      </c>
      <c r="F1762" s="26"/>
      <c r="G1762" s="10">
        <f>IF(Tabela4[[#This Row],[Tipo]]="Dividendo",Tabela4[[#This Row],[Valor]],IF(Tabela4[[#This Row],[Tipo]]="Jrs. Cap. Próprio",Tabela4[[#This Row],[Valor]]*85%,0))</f>
        <v>0.29749999999999999</v>
      </c>
    </row>
    <row r="1763" spans="1:7" x14ac:dyDescent="0.2">
      <c r="A1763" s="4" t="s">
        <v>175</v>
      </c>
      <c r="B1763" s="3" t="s">
        <v>14</v>
      </c>
      <c r="C1763" s="25"/>
      <c r="D1763" s="10">
        <v>0.08</v>
      </c>
      <c r="E1763" s="67">
        <v>41394</v>
      </c>
      <c r="F1763" s="26"/>
      <c r="G1763" s="10">
        <f>IF(Tabela4[[#This Row],[Tipo]]="Dividendo",Tabela4[[#This Row],[Valor]],IF(Tabela4[[#This Row],[Tipo]]="Jrs. Cap. Próprio",Tabela4[[#This Row],[Valor]]*85%,0))</f>
        <v>6.8000000000000005E-2</v>
      </c>
    </row>
    <row r="1764" spans="1:7" x14ac:dyDescent="0.2">
      <c r="A1764" s="4" t="s">
        <v>175</v>
      </c>
      <c r="B1764" s="3" t="s">
        <v>15</v>
      </c>
      <c r="C1764" s="25"/>
      <c r="D1764" s="10">
        <v>0.83</v>
      </c>
      <c r="E1764" s="67">
        <v>41270</v>
      </c>
      <c r="F1764" s="26"/>
      <c r="G1764" s="10">
        <f>IF(Tabela4[[#This Row],[Tipo]]="Dividendo",Tabela4[[#This Row],[Valor]],IF(Tabela4[[#This Row],[Tipo]]="Jrs. Cap. Próprio",Tabela4[[#This Row],[Valor]]*85%,0))</f>
        <v>0.83</v>
      </c>
    </row>
    <row r="1765" spans="1:7" x14ac:dyDescent="0.2">
      <c r="A1765" s="4" t="s">
        <v>175</v>
      </c>
      <c r="B1765" s="3" t="s">
        <v>15</v>
      </c>
      <c r="C1765" s="25"/>
      <c r="D1765" s="10">
        <v>0.45</v>
      </c>
      <c r="E1765" s="67">
        <v>41635</v>
      </c>
      <c r="F1765" s="26"/>
      <c r="G1765" s="10">
        <f>IF(Tabela4[[#This Row],[Tipo]]="Dividendo",Tabela4[[#This Row],[Valor]],IF(Tabela4[[#This Row],[Tipo]]="Jrs. Cap. Próprio",Tabela4[[#This Row],[Valor]]*85%,0))</f>
        <v>0.45</v>
      </c>
    </row>
    <row r="1766" spans="1:7" x14ac:dyDescent="0.2">
      <c r="A1766" s="4" t="s">
        <v>175</v>
      </c>
      <c r="B1766" s="4" t="s">
        <v>14</v>
      </c>
      <c r="C1766" s="19"/>
      <c r="D1766" s="14">
        <v>0.53</v>
      </c>
      <c r="E1766" s="68">
        <v>41635</v>
      </c>
      <c r="F1766" s="68"/>
      <c r="G1766" s="14">
        <f>IF(Tabela4[[#This Row],[Tipo]]="Dividendo",Tabela4[[#This Row],[Valor]],IF(Tabela4[[#This Row],[Tipo]]="Jrs. Cap. Próprio",Tabela4[[#This Row],[Valor]]*85%,0))</f>
        <v>0.45050000000000001</v>
      </c>
    </row>
    <row r="1767" spans="1:7" x14ac:dyDescent="0.2">
      <c r="A1767" s="35" t="s">
        <v>65</v>
      </c>
      <c r="B1767" s="35" t="s">
        <v>14</v>
      </c>
      <c r="C1767" s="36">
        <v>41586</v>
      </c>
      <c r="D1767" s="38">
        <v>0.21479999999999999</v>
      </c>
      <c r="E1767" s="37">
        <v>41600</v>
      </c>
      <c r="F1767" s="37">
        <v>41585</v>
      </c>
      <c r="G1767" s="38">
        <f>IF(Tabela4[[#This Row],[Tipo]]="Dividendo",Tabela4[[#This Row],[Valor]],IF(Tabela4[[#This Row],[Tipo]]="Jrs. Cap. Próprio",Tabela4[[#This Row],[Valor]]*85%,0))</f>
        <v>0.18257999999999999</v>
      </c>
    </row>
    <row r="1768" spans="1:7" x14ac:dyDescent="0.2">
      <c r="A1768" s="35" t="s">
        <v>65</v>
      </c>
      <c r="B1768" s="31" t="s">
        <v>15</v>
      </c>
      <c r="C1768" s="32">
        <v>41382</v>
      </c>
      <c r="D1768" s="34">
        <v>0.1265</v>
      </c>
      <c r="E1768" s="33">
        <v>41390</v>
      </c>
      <c r="F1768" s="33">
        <v>41382</v>
      </c>
      <c r="G1768" s="34">
        <f>IF(Tabela4[[#This Row],[Tipo]]="Dividendo",Tabela4[[#This Row],[Valor]],IF(Tabela4[[#This Row],[Tipo]]="Jrs. Cap. Próprio",Tabela4[[#This Row],[Valor]]*85%,0))</f>
        <v>0.1265</v>
      </c>
    </row>
    <row r="1769" spans="1:7" x14ac:dyDescent="0.2">
      <c r="A1769" s="35" t="s">
        <v>51</v>
      </c>
      <c r="B1769" s="35" t="s">
        <v>14</v>
      </c>
      <c r="C1769" s="36">
        <v>41576</v>
      </c>
      <c r="D1769" s="38">
        <v>1.78E-2</v>
      </c>
      <c r="E1769" s="37">
        <v>41591</v>
      </c>
      <c r="F1769" s="37">
        <v>41576</v>
      </c>
      <c r="G1769" s="38">
        <f>IF(Tabela4[[#This Row],[Tipo]]="Dividendo",Tabela4[[#This Row],[Valor]],IF(Tabela4[[#This Row],[Tipo]]="Jrs. Cap. Próprio",Tabela4[[#This Row],[Valor]]*85%,0))</f>
        <v>1.5129999999999999E-2</v>
      </c>
    </row>
    <row r="1770" spans="1:7" x14ac:dyDescent="0.2">
      <c r="A1770" s="35" t="s">
        <v>51</v>
      </c>
      <c r="B1770" s="31" t="s">
        <v>15</v>
      </c>
      <c r="C1770" s="32">
        <v>41576</v>
      </c>
      <c r="D1770" s="34">
        <v>6.3200000000000006E-2</v>
      </c>
      <c r="E1770" s="33">
        <v>41612</v>
      </c>
      <c r="F1770" s="33">
        <v>41576</v>
      </c>
      <c r="G1770" s="34">
        <f>IF(Tabela4[[#This Row],[Tipo]]="Dividendo",Tabela4[[#This Row],[Valor]],IF(Tabela4[[#This Row],[Tipo]]="Jrs. Cap. Próprio",Tabela4[[#This Row],[Valor]]*85%,0))</f>
        <v>6.3200000000000006E-2</v>
      </c>
    </row>
    <row r="1771" spans="1:7" x14ac:dyDescent="0.2">
      <c r="A1771" s="35" t="s">
        <v>51</v>
      </c>
      <c r="B1771" s="31" t="s">
        <v>15</v>
      </c>
      <c r="C1771" s="32">
        <v>41485</v>
      </c>
      <c r="D1771" s="34">
        <v>5.8799999999999998E-2</v>
      </c>
      <c r="E1771" s="33">
        <v>41521</v>
      </c>
      <c r="F1771" s="33">
        <v>41485</v>
      </c>
      <c r="G1771" s="34">
        <f>IF(Tabela4[[#This Row],[Tipo]]="Dividendo",Tabela4[[#This Row],[Valor]],IF(Tabela4[[#This Row],[Tipo]]="Jrs. Cap. Próprio",Tabela4[[#This Row],[Valor]]*85%,0))</f>
        <v>5.8799999999999998E-2</v>
      </c>
    </row>
    <row r="1772" spans="1:7" x14ac:dyDescent="0.2">
      <c r="A1772" s="35" t="s">
        <v>51</v>
      </c>
      <c r="B1772" s="31" t="s">
        <v>14</v>
      </c>
      <c r="C1772" s="32">
        <v>41450</v>
      </c>
      <c r="D1772" s="34">
        <v>1.5599999999999999E-2</v>
      </c>
      <c r="E1772" s="33">
        <v>41465</v>
      </c>
      <c r="F1772" s="33">
        <v>41450</v>
      </c>
      <c r="G1772" s="34">
        <f>IF(Tabela4[[#This Row],[Tipo]]="Dividendo",Tabela4[[#This Row],[Valor]],IF(Tabela4[[#This Row],[Tipo]]="Jrs. Cap. Próprio",Tabela4[[#This Row],[Valor]]*85%,0))</f>
        <v>1.3259999999999999E-2</v>
      </c>
    </row>
    <row r="1773" spans="1:7" x14ac:dyDescent="0.2">
      <c r="A1773" s="35" t="s">
        <v>51</v>
      </c>
      <c r="B1773" s="31" t="s">
        <v>15</v>
      </c>
      <c r="C1773" s="32">
        <v>41394</v>
      </c>
      <c r="D1773" s="34">
        <v>9.5000000000000001E-2</v>
      </c>
      <c r="E1773" s="33">
        <v>41429</v>
      </c>
      <c r="F1773" s="33">
        <v>41394</v>
      </c>
      <c r="G1773" s="34">
        <f>IF(Tabela4[[#This Row],[Tipo]]="Dividendo",Tabela4[[#This Row],[Valor]],IF(Tabela4[[#This Row],[Tipo]]="Jrs. Cap. Próprio",Tabela4[[#This Row],[Valor]]*85%,0))</f>
        <v>9.5000000000000001E-2</v>
      </c>
    </row>
    <row r="1774" spans="1:7" x14ac:dyDescent="0.2">
      <c r="A1774" s="35" t="s">
        <v>51</v>
      </c>
      <c r="B1774" s="31" t="s">
        <v>15</v>
      </c>
      <c r="C1774" s="32">
        <v>41366</v>
      </c>
      <c r="D1774" s="34">
        <v>7.7499999999999999E-2</v>
      </c>
      <c r="E1774" s="33">
        <v>41397</v>
      </c>
      <c r="F1774" s="33">
        <v>41366</v>
      </c>
      <c r="G1774" s="34">
        <f>IF(Tabela4[[#This Row],[Tipo]]="Dividendo",Tabela4[[#This Row],[Valor]],IF(Tabela4[[#This Row],[Tipo]]="Jrs. Cap. Próprio",Tabela4[[#This Row],[Valor]]*85%,0))</f>
        <v>7.7499999999999999E-2</v>
      </c>
    </row>
    <row r="1775" spans="1:7" x14ac:dyDescent="0.2">
      <c r="A1775" s="35" t="s">
        <v>51</v>
      </c>
      <c r="B1775" s="31" t="s">
        <v>14</v>
      </c>
      <c r="C1775" s="32">
        <v>41359</v>
      </c>
      <c r="D1775" s="34">
        <v>1.5699999999999999E-2</v>
      </c>
      <c r="E1775" s="33">
        <v>41374</v>
      </c>
      <c r="F1775" s="33">
        <v>41359</v>
      </c>
      <c r="G1775" s="34">
        <f>IF(Tabela4[[#This Row],[Tipo]]="Dividendo",Tabela4[[#This Row],[Valor]],IF(Tabela4[[#This Row],[Tipo]]="Jrs. Cap. Próprio",Tabela4[[#This Row],[Valor]]*85%,0))</f>
        <v>1.3344999999999999E-2</v>
      </c>
    </row>
    <row r="1776" spans="1:7" x14ac:dyDescent="0.2">
      <c r="A1776" s="35" t="s">
        <v>51</v>
      </c>
      <c r="B1776" s="31" t="s">
        <v>14</v>
      </c>
      <c r="C1776" s="32">
        <v>41207</v>
      </c>
      <c r="D1776" s="34">
        <v>1.6299999999999999E-2</v>
      </c>
      <c r="E1776" s="33">
        <v>41234</v>
      </c>
      <c r="F1776" s="33">
        <v>41207</v>
      </c>
      <c r="G1776" s="34">
        <f>IF(Tabela4[[#This Row],[Tipo]]="Dividendo",Tabela4[[#This Row],[Valor]],IF(Tabela4[[#This Row],[Tipo]]="Jrs. Cap. Próprio",Tabela4[[#This Row],[Valor]]*85%,0))</f>
        <v>1.3854999999999998E-2</v>
      </c>
    </row>
    <row r="1777" spans="1:7" x14ac:dyDescent="0.2">
      <c r="A1777" s="35" t="s">
        <v>51</v>
      </c>
      <c r="B1777" s="31" t="s">
        <v>15</v>
      </c>
      <c r="C1777" s="32">
        <v>41207</v>
      </c>
      <c r="D1777" s="34">
        <v>4.8000000000000001E-2</v>
      </c>
      <c r="E1777" s="33">
        <v>41234</v>
      </c>
      <c r="F1777" s="33">
        <v>41207</v>
      </c>
      <c r="G1777" s="34">
        <f>IF(Tabela4[[#This Row],[Tipo]]="Dividendo",Tabela4[[#This Row],[Valor]],IF(Tabela4[[#This Row],[Tipo]]="Jrs. Cap. Próprio",Tabela4[[#This Row],[Valor]]*85%,0))</f>
        <v>4.8000000000000001E-2</v>
      </c>
    </row>
    <row r="1778" spans="1:7" x14ac:dyDescent="0.2">
      <c r="A1778" s="35" t="s">
        <v>51</v>
      </c>
      <c r="B1778" s="31" t="s">
        <v>14</v>
      </c>
      <c r="C1778" s="32">
        <v>41117</v>
      </c>
      <c r="D1778" s="34">
        <v>1.7299999999999999E-2</v>
      </c>
      <c r="E1778" s="33">
        <v>41143</v>
      </c>
      <c r="F1778" s="33">
        <v>41116</v>
      </c>
      <c r="G1778" s="34">
        <f>IF(Tabela4[[#This Row],[Tipo]]="Dividendo",Tabela4[[#This Row],[Valor]],IF(Tabela4[[#This Row],[Tipo]]="Jrs. Cap. Próprio",Tabela4[[#This Row],[Valor]]*85%,0))</f>
        <v>1.4704999999999999E-2</v>
      </c>
    </row>
    <row r="1779" spans="1:7" x14ac:dyDescent="0.2">
      <c r="A1779" s="35" t="s">
        <v>51</v>
      </c>
      <c r="B1779" s="31" t="s">
        <v>15</v>
      </c>
      <c r="C1779" s="32">
        <v>41117</v>
      </c>
      <c r="D1779" s="34">
        <v>6.1600000000000002E-2</v>
      </c>
      <c r="E1779" s="33">
        <v>41143</v>
      </c>
      <c r="F1779" s="33">
        <v>41116</v>
      </c>
      <c r="G1779" s="34">
        <f>IF(Tabela4[[#This Row],[Tipo]]="Dividendo",Tabela4[[#This Row],[Valor]],IF(Tabela4[[#This Row],[Tipo]]="Jrs. Cap. Próprio",Tabela4[[#This Row],[Valor]]*85%,0))</f>
        <v>6.1600000000000002E-2</v>
      </c>
    </row>
    <row r="1780" spans="1:7" x14ac:dyDescent="0.2">
      <c r="A1780" s="35" t="s">
        <v>51</v>
      </c>
      <c r="B1780" s="3" t="s">
        <v>14</v>
      </c>
      <c r="C1780" s="32">
        <v>41026</v>
      </c>
      <c r="D1780" s="34">
        <v>2.7900000000000001E-2</v>
      </c>
      <c r="E1780" s="33">
        <v>41052</v>
      </c>
      <c r="F1780" s="33">
        <v>41025</v>
      </c>
      <c r="G1780" s="34">
        <f>IF(Tabela4[[#This Row],[Tipo]]="Dividendo",Tabela4[[#This Row],[Valor]],IF(Tabela4[[#This Row],[Tipo]]="Jrs. Cap. Próprio",Tabela4[[#This Row],[Valor]]*85%,0))</f>
        <v>2.3715E-2</v>
      </c>
    </row>
    <row r="1781" spans="1:7" x14ac:dyDescent="0.2">
      <c r="A1781" s="35" t="s">
        <v>51</v>
      </c>
      <c r="B1781" s="31" t="s">
        <v>15</v>
      </c>
      <c r="C1781" s="32">
        <v>41026</v>
      </c>
      <c r="D1781" s="34">
        <v>5.2200000000000003E-2</v>
      </c>
      <c r="E1781" s="33">
        <v>41052</v>
      </c>
      <c r="F1781" s="33">
        <v>41025</v>
      </c>
      <c r="G1781" s="34">
        <f>IF(Tabela4[[#This Row],[Tipo]]="Dividendo",Tabela4[[#This Row],[Valor]],IF(Tabela4[[#This Row],[Tipo]]="Jrs. Cap. Próprio",Tabela4[[#This Row],[Valor]]*85%,0))</f>
        <v>5.2200000000000003E-2</v>
      </c>
    </row>
    <row r="1782" spans="1:7" x14ac:dyDescent="0.2">
      <c r="A1782" s="35" t="s">
        <v>51</v>
      </c>
      <c r="B1782" s="31" t="s">
        <v>15</v>
      </c>
      <c r="C1782" s="32">
        <v>41001</v>
      </c>
      <c r="D1782" s="34">
        <v>0.4083</v>
      </c>
      <c r="E1782" s="33">
        <v>41024</v>
      </c>
      <c r="F1782" s="33">
        <v>41001</v>
      </c>
      <c r="G1782" s="34">
        <f>IF(Tabela4[[#This Row],[Tipo]]="Dividendo",Tabela4[[#This Row],[Valor]],IF(Tabela4[[#This Row],[Tipo]]="Jrs. Cap. Próprio",Tabela4[[#This Row],[Valor]]*85%,0))</f>
        <v>0.4083</v>
      </c>
    </row>
    <row r="1783" spans="1:7" x14ac:dyDescent="0.2">
      <c r="A1783" s="35" t="s">
        <v>51</v>
      </c>
      <c r="B1783" s="31" t="s">
        <v>14</v>
      </c>
      <c r="C1783" s="32">
        <v>40903</v>
      </c>
      <c r="D1783" s="34">
        <v>9.6000000000000002E-2</v>
      </c>
      <c r="E1783" s="33">
        <v>40918</v>
      </c>
      <c r="F1783" s="33">
        <v>40903</v>
      </c>
      <c r="G1783" s="34">
        <f>IF(Tabela4[[#This Row],[Tipo]]="Dividendo",Tabela4[[#This Row],[Valor]],IF(Tabela4[[#This Row],[Tipo]]="Jrs. Cap. Próprio",Tabela4[[#This Row],[Valor]]*85%,0))</f>
        <v>8.1600000000000006E-2</v>
      </c>
    </row>
    <row r="1784" spans="1:7" x14ac:dyDescent="0.2">
      <c r="A1784" s="35" t="s">
        <v>51</v>
      </c>
      <c r="B1784" s="31" t="s">
        <v>14</v>
      </c>
      <c r="C1784" s="32">
        <v>40766</v>
      </c>
      <c r="D1784" s="34">
        <v>0.13270000000000001</v>
      </c>
      <c r="E1784" s="33">
        <v>40807</v>
      </c>
      <c r="F1784" s="33">
        <v>40759</v>
      </c>
      <c r="G1784" s="34">
        <f>IF(Tabela4[[#This Row],[Tipo]]="Dividendo",Tabela4[[#This Row],[Valor]],IF(Tabela4[[#This Row],[Tipo]]="Jrs. Cap. Próprio",Tabela4[[#This Row],[Valor]]*85%,0))</f>
        <v>0.11279500000000001</v>
      </c>
    </row>
    <row r="1785" spans="1:7" x14ac:dyDescent="0.2">
      <c r="A1785" s="35" t="s">
        <v>51</v>
      </c>
      <c r="B1785" s="31" t="s">
        <v>15</v>
      </c>
      <c r="C1785" s="32">
        <v>40766</v>
      </c>
      <c r="D1785" s="34">
        <v>0.2666</v>
      </c>
      <c r="E1785" s="33">
        <v>40807</v>
      </c>
      <c r="F1785" s="33">
        <v>40759</v>
      </c>
      <c r="G1785" s="34">
        <f>IF(Tabela4[[#This Row],[Tipo]]="Dividendo",Tabela4[[#This Row],[Valor]],IF(Tabela4[[#This Row],[Tipo]]="Jrs. Cap. Próprio",Tabela4[[#This Row],[Valor]]*85%,0))</f>
        <v>0.2666</v>
      </c>
    </row>
    <row r="1786" spans="1:7" x14ac:dyDescent="0.2">
      <c r="A1786" s="35" t="s">
        <v>51</v>
      </c>
      <c r="B1786" s="31" t="s">
        <v>15</v>
      </c>
      <c r="C1786" s="32">
        <v>40648</v>
      </c>
      <c r="D1786" s="34">
        <v>8.5699999999999998E-2</v>
      </c>
      <c r="E1786" s="33">
        <v>40674</v>
      </c>
      <c r="F1786" s="33">
        <v>40648</v>
      </c>
      <c r="G1786" s="34">
        <f>IF(Tabela4[[#This Row],[Tipo]]="Dividendo",Tabela4[[#This Row],[Valor]],IF(Tabela4[[#This Row],[Tipo]]="Jrs. Cap. Próprio",Tabela4[[#This Row],[Valor]]*85%,0))</f>
        <v>8.5699999999999998E-2</v>
      </c>
    </row>
    <row r="1787" spans="1:7" x14ac:dyDescent="0.2">
      <c r="A1787" s="35" t="s">
        <v>51</v>
      </c>
      <c r="B1787" s="31" t="s">
        <v>14</v>
      </c>
      <c r="C1787" s="32">
        <v>40492</v>
      </c>
      <c r="D1787" s="34">
        <v>0.18459999999999999</v>
      </c>
      <c r="E1787" s="33">
        <v>40534</v>
      </c>
      <c r="F1787" s="33">
        <v>40492</v>
      </c>
      <c r="G1787" s="34">
        <f>IF(Tabela4[[#This Row],[Tipo]]="Dividendo",Tabela4[[#This Row],[Valor]],IF(Tabela4[[#This Row],[Tipo]]="Jrs. Cap. Próprio",Tabela4[[#This Row],[Valor]]*85%,0))</f>
        <v>0.15690999999999999</v>
      </c>
    </row>
    <row r="1788" spans="1:7" x14ac:dyDescent="0.2">
      <c r="A1788" s="35" t="s">
        <v>51</v>
      </c>
      <c r="B1788" s="31" t="s">
        <v>15</v>
      </c>
      <c r="C1788" s="32">
        <v>40492</v>
      </c>
      <c r="D1788" s="34">
        <v>0.31769999999999998</v>
      </c>
      <c r="E1788" s="33">
        <v>40534</v>
      </c>
      <c r="F1788" s="33">
        <v>40492</v>
      </c>
      <c r="G1788" s="34">
        <f>IF(Tabela4[[#This Row],[Tipo]]="Dividendo",Tabela4[[#This Row],[Valor]],IF(Tabela4[[#This Row],[Tipo]]="Jrs. Cap. Próprio",Tabela4[[#This Row],[Valor]]*85%,0))</f>
        <v>0.31769999999999998</v>
      </c>
    </row>
    <row r="1789" spans="1:7" x14ac:dyDescent="0.2">
      <c r="A1789" s="35" t="s">
        <v>51</v>
      </c>
      <c r="B1789" s="31" t="s">
        <v>52</v>
      </c>
      <c r="C1789" s="32">
        <v>40323</v>
      </c>
      <c r="D1789" s="34">
        <v>5.6013999999999999</v>
      </c>
      <c r="E1789" s="33">
        <v>40338</v>
      </c>
      <c r="F1789" s="33">
        <v>40262</v>
      </c>
      <c r="G1789" s="34">
        <f>IF(Tabela4[[#This Row],[Tipo]]="Dividendo",Tabela4[[#This Row],[Valor]],IF(Tabela4[[#This Row],[Tipo]]="Jrs. Cap. Próprio",Tabela4[[#This Row],[Valor]]*85%,0))</f>
        <v>0</v>
      </c>
    </row>
    <row r="1790" spans="1:7" x14ac:dyDescent="0.2">
      <c r="A1790" s="35" t="s">
        <v>51</v>
      </c>
      <c r="B1790" s="31" t="s">
        <v>52</v>
      </c>
      <c r="C1790" s="32">
        <v>40238</v>
      </c>
      <c r="D1790" s="34">
        <v>4.5763999999999996</v>
      </c>
      <c r="E1790" s="33">
        <v>40283</v>
      </c>
      <c r="F1790" s="33">
        <v>40170</v>
      </c>
      <c r="G1790" s="34">
        <f>IF(Tabela4[[#This Row],[Tipo]]="Dividendo",Tabela4[[#This Row],[Valor]],IF(Tabela4[[#This Row],[Tipo]]="Jrs. Cap. Próprio",Tabela4[[#This Row],[Valor]]*85%,0))</f>
        <v>0</v>
      </c>
    </row>
    <row r="1791" spans="1:7" x14ac:dyDescent="0.2">
      <c r="A1791" s="35" t="s">
        <v>51</v>
      </c>
      <c r="B1791" s="31" t="s">
        <v>15</v>
      </c>
      <c r="C1791" s="32">
        <v>40170</v>
      </c>
      <c r="D1791" s="34">
        <v>2.8950999999999998</v>
      </c>
      <c r="E1791" s="33">
        <v>40232</v>
      </c>
      <c r="F1791" s="33">
        <v>40170</v>
      </c>
      <c r="G1791" s="34">
        <f>IF(Tabela4[[#This Row],[Tipo]]="Dividendo",Tabela4[[#This Row],[Valor]],IF(Tabela4[[#This Row],[Tipo]]="Jrs. Cap. Próprio",Tabela4[[#This Row],[Valor]]*85%,0))</f>
        <v>2.8950999999999998</v>
      </c>
    </row>
    <row r="1792" spans="1:7" x14ac:dyDescent="0.2">
      <c r="A1792" s="35" t="s">
        <v>51</v>
      </c>
      <c r="B1792" s="31" t="s">
        <v>14</v>
      </c>
      <c r="C1792" s="32">
        <v>40038</v>
      </c>
      <c r="D1792" s="34">
        <v>0.4</v>
      </c>
      <c r="E1792" s="33">
        <v>40071</v>
      </c>
      <c r="F1792" s="33">
        <v>40038</v>
      </c>
      <c r="G1792" s="34">
        <f>IF(Tabela4[[#This Row],[Tipo]]="Dividendo",Tabela4[[#This Row],[Valor]],IF(Tabela4[[#This Row],[Tipo]]="Jrs. Cap. Próprio",Tabela4[[#This Row],[Valor]]*85%,0))</f>
        <v>0.34</v>
      </c>
    </row>
    <row r="1793" spans="1:7" x14ac:dyDescent="0.2">
      <c r="A1793" s="35" t="s">
        <v>51</v>
      </c>
      <c r="B1793" s="31" t="s">
        <v>15</v>
      </c>
      <c r="C1793" s="32">
        <v>39930</v>
      </c>
      <c r="D1793" s="34">
        <v>0.57340000000000002</v>
      </c>
      <c r="E1793" s="33">
        <v>39960</v>
      </c>
      <c r="F1793" s="33">
        <v>39930</v>
      </c>
      <c r="G1793" s="34">
        <f>IF(Tabela4[[#This Row],[Tipo]]="Dividendo",Tabela4[[#This Row],[Valor]],IF(Tabela4[[#This Row],[Tipo]]="Jrs. Cap. Próprio",Tabela4[[#This Row],[Valor]]*85%,0))</f>
        <v>0.57340000000000002</v>
      </c>
    </row>
    <row r="1794" spans="1:7" x14ac:dyDescent="0.2">
      <c r="A1794" s="35" t="s">
        <v>51</v>
      </c>
      <c r="B1794" s="31" t="s">
        <v>14</v>
      </c>
      <c r="C1794" s="32">
        <v>39800</v>
      </c>
      <c r="D1794" s="34">
        <v>4.5999999999999999E-2</v>
      </c>
      <c r="E1794" s="33">
        <v>39841</v>
      </c>
      <c r="F1794" s="33">
        <v>39800</v>
      </c>
      <c r="G1794" s="34">
        <f>IF(Tabela4[[#This Row],[Tipo]]="Dividendo",Tabela4[[#This Row],[Valor]],IF(Tabela4[[#This Row],[Tipo]]="Jrs. Cap. Próprio",Tabela4[[#This Row],[Valor]]*85%,0))</f>
        <v>3.9099999999999996E-2</v>
      </c>
    </row>
    <row r="1795" spans="1:7" x14ac:dyDescent="0.2">
      <c r="A1795" s="35" t="s">
        <v>51</v>
      </c>
      <c r="B1795" s="31" t="s">
        <v>14</v>
      </c>
      <c r="C1795" s="32">
        <v>39770</v>
      </c>
      <c r="D1795" s="34">
        <v>0.188</v>
      </c>
      <c r="E1795" s="33">
        <v>39799</v>
      </c>
      <c r="F1795" s="33">
        <v>39770</v>
      </c>
      <c r="G1795" s="34">
        <f>IF(Tabela4[[#This Row],[Tipo]]="Dividendo",Tabela4[[#This Row],[Valor]],IF(Tabela4[[#This Row],[Tipo]]="Jrs. Cap. Próprio",Tabela4[[#This Row],[Valor]]*85%,0))</f>
        <v>0.1598</v>
      </c>
    </row>
    <row r="1796" spans="1:7" x14ac:dyDescent="0.2">
      <c r="A1796" s="35" t="s">
        <v>51</v>
      </c>
      <c r="B1796" s="31" t="s">
        <v>14</v>
      </c>
      <c r="C1796" s="32">
        <v>39667</v>
      </c>
      <c r="D1796" s="34">
        <v>0.32</v>
      </c>
      <c r="E1796" s="33">
        <v>39701</v>
      </c>
      <c r="F1796" s="33">
        <v>39667</v>
      </c>
      <c r="G1796" s="34">
        <f>IF(Tabela4[[#This Row],[Tipo]]="Dividendo",Tabela4[[#This Row],[Valor]],IF(Tabela4[[#This Row],[Tipo]]="Jrs. Cap. Próprio",Tabela4[[#This Row],[Valor]]*85%,0))</f>
        <v>0.27200000000000002</v>
      </c>
    </row>
    <row r="1797" spans="1:7" x14ac:dyDescent="0.2">
      <c r="A1797" s="35" t="s">
        <v>51</v>
      </c>
      <c r="B1797" s="31" t="s">
        <v>14</v>
      </c>
      <c r="C1797" s="32">
        <v>39436</v>
      </c>
      <c r="D1797" s="34">
        <v>0.23449999999999999</v>
      </c>
      <c r="E1797" s="33">
        <v>39457</v>
      </c>
      <c r="F1797" s="33">
        <v>39436</v>
      </c>
      <c r="G1797" s="34">
        <f>IF(Tabela4[[#This Row],[Tipo]]="Dividendo",Tabela4[[#This Row],[Valor]],IF(Tabela4[[#This Row],[Tipo]]="Jrs. Cap. Próprio",Tabela4[[#This Row],[Valor]]*85%,0))</f>
        <v>0.19932499999999997</v>
      </c>
    </row>
    <row r="1798" spans="1:7" x14ac:dyDescent="0.2">
      <c r="A1798" s="35" t="s">
        <v>51</v>
      </c>
      <c r="B1798" s="31" t="s">
        <v>14</v>
      </c>
      <c r="C1798" s="32">
        <v>39303</v>
      </c>
      <c r="D1798" s="34">
        <v>0.24610000000000001</v>
      </c>
      <c r="E1798" s="33">
        <v>39330</v>
      </c>
      <c r="F1798" s="33">
        <v>39303</v>
      </c>
      <c r="G1798" s="34">
        <f>IF(Tabela4[[#This Row],[Tipo]]="Dividendo",Tabela4[[#This Row],[Valor]],IF(Tabela4[[#This Row],[Tipo]]="Jrs. Cap. Próprio",Tabela4[[#This Row],[Valor]]*85%,0))</f>
        <v>0.20918500000000001</v>
      </c>
    </row>
    <row r="1799" spans="1:7" x14ac:dyDescent="0.2">
      <c r="A1799" s="35" t="s">
        <v>51</v>
      </c>
      <c r="B1799" s="31" t="s">
        <v>15</v>
      </c>
      <c r="C1799" s="32">
        <v>39303</v>
      </c>
      <c r="D1799" s="34">
        <v>0.15840000000000001</v>
      </c>
      <c r="E1799" s="33">
        <v>39330</v>
      </c>
      <c r="F1799" s="33">
        <v>39303</v>
      </c>
      <c r="G1799" s="34">
        <f>IF(Tabela4[[#This Row],[Tipo]]="Dividendo",Tabela4[[#This Row],[Valor]],IF(Tabela4[[#This Row],[Tipo]]="Jrs. Cap. Próprio",Tabela4[[#This Row],[Valor]]*85%,0))</f>
        <v>0.15840000000000001</v>
      </c>
    </row>
    <row r="1800" spans="1:7" x14ac:dyDescent="0.2">
      <c r="A1800" s="35" t="s">
        <v>51</v>
      </c>
      <c r="B1800" s="31" t="s">
        <v>15</v>
      </c>
      <c r="C1800" s="32">
        <v>39191</v>
      </c>
      <c r="D1800" s="34">
        <v>0.32</v>
      </c>
      <c r="E1800" s="33">
        <v>39212</v>
      </c>
      <c r="F1800" s="33">
        <v>39191</v>
      </c>
      <c r="G1800" s="34">
        <f>IF(Tabela4[[#This Row],[Tipo]]="Dividendo",Tabela4[[#This Row],[Valor]],IF(Tabela4[[#This Row],[Tipo]]="Jrs. Cap. Próprio",Tabela4[[#This Row],[Valor]]*85%,0))</f>
        <v>0.32</v>
      </c>
    </row>
    <row r="1801" spans="1:7" x14ac:dyDescent="0.2">
      <c r="A1801" s="4" t="s">
        <v>37</v>
      </c>
      <c r="B1801" s="4" t="s">
        <v>15</v>
      </c>
      <c r="C1801" s="19">
        <v>41037</v>
      </c>
      <c r="D1801" s="55">
        <v>0.1484</v>
      </c>
      <c r="E1801" s="68">
        <v>41095</v>
      </c>
      <c r="F1801" s="68">
        <v>41037</v>
      </c>
      <c r="G1801" s="14">
        <f>IF(Tabela4[[#This Row],[Tipo]]="Dividendo",Tabela4[[#This Row],[Valor]],IF(Tabela4[[#This Row],[Tipo]]="Jrs. Cap. Próprio",Tabela4[[#This Row],[Valor]]*85%,0))</f>
        <v>0.1484</v>
      </c>
    </row>
    <row r="1802" spans="1:7" x14ac:dyDescent="0.2">
      <c r="A1802" s="4" t="s">
        <v>37</v>
      </c>
      <c r="B1802" s="3" t="s">
        <v>15</v>
      </c>
      <c r="C1802" s="25">
        <v>40659</v>
      </c>
      <c r="D1802" s="63">
        <v>0.16919999999999999</v>
      </c>
      <c r="E1802" s="67">
        <v>40725</v>
      </c>
      <c r="F1802" s="26">
        <v>40659</v>
      </c>
      <c r="G1802" s="10">
        <f>IF(Tabela4[[#This Row],[Tipo]]="Dividendo",Tabela4[[#This Row],[Valor]],IF(Tabela4[[#This Row],[Tipo]]="Jrs. Cap. Próprio",Tabela4[[#This Row],[Valor]]*85%,0))</f>
        <v>0.16919999999999999</v>
      </c>
    </row>
    <row r="1803" spans="1:7" x14ac:dyDescent="0.2">
      <c r="A1803" s="4" t="s">
        <v>37</v>
      </c>
      <c r="B1803" s="3" t="s">
        <v>15</v>
      </c>
      <c r="C1803" s="25">
        <v>40297</v>
      </c>
      <c r="D1803" s="63">
        <v>0.20599999999999999</v>
      </c>
      <c r="E1803" s="67">
        <v>40359</v>
      </c>
      <c r="F1803" s="26">
        <v>40297</v>
      </c>
      <c r="G1803" s="10">
        <f>IF(Tabela4[[#This Row],[Tipo]]="Dividendo",Tabela4[[#This Row],[Valor]],IF(Tabela4[[#This Row],[Tipo]]="Jrs. Cap. Próprio",Tabela4[[#This Row],[Valor]]*85%,0))</f>
        <v>0.20599999999999999</v>
      </c>
    </row>
    <row r="1804" spans="1:7" x14ac:dyDescent="0.2">
      <c r="A1804" s="4" t="s">
        <v>37</v>
      </c>
      <c r="B1804" s="3" t="s">
        <v>15</v>
      </c>
      <c r="C1804" s="25">
        <v>39933</v>
      </c>
      <c r="D1804" s="63">
        <v>0.2</v>
      </c>
      <c r="E1804" s="67">
        <v>39994</v>
      </c>
      <c r="F1804" s="26">
        <v>39933</v>
      </c>
      <c r="G1804" s="10">
        <f>IF(Tabela4[[#This Row],[Tipo]]="Dividendo",Tabela4[[#This Row],[Valor]],IF(Tabela4[[#This Row],[Tipo]]="Jrs. Cap. Próprio",Tabela4[[#This Row],[Valor]]*85%,0))</f>
        <v>0.2</v>
      </c>
    </row>
    <row r="1805" spans="1:7" x14ac:dyDescent="0.2">
      <c r="A1805" s="4" t="s">
        <v>37</v>
      </c>
      <c r="B1805" s="3" t="s">
        <v>14</v>
      </c>
      <c r="C1805" s="25">
        <v>39805</v>
      </c>
      <c r="D1805" s="63">
        <v>0.1113</v>
      </c>
      <c r="E1805" s="67">
        <v>39994</v>
      </c>
      <c r="F1805" s="26">
        <v>39805</v>
      </c>
      <c r="G1805" s="10">
        <f>IF(Tabela4[[#This Row],[Tipo]]="Dividendo",Tabela4[[#This Row],[Valor]],IF(Tabela4[[#This Row],[Tipo]]="Jrs. Cap. Próprio",Tabela4[[#This Row],[Valor]]*85%,0))</f>
        <v>9.4604999999999995E-2</v>
      </c>
    </row>
    <row r="1806" spans="1:7" x14ac:dyDescent="0.2">
      <c r="A1806" s="4" t="s">
        <v>37</v>
      </c>
      <c r="B1806" s="3" t="s">
        <v>15</v>
      </c>
      <c r="C1806" s="25">
        <v>39567</v>
      </c>
      <c r="D1806" s="63">
        <v>0.1158</v>
      </c>
      <c r="E1806" s="67">
        <v>39576</v>
      </c>
      <c r="F1806" s="26">
        <v>39567</v>
      </c>
      <c r="G1806" s="10">
        <f>IF(Tabela4[[#This Row],[Tipo]]="Dividendo",Tabela4[[#This Row],[Valor]],IF(Tabela4[[#This Row],[Tipo]]="Jrs. Cap. Próprio",Tabela4[[#This Row],[Valor]]*85%,0))</f>
        <v>0.1158</v>
      </c>
    </row>
    <row r="1807" spans="1:7" x14ac:dyDescent="0.2">
      <c r="A1807" s="4" t="s">
        <v>37</v>
      </c>
      <c r="B1807" s="3" t="s">
        <v>15</v>
      </c>
      <c r="C1807" s="25">
        <v>39202</v>
      </c>
      <c r="D1807" s="63">
        <v>4.4400000000000002E-2</v>
      </c>
      <c r="E1807" s="67">
        <v>39217</v>
      </c>
      <c r="F1807" s="26">
        <v>39202</v>
      </c>
      <c r="G1807" s="10">
        <f>IF(Tabela4[[#This Row],[Tipo]]="Dividendo",Tabela4[[#This Row],[Valor]],IF(Tabela4[[#This Row],[Tipo]]="Jrs. Cap. Próprio",Tabela4[[#This Row],[Valor]]*85%,0))</f>
        <v>4.4400000000000002E-2</v>
      </c>
    </row>
    <row r="1808" spans="1:7" x14ac:dyDescent="0.2">
      <c r="A1808" s="35" t="s">
        <v>58</v>
      </c>
      <c r="B1808" s="35" t="s">
        <v>14</v>
      </c>
      <c r="C1808" s="36">
        <v>41393</v>
      </c>
      <c r="D1808" s="38">
        <v>0.27610000000000001</v>
      </c>
      <c r="E1808" s="37"/>
      <c r="F1808" s="37">
        <v>41393</v>
      </c>
      <c r="G1808" s="38">
        <f>IF(Tabela4[[#This Row],[Tipo]]="Dividendo",Tabela4[[#This Row],[Valor]],IF(Tabela4[[#This Row],[Tipo]]="Jrs. Cap. Próprio",Tabela4[[#This Row],[Valor]]*85%,0))</f>
        <v>0.234685</v>
      </c>
    </row>
    <row r="1809" spans="1:7" x14ac:dyDescent="0.2">
      <c r="A1809" s="35" t="s">
        <v>58</v>
      </c>
      <c r="B1809" s="31" t="s">
        <v>14</v>
      </c>
      <c r="C1809" s="32">
        <v>41040</v>
      </c>
      <c r="D1809" s="34">
        <v>0.2</v>
      </c>
      <c r="E1809" s="33">
        <v>41060</v>
      </c>
      <c r="F1809" s="33">
        <v>41026</v>
      </c>
      <c r="G1809" s="34">
        <f>IF(Tabela4[[#This Row],[Tipo]]="Dividendo",Tabela4[[#This Row],[Valor]],IF(Tabela4[[#This Row],[Tipo]]="Jrs. Cap. Próprio",Tabela4[[#This Row],[Valor]]*85%,0))</f>
        <v>0.17</v>
      </c>
    </row>
    <row r="1810" spans="1:7" x14ac:dyDescent="0.2">
      <c r="A1810" s="35" t="s">
        <v>58</v>
      </c>
      <c r="B1810" s="31" t="s">
        <v>15</v>
      </c>
      <c r="C1810" s="32">
        <v>40987</v>
      </c>
      <c r="D1810" s="34">
        <v>0.1227</v>
      </c>
      <c r="E1810" s="33">
        <v>41047</v>
      </c>
      <c r="F1810" s="33">
        <v>40987</v>
      </c>
      <c r="G1810" s="34">
        <f>IF(Tabela4[[#This Row],[Tipo]]="Dividendo",Tabela4[[#This Row],[Valor]],IF(Tabela4[[#This Row],[Tipo]]="Jrs. Cap. Próprio",Tabela4[[#This Row],[Valor]]*85%,0))</f>
        <v>0.1227</v>
      </c>
    </row>
    <row r="1811" spans="1:7" x14ac:dyDescent="0.2">
      <c r="A1811" s="35" t="s">
        <v>58</v>
      </c>
      <c r="B1811" s="31" t="s">
        <v>14</v>
      </c>
      <c r="C1811" s="32">
        <v>40910</v>
      </c>
      <c r="D1811" s="34">
        <v>0.2</v>
      </c>
      <c r="E1811" s="33">
        <v>40968</v>
      </c>
      <c r="F1811" s="33">
        <v>40899</v>
      </c>
      <c r="G1811" s="34">
        <f>IF(Tabela4[[#This Row],[Tipo]]="Dividendo",Tabela4[[#This Row],[Valor]],IF(Tabela4[[#This Row],[Tipo]]="Jrs. Cap. Próprio",Tabela4[[#This Row],[Valor]]*85%,0))</f>
        <v>0.17</v>
      </c>
    </row>
    <row r="1812" spans="1:7" x14ac:dyDescent="0.2">
      <c r="A1812" s="35" t="s">
        <v>58</v>
      </c>
      <c r="B1812" s="31" t="s">
        <v>14</v>
      </c>
      <c r="C1812" s="32">
        <v>40858</v>
      </c>
      <c r="D1812" s="34">
        <v>0.2</v>
      </c>
      <c r="E1812" s="33">
        <v>40877</v>
      </c>
      <c r="F1812" s="33">
        <v>40844</v>
      </c>
      <c r="G1812" s="34">
        <f>IF(Tabela4[[#This Row],[Tipo]]="Dividendo",Tabela4[[#This Row],[Valor]],IF(Tabela4[[#This Row],[Tipo]]="Jrs. Cap. Próprio",Tabela4[[#This Row],[Valor]]*85%,0))</f>
        <v>0.17</v>
      </c>
    </row>
    <row r="1813" spans="1:7" x14ac:dyDescent="0.2">
      <c r="A1813" s="35" t="s">
        <v>58</v>
      </c>
      <c r="B1813" s="31" t="s">
        <v>14</v>
      </c>
      <c r="C1813" s="32">
        <v>40757</v>
      </c>
      <c r="D1813" s="34">
        <v>0.2</v>
      </c>
      <c r="E1813" s="33">
        <v>40786</v>
      </c>
      <c r="F1813" s="33">
        <v>40746</v>
      </c>
      <c r="G1813" s="34">
        <f>IF(Tabela4[[#This Row],[Tipo]]="Dividendo",Tabela4[[#This Row],[Valor]],IF(Tabela4[[#This Row],[Tipo]]="Jrs. Cap. Próprio",Tabela4[[#This Row],[Valor]]*85%,0))</f>
        <v>0.17</v>
      </c>
    </row>
    <row r="1814" spans="1:7" x14ac:dyDescent="0.2">
      <c r="A1814" s="35" t="s">
        <v>58</v>
      </c>
      <c r="B1814" s="31" t="s">
        <v>14</v>
      </c>
      <c r="C1814" s="32">
        <v>40674</v>
      </c>
      <c r="D1814" s="34">
        <v>0.2</v>
      </c>
      <c r="E1814" s="33">
        <v>40694</v>
      </c>
      <c r="F1814" s="33">
        <v>40662</v>
      </c>
      <c r="G1814" s="34">
        <f>IF(Tabela4[[#This Row],[Tipo]]="Dividendo",Tabela4[[#This Row],[Valor]],IF(Tabela4[[#This Row],[Tipo]]="Jrs. Cap. Próprio",Tabela4[[#This Row],[Valor]]*85%,0))</f>
        <v>0.17</v>
      </c>
    </row>
    <row r="1815" spans="1:7" x14ac:dyDescent="0.2">
      <c r="A1815" s="35" t="s">
        <v>58</v>
      </c>
      <c r="B1815" s="31" t="s">
        <v>15</v>
      </c>
      <c r="C1815" s="32">
        <v>40661</v>
      </c>
      <c r="D1815" s="34">
        <v>0.1242</v>
      </c>
      <c r="E1815" s="33">
        <v>40721</v>
      </c>
      <c r="F1815" s="33">
        <v>40661</v>
      </c>
      <c r="G1815" s="34">
        <f>IF(Tabela4[[#This Row],[Tipo]]="Dividendo",Tabela4[[#This Row],[Valor]],IF(Tabela4[[#This Row],[Tipo]]="Jrs. Cap. Próprio",Tabela4[[#This Row],[Valor]]*85%,0))</f>
        <v>0.1242</v>
      </c>
    </row>
    <row r="1816" spans="1:7" x14ac:dyDescent="0.2">
      <c r="A1816" s="35" t="s">
        <v>58</v>
      </c>
      <c r="B1816" s="31" t="s">
        <v>14</v>
      </c>
      <c r="C1816" s="32">
        <v>40623</v>
      </c>
      <c r="D1816" s="34">
        <v>0.1527</v>
      </c>
      <c r="E1816" s="33">
        <v>40633</v>
      </c>
      <c r="F1816" s="33">
        <v>40623</v>
      </c>
      <c r="G1816" s="34">
        <f>IF(Tabela4[[#This Row],[Tipo]]="Dividendo",Tabela4[[#This Row],[Valor]],IF(Tabela4[[#This Row],[Tipo]]="Jrs. Cap. Próprio",Tabela4[[#This Row],[Valor]]*85%,0))</f>
        <v>0.12979499999999999</v>
      </c>
    </row>
    <row r="1817" spans="1:7" x14ac:dyDescent="0.2">
      <c r="A1817" s="35" t="s">
        <v>58</v>
      </c>
      <c r="B1817" s="31" t="s">
        <v>14</v>
      </c>
      <c r="C1817" s="32">
        <v>40533</v>
      </c>
      <c r="D1817" s="34">
        <v>0.2</v>
      </c>
      <c r="E1817" s="33">
        <v>40542</v>
      </c>
      <c r="F1817" s="33">
        <v>40522</v>
      </c>
      <c r="G1817" s="34">
        <f>IF(Tabela4[[#This Row],[Tipo]]="Dividendo",Tabela4[[#This Row],[Valor]],IF(Tabela4[[#This Row],[Tipo]]="Jrs. Cap. Próprio",Tabela4[[#This Row],[Valor]]*85%,0))</f>
        <v>0.17</v>
      </c>
    </row>
    <row r="1818" spans="1:7" x14ac:dyDescent="0.2">
      <c r="A1818" s="35" t="s">
        <v>58</v>
      </c>
      <c r="B1818" s="31" t="s">
        <v>14</v>
      </c>
      <c r="C1818" s="32">
        <v>40483</v>
      </c>
      <c r="D1818" s="34">
        <v>0.14000000000000001</v>
      </c>
      <c r="E1818" s="33">
        <v>40512</v>
      </c>
      <c r="F1818" s="33">
        <v>40473</v>
      </c>
      <c r="G1818" s="34">
        <f>IF(Tabela4[[#This Row],[Tipo]]="Dividendo",Tabela4[[#This Row],[Valor]],IF(Tabela4[[#This Row],[Tipo]]="Jrs. Cap. Próprio",Tabela4[[#This Row],[Valor]]*85%,0))</f>
        <v>0.11900000000000001</v>
      </c>
    </row>
    <row r="1819" spans="1:7" x14ac:dyDescent="0.2">
      <c r="A1819" s="35" t="s">
        <v>58</v>
      </c>
      <c r="B1819" s="31" t="s">
        <v>14</v>
      </c>
      <c r="C1819" s="32">
        <v>40389</v>
      </c>
      <c r="D1819" s="34">
        <v>0.2</v>
      </c>
      <c r="E1819" s="33">
        <v>40451</v>
      </c>
      <c r="F1819" s="33">
        <v>40375</v>
      </c>
      <c r="G1819" s="34">
        <f>IF(Tabela4[[#This Row],[Tipo]]="Dividendo",Tabela4[[#This Row],[Valor]],IF(Tabela4[[#This Row],[Tipo]]="Jrs. Cap. Próprio",Tabela4[[#This Row],[Valor]]*85%,0))</f>
        <v>0.17</v>
      </c>
    </row>
    <row r="1820" spans="1:7" x14ac:dyDescent="0.2">
      <c r="A1820" s="35" t="s">
        <v>58</v>
      </c>
      <c r="B1820" s="31" t="s">
        <v>14</v>
      </c>
      <c r="C1820" s="32">
        <v>40319</v>
      </c>
      <c r="D1820" s="34">
        <v>0.2</v>
      </c>
      <c r="E1820" s="33">
        <v>40329</v>
      </c>
      <c r="F1820" s="33">
        <v>40312</v>
      </c>
      <c r="G1820" s="34">
        <f>IF(Tabela4[[#This Row],[Tipo]]="Dividendo",Tabela4[[#This Row],[Valor]],IF(Tabela4[[#This Row],[Tipo]]="Jrs. Cap. Próprio",Tabela4[[#This Row],[Valor]]*85%,0))</f>
        <v>0.17</v>
      </c>
    </row>
    <row r="1821" spans="1:7" x14ac:dyDescent="0.2">
      <c r="A1821" s="35" t="s">
        <v>58</v>
      </c>
      <c r="B1821" s="31" t="s">
        <v>14</v>
      </c>
      <c r="C1821" s="32">
        <v>40290</v>
      </c>
      <c r="D1821" s="34">
        <v>0.1203</v>
      </c>
      <c r="E1821" s="33">
        <v>40298</v>
      </c>
      <c r="F1821" s="33">
        <v>40290</v>
      </c>
      <c r="G1821" s="34">
        <f>IF(Tabela4[[#This Row],[Tipo]]="Dividendo",Tabela4[[#This Row],[Valor]],IF(Tabela4[[#This Row],[Tipo]]="Jrs. Cap. Próprio",Tabela4[[#This Row],[Valor]]*85%,0))</f>
        <v>0.102255</v>
      </c>
    </row>
    <row r="1822" spans="1:7" x14ac:dyDescent="0.2">
      <c r="A1822" s="35" t="s">
        <v>58</v>
      </c>
      <c r="B1822" s="31" t="s">
        <v>15</v>
      </c>
      <c r="C1822" s="32">
        <v>40290</v>
      </c>
      <c r="D1822" s="34">
        <v>0.1331</v>
      </c>
      <c r="E1822" s="33">
        <v>40298</v>
      </c>
      <c r="F1822" s="33">
        <v>40290</v>
      </c>
      <c r="G1822" s="34">
        <f>IF(Tabela4[[#This Row],[Tipo]]="Dividendo",Tabela4[[#This Row],[Valor]],IF(Tabela4[[#This Row],[Tipo]]="Jrs. Cap. Próprio",Tabela4[[#This Row],[Valor]]*85%,0))</f>
        <v>0.1331</v>
      </c>
    </row>
    <row r="1823" spans="1:7" x14ac:dyDescent="0.2">
      <c r="A1823" s="35" t="s">
        <v>58</v>
      </c>
      <c r="B1823" s="31" t="s">
        <v>14</v>
      </c>
      <c r="C1823" s="32">
        <v>40165</v>
      </c>
      <c r="D1823" s="34">
        <v>0.2</v>
      </c>
      <c r="E1823" s="33">
        <v>40176</v>
      </c>
      <c r="F1823" s="33">
        <v>40164</v>
      </c>
      <c r="G1823" s="34">
        <f>IF(Tabela4[[#This Row],[Tipo]]="Dividendo",Tabela4[[#This Row],[Valor]],IF(Tabela4[[#This Row],[Tipo]]="Jrs. Cap. Próprio",Tabela4[[#This Row],[Valor]]*85%,0))</f>
        <v>0.17</v>
      </c>
    </row>
    <row r="1824" spans="1:7" x14ac:dyDescent="0.2">
      <c r="A1824" s="35" t="s">
        <v>58</v>
      </c>
      <c r="B1824" s="31" t="s">
        <v>14</v>
      </c>
      <c r="C1824" s="32">
        <v>40086</v>
      </c>
      <c r="D1824" s="34">
        <v>0.2</v>
      </c>
      <c r="E1824" s="33">
        <v>40168</v>
      </c>
      <c r="F1824" s="33">
        <v>40077</v>
      </c>
      <c r="G1824" s="34">
        <f>IF(Tabela4[[#This Row],[Tipo]]="Dividendo",Tabela4[[#This Row],[Valor]],IF(Tabela4[[#This Row],[Tipo]]="Jrs. Cap. Próprio",Tabela4[[#This Row],[Valor]]*85%,0))</f>
        <v>0.17</v>
      </c>
    </row>
    <row r="1825" spans="1:7" x14ac:dyDescent="0.2">
      <c r="A1825" s="35" t="s">
        <v>58</v>
      </c>
      <c r="B1825" s="31" t="s">
        <v>14</v>
      </c>
      <c r="C1825" s="32">
        <v>39997</v>
      </c>
      <c r="D1825" s="34">
        <v>0.3</v>
      </c>
      <c r="E1825" s="33">
        <v>40147</v>
      </c>
      <c r="F1825" s="33">
        <v>39988</v>
      </c>
      <c r="G1825" s="34">
        <f>IF(Tabela4[[#This Row],[Tipo]]="Dividendo",Tabela4[[#This Row],[Valor]],IF(Tabela4[[#This Row],[Tipo]]="Jrs. Cap. Próprio",Tabela4[[#This Row],[Valor]]*85%,0))</f>
        <v>0.255</v>
      </c>
    </row>
    <row r="1826" spans="1:7" x14ac:dyDescent="0.2">
      <c r="A1826" s="35" t="s">
        <v>58</v>
      </c>
      <c r="B1826" s="31" t="s">
        <v>15</v>
      </c>
      <c r="C1826" s="32">
        <v>39911</v>
      </c>
      <c r="D1826" s="34">
        <v>0.34039999999999998</v>
      </c>
      <c r="E1826" s="33">
        <v>40039</v>
      </c>
      <c r="F1826" s="33">
        <v>39911</v>
      </c>
      <c r="G1826" s="34">
        <f>IF(Tabela4[[#This Row],[Tipo]]="Dividendo",Tabela4[[#This Row],[Valor]],IF(Tabela4[[#This Row],[Tipo]]="Jrs. Cap. Próprio",Tabela4[[#This Row],[Valor]]*85%,0))</f>
        <v>0.34039999999999998</v>
      </c>
    </row>
    <row r="1827" spans="1:7" x14ac:dyDescent="0.2">
      <c r="A1827" s="35" t="s">
        <v>58</v>
      </c>
      <c r="B1827" s="31" t="s">
        <v>14</v>
      </c>
      <c r="C1827" s="32">
        <v>39808</v>
      </c>
      <c r="D1827" s="34">
        <v>0.8</v>
      </c>
      <c r="E1827" s="33"/>
      <c r="F1827" s="33">
        <v>39801</v>
      </c>
      <c r="G1827" s="34">
        <f>IF(Tabela4[[#This Row],[Tipo]]="Dividendo",Tabela4[[#This Row],[Valor]],IF(Tabela4[[#This Row],[Tipo]]="Jrs. Cap. Próprio",Tabela4[[#This Row],[Valor]]*85%,0))</f>
        <v>0.68</v>
      </c>
    </row>
    <row r="1828" spans="1:7" x14ac:dyDescent="0.2">
      <c r="A1828" s="35" t="s">
        <v>58</v>
      </c>
      <c r="B1828" s="31" t="s">
        <v>14</v>
      </c>
      <c r="C1828" s="32">
        <v>39542</v>
      </c>
      <c r="D1828" s="34">
        <v>0.15260000000000001</v>
      </c>
      <c r="E1828" s="33">
        <v>39602</v>
      </c>
      <c r="F1828" s="33">
        <v>39542</v>
      </c>
      <c r="G1828" s="34">
        <f>IF(Tabela4[[#This Row],[Tipo]]="Dividendo",Tabela4[[#This Row],[Valor]],IF(Tabela4[[#This Row],[Tipo]]="Jrs. Cap. Próprio",Tabela4[[#This Row],[Valor]]*85%,0))</f>
        <v>0.12971000000000002</v>
      </c>
    </row>
    <row r="1829" spans="1:7" x14ac:dyDescent="0.2">
      <c r="A1829" s="35" t="s">
        <v>58</v>
      </c>
      <c r="B1829" s="31" t="s">
        <v>15</v>
      </c>
      <c r="C1829" s="32">
        <v>39542</v>
      </c>
      <c r="D1829" s="34">
        <v>5.2600000000000001E-2</v>
      </c>
      <c r="E1829" s="33">
        <v>39602</v>
      </c>
      <c r="F1829" s="33">
        <v>39542</v>
      </c>
      <c r="G1829" s="34">
        <f>IF(Tabela4[[#This Row],[Tipo]]="Dividendo",Tabela4[[#This Row],[Valor]],IF(Tabela4[[#This Row],[Tipo]]="Jrs. Cap. Próprio",Tabela4[[#This Row],[Valor]]*85%,0))</f>
        <v>5.2600000000000001E-2</v>
      </c>
    </row>
    <row r="1830" spans="1:7" x14ac:dyDescent="0.2">
      <c r="A1830" s="35" t="s">
        <v>58</v>
      </c>
      <c r="B1830" s="31" t="s">
        <v>14</v>
      </c>
      <c r="C1830" s="32">
        <v>39458</v>
      </c>
      <c r="D1830" s="34">
        <v>0.30099999999999999</v>
      </c>
      <c r="E1830" s="33">
        <v>39568</v>
      </c>
      <c r="F1830" s="33">
        <v>39443</v>
      </c>
      <c r="G1830" s="34">
        <f>IF(Tabela4[[#This Row],[Tipo]]="Dividendo",Tabela4[[#This Row],[Valor]],IF(Tabela4[[#This Row],[Tipo]]="Jrs. Cap. Próprio",Tabela4[[#This Row],[Valor]]*85%,0))</f>
        <v>0.25584999999999997</v>
      </c>
    </row>
    <row r="1831" spans="1:7" x14ac:dyDescent="0.2">
      <c r="A1831" s="35" t="s">
        <v>58</v>
      </c>
      <c r="B1831" s="31" t="s">
        <v>14</v>
      </c>
      <c r="C1831" s="32">
        <v>39360</v>
      </c>
      <c r="D1831" s="34">
        <v>0.5</v>
      </c>
      <c r="E1831" s="33">
        <v>39538</v>
      </c>
      <c r="F1831" s="33">
        <v>39360</v>
      </c>
      <c r="G1831" s="34">
        <f>IF(Tabela4[[#This Row],[Tipo]]="Dividendo",Tabela4[[#This Row],[Valor]],IF(Tabela4[[#This Row],[Tipo]]="Jrs. Cap. Próprio",Tabela4[[#This Row],[Valor]]*85%,0))</f>
        <v>0.42499999999999999</v>
      </c>
    </row>
    <row r="1832" spans="1:7" x14ac:dyDescent="0.2">
      <c r="A1832" s="35" t="s">
        <v>58</v>
      </c>
      <c r="B1832" s="31" t="s">
        <v>14</v>
      </c>
      <c r="C1832" s="32">
        <v>39311</v>
      </c>
      <c r="D1832" s="34">
        <v>0.5</v>
      </c>
      <c r="E1832" s="33">
        <v>39470</v>
      </c>
      <c r="F1832" s="33">
        <v>39288</v>
      </c>
      <c r="G1832" s="34">
        <f>IF(Tabela4[[#This Row],[Tipo]]="Dividendo",Tabela4[[#This Row],[Valor]],IF(Tabela4[[#This Row],[Tipo]]="Jrs. Cap. Próprio",Tabela4[[#This Row],[Valor]]*85%,0))</f>
        <v>0.42499999999999999</v>
      </c>
    </row>
    <row r="1833" spans="1:7" x14ac:dyDescent="0.2">
      <c r="A1833" s="35" t="s">
        <v>58</v>
      </c>
      <c r="B1833" s="31" t="s">
        <v>15</v>
      </c>
      <c r="C1833" s="32">
        <v>39174</v>
      </c>
      <c r="D1833" s="34">
        <v>0.36059999999999998</v>
      </c>
      <c r="E1833" s="33">
        <v>39219</v>
      </c>
      <c r="F1833" s="33">
        <v>39174</v>
      </c>
      <c r="G1833" s="34">
        <f>IF(Tabela4[[#This Row],[Tipo]]="Dividendo",Tabela4[[#This Row],[Valor]],IF(Tabela4[[#This Row],[Tipo]]="Jrs. Cap. Próprio",Tabela4[[#This Row],[Valor]]*85%,0))</f>
        <v>0.36059999999999998</v>
      </c>
    </row>
    <row r="1834" spans="1:7" x14ac:dyDescent="0.2">
      <c r="A1834" s="35" t="s">
        <v>58</v>
      </c>
      <c r="B1834" s="31" t="s">
        <v>14</v>
      </c>
      <c r="C1834" s="32">
        <v>39079</v>
      </c>
      <c r="D1834" s="34">
        <v>0.45</v>
      </c>
      <c r="E1834" s="33">
        <v>39171</v>
      </c>
      <c r="F1834" s="33">
        <v>39066</v>
      </c>
      <c r="G1834" s="34">
        <f>IF(Tabela4[[#This Row],[Tipo]]="Dividendo",Tabela4[[#This Row],[Valor]],IF(Tabela4[[#This Row],[Tipo]]="Jrs. Cap. Próprio",Tabela4[[#This Row],[Valor]]*85%,0))</f>
        <v>0.38250000000000001</v>
      </c>
    </row>
    <row r="1835" spans="1:7" x14ac:dyDescent="0.2">
      <c r="A1835" s="35" t="s">
        <v>58</v>
      </c>
      <c r="B1835" s="31" t="s">
        <v>14</v>
      </c>
      <c r="C1835" s="32">
        <v>39021</v>
      </c>
      <c r="D1835" s="34">
        <v>1</v>
      </c>
      <c r="E1835" s="33">
        <v>39086</v>
      </c>
      <c r="F1835" s="33">
        <v>39010</v>
      </c>
      <c r="G1835" s="34">
        <f>IF(Tabela4[[#This Row],[Tipo]]="Dividendo",Tabela4[[#This Row],[Valor]],IF(Tabela4[[#This Row],[Tipo]]="Jrs. Cap. Próprio",Tabela4[[#This Row],[Valor]]*85%,0))</f>
        <v>0.85</v>
      </c>
    </row>
    <row r="1836" spans="1:7" x14ac:dyDescent="0.2">
      <c r="A1836" s="35" t="s">
        <v>58</v>
      </c>
      <c r="B1836" s="31" t="s">
        <v>14</v>
      </c>
      <c r="C1836" s="32">
        <v>38810</v>
      </c>
      <c r="D1836" s="34">
        <v>0.26240000000000002</v>
      </c>
      <c r="E1836" s="33">
        <v>38860</v>
      </c>
      <c r="F1836" s="33">
        <v>38810</v>
      </c>
      <c r="G1836" s="34">
        <f>IF(Tabela4[[#This Row],[Tipo]]="Dividendo",Tabela4[[#This Row],[Valor]],IF(Tabela4[[#This Row],[Tipo]]="Jrs. Cap. Próprio",Tabela4[[#This Row],[Valor]]*85%,0))</f>
        <v>0.22304000000000002</v>
      </c>
    </row>
    <row r="1837" spans="1:7" x14ac:dyDescent="0.2">
      <c r="A1837" s="35" t="s">
        <v>58</v>
      </c>
      <c r="B1837" s="31" t="s">
        <v>15</v>
      </c>
      <c r="C1837" s="32">
        <v>38810</v>
      </c>
      <c r="D1837" s="34">
        <v>0.3624</v>
      </c>
      <c r="E1837" s="33">
        <v>38860</v>
      </c>
      <c r="F1837" s="33">
        <v>38810</v>
      </c>
      <c r="G1837" s="34">
        <f>IF(Tabela4[[#This Row],[Tipo]]="Dividendo",Tabela4[[#This Row],[Valor]],IF(Tabela4[[#This Row],[Tipo]]="Jrs. Cap. Próprio",Tabela4[[#This Row],[Valor]]*85%,0))</f>
        <v>0.3624</v>
      </c>
    </row>
    <row r="1838" spans="1:7" x14ac:dyDescent="0.2">
      <c r="A1838" s="35" t="s">
        <v>58</v>
      </c>
      <c r="B1838" s="31" t="s">
        <v>14</v>
      </c>
      <c r="C1838" s="32">
        <v>38715</v>
      </c>
      <c r="D1838" s="34">
        <v>0.5</v>
      </c>
      <c r="E1838" s="33">
        <v>38798</v>
      </c>
      <c r="F1838" s="33">
        <v>38702</v>
      </c>
      <c r="G1838" s="34">
        <f>IF(Tabela4[[#This Row],[Tipo]]="Dividendo",Tabela4[[#This Row],[Valor]],IF(Tabela4[[#This Row],[Tipo]]="Jrs. Cap. Próprio",Tabela4[[#This Row],[Valor]]*85%,0))</f>
        <v>0.42499999999999999</v>
      </c>
    </row>
    <row r="1839" spans="1:7" x14ac:dyDescent="0.2">
      <c r="A1839" s="35" t="s">
        <v>58</v>
      </c>
      <c r="B1839" s="31" t="s">
        <v>14</v>
      </c>
      <c r="C1839" s="32">
        <v>38533</v>
      </c>
      <c r="D1839" s="34">
        <v>2</v>
      </c>
      <c r="E1839" s="33">
        <v>38722</v>
      </c>
      <c r="F1839" s="33">
        <v>38533</v>
      </c>
      <c r="G1839" s="34">
        <f>IF(Tabela4[[#This Row],[Tipo]]="Dividendo",Tabela4[[#This Row],[Valor]],IF(Tabela4[[#This Row],[Tipo]]="Jrs. Cap. Próprio",Tabela4[[#This Row],[Valor]]*85%,0))</f>
        <v>1.7</v>
      </c>
    </row>
    <row r="1840" spans="1:7" x14ac:dyDescent="0.2">
      <c r="A1840" s="35" t="s">
        <v>58</v>
      </c>
      <c r="B1840" s="31" t="s">
        <v>14</v>
      </c>
      <c r="C1840" s="32">
        <v>38442</v>
      </c>
      <c r="D1840" s="34">
        <v>1.0341</v>
      </c>
      <c r="E1840" s="33">
        <v>38489</v>
      </c>
      <c r="F1840" s="33">
        <v>38442</v>
      </c>
      <c r="G1840" s="34">
        <f>IF(Tabela4[[#This Row],[Tipo]]="Dividendo",Tabela4[[#This Row],[Valor]],IF(Tabela4[[#This Row],[Tipo]]="Jrs. Cap. Próprio",Tabela4[[#This Row],[Valor]]*85%,0))</f>
        <v>0.87898500000000002</v>
      </c>
    </row>
    <row r="1841" spans="1:7" x14ac:dyDescent="0.2">
      <c r="A1841" s="35" t="s">
        <v>58</v>
      </c>
      <c r="B1841" s="31" t="s">
        <v>15</v>
      </c>
      <c r="C1841" s="32">
        <v>38442</v>
      </c>
      <c r="D1841" s="34">
        <v>0.6341</v>
      </c>
      <c r="E1841" s="33">
        <v>38489</v>
      </c>
      <c r="F1841" s="33">
        <v>38442</v>
      </c>
      <c r="G1841" s="34">
        <f>IF(Tabela4[[#This Row],[Tipo]]="Dividendo",Tabela4[[#This Row],[Valor]],IF(Tabela4[[#This Row],[Tipo]]="Jrs. Cap. Próprio",Tabela4[[#This Row],[Valor]]*85%,0))</f>
        <v>0.6341</v>
      </c>
    </row>
    <row r="1842" spans="1:7" x14ac:dyDescent="0.2">
      <c r="A1842" s="35" t="s">
        <v>58</v>
      </c>
      <c r="B1842" s="31" t="s">
        <v>14</v>
      </c>
      <c r="C1842" s="32">
        <v>38260</v>
      </c>
      <c r="D1842" s="34">
        <v>3</v>
      </c>
      <c r="E1842" s="33">
        <v>38398</v>
      </c>
      <c r="F1842" s="33">
        <v>38247</v>
      </c>
      <c r="G1842" s="34">
        <f>IF(Tabela4[[#This Row],[Tipo]]="Dividendo",Tabela4[[#This Row],[Valor]],IF(Tabela4[[#This Row],[Tipo]]="Jrs. Cap. Próprio",Tabela4[[#This Row],[Valor]]*85%,0))</f>
        <v>2.5499999999999998</v>
      </c>
    </row>
    <row r="1843" spans="1:7" x14ac:dyDescent="0.2">
      <c r="A1843" s="35" t="s">
        <v>58</v>
      </c>
      <c r="B1843" s="31" t="s">
        <v>14</v>
      </c>
      <c r="C1843" s="32">
        <v>38075</v>
      </c>
      <c r="D1843" s="34">
        <v>1.19</v>
      </c>
      <c r="E1843" s="33">
        <v>38128</v>
      </c>
      <c r="F1843" s="33">
        <v>38075</v>
      </c>
      <c r="G1843" s="34">
        <f>IF(Tabela4[[#This Row],[Tipo]]="Dividendo",Tabela4[[#This Row],[Valor]],IF(Tabela4[[#This Row],[Tipo]]="Jrs. Cap. Próprio",Tabela4[[#This Row],[Valor]]*85%,0))</f>
        <v>1.0114999999999998</v>
      </c>
    </row>
    <row r="1844" spans="1:7" x14ac:dyDescent="0.2">
      <c r="A1844" s="35" t="s">
        <v>58</v>
      </c>
      <c r="B1844" s="31" t="s">
        <v>15</v>
      </c>
      <c r="C1844" s="32">
        <v>38075</v>
      </c>
      <c r="D1844" s="34">
        <v>1.04</v>
      </c>
      <c r="E1844" s="33">
        <v>38128</v>
      </c>
      <c r="F1844" s="33">
        <v>38075</v>
      </c>
      <c r="G1844" s="34">
        <f>IF(Tabela4[[#This Row],[Tipo]]="Dividendo",Tabela4[[#This Row],[Valor]],IF(Tabela4[[#This Row],[Tipo]]="Jrs. Cap. Próprio",Tabela4[[#This Row],[Valor]]*85%,0))</f>
        <v>1.04</v>
      </c>
    </row>
    <row r="1845" spans="1:7" x14ac:dyDescent="0.2">
      <c r="A1845" s="35" t="s">
        <v>58</v>
      </c>
      <c r="B1845" s="31" t="s">
        <v>14</v>
      </c>
      <c r="C1845" s="32">
        <v>37950</v>
      </c>
      <c r="D1845" s="34">
        <v>3</v>
      </c>
      <c r="E1845" s="33">
        <v>38030</v>
      </c>
      <c r="F1845" s="33">
        <v>37938</v>
      </c>
      <c r="G1845" s="34">
        <f>IF(Tabela4[[#This Row],[Tipo]]="Dividendo",Tabela4[[#This Row],[Valor]],IF(Tabela4[[#This Row],[Tipo]]="Jrs. Cap. Próprio",Tabela4[[#This Row],[Valor]]*85%,0))</f>
        <v>2.5499999999999998</v>
      </c>
    </row>
    <row r="1846" spans="1:7" x14ac:dyDescent="0.2">
      <c r="A1846" s="35" t="s">
        <v>58</v>
      </c>
      <c r="B1846" s="31" t="s">
        <v>14</v>
      </c>
      <c r="C1846" s="32">
        <v>37707</v>
      </c>
      <c r="D1846" s="34">
        <v>1.0449999999999999</v>
      </c>
      <c r="E1846" s="33">
        <v>37746</v>
      </c>
      <c r="F1846" s="33">
        <v>37707</v>
      </c>
      <c r="G1846" s="34">
        <f>IF(Tabela4[[#This Row],[Tipo]]="Dividendo",Tabela4[[#This Row],[Valor]],IF(Tabela4[[#This Row],[Tipo]]="Jrs. Cap. Próprio",Tabela4[[#This Row],[Valor]]*85%,0))</f>
        <v>0.88824999999999987</v>
      </c>
    </row>
    <row r="1847" spans="1:7" x14ac:dyDescent="0.2">
      <c r="A1847" s="35" t="s">
        <v>58</v>
      </c>
      <c r="B1847" s="31" t="s">
        <v>15</v>
      </c>
      <c r="C1847" s="32">
        <v>37707</v>
      </c>
      <c r="D1847" s="34">
        <v>0.57499999999999996</v>
      </c>
      <c r="E1847" s="33">
        <v>37746</v>
      </c>
      <c r="F1847" s="33">
        <v>37707</v>
      </c>
      <c r="G1847" s="34">
        <f>IF(Tabela4[[#This Row],[Tipo]]="Dividendo",Tabela4[[#This Row],[Valor]],IF(Tabela4[[#This Row],[Tipo]]="Jrs. Cap. Próprio",Tabela4[[#This Row],[Valor]]*85%,0))</f>
        <v>0.57499999999999996</v>
      </c>
    </row>
    <row r="1848" spans="1:7" x14ac:dyDescent="0.2">
      <c r="A1848" s="35" t="s">
        <v>58</v>
      </c>
      <c r="B1848" s="31" t="s">
        <v>14</v>
      </c>
      <c r="C1848" s="32">
        <v>37572</v>
      </c>
      <c r="D1848" s="34">
        <v>1</v>
      </c>
      <c r="E1848" s="33">
        <v>37634</v>
      </c>
      <c r="F1848" s="33">
        <v>37560</v>
      </c>
      <c r="G1848" s="34">
        <f>IF(Tabela4[[#This Row],[Tipo]]="Dividendo",Tabela4[[#This Row],[Valor]],IF(Tabela4[[#This Row],[Tipo]]="Jrs. Cap. Próprio",Tabela4[[#This Row],[Valor]]*85%,0))</f>
        <v>0.85</v>
      </c>
    </row>
    <row r="1849" spans="1:7" x14ac:dyDescent="0.2">
      <c r="A1849" s="35" t="s">
        <v>58</v>
      </c>
      <c r="B1849" s="31" t="s">
        <v>14</v>
      </c>
      <c r="C1849" s="32">
        <v>37337</v>
      </c>
      <c r="D1849" s="34">
        <v>0.93500000000000005</v>
      </c>
      <c r="E1849" s="33">
        <v>37379</v>
      </c>
      <c r="F1849" s="33">
        <v>37337</v>
      </c>
      <c r="G1849" s="34">
        <f>IF(Tabela4[[#This Row],[Tipo]]="Dividendo",Tabela4[[#This Row],[Valor]],IF(Tabela4[[#This Row],[Tipo]]="Jrs. Cap. Próprio",Tabela4[[#This Row],[Valor]]*85%,0))</f>
        <v>0.79475000000000007</v>
      </c>
    </row>
    <row r="1850" spans="1:7" x14ac:dyDescent="0.2">
      <c r="A1850" s="35" t="s">
        <v>58</v>
      </c>
      <c r="B1850" s="31" t="s">
        <v>15</v>
      </c>
      <c r="C1850" s="32">
        <v>37337</v>
      </c>
      <c r="D1850" s="34">
        <v>1.345</v>
      </c>
      <c r="E1850" s="33">
        <v>37379</v>
      </c>
      <c r="F1850" s="33">
        <v>37337</v>
      </c>
      <c r="G1850" s="34">
        <f>IF(Tabela4[[#This Row],[Tipo]]="Dividendo",Tabela4[[#This Row],[Valor]],IF(Tabela4[[#This Row],[Tipo]]="Jrs. Cap. Próprio",Tabela4[[#This Row],[Valor]]*85%,0))</f>
        <v>1.345</v>
      </c>
    </row>
    <row r="1851" spans="1:7" x14ac:dyDescent="0.2">
      <c r="A1851" s="35" t="s">
        <v>58</v>
      </c>
      <c r="B1851" s="31" t="s">
        <v>15</v>
      </c>
      <c r="C1851" s="32">
        <v>37106</v>
      </c>
      <c r="D1851" s="34">
        <v>0.03</v>
      </c>
      <c r="E1851" s="33">
        <v>37125</v>
      </c>
      <c r="F1851" s="33">
        <v>37106</v>
      </c>
      <c r="G1851" s="34">
        <f>IF(Tabela4[[#This Row],[Tipo]]="Dividendo",Tabela4[[#This Row],[Valor]],IF(Tabela4[[#This Row],[Tipo]]="Jrs. Cap. Próprio",Tabela4[[#This Row],[Valor]]*85%,0))</f>
        <v>0.03</v>
      </c>
    </row>
    <row r="1852" spans="1:7" x14ac:dyDescent="0.2">
      <c r="A1852" s="35" t="s">
        <v>58</v>
      </c>
      <c r="B1852" s="31" t="s">
        <v>14</v>
      </c>
      <c r="C1852" s="32">
        <v>37071</v>
      </c>
      <c r="D1852" s="34">
        <v>1.02</v>
      </c>
      <c r="E1852" s="33">
        <v>37125</v>
      </c>
      <c r="F1852" s="33">
        <v>37071</v>
      </c>
      <c r="G1852" s="34">
        <f>IF(Tabela4[[#This Row],[Tipo]]="Dividendo",Tabela4[[#This Row],[Valor]],IF(Tabela4[[#This Row],[Tipo]]="Jrs. Cap. Próprio",Tabela4[[#This Row],[Valor]]*85%,0))</f>
        <v>0.86699999999999999</v>
      </c>
    </row>
    <row r="1853" spans="1:7" x14ac:dyDescent="0.2">
      <c r="A1853" s="35" t="s">
        <v>58</v>
      </c>
      <c r="B1853" s="31" t="s">
        <v>14</v>
      </c>
      <c r="C1853" s="32">
        <v>36973</v>
      </c>
      <c r="D1853" s="34">
        <v>1.7050000000000001</v>
      </c>
      <c r="E1853" s="33">
        <v>37015</v>
      </c>
      <c r="F1853" s="33">
        <v>36973</v>
      </c>
      <c r="G1853" s="34">
        <f>IF(Tabela4[[#This Row],[Tipo]]="Dividendo",Tabela4[[#This Row],[Valor]],IF(Tabela4[[#This Row],[Tipo]]="Jrs. Cap. Próprio",Tabela4[[#This Row],[Valor]]*85%,0))</f>
        <v>1.4492499999999999</v>
      </c>
    </row>
    <row r="1854" spans="1:7" x14ac:dyDescent="0.2">
      <c r="A1854" s="35" t="s">
        <v>58</v>
      </c>
      <c r="B1854" s="31" t="s">
        <v>15</v>
      </c>
      <c r="C1854" s="32">
        <v>36973</v>
      </c>
      <c r="D1854" s="34">
        <v>0.60499999999999998</v>
      </c>
      <c r="E1854" s="33">
        <v>37015</v>
      </c>
      <c r="F1854" s="33">
        <v>36973</v>
      </c>
      <c r="G1854" s="34">
        <f>IF(Tabela4[[#This Row],[Tipo]]="Dividendo",Tabela4[[#This Row],[Valor]],IF(Tabela4[[#This Row],[Tipo]]="Jrs. Cap. Próprio",Tabela4[[#This Row],[Valor]]*85%,0))</f>
        <v>0.60499999999999998</v>
      </c>
    </row>
    <row r="1855" spans="1:7" x14ac:dyDescent="0.2">
      <c r="A1855" s="35" t="s">
        <v>58</v>
      </c>
      <c r="B1855" s="31" t="s">
        <v>14</v>
      </c>
      <c r="C1855" s="32">
        <v>36608</v>
      </c>
      <c r="D1855" s="34">
        <v>4.4249999999999998</v>
      </c>
      <c r="E1855" s="33">
        <v>36665</v>
      </c>
      <c r="F1855" s="33">
        <v>36608</v>
      </c>
      <c r="G1855" s="34">
        <f>IF(Tabela4[[#This Row],[Tipo]]="Dividendo",Tabela4[[#This Row],[Valor]],IF(Tabela4[[#This Row],[Tipo]]="Jrs. Cap. Próprio",Tabela4[[#This Row],[Valor]]*85%,0))</f>
        <v>3.7612499999999995</v>
      </c>
    </row>
    <row r="1856" spans="1:7" x14ac:dyDescent="0.2">
      <c r="A1856" s="35" t="s">
        <v>58</v>
      </c>
      <c r="B1856" s="31" t="s">
        <v>15</v>
      </c>
      <c r="C1856" s="32">
        <v>36608</v>
      </c>
      <c r="D1856" s="34">
        <v>3.7349999999999999</v>
      </c>
      <c r="E1856" s="33">
        <v>36665</v>
      </c>
      <c r="F1856" s="33">
        <v>36608</v>
      </c>
      <c r="G1856" s="34">
        <f>IF(Tabela4[[#This Row],[Tipo]]="Dividendo",Tabela4[[#This Row],[Valor]],IF(Tabela4[[#This Row],[Tipo]]="Jrs. Cap. Próprio",Tabela4[[#This Row],[Valor]]*85%,0))</f>
        <v>3.7349999999999999</v>
      </c>
    </row>
    <row r="1857" spans="1:7" x14ac:dyDescent="0.2">
      <c r="A1857" s="35" t="s">
        <v>58</v>
      </c>
      <c r="B1857" s="31" t="s">
        <v>14</v>
      </c>
      <c r="C1857" s="32">
        <v>36243</v>
      </c>
      <c r="D1857" s="34">
        <v>4.5514999999999999</v>
      </c>
      <c r="E1857" s="33"/>
      <c r="F1857" s="33">
        <v>36243</v>
      </c>
      <c r="G1857" s="34">
        <f>IF(Tabela4[[#This Row],[Tipo]]="Dividendo",Tabela4[[#This Row],[Valor]],IF(Tabela4[[#This Row],[Tipo]]="Jrs. Cap. Próprio",Tabela4[[#This Row],[Valor]]*85%,0))</f>
        <v>3.8687749999999999</v>
      </c>
    </row>
    <row r="1858" spans="1:7" x14ac:dyDescent="0.2">
      <c r="A1858" s="35" t="s">
        <v>58</v>
      </c>
      <c r="B1858" s="31" t="s">
        <v>15</v>
      </c>
      <c r="C1858" s="32">
        <v>36243</v>
      </c>
      <c r="D1858" s="34">
        <v>0.10730000000000001</v>
      </c>
      <c r="E1858" s="33"/>
      <c r="F1858" s="33">
        <v>36243</v>
      </c>
      <c r="G1858" s="34">
        <f>IF(Tabela4[[#This Row],[Tipo]]="Dividendo",Tabela4[[#This Row],[Valor]],IF(Tabela4[[#This Row],[Tipo]]="Jrs. Cap. Próprio",Tabela4[[#This Row],[Valor]]*85%,0))</f>
        <v>0.10730000000000001</v>
      </c>
    </row>
    <row r="1859" spans="1:7" x14ac:dyDescent="0.2">
      <c r="A1859" s="35" t="s">
        <v>58</v>
      </c>
      <c r="B1859" s="31" t="s">
        <v>15</v>
      </c>
      <c r="C1859" s="32">
        <v>35878</v>
      </c>
      <c r="D1859" s="34">
        <v>1.7842</v>
      </c>
      <c r="E1859" s="33"/>
      <c r="F1859" s="33">
        <v>35878</v>
      </c>
      <c r="G1859" s="34">
        <f>IF(Tabela4[[#This Row],[Tipo]]="Dividendo",Tabela4[[#This Row],[Valor]],IF(Tabela4[[#This Row],[Tipo]]="Jrs. Cap. Próprio",Tabela4[[#This Row],[Valor]]*85%,0))</f>
        <v>1.7842</v>
      </c>
    </row>
    <row r="1860" spans="1:7" x14ac:dyDescent="0.2">
      <c r="A1860" s="35" t="s">
        <v>58</v>
      </c>
      <c r="B1860" s="31" t="s">
        <v>15</v>
      </c>
      <c r="C1860" s="32">
        <v>35510</v>
      </c>
      <c r="D1860" s="34">
        <v>1.4396</v>
      </c>
      <c r="E1860" s="33"/>
      <c r="F1860" s="33">
        <v>35510</v>
      </c>
      <c r="G1860" s="34">
        <f>IF(Tabela4[[#This Row],[Tipo]]="Dividendo",Tabela4[[#This Row],[Valor]],IF(Tabela4[[#This Row],[Tipo]]="Jrs. Cap. Próprio",Tabela4[[#This Row],[Valor]]*85%,0))</f>
        <v>1.4396</v>
      </c>
    </row>
    <row r="1861" spans="1:7" x14ac:dyDescent="0.2">
      <c r="A1861" s="35" t="s">
        <v>58</v>
      </c>
      <c r="B1861" s="31" t="s">
        <v>15</v>
      </c>
      <c r="C1861" s="32">
        <v>35145</v>
      </c>
      <c r="D1861" s="34">
        <v>0.98819999999999997</v>
      </c>
      <c r="E1861" s="33"/>
      <c r="F1861" s="33">
        <v>35145</v>
      </c>
      <c r="G1861" s="34">
        <f>IF(Tabela4[[#This Row],[Tipo]]="Dividendo",Tabela4[[#This Row],[Valor]],IF(Tabela4[[#This Row],[Tipo]]="Jrs. Cap. Próprio",Tabela4[[#This Row],[Valor]]*85%,0))</f>
        <v>0.98819999999999997</v>
      </c>
    </row>
    <row r="1862" spans="1:7" x14ac:dyDescent="0.2">
      <c r="A1862" s="35" t="s">
        <v>59</v>
      </c>
      <c r="B1862" s="35" t="s">
        <v>14</v>
      </c>
      <c r="C1862" s="36">
        <v>41393</v>
      </c>
      <c r="D1862" s="38">
        <v>0.77710000000000001</v>
      </c>
      <c r="E1862" s="37"/>
      <c r="F1862" s="37">
        <v>41393</v>
      </c>
      <c r="G1862" s="38">
        <f>IF(Tabela4[[#This Row],[Tipo]]="Dividendo",Tabela4[[#This Row],[Valor]],IF(Tabela4[[#This Row],[Tipo]]="Jrs. Cap. Próprio",Tabela4[[#This Row],[Valor]]*85%,0))</f>
        <v>0.66053499999999998</v>
      </c>
    </row>
    <row r="1863" spans="1:7" x14ac:dyDescent="0.2">
      <c r="A1863" s="35" t="s">
        <v>59</v>
      </c>
      <c r="B1863" s="31" t="s">
        <v>14</v>
      </c>
      <c r="C1863" s="32">
        <v>41040</v>
      </c>
      <c r="D1863" s="34">
        <v>0.2</v>
      </c>
      <c r="E1863" s="33">
        <v>41060</v>
      </c>
      <c r="F1863" s="33">
        <v>41026</v>
      </c>
      <c r="G1863" s="34">
        <f>IF(Tabela4[[#This Row],[Tipo]]="Dividendo",Tabela4[[#This Row],[Valor]],IF(Tabela4[[#This Row],[Tipo]]="Jrs. Cap. Próprio",Tabela4[[#This Row],[Valor]]*85%,0))</f>
        <v>0.17</v>
      </c>
    </row>
    <row r="1864" spans="1:7" x14ac:dyDescent="0.2">
      <c r="A1864" s="35" t="s">
        <v>59</v>
      </c>
      <c r="B1864" s="31" t="s">
        <v>15</v>
      </c>
      <c r="C1864" s="32">
        <v>40987</v>
      </c>
      <c r="D1864" s="34">
        <v>0.1227</v>
      </c>
      <c r="E1864" s="33">
        <v>41047</v>
      </c>
      <c r="F1864" s="33">
        <v>40987</v>
      </c>
      <c r="G1864" s="34">
        <f>IF(Tabela4[[#This Row],[Tipo]]="Dividendo",Tabela4[[#This Row],[Valor]],IF(Tabela4[[#This Row],[Tipo]]="Jrs. Cap. Próprio",Tabela4[[#This Row],[Valor]]*85%,0))</f>
        <v>0.1227</v>
      </c>
    </row>
    <row r="1865" spans="1:7" x14ac:dyDescent="0.2">
      <c r="A1865" s="35" t="s">
        <v>59</v>
      </c>
      <c r="B1865" s="31" t="s">
        <v>14</v>
      </c>
      <c r="C1865" s="32">
        <v>40910</v>
      </c>
      <c r="D1865" s="34">
        <v>0.2</v>
      </c>
      <c r="E1865" s="33">
        <v>40968</v>
      </c>
      <c r="F1865" s="33">
        <v>40899</v>
      </c>
      <c r="G1865" s="34">
        <f>IF(Tabela4[[#This Row],[Tipo]]="Dividendo",Tabela4[[#This Row],[Valor]],IF(Tabela4[[#This Row],[Tipo]]="Jrs. Cap. Próprio",Tabela4[[#This Row],[Valor]]*85%,0))</f>
        <v>0.17</v>
      </c>
    </row>
    <row r="1866" spans="1:7" x14ac:dyDescent="0.2">
      <c r="A1866" s="35" t="s">
        <v>59</v>
      </c>
      <c r="B1866" s="31" t="s">
        <v>14</v>
      </c>
      <c r="C1866" s="32">
        <v>40858</v>
      </c>
      <c r="D1866" s="34">
        <v>0.2</v>
      </c>
      <c r="E1866" s="33">
        <v>40877</v>
      </c>
      <c r="F1866" s="33">
        <v>40844</v>
      </c>
      <c r="G1866" s="34">
        <f>IF(Tabela4[[#This Row],[Tipo]]="Dividendo",Tabela4[[#This Row],[Valor]],IF(Tabela4[[#This Row],[Tipo]]="Jrs. Cap. Próprio",Tabela4[[#This Row],[Valor]]*85%,0))</f>
        <v>0.17</v>
      </c>
    </row>
    <row r="1867" spans="1:7" x14ac:dyDescent="0.2">
      <c r="A1867" s="35" t="s">
        <v>59</v>
      </c>
      <c r="B1867" s="31" t="s">
        <v>14</v>
      </c>
      <c r="C1867" s="32">
        <v>40757</v>
      </c>
      <c r="D1867" s="34">
        <v>0.2</v>
      </c>
      <c r="E1867" s="33">
        <v>40786</v>
      </c>
      <c r="F1867" s="33">
        <v>40746</v>
      </c>
      <c r="G1867" s="34">
        <f>IF(Tabela4[[#This Row],[Tipo]]="Dividendo",Tabela4[[#This Row],[Valor]],IF(Tabela4[[#This Row],[Tipo]]="Jrs. Cap. Próprio",Tabela4[[#This Row],[Valor]]*85%,0))</f>
        <v>0.17</v>
      </c>
    </row>
    <row r="1868" spans="1:7" x14ac:dyDescent="0.2">
      <c r="A1868" s="35" t="s">
        <v>59</v>
      </c>
      <c r="B1868" s="31" t="s">
        <v>14</v>
      </c>
      <c r="C1868" s="32">
        <v>40674</v>
      </c>
      <c r="D1868" s="34">
        <v>0.2</v>
      </c>
      <c r="E1868" s="33">
        <v>40694</v>
      </c>
      <c r="F1868" s="33">
        <v>40662</v>
      </c>
      <c r="G1868" s="34">
        <f>IF(Tabela4[[#This Row],[Tipo]]="Dividendo",Tabela4[[#This Row],[Valor]],IF(Tabela4[[#This Row],[Tipo]]="Jrs. Cap. Próprio",Tabela4[[#This Row],[Valor]]*85%,0))</f>
        <v>0.17</v>
      </c>
    </row>
    <row r="1869" spans="1:7" x14ac:dyDescent="0.2">
      <c r="A1869" s="35" t="s">
        <v>59</v>
      </c>
      <c r="B1869" s="31" t="s">
        <v>15</v>
      </c>
      <c r="C1869" s="32">
        <v>40661</v>
      </c>
      <c r="D1869" s="34">
        <v>0.1242</v>
      </c>
      <c r="E1869" s="33">
        <v>40721</v>
      </c>
      <c r="F1869" s="33">
        <v>40661</v>
      </c>
      <c r="G1869" s="34">
        <f>IF(Tabela4[[#This Row],[Tipo]]="Dividendo",Tabela4[[#This Row],[Valor]],IF(Tabela4[[#This Row],[Tipo]]="Jrs. Cap. Próprio",Tabela4[[#This Row],[Valor]]*85%,0))</f>
        <v>0.1242</v>
      </c>
    </row>
    <row r="1870" spans="1:7" x14ac:dyDescent="0.2">
      <c r="A1870" s="35" t="s">
        <v>59</v>
      </c>
      <c r="B1870" s="31" t="s">
        <v>14</v>
      </c>
      <c r="C1870" s="32">
        <v>40623</v>
      </c>
      <c r="D1870" s="34">
        <v>0.1527</v>
      </c>
      <c r="E1870" s="33">
        <v>40633</v>
      </c>
      <c r="F1870" s="33">
        <v>40623</v>
      </c>
      <c r="G1870" s="34">
        <f>IF(Tabela4[[#This Row],[Tipo]]="Dividendo",Tabela4[[#This Row],[Valor]],IF(Tabela4[[#This Row],[Tipo]]="Jrs. Cap. Próprio",Tabela4[[#This Row],[Valor]]*85%,0))</f>
        <v>0.12979499999999999</v>
      </c>
    </row>
    <row r="1871" spans="1:7" x14ac:dyDescent="0.2">
      <c r="A1871" s="35" t="s">
        <v>59</v>
      </c>
      <c r="B1871" s="31" t="s">
        <v>14</v>
      </c>
      <c r="C1871" s="32">
        <v>40533</v>
      </c>
      <c r="D1871" s="34">
        <v>0.2</v>
      </c>
      <c r="E1871" s="33">
        <v>40542</v>
      </c>
      <c r="F1871" s="33">
        <v>40522</v>
      </c>
      <c r="G1871" s="34">
        <f>IF(Tabela4[[#This Row],[Tipo]]="Dividendo",Tabela4[[#This Row],[Valor]],IF(Tabela4[[#This Row],[Tipo]]="Jrs. Cap. Próprio",Tabela4[[#This Row],[Valor]]*85%,0))</f>
        <v>0.17</v>
      </c>
    </row>
    <row r="1872" spans="1:7" x14ac:dyDescent="0.2">
      <c r="A1872" s="35" t="s">
        <v>59</v>
      </c>
      <c r="B1872" s="31" t="s">
        <v>14</v>
      </c>
      <c r="C1872" s="32">
        <v>40483</v>
      </c>
      <c r="D1872" s="34">
        <v>0.14000000000000001</v>
      </c>
      <c r="E1872" s="33">
        <v>40512</v>
      </c>
      <c r="F1872" s="33">
        <v>40473</v>
      </c>
      <c r="G1872" s="34">
        <f>IF(Tabela4[[#This Row],[Tipo]]="Dividendo",Tabela4[[#This Row],[Valor]],IF(Tabela4[[#This Row],[Tipo]]="Jrs. Cap. Próprio",Tabela4[[#This Row],[Valor]]*85%,0))</f>
        <v>0.11900000000000001</v>
      </c>
    </row>
    <row r="1873" spans="1:7" x14ac:dyDescent="0.2">
      <c r="A1873" s="35" t="s">
        <v>59</v>
      </c>
      <c r="B1873" s="31" t="s">
        <v>14</v>
      </c>
      <c r="C1873" s="32">
        <v>40389</v>
      </c>
      <c r="D1873" s="34">
        <v>0.2</v>
      </c>
      <c r="E1873" s="33">
        <v>40421</v>
      </c>
      <c r="F1873" s="33">
        <v>40375</v>
      </c>
      <c r="G1873" s="34">
        <f>IF(Tabela4[[#This Row],[Tipo]]="Dividendo",Tabela4[[#This Row],[Valor]],IF(Tabela4[[#This Row],[Tipo]]="Jrs. Cap. Próprio",Tabela4[[#This Row],[Valor]]*85%,0))</f>
        <v>0.17</v>
      </c>
    </row>
    <row r="1874" spans="1:7" x14ac:dyDescent="0.2">
      <c r="A1874" s="35" t="s">
        <v>59</v>
      </c>
      <c r="B1874" s="31" t="s">
        <v>14</v>
      </c>
      <c r="C1874" s="32">
        <v>40319</v>
      </c>
      <c r="D1874" s="34">
        <v>0.2</v>
      </c>
      <c r="E1874" s="33">
        <v>40329</v>
      </c>
      <c r="F1874" s="33">
        <v>40312</v>
      </c>
      <c r="G1874" s="34">
        <f>IF(Tabela4[[#This Row],[Tipo]]="Dividendo",Tabela4[[#This Row],[Valor]],IF(Tabela4[[#This Row],[Tipo]]="Jrs. Cap. Próprio",Tabela4[[#This Row],[Valor]]*85%,0))</f>
        <v>0.17</v>
      </c>
    </row>
    <row r="1875" spans="1:7" x14ac:dyDescent="0.2">
      <c r="A1875" s="35" t="s">
        <v>59</v>
      </c>
      <c r="B1875" s="31" t="s">
        <v>14</v>
      </c>
      <c r="C1875" s="32">
        <v>40290</v>
      </c>
      <c r="D1875" s="34">
        <v>0.1203</v>
      </c>
      <c r="E1875" s="33">
        <v>40298</v>
      </c>
      <c r="F1875" s="33">
        <v>40290</v>
      </c>
      <c r="G1875" s="34">
        <f>IF(Tabela4[[#This Row],[Tipo]]="Dividendo",Tabela4[[#This Row],[Valor]],IF(Tabela4[[#This Row],[Tipo]]="Jrs. Cap. Próprio",Tabela4[[#This Row],[Valor]]*85%,0))</f>
        <v>0.102255</v>
      </c>
    </row>
    <row r="1876" spans="1:7" x14ac:dyDescent="0.2">
      <c r="A1876" s="35" t="s">
        <v>59</v>
      </c>
      <c r="B1876" s="31" t="s">
        <v>15</v>
      </c>
      <c r="C1876" s="32">
        <v>40290</v>
      </c>
      <c r="D1876" s="34">
        <v>0.1331</v>
      </c>
      <c r="E1876" s="33">
        <v>40298</v>
      </c>
      <c r="F1876" s="33">
        <v>40290</v>
      </c>
      <c r="G1876" s="34">
        <f>IF(Tabela4[[#This Row],[Tipo]]="Dividendo",Tabela4[[#This Row],[Valor]],IF(Tabela4[[#This Row],[Tipo]]="Jrs. Cap. Próprio",Tabela4[[#This Row],[Valor]]*85%,0))</f>
        <v>0.1331</v>
      </c>
    </row>
    <row r="1877" spans="1:7" x14ac:dyDescent="0.2">
      <c r="A1877" s="35" t="s">
        <v>59</v>
      </c>
      <c r="B1877" s="31" t="s">
        <v>14</v>
      </c>
      <c r="C1877" s="32">
        <v>40165</v>
      </c>
      <c r="D1877" s="34">
        <v>0.2</v>
      </c>
      <c r="E1877" s="33">
        <v>40176</v>
      </c>
      <c r="F1877" s="33">
        <v>40164</v>
      </c>
      <c r="G1877" s="34">
        <f>IF(Tabela4[[#This Row],[Tipo]]="Dividendo",Tabela4[[#This Row],[Valor]],IF(Tabela4[[#This Row],[Tipo]]="Jrs. Cap. Próprio",Tabela4[[#This Row],[Valor]]*85%,0))</f>
        <v>0.17</v>
      </c>
    </row>
    <row r="1878" spans="1:7" x14ac:dyDescent="0.2">
      <c r="A1878" s="35" t="s">
        <v>59</v>
      </c>
      <c r="B1878" s="31" t="s">
        <v>14</v>
      </c>
      <c r="C1878" s="32">
        <v>40086</v>
      </c>
      <c r="D1878" s="34">
        <v>0.2</v>
      </c>
      <c r="E1878" s="33">
        <v>40168</v>
      </c>
      <c r="F1878" s="33">
        <v>40077</v>
      </c>
      <c r="G1878" s="34">
        <f>IF(Tabela4[[#This Row],[Tipo]]="Dividendo",Tabela4[[#This Row],[Valor]],IF(Tabela4[[#This Row],[Tipo]]="Jrs. Cap. Próprio",Tabela4[[#This Row],[Valor]]*85%,0))</f>
        <v>0.17</v>
      </c>
    </row>
    <row r="1879" spans="1:7" x14ac:dyDescent="0.2">
      <c r="A1879" s="35" t="s">
        <v>59</v>
      </c>
      <c r="B1879" s="31" t="s">
        <v>14</v>
      </c>
      <c r="C1879" s="32">
        <v>39997</v>
      </c>
      <c r="D1879" s="34">
        <v>0.3</v>
      </c>
      <c r="E1879" s="33">
        <v>40147</v>
      </c>
      <c r="F1879" s="33">
        <v>39988</v>
      </c>
      <c r="G1879" s="34">
        <f>IF(Tabela4[[#This Row],[Tipo]]="Dividendo",Tabela4[[#This Row],[Valor]],IF(Tabela4[[#This Row],[Tipo]]="Jrs. Cap. Próprio",Tabela4[[#This Row],[Valor]]*85%,0))</f>
        <v>0.255</v>
      </c>
    </row>
    <row r="1880" spans="1:7" x14ac:dyDescent="0.2">
      <c r="A1880" s="35" t="s">
        <v>59</v>
      </c>
      <c r="B1880" s="31" t="s">
        <v>15</v>
      </c>
      <c r="C1880" s="32">
        <v>39911</v>
      </c>
      <c r="D1880" s="34">
        <v>0.34039999999999998</v>
      </c>
      <c r="E1880" s="33">
        <v>40039</v>
      </c>
      <c r="F1880" s="33">
        <v>39911</v>
      </c>
      <c r="G1880" s="34">
        <f>IF(Tabela4[[#This Row],[Tipo]]="Dividendo",Tabela4[[#This Row],[Valor]],IF(Tabela4[[#This Row],[Tipo]]="Jrs. Cap. Próprio",Tabela4[[#This Row],[Valor]]*85%,0))</f>
        <v>0.34039999999999998</v>
      </c>
    </row>
    <row r="1881" spans="1:7" x14ac:dyDescent="0.2">
      <c r="A1881" s="35" t="s">
        <v>59</v>
      </c>
      <c r="B1881" s="31" t="s">
        <v>14</v>
      </c>
      <c r="C1881" s="32">
        <v>39808</v>
      </c>
      <c r="D1881" s="34">
        <v>0.8</v>
      </c>
      <c r="E1881" s="33"/>
      <c r="F1881" s="33">
        <v>39801</v>
      </c>
      <c r="G1881" s="34">
        <f>IF(Tabela4[[#This Row],[Tipo]]="Dividendo",Tabela4[[#This Row],[Valor]],IF(Tabela4[[#This Row],[Tipo]]="Jrs. Cap. Próprio",Tabela4[[#This Row],[Valor]]*85%,0))</f>
        <v>0.68</v>
      </c>
    </row>
    <row r="1882" spans="1:7" x14ac:dyDescent="0.2">
      <c r="A1882" s="35" t="s">
        <v>59</v>
      </c>
      <c r="B1882" s="31" t="s">
        <v>14</v>
      </c>
      <c r="C1882" s="32">
        <v>39542</v>
      </c>
      <c r="D1882" s="34">
        <v>0.15260000000000001</v>
      </c>
      <c r="E1882" s="33">
        <v>39602</v>
      </c>
      <c r="F1882" s="33">
        <v>39542</v>
      </c>
      <c r="G1882" s="34">
        <f>IF(Tabela4[[#This Row],[Tipo]]="Dividendo",Tabela4[[#This Row],[Valor]],IF(Tabela4[[#This Row],[Tipo]]="Jrs. Cap. Próprio",Tabela4[[#This Row],[Valor]]*85%,0))</f>
        <v>0.12971000000000002</v>
      </c>
    </row>
    <row r="1883" spans="1:7" x14ac:dyDescent="0.2">
      <c r="A1883" s="35" t="s">
        <v>59</v>
      </c>
      <c r="B1883" s="31" t="s">
        <v>15</v>
      </c>
      <c r="C1883" s="32">
        <v>39542</v>
      </c>
      <c r="D1883" s="34">
        <v>5.2600000000000001E-2</v>
      </c>
      <c r="E1883" s="33">
        <v>39602</v>
      </c>
      <c r="F1883" s="33">
        <v>39542</v>
      </c>
      <c r="G1883" s="34">
        <f>IF(Tabela4[[#This Row],[Tipo]]="Dividendo",Tabela4[[#This Row],[Valor]],IF(Tabela4[[#This Row],[Tipo]]="Jrs. Cap. Próprio",Tabela4[[#This Row],[Valor]]*85%,0))</f>
        <v>5.2600000000000001E-2</v>
      </c>
    </row>
    <row r="1884" spans="1:7" x14ac:dyDescent="0.2">
      <c r="A1884" s="35" t="s">
        <v>59</v>
      </c>
      <c r="B1884" s="31" t="s">
        <v>14</v>
      </c>
      <c r="C1884" s="32">
        <v>39458</v>
      </c>
      <c r="D1884" s="34">
        <v>0.30099999999999999</v>
      </c>
      <c r="E1884" s="33">
        <v>39568</v>
      </c>
      <c r="F1884" s="33">
        <v>39443</v>
      </c>
      <c r="G1884" s="34">
        <f>IF(Tabela4[[#This Row],[Tipo]]="Dividendo",Tabela4[[#This Row],[Valor]],IF(Tabela4[[#This Row],[Tipo]]="Jrs. Cap. Próprio",Tabela4[[#This Row],[Valor]]*85%,0))</f>
        <v>0.25584999999999997</v>
      </c>
    </row>
    <row r="1885" spans="1:7" x14ac:dyDescent="0.2">
      <c r="A1885" s="35" t="s">
        <v>59</v>
      </c>
      <c r="B1885" s="31" t="s">
        <v>14</v>
      </c>
      <c r="C1885" s="32">
        <v>39360</v>
      </c>
      <c r="D1885" s="34">
        <v>0.5</v>
      </c>
      <c r="E1885" s="33">
        <v>39538</v>
      </c>
      <c r="F1885" s="33">
        <v>39360</v>
      </c>
      <c r="G1885" s="34">
        <f>IF(Tabela4[[#This Row],[Tipo]]="Dividendo",Tabela4[[#This Row],[Valor]],IF(Tabela4[[#This Row],[Tipo]]="Jrs. Cap. Próprio",Tabela4[[#This Row],[Valor]]*85%,0))</f>
        <v>0.42499999999999999</v>
      </c>
    </row>
    <row r="1886" spans="1:7" x14ac:dyDescent="0.2">
      <c r="A1886" s="35" t="s">
        <v>59</v>
      </c>
      <c r="B1886" s="31" t="s">
        <v>14</v>
      </c>
      <c r="C1886" s="32">
        <v>39311</v>
      </c>
      <c r="D1886" s="34">
        <v>0.5</v>
      </c>
      <c r="E1886" s="33">
        <v>39470</v>
      </c>
      <c r="F1886" s="33">
        <v>39288</v>
      </c>
      <c r="G1886" s="34">
        <f>IF(Tabela4[[#This Row],[Tipo]]="Dividendo",Tabela4[[#This Row],[Valor]],IF(Tabela4[[#This Row],[Tipo]]="Jrs. Cap. Próprio",Tabela4[[#This Row],[Valor]]*85%,0))</f>
        <v>0.42499999999999999</v>
      </c>
    </row>
    <row r="1887" spans="1:7" x14ac:dyDescent="0.2">
      <c r="A1887" s="35" t="s">
        <v>59</v>
      </c>
      <c r="B1887" s="31" t="s">
        <v>15</v>
      </c>
      <c r="C1887" s="32">
        <v>39174</v>
      </c>
      <c r="D1887" s="34">
        <v>0.36059999999999998</v>
      </c>
      <c r="E1887" s="33">
        <v>39219</v>
      </c>
      <c r="F1887" s="33">
        <v>39174</v>
      </c>
      <c r="G1887" s="34">
        <f>IF(Tabela4[[#This Row],[Tipo]]="Dividendo",Tabela4[[#This Row],[Valor]],IF(Tabela4[[#This Row],[Tipo]]="Jrs. Cap. Próprio",Tabela4[[#This Row],[Valor]]*85%,0))</f>
        <v>0.36059999999999998</v>
      </c>
    </row>
    <row r="1888" spans="1:7" x14ac:dyDescent="0.2">
      <c r="A1888" s="35" t="s">
        <v>59</v>
      </c>
      <c r="B1888" s="31" t="s">
        <v>14</v>
      </c>
      <c r="C1888" s="32">
        <v>39079</v>
      </c>
      <c r="D1888" s="34">
        <v>0.45</v>
      </c>
      <c r="E1888" s="33">
        <v>39171</v>
      </c>
      <c r="F1888" s="33">
        <v>39066</v>
      </c>
      <c r="G1888" s="34">
        <f>IF(Tabela4[[#This Row],[Tipo]]="Dividendo",Tabela4[[#This Row],[Valor]],IF(Tabela4[[#This Row],[Tipo]]="Jrs. Cap. Próprio",Tabela4[[#This Row],[Valor]]*85%,0))</f>
        <v>0.38250000000000001</v>
      </c>
    </row>
    <row r="1889" spans="1:7" x14ac:dyDescent="0.2">
      <c r="A1889" s="35" t="s">
        <v>59</v>
      </c>
      <c r="B1889" s="31" t="s">
        <v>14</v>
      </c>
      <c r="C1889" s="32">
        <v>39021</v>
      </c>
      <c r="D1889" s="34">
        <v>1</v>
      </c>
      <c r="E1889" s="33">
        <v>39086</v>
      </c>
      <c r="F1889" s="33">
        <v>39010</v>
      </c>
      <c r="G1889" s="34">
        <f>IF(Tabela4[[#This Row],[Tipo]]="Dividendo",Tabela4[[#This Row],[Valor]],IF(Tabela4[[#This Row],[Tipo]]="Jrs. Cap. Próprio",Tabela4[[#This Row],[Valor]]*85%,0))</f>
        <v>0.85</v>
      </c>
    </row>
    <row r="1890" spans="1:7" x14ac:dyDescent="0.2">
      <c r="A1890" s="35" t="s">
        <v>59</v>
      </c>
      <c r="B1890" s="31" t="s">
        <v>14</v>
      </c>
      <c r="C1890" s="32">
        <v>38810</v>
      </c>
      <c r="D1890" s="34">
        <v>0.26240000000000002</v>
      </c>
      <c r="E1890" s="33">
        <v>38860</v>
      </c>
      <c r="F1890" s="33">
        <v>38810</v>
      </c>
      <c r="G1890" s="34">
        <f>IF(Tabela4[[#This Row],[Tipo]]="Dividendo",Tabela4[[#This Row],[Valor]],IF(Tabela4[[#This Row],[Tipo]]="Jrs. Cap. Próprio",Tabela4[[#This Row],[Valor]]*85%,0))</f>
        <v>0.22304000000000002</v>
      </c>
    </row>
    <row r="1891" spans="1:7" x14ac:dyDescent="0.2">
      <c r="A1891" s="35" t="s">
        <v>59</v>
      </c>
      <c r="B1891" s="31" t="s">
        <v>15</v>
      </c>
      <c r="C1891" s="32">
        <v>38810</v>
      </c>
      <c r="D1891" s="34">
        <v>0.3624</v>
      </c>
      <c r="E1891" s="33">
        <v>38860</v>
      </c>
      <c r="F1891" s="33">
        <v>38810</v>
      </c>
      <c r="G1891" s="34">
        <f>IF(Tabela4[[#This Row],[Tipo]]="Dividendo",Tabela4[[#This Row],[Valor]],IF(Tabela4[[#This Row],[Tipo]]="Jrs. Cap. Próprio",Tabela4[[#This Row],[Valor]]*85%,0))</f>
        <v>0.3624</v>
      </c>
    </row>
    <row r="1892" spans="1:7" x14ac:dyDescent="0.2">
      <c r="A1892" s="35" t="s">
        <v>59</v>
      </c>
      <c r="B1892" s="31" t="s">
        <v>14</v>
      </c>
      <c r="C1892" s="32">
        <v>38715</v>
      </c>
      <c r="D1892" s="34">
        <v>0.5</v>
      </c>
      <c r="E1892" s="33">
        <v>38798</v>
      </c>
      <c r="F1892" s="33">
        <v>38702</v>
      </c>
      <c r="G1892" s="34">
        <f>IF(Tabela4[[#This Row],[Tipo]]="Dividendo",Tabela4[[#This Row],[Valor]],IF(Tabela4[[#This Row],[Tipo]]="Jrs. Cap. Próprio",Tabela4[[#This Row],[Valor]]*85%,0))</f>
        <v>0.42499999999999999</v>
      </c>
    </row>
    <row r="1893" spans="1:7" x14ac:dyDescent="0.2">
      <c r="A1893" s="35" t="s">
        <v>59</v>
      </c>
      <c r="B1893" s="31" t="s">
        <v>14</v>
      </c>
      <c r="C1893" s="32">
        <v>38533</v>
      </c>
      <c r="D1893" s="34">
        <v>2</v>
      </c>
      <c r="E1893" s="33">
        <v>38722</v>
      </c>
      <c r="F1893" s="33">
        <v>38533</v>
      </c>
      <c r="G1893" s="34">
        <f>IF(Tabela4[[#This Row],[Tipo]]="Dividendo",Tabela4[[#This Row],[Valor]],IF(Tabela4[[#This Row],[Tipo]]="Jrs. Cap. Próprio",Tabela4[[#This Row],[Valor]]*85%,0))</f>
        <v>1.7</v>
      </c>
    </row>
    <row r="1894" spans="1:7" x14ac:dyDescent="0.2">
      <c r="A1894" s="35" t="s">
        <v>59</v>
      </c>
      <c r="B1894" s="31" t="s">
        <v>14</v>
      </c>
      <c r="C1894" s="32">
        <v>38442</v>
      </c>
      <c r="D1894" s="34">
        <v>1.0341</v>
      </c>
      <c r="E1894" s="33">
        <v>38489</v>
      </c>
      <c r="F1894" s="33">
        <v>38442</v>
      </c>
      <c r="G1894" s="34">
        <f>IF(Tabela4[[#This Row],[Tipo]]="Dividendo",Tabela4[[#This Row],[Valor]],IF(Tabela4[[#This Row],[Tipo]]="Jrs. Cap. Próprio",Tabela4[[#This Row],[Valor]]*85%,0))</f>
        <v>0.87898500000000002</v>
      </c>
    </row>
    <row r="1895" spans="1:7" x14ac:dyDescent="0.2">
      <c r="A1895" s="35" t="s">
        <v>59</v>
      </c>
      <c r="B1895" s="31" t="s">
        <v>15</v>
      </c>
      <c r="C1895" s="32">
        <v>38442</v>
      </c>
      <c r="D1895" s="34">
        <v>0.6341</v>
      </c>
      <c r="E1895" s="33">
        <v>38489</v>
      </c>
      <c r="F1895" s="33">
        <v>38442</v>
      </c>
      <c r="G1895" s="34">
        <f>IF(Tabela4[[#This Row],[Tipo]]="Dividendo",Tabela4[[#This Row],[Valor]],IF(Tabela4[[#This Row],[Tipo]]="Jrs. Cap. Próprio",Tabela4[[#This Row],[Valor]]*85%,0))</f>
        <v>0.6341</v>
      </c>
    </row>
    <row r="1896" spans="1:7" x14ac:dyDescent="0.2">
      <c r="A1896" s="35" t="s">
        <v>59</v>
      </c>
      <c r="B1896" s="31" t="s">
        <v>14</v>
      </c>
      <c r="C1896" s="32">
        <v>38260</v>
      </c>
      <c r="D1896" s="34">
        <v>3</v>
      </c>
      <c r="E1896" s="33">
        <v>38398</v>
      </c>
      <c r="F1896" s="33">
        <v>38247</v>
      </c>
      <c r="G1896" s="34">
        <f>IF(Tabela4[[#This Row],[Tipo]]="Dividendo",Tabela4[[#This Row],[Valor]],IF(Tabela4[[#This Row],[Tipo]]="Jrs. Cap. Próprio",Tabela4[[#This Row],[Valor]]*85%,0))</f>
        <v>2.5499999999999998</v>
      </c>
    </row>
    <row r="1897" spans="1:7" x14ac:dyDescent="0.2">
      <c r="A1897" s="35" t="s">
        <v>59</v>
      </c>
      <c r="B1897" s="31" t="s">
        <v>14</v>
      </c>
      <c r="C1897" s="32">
        <v>38075</v>
      </c>
      <c r="D1897" s="34">
        <v>1.19</v>
      </c>
      <c r="E1897" s="33">
        <v>38128</v>
      </c>
      <c r="F1897" s="33">
        <v>38075</v>
      </c>
      <c r="G1897" s="34">
        <f>IF(Tabela4[[#This Row],[Tipo]]="Dividendo",Tabela4[[#This Row],[Valor]],IF(Tabela4[[#This Row],[Tipo]]="Jrs. Cap. Próprio",Tabela4[[#This Row],[Valor]]*85%,0))</f>
        <v>1.0114999999999998</v>
      </c>
    </row>
    <row r="1898" spans="1:7" x14ac:dyDescent="0.2">
      <c r="A1898" s="35" t="s">
        <v>59</v>
      </c>
      <c r="B1898" s="31" t="s">
        <v>15</v>
      </c>
      <c r="C1898" s="32">
        <v>38075</v>
      </c>
      <c r="D1898" s="34">
        <v>1.04</v>
      </c>
      <c r="E1898" s="33">
        <v>38128</v>
      </c>
      <c r="F1898" s="33">
        <v>38075</v>
      </c>
      <c r="G1898" s="34">
        <f>IF(Tabela4[[#This Row],[Tipo]]="Dividendo",Tabela4[[#This Row],[Valor]],IF(Tabela4[[#This Row],[Tipo]]="Jrs. Cap. Próprio",Tabela4[[#This Row],[Valor]]*85%,0))</f>
        <v>1.04</v>
      </c>
    </row>
    <row r="1899" spans="1:7" x14ac:dyDescent="0.2">
      <c r="A1899" s="35" t="s">
        <v>59</v>
      </c>
      <c r="B1899" s="31" t="s">
        <v>14</v>
      </c>
      <c r="C1899" s="32">
        <v>37950</v>
      </c>
      <c r="D1899" s="34">
        <v>3</v>
      </c>
      <c r="E1899" s="33">
        <v>38030</v>
      </c>
      <c r="F1899" s="33">
        <v>37938</v>
      </c>
      <c r="G1899" s="34">
        <f>IF(Tabela4[[#This Row],[Tipo]]="Dividendo",Tabela4[[#This Row],[Valor]],IF(Tabela4[[#This Row],[Tipo]]="Jrs. Cap. Próprio",Tabela4[[#This Row],[Valor]]*85%,0))</f>
        <v>2.5499999999999998</v>
      </c>
    </row>
    <row r="1900" spans="1:7" x14ac:dyDescent="0.2">
      <c r="A1900" s="35" t="s">
        <v>59</v>
      </c>
      <c r="B1900" s="31" t="s">
        <v>14</v>
      </c>
      <c r="C1900" s="32">
        <v>37707</v>
      </c>
      <c r="D1900" s="34">
        <v>1.0449999999999999</v>
      </c>
      <c r="E1900" s="33">
        <v>37746</v>
      </c>
      <c r="F1900" s="33">
        <v>37707</v>
      </c>
      <c r="G1900" s="34">
        <f>IF(Tabela4[[#This Row],[Tipo]]="Dividendo",Tabela4[[#This Row],[Valor]],IF(Tabela4[[#This Row],[Tipo]]="Jrs. Cap. Próprio",Tabela4[[#This Row],[Valor]]*85%,0))</f>
        <v>0.88824999999999987</v>
      </c>
    </row>
    <row r="1901" spans="1:7" x14ac:dyDescent="0.2">
      <c r="A1901" s="35" t="s">
        <v>59</v>
      </c>
      <c r="B1901" s="31" t="s">
        <v>15</v>
      </c>
      <c r="C1901" s="32">
        <v>37707</v>
      </c>
      <c r="D1901" s="34">
        <v>0.57499999999999996</v>
      </c>
      <c r="E1901" s="33">
        <v>37746</v>
      </c>
      <c r="F1901" s="33">
        <v>37707</v>
      </c>
      <c r="G1901" s="34">
        <f>IF(Tabela4[[#This Row],[Tipo]]="Dividendo",Tabela4[[#This Row],[Valor]],IF(Tabela4[[#This Row],[Tipo]]="Jrs. Cap. Próprio",Tabela4[[#This Row],[Valor]]*85%,0))</f>
        <v>0.57499999999999996</v>
      </c>
    </row>
    <row r="1902" spans="1:7" x14ac:dyDescent="0.2">
      <c r="A1902" s="35" t="s">
        <v>59</v>
      </c>
      <c r="B1902" s="31" t="s">
        <v>14</v>
      </c>
      <c r="C1902" s="32">
        <v>37572</v>
      </c>
      <c r="D1902" s="34">
        <v>1</v>
      </c>
      <c r="E1902" s="33">
        <v>37634</v>
      </c>
      <c r="F1902" s="33">
        <v>37560</v>
      </c>
      <c r="G1902" s="34">
        <f>IF(Tabela4[[#This Row],[Tipo]]="Dividendo",Tabela4[[#This Row],[Valor]],IF(Tabela4[[#This Row],[Tipo]]="Jrs. Cap. Próprio",Tabela4[[#This Row],[Valor]]*85%,0))</f>
        <v>0.85</v>
      </c>
    </row>
    <row r="1903" spans="1:7" x14ac:dyDescent="0.2">
      <c r="A1903" s="35" t="s">
        <v>59</v>
      </c>
      <c r="B1903" s="31" t="s">
        <v>14</v>
      </c>
      <c r="C1903" s="32">
        <v>37337</v>
      </c>
      <c r="D1903" s="34">
        <v>0.93500000000000005</v>
      </c>
      <c r="E1903" s="33">
        <v>37379</v>
      </c>
      <c r="F1903" s="33">
        <v>37337</v>
      </c>
      <c r="G1903" s="34">
        <f>IF(Tabela4[[#This Row],[Tipo]]="Dividendo",Tabela4[[#This Row],[Valor]],IF(Tabela4[[#This Row],[Tipo]]="Jrs. Cap. Próprio",Tabela4[[#This Row],[Valor]]*85%,0))</f>
        <v>0.79475000000000007</v>
      </c>
    </row>
    <row r="1904" spans="1:7" x14ac:dyDescent="0.2">
      <c r="A1904" s="35" t="s">
        <v>59</v>
      </c>
      <c r="B1904" s="31" t="s">
        <v>15</v>
      </c>
      <c r="C1904" s="32">
        <v>37337</v>
      </c>
      <c r="D1904" s="34">
        <v>1.345</v>
      </c>
      <c r="E1904" s="33">
        <v>37379</v>
      </c>
      <c r="F1904" s="33">
        <v>37337</v>
      </c>
      <c r="G1904" s="34">
        <f>IF(Tabela4[[#This Row],[Tipo]]="Dividendo",Tabela4[[#This Row],[Valor]],IF(Tabela4[[#This Row],[Tipo]]="Jrs. Cap. Próprio",Tabela4[[#This Row],[Valor]]*85%,0))</f>
        <v>1.345</v>
      </c>
    </row>
    <row r="1905" spans="1:7" x14ac:dyDescent="0.2">
      <c r="A1905" s="35" t="s">
        <v>59</v>
      </c>
      <c r="B1905" s="31" t="s">
        <v>15</v>
      </c>
      <c r="C1905" s="32">
        <v>37106</v>
      </c>
      <c r="D1905" s="34">
        <v>0.03</v>
      </c>
      <c r="E1905" s="33">
        <v>37125</v>
      </c>
      <c r="F1905" s="33">
        <v>37106</v>
      </c>
      <c r="G1905" s="34">
        <f>IF(Tabela4[[#This Row],[Tipo]]="Dividendo",Tabela4[[#This Row],[Valor]],IF(Tabela4[[#This Row],[Tipo]]="Jrs. Cap. Próprio",Tabela4[[#This Row],[Valor]]*85%,0))</f>
        <v>0.03</v>
      </c>
    </row>
    <row r="1906" spans="1:7" x14ac:dyDescent="0.2">
      <c r="A1906" s="35" t="s">
        <v>59</v>
      </c>
      <c r="B1906" s="31" t="s">
        <v>14</v>
      </c>
      <c r="C1906" s="32">
        <v>37071</v>
      </c>
      <c r="D1906" s="34">
        <v>1.02</v>
      </c>
      <c r="E1906" s="33">
        <v>37125</v>
      </c>
      <c r="F1906" s="33">
        <v>37071</v>
      </c>
      <c r="G1906" s="34">
        <f>IF(Tabela4[[#This Row],[Tipo]]="Dividendo",Tabela4[[#This Row],[Valor]],IF(Tabela4[[#This Row],[Tipo]]="Jrs. Cap. Próprio",Tabela4[[#This Row],[Valor]]*85%,0))</f>
        <v>0.86699999999999999</v>
      </c>
    </row>
    <row r="1907" spans="1:7" x14ac:dyDescent="0.2">
      <c r="A1907" s="35" t="s">
        <v>59</v>
      </c>
      <c r="B1907" s="31" t="s">
        <v>14</v>
      </c>
      <c r="C1907" s="32">
        <v>36973</v>
      </c>
      <c r="D1907" s="34">
        <v>1.7050000000000001</v>
      </c>
      <c r="E1907" s="33">
        <v>37015</v>
      </c>
      <c r="F1907" s="33">
        <v>36973</v>
      </c>
      <c r="G1907" s="34">
        <f>IF(Tabela4[[#This Row],[Tipo]]="Dividendo",Tabela4[[#This Row],[Valor]],IF(Tabela4[[#This Row],[Tipo]]="Jrs. Cap. Próprio",Tabela4[[#This Row],[Valor]]*85%,0))</f>
        <v>1.4492499999999999</v>
      </c>
    </row>
    <row r="1908" spans="1:7" x14ac:dyDescent="0.2">
      <c r="A1908" s="35" t="s">
        <v>59</v>
      </c>
      <c r="B1908" s="31" t="s">
        <v>15</v>
      </c>
      <c r="C1908" s="32">
        <v>36973</v>
      </c>
      <c r="D1908" s="34">
        <v>0.60499999999999998</v>
      </c>
      <c r="E1908" s="33">
        <v>37015</v>
      </c>
      <c r="F1908" s="33">
        <v>36973</v>
      </c>
      <c r="G1908" s="34">
        <f>IF(Tabela4[[#This Row],[Tipo]]="Dividendo",Tabela4[[#This Row],[Valor]],IF(Tabela4[[#This Row],[Tipo]]="Jrs. Cap. Próprio",Tabela4[[#This Row],[Valor]]*85%,0))</f>
        <v>0.60499999999999998</v>
      </c>
    </row>
    <row r="1909" spans="1:7" x14ac:dyDescent="0.2">
      <c r="A1909" s="35" t="s">
        <v>59</v>
      </c>
      <c r="B1909" s="31" t="s">
        <v>14</v>
      </c>
      <c r="C1909" s="32">
        <v>36608</v>
      </c>
      <c r="D1909" s="34">
        <v>4.4249999999999998</v>
      </c>
      <c r="E1909" s="33">
        <v>36665</v>
      </c>
      <c r="F1909" s="33">
        <v>36608</v>
      </c>
      <c r="G1909" s="34">
        <f>IF(Tabela4[[#This Row],[Tipo]]="Dividendo",Tabela4[[#This Row],[Valor]],IF(Tabela4[[#This Row],[Tipo]]="Jrs. Cap. Próprio",Tabela4[[#This Row],[Valor]]*85%,0))</f>
        <v>3.7612499999999995</v>
      </c>
    </row>
    <row r="1910" spans="1:7" x14ac:dyDescent="0.2">
      <c r="A1910" s="35" t="s">
        <v>59</v>
      </c>
      <c r="B1910" s="31" t="s">
        <v>15</v>
      </c>
      <c r="C1910" s="32">
        <v>36608</v>
      </c>
      <c r="D1910" s="34">
        <v>3.7349999999999999</v>
      </c>
      <c r="E1910" s="33">
        <v>36665</v>
      </c>
      <c r="F1910" s="33">
        <v>36608</v>
      </c>
      <c r="G1910" s="34">
        <f>IF(Tabela4[[#This Row],[Tipo]]="Dividendo",Tabela4[[#This Row],[Valor]],IF(Tabela4[[#This Row],[Tipo]]="Jrs. Cap. Próprio",Tabela4[[#This Row],[Valor]]*85%,0))</f>
        <v>3.7349999999999999</v>
      </c>
    </row>
    <row r="1911" spans="1:7" x14ac:dyDescent="0.2">
      <c r="A1911" s="35" t="s">
        <v>59</v>
      </c>
      <c r="B1911" s="31" t="s">
        <v>14</v>
      </c>
      <c r="C1911" s="32">
        <v>36243</v>
      </c>
      <c r="D1911" s="34">
        <v>4.5514999999999999</v>
      </c>
      <c r="E1911" s="33"/>
      <c r="F1911" s="33">
        <v>36243</v>
      </c>
      <c r="G1911" s="34">
        <f>IF(Tabela4[[#This Row],[Tipo]]="Dividendo",Tabela4[[#This Row],[Valor]],IF(Tabela4[[#This Row],[Tipo]]="Jrs. Cap. Próprio",Tabela4[[#This Row],[Valor]]*85%,0))</f>
        <v>3.8687749999999999</v>
      </c>
    </row>
    <row r="1912" spans="1:7" x14ac:dyDescent="0.2">
      <c r="A1912" s="35" t="s">
        <v>59</v>
      </c>
      <c r="B1912" s="31" t="s">
        <v>15</v>
      </c>
      <c r="C1912" s="32">
        <v>36243</v>
      </c>
      <c r="D1912" s="34">
        <v>1.8893</v>
      </c>
      <c r="E1912" s="33"/>
      <c r="F1912" s="33">
        <v>36243</v>
      </c>
      <c r="G1912" s="34">
        <f>IF(Tabela4[[#This Row],[Tipo]]="Dividendo",Tabela4[[#This Row],[Valor]],IF(Tabela4[[#This Row],[Tipo]]="Jrs. Cap. Próprio",Tabela4[[#This Row],[Valor]]*85%,0))</f>
        <v>1.8893</v>
      </c>
    </row>
    <row r="1913" spans="1:7" x14ac:dyDescent="0.2">
      <c r="A1913" s="35" t="s">
        <v>59</v>
      </c>
      <c r="B1913" s="31" t="s">
        <v>15</v>
      </c>
      <c r="C1913" s="32">
        <v>35878</v>
      </c>
      <c r="D1913" s="34">
        <v>6.1523000000000003</v>
      </c>
      <c r="E1913" s="33"/>
      <c r="F1913" s="33">
        <v>35878</v>
      </c>
      <c r="G1913" s="34">
        <f>IF(Tabela4[[#This Row],[Tipo]]="Dividendo",Tabela4[[#This Row],[Valor]],IF(Tabela4[[#This Row],[Tipo]]="Jrs. Cap. Próprio",Tabela4[[#This Row],[Valor]]*85%,0))</f>
        <v>6.1523000000000003</v>
      </c>
    </row>
    <row r="1914" spans="1:7" x14ac:dyDescent="0.2">
      <c r="A1914" s="35" t="s">
        <v>59</v>
      </c>
      <c r="B1914" s="31" t="s">
        <v>15</v>
      </c>
      <c r="C1914" s="32">
        <v>35510</v>
      </c>
      <c r="D1914" s="34">
        <v>6.1262999999999996</v>
      </c>
      <c r="E1914" s="33"/>
      <c r="F1914" s="33">
        <v>35510</v>
      </c>
      <c r="G1914" s="34">
        <f>IF(Tabela4[[#This Row],[Tipo]]="Dividendo",Tabela4[[#This Row],[Valor]],IF(Tabela4[[#This Row],[Tipo]]="Jrs. Cap. Próprio",Tabela4[[#This Row],[Valor]]*85%,0))</f>
        <v>6.1262999999999996</v>
      </c>
    </row>
    <row r="1915" spans="1:7" x14ac:dyDescent="0.2">
      <c r="A1915" s="35" t="s">
        <v>59</v>
      </c>
      <c r="B1915" s="31" t="s">
        <v>15</v>
      </c>
      <c r="C1915" s="32">
        <v>35145</v>
      </c>
      <c r="D1915" s="34">
        <v>5.1471</v>
      </c>
      <c r="E1915" s="33"/>
      <c r="F1915" s="33">
        <v>35145</v>
      </c>
      <c r="G1915" s="34">
        <f>IF(Tabela4[[#This Row],[Tipo]]="Dividendo",Tabela4[[#This Row],[Valor]],IF(Tabela4[[#This Row],[Tipo]]="Jrs. Cap. Próprio",Tabela4[[#This Row],[Valor]]*85%,0))</f>
        <v>5.1471</v>
      </c>
    </row>
    <row r="1916" spans="1:7" x14ac:dyDescent="0.2">
      <c r="A1916" s="3" t="s">
        <v>238</v>
      </c>
      <c r="B1916" s="3" t="s">
        <v>14</v>
      </c>
      <c r="C1916" s="80">
        <v>41547</v>
      </c>
      <c r="D1916" s="10">
        <v>0.14360000000000001</v>
      </c>
      <c r="E1916" s="67">
        <v>41561</v>
      </c>
      <c r="F1916" s="81">
        <v>41547</v>
      </c>
      <c r="G1916" s="10">
        <f>IF(Tabela4[[#This Row],[Tipo]]="Dividendo",Tabela4[[#This Row],[Valor]],IF(Tabela4[[#This Row],[Tipo]]="Jrs. Cap. Próprio",Tabela4[[#This Row],[Valor]]*85%,0))</f>
        <v>0.12206</v>
      </c>
    </row>
    <row r="1917" spans="1:7" x14ac:dyDescent="0.2">
      <c r="A1917" s="3" t="s">
        <v>238</v>
      </c>
      <c r="B1917" s="3" t="s">
        <v>15</v>
      </c>
      <c r="C1917" s="80">
        <v>41547</v>
      </c>
      <c r="D1917" s="10">
        <v>0.13189999999999999</v>
      </c>
      <c r="E1917" s="67">
        <v>41561</v>
      </c>
      <c r="F1917" s="81">
        <v>41547</v>
      </c>
      <c r="G1917" s="10">
        <f>IF(Tabela4[[#This Row],[Tipo]]="Dividendo",Tabela4[[#This Row],[Valor]],IF(Tabela4[[#This Row],[Tipo]]="Jrs. Cap. Próprio",Tabela4[[#This Row],[Valor]]*85%,0))</f>
        <v>0.13189999999999999</v>
      </c>
    </row>
    <row r="1918" spans="1:7" x14ac:dyDescent="0.2">
      <c r="A1918" s="3" t="s">
        <v>238</v>
      </c>
      <c r="B1918" s="3" t="s">
        <v>14</v>
      </c>
      <c r="C1918" s="80">
        <v>41453</v>
      </c>
      <c r="D1918" s="10">
        <v>0.14330000000000001</v>
      </c>
      <c r="E1918" s="67">
        <v>41467</v>
      </c>
      <c r="F1918" s="81">
        <v>41452</v>
      </c>
      <c r="G1918" s="10">
        <f>IF(Tabela4[[#This Row],[Tipo]]="Dividendo",Tabela4[[#This Row],[Valor]],IF(Tabela4[[#This Row],[Tipo]]="Jrs. Cap. Próprio",Tabela4[[#This Row],[Valor]]*85%,0))</f>
        <v>0.12180500000000001</v>
      </c>
    </row>
    <row r="1919" spans="1:7" x14ac:dyDescent="0.2">
      <c r="A1919" s="3" t="s">
        <v>238</v>
      </c>
      <c r="B1919" s="3" t="s">
        <v>15</v>
      </c>
      <c r="C1919" s="80">
        <v>41453</v>
      </c>
      <c r="D1919" s="10">
        <v>0.13020000000000001</v>
      </c>
      <c r="E1919" s="67">
        <v>41467</v>
      </c>
      <c r="F1919" s="81">
        <v>41452</v>
      </c>
      <c r="G1919" s="10">
        <f>IF(Tabela4[[#This Row],[Tipo]]="Dividendo",Tabela4[[#This Row],[Valor]],IF(Tabela4[[#This Row],[Tipo]]="Jrs. Cap. Próprio",Tabela4[[#This Row],[Valor]]*85%,0))</f>
        <v>0.13020000000000001</v>
      </c>
    </row>
    <row r="1920" spans="1:7" x14ac:dyDescent="0.2">
      <c r="A1920" s="3" t="s">
        <v>238</v>
      </c>
      <c r="B1920" s="3" t="s">
        <v>14</v>
      </c>
      <c r="C1920" s="80">
        <v>41382</v>
      </c>
      <c r="D1920" s="10">
        <v>1E-4</v>
      </c>
      <c r="E1920" s="67">
        <v>41393</v>
      </c>
      <c r="F1920" s="81">
        <v>41381</v>
      </c>
      <c r="G1920" s="10">
        <f>IF(Tabela4[[#This Row],[Tipo]]="Dividendo",Tabela4[[#This Row],[Valor]],IF(Tabela4[[#This Row],[Tipo]]="Jrs. Cap. Próprio",Tabela4[[#This Row],[Valor]]*85%,0))</f>
        <v>8.5000000000000006E-5</v>
      </c>
    </row>
    <row r="1921" spans="1:7" x14ac:dyDescent="0.2">
      <c r="A1921" s="3" t="s">
        <v>238</v>
      </c>
      <c r="B1921" s="3" t="s">
        <v>15</v>
      </c>
      <c r="C1921" s="80">
        <v>41382</v>
      </c>
      <c r="D1921" s="10">
        <v>1E-4</v>
      </c>
      <c r="E1921" s="67">
        <v>41393</v>
      </c>
      <c r="F1921" s="81">
        <v>41381</v>
      </c>
      <c r="G1921" s="10">
        <f>IF(Tabela4[[#This Row],[Tipo]]="Dividendo",Tabela4[[#This Row],[Valor]],IF(Tabela4[[#This Row],[Tipo]]="Jrs. Cap. Próprio",Tabela4[[#This Row],[Valor]]*85%,0))</f>
        <v>1E-4</v>
      </c>
    </row>
    <row r="1922" spans="1:7" x14ac:dyDescent="0.2">
      <c r="A1922" s="3" t="s">
        <v>238</v>
      </c>
      <c r="B1922" s="3" t="s">
        <v>14</v>
      </c>
      <c r="C1922" s="80">
        <v>41361</v>
      </c>
      <c r="D1922" s="10">
        <v>0.13880000000000001</v>
      </c>
      <c r="E1922" s="67">
        <v>41374</v>
      </c>
      <c r="F1922" s="81">
        <v>41361</v>
      </c>
      <c r="G1922" s="10">
        <f>IF(Tabela4[[#This Row],[Tipo]]="Dividendo",Tabela4[[#This Row],[Valor]],IF(Tabela4[[#This Row],[Tipo]]="Jrs. Cap. Próprio",Tabela4[[#This Row],[Valor]]*85%,0))</f>
        <v>0.11798</v>
      </c>
    </row>
    <row r="1923" spans="1:7" x14ac:dyDescent="0.2">
      <c r="A1923" s="3" t="s">
        <v>238</v>
      </c>
      <c r="B1923" s="3" t="s">
        <v>15</v>
      </c>
      <c r="C1923" s="80">
        <v>41361</v>
      </c>
      <c r="D1923" s="10">
        <v>0.13919999999999999</v>
      </c>
      <c r="E1923" s="67">
        <v>41374</v>
      </c>
      <c r="F1923" s="81">
        <v>41361</v>
      </c>
      <c r="G1923" s="10">
        <f>IF(Tabela4[[#This Row],[Tipo]]="Dividendo",Tabela4[[#This Row],[Valor]],IF(Tabela4[[#This Row],[Tipo]]="Jrs. Cap. Próprio",Tabela4[[#This Row],[Valor]]*85%,0))</f>
        <v>0.13919999999999999</v>
      </c>
    </row>
    <row r="1924" spans="1:7" x14ac:dyDescent="0.2">
      <c r="A1924" s="3" t="s">
        <v>238</v>
      </c>
      <c r="B1924" s="3" t="s">
        <v>14</v>
      </c>
      <c r="C1924" s="80">
        <v>41271</v>
      </c>
      <c r="D1924" s="10">
        <v>0.15010000000000001</v>
      </c>
      <c r="E1924" s="67">
        <v>41285</v>
      </c>
      <c r="F1924" s="81">
        <v>41269</v>
      </c>
      <c r="G1924" s="10">
        <f>IF(Tabela4[[#This Row],[Tipo]]="Dividendo",Tabela4[[#This Row],[Valor]],IF(Tabela4[[#This Row],[Tipo]]="Jrs. Cap. Próprio",Tabela4[[#This Row],[Valor]]*85%,0))</f>
        <v>0.127585</v>
      </c>
    </row>
    <row r="1925" spans="1:7" x14ac:dyDescent="0.2">
      <c r="A1925" s="3" t="s">
        <v>238</v>
      </c>
      <c r="B1925" s="3" t="s">
        <v>15</v>
      </c>
      <c r="C1925" s="80">
        <v>41271</v>
      </c>
      <c r="D1925" s="10">
        <v>0.12859999999999999</v>
      </c>
      <c r="E1925" s="67">
        <v>41285</v>
      </c>
      <c r="F1925" s="81">
        <v>41269</v>
      </c>
      <c r="G1925" s="10">
        <f>IF(Tabela4[[#This Row],[Tipo]]="Dividendo",Tabela4[[#This Row],[Valor]],IF(Tabela4[[#This Row],[Tipo]]="Jrs. Cap. Próprio",Tabela4[[#This Row],[Valor]]*85%,0))</f>
        <v>0.12859999999999999</v>
      </c>
    </row>
    <row r="1926" spans="1:7" x14ac:dyDescent="0.2">
      <c r="A1926" s="3" t="s">
        <v>238</v>
      </c>
      <c r="B1926" s="3" t="s">
        <v>14</v>
      </c>
      <c r="C1926" s="80">
        <v>41180</v>
      </c>
      <c r="D1926" s="10">
        <v>0.14299999999999999</v>
      </c>
      <c r="E1926" s="67">
        <v>41193</v>
      </c>
      <c r="F1926" s="81">
        <v>41176</v>
      </c>
      <c r="G1926" s="10">
        <f>IF(Tabela4[[#This Row],[Tipo]]="Dividendo",Tabela4[[#This Row],[Valor]],IF(Tabela4[[#This Row],[Tipo]]="Jrs. Cap. Próprio",Tabela4[[#This Row],[Valor]]*85%,0))</f>
        <v>0.12154999999999999</v>
      </c>
    </row>
    <row r="1927" spans="1:7" x14ac:dyDescent="0.2">
      <c r="A1927" s="3" t="s">
        <v>238</v>
      </c>
      <c r="B1927" s="3" t="s">
        <v>15</v>
      </c>
      <c r="C1927" s="80">
        <v>41180</v>
      </c>
      <c r="D1927" s="10">
        <v>0.16170000000000001</v>
      </c>
      <c r="E1927" s="67">
        <v>41193</v>
      </c>
      <c r="F1927" s="81">
        <v>41176</v>
      </c>
      <c r="G1927" s="10">
        <f>IF(Tabela4[[#This Row],[Tipo]]="Dividendo",Tabela4[[#This Row],[Valor]],IF(Tabela4[[#This Row],[Tipo]]="Jrs. Cap. Próprio",Tabela4[[#This Row],[Valor]]*85%,0))</f>
        <v>0.16170000000000001</v>
      </c>
    </row>
    <row r="1928" spans="1:7" x14ac:dyDescent="0.2">
      <c r="A1928" s="3" t="s">
        <v>238</v>
      </c>
      <c r="B1928" s="3" t="s">
        <v>14</v>
      </c>
      <c r="C1928" s="80">
        <v>41089</v>
      </c>
      <c r="D1928" s="10">
        <v>0.15290000000000001</v>
      </c>
      <c r="E1928" s="67">
        <v>41102</v>
      </c>
      <c r="F1928" s="81">
        <v>41082</v>
      </c>
      <c r="G1928" s="10">
        <f>IF(Tabela4[[#This Row],[Tipo]]="Dividendo",Tabela4[[#This Row],[Valor]],IF(Tabela4[[#This Row],[Tipo]]="Jrs. Cap. Próprio",Tabela4[[#This Row],[Valor]]*85%,0))</f>
        <v>0.129965</v>
      </c>
    </row>
    <row r="1929" spans="1:7" x14ac:dyDescent="0.2">
      <c r="A1929" s="3" t="s">
        <v>238</v>
      </c>
      <c r="B1929" s="3" t="s">
        <v>15</v>
      </c>
      <c r="C1929" s="80">
        <v>41089</v>
      </c>
      <c r="D1929" s="10">
        <v>0.1</v>
      </c>
      <c r="E1929" s="67">
        <v>41102</v>
      </c>
      <c r="F1929" s="81">
        <v>41082</v>
      </c>
      <c r="G1929" s="10">
        <f>IF(Tabela4[[#This Row],[Tipo]]="Dividendo",Tabela4[[#This Row],[Valor]],IF(Tabela4[[#This Row],[Tipo]]="Jrs. Cap. Próprio",Tabela4[[#This Row],[Valor]]*85%,0))</f>
        <v>0.1</v>
      </c>
    </row>
    <row r="1930" spans="1:7" x14ac:dyDescent="0.2">
      <c r="A1930" s="3" t="s">
        <v>238</v>
      </c>
      <c r="B1930" s="3" t="s">
        <v>14</v>
      </c>
      <c r="C1930" s="80">
        <v>40998</v>
      </c>
      <c r="D1930" s="10">
        <v>0.1507</v>
      </c>
      <c r="E1930" s="67">
        <v>41011</v>
      </c>
      <c r="F1930" s="81">
        <v>40995</v>
      </c>
      <c r="G1930" s="10">
        <f>IF(Tabela4[[#This Row],[Tipo]]="Dividendo",Tabela4[[#This Row],[Valor]],IF(Tabela4[[#This Row],[Tipo]]="Jrs. Cap. Próprio",Tabela4[[#This Row],[Valor]]*85%,0))</f>
        <v>0.12809499999999999</v>
      </c>
    </row>
    <row r="1931" spans="1:7" x14ac:dyDescent="0.2">
      <c r="A1931" s="3" t="s">
        <v>238</v>
      </c>
      <c r="B1931" s="3" t="s">
        <v>15</v>
      </c>
      <c r="C1931" s="80">
        <v>40998</v>
      </c>
      <c r="D1931" s="10">
        <v>1.1000000000000001E-3</v>
      </c>
      <c r="E1931" s="67">
        <v>41011</v>
      </c>
      <c r="F1931" s="81">
        <v>40995</v>
      </c>
      <c r="G1931" s="10">
        <f>IF(Tabela4[[#This Row],[Tipo]]="Dividendo",Tabela4[[#This Row],[Valor]],IF(Tabela4[[#This Row],[Tipo]]="Jrs. Cap. Próprio",Tabela4[[#This Row],[Valor]]*85%,0))</f>
        <v>1.1000000000000001E-3</v>
      </c>
    </row>
    <row r="1932" spans="1:7" x14ac:dyDescent="0.2">
      <c r="A1932" s="3" t="s">
        <v>238</v>
      </c>
      <c r="B1932" s="3" t="s">
        <v>14</v>
      </c>
      <c r="C1932" s="80">
        <v>40906</v>
      </c>
      <c r="D1932" s="10">
        <v>0.1658</v>
      </c>
      <c r="E1932" s="67">
        <v>40920</v>
      </c>
      <c r="F1932" s="81">
        <v>40900</v>
      </c>
      <c r="G1932" s="10">
        <f>IF(Tabela4[[#This Row],[Tipo]]="Dividendo",Tabela4[[#This Row],[Valor]],IF(Tabela4[[#This Row],[Tipo]]="Jrs. Cap. Próprio",Tabela4[[#This Row],[Valor]]*85%,0))</f>
        <v>0.14093</v>
      </c>
    </row>
    <row r="1933" spans="1:7" x14ac:dyDescent="0.2">
      <c r="A1933" s="3" t="s">
        <v>238</v>
      </c>
      <c r="B1933" s="3" t="s">
        <v>15</v>
      </c>
      <c r="C1933" s="80">
        <v>40906</v>
      </c>
      <c r="D1933" s="10">
        <v>0.31019999999999998</v>
      </c>
      <c r="E1933" s="67">
        <v>40920</v>
      </c>
      <c r="F1933" s="81">
        <v>40900</v>
      </c>
      <c r="G1933" s="10">
        <f>IF(Tabela4[[#This Row],[Tipo]]="Dividendo",Tabela4[[#This Row],[Valor]],IF(Tabela4[[#This Row],[Tipo]]="Jrs. Cap. Próprio",Tabela4[[#This Row],[Valor]]*85%,0))</f>
        <v>0.31019999999999998</v>
      </c>
    </row>
    <row r="1934" spans="1:7" x14ac:dyDescent="0.2">
      <c r="A1934" s="3" t="s">
        <v>238</v>
      </c>
      <c r="B1934" s="3" t="s">
        <v>14</v>
      </c>
      <c r="C1934" s="80">
        <v>40816</v>
      </c>
      <c r="D1934" s="10">
        <v>0.15590000000000001</v>
      </c>
      <c r="E1934" s="67">
        <v>40829</v>
      </c>
      <c r="F1934" s="81">
        <v>40813</v>
      </c>
      <c r="G1934" s="10">
        <f>IF(Tabela4[[#This Row],[Tipo]]="Dividendo",Tabela4[[#This Row],[Valor]],IF(Tabela4[[#This Row],[Tipo]]="Jrs. Cap. Próprio",Tabela4[[#This Row],[Valor]]*85%,0))</f>
        <v>0.13251499999999999</v>
      </c>
    </row>
    <row r="1935" spans="1:7" x14ac:dyDescent="0.2">
      <c r="A1935" s="3" t="s">
        <v>238</v>
      </c>
      <c r="B1935" s="3" t="s">
        <v>15</v>
      </c>
      <c r="C1935" s="80">
        <v>40816</v>
      </c>
      <c r="D1935" s="10">
        <v>2.2599999999999999E-2</v>
      </c>
      <c r="E1935" s="67">
        <v>40829</v>
      </c>
      <c r="F1935" s="81">
        <v>40813</v>
      </c>
      <c r="G1935" s="10">
        <f>IF(Tabela4[[#This Row],[Tipo]]="Dividendo",Tabela4[[#This Row],[Valor]],IF(Tabela4[[#This Row],[Tipo]]="Jrs. Cap. Próprio",Tabela4[[#This Row],[Valor]]*85%,0))</f>
        <v>2.2599999999999999E-2</v>
      </c>
    </row>
    <row r="1936" spans="1:7" x14ac:dyDescent="0.2">
      <c r="A1936" s="3" t="s">
        <v>238</v>
      </c>
      <c r="B1936" s="3" t="s">
        <v>14</v>
      </c>
      <c r="C1936" s="80">
        <v>40724</v>
      </c>
      <c r="D1936" s="10">
        <v>0.15359999999999999</v>
      </c>
      <c r="E1936" s="67">
        <v>40736</v>
      </c>
      <c r="F1936" s="81">
        <v>40724</v>
      </c>
      <c r="G1936" s="10">
        <f>IF(Tabela4[[#This Row],[Tipo]]="Dividendo",Tabela4[[#This Row],[Valor]],IF(Tabela4[[#This Row],[Tipo]]="Jrs. Cap. Próprio",Tabela4[[#This Row],[Valor]]*85%,0))</f>
        <v>0.13055999999999998</v>
      </c>
    </row>
    <row r="1937" spans="1:7" x14ac:dyDescent="0.2">
      <c r="A1937" s="3" t="s">
        <v>238</v>
      </c>
      <c r="B1937" s="3" t="s">
        <v>15</v>
      </c>
      <c r="C1937" s="80">
        <v>40724</v>
      </c>
      <c r="D1937" s="10">
        <v>8.4400000000000003E-2</v>
      </c>
      <c r="E1937" s="67">
        <v>40736</v>
      </c>
      <c r="F1937" s="81">
        <v>40724</v>
      </c>
      <c r="G1937" s="10">
        <f>IF(Tabela4[[#This Row],[Tipo]]="Dividendo",Tabela4[[#This Row],[Valor]],IF(Tabela4[[#This Row],[Tipo]]="Jrs. Cap. Próprio",Tabela4[[#This Row],[Valor]]*85%,0))</f>
        <v>8.4400000000000003E-2</v>
      </c>
    </row>
    <row r="1938" spans="1:7" x14ac:dyDescent="0.2">
      <c r="A1938" s="3" t="s">
        <v>238</v>
      </c>
      <c r="B1938" s="3" t="s">
        <v>14</v>
      </c>
      <c r="C1938" s="80">
        <v>40633</v>
      </c>
      <c r="D1938" s="10">
        <v>0.15140000000000001</v>
      </c>
      <c r="E1938" s="67">
        <v>40644</v>
      </c>
      <c r="F1938" s="81">
        <v>40633</v>
      </c>
      <c r="G1938" s="10">
        <f>IF(Tabela4[[#This Row],[Tipo]]="Dividendo",Tabela4[[#This Row],[Valor]],IF(Tabela4[[#This Row],[Tipo]]="Jrs. Cap. Próprio",Tabela4[[#This Row],[Valor]]*85%,0))</f>
        <v>0.12869</v>
      </c>
    </row>
    <row r="1939" spans="1:7" x14ac:dyDescent="0.2">
      <c r="A1939" s="3" t="s">
        <v>238</v>
      </c>
      <c r="B1939" s="3" t="s">
        <v>15</v>
      </c>
      <c r="C1939" s="80">
        <v>40633</v>
      </c>
      <c r="D1939" s="10">
        <v>2.7099999999999999E-2</v>
      </c>
      <c r="E1939" s="67">
        <v>40644</v>
      </c>
      <c r="F1939" s="81">
        <v>40633</v>
      </c>
      <c r="G1939" s="10">
        <f>IF(Tabela4[[#This Row],[Tipo]]="Dividendo",Tabela4[[#This Row],[Valor]],IF(Tabela4[[#This Row],[Tipo]]="Jrs. Cap. Próprio",Tabela4[[#This Row],[Valor]]*85%,0))</f>
        <v>2.7099999999999999E-2</v>
      </c>
    </row>
    <row r="1940" spans="1:7" x14ac:dyDescent="0.2">
      <c r="A1940" s="3" t="s">
        <v>238</v>
      </c>
      <c r="B1940" s="3" t="s">
        <v>14</v>
      </c>
      <c r="C1940" s="80">
        <v>40542</v>
      </c>
      <c r="D1940" s="10">
        <v>0.1507</v>
      </c>
      <c r="E1940" s="67">
        <v>40554</v>
      </c>
      <c r="F1940" s="81">
        <v>40542</v>
      </c>
      <c r="G1940" s="10">
        <f>IF(Tabela4[[#This Row],[Tipo]]="Dividendo",Tabela4[[#This Row],[Valor]],IF(Tabela4[[#This Row],[Tipo]]="Jrs. Cap. Próprio",Tabela4[[#This Row],[Valor]]*85%,0))</f>
        <v>0.12809499999999999</v>
      </c>
    </row>
    <row r="1941" spans="1:7" x14ac:dyDescent="0.2">
      <c r="A1941" s="3" t="s">
        <v>238</v>
      </c>
      <c r="B1941" s="3" t="s">
        <v>15</v>
      </c>
      <c r="C1941" s="80">
        <v>40542</v>
      </c>
      <c r="D1941" s="10">
        <v>8.7599999999999997E-2</v>
      </c>
      <c r="E1941" s="67">
        <v>40554</v>
      </c>
      <c r="F1941" s="81">
        <v>40542</v>
      </c>
      <c r="G1941" s="10">
        <f>IF(Tabela4[[#This Row],[Tipo]]="Dividendo",Tabela4[[#This Row],[Valor]],IF(Tabela4[[#This Row],[Tipo]]="Jrs. Cap. Próprio",Tabela4[[#This Row],[Valor]]*85%,0))</f>
        <v>8.7599999999999997E-2</v>
      </c>
    </row>
    <row r="1942" spans="1:7" x14ac:dyDescent="0.2">
      <c r="A1942" s="3" t="s">
        <v>238</v>
      </c>
      <c r="B1942" s="3" t="s">
        <v>14</v>
      </c>
      <c r="C1942" s="80">
        <v>40451</v>
      </c>
      <c r="D1942" s="10">
        <v>0.14960000000000001</v>
      </c>
      <c r="E1942" s="67">
        <v>40464</v>
      </c>
      <c r="F1942" s="81">
        <v>40451</v>
      </c>
      <c r="G1942" s="10">
        <f>IF(Tabela4[[#This Row],[Tipo]]="Dividendo",Tabela4[[#This Row],[Valor]],IF(Tabela4[[#This Row],[Tipo]]="Jrs. Cap. Próprio",Tabela4[[#This Row],[Valor]]*85%,0))</f>
        <v>0.12716</v>
      </c>
    </row>
    <row r="1943" spans="1:7" x14ac:dyDescent="0.2">
      <c r="A1943" s="3" t="s">
        <v>238</v>
      </c>
      <c r="B1943" s="3" t="s">
        <v>15</v>
      </c>
      <c r="C1943" s="80">
        <v>40451</v>
      </c>
      <c r="D1943" s="10">
        <v>9.0399999999999994E-2</v>
      </c>
      <c r="E1943" s="67">
        <v>40464</v>
      </c>
      <c r="F1943" s="81">
        <v>40451</v>
      </c>
      <c r="G1943" s="10">
        <f>IF(Tabela4[[#This Row],[Tipo]]="Dividendo",Tabela4[[#This Row],[Valor]],IF(Tabela4[[#This Row],[Tipo]]="Jrs. Cap. Próprio",Tabela4[[#This Row],[Valor]]*85%,0))</f>
        <v>9.0399999999999994E-2</v>
      </c>
    </row>
    <row r="1944" spans="1:7" x14ac:dyDescent="0.2">
      <c r="A1944" s="3" t="s">
        <v>238</v>
      </c>
      <c r="B1944" s="3" t="s">
        <v>14</v>
      </c>
      <c r="C1944" s="80">
        <v>40359</v>
      </c>
      <c r="D1944" s="10">
        <v>0.1474</v>
      </c>
      <c r="E1944" s="67">
        <v>40372</v>
      </c>
      <c r="F1944" s="81">
        <v>40359</v>
      </c>
      <c r="G1944" s="10">
        <f>IF(Tabela4[[#This Row],[Tipo]]="Dividendo",Tabela4[[#This Row],[Valor]],IF(Tabela4[[#This Row],[Tipo]]="Jrs. Cap. Próprio",Tabela4[[#This Row],[Valor]]*85%,0))</f>
        <v>0.12529000000000001</v>
      </c>
    </row>
    <row r="1945" spans="1:7" x14ac:dyDescent="0.2">
      <c r="A1945" s="3" t="s">
        <v>238</v>
      </c>
      <c r="B1945" s="3" t="s">
        <v>15</v>
      </c>
      <c r="C1945" s="80">
        <v>40359</v>
      </c>
      <c r="D1945" s="10">
        <v>9.2600000000000002E-2</v>
      </c>
      <c r="E1945" s="67">
        <v>40372</v>
      </c>
      <c r="F1945" s="81">
        <v>40359</v>
      </c>
      <c r="G1945" s="10">
        <f>IF(Tabela4[[#This Row],[Tipo]]="Dividendo",Tabela4[[#This Row],[Valor]],IF(Tabela4[[#This Row],[Tipo]]="Jrs. Cap. Próprio",Tabela4[[#This Row],[Valor]]*85%,0))</f>
        <v>9.2600000000000002E-2</v>
      </c>
    </row>
    <row r="1946" spans="1:7" x14ac:dyDescent="0.2">
      <c r="A1946" s="3" t="s">
        <v>238</v>
      </c>
      <c r="B1946" s="3" t="s">
        <v>14</v>
      </c>
      <c r="C1946" s="80">
        <v>40268</v>
      </c>
      <c r="D1946" s="10">
        <v>0.14530000000000001</v>
      </c>
      <c r="E1946" s="67">
        <v>40281</v>
      </c>
      <c r="F1946" s="81">
        <v>40268</v>
      </c>
      <c r="G1946" s="10">
        <f>IF(Tabela4[[#This Row],[Tipo]]="Dividendo",Tabela4[[#This Row],[Valor]],IF(Tabela4[[#This Row],[Tipo]]="Jrs. Cap. Próprio",Tabela4[[#This Row],[Valor]]*85%,0))</f>
        <v>0.123505</v>
      </c>
    </row>
    <row r="1947" spans="1:7" x14ac:dyDescent="0.2">
      <c r="A1947" s="3" t="s">
        <v>238</v>
      </c>
      <c r="B1947" s="3" t="s">
        <v>15</v>
      </c>
      <c r="C1947" s="80">
        <v>40268</v>
      </c>
      <c r="D1947" s="10">
        <v>3.4700000000000002E-2</v>
      </c>
      <c r="E1947" s="67">
        <v>40281</v>
      </c>
      <c r="F1947" s="81">
        <v>40268</v>
      </c>
      <c r="G1947" s="10">
        <f>IF(Tabela4[[#This Row],[Tipo]]="Dividendo",Tabela4[[#This Row],[Valor]],IF(Tabela4[[#This Row],[Tipo]]="Jrs. Cap. Próprio",Tabela4[[#This Row],[Valor]]*85%,0))</f>
        <v>3.4700000000000002E-2</v>
      </c>
    </row>
    <row r="1948" spans="1:7" x14ac:dyDescent="0.2">
      <c r="A1948" s="3" t="s">
        <v>238</v>
      </c>
      <c r="B1948" s="3" t="s">
        <v>14</v>
      </c>
      <c r="C1948" s="80">
        <v>40177</v>
      </c>
      <c r="D1948" s="10">
        <v>0.15229999999999999</v>
      </c>
      <c r="E1948" s="67">
        <v>40191</v>
      </c>
      <c r="F1948" s="81">
        <v>40177</v>
      </c>
      <c r="G1948" s="10">
        <f>IF(Tabela4[[#This Row],[Tipo]]="Dividendo",Tabela4[[#This Row],[Valor]],IF(Tabela4[[#This Row],[Tipo]]="Jrs. Cap. Próprio",Tabela4[[#This Row],[Valor]]*85%,0))</f>
        <v>0.12945499999999999</v>
      </c>
    </row>
    <row r="1949" spans="1:7" x14ac:dyDescent="0.2">
      <c r="A1949" s="3" t="s">
        <v>238</v>
      </c>
      <c r="B1949" s="3" t="s">
        <v>15</v>
      </c>
      <c r="C1949" s="80">
        <v>40177</v>
      </c>
      <c r="D1949" s="10">
        <v>2.7699999999999999E-2</v>
      </c>
      <c r="E1949" s="67">
        <v>40191</v>
      </c>
      <c r="F1949" s="81">
        <v>40177</v>
      </c>
      <c r="G1949" s="10">
        <f>IF(Tabela4[[#This Row],[Tipo]]="Dividendo",Tabela4[[#This Row],[Valor]],IF(Tabela4[[#This Row],[Tipo]]="Jrs. Cap. Próprio",Tabela4[[#This Row],[Valor]]*85%,0))</f>
        <v>2.7699999999999999E-2</v>
      </c>
    </row>
    <row r="1950" spans="1:7" x14ac:dyDescent="0.2">
      <c r="A1950" s="3" t="s">
        <v>238</v>
      </c>
      <c r="B1950" s="3" t="s">
        <v>14</v>
      </c>
      <c r="C1950" s="80">
        <v>40086</v>
      </c>
      <c r="D1950" s="10">
        <v>0.15010000000000001</v>
      </c>
      <c r="E1950" s="67">
        <v>40099</v>
      </c>
      <c r="F1950" s="81">
        <v>40086</v>
      </c>
      <c r="G1950" s="10">
        <f>IF(Tabela4[[#This Row],[Tipo]]="Dividendo",Tabela4[[#This Row],[Valor]],IF(Tabela4[[#This Row],[Tipo]]="Jrs. Cap. Próprio",Tabela4[[#This Row],[Valor]]*85%,0))</f>
        <v>0.127585</v>
      </c>
    </row>
    <row r="1951" spans="1:7" x14ac:dyDescent="0.2">
      <c r="A1951" s="3" t="s">
        <v>238</v>
      </c>
      <c r="B1951" s="3" t="s">
        <v>15</v>
      </c>
      <c r="C1951" s="80">
        <v>40086</v>
      </c>
      <c r="D1951" s="10">
        <v>2.9899999999999999E-2</v>
      </c>
      <c r="E1951" s="67">
        <v>40099</v>
      </c>
      <c r="F1951" s="81">
        <v>40086</v>
      </c>
      <c r="G1951" s="10">
        <f>IF(Tabela4[[#This Row],[Tipo]]="Dividendo",Tabela4[[#This Row],[Valor]],IF(Tabela4[[#This Row],[Tipo]]="Jrs. Cap. Próprio",Tabela4[[#This Row],[Valor]]*85%,0))</f>
        <v>2.9899999999999999E-2</v>
      </c>
    </row>
    <row r="1952" spans="1:7" x14ac:dyDescent="0.2">
      <c r="A1952" s="3" t="s">
        <v>238</v>
      </c>
      <c r="B1952" s="3" t="s">
        <v>14</v>
      </c>
      <c r="C1952" s="80">
        <v>39994</v>
      </c>
      <c r="D1952" s="10">
        <v>0.15329999999999999</v>
      </c>
      <c r="E1952" s="67">
        <v>40008</v>
      </c>
      <c r="F1952" s="81">
        <v>39994</v>
      </c>
      <c r="G1952" s="10">
        <f>IF(Tabela4[[#This Row],[Tipo]]="Dividendo",Tabela4[[#This Row],[Valor]],IF(Tabela4[[#This Row],[Tipo]]="Jrs. Cap. Próprio",Tabela4[[#This Row],[Valor]]*85%,0))</f>
        <v>0.13030499999999998</v>
      </c>
    </row>
    <row r="1953" spans="1:7" x14ac:dyDescent="0.2">
      <c r="A1953" s="3" t="s">
        <v>238</v>
      </c>
      <c r="B1953" s="3" t="s">
        <v>15</v>
      </c>
      <c r="C1953" s="80">
        <v>39994</v>
      </c>
      <c r="D1953" s="10">
        <v>8.5800000000000001E-2</v>
      </c>
      <c r="E1953" s="67">
        <v>40008</v>
      </c>
      <c r="F1953" s="81">
        <v>39994</v>
      </c>
      <c r="G1953" s="10">
        <f>IF(Tabela4[[#This Row],[Tipo]]="Dividendo",Tabela4[[#This Row],[Valor]],IF(Tabela4[[#This Row],[Tipo]]="Jrs. Cap. Próprio",Tabela4[[#This Row],[Valor]]*85%,0))</f>
        <v>8.5800000000000001E-2</v>
      </c>
    </row>
    <row r="1954" spans="1:7" x14ac:dyDescent="0.2">
      <c r="A1954" s="3" t="s">
        <v>238</v>
      </c>
      <c r="B1954" s="3" t="s">
        <v>15</v>
      </c>
      <c r="C1954" s="80">
        <v>39903</v>
      </c>
      <c r="D1954" s="10">
        <v>0.1462</v>
      </c>
      <c r="E1954" s="67">
        <v>39916</v>
      </c>
      <c r="F1954" s="81">
        <v>39903</v>
      </c>
      <c r="G1954" s="10">
        <f>IF(Tabela4[[#This Row],[Tipo]]="Dividendo",Tabela4[[#This Row],[Valor]],IF(Tabela4[[#This Row],[Tipo]]="Jrs. Cap. Próprio",Tabela4[[#This Row],[Valor]]*85%,0))</f>
        <v>0.1462</v>
      </c>
    </row>
    <row r="1955" spans="1:7" x14ac:dyDescent="0.2">
      <c r="A1955" s="3" t="s">
        <v>238</v>
      </c>
      <c r="B1955" s="3" t="s">
        <v>14</v>
      </c>
      <c r="C1955" s="80">
        <v>39903</v>
      </c>
      <c r="D1955" s="10">
        <v>0.14929999999999999</v>
      </c>
      <c r="E1955" s="67">
        <v>39916</v>
      </c>
      <c r="F1955" s="81">
        <v>39903</v>
      </c>
      <c r="G1955" s="10">
        <f>IF(Tabela4[[#This Row],[Tipo]]="Dividendo",Tabela4[[#This Row],[Valor]],IF(Tabela4[[#This Row],[Tipo]]="Jrs. Cap. Próprio",Tabela4[[#This Row],[Valor]]*85%,0))</f>
        <v>0.12690499999999999</v>
      </c>
    </row>
    <row r="1956" spans="1:7" x14ac:dyDescent="0.2">
      <c r="A1956" s="3" t="s">
        <v>238</v>
      </c>
      <c r="B1956" s="3" t="s">
        <v>14</v>
      </c>
      <c r="C1956" s="80">
        <v>39812</v>
      </c>
      <c r="D1956" s="10">
        <v>0.14979999999999999</v>
      </c>
      <c r="E1956" s="67">
        <v>39826</v>
      </c>
      <c r="F1956" s="81">
        <v>39812</v>
      </c>
      <c r="G1956" s="10">
        <f>IF(Tabela4[[#This Row],[Tipo]]="Dividendo",Tabela4[[#This Row],[Valor]],IF(Tabela4[[#This Row],[Tipo]]="Jrs. Cap. Próprio",Tabela4[[#This Row],[Valor]]*85%,0))</f>
        <v>0.12733</v>
      </c>
    </row>
    <row r="1957" spans="1:7" x14ac:dyDescent="0.2">
      <c r="A1957" s="3" t="s">
        <v>238</v>
      </c>
      <c r="B1957" s="3" t="s">
        <v>15</v>
      </c>
      <c r="C1957" s="80">
        <v>39812</v>
      </c>
      <c r="D1957" s="10">
        <v>8.43E-2</v>
      </c>
      <c r="E1957" s="67">
        <v>39826</v>
      </c>
      <c r="F1957" s="81">
        <v>39812</v>
      </c>
      <c r="G1957" s="10">
        <f>IF(Tabela4[[#This Row],[Tipo]]="Dividendo",Tabela4[[#This Row],[Valor]],IF(Tabela4[[#This Row],[Tipo]]="Jrs. Cap. Próprio",Tabela4[[#This Row],[Valor]]*85%,0))</f>
        <v>8.43E-2</v>
      </c>
    </row>
    <row r="1958" spans="1:7" x14ac:dyDescent="0.2">
      <c r="A1958" s="3" t="s">
        <v>238</v>
      </c>
      <c r="B1958" s="3" t="s">
        <v>14</v>
      </c>
      <c r="C1958" s="80">
        <v>39721</v>
      </c>
      <c r="D1958" s="10">
        <v>0.1457</v>
      </c>
      <c r="E1958" s="67">
        <v>39734</v>
      </c>
      <c r="F1958" s="81">
        <v>39721</v>
      </c>
      <c r="G1958" s="10">
        <f>IF(Tabela4[[#This Row],[Tipo]]="Dividendo",Tabela4[[#This Row],[Valor]],IF(Tabela4[[#This Row],[Tipo]]="Jrs. Cap. Próprio",Tabela4[[#This Row],[Valor]]*85%,0))</f>
        <v>0.123845</v>
      </c>
    </row>
    <row r="1959" spans="1:7" x14ac:dyDescent="0.2">
      <c r="A1959" s="3" t="s">
        <v>238</v>
      </c>
      <c r="B1959" s="3" t="s">
        <v>14</v>
      </c>
      <c r="C1959" s="80">
        <v>39629</v>
      </c>
      <c r="D1959" s="10">
        <v>0.1394</v>
      </c>
      <c r="E1959" s="67">
        <v>39640</v>
      </c>
      <c r="F1959" s="81">
        <v>39629</v>
      </c>
      <c r="G1959" s="10">
        <f>IF(Tabela4[[#This Row],[Tipo]]="Dividendo",Tabela4[[#This Row],[Valor]],IF(Tabela4[[#This Row],[Tipo]]="Jrs. Cap. Próprio",Tabela4[[#This Row],[Valor]]*85%,0))</f>
        <v>0.11849</v>
      </c>
    </row>
    <row r="1960" spans="1:7" x14ac:dyDescent="0.2">
      <c r="A1960" s="3" t="s">
        <v>238</v>
      </c>
      <c r="B1960" s="3" t="s">
        <v>14</v>
      </c>
      <c r="C1960" s="80">
        <v>39568</v>
      </c>
      <c r="D1960" s="10">
        <v>0.1356</v>
      </c>
      <c r="E1960" s="67">
        <v>39581</v>
      </c>
      <c r="F1960" s="81">
        <v>39568</v>
      </c>
      <c r="G1960" s="10">
        <f>IF(Tabela4[[#This Row],[Tipo]]="Dividendo",Tabela4[[#This Row],[Valor]],IF(Tabela4[[#This Row],[Tipo]]="Jrs. Cap. Próprio",Tabela4[[#This Row],[Valor]]*85%,0))</f>
        <v>0.11526</v>
      </c>
    </row>
    <row r="1961" spans="1:7" x14ac:dyDescent="0.2">
      <c r="A1961" s="3" t="s">
        <v>238</v>
      </c>
      <c r="B1961" s="3" t="s">
        <v>15</v>
      </c>
      <c r="C1961" s="80">
        <v>39476</v>
      </c>
      <c r="D1961" s="10">
        <v>3.5299999999999998E-2</v>
      </c>
      <c r="E1961" s="67">
        <v>39493</v>
      </c>
      <c r="F1961" s="81">
        <v>39476</v>
      </c>
      <c r="G1961" s="10">
        <f>IF(Tabela4[[#This Row],[Tipo]]="Dividendo",Tabela4[[#This Row],[Valor]],IF(Tabela4[[#This Row],[Tipo]]="Jrs. Cap. Próprio",Tabela4[[#This Row],[Valor]]*85%,0))</f>
        <v>3.5299999999999998E-2</v>
      </c>
    </row>
    <row r="1962" spans="1:7" x14ac:dyDescent="0.2">
      <c r="A1962" s="3" t="s">
        <v>238</v>
      </c>
      <c r="B1962" s="3" t="s">
        <v>14</v>
      </c>
      <c r="C1962" s="80">
        <v>39464</v>
      </c>
      <c r="D1962" s="10">
        <v>0.24030000000000001</v>
      </c>
      <c r="E1962" s="67">
        <v>39479</v>
      </c>
      <c r="F1962" s="81">
        <v>39464</v>
      </c>
      <c r="G1962" s="10">
        <f>IF(Tabela4[[#This Row],[Tipo]]="Dividendo",Tabela4[[#This Row],[Valor]],IF(Tabela4[[#This Row],[Tipo]]="Jrs. Cap. Próprio",Tabela4[[#This Row],[Valor]]*85%,0))</f>
        <v>0.20425500000000002</v>
      </c>
    </row>
    <row r="1963" spans="1:7" x14ac:dyDescent="0.2">
      <c r="A1963" s="3" t="s">
        <v>238</v>
      </c>
      <c r="B1963" s="3" t="s">
        <v>14</v>
      </c>
      <c r="C1963" s="80">
        <v>39283</v>
      </c>
      <c r="D1963" s="10">
        <v>0.18029999999999999</v>
      </c>
      <c r="E1963" s="67">
        <v>39300</v>
      </c>
      <c r="F1963" s="81">
        <v>39283</v>
      </c>
      <c r="G1963" s="10">
        <f>IF(Tabela4[[#This Row],[Tipo]]="Dividendo",Tabela4[[#This Row],[Valor]],IF(Tabela4[[#This Row],[Tipo]]="Jrs. Cap. Próprio",Tabela4[[#This Row],[Valor]]*85%,0))</f>
        <v>0.15325499999999997</v>
      </c>
    </row>
    <row r="1964" spans="1:7" x14ac:dyDescent="0.2">
      <c r="A1964" s="4" t="s">
        <v>30</v>
      </c>
      <c r="B1964" s="4" t="s">
        <v>14</v>
      </c>
      <c r="C1964" s="19">
        <v>41540</v>
      </c>
      <c r="D1964" s="55">
        <v>1.7500000000000002E-2</v>
      </c>
      <c r="E1964" s="68">
        <v>41638</v>
      </c>
      <c r="F1964" s="68">
        <v>41326</v>
      </c>
      <c r="G1964" s="14">
        <f>IF(Tabela4[[#This Row],[Tipo]]="Dividendo",Tabela4[[#This Row],[Valor]],IF(Tabela4[[#This Row],[Tipo]]="Jrs. Cap. Próprio",Tabela4[[#This Row],[Valor]]*85%,0))</f>
        <v>1.4875000000000001E-2</v>
      </c>
    </row>
    <row r="1965" spans="1:7" x14ac:dyDescent="0.2">
      <c r="A1965" s="4" t="s">
        <v>30</v>
      </c>
      <c r="B1965" s="3" t="s">
        <v>14</v>
      </c>
      <c r="C1965" s="80">
        <v>41446</v>
      </c>
      <c r="D1965" s="63">
        <v>3.5000000000000003E-2</v>
      </c>
      <c r="E1965" s="67">
        <v>41547</v>
      </c>
      <c r="F1965" s="81">
        <v>41326</v>
      </c>
      <c r="G1965" s="10">
        <f>IF(Tabela4[[#This Row],[Tipo]]="Dividendo",Tabela4[[#This Row],[Valor]],IF(Tabela4[[#This Row],[Tipo]]="Jrs. Cap. Próprio",Tabela4[[#This Row],[Valor]]*85%,0))</f>
        <v>2.9750000000000002E-2</v>
      </c>
    </row>
    <row r="1966" spans="1:7" x14ac:dyDescent="0.2">
      <c r="A1966" s="4" t="s">
        <v>30</v>
      </c>
      <c r="B1966" s="3" t="s">
        <v>14</v>
      </c>
      <c r="C1966" s="80">
        <v>41354</v>
      </c>
      <c r="D1966" s="63">
        <v>3.5000000000000003E-2</v>
      </c>
      <c r="E1966" s="67">
        <v>41453</v>
      </c>
      <c r="F1966" s="81">
        <v>41326</v>
      </c>
      <c r="G1966" s="10">
        <f>IF(Tabela4[[#This Row],[Tipo]]="Dividendo",Tabela4[[#This Row],[Valor]],IF(Tabela4[[#This Row],[Tipo]]="Jrs. Cap. Próprio",Tabela4[[#This Row],[Valor]]*85%,0))</f>
        <v>2.9750000000000002E-2</v>
      </c>
    </row>
    <row r="1967" spans="1:7" x14ac:dyDescent="0.2">
      <c r="A1967" s="4" t="s">
        <v>30</v>
      </c>
      <c r="B1967" s="3" t="s">
        <v>14</v>
      </c>
      <c r="C1967" s="80">
        <v>41262</v>
      </c>
      <c r="D1967" s="63">
        <v>3.5999999999999997E-2</v>
      </c>
      <c r="E1967" s="67">
        <v>41361</v>
      </c>
      <c r="F1967" s="81">
        <v>41262</v>
      </c>
      <c r="G1967" s="10">
        <f>IF(Tabela4[[#This Row],[Tipo]]="Dividendo",Tabela4[[#This Row],[Valor]],IF(Tabela4[[#This Row],[Tipo]]="Jrs. Cap. Próprio",Tabela4[[#This Row],[Valor]]*85%,0))</f>
        <v>3.0599999999999995E-2</v>
      </c>
    </row>
    <row r="1968" spans="1:7" x14ac:dyDescent="0.2">
      <c r="A1968" s="4" t="s">
        <v>30</v>
      </c>
      <c r="B1968" s="3" t="s">
        <v>15</v>
      </c>
      <c r="C1968" s="80">
        <v>41262</v>
      </c>
      <c r="D1968" s="63">
        <v>0.17899999999999999</v>
      </c>
      <c r="E1968" s="67">
        <v>41361</v>
      </c>
      <c r="F1968" s="81">
        <v>41262</v>
      </c>
      <c r="G1968" s="10">
        <f>IF(Tabela4[[#This Row],[Tipo]]="Dividendo",Tabela4[[#This Row],[Valor]],IF(Tabela4[[#This Row],[Tipo]]="Jrs. Cap. Próprio",Tabela4[[#This Row],[Valor]]*85%,0))</f>
        <v>0.17899999999999999</v>
      </c>
    </row>
    <row r="1969" spans="1:7" x14ac:dyDescent="0.2">
      <c r="A1969" s="4" t="s">
        <v>30</v>
      </c>
      <c r="B1969" s="3" t="s">
        <v>14</v>
      </c>
      <c r="C1969" s="80">
        <v>41173</v>
      </c>
      <c r="D1969" s="63">
        <v>3.5000000000000003E-2</v>
      </c>
      <c r="E1969" s="67">
        <v>41271</v>
      </c>
      <c r="F1969" s="81">
        <v>40963</v>
      </c>
      <c r="G1969" s="10">
        <f>IF(Tabela4[[#This Row],[Tipo]]="Dividendo",Tabela4[[#This Row],[Valor]],IF(Tabela4[[#This Row],[Tipo]]="Jrs. Cap. Próprio",Tabela4[[#This Row],[Valor]]*85%,0))</f>
        <v>2.9750000000000002E-2</v>
      </c>
    </row>
    <row r="1970" spans="1:7" x14ac:dyDescent="0.2">
      <c r="A1970" s="4" t="s">
        <v>30</v>
      </c>
      <c r="B1970" s="3" t="s">
        <v>14</v>
      </c>
      <c r="C1970" s="80">
        <v>41081</v>
      </c>
      <c r="D1970" s="63">
        <v>3.5000000000000003E-2</v>
      </c>
      <c r="E1970" s="67">
        <v>41180</v>
      </c>
      <c r="F1970" s="81">
        <v>40963</v>
      </c>
      <c r="G1970" s="10">
        <f>IF(Tabela4[[#This Row],[Tipo]]="Dividendo",Tabela4[[#This Row],[Valor]],IF(Tabela4[[#This Row],[Tipo]]="Jrs. Cap. Próprio",Tabela4[[#This Row],[Valor]]*85%,0))</f>
        <v>2.9750000000000002E-2</v>
      </c>
    </row>
    <row r="1971" spans="1:7" x14ac:dyDescent="0.2">
      <c r="A1971" s="4" t="s">
        <v>30</v>
      </c>
      <c r="B1971" s="3" t="s">
        <v>14</v>
      </c>
      <c r="C1971" s="80">
        <v>40989</v>
      </c>
      <c r="D1971" s="63">
        <v>3.5000000000000003E-2</v>
      </c>
      <c r="E1971" s="67">
        <v>41089</v>
      </c>
      <c r="F1971" s="81">
        <v>40963</v>
      </c>
      <c r="G1971" s="10">
        <f>IF(Tabela4[[#This Row],[Tipo]]="Dividendo",Tabela4[[#This Row],[Valor]],IF(Tabela4[[#This Row],[Tipo]]="Jrs. Cap. Próprio",Tabela4[[#This Row],[Valor]]*85%,0))</f>
        <v>2.9750000000000002E-2</v>
      </c>
    </row>
    <row r="1972" spans="1:7" x14ac:dyDescent="0.2">
      <c r="A1972" s="4" t="s">
        <v>30</v>
      </c>
      <c r="B1972" s="3" t="s">
        <v>14</v>
      </c>
      <c r="C1972" s="80">
        <v>40886</v>
      </c>
      <c r="D1972" s="63">
        <v>3.5000000000000003E-2</v>
      </c>
      <c r="E1972" s="67">
        <v>40998</v>
      </c>
      <c r="F1972" s="81">
        <v>40886</v>
      </c>
      <c r="G1972" s="10">
        <f>IF(Tabela4[[#This Row],[Tipo]]="Dividendo",Tabela4[[#This Row],[Valor]],IF(Tabela4[[#This Row],[Tipo]]="Jrs. Cap. Próprio",Tabela4[[#This Row],[Valor]]*85%,0))</f>
        <v>2.9750000000000002E-2</v>
      </c>
    </row>
    <row r="1973" spans="1:7" x14ac:dyDescent="0.2">
      <c r="A1973" s="4" t="s">
        <v>30</v>
      </c>
      <c r="B1973" s="3" t="s">
        <v>15</v>
      </c>
      <c r="C1973" s="80">
        <v>40886</v>
      </c>
      <c r="D1973" s="63">
        <v>0.25</v>
      </c>
      <c r="E1973" s="67">
        <v>40998</v>
      </c>
      <c r="F1973" s="81">
        <v>40886</v>
      </c>
      <c r="G1973" s="10">
        <f>IF(Tabela4[[#This Row],[Tipo]]="Dividendo",Tabela4[[#This Row],[Valor]],IF(Tabela4[[#This Row],[Tipo]]="Jrs. Cap. Próprio",Tabela4[[#This Row],[Valor]]*85%,0))</f>
        <v>0.25</v>
      </c>
    </row>
    <row r="1974" spans="1:7" x14ac:dyDescent="0.2">
      <c r="A1974" s="4" t="s">
        <v>30</v>
      </c>
      <c r="B1974" s="3" t="s">
        <v>14</v>
      </c>
      <c r="C1974" s="80">
        <v>40807</v>
      </c>
      <c r="D1974" s="63">
        <v>2.9000000000000001E-2</v>
      </c>
      <c r="E1974" s="67">
        <v>40907</v>
      </c>
      <c r="F1974" s="81">
        <v>40763</v>
      </c>
      <c r="G1974" s="10">
        <f>IF(Tabela4[[#This Row],[Tipo]]="Dividendo",Tabela4[[#This Row],[Valor]],IF(Tabela4[[#This Row],[Tipo]]="Jrs. Cap. Próprio",Tabela4[[#This Row],[Valor]]*85%,0))</f>
        <v>2.4650000000000002E-2</v>
      </c>
    </row>
    <row r="1975" spans="1:7" x14ac:dyDescent="0.2">
      <c r="A1975" s="4" t="s">
        <v>30</v>
      </c>
      <c r="B1975" s="3" t="s">
        <v>14</v>
      </c>
      <c r="C1975" s="80">
        <v>40715</v>
      </c>
      <c r="D1975" s="63">
        <v>2.9000000000000001E-2</v>
      </c>
      <c r="E1975" s="67">
        <v>40816</v>
      </c>
      <c r="F1975" s="81">
        <v>40672</v>
      </c>
      <c r="G1975" s="10">
        <f>IF(Tabela4[[#This Row],[Tipo]]="Dividendo",Tabela4[[#This Row],[Valor]],IF(Tabela4[[#This Row],[Tipo]]="Jrs. Cap. Próprio",Tabela4[[#This Row],[Valor]]*85%,0))</f>
        <v>2.4650000000000002E-2</v>
      </c>
    </row>
    <row r="1976" spans="1:7" x14ac:dyDescent="0.2">
      <c r="A1976" s="4" t="s">
        <v>30</v>
      </c>
      <c r="B1976" s="3" t="s">
        <v>14</v>
      </c>
      <c r="C1976" s="80">
        <v>40623</v>
      </c>
      <c r="D1976" s="63">
        <v>2.9000000000000001E-2</v>
      </c>
      <c r="E1976" s="67">
        <v>40724</v>
      </c>
      <c r="F1976" s="81">
        <v>40597</v>
      </c>
      <c r="G1976" s="10">
        <f>IF(Tabela4[[#This Row],[Tipo]]="Dividendo",Tabela4[[#This Row],[Valor]],IF(Tabela4[[#This Row],[Tipo]]="Jrs. Cap. Próprio",Tabela4[[#This Row],[Valor]]*85%,0))</f>
        <v>2.4650000000000002E-2</v>
      </c>
    </row>
    <row r="1977" spans="1:7" x14ac:dyDescent="0.2">
      <c r="A1977" s="4" t="s">
        <v>30</v>
      </c>
      <c r="B1977" s="3" t="s">
        <v>14</v>
      </c>
      <c r="C1977" s="80">
        <v>40521</v>
      </c>
      <c r="D1977" s="63">
        <v>2.5999999999999999E-2</v>
      </c>
      <c r="E1977" s="67">
        <v>40632</v>
      </c>
      <c r="F1977" s="81">
        <v>40521</v>
      </c>
      <c r="G1977" s="10">
        <f>IF(Tabela4[[#This Row],[Tipo]]="Dividendo",Tabela4[[#This Row],[Valor]],IF(Tabela4[[#This Row],[Tipo]]="Jrs. Cap. Próprio",Tabela4[[#This Row],[Valor]]*85%,0))</f>
        <v>2.2099999999999998E-2</v>
      </c>
    </row>
    <row r="1978" spans="1:7" x14ac:dyDescent="0.2">
      <c r="A1978" s="4" t="s">
        <v>30</v>
      </c>
      <c r="B1978" s="3" t="s">
        <v>15</v>
      </c>
      <c r="C1978" s="80">
        <v>40521</v>
      </c>
      <c r="D1978" s="63">
        <v>0.2344</v>
      </c>
      <c r="E1978" s="67">
        <v>40632</v>
      </c>
      <c r="F1978" s="81">
        <v>40521</v>
      </c>
      <c r="G1978" s="10">
        <f>IF(Tabela4[[#This Row],[Tipo]]="Dividendo",Tabela4[[#This Row],[Valor]],IF(Tabela4[[#This Row],[Tipo]]="Jrs. Cap. Próprio",Tabela4[[#This Row],[Valor]]*85%,0))</f>
        <v>0.2344</v>
      </c>
    </row>
    <row r="1979" spans="1:7" x14ac:dyDescent="0.2">
      <c r="A1979" s="4" t="s">
        <v>30</v>
      </c>
      <c r="B1979" s="3" t="s">
        <v>14</v>
      </c>
      <c r="C1979" s="80">
        <v>40442</v>
      </c>
      <c r="D1979" s="63">
        <v>2.5000000000000001E-2</v>
      </c>
      <c r="E1979" s="67">
        <v>40542</v>
      </c>
      <c r="F1979" s="81">
        <v>40437</v>
      </c>
      <c r="G1979" s="10">
        <f>IF(Tabela4[[#This Row],[Tipo]]="Dividendo",Tabela4[[#This Row],[Valor]],IF(Tabela4[[#This Row],[Tipo]]="Jrs. Cap. Próprio",Tabela4[[#This Row],[Valor]]*85%,0))</f>
        <v>2.1250000000000002E-2</v>
      </c>
    </row>
    <row r="1980" spans="1:7" x14ac:dyDescent="0.2">
      <c r="A1980" s="4" t="s">
        <v>30</v>
      </c>
      <c r="B1980" s="3" t="s">
        <v>14</v>
      </c>
      <c r="C1980" s="80">
        <v>40350</v>
      </c>
      <c r="D1980" s="63">
        <v>0.05</v>
      </c>
      <c r="E1980" s="67">
        <v>40451</v>
      </c>
      <c r="F1980" s="81">
        <v>40346</v>
      </c>
      <c r="G1980" s="10">
        <f>IF(Tabela4[[#This Row],[Tipo]]="Dividendo",Tabela4[[#This Row],[Valor]],IF(Tabela4[[#This Row],[Tipo]]="Jrs. Cap. Próprio",Tabela4[[#This Row],[Valor]]*85%,0))</f>
        <v>4.2500000000000003E-2</v>
      </c>
    </row>
    <row r="1981" spans="1:7" x14ac:dyDescent="0.2">
      <c r="A1981" s="4" t="s">
        <v>30</v>
      </c>
      <c r="B1981" s="3" t="s">
        <v>14</v>
      </c>
      <c r="C1981" s="80">
        <v>40259</v>
      </c>
      <c r="D1981" s="63">
        <v>0.05</v>
      </c>
      <c r="E1981" s="67">
        <v>40359</v>
      </c>
      <c r="F1981" s="81">
        <v>40256</v>
      </c>
      <c r="G1981" s="10">
        <f>IF(Tabela4[[#This Row],[Tipo]]="Dividendo",Tabela4[[#This Row],[Valor]],IF(Tabela4[[#This Row],[Tipo]]="Jrs. Cap. Próprio",Tabela4[[#This Row],[Valor]]*85%,0))</f>
        <v>4.2500000000000003E-2</v>
      </c>
    </row>
    <row r="1982" spans="1:7" x14ac:dyDescent="0.2">
      <c r="A1982" s="4" t="s">
        <v>30</v>
      </c>
      <c r="B1982" s="3" t="s">
        <v>15</v>
      </c>
      <c r="C1982" s="80">
        <v>40158</v>
      </c>
      <c r="D1982" s="63">
        <v>0.13300000000000001</v>
      </c>
      <c r="E1982" s="67">
        <v>40268</v>
      </c>
      <c r="F1982" s="81">
        <v>40158</v>
      </c>
      <c r="G1982" s="10">
        <f>IF(Tabela4[[#This Row],[Tipo]]="Dividendo",Tabela4[[#This Row],[Valor]],IF(Tabela4[[#This Row],[Tipo]]="Jrs. Cap. Próprio",Tabela4[[#This Row],[Valor]]*85%,0))</f>
        <v>0.13300000000000001</v>
      </c>
    </row>
    <row r="1983" spans="1:7" x14ac:dyDescent="0.2">
      <c r="A1983" s="4" t="s">
        <v>30</v>
      </c>
      <c r="B1983" s="3" t="s">
        <v>14</v>
      </c>
      <c r="C1983" s="80">
        <v>40158</v>
      </c>
      <c r="D1983" s="63">
        <v>0.128</v>
      </c>
      <c r="E1983" s="67">
        <v>40177</v>
      </c>
      <c r="F1983" s="81">
        <v>40158</v>
      </c>
      <c r="G1983" s="10">
        <f>IF(Tabela4[[#This Row],[Tipo]]="Dividendo",Tabela4[[#This Row],[Valor]],IF(Tabela4[[#This Row],[Tipo]]="Jrs. Cap. Próprio",Tabela4[[#This Row],[Valor]]*85%,0))</f>
        <v>0.10879999999999999</v>
      </c>
    </row>
    <row r="1984" spans="1:7" x14ac:dyDescent="0.2">
      <c r="A1984" s="4" t="s">
        <v>30</v>
      </c>
      <c r="B1984" s="3" t="s">
        <v>14</v>
      </c>
      <c r="C1984" s="80">
        <v>40057</v>
      </c>
      <c r="D1984" s="63">
        <v>0.06</v>
      </c>
      <c r="E1984" s="67">
        <v>40086</v>
      </c>
      <c r="F1984" s="81">
        <v>40057</v>
      </c>
      <c r="G1984" s="10">
        <f>IF(Tabela4[[#This Row],[Tipo]]="Dividendo",Tabela4[[#This Row],[Valor]],IF(Tabela4[[#This Row],[Tipo]]="Jrs. Cap. Próprio",Tabela4[[#This Row],[Valor]]*85%,0))</f>
        <v>5.0999999999999997E-2</v>
      </c>
    </row>
    <row r="1985" spans="1:7" x14ac:dyDescent="0.2">
      <c r="A1985" s="4" t="s">
        <v>30</v>
      </c>
      <c r="B1985" s="3" t="s">
        <v>14</v>
      </c>
      <c r="C1985" s="80">
        <v>39794</v>
      </c>
      <c r="D1985" s="63">
        <v>0.16719999999999999</v>
      </c>
      <c r="E1985" s="67">
        <v>39899</v>
      </c>
      <c r="F1985" s="81">
        <v>39797</v>
      </c>
      <c r="G1985" s="10">
        <f>IF(Tabela4[[#This Row],[Tipo]]="Dividendo",Tabela4[[#This Row],[Valor]],IF(Tabela4[[#This Row],[Tipo]]="Jrs. Cap. Próprio",Tabela4[[#This Row],[Valor]]*85%,0))</f>
        <v>0.14212</v>
      </c>
    </row>
    <row r="1986" spans="1:7" x14ac:dyDescent="0.2">
      <c r="A1986" s="4" t="s">
        <v>30</v>
      </c>
      <c r="B1986" s="3" t="s">
        <v>15</v>
      </c>
      <c r="C1986" s="80">
        <v>39794</v>
      </c>
      <c r="D1986" s="63">
        <v>6.6500000000000004E-2</v>
      </c>
      <c r="E1986" s="67">
        <v>39899</v>
      </c>
      <c r="F1986" s="81">
        <v>39797</v>
      </c>
      <c r="G1986" s="10">
        <f>IF(Tabela4[[#This Row],[Tipo]]="Dividendo",Tabela4[[#This Row],[Valor]],IF(Tabela4[[#This Row],[Tipo]]="Jrs. Cap. Próprio",Tabela4[[#This Row],[Valor]]*85%,0))</f>
        <v>6.6500000000000004E-2</v>
      </c>
    </row>
    <row r="1987" spans="1:7" x14ac:dyDescent="0.2">
      <c r="A1987" s="4" t="s">
        <v>30</v>
      </c>
      <c r="B1987" s="3" t="s">
        <v>14</v>
      </c>
      <c r="C1987" s="80">
        <v>39430</v>
      </c>
      <c r="D1987" s="63">
        <v>0.15429999999999999</v>
      </c>
      <c r="E1987" s="67">
        <v>39535</v>
      </c>
      <c r="F1987" s="81">
        <v>39430</v>
      </c>
      <c r="G1987" s="10">
        <f>IF(Tabela4[[#This Row],[Tipo]]="Dividendo",Tabela4[[#This Row],[Valor]],IF(Tabela4[[#This Row],[Tipo]]="Jrs. Cap. Próprio",Tabela4[[#This Row],[Valor]]*85%,0))</f>
        <v>0.13115499999999999</v>
      </c>
    </row>
    <row r="1988" spans="1:7" x14ac:dyDescent="0.2">
      <c r="A1988" s="4" t="s">
        <v>30</v>
      </c>
      <c r="B1988" s="3" t="s">
        <v>15</v>
      </c>
      <c r="C1988" s="80">
        <v>39430</v>
      </c>
      <c r="D1988" s="63">
        <v>0.18099999999999999</v>
      </c>
      <c r="E1988" s="67">
        <v>39535</v>
      </c>
      <c r="F1988" s="81">
        <v>39430</v>
      </c>
      <c r="G1988" s="10">
        <f>IF(Tabela4[[#This Row],[Tipo]]="Dividendo",Tabela4[[#This Row],[Valor]],IF(Tabela4[[#This Row],[Tipo]]="Jrs. Cap. Próprio",Tabela4[[#This Row],[Valor]]*85%,0))</f>
        <v>0.18099999999999999</v>
      </c>
    </row>
    <row r="1989" spans="1:7" x14ac:dyDescent="0.2">
      <c r="A1989" s="4" t="s">
        <v>30</v>
      </c>
      <c r="B1989" s="3" t="s">
        <v>14</v>
      </c>
      <c r="C1989" s="80">
        <v>39066</v>
      </c>
      <c r="D1989" s="63">
        <v>0.16539999999999999</v>
      </c>
      <c r="E1989" s="67">
        <v>39171</v>
      </c>
      <c r="F1989" s="81">
        <v>39066</v>
      </c>
      <c r="G1989" s="10">
        <f>IF(Tabela4[[#This Row],[Tipo]]="Dividendo",Tabela4[[#This Row],[Valor]],IF(Tabela4[[#This Row],[Tipo]]="Jrs. Cap. Próprio",Tabela4[[#This Row],[Valor]]*85%,0))</f>
        <v>0.14058999999999999</v>
      </c>
    </row>
    <row r="1990" spans="1:7" x14ac:dyDescent="0.2">
      <c r="A1990" s="4" t="s">
        <v>30</v>
      </c>
      <c r="B1990" s="3" t="s">
        <v>15</v>
      </c>
      <c r="C1990" s="80">
        <v>39066</v>
      </c>
      <c r="D1990" s="63">
        <v>0.06</v>
      </c>
      <c r="E1990" s="67">
        <v>39171</v>
      </c>
      <c r="F1990" s="81">
        <v>39066</v>
      </c>
      <c r="G1990" s="10">
        <f>IF(Tabela4[[#This Row],[Tipo]]="Dividendo",Tabela4[[#This Row],[Valor]],IF(Tabela4[[#This Row],[Tipo]]="Jrs. Cap. Próprio",Tabela4[[#This Row],[Valor]]*85%,0))</f>
        <v>0.06</v>
      </c>
    </row>
    <row r="1991" spans="1:7" x14ac:dyDescent="0.2">
      <c r="A1991" s="4" t="s">
        <v>30</v>
      </c>
      <c r="B1991" s="3" t="s">
        <v>14</v>
      </c>
      <c r="C1991" s="80">
        <v>38702</v>
      </c>
      <c r="D1991" s="63">
        <v>0.38</v>
      </c>
      <c r="E1991" s="67">
        <v>38803</v>
      </c>
      <c r="F1991" s="81">
        <v>38702</v>
      </c>
      <c r="G1991" s="10">
        <f>IF(Tabela4[[#This Row],[Tipo]]="Dividendo",Tabela4[[#This Row],[Valor]],IF(Tabela4[[#This Row],[Tipo]]="Jrs. Cap. Próprio",Tabela4[[#This Row],[Valor]]*85%,0))</f>
        <v>0.32300000000000001</v>
      </c>
    </row>
    <row r="1992" spans="1:7" x14ac:dyDescent="0.2">
      <c r="A1992" s="4" t="s">
        <v>30</v>
      </c>
      <c r="B1992" s="3" t="s">
        <v>14</v>
      </c>
      <c r="C1992" s="80">
        <v>38338</v>
      </c>
      <c r="D1992" s="63">
        <v>0.34</v>
      </c>
      <c r="E1992" s="67">
        <v>38439</v>
      </c>
      <c r="F1992" s="81">
        <v>38338</v>
      </c>
      <c r="G1992" s="10">
        <f>IF(Tabela4[[#This Row],[Tipo]]="Dividendo",Tabela4[[#This Row],[Valor]],IF(Tabela4[[#This Row],[Tipo]]="Jrs. Cap. Próprio",Tabela4[[#This Row],[Valor]]*85%,0))</f>
        <v>0.28900000000000003</v>
      </c>
    </row>
    <row r="1993" spans="1:7" x14ac:dyDescent="0.2">
      <c r="A1993" s="4" t="s">
        <v>30</v>
      </c>
      <c r="B1993" s="3" t="s">
        <v>14</v>
      </c>
      <c r="C1993" s="80">
        <v>37974</v>
      </c>
      <c r="D1993" s="63">
        <v>0.27600000000000002</v>
      </c>
      <c r="E1993" s="67">
        <v>38075</v>
      </c>
      <c r="F1993" s="81">
        <v>37974</v>
      </c>
      <c r="G1993" s="10">
        <f>IF(Tabela4[[#This Row],[Tipo]]="Dividendo",Tabela4[[#This Row],[Valor]],IF(Tabela4[[#This Row],[Tipo]]="Jrs. Cap. Próprio",Tabela4[[#This Row],[Valor]]*85%,0))</f>
        <v>0.2346</v>
      </c>
    </row>
    <row r="1994" spans="1:7" x14ac:dyDescent="0.2">
      <c r="A1994" s="4" t="s">
        <v>30</v>
      </c>
      <c r="B1994" s="3" t="s">
        <v>14</v>
      </c>
      <c r="C1994" s="80">
        <v>37711</v>
      </c>
      <c r="D1994" s="63">
        <v>0.08</v>
      </c>
      <c r="E1994" s="67">
        <v>37741</v>
      </c>
      <c r="F1994" s="81">
        <v>37711</v>
      </c>
      <c r="G1994" s="10">
        <f>IF(Tabela4[[#This Row],[Tipo]]="Dividendo",Tabela4[[#This Row],[Valor]],IF(Tabela4[[#This Row],[Tipo]]="Jrs. Cap. Próprio",Tabela4[[#This Row],[Valor]]*85%,0))</f>
        <v>6.8000000000000005E-2</v>
      </c>
    </row>
    <row r="1995" spans="1:7" x14ac:dyDescent="0.2">
      <c r="A1995" s="4" t="s">
        <v>30</v>
      </c>
      <c r="B1995" s="3" t="s">
        <v>14</v>
      </c>
      <c r="C1995" s="80">
        <v>37610</v>
      </c>
      <c r="D1995" s="63">
        <v>0.19</v>
      </c>
      <c r="E1995" s="67">
        <v>37704</v>
      </c>
      <c r="F1995" s="81">
        <v>37610</v>
      </c>
      <c r="G1995" s="10">
        <f>IF(Tabela4[[#This Row],[Tipo]]="Dividendo",Tabela4[[#This Row],[Valor]],IF(Tabela4[[#This Row],[Tipo]]="Jrs. Cap. Próprio",Tabela4[[#This Row],[Valor]]*85%,0))</f>
        <v>0.1615</v>
      </c>
    </row>
    <row r="1996" spans="1:7" x14ac:dyDescent="0.2">
      <c r="A1996" s="4" t="s">
        <v>30</v>
      </c>
      <c r="B1996" s="3" t="s">
        <v>14</v>
      </c>
      <c r="C1996" s="80">
        <v>37258</v>
      </c>
      <c r="D1996" s="63">
        <v>0.26069999999999999</v>
      </c>
      <c r="E1996" s="67"/>
      <c r="F1996" s="81">
        <v>37256</v>
      </c>
      <c r="G1996" s="10">
        <f>IF(Tabela4[[#This Row],[Tipo]]="Dividendo",Tabela4[[#This Row],[Valor]],IF(Tabela4[[#This Row],[Tipo]]="Jrs. Cap. Próprio",Tabela4[[#This Row],[Valor]]*85%,0))</f>
        <v>0.22159499999999999</v>
      </c>
    </row>
    <row r="1997" spans="1:7" x14ac:dyDescent="0.2">
      <c r="A1997" s="4" t="s">
        <v>30</v>
      </c>
      <c r="B1997" s="3" t="s">
        <v>14</v>
      </c>
      <c r="C1997" s="80">
        <v>36881</v>
      </c>
      <c r="D1997" s="63">
        <v>9.5600000000000004E-2</v>
      </c>
      <c r="E1997" s="67">
        <v>36976</v>
      </c>
      <c r="F1997" s="81">
        <v>36881</v>
      </c>
      <c r="G1997" s="10">
        <f>IF(Tabela4[[#This Row],[Tipo]]="Dividendo",Tabela4[[#This Row],[Valor]],IF(Tabela4[[#This Row],[Tipo]]="Jrs. Cap. Próprio",Tabela4[[#This Row],[Valor]]*85%,0))</f>
        <v>8.1259999999999999E-2</v>
      </c>
    </row>
    <row r="1998" spans="1:7" x14ac:dyDescent="0.2">
      <c r="A1998" s="4" t="s">
        <v>30</v>
      </c>
      <c r="B1998" s="3" t="s">
        <v>14</v>
      </c>
      <c r="C1998" s="80">
        <v>36521</v>
      </c>
      <c r="D1998" s="63">
        <v>4.9500000000000002E-2</v>
      </c>
      <c r="E1998" s="67">
        <v>36614</v>
      </c>
      <c r="F1998" s="81">
        <v>36521</v>
      </c>
      <c r="G1998" s="10">
        <f>IF(Tabela4[[#This Row],[Tipo]]="Dividendo",Tabela4[[#This Row],[Valor]],IF(Tabela4[[#This Row],[Tipo]]="Jrs. Cap. Próprio",Tabela4[[#This Row],[Valor]]*85%,0))</f>
        <v>4.2075000000000001E-2</v>
      </c>
    </row>
    <row r="1999" spans="1:7" x14ac:dyDescent="0.2">
      <c r="A1999" s="4" t="s">
        <v>30</v>
      </c>
      <c r="B1999" s="3" t="s">
        <v>14</v>
      </c>
      <c r="C1999" s="80">
        <v>36129</v>
      </c>
      <c r="D1999" s="63">
        <v>0.12</v>
      </c>
      <c r="E1999" s="67">
        <v>36217</v>
      </c>
      <c r="F1999" s="81">
        <v>36129</v>
      </c>
      <c r="G1999" s="10">
        <f>IF(Tabela4[[#This Row],[Tipo]]="Dividendo",Tabela4[[#This Row],[Valor]],IF(Tabela4[[#This Row],[Tipo]]="Jrs. Cap. Próprio",Tabela4[[#This Row],[Valor]]*85%,0))</f>
        <v>0.10199999999999999</v>
      </c>
    </row>
    <row r="2000" spans="1:7" x14ac:dyDescent="0.2">
      <c r="A2000" s="4" t="s">
        <v>30</v>
      </c>
      <c r="B2000" s="3" t="s">
        <v>14</v>
      </c>
      <c r="C2000" s="80">
        <v>36094</v>
      </c>
      <c r="D2000" s="63">
        <v>5.5E-2</v>
      </c>
      <c r="E2000" s="67"/>
      <c r="F2000" s="81">
        <v>36094</v>
      </c>
      <c r="G2000" s="10">
        <f>IF(Tabela4[[#This Row],[Tipo]]="Dividendo",Tabela4[[#This Row],[Valor]],IF(Tabela4[[#This Row],[Tipo]]="Jrs. Cap. Próprio",Tabela4[[#This Row],[Valor]]*85%,0))</f>
        <v>4.675E-2</v>
      </c>
    </row>
    <row r="2001" spans="1:7" x14ac:dyDescent="0.2">
      <c r="A2001" s="4" t="s">
        <v>30</v>
      </c>
      <c r="B2001" s="3" t="s">
        <v>14</v>
      </c>
      <c r="C2001" s="80">
        <v>36004</v>
      </c>
      <c r="D2001" s="63">
        <v>8.7999999999999995E-2</v>
      </c>
      <c r="E2001" s="67"/>
      <c r="F2001" s="81">
        <v>36003</v>
      </c>
      <c r="G2001" s="10">
        <f>IF(Tabela4[[#This Row],[Tipo]]="Dividendo",Tabela4[[#This Row],[Valor]],IF(Tabela4[[#This Row],[Tipo]]="Jrs. Cap. Próprio",Tabela4[[#This Row],[Valor]]*85%,0))</f>
        <v>7.4799999999999991E-2</v>
      </c>
    </row>
    <row r="2002" spans="1:7" x14ac:dyDescent="0.2">
      <c r="A2002" s="4" t="s">
        <v>30</v>
      </c>
      <c r="B2002" s="3" t="s">
        <v>14</v>
      </c>
      <c r="C2002" s="80">
        <v>35775</v>
      </c>
      <c r="D2002" s="63">
        <v>8</v>
      </c>
      <c r="E2002" s="67"/>
      <c r="F2002" s="81">
        <v>35775</v>
      </c>
      <c r="G2002" s="10">
        <f>IF(Tabela4[[#This Row],[Tipo]]="Dividendo",Tabela4[[#This Row],[Valor]],IF(Tabela4[[#This Row],[Tipo]]="Jrs. Cap. Próprio",Tabela4[[#This Row],[Valor]]*85%,0))</f>
        <v>6.8</v>
      </c>
    </row>
    <row r="2003" spans="1:7" x14ac:dyDescent="0.2">
      <c r="A2003" s="4" t="s">
        <v>30</v>
      </c>
      <c r="B2003" s="3" t="s">
        <v>14</v>
      </c>
      <c r="C2003" s="80">
        <v>35730</v>
      </c>
      <c r="D2003" s="63">
        <v>13.75</v>
      </c>
      <c r="E2003" s="67"/>
      <c r="F2003" s="81">
        <v>35730</v>
      </c>
      <c r="G2003" s="10">
        <f>IF(Tabela4[[#This Row],[Tipo]]="Dividendo",Tabela4[[#This Row],[Valor]],IF(Tabela4[[#This Row],[Tipo]]="Jrs. Cap. Próprio",Tabela4[[#This Row],[Valor]]*85%,0))</f>
        <v>11.6875</v>
      </c>
    </row>
    <row r="2004" spans="1:7" x14ac:dyDescent="0.2">
      <c r="A2004" s="4" t="s">
        <v>30</v>
      </c>
      <c r="B2004" s="3" t="s">
        <v>15</v>
      </c>
      <c r="C2004" s="80">
        <v>35466</v>
      </c>
      <c r="D2004" s="63">
        <v>8.5</v>
      </c>
      <c r="E2004" s="67"/>
      <c r="F2004" s="81">
        <v>35466</v>
      </c>
      <c r="G2004" s="10">
        <f>IF(Tabela4[[#This Row],[Tipo]]="Dividendo",Tabela4[[#This Row],[Valor]],IF(Tabela4[[#This Row],[Tipo]]="Jrs. Cap. Próprio",Tabela4[[#This Row],[Valor]]*85%,0))</f>
        <v>8.5</v>
      </c>
    </row>
    <row r="2005" spans="1:7" x14ac:dyDescent="0.2">
      <c r="A2005" s="3" t="s">
        <v>310</v>
      </c>
      <c r="B2005" s="3" t="s">
        <v>14</v>
      </c>
      <c r="C2005" s="80">
        <v>41544</v>
      </c>
      <c r="D2005" s="10">
        <v>0.12</v>
      </c>
      <c r="E2005" s="67">
        <v>41586</v>
      </c>
      <c r="F2005" s="81">
        <v>41544</v>
      </c>
      <c r="G2005" s="10">
        <f>IF(Tabela4[[#This Row],[Tipo]]="Dividendo",Tabela4[[#This Row],[Valor]],IF(Tabela4[[#This Row],[Tipo]]="Jrs. Cap. Próprio",Tabela4[[#This Row],[Valor]]*85%,0))</f>
        <v>0.10199999999999999</v>
      </c>
    </row>
    <row r="2006" spans="1:7" x14ac:dyDescent="0.2">
      <c r="A2006" s="3" t="s">
        <v>310</v>
      </c>
      <c r="B2006" s="3" t="s">
        <v>14</v>
      </c>
      <c r="C2006" s="80">
        <v>41446</v>
      </c>
      <c r="D2006" s="10">
        <v>0.15</v>
      </c>
      <c r="E2006" s="67">
        <v>41501</v>
      </c>
      <c r="F2006" s="81">
        <v>41446</v>
      </c>
      <c r="G2006" s="10">
        <f>IF(Tabela4[[#This Row],[Tipo]]="Dividendo",Tabela4[[#This Row],[Valor]],IF(Tabela4[[#This Row],[Tipo]]="Jrs. Cap. Próprio",Tabela4[[#This Row],[Valor]]*85%,0))</f>
        <v>0.1275</v>
      </c>
    </row>
    <row r="2007" spans="1:7" x14ac:dyDescent="0.2">
      <c r="A2007" s="3" t="s">
        <v>310</v>
      </c>
      <c r="B2007" s="3" t="s">
        <v>14</v>
      </c>
      <c r="C2007" s="80">
        <v>41355</v>
      </c>
      <c r="D2007" s="10">
        <v>0.17</v>
      </c>
      <c r="E2007" s="67">
        <v>41404</v>
      </c>
      <c r="F2007" s="81">
        <v>41354</v>
      </c>
      <c r="G2007" s="10">
        <f>IF(Tabela4[[#This Row],[Tipo]]="Dividendo",Tabela4[[#This Row],[Valor]],IF(Tabela4[[#This Row],[Tipo]]="Jrs. Cap. Próprio",Tabela4[[#This Row],[Valor]]*85%,0))</f>
        <v>0.14450000000000002</v>
      </c>
    </row>
    <row r="2008" spans="1:7" x14ac:dyDescent="0.2">
      <c r="A2008" s="3" t="s">
        <v>310</v>
      </c>
      <c r="B2008" s="3" t="s">
        <v>14</v>
      </c>
      <c r="C2008" s="80">
        <v>41264</v>
      </c>
      <c r="D2008" s="10">
        <v>0.42</v>
      </c>
      <c r="E2008" s="67">
        <v>41319</v>
      </c>
      <c r="F2008" s="81">
        <v>41264</v>
      </c>
      <c r="G2008" s="10">
        <f>IF(Tabela4[[#This Row],[Tipo]]="Dividendo",Tabela4[[#This Row],[Valor]],IF(Tabela4[[#This Row],[Tipo]]="Jrs. Cap. Próprio",Tabela4[[#This Row],[Valor]]*85%,0))</f>
        <v>0.35699999999999998</v>
      </c>
    </row>
    <row r="2009" spans="1:7" x14ac:dyDescent="0.2">
      <c r="A2009" s="3" t="s">
        <v>310</v>
      </c>
      <c r="B2009" s="3" t="s">
        <v>14</v>
      </c>
      <c r="C2009" s="80">
        <v>41185</v>
      </c>
      <c r="D2009" s="10">
        <v>0.12</v>
      </c>
      <c r="E2009" s="67">
        <v>41199</v>
      </c>
      <c r="F2009" s="81">
        <v>41185</v>
      </c>
      <c r="G2009" s="10">
        <f>IF(Tabela4[[#This Row],[Tipo]]="Dividendo",Tabela4[[#This Row],[Valor]],IF(Tabela4[[#This Row],[Tipo]]="Jrs. Cap. Próprio",Tabela4[[#This Row],[Valor]]*85%,0))</f>
        <v>0.10199999999999999</v>
      </c>
    </row>
    <row r="2010" spans="1:7" x14ac:dyDescent="0.2">
      <c r="A2010" s="3" t="s">
        <v>310</v>
      </c>
      <c r="B2010" s="3" t="s">
        <v>14</v>
      </c>
      <c r="C2010" s="80">
        <v>41071</v>
      </c>
      <c r="D2010" s="10">
        <v>0.18</v>
      </c>
      <c r="E2010" s="67">
        <v>41093</v>
      </c>
      <c r="F2010" s="81">
        <v>41071</v>
      </c>
      <c r="G2010" s="10">
        <f>IF(Tabela4[[#This Row],[Tipo]]="Dividendo",Tabela4[[#This Row],[Valor]],IF(Tabela4[[#This Row],[Tipo]]="Jrs. Cap. Próprio",Tabela4[[#This Row],[Valor]]*85%,0))</f>
        <v>0.153</v>
      </c>
    </row>
    <row r="2011" spans="1:7" x14ac:dyDescent="0.2">
      <c r="A2011" s="3" t="s">
        <v>310</v>
      </c>
      <c r="B2011" s="3" t="s">
        <v>15</v>
      </c>
      <c r="C2011" s="80">
        <v>40975</v>
      </c>
      <c r="D2011" s="10">
        <v>0.11</v>
      </c>
      <c r="E2011" s="67">
        <v>40998</v>
      </c>
      <c r="F2011" s="81">
        <v>40975</v>
      </c>
      <c r="G2011" s="10">
        <f>IF(Tabela4[[#This Row],[Tipo]]="Dividendo",Tabela4[[#This Row],[Valor]],IF(Tabela4[[#This Row],[Tipo]]="Jrs. Cap. Próprio",Tabela4[[#This Row],[Valor]]*85%,0))</f>
        <v>0.11</v>
      </c>
    </row>
    <row r="2012" spans="1:7" x14ac:dyDescent="0.2">
      <c r="A2012" s="3" t="s">
        <v>310</v>
      </c>
      <c r="B2012" s="3" t="s">
        <v>15</v>
      </c>
      <c r="C2012" s="80">
        <v>40931</v>
      </c>
      <c r="D2012" s="10">
        <v>0.19</v>
      </c>
      <c r="E2012" s="67">
        <v>40953</v>
      </c>
      <c r="F2012" s="81">
        <v>40931</v>
      </c>
      <c r="G2012" s="10">
        <f>IF(Tabela4[[#This Row],[Tipo]]="Dividendo",Tabela4[[#This Row],[Valor]],IF(Tabela4[[#This Row],[Tipo]]="Jrs. Cap. Próprio",Tabela4[[#This Row],[Valor]]*85%,0))</f>
        <v>0.19</v>
      </c>
    </row>
    <row r="2013" spans="1:7" x14ac:dyDescent="0.2">
      <c r="A2013" s="3" t="s">
        <v>310</v>
      </c>
      <c r="B2013" s="3" t="s">
        <v>14</v>
      </c>
      <c r="C2013" s="80">
        <v>40898</v>
      </c>
      <c r="D2013" s="10">
        <v>0.21</v>
      </c>
      <c r="E2013" s="67">
        <v>40953</v>
      </c>
      <c r="F2013" s="81">
        <v>40898</v>
      </c>
      <c r="G2013" s="10">
        <f>IF(Tabela4[[#This Row],[Tipo]]="Dividendo",Tabela4[[#This Row],[Valor]],IF(Tabela4[[#This Row],[Tipo]]="Jrs. Cap. Próprio",Tabela4[[#This Row],[Valor]]*85%,0))</f>
        <v>0.17849999999999999</v>
      </c>
    </row>
    <row r="2014" spans="1:7" x14ac:dyDescent="0.2">
      <c r="A2014" s="3" t="s">
        <v>310</v>
      </c>
      <c r="B2014" s="3" t="s">
        <v>14</v>
      </c>
      <c r="C2014" s="80">
        <v>40813</v>
      </c>
      <c r="D2014" s="10">
        <v>0.18</v>
      </c>
      <c r="E2014" s="67"/>
      <c r="F2014" s="81">
        <v>40813</v>
      </c>
      <c r="G2014" s="10">
        <f>IF(Tabela4[[#This Row],[Tipo]]="Dividendo",Tabela4[[#This Row],[Valor]],IF(Tabela4[[#This Row],[Tipo]]="Jrs. Cap. Próprio",Tabela4[[#This Row],[Valor]]*85%,0))</f>
        <v>0.153</v>
      </c>
    </row>
    <row r="2015" spans="1:7" x14ac:dyDescent="0.2">
      <c r="A2015" s="3" t="s">
        <v>310</v>
      </c>
      <c r="B2015" s="3" t="s">
        <v>14</v>
      </c>
      <c r="C2015" s="80">
        <v>40724</v>
      </c>
      <c r="D2015" s="10">
        <v>0.1</v>
      </c>
      <c r="E2015" s="67">
        <v>40766</v>
      </c>
      <c r="F2015" s="81">
        <v>40724</v>
      </c>
      <c r="G2015" s="10">
        <f>IF(Tabela4[[#This Row],[Tipo]]="Dividendo",Tabela4[[#This Row],[Valor]],IF(Tabela4[[#This Row],[Tipo]]="Jrs. Cap. Próprio",Tabela4[[#This Row],[Valor]]*85%,0))</f>
        <v>8.5000000000000006E-2</v>
      </c>
    </row>
    <row r="2016" spans="1:7" x14ac:dyDescent="0.2">
      <c r="A2016" s="3" t="s">
        <v>310</v>
      </c>
      <c r="B2016" s="3" t="s">
        <v>15</v>
      </c>
      <c r="C2016" s="80">
        <v>40724</v>
      </c>
      <c r="D2016" s="10">
        <v>0.23</v>
      </c>
      <c r="E2016" s="67">
        <v>40766</v>
      </c>
      <c r="F2016" s="81">
        <v>40724</v>
      </c>
      <c r="G2016" s="10">
        <f>IF(Tabela4[[#This Row],[Tipo]]="Dividendo",Tabela4[[#This Row],[Valor]],IF(Tabela4[[#This Row],[Tipo]]="Jrs. Cap. Próprio",Tabela4[[#This Row],[Valor]]*85%,0))</f>
        <v>0.23</v>
      </c>
    </row>
    <row r="2017" spans="1:7" x14ac:dyDescent="0.2">
      <c r="A2017" s="3" t="s">
        <v>310</v>
      </c>
      <c r="B2017" s="3" t="s">
        <v>14</v>
      </c>
      <c r="C2017" s="80">
        <v>40640</v>
      </c>
      <c r="D2017" s="10">
        <v>7.0000000000000007E-2</v>
      </c>
      <c r="E2017" s="67">
        <v>40653</v>
      </c>
      <c r="F2017" s="81">
        <v>40633</v>
      </c>
      <c r="G2017" s="10">
        <f>IF(Tabela4[[#This Row],[Tipo]]="Dividendo",Tabela4[[#This Row],[Valor]],IF(Tabela4[[#This Row],[Tipo]]="Jrs. Cap. Próprio",Tabela4[[#This Row],[Valor]]*85%,0))</f>
        <v>5.9500000000000004E-2</v>
      </c>
    </row>
    <row r="2018" spans="1:7" x14ac:dyDescent="0.2">
      <c r="A2018" s="3" t="s">
        <v>310</v>
      </c>
      <c r="B2018" s="3" t="s">
        <v>14</v>
      </c>
      <c r="C2018" s="80">
        <v>40550</v>
      </c>
      <c r="D2018" s="10">
        <v>0.25</v>
      </c>
      <c r="E2018" s="67">
        <v>40598</v>
      </c>
      <c r="F2018" s="81">
        <v>40542</v>
      </c>
      <c r="G2018" s="10">
        <f>IF(Tabela4[[#This Row],[Tipo]]="Dividendo",Tabela4[[#This Row],[Valor]],IF(Tabela4[[#This Row],[Tipo]]="Jrs. Cap. Próprio",Tabela4[[#This Row],[Valor]]*85%,0))</f>
        <v>0.21249999999999999</v>
      </c>
    </row>
    <row r="2019" spans="1:7" x14ac:dyDescent="0.2">
      <c r="A2019" s="3" t="s">
        <v>310</v>
      </c>
      <c r="B2019" s="3" t="s">
        <v>14</v>
      </c>
      <c r="C2019" s="80">
        <v>40464</v>
      </c>
      <c r="D2019" s="10">
        <v>0.09</v>
      </c>
      <c r="E2019" s="67">
        <v>40492</v>
      </c>
      <c r="F2019" s="81">
        <v>40451</v>
      </c>
      <c r="G2019" s="10">
        <f>IF(Tabela4[[#This Row],[Tipo]]="Dividendo",Tabela4[[#This Row],[Valor]],IF(Tabela4[[#This Row],[Tipo]]="Jrs. Cap. Próprio",Tabela4[[#This Row],[Valor]]*85%,0))</f>
        <v>7.6499999999999999E-2</v>
      </c>
    </row>
    <row r="2020" spans="1:7" x14ac:dyDescent="0.2">
      <c r="A2020" s="3" t="s">
        <v>310</v>
      </c>
      <c r="B2020" s="3" t="s">
        <v>14</v>
      </c>
      <c r="C2020" s="80">
        <v>40367</v>
      </c>
      <c r="D2020" s="10">
        <v>0.12</v>
      </c>
      <c r="E2020" s="67">
        <v>40402</v>
      </c>
      <c r="F2020" s="81">
        <v>40359</v>
      </c>
      <c r="G2020" s="10">
        <f>IF(Tabela4[[#This Row],[Tipo]]="Dividendo",Tabela4[[#This Row],[Valor]],IF(Tabela4[[#This Row],[Tipo]]="Jrs. Cap. Próprio",Tabela4[[#This Row],[Valor]]*85%,0))</f>
        <v>0.10199999999999999</v>
      </c>
    </row>
    <row r="2021" spans="1:7" x14ac:dyDescent="0.2">
      <c r="A2021" s="3" t="s">
        <v>310</v>
      </c>
      <c r="B2021" s="3" t="s">
        <v>14</v>
      </c>
      <c r="C2021" s="80">
        <v>40277</v>
      </c>
      <c r="D2021" s="10">
        <v>0.06</v>
      </c>
      <c r="E2021" s="67">
        <v>40311</v>
      </c>
      <c r="F2021" s="81">
        <v>40268</v>
      </c>
      <c r="G2021" s="10">
        <f>IF(Tabela4[[#This Row],[Tipo]]="Dividendo",Tabela4[[#This Row],[Valor]],IF(Tabela4[[#This Row],[Tipo]]="Jrs. Cap. Próprio",Tabela4[[#This Row],[Valor]]*85%,0))</f>
        <v>5.0999999999999997E-2</v>
      </c>
    </row>
    <row r="2022" spans="1:7" x14ac:dyDescent="0.2">
      <c r="A2022" s="3" t="s">
        <v>310</v>
      </c>
      <c r="B2022" s="3" t="s">
        <v>14</v>
      </c>
      <c r="C2022" s="80">
        <v>40186</v>
      </c>
      <c r="D2022" s="10">
        <v>0.17549999999999999</v>
      </c>
      <c r="E2022" s="67">
        <v>40221</v>
      </c>
      <c r="F2022" s="81">
        <v>40176</v>
      </c>
      <c r="G2022" s="10">
        <f>IF(Tabela4[[#This Row],[Tipo]]="Dividendo",Tabela4[[#This Row],[Valor]],IF(Tabela4[[#This Row],[Tipo]]="Jrs. Cap. Próprio",Tabela4[[#This Row],[Valor]]*85%,0))</f>
        <v>0.14917499999999997</v>
      </c>
    </row>
    <row r="2023" spans="1:7" x14ac:dyDescent="0.2">
      <c r="A2023" s="3" t="s">
        <v>310</v>
      </c>
      <c r="B2023" s="3" t="s">
        <v>14</v>
      </c>
      <c r="C2023" s="80">
        <v>40092</v>
      </c>
      <c r="D2023" s="10">
        <v>0.08</v>
      </c>
      <c r="E2023" s="67">
        <v>40106</v>
      </c>
      <c r="F2023" s="81">
        <v>40086</v>
      </c>
      <c r="G2023" s="10">
        <f>IF(Tabela4[[#This Row],[Tipo]]="Dividendo",Tabela4[[#This Row],[Valor]],IF(Tabela4[[#This Row],[Tipo]]="Jrs. Cap. Próprio",Tabela4[[#This Row],[Valor]]*85%,0))</f>
        <v>6.8000000000000005E-2</v>
      </c>
    </row>
    <row r="2024" spans="1:7" x14ac:dyDescent="0.2">
      <c r="A2024" s="3" t="s">
        <v>310</v>
      </c>
      <c r="B2024" s="3" t="s">
        <v>14</v>
      </c>
      <c r="C2024" s="80">
        <v>39994</v>
      </c>
      <c r="D2024" s="10">
        <v>0.19</v>
      </c>
      <c r="E2024" s="67">
        <v>40024</v>
      </c>
      <c r="F2024" s="81">
        <v>39994</v>
      </c>
      <c r="G2024" s="10">
        <f>IF(Tabela4[[#This Row],[Tipo]]="Dividendo",Tabela4[[#This Row],[Valor]],IF(Tabela4[[#This Row],[Tipo]]="Jrs. Cap. Próprio",Tabela4[[#This Row],[Valor]]*85%,0))</f>
        <v>0.1615</v>
      </c>
    </row>
    <row r="2025" spans="1:7" x14ac:dyDescent="0.2">
      <c r="A2025" s="3" t="s">
        <v>310</v>
      </c>
      <c r="B2025" s="3" t="s">
        <v>14</v>
      </c>
      <c r="C2025" s="80">
        <v>39903</v>
      </c>
      <c r="D2025" s="10">
        <v>0.06</v>
      </c>
      <c r="E2025" s="67">
        <v>39923</v>
      </c>
      <c r="F2025" s="81">
        <v>39903</v>
      </c>
      <c r="G2025" s="10">
        <f>IF(Tabela4[[#This Row],[Tipo]]="Dividendo",Tabela4[[#This Row],[Valor]],IF(Tabela4[[#This Row],[Tipo]]="Jrs. Cap. Próprio",Tabela4[[#This Row],[Valor]]*85%,0))</f>
        <v>5.0999999999999997E-2</v>
      </c>
    </row>
    <row r="2026" spans="1:7" x14ac:dyDescent="0.2">
      <c r="A2026" s="3" t="s">
        <v>310</v>
      </c>
      <c r="B2026" s="3" t="s">
        <v>14</v>
      </c>
      <c r="C2026" s="80">
        <v>39804</v>
      </c>
      <c r="D2026" s="10">
        <v>0.11</v>
      </c>
      <c r="E2026" s="67">
        <v>39828</v>
      </c>
      <c r="F2026" s="81">
        <v>39804</v>
      </c>
      <c r="G2026" s="10">
        <f>IF(Tabela4[[#This Row],[Tipo]]="Dividendo",Tabela4[[#This Row],[Valor]],IF(Tabela4[[#This Row],[Tipo]]="Jrs. Cap. Próprio",Tabela4[[#This Row],[Valor]]*85%,0))</f>
        <v>9.35E-2</v>
      </c>
    </row>
    <row r="2027" spans="1:7" x14ac:dyDescent="0.2">
      <c r="A2027" s="3" t="s">
        <v>310</v>
      </c>
      <c r="B2027" s="3" t="s">
        <v>14</v>
      </c>
      <c r="C2027" s="80">
        <v>39721</v>
      </c>
      <c r="D2027" s="10">
        <v>0.05</v>
      </c>
      <c r="E2027" s="67">
        <v>39731</v>
      </c>
      <c r="F2027" s="81">
        <v>39721</v>
      </c>
      <c r="G2027" s="10">
        <f>IF(Tabela4[[#This Row],[Tipo]]="Dividendo",Tabela4[[#This Row],[Valor]],IF(Tabela4[[#This Row],[Tipo]]="Jrs. Cap. Próprio",Tabela4[[#This Row],[Valor]]*85%,0))</f>
        <v>4.2500000000000003E-2</v>
      </c>
    </row>
    <row r="2028" spans="1:7" x14ac:dyDescent="0.2">
      <c r="A2028" s="3" t="s">
        <v>310</v>
      </c>
      <c r="B2028" s="3" t="s">
        <v>14</v>
      </c>
      <c r="C2028" s="80">
        <v>39633</v>
      </c>
      <c r="D2028" s="10">
        <v>0.17</v>
      </c>
      <c r="E2028" s="67">
        <v>39653</v>
      </c>
      <c r="F2028" s="81">
        <v>39632</v>
      </c>
      <c r="G2028" s="10">
        <f>IF(Tabela4[[#This Row],[Tipo]]="Dividendo",Tabela4[[#This Row],[Valor]],IF(Tabela4[[#This Row],[Tipo]]="Jrs. Cap. Próprio",Tabela4[[#This Row],[Valor]]*85%,0))</f>
        <v>0.14450000000000002</v>
      </c>
    </row>
    <row r="2029" spans="1:7" x14ac:dyDescent="0.2">
      <c r="A2029" s="3" t="s">
        <v>310</v>
      </c>
      <c r="B2029" s="3" t="s">
        <v>14</v>
      </c>
      <c r="C2029" s="80">
        <v>39527</v>
      </c>
      <c r="D2029" s="10">
        <v>0.06</v>
      </c>
      <c r="E2029" s="67">
        <v>39545</v>
      </c>
      <c r="F2029" s="81">
        <v>39527</v>
      </c>
      <c r="G2029" s="10">
        <f>IF(Tabela4[[#This Row],[Tipo]]="Dividendo",Tabela4[[#This Row],[Valor]],IF(Tabela4[[#This Row],[Tipo]]="Jrs. Cap. Próprio",Tabela4[[#This Row],[Valor]]*85%,0))</f>
        <v>5.0999999999999997E-2</v>
      </c>
    </row>
    <row r="2030" spans="1:7" x14ac:dyDescent="0.2">
      <c r="A2030" s="3" t="s">
        <v>310</v>
      </c>
      <c r="B2030" s="3" t="s">
        <v>14</v>
      </c>
      <c r="C2030" s="80">
        <v>39430</v>
      </c>
      <c r="D2030" s="10">
        <v>0.28999999999999998</v>
      </c>
      <c r="E2030" s="67"/>
      <c r="F2030" s="81">
        <v>39430</v>
      </c>
      <c r="G2030" s="10">
        <f>IF(Tabela4[[#This Row],[Tipo]]="Dividendo",Tabela4[[#This Row],[Valor]],IF(Tabela4[[#This Row],[Tipo]]="Jrs. Cap. Próprio",Tabela4[[#This Row],[Valor]]*85%,0))</f>
        <v>0.24649999999999997</v>
      </c>
    </row>
    <row r="2031" spans="1:7" x14ac:dyDescent="0.2">
      <c r="A2031" s="35" t="s">
        <v>54</v>
      </c>
      <c r="B2031" s="35" t="s">
        <v>15</v>
      </c>
      <c r="C2031" s="36">
        <v>41591</v>
      </c>
      <c r="D2031" s="38">
        <v>0.2243</v>
      </c>
      <c r="E2031" s="37">
        <v>41603</v>
      </c>
      <c r="F2031" s="37">
        <v>41534</v>
      </c>
      <c r="G2031" s="38">
        <f>IF(Tabela4[[#This Row],[Tipo]]="Dividendo",Tabela4[[#This Row],[Valor]],IF(Tabela4[[#This Row],[Tipo]]="Jrs. Cap. Próprio",Tabela4[[#This Row],[Valor]]*85%,0))</f>
        <v>0.2243</v>
      </c>
    </row>
    <row r="2032" spans="1:7" x14ac:dyDescent="0.2">
      <c r="A2032" s="35" t="s">
        <v>54</v>
      </c>
      <c r="B2032" s="31" t="s">
        <v>15</v>
      </c>
      <c r="C2032" s="32">
        <v>41410</v>
      </c>
      <c r="D2032" s="34">
        <v>0.42220000000000002</v>
      </c>
      <c r="E2032" s="33">
        <v>41421</v>
      </c>
      <c r="F2032" s="33">
        <v>41365</v>
      </c>
      <c r="G2032" s="34">
        <f>IF(Tabela4[[#This Row],[Tipo]]="Dividendo",Tabela4[[#This Row],[Valor]],IF(Tabela4[[#This Row],[Tipo]]="Jrs. Cap. Próprio",Tabela4[[#This Row],[Valor]]*85%,0))</f>
        <v>0.42220000000000002</v>
      </c>
    </row>
    <row r="2033" spans="1:7" x14ac:dyDescent="0.2">
      <c r="A2033" s="35" t="s">
        <v>54</v>
      </c>
      <c r="B2033" s="31" t="s">
        <v>15</v>
      </c>
      <c r="C2033" s="32">
        <v>41226</v>
      </c>
      <c r="D2033" s="34">
        <v>0.2412</v>
      </c>
      <c r="E2033" s="33">
        <v>41239</v>
      </c>
      <c r="F2033" s="33">
        <v>41207</v>
      </c>
      <c r="G2033" s="34">
        <f>IF(Tabela4[[#This Row],[Tipo]]="Dividendo",Tabela4[[#This Row],[Valor]],IF(Tabela4[[#This Row],[Tipo]]="Jrs. Cap. Próprio",Tabela4[[#This Row],[Valor]]*85%,0))</f>
        <v>0.2412</v>
      </c>
    </row>
    <row r="2034" spans="1:7" x14ac:dyDescent="0.2">
      <c r="A2034" s="35" t="s">
        <v>54</v>
      </c>
      <c r="B2034" s="31" t="s">
        <v>15</v>
      </c>
      <c r="C2034" s="32">
        <v>41043</v>
      </c>
      <c r="D2034" s="34">
        <v>0.31830000000000003</v>
      </c>
      <c r="E2034" s="33">
        <v>41054</v>
      </c>
      <c r="F2034" s="33">
        <v>40997</v>
      </c>
      <c r="G2034" s="34">
        <f>IF(Tabela4[[#This Row],[Tipo]]="Dividendo",Tabela4[[#This Row],[Valor]],IF(Tabela4[[#This Row],[Tipo]]="Jrs. Cap. Próprio",Tabela4[[#This Row],[Valor]]*85%,0))</f>
        <v>0.31830000000000003</v>
      </c>
    </row>
    <row r="2035" spans="1:7" x14ac:dyDescent="0.2">
      <c r="A2035" s="35" t="s">
        <v>54</v>
      </c>
      <c r="B2035" s="31" t="s">
        <v>15</v>
      </c>
      <c r="C2035" s="32">
        <v>40844</v>
      </c>
      <c r="D2035" s="34">
        <v>0.1767</v>
      </c>
      <c r="E2035" s="33">
        <v>40872</v>
      </c>
      <c r="F2035" s="33">
        <v>40836</v>
      </c>
      <c r="G2035" s="34">
        <f>IF(Tabela4[[#This Row],[Tipo]]="Dividendo",Tabela4[[#This Row],[Valor]],IF(Tabela4[[#This Row],[Tipo]]="Jrs. Cap. Próprio",Tabela4[[#This Row],[Valor]]*85%,0))</f>
        <v>0.1767</v>
      </c>
    </row>
    <row r="2036" spans="1:7" x14ac:dyDescent="0.2">
      <c r="A2036" s="35" t="s">
        <v>54</v>
      </c>
      <c r="B2036" s="31" t="s">
        <v>15</v>
      </c>
      <c r="C2036" s="32">
        <v>40679</v>
      </c>
      <c r="D2036" s="34">
        <v>0.27179999999999999</v>
      </c>
      <c r="E2036" s="33">
        <v>40688</v>
      </c>
      <c r="F2036" s="33">
        <v>40660</v>
      </c>
      <c r="G2036" s="34">
        <f>IF(Tabela4[[#This Row],[Tipo]]="Dividendo",Tabela4[[#This Row],[Valor]],IF(Tabela4[[#This Row],[Tipo]]="Jrs. Cap. Próprio",Tabela4[[#This Row],[Valor]]*85%,0))</f>
        <v>0.27179999999999999</v>
      </c>
    </row>
    <row r="2037" spans="1:7" x14ac:dyDescent="0.2">
      <c r="A2037" s="35" t="s">
        <v>54</v>
      </c>
      <c r="B2037" s="31" t="s">
        <v>15</v>
      </c>
      <c r="C2037" s="32">
        <v>40500</v>
      </c>
      <c r="D2037" s="34">
        <v>0.13880000000000001</v>
      </c>
      <c r="E2037" s="33">
        <v>40508</v>
      </c>
      <c r="F2037" s="33">
        <v>40477</v>
      </c>
      <c r="G2037" s="34">
        <f>IF(Tabela4[[#This Row],[Tipo]]="Dividendo",Tabela4[[#This Row],[Valor]],IF(Tabela4[[#This Row],[Tipo]]="Jrs. Cap. Próprio",Tabela4[[#This Row],[Valor]]*85%,0))</f>
        <v>0.13880000000000001</v>
      </c>
    </row>
    <row r="2038" spans="1:7" x14ac:dyDescent="0.2">
      <c r="A2038" s="35" t="s">
        <v>54</v>
      </c>
      <c r="B2038" s="31" t="s">
        <v>15</v>
      </c>
      <c r="C2038" s="32">
        <v>40315</v>
      </c>
      <c r="D2038" s="34">
        <v>0.17150000000000001</v>
      </c>
      <c r="E2038" s="33">
        <v>40323</v>
      </c>
      <c r="F2038" s="33">
        <v>40298</v>
      </c>
      <c r="G2038" s="34">
        <f>IF(Tabela4[[#This Row],[Tipo]]="Dividendo",Tabela4[[#This Row],[Valor]],IF(Tabela4[[#This Row],[Tipo]]="Jrs. Cap. Próprio",Tabela4[[#This Row],[Valor]]*85%,0))</f>
        <v>0.17150000000000001</v>
      </c>
    </row>
    <row r="2039" spans="1:7" x14ac:dyDescent="0.2">
      <c r="A2039" s="35" t="s">
        <v>54</v>
      </c>
      <c r="B2039" s="31" t="s">
        <v>15</v>
      </c>
      <c r="C2039" s="32">
        <v>40136</v>
      </c>
      <c r="D2039" s="34">
        <v>0.13100000000000001</v>
      </c>
      <c r="E2039" s="33">
        <v>40147</v>
      </c>
      <c r="F2039" s="33">
        <v>40136</v>
      </c>
      <c r="G2039" s="34">
        <f>IF(Tabela4[[#This Row],[Tipo]]="Dividendo",Tabela4[[#This Row],[Valor]],IF(Tabela4[[#This Row],[Tipo]]="Jrs. Cap. Próprio",Tabela4[[#This Row],[Valor]]*85%,0))</f>
        <v>0.13100000000000001</v>
      </c>
    </row>
    <row r="2040" spans="1:7" x14ac:dyDescent="0.2">
      <c r="A2040" s="35" t="s">
        <v>54</v>
      </c>
      <c r="B2040" s="31" t="s">
        <v>15</v>
      </c>
      <c r="C2040" s="32">
        <v>39933</v>
      </c>
      <c r="D2040" s="34">
        <v>0.1195</v>
      </c>
      <c r="E2040" s="33">
        <v>39994</v>
      </c>
      <c r="F2040" s="33">
        <v>39933</v>
      </c>
      <c r="G2040" s="34">
        <f>IF(Tabela4[[#This Row],[Tipo]]="Dividendo",Tabela4[[#This Row],[Valor]],IF(Tabela4[[#This Row],[Tipo]]="Jrs. Cap. Próprio",Tabela4[[#This Row],[Valor]]*85%,0))</f>
        <v>0.1195</v>
      </c>
    </row>
    <row r="2041" spans="1:7" x14ac:dyDescent="0.2">
      <c r="A2041" s="35" t="s">
        <v>54</v>
      </c>
      <c r="B2041" s="31" t="s">
        <v>15</v>
      </c>
      <c r="C2041" s="32">
        <v>39547</v>
      </c>
      <c r="D2041" s="34">
        <v>1.4800000000000001E-2</v>
      </c>
      <c r="E2041" s="33">
        <v>39561</v>
      </c>
      <c r="F2041" s="33">
        <v>39547</v>
      </c>
      <c r="G2041" s="34">
        <f>IF(Tabela4[[#This Row],[Tipo]]="Dividendo",Tabela4[[#This Row],[Valor]],IF(Tabela4[[#This Row],[Tipo]]="Jrs. Cap. Próprio",Tabela4[[#This Row],[Valor]]*85%,0))</f>
        <v>1.4800000000000001E-2</v>
      </c>
    </row>
    <row r="2042" spans="1:7" x14ac:dyDescent="0.2">
      <c r="A2042" s="4" t="s">
        <v>41</v>
      </c>
      <c r="B2042" s="4" t="s">
        <v>14</v>
      </c>
      <c r="C2042" s="19">
        <v>41498</v>
      </c>
      <c r="D2042" s="55">
        <v>2.6200000000000001E-2</v>
      </c>
      <c r="E2042" s="68">
        <v>41543</v>
      </c>
      <c r="F2042" s="68">
        <v>41498</v>
      </c>
      <c r="G2042" s="14">
        <f>IF(Tabela4[[#This Row],[Tipo]]="Dividendo",Tabela4[[#This Row],[Valor]],IF(Tabela4[[#This Row],[Tipo]]="Jrs. Cap. Próprio",Tabela4[[#This Row],[Valor]]*85%,0))</f>
        <v>2.2270000000000002E-2</v>
      </c>
    </row>
    <row r="2043" spans="1:7" x14ac:dyDescent="0.2">
      <c r="A2043" s="4" t="s">
        <v>41</v>
      </c>
      <c r="B2043" s="3" t="s">
        <v>15</v>
      </c>
      <c r="C2043" s="80">
        <v>41498</v>
      </c>
      <c r="D2043" s="63">
        <v>1.7600000000000001E-2</v>
      </c>
      <c r="E2043" s="67">
        <v>41543</v>
      </c>
      <c r="F2043" s="81">
        <v>41498</v>
      </c>
      <c r="G2043" s="10">
        <f>IF(Tabela4[[#This Row],[Tipo]]="Dividendo",Tabela4[[#This Row],[Valor]],IF(Tabela4[[#This Row],[Tipo]]="Jrs. Cap. Próprio",Tabela4[[#This Row],[Valor]]*85%,0))</f>
        <v>1.7600000000000001E-2</v>
      </c>
    </row>
    <row r="2044" spans="1:7" x14ac:dyDescent="0.2">
      <c r="A2044" s="4" t="s">
        <v>41</v>
      </c>
      <c r="B2044" s="3" t="s">
        <v>15</v>
      </c>
      <c r="C2044" s="80">
        <v>41394</v>
      </c>
      <c r="D2044" s="63">
        <v>5.4300000000000001E-2</v>
      </c>
      <c r="E2044" s="67">
        <v>41415</v>
      </c>
      <c r="F2044" s="81">
        <v>41394</v>
      </c>
      <c r="G2044" s="10">
        <f>IF(Tabela4[[#This Row],[Tipo]]="Dividendo",Tabela4[[#This Row],[Valor]],IF(Tabela4[[#This Row],[Tipo]]="Jrs. Cap. Próprio",Tabela4[[#This Row],[Valor]]*85%,0))</f>
        <v>5.4300000000000001E-2</v>
      </c>
    </row>
    <row r="2045" spans="1:7" x14ac:dyDescent="0.2">
      <c r="A2045" s="4" t="s">
        <v>41</v>
      </c>
      <c r="B2045" s="3" t="s">
        <v>14</v>
      </c>
      <c r="C2045" s="80">
        <v>41261</v>
      </c>
      <c r="D2045" s="63">
        <v>1.32E-2</v>
      </c>
      <c r="E2045" s="67">
        <v>41271</v>
      </c>
      <c r="F2045" s="81">
        <v>41261</v>
      </c>
      <c r="G2045" s="10">
        <f>IF(Tabela4[[#This Row],[Tipo]]="Dividendo",Tabela4[[#This Row],[Valor]],IF(Tabela4[[#This Row],[Tipo]]="Jrs. Cap. Próprio",Tabela4[[#This Row],[Valor]]*85%,0))</f>
        <v>1.1219999999999999E-2</v>
      </c>
    </row>
    <row r="2046" spans="1:7" x14ac:dyDescent="0.2">
      <c r="A2046" s="4" t="s">
        <v>41</v>
      </c>
      <c r="B2046" s="3" t="s">
        <v>15</v>
      </c>
      <c r="C2046" s="80">
        <v>41261</v>
      </c>
      <c r="D2046" s="63">
        <v>3.2099999999999997E-2</v>
      </c>
      <c r="E2046" s="67">
        <v>41271</v>
      </c>
      <c r="F2046" s="81">
        <v>41261</v>
      </c>
      <c r="G2046" s="10">
        <f>IF(Tabela4[[#This Row],[Tipo]]="Dividendo",Tabela4[[#This Row],[Valor]],IF(Tabela4[[#This Row],[Tipo]]="Jrs. Cap. Próprio",Tabela4[[#This Row],[Valor]]*85%,0))</f>
        <v>3.2099999999999997E-2</v>
      </c>
    </row>
    <row r="2047" spans="1:7" x14ac:dyDescent="0.2">
      <c r="A2047" s="4" t="s">
        <v>41</v>
      </c>
      <c r="B2047" s="3" t="s">
        <v>15</v>
      </c>
      <c r="C2047" s="80">
        <v>35880</v>
      </c>
      <c r="D2047" s="63">
        <v>1.7999999999999999E-2</v>
      </c>
      <c r="E2047" s="67">
        <v>35915</v>
      </c>
      <c r="F2047" s="81">
        <v>35880</v>
      </c>
      <c r="G2047" s="10">
        <f>IF(Tabela4[[#This Row],[Tipo]]="Dividendo",Tabela4[[#This Row],[Valor]],IF(Tabela4[[#This Row],[Tipo]]="Jrs. Cap. Próprio",Tabela4[[#This Row],[Valor]]*85%,0))</f>
        <v>1.7999999999999999E-2</v>
      </c>
    </row>
    <row r="2048" spans="1:7" x14ac:dyDescent="0.2">
      <c r="A2048" s="4" t="s">
        <v>41</v>
      </c>
      <c r="B2048" s="3" t="s">
        <v>15</v>
      </c>
      <c r="C2048" s="80">
        <v>35184</v>
      </c>
      <c r="D2048" s="63">
        <v>3.1E-2</v>
      </c>
      <c r="E2048" s="67"/>
      <c r="F2048" s="81">
        <v>35184</v>
      </c>
      <c r="G2048" s="10">
        <f>IF(Tabela4[[#This Row],[Tipo]]="Dividendo",Tabela4[[#This Row],[Valor]],IF(Tabela4[[#This Row],[Tipo]]="Jrs. Cap. Próprio",Tabela4[[#This Row],[Valor]]*85%,0))</f>
        <v>3.1E-2</v>
      </c>
    </row>
    <row r="2049" spans="1:7" x14ac:dyDescent="0.2">
      <c r="A2049" s="35" t="s">
        <v>67</v>
      </c>
      <c r="B2049" s="35" t="s">
        <v>14</v>
      </c>
      <c r="C2049" s="36">
        <v>41446</v>
      </c>
      <c r="D2049" s="38">
        <v>0.12820000000000001</v>
      </c>
      <c r="E2049" s="37">
        <v>41480</v>
      </c>
      <c r="F2049" s="37">
        <v>41446</v>
      </c>
      <c r="G2049" s="38">
        <f>IF(Tabela4[[#This Row],[Tipo]]="Dividendo",Tabela4[[#This Row],[Valor]],IF(Tabela4[[#This Row],[Tipo]]="Jrs. Cap. Próprio",Tabela4[[#This Row],[Valor]]*85%,0))</f>
        <v>0.10897</v>
      </c>
    </row>
    <row r="2050" spans="1:7" x14ac:dyDescent="0.2">
      <c r="A2050" s="31" t="s">
        <v>67</v>
      </c>
      <c r="B2050" s="31" t="s">
        <v>15</v>
      </c>
      <c r="C2050" s="32">
        <v>41369</v>
      </c>
      <c r="D2050" s="34">
        <v>3.5000000000000001E-3</v>
      </c>
      <c r="E2050" s="33">
        <v>41387</v>
      </c>
      <c r="F2050" s="33">
        <v>41369</v>
      </c>
      <c r="G2050" s="34">
        <f>IF(Tabela4[[#This Row],[Tipo]]="Dividendo",Tabela4[[#This Row],[Valor]],IF(Tabela4[[#This Row],[Tipo]]="Jrs. Cap. Próprio",Tabela4[[#This Row],[Valor]]*85%,0))</f>
        <v>3.5000000000000001E-3</v>
      </c>
    </row>
    <row r="2051" spans="1:7" x14ac:dyDescent="0.2">
      <c r="A2051" s="35" t="s">
        <v>67</v>
      </c>
      <c r="B2051" s="31" t="s">
        <v>14</v>
      </c>
      <c r="C2051" s="32">
        <v>41080</v>
      </c>
      <c r="D2051" s="34">
        <v>6.2199999999999998E-2</v>
      </c>
      <c r="E2051" s="33">
        <v>41107</v>
      </c>
      <c r="F2051" s="33">
        <v>41080</v>
      </c>
      <c r="G2051" s="34">
        <f>IF(Tabela4[[#This Row],[Tipo]]="Dividendo",Tabela4[[#This Row],[Valor]],IF(Tabela4[[#This Row],[Tipo]]="Jrs. Cap. Próprio",Tabela4[[#This Row],[Valor]]*85%,0))</f>
        <v>5.287E-2</v>
      </c>
    </row>
    <row r="2052" spans="1:7" x14ac:dyDescent="0.2">
      <c r="A2052" s="31" t="s">
        <v>67</v>
      </c>
      <c r="B2052" s="31" t="s">
        <v>15</v>
      </c>
      <c r="C2052" s="32">
        <v>40997</v>
      </c>
      <c r="D2052" s="34">
        <v>0.15770000000000001</v>
      </c>
      <c r="E2052" s="33">
        <v>41010</v>
      </c>
      <c r="F2052" s="33">
        <v>40997</v>
      </c>
      <c r="G2052" s="34">
        <f>IF(Tabela4[[#This Row],[Tipo]]="Dividendo",Tabela4[[#This Row],[Valor]],IF(Tabela4[[#This Row],[Tipo]]="Jrs. Cap. Próprio",Tabela4[[#This Row],[Valor]]*85%,0))</f>
        <v>0.15770000000000001</v>
      </c>
    </row>
    <row r="2053" spans="1:7" x14ac:dyDescent="0.2">
      <c r="A2053" s="35" t="s">
        <v>67</v>
      </c>
      <c r="B2053" s="31" t="s">
        <v>14</v>
      </c>
      <c r="C2053" s="32">
        <v>40882</v>
      </c>
      <c r="D2053" s="34">
        <v>0.13200000000000001</v>
      </c>
      <c r="E2053" s="33">
        <v>40932</v>
      </c>
      <c r="F2053" s="33">
        <v>40882</v>
      </c>
      <c r="G2053" s="34">
        <f>IF(Tabela4[[#This Row],[Tipo]]="Dividendo",Tabela4[[#This Row],[Valor]],IF(Tabela4[[#This Row],[Tipo]]="Jrs. Cap. Próprio",Tabela4[[#This Row],[Valor]]*85%,0))</f>
        <v>0.11220000000000001</v>
      </c>
    </row>
    <row r="2054" spans="1:7" x14ac:dyDescent="0.2">
      <c r="A2054" s="31" t="s">
        <v>67</v>
      </c>
      <c r="B2054" s="31" t="s">
        <v>14</v>
      </c>
      <c r="C2054" s="32">
        <v>40707</v>
      </c>
      <c r="D2054" s="34">
        <v>0.12820000000000001</v>
      </c>
      <c r="E2054" s="33">
        <v>40735</v>
      </c>
      <c r="F2054" s="33">
        <v>40707</v>
      </c>
      <c r="G2054" s="34">
        <f>IF(Tabela4[[#This Row],[Tipo]]="Dividendo",Tabela4[[#This Row],[Valor]],IF(Tabela4[[#This Row],[Tipo]]="Jrs. Cap. Próprio",Tabela4[[#This Row],[Valor]]*85%,0))</f>
        <v>0.10897</v>
      </c>
    </row>
    <row r="2055" spans="1:7" x14ac:dyDescent="0.2">
      <c r="A2055" s="35" t="s">
        <v>67</v>
      </c>
      <c r="B2055" s="31" t="s">
        <v>15</v>
      </c>
      <c r="C2055" s="32">
        <v>40651</v>
      </c>
      <c r="D2055" s="34">
        <v>0.1081</v>
      </c>
      <c r="E2055" s="33"/>
      <c r="F2055" s="33">
        <v>40651</v>
      </c>
      <c r="G2055" s="34">
        <f>IF(Tabela4[[#This Row],[Tipo]]="Dividendo",Tabela4[[#This Row],[Valor]],IF(Tabela4[[#This Row],[Tipo]]="Jrs. Cap. Próprio",Tabela4[[#This Row],[Valor]]*85%,0))</f>
        <v>0.1081</v>
      </c>
    </row>
    <row r="2056" spans="1:7" x14ac:dyDescent="0.2">
      <c r="A2056" s="31" t="s">
        <v>67</v>
      </c>
      <c r="B2056" s="31" t="s">
        <v>14</v>
      </c>
      <c r="C2056" s="32">
        <v>40522</v>
      </c>
      <c r="D2056" s="34">
        <v>0.1106</v>
      </c>
      <c r="E2056" s="33">
        <v>40570</v>
      </c>
      <c r="F2056" s="33">
        <v>40522</v>
      </c>
      <c r="G2056" s="34">
        <f>IF(Tabela4[[#This Row],[Tipo]]="Dividendo",Tabela4[[#This Row],[Valor]],IF(Tabela4[[#This Row],[Tipo]]="Jrs. Cap. Próprio",Tabela4[[#This Row],[Valor]]*85%,0))</f>
        <v>9.4009999999999996E-2</v>
      </c>
    </row>
    <row r="2057" spans="1:7" x14ac:dyDescent="0.2">
      <c r="A2057" s="35" t="s">
        <v>67</v>
      </c>
      <c r="B2057" s="31" t="s">
        <v>14</v>
      </c>
      <c r="C2057" s="32">
        <v>40343</v>
      </c>
      <c r="D2057" s="34">
        <v>0.1074</v>
      </c>
      <c r="E2057" s="33">
        <v>40382</v>
      </c>
      <c r="F2057" s="33">
        <v>40343</v>
      </c>
      <c r="G2057" s="34">
        <f>IF(Tabela4[[#This Row],[Tipo]]="Dividendo",Tabela4[[#This Row],[Valor]],IF(Tabela4[[#This Row],[Tipo]]="Jrs. Cap. Próprio",Tabela4[[#This Row],[Valor]]*85%,0))</f>
        <v>9.1289999999999996E-2</v>
      </c>
    </row>
    <row r="2058" spans="1:7" x14ac:dyDescent="0.2">
      <c r="A2058" s="31" t="s">
        <v>67</v>
      </c>
      <c r="B2058" s="31" t="s">
        <v>15</v>
      </c>
      <c r="C2058" s="32">
        <v>40276</v>
      </c>
      <c r="D2058" s="34">
        <v>7.5300000000000006E-2</v>
      </c>
      <c r="E2058" s="33">
        <v>40291</v>
      </c>
      <c r="F2058" s="33">
        <v>40276</v>
      </c>
      <c r="G2058" s="34">
        <f>IF(Tabela4[[#This Row],[Tipo]]="Dividendo",Tabela4[[#This Row],[Valor]],IF(Tabela4[[#This Row],[Tipo]]="Jrs. Cap. Próprio",Tabela4[[#This Row],[Valor]]*85%,0))</f>
        <v>7.5300000000000006E-2</v>
      </c>
    </row>
    <row r="2059" spans="1:7" x14ac:dyDescent="0.2">
      <c r="A2059" s="35" t="s">
        <v>67</v>
      </c>
      <c r="B2059" s="31" t="s">
        <v>14</v>
      </c>
      <c r="C2059" s="32">
        <v>40151</v>
      </c>
      <c r="D2059" s="34">
        <v>0.1</v>
      </c>
      <c r="E2059" s="33">
        <v>40206</v>
      </c>
      <c r="F2059" s="33">
        <v>40151</v>
      </c>
      <c r="G2059" s="34">
        <f>IF(Tabela4[[#This Row],[Tipo]]="Dividendo",Tabela4[[#This Row],[Valor]],IF(Tabela4[[#This Row],[Tipo]]="Jrs. Cap. Próprio",Tabela4[[#This Row],[Valor]]*85%,0))</f>
        <v>8.5000000000000006E-2</v>
      </c>
    </row>
    <row r="2060" spans="1:7" x14ac:dyDescent="0.2">
      <c r="A2060" s="31" t="s">
        <v>67</v>
      </c>
      <c r="B2060" s="31" t="s">
        <v>14</v>
      </c>
      <c r="C2060" s="32">
        <v>39982</v>
      </c>
      <c r="D2060" s="34">
        <v>0.1</v>
      </c>
      <c r="E2060" s="33">
        <v>40004</v>
      </c>
      <c r="F2060" s="33">
        <v>39982</v>
      </c>
      <c r="G2060" s="34">
        <f>IF(Tabela4[[#This Row],[Tipo]]="Dividendo",Tabela4[[#This Row],[Valor]],IF(Tabela4[[#This Row],[Tipo]]="Jrs. Cap. Próprio",Tabela4[[#This Row],[Valor]]*85%,0))</f>
        <v>8.5000000000000006E-2</v>
      </c>
    </row>
    <row r="2061" spans="1:7" x14ac:dyDescent="0.2">
      <c r="A2061" s="35" t="s">
        <v>67</v>
      </c>
      <c r="B2061" s="31" t="s">
        <v>15</v>
      </c>
      <c r="C2061" s="32">
        <v>39911</v>
      </c>
      <c r="D2061" s="34">
        <v>0.2142</v>
      </c>
      <c r="E2061" s="33">
        <v>39927</v>
      </c>
      <c r="F2061" s="33">
        <v>39911</v>
      </c>
      <c r="G2061" s="34">
        <f>IF(Tabela4[[#This Row],[Tipo]]="Dividendo",Tabela4[[#This Row],[Valor]],IF(Tabela4[[#This Row],[Tipo]]="Jrs. Cap. Próprio",Tabela4[[#This Row],[Valor]]*85%,0))</f>
        <v>0.2142</v>
      </c>
    </row>
    <row r="2062" spans="1:7" x14ac:dyDescent="0.2">
      <c r="A2062" s="31" t="s">
        <v>67</v>
      </c>
      <c r="B2062" s="31" t="s">
        <v>14</v>
      </c>
      <c r="C2062" s="32">
        <v>39778</v>
      </c>
      <c r="D2062" s="34">
        <v>0.1217</v>
      </c>
      <c r="E2062" s="33">
        <v>39474</v>
      </c>
      <c r="F2062" s="33">
        <v>39778</v>
      </c>
      <c r="G2062" s="34">
        <f>IF(Tabela4[[#This Row],[Tipo]]="Dividendo",Tabela4[[#This Row],[Valor]],IF(Tabela4[[#This Row],[Tipo]]="Jrs. Cap. Próprio",Tabela4[[#This Row],[Valor]]*85%,0))</f>
        <v>0.103445</v>
      </c>
    </row>
    <row r="2063" spans="1:7" x14ac:dyDescent="0.2">
      <c r="A2063" s="35" t="s">
        <v>67</v>
      </c>
      <c r="B2063" s="31" t="s">
        <v>14</v>
      </c>
      <c r="C2063" s="32">
        <v>39616</v>
      </c>
      <c r="D2063" s="34">
        <v>0.11799999999999999</v>
      </c>
      <c r="E2063" s="33">
        <v>39632</v>
      </c>
      <c r="F2063" s="33">
        <v>39616</v>
      </c>
      <c r="G2063" s="34">
        <f>IF(Tabela4[[#This Row],[Tipo]]="Dividendo",Tabela4[[#This Row],[Valor]],IF(Tabela4[[#This Row],[Tipo]]="Jrs. Cap. Próprio",Tabela4[[#This Row],[Valor]]*85%,0))</f>
        <v>0.10029999999999999</v>
      </c>
    </row>
    <row r="2064" spans="1:7" x14ac:dyDescent="0.2">
      <c r="A2064" s="31" t="s">
        <v>67</v>
      </c>
      <c r="B2064" s="31" t="s">
        <v>15</v>
      </c>
      <c r="C2064" s="32">
        <v>39555</v>
      </c>
      <c r="D2064" s="34">
        <v>9.0700000000000003E-2</v>
      </c>
      <c r="E2064" s="33">
        <v>39568</v>
      </c>
      <c r="F2064" s="33">
        <v>39555</v>
      </c>
      <c r="G2064" s="34">
        <f>IF(Tabela4[[#This Row],[Tipo]]="Dividendo",Tabela4[[#This Row],[Valor]],IF(Tabela4[[#This Row],[Tipo]]="Jrs. Cap. Próprio",Tabela4[[#This Row],[Valor]]*85%,0))</f>
        <v>9.0700000000000003E-2</v>
      </c>
    </row>
    <row r="2065" spans="1:7" x14ac:dyDescent="0.2">
      <c r="A2065" s="35" t="s">
        <v>67</v>
      </c>
      <c r="B2065" s="31" t="s">
        <v>14</v>
      </c>
      <c r="C2065" s="32">
        <v>39419</v>
      </c>
      <c r="D2065" s="34">
        <v>0.15049999999999999</v>
      </c>
      <c r="E2065" s="33">
        <v>39476</v>
      </c>
      <c r="F2065" s="33">
        <v>39419</v>
      </c>
      <c r="G2065" s="34">
        <f>IF(Tabela4[[#This Row],[Tipo]]="Dividendo",Tabela4[[#This Row],[Valor]],IF(Tabela4[[#This Row],[Tipo]]="Jrs. Cap. Próprio",Tabela4[[#This Row],[Valor]]*85%,0))</f>
        <v>0.12792499999999998</v>
      </c>
    </row>
    <row r="2066" spans="1:7" x14ac:dyDescent="0.2">
      <c r="A2066" s="31" t="s">
        <v>67</v>
      </c>
      <c r="B2066" s="31" t="s">
        <v>14</v>
      </c>
      <c r="C2066" s="32">
        <v>39251</v>
      </c>
      <c r="D2066" s="34">
        <v>0.1038</v>
      </c>
      <c r="E2066" s="33">
        <v>39288</v>
      </c>
      <c r="F2066" s="33">
        <v>39251</v>
      </c>
      <c r="G2066" s="34">
        <f>IF(Tabela4[[#This Row],[Tipo]]="Dividendo",Tabela4[[#This Row],[Valor]],IF(Tabela4[[#This Row],[Tipo]]="Jrs. Cap. Próprio",Tabela4[[#This Row],[Valor]]*85%,0))</f>
        <v>8.8230000000000003E-2</v>
      </c>
    </row>
    <row r="2067" spans="1:7" x14ac:dyDescent="0.2">
      <c r="A2067" s="35" t="s">
        <v>67</v>
      </c>
      <c r="B2067" s="31" t="s">
        <v>15</v>
      </c>
      <c r="C2067" s="32">
        <v>39185</v>
      </c>
      <c r="D2067" s="34">
        <v>7.3700000000000002E-2</v>
      </c>
      <c r="E2067" s="33">
        <v>39196</v>
      </c>
      <c r="F2067" s="33">
        <v>39185</v>
      </c>
      <c r="G2067" s="34">
        <f>IF(Tabela4[[#This Row],[Tipo]]="Dividendo",Tabela4[[#This Row],[Valor]],IF(Tabela4[[#This Row],[Tipo]]="Jrs. Cap. Próprio",Tabela4[[#This Row],[Valor]]*85%,0))</f>
        <v>7.3700000000000002E-2</v>
      </c>
    </row>
    <row r="2068" spans="1:7" x14ac:dyDescent="0.2">
      <c r="A2068" s="31" t="s">
        <v>67</v>
      </c>
      <c r="B2068" s="31" t="s">
        <v>14</v>
      </c>
      <c r="C2068" s="32">
        <v>39056</v>
      </c>
      <c r="D2068" s="34">
        <v>9.6600000000000005E-2</v>
      </c>
      <c r="E2068" s="33">
        <v>39106</v>
      </c>
      <c r="F2068" s="33">
        <v>39056</v>
      </c>
      <c r="G2068" s="34">
        <f>IF(Tabela4[[#This Row],[Tipo]]="Dividendo",Tabela4[[#This Row],[Valor]],IF(Tabela4[[#This Row],[Tipo]]="Jrs. Cap. Próprio",Tabela4[[#This Row],[Valor]]*85%,0))</f>
        <v>8.2110000000000002E-2</v>
      </c>
    </row>
    <row r="2069" spans="1:7" x14ac:dyDescent="0.2">
      <c r="A2069" s="35" t="s">
        <v>67</v>
      </c>
      <c r="B2069" s="31" t="s">
        <v>14</v>
      </c>
      <c r="C2069" s="32">
        <v>38877</v>
      </c>
      <c r="D2069" s="34">
        <v>9.4200000000000006E-2</v>
      </c>
      <c r="E2069" s="33">
        <v>38924</v>
      </c>
      <c r="F2069" s="33">
        <v>38877</v>
      </c>
      <c r="G2069" s="34">
        <f>IF(Tabela4[[#This Row],[Tipo]]="Dividendo",Tabela4[[#This Row],[Valor]],IF(Tabela4[[#This Row],[Tipo]]="Jrs. Cap. Próprio",Tabela4[[#This Row],[Valor]]*85%,0))</f>
        <v>8.0070000000000002E-2</v>
      </c>
    </row>
    <row r="2070" spans="1:7" x14ac:dyDescent="0.2">
      <c r="A2070" s="31" t="s">
        <v>67</v>
      </c>
      <c r="B2070" s="31" t="s">
        <v>15</v>
      </c>
      <c r="C2070" s="32">
        <v>38827</v>
      </c>
      <c r="D2070" s="34">
        <v>8.5199999999999998E-2</v>
      </c>
      <c r="E2070" s="33">
        <v>38860</v>
      </c>
      <c r="F2070" s="33">
        <v>38814</v>
      </c>
      <c r="G2070" s="34">
        <f>IF(Tabela4[[#This Row],[Tipo]]="Dividendo",Tabela4[[#This Row],[Valor]],IF(Tabela4[[#This Row],[Tipo]]="Jrs. Cap. Próprio",Tabela4[[#This Row],[Valor]]*85%,0))</f>
        <v>8.5199999999999998E-2</v>
      </c>
    </row>
    <row r="2071" spans="1:7" x14ac:dyDescent="0.2">
      <c r="A2071" s="35" t="s">
        <v>67</v>
      </c>
      <c r="B2071" s="31" t="s">
        <v>14</v>
      </c>
      <c r="C2071" s="32">
        <v>38691</v>
      </c>
      <c r="D2071" s="34">
        <v>8.4400000000000003E-2</v>
      </c>
      <c r="E2071" s="33">
        <v>38742</v>
      </c>
      <c r="F2071" s="33">
        <v>38691</v>
      </c>
      <c r="G2071" s="34">
        <f>IF(Tabela4[[#This Row],[Tipo]]="Dividendo",Tabela4[[#This Row],[Valor]],IF(Tabela4[[#This Row],[Tipo]]="Jrs. Cap. Próprio",Tabela4[[#This Row],[Valor]]*85%,0))</f>
        <v>7.1739999999999998E-2</v>
      </c>
    </row>
    <row r="2072" spans="1:7" x14ac:dyDescent="0.2">
      <c r="A2072" s="31" t="s">
        <v>67</v>
      </c>
      <c r="B2072" s="31" t="s">
        <v>14</v>
      </c>
      <c r="C2072" s="32">
        <v>38533</v>
      </c>
      <c r="D2072" s="34">
        <v>8.0500000000000002E-2</v>
      </c>
      <c r="E2072" s="33">
        <v>38555</v>
      </c>
      <c r="F2072" s="33">
        <v>38533</v>
      </c>
      <c r="G2072" s="34">
        <f>IF(Tabela4[[#This Row],[Tipo]]="Dividendo",Tabela4[[#This Row],[Valor]],IF(Tabela4[[#This Row],[Tipo]]="Jrs. Cap. Próprio",Tabela4[[#This Row],[Valor]]*85%,0))</f>
        <v>6.8425E-2</v>
      </c>
    </row>
    <row r="2073" spans="1:7" x14ac:dyDescent="0.2">
      <c r="A2073" s="35" t="s">
        <v>67</v>
      </c>
      <c r="B2073" s="31" t="s">
        <v>15</v>
      </c>
      <c r="C2073" s="32">
        <v>38471</v>
      </c>
      <c r="D2073" s="34">
        <v>0.14560000000000001</v>
      </c>
      <c r="E2073" s="33">
        <v>38490</v>
      </c>
      <c r="F2073" s="33">
        <v>38471</v>
      </c>
      <c r="G2073" s="34">
        <f>IF(Tabela4[[#This Row],[Tipo]]="Dividendo",Tabela4[[#This Row],[Valor]],IF(Tabela4[[#This Row],[Tipo]]="Jrs. Cap. Próprio",Tabela4[[#This Row],[Valor]]*85%,0))</f>
        <v>0.14560000000000001</v>
      </c>
    </row>
    <row r="2074" spans="1:7" x14ac:dyDescent="0.2">
      <c r="A2074" s="31" t="s">
        <v>67</v>
      </c>
      <c r="B2074" s="31" t="s">
        <v>14</v>
      </c>
      <c r="C2074" s="32">
        <v>38329</v>
      </c>
      <c r="D2074" s="34">
        <v>6.4000000000000001E-2</v>
      </c>
      <c r="E2074" s="33">
        <v>38378</v>
      </c>
      <c r="F2074" s="33">
        <v>38329</v>
      </c>
      <c r="G2074" s="34">
        <f>IF(Tabela4[[#This Row],[Tipo]]="Dividendo",Tabela4[[#This Row],[Valor]],IF(Tabela4[[#This Row],[Tipo]]="Jrs. Cap. Próprio",Tabela4[[#This Row],[Valor]]*85%,0))</f>
        <v>5.4399999999999997E-2</v>
      </c>
    </row>
    <row r="2075" spans="1:7" x14ac:dyDescent="0.2">
      <c r="A2075" s="35" t="s">
        <v>67</v>
      </c>
      <c r="B2075" s="31" t="s">
        <v>14</v>
      </c>
      <c r="C2075" s="32">
        <v>38163</v>
      </c>
      <c r="D2075" s="34">
        <v>4.4499999999999998E-2</v>
      </c>
      <c r="E2075" s="33">
        <v>38183</v>
      </c>
      <c r="F2075" s="33">
        <v>38163</v>
      </c>
      <c r="G2075" s="34">
        <f>IF(Tabela4[[#This Row],[Tipo]]="Dividendo",Tabela4[[#This Row],[Valor]],IF(Tabela4[[#This Row],[Tipo]]="Jrs. Cap. Próprio",Tabela4[[#This Row],[Valor]]*85%,0))</f>
        <v>3.7824999999999998E-2</v>
      </c>
    </row>
    <row r="2076" spans="1:7" x14ac:dyDescent="0.2">
      <c r="A2076" s="31" t="s">
        <v>67</v>
      </c>
      <c r="B2076" s="31" t="s">
        <v>15</v>
      </c>
      <c r="C2076" s="32">
        <v>38107</v>
      </c>
      <c r="D2076" s="34">
        <v>0.1328</v>
      </c>
      <c r="E2076" s="33">
        <v>38121</v>
      </c>
      <c r="F2076" s="33">
        <v>38107</v>
      </c>
      <c r="G2076" s="34">
        <f>IF(Tabela4[[#This Row],[Tipo]]="Dividendo",Tabela4[[#This Row],[Valor]],IF(Tabela4[[#This Row],[Tipo]]="Jrs. Cap. Próprio",Tabela4[[#This Row],[Valor]]*85%,0))</f>
        <v>0.1328</v>
      </c>
    </row>
    <row r="2077" spans="1:7" x14ac:dyDescent="0.2">
      <c r="A2077" s="35" t="s">
        <v>67</v>
      </c>
      <c r="B2077" s="31" t="s">
        <v>15</v>
      </c>
      <c r="C2077" s="32">
        <v>37734</v>
      </c>
      <c r="D2077" s="34">
        <v>2.5999999999999999E-2</v>
      </c>
      <c r="E2077" s="33">
        <v>37750</v>
      </c>
      <c r="F2077" s="33">
        <v>37734</v>
      </c>
      <c r="G2077" s="34">
        <f>IF(Tabela4[[#This Row],[Tipo]]="Dividendo",Tabela4[[#This Row],[Valor]],IF(Tabela4[[#This Row],[Tipo]]="Jrs. Cap. Próprio",Tabela4[[#This Row],[Valor]]*85%,0))</f>
        <v>2.5999999999999999E-2</v>
      </c>
    </row>
    <row r="2078" spans="1:7" x14ac:dyDescent="0.2">
      <c r="A2078" s="31" t="s">
        <v>67</v>
      </c>
      <c r="B2078" s="31" t="s">
        <v>14</v>
      </c>
      <c r="C2078" s="32">
        <v>37603</v>
      </c>
      <c r="D2078" s="34">
        <v>4.1500000000000002E-2</v>
      </c>
      <c r="E2078" s="33">
        <v>37643</v>
      </c>
      <c r="F2078" s="33">
        <v>37603</v>
      </c>
      <c r="G2078" s="34">
        <f>IF(Tabela4[[#This Row],[Tipo]]="Dividendo",Tabela4[[#This Row],[Valor]],IF(Tabela4[[#This Row],[Tipo]]="Jrs. Cap. Próprio",Tabela4[[#This Row],[Valor]]*85%,0))</f>
        <v>3.5275000000000001E-2</v>
      </c>
    </row>
    <row r="2079" spans="1:7" x14ac:dyDescent="0.2">
      <c r="A2079" s="35" t="s">
        <v>67</v>
      </c>
      <c r="B2079" s="31" t="s">
        <v>15</v>
      </c>
      <c r="C2079" s="32">
        <v>37111</v>
      </c>
      <c r="D2079" s="34">
        <v>1.8700000000000001E-2</v>
      </c>
      <c r="E2079" s="33">
        <v>37125</v>
      </c>
      <c r="F2079" s="33">
        <v>37111</v>
      </c>
      <c r="G2079" s="34">
        <f>IF(Tabela4[[#This Row],[Tipo]]="Dividendo",Tabela4[[#This Row],[Valor]],IF(Tabela4[[#This Row],[Tipo]]="Jrs. Cap. Próprio",Tabela4[[#This Row],[Valor]]*85%,0))</f>
        <v>1.8700000000000001E-2</v>
      </c>
    </row>
    <row r="2080" spans="1:7" x14ac:dyDescent="0.2">
      <c r="A2080" s="31" t="s">
        <v>67</v>
      </c>
      <c r="B2080" s="31" t="s">
        <v>15</v>
      </c>
      <c r="C2080" s="32">
        <v>36997</v>
      </c>
      <c r="D2080" s="34">
        <v>1.35E-2</v>
      </c>
      <c r="E2080" s="33">
        <v>37007</v>
      </c>
      <c r="F2080" s="33">
        <v>36997</v>
      </c>
      <c r="G2080" s="34">
        <f>IF(Tabela4[[#This Row],[Tipo]]="Dividendo",Tabela4[[#This Row],[Valor]],IF(Tabela4[[#This Row],[Tipo]]="Jrs. Cap. Próprio",Tabela4[[#This Row],[Valor]]*85%,0))</f>
        <v>1.35E-2</v>
      </c>
    </row>
    <row r="2081" spans="1:7" x14ac:dyDescent="0.2">
      <c r="A2081" s="35" t="s">
        <v>67</v>
      </c>
      <c r="B2081" s="31" t="s">
        <v>15</v>
      </c>
      <c r="C2081" s="32">
        <v>36280</v>
      </c>
      <c r="D2081" s="34">
        <v>9.7999999999999997E-3</v>
      </c>
      <c r="E2081" s="33">
        <v>36305</v>
      </c>
      <c r="F2081" s="33">
        <v>36280</v>
      </c>
      <c r="G2081" s="34">
        <f>IF(Tabela4[[#This Row],[Tipo]]="Dividendo",Tabela4[[#This Row],[Valor]],IF(Tabela4[[#This Row],[Tipo]]="Jrs. Cap. Próprio",Tabela4[[#This Row],[Valor]]*85%,0))</f>
        <v>9.7999999999999997E-3</v>
      </c>
    </row>
    <row r="2082" spans="1:7" x14ac:dyDescent="0.2">
      <c r="A2082" s="31" t="s">
        <v>67</v>
      </c>
      <c r="B2082" s="31" t="s">
        <v>15</v>
      </c>
      <c r="C2082" s="32">
        <v>35913</v>
      </c>
      <c r="D2082" s="34">
        <v>3.1E-2</v>
      </c>
      <c r="E2082" s="33"/>
      <c r="F2082" s="33">
        <v>35913</v>
      </c>
      <c r="G2082" s="34">
        <f>IF(Tabela4[[#This Row],[Tipo]]="Dividendo",Tabela4[[#This Row],[Valor]],IF(Tabela4[[#This Row],[Tipo]]="Jrs. Cap. Próprio",Tabela4[[#This Row],[Valor]]*85%,0))</f>
        <v>3.1E-2</v>
      </c>
    </row>
    <row r="2083" spans="1:7" x14ac:dyDescent="0.2">
      <c r="A2083" s="35" t="s">
        <v>67</v>
      </c>
      <c r="B2083" s="31" t="s">
        <v>15</v>
      </c>
      <c r="C2083" s="32">
        <v>35170</v>
      </c>
      <c r="D2083" s="34">
        <v>6.6E-3</v>
      </c>
      <c r="E2083" s="33"/>
      <c r="F2083" s="33">
        <v>35170</v>
      </c>
      <c r="G2083" s="34">
        <f>IF(Tabela4[[#This Row],[Tipo]]="Dividendo",Tabela4[[#This Row],[Valor]],IF(Tabela4[[#This Row],[Tipo]]="Jrs. Cap. Próprio",Tabela4[[#This Row],[Valor]]*85%,0))</f>
        <v>6.6E-3</v>
      </c>
    </row>
    <row r="2084" spans="1:7" x14ac:dyDescent="0.2">
      <c r="A2084" s="4" t="s">
        <v>215</v>
      </c>
      <c r="B2084" s="4" t="s">
        <v>15</v>
      </c>
      <c r="C2084" s="19">
        <v>41400</v>
      </c>
      <c r="D2084" s="3">
        <v>0.25600000000000001</v>
      </c>
      <c r="E2084" s="68">
        <v>41414</v>
      </c>
      <c r="F2084" s="68">
        <v>41400</v>
      </c>
      <c r="G2084" s="14">
        <f>IF(Tabela4[[#This Row],[Tipo]]="Dividendo",Tabela4[[#This Row],[Valor]],IF(Tabela4[[#This Row],[Tipo]]="Jrs. Cap. Próprio",Tabela4[[#This Row],[Valor]]*85%,0))</f>
        <v>0.25600000000000001</v>
      </c>
    </row>
    <row r="2085" spans="1:7" x14ac:dyDescent="0.2">
      <c r="A2085" s="4" t="s">
        <v>215</v>
      </c>
      <c r="B2085" s="3" t="s">
        <v>15</v>
      </c>
      <c r="C2085" s="80">
        <v>41025</v>
      </c>
      <c r="D2085" s="3">
        <v>0.36249999999999999</v>
      </c>
      <c r="E2085" s="67">
        <v>41049</v>
      </c>
      <c r="F2085" s="81">
        <v>41025</v>
      </c>
      <c r="G2085" s="10">
        <f>IF(Tabela4[[#This Row],[Tipo]]="Dividendo",Tabela4[[#This Row],[Valor]],IF(Tabela4[[#This Row],[Tipo]]="Jrs. Cap. Próprio",Tabela4[[#This Row],[Valor]]*85%,0))</f>
        <v>0.36249999999999999</v>
      </c>
    </row>
    <row r="2086" spans="1:7" x14ac:dyDescent="0.2">
      <c r="A2086" s="4" t="s">
        <v>215</v>
      </c>
      <c r="B2086" s="3" t="s">
        <v>15</v>
      </c>
      <c r="C2086" s="80">
        <v>40661</v>
      </c>
      <c r="D2086" s="3">
        <v>0.41899999999999998</v>
      </c>
      <c r="E2086" s="67">
        <v>40683</v>
      </c>
      <c r="F2086" s="81">
        <v>40661</v>
      </c>
      <c r="G2086" s="10">
        <f>IF(Tabela4[[#This Row],[Tipo]]="Dividendo",Tabela4[[#This Row],[Valor]],IF(Tabela4[[#This Row],[Tipo]]="Jrs. Cap. Próprio",Tabela4[[#This Row],[Valor]]*85%,0))</f>
        <v>0.41899999999999998</v>
      </c>
    </row>
    <row r="2087" spans="1:7" x14ac:dyDescent="0.2">
      <c r="A2087" s="4" t="s">
        <v>215</v>
      </c>
      <c r="B2087" s="3" t="s">
        <v>52</v>
      </c>
      <c r="C2087" s="80">
        <v>40617</v>
      </c>
      <c r="D2087" s="3">
        <v>1.0009999999999999</v>
      </c>
      <c r="E2087" s="67">
        <v>40683</v>
      </c>
      <c r="F2087" s="81">
        <v>40616</v>
      </c>
      <c r="G2087" s="10">
        <f>IF(Tabela4[[#This Row],[Tipo]]="Dividendo",Tabela4[[#This Row],[Valor]],IF(Tabela4[[#This Row],[Tipo]]="Jrs. Cap. Próprio",Tabela4[[#This Row],[Valor]]*85%,0))</f>
        <v>0</v>
      </c>
    </row>
    <row r="2088" spans="1:7" x14ac:dyDescent="0.2">
      <c r="A2088" s="3" t="s">
        <v>250</v>
      </c>
      <c r="B2088" s="3" t="s">
        <v>14</v>
      </c>
      <c r="C2088" s="80">
        <v>41499</v>
      </c>
      <c r="D2088" s="10">
        <v>3.1800000000000002E-2</v>
      </c>
      <c r="E2088" s="67"/>
      <c r="F2088" s="81">
        <v>41499</v>
      </c>
      <c r="G2088" s="10">
        <f>IF(Tabela4[[#This Row],[Tipo]]="Dividendo",Tabela4[[#This Row],[Valor]],IF(Tabela4[[#This Row],[Tipo]]="Jrs. Cap. Próprio",Tabela4[[#This Row],[Valor]]*85%,0))</f>
        <v>2.7030000000000002E-2</v>
      </c>
    </row>
    <row r="2089" spans="1:7" x14ac:dyDescent="0.2">
      <c r="A2089" s="3" t="s">
        <v>250</v>
      </c>
      <c r="B2089" s="3" t="s">
        <v>15</v>
      </c>
      <c r="C2089" s="80">
        <v>41499</v>
      </c>
      <c r="D2089" s="10">
        <v>0.14779999999999999</v>
      </c>
      <c r="E2089" s="67">
        <v>41554</v>
      </c>
      <c r="F2089" s="81">
        <v>41499</v>
      </c>
      <c r="G2089" s="10">
        <f>IF(Tabela4[[#This Row],[Tipo]]="Dividendo",Tabela4[[#This Row],[Valor]],IF(Tabela4[[#This Row],[Tipo]]="Jrs. Cap. Próprio",Tabela4[[#This Row],[Valor]]*85%,0))</f>
        <v>0.14779999999999999</v>
      </c>
    </row>
    <row r="2090" spans="1:7" x14ac:dyDescent="0.2">
      <c r="A2090" s="3" t="s">
        <v>250</v>
      </c>
      <c r="B2090" s="3" t="s">
        <v>15</v>
      </c>
      <c r="C2090" s="80">
        <v>41297</v>
      </c>
      <c r="D2090" s="10">
        <v>0.1754</v>
      </c>
      <c r="E2090" s="67">
        <v>41353</v>
      </c>
      <c r="F2090" s="81">
        <v>41297</v>
      </c>
      <c r="G2090" s="10">
        <f>IF(Tabela4[[#This Row],[Tipo]]="Dividendo",Tabela4[[#This Row],[Valor]],IF(Tabela4[[#This Row],[Tipo]]="Jrs. Cap. Próprio",Tabela4[[#This Row],[Valor]]*85%,0))</f>
        <v>0.1754</v>
      </c>
    </row>
    <row r="2091" spans="1:7" x14ac:dyDescent="0.2">
      <c r="A2091" s="3" t="s">
        <v>250</v>
      </c>
      <c r="B2091" s="3" t="s">
        <v>14</v>
      </c>
      <c r="C2091" s="80">
        <v>41134</v>
      </c>
      <c r="D2091" s="10">
        <v>0.2064</v>
      </c>
      <c r="E2091" s="67">
        <v>41179</v>
      </c>
      <c r="F2091" s="81">
        <v>41134</v>
      </c>
      <c r="G2091" s="10">
        <f>IF(Tabela4[[#This Row],[Tipo]]="Dividendo",Tabela4[[#This Row],[Valor]],IF(Tabela4[[#This Row],[Tipo]]="Jrs. Cap. Próprio",Tabela4[[#This Row],[Valor]]*85%,0))</f>
        <v>0.17543999999999998</v>
      </c>
    </row>
    <row r="2092" spans="1:7" x14ac:dyDescent="0.2">
      <c r="A2092" s="3" t="s">
        <v>250</v>
      </c>
      <c r="B2092" s="3" t="s">
        <v>14</v>
      </c>
      <c r="C2092" s="80">
        <v>40932</v>
      </c>
      <c r="D2092" s="10">
        <v>2.4E-2</v>
      </c>
      <c r="E2092" s="67">
        <v>40977</v>
      </c>
      <c r="F2092" s="81">
        <v>40932</v>
      </c>
      <c r="G2092" s="10">
        <f>IF(Tabela4[[#This Row],[Tipo]]="Dividendo",Tabela4[[#This Row],[Valor]],IF(Tabela4[[#This Row],[Tipo]]="Jrs. Cap. Próprio",Tabela4[[#This Row],[Valor]]*85%,0))</f>
        <v>2.0400000000000001E-2</v>
      </c>
    </row>
    <row r="2093" spans="1:7" x14ac:dyDescent="0.2">
      <c r="A2093" s="3" t="s">
        <v>250</v>
      </c>
      <c r="B2093" s="3" t="s">
        <v>15</v>
      </c>
      <c r="C2093" s="80">
        <v>40932</v>
      </c>
      <c r="D2093" s="10">
        <v>0.1847</v>
      </c>
      <c r="E2093" s="67">
        <v>40977</v>
      </c>
      <c r="F2093" s="81">
        <v>40932</v>
      </c>
      <c r="G2093" s="10">
        <f>IF(Tabela4[[#This Row],[Tipo]]="Dividendo",Tabela4[[#This Row],[Valor]],IF(Tabela4[[#This Row],[Tipo]]="Jrs. Cap. Próprio",Tabela4[[#This Row],[Valor]]*85%,0))</f>
        <v>0.1847</v>
      </c>
    </row>
    <row r="2094" spans="1:7" x14ac:dyDescent="0.2">
      <c r="A2094" s="3" t="s">
        <v>250</v>
      </c>
      <c r="B2094" s="3" t="s">
        <v>14</v>
      </c>
      <c r="C2094" s="80">
        <v>40766</v>
      </c>
      <c r="D2094" s="10">
        <v>0.13819999999999999</v>
      </c>
      <c r="E2094" s="67">
        <v>40812</v>
      </c>
      <c r="F2094" s="81">
        <v>40766</v>
      </c>
      <c r="G2094" s="10">
        <f>IF(Tabela4[[#This Row],[Tipo]]="Dividendo",Tabela4[[#This Row],[Valor]],IF(Tabela4[[#This Row],[Tipo]]="Jrs. Cap. Próprio",Tabela4[[#This Row],[Valor]]*85%,0))</f>
        <v>0.11746999999999999</v>
      </c>
    </row>
    <row r="2095" spans="1:7" x14ac:dyDescent="0.2">
      <c r="A2095" s="3" t="s">
        <v>250</v>
      </c>
      <c r="B2095" s="3" t="s">
        <v>14</v>
      </c>
      <c r="C2095" s="80">
        <v>40570</v>
      </c>
      <c r="D2095" s="10">
        <v>0.2109</v>
      </c>
      <c r="E2095" s="67">
        <v>40616</v>
      </c>
      <c r="F2095" s="81">
        <v>40570</v>
      </c>
      <c r="G2095" s="10">
        <f>IF(Tabela4[[#This Row],[Tipo]]="Dividendo",Tabela4[[#This Row],[Valor]],IF(Tabela4[[#This Row],[Tipo]]="Jrs. Cap. Próprio",Tabela4[[#This Row],[Valor]]*85%,0))</f>
        <v>0.17926500000000001</v>
      </c>
    </row>
    <row r="2096" spans="1:7" x14ac:dyDescent="0.2">
      <c r="A2096" s="3" t="s">
        <v>250</v>
      </c>
      <c r="B2096" s="3" t="s">
        <v>14</v>
      </c>
      <c r="C2096" s="80">
        <v>40402</v>
      </c>
      <c r="D2096" s="10">
        <v>0.1328</v>
      </c>
      <c r="E2096" s="67">
        <v>40448</v>
      </c>
      <c r="F2096" s="81">
        <v>40402</v>
      </c>
      <c r="G2096" s="10">
        <f>IF(Tabela4[[#This Row],[Tipo]]="Dividendo",Tabela4[[#This Row],[Valor]],IF(Tabela4[[#This Row],[Tipo]]="Jrs. Cap. Próprio",Tabela4[[#This Row],[Valor]]*85%,0))</f>
        <v>0.11287999999999999</v>
      </c>
    </row>
    <row r="2097" spans="1:7" x14ac:dyDescent="0.2">
      <c r="A2097" s="3" t="s">
        <v>250</v>
      </c>
      <c r="B2097" s="3" t="s">
        <v>14</v>
      </c>
      <c r="C2097" s="80">
        <v>40206</v>
      </c>
      <c r="D2097" s="10">
        <v>9.1999999999999998E-3</v>
      </c>
      <c r="E2097" s="67">
        <v>40252</v>
      </c>
      <c r="F2097" s="81">
        <v>40206</v>
      </c>
      <c r="G2097" s="10">
        <f>IF(Tabela4[[#This Row],[Tipo]]="Dividendo",Tabela4[[#This Row],[Valor]],IF(Tabela4[[#This Row],[Tipo]]="Jrs. Cap. Próprio",Tabela4[[#This Row],[Valor]]*85%,0))</f>
        <v>7.8199999999999988E-3</v>
      </c>
    </row>
    <row r="2098" spans="1:7" x14ac:dyDescent="0.2">
      <c r="A2098" s="3" t="s">
        <v>250</v>
      </c>
      <c r="B2098" s="3" t="s">
        <v>15</v>
      </c>
      <c r="C2098" s="80">
        <v>40206</v>
      </c>
      <c r="D2098" s="10">
        <v>0.1275</v>
      </c>
      <c r="E2098" s="67">
        <v>40252</v>
      </c>
      <c r="F2098" s="81">
        <v>40206</v>
      </c>
      <c r="G2098" s="10">
        <f>IF(Tabela4[[#This Row],[Tipo]]="Dividendo",Tabela4[[#This Row],[Valor]],IF(Tabela4[[#This Row],[Tipo]]="Jrs. Cap. Próprio",Tabela4[[#This Row],[Valor]]*85%,0))</f>
        <v>0.1275</v>
      </c>
    </row>
    <row r="2099" spans="1:7" x14ac:dyDescent="0.2">
      <c r="A2099" s="3" t="s">
        <v>250</v>
      </c>
      <c r="B2099" s="3" t="s">
        <v>14</v>
      </c>
      <c r="C2099" s="80">
        <v>40038</v>
      </c>
      <c r="D2099" s="10">
        <v>0.15920000000000001</v>
      </c>
      <c r="E2099" s="67">
        <v>40084</v>
      </c>
      <c r="F2099" s="81">
        <v>40038</v>
      </c>
      <c r="G2099" s="10">
        <f>IF(Tabela4[[#This Row],[Tipo]]="Dividendo",Tabela4[[#This Row],[Valor]],IF(Tabela4[[#This Row],[Tipo]]="Jrs. Cap. Próprio",Tabela4[[#This Row],[Valor]]*85%,0))</f>
        <v>0.13532</v>
      </c>
    </row>
    <row r="2100" spans="1:7" x14ac:dyDescent="0.2">
      <c r="A2100" s="3" t="s">
        <v>250</v>
      </c>
      <c r="B2100" s="3" t="s">
        <v>15</v>
      </c>
      <c r="C2100" s="80">
        <v>39849</v>
      </c>
      <c r="D2100" s="10">
        <v>0.121</v>
      </c>
      <c r="E2100" s="67">
        <v>39878</v>
      </c>
      <c r="F2100" s="81">
        <v>39849</v>
      </c>
      <c r="G2100" s="10">
        <f>IF(Tabela4[[#This Row],[Tipo]]="Dividendo",Tabela4[[#This Row],[Valor]],IF(Tabela4[[#This Row],[Tipo]]="Jrs. Cap. Próprio",Tabela4[[#This Row],[Valor]]*85%,0))</f>
        <v>0.121</v>
      </c>
    </row>
    <row r="2101" spans="1:7" x14ac:dyDescent="0.2">
      <c r="A2101" s="3" t="s">
        <v>250</v>
      </c>
      <c r="B2101" s="3" t="s">
        <v>14</v>
      </c>
      <c r="C2101" s="80">
        <v>39672</v>
      </c>
      <c r="D2101" s="10">
        <v>0.1424</v>
      </c>
      <c r="E2101" s="67">
        <v>39689</v>
      </c>
      <c r="F2101" s="81">
        <v>39672</v>
      </c>
      <c r="G2101" s="10">
        <f>IF(Tabela4[[#This Row],[Tipo]]="Dividendo",Tabela4[[#This Row],[Valor]],IF(Tabela4[[#This Row],[Tipo]]="Jrs. Cap. Próprio",Tabela4[[#This Row],[Valor]]*85%,0))</f>
        <v>0.12103999999999999</v>
      </c>
    </row>
    <row r="2102" spans="1:7" x14ac:dyDescent="0.2">
      <c r="A2102" s="3" t="s">
        <v>250</v>
      </c>
      <c r="B2102" s="3" t="s">
        <v>14</v>
      </c>
      <c r="C2102" s="80">
        <v>39464</v>
      </c>
      <c r="D2102" s="10">
        <v>0.1343</v>
      </c>
      <c r="E2102" s="67">
        <v>39514</v>
      </c>
      <c r="F2102" s="81">
        <v>39464</v>
      </c>
      <c r="G2102" s="10">
        <f>IF(Tabela4[[#This Row],[Tipo]]="Dividendo",Tabela4[[#This Row],[Valor]],IF(Tabela4[[#This Row],[Tipo]]="Jrs. Cap. Próprio",Tabela4[[#This Row],[Valor]]*85%,0))</f>
        <v>0.11415499999999999</v>
      </c>
    </row>
    <row r="2103" spans="1:7" x14ac:dyDescent="0.2">
      <c r="A2103" s="3" t="s">
        <v>250</v>
      </c>
      <c r="B2103" s="3" t="s">
        <v>15</v>
      </c>
      <c r="C2103" s="80">
        <v>39308</v>
      </c>
      <c r="D2103" s="10">
        <v>9.4799999999999995E-2</v>
      </c>
      <c r="E2103" s="67">
        <v>39331</v>
      </c>
      <c r="F2103" s="81">
        <v>39308</v>
      </c>
      <c r="G2103" s="10">
        <f>IF(Tabela4[[#This Row],[Tipo]]="Dividendo",Tabela4[[#This Row],[Valor]],IF(Tabela4[[#This Row],[Tipo]]="Jrs. Cap. Próprio",Tabela4[[#This Row],[Valor]]*85%,0))</f>
        <v>9.4799999999999995E-2</v>
      </c>
    </row>
    <row r="2104" spans="1:7" x14ac:dyDescent="0.2">
      <c r="A2104" s="3" t="s">
        <v>250</v>
      </c>
      <c r="B2104" s="3" t="s">
        <v>14</v>
      </c>
      <c r="C2104" s="80">
        <v>39104</v>
      </c>
      <c r="D2104" s="10">
        <v>0.14649999999999999</v>
      </c>
      <c r="E2104" s="67">
        <v>39148</v>
      </c>
      <c r="F2104" s="81">
        <v>39104</v>
      </c>
      <c r="G2104" s="10">
        <f>IF(Tabela4[[#This Row],[Tipo]]="Dividendo",Tabela4[[#This Row],[Valor]],IF(Tabela4[[#This Row],[Tipo]]="Jrs. Cap. Próprio",Tabela4[[#This Row],[Valor]]*85%,0))</f>
        <v>0.12452499999999998</v>
      </c>
    </row>
    <row r="2105" spans="1:7" x14ac:dyDescent="0.2">
      <c r="A2105" s="3" t="s">
        <v>250</v>
      </c>
      <c r="B2105" s="3" t="s">
        <v>15</v>
      </c>
      <c r="C2105" s="80">
        <v>38939</v>
      </c>
      <c r="D2105" s="10">
        <v>6.5000000000000002E-2</v>
      </c>
      <c r="E2105" s="67">
        <v>38959</v>
      </c>
      <c r="F2105" s="81">
        <v>38939</v>
      </c>
      <c r="G2105" s="10">
        <f>IF(Tabela4[[#This Row],[Tipo]]="Dividendo",Tabela4[[#This Row],[Valor]],IF(Tabela4[[#This Row],[Tipo]]="Jrs. Cap. Próprio",Tabela4[[#This Row],[Valor]]*85%,0))</f>
        <v>6.5000000000000002E-2</v>
      </c>
    </row>
    <row r="2106" spans="1:7" x14ac:dyDescent="0.2">
      <c r="A2106" s="3" t="s">
        <v>250</v>
      </c>
      <c r="B2106" s="3" t="s">
        <v>15</v>
      </c>
      <c r="C2106" s="80">
        <v>38748</v>
      </c>
      <c r="D2106" s="10">
        <v>0.1162</v>
      </c>
      <c r="E2106" s="67">
        <v>38783</v>
      </c>
      <c r="F2106" s="81">
        <v>38748</v>
      </c>
      <c r="G2106" s="10">
        <f>IF(Tabela4[[#This Row],[Tipo]]="Dividendo",Tabela4[[#This Row],[Valor]],IF(Tabela4[[#This Row],[Tipo]]="Jrs. Cap. Próprio",Tabela4[[#This Row],[Valor]]*85%,0))</f>
        <v>0.1162</v>
      </c>
    </row>
    <row r="2107" spans="1:7" x14ac:dyDescent="0.2">
      <c r="A2107" s="3" t="s">
        <v>250</v>
      </c>
      <c r="B2107" s="3" t="s">
        <v>14</v>
      </c>
      <c r="C2107" s="80">
        <v>38574</v>
      </c>
      <c r="D2107" s="10">
        <v>6.8699999999999997E-2</v>
      </c>
      <c r="E2107" s="67">
        <v>38594</v>
      </c>
      <c r="F2107" s="81">
        <v>38574</v>
      </c>
      <c r="G2107" s="10">
        <f>IF(Tabela4[[#This Row],[Tipo]]="Dividendo",Tabela4[[#This Row],[Valor]],IF(Tabela4[[#This Row],[Tipo]]="Jrs. Cap. Próprio",Tabela4[[#This Row],[Valor]]*85%,0))</f>
        <v>5.8394999999999996E-2</v>
      </c>
    </row>
    <row r="2108" spans="1:7" x14ac:dyDescent="0.2">
      <c r="A2108" s="3" t="s">
        <v>250</v>
      </c>
      <c r="B2108" s="3" t="s">
        <v>14</v>
      </c>
      <c r="C2108" s="80">
        <v>38385</v>
      </c>
      <c r="D2108" s="10">
        <v>3.3300000000000003E-2</v>
      </c>
      <c r="E2108" s="67">
        <v>38418</v>
      </c>
      <c r="F2108" s="81">
        <v>38385</v>
      </c>
      <c r="G2108" s="10">
        <f>IF(Tabela4[[#This Row],[Tipo]]="Dividendo",Tabela4[[#This Row],[Valor]],IF(Tabela4[[#This Row],[Tipo]]="Jrs. Cap. Próprio",Tabela4[[#This Row],[Valor]]*85%,0))</f>
        <v>2.8305E-2</v>
      </c>
    </row>
    <row r="2109" spans="1:7" x14ac:dyDescent="0.2">
      <c r="A2109" s="3" t="s">
        <v>250</v>
      </c>
      <c r="B2109" s="3" t="s">
        <v>15</v>
      </c>
      <c r="C2109" s="80">
        <v>38385</v>
      </c>
      <c r="D2109" s="10">
        <v>0.1002</v>
      </c>
      <c r="E2109" s="67">
        <v>38418</v>
      </c>
      <c r="F2109" s="81">
        <v>38385</v>
      </c>
      <c r="G2109" s="10">
        <f>IF(Tabela4[[#This Row],[Tipo]]="Dividendo",Tabela4[[#This Row],[Valor]],IF(Tabela4[[#This Row],[Tipo]]="Jrs. Cap. Próprio",Tabela4[[#This Row],[Valor]]*85%,0))</f>
        <v>0.1002</v>
      </c>
    </row>
    <row r="2110" spans="1:7" x14ac:dyDescent="0.2">
      <c r="A2110" s="3" t="s">
        <v>250</v>
      </c>
      <c r="B2110" s="3" t="s">
        <v>15</v>
      </c>
      <c r="C2110" s="80">
        <v>38202</v>
      </c>
      <c r="D2110" s="10">
        <v>3.3000000000000002E-2</v>
      </c>
      <c r="E2110" s="67">
        <v>38223</v>
      </c>
      <c r="F2110" s="81">
        <v>38202</v>
      </c>
      <c r="G2110" s="10">
        <f>IF(Tabela4[[#This Row],[Tipo]]="Dividendo",Tabela4[[#This Row],[Valor]],IF(Tabela4[[#This Row],[Tipo]]="Jrs. Cap. Próprio",Tabela4[[#This Row],[Valor]]*85%,0))</f>
        <v>3.3000000000000002E-2</v>
      </c>
    </row>
    <row r="2111" spans="1:7" x14ac:dyDescent="0.2">
      <c r="A2111" s="3" t="s">
        <v>250</v>
      </c>
      <c r="B2111" s="3" t="s">
        <v>15</v>
      </c>
      <c r="C2111" s="80">
        <v>38015</v>
      </c>
      <c r="D2111" s="10">
        <v>0.1103</v>
      </c>
      <c r="E2111" s="67">
        <v>38049</v>
      </c>
      <c r="F2111" s="81">
        <v>38015</v>
      </c>
      <c r="G2111" s="10">
        <f>IF(Tabela4[[#This Row],[Tipo]]="Dividendo",Tabela4[[#This Row],[Valor]],IF(Tabela4[[#This Row],[Tipo]]="Jrs. Cap. Próprio",Tabela4[[#This Row],[Valor]]*85%,0))</f>
        <v>0.1103</v>
      </c>
    </row>
    <row r="2112" spans="1:7" x14ac:dyDescent="0.2">
      <c r="A2112" s="3" t="s">
        <v>250</v>
      </c>
      <c r="B2112" s="3" t="s">
        <v>14</v>
      </c>
      <c r="C2112" s="80">
        <v>37840</v>
      </c>
      <c r="D2112" s="10">
        <v>3.6200000000000003E-2</v>
      </c>
      <c r="E2112" s="67">
        <v>37862</v>
      </c>
      <c r="F2112" s="81">
        <v>37840</v>
      </c>
      <c r="G2112" s="10">
        <f>IF(Tabela4[[#This Row],[Tipo]]="Dividendo",Tabela4[[#This Row],[Valor]],IF(Tabela4[[#This Row],[Tipo]]="Jrs. Cap. Próprio",Tabela4[[#This Row],[Valor]]*85%,0))</f>
        <v>3.0770000000000002E-2</v>
      </c>
    </row>
    <row r="2113" spans="1:7" x14ac:dyDescent="0.2">
      <c r="A2113" s="3" t="s">
        <v>250</v>
      </c>
      <c r="B2113" s="3" t="s">
        <v>15</v>
      </c>
      <c r="C2113" s="80">
        <v>37650</v>
      </c>
      <c r="D2113" s="10">
        <v>9.8000000000000004E-2</v>
      </c>
      <c r="E2113" s="67">
        <v>37677</v>
      </c>
      <c r="F2113" s="81">
        <v>37650</v>
      </c>
      <c r="G2113" s="10">
        <f>IF(Tabela4[[#This Row],[Tipo]]="Dividendo",Tabela4[[#This Row],[Valor]],IF(Tabela4[[#This Row],[Tipo]]="Jrs. Cap. Próprio",Tabela4[[#This Row],[Valor]]*85%,0))</f>
        <v>9.8000000000000004E-2</v>
      </c>
    </row>
    <row r="2114" spans="1:7" x14ac:dyDescent="0.2">
      <c r="A2114" s="3" t="s">
        <v>250</v>
      </c>
      <c r="B2114" s="3" t="s">
        <v>15</v>
      </c>
      <c r="C2114" s="80">
        <v>37461</v>
      </c>
      <c r="D2114" s="10">
        <v>2.8000000000000001E-2</v>
      </c>
      <c r="E2114" s="67">
        <v>37496</v>
      </c>
      <c r="F2114" s="81">
        <v>37461</v>
      </c>
      <c r="G2114" s="10">
        <f>IF(Tabela4[[#This Row],[Tipo]]="Dividendo",Tabela4[[#This Row],[Valor]],IF(Tabela4[[#This Row],[Tipo]]="Jrs. Cap. Próprio",Tabela4[[#This Row],[Valor]]*85%,0))</f>
        <v>2.8000000000000001E-2</v>
      </c>
    </row>
    <row r="2115" spans="1:7" x14ac:dyDescent="0.2">
      <c r="A2115" s="3" t="s">
        <v>250</v>
      </c>
      <c r="B2115" s="3" t="s">
        <v>14</v>
      </c>
      <c r="C2115" s="80">
        <v>37294</v>
      </c>
      <c r="D2115" s="10">
        <v>8.8599999999999998E-2</v>
      </c>
      <c r="E2115" s="67">
        <v>37333</v>
      </c>
      <c r="F2115" s="81">
        <v>37294</v>
      </c>
      <c r="G2115" s="10">
        <f>IF(Tabela4[[#This Row],[Tipo]]="Dividendo",Tabela4[[#This Row],[Valor]],IF(Tabela4[[#This Row],[Tipo]]="Jrs. Cap. Próprio",Tabela4[[#This Row],[Valor]]*85%,0))</f>
        <v>7.5310000000000002E-2</v>
      </c>
    </row>
    <row r="2116" spans="1:7" x14ac:dyDescent="0.2">
      <c r="A2116" s="3" t="s">
        <v>250</v>
      </c>
      <c r="B2116" s="3" t="s">
        <v>15</v>
      </c>
      <c r="C2116" s="80">
        <v>37294</v>
      </c>
      <c r="D2116" s="10">
        <v>1.2E-2</v>
      </c>
      <c r="E2116" s="67">
        <v>37333</v>
      </c>
      <c r="F2116" s="81">
        <v>37294</v>
      </c>
      <c r="G2116" s="10">
        <f>IF(Tabela4[[#This Row],[Tipo]]="Dividendo",Tabela4[[#This Row],[Valor]],IF(Tabela4[[#This Row],[Tipo]]="Jrs. Cap. Próprio",Tabela4[[#This Row],[Valor]]*85%,0))</f>
        <v>1.2E-2</v>
      </c>
    </row>
    <row r="2117" spans="1:7" x14ac:dyDescent="0.2">
      <c r="A2117" s="3" t="s">
        <v>250</v>
      </c>
      <c r="B2117" s="3" t="s">
        <v>15</v>
      </c>
      <c r="C2117" s="80">
        <v>37113</v>
      </c>
      <c r="D2117" s="10">
        <v>2.8000000000000001E-2</v>
      </c>
      <c r="E2117" s="67">
        <v>37131</v>
      </c>
      <c r="F2117" s="81">
        <v>37113</v>
      </c>
      <c r="G2117" s="10">
        <f>IF(Tabela4[[#This Row],[Tipo]]="Dividendo",Tabela4[[#This Row],[Valor]],IF(Tabela4[[#This Row],[Tipo]]="Jrs. Cap. Próprio",Tabela4[[#This Row],[Valor]]*85%,0))</f>
        <v>2.8000000000000001E-2</v>
      </c>
    </row>
    <row r="2118" spans="1:7" x14ac:dyDescent="0.2">
      <c r="A2118" s="3" t="s">
        <v>250</v>
      </c>
      <c r="B2118" s="3" t="s">
        <v>14</v>
      </c>
      <c r="C2118" s="80">
        <v>36942</v>
      </c>
      <c r="D2118" s="10">
        <v>9.2299999999999993E-2</v>
      </c>
      <c r="E2118" s="67">
        <v>36970</v>
      </c>
      <c r="F2118" s="81">
        <v>36942</v>
      </c>
      <c r="G2118" s="10">
        <f>IF(Tabela4[[#This Row],[Tipo]]="Dividendo",Tabela4[[#This Row],[Valor]],IF(Tabela4[[#This Row],[Tipo]]="Jrs. Cap. Próprio",Tabela4[[#This Row],[Valor]]*85%,0))</f>
        <v>7.8454999999999997E-2</v>
      </c>
    </row>
    <row r="2119" spans="1:7" x14ac:dyDescent="0.2">
      <c r="A2119" s="3" t="s">
        <v>250</v>
      </c>
      <c r="B2119" s="3" t="s">
        <v>15</v>
      </c>
      <c r="C2119" s="80">
        <v>36727</v>
      </c>
      <c r="D2119" s="10">
        <v>2.8000000000000001E-2</v>
      </c>
      <c r="E2119" s="67">
        <v>36752</v>
      </c>
      <c r="F2119" s="81">
        <v>36727</v>
      </c>
      <c r="G2119" s="10">
        <f>IF(Tabela4[[#This Row],[Tipo]]="Dividendo",Tabela4[[#This Row],[Valor]],IF(Tabela4[[#This Row],[Tipo]]="Jrs. Cap. Próprio",Tabela4[[#This Row],[Valor]]*85%,0))</f>
        <v>2.8000000000000001E-2</v>
      </c>
    </row>
    <row r="2120" spans="1:7" x14ac:dyDescent="0.2">
      <c r="A2120" s="3" t="s">
        <v>250</v>
      </c>
      <c r="B2120" s="3" t="s">
        <v>14</v>
      </c>
      <c r="C2120" s="80">
        <v>36551</v>
      </c>
      <c r="D2120" s="10">
        <v>7.6499999999999999E-2</v>
      </c>
      <c r="E2120" s="67">
        <v>36581</v>
      </c>
      <c r="F2120" s="81">
        <v>36551</v>
      </c>
      <c r="G2120" s="10">
        <f>IF(Tabela4[[#This Row],[Tipo]]="Dividendo",Tabela4[[#This Row],[Valor]],IF(Tabela4[[#This Row],[Tipo]]="Jrs. Cap. Próprio",Tabela4[[#This Row],[Valor]]*85%,0))</f>
        <v>6.5024999999999999E-2</v>
      </c>
    </row>
    <row r="2121" spans="1:7" x14ac:dyDescent="0.2">
      <c r="A2121" s="3" t="s">
        <v>250</v>
      </c>
      <c r="B2121" s="3" t="s">
        <v>14</v>
      </c>
      <c r="C2121" s="80">
        <v>36370</v>
      </c>
      <c r="D2121" s="10">
        <v>3.0599999999999999E-2</v>
      </c>
      <c r="E2121" s="67">
        <v>36399</v>
      </c>
      <c r="F2121" s="81">
        <v>36370</v>
      </c>
      <c r="G2121" s="10">
        <f>IF(Tabela4[[#This Row],[Tipo]]="Dividendo",Tabela4[[#This Row],[Valor]],IF(Tabela4[[#This Row],[Tipo]]="Jrs. Cap. Próprio",Tabela4[[#This Row],[Valor]]*85%,0))</f>
        <v>2.6009999999999998E-2</v>
      </c>
    </row>
    <row r="2122" spans="1:7" x14ac:dyDescent="0.2">
      <c r="A2122" s="3" t="s">
        <v>250</v>
      </c>
      <c r="B2122" s="3" t="s">
        <v>15</v>
      </c>
      <c r="C2122" s="80">
        <v>36188</v>
      </c>
      <c r="D2122" s="10">
        <v>0.1003</v>
      </c>
      <c r="E2122" s="67"/>
      <c r="F2122" s="81">
        <v>36188</v>
      </c>
      <c r="G2122" s="10">
        <f>IF(Tabela4[[#This Row],[Tipo]]="Dividendo",Tabela4[[#This Row],[Valor]],IF(Tabela4[[#This Row],[Tipo]]="Jrs. Cap. Próprio",Tabela4[[#This Row],[Valor]]*85%,0))</f>
        <v>0.1003</v>
      </c>
    </row>
    <row r="2123" spans="1:7" x14ac:dyDescent="0.2">
      <c r="A2123" s="3" t="s">
        <v>250</v>
      </c>
      <c r="B2123" s="3" t="s">
        <v>14</v>
      </c>
      <c r="C2123" s="80">
        <v>36013</v>
      </c>
      <c r="D2123" s="10">
        <v>3.3700000000000001E-2</v>
      </c>
      <c r="E2123" s="67"/>
      <c r="F2123" s="81">
        <v>36013</v>
      </c>
      <c r="G2123" s="10">
        <f>IF(Tabela4[[#This Row],[Tipo]]="Dividendo",Tabela4[[#This Row],[Valor]],IF(Tabela4[[#This Row],[Tipo]]="Jrs. Cap. Próprio",Tabela4[[#This Row],[Valor]]*85%,0))</f>
        <v>2.8645E-2</v>
      </c>
    </row>
    <row r="2124" spans="1:7" x14ac:dyDescent="0.2">
      <c r="A2124" s="3" t="s">
        <v>250</v>
      </c>
      <c r="B2124" s="3" t="s">
        <v>15</v>
      </c>
      <c r="C2124" s="80">
        <v>35823</v>
      </c>
      <c r="D2124" s="10">
        <v>0.13450000000000001</v>
      </c>
      <c r="E2124" s="67"/>
      <c r="F2124" s="81">
        <v>35823</v>
      </c>
      <c r="G2124" s="10">
        <f>IF(Tabela4[[#This Row],[Tipo]]="Dividendo",Tabela4[[#This Row],[Valor]],IF(Tabela4[[#This Row],[Tipo]]="Jrs. Cap. Próprio",Tabela4[[#This Row],[Valor]]*85%,0))</f>
        <v>0.13450000000000001</v>
      </c>
    </row>
    <row r="2125" spans="1:7" x14ac:dyDescent="0.2">
      <c r="A2125" s="3" t="s">
        <v>250</v>
      </c>
      <c r="B2125" s="3" t="s">
        <v>15</v>
      </c>
      <c r="C2125" s="80">
        <v>35640</v>
      </c>
      <c r="D2125" s="10">
        <v>2.5700000000000001E-2</v>
      </c>
      <c r="E2125" s="67"/>
      <c r="F2125" s="81">
        <v>35640</v>
      </c>
      <c r="G2125" s="10">
        <f>IF(Tabela4[[#This Row],[Tipo]]="Dividendo",Tabela4[[#This Row],[Valor]],IF(Tabela4[[#This Row],[Tipo]]="Jrs. Cap. Próprio",Tabela4[[#This Row],[Valor]]*85%,0))</f>
        <v>2.5700000000000001E-2</v>
      </c>
    </row>
    <row r="2126" spans="1:7" x14ac:dyDescent="0.2">
      <c r="A2126" s="3" t="s">
        <v>250</v>
      </c>
      <c r="B2126" s="3" t="s">
        <v>15</v>
      </c>
      <c r="C2126" s="80">
        <v>35459</v>
      </c>
      <c r="D2126" s="10">
        <v>0.1208</v>
      </c>
      <c r="E2126" s="67"/>
      <c r="F2126" s="81">
        <v>35459</v>
      </c>
      <c r="G2126" s="10">
        <f>IF(Tabela4[[#This Row],[Tipo]]="Dividendo",Tabela4[[#This Row],[Valor]],IF(Tabela4[[#This Row],[Tipo]]="Jrs. Cap. Próprio",Tabela4[[#This Row],[Valor]]*85%,0))</f>
        <v>0.1208</v>
      </c>
    </row>
    <row r="2127" spans="1:7" x14ac:dyDescent="0.2">
      <c r="A2127" s="3" t="s">
        <v>250</v>
      </c>
      <c r="B2127" s="3" t="s">
        <v>15</v>
      </c>
      <c r="C2127" s="80">
        <v>35283</v>
      </c>
      <c r="D2127" s="10">
        <v>2.3400000000000001E-2</v>
      </c>
      <c r="E2127" s="67"/>
      <c r="F2127" s="81">
        <v>35283</v>
      </c>
      <c r="G2127" s="10">
        <f>IF(Tabela4[[#This Row],[Tipo]]="Dividendo",Tabela4[[#This Row],[Valor]],IF(Tabela4[[#This Row],[Tipo]]="Jrs. Cap. Próprio",Tabela4[[#This Row],[Valor]]*85%,0))</f>
        <v>2.3400000000000001E-2</v>
      </c>
    </row>
    <row r="2128" spans="1:7" x14ac:dyDescent="0.2">
      <c r="A2128" s="3" t="s">
        <v>250</v>
      </c>
      <c r="B2128" s="3" t="s">
        <v>15</v>
      </c>
      <c r="C2128" s="80">
        <v>35094</v>
      </c>
      <c r="D2128" s="10">
        <v>7.85E-2</v>
      </c>
      <c r="E2128" s="67"/>
      <c r="F2128" s="81">
        <v>35094</v>
      </c>
      <c r="G2128" s="10">
        <f>IF(Tabela4[[#This Row],[Tipo]]="Dividendo",Tabela4[[#This Row],[Valor]],IF(Tabela4[[#This Row],[Tipo]]="Jrs. Cap. Próprio",Tabela4[[#This Row],[Valor]]*85%,0))</f>
        <v>7.85E-2</v>
      </c>
    </row>
    <row r="2129" spans="1:7" x14ac:dyDescent="0.2">
      <c r="A2129" s="4" t="s">
        <v>38</v>
      </c>
      <c r="B2129" s="4" t="s">
        <v>15</v>
      </c>
      <c r="C2129" s="19">
        <v>41026</v>
      </c>
      <c r="D2129" s="55">
        <v>0.307</v>
      </c>
      <c r="E2129" s="68">
        <v>41089</v>
      </c>
      <c r="F2129" s="68">
        <v>41026</v>
      </c>
      <c r="G2129" s="14">
        <f>IF(Tabela4[[#This Row],[Tipo]]="Dividendo",Tabela4[[#This Row],[Valor]],IF(Tabela4[[#This Row],[Tipo]]="Jrs. Cap. Próprio",Tabela4[[#This Row],[Valor]]*85%,0))</f>
        <v>0.307</v>
      </c>
    </row>
    <row r="2130" spans="1:7" x14ac:dyDescent="0.2">
      <c r="A2130" s="4" t="s">
        <v>38</v>
      </c>
      <c r="B2130" s="3" t="s">
        <v>15</v>
      </c>
      <c r="C2130" s="80">
        <v>40662</v>
      </c>
      <c r="D2130" s="63">
        <v>0.31230000000000002</v>
      </c>
      <c r="E2130" s="67">
        <v>40722</v>
      </c>
      <c r="F2130" s="81">
        <v>40662</v>
      </c>
      <c r="G2130" s="10">
        <f>IF(Tabela4[[#This Row],[Tipo]]="Dividendo",Tabela4[[#This Row],[Valor]],IF(Tabela4[[#This Row],[Tipo]]="Jrs. Cap. Próprio",Tabela4[[#This Row],[Valor]]*85%,0))</f>
        <v>0.31230000000000002</v>
      </c>
    </row>
    <row r="2131" spans="1:7" x14ac:dyDescent="0.2">
      <c r="A2131" s="4" t="s">
        <v>38</v>
      </c>
      <c r="B2131" s="3" t="s">
        <v>15</v>
      </c>
      <c r="C2131" s="80">
        <v>40298</v>
      </c>
      <c r="D2131" s="63">
        <v>0.1956</v>
      </c>
      <c r="E2131" s="67">
        <v>40312</v>
      </c>
      <c r="F2131" s="81">
        <v>40298</v>
      </c>
      <c r="G2131" s="10">
        <f>IF(Tabela4[[#This Row],[Tipo]]="Dividendo",Tabela4[[#This Row],[Valor]],IF(Tabela4[[#This Row],[Tipo]]="Jrs. Cap. Próprio",Tabela4[[#This Row],[Valor]]*85%,0))</f>
        <v>0.1956</v>
      </c>
    </row>
    <row r="2132" spans="1:7" x14ac:dyDescent="0.2">
      <c r="A2132" s="4" t="s">
        <v>38</v>
      </c>
      <c r="B2132" s="3" t="s">
        <v>15</v>
      </c>
      <c r="C2132" s="80">
        <v>39933</v>
      </c>
      <c r="D2132" s="63">
        <v>0.14779999999999999</v>
      </c>
      <c r="E2132" s="67">
        <v>39948</v>
      </c>
      <c r="F2132" s="81">
        <v>39933</v>
      </c>
      <c r="G2132" s="10">
        <f>IF(Tabela4[[#This Row],[Tipo]]="Dividendo",Tabela4[[#This Row],[Valor]],IF(Tabela4[[#This Row],[Tipo]]="Jrs. Cap. Próprio",Tabela4[[#This Row],[Valor]]*85%,0))</f>
        <v>0.14779999999999999</v>
      </c>
    </row>
    <row r="2133" spans="1:7" x14ac:dyDescent="0.2">
      <c r="A2133" s="4" t="s">
        <v>38</v>
      </c>
      <c r="B2133" s="3" t="s">
        <v>15</v>
      </c>
      <c r="C2133" s="80">
        <v>39525</v>
      </c>
      <c r="D2133" s="63">
        <v>0.2</v>
      </c>
      <c r="E2133" s="67">
        <v>39534</v>
      </c>
      <c r="F2133" s="81">
        <v>39525</v>
      </c>
      <c r="G2133" s="10">
        <f>IF(Tabela4[[#This Row],[Tipo]]="Dividendo",Tabela4[[#This Row],[Valor]],IF(Tabela4[[#This Row],[Tipo]]="Jrs. Cap. Próprio",Tabela4[[#This Row],[Valor]]*85%,0))</f>
        <v>0.2</v>
      </c>
    </row>
    <row r="2134" spans="1:7" x14ac:dyDescent="0.2">
      <c r="A2134" s="4" t="s">
        <v>38</v>
      </c>
      <c r="B2134" s="3" t="s">
        <v>15</v>
      </c>
      <c r="C2134" s="80">
        <v>39199</v>
      </c>
      <c r="D2134" s="63">
        <v>0.13159999999999999</v>
      </c>
      <c r="E2134" s="67">
        <v>39217</v>
      </c>
      <c r="F2134" s="81">
        <v>39199</v>
      </c>
      <c r="G2134" s="10">
        <f>IF(Tabela4[[#This Row],[Tipo]]="Dividendo",Tabela4[[#This Row],[Valor]],IF(Tabela4[[#This Row],[Tipo]]="Jrs. Cap. Próprio",Tabela4[[#This Row],[Valor]]*85%,0))</f>
        <v>0.13159999999999999</v>
      </c>
    </row>
    <row r="2135" spans="1:7" x14ac:dyDescent="0.2">
      <c r="A2135" s="4" t="s">
        <v>38</v>
      </c>
      <c r="B2135" s="3" t="s">
        <v>15</v>
      </c>
      <c r="C2135" s="80">
        <v>38835</v>
      </c>
      <c r="D2135" s="63">
        <v>6.08E-2</v>
      </c>
      <c r="E2135" s="67">
        <v>38882</v>
      </c>
      <c r="F2135" s="81">
        <v>38835</v>
      </c>
      <c r="G2135" s="10">
        <f>IF(Tabela4[[#This Row],[Tipo]]="Dividendo",Tabela4[[#This Row],[Valor]],IF(Tabela4[[#This Row],[Tipo]]="Jrs. Cap. Próprio",Tabela4[[#This Row],[Valor]]*85%,0))</f>
        <v>6.08E-2</v>
      </c>
    </row>
    <row r="2136" spans="1:7" x14ac:dyDescent="0.2">
      <c r="A2136" s="4" t="s">
        <v>38</v>
      </c>
      <c r="B2136" s="3" t="s">
        <v>15</v>
      </c>
      <c r="C2136" s="80">
        <v>38471</v>
      </c>
      <c r="D2136" s="63">
        <v>1.9900000000000001E-2</v>
      </c>
      <c r="E2136" s="67">
        <v>38531</v>
      </c>
      <c r="F2136" s="81">
        <v>38471</v>
      </c>
      <c r="G2136" s="10">
        <f>IF(Tabela4[[#This Row],[Tipo]]="Dividendo",Tabela4[[#This Row],[Valor]],IF(Tabela4[[#This Row],[Tipo]]="Jrs. Cap. Próprio",Tabela4[[#This Row],[Valor]]*85%,0))</f>
        <v>1.9900000000000001E-2</v>
      </c>
    </row>
    <row r="2137" spans="1:7" x14ac:dyDescent="0.2">
      <c r="A2137" s="4" t="s">
        <v>38</v>
      </c>
      <c r="B2137" s="3" t="s">
        <v>15</v>
      </c>
      <c r="C2137" s="80">
        <v>37733</v>
      </c>
      <c r="D2137" s="63">
        <v>8.0999999999999996E-3</v>
      </c>
      <c r="E2137" s="67">
        <v>37782</v>
      </c>
      <c r="F2137" s="81">
        <v>37733</v>
      </c>
      <c r="G2137" s="10">
        <f>IF(Tabela4[[#This Row],[Tipo]]="Dividendo",Tabela4[[#This Row],[Valor]],IF(Tabela4[[#This Row],[Tipo]]="Jrs. Cap. Próprio",Tabela4[[#This Row],[Valor]]*85%,0))</f>
        <v>8.0999999999999996E-3</v>
      </c>
    </row>
    <row r="2138" spans="1:7" x14ac:dyDescent="0.2">
      <c r="A2138" s="4" t="s">
        <v>38</v>
      </c>
      <c r="B2138" s="3" t="s">
        <v>15</v>
      </c>
      <c r="C2138" s="80">
        <v>37005</v>
      </c>
      <c r="D2138" s="63">
        <v>2.5000000000000001E-2</v>
      </c>
      <c r="E2138" s="67">
        <v>37165</v>
      </c>
      <c r="F2138" s="81">
        <v>37005</v>
      </c>
      <c r="G2138" s="10">
        <f>IF(Tabela4[[#This Row],[Tipo]]="Dividendo",Tabela4[[#This Row],[Valor]],IF(Tabela4[[#This Row],[Tipo]]="Jrs. Cap. Próprio",Tabela4[[#This Row],[Valor]]*85%,0))</f>
        <v>2.5000000000000001E-2</v>
      </c>
    </row>
    <row r="2139" spans="1:7" x14ac:dyDescent="0.2">
      <c r="A2139" s="4" t="s">
        <v>38</v>
      </c>
      <c r="B2139" s="3" t="s">
        <v>15</v>
      </c>
      <c r="C2139" s="80">
        <v>36636</v>
      </c>
      <c r="D2139" s="63">
        <v>2.2499999999999999E-2</v>
      </c>
      <c r="E2139" s="67">
        <v>36651</v>
      </c>
      <c r="F2139" s="81">
        <v>36636</v>
      </c>
      <c r="G2139" s="10">
        <f>IF(Tabela4[[#This Row],[Tipo]]="Dividendo",Tabela4[[#This Row],[Valor]],IF(Tabela4[[#This Row],[Tipo]]="Jrs. Cap. Próprio",Tabela4[[#This Row],[Valor]]*85%,0))</f>
        <v>2.2499999999999999E-2</v>
      </c>
    </row>
    <row r="2140" spans="1:7" x14ac:dyDescent="0.2">
      <c r="A2140" s="4" t="s">
        <v>38</v>
      </c>
      <c r="B2140" s="3" t="s">
        <v>15</v>
      </c>
      <c r="C2140" s="80">
        <v>36264</v>
      </c>
      <c r="D2140" s="63">
        <v>3.09E-2</v>
      </c>
      <c r="E2140" s="67">
        <v>36278</v>
      </c>
      <c r="F2140" s="81">
        <v>36264</v>
      </c>
      <c r="G2140" s="10">
        <f>IF(Tabela4[[#This Row],[Tipo]]="Dividendo",Tabela4[[#This Row],[Valor]],IF(Tabela4[[#This Row],[Tipo]]="Jrs. Cap. Próprio",Tabela4[[#This Row],[Valor]]*85%,0))</f>
        <v>3.09E-2</v>
      </c>
    </row>
    <row r="2141" spans="1:7" x14ac:dyDescent="0.2">
      <c r="A2141" s="4" t="s">
        <v>38</v>
      </c>
      <c r="B2141" s="3" t="s">
        <v>15</v>
      </c>
      <c r="C2141" s="80">
        <v>35914</v>
      </c>
      <c r="D2141" s="63">
        <v>3.3300000000000003E-2</v>
      </c>
      <c r="E2141" s="67"/>
      <c r="F2141" s="81">
        <v>35914</v>
      </c>
      <c r="G2141" s="10">
        <f>IF(Tabela4[[#This Row],[Tipo]]="Dividendo",Tabela4[[#This Row],[Valor]],IF(Tabela4[[#This Row],[Tipo]]="Jrs. Cap. Próprio",Tabela4[[#This Row],[Valor]]*85%,0))</f>
        <v>3.3300000000000003E-2</v>
      </c>
    </row>
    <row r="2142" spans="1:7" x14ac:dyDescent="0.2">
      <c r="A2142" s="4" t="s">
        <v>217</v>
      </c>
      <c r="B2142" s="4" t="s">
        <v>14</v>
      </c>
      <c r="C2142" s="19">
        <v>41453</v>
      </c>
      <c r="D2142" s="3">
        <v>0.15079999999999999</v>
      </c>
      <c r="E2142" s="68"/>
      <c r="F2142" s="68">
        <v>41449</v>
      </c>
      <c r="G2142" s="14">
        <f>IF(Tabela4[[#This Row],[Tipo]]="Dividendo",Tabela4[[#This Row],[Valor]],IF(Tabela4[[#This Row],[Tipo]]="Jrs. Cap. Próprio",Tabela4[[#This Row],[Valor]]*85%,0))</f>
        <v>0.12817999999999999</v>
      </c>
    </row>
    <row r="2143" spans="1:7" x14ac:dyDescent="0.2">
      <c r="A2143" s="4" t="s">
        <v>217</v>
      </c>
      <c r="B2143" s="3" t="s">
        <v>15</v>
      </c>
      <c r="C2143" s="80">
        <v>41389</v>
      </c>
      <c r="D2143" s="3">
        <v>9.5899999999999999E-2</v>
      </c>
      <c r="E2143" s="67">
        <v>41449</v>
      </c>
      <c r="F2143" s="81">
        <v>41389</v>
      </c>
      <c r="G2143" s="10">
        <f>IF(Tabela4[[#This Row],[Tipo]]="Dividendo",Tabela4[[#This Row],[Valor]],IF(Tabela4[[#This Row],[Tipo]]="Jrs. Cap. Próprio",Tabela4[[#This Row],[Valor]]*85%,0))</f>
        <v>9.5899999999999999E-2</v>
      </c>
    </row>
    <row r="2144" spans="1:7" x14ac:dyDescent="0.2">
      <c r="A2144" s="4" t="s">
        <v>217</v>
      </c>
      <c r="B2144" s="3" t="s">
        <v>14</v>
      </c>
      <c r="C2144" s="80">
        <v>41271</v>
      </c>
      <c r="D2144" s="3">
        <v>0.15049999999999999</v>
      </c>
      <c r="E2144" s="67">
        <v>41449</v>
      </c>
      <c r="F2144" s="81">
        <v>41261</v>
      </c>
      <c r="G2144" s="10">
        <f>IF(Tabela4[[#This Row],[Tipo]]="Dividendo",Tabela4[[#This Row],[Valor]],IF(Tabela4[[#This Row],[Tipo]]="Jrs. Cap. Próprio",Tabela4[[#This Row],[Valor]]*85%,0))</f>
        <v>0.12792499999999998</v>
      </c>
    </row>
    <row r="2145" spans="1:7" x14ac:dyDescent="0.2">
      <c r="A2145" s="4" t="s">
        <v>217</v>
      </c>
      <c r="B2145" s="3" t="s">
        <v>14</v>
      </c>
      <c r="C2145" s="80">
        <v>41089</v>
      </c>
      <c r="D2145" s="3">
        <v>0.16350000000000001</v>
      </c>
      <c r="E2145" s="67">
        <v>41449</v>
      </c>
      <c r="F2145" s="81">
        <v>41079</v>
      </c>
      <c r="G2145" s="10">
        <f>IF(Tabela4[[#This Row],[Tipo]]="Dividendo",Tabela4[[#This Row],[Valor]],IF(Tabela4[[#This Row],[Tipo]]="Jrs. Cap. Próprio",Tabela4[[#This Row],[Valor]]*85%,0))</f>
        <v>0.13897500000000002</v>
      </c>
    </row>
    <row r="2146" spans="1:7" x14ac:dyDescent="0.2">
      <c r="A2146" s="4" t="s">
        <v>217</v>
      </c>
      <c r="B2146" s="3" t="s">
        <v>14</v>
      </c>
      <c r="C2146" s="80">
        <v>40906</v>
      </c>
      <c r="D2146" s="3">
        <v>0.1532</v>
      </c>
      <c r="E2146" s="67"/>
      <c r="F2146" s="81">
        <v>40891</v>
      </c>
      <c r="G2146" s="10">
        <f>IF(Tabela4[[#This Row],[Tipo]]="Dividendo",Tabela4[[#This Row],[Valor]],IF(Tabela4[[#This Row],[Tipo]]="Jrs. Cap. Próprio",Tabela4[[#This Row],[Valor]]*85%,0))</f>
        <v>0.13022</v>
      </c>
    </row>
    <row r="2147" spans="1:7" x14ac:dyDescent="0.2">
      <c r="A2147" s="4" t="s">
        <v>217</v>
      </c>
      <c r="B2147" s="3" t="s">
        <v>14</v>
      </c>
      <c r="C2147" s="80">
        <v>40724</v>
      </c>
      <c r="D2147" s="3">
        <v>0.15260000000000001</v>
      </c>
      <c r="E2147" s="67">
        <v>41082</v>
      </c>
      <c r="F2147" s="81">
        <v>40723</v>
      </c>
      <c r="G2147" s="10">
        <f>IF(Tabela4[[#This Row],[Tipo]]="Dividendo",Tabela4[[#This Row],[Valor]],IF(Tabela4[[#This Row],[Tipo]]="Jrs. Cap. Próprio",Tabela4[[#This Row],[Valor]]*85%,0))</f>
        <v>0.12971000000000002</v>
      </c>
    </row>
    <row r="2148" spans="1:7" x14ac:dyDescent="0.2">
      <c r="A2148" s="4" t="s">
        <v>217</v>
      </c>
      <c r="B2148" s="3" t="s">
        <v>14</v>
      </c>
      <c r="C2148" s="80">
        <v>40542</v>
      </c>
      <c r="D2148" s="3">
        <v>2.3800000000000002E-2</v>
      </c>
      <c r="E2148" s="67">
        <v>40718</v>
      </c>
      <c r="F2148" s="81">
        <v>40528</v>
      </c>
      <c r="G2148" s="10">
        <f>IF(Tabela4[[#This Row],[Tipo]]="Dividendo",Tabela4[[#This Row],[Valor]],IF(Tabela4[[#This Row],[Tipo]]="Jrs. Cap. Próprio",Tabela4[[#This Row],[Valor]]*85%,0))</f>
        <v>2.0230000000000001E-2</v>
      </c>
    </row>
    <row r="2149" spans="1:7" x14ac:dyDescent="0.2">
      <c r="A2149" s="4" t="s">
        <v>217</v>
      </c>
      <c r="B2149" s="3" t="s">
        <v>14</v>
      </c>
      <c r="C2149" s="80">
        <v>40359</v>
      </c>
      <c r="D2149" s="3">
        <v>7.22E-2</v>
      </c>
      <c r="E2149" s="67">
        <v>40718</v>
      </c>
      <c r="F2149" s="81">
        <v>40358</v>
      </c>
      <c r="G2149" s="10">
        <f>IF(Tabela4[[#This Row],[Tipo]]="Dividendo",Tabela4[[#This Row],[Valor]],IF(Tabela4[[#This Row],[Tipo]]="Jrs. Cap. Próprio",Tabela4[[#This Row],[Valor]]*85%,0))</f>
        <v>6.1370000000000001E-2</v>
      </c>
    </row>
    <row r="2150" spans="1:7" x14ac:dyDescent="0.2">
      <c r="A2150" s="4" t="s">
        <v>217</v>
      </c>
      <c r="B2150" s="3" t="s">
        <v>14</v>
      </c>
      <c r="C2150" s="80">
        <v>40177</v>
      </c>
      <c r="D2150" s="3">
        <v>3.09E-2</v>
      </c>
      <c r="E2150" s="67">
        <v>40354</v>
      </c>
      <c r="F2150" s="81">
        <v>40175</v>
      </c>
      <c r="G2150" s="10">
        <f>IF(Tabela4[[#This Row],[Tipo]]="Dividendo",Tabela4[[#This Row],[Valor]],IF(Tabela4[[#This Row],[Tipo]]="Jrs. Cap. Próprio",Tabela4[[#This Row],[Valor]]*85%,0))</f>
        <v>2.6265E-2</v>
      </c>
    </row>
    <row r="2151" spans="1:7" x14ac:dyDescent="0.2">
      <c r="A2151" s="4" t="s">
        <v>217</v>
      </c>
      <c r="B2151" s="3" t="s">
        <v>14</v>
      </c>
      <c r="C2151" s="80">
        <v>39994</v>
      </c>
      <c r="D2151" s="3">
        <v>6.9800000000000001E-2</v>
      </c>
      <c r="E2151" s="67">
        <v>40354</v>
      </c>
      <c r="F2151" s="81">
        <v>39993</v>
      </c>
      <c r="G2151" s="10">
        <f>IF(Tabela4[[#This Row],[Tipo]]="Dividendo",Tabela4[[#This Row],[Valor]],IF(Tabela4[[#This Row],[Tipo]]="Jrs. Cap. Próprio",Tabela4[[#This Row],[Valor]]*85%,0))</f>
        <v>5.9330000000000001E-2</v>
      </c>
    </row>
    <row r="2152" spans="1:7" x14ac:dyDescent="0.2">
      <c r="A2152" s="4" t="s">
        <v>217</v>
      </c>
      <c r="B2152" s="3" t="s">
        <v>14</v>
      </c>
      <c r="C2152" s="80">
        <v>39812</v>
      </c>
      <c r="D2152" s="3">
        <v>3.3700000000000001E-2</v>
      </c>
      <c r="E2152" s="67">
        <v>39983</v>
      </c>
      <c r="F2152" s="81">
        <v>39804</v>
      </c>
      <c r="G2152" s="10">
        <f>IF(Tabela4[[#This Row],[Tipo]]="Dividendo",Tabela4[[#This Row],[Valor]],IF(Tabela4[[#This Row],[Tipo]]="Jrs. Cap. Próprio",Tabela4[[#This Row],[Valor]]*85%,0))</f>
        <v>2.8645E-2</v>
      </c>
    </row>
    <row r="2153" spans="1:7" x14ac:dyDescent="0.2">
      <c r="A2153" s="4" t="s">
        <v>217</v>
      </c>
      <c r="B2153" s="3" t="s">
        <v>14</v>
      </c>
      <c r="C2153" s="80">
        <v>39629</v>
      </c>
      <c r="D2153" s="3">
        <v>6.9099999999999995E-2</v>
      </c>
      <c r="E2153" s="67">
        <v>39983</v>
      </c>
      <c r="F2153" s="81">
        <v>39622</v>
      </c>
      <c r="G2153" s="10">
        <f>IF(Tabela4[[#This Row],[Tipo]]="Dividendo",Tabela4[[#This Row],[Valor]],IF(Tabela4[[#This Row],[Tipo]]="Jrs. Cap. Próprio",Tabela4[[#This Row],[Valor]]*85%,0))</f>
        <v>5.8734999999999996E-2</v>
      </c>
    </row>
    <row r="2154" spans="1:7" x14ac:dyDescent="0.2">
      <c r="A2154" s="4" t="s">
        <v>217</v>
      </c>
      <c r="B2154" s="3" t="s">
        <v>14</v>
      </c>
      <c r="C2154" s="80">
        <v>39444</v>
      </c>
      <c r="D2154" s="3">
        <v>5.0099999999999999E-2</v>
      </c>
      <c r="E2154" s="67"/>
      <c r="F2154" s="81">
        <v>39433</v>
      </c>
      <c r="G2154" s="10">
        <f>IF(Tabela4[[#This Row],[Tipo]]="Dividendo",Tabela4[[#This Row],[Valor]],IF(Tabela4[[#This Row],[Tipo]]="Jrs. Cap. Próprio",Tabela4[[#This Row],[Valor]]*85%,0))</f>
        <v>4.2584999999999998E-2</v>
      </c>
    </row>
    <row r="2155" spans="1:7" x14ac:dyDescent="0.2">
      <c r="A2155" s="4" t="s">
        <v>217</v>
      </c>
      <c r="B2155" s="3" t="s">
        <v>14</v>
      </c>
      <c r="C2155" s="80">
        <v>39262</v>
      </c>
      <c r="D2155" s="3">
        <v>6.3299999999999995E-2</v>
      </c>
      <c r="E2155" s="67">
        <v>39626</v>
      </c>
      <c r="F2155" s="81">
        <v>39258</v>
      </c>
      <c r="G2155" s="10">
        <f>IF(Tabela4[[#This Row],[Tipo]]="Dividendo",Tabela4[[#This Row],[Valor]],IF(Tabela4[[#This Row],[Tipo]]="Jrs. Cap. Próprio",Tabela4[[#This Row],[Valor]]*85%,0))</f>
        <v>5.3804999999999992E-2</v>
      </c>
    </row>
    <row r="2156" spans="1:7" x14ac:dyDescent="0.2">
      <c r="A2156" s="4" t="s">
        <v>217</v>
      </c>
      <c r="B2156" s="3" t="s">
        <v>14</v>
      </c>
      <c r="C2156" s="80">
        <v>39079</v>
      </c>
      <c r="D2156" s="3">
        <v>5.7299999999999997E-2</v>
      </c>
      <c r="E2156" s="67">
        <v>39255</v>
      </c>
      <c r="F2156" s="81">
        <v>39071</v>
      </c>
      <c r="G2156" s="10">
        <f>IF(Tabela4[[#This Row],[Tipo]]="Dividendo",Tabela4[[#This Row],[Valor]],IF(Tabela4[[#This Row],[Tipo]]="Jrs. Cap. Próprio",Tabela4[[#This Row],[Valor]]*85%,0))</f>
        <v>4.8704999999999998E-2</v>
      </c>
    </row>
    <row r="2157" spans="1:7" x14ac:dyDescent="0.2">
      <c r="A2157" s="4" t="s">
        <v>217</v>
      </c>
      <c r="B2157" s="3" t="s">
        <v>14</v>
      </c>
      <c r="C2157" s="80">
        <v>38898</v>
      </c>
      <c r="D2157" s="3">
        <v>7.0800000000000002E-2</v>
      </c>
      <c r="E2157" s="67">
        <v>39255</v>
      </c>
      <c r="F2157" s="81">
        <v>38889</v>
      </c>
      <c r="G2157" s="10">
        <f>IF(Tabela4[[#This Row],[Tipo]]="Dividendo",Tabela4[[#This Row],[Valor]],IF(Tabela4[[#This Row],[Tipo]]="Jrs. Cap. Próprio",Tabela4[[#This Row],[Valor]]*85%,0))</f>
        <v>6.0179999999999997E-2</v>
      </c>
    </row>
    <row r="2158" spans="1:7" x14ac:dyDescent="0.2">
      <c r="A2158" s="4" t="s">
        <v>217</v>
      </c>
      <c r="B2158" s="3" t="s">
        <v>14</v>
      </c>
      <c r="C2158" s="80">
        <v>38715</v>
      </c>
      <c r="D2158" s="3">
        <v>6.93E-2</v>
      </c>
      <c r="E2158" s="67">
        <v>38891</v>
      </c>
      <c r="F2158" s="81">
        <v>38715</v>
      </c>
      <c r="G2158" s="10">
        <f>IF(Tabela4[[#This Row],[Tipo]]="Dividendo",Tabela4[[#This Row],[Valor]],IF(Tabela4[[#This Row],[Tipo]]="Jrs. Cap. Próprio",Tabela4[[#This Row],[Valor]]*85%,0))</f>
        <v>5.8904999999999999E-2</v>
      </c>
    </row>
    <row r="2159" spans="1:7" x14ac:dyDescent="0.2">
      <c r="A2159" s="4" t="s">
        <v>217</v>
      </c>
      <c r="B2159" s="3" t="s">
        <v>14</v>
      </c>
      <c r="C2159" s="80">
        <v>38533</v>
      </c>
      <c r="D2159" s="3">
        <v>7.0000000000000007E-2</v>
      </c>
      <c r="E2159" s="67">
        <v>38891</v>
      </c>
      <c r="F2159" s="81">
        <v>38524</v>
      </c>
      <c r="G2159" s="10">
        <f>IF(Tabela4[[#This Row],[Tipo]]="Dividendo",Tabela4[[#This Row],[Valor]],IF(Tabela4[[#This Row],[Tipo]]="Jrs. Cap. Próprio",Tabela4[[#This Row],[Valor]]*85%,0))</f>
        <v>5.9500000000000004E-2</v>
      </c>
    </row>
    <row r="2160" spans="1:7" x14ac:dyDescent="0.2">
      <c r="A2160" s="4" t="s">
        <v>217</v>
      </c>
      <c r="B2160" s="3" t="s">
        <v>14</v>
      </c>
      <c r="C2160" s="80">
        <v>38351</v>
      </c>
      <c r="D2160" s="3">
        <v>0.1535</v>
      </c>
      <c r="E2160" s="67">
        <v>38527</v>
      </c>
      <c r="F2160" s="81">
        <v>38342</v>
      </c>
      <c r="G2160" s="10">
        <f>IF(Tabela4[[#This Row],[Tipo]]="Dividendo",Tabela4[[#This Row],[Valor]],IF(Tabela4[[#This Row],[Tipo]]="Jrs. Cap. Próprio",Tabela4[[#This Row],[Valor]]*85%,0))</f>
        <v>0.13047500000000001</v>
      </c>
    </row>
    <row r="2161" spans="1:7" x14ac:dyDescent="0.2">
      <c r="A2161" s="4" t="s">
        <v>217</v>
      </c>
      <c r="B2161" s="3" t="s">
        <v>14</v>
      </c>
      <c r="C2161" s="80">
        <v>37985</v>
      </c>
      <c r="D2161" s="3">
        <v>0.26240000000000002</v>
      </c>
      <c r="E2161" s="67">
        <v>38163</v>
      </c>
      <c r="F2161" s="81">
        <v>37971</v>
      </c>
      <c r="G2161" s="10">
        <f>IF(Tabela4[[#This Row],[Tipo]]="Dividendo",Tabela4[[#This Row],[Valor]],IF(Tabela4[[#This Row],[Tipo]]="Jrs. Cap. Próprio",Tabela4[[#This Row],[Valor]]*85%,0))</f>
        <v>0.22304000000000002</v>
      </c>
    </row>
    <row r="2162" spans="1:7" x14ac:dyDescent="0.2">
      <c r="A2162" s="4" t="s">
        <v>217</v>
      </c>
      <c r="B2162" s="3" t="s">
        <v>14</v>
      </c>
      <c r="C2162" s="80">
        <v>37620</v>
      </c>
      <c r="D2162" s="3">
        <v>7.1199999999999999E-2</v>
      </c>
      <c r="E2162" s="67"/>
      <c r="F2162" s="81">
        <v>37608</v>
      </c>
      <c r="G2162" s="10">
        <f>IF(Tabela4[[#This Row],[Tipo]]="Dividendo",Tabela4[[#This Row],[Valor]],IF(Tabela4[[#This Row],[Tipo]]="Jrs. Cap. Próprio",Tabela4[[#This Row],[Valor]]*85%,0))</f>
        <v>6.0519999999999997E-2</v>
      </c>
    </row>
    <row r="2163" spans="1:7" x14ac:dyDescent="0.2">
      <c r="A2163" s="4" t="s">
        <v>217</v>
      </c>
      <c r="B2163" s="3" t="s">
        <v>14</v>
      </c>
      <c r="C2163" s="80">
        <v>37435</v>
      </c>
      <c r="D2163" s="3">
        <v>0.1011</v>
      </c>
      <c r="E2163" s="67">
        <v>37799</v>
      </c>
      <c r="F2163" s="81">
        <v>37431</v>
      </c>
      <c r="G2163" s="10">
        <f>IF(Tabela4[[#This Row],[Tipo]]="Dividendo",Tabela4[[#This Row],[Valor]],IF(Tabela4[[#This Row],[Tipo]]="Jrs. Cap. Próprio",Tabela4[[#This Row],[Valor]]*85%,0))</f>
        <v>8.5934999999999997E-2</v>
      </c>
    </row>
    <row r="2164" spans="1:7" x14ac:dyDescent="0.2">
      <c r="A2164" s="4" t="s">
        <v>217</v>
      </c>
      <c r="B2164" s="3" t="s">
        <v>14</v>
      </c>
      <c r="C2164" s="80">
        <v>37253</v>
      </c>
      <c r="D2164" s="3">
        <v>1.1879</v>
      </c>
      <c r="E2164" s="67"/>
      <c r="F2164" s="81">
        <v>37253</v>
      </c>
      <c r="G2164" s="10">
        <f>IF(Tabela4[[#This Row],[Tipo]]="Dividendo",Tabela4[[#This Row],[Valor]],IF(Tabela4[[#This Row],[Tipo]]="Jrs. Cap. Próprio",Tabela4[[#This Row],[Valor]]*85%,0))</f>
        <v>1.0097149999999999</v>
      </c>
    </row>
    <row r="2165" spans="1:7" x14ac:dyDescent="0.2">
      <c r="A2165" s="4" t="s">
        <v>217</v>
      </c>
      <c r="B2165" s="3" t="s">
        <v>14</v>
      </c>
      <c r="C2165" s="80">
        <v>37071</v>
      </c>
      <c r="D2165" s="3">
        <v>1.2184999999999999</v>
      </c>
      <c r="E2165" s="67"/>
      <c r="F2165" s="81">
        <v>37071</v>
      </c>
      <c r="G2165" s="10">
        <f>IF(Tabela4[[#This Row],[Tipo]]="Dividendo",Tabela4[[#This Row],[Valor]],IF(Tabela4[[#This Row],[Tipo]]="Jrs. Cap. Próprio",Tabela4[[#This Row],[Valor]]*85%,0))</f>
        <v>1.035725</v>
      </c>
    </row>
    <row r="2166" spans="1:7" x14ac:dyDescent="0.2">
      <c r="A2166" s="4" t="s">
        <v>217</v>
      </c>
      <c r="B2166" s="3" t="s">
        <v>14</v>
      </c>
      <c r="C2166" s="80">
        <v>36888</v>
      </c>
      <c r="D2166" s="3">
        <v>1.0468999999999999</v>
      </c>
      <c r="E2166" s="67"/>
      <c r="F2166" s="81">
        <v>36881</v>
      </c>
      <c r="G2166" s="10">
        <f>IF(Tabela4[[#This Row],[Tipo]]="Dividendo",Tabela4[[#This Row],[Valor]],IF(Tabela4[[#This Row],[Tipo]]="Jrs. Cap. Próprio",Tabela4[[#This Row],[Valor]]*85%,0))</f>
        <v>0.88986499999999991</v>
      </c>
    </row>
    <row r="2167" spans="1:7" x14ac:dyDescent="0.2">
      <c r="A2167" s="4" t="s">
        <v>217</v>
      </c>
      <c r="B2167" s="3" t="s">
        <v>14</v>
      </c>
      <c r="C2167" s="80">
        <v>36738</v>
      </c>
      <c r="D2167" s="3">
        <v>1.2357</v>
      </c>
      <c r="E2167" s="67"/>
      <c r="F2167" s="81">
        <v>36738</v>
      </c>
      <c r="G2167" s="10">
        <f>IF(Tabela4[[#This Row],[Tipo]]="Dividendo",Tabela4[[#This Row],[Valor]],IF(Tabela4[[#This Row],[Tipo]]="Jrs. Cap. Próprio",Tabela4[[#This Row],[Valor]]*85%,0))</f>
        <v>1.0503450000000001</v>
      </c>
    </row>
    <row r="2168" spans="1:7" x14ac:dyDescent="0.2">
      <c r="A2168" s="35" t="s">
        <v>98</v>
      </c>
      <c r="B2168" s="35" t="s">
        <v>14</v>
      </c>
      <c r="C2168" s="36">
        <v>41361</v>
      </c>
      <c r="D2168" s="38">
        <v>2.3450000000000002</v>
      </c>
      <c r="E2168" s="37">
        <v>41446</v>
      </c>
      <c r="F2168" s="37">
        <v>41354</v>
      </c>
      <c r="G2168" s="38">
        <f>IF(Tabela4[[#This Row],[Tipo]]="Dividendo",Tabela4[[#This Row],[Valor]],IF(Tabela4[[#This Row],[Tipo]]="Jrs. Cap. Próprio",Tabela4[[#This Row],[Valor]]*85%,0))</f>
        <v>1.9932500000000002</v>
      </c>
    </row>
    <row r="2169" spans="1:7" x14ac:dyDescent="0.2">
      <c r="A2169" s="35" t="s">
        <v>98</v>
      </c>
      <c r="B2169" s="31" t="s">
        <v>14</v>
      </c>
      <c r="C2169" s="32">
        <v>40955</v>
      </c>
      <c r="D2169" s="34">
        <v>2.54</v>
      </c>
      <c r="E2169" s="33">
        <v>41082</v>
      </c>
      <c r="F2169" s="33">
        <v>40948</v>
      </c>
      <c r="G2169" s="34">
        <f>IF(Tabela4[[#This Row],[Tipo]]="Dividendo",Tabela4[[#This Row],[Valor]],IF(Tabela4[[#This Row],[Tipo]]="Jrs. Cap. Próprio",Tabela4[[#This Row],[Valor]]*85%,0))</f>
        <v>2.1589999999999998</v>
      </c>
    </row>
    <row r="2170" spans="1:7" x14ac:dyDescent="0.2">
      <c r="A2170" s="35" t="s">
        <v>98</v>
      </c>
      <c r="B2170" s="31" t="s">
        <v>14</v>
      </c>
      <c r="C2170" s="32">
        <v>40539</v>
      </c>
      <c r="D2170" s="34">
        <v>2.0013999999999998</v>
      </c>
      <c r="E2170" s="33">
        <v>40721</v>
      </c>
      <c r="F2170" s="33">
        <v>40526</v>
      </c>
      <c r="G2170" s="34">
        <f>IF(Tabela4[[#This Row],[Tipo]]="Dividendo",Tabela4[[#This Row],[Valor]],IF(Tabela4[[#This Row],[Tipo]]="Jrs. Cap. Próprio",Tabela4[[#This Row],[Valor]]*85%,0))</f>
        <v>1.7011899999999998</v>
      </c>
    </row>
    <row r="2171" spans="1:7" x14ac:dyDescent="0.2">
      <c r="A2171" s="35" t="s">
        <v>98</v>
      </c>
      <c r="B2171" s="31" t="s">
        <v>14</v>
      </c>
      <c r="C2171" s="32">
        <v>40235</v>
      </c>
      <c r="D2171" s="34">
        <v>0.15</v>
      </c>
      <c r="E2171" s="33">
        <v>40357</v>
      </c>
      <c r="F2171" s="33">
        <v>40220</v>
      </c>
      <c r="G2171" s="34">
        <f>IF(Tabela4[[#This Row],[Tipo]]="Dividendo",Tabela4[[#This Row],[Valor]],IF(Tabela4[[#This Row],[Tipo]]="Jrs. Cap. Próprio",Tabela4[[#This Row],[Valor]]*85%,0))</f>
        <v>0.1275</v>
      </c>
    </row>
    <row r="2172" spans="1:7" x14ac:dyDescent="0.2">
      <c r="A2172" s="35" t="s">
        <v>98</v>
      </c>
      <c r="B2172" s="31" t="s">
        <v>14</v>
      </c>
      <c r="C2172" s="32">
        <v>40136</v>
      </c>
      <c r="D2172" s="34">
        <v>0.97</v>
      </c>
      <c r="E2172" s="33">
        <v>40357</v>
      </c>
      <c r="F2172" s="33">
        <v>40129</v>
      </c>
      <c r="G2172" s="34">
        <f>IF(Tabela4[[#This Row],[Tipo]]="Dividendo",Tabela4[[#This Row],[Valor]],IF(Tabela4[[#This Row],[Tipo]]="Jrs. Cap. Próprio",Tabela4[[#This Row],[Valor]]*85%,0))</f>
        <v>0.82450000000000001</v>
      </c>
    </row>
    <row r="2173" spans="1:7" x14ac:dyDescent="0.2">
      <c r="A2173" s="35" t="s">
        <v>98</v>
      </c>
      <c r="B2173" s="31" t="s">
        <v>14</v>
      </c>
      <c r="C2173" s="32">
        <v>39961</v>
      </c>
      <c r="D2173" s="34">
        <v>0.61</v>
      </c>
      <c r="E2173" s="33">
        <v>40326</v>
      </c>
      <c r="F2173" s="33">
        <v>39947</v>
      </c>
      <c r="G2173" s="34">
        <f>IF(Tabela4[[#This Row],[Tipo]]="Dividendo",Tabela4[[#This Row],[Valor]],IF(Tabela4[[#This Row],[Tipo]]="Jrs. Cap. Próprio",Tabela4[[#This Row],[Valor]]*85%,0))</f>
        <v>0.51849999999999996</v>
      </c>
    </row>
    <row r="2174" spans="1:7" x14ac:dyDescent="0.2">
      <c r="A2174" s="35" t="s">
        <v>98</v>
      </c>
      <c r="B2174" s="31" t="s">
        <v>14</v>
      </c>
      <c r="C2174" s="32">
        <v>39839</v>
      </c>
      <c r="D2174" s="34">
        <v>0.42</v>
      </c>
      <c r="E2174" s="33">
        <v>39990</v>
      </c>
      <c r="F2174" s="33">
        <v>39828</v>
      </c>
      <c r="G2174" s="34">
        <f>IF(Tabela4[[#This Row],[Tipo]]="Dividendo",Tabela4[[#This Row],[Valor]],IF(Tabela4[[#This Row],[Tipo]]="Jrs. Cap. Próprio",Tabela4[[#This Row],[Valor]]*85%,0))</f>
        <v>0.35699999999999998</v>
      </c>
    </row>
    <row r="2175" spans="1:7" x14ac:dyDescent="0.2">
      <c r="A2175" s="35" t="s">
        <v>98</v>
      </c>
      <c r="B2175" s="31" t="s">
        <v>14</v>
      </c>
      <c r="C2175" s="32">
        <v>39672</v>
      </c>
      <c r="D2175" s="34">
        <v>0.88</v>
      </c>
      <c r="E2175" s="33">
        <v>39990</v>
      </c>
      <c r="F2175" s="33">
        <v>39660</v>
      </c>
      <c r="G2175" s="34">
        <f>IF(Tabela4[[#This Row],[Tipo]]="Dividendo",Tabela4[[#This Row],[Valor]],IF(Tabela4[[#This Row],[Tipo]]="Jrs. Cap. Próprio",Tabela4[[#This Row],[Valor]]*85%,0))</f>
        <v>0.748</v>
      </c>
    </row>
    <row r="2176" spans="1:7" x14ac:dyDescent="0.2">
      <c r="A2176" s="35" t="s">
        <v>98</v>
      </c>
      <c r="B2176" s="31" t="s">
        <v>14</v>
      </c>
      <c r="C2176" s="32">
        <v>39505</v>
      </c>
      <c r="D2176" s="34">
        <v>0.14000000000000001</v>
      </c>
      <c r="E2176" s="33">
        <v>39626</v>
      </c>
      <c r="F2176" s="33">
        <v>39499</v>
      </c>
      <c r="G2176" s="34">
        <f>IF(Tabela4[[#This Row],[Tipo]]="Dividendo",Tabela4[[#This Row],[Valor]],IF(Tabela4[[#This Row],[Tipo]]="Jrs. Cap. Próprio",Tabela4[[#This Row],[Valor]]*85%,0))</f>
        <v>0.11900000000000001</v>
      </c>
    </row>
    <row r="2177" spans="1:7" x14ac:dyDescent="0.2">
      <c r="A2177" s="35" t="s">
        <v>98</v>
      </c>
      <c r="B2177" s="31" t="s">
        <v>14</v>
      </c>
      <c r="C2177" s="32">
        <v>39384</v>
      </c>
      <c r="D2177" s="34">
        <v>1.18</v>
      </c>
      <c r="E2177" s="33">
        <v>39626</v>
      </c>
      <c r="F2177" s="33">
        <v>39373</v>
      </c>
      <c r="G2177" s="34">
        <f>IF(Tabela4[[#This Row],[Tipo]]="Dividendo",Tabela4[[#This Row],[Valor]],IF(Tabela4[[#This Row],[Tipo]]="Jrs. Cap. Próprio",Tabela4[[#This Row],[Valor]]*85%,0))</f>
        <v>1.0029999999999999</v>
      </c>
    </row>
    <row r="2178" spans="1:7" x14ac:dyDescent="0.2">
      <c r="A2178" s="35" t="s">
        <v>98</v>
      </c>
      <c r="B2178" s="31" t="s">
        <v>14</v>
      </c>
      <c r="C2178" s="32">
        <v>39078</v>
      </c>
      <c r="D2178" s="34">
        <v>4.96</v>
      </c>
      <c r="E2178" s="33">
        <v>39262</v>
      </c>
      <c r="F2178" s="33">
        <v>39065</v>
      </c>
      <c r="G2178" s="34">
        <f>IF(Tabela4[[#This Row],[Tipo]]="Dividendo",Tabela4[[#This Row],[Valor]],IF(Tabela4[[#This Row],[Tipo]]="Jrs. Cap. Próprio",Tabela4[[#This Row],[Valor]]*85%,0))</f>
        <v>4.2160000000000002</v>
      </c>
    </row>
    <row r="2179" spans="1:7" x14ac:dyDescent="0.2">
      <c r="A2179" s="35" t="s">
        <v>98</v>
      </c>
      <c r="B2179" s="31" t="s">
        <v>14</v>
      </c>
      <c r="C2179" s="32">
        <v>38840</v>
      </c>
      <c r="D2179" s="34">
        <v>4.55</v>
      </c>
      <c r="E2179" s="33">
        <v>39262</v>
      </c>
      <c r="F2179" s="33">
        <v>38840</v>
      </c>
      <c r="G2179" s="34">
        <f>IF(Tabela4[[#This Row],[Tipo]]="Dividendo",Tabela4[[#This Row],[Valor]],IF(Tabela4[[#This Row],[Tipo]]="Jrs. Cap. Próprio",Tabela4[[#This Row],[Valor]]*85%,0))</f>
        <v>3.8674999999999997</v>
      </c>
    </row>
    <row r="2180" spans="1:7" x14ac:dyDescent="0.2">
      <c r="A2180" s="35" t="s">
        <v>98</v>
      </c>
      <c r="B2180" s="31" t="s">
        <v>14</v>
      </c>
      <c r="C2180" s="32">
        <v>38714</v>
      </c>
      <c r="D2180" s="34">
        <v>5.55</v>
      </c>
      <c r="E2180" s="33">
        <v>38894</v>
      </c>
      <c r="F2180" s="33">
        <v>38701</v>
      </c>
      <c r="G2180" s="34">
        <f>IF(Tabela4[[#This Row],[Tipo]]="Dividendo",Tabela4[[#This Row],[Valor]],IF(Tabela4[[#This Row],[Tipo]]="Jrs. Cap. Próprio",Tabela4[[#This Row],[Valor]]*85%,0))</f>
        <v>4.7174999999999994</v>
      </c>
    </row>
    <row r="2181" spans="1:7" x14ac:dyDescent="0.2">
      <c r="A2181" s="35" t="s">
        <v>98</v>
      </c>
      <c r="B2181" s="31" t="s">
        <v>14</v>
      </c>
      <c r="C2181" s="32">
        <v>38659</v>
      </c>
      <c r="D2181" s="34">
        <v>2.99</v>
      </c>
      <c r="E2181" s="33">
        <v>38894</v>
      </c>
      <c r="F2181" s="33">
        <v>38645</v>
      </c>
      <c r="G2181" s="34">
        <f>IF(Tabela4[[#This Row],[Tipo]]="Dividendo",Tabela4[[#This Row],[Valor]],IF(Tabela4[[#This Row],[Tipo]]="Jrs. Cap. Próprio",Tabela4[[#This Row],[Valor]]*85%,0))</f>
        <v>2.5415000000000001</v>
      </c>
    </row>
    <row r="2182" spans="1:7" x14ac:dyDescent="0.2">
      <c r="A2182" s="35" t="s">
        <v>98</v>
      </c>
      <c r="B2182" s="31" t="s">
        <v>14</v>
      </c>
      <c r="C2182" s="32">
        <v>38539</v>
      </c>
      <c r="D2182" s="34">
        <v>2.3454999999999999</v>
      </c>
      <c r="E2182" s="33">
        <v>38894</v>
      </c>
      <c r="F2182" s="33">
        <v>38526</v>
      </c>
      <c r="G2182" s="34">
        <f>IF(Tabela4[[#This Row],[Tipo]]="Dividendo",Tabela4[[#This Row],[Valor]],IF(Tabela4[[#This Row],[Tipo]]="Jrs. Cap. Próprio",Tabela4[[#This Row],[Valor]]*85%,0))</f>
        <v>1.9936749999999999</v>
      </c>
    </row>
    <row r="2183" spans="1:7" x14ac:dyDescent="0.2">
      <c r="A2183" s="35" t="s">
        <v>98</v>
      </c>
      <c r="B2183" s="31" t="s">
        <v>14</v>
      </c>
      <c r="C2183" s="32">
        <v>38481</v>
      </c>
      <c r="D2183" s="34">
        <v>1.3412999999999999</v>
      </c>
      <c r="E2183" s="33">
        <v>38894</v>
      </c>
      <c r="F2183" s="33">
        <v>38470</v>
      </c>
      <c r="G2183" s="34">
        <f>IF(Tabela4[[#This Row],[Tipo]]="Dividendo",Tabela4[[#This Row],[Valor]],IF(Tabela4[[#This Row],[Tipo]]="Jrs. Cap. Próprio",Tabela4[[#This Row],[Valor]]*85%,0))</f>
        <v>1.1401049999999999</v>
      </c>
    </row>
    <row r="2184" spans="1:7" x14ac:dyDescent="0.2">
      <c r="A2184" s="35" t="s">
        <v>98</v>
      </c>
      <c r="B2184" s="31" t="s">
        <v>14</v>
      </c>
      <c r="C2184" s="32">
        <v>38393</v>
      </c>
      <c r="D2184" s="34">
        <v>0.99</v>
      </c>
      <c r="E2184" s="33">
        <v>38531</v>
      </c>
      <c r="F2184" s="33">
        <v>38365</v>
      </c>
      <c r="G2184" s="34">
        <f>IF(Tabela4[[#This Row],[Tipo]]="Dividendo",Tabela4[[#This Row],[Valor]],IF(Tabela4[[#This Row],[Tipo]]="Jrs. Cap. Próprio",Tabela4[[#This Row],[Valor]]*85%,0))</f>
        <v>0.84150000000000003</v>
      </c>
    </row>
    <row r="2185" spans="1:7" x14ac:dyDescent="0.2">
      <c r="A2185" s="35" t="s">
        <v>98</v>
      </c>
      <c r="B2185" s="31" t="s">
        <v>14</v>
      </c>
      <c r="C2185" s="32">
        <v>38350</v>
      </c>
      <c r="D2185" s="34">
        <v>3</v>
      </c>
      <c r="E2185" s="33">
        <v>38531</v>
      </c>
      <c r="F2185" s="33">
        <v>38337</v>
      </c>
      <c r="G2185" s="34">
        <f>IF(Tabela4[[#This Row],[Tipo]]="Dividendo",Tabela4[[#This Row],[Valor]],IF(Tabela4[[#This Row],[Tipo]]="Jrs. Cap. Próprio",Tabela4[[#This Row],[Valor]]*85%,0))</f>
        <v>2.5499999999999998</v>
      </c>
    </row>
    <row r="2186" spans="1:7" x14ac:dyDescent="0.2">
      <c r="A2186" s="35" t="s">
        <v>98</v>
      </c>
      <c r="B2186" s="31" t="s">
        <v>14</v>
      </c>
      <c r="C2186" s="32">
        <v>38061</v>
      </c>
      <c r="D2186" s="34">
        <v>1.38</v>
      </c>
      <c r="E2186" s="33">
        <v>38531</v>
      </c>
      <c r="F2186" s="33">
        <v>38043</v>
      </c>
      <c r="G2186" s="34">
        <f>IF(Tabela4[[#This Row],[Tipo]]="Dividendo",Tabela4[[#This Row],[Valor]],IF(Tabela4[[#This Row],[Tipo]]="Jrs. Cap. Próprio",Tabela4[[#This Row],[Valor]]*85%,0))</f>
        <v>1.1729999999999998</v>
      </c>
    </row>
    <row r="2187" spans="1:7" x14ac:dyDescent="0.2">
      <c r="A2187" s="35" t="s">
        <v>98</v>
      </c>
      <c r="B2187" s="31" t="s">
        <v>14</v>
      </c>
      <c r="C2187" s="32">
        <v>38005</v>
      </c>
      <c r="D2187" s="34">
        <v>6.7</v>
      </c>
      <c r="E2187" s="33">
        <v>38167</v>
      </c>
      <c r="F2187" s="33">
        <v>37994</v>
      </c>
      <c r="G2187" s="34">
        <f>IF(Tabela4[[#This Row],[Tipo]]="Dividendo",Tabela4[[#This Row],[Valor]],IF(Tabela4[[#This Row],[Tipo]]="Jrs. Cap. Próprio",Tabela4[[#This Row],[Valor]]*85%,0))</f>
        <v>5.6950000000000003</v>
      </c>
    </row>
    <row r="2188" spans="1:7" x14ac:dyDescent="0.2">
      <c r="A2188" s="35" t="s">
        <v>98</v>
      </c>
      <c r="B2188" s="31" t="s">
        <v>14</v>
      </c>
      <c r="C2188" s="32">
        <v>37970</v>
      </c>
      <c r="D2188" s="34">
        <v>5.44</v>
      </c>
      <c r="E2188" s="33">
        <v>38167</v>
      </c>
      <c r="F2188" s="33">
        <v>37945</v>
      </c>
      <c r="G2188" s="34">
        <f>IF(Tabela4[[#This Row],[Tipo]]="Dividendo",Tabela4[[#This Row],[Valor]],IF(Tabela4[[#This Row],[Tipo]]="Jrs. Cap. Próprio",Tabela4[[#This Row],[Valor]]*85%,0))</f>
        <v>4.6240000000000006</v>
      </c>
    </row>
    <row r="2189" spans="1:7" x14ac:dyDescent="0.2">
      <c r="A2189" s="35" t="s">
        <v>98</v>
      </c>
      <c r="B2189" s="31" t="s">
        <v>14</v>
      </c>
      <c r="C2189" s="32">
        <v>37788</v>
      </c>
      <c r="D2189" s="34">
        <v>4.1500000000000004</v>
      </c>
      <c r="E2189" s="33">
        <v>38164</v>
      </c>
      <c r="F2189" s="33">
        <v>37770</v>
      </c>
      <c r="G2189" s="34">
        <f>IF(Tabela4[[#This Row],[Tipo]]="Dividendo",Tabela4[[#This Row],[Valor]],IF(Tabela4[[#This Row],[Tipo]]="Jrs. Cap. Próprio",Tabela4[[#This Row],[Valor]]*85%,0))</f>
        <v>3.5275000000000003</v>
      </c>
    </row>
    <row r="2190" spans="1:7" x14ac:dyDescent="0.2">
      <c r="A2190" s="35" t="s">
        <v>98</v>
      </c>
      <c r="B2190" s="31" t="s">
        <v>14</v>
      </c>
      <c r="C2190" s="32">
        <v>37749</v>
      </c>
      <c r="D2190" s="34">
        <v>1.41</v>
      </c>
      <c r="E2190" s="33">
        <v>38167</v>
      </c>
      <c r="F2190" s="33">
        <v>37735</v>
      </c>
      <c r="G2190" s="34">
        <f>IF(Tabela4[[#This Row],[Tipo]]="Dividendo",Tabela4[[#This Row],[Valor]],IF(Tabela4[[#This Row],[Tipo]]="Jrs. Cap. Próprio",Tabela4[[#This Row],[Valor]]*85%,0))</f>
        <v>1.1984999999999999</v>
      </c>
    </row>
    <row r="2191" spans="1:7" x14ac:dyDescent="0.2">
      <c r="A2191" s="35" t="s">
        <v>98</v>
      </c>
      <c r="B2191" s="31" t="s">
        <v>14</v>
      </c>
      <c r="C2191" s="32">
        <v>37434</v>
      </c>
      <c r="D2191" s="34">
        <v>3.8</v>
      </c>
      <c r="E2191" s="33">
        <v>37796</v>
      </c>
      <c r="F2191" s="33">
        <v>37375</v>
      </c>
      <c r="G2191" s="34">
        <f>IF(Tabela4[[#This Row],[Tipo]]="Dividendo",Tabela4[[#This Row],[Valor]],IF(Tabela4[[#This Row],[Tipo]]="Jrs. Cap. Próprio",Tabela4[[#This Row],[Valor]]*85%,0))</f>
        <v>3.23</v>
      </c>
    </row>
    <row r="2192" spans="1:7" x14ac:dyDescent="0.2">
      <c r="A2192" s="35" t="s">
        <v>98</v>
      </c>
      <c r="B2192" s="31" t="s">
        <v>14</v>
      </c>
      <c r="C2192" s="32">
        <v>37294</v>
      </c>
      <c r="D2192" s="34">
        <v>17.2</v>
      </c>
      <c r="E2192" s="33">
        <v>37432</v>
      </c>
      <c r="F2192" s="33">
        <v>37286</v>
      </c>
      <c r="G2192" s="34">
        <f>IF(Tabela4[[#This Row],[Tipo]]="Dividendo",Tabela4[[#This Row],[Valor]],IF(Tabela4[[#This Row],[Tipo]]="Jrs. Cap. Próprio",Tabela4[[#This Row],[Valor]]*85%,0))</f>
        <v>14.62</v>
      </c>
    </row>
    <row r="2193" spans="1:7" x14ac:dyDescent="0.2">
      <c r="A2193" s="35" t="s">
        <v>98</v>
      </c>
      <c r="B2193" s="31" t="s">
        <v>14</v>
      </c>
      <c r="C2193" s="32">
        <v>36874</v>
      </c>
      <c r="D2193" s="34">
        <v>4.5</v>
      </c>
      <c r="E2193" s="33">
        <v>36886</v>
      </c>
      <c r="F2193" s="33">
        <v>36874</v>
      </c>
      <c r="G2193" s="34">
        <f>IF(Tabela4[[#This Row],[Tipo]]="Dividendo",Tabela4[[#This Row],[Valor]],IF(Tabela4[[#This Row],[Tipo]]="Jrs. Cap. Próprio",Tabela4[[#This Row],[Valor]]*85%,0))</f>
        <v>3.8249999999999997</v>
      </c>
    </row>
    <row r="2194" spans="1:7" x14ac:dyDescent="0.2">
      <c r="A2194" s="35" t="s">
        <v>98</v>
      </c>
      <c r="B2194" s="31" t="s">
        <v>14</v>
      </c>
      <c r="C2194" s="32">
        <v>36790</v>
      </c>
      <c r="D2194" s="34">
        <v>4.7649999999999997</v>
      </c>
      <c r="E2194" s="33">
        <v>36886</v>
      </c>
      <c r="F2194" s="33">
        <v>36790</v>
      </c>
      <c r="G2194" s="34">
        <f>IF(Tabela4[[#This Row],[Tipo]]="Dividendo",Tabela4[[#This Row],[Valor]],IF(Tabela4[[#This Row],[Tipo]]="Jrs. Cap. Próprio",Tabela4[[#This Row],[Valor]]*85%,0))</f>
        <v>4.0502499999999992</v>
      </c>
    </row>
    <row r="2195" spans="1:7" x14ac:dyDescent="0.2">
      <c r="A2195" s="35" t="s">
        <v>98</v>
      </c>
      <c r="B2195" s="31" t="s">
        <v>14</v>
      </c>
      <c r="C2195" s="32">
        <v>36706</v>
      </c>
      <c r="D2195" s="34">
        <v>9.6999999999999993</v>
      </c>
      <c r="E2195" s="33"/>
      <c r="F2195" s="33">
        <v>36706</v>
      </c>
      <c r="G2195" s="34">
        <f>IF(Tabela4[[#This Row],[Tipo]]="Dividendo",Tabela4[[#This Row],[Valor]],IF(Tabela4[[#This Row],[Tipo]]="Jrs. Cap. Próprio",Tabela4[[#This Row],[Valor]]*85%,0))</f>
        <v>8.2449999999999992</v>
      </c>
    </row>
    <row r="2196" spans="1:7" x14ac:dyDescent="0.2">
      <c r="A2196" s="35" t="s">
        <v>98</v>
      </c>
      <c r="B2196" s="31" t="s">
        <v>14</v>
      </c>
      <c r="C2196" s="32">
        <v>36188</v>
      </c>
      <c r="D2196" s="34">
        <v>4.72</v>
      </c>
      <c r="E2196" s="33">
        <v>36340</v>
      </c>
      <c r="F2196" s="33">
        <v>36188</v>
      </c>
      <c r="G2196" s="34">
        <f>IF(Tabela4[[#This Row],[Tipo]]="Dividendo",Tabela4[[#This Row],[Valor]],IF(Tabela4[[#This Row],[Tipo]]="Jrs. Cap. Próprio",Tabela4[[#This Row],[Valor]]*85%,0))</f>
        <v>4.0119999999999996</v>
      </c>
    </row>
    <row r="2197" spans="1:7" x14ac:dyDescent="0.2">
      <c r="A2197" s="35" t="s">
        <v>98</v>
      </c>
      <c r="B2197" s="31" t="s">
        <v>14</v>
      </c>
      <c r="C2197" s="32">
        <v>36075</v>
      </c>
      <c r="D2197" s="34">
        <v>4.5999999999999996</v>
      </c>
      <c r="E2197" s="33"/>
      <c r="F2197" s="33">
        <v>36075</v>
      </c>
      <c r="G2197" s="34">
        <f>IF(Tabela4[[#This Row],[Tipo]]="Dividendo",Tabela4[[#This Row],[Valor]],IF(Tabela4[[#This Row],[Tipo]]="Jrs. Cap. Próprio",Tabela4[[#This Row],[Valor]]*85%,0))</f>
        <v>3.9099999999999997</v>
      </c>
    </row>
    <row r="2198" spans="1:7" x14ac:dyDescent="0.2">
      <c r="A2198" s="35" t="s">
        <v>98</v>
      </c>
      <c r="B2198" s="31" t="s">
        <v>14</v>
      </c>
      <c r="C2198" s="32">
        <v>36017</v>
      </c>
      <c r="D2198" s="34">
        <v>4.7651000000000003</v>
      </c>
      <c r="E2198" s="33"/>
      <c r="F2198" s="33">
        <v>36011</v>
      </c>
      <c r="G2198" s="34">
        <f>IF(Tabela4[[#This Row],[Tipo]]="Dividendo",Tabela4[[#This Row],[Valor]],IF(Tabela4[[#This Row],[Tipo]]="Jrs. Cap. Próprio",Tabela4[[#This Row],[Valor]]*85%,0))</f>
        <v>4.0503350000000005</v>
      </c>
    </row>
    <row r="2199" spans="1:7" x14ac:dyDescent="0.2">
      <c r="A2199" s="35" t="s">
        <v>98</v>
      </c>
      <c r="B2199" s="31" t="s">
        <v>14</v>
      </c>
      <c r="C2199" s="32">
        <v>35922</v>
      </c>
      <c r="D2199" s="34">
        <v>4.3437000000000001</v>
      </c>
      <c r="E2199" s="33"/>
      <c r="F2199" s="33">
        <v>35922</v>
      </c>
      <c r="G2199" s="34">
        <f>IF(Tabela4[[#This Row],[Tipo]]="Dividendo",Tabela4[[#This Row],[Valor]],IF(Tabela4[[#This Row],[Tipo]]="Jrs. Cap. Próprio",Tabela4[[#This Row],[Valor]]*85%,0))</f>
        <v>3.692145</v>
      </c>
    </row>
    <row r="2200" spans="1:7" x14ac:dyDescent="0.2">
      <c r="A2200" s="35" t="s">
        <v>98</v>
      </c>
      <c r="B2200" s="31" t="s">
        <v>14</v>
      </c>
      <c r="C2200" s="32">
        <v>35787</v>
      </c>
      <c r="D2200" s="34">
        <v>3.8563000000000001</v>
      </c>
      <c r="E2200" s="33"/>
      <c r="F2200" s="33">
        <v>35787</v>
      </c>
      <c r="G2200" s="34">
        <f>IF(Tabela4[[#This Row],[Tipo]]="Dividendo",Tabela4[[#This Row],[Valor]],IF(Tabela4[[#This Row],[Tipo]]="Jrs. Cap. Próprio",Tabela4[[#This Row],[Valor]]*85%,0))</f>
        <v>3.2778550000000002</v>
      </c>
    </row>
    <row r="2201" spans="1:7" x14ac:dyDescent="0.2">
      <c r="A2201" s="3" t="s">
        <v>248</v>
      </c>
      <c r="B2201" s="3" t="s">
        <v>15</v>
      </c>
      <c r="C2201" s="80">
        <v>41361</v>
      </c>
      <c r="D2201" s="10">
        <v>0.505</v>
      </c>
      <c r="E2201" s="67">
        <v>41422</v>
      </c>
      <c r="F2201" s="81">
        <v>41361</v>
      </c>
      <c r="G2201" s="10">
        <f>IF(Tabela4[[#This Row],[Tipo]]="Dividendo",Tabela4[[#This Row],[Valor]],IF(Tabela4[[#This Row],[Tipo]]="Jrs. Cap. Próprio",Tabela4[[#This Row],[Valor]]*85%,0))</f>
        <v>0.505</v>
      </c>
    </row>
    <row r="2202" spans="1:7" x14ac:dyDescent="0.2">
      <c r="A2202" s="3" t="s">
        <v>248</v>
      </c>
      <c r="B2202" s="3" t="s">
        <v>14</v>
      </c>
      <c r="C2202" s="80">
        <v>41100</v>
      </c>
      <c r="D2202" s="10">
        <v>8.7099999999999997E-2</v>
      </c>
      <c r="E2202" s="67">
        <v>41117</v>
      </c>
      <c r="F2202" s="81">
        <v>41100</v>
      </c>
      <c r="G2202" s="10">
        <f>IF(Tabela4[[#This Row],[Tipo]]="Dividendo",Tabela4[[#This Row],[Valor]],IF(Tabela4[[#This Row],[Tipo]]="Jrs. Cap. Próprio",Tabela4[[#This Row],[Valor]]*85%,0))</f>
        <v>7.403499999999999E-2</v>
      </c>
    </row>
    <row r="2203" spans="1:7" x14ac:dyDescent="0.2">
      <c r="A2203" s="3" t="s">
        <v>248</v>
      </c>
      <c r="B2203" s="3" t="s">
        <v>14</v>
      </c>
      <c r="C2203" s="80">
        <v>40924</v>
      </c>
      <c r="D2203" s="10">
        <v>5.8099999999999999E-2</v>
      </c>
      <c r="E2203" s="67">
        <v>40934</v>
      </c>
      <c r="F2203" s="81">
        <v>40924</v>
      </c>
      <c r="G2203" s="10">
        <f>IF(Tabela4[[#This Row],[Tipo]]="Dividendo",Tabela4[[#This Row],[Valor]],IF(Tabela4[[#This Row],[Tipo]]="Jrs. Cap. Próprio",Tabela4[[#This Row],[Valor]]*85%,0))</f>
        <v>4.9384999999999998E-2</v>
      </c>
    </row>
    <row r="2204" spans="1:7" x14ac:dyDescent="0.2">
      <c r="A2204" s="3" t="s">
        <v>248</v>
      </c>
      <c r="B2204" s="3" t="s">
        <v>14</v>
      </c>
      <c r="C2204" s="80">
        <v>40774</v>
      </c>
      <c r="D2204" s="10">
        <v>0.21179999999999999</v>
      </c>
      <c r="E2204" s="67">
        <v>40784</v>
      </c>
      <c r="F2204" s="81">
        <v>40774</v>
      </c>
      <c r="G2204" s="10">
        <f>IF(Tabela4[[#This Row],[Tipo]]="Dividendo",Tabela4[[#This Row],[Valor]],IF(Tabela4[[#This Row],[Tipo]]="Jrs. Cap. Próprio",Tabela4[[#This Row],[Valor]]*85%,0))</f>
        <v>0.18003</v>
      </c>
    </row>
    <row r="2205" spans="1:7" x14ac:dyDescent="0.2">
      <c r="A2205" s="3" t="s">
        <v>248</v>
      </c>
      <c r="B2205" s="3" t="s">
        <v>14</v>
      </c>
      <c r="C2205" s="80">
        <v>40686</v>
      </c>
      <c r="D2205" s="10">
        <v>4.36E-2</v>
      </c>
      <c r="E2205" s="67">
        <v>40702</v>
      </c>
      <c r="F2205" s="81">
        <v>40686</v>
      </c>
      <c r="G2205" s="10">
        <f>IF(Tabela4[[#This Row],[Tipo]]="Dividendo",Tabela4[[#This Row],[Valor]],IF(Tabela4[[#This Row],[Tipo]]="Jrs. Cap. Próprio",Tabela4[[#This Row],[Valor]]*85%,0))</f>
        <v>3.7059999999999996E-2</v>
      </c>
    </row>
    <row r="2206" spans="1:7" x14ac:dyDescent="0.2">
      <c r="A2206" s="3" t="s">
        <v>248</v>
      </c>
      <c r="B2206" s="3" t="s">
        <v>14</v>
      </c>
      <c r="C2206" s="80">
        <v>40602</v>
      </c>
      <c r="D2206" s="10">
        <v>3.1800000000000002E-2</v>
      </c>
      <c r="E2206" s="67">
        <v>40662</v>
      </c>
      <c r="F2206" s="81">
        <v>40602</v>
      </c>
      <c r="G2206" s="10">
        <f>IF(Tabela4[[#This Row],[Tipo]]="Dividendo",Tabela4[[#This Row],[Valor]],IF(Tabela4[[#This Row],[Tipo]]="Jrs. Cap. Próprio",Tabela4[[#This Row],[Valor]]*85%,0))</f>
        <v>2.7030000000000002E-2</v>
      </c>
    </row>
    <row r="2207" spans="1:7" x14ac:dyDescent="0.2">
      <c r="A2207" s="3" t="s">
        <v>248</v>
      </c>
      <c r="B2207" s="3" t="s">
        <v>14</v>
      </c>
      <c r="C2207" s="80">
        <v>40490</v>
      </c>
      <c r="D2207" s="10">
        <v>7.3899999999999993E-2</v>
      </c>
      <c r="E2207" s="67">
        <v>40499</v>
      </c>
      <c r="F2207" s="81">
        <v>40490</v>
      </c>
      <c r="G2207" s="10">
        <f>IF(Tabela4[[#This Row],[Tipo]]="Dividendo",Tabela4[[#This Row],[Valor]],IF(Tabela4[[#This Row],[Tipo]]="Jrs. Cap. Próprio",Tabela4[[#This Row],[Valor]]*85%,0))</f>
        <v>6.2814999999999996E-2</v>
      </c>
    </row>
    <row r="2208" spans="1:7" x14ac:dyDescent="0.2">
      <c r="A2208" s="3" t="s">
        <v>248</v>
      </c>
      <c r="B2208" s="3" t="s">
        <v>14</v>
      </c>
      <c r="C2208" s="80">
        <v>40358</v>
      </c>
      <c r="D2208" s="10">
        <v>0.1176</v>
      </c>
      <c r="E2208" s="67">
        <v>40367</v>
      </c>
      <c r="F2208" s="81">
        <v>40358</v>
      </c>
      <c r="G2208" s="10">
        <f>IF(Tabela4[[#This Row],[Tipo]]="Dividendo",Tabela4[[#This Row],[Valor]],IF(Tabela4[[#This Row],[Tipo]]="Jrs. Cap. Próprio",Tabela4[[#This Row],[Valor]]*85%,0))</f>
        <v>9.9959999999999993E-2</v>
      </c>
    </row>
    <row r="2209" spans="1:7" x14ac:dyDescent="0.2">
      <c r="A2209" s="3" t="s">
        <v>248</v>
      </c>
      <c r="B2209" s="3" t="s">
        <v>14</v>
      </c>
      <c r="C2209" s="80">
        <v>40280</v>
      </c>
      <c r="D2209" s="10">
        <v>0.47060000000000002</v>
      </c>
      <c r="E2209" s="67"/>
      <c r="F2209" s="81">
        <v>40280</v>
      </c>
      <c r="G2209" s="10">
        <f>IF(Tabela4[[#This Row],[Tipo]]="Dividendo",Tabela4[[#This Row],[Valor]],IF(Tabela4[[#This Row],[Tipo]]="Jrs. Cap. Próprio",Tabela4[[#This Row],[Valor]]*85%,0))</f>
        <v>0.40001000000000003</v>
      </c>
    </row>
    <row r="2210" spans="1:7" x14ac:dyDescent="0.2">
      <c r="A2210" s="3" t="s">
        <v>248</v>
      </c>
      <c r="B2210" s="3" t="s">
        <v>14</v>
      </c>
      <c r="C2210" s="80">
        <v>40267</v>
      </c>
      <c r="D2210" s="10">
        <v>1.18E-2</v>
      </c>
      <c r="E2210" s="67">
        <v>40351</v>
      </c>
      <c r="F2210" s="81">
        <v>40267</v>
      </c>
      <c r="G2210" s="10">
        <f>IF(Tabela4[[#This Row],[Tipo]]="Dividendo",Tabela4[[#This Row],[Valor]],IF(Tabela4[[#This Row],[Tipo]]="Jrs. Cap. Próprio",Tabela4[[#This Row],[Valor]]*85%,0))</f>
        <v>1.0029999999999999E-2</v>
      </c>
    </row>
    <row r="2211" spans="1:7" x14ac:dyDescent="0.2">
      <c r="A2211" s="3" t="s">
        <v>248</v>
      </c>
      <c r="B2211" s="3" t="s">
        <v>14</v>
      </c>
      <c r="C2211" s="80">
        <v>40070</v>
      </c>
      <c r="D2211" s="10">
        <v>2.18E-2</v>
      </c>
      <c r="E2211" s="67"/>
      <c r="F2211" s="81">
        <v>40070</v>
      </c>
      <c r="G2211" s="10">
        <f>IF(Tabela4[[#This Row],[Tipo]]="Dividendo",Tabela4[[#This Row],[Valor]],IF(Tabela4[[#This Row],[Tipo]]="Jrs. Cap. Próprio",Tabela4[[#This Row],[Valor]]*85%,0))</f>
        <v>1.8529999999999998E-2</v>
      </c>
    </row>
    <row r="2212" spans="1:7" x14ac:dyDescent="0.2">
      <c r="A2212" s="3" t="s">
        <v>248</v>
      </c>
      <c r="B2212" s="3" t="s">
        <v>14</v>
      </c>
      <c r="C2212" s="80">
        <v>39916</v>
      </c>
      <c r="D2212" s="10">
        <v>0.29770000000000002</v>
      </c>
      <c r="E2212" s="67">
        <v>39941</v>
      </c>
      <c r="F2212" s="81">
        <v>39916</v>
      </c>
      <c r="G2212" s="10">
        <f>IF(Tabela4[[#This Row],[Tipo]]="Dividendo",Tabela4[[#This Row],[Valor]],IF(Tabela4[[#This Row],[Tipo]]="Jrs. Cap. Próprio",Tabela4[[#This Row],[Valor]]*85%,0))</f>
        <v>0.25304500000000002</v>
      </c>
    </row>
    <row r="2213" spans="1:7" x14ac:dyDescent="0.2">
      <c r="A2213" s="3" t="s">
        <v>248</v>
      </c>
      <c r="B2213" s="3" t="s">
        <v>15</v>
      </c>
      <c r="C2213" s="80">
        <v>39497</v>
      </c>
      <c r="D2213" s="10">
        <v>1.47E-2</v>
      </c>
      <c r="E2213" s="67">
        <v>39524</v>
      </c>
      <c r="F2213" s="81">
        <v>39497</v>
      </c>
      <c r="G2213" s="10">
        <f>IF(Tabela4[[#This Row],[Tipo]]="Dividendo",Tabela4[[#This Row],[Valor]],IF(Tabela4[[#This Row],[Tipo]]="Jrs. Cap. Próprio",Tabela4[[#This Row],[Valor]]*85%,0))</f>
        <v>1.47E-2</v>
      </c>
    </row>
    <row r="2214" spans="1:7" x14ac:dyDescent="0.2">
      <c r="A2214" s="3" t="s">
        <v>248</v>
      </c>
      <c r="B2214" s="3" t="s">
        <v>14</v>
      </c>
      <c r="C2214" s="80">
        <v>39444</v>
      </c>
      <c r="D2214" s="10">
        <v>9.2600000000000002E-2</v>
      </c>
      <c r="E2214" s="67">
        <v>39524</v>
      </c>
      <c r="F2214" s="81">
        <v>39444</v>
      </c>
      <c r="G2214" s="10">
        <f>IF(Tabela4[[#This Row],[Tipo]]="Dividendo",Tabela4[[#This Row],[Valor]],IF(Tabela4[[#This Row],[Tipo]]="Jrs. Cap. Próprio",Tabela4[[#This Row],[Valor]]*85%,0))</f>
        <v>7.8710000000000002E-2</v>
      </c>
    </row>
    <row r="2215" spans="1:7" x14ac:dyDescent="0.2">
      <c r="A2215" s="31" t="s">
        <v>74</v>
      </c>
      <c r="B2215" s="31" t="s">
        <v>15</v>
      </c>
      <c r="C2215" s="32">
        <v>41389</v>
      </c>
      <c r="D2215" s="34">
        <v>0.35</v>
      </c>
      <c r="E2215" s="33">
        <v>41409</v>
      </c>
      <c r="F2215" s="33">
        <v>41389</v>
      </c>
      <c r="G2215" s="34">
        <f>IF(Tabela4[[#This Row],[Tipo]]="Dividendo",Tabela4[[#This Row],[Valor]],IF(Tabela4[[#This Row],[Tipo]]="Jrs. Cap. Próprio",Tabela4[[#This Row],[Valor]]*85%,0))</f>
        <v>0.35</v>
      </c>
    </row>
    <row r="2216" spans="1:7" x14ac:dyDescent="0.2">
      <c r="A2216" s="31" t="s">
        <v>74</v>
      </c>
      <c r="B2216" s="31" t="s">
        <v>15</v>
      </c>
      <c r="C2216" s="32">
        <v>41024</v>
      </c>
      <c r="D2216" s="34">
        <v>0.32</v>
      </c>
      <c r="E2216" s="33">
        <v>41044</v>
      </c>
      <c r="F2216" s="33">
        <v>41024</v>
      </c>
      <c r="G2216" s="34">
        <f>IF(Tabela4[[#This Row],[Tipo]]="Dividendo",Tabela4[[#This Row],[Valor]],IF(Tabela4[[#This Row],[Tipo]]="Jrs. Cap. Próprio",Tabela4[[#This Row],[Valor]]*85%,0))</f>
        <v>0.32</v>
      </c>
    </row>
    <row r="2217" spans="1:7" x14ac:dyDescent="0.2">
      <c r="A2217" s="31" t="s">
        <v>74</v>
      </c>
      <c r="B2217" s="35" t="s">
        <v>15</v>
      </c>
      <c r="C2217" s="36">
        <v>40661</v>
      </c>
      <c r="D2217" s="38">
        <v>3.85E-2</v>
      </c>
      <c r="E2217" s="37">
        <v>40683</v>
      </c>
      <c r="F2217" s="37">
        <v>40661</v>
      </c>
      <c r="G2217" s="38">
        <f>IF(Tabela4[[#This Row],[Tipo]]="Dividendo",Tabela4[[#This Row],[Valor]],IF(Tabela4[[#This Row],[Tipo]]="Jrs. Cap. Próprio",Tabela4[[#This Row],[Valor]]*85%,0))</f>
        <v>3.85E-2</v>
      </c>
    </row>
    <row r="2218" spans="1:7" x14ac:dyDescent="0.2">
      <c r="A2218" s="4" t="s">
        <v>182</v>
      </c>
      <c r="B2218" s="4" t="s">
        <v>15</v>
      </c>
      <c r="C2218" s="19"/>
      <c r="D2218" s="14">
        <v>3.5999999999999997E-2</v>
      </c>
      <c r="E2218" s="68">
        <v>41596</v>
      </c>
      <c r="F2218" s="68"/>
      <c r="G2218" s="14">
        <f>IF(Tabela4[[#This Row],[Tipo]]="Dividendo",Tabela4[[#This Row],[Valor]],IF(Tabela4[[#This Row],[Tipo]]="Jrs. Cap. Próprio",Tabela4[[#This Row],[Valor]]*85%,0))</f>
        <v>3.5999999999999997E-2</v>
      </c>
    </row>
    <row r="2219" spans="1:7" x14ac:dyDescent="0.2">
      <c r="A2219" s="4" t="s">
        <v>182</v>
      </c>
      <c r="B2219" s="4" t="s">
        <v>15</v>
      </c>
      <c r="C2219" s="19"/>
      <c r="D2219" s="14">
        <v>3.5999999999999997E-2</v>
      </c>
      <c r="E2219" s="68">
        <v>41501</v>
      </c>
      <c r="F2219" s="68"/>
      <c r="G2219" s="14">
        <f>IF(Tabela4[[#This Row],[Tipo]]="Dividendo",Tabela4[[#This Row],[Valor]],IF(Tabela4[[#This Row],[Tipo]]="Jrs. Cap. Próprio",Tabela4[[#This Row],[Valor]]*85%,0))</f>
        <v>3.5999999999999997E-2</v>
      </c>
    </row>
    <row r="2220" spans="1:7" x14ac:dyDescent="0.2">
      <c r="A2220" s="4" t="s">
        <v>182</v>
      </c>
      <c r="B2220" s="4" t="s">
        <v>15</v>
      </c>
      <c r="C2220" s="19"/>
      <c r="D2220" s="14">
        <v>3.5999999999999997E-2</v>
      </c>
      <c r="E2220" s="68">
        <v>41411</v>
      </c>
      <c r="F2220" s="68"/>
      <c r="G2220" s="14">
        <f>IF(Tabela4[[#This Row],[Tipo]]="Dividendo",Tabela4[[#This Row],[Valor]],IF(Tabela4[[#This Row],[Tipo]]="Jrs. Cap. Próprio",Tabela4[[#This Row],[Valor]]*85%,0))</f>
        <v>3.5999999999999997E-2</v>
      </c>
    </row>
    <row r="2221" spans="1:7" x14ac:dyDescent="0.2">
      <c r="A2221" s="4" t="s">
        <v>182</v>
      </c>
      <c r="B2221" s="4" t="s">
        <v>15</v>
      </c>
      <c r="C2221" s="19"/>
      <c r="D2221" s="14">
        <v>0.30062499999999998</v>
      </c>
      <c r="E2221" s="68">
        <v>41382</v>
      </c>
      <c r="F2221" s="68"/>
      <c r="G2221" s="14">
        <f>IF(Tabela4[[#This Row],[Tipo]]="Dividendo",Tabela4[[#This Row],[Valor]],IF(Tabela4[[#This Row],[Tipo]]="Jrs. Cap. Próprio",Tabela4[[#This Row],[Valor]]*85%,0))</f>
        <v>0.30062499999999998</v>
      </c>
    </row>
    <row r="2222" spans="1:7" x14ac:dyDescent="0.2">
      <c r="A2222" s="4" t="s">
        <v>182</v>
      </c>
      <c r="B2222" s="3" t="s">
        <v>14</v>
      </c>
      <c r="C2222" s="80"/>
      <c r="D2222" s="10">
        <v>9.4855959870000006E-2</v>
      </c>
      <c r="E2222" s="67">
        <v>41289</v>
      </c>
      <c r="F2222" s="81"/>
      <c r="G2222" s="10">
        <f>IF(Tabela4[[#This Row],[Tipo]]="Dividendo",Tabela4[[#This Row],[Valor]],IF(Tabela4[[#This Row],[Tipo]]="Jrs. Cap. Próprio",Tabela4[[#This Row],[Valor]]*85%,0))</f>
        <v>8.06275658895E-2</v>
      </c>
    </row>
    <row r="2223" spans="1:7" x14ac:dyDescent="0.2">
      <c r="A2223" s="4" t="s">
        <v>182</v>
      </c>
      <c r="B2223" s="3" t="s">
        <v>15</v>
      </c>
      <c r="C2223" s="80"/>
      <c r="D2223" s="10">
        <v>3.5999999999999997E-2</v>
      </c>
      <c r="E2223" s="67">
        <v>41235</v>
      </c>
      <c r="F2223" s="81"/>
      <c r="G2223" s="10">
        <f>IF(Tabela4[[#This Row],[Tipo]]="Dividendo",Tabela4[[#This Row],[Valor]],IF(Tabela4[[#This Row],[Tipo]]="Jrs. Cap. Próprio",Tabela4[[#This Row],[Valor]]*85%,0))</f>
        <v>3.5999999999999997E-2</v>
      </c>
    </row>
    <row r="2224" spans="1:7" x14ac:dyDescent="0.2">
      <c r="A2224" s="4" t="s">
        <v>182</v>
      </c>
      <c r="B2224" s="3" t="s">
        <v>15</v>
      </c>
      <c r="C2224" s="80"/>
      <c r="D2224" s="10">
        <v>3.5999999999999997E-2</v>
      </c>
      <c r="E2224" s="67">
        <v>41141</v>
      </c>
      <c r="F2224" s="81"/>
      <c r="G2224" s="10">
        <f>IF(Tabela4[[#This Row],[Tipo]]="Dividendo",Tabela4[[#This Row],[Valor]],IF(Tabela4[[#This Row],[Tipo]]="Jrs. Cap. Próprio",Tabela4[[#This Row],[Valor]]*85%,0))</f>
        <v>3.5999999999999997E-2</v>
      </c>
    </row>
    <row r="2225" spans="1:7" x14ac:dyDescent="0.2">
      <c r="A2225" s="4" t="s">
        <v>182</v>
      </c>
      <c r="B2225" s="3" t="s">
        <v>15</v>
      </c>
      <c r="C2225" s="80"/>
      <c r="D2225" s="10">
        <v>3.5999999999999997E-2</v>
      </c>
      <c r="E2225" s="67">
        <v>41047</v>
      </c>
      <c r="F2225" s="81"/>
      <c r="G2225" s="10">
        <f>IF(Tabela4[[#This Row],[Tipo]]="Dividendo",Tabela4[[#This Row],[Valor]],IF(Tabela4[[#This Row],[Tipo]]="Jrs. Cap. Próprio",Tabela4[[#This Row],[Valor]]*85%,0))</f>
        <v>3.5999999999999997E-2</v>
      </c>
    </row>
    <row r="2226" spans="1:7" x14ac:dyDescent="0.2">
      <c r="A2226" s="4" t="s">
        <v>182</v>
      </c>
      <c r="B2226" s="3" t="s">
        <v>15</v>
      </c>
      <c r="C2226" s="80"/>
      <c r="D2226" s="10">
        <v>0.43816628699999999</v>
      </c>
      <c r="E2226" s="67">
        <v>41017</v>
      </c>
      <c r="F2226" s="81"/>
      <c r="G2226" s="10">
        <f>IF(Tabela4[[#This Row],[Tipo]]="Dividendo",Tabela4[[#This Row],[Valor]],IF(Tabela4[[#This Row],[Tipo]]="Jrs. Cap. Próprio",Tabela4[[#This Row],[Valor]]*85%,0))</f>
        <v>0.43816628699999999</v>
      </c>
    </row>
    <row r="2227" spans="1:7" x14ac:dyDescent="0.2">
      <c r="A2227" s="4" t="s">
        <v>182</v>
      </c>
      <c r="B2227" s="3" t="s">
        <v>14</v>
      </c>
      <c r="C2227" s="80"/>
      <c r="D2227" s="10">
        <v>5.5272254144999998E-2</v>
      </c>
      <c r="E2227" s="67">
        <v>40904</v>
      </c>
      <c r="F2227" s="81"/>
      <c r="G2227" s="10">
        <f>IF(Tabela4[[#This Row],[Tipo]]="Dividendo",Tabela4[[#This Row],[Valor]],IF(Tabela4[[#This Row],[Tipo]]="Jrs. Cap. Próprio",Tabela4[[#This Row],[Valor]]*85%,0))</f>
        <v>4.6981416023249997E-2</v>
      </c>
    </row>
    <row r="2228" spans="1:7" x14ac:dyDescent="0.2">
      <c r="A2228" s="4" t="s">
        <v>182</v>
      </c>
      <c r="B2228" s="3" t="s">
        <v>14</v>
      </c>
      <c r="C2228" s="80"/>
      <c r="D2228" s="10">
        <v>0.197607339982</v>
      </c>
      <c r="E2228" s="67">
        <v>41017</v>
      </c>
      <c r="F2228" s="81"/>
      <c r="G2228" s="10">
        <f>IF(Tabela4[[#This Row],[Tipo]]="Dividendo",Tabela4[[#This Row],[Valor]],IF(Tabela4[[#This Row],[Tipo]]="Jrs. Cap. Próprio",Tabela4[[#This Row],[Valor]]*85%,0))</f>
        <v>0.16796623898470001</v>
      </c>
    </row>
    <row r="2229" spans="1:7" x14ac:dyDescent="0.2">
      <c r="A2229" s="4" t="s">
        <v>182</v>
      </c>
      <c r="B2229" s="3" t="s">
        <v>15</v>
      </c>
      <c r="C2229" s="80"/>
      <c r="D2229" s="10">
        <v>3.5999999999999997E-2</v>
      </c>
      <c r="E2229" s="67">
        <v>40865</v>
      </c>
      <c r="F2229" s="81"/>
      <c r="G2229" s="10">
        <f>IF(Tabela4[[#This Row],[Tipo]]="Dividendo",Tabela4[[#This Row],[Valor]],IF(Tabela4[[#This Row],[Tipo]]="Jrs. Cap. Próprio",Tabela4[[#This Row],[Valor]]*85%,0))</f>
        <v>3.5999999999999997E-2</v>
      </c>
    </row>
    <row r="2230" spans="1:7" x14ac:dyDescent="0.2">
      <c r="A2230" s="4" t="s">
        <v>182</v>
      </c>
      <c r="B2230" s="3" t="s">
        <v>15</v>
      </c>
      <c r="C2230" s="80"/>
      <c r="D2230" s="10">
        <v>3.5999999999999997E-2</v>
      </c>
      <c r="E2230" s="67">
        <v>40773</v>
      </c>
      <c r="F2230" s="81"/>
      <c r="G2230" s="10">
        <f>IF(Tabela4[[#This Row],[Tipo]]="Dividendo",Tabela4[[#This Row],[Valor]],IF(Tabela4[[#This Row],[Tipo]]="Jrs. Cap. Próprio",Tabela4[[#This Row],[Valor]]*85%,0))</f>
        <v>3.5999999999999997E-2</v>
      </c>
    </row>
    <row r="2231" spans="1:7" x14ac:dyDescent="0.2">
      <c r="A2231" s="4" t="s">
        <v>182</v>
      </c>
      <c r="B2231" s="3" t="s">
        <v>15</v>
      </c>
      <c r="C2231" s="80"/>
      <c r="D2231" s="10">
        <v>3.5999999999999997E-2</v>
      </c>
      <c r="E2231" s="67">
        <v>40681</v>
      </c>
      <c r="F2231" s="81"/>
      <c r="G2231" s="10">
        <f>IF(Tabela4[[#This Row],[Tipo]]="Dividendo",Tabela4[[#This Row],[Valor]],IF(Tabela4[[#This Row],[Tipo]]="Jrs. Cap. Próprio",Tabela4[[#This Row],[Valor]]*85%,0))</f>
        <v>3.5999999999999997E-2</v>
      </c>
    </row>
    <row r="2232" spans="1:7" x14ac:dyDescent="0.2">
      <c r="A2232" s="4" t="s">
        <v>182</v>
      </c>
      <c r="B2232" s="3" t="s">
        <v>15</v>
      </c>
      <c r="C2232" s="80"/>
      <c r="D2232" s="10">
        <v>1.0517938200000001</v>
      </c>
      <c r="E2232" s="67">
        <v>40651</v>
      </c>
      <c r="F2232" s="81"/>
      <c r="G2232" s="10">
        <f>IF(Tabela4[[#This Row],[Tipo]]="Dividendo",Tabela4[[#This Row],[Valor]],IF(Tabela4[[#This Row],[Tipo]]="Jrs. Cap. Próprio",Tabela4[[#This Row],[Valor]]*85%,0))</f>
        <v>1.0517938200000001</v>
      </c>
    </row>
    <row r="2233" spans="1:7" x14ac:dyDescent="0.2">
      <c r="A2233" s="4" t="s">
        <v>182</v>
      </c>
      <c r="B2233" s="3" t="s">
        <v>15</v>
      </c>
      <c r="C2233" s="80"/>
      <c r="D2233" s="10">
        <v>2.1419339700000002</v>
      </c>
      <c r="E2233" s="67">
        <v>40283</v>
      </c>
      <c r="F2233" s="81"/>
      <c r="G2233" s="10">
        <f>IF(Tabela4[[#This Row],[Tipo]]="Dividendo",Tabela4[[#This Row],[Valor]],IF(Tabela4[[#This Row],[Tipo]]="Jrs. Cap. Próprio",Tabela4[[#This Row],[Valor]]*85%,0))</f>
        <v>2.1419339700000002</v>
      </c>
    </row>
    <row r="2234" spans="1:7" x14ac:dyDescent="0.2">
      <c r="A2234" s="4" t="s">
        <v>182</v>
      </c>
      <c r="B2234" s="3" t="s">
        <v>15</v>
      </c>
      <c r="C2234" s="80"/>
      <c r="D2234" s="10">
        <v>1.1103468000000001</v>
      </c>
      <c r="E2234" s="67">
        <v>39916</v>
      </c>
      <c r="F2234" s="81"/>
      <c r="G2234" s="10">
        <f>IF(Tabela4[[#This Row],[Tipo]]="Dividendo",Tabela4[[#This Row],[Valor]],IF(Tabela4[[#This Row],[Tipo]]="Jrs. Cap. Próprio",Tabela4[[#This Row],[Valor]]*85%,0))</f>
        <v>1.1103468000000001</v>
      </c>
    </row>
    <row r="2235" spans="1:7" x14ac:dyDescent="0.2">
      <c r="A2235" s="4" t="s">
        <v>182</v>
      </c>
      <c r="B2235" s="4" t="s">
        <v>15</v>
      </c>
      <c r="C2235" s="19"/>
      <c r="D2235" s="14">
        <v>0.66136377000000002</v>
      </c>
      <c r="E2235" s="68">
        <v>39549</v>
      </c>
      <c r="F2235" s="68"/>
      <c r="G2235" s="14">
        <f>IF(Tabela4[[#This Row],[Tipo]]="Dividendo",Tabela4[[#This Row],[Valor]],IF(Tabela4[[#This Row],[Tipo]]="Jrs. Cap. Próprio",Tabela4[[#This Row],[Valor]]*85%,0))</f>
        <v>0.66136377000000002</v>
      </c>
    </row>
    <row r="2236" spans="1:7" x14ac:dyDescent="0.2">
      <c r="A2236" s="35" t="s">
        <v>56</v>
      </c>
      <c r="B2236" s="35" t="s">
        <v>15</v>
      </c>
      <c r="C2236" s="36">
        <v>41394</v>
      </c>
      <c r="D2236" s="38">
        <v>9.5200000000000007E-2</v>
      </c>
      <c r="E2236" s="37">
        <v>41404</v>
      </c>
      <c r="F2236" s="37">
        <v>41394</v>
      </c>
      <c r="G2236" s="38">
        <f>IF(Tabela4[[#This Row],[Tipo]]="Dividendo",Tabela4[[#This Row],[Valor]],IF(Tabela4[[#This Row],[Tipo]]="Jrs. Cap. Próprio",Tabela4[[#This Row],[Valor]]*85%,0))</f>
        <v>9.5200000000000007E-2</v>
      </c>
    </row>
    <row r="2237" spans="1:7" x14ac:dyDescent="0.2">
      <c r="A2237" s="35" t="s">
        <v>56</v>
      </c>
      <c r="B2237" s="31" t="s">
        <v>14</v>
      </c>
      <c r="C2237" s="32">
        <v>40899</v>
      </c>
      <c r="D2237" s="34">
        <v>0.24879999999999999</v>
      </c>
      <c r="E2237" s="33">
        <v>40983</v>
      </c>
      <c r="F2237" s="33">
        <v>40899</v>
      </c>
      <c r="G2237" s="34">
        <f>IF(Tabela4[[#This Row],[Tipo]]="Dividendo",Tabela4[[#This Row],[Valor]],IF(Tabela4[[#This Row],[Tipo]]="Jrs. Cap. Próprio",Tabela4[[#This Row],[Valor]]*85%,0))</f>
        <v>0.21148</v>
      </c>
    </row>
    <row r="2238" spans="1:7" x14ac:dyDescent="0.2">
      <c r="A2238" s="35" t="s">
        <v>56</v>
      </c>
      <c r="B2238" s="31" t="s">
        <v>15</v>
      </c>
      <c r="C2238" s="32">
        <v>40662</v>
      </c>
      <c r="D2238" s="34">
        <v>3.4700000000000002E-2</v>
      </c>
      <c r="E2238" s="33"/>
      <c r="F2238" s="33">
        <v>40662</v>
      </c>
      <c r="G2238" s="34">
        <f>IF(Tabela4[[#This Row],[Tipo]]="Dividendo",Tabela4[[#This Row],[Valor]],IF(Tabela4[[#This Row],[Tipo]]="Jrs. Cap. Próprio",Tabela4[[#This Row],[Valor]]*85%,0))</f>
        <v>3.4700000000000002E-2</v>
      </c>
    </row>
    <row r="2239" spans="1:7" x14ac:dyDescent="0.2">
      <c r="A2239" s="35" t="s">
        <v>56</v>
      </c>
      <c r="B2239" s="31" t="s">
        <v>14</v>
      </c>
      <c r="C2239" s="32">
        <v>40541</v>
      </c>
      <c r="D2239" s="34">
        <v>0.40010000000000001</v>
      </c>
      <c r="E2239" s="33">
        <v>40617</v>
      </c>
      <c r="F2239" s="33">
        <v>40541</v>
      </c>
      <c r="G2239" s="34">
        <f>IF(Tabela4[[#This Row],[Tipo]]="Dividendo",Tabela4[[#This Row],[Valor]],IF(Tabela4[[#This Row],[Tipo]]="Jrs. Cap. Próprio",Tabela4[[#This Row],[Valor]]*85%,0))</f>
        <v>0.34008500000000003</v>
      </c>
    </row>
    <row r="2240" spans="1:7" x14ac:dyDescent="0.2">
      <c r="A2240" s="35" t="s">
        <v>56</v>
      </c>
      <c r="B2240" s="31" t="s">
        <v>14</v>
      </c>
      <c r="C2240" s="32">
        <v>40400</v>
      </c>
      <c r="D2240" s="34">
        <v>0.1588</v>
      </c>
      <c r="E2240" s="33">
        <v>40431</v>
      </c>
      <c r="F2240" s="33">
        <v>40400</v>
      </c>
      <c r="G2240" s="34">
        <f>IF(Tabela4[[#This Row],[Tipo]]="Dividendo",Tabela4[[#This Row],[Valor]],IF(Tabela4[[#This Row],[Tipo]]="Jrs. Cap. Próprio",Tabela4[[#This Row],[Valor]]*85%,0))</f>
        <v>0.13497999999999999</v>
      </c>
    </row>
    <row r="2241" spans="1:7" x14ac:dyDescent="0.2">
      <c r="A2241" s="35" t="s">
        <v>56</v>
      </c>
      <c r="B2241" s="31" t="s">
        <v>15</v>
      </c>
      <c r="C2241" s="32">
        <v>40298</v>
      </c>
      <c r="D2241" s="34">
        <v>1.0999999999999999E-2</v>
      </c>
      <c r="E2241" s="33">
        <v>40315</v>
      </c>
      <c r="F2241" s="33">
        <v>40298</v>
      </c>
      <c r="G2241" s="34">
        <f>IF(Tabela4[[#This Row],[Tipo]]="Dividendo",Tabela4[[#This Row],[Valor]],IF(Tabela4[[#This Row],[Tipo]]="Jrs. Cap. Próprio",Tabela4[[#This Row],[Valor]]*85%,0))</f>
        <v>1.0999999999999999E-2</v>
      </c>
    </row>
    <row r="2242" spans="1:7" x14ac:dyDescent="0.2">
      <c r="A2242" s="35" t="s">
        <v>56</v>
      </c>
      <c r="B2242" s="31" t="s">
        <v>14</v>
      </c>
      <c r="C2242" s="32">
        <v>40176</v>
      </c>
      <c r="D2242" s="34">
        <v>0.64680000000000004</v>
      </c>
      <c r="E2242" s="33">
        <v>40247</v>
      </c>
      <c r="F2242" s="33">
        <v>40176</v>
      </c>
      <c r="G2242" s="34">
        <f>IF(Tabela4[[#This Row],[Tipo]]="Dividendo",Tabela4[[#This Row],[Valor]],IF(Tabela4[[#This Row],[Tipo]]="Jrs. Cap. Próprio",Tabela4[[#This Row],[Valor]]*85%,0))</f>
        <v>0.54978000000000005</v>
      </c>
    </row>
    <row r="2243" spans="1:7" x14ac:dyDescent="0.2">
      <c r="A2243" s="35" t="s">
        <v>56</v>
      </c>
      <c r="B2243" s="31" t="s">
        <v>14</v>
      </c>
      <c r="C2243" s="32">
        <v>40115</v>
      </c>
      <c r="D2243" s="34">
        <v>0.1188</v>
      </c>
      <c r="E2243" s="33">
        <v>40128</v>
      </c>
      <c r="F2243" s="33">
        <v>40115</v>
      </c>
      <c r="G2243" s="34">
        <f>IF(Tabela4[[#This Row],[Tipo]]="Dividendo",Tabela4[[#This Row],[Valor]],IF(Tabela4[[#This Row],[Tipo]]="Jrs. Cap. Próprio",Tabela4[[#This Row],[Valor]]*85%,0))</f>
        <v>0.10098</v>
      </c>
    </row>
    <row r="2244" spans="1:7" x14ac:dyDescent="0.2">
      <c r="A2244" s="35" t="s">
        <v>56</v>
      </c>
      <c r="B2244" s="31" t="s">
        <v>15</v>
      </c>
      <c r="C2244" s="32">
        <v>39566</v>
      </c>
      <c r="D2244" s="34">
        <v>0.30120000000000002</v>
      </c>
      <c r="E2244" s="33"/>
      <c r="F2244" s="33">
        <v>39566</v>
      </c>
      <c r="G2244" s="34">
        <f>IF(Tabela4[[#This Row],[Tipo]]="Dividendo",Tabela4[[#This Row],[Valor]],IF(Tabela4[[#This Row],[Tipo]]="Jrs. Cap. Próprio",Tabela4[[#This Row],[Valor]]*85%,0))</f>
        <v>0.30120000000000002</v>
      </c>
    </row>
    <row r="2245" spans="1:7" x14ac:dyDescent="0.2">
      <c r="A2245" s="35" t="s">
        <v>56</v>
      </c>
      <c r="B2245" s="31" t="s">
        <v>14</v>
      </c>
      <c r="C2245" s="32">
        <v>39436</v>
      </c>
      <c r="D2245" s="34">
        <v>0.249</v>
      </c>
      <c r="E2245" s="33">
        <v>39456</v>
      </c>
      <c r="F2245" s="33">
        <v>39436</v>
      </c>
      <c r="G2245" s="34">
        <f>IF(Tabela4[[#This Row],[Tipo]]="Dividendo",Tabela4[[#This Row],[Valor]],IF(Tabela4[[#This Row],[Tipo]]="Jrs. Cap. Próprio",Tabela4[[#This Row],[Valor]]*85%,0))</f>
        <v>0.21165</v>
      </c>
    </row>
    <row r="2246" spans="1:7" x14ac:dyDescent="0.2">
      <c r="A2246" s="35" t="s">
        <v>56</v>
      </c>
      <c r="B2246" s="31" t="s">
        <v>14</v>
      </c>
      <c r="C2246" s="32">
        <v>39343</v>
      </c>
      <c r="D2246" s="34">
        <v>0.29320000000000002</v>
      </c>
      <c r="E2246" s="33">
        <v>39353</v>
      </c>
      <c r="F2246" s="33">
        <v>39343</v>
      </c>
      <c r="G2246" s="34">
        <f>IF(Tabela4[[#This Row],[Tipo]]="Dividendo",Tabela4[[#This Row],[Valor]],IF(Tabela4[[#This Row],[Tipo]]="Jrs. Cap. Próprio",Tabela4[[#This Row],[Valor]]*85%,0))</f>
        <v>0.24922</v>
      </c>
    </row>
    <row r="2247" spans="1:7" x14ac:dyDescent="0.2">
      <c r="A2247" s="35" t="s">
        <v>56</v>
      </c>
      <c r="B2247" s="31" t="s">
        <v>15</v>
      </c>
      <c r="C2247" s="32">
        <v>39197</v>
      </c>
      <c r="D2247" s="34">
        <v>2.1000000000000001E-2</v>
      </c>
      <c r="E2247" s="33">
        <v>39233</v>
      </c>
      <c r="F2247" s="33">
        <v>39197</v>
      </c>
      <c r="G2247" s="34">
        <f>IF(Tabela4[[#This Row],[Tipo]]="Dividendo",Tabela4[[#This Row],[Valor]],IF(Tabela4[[#This Row],[Tipo]]="Jrs. Cap. Próprio",Tabela4[[#This Row],[Valor]]*85%,0))</f>
        <v>2.1000000000000001E-2</v>
      </c>
    </row>
    <row r="2248" spans="1:7" x14ac:dyDescent="0.2">
      <c r="A2248" s="35" t="s">
        <v>56</v>
      </c>
      <c r="B2248" s="31" t="s">
        <v>15</v>
      </c>
      <c r="C2248" s="32">
        <v>39189</v>
      </c>
      <c r="D2248" s="34">
        <v>0</v>
      </c>
      <c r="E2248" s="33"/>
      <c r="F2248" s="33">
        <v>39189</v>
      </c>
      <c r="G2248" s="34">
        <f>IF(Tabela4[[#This Row],[Tipo]]="Dividendo",Tabela4[[#This Row],[Valor]],IF(Tabela4[[#This Row],[Tipo]]="Jrs. Cap. Próprio",Tabela4[[#This Row],[Valor]]*85%,0))</f>
        <v>0</v>
      </c>
    </row>
    <row r="2249" spans="1:7" x14ac:dyDescent="0.2">
      <c r="A2249" s="35" t="s">
        <v>56</v>
      </c>
      <c r="B2249" s="31" t="s">
        <v>14</v>
      </c>
      <c r="C2249" s="32">
        <v>39063</v>
      </c>
      <c r="D2249" s="34">
        <v>0.17130000000000001</v>
      </c>
      <c r="E2249" s="33">
        <v>39086</v>
      </c>
      <c r="F2249" s="33">
        <v>39058</v>
      </c>
      <c r="G2249" s="34">
        <f>IF(Tabela4[[#This Row],[Tipo]]="Dividendo",Tabela4[[#This Row],[Valor]],IF(Tabela4[[#This Row],[Tipo]]="Jrs. Cap. Próprio",Tabela4[[#This Row],[Valor]]*85%,0))</f>
        <v>0.14560500000000001</v>
      </c>
    </row>
    <row r="2250" spans="1:7" x14ac:dyDescent="0.2">
      <c r="A2250" s="35" t="s">
        <v>56</v>
      </c>
      <c r="B2250" s="31" t="s">
        <v>14</v>
      </c>
      <c r="C2250" s="32">
        <v>38917</v>
      </c>
      <c r="D2250" s="34">
        <v>0.19109999999999999</v>
      </c>
      <c r="E2250" s="33">
        <v>38940</v>
      </c>
      <c r="F2250" s="33">
        <v>38916</v>
      </c>
      <c r="G2250" s="34">
        <f>IF(Tabela4[[#This Row],[Tipo]]="Dividendo",Tabela4[[#This Row],[Valor]],IF(Tabela4[[#This Row],[Tipo]]="Jrs. Cap. Próprio",Tabela4[[#This Row],[Valor]]*85%,0))</f>
        <v>0.162435</v>
      </c>
    </row>
    <row r="2251" spans="1:7" x14ac:dyDescent="0.2">
      <c r="A2251" s="35" t="s">
        <v>56</v>
      </c>
      <c r="B2251" s="31" t="s">
        <v>15</v>
      </c>
      <c r="C2251" s="32">
        <v>38826</v>
      </c>
      <c r="D2251" s="34">
        <v>1.9199999999999998E-2</v>
      </c>
      <c r="E2251" s="33"/>
      <c r="F2251" s="33">
        <v>38826</v>
      </c>
      <c r="G2251" s="34">
        <f>IF(Tabela4[[#This Row],[Tipo]]="Dividendo",Tabela4[[#This Row],[Valor]],IF(Tabela4[[#This Row],[Tipo]]="Jrs. Cap. Próprio",Tabela4[[#This Row],[Valor]]*85%,0))</f>
        <v>1.9199999999999998E-2</v>
      </c>
    </row>
    <row r="2252" spans="1:7" x14ac:dyDescent="0.2">
      <c r="A2252" s="35" t="s">
        <v>56</v>
      </c>
      <c r="B2252" s="31" t="s">
        <v>14</v>
      </c>
      <c r="C2252" s="32">
        <v>38705</v>
      </c>
      <c r="D2252" s="34">
        <v>0.504</v>
      </c>
      <c r="E2252" s="33">
        <v>38721</v>
      </c>
      <c r="F2252" s="33">
        <v>38705</v>
      </c>
      <c r="G2252" s="34">
        <f>IF(Tabela4[[#This Row],[Tipo]]="Dividendo",Tabela4[[#This Row],[Valor]],IF(Tabela4[[#This Row],[Tipo]]="Jrs. Cap. Próprio",Tabela4[[#This Row],[Valor]]*85%,0))</f>
        <v>0.4284</v>
      </c>
    </row>
    <row r="2253" spans="1:7" x14ac:dyDescent="0.2">
      <c r="A2253" s="35" t="s">
        <v>56</v>
      </c>
      <c r="B2253" s="31" t="s">
        <v>15</v>
      </c>
      <c r="C2253" s="32">
        <v>38469</v>
      </c>
      <c r="D2253" s="34">
        <v>0.1084</v>
      </c>
      <c r="E2253" s="33">
        <v>38503</v>
      </c>
      <c r="F2253" s="33">
        <v>38469</v>
      </c>
      <c r="G2253" s="34">
        <f>IF(Tabela4[[#This Row],[Tipo]]="Dividendo",Tabela4[[#This Row],[Valor]],IF(Tabela4[[#This Row],[Tipo]]="Jrs. Cap. Próprio",Tabela4[[#This Row],[Valor]]*85%,0))</f>
        <v>0.1084</v>
      </c>
    </row>
    <row r="2254" spans="1:7" x14ac:dyDescent="0.2">
      <c r="A2254" s="35" t="s">
        <v>56</v>
      </c>
      <c r="B2254" s="31" t="s">
        <v>15</v>
      </c>
      <c r="C2254" s="32">
        <v>38462</v>
      </c>
      <c r="D2254" s="34">
        <v>0.124</v>
      </c>
      <c r="E2254" s="33"/>
      <c r="F2254" s="33">
        <v>38462</v>
      </c>
      <c r="G2254" s="34">
        <f>IF(Tabela4[[#This Row],[Tipo]]="Dividendo",Tabela4[[#This Row],[Valor]],IF(Tabela4[[#This Row],[Tipo]]="Jrs. Cap. Próprio",Tabela4[[#This Row],[Valor]]*85%,0))</f>
        <v>0.124</v>
      </c>
    </row>
    <row r="2255" spans="1:7" x14ac:dyDescent="0.2">
      <c r="A2255" s="35" t="s">
        <v>56</v>
      </c>
      <c r="B2255" s="31" t="s">
        <v>14</v>
      </c>
      <c r="C2255" s="32">
        <v>38338</v>
      </c>
      <c r="D2255" s="34">
        <v>0.21859999999999999</v>
      </c>
      <c r="E2255" s="33">
        <v>38411</v>
      </c>
      <c r="F2255" s="33">
        <v>38338</v>
      </c>
      <c r="G2255" s="34">
        <f>IF(Tabela4[[#This Row],[Tipo]]="Dividendo",Tabela4[[#This Row],[Valor]],IF(Tabela4[[#This Row],[Tipo]]="Jrs. Cap. Próprio",Tabela4[[#This Row],[Valor]]*85%,0))</f>
        <v>0.18580999999999998</v>
      </c>
    </row>
    <row r="2256" spans="1:7" x14ac:dyDescent="0.2">
      <c r="A2256" s="35" t="s">
        <v>56</v>
      </c>
      <c r="B2256" s="31" t="s">
        <v>14</v>
      </c>
      <c r="C2256" s="32">
        <v>38251</v>
      </c>
      <c r="D2256" s="34">
        <v>0.18329999999999999</v>
      </c>
      <c r="E2256" s="33">
        <v>38260</v>
      </c>
      <c r="F2256" s="33">
        <v>38250</v>
      </c>
      <c r="G2256" s="34">
        <f>IF(Tabela4[[#This Row],[Tipo]]="Dividendo",Tabela4[[#This Row],[Valor]],IF(Tabela4[[#This Row],[Tipo]]="Jrs. Cap. Próprio",Tabela4[[#This Row],[Valor]]*85%,0))</f>
        <v>0.155805</v>
      </c>
    </row>
    <row r="2257" spans="1:7" x14ac:dyDescent="0.2">
      <c r="A2257" s="35" t="s">
        <v>56</v>
      </c>
      <c r="B2257" s="31" t="s">
        <v>15</v>
      </c>
      <c r="C2257" s="32">
        <v>38226</v>
      </c>
      <c r="D2257" s="34">
        <v>6.6000000000000003E-2</v>
      </c>
      <c r="E2257" s="33"/>
      <c r="F2257" s="33">
        <v>38226</v>
      </c>
      <c r="G2257" s="34">
        <f>IF(Tabela4[[#This Row],[Tipo]]="Dividendo",Tabela4[[#This Row],[Valor]],IF(Tabela4[[#This Row],[Tipo]]="Jrs. Cap. Próprio",Tabela4[[#This Row],[Valor]]*85%,0))</f>
        <v>6.6000000000000003E-2</v>
      </c>
    </row>
    <row r="2258" spans="1:7" x14ac:dyDescent="0.2">
      <c r="A2258" s="35" t="s">
        <v>56</v>
      </c>
      <c r="B2258" s="31" t="s">
        <v>15</v>
      </c>
      <c r="C2258" s="32">
        <v>38107</v>
      </c>
      <c r="D2258" s="34">
        <v>12.9</v>
      </c>
      <c r="E2258" s="33">
        <v>38138</v>
      </c>
      <c r="F2258" s="33"/>
      <c r="G2258" s="34">
        <f>IF(Tabela4[[#This Row],[Tipo]]="Dividendo",Tabela4[[#This Row],[Valor]],IF(Tabela4[[#This Row],[Tipo]]="Jrs. Cap. Próprio",Tabela4[[#This Row],[Valor]]*85%,0))</f>
        <v>12.9</v>
      </c>
    </row>
    <row r="2259" spans="1:7" x14ac:dyDescent="0.2">
      <c r="A2259" s="35" t="s">
        <v>56</v>
      </c>
      <c r="B2259" s="31" t="s">
        <v>15</v>
      </c>
      <c r="C2259" s="32">
        <v>38106</v>
      </c>
      <c r="D2259" s="34">
        <v>3.32E-2</v>
      </c>
      <c r="E2259" s="33"/>
      <c r="F2259" s="33">
        <v>38106</v>
      </c>
      <c r="G2259" s="34">
        <f>IF(Tabela4[[#This Row],[Tipo]]="Dividendo",Tabela4[[#This Row],[Valor]],IF(Tabela4[[#This Row],[Tipo]]="Jrs. Cap. Próprio",Tabela4[[#This Row],[Valor]]*85%,0))</f>
        <v>3.32E-2</v>
      </c>
    </row>
    <row r="2260" spans="1:7" x14ac:dyDescent="0.2">
      <c r="A2260" s="35" t="s">
        <v>56</v>
      </c>
      <c r="B2260" s="31" t="s">
        <v>15</v>
      </c>
      <c r="C2260" s="32">
        <v>37967</v>
      </c>
      <c r="D2260" s="34">
        <v>11.72</v>
      </c>
      <c r="E2260" s="33">
        <v>37974</v>
      </c>
      <c r="F2260" s="33"/>
      <c r="G2260" s="34">
        <f>IF(Tabela4[[#This Row],[Tipo]]="Dividendo",Tabela4[[#This Row],[Valor]],IF(Tabela4[[#This Row],[Tipo]]="Jrs. Cap. Próprio",Tabela4[[#This Row],[Valor]]*85%,0))</f>
        <v>11.72</v>
      </c>
    </row>
    <row r="2261" spans="1:7" x14ac:dyDescent="0.2">
      <c r="A2261" s="35" t="s">
        <v>56</v>
      </c>
      <c r="B2261" s="31" t="s">
        <v>15</v>
      </c>
      <c r="C2261" s="32">
        <v>37741</v>
      </c>
      <c r="D2261" s="34">
        <v>2.9899999999999999E-2</v>
      </c>
      <c r="E2261" s="33"/>
      <c r="F2261" s="33">
        <v>37741</v>
      </c>
      <c r="G2261" s="34">
        <f>IF(Tabela4[[#This Row],[Tipo]]="Dividendo",Tabela4[[#This Row],[Valor]],IF(Tabela4[[#This Row],[Tipo]]="Jrs. Cap. Próprio",Tabela4[[#This Row],[Valor]]*85%,0))</f>
        <v>2.9899999999999999E-2</v>
      </c>
    </row>
    <row r="2262" spans="1:7" x14ac:dyDescent="0.2">
      <c r="A2262" s="35" t="s">
        <v>56</v>
      </c>
      <c r="B2262" s="31" t="s">
        <v>15</v>
      </c>
      <c r="C2262" s="32">
        <v>37739</v>
      </c>
      <c r="D2262" s="34">
        <v>14.05</v>
      </c>
      <c r="E2262" s="33">
        <v>37771</v>
      </c>
      <c r="F2262" s="33"/>
      <c r="G2262" s="34">
        <f>IF(Tabela4[[#This Row],[Tipo]]="Dividendo",Tabela4[[#This Row],[Valor]],IF(Tabela4[[#This Row],[Tipo]]="Jrs. Cap. Próprio",Tabela4[[#This Row],[Valor]]*85%,0))</f>
        <v>14.05</v>
      </c>
    </row>
    <row r="2263" spans="1:7" x14ac:dyDescent="0.2">
      <c r="A2263" s="35" t="s">
        <v>56</v>
      </c>
      <c r="B2263" s="31" t="s">
        <v>14</v>
      </c>
      <c r="C2263" s="32">
        <v>37620</v>
      </c>
      <c r="D2263" s="34">
        <v>3.0800000000000001E-2</v>
      </c>
      <c r="E2263" s="33"/>
      <c r="F2263" s="33">
        <v>37614</v>
      </c>
      <c r="G2263" s="34">
        <f>IF(Tabela4[[#This Row],[Tipo]]="Dividendo",Tabela4[[#This Row],[Valor]],IF(Tabela4[[#This Row],[Tipo]]="Jrs. Cap. Próprio",Tabela4[[#This Row],[Valor]]*85%,0))</f>
        <v>2.6180000000000002E-2</v>
      </c>
    </row>
    <row r="2264" spans="1:7" x14ac:dyDescent="0.2">
      <c r="A2264" s="35" t="s">
        <v>56</v>
      </c>
      <c r="B2264" s="31" t="s">
        <v>15</v>
      </c>
      <c r="C2264" s="32">
        <v>37376</v>
      </c>
      <c r="D2264" s="34">
        <v>3.51</v>
      </c>
      <c r="E2264" s="33">
        <v>37397</v>
      </c>
      <c r="F2264" s="33"/>
      <c r="G2264" s="34">
        <f>IF(Tabela4[[#This Row],[Tipo]]="Dividendo",Tabela4[[#This Row],[Valor]],IF(Tabela4[[#This Row],[Tipo]]="Jrs. Cap. Próprio",Tabela4[[#This Row],[Valor]]*85%,0))</f>
        <v>3.51</v>
      </c>
    </row>
    <row r="2265" spans="1:7" x14ac:dyDescent="0.2">
      <c r="A2265" s="35" t="s">
        <v>56</v>
      </c>
      <c r="B2265" s="31" t="s">
        <v>15</v>
      </c>
      <c r="C2265" s="32">
        <v>37125</v>
      </c>
      <c r="D2265" s="34">
        <v>1.94</v>
      </c>
      <c r="E2265" s="33">
        <v>37138</v>
      </c>
      <c r="F2265" s="33"/>
      <c r="G2265" s="34">
        <f>IF(Tabela4[[#This Row],[Tipo]]="Dividendo",Tabela4[[#This Row],[Valor]],IF(Tabela4[[#This Row],[Tipo]]="Jrs. Cap. Próprio",Tabela4[[#This Row],[Valor]]*85%,0))</f>
        <v>1.94</v>
      </c>
    </row>
    <row r="2266" spans="1:7" x14ac:dyDescent="0.2">
      <c r="A2266" s="35" t="s">
        <v>56</v>
      </c>
      <c r="B2266" s="31" t="s">
        <v>15</v>
      </c>
      <c r="C2266" s="32">
        <v>36966</v>
      </c>
      <c r="D2266" s="34">
        <v>5.07</v>
      </c>
      <c r="E2266" s="33"/>
      <c r="F2266" s="33"/>
      <c r="G2266" s="34">
        <f>IF(Tabela4[[#This Row],[Tipo]]="Dividendo",Tabela4[[#This Row],[Valor]],IF(Tabela4[[#This Row],[Tipo]]="Jrs. Cap. Próprio",Tabela4[[#This Row],[Valor]]*85%,0))</f>
        <v>5.07</v>
      </c>
    </row>
    <row r="2267" spans="1:7" x14ac:dyDescent="0.2">
      <c r="A2267" s="35" t="s">
        <v>56</v>
      </c>
      <c r="B2267" s="31" t="s">
        <v>15</v>
      </c>
      <c r="C2267" s="32">
        <v>36766</v>
      </c>
      <c r="D2267" s="34">
        <v>6.5</v>
      </c>
      <c r="E2267" s="33">
        <v>36789</v>
      </c>
      <c r="F2267" s="33"/>
      <c r="G2267" s="34">
        <f>IF(Tabela4[[#This Row],[Tipo]]="Dividendo",Tabela4[[#This Row],[Valor]],IF(Tabela4[[#This Row],[Tipo]]="Jrs. Cap. Próprio",Tabela4[[#This Row],[Valor]]*85%,0))</f>
        <v>6.5</v>
      </c>
    </row>
    <row r="2268" spans="1:7" x14ac:dyDescent="0.2">
      <c r="A2268" s="4" t="s">
        <v>177</v>
      </c>
      <c r="B2268" s="4" t="s">
        <v>15</v>
      </c>
      <c r="C2268" s="19"/>
      <c r="D2268" s="14">
        <v>0.60958102999999997</v>
      </c>
      <c r="E2268" s="68">
        <v>41628</v>
      </c>
      <c r="F2268" s="68"/>
      <c r="G2268" s="14">
        <f>IF(Tabela4[[#This Row],[Tipo]]="Dividendo",Tabela4[[#This Row],[Valor]],IF(Tabela4[[#This Row],[Tipo]]="Jrs. Cap. Próprio",Tabela4[[#This Row],[Valor]]*85%,0))</f>
        <v>0.60958102999999997</v>
      </c>
    </row>
    <row r="2269" spans="1:7" x14ac:dyDescent="0.2">
      <c r="A2269" s="4" t="s">
        <v>177</v>
      </c>
      <c r="B2269" s="4" t="s">
        <v>14</v>
      </c>
      <c r="C2269" s="19"/>
      <c r="D2269" s="14">
        <v>0.60958102999999997</v>
      </c>
      <c r="E2269" s="68">
        <v>41628</v>
      </c>
      <c r="F2269" s="68"/>
      <c r="G2269" s="14">
        <f>IF(Tabela4[[#This Row],[Tipo]]="Dividendo",Tabela4[[#This Row],[Valor]],IF(Tabela4[[#This Row],[Tipo]]="Jrs. Cap. Próprio",Tabela4[[#This Row],[Valor]]*85%,0))</f>
        <v>0.51814387549999996</v>
      </c>
    </row>
    <row r="2270" spans="1:7" x14ac:dyDescent="0.2">
      <c r="A2270" s="4" t="s">
        <v>177</v>
      </c>
      <c r="B2270" s="4" t="s">
        <v>15</v>
      </c>
      <c r="C2270" s="19"/>
      <c r="D2270" s="14">
        <v>1.0429208990000001</v>
      </c>
      <c r="E2270" s="68">
        <v>41435</v>
      </c>
      <c r="F2270" s="68"/>
      <c r="G2270" s="14">
        <f>IF(Tabela4[[#This Row],[Tipo]]="Dividendo",Tabela4[[#This Row],[Valor]],IF(Tabela4[[#This Row],[Tipo]]="Jrs. Cap. Próprio",Tabela4[[#This Row],[Valor]]*85%,0))</f>
        <v>1.0429208990000001</v>
      </c>
    </row>
    <row r="2271" spans="1:7" x14ac:dyDescent="0.2">
      <c r="A2271" s="4" t="s">
        <v>177</v>
      </c>
      <c r="B2271" s="4" t="s">
        <v>15</v>
      </c>
      <c r="C2271" s="19"/>
      <c r="D2271" s="14">
        <v>2.4394872809999999</v>
      </c>
      <c r="E2271" s="68">
        <v>41213</v>
      </c>
      <c r="F2271" s="68"/>
      <c r="G2271" s="14">
        <f>IF(Tabela4[[#This Row],[Tipo]]="Dividendo",Tabela4[[#This Row],[Valor]],IF(Tabela4[[#This Row],[Tipo]]="Jrs. Cap. Próprio",Tabela4[[#This Row],[Valor]]*85%,0))</f>
        <v>2.4394872809999999</v>
      </c>
    </row>
    <row r="2272" spans="1:7" x14ac:dyDescent="0.2">
      <c r="A2272" s="4" t="s">
        <v>177</v>
      </c>
      <c r="B2272" s="4" t="s">
        <v>15</v>
      </c>
      <c r="C2272" s="19"/>
      <c r="D2272" s="14">
        <v>2.4394872809999999</v>
      </c>
      <c r="E2272" s="68">
        <v>41060</v>
      </c>
      <c r="F2272" s="68"/>
      <c r="G2272" s="14">
        <f>IF(Tabela4[[#This Row],[Tipo]]="Dividendo",Tabela4[[#This Row],[Valor]],IF(Tabela4[[#This Row],[Tipo]]="Jrs. Cap. Próprio",Tabela4[[#This Row],[Valor]]*85%,0))</f>
        <v>2.4394872809999999</v>
      </c>
    </row>
    <row r="2273" spans="1:7" x14ac:dyDescent="0.2">
      <c r="A2273" s="4" t="s">
        <v>177</v>
      </c>
      <c r="B2273" s="4" t="s">
        <v>15</v>
      </c>
      <c r="C2273" s="19"/>
      <c r="D2273" s="14">
        <v>0.46444268999999999</v>
      </c>
      <c r="E2273" s="68">
        <v>41270</v>
      </c>
      <c r="F2273" s="68"/>
      <c r="G2273" s="14">
        <f>IF(Tabela4[[#This Row],[Tipo]]="Dividendo",Tabela4[[#This Row],[Valor]],IF(Tabela4[[#This Row],[Tipo]]="Jrs. Cap. Próprio",Tabela4[[#This Row],[Valor]]*85%,0))</f>
        <v>0.46444268999999999</v>
      </c>
    </row>
    <row r="2274" spans="1:7" x14ac:dyDescent="0.2">
      <c r="A2274" s="4" t="s">
        <v>177</v>
      </c>
      <c r="B2274" s="4" t="s">
        <v>15</v>
      </c>
      <c r="C2274" s="19"/>
      <c r="D2274" s="14">
        <v>3.7960200990000001</v>
      </c>
      <c r="E2274" s="68">
        <v>40847</v>
      </c>
      <c r="F2274" s="68"/>
      <c r="G2274" s="14">
        <f>IF(Tabela4[[#This Row],[Tipo]]="Dividendo",Tabela4[[#This Row],[Valor]],IF(Tabela4[[#This Row],[Tipo]]="Jrs. Cap. Próprio",Tabela4[[#This Row],[Valor]]*85%,0))</f>
        <v>3.7960200990000001</v>
      </c>
    </row>
    <row r="2275" spans="1:7" x14ac:dyDescent="0.2">
      <c r="A2275" s="4" t="s">
        <v>177</v>
      </c>
      <c r="B2275" s="4" t="s">
        <v>15</v>
      </c>
      <c r="C2275" s="19"/>
      <c r="D2275" s="14">
        <v>4.6360563900000002</v>
      </c>
      <c r="E2275" s="68">
        <v>40694</v>
      </c>
      <c r="F2275" s="68"/>
      <c r="G2275" s="14">
        <f>IF(Tabela4[[#This Row],[Tipo]]="Dividendo",Tabela4[[#This Row],[Valor]],IF(Tabela4[[#This Row],[Tipo]]="Jrs. Cap. Próprio",Tabela4[[#This Row],[Valor]]*85%,0))</f>
        <v>4.6360563900000002</v>
      </c>
    </row>
    <row r="2276" spans="1:7" x14ac:dyDescent="0.2">
      <c r="A2276" s="4" t="s">
        <v>177</v>
      </c>
      <c r="B2276" s="4" t="s">
        <v>15</v>
      </c>
      <c r="C2276" s="19"/>
      <c r="D2276" s="14">
        <v>1.210597868</v>
      </c>
      <c r="E2276" s="68">
        <v>40499</v>
      </c>
      <c r="F2276" s="68"/>
      <c r="G2276" s="14">
        <f>IF(Tabela4[[#This Row],[Tipo]]="Dividendo",Tabela4[[#This Row],[Valor]],IF(Tabela4[[#This Row],[Tipo]]="Jrs. Cap. Próprio",Tabela4[[#This Row],[Valor]]*85%,0))</f>
        <v>1.210597868</v>
      </c>
    </row>
    <row r="2277" spans="1:7" x14ac:dyDescent="0.2">
      <c r="A2277" s="4" t="s">
        <v>177</v>
      </c>
      <c r="B2277" s="4" t="s">
        <v>15</v>
      </c>
      <c r="C2277" s="19"/>
      <c r="D2277" s="14">
        <v>0.103614647</v>
      </c>
      <c r="E2277" s="68">
        <v>39906</v>
      </c>
      <c r="F2277" s="68"/>
      <c r="G2277" s="14">
        <f>IF(Tabela4[[#This Row],[Tipo]]="Dividendo",Tabela4[[#This Row],[Valor]],IF(Tabela4[[#This Row],[Tipo]]="Jrs. Cap. Próprio",Tabela4[[#This Row],[Valor]]*85%,0))</f>
        <v>0.103614647</v>
      </c>
    </row>
    <row r="2278" spans="1:7" x14ac:dyDescent="0.2">
      <c r="A2278" s="4" t="s">
        <v>177</v>
      </c>
      <c r="B2278" s="4" t="s">
        <v>14</v>
      </c>
      <c r="C2278" s="19"/>
      <c r="D2278" s="14">
        <v>0.14000000000000001</v>
      </c>
      <c r="E2278" s="68">
        <v>39532</v>
      </c>
      <c r="F2278" s="68"/>
      <c r="G2278" s="14">
        <f>IF(Tabela4[[#This Row],[Tipo]]="Dividendo",Tabela4[[#This Row],[Valor]],IF(Tabela4[[#This Row],[Tipo]]="Jrs. Cap. Próprio",Tabela4[[#This Row],[Valor]]*85%,0))</f>
        <v>0.11900000000000001</v>
      </c>
    </row>
    <row r="2279" spans="1:7" x14ac:dyDescent="0.2">
      <c r="A2279" s="4" t="s">
        <v>177</v>
      </c>
      <c r="B2279" s="4" t="s">
        <v>15</v>
      </c>
      <c r="C2279" s="19"/>
      <c r="D2279" s="14">
        <v>0.62</v>
      </c>
      <c r="E2279" s="68">
        <v>39532</v>
      </c>
      <c r="F2279" s="68"/>
      <c r="G2279" s="14">
        <f>IF(Tabela4[[#This Row],[Tipo]]="Dividendo",Tabela4[[#This Row],[Valor]],IF(Tabela4[[#This Row],[Tipo]]="Jrs. Cap. Próprio",Tabela4[[#This Row],[Valor]]*85%,0))</f>
        <v>0.62</v>
      </c>
    </row>
    <row r="2280" spans="1:7" x14ac:dyDescent="0.2">
      <c r="A2280" s="4" t="s">
        <v>177</v>
      </c>
      <c r="B2280" s="4" t="s">
        <v>15</v>
      </c>
      <c r="C2280" s="19"/>
      <c r="D2280" s="14">
        <v>0.96417900000000001</v>
      </c>
      <c r="E2280" s="68">
        <v>39688</v>
      </c>
      <c r="F2280" s="68"/>
      <c r="G2280" s="14">
        <f>IF(Tabela4[[#This Row],[Tipo]]="Dividendo",Tabela4[[#This Row],[Valor]],IF(Tabela4[[#This Row],[Tipo]]="Jrs. Cap. Próprio",Tabela4[[#This Row],[Valor]]*85%,0))</f>
        <v>0.96417900000000001</v>
      </c>
    </row>
    <row r="2281" spans="1:7" x14ac:dyDescent="0.2">
      <c r="A2281" s="4" t="s">
        <v>177</v>
      </c>
      <c r="B2281" s="4" t="s">
        <v>15</v>
      </c>
      <c r="C2281" s="19"/>
      <c r="D2281" s="14">
        <v>1.0711999999999999</v>
      </c>
      <c r="E2281" s="68">
        <v>39169</v>
      </c>
      <c r="F2281" s="68"/>
      <c r="G2281" s="14">
        <f>IF(Tabela4[[#This Row],[Tipo]]="Dividendo",Tabela4[[#This Row],[Valor]],IF(Tabela4[[#This Row],[Tipo]]="Jrs. Cap. Próprio",Tabela4[[#This Row],[Valor]]*85%,0))</f>
        <v>1.0711999999999999</v>
      </c>
    </row>
    <row r="2282" spans="1:7" x14ac:dyDescent="0.2">
      <c r="A2282" s="3" t="s">
        <v>260</v>
      </c>
      <c r="B2282" s="3" t="s">
        <v>15</v>
      </c>
      <c r="C2282" s="80">
        <v>41437</v>
      </c>
      <c r="D2282" s="10">
        <v>4.6199999999999998E-2</v>
      </c>
      <c r="E2282" s="67">
        <v>41451</v>
      </c>
      <c r="F2282" s="81">
        <v>41437</v>
      </c>
      <c r="G2282" s="10">
        <f>IF(Tabela4[[#This Row],[Tipo]]="Dividendo",Tabela4[[#This Row],[Valor]],IF(Tabela4[[#This Row],[Tipo]]="Jrs. Cap. Próprio",Tabela4[[#This Row],[Valor]]*85%,0))</f>
        <v>4.6199999999999998E-2</v>
      </c>
    </row>
    <row r="2283" spans="1:7" x14ac:dyDescent="0.2">
      <c r="A2283" s="3" t="s">
        <v>260</v>
      </c>
      <c r="B2283" s="3" t="s">
        <v>14</v>
      </c>
      <c r="C2283" s="80">
        <v>41072</v>
      </c>
      <c r="D2283" s="10">
        <v>3.2399999999999998E-2</v>
      </c>
      <c r="E2283" s="67">
        <v>41085</v>
      </c>
      <c r="F2283" s="81">
        <v>41071</v>
      </c>
      <c r="G2283" s="10">
        <f>IF(Tabela4[[#This Row],[Tipo]]="Dividendo",Tabela4[[#This Row],[Valor]],IF(Tabela4[[#This Row],[Tipo]]="Jrs. Cap. Próprio",Tabela4[[#This Row],[Valor]]*85%,0))</f>
        <v>2.7539999999999999E-2</v>
      </c>
    </row>
    <row r="2284" spans="1:7" x14ac:dyDescent="0.2">
      <c r="A2284" s="3" t="s">
        <v>260</v>
      </c>
      <c r="B2284" s="3" t="s">
        <v>15</v>
      </c>
      <c r="C2284" s="80">
        <v>41072</v>
      </c>
      <c r="D2284" s="10">
        <v>3.85E-2</v>
      </c>
      <c r="E2284" s="67">
        <v>41085</v>
      </c>
      <c r="F2284" s="81">
        <v>41071</v>
      </c>
      <c r="G2284" s="10">
        <f>IF(Tabela4[[#This Row],[Tipo]]="Dividendo",Tabela4[[#This Row],[Valor]],IF(Tabela4[[#This Row],[Tipo]]="Jrs. Cap. Próprio",Tabela4[[#This Row],[Valor]]*85%,0))</f>
        <v>3.85E-2</v>
      </c>
    </row>
    <row r="2285" spans="1:7" x14ac:dyDescent="0.2">
      <c r="A2285" s="3" t="s">
        <v>260</v>
      </c>
      <c r="B2285" s="3" t="s">
        <v>14</v>
      </c>
      <c r="C2285" s="80">
        <v>40715</v>
      </c>
      <c r="D2285" s="10">
        <v>7.4200000000000002E-2</v>
      </c>
      <c r="E2285" s="67">
        <v>40724</v>
      </c>
      <c r="F2285" s="81">
        <v>40715</v>
      </c>
      <c r="G2285" s="10">
        <f>IF(Tabela4[[#This Row],[Tipo]]="Dividendo",Tabela4[[#This Row],[Valor]],IF(Tabela4[[#This Row],[Tipo]]="Jrs. Cap. Próprio",Tabela4[[#This Row],[Valor]]*85%,0))</f>
        <v>6.3070000000000001E-2</v>
      </c>
    </row>
    <row r="2286" spans="1:7" x14ac:dyDescent="0.2">
      <c r="A2286" s="3" t="s">
        <v>260</v>
      </c>
      <c r="B2286" s="3" t="s">
        <v>15</v>
      </c>
      <c r="C2286" s="80">
        <v>40715</v>
      </c>
      <c r="D2286" s="10">
        <v>3.0000000000000001E-3</v>
      </c>
      <c r="E2286" s="67">
        <v>40724</v>
      </c>
      <c r="F2286" s="81">
        <v>40715</v>
      </c>
      <c r="G2286" s="10">
        <f>IF(Tabela4[[#This Row],[Tipo]]="Dividendo",Tabela4[[#This Row],[Valor]],IF(Tabela4[[#This Row],[Tipo]]="Jrs. Cap. Próprio",Tabela4[[#This Row],[Valor]]*85%,0))</f>
        <v>3.0000000000000001E-3</v>
      </c>
    </row>
    <row r="2287" spans="1:7" x14ac:dyDescent="0.2">
      <c r="A2287" s="35" t="s">
        <v>63</v>
      </c>
      <c r="B2287" s="35" t="s">
        <v>14</v>
      </c>
      <c r="C2287" s="36">
        <v>41487</v>
      </c>
      <c r="D2287" s="38">
        <v>0.13270000000000001</v>
      </c>
      <c r="E2287" s="37">
        <v>41514</v>
      </c>
      <c r="F2287" s="37">
        <v>41485</v>
      </c>
      <c r="G2287" s="38">
        <f>IF(Tabela4[[#This Row],[Tipo]]="Dividendo",Tabela4[[#This Row],[Valor]],IF(Tabela4[[#This Row],[Tipo]]="Jrs. Cap. Próprio",Tabela4[[#This Row],[Valor]]*85%,0))</f>
        <v>0.11279500000000001</v>
      </c>
    </row>
    <row r="2288" spans="1:7" x14ac:dyDescent="0.2">
      <c r="A2288" s="35" t="s">
        <v>63</v>
      </c>
      <c r="B2288" s="31" t="s">
        <v>15</v>
      </c>
      <c r="C2288" s="32">
        <v>41338</v>
      </c>
      <c r="D2288" s="34">
        <v>0.48130000000000001</v>
      </c>
      <c r="E2288" s="33">
        <v>41374</v>
      </c>
      <c r="F2288" s="33">
        <v>41338</v>
      </c>
      <c r="G2288" s="34">
        <f>IF(Tabela4[[#This Row],[Tipo]]="Dividendo",Tabela4[[#This Row],[Valor]],IF(Tabela4[[#This Row],[Tipo]]="Jrs. Cap. Próprio",Tabela4[[#This Row],[Valor]]*85%,0))</f>
        <v>0.48130000000000001</v>
      </c>
    </row>
    <row r="2289" spans="1:7" x14ac:dyDescent="0.2">
      <c r="A2289" s="35" t="s">
        <v>63</v>
      </c>
      <c r="B2289" s="31" t="s">
        <v>14</v>
      </c>
      <c r="C2289" s="32">
        <v>41264</v>
      </c>
      <c r="D2289" s="34">
        <v>0.2487</v>
      </c>
      <c r="E2289" s="33">
        <v>41291</v>
      </c>
      <c r="F2289" s="33">
        <v>41263</v>
      </c>
      <c r="G2289" s="34">
        <f>IF(Tabela4[[#This Row],[Tipo]]="Dividendo",Tabela4[[#This Row],[Valor]],IF(Tabela4[[#This Row],[Tipo]]="Jrs. Cap. Próprio",Tabela4[[#This Row],[Valor]]*85%,0))</f>
        <v>0.211395</v>
      </c>
    </row>
    <row r="2290" spans="1:7" x14ac:dyDescent="0.2">
      <c r="A2290" s="35" t="s">
        <v>63</v>
      </c>
      <c r="B2290" s="31" t="s">
        <v>15</v>
      </c>
      <c r="C2290" s="32">
        <v>40989</v>
      </c>
      <c r="D2290" s="34">
        <v>0.40450000000000003</v>
      </c>
      <c r="E2290" s="33">
        <v>41024</v>
      </c>
      <c r="F2290" s="33">
        <v>40989</v>
      </c>
      <c r="G2290" s="34">
        <f>IF(Tabela4[[#This Row],[Tipo]]="Dividendo",Tabela4[[#This Row],[Valor]],IF(Tabela4[[#This Row],[Tipo]]="Jrs. Cap. Próprio",Tabela4[[#This Row],[Valor]]*85%,0))</f>
        <v>0.40450000000000003</v>
      </c>
    </row>
    <row r="2291" spans="1:7" x14ac:dyDescent="0.2">
      <c r="A2291" s="35" t="s">
        <v>63</v>
      </c>
      <c r="B2291" s="31" t="s">
        <v>14</v>
      </c>
      <c r="C2291" s="32">
        <v>40898</v>
      </c>
      <c r="D2291" s="34">
        <v>0.2195</v>
      </c>
      <c r="E2291" s="33">
        <v>40926</v>
      </c>
      <c r="F2291" s="33">
        <v>40897</v>
      </c>
      <c r="G2291" s="34">
        <f>IF(Tabela4[[#This Row],[Tipo]]="Dividendo",Tabela4[[#This Row],[Valor]],IF(Tabela4[[#This Row],[Tipo]]="Jrs. Cap. Próprio",Tabela4[[#This Row],[Valor]]*85%,0))</f>
        <v>0.18657499999999999</v>
      </c>
    </row>
    <row r="2292" spans="1:7" x14ac:dyDescent="0.2">
      <c r="A2292" s="35" t="s">
        <v>63</v>
      </c>
      <c r="B2292" s="31" t="s">
        <v>15</v>
      </c>
      <c r="C2292" s="32">
        <v>40612</v>
      </c>
      <c r="D2292" s="34">
        <v>1.9106000000000001</v>
      </c>
      <c r="E2292" s="33">
        <v>40645</v>
      </c>
      <c r="F2292" s="33">
        <v>40612</v>
      </c>
      <c r="G2292" s="34">
        <f>IF(Tabela4[[#This Row],[Tipo]]="Dividendo",Tabela4[[#This Row],[Valor]],IF(Tabela4[[#This Row],[Tipo]]="Jrs. Cap. Próprio",Tabela4[[#This Row],[Valor]]*85%,0))</f>
        <v>1.9106000000000001</v>
      </c>
    </row>
    <row r="2293" spans="1:7" x14ac:dyDescent="0.2">
      <c r="A2293" s="35" t="s">
        <v>63</v>
      </c>
      <c r="B2293" s="31" t="s">
        <v>14</v>
      </c>
      <c r="C2293" s="32">
        <v>40533</v>
      </c>
      <c r="D2293" s="34">
        <v>0.85829999999999995</v>
      </c>
      <c r="E2293" s="33">
        <v>40562</v>
      </c>
      <c r="F2293" s="33">
        <v>40533</v>
      </c>
      <c r="G2293" s="34">
        <f>IF(Tabela4[[#This Row],[Tipo]]="Dividendo",Tabela4[[#This Row],[Valor]],IF(Tabela4[[#This Row],[Tipo]]="Jrs. Cap. Próprio",Tabela4[[#This Row],[Valor]]*85%,0))</f>
        <v>0.72955499999999995</v>
      </c>
    </row>
    <row r="2294" spans="1:7" x14ac:dyDescent="0.2">
      <c r="A2294" s="35" t="s">
        <v>63</v>
      </c>
      <c r="B2294" s="31" t="s">
        <v>15</v>
      </c>
      <c r="C2294" s="32">
        <v>40261</v>
      </c>
      <c r="D2294" s="34">
        <v>1.5921000000000001</v>
      </c>
      <c r="E2294" s="33">
        <v>40282</v>
      </c>
      <c r="F2294" s="33">
        <v>40261</v>
      </c>
      <c r="G2294" s="34">
        <f>IF(Tabela4[[#This Row],[Tipo]]="Dividendo",Tabela4[[#This Row],[Valor]],IF(Tabela4[[#This Row],[Tipo]]="Jrs. Cap. Próprio",Tabela4[[#This Row],[Valor]]*85%,0))</f>
        <v>1.5921000000000001</v>
      </c>
    </row>
    <row r="2295" spans="1:7" x14ac:dyDescent="0.2">
      <c r="A2295" s="35" t="s">
        <v>63</v>
      </c>
      <c r="B2295" s="31" t="s">
        <v>14</v>
      </c>
      <c r="C2295" s="32">
        <v>40157</v>
      </c>
      <c r="D2295" s="34">
        <v>0.72230000000000005</v>
      </c>
      <c r="E2295" s="33">
        <v>40198</v>
      </c>
      <c r="F2295" s="33">
        <v>40157</v>
      </c>
      <c r="G2295" s="34">
        <f>IF(Tabela4[[#This Row],[Tipo]]="Dividendo",Tabela4[[#This Row],[Valor]],IF(Tabela4[[#This Row],[Tipo]]="Jrs. Cap. Próprio",Tabela4[[#This Row],[Valor]]*85%,0))</f>
        <v>0.61395500000000003</v>
      </c>
    </row>
    <row r="2296" spans="1:7" x14ac:dyDescent="0.2">
      <c r="A2296" s="35" t="s">
        <v>63</v>
      </c>
      <c r="B2296" s="31" t="s">
        <v>15</v>
      </c>
      <c r="C2296" s="32">
        <v>39897</v>
      </c>
      <c r="D2296" s="34">
        <v>0.53</v>
      </c>
      <c r="E2296" s="33">
        <v>39926</v>
      </c>
      <c r="F2296" s="33">
        <v>39896</v>
      </c>
      <c r="G2296" s="34">
        <f>IF(Tabela4[[#This Row],[Tipo]]="Dividendo",Tabela4[[#This Row],[Valor]],IF(Tabela4[[#This Row],[Tipo]]="Jrs. Cap. Próprio",Tabela4[[#This Row],[Valor]]*85%,0))</f>
        <v>0.53</v>
      </c>
    </row>
    <row r="2297" spans="1:7" x14ac:dyDescent="0.2">
      <c r="A2297" s="35" t="s">
        <v>63</v>
      </c>
      <c r="B2297" s="31" t="s">
        <v>14</v>
      </c>
      <c r="C2297" s="32">
        <v>39800</v>
      </c>
      <c r="D2297" s="34">
        <v>0.626</v>
      </c>
      <c r="E2297" s="33">
        <v>39828</v>
      </c>
      <c r="F2297" s="33">
        <v>39800</v>
      </c>
      <c r="G2297" s="34">
        <f>IF(Tabela4[[#This Row],[Tipo]]="Dividendo",Tabela4[[#This Row],[Valor]],IF(Tabela4[[#This Row],[Tipo]]="Jrs. Cap. Próprio",Tabela4[[#This Row],[Valor]]*85%,0))</f>
        <v>0.53210000000000002</v>
      </c>
    </row>
    <row r="2298" spans="1:7" x14ac:dyDescent="0.2">
      <c r="A2298" s="35" t="s">
        <v>63</v>
      </c>
      <c r="B2298" s="31" t="s">
        <v>15</v>
      </c>
      <c r="C2298" s="32">
        <v>39514</v>
      </c>
      <c r="D2298" s="34">
        <v>1.1084000000000001</v>
      </c>
      <c r="E2298" s="33">
        <v>39525</v>
      </c>
      <c r="F2298" s="33">
        <v>39514</v>
      </c>
      <c r="G2298" s="34">
        <f>IF(Tabela4[[#This Row],[Tipo]]="Dividendo",Tabela4[[#This Row],[Valor]],IF(Tabela4[[#This Row],[Tipo]]="Jrs. Cap. Próprio",Tabela4[[#This Row],[Valor]]*85%,0))</f>
        <v>1.1084000000000001</v>
      </c>
    </row>
    <row r="2299" spans="1:7" x14ac:dyDescent="0.2">
      <c r="A2299" s="35" t="s">
        <v>63</v>
      </c>
      <c r="B2299" s="31" t="s">
        <v>15</v>
      </c>
      <c r="C2299" s="32">
        <v>39157</v>
      </c>
      <c r="D2299" s="34">
        <v>0.84540000000000004</v>
      </c>
      <c r="E2299" s="33">
        <v>39169</v>
      </c>
      <c r="F2299" s="33">
        <v>39157</v>
      </c>
      <c r="G2299" s="34">
        <f>IF(Tabela4[[#This Row],[Tipo]]="Dividendo",Tabela4[[#This Row],[Valor]],IF(Tabela4[[#This Row],[Tipo]]="Jrs. Cap. Próprio",Tabela4[[#This Row],[Valor]]*85%,0))</f>
        <v>0.84540000000000004</v>
      </c>
    </row>
    <row r="2300" spans="1:7" x14ac:dyDescent="0.2">
      <c r="A2300" s="3" t="s">
        <v>49</v>
      </c>
      <c r="B2300" s="3" t="s">
        <v>15</v>
      </c>
      <c r="C2300" s="80">
        <v>41414</v>
      </c>
      <c r="D2300" s="10">
        <v>0.39429999999999998</v>
      </c>
      <c r="E2300" s="67">
        <v>41423</v>
      </c>
      <c r="F2300" s="81">
        <v>41394</v>
      </c>
      <c r="G2300" s="10">
        <f>IF(Tabela4[[#This Row],[Tipo]]="Dividendo",Tabela4[[#This Row],[Valor]],IF(Tabela4[[#This Row],[Tipo]]="Jrs. Cap. Próprio",Tabela4[[#This Row],[Valor]]*85%,0))</f>
        <v>0.39429999999999998</v>
      </c>
    </row>
    <row r="2301" spans="1:7" x14ac:dyDescent="0.2">
      <c r="A2301" s="3" t="s">
        <v>49</v>
      </c>
      <c r="B2301" s="3" t="s">
        <v>14</v>
      </c>
      <c r="C2301" s="80">
        <v>41264</v>
      </c>
      <c r="D2301" s="10">
        <v>0.13619999999999999</v>
      </c>
      <c r="E2301" s="67">
        <v>41423</v>
      </c>
      <c r="F2301" s="81">
        <v>41264</v>
      </c>
      <c r="G2301" s="10">
        <f>IF(Tabela4[[#This Row],[Tipo]]="Dividendo",Tabela4[[#This Row],[Valor]],IF(Tabela4[[#This Row],[Tipo]]="Jrs. Cap. Próprio",Tabela4[[#This Row],[Valor]]*85%,0))</f>
        <v>0.11576999999999998</v>
      </c>
    </row>
    <row r="2302" spans="1:7" x14ac:dyDescent="0.2">
      <c r="A2302" s="4" t="s">
        <v>235</v>
      </c>
      <c r="B2302" s="4" t="s">
        <v>15</v>
      </c>
      <c r="C2302" s="19">
        <v>41393</v>
      </c>
      <c r="D2302" s="3">
        <v>4.3900000000000002E-2</v>
      </c>
      <c r="E2302" s="68">
        <v>41404</v>
      </c>
      <c r="F2302" s="68">
        <v>41393</v>
      </c>
      <c r="G2302" s="14">
        <f>IF(Tabela4[[#This Row],[Tipo]]="Dividendo",Tabela4[[#This Row],[Valor]],IF(Tabela4[[#This Row],[Tipo]]="Jrs. Cap. Próprio",Tabela4[[#This Row],[Valor]]*85%,0))</f>
        <v>4.3900000000000002E-2</v>
      </c>
    </row>
    <row r="2303" spans="1:7" x14ac:dyDescent="0.2">
      <c r="A2303" s="4" t="s">
        <v>235</v>
      </c>
      <c r="B2303" s="3" t="s">
        <v>15</v>
      </c>
      <c r="C2303" s="80">
        <v>41135</v>
      </c>
      <c r="D2303" s="3">
        <v>2.0999999999999999E-3</v>
      </c>
      <c r="E2303" s="67">
        <v>41144</v>
      </c>
      <c r="F2303" s="81">
        <v>41135</v>
      </c>
      <c r="G2303" s="10">
        <f>IF(Tabela4[[#This Row],[Tipo]]="Dividendo",Tabela4[[#This Row],[Valor]],IF(Tabela4[[#This Row],[Tipo]]="Jrs. Cap. Próprio",Tabela4[[#This Row],[Valor]]*85%,0))</f>
        <v>2.0999999999999999E-3</v>
      </c>
    </row>
    <row r="2304" spans="1:7" x14ac:dyDescent="0.2">
      <c r="A2304" s="4" t="s">
        <v>235</v>
      </c>
      <c r="B2304" s="3" t="s">
        <v>15</v>
      </c>
      <c r="C2304" s="80">
        <v>40298</v>
      </c>
      <c r="D2304" s="3">
        <v>8.8999999999999996E-2</v>
      </c>
      <c r="E2304" s="67"/>
      <c r="F2304" s="81">
        <v>40298</v>
      </c>
      <c r="G2304" s="10">
        <f>IF(Tabela4[[#This Row],[Tipo]]="Dividendo",Tabela4[[#This Row],[Valor]],IF(Tabela4[[#This Row],[Tipo]]="Jrs. Cap. Próprio",Tabela4[[#This Row],[Valor]]*85%,0))</f>
        <v>8.8999999999999996E-2</v>
      </c>
    </row>
    <row r="2305" spans="1:7" x14ac:dyDescent="0.2">
      <c r="A2305" s="4" t="s">
        <v>235</v>
      </c>
      <c r="B2305" s="3" t="s">
        <v>15</v>
      </c>
      <c r="C2305" s="80">
        <v>40045</v>
      </c>
      <c r="D2305" s="3">
        <v>1.0999999999999999E-2</v>
      </c>
      <c r="E2305" s="67">
        <v>40056</v>
      </c>
      <c r="F2305" s="81">
        <v>40045</v>
      </c>
      <c r="G2305" s="10">
        <f>IF(Tabela4[[#This Row],[Tipo]]="Dividendo",Tabela4[[#This Row],[Valor]],IF(Tabela4[[#This Row],[Tipo]]="Jrs. Cap. Próprio",Tabela4[[#This Row],[Valor]]*85%,0))</f>
        <v>1.0999999999999999E-2</v>
      </c>
    </row>
    <row r="2306" spans="1:7" x14ac:dyDescent="0.2">
      <c r="A2306" s="4" t="s">
        <v>235</v>
      </c>
      <c r="B2306" s="3" t="s">
        <v>15</v>
      </c>
      <c r="C2306" s="80">
        <v>39930</v>
      </c>
      <c r="D2306" s="3">
        <v>5.16E-2</v>
      </c>
      <c r="E2306" s="67">
        <v>39941</v>
      </c>
      <c r="F2306" s="81">
        <v>39927</v>
      </c>
      <c r="G2306" s="10">
        <f>IF(Tabela4[[#This Row],[Tipo]]="Dividendo",Tabela4[[#This Row],[Valor]],IF(Tabela4[[#This Row],[Tipo]]="Jrs. Cap. Próprio",Tabela4[[#This Row],[Valor]]*85%,0))</f>
        <v>5.16E-2</v>
      </c>
    </row>
    <row r="2307" spans="1:7" x14ac:dyDescent="0.2">
      <c r="A2307" s="4" t="s">
        <v>235</v>
      </c>
      <c r="B2307" s="3" t="s">
        <v>15</v>
      </c>
      <c r="C2307" s="80">
        <v>39853</v>
      </c>
      <c r="D2307" s="3">
        <v>2.1999999999999999E-2</v>
      </c>
      <c r="E2307" s="67"/>
      <c r="F2307" s="81">
        <v>39850</v>
      </c>
      <c r="G2307" s="10">
        <f>IF(Tabela4[[#This Row],[Tipo]]="Dividendo",Tabela4[[#This Row],[Valor]],IF(Tabela4[[#This Row],[Tipo]]="Jrs. Cap. Próprio",Tabela4[[#This Row],[Valor]]*85%,0))</f>
        <v>2.1999999999999999E-2</v>
      </c>
    </row>
    <row r="2308" spans="1:7" x14ac:dyDescent="0.2">
      <c r="A2308" s="4" t="s">
        <v>235</v>
      </c>
      <c r="B2308" s="3" t="s">
        <v>14</v>
      </c>
      <c r="C2308" s="80">
        <v>39752</v>
      </c>
      <c r="D2308" s="3">
        <v>1.32E-2</v>
      </c>
      <c r="E2308" s="67">
        <v>39766</v>
      </c>
      <c r="F2308" s="81">
        <v>39752</v>
      </c>
      <c r="G2308" s="10">
        <f>IF(Tabela4[[#This Row],[Tipo]]="Dividendo",Tabela4[[#This Row],[Valor]],IF(Tabela4[[#This Row],[Tipo]]="Jrs. Cap. Próprio",Tabela4[[#This Row],[Valor]]*85%,0))</f>
        <v>1.1219999999999999E-2</v>
      </c>
    </row>
    <row r="2309" spans="1:7" x14ac:dyDescent="0.2">
      <c r="A2309" s="4" t="s">
        <v>235</v>
      </c>
      <c r="B2309" s="3" t="s">
        <v>14</v>
      </c>
      <c r="C2309" s="80">
        <v>39672</v>
      </c>
      <c r="D2309" s="3">
        <v>1.32E-2</v>
      </c>
      <c r="E2309" s="67">
        <v>39679</v>
      </c>
      <c r="F2309" s="81">
        <v>39672</v>
      </c>
      <c r="G2309" s="10">
        <f>IF(Tabela4[[#This Row],[Tipo]]="Dividendo",Tabela4[[#This Row],[Valor]],IF(Tabela4[[#This Row],[Tipo]]="Jrs. Cap. Próprio",Tabela4[[#This Row],[Valor]]*85%,0))</f>
        <v>1.1219999999999999E-2</v>
      </c>
    </row>
    <row r="2310" spans="1:7" x14ac:dyDescent="0.2">
      <c r="A2310" s="4" t="s">
        <v>235</v>
      </c>
      <c r="B2310" s="3" t="s">
        <v>15</v>
      </c>
      <c r="C2310" s="80">
        <v>39553</v>
      </c>
      <c r="D2310" s="3">
        <v>6.7000000000000004E-2</v>
      </c>
      <c r="E2310" s="67">
        <v>39566</v>
      </c>
      <c r="F2310" s="81">
        <v>39553</v>
      </c>
      <c r="G2310" s="10">
        <f>IF(Tabela4[[#This Row],[Tipo]]="Dividendo",Tabela4[[#This Row],[Valor]],IF(Tabela4[[#This Row],[Tipo]]="Jrs. Cap. Próprio",Tabela4[[#This Row],[Valor]]*85%,0))</f>
        <v>6.7000000000000004E-2</v>
      </c>
    </row>
    <row r="2311" spans="1:7" x14ac:dyDescent="0.2">
      <c r="A2311" s="4" t="s">
        <v>235</v>
      </c>
      <c r="B2311" s="3" t="s">
        <v>15</v>
      </c>
      <c r="C2311" s="80">
        <v>39520</v>
      </c>
      <c r="D2311" s="3">
        <v>1.0999999999999999E-2</v>
      </c>
      <c r="E2311" s="67">
        <v>39532</v>
      </c>
      <c r="F2311" s="81">
        <v>39520</v>
      </c>
      <c r="G2311" s="10">
        <f>IF(Tabela4[[#This Row],[Tipo]]="Dividendo",Tabela4[[#This Row],[Valor]],IF(Tabela4[[#This Row],[Tipo]]="Jrs. Cap. Próprio",Tabela4[[#This Row],[Valor]]*85%,0))</f>
        <v>1.0999999999999999E-2</v>
      </c>
    </row>
    <row r="2312" spans="1:7" x14ac:dyDescent="0.2">
      <c r="A2312" s="35" t="s">
        <v>101</v>
      </c>
      <c r="B2312" s="35" t="s">
        <v>15</v>
      </c>
      <c r="C2312" s="36">
        <v>41393</v>
      </c>
      <c r="D2312" s="38">
        <v>7.6E-3</v>
      </c>
      <c r="E2312" s="37">
        <v>41404</v>
      </c>
      <c r="F2312" s="37">
        <v>41393</v>
      </c>
      <c r="G2312" s="38">
        <f>IF(Tabela4[[#This Row],[Tipo]]="Dividendo",Tabela4[[#This Row],[Valor]],IF(Tabela4[[#This Row],[Tipo]]="Jrs. Cap. Próprio",Tabela4[[#This Row],[Valor]]*85%,0))</f>
        <v>7.6E-3</v>
      </c>
    </row>
    <row r="2313" spans="1:7" x14ac:dyDescent="0.2">
      <c r="A2313" s="35" t="s">
        <v>101</v>
      </c>
      <c r="B2313" s="31" t="s">
        <v>15</v>
      </c>
      <c r="C2313" s="32">
        <v>41135</v>
      </c>
      <c r="D2313" s="34">
        <v>2.0999999999999999E-3</v>
      </c>
      <c r="E2313" s="33">
        <v>41144</v>
      </c>
      <c r="F2313" s="33">
        <v>41135</v>
      </c>
      <c r="G2313" s="34">
        <f>IF(Tabela4[[#This Row],[Tipo]]="Dividendo",Tabela4[[#This Row],[Valor]],IF(Tabela4[[#This Row],[Tipo]]="Jrs. Cap. Próprio",Tabela4[[#This Row],[Valor]]*85%,0))</f>
        <v>2.0999999999999999E-3</v>
      </c>
    </row>
    <row r="2314" spans="1:7" x14ac:dyDescent="0.2">
      <c r="A2314" s="35" t="s">
        <v>101</v>
      </c>
      <c r="B2314" s="31" t="s">
        <v>15</v>
      </c>
      <c r="C2314" s="32">
        <v>40045</v>
      </c>
      <c r="D2314" s="34">
        <v>1.0999999999999999E-2</v>
      </c>
      <c r="E2314" s="33">
        <v>40056</v>
      </c>
      <c r="F2314" s="33">
        <v>40045</v>
      </c>
      <c r="G2314" s="34">
        <f>IF(Tabela4[[#This Row],[Tipo]]="Dividendo",Tabela4[[#This Row],[Valor]],IF(Tabela4[[#This Row],[Tipo]]="Jrs. Cap. Próprio",Tabela4[[#This Row],[Valor]]*85%,0))</f>
        <v>1.0999999999999999E-2</v>
      </c>
    </row>
    <row r="2315" spans="1:7" x14ac:dyDescent="0.2">
      <c r="A2315" s="35" t="s">
        <v>101</v>
      </c>
      <c r="B2315" s="31" t="s">
        <v>15</v>
      </c>
      <c r="C2315" s="32">
        <v>39853</v>
      </c>
      <c r="D2315" s="34">
        <v>2.1999999999999999E-2</v>
      </c>
      <c r="E2315" s="33"/>
      <c r="F2315" s="33">
        <v>39850</v>
      </c>
      <c r="G2315" s="34">
        <f>IF(Tabela4[[#This Row],[Tipo]]="Dividendo",Tabela4[[#This Row],[Valor]],IF(Tabela4[[#This Row],[Tipo]]="Jrs. Cap. Próprio",Tabela4[[#This Row],[Valor]]*85%,0))</f>
        <v>2.1999999999999999E-2</v>
      </c>
    </row>
    <row r="2316" spans="1:7" x14ac:dyDescent="0.2">
      <c r="A2316" s="35" t="s">
        <v>101</v>
      </c>
      <c r="B2316" s="31" t="s">
        <v>14</v>
      </c>
      <c r="C2316" s="32">
        <v>39752</v>
      </c>
      <c r="D2316" s="34">
        <v>1.32E-2</v>
      </c>
      <c r="E2316" s="33">
        <v>39766</v>
      </c>
      <c r="F2316" s="33">
        <v>39752</v>
      </c>
      <c r="G2316" s="34">
        <f>IF(Tabela4[[#This Row],[Tipo]]="Dividendo",Tabela4[[#This Row],[Valor]],IF(Tabela4[[#This Row],[Tipo]]="Jrs. Cap. Próprio",Tabela4[[#This Row],[Valor]]*85%,0))</f>
        <v>1.1219999999999999E-2</v>
      </c>
    </row>
    <row r="2317" spans="1:7" x14ac:dyDescent="0.2">
      <c r="A2317" s="35" t="s">
        <v>101</v>
      </c>
      <c r="B2317" s="31" t="s">
        <v>14</v>
      </c>
      <c r="C2317" s="32">
        <v>39672</v>
      </c>
      <c r="D2317" s="34">
        <v>1.32E-2</v>
      </c>
      <c r="E2317" s="33">
        <v>39679</v>
      </c>
      <c r="F2317" s="33">
        <v>39672</v>
      </c>
      <c r="G2317" s="34">
        <f>IF(Tabela4[[#This Row],[Tipo]]="Dividendo",Tabela4[[#This Row],[Valor]],IF(Tabela4[[#This Row],[Tipo]]="Jrs. Cap. Próprio",Tabela4[[#This Row],[Valor]]*85%,0))</f>
        <v>1.1219999999999999E-2</v>
      </c>
    </row>
    <row r="2318" spans="1:7" x14ac:dyDescent="0.2">
      <c r="A2318" s="35" t="s">
        <v>101</v>
      </c>
      <c r="B2318" s="31" t="s">
        <v>15</v>
      </c>
      <c r="C2318" s="32">
        <v>39553</v>
      </c>
      <c r="D2318" s="34">
        <v>2.3099999999999999E-2</v>
      </c>
      <c r="E2318" s="33">
        <v>39566</v>
      </c>
      <c r="F2318" s="33">
        <v>39553</v>
      </c>
      <c r="G2318" s="34">
        <f>IF(Tabela4[[#This Row],[Tipo]]="Dividendo",Tabela4[[#This Row],[Valor]],IF(Tabela4[[#This Row],[Tipo]]="Jrs. Cap. Próprio",Tabela4[[#This Row],[Valor]]*85%,0))</f>
        <v>2.3099999999999999E-2</v>
      </c>
    </row>
    <row r="2319" spans="1:7" x14ac:dyDescent="0.2">
      <c r="A2319" s="35" t="s">
        <v>101</v>
      </c>
      <c r="B2319" s="31" t="s">
        <v>15</v>
      </c>
      <c r="C2319" s="32">
        <v>39520</v>
      </c>
      <c r="D2319" s="34">
        <v>1.0999999999999999E-2</v>
      </c>
      <c r="E2319" s="33">
        <v>39532</v>
      </c>
      <c r="F2319" s="33">
        <v>39520</v>
      </c>
      <c r="G2319" s="34">
        <f>IF(Tabela4[[#This Row],[Tipo]]="Dividendo",Tabela4[[#This Row],[Valor]],IF(Tabela4[[#This Row],[Tipo]]="Jrs. Cap. Próprio",Tabela4[[#This Row],[Valor]]*85%,0))</f>
        <v>1.0999999999999999E-2</v>
      </c>
    </row>
    <row r="2320" spans="1:7" x14ac:dyDescent="0.2">
      <c r="A2320" s="35" t="s">
        <v>101</v>
      </c>
      <c r="B2320" s="31" t="s">
        <v>15</v>
      </c>
      <c r="C2320" s="32">
        <v>39426</v>
      </c>
      <c r="D2320" s="34">
        <v>1.0999999999999999E-2</v>
      </c>
      <c r="E2320" s="33">
        <v>39435</v>
      </c>
      <c r="F2320" s="33">
        <v>39426</v>
      </c>
      <c r="G2320" s="34">
        <f>IF(Tabela4[[#This Row],[Tipo]]="Dividendo",Tabela4[[#This Row],[Valor]],IF(Tabela4[[#This Row],[Tipo]]="Jrs. Cap. Próprio",Tabela4[[#This Row],[Valor]]*85%,0))</f>
        <v>1.0999999999999999E-2</v>
      </c>
    </row>
    <row r="2321" spans="1:7" x14ac:dyDescent="0.2">
      <c r="A2321" s="35" t="s">
        <v>101</v>
      </c>
      <c r="B2321" s="31" t="s">
        <v>15</v>
      </c>
      <c r="C2321" s="32">
        <v>39317</v>
      </c>
      <c r="D2321" s="34">
        <v>1.0999999999999999E-2</v>
      </c>
      <c r="E2321" s="33">
        <v>39325</v>
      </c>
      <c r="F2321" s="33">
        <v>39317</v>
      </c>
      <c r="G2321" s="34">
        <f>IF(Tabela4[[#This Row],[Tipo]]="Dividendo",Tabela4[[#This Row],[Valor]],IF(Tabela4[[#This Row],[Tipo]]="Jrs. Cap. Próprio",Tabela4[[#This Row],[Valor]]*85%,0))</f>
        <v>1.0999999999999999E-2</v>
      </c>
    </row>
    <row r="2322" spans="1:7" x14ac:dyDescent="0.2">
      <c r="A2322" s="35" t="s">
        <v>101</v>
      </c>
      <c r="B2322" s="31" t="s">
        <v>15</v>
      </c>
      <c r="C2322" s="32">
        <v>39188</v>
      </c>
      <c r="D2322" s="34">
        <v>8.0000000000000004E-4</v>
      </c>
      <c r="E2322" s="33">
        <v>39196</v>
      </c>
      <c r="F2322" s="33">
        <v>39188</v>
      </c>
      <c r="G2322" s="34">
        <f>IF(Tabela4[[#This Row],[Tipo]]="Dividendo",Tabela4[[#This Row],[Valor]],IF(Tabela4[[#This Row],[Tipo]]="Jrs. Cap. Próprio",Tabela4[[#This Row],[Valor]]*85%,0))</f>
        <v>8.0000000000000004E-4</v>
      </c>
    </row>
    <row r="2323" spans="1:7" x14ac:dyDescent="0.2">
      <c r="A2323" s="35" t="s">
        <v>101</v>
      </c>
      <c r="B2323" s="31" t="s">
        <v>14</v>
      </c>
      <c r="C2323" s="32">
        <v>39072</v>
      </c>
      <c r="D2323" s="34">
        <v>2.9700000000000001E-2</v>
      </c>
      <c r="E2323" s="33"/>
      <c r="F2323" s="33">
        <v>39072</v>
      </c>
      <c r="G2323" s="34">
        <f>IF(Tabela4[[#This Row],[Tipo]]="Dividendo",Tabela4[[#This Row],[Valor]],IF(Tabela4[[#This Row],[Tipo]]="Jrs. Cap. Próprio",Tabela4[[#This Row],[Valor]]*85%,0))</f>
        <v>2.5245E-2</v>
      </c>
    </row>
    <row r="2324" spans="1:7" x14ac:dyDescent="0.2">
      <c r="A2324" s="35" t="s">
        <v>101</v>
      </c>
      <c r="B2324" s="31" t="s">
        <v>14</v>
      </c>
      <c r="C2324" s="32">
        <v>39034</v>
      </c>
      <c r="D2324" s="34">
        <v>1.0999999999999999E-2</v>
      </c>
      <c r="E2324" s="33">
        <v>39044</v>
      </c>
      <c r="F2324" s="33">
        <v>39034</v>
      </c>
      <c r="G2324" s="34">
        <f>IF(Tabela4[[#This Row],[Tipo]]="Dividendo",Tabela4[[#This Row],[Valor]],IF(Tabela4[[#This Row],[Tipo]]="Jrs. Cap. Próprio",Tabela4[[#This Row],[Valor]]*85%,0))</f>
        <v>9.3499999999999989E-3</v>
      </c>
    </row>
    <row r="2325" spans="1:7" x14ac:dyDescent="0.2">
      <c r="A2325" s="35" t="s">
        <v>101</v>
      </c>
      <c r="B2325" s="31" t="s">
        <v>14</v>
      </c>
      <c r="C2325" s="32">
        <v>38954</v>
      </c>
      <c r="D2325" s="34">
        <v>1.0999999999999999E-2</v>
      </c>
      <c r="E2325" s="33">
        <v>38971</v>
      </c>
      <c r="F2325" s="33">
        <v>38954</v>
      </c>
      <c r="G2325" s="34">
        <f>IF(Tabela4[[#This Row],[Tipo]]="Dividendo",Tabela4[[#This Row],[Valor]],IF(Tabela4[[#This Row],[Tipo]]="Jrs. Cap. Próprio",Tabela4[[#This Row],[Valor]]*85%,0))</f>
        <v>9.3499999999999989E-3</v>
      </c>
    </row>
    <row r="2326" spans="1:7" x14ac:dyDescent="0.2">
      <c r="A2326" s="35" t="s">
        <v>101</v>
      </c>
      <c r="B2326" s="31" t="s">
        <v>15</v>
      </c>
      <c r="C2326" s="32">
        <v>38834</v>
      </c>
      <c r="D2326" s="34">
        <v>1.29E-2</v>
      </c>
      <c r="E2326" s="33">
        <v>38848</v>
      </c>
      <c r="F2326" s="33">
        <v>38834</v>
      </c>
      <c r="G2326" s="34">
        <f>IF(Tabela4[[#This Row],[Tipo]]="Dividendo",Tabela4[[#This Row],[Valor]],IF(Tabela4[[#This Row],[Tipo]]="Jrs. Cap. Próprio",Tabela4[[#This Row],[Valor]]*85%,0))</f>
        <v>1.29E-2</v>
      </c>
    </row>
    <row r="2327" spans="1:7" x14ac:dyDescent="0.2">
      <c r="A2327" s="35" t="s">
        <v>101</v>
      </c>
      <c r="B2327" s="31" t="s">
        <v>14</v>
      </c>
      <c r="C2327" s="32">
        <v>38713</v>
      </c>
      <c r="D2327" s="34">
        <v>2.1999999999999999E-2</v>
      </c>
      <c r="E2327" s="33">
        <v>38848</v>
      </c>
      <c r="F2327" s="33">
        <v>38713</v>
      </c>
      <c r="G2327" s="34">
        <f>IF(Tabela4[[#This Row],[Tipo]]="Dividendo",Tabela4[[#This Row],[Valor]],IF(Tabela4[[#This Row],[Tipo]]="Jrs. Cap. Próprio",Tabela4[[#This Row],[Valor]]*85%,0))</f>
        <v>1.8699999999999998E-2</v>
      </c>
    </row>
    <row r="2328" spans="1:7" x14ac:dyDescent="0.2">
      <c r="A2328" s="35" t="s">
        <v>101</v>
      </c>
      <c r="B2328" s="31" t="s">
        <v>14</v>
      </c>
      <c r="C2328" s="32">
        <v>38625</v>
      </c>
      <c r="D2328" s="34">
        <v>2.75E-2</v>
      </c>
      <c r="E2328" s="33"/>
      <c r="F2328" s="33">
        <v>38624</v>
      </c>
      <c r="G2328" s="34">
        <f>IF(Tabela4[[#This Row],[Tipo]]="Dividendo",Tabela4[[#This Row],[Valor]],IF(Tabela4[[#This Row],[Tipo]]="Jrs. Cap. Próprio",Tabela4[[#This Row],[Valor]]*85%,0))</f>
        <v>2.3375E-2</v>
      </c>
    </row>
    <row r="2329" spans="1:7" x14ac:dyDescent="0.2">
      <c r="A2329" s="35" t="s">
        <v>101</v>
      </c>
      <c r="B2329" s="31" t="s">
        <v>14</v>
      </c>
      <c r="C2329" s="32">
        <v>38533</v>
      </c>
      <c r="D2329" s="34">
        <v>4.3999999999999997E-2</v>
      </c>
      <c r="E2329" s="33"/>
      <c r="F2329" s="33">
        <v>38533</v>
      </c>
      <c r="G2329" s="34">
        <f>IF(Tabela4[[#This Row],[Tipo]]="Dividendo",Tabela4[[#This Row],[Valor]],IF(Tabela4[[#This Row],[Tipo]]="Jrs. Cap. Próprio",Tabela4[[#This Row],[Valor]]*85%,0))</f>
        <v>3.7399999999999996E-2</v>
      </c>
    </row>
    <row r="2330" spans="1:7" x14ac:dyDescent="0.2">
      <c r="A2330" s="35" t="s">
        <v>101</v>
      </c>
      <c r="B2330" s="31" t="s">
        <v>15</v>
      </c>
      <c r="C2330" s="32">
        <v>38469</v>
      </c>
      <c r="D2330" s="34">
        <v>2.3099999999999999E-2</v>
      </c>
      <c r="E2330" s="33">
        <v>38482</v>
      </c>
      <c r="F2330" s="33">
        <v>38469</v>
      </c>
      <c r="G2330" s="34">
        <f>IF(Tabela4[[#This Row],[Tipo]]="Dividendo",Tabela4[[#This Row],[Valor]],IF(Tabela4[[#This Row],[Tipo]]="Jrs. Cap. Próprio",Tabela4[[#This Row],[Valor]]*85%,0))</f>
        <v>2.3099999999999999E-2</v>
      </c>
    </row>
    <row r="2331" spans="1:7" x14ac:dyDescent="0.2">
      <c r="A2331" s="35" t="s">
        <v>101</v>
      </c>
      <c r="B2331" s="31" t="s">
        <v>14</v>
      </c>
      <c r="C2331" s="32">
        <v>38348</v>
      </c>
      <c r="D2331" s="34">
        <v>0.09</v>
      </c>
      <c r="E2331" s="33">
        <v>38482</v>
      </c>
      <c r="F2331" s="33">
        <v>38348</v>
      </c>
      <c r="G2331" s="34">
        <f>IF(Tabela4[[#This Row],[Tipo]]="Dividendo",Tabela4[[#This Row],[Valor]],IF(Tabela4[[#This Row],[Tipo]]="Jrs. Cap. Próprio",Tabela4[[#This Row],[Valor]]*85%,0))</f>
        <v>7.6499999999999999E-2</v>
      </c>
    </row>
    <row r="2332" spans="1:7" x14ac:dyDescent="0.2">
      <c r="A2332" s="35" t="s">
        <v>101</v>
      </c>
      <c r="B2332" s="31" t="s">
        <v>14</v>
      </c>
      <c r="C2332" s="32">
        <v>38210</v>
      </c>
      <c r="D2332" s="34">
        <v>2.5000000000000001E-2</v>
      </c>
      <c r="E2332" s="33">
        <v>38296</v>
      </c>
      <c r="F2332" s="33">
        <v>38210</v>
      </c>
      <c r="G2332" s="34">
        <f>IF(Tabela4[[#This Row],[Tipo]]="Dividendo",Tabela4[[#This Row],[Valor]],IF(Tabela4[[#This Row],[Tipo]]="Jrs. Cap. Próprio",Tabela4[[#This Row],[Valor]]*85%,0))</f>
        <v>2.1250000000000002E-2</v>
      </c>
    </row>
    <row r="2333" spans="1:7" x14ac:dyDescent="0.2">
      <c r="A2333" s="35" t="s">
        <v>101</v>
      </c>
      <c r="B2333" s="31" t="s">
        <v>15</v>
      </c>
      <c r="C2333" s="32">
        <v>38104</v>
      </c>
      <c r="D2333" s="34">
        <v>2.3800000000000002E-2</v>
      </c>
      <c r="E2333" s="33">
        <v>38125</v>
      </c>
      <c r="F2333" s="33">
        <v>38104</v>
      </c>
      <c r="G2333" s="34">
        <f>IF(Tabela4[[#This Row],[Tipo]]="Dividendo",Tabela4[[#This Row],[Valor]],IF(Tabela4[[#This Row],[Tipo]]="Jrs. Cap. Próprio",Tabela4[[#This Row],[Valor]]*85%,0))</f>
        <v>2.3800000000000002E-2</v>
      </c>
    </row>
    <row r="2334" spans="1:7" x14ac:dyDescent="0.2">
      <c r="A2334" s="35" t="s">
        <v>101</v>
      </c>
      <c r="B2334" s="31" t="s">
        <v>14</v>
      </c>
      <c r="C2334" s="32">
        <v>37985</v>
      </c>
      <c r="D2334" s="34">
        <v>0.04</v>
      </c>
      <c r="E2334" s="33">
        <v>38125</v>
      </c>
      <c r="F2334" s="33">
        <v>37985</v>
      </c>
      <c r="G2334" s="34">
        <f>IF(Tabela4[[#This Row],[Tipo]]="Dividendo",Tabela4[[#This Row],[Valor]],IF(Tabela4[[#This Row],[Tipo]]="Jrs. Cap. Próprio",Tabela4[[#This Row],[Valor]]*85%,0))</f>
        <v>3.4000000000000002E-2</v>
      </c>
    </row>
    <row r="2335" spans="1:7" x14ac:dyDescent="0.2">
      <c r="A2335" s="35" t="s">
        <v>101</v>
      </c>
      <c r="B2335" s="31" t="s">
        <v>15</v>
      </c>
      <c r="C2335" s="32">
        <v>37931</v>
      </c>
      <c r="D2335" s="34">
        <v>0.02</v>
      </c>
      <c r="E2335" s="33">
        <v>37953</v>
      </c>
      <c r="F2335" s="33">
        <v>37931</v>
      </c>
      <c r="G2335" s="34">
        <f>IF(Tabela4[[#This Row],[Tipo]]="Dividendo",Tabela4[[#This Row],[Valor]],IF(Tabela4[[#This Row],[Tipo]]="Jrs. Cap. Próprio",Tabela4[[#This Row],[Valor]]*85%,0))</f>
        <v>0.02</v>
      </c>
    </row>
    <row r="2336" spans="1:7" x14ac:dyDescent="0.2">
      <c r="A2336" s="35" t="s">
        <v>101</v>
      </c>
      <c r="B2336" s="31" t="s">
        <v>15</v>
      </c>
      <c r="C2336" s="32">
        <v>37736</v>
      </c>
      <c r="D2336" s="34">
        <v>2.1499999999999998E-2</v>
      </c>
      <c r="E2336" s="33">
        <v>37757</v>
      </c>
      <c r="F2336" s="33">
        <v>37736</v>
      </c>
      <c r="G2336" s="34">
        <f>IF(Tabela4[[#This Row],[Tipo]]="Dividendo",Tabela4[[#This Row],[Valor]],IF(Tabela4[[#This Row],[Tipo]]="Jrs. Cap. Próprio",Tabela4[[#This Row],[Valor]]*85%,0))</f>
        <v>2.1499999999999998E-2</v>
      </c>
    </row>
    <row r="2337" spans="1:7" x14ac:dyDescent="0.2">
      <c r="A2337" s="35" t="s">
        <v>101</v>
      </c>
      <c r="B2337" s="31" t="s">
        <v>14</v>
      </c>
      <c r="C2337" s="32">
        <v>37610</v>
      </c>
      <c r="D2337" s="34">
        <v>1.7000000000000001E-2</v>
      </c>
      <c r="E2337" s="33">
        <v>37757</v>
      </c>
      <c r="F2337" s="33">
        <v>37610</v>
      </c>
      <c r="G2337" s="34">
        <f>IF(Tabela4[[#This Row],[Tipo]]="Dividendo",Tabela4[[#This Row],[Valor]],IF(Tabela4[[#This Row],[Tipo]]="Jrs. Cap. Próprio",Tabela4[[#This Row],[Valor]]*85%,0))</f>
        <v>1.4450000000000001E-2</v>
      </c>
    </row>
    <row r="2338" spans="1:7" x14ac:dyDescent="0.2">
      <c r="A2338" s="35" t="s">
        <v>101</v>
      </c>
      <c r="B2338" s="31" t="s">
        <v>14</v>
      </c>
      <c r="C2338" s="32">
        <v>37553</v>
      </c>
      <c r="D2338" s="34">
        <v>0.06</v>
      </c>
      <c r="E2338" s="33"/>
      <c r="F2338" s="33">
        <v>37553</v>
      </c>
      <c r="G2338" s="34">
        <f>IF(Tabela4[[#This Row],[Tipo]]="Dividendo",Tabela4[[#This Row],[Valor]],IF(Tabela4[[#This Row],[Tipo]]="Jrs. Cap. Próprio",Tabela4[[#This Row],[Valor]]*85%,0))</f>
        <v>5.0999999999999997E-2</v>
      </c>
    </row>
    <row r="2339" spans="1:7" x14ac:dyDescent="0.2">
      <c r="A2339" s="35" t="s">
        <v>101</v>
      </c>
      <c r="B2339" s="31" t="s">
        <v>15</v>
      </c>
      <c r="C2339" s="32">
        <v>37371</v>
      </c>
      <c r="D2339" s="34">
        <v>2.2200000000000001E-2</v>
      </c>
      <c r="E2339" s="33">
        <v>37392</v>
      </c>
      <c r="F2339" s="33">
        <v>37371</v>
      </c>
      <c r="G2339" s="34">
        <f>IF(Tabela4[[#This Row],[Tipo]]="Dividendo",Tabela4[[#This Row],[Valor]],IF(Tabela4[[#This Row],[Tipo]]="Jrs. Cap. Próprio",Tabela4[[#This Row],[Valor]]*85%,0))</f>
        <v>2.2200000000000001E-2</v>
      </c>
    </row>
    <row r="2340" spans="1:7" x14ac:dyDescent="0.2">
      <c r="A2340" s="35" t="s">
        <v>101</v>
      </c>
      <c r="B2340" s="31" t="s">
        <v>14</v>
      </c>
      <c r="C2340" s="32">
        <v>37246</v>
      </c>
      <c r="D2340" s="34">
        <v>0.04</v>
      </c>
      <c r="E2340" s="33">
        <v>37273</v>
      </c>
      <c r="F2340" s="33">
        <v>37246</v>
      </c>
      <c r="G2340" s="34">
        <f>IF(Tabela4[[#This Row],[Tipo]]="Dividendo",Tabela4[[#This Row],[Valor]],IF(Tabela4[[#This Row],[Tipo]]="Jrs. Cap. Próprio",Tabela4[[#This Row],[Valor]]*85%,0))</f>
        <v>3.4000000000000002E-2</v>
      </c>
    </row>
    <row r="2341" spans="1:7" x14ac:dyDescent="0.2">
      <c r="A2341" s="35" t="s">
        <v>101</v>
      </c>
      <c r="B2341" s="31" t="s">
        <v>14</v>
      </c>
      <c r="C2341" s="32">
        <v>37064</v>
      </c>
      <c r="D2341" s="34">
        <v>0.04</v>
      </c>
      <c r="E2341" s="33">
        <v>37180</v>
      </c>
      <c r="F2341" s="33">
        <v>37064</v>
      </c>
      <c r="G2341" s="34">
        <f>IF(Tabela4[[#This Row],[Tipo]]="Dividendo",Tabela4[[#This Row],[Valor]],IF(Tabela4[[#This Row],[Tipo]]="Jrs. Cap. Próprio",Tabela4[[#This Row],[Valor]]*85%,0))</f>
        <v>3.4000000000000002E-2</v>
      </c>
    </row>
    <row r="2342" spans="1:7" x14ac:dyDescent="0.2">
      <c r="A2342" s="35" t="s">
        <v>101</v>
      </c>
      <c r="B2342" s="31" t="s">
        <v>15</v>
      </c>
      <c r="C2342" s="32">
        <v>37008</v>
      </c>
      <c r="D2342" s="34">
        <v>5.3499999999999999E-2</v>
      </c>
      <c r="E2342" s="33">
        <v>37025</v>
      </c>
      <c r="F2342" s="33">
        <v>37008</v>
      </c>
      <c r="G2342" s="34">
        <f>IF(Tabela4[[#This Row],[Tipo]]="Dividendo",Tabela4[[#This Row],[Valor]],IF(Tabela4[[#This Row],[Tipo]]="Jrs. Cap. Próprio",Tabela4[[#This Row],[Valor]]*85%,0))</f>
        <v>5.3499999999999999E-2</v>
      </c>
    </row>
    <row r="2343" spans="1:7" x14ac:dyDescent="0.2">
      <c r="A2343" s="35" t="s">
        <v>101</v>
      </c>
      <c r="B2343" s="31" t="s">
        <v>14</v>
      </c>
      <c r="C2343" s="32">
        <v>36888</v>
      </c>
      <c r="D2343" s="34">
        <v>0.05</v>
      </c>
      <c r="E2343" s="33">
        <v>36903</v>
      </c>
      <c r="F2343" s="33">
        <v>36888</v>
      </c>
      <c r="G2343" s="34">
        <f>IF(Tabela4[[#This Row],[Tipo]]="Dividendo",Tabela4[[#This Row],[Valor]],IF(Tabela4[[#This Row],[Tipo]]="Jrs. Cap. Próprio",Tabela4[[#This Row],[Valor]]*85%,0))</f>
        <v>4.2500000000000003E-2</v>
      </c>
    </row>
    <row r="2344" spans="1:7" x14ac:dyDescent="0.2">
      <c r="A2344" s="35" t="s">
        <v>101</v>
      </c>
      <c r="B2344" s="31" t="s">
        <v>15</v>
      </c>
      <c r="C2344" s="32">
        <v>36643</v>
      </c>
      <c r="D2344" s="34">
        <v>0.12529999999999999</v>
      </c>
      <c r="E2344" s="33"/>
      <c r="F2344" s="33">
        <v>36643</v>
      </c>
      <c r="G2344" s="34">
        <f>IF(Tabela4[[#This Row],[Tipo]]="Dividendo",Tabela4[[#This Row],[Valor]],IF(Tabela4[[#This Row],[Tipo]]="Jrs. Cap. Próprio",Tabela4[[#This Row],[Valor]]*85%,0))</f>
        <v>0.12529999999999999</v>
      </c>
    </row>
    <row r="2345" spans="1:7" x14ac:dyDescent="0.2">
      <c r="A2345" s="35" t="s">
        <v>101</v>
      </c>
      <c r="B2345" s="31" t="s">
        <v>14</v>
      </c>
      <c r="C2345" s="32">
        <v>36524</v>
      </c>
      <c r="D2345" s="34">
        <v>5.6000000000000001E-2</v>
      </c>
      <c r="E2345" s="33">
        <v>36669</v>
      </c>
      <c r="F2345" s="33">
        <v>36524</v>
      </c>
      <c r="G2345" s="34">
        <f>IF(Tabela4[[#This Row],[Tipo]]="Dividendo",Tabela4[[#This Row],[Valor]],IF(Tabela4[[#This Row],[Tipo]]="Jrs. Cap. Próprio",Tabela4[[#This Row],[Valor]]*85%,0))</f>
        <v>4.7599999999999996E-2</v>
      </c>
    </row>
    <row r="2346" spans="1:7" x14ac:dyDescent="0.2">
      <c r="A2346" s="35" t="s">
        <v>101</v>
      </c>
      <c r="B2346" s="31" t="s">
        <v>15</v>
      </c>
      <c r="C2346" s="32">
        <v>36495</v>
      </c>
      <c r="D2346" s="34">
        <v>0.02</v>
      </c>
      <c r="E2346" s="33">
        <v>36508</v>
      </c>
      <c r="F2346" s="33">
        <v>36495</v>
      </c>
      <c r="G2346" s="34">
        <f>IF(Tabela4[[#This Row],[Tipo]]="Dividendo",Tabela4[[#This Row],[Valor]],IF(Tabela4[[#This Row],[Tipo]]="Jrs. Cap. Próprio",Tabela4[[#This Row],[Valor]]*85%,0))</f>
        <v>0.02</v>
      </c>
    </row>
    <row r="2347" spans="1:7" x14ac:dyDescent="0.2">
      <c r="A2347" s="35" t="s">
        <v>101</v>
      </c>
      <c r="B2347" s="31" t="s">
        <v>15</v>
      </c>
      <c r="C2347" s="32">
        <v>36381</v>
      </c>
      <c r="D2347" s="34">
        <v>1.4999999999999999E-2</v>
      </c>
      <c r="E2347" s="33"/>
      <c r="F2347" s="33">
        <v>36378</v>
      </c>
      <c r="G2347" s="34">
        <f>IF(Tabela4[[#This Row],[Tipo]]="Dividendo",Tabela4[[#This Row],[Valor]],IF(Tabela4[[#This Row],[Tipo]]="Jrs. Cap. Próprio",Tabela4[[#This Row],[Valor]]*85%,0))</f>
        <v>1.4999999999999999E-2</v>
      </c>
    </row>
    <row r="2348" spans="1:7" x14ac:dyDescent="0.2">
      <c r="A2348" s="35" t="s">
        <v>101</v>
      </c>
      <c r="B2348" s="31" t="s">
        <v>15</v>
      </c>
      <c r="C2348" s="32">
        <v>36280</v>
      </c>
      <c r="D2348" s="34">
        <v>0.03</v>
      </c>
      <c r="E2348" s="33"/>
      <c r="F2348" s="33">
        <v>36280</v>
      </c>
      <c r="G2348" s="34">
        <f>IF(Tabela4[[#This Row],[Tipo]]="Dividendo",Tabela4[[#This Row],[Valor]],IF(Tabela4[[#This Row],[Tipo]]="Jrs. Cap. Próprio",Tabela4[[#This Row],[Valor]]*85%,0))</f>
        <v>0.03</v>
      </c>
    </row>
    <row r="2349" spans="1:7" x14ac:dyDescent="0.2">
      <c r="A2349" s="35" t="s">
        <v>101</v>
      </c>
      <c r="B2349" s="31" t="s">
        <v>15</v>
      </c>
      <c r="C2349" s="32">
        <v>36133</v>
      </c>
      <c r="D2349" s="34">
        <v>0.01</v>
      </c>
      <c r="E2349" s="33"/>
      <c r="F2349" s="33">
        <v>36133</v>
      </c>
      <c r="G2349" s="34">
        <f>IF(Tabela4[[#This Row],[Tipo]]="Dividendo",Tabela4[[#This Row],[Valor]],IF(Tabela4[[#This Row],[Tipo]]="Jrs. Cap. Próprio",Tabela4[[#This Row],[Valor]]*85%,0))</f>
        <v>0.01</v>
      </c>
    </row>
    <row r="2350" spans="1:7" x14ac:dyDescent="0.2">
      <c r="A2350" s="35" t="s">
        <v>101</v>
      </c>
      <c r="B2350" s="31" t="s">
        <v>15</v>
      </c>
      <c r="C2350" s="32">
        <v>36024</v>
      </c>
      <c r="D2350" s="34">
        <v>0.01</v>
      </c>
      <c r="E2350" s="33"/>
      <c r="F2350" s="33">
        <v>36024</v>
      </c>
      <c r="G2350" s="34">
        <f>IF(Tabela4[[#This Row],[Tipo]]="Dividendo",Tabela4[[#This Row],[Valor]],IF(Tabela4[[#This Row],[Tipo]]="Jrs. Cap. Próprio",Tabela4[[#This Row],[Valor]]*85%,0))</f>
        <v>0.01</v>
      </c>
    </row>
    <row r="2351" spans="1:7" x14ac:dyDescent="0.2">
      <c r="A2351" s="35" t="s">
        <v>101</v>
      </c>
      <c r="B2351" s="31" t="s">
        <v>15</v>
      </c>
      <c r="C2351" s="32">
        <v>35912</v>
      </c>
      <c r="D2351" s="34">
        <v>0.01</v>
      </c>
      <c r="E2351" s="33"/>
      <c r="F2351" s="33">
        <v>35912</v>
      </c>
      <c r="G2351" s="34">
        <f>IF(Tabela4[[#This Row],[Tipo]]="Dividendo",Tabela4[[#This Row],[Valor]],IF(Tabela4[[#This Row],[Tipo]]="Jrs. Cap. Próprio",Tabela4[[#This Row],[Valor]]*85%,0))</f>
        <v>0.01</v>
      </c>
    </row>
    <row r="2352" spans="1:7" x14ac:dyDescent="0.2">
      <c r="A2352" s="35" t="s">
        <v>101</v>
      </c>
      <c r="B2352" s="31" t="s">
        <v>15</v>
      </c>
      <c r="C2352" s="32">
        <v>35333</v>
      </c>
      <c r="D2352" s="34">
        <v>1.8499999999999999E-2</v>
      </c>
      <c r="E2352" s="33"/>
      <c r="F2352" s="33">
        <v>35331</v>
      </c>
      <c r="G2352" s="34">
        <f>IF(Tabela4[[#This Row],[Tipo]]="Dividendo",Tabela4[[#This Row],[Valor]],IF(Tabela4[[#This Row],[Tipo]]="Jrs. Cap. Próprio",Tabela4[[#This Row],[Valor]]*85%,0))</f>
        <v>1.8499999999999999E-2</v>
      </c>
    </row>
    <row r="2353" spans="1:7" x14ac:dyDescent="0.2">
      <c r="A2353" s="35" t="s">
        <v>101</v>
      </c>
      <c r="B2353" s="31" t="s">
        <v>15</v>
      </c>
      <c r="C2353" s="32">
        <v>35121</v>
      </c>
      <c r="D2353" s="34">
        <v>0.06</v>
      </c>
      <c r="E2353" s="33"/>
      <c r="F2353" s="33">
        <v>35121</v>
      </c>
      <c r="G2353" s="34">
        <f>IF(Tabela4[[#This Row],[Tipo]]="Dividendo",Tabela4[[#This Row],[Valor]],IF(Tabela4[[#This Row],[Tipo]]="Jrs. Cap. Próprio",Tabela4[[#This Row],[Valor]]*85%,0))</f>
        <v>0.06</v>
      </c>
    </row>
    <row r="2354" spans="1:7" x14ac:dyDescent="0.2">
      <c r="A2354" s="35" t="s">
        <v>104</v>
      </c>
      <c r="B2354" s="35" t="s">
        <v>14</v>
      </c>
      <c r="C2354" s="36">
        <v>40987</v>
      </c>
      <c r="D2354" s="38">
        <v>8.6599999999999996E-2</v>
      </c>
      <c r="E2354" s="37">
        <v>41025</v>
      </c>
      <c r="F2354" s="37">
        <v>40974</v>
      </c>
      <c r="G2354" s="38">
        <f>IF(Tabela4[[#This Row],[Tipo]]="Dividendo",Tabela4[[#This Row],[Valor]],IF(Tabela4[[#This Row],[Tipo]]="Jrs. Cap. Próprio",Tabela4[[#This Row],[Valor]]*85%,0))</f>
        <v>7.3609999999999995E-2</v>
      </c>
    </row>
    <row r="2355" spans="1:7" x14ac:dyDescent="0.2">
      <c r="A2355" s="35" t="s">
        <v>104</v>
      </c>
      <c r="B2355" s="31" t="s">
        <v>14</v>
      </c>
      <c r="C2355" s="32">
        <v>40623</v>
      </c>
      <c r="D2355" s="34">
        <v>0.15060000000000001</v>
      </c>
      <c r="E2355" s="33">
        <v>40637</v>
      </c>
      <c r="F2355" s="33">
        <v>40596</v>
      </c>
      <c r="G2355" s="34">
        <f>IF(Tabela4[[#This Row],[Tipo]]="Dividendo",Tabela4[[#This Row],[Valor]],IF(Tabela4[[#This Row],[Tipo]]="Jrs. Cap. Próprio",Tabela4[[#This Row],[Valor]]*85%,0))</f>
        <v>0.12801000000000001</v>
      </c>
    </row>
    <row r="2356" spans="1:7" x14ac:dyDescent="0.2">
      <c r="A2356" s="35" t="s">
        <v>104</v>
      </c>
      <c r="B2356" s="31" t="s">
        <v>14</v>
      </c>
      <c r="C2356" s="32">
        <v>40541</v>
      </c>
      <c r="D2356" s="34">
        <v>0.18920000000000001</v>
      </c>
      <c r="E2356" s="33">
        <v>40596</v>
      </c>
      <c r="F2356" s="33">
        <v>40533</v>
      </c>
      <c r="G2356" s="34">
        <f>IF(Tabela4[[#This Row],[Tipo]]="Dividendo",Tabela4[[#This Row],[Valor]],IF(Tabela4[[#This Row],[Tipo]]="Jrs. Cap. Próprio",Tabela4[[#This Row],[Valor]]*85%,0))</f>
        <v>0.16081999999999999</v>
      </c>
    </row>
    <row r="2357" spans="1:7" x14ac:dyDescent="0.2">
      <c r="A2357" s="35" t="s">
        <v>104</v>
      </c>
      <c r="B2357" s="31" t="s">
        <v>14</v>
      </c>
      <c r="C2357" s="32">
        <v>40458</v>
      </c>
      <c r="D2357" s="34">
        <v>0.2445</v>
      </c>
      <c r="E2357" s="33">
        <v>40471</v>
      </c>
      <c r="F2357" s="33">
        <v>40449</v>
      </c>
      <c r="G2357" s="34">
        <f>IF(Tabela4[[#This Row],[Tipo]]="Dividendo",Tabela4[[#This Row],[Valor]],IF(Tabela4[[#This Row],[Tipo]]="Jrs. Cap. Próprio",Tabela4[[#This Row],[Valor]]*85%,0))</f>
        <v>0.20782499999999998</v>
      </c>
    </row>
    <row r="2358" spans="1:7" x14ac:dyDescent="0.2">
      <c r="A2358" s="35" t="s">
        <v>104</v>
      </c>
      <c r="B2358" s="31" t="s">
        <v>15</v>
      </c>
      <c r="C2358" s="32">
        <v>40262</v>
      </c>
      <c r="D2358" s="34">
        <v>0.1537</v>
      </c>
      <c r="E2358" s="33">
        <v>40301</v>
      </c>
      <c r="F2358" s="33">
        <v>40233</v>
      </c>
      <c r="G2358" s="34">
        <f>IF(Tabela4[[#This Row],[Tipo]]="Dividendo",Tabela4[[#This Row],[Valor]],IF(Tabela4[[#This Row],[Tipo]]="Jrs. Cap. Próprio",Tabela4[[#This Row],[Valor]]*85%,0))</f>
        <v>0.1537</v>
      </c>
    </row>
    <row r="2359" spans="1:7" x14ac:dyDescent="0.2">
      <c r="A2359" s="35" t="s">
        <v>104</v>
      </c>
      <c r="B2359" s="31" t="s">
        <v>14</v>
      </c>
      <c r="C2359" s="32">
        <v>40176</v>
      </c>
      <c r="D2359" s="34">
        <v>0.65429999999999999</v>
      </c>
      <c r="E2359" s="33">
        <v>40301</v>
      </c>
      <c r="F2359" s="33">
        <v>40169</v>
      </c>
      <c r="G2359" s="34">
        <f>IF(Tabela4[[#This Row],[Tipo]]="Dividendo",Tabela4[[#This Row],[Valor]],IF(Tabela4[[#This Row],[Tipo]]="Jrs. Cap. Próprio",Tabela4[[#This Row],[Valor]]*85%,0))</f>
        <v>0.55615499999999995</v>
      </c>
    </row>
    <row r="2360" spans="1:7" x14ac:dyDescent="0.2">
      <c r="A2360" s="35" t="s">
        <v>104</v>
      </c>
      <c r="B2360" s="31" t="s">
        <v>14</v>
      </c>
      <c r="C2360" s="32">
        <v>40028</v>
      </c>
      <c r="D2360" s="34">
        <v>0.19089999999999999</v>
      </c>
      <c r="E2360" s="33">
        <v>40043</v>
      </c>
      <c r="F2360" s="33">
        <v>40028</v>
      </c>
      <c r="G2360" s="34">
        <f>IF(Tabela4[[#This Row],[Tipo]]="Dividendo",Tabela4[[#This Row],[Valor]],IF(Tabela4[[#This Row],[Tipo]]="Jrs. Cap. Próprio",Tabela4[[#This Row],[Valor]]*85%,0))</f>
        <v>0.16226499999999999</v>
      </c>
    </row>
    <row r="2361" spans="1:7" x14ac:dyDescent="0.2">
      <c r="A2361" s="35" t="s">
        <v>104</v>
      </c>
      <c r="B2361" s="31" t="s">
        <v>15</v>
      </c>
      <c r="C2361" s="32">
        <v>39877</v>
      </c>
      <c r="D2361" s="34">
        <v>0.49680000000000002</v>
      </c>
      <c r="E2361" s="33">
        <v>39905</v>
      </c>
      <c r="F2361" s="33">
        <v>39862</v>
      </c>
      <c r="G2361" s="34">
        <f>IF(Tabela4[[#This Row],[Tipo]]="Dividendo",Tabela4[[#This Row],[Valor]],IF(Tabela4[[#This Row],[Tipo]]="Jrs. Cap. Próprio",Tabela4[[#This Row],[Valor]]*85%,0))</f>
        <v>0.49680000000000002</v>
      </c>
    </row>
    <row r="2362" spans="1:7" x14ac:dyDescent="0.2">
      <c r="A2362" s="35" t="s">
        <v>104</v>
      </c>
      <c r="B2362" s="31" t="s">
        <v>14</v>
      </c>
      <c r="C2362" s="32">
        <v>39811</v>
      </c>
      <c r="D2362" s="34">
        <v>0.79659999999999997</v>
      </c>
      <c r="E2362" s="33">
        <v>39905</v>
      </c>
      <c r="F2362" s="33">
        <v>39764</v>
      </c>
      <c r="G2362" s="34">
        <f>IF(Tabela4[[#This Row],[Tipo]]="Dividendo",Tabela4[[#This Row],[Valor]],IF(Tabela4[[#This Row],[Tipo]]="Jrs. Cap. Próprio",Tabela4[[#This Row],[Valor]]*85%,0))</f>
        <v>0.67710999999999999</v>
      </c>
    </row>
    <row r="2363" spans="1:7" x14ac:dyDescent="0.2">
      <c r="A2363" s="35" t="s">
        <v>104</v>
      </c>
      <c r="B2363" s="31" t="s">
        <v>14</v>
      </c>
      <c r="C2363" s="32">
        <v>39680</v>
      </c>
      <c r="D2363" s="34">
        <v>0.81359999999999999</v>
      </c>
      <c r="E2363" s="33">
        <v>39693</v>
      </c>
      <c r="F2363" s="33">
        <v>39673</v>
      </c>
      <c r="G2363" s="34">
        <f>IF(Tabela4[[#This Row],[Tipo]]="Dividendo",Tabela4[[#This Row],[Valor]],IF(Tabela4[[#This Row],[Tipo]]="Jrs. Cap. Próprio",Tabela4[[#This Row],[Valor]]*85%,0))</f>
        <v>0.69155999999999995</v>
      </c>
    </row>
    <row r="2364" spans="1:7" x14ac:dyDescent="0.2">
      <c r="A2364" s="35" t="s">
        <v>104</v>
      </c>
      <c r="B2364" s="31" t="s">
        <v>15</v>
      </c>
      <c r="C2364" s="32">
        <v>39680</v>
      </c>
      <c r="D2364" s="34">
        <v>0.3085</v>
      </c>
      <c r="E2364" s="33">
        <v>39693</v>
      </c>
      <c r="F2364" s="33">
        <v>39673</v>
      </c>
      <c r="G2364" s="34">
        <f>IF(Tabela4[[#This Row],[Tipo]]="Dividendo",Tabela4[[#This Row],[Valor]],IF(Tabela4[[#This Row],[Tipo]]="Jrs. Cap. Próprio",Tabela4[[#This Row],[Valor]]*85%,0))</f>
        <v>0.3085</v>
      </c>
    </row>
    <row r="2365" spans="1:7" x14ac:dyDescent="0.2">
      <c r="A2365" s="35" t="s">
        <v>104</v>
      </c>
      <c r="B2365" s="31" t="s">
        <v>15</v>
      </c>
      <c r="C2365" s="32">
        <v>39533</v>
      </c>
      <c r="D2365" s="34">
        <v>0.94410000000000005</v>
      </c>
      <c r="E2365" s="33">
        <v>39547</v>
      </c>
      <c r="F2365" s="33">
        <v>39533</v>
      </c>
      <c r="G2365" s="34">
        <f>IF(Tabela4[[#This Row],[Tipo]]="Dividendo",Tabela4[[#This Row],[Valor]],IF(Tabela4[[#This Row],[Tipo]]="Jrs. Cap. Próprio",Tabela4[[#This Row],[Valor]]*85%,0))</f>
        <v>0.94410000000000005</v>
      </c>
    </row>
    <row r="2366" spans="1:7" x14ac:dyDescent="0.2">
      <c r="A2366" s="35" t="s">
        <v>104</v>
      </c>
      <c r="B2366" s="31" t="s">
        <v>14</v>
      </c>
      <c r="C2366" s="32">
        <v>39443</v>
      </c>
      <c r="D2366" s="34">
        <v>1.0004999999999999</v>
      </c>
      <c r="E2366" s="33">
        <v>39547</v>
      </c>
      <c r="F2366" s="33">
        <v>39413</v>
      </c>
      <c r="G2366" s="34">
        <f>IF(Tabela4[[#This Row],[Tipo]]="Dividendo",Tabela4[[#This Row],[Valor]],IF(Tabela4[[#This Row],[Tipo]]="Jrs. Cap. Próprio",Tabela4[[#This Row],[Valor]]*85%,0))</f>
        <v>0.85042499999999999</v>
      </c>
    </row>
    <row r="2367" spans="1:7" x14ac:dyDescent="0.2">
      <c r="A2367" s="35" t="s">
        <v>104</v>
      </c>
      <c r="B2367" s="31" t="s">
        <v>14</v>
      </c>
      <c r="C2367" s="32">
        <v>39308</v>
      </c>
      <c r="D2367" s="34">
        <v>1.5821000000000001</v>
      </c>
      <c r="E2367" s="33">
        <v>39316</v>
      </c>
      <c r="F2367" s="33">
        <v>39302</v>
      </c>
      <c r="G2367" s="34">
        <f>IF(Tabela4[[#This Row],[Tipo]]="Dividendo",Tabela4[[#This Row],[Valor]],IF(Tabela4[[#This Row],[Tipo]]="Jrs. Cap. Próprio",Tabela4[[#This Row],[Valor]]*85%,0))</f>
        <v>1.3447850000000001</v>
      </c>
    </row>
    <row r="2368" spans="1:7" x14ac:dyDescent="0.2">
      <c r="A2368" s="35" t="s">
        <v>104</v>
      </c>
      <c r="B2368" s="31" t="s">
        <v>15</v>
      </c>
      <c r="C2368" s="32">
        <v>39308</v>
      </c>
      <c r="D2368" s="34">
        <v>0.83309999999999995</v>
      </c>
      <c r="E2368" s="33">
        <v>39316</v>
      </c>
      <c r="F2368" s="33">
        <v>39302</v>
      </c>
      <c r="G2368" s="34">
        <f>IF(Tabela4[[#This Row],[Tipo]]="Dividendo",Tabela4[[#This Row],[Valor]],IF(Tabela4[[#This Row],[Tipo]]="Jrs. Cap. Próprio",Tabela4[[#This Row],[Valor]]*85%,0))</f>
        <v>0.83309999999999995</v>
      </c>
    </row>
    <row r="2369" spans="1:7" x14ac:dyDescent="0.2">
      <c r="A2369" s="35" t="s">
        <v>104</v>
      </c>
      <c r="B2369" s="31" t="s">
        <v>15</v>
      </c>
      <c r="C2369" s="32">
        <v>39171</v>
      </c>
      <c r="D2369" s="34">
        <v>0.95589999999999997</v>
      </c>
      <c r="E2369" s="33">
        <v>39183</v>
      </c>
      <c r="F2369" s="33">
        <v>39146</v>
      </c>
      <c r="G2369" s="34">
        <f>IF(Tabela4[[#This Row],[Tipo]]="Dividendo",Tabela4[[#This Row],[Valor]],IF(Tabela4[[#This Row],[Tipo]]="Jrs. Cap. Próprio",Tabela4[[#This Row],[Valor]]*85%,0))</f>
        <v>0.95589999999999997</v>
      </c>
    </row>
    <row r="2370" spans="1:7" x14ac:dyDescent="0.2">
      <c r="A2370" s="35" t="s">
        <v>104</v>
      </c>
      <c r="B2370" s="31" t="s">
        <v>14</v>
      </c>
      <c r="C2370" s="32">
        <v>39079</v>
      </c>
      <c r="D2370" s="34">
        <v>1.4339</v>
      </c>
      <c r="E2370" s="33">
        <v>39183</v>
      </c>
      <c r="F2370" s="33">
        <v>39050</v>
      </c>
      <c r="G2370" s="34">
        <f>IF(Tabela4[[#This Row],[Tipo]]="Dividendo",Tabela4[[#This Row],[Valor]],IF(Tabela4[[#This Row],[Tipo]]="Jrs. Cap. Próprio",Tabela4[[#This Row],[Valor]]*85%,0))</f>
        <v>1.218815</v>
      </c>
    </row>
    <row r="2371" spans="1:7" x14ac:dyDescent="0.2">
      <c r="A2371" s="35" t="s">
        <v>104</v>
      </c>
      <c r="B2371" s="31" t="s">
        <v>14</v>
      </c>
      <c r="C2371" s="32">
        <v>38960</v>
      </c>
      <c r="D2371" s="34">
        <v>1.6729000000000001</v>
      </c>
      <c r="E2371" s="33">
        <v>38972</v>
      </c>
      <c r="F2371" s="33">
        <v>38959</v>
      </c>
      <c r="G2371" s="34">
        <f>IF(Tabela4[[#This Row],[Tipo]]="Dividendo",Tabela4[[#This Row],[Valor]],IF(Tabela4[[#This Row],[Tipo]]="Jrs. Cap. Próprio",Tabela4[[#This Row],[Valor]]*85%,0))</f>
        <v>1.4219649999999999</v>
      </c>
    </row>
    <row r="2372" spans="1:7" x14ac:dyDescent="0.2">
      <c r="A2372" s="35" t="s">
        <v>104</v>
      </c>
      <c r="B2372" s="31" t="s">
        <v>15</v>
      </c>
      <c r="C2372" s="32">
        <v>38790</v>
      </c>
      <c r="D2372" s="34">
        <v>1.4613</v>
      </c>
      <c r="E2372" s="33">
        <v>38819</v>
      </c>
      <c r="F2372" s="33">
        <v>38784</v>
      </c>
      <c r="G2372" s="34">
        <f>IF(Tabela4[[#This Row],[Tipo]]="Dividendo",Tabela4[[#This Row],[Valor]],IF(Tabela4[[#This Row],[Tipo]]="Jrs. Cap. Próprio",Tabela4[[#This Row],[Valor]]*85%,0))</f>
        <v>1.4613</v>
      </c>
    </row>
    <row r="2373" spans="1:7" x14ac:dyDescent="0.2">
      <c r="A2373" s="35" t="s">
        <v>104</v>
      </c>
      <c r="B2373" s="31" t="s">
        <v>14</v>
      </c>
      <c r="C2373" s="32">
        <v>38715</v>
      </c>
      <c r="D2373" s="34">
        <v>1.2427999999999999</v>
      </c>
      <c r="E2373" s="33">
        <v>38819</v>
      </c>
      <c r="F2373" s="33">
        <v>38679</v>
      </c>
      <c r="G2373" s="34">
        <f>IF(Tabela4[[#This Row],[Tipo]]="Dividendo",Tabela4[[#This Row],[Valor]],IF(Tabela4[[#This Row],[Tipo]]="Jrs. Cap. Próprio",Tabela4[[#This Row],[Valor]]*85%,0))</f>
        <v>1.0563799999999999</v>
      </c>
    </row>
    <row r="2374" spans="1:7" x14ac:dyDescent="0.2">
      <c r="A2374" s="35" t="s">
        <v>104</v>
      </c>
      <c r="B2374" s="31" t="s">
        <v>14</v>
      </c>
      <c r="C2374" s="32">
        <v>38595</v>
      </c>
      <c r="D2374" s="34">
        <v>1.3384</v>
      </c>
      <c r="E2374" s="33">
        <v>38615</v>
      </c>
      <c r="F2374" s="33">
        <v>38588</v>
      </c>
      <c r="G2374" s="34">
        <f>IF(Tabela4[[#This Row],[Tipo]]="Dividendo",Tabela4[[#This Row],[Valor]],IF(Tabela4[[#This Row],[Tipo]]="Jrs. Cap. Próprio",Tabela4[[#This Row],[Valor]]*85%,0))</f>
        <v>1.13764</v>
      </c>
    </row>
    <row r="2375" spans="1:7" x14ac:dyDescent="0.2">
      <c r="A2375" s="35" t="s">
        <v>104</v>
      </c>
      <c r="B2375" s="31" t="s">
        <v>15</v>
      </c>
      <c r="C2375" s="32">
        <v>38595</v>
      </c>
      <c r="D2375" s="34">
        <v>1.2883</v>
      </c>
      <c r="E2375" s="33">
        <v>38615</v>
      </c>
      <c r="F2375" s="33">
        <v>38588</v>
      </c>
      <c r="G2375" s="34">
        <f>IF(Tabela4[[#This Row],[Tipo]]="Dividendo",Tabela4[[#This Row],[Valor]],IF(Tabela4[[#This Row],[Tipo]]="Jrs. Cap. Próprio",Tabela4[[#This Row],[Valor]]*85%,0))</f>
        <v>1.2883</v>
      </c>
    </row>
    <row r="2376" spans="1:7" x14ac:dyDescent="0.2">
      <c r="A2376" s="35" t="s">
        <v>104</v>
      </c>
      <c r="B2376" s="31" t="s">
        <v>15</v>
      </c>
      <c r="C2376" s="32">
        <v>38412</v>
      </c>
      <c r="D2376" s="34">
        <v>3.2252999999999998</v>
      </c>
      <c r="E2376" s="33">
        <v>38447</v>
      </c>
      <c r="F2376" s="33">
        <v>38407</v>
      </c>
      <c r="G2376" s="34">
        <f>IF(Tabela4[[#This Row],[Tipo]]="Dividendo",Tabela4[[#This Row],[Valor]],IF(Tabela4[[#This Row],[Tipo]]="Jrs. Cap. Próprio",Tabela4[[#This Row],[Valor]]*85%,0))</f>
        <v>3.2252999999999998</v>
      </c>
    </row>
    <row r="2377" spans="1:7" x14ac:dyDescent="0.2">
      <c r="A2377" s="35" t="s">
        <v>104</v>
      </c>
      <c r="B2377" s="31" t="s">
        <v>14</v>
      </c>
      <c r="C2377" s="32">
        <v>38350</v>
      </c>
      <c r="D2377" s="34">
        <v>0.5927</v>
      </c>
      <c r="E2377" s="33">
        <v>38447</v>
      </c>
      <c r="F2377" s="33">
        <v>38337</v>
      </c>
      <c r="G2377" s="34">
        <f>IF(Tabela4[[#This Row],[Tipo]]="Dividendo",Tabela4[[#This Row],[Valor]],IF(Tabela4[[#This Row],[Tipo]]="Jrs. Cap. Próprio",Tabela4[[#This Row],[Valor]]*85%,0))</f>
        <v>0.50379499999999999</v>
      </c>
    </row>
    <row r="2378" spans="1:7" x14ac:dyDescent="0.2">
      <c r="A2378" s="35" t="s">
        <v>104</v>
      </c>
      <c r="B2378" s="31" t="s">
        <v>14</v>
      </c>
      <c r="C2378" s="32">
        <v>38226</v>
      </c>
      <c r="D2378" s="34">
        <v>1.2905</v>
      </c>
      <c r="E2378" s="33">
        <v>38244</v>
      </c>
      <c r="F2378" s="33">
        <v>38225</v>
      </c>
      <c r="G2378" s="34">
        <f>IF(Tabela4[[#This Row],[Tipo]]="Dividendo",Tabela4[[#This Row],[Valor]],IF(Tabela4[[#This Row],[Tipo]]="Jrs. Cap. Próprio",Tabela4[[#This Row],[Valor]]*85%,0))</f>
        <v>1.0969249999999999</v>
      </c>
    </row>
    <row r="2379" spans="1:7" x14ac:dyDescent="0.2">
      <c r="A2379" s="35" t="s">
        <v>104</v>
      </c>
      <c r="B2379" s="31" t="s">
        <v>15</v>
      </c>
      <c r="C2379" s="32">
        <v>38061</v>
      </c>
      <c r="D2379" s="34">
        <v>0.2195</v>
      </c>
      <c r="E2379" s="33">
        <v>38071</v>
      </c>
      <c r="F2379" s="33">
        <v>38050</v>
      </c>
      <c r="G2379" s="34">
        <f>IF(Tabela4[[#This Row],[Tipo]]="Dividendo",Tabela4[[#This Row],[Valor]],IF(Tabela4[[#This Row],[Tipo]]="Jrs. Cap. Próprio",Tabela4[[#This Row],[Valor]]*85%,0))</f>
        <v>0.2195</v>
      </c>
    </row>
    <row r="2380" spans="1:7" x14ac:dyDescent="0.2">
      <c r="A2380" s="35" t="s">
        <v>104</v>
      </c>
      <c r="B2380" s="31" t="s">
        <v>14</v>
      </c>
      <c r="C2380" s="32">
        <v>37984</v>
      </c>
      <c r="D2380" s="34">
        <v>1.3174999999999999</v>
      </c>
      <c r="E2380" s="33">
        <v>38071</v>
      </c>
      <c r="F2380" s="33">
        <v>37973</v>
      </c>
      <c r="G2380" s="34">
        <f>IF(Tabela4[[#This Row],[Tipo]]="Dividendo",Tabela4[[#This Row],[Valor]],IF(Tabela4[[#This Row],[Tipo]]="Jrs. Cap. Próprio",Tabela4[[#This Row],[Valor]]*85%,0))</f>
        <v>1.119875</v>
      </c>
    </row>
    <row r="2381" spans="1:7" x14ac:dyDescent="0.2">
      <c r="A2381" s="35" t="s">
        <v>104</v>
      </c>
      <c r="B2381" s="31" t="s">
        <v>14</v>
      </c>
      <c r="C2381" s="32">
        <v>37813</v>
      </c>
      <c r="D2381" s="34">
        <v>0.4103</v>
      </c>
      <c r="E2381" s="33">
        <v>37834</v>
      </c>
      <c r="F2381" s="33">
        <v>37812</v>
      </c>
      <c r="G2381" s="34">
        <f>IF(Tabela4[[#This Row],[Tipo]]="Dividendo",Tabela4[[#This Row],[Valor]],IF(Tabela4[[#This Row],[Tipo]]="Jrs. Cap. Próprio",Tabela4[[#This Row],[Valor]]*85%,0))</f>
        <v>0.34875499999999998</v>
      </c>
    </row>
    <row r="2382" spans="1:7" x14ac:dyDescent="0.2">
      <c r="A2382" s="35" t="s">
        <v>104</v>
      </c>
      <c r="B2382" s="31" t="s">
        <v>15</v>
      </c>
      <c r="C2382" s="32">
        <v>37323</v>
      </c>
      <c r="D2382" s="34">
        <v>0.24399999999999999</v>
      </c>
      <c r="E2382" s="33">
        <v>37355</v>
      </c>
      <c r="F2382" s="33">
        <v>37322</v>
      </c>
      <c r="G2382" s="34">
        <f>IF(Tabela4[[#This Row],[Tipo]]="Dividendo",Tabela4[[#This Row],[Valor]],IF(Tabela4[[#This Row],[Tipo]]="Jrs. Cap. Próprio",Tabela4[[#This Row],[Valor]]*85%,0))</f>
        <v>0.24399999999999999</v>
      </c>
    </row>
    <row r="2383" spans="1:7" x14ac:dyDescent="0.2">
      <c r="A2383" s="35" t="s">
        <v>104</v>
      </c>
      <c r="B2383" s="31" t="s">
        <v>15</v>
      </c>
      <c r="C2383" s="32">
        <v>37127</v>
      </c>
      <c r="D2383" s="34">
        <v>0.22450000000000001</v>
      </c>
      <c r="E2383" s="33">
        <v>37145</v>
      </c>
      <c r="F2383" s="33">
        <v>37126</v>
      </c>
      <c r="G2383" s="34">
        <f>IF(Tabela4[[#This Row],[Tipo]]="Dividendo",Tabela4[[#This Row],[Valor]],IF(Tabela4[[#This Row],[Tipo]]="Jrs. Cap. Próprio",Tabela4[[#This Row],[Valor]]*85%,0))</f>
        <v>0.22450000000000001</v>
      </c>
    </row>
    <row r="2384" spans="1:7" x14ac:dyDescent="0.2">
      <c r="A2384" s="35" t="s">
        <v>104</v>
      </c>
      <c r="B2384" s="31" t="s">
        <v>14</v>
      </c>
      <c r="C2384" s="32">
        <v>36959</v>
      </c>
      <c r="D2384" s="34">
        <v>0.26350000000000001</v>
      </c>
      <c r="E2384" s="33">
        <v>36976</v>
      </c>
      <c r="F2384" s="33">
        <v>36958</v>
      </c>
      <c r="G2384" s="34">
        <f>IF(Tabela4[[#This Row],[Tipo]]="Dividendo",Tabela4[[#This Row],[Valor]],IF(Tabela4[[#This Row],[Tipo]]="Jrs. Cap. Próprio",Tabela4[[#This Row],[Valor]]*85%,0))</f>
        <v>0.22397500000000001</v>
      </c>
    </row>
    <row r="2385" spans="1:7" x14ac:dyDescent="0.2">
      <c r="A2385" s="35" t="s">
        <v>104</v>
      </c>
      <c r="B2385" s="31" t="s">
        <v>15</v>
      </c>
      <c r="C2385" s="32">
        <v>36761</v>
      </c>
      <c r="D2385" s="34">
        <v>0.19520000000000001</v>
      </c>
      <c r="E2385" s="33">
        <v>36783</v>
      </c>
      <c r="F2385" s="33">
        <v>36760</v>
      </c>
      <c r="G2385" s="34">
        <f>IF(Tabela4[[#This Row],[Tipo]]="Dividendo",Tabela4[[#This Row],[Valor]],IF(Tabela4[[#This Row],[Tipo]]="Jrs. Cap. Próprio",Tabela4[[#This Row],[Valor]]*85%,0))</f>
        <v>0.19520000000000001</v>
      </c>
    </row>
    <row r="2386" spans="1:7" x14ac:dyDescent="0.2">
      <c r="A2386" s="35" t="s">
        <v>104</v>
      </c>
      <c r="B2386" s="31" t="s">
        <v>15</v>
      </c>
      <c r="C2386" s="32">
        <v>36588</v>
      </c>
      <c r="D2386" s="34">
        <v>0.19520000000000001</v>
      </c>
      <c r="E2386" s="33">
        <v>36608</v>
      </c>
      <c r="F2386" s="33">
        <v>36587</v>
      </c>
      <c r="G2386" s="34">
        <f>IF(Tabela4[[#This Row],[Tipo]]="Dividendo",Tabela4[[#This Row],[Valor]],IF(Tabela4[[#This Row],[Tipo]]="Jrs. Cap. Próprio",Tabela4[[#This Row],[Valor]]*85%,0))</f>
        <v>0.19520000000000001</v>
      </c>
    </row>
    <row r="2387" spans="1:7" x14ac:dyDescent="0.2">
      <c r="A2387" s="35" t="s">
        <v>104</v>
      </c>
      <c r="B2387" s="31" t="s">
        <v>15</v>
      </c>
      <c r="C2387" s="32">
        <v>36399</v>
      </c>
      <c r="D2387" s="34">
        <v>0.19520000000000001</v>
      </c>
      <c r="E2387" s="33">
        <v>36423</v>
      </c>
      <c r="F2387" s="33">
        <v>36398</v>
      </c>
      <c r="G2387" s="34">
        <f>IF(Tabela4[[#This Row],[Tipo]]="Dividendo",Tabela4[[#This Row],[Valor]],IF(Tabela4[[#This Row],[Tipo]]="Jrs. Cap. Próprio",Tabela4[[#This Row],[Valor]]*85%,0))</f>
        <v>0.19520000000000001</v>
      </c>
    </row>
    <row r="2388" spans="1:7" x14ac:dyDescent="0.2">
      <c r="A2388" s="35" t="s">
        <v>104</v>
      </c>
      <c r="B2388" s="31" t="s">
        <v>14</v>
      </c>
      <c r="C2388" s="32">
        <v>36126</v>
      </c>
      <c r="D2388" s="34">
        <v>0.30580000000000002</v>
      </c>
      <c r="E2388" s="33"/>
      <c r="F2388" s="33">
        <v>36125</v>
      </c>
      <c r="G2388" s="34">
        <f>IF(Tabela4[[#This Row],[Tipo]]="Dividendo",Tabela4[[#This Row],[Valor]],IF(Tabela4[[#This Row],[Tipo]]="Jrs. Cap. Próprio",Tabela4[[#This Row],[Valor]]*85%,0))</f>
        <v>0.25992999999999999</v>
      </c>
    </row>
    <row r="2389" spans="1:7" x14ac:dyDescent="0.2">
      <c r="A2389" s="35" t="s">
        <v>104</v>
      </c>
      <c r="B2389" s="31" t="s">
        <v>14</v>
      </c>
      <c r="C2389" s="32">
        <v>36035</v>
      </c>
      <c r="D2389" s="34">
        <v>0.39360000000000001</v>
      </c>
      <c r="E2389" s="33"/>
      <c r="F2389" s="33">
        <v>36034</v>
      </c>
      <c r="G2389" s="34">
        <f>IF(Tabela4[[#This Row],[Tipo]]="Dividendo",Tabela4[[#This Row],[Valor]],IF(Tabela4[[#This Row],[Tipo]]="Jrs. Cap. Próprio",Tabela4[[#This Row],[Valor]]*85%,0))</f>
        <v>0.33455999999999997</v>
      </c>
    </row>
    <row r="2390" spans="1:7" x14ac:dyDescent="0.2">
      <c r="A2390" s="35" t="s">
        <v>104</v>
      </c>
      <c r="B2390" s="31" t="s">
        <v>14</v>
      </c>
      <c r="C2390" s="32">
        <v>35860</v>
      </c>
      <c r="D2390" s="34">
        <v>8.4099999999999994E-2</v>
      </c>
      <c r="E2390" s="33"/>
      <c r="F2390" s="33">
        <v>35859</v>
      </c>
      <c r="G2390" s="34">
        <f>IF(Tabela4[[#This Row],[Tipo]]="Dividendo",Tabela4[[#This Row],[Valor]],IF(Tabela4[[#This Row],[Tipo]]="Jrs. Cap. Próprio",Tabela4[[#This Row],[Valor]]*85%,0))</f>
        <v>7.1484999999999993E-2</v>
      </c>
    </row>
    <row r="2391" spans="1:7" x14ac:dyDescent="0.2">
      <c r="A2391" s="35" t="s">
        <v>104</v>
      </c>
      <c r="B2391" s="31" t="s">
        <v>14</v>
      </c>
      <c r="C2391" s="32">
        <v>35794</v>
      </c>
      <c r="D2391" s="34">
        <v>0.5</v>
      </c>
      <c r="E2391" s="33"/>
      <c r="F2391" s="33">
        <v>35794</v>
      </c>
      <c r="G2391" s="34">
        <f>IF(Tabela4[[#This Row],[Tipo]]="Dividendo",Tabela4[[#This Row],[Valor]],IF(Tabela4[[#This Row],[Tipo]]="Jrs. Cap. Próprio",Tabela4[[#This Row],[Valor]]*85%,0))</f>
        <v>0.42499999999999999</v>
      </c>
    </row>
    <row r="2392" spans="1:7" x14ac:dyDescent="0.2">
      <c r="A2392" s="35" t="s">
        <v>104</v>
      </c>
      <c r="B2392" s="31" t="s">
        <v>14</v>
      </c>
      <c r="C2392" s="32">
        <v>35671</v>
      </c>
      <c r="D2392" s="34">
        <v>0.34089999999999998</v>
      </c>
      <c r="E2392" s="33"/>
      <c r="F2392" s="33">
        <v>35670</v>
      </c>
      <c r="G2392" s="34">
        <f>IF(Tabela4[[#This Row],[Tipo]]="Dividendo",Tabela4[[#This Row],[Valor]],IF(Tabela4[[#This Row],[Tipo]]="Jrs. Cap. Próprio",Tabela4[[#This Row],[Valor]]*85%,0))</f>
        <v>0.28976499999999999</v>
      </c>
    </row>
    <row r="2393" spans="1:7" x14ac:dyDescent="0.2">
      <c r="A2393" s="35" t="s">
        <v>104</v>
      </c>
      <c r="B2393" s="31" t="s">
        <v>15</v>
      </c>
      <c r="C2393" s="32">
        <v>35496</v>
      </c>
      <c r="D2393" s="34">
        <v>4.9599999999999998E-2</v>
      </c>
      <c r="E2393" s="33"/>
      <c r="F2393" s="33">
        <v>35495</v>
      </c>
      <c r="G2393" s="34">
        <f>IF(Tabela4[[#This Row],[Tipo]]="Dividendo",Tabela4[[#This Row],[Valor]],IF(Tabela4[[#This Row],[Tipo]]="Jrs. Cap. Próprio",Tabela4[[#This Row],[Valor]]*85%,0))</f>
        <v>4.9599999999999998E-2</v>
      </c>
    </row>
    <row r="2394" spans="1:7" x14ac:dyDescent="0.2">
      <c r="A2394" s="35" t="s">
        <v>104</v>
      </c>
      <c r="B2394" s="31" t="s">
        <v>15</v>
      </c>
      <c r="C2394" s="32">
        <v>35292</v>
      </c>
      <c r="D2394" s="34">
        <v>1.84E-2</v>
      </c>
      <c r="E2394" s="33"/>
      <c r="F2394" s="33">
        <v>35291</v>
      </c>
      <c r="G2394" s="34">
        <f>IF(Tabela4[[#This Row],[Tipo]]="Dividendo",Tabela4[[#This Row],[Valor]],IF(Tabela4[[#This Row],[Tipo]]="Jrs. Cap. Próprio",Tabela4[[#This Row],[Valor]]*85%,0))</f>
        <v>1.84E-2</v>
      </c>
    </row>
    <row r="2395" spans="1:7" x14ac:dyDescent="0.2">
      <c r="A2395" s="35" t="s">
        <v>104</v>
      </c>
      <c r="B2395" s="31" t="s">
        <v>15</v>
      </c>
      <c r="C2395" s="32">
        <v>35131</v>
      </c>
      <c r="D2395" s="34">
        <v>5.45E-2</v>
      </c>
      <c r="E2395" s="33"/>
      <c r="F2395" s="33">
        <v>35131</v>
      </c>
      <c r="G2395" s="34">
        <f>IF(Tabela4[[#This Row],[Tipo]]="Dividendo",Tabela4[[#This Row],[Valor]],IF(Tabela4[[#This Row],[Tipo]]="Jrs. Cap. Próprio",Tabela4[[#This Row],[Valor]]*85%,0))</f>
        <v>5.45E-2</v>
      </c>
    </row>
    <row r="2396" spans="1:7" x14ac:dyDescent="0.2">
      <c r="A2396" s="3" t="s">
        <v>306</v>
      </c>
      <c r="B2396" s="3" t="s">
        <v>14</v>
      </c>
      <c r="C2396" s="80">
        <v>41578</v>
      </c>
      <c r="D2396" s="10">
        <v>0.49419999999999997</v>
      </c>
      <c r="E2396" s="67">
        <v>41604</v>
      </c>
      <c r="F2396" s="81">
        <v>41565</v>
      </c>
      <c r="G2396" s="10">
        <f>IF(Tabela4[[#This Row],[Tipo]]="Dividendo",Tabela4[[#This Row],[Valor]],IF(Tabela4[[#This Row],[Tipo]]="Jrs. Cap. Próprio",Tabela4[[#This Row],[Valor]]*85%,0))</f>
        <v>0.42006999999999994</v>
      </c>
    </row>
    <row r="2397" spans="1:7" x14ac:dyDescent="0.2">
      <c r="A2397" s="3" t="s">
        <v>306</v>
      </c>
      <c r="B2397" s="3" t="s">
        <v>15</v>
      </c>
      <c r="C2397" s="80">
        <v>41578</v>
      </c>
      <c r="D2397" s="10">
        <v>0.68530000000000002</v>
      </c>
      <c r="E2397" s="67">
        <v>41604</v>
      </c>
      <c r="F2397" s="81">
        <v>41565</v>
      </c>
      <c r="G2397" s="10">
        <f>IF(Tabela4[[#This Row],[Tipo]]="Dividendo",Tabela4[[#This Row],[Valor]],IF(Tabela4[[#This Row],[Tipo]]="Jrs. Cap. Próprio",Tabela4[[#This Row],[Valor]]*85%,0))</f>
        <v>0.68530000000000002</v>
      </c>
    </row>
    <row r="2398" spans="1:7" x14ac:dyDescent="0.2">
      <c r="A2398" s="3" t="s">
        <v>306</v>
      </c>
      <c r="B2398" s="3" t="s">
        <v>14</v>
      </c>
      <c r="C2398" s="80">
        <v>41547</v>
      </c>
      <c r="D2398" s="10">
        <v>0.2021</v>
      </c>
      <c r="E2398" s="67">
        <v>41604</v>
      </c>
      <c r="F2398" s="81">
        <v>41536</v>
      </c>
      <c r="G2398" s="10">
        <f>IF(Tabela4[[#This Row],[Tipo]]="Dividendo",Tabela4[[#This Row],[Valor]],IF(Tabela4[[#This Row],[Tipo]]="Jrs. Cap. Próprio",Tabela4[[#This Row],[Valor]]*85%,0))</f>
        <v>0.17178499999999999</v>
      </c>
    </row>
    <row r="2399" spans="1:7" x14ac:dyDescent="0.2">
      <c r="A2399" s="3" t="s">
        <v>306</v>
      </c>
      <c r="B2399" s="3" t="s">
        <v>14</v>
      </c>
      <c r="C2399" s="80">
        <v>41516</v>
      </c>
      <c r="D2399" s="10">
        <v>0.2021</v>
      </c>
      <c r="E2399" s="67">
        <v>41604</v>
      </c>
      <c r="F2399" s="81">
        <v>41505</v>
      </c>
      <c r="G2399" s="10">
        <f>IF(Tabela4[[#This Row],[Tipo]]="Dividendo",Tabela4[[#This Row],[Valor]],IF(Tabela4[[#This Row],[Tipo]]="Jrs. Cap. Próprio",Tabela4[[#This Row],[Valor]]*85%,0))</f>
        <v>0.17178499999999999</v>
      </c>
    </row>
    <row r="2400" spans="1:7" x14ac:dyDescent="0.2">
      <c r="A2400" s="3" t="s">
        <v>306</v>
      </c>
      <c r="B2400" s="3" t="s">
        <v>15</v>
      </c>
      <c r="C2400" s="80">
        <v>41380</v>
      </c>
      <c r="D2400" s="10">
        <v>1.3768</v>
      </c>
      <c r="E2400" s="67">
        <v>41264</v>
      </c>
      <c r="F2400" s="81">
        <v>41380</v>
      </c>
      <c r="G2400" s="10">
        <f>IF(Tabela4[[#This Row],[Tipo]]="Dividendo",Tabela4[[#This Row],[Valor]],IF(Tabela4[[#This Row],[Tipo]]="Jrs. Cap. Próprio",Tabela4[[#This Row],[Valor]]*85%,0))</f>
        <v>1.3768</v>
      </c>
    </row>
    <row r="2401" spans="1:7" x14ac:dyDescent="0.2">
      <c r="A2401" s="3" t="s">
        <v>306</v>
      </c>
      <c r="B2401" s="3" t="s">
        <v>15</v>
      </c>
      <c r="C2401" s="80">
        <v>41295</v>
      </c>
      <c r="D2401" s="10">
        <v>1.5157</v>
      </c>
      <c r="E2401" s="67">
        <v>41323</v>
      </c>
      <c r="F2401" s="81">
        <v>41284</v>
      </c>
      <c r="G2401" s="10">
        <f>IF(Tabela4[[#This Row],[Tipo]]="Dividendo",Tabela4[[#This Row],[Valor]],IF(Tabela4[[#This Row],[Tipo]]="Jrs. Cap. Próprio",Tabela4[[#This Row],[Valor]]*85%,0))</f>
        <v>1.5157</v>
      </c>
    </row>
    <row r="2402" spans="1:7" x14ac:dyDescent="0.2">
      <c r="A2402" s="3" t="s">
        <v>306</v>
      </c>
      <c r="B2402" s="3" t="s">
        <v>15</v>
      </c>
      <c r="C2402" s="80">
        <v>41236</v>
      </c>
      <c r="D2402" s="10">
        <v>1.0311999999999999</v>
      </c>
      <c r="E2402" s="67">
        <v>41255</v>
      </c>
      <c r="F2402" s="81">
        <v>41218</v>
      </c>
      <c r="G2402" s="10">
        <f>IF(Tabela4[[#This Row],[Tipo]]="Dividendo",Tabela4[[#This Row],[Valor]],IF(Tabela4[[#This Row],[Tipo]]="Jrs. Cap. Próprio",Tabela4[[#This Row],[Valor]]*85%,0))</f>
        <v>1.0311999999999999</v>
      </c>
    </row>
    <row r="2403" spans="1:7" x14ac:dyDescent="0.2">
      <c r="A2403" s="3" t="s">
        <v>306</v>
      </c>
      <c r="B2403" s="3" t="s">
        <v>15</v>
      </c>
      <c r="C2403" s="80">
        <v>41010</v>
      </c>
      <c r="D2403" s="10">
        <v>1.7930999999999999</v>
      </c>
      <c r="E2403" s="67">
        <v>41255</v>
      </c>
      <c r="F2403" s="81">
        <v>41010</v>
      </c>
      <c r="G2403" s="10">
        <f>IF(Tabela4[[#This Row],[Tipo]]="Dividendo",Tabela4[[#This Row],[Valor]],IF(Tabela4[[#This Row],[Tipo]]="Jrs. Cap. Próprio",Tabela4[[#This Row],[Valor]]*85%,0))</f>
        <v>1.7930999999999999</v>
      </c>
    </row>
    <row r="2404" spans="1:7" x14ac:dyDescent="0.2">
      <c r="A2404" s="3" t="s">
        <v>306</v>
      </c>
      <c r="B2404" s="3" t="s">
        <v>14</v>
      </c>
      <c r="C2404" s="80">
        <v>40906</v>
      </c>
      <c r="D2404" s="10">
        <v>0.5665</v>
      </c>
      <c r="E2404" s="67">
        <v>41031</v>
      </c>
      <c r="F2404" s="81">
        <v>40889</v>
      </c>
      <c r="G2404" s="10">
        <f>IF(Tabela4[[#This Row],[Tipo]]="Dividendo",Tabela4[[#This Row],[Valor]],IF(Tabela4[[#This Row],[Tipo]]="Jrs. Cap. Próprio",Tabela4[[#This Row],[Valor]]*85%,0))</f>
        <v>0.48152499999999998</v>
      </c>
    </row>
    <row r="2405" spans="1:7" x14ac:dyDescent="0.2">
      <c r="A2405" s="3" t="s">
        <v>306</v>
      </c>
      <c r="B2405" s="3" t="s">
        <v>14</v>
      </c>
      <c r="C2405" s="80">
        <v>40816</v>
      </c>
      <c r="D2405" s="10">
        <v>1.1472</v>
      </c>
      <c r="E2405" s="67">
        <v>40850</v>
      </c>
      <c r="F2405" s="81">
        <v>40799</v>
      </c>
      <c r="G2405" s="10">
        <f>IF(Tabela4[[#This Row],[Tipo]]="Dividendo",Tabela4[[#This Row],[Valor]],IF(Tabela4[[#This Row],[Tipo]]="Jrs. Cap. Próprio",Tabela4[[#This Row],[Valor]]*85%,0))</f>
        <v>0.97511999999999999</v>
      </c>
    </row>
    <row r="2406" spans="1:7" x14ac:dyDescent="0.2">
      <c r="A2406" s="3" t="s">
        <v>306</v>
      </c>
      <c r="B2406" s="3" t="s">
        <v>15</v>
      </c>
      <c r="C2406" s="80">
        <v>40816</v>
      </c>
      <c r="D2406" s="10">
        <v>0.35099999999999998</v>
      </c>
      <c r="E2406" s="67">
        <v>40850</v>
      </c>
      <c r="F2406" s="81">
        <v>40799</v>
      </c>
      <c r="G2406" s="10">
        <f>IF(Tabela4[[#This Row],[Tipo]]="Dividendo",Tabela4[[#This Row],[Valor]],IF(Tabela4[[#This Row],[Tipo]]="Jrs. Cap. Próprio",Tabela4[[#This Row],[Valor]]*85%,0))</f>
        <v>0.35099999999999998</v>
      </c>
    </row>
    <row r="2407" spans="1:7" x14ac:dyDescent="0.2">
      <c r="A2407" s="3" t="s">
        <v>306</v>
      </c>
      <c r="B2407" s="3" t="s">
        <v>15</v>
      </c>
      <c r="C2407" s="80">
        <v>40660</v>
      </c>
      <c r="D2407" s="10">
        <v>2.8107000000000002</v>
      </c>
      <c r="E2407" s="67"/>
      <c r="F2407" s="81">
        <v>40660</v>
      </c>
      <c r="G2407" s="10">
        <f>IF(Tabela4[[#This Row],[Tipo]]="Dividendo",Tabela4[[#This Row],[Valor]],IF(Tabela4[[#This Row],[Tipo]]="Jrs. Cap. Próprio",Tabela4[[#This Row],[Valor]]*85%,0))</f>
        <v>2.8107000000000002</v>
      </c>
    </row>
    <row r="2408" spans="1:7" x14ac:dyDescent="0.2">
      <c r="A2408" s="3" t="s">
        <v>306</v>
      </c>
      <c r="B2408" s="3" t="s">
        <v>15</v>
      </c>
      <c r="C2408" s="80">
        <v>40620</v>
      </c>
      <c r="D2408" s="10">
        <v>3.4537</v>
      </c>
      <c r="E2408" s="67"/>
      <c r="F2408" s="81">
        <v>40620</v>
      </c>
      <c r="G2408" s="10">
        <f>IF(Tabela4[[#This Row],[Tipo]]="Dividendo",Tabela4[[#This Row],[Valor]],IF(Tabela4[[#This Row],[Tipo]]="Jrs. Cap. Próprio",Tabela4[[#This Row],[Valor]]*85%,0))</f>
        <v>3.4537</v>
      </c>
    </row>
    <row r="2409" spans="1:7" x14ac:dyDescent="0.2">
      <c r="A2409" s="3" t="s">
        <v>306</v>
      </c>
      <c r="B2409" s="3" t="s">
        <v>14</v>
      </c>
      <c r="C2409" s="80">
        <v>40542</v>
      </c>
      <c r="D2409" s="10">
        <v>0.4118</v>
      </c>
      <c r="E2409" s="67">
        <v>40683</v>
      </c>
      <c r="F2409" s="81">
        <v>40526</v>
      </c>
      <c r="G2409" s="10">
        <f>IF(Tabela4[[#This Row],[Tipo]]="Dividendo",Tabela4[[#This Row],[Valor]],IF(Tabela4[[#This Row],[Tipo]]="Jrs. Cap. Próprio",Tabela4[[#This Row],[Valor]]*85%,0))</f>
        <v>0.35003000000000001</v>
      </c>
    </row>
    <row r="2410" spans="1:7" x14ac:dyDescent="0.2">
      <c r="A2410" s="3" t="s">
        <v>306</v>
      </c>
      <c r="B2410" s="3" t="s">
        <v>15</v>
      </c>
      <c r="C2410" s="80">
        <v>40490</v>
      </c>
      <c r="D2410" s="10">
        <v>0.40350000000000003</v>
      </c>
      <c r="E2410" s="67"/>
      <c r="F2410" s="81">
        <v>40490</v>
      </c>
      <c r="G2410" s="10">
        <f>IF(Tabela4[[#This Row],[Tipo]]="Dividendo",Tabela4[[#This Row],[Valor]],IF(Tabela4[[#This Row],[Tipo]]="Jrs. Cap. Próprio",Tabela4[[#This Row],[Valor]]*85%,0))</f>
        <v>0.40350000000000003</v>
      </c>
    </row>
    <row r="2411" spans="1:7" x14ac:dyDescent="0.2">
      <c r="A2411" s="3" t="s">
        <v>306</v>
      </c>
      <c r="B2411" s="3" t="s">
        <v>14</v>
      </c>
      <c r="C2411" s="80">
        <v>40451</v>
      </c>
      <c r="D2411" s="10">
        <v>0.79510000000000003</v>
      </c>
      <c r="E2411" s="67">
        <v>40525</v>
      </c>
      <c r="F2411" s="81">
        <v>40450</v>
      </c>
      <c r="G2411" s="10">
        <f>IF(Tabela4[[#This Row],[Tipo]]="Dividendo",Tabela4[[#This Row],[Valor]],IF(Tabela4[[#This Row],[Tipo]]="Jrs. Cap. Próprio",Tabela4[[#This Row],[Valor]]*85%,0))</f>
        <v>0.67583499999999996</v>
      </c>
    </row>
    <row r="2412" spans="1:7" x14ac:dyDescent="0.2">
      <c r="A2412" s="3" t="s">
        <v>306</v>
      </c>
      <c r="B2412" s="3" t="s">
        <v>15</v>
      </c>
      <c r="C2412" s="80">
        <v>40451</v>
      </c>
      <c r="D2412" s="10">
        <v>0.40029999999999999</v>
      </c>
      <c r="E2412" s="67">
        <v>40525</v>
      </c>
      <c r="F2412" s="81">
        <v>40450</v>
      </c>
      <c r="G2412" s="10">
        <f>IF(Tabela4[[#This Row],[Tipo]]="Dividendo",Tabela4[[#This Row],[Valor]],IF(Tabela4[[#This Row],[Tipo]]="Jrs. Cap. Próprio",Tabela4[[#This Row],[Valor]]*85%,0))</f>
        <v>0.40029999999999999</v>
      </c>
    </row>
    <row r="2413" spans="1:7" x14ac:dyDescent="0.2">
      <c r="A2413" s="3" t="s">
        <v>306</v>
      </c>
      <c r="B2413" s="3" t="s">
        <v>15</v>
      </c>
      <c r="C2413" s="80">
        <v>40275</v>
      </c>
      <c r="D2413" s="10">
        <v>2.5516999999999999</v>
      </c>
      <c r="E2413" s="67"/>
      <c r="F2413" s="81">
        <v>40275</v>
      </c>
      <c r="G2413" s="10">
        <f>IF(Tabela4[[#This Row],[Tipo]]="Dividendo",Tabela4[[#This Row],[Valor]],IF(Tabela4[[#This Row],[Tipo]]="Jrs. Cap. Próprio",Tabela4[[#This Row],[Valor]]*85%,0))</f>
        <v>2.5516999999999999</v>
      </c>
    </row>
    <row r="2414" spans="1:7" x14ac:dyDescent="0.2">
      <c r="A2414" s="3" t="s">
        <v>306</v>
      </c>
      <c r="B2414" s="3" t="s">
        <v>14</v>
      </c>
      <c r="C2414" s="80">
        <v>40177</v>
      </c>
      <c r="D2414" s="10">
        <v>0.41789999999999999</v>
      </c>
      <c r="E2414" s="67">
        <v>40294</v>
      </c>
      <c r="F2414" s="81">
        <v>40156</v>
      </c>
      <c r="G2414" s="10">
        <f>IF(Tabela4[[#This Row],[Tipo]]="Dividendo",Tabela4[[#This Row],[Valor]],IF(Tabela4[[#This Row],[Tipo]]="Jrs. Cap. Próprio",Tabela4[[#This Row],[Valor]]*85%,0))</f>
        <v>0.355215</v>
      </c>
    </row>
    <row r="2415" spans="1:7" x14ac:dyDescent="0.2">
      <c r="A2415" s="3" t="s">
        <v>306</v>
      </c>
      <c r="B2415" s="3" t="s">
        <v>15</v>
      </c>
      <c r="C2415" s="80">
        <v>40102</v>
      </c>
      <c r="D2415" s="10">
        <v>1.1477999999999999</v>
      </c>
      <c r="E2415" s="67"/>
      <c r="F2415" s="81">
        <v>40102</v>
      </c>
      <c r="G2415" s="10">
        <f>IF(Tabela4[[#This Row],[Tipo]]="Dividendo",Tabela4[[#This Row],[Valor]],IF(Tabela4[[#This Row],[Tipo]]="Jrs. Cap. Próprio",Tabela4[[#This Row],[Valor]]*85%,0))</f>
        <v>1.1477999999999999</v>
      </c>
    </row>
    <row r="2416" spans="1:7" x14ac:dyDescent="0.2">
      <c r="A2416" s="3" t="s">
        <v>306</v>
      </c>
      <c r="B2416" s="3" t="s">
        <v>14</v>
      </c>
      <c r="C2416" s="80">
        <v>40086</v>
      </c>
      <c r="D2416" s="10">
        <v>0.8155</v>
      </c>
      <c r="E2416" s="67">
        <v>40168</v>
      </c>
      <c r="F2416" s="81">
        <v>40086</v>
      </c>
      <c r="G2416" s="10">
        <f>IF(Tabela4[[#This Row],[Tipo]]="Dividendo",Tabela4[[#This Row],[Valor]],IF(Tabela4[[#This Row],[Tipo]]="Jrs. Cap. Próprio",Tabela4[[#This Row],[Valor]]*85%,0))</f>
        <v>0.69317499999999999</v>
      </c>
    </row>
    <row r="2417" spans="1:7" x14ac:dyDescent="0.2">
      <c r="A2417" s="3" t="s">
        <v>306</v>
      </c>
      <c r="B2417" s="3" t="s">
        <v>15</v>
      </c>
      <c r="C2417" s="80">
        <v>39951</v>
      </c>
      <c r="D2417" s="10">
        <v>0.95820000000000005</v>
      </c>
      <c r="E2417" s="67">
        <v>39981</v>
      </c>
      <c r="F2417" s="81">
        <v>39951</v>
      </c>
      <c r="G2417" s="10">
        <f>IF(Tabela4[[#This Row],[Tipo]]="Dividendo",Tabela4[[#This Row],[Valor]],IF(Tabela4[[#This Row],[Tipo]]="Jrs. Cap. Próprio",Tabela4[[#This Row],[Valor]]*85%,0))</f>
        <v>0.95820000000000005</v>
      </c>
    </row>
    <row r="2418" spans="1:7" x14ac:dyDescent="0.2">
      <c r="A2418" s="3" t="s">
        <v>306</v>
      </c>
      <c r="B2418" s="3" t="s">
        <v>15</v>
      </c>
      <c r="C2418" s="80">
        <v>39897</v>
      </c>
      <c r="D2418" s="10">
        <v>0.80549999999999999</v>
      </c>
      <c r="E2418" s="67">
        <v>39981</v>
      </c>
      <c r="F2418" s="81">
        <v>39896</v>
      </c>
      <c r="G2418" s="10">
        <f>IF(Tabela4[[#This Row],[Tipo]]="Dividendo",Tabela4[[#This Row],[Valor]],IF(Tabela4[[#This Row],[Tipo]]="Jrs. Cap. Próprio",Tabela4[[#This Row],[Valor]]*85%,0))</f>
        <v>0.80549999999999999</v>
      </c>
    </row>
    <row r="2419" spans="1:7" x14ac:dyDescent="0.2">
      <c r="A2419" s="3" t="s">
        <v>306</v>
      </c>
      <c r="B2419" s="3" t="s">
        <v>15</v>
      </c>
      <c r="C2419" s="80">
        <v>39882</v>
      </c>
      <c r="D2419" s="10">
        <v>3.4500000000000003E-2</v>
      </c>
      <c r="E2419" s="67"/>
      <c r="F2419" s="81">
        <v>39882</v>
      </c>
      <c r="G2419" s="10">
        <f>IF(Tabela4[[#This Row],[Tipo]]="Dividendo",Tabela4[[#This Row],[Valor]],IF(Tabela4[[#This Row],[Tipo]]="Jrs. Cap. Próprio",Tabela4[[#This Row],[Valor]]*85%,0))</f>
        <v>3.4500000000000003E-2</v>
      </c>
    </row>
    <row r="2420" spans="1:7" x14ac:dyDescent="0.2">
      <c r="A2420" s="3" t="s">
        <v>306</v>
      </c>
      <c r="B2420" s="3" t="s">
        <v>14</v>
      </c>
      <c r="C2420" s="80">
        <v>39812</v>
      </c>
      <c r="D2420" s="10">
        <v>0.84809999999999997</v>
      </c>
      <c r="E2420" s="67">
        <v>39981</v>
      </c>
      <c r="F2420" s="81">
        <v>39791</v>
      </c>
      <c r="G2420" s="10">
        <f>IF(Tabela4[[#This Row],[Tipo]]="Dividendo",Tabela4[[#This Row],[Valor]],IF(Tabela4[[#This Row],[Tipo]]="Jrs. Cap. Próprio",Tabela4[[#This Row],[Valor]]*85%,0))</f>
        <v>0.720885</v>
      </c>
    </row>
    <row r="2421" spans="1:7" x14ac:dyDescent="0.2">
      <c r="A2421" s="3" t="s">
        <v>306</v>
      </c>
      <c r="B2421" s="3" t="s">
        <v>15</v>
      </c>
      <c r="C2421" s="80">
        <v>39776</v>
      </c>
      <c r="D2421" s="10">
        <v>2.2222</v>
      </c>
      <c r="E2421" s="67">
        <v>39792</v>
      </c>
      <c r="F2421" s="81">
        <v>39776</v>
      </c>
      <c r="G2421" s="10">
        <f>IF(Tabela4[[#This Row],[Tipo]]="Dividendo",Tabela4[[#This Row],[Valor]],IF(Tabela4[[#This Row],[Tipo]]="Jrs. Cap. Próprio",Tabela4[[#This Row],[Valor]]*85%,0))</f>
        <v>2.2222</v>
      </c>
    </row>
    <row r="2422" spans="1:7" x14ac:dyDescent="0.2">
      <c r="A2422" s="3" t="s">
        <v>306</v>
      </c>
      <c r="B2422" s="3" t="s">
        <v>15</v>
      </c>
      <c r="C2422" s="80">
        <v>39659</v>
      </c>
      <c r="D2422" s="10">
        <v>0.32140000000000002</v>
      </c>
      <c r="E2422" s="67"/>
      <c r="F2422" s="81">
        <v>39658</v>
      </c>
      <c r="G2422" s="10">
        <f>IF(Tabela4[[#This Row],[Tipo]]="Dividendo",Tabela4[[#This Row],[Valor]],IF(Tabela4[[#This Row],[Tipo]]="Jrs. Cap. Próprio",Tabela4[[#This Row],[Valor]]*85%,0))</f>
        <v>0.32140000000000002</v>
      </c>
    </row>
    <row r="2423" spans="1:7" x14ac:dyDescent="0.2">
      <c r="A2423" s="3" t="s">
        <v>306</v>
      </c>
      <c r="B2423" s="3" t="s">
        <v>14</v>
      </c>
      <c r="C2423" s="80">
        <v>39588</v>
      </c>
      <c r="D2423" s="10">
        <v>0.40770000000000001</v>
      </c>
      <c r="E2423" s="67">
        <v>39622</v>
      </c>
      <c r="F2423" s="81">
        <v>39588</v>
      </c>
      <c r="G2423" s="10">
        <f>IF(Tabela4[[#This Row],[Tipo]]="Dividendo",Tabela4[[#This Row],[Valor]],IF(Tabela4[[#This Row],[Tipo]]="Jrs. Cap. Próprio",Tabela4[[#This Row],[Valor]]*85%,0))</f>
        <v>0.34654499999999999</v>
      </c>
    </row>
    <row r="2424" spans="1:7" x14ac:dyDescent="0.2">
      <c r="A2424" s="3" t="s">
        <v>306</v>
      </c>
      <c r="B2424" s="3" t="s">
        <v>15</v>
      </c>
      <c r="C2424" s="80">
        <v>39588</v>
      </c>
      <c r="D2424" s="10">
        <v>0.98880000000000001</v>
      </c>
      <c r="E2424" s="67">
        <v>39622</v>
      </c>
      <c r="F2424" s="81">
        <v>39588</v>
      </c>
      <c r="G2424" s="10">
        <f>IF(Tabela4[[#This Row],[Tipo]]="Dividendo",Tabela4[[#This Row],[Valor]],IF(Tabela4[[#This Row],[Tipo]]="Jrs. Cap. Próprio",Tabela4[[#This Row],[Valor]]*85%,0))</f>
        <v>0.98880000000000001</v>
      </c>
    </row>
    <row r="2425" spans="1:7" x14ac:dyDescent="0.2">
      <c r="A2425" s="3" t="s">
        <v>306</v>
      </c>
      <c r="B2425" s="3" t="s">
        <v>15</v>
      </c>
      <c r="C2425" s="80">
        <v>39533</v>
      </c>
      <c r="D2425" s="10">
        <v>0.71550000000000002</v>
      </c>
      <c r="E2425" s="67">
        <v>39622</v>
      </c>
      <c r="F2425" s="81">
        <v>39533</v>
      </c>
      <c r="G2425" s="10">
        <f>IF(Tabela4[[#This Row],[Tipo]]="Dividendo",Tabela4[[#This Row],[Valor]],IF(Tabela4[[#This Row],[Tipo]]="Jrs. Cap. Próprio",Tabela4[[#This Row],[Valor]]*85%,0))</f>
        <v>0.71550000000000002</v>
      </c>
    </row>
    <row r="2426" spans="1:7" x14ac:dyDescent="0.2">
      <c r="A2426" s="3" t="s">
        <v>306</v>
      </c>
      <c r="B2426" s="3" t="s">
        <v>14</v>
      </c>
      <c r="C2426" s="80">
        <v>39517</v>
      </c>
      <c r="D2426" s="10">
        <v>4.6800000000000001E-2</v>
      </c>
      <c r="E2426" s="67"/>
      <c r="F2426" s="81">
        <v>39517</v>
      </c>
      <c r="G2426" s="10">
        <f>IF(Tabela4[[#This Row],[Tipo]]="Dividendo",Tabela4[[#This Row],[Valor]],IF(Tabela4[[#This Row],[Tipo]]="Jrs. Cap. Próprio",Tabela4[[#This Row],[Valor]]*85%,0))</f>
        <v>3.9780000000000003E-2</v>
      </c>
    </row>
    <row r="2427" spans="1:7" x14ac:dyDescent="0.2">
      <c r="A2427" s="3" t="s">
        <v>306</v>
      </c>
      <c r="B2427" s="3" t="s">
        <v>15</v>
      </c>
      <c r="C2427" s="80">
        <v>39517</v>
      </c>
      <c r="D2427" s="10">
        <v>0.2072</v>
      </c>
      <c r="E2427" s="67"/>
      <c r="F2427" s="81">
        <v>39517</v>
      </c>
      <c r="G2427" s="10">
        <f>IF(Tabela4[[#This Row],[Tipo]]="Dividendo",Tabela4[[#This Row],[Valor]],IF(Tabela4[[#This Row],[Tipo]]="Jrs. Cap. Próprio",Tabela4[[#This Row],[Valor]]*85%,0))</f>
        <v>0.2072</v>
      </c>
    </row>
    <row r="2428" spans="1:7" x14ac:dyDescent="0.2">
      <c r="A2428" s="3" t="s">
        <v>306</v>
      </c>
      <c r="B2428" s="3" t="s">
        <v>14</v>
      </c>
      <c r="C2428" s="80">
        <v>39444</v>
      </c>
      <c r="D2428" s="10">
        <v>0.43020000000000003</v>
      </c>
      <c r="E2428" s="67">
        <v>39622</v>
      </c>
      <c r="F2428" s="81">
        <v>39426</v>
      </c>
      <c r="G2428" s="10">
        <f>IF(Tabela4[[#This Row],[Tipo]]="Dividendo",Tabela4[[#This Row],[Valor]],IF(Tabela4[[#This Row],[Tipo]]="Jrs. Cap. Próprio",Tabela4[[#This Row],[Valor]]*85%,0))</f>
        <v>0.36567</v>
      </c>
    </row>
    <row r="2429" spans="1:7" x14ac:dyDescent="0.2">
      <c r="A2429" s="3" t="s">
        <v>306</v>
      </c>
      <c r="B2429" s="3" t="s">
        <v>14</v>
      </c>
      <c r="C2429" s="80">
        <v>39393</v>
      </c>
      <c r="D2429" s="10">
        <v>0.42809999999999998</v>
      </c>
      <c r="E2429" s="67">
        <v>39419</v>
      </c>
      <c r="F2429" s="81">
        <v>39393</v>
      </c>
      <c r="G2429" s="10">
        <f>IF(Tabela4[[#This Row],[Tipo]]="Dividendo",Tabela4[[#This Row],[Valor]],IF(Tabela4[[#This Row],[Tipo]]="Jrs. Cap. Próprio",Tabela4[[#This Row],[Valor]]*85%,0))</f>
        <v>0.36388499999999996</v>
      </c>
    </row>
    <row r="2430" spans="1:7" x14ac:dyDescent="0.2">
      <c r="A2430" s="3" t="s">
        <v>306</v>
      </c>
      <c r="B2430" s="3" t="s">
        <v>15</v>
      </c>
      <c r="C2430" s="80">
        <v>39393</v>
      </c>
      <c r="D2430" s="10">
        <v>3.2210999999999999</v>
      </c>
      <c r="E2430" s="67">
        <v>39419</v>
      </c>
      <c r="F2430" s="81">
        <v>39393</v>
      </c>
      <c r="G2430" s="10">
        <f>IF(Tabela4[[#This Row],[Tipo]]="Dividendo",Tabela4[[#This Row],[Valor]],IF(Tabela4[[#This Row],[Tipo]]="Jrs. Cap. Próprio",Tabela4[[#This Row],[Valor]]*85%,0))</f>
        <v>3.2210999999999999</v>
      </c>
    </row>
    <row r="2431" spans="1:7" x14ac:dyDescent="0.2">
      <c r="A2431" s="3" t="s">
        <v>306</v>
      </c>
      <c r="B2431" s="3" t="s">
        <v>14</v>
      </c>
      <c r="C2431" s="80">
        <v>39302</v>
      </c>
      <c r="D2431" s="10">
        <v>6.7599999999999993E-2</v>
      </c>
      <c r="E2431" s="67"/>
      <c r="F2431" s="81">
        <v>39302</v>
      </c>
      <c r="G2431" s="10">
        <f>IF(Tabela4[[#This Row],[Tipo]]="Dividendo",Tabela4[[#This Row],[Valor]],IF(Tabela4[[#This Row],[Tipo]]="Jrs. Cap. Próprio",Tabela4[[#This Row],[Valor]]*85%,0))</f>
        <v>5.745999999999999E-2</v>
      </c>
    </row>
    <row r="2432" spans="1:7" x14ac:dyDescent="0.2">
      <c r="A2432" s="3" t="s">
        <v>306</v>
      </c>
      <c r="B2432" s="3" t="s">
        <v>15</v>
      </c>
      <c r="C2432" s="80">
        <v>39302</v>
      </c>
      <c r="D2432" s="10">
        <v>0.40489999999999998</v>
      </c>
      <c r="E2432" s="67"/>
      <c r="F2432" s="81">
        <v>39302</v>
      </c>
      <c r="G2432" s="10">
        <f>IF(Tabela4[[#This Row],[Tipo]]="Dividendo",Tabela4[[#This Row],[Valor]],IF(Tabela4[[#This Row],[Tipo]]="Jrs. Cap. Próprio",Tabela4[[#This Row],[Valor]]*85%,0))</f>
        <v>0.40489999999999998</v>
      </c>
    </row>
    <row r="2433" spans="1:7" x14ac:dyDescent="0.2">
      <c r="A2433" s="3" t="s">
        <v>306</v>
      </c>
      <c r="B2433" s="3" t="s">
        <v>14</v>
      </c>
      <c r="C2433" s="80">
        <v>39202</v>
      </c>
      <c r="D2433" s="10">
        <v>0.45050000000000001</v>
      </c>
      <c r="E2433" s="67">
        <v>39230</v>
      </c>
      <c r="F2433" s="81">
        <v>39202</v>
      </c>
      <c r="G2433" s="10">
        <f>IF(Tabela4[[#This Row],[Tipo]]="Dividendo",Tabela4[[#This Row],[Valor]],IF(Tabela4[[#This Row],[Tipo]]="Jrs. Cap. Próprio",Tabela4[[#This Row],[Valor]]*85%,0))</f>
        <v>0.38292500000000002</v>
      </c>
    </row>
    <row r="2434" spans="1:7" x14ac:dyDescent="0.2">
      <c r="A2434" s="3" t="s">
        <v>306</v>
      </c>
      <c r="B2434" s="3" t="s">
        <v>15</v>
      </c>
      <c r="C2434" s="80">
        <v>39170</v>
      </c>
      <c r="D2434" s="10">
        <v>1.4386000000000001</v>
      </c>
      <c r="E2434" s="67">
        <v>39230</v>
      </c>
      <c r="F2434" s="81">
        <v>39170</v>
      </c>
      <c r="G2434" s="10">
        <f>IF(Tabela4[[#This Row],[Tipo]]="Dividendo",Tabela4[[#This Row],[Valor]],IF(Tabela4[[#This Row],[Tipo]]="Jrs. Cap. Próprio",Tabela4[[#This Row],[Valor]]*85%,0))</f>
        <v>1.4386000000000001</v>
      </c>
    </row>
    <row r="2435" spans="1:7" x14ac:dyDescent="0.2">
      <c r="A2435" s="3" t="s">
        <v>306</v>
      </c>
      <c r="B2435" s="3" t="s">
        <v>15</v>
      </c>
      <c r="C2435" s="80">
        <v>39162</v>
      </c>
      <c r="D2435" s="10">
        <v>0.35709999999999997</v>
      </c>
      <c r="E2435" s="67"/>
      <c r="F2435" s="81">
        <v>39162</v>
      </c>
      <c r="G2435" s="10">
        <f>IF(Tabela4[[#This Row],[Tipo]]="Dividendo",Tabela4[[#This Row],[Valor]],IF(Tabela4[[#This Row],[Tipo]]="Jrs. Cap. Próprio",Tabela4[[#This Row],[Valor]]*85%,0))</f>
        <v>0.35709999999999997</v>
      </c>
    </row>
    <row r="2436" spans="1:7" x14ac:dyDescent="0.2">
      <c r="A2436" s="3" t="s">
        <v>306</v>
      </c>
      <c r="B2436" s="3" t="s">
        <v>14</v>
      </c>
      <c r="C2436" s="80">
        <v>39079</v>
      </c>
      <c r="D2436" s="10">
        <v>0.24460000000000001</v>
      </c>
      <c r="E2436" s="67">
        <v>39230</v>
      </c>
      <c r="F2436" s="81">
        <v>39069</v>
      </c>
      <c r="G2436" s="10">
        <f>IF(Tabela4[[#This Row],[Tipo]]="Dividendo",Tabela4[[#This Row],[Valor]],IF(Tabela4[[#This Row],[Tipo]]="Jrs. Cap. Próprio",Tabela4[[#This Row],[Valor]]*85%,0))</f>
        <v>0.20791000000000001</v>
      </c>
    </row>
    <row r="2437" spans="1:7" x14ac:dyDescent="0.2">
      <c r="A2437" s="3" t="s">
        <v>306</v>
      </c>
      <c r="B2437" s="3" t="s">
        <v>14</v>
      </c>
      <c r="C2437" s="80">
        <v>39034</v>
      </c>
      <c r="D2437" s="10">
        <v>0.75429999999999997</v>
      </c>
      <c r="E2437" s="67">
        <v>39062</v>
      </c>
      <c r="F2437" s="81">
        <v>39031</v>
      </c>
      <c r="G2437" s="10">
        <f>IF(Tabela4[[#This Row],[Tipo]]="Dividendo",Tabela4[[#This Row],[Valor]],IF(Tabela4[[#This Row],[Tipo]]="Jrs. Cap. Próprio",Tabela4[[#This Row],[Valor]]*85%,0))</f>
        <v>0.64115499999999992</v>
      </c>
    </row>
    <row r="2438" spans="1:7" x14ac:dyDescent="0.2">
      <c r="A2438" s="3" t="s">
        <v>306</v>
      </c>
      <c r="B2438" s="3" t="s">
        <v>15</v>
      </c>
      <c r="C2438" s="80">
        <v>39034</v>
      </c>
      <c r="D2438" s="10">
        <v>2.4056000000000002</v>
      </c>
      <c r="E2438" s="67">
        <v>39062</v>
      </c>
      <c r="F2438" s="81">
        <v>39031</v>
      </c>
      <c r="G2438" s="10">
        <f>IF(Tabela4[[#This Row],[Tipo]]="Dividendo",Tabela4[[#This Row],[Valor]],IF(Tabela4[[#This Row],[Tipo]]="Jrs. Cap. Próprio",Tabela4[[#This Row],[Valor]]*85%,0))</f>
        <v>2.4056000000000002</v>
      </c>
    </row>
    <row r="2439" spans="1:7" x14ac:dyDescent="0.2">
      <c r="A2439" s="3" t="s">
        <v>306</v>
      </c>
      <c r="B2439" s="3" t="s">
        <v>14</v>
      </c>
      <c r="C2439" s="80">
        <v>38860</v>
      </c>
      <c r="D2439" s="10">
        <v>0.59079999999999999</v>
      </c>
      <c r="E2439" s="67">
        <v>38894</v>
      </c>
      <c r="F2439" s="81">
        <v>38860</v>
      </c>
      <c r="G2439" s="10">
        <f>IF(Tabela4[[#This Row],[Tipo]]="Dividendo",Tabela4[[#This Row],[Valor]],IF(Tabela4[[#This Row],[Tipo]]="Jrs. Cap. Próprio",Tabela4[[#This Row],[Valor]]*85%,0))</f>
        <v>0.50217999999999996</v>
      </c>
    </row>
    <row r="2440" spans="1:7" x14ac:dyDescent="0.2">
      <c r="A2440" s="3" t="s">
        <v>306</v>
      </c>
      <c r="B2440" s="3" t="s">
        <v>15</v>
      </c>
      <c r="C2440" s="80">
        <v>38860</v>
      </c>
      <c r="D2440" s="10">
        <v>2.3826000000000001</v>
      </c>
      <c r="E2440" s="67">
        <v>38894</v>
      </c>
      <c r="F2440" s="81">
        <v>38860</v>
      </c>
      <c r="G2440" s="10">
        <f>IF(Tabela4[[#This Row],[Tipo]]="Dividendo",Tabela4[[#This Row],[Valor]],IF(Tabela4[[#This Row],[Tipo]]="Jrs. Cap. Próprio",Tabela4[[#This Row],[Valor]]*85%,0))</f>
        <v>2.3826000000000001</v>
      </c>
    </row>
    <row r="2441" spans="1:7" x14ac:dyDescent="0.2">
      <c r="A2441" s="3" t="s">
        <v>306</v>
      </c>
      <c r="B2441" s="3" t="s">
        <v>14</v>
      </c>
      <c r="C2441" s="80">
        <v>38715</v>
      </c>
      <c r="D2441" s="10">
        <v>0.79649999999999999</v>
      </c>
      <c r="E2441" s="67">
        <v>38894</v>
      </c>
      <c r="F2441" s="81">
        <v>38698</v>
      </c>
      <c r="G2441" s="10">
        <f>IF(Tabela4[[#This Row],[Tipo]]="Dividendo",Tabela4[[#This Row],[Valor]],IF(Tabela4[[#This Row],[Tipo]]="Jrs. Cap. Próprio",Tabela4[[#This Row],[Valor]]*85%,0))</f>
        <v>0.67702499999999999</v>
      </c>
    </row>
    <row r="2442" spans="1:7" x14ac:dyDescent="0.2">
      <c r="A2442" s="3" t="s">
        <v>306</v>
      </c>
      <c r="B2442" s="3" t="s">
        <v>14</v>
      </c>
      <c r="C2442" s="80">
        <v>38614</v>
      </c>
      <c r="D2442" s="10">
        <v>0.50509999999999999</v>
      </c>
      <c r="E2442" s="67">
        <v>38649</v>
      </c>
      <c r="F2442" s="81">
        <v>38614</v>
      </c>
      <c r="G2442" s="10">
        <f>IF(Tabela4[[#This Row],[Tipo]]="Dividendo",Tabela4[[#This Row],[Valor]],IF(Tabela4[[#This Row],[Tipo]]="Jrs. Cap. Próprio",Tabela4[[#This Row],[Valor]]*85%,0))</f>
        <v>0.42933499999999997</v>
      </c>
    </row>
    <row r="2443" spans="1:7" x14ac:dyDescent="0.2">
      <c r="A2443" s="3" t="s">
        <v>306</v>
      </c>
      <c r="B2443" s="3" t="s">
        <v>15</v>
      </c>
      <c r="C2443" s="80">
        <v>38614</v>
      </c>
      <c r="D2443" s="10">
        <v>2.7037</v>
      </c>
      <c r="E2443" s="67">
        <v>38649</v>
      </c>
      <c r="F2443" s="81">
        <v>38614</v>
      </c>
      <c r="G2443" s="10">
        <f>IF(Tabela4[[#This Row],[Tipo]]="Dividendo",Tabela4[[#This Row],[Valor]],IF(Tabela4[[#This Row],[Tipo]]="Jrs. Cap. Próprio",Tabela4[[#This Row],[Valor]]*85%,0))</f>
        <v>2.7037</v>
      </c>
    </row>
    <row r="2444" spans="1:7" x14ac:dyDescent="0.2">
      <c r="A2444" s="3" t="s">
        <v>306</v>
      </c>
      <c r="B2444" s="3" t="s">
        <v>14</v>
      </c>
      <c r="C2444" s="80">
        <v>38471</v>
      </c>
      <c r="D2444" s="10">
        <v>0.75019999999999998</v>
      </c>
      <c r="E2444" s="67">
        <v>38649</v>
      </c>
      <c r="F2444" s="81">
        <v>38471</v>
      </c>
      <c r="G2444" s="10">
        <f>IF(Tabela4[[#This Row],[Tipo]]="Dividendo",Tabela4[[#This Row],[Valor]],IF(Tabela4[[#This Row],[Tipo]]="Jrs. Cap. Próprio",Tabela4[[#This Row],[Valor]]*85%,0))</f>
        <v>0.63766999999999996</v>
      </c>
    </row>
    <row r="2445" spans="1:7" x14ac:dyDescent="0.2">
      <c r="A2445" s="3" t="s">
        <v>306</v>
      </c>
      <c r="B2445" s="3" t="s">
        <v>15</v>
      </c>
      <c r="C2445" s="80">
        <v>38443</v>
      </c>
      <c r="D2445" s="10">
        <v>3.1343999999999999</v>
      </c>
      <c r="E2445" s="67">
        <v>38462</v>
      </c>
      <c r="F2445" s="81">
        <v>38443</v>
      </c>
      <c r="G2445" s="10">
        <f>IF(Tabela4[[#This Row],[Tipo]]="Dividendo",Tabela4[[#This Row],[Valor]],IF(Tabela4[[#This Row],[Tipo]]="Jrs. Cap. Próprio",Tabela4[[#This Row],[Valor]]*85%,0))</f>
        <v>3.1343999999999999</v>
      </c>
    </row>
    <row r="2446" spans="1:7" x14ac:dyDescent="0.2">
      <c r="A2446" s="3" t="s">
        <v>306</v>
      </c>
      <c r="B2446" s="3" t="s">
        <v>14</v>
      </c>
      <c r="C2446" s="80">
        <v>38265</v>
      </c>
      <c r="D2446" s="10">
        <v>1.2386999999999999</v>
      </c>
      <c r="E2446" s="67">
        <v>38289</v>
      </c>
      <c r="F2446" s="81">
        <v>38265</v>
      </c>
      <c r="G2446" s="10">
        <f>IF(Tabela4[[#This Row],[Tipo]]="Dividendo",Tabela4[[#This Row],[Valor]],IF(Tabela4[[#This Row],[Tipo]]="Jrs. Cap. Próprio",Tabela4[[#This Row],[Valor]]*85%,0))</f>
        <v>1.0528949999999999</v>
      </c>
    </row>
    <row r="2447" spans="1:7" x14ac:dyDescent="0.2">
      <c r="A2447" s="3" t="s">
        <v>306</v>
      </c>
      <c r="B2447" s="3" t="s">
        <v>15</v>
      </c>
      <c r="C2447" s="80">
        <v>38265</v>
      </c>
      <c r="D2447" s="10">
        <v>3.3351999999999999</v>
      </c>
      <c r="E2447" s="67">
        <v>38289</v>
      </c>
      <c r="F2447" s="81">
        <v>38265</v>
      </c>
      <c r="G2447" s="10">
        <f>IF(Tabela4[[#This Row],[Tipo]]="Dividendo",Tabela4[[#This Row],[Valor]],IF(Tabela4[[#This Row],[Tipo]]="Jrs. Cap. Próprio",Tabela4[[#This Row],[Valor]]*85%,0))</f>
        <v>3.3351999999999999</v>
      </c>
    </row>
    <row r="2448" spans="1:7" x14ac:dyDescent="0.2">
      <c r="A2448" s="3" t="s">
        <v>306</v>
      </c>
      <c r="B2448" s="3" t="s">
        <v>14</v>
      </c>
      <c r="C2448" s="80">
        <v>38084</v>
      </c>
      <c r="D2448" s="10">
        <v>0.61809999999999998</v>
      </c>
      <c r="E2448" s="67">
        <v>38100</v>
      </c>
      <c r="F2448" s="81">
        <v>38084</v>
      </c>
      <c r="G2448" s="10">
        <f>IF(Tabela4[[#This Row],[Tipo]]="Dividendo",Tabela4[[#This Row],[Valor]],IF(Tabela4[[#This Row],[Tipo]]="Jrs. Cap. Próprio",Tabela4[[#This Row],[Valor]]*85%,0))</f>
        <v>0.52538499999999999</v>
      </c>
    </row>
    <row r="2449" spans="1:7" x14ac:dyDescent="0.2">
      <c r="A2449" s="3" t="s">
        <v>306</v>
      </c>
      <c r="B2449" s="3" t="s">
        <v>15</v>
      </c>
      <c r="C2449" s="80">
        <v>38084</v>
      </c>
      <c r="D2449" s="10">
        <v>1.2821</v>
      </c>
      <c r="E2449" s="67">
        <v>38100</v>
      </c>
      <c r="F2449" s="81">
        <v>38084</v>
      </c>
      <c r="G2449" s="10">
        <f>IF(Tabela4[[#This Row],[Tipo]]="Dividendo",Tabela4[[#This Row],[Valor]],IF(Tabela4[[#This Row],[Tipo]]="Jrs. Cap. Próprio",Tabela4[[#This Row],[Valor]]*85%,0))</f>
        <v>1.2821</v>
      </c>
    </row>
    <row r="2450" spans="1:7" x14ac:dyDescent="0.2">
      <c r="A2450" s="3" t="s">
        <v>306</v>
      </c>
      <c r="B2450" s="3" t="s">
        <v>14</v>
      </c>
      <c r="C2450" s="80">
        <v>37984</v>
      </c>
      <c r="D2450" s="10">
        <v>2.2985000000000002</v>
      </c>
      <c r="E2450" s="67">
        <v>38100</v>
      </c>
      <c r="F2450" s="81">
        <v>37966</v>
      </c>
      <c r="G2450" s="10">
        <f>IF(Tabela4[[#This Row],[Tipo]]="Dividendo",Tabela4[[#This Row],[Valor]],IF(Tabela4[[#This Row],[Tipo]]="Jrs. Cap. Próprio",Tabela4[[#This Row],[Valor]]*85%,0))</f>
        <v>1.9537250000000002</v>
      </c>
    </row>
    <row r="2451" spans="1:7" x14ac:dyDescent="0.2">
      <c r="A2451" s="3" t="s">
        <v>306</v>
      </c>
      <c r="B2451" s="3" t="s">
        <v>15</v>
      </c>
      <c r="C2451" s="80">
        <v>37896</v>
      </c>
      <c r="D2451" s="10">
        <v>3.7675000000000001</v>
      </c>
      <c r="E2451" s="67">
        <v>37914</v>
      </c>
      <c r="F2451" s="81">
        <v>37896</v>
      </c>
      <c r="G2451" s="10">
        <f>IF(Tabela4[[#This Row],[Tipo]]="Dividendo",Tabela4[[#This Row],[Valor]],IF(Tabela4[[#This Row],[Tipo]]="Jrs. Cap. Próprio",Tabela4[[#This Row],[Valor]]*85%,0))</f>
        <v>3.7675000000000001</v>
      </c>
    </row>
    <row r="2452" spans="1:7" x14ac:dyDescent="0.2">
      <c r="A2452" s="3" t="s">
        <v>306</v>
      </c>
      <c r="B2452" s="3" t="s">
        <v>15</v>
      </c>
      <c r="C2452" s="80">
        <v>37715</v>
      </c>
      <c r="D2452" s="10">
        <v>1.8744000000000001</v>
      </c>
      <c r="E2452" s="67">
        <v>37734</v>
      </c>
      <c r="F2452" s="81">
        <v>37715</v>
      </c>
      <c r="G2452" s="10">
        <f>IF(Tabela4[[#This Row],[Tipo]]="Dividendo",Tabela4[[#This Row],[Valor]],IF(Tabela4[[#This Row],[Tipo]]="Jrs. Cap. Próprio",Tabela4[[#This Row],[Valor]]*85%,0))</f>
        <v>1.8744000000000001</v>
      </c>
    </row>
    <row r="2453" spans="1:7" x14ac:dyDescent="0.2">
      <c r="A2453" s="3" t="s">
        <v>306</v>
      </c>
      <c r="B2453" s="3" t="s">
        <v>15</v>
      </c>
      <c r="C2453" s="80">
        <v>37707</v>
      </c>
      <c r="D2453" s="10">
        <v>0.26740000000000003</v>
      </c>
      <c r="E2453" s="67">
        <v>37734</v>
      </c>
      <c r="F2453" s="81">
        <v>37707</v>
      </c>
      <c r="G2453" s="10">
        <f>IF(Tabela4[[#This Row],[Tipo]]="Dividendo",Tabela4[[#This Row],[Valor]],IF(Tabela4[[#This Row],[Tipo]]="Jrs. Cap. Próprio",Tabela4[[#This Row],[Valor]]*85%,0))</f>
        <v>0.26740000000000003</v>
      </c>
    </row>
    <row r="2454" spans="1:7" x14ac:dyDescent="0.2">
      <c r="A2454" s="3" t="s">
        <v>306</v>
      </c>
      <c r="B2454" s="3" t="s">
        <v>14</v>
      </c>
      <c r="C2454" s="80">
        <v>37613</v>
      </c>
      <c r="D2454" s="10">
        <v>1.1858</v>
      </c>
      <c r="E2454" s="67">
        <v>37734</v>
      </c>
      <c r="F2454" s="81">
        <v>37600</v>
      </c>
      <c r="G2454" s="10">
        <f>IF(Tabela4[[#This Row],[Tipo]]="Dividendo",Tabela4[[#This Row],[Valor]],IF(Tabela4[[#This Row],[Tipo]]="Jrs. Cap. Próprio",Tabela4[[#This Row],[Valor]]*85%,0))</f>
        <v>1.00793</v>
      </c>
    </row>
    <row r="2455" spans="1:7" x14ac:dyDescent="0.2">
      <c r="A2455" s="3" t="s">
        <v>306</v>
      </c>
      <c r="B2455" s="3" t="s">
        <v>15</v>
      </c>
      <c r="C2455" s="80">
        <v>37533</v>
      </c>
      <c r="D2455" s="10">
        <v>0.68669999999999998</v>
      </c>
      <c r="E2455" s="67">
        <v>37553</v>
      </c>
      <c r="F2455" s="81">
        <v>37533</v>
      </c>
      <c r="G2455" s="10">
        <f>IF(Tabela4[[#This Row],[Tipo]]="Dividendo",Tabela4[[#This Row],[Valor]],IF(Tabela4[[#This Row],[Tipo]]="Jrs. Cap. Próprio",Tabela4[[#This Row],[Valor]]*85%,0))</f>
        <v>0.68669999999999998</v>
      </c>
    </row>
    <row r="2456" spans="1:7" x14ac:dyDescent="0.2">
      <c r="A2456" s="3" t="s">
        <v>306</v>
      </c>
      <c r="B2456" s="3" t="s">
        <v>14</v>
      </c>
      <c r="C2456" s="80">
        <v>37253</v>
      </c>
      <c r="D2456" s="10">
        <v>2.1480000000000001</v>
      </c>
      <c r="E2456" s="67"/>
      <c r="F2456" s="81">
        <v>37253</v>
      </c>
      <c r="G2456" s="10">
        <f>IF(Tabela4[[#This Row],[Tipo]]="Dividendo",Tabela4[[#This Row],[Valor]],IF(Tabela4[[#This Row],[Tipo]]="Jrs. Cap. Próprio",Tabela4[[#This Row],[Valor]]*85%,0))</f>
        <v>1.8258000000000001</v>
      </c>
    </row>
    <row r="2457" spans="1:7" x14ac:dyDescent="0.2">
      <c r="A2457" s="3" t="s">
        <v>306</v>
      </c>
      <c r="B2457" s="3" t="s">
        <v>14</v>
      </c>
      <c r="C2457" s="80">
        <v>36888</v>
      </c>
      <c r="D2457" s="10">
        <v>1.6603000000000001</v>
      </c>
      <c r="E2457" s="67"/>
      <c r="F2457" s="81">
        <v>36888</v>
      </c>
      <c r="G2457" s="10">
        <f>IF(Tabela4[[#This Row],[Tipo]]="Dividendo",Tabela4[[#This Row],[Valor]],IF(Tabela4[[#This Row],[Tipo]]="Jrs. Cap. Próprio",Tabela4[[#This Row],[Valor]]*85%,0))</f>
        <v>1.4112550000000001</v>
      </c>
    </row>
    <row r="2458" spans="1:7" x14ac:dyDescent="0.2">
      <c r="A2458" s="3" t="s">
        <v>306</v>
      </c>
      <c r="B2458" s="3" t="s">
        <v>15</v>
      </c>
      <c r="C2458" s="80">
        <v>36598</v>
      </c>
      <c r="D2458" s="10">
        <v>0.13639999999999999</v>
      </c>
      <c r="E2458" s="67">
        <v>37246</v>
      </c>
      <c r="F2458" s="81">
        <v>36598</v>
      </c>
      <c r="G2458" s="10">
        <f>IF(Tabela4[[#This Row],[Tipo]]="Dividendo",Tabela4[[#This Row],[Valor]],IF(Tabela4[[#This Row],[Tipo]]="Jrs. Cap. Próprio",Tabela4[[#This Row],[Valor]]*85%,0))</f>
        <v>0.13639999999999999</v>
      </c>
    </row>
    <row r="2459" spans="1:7" x14ac:dyDescent="0.2">
      <c r="A2459" s="3" t="s">
        <v>306</v>
      </c>
      <c r="B2459" s="3" t="s">
        <v>14</v>
      </c>
      <c r="C2459" s="80">
        <v>36524</v>
      </c>
      <c r="D2459" s="10">
        <v>2.1945999999999999</v>
      </c>
      <c r="E2459" s="67"/>
      <c r="F2459" s="81">
        <v>36524</v>
      </c>
      <c r="G2459" s="10">
        <f>IF(Tabela4[[#This Row],[Tipo]]="Dividendo",Tabela4[[#This Row],[Valor]],IF(Tabela4[[#This Row],[Tipo]]="Jrs. Cap. Próprio",Tabela4[[#This Row],[Valor]]*85%,0))</f>
        <v>1.8654099999999998</v>
      </c>
    </row>
    <row r="2460" spans="1:7" x14ac:dyDescent="0.2">
      <c r="A2460" s="3" t="s">
        <v>306</v>
      </c>
      <c r="B2460" s="3" t="s">
        <v>14</v>
      </c>
      <c r="C2460" s="80">
        <v>36159</v>
      </c>
      <c r="D2460" s="10">
        <v>1.47</v>
      </c>
      <c r="E2460" s="67"/>
      <c r="F2460" s="81">
        <v>36159</v>
      </c>
      <c r="G2460" s="10">
        <f>IF(Tabela4[[#This Row],[Tipo]]="Dividendo",Tabela4[[#This Row],[Valor]],IF(Tabela4[[#This Row],[Tipo]]="Jrs. Cap. Próprio",Tabela4[[#This Row],[Valor]]*85%,0))</f>
        <v>1.2495000000000001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4:J151"/>
  <sheetViews>
    <sheetView topLeftCell="A22" workbookViewId="0">
      <selection activeCell="B42" sqref="B42"/>
    </sheetView>
  </sheetViews>
  <sheetFormatPr defaultRowHeight="15" x14ac:dyDescent="0.25"/>
  <cols>
    <col min="1" max="1" width="13.140625" bestFit="1" customWidth="1"/>
    <col min="2" max="2" width="16.5703125" bestFit="1" customWidth="1"/>
    <col min="3" max="3" width="12.42578125" bestFit="1" customWidth="1"/>
    <col min="4" max="4" width="16.140625" customWidth="1"/>
    <col min="5" max="5" width="11" customWidth="1"/>
    <col min="6" max="7" width="8.5703125" customWidth="1"/>
    <col min="8" max="8" width="16.85546875" bestFit="1" customWidth="1"/>
    <col min="9" max="9" width="18" bestFit="1" customWidth="1"/>
    <col min="10" max="12" width="9" customWidth="1"/>
    <col min="13" max="14" width="10" customWidth="1"/>
    <col min="15" max="15" width="8.5703125" customWidth="1"/>
    <col min="16" max="16" width="9" customWidth="1"/>
    <col min="17" max="17" width="8.5703125" customWidth="1"/>
    <col min="18" max="18" width="9" customWidth="1"/>
    <col min="19" max="19" width="9.5703125" bestFit="1" customWidth="1"/>
    <col min="20" max="20" width="10" bestFit="1" customWidth="1"/>
    <col min="21" max="22" width="9.5703125" bestFit="1" customWidth="1"/>
    <col min="23" max="23" width="10" bestFit="1" customWidth="1"/>
    <col min="24" max="24" width="9.5703125" bestFit="1" customWidth="1"/>
    <col min="25" max="25" width="10" bestFit="1" customWidth="1"/>
    <col min="26" max="27" width="9.5703125" bestFit="1" customWidth="1"/>
    <col min="28" max="28" width="16.5703125" bestFit="1" customWidth="1"/>
    <col min="29" max="29" width="10" bestFit="1" customWidth="1"/>
    <col min="30" max="33" width="12" bestFit="1" customWidth="1"/>
    <col min="34" max="34" width="8.5703125" customWidth="1"/>
    <col min="35" max="35" width="12" bestFit="1" customWidth="1"/>
    <col min="36" max="36" width="11" bestFit="1" customWidth="1"/>
    <col min="37" max="40" width="12" bestFit="1" customWidth="1"/>
    <col min="41" max="41" width="8.5703125" customWidth="1"/>
    <col min="42" max="48" width="12" bestFit="1" customWidth="1"/>
    <col min="49" max="49" width="10" bestFit="1" customWidth="1"/>
    <col min="50" max="52" width="12" bestFit="1" customWidth="1"/>
    <col min="53" max="53" width="9.5703125" bestFit="1" customWidth="1"/>
    <col min="54" max="54" width="13.28515625" bestFit="1" customWidth="1"/>
    <col min="55" max="70" width="8.5703125" customWidth="1"/>
    <col min="71" max="79" width="9.5703125" bestFit="1" customWidth="1"/>
    <col min="80" max="80" width="17.5703125" bestFit="1" customWidth="1"/>
    <col min="81" max="81" width="21.7109375" bestFit="1" customWidth="1"/>
    <col min="82" max="82" width="18.28515625" bestFit="1" customWidth="1"/>
  </cols>
  <sheetData>
    <row r="4" spans="1:4" x14ac:dyDescent="0.25">
      <c r="B4" s="1" t="s">
        <v>21</v>
      </c>
    </row>
    <row r="5" spans="1:4" x14ac:dyDescent="0.25">
      <c r="A5" s="1" t="s">
        <v>517</v>
      </c>
      <c r="B5" t="s">
        <v>22</v>
      </c>
      <c r="C5" t="s">
        <v>20</v>
      </c>
      <c r="D5" t="s">
        <v>237</v>
      </c>
    </row>
    <row r="6" spans="1:4" x14ac:dyDescent="0.25">
      <c r="A6" s="2" t="s">
        <v>70</v>
      </c>
      <c r="B6" s="30">
        <v>0.43698499999999996</v>
      </c>
      <c r="C6" s="30">
        <v>2.6219099999999997</v>
      </c>
      <c r="D6" s="78">
        <v>0.36799999999999999</v>
      </c>
    </row>
    <row r="7" spans="1:4" x14ac:dyDescent="0.25">
      <c r="A7" s="2" t="s">
        <v>219</v>
      </c>
      <c r="B7" s="30">
        <v>2.5457622125416663</v>
      </c>
      <c r="C7" s="30">
        <v>15.274573275249999</v>
      </c>
      <c r="D7" s="78">
        <v>0.77072678094292535</v>
      </c>
    </row>
    <row r="8" spans="1:4" x14ac:dyDescent="0.25">
      <c r="A8" s="2" t="s">
        <v>212</v>
      </c>
      <c r="B8" s="30">
        <v>0.32580000000000003</v>
      </c>
      <c r="C8" s="30">
        <v>0.97740000000000005</v>
      </c>
      <c r="D8" s="78">
        <v>1.2959000000000001</v>
      </c>
    </row>
    <row r="9" spans="1:4" x14ac:dyDescent="0.25">
      <c r="A9" s="2" t="s">
        <v>45</v>
      </c>
      <c r="B9" s="30">
        <v>4.7566666666666667E-2</v>
      </c>
      <c r="C9" s="30">
        <v>0.28539999999999999</v>
      </c>
      <c r="D9" s="78"/>
    </row>
    <row r="10" spans="1:4" x14ac:dyDescent="0.25">
      <c r="A10" s="2" t="s">
        <v>77</v>
      </c>
      <c r="B10" s="30">
        <v>0.16652500000000001</v>
      </c>
      <c r="C10" s="30">
        <v>0.66610000000000003</v>
      </c>
      <c r="D10" s="78"/>
    </row>
    <row r="11" spans="1:4" x14ac:dyDescent="0.25">
      <c r="A11" s="2" t="s">
        <v>257</v>
      </c>
      <c r="B11" s="30">
        <v>1.4497166666666665</v>
      </c>
      <c r="C11" s="30">
        <v>8.6982999999999997</v>
      </c>
      <c r="D11" s="78">
        <v>1.48315</v>
      </c>
    </row>
    <row r="12" spans="1:4" x14ac:dyDescent="0.25">
      <c r="A12" s="2" t="s">
        <v>203</v>
      </c>
      <c r="B12" s="30">
        <v>2.4054166666666668E-2</v>
      </c>
      <c r="C12" s="30">
        <v>0.14432500000000001</v>
      </c>
      <c r="D12" s="78">
        <v>0.43159999999999998</v>
      </c>
    </row>
    <row r="13" spans="1:4" x14ac:dyDescent="0.25">
      <c r="A13" s="2" t="s">
        <v>83</v>
      </c>
      <c r="B13" s="30">
        <v>1.5766641666666665</v>
      </c>
      <c r="C13" s="30">
        <v>9.4599849999999996</v>
      </c>
      <c r="D13" s="78">
        <v>0.37281666666666663</v>
      </c>
    </row>
    <row r="14" spans="1:4" x14ac:dyDescent="0.25">
      <c r="A14" s="2" t="s">
        <v>43</v>
      </c>
      <c r="B14" s="30">
        <v>0.19211999999999999</v>
      </c>
      <c r="C14" s="30">
        <v>0.9605999999999999</v>
      </c>
      <c r="D14" s="78">
        <v>0.37853999999999999</v>
      </c>
    </row>
    <row r="15" spans="1:4" x14ac:dyDescent="0.25">
      <c r="A15" s="2" t="s">
        <v>84</v>
      </c>
      <c r="B15" s="30">
        <v>0.4148</v>
      </c>
      <c r="C15" s="30">
        <v>0.4148</v>
      </c>
      <c r="D15" s="78"/>
    </row>
    <row r="16" spans="1:4" x14ac:dyDescent="0.25">
      <c r="A16" s="2" t="s">
        <v>193</v>
      </c>
      <c r="B16" s="30">
        <v>0.17047997283591665</v>
      </c>
      <c r="C16" s="30">
        <v>1.0228798370154999</v>
      </c>
      <c r="D16" s="78">
        <v>0.30604999999999999</v>
      </c>
    </row>
    <row r="17" spans="1:10" x14ac:dyDescent="0.25">
      <c r="A17" s="2" t="s">
        <v>195</v>
      </c>
      <c r="B17" s="30">
        <v>0.17006370913591665</v>
      </c>
      <c r="C17" s="30">
        <v>1.0203822548154999</v>
      </c>
      <c r="D17" s="78">
        <v>0.30604999999999999</v>
      </c>
    </row>
    <row r="18" spans="1:10" x14ac:dyDescent="0.25">
      <c r="A18" s="2" t="s">
        <v>61</v>
      </c>
      <c r="B18" s="30">
        <v>0.25508333333333333</v>
      </c>
      <c r="C18" s="30">
        <v>1.5305</v>
      </c>
      <c r="D18" s="78"/>
      <c r="H18" s="62"/>
      <c r="I18" s="62"/>
      <c r="J18" s="79"/>
    </row>
    <row r="19" spans="1:10" x14ac:dyDescent="0.25">
      <c r="A19" s="2" t="s">
        <v>13</v>
      </c>
      <c r="B19" s="30">
        <v>0.46085583333333341</v>
      </c>
      <c r="C19" s="30">
        <v>2.7651350000000003</v>
      </c>
      <c r="D19" s="78">
        <v>1.0419499999999999</v>
      </c>
      <c r="H19" s="62"/>
      <c r="I19" s="62"/>
      <c r="J19" s="79"/>
    </row>
    <row r="20" spans="1:10" x14ac:dyDescent="0.25">
      <c r="A20" s="2" t="s">
        <v>31</v>
      </c>
      <c r="B20" s="30">
        <v>0.19052312316666664</v>
      </c>
      <c r="C20" s="30">
        <v>1.1431387389999998</v>
      </c>
      <c r="D20" s="78"/>
      <c r="H20" s="62"/>
      <c r="I20" s="62"/>
      <c r="J20" s="79"/>
    </row>
    <row r="21" spans="1:10" x14ac:dyDescent="0.25">
      <c r="A21" s="2" t="s">
        <v>200</v>
      </c>
      <c r="B21" s="30">
        <v>9.6616666666666674E-3</v>
      </c>
      <c r="C21" s="30">
        <v>5.7970000000000001E-2</v>
      </c>
      <c r="D21" s="78">
        <v>0</v>
      </c>
      <c r="H21" s="62"/>
      <c r="I21" s="62"/>
      <c r="J21" s="79"/>
    </row>
    <row r="22" spans="1:10" x14ac:dyDescent="0.25">
      <c r="A22" s="2" t="s">
        <v>80</v>
      </c>
      <c r="B22" s="30">
        <v>1.1304891666666668</v>
      </c>
      <c r="C22" s="30">
        <v>6.7829350000000002</v>
      </c>
      <c r="D22" s="78">
        <v>1.03305</v>
      </c>
    </row>
    <row r="23" spans="1:10" x14ac:dyDescent="0.25">
      <c r="A23" s="2" t="s">
        <v>87</v>
      </c>
      <c r="B23" s="30">
        <v>1.2435941666666668</v>
      </c>
      <c r="C23" s="30">
        <v>7.4615650000000002</v>
      </c>
      <c r="D23" s="78">
        <v>1.1446499999999999</v>
      </c>
    </row>
    <row r="24" spans="1:10" x14ac:dyDescent="0.25">
      <c r="A24" s="2" t="s">
        <v>253</v>
      </c>
      <c r="B24" s="30">
        <v>0.38489250000000003</v>
      </c>
      <c r="C24" s="30">
        <v>2.309355</v>
      </c>
      <c r="D24" s="78">
        <v>0.35410000000000003</v>
      </c>
    </row>
    <row r="25" spans="1:10" x14ac:dyDescent="0.25">
      <c r="A25" s="2" t="s">
        <v>78</v>
      </c>
      <c r="B25" s="30">
        <v>2.0664333333333333</v>
      </c>
      <c r="C25" s="30">
        <v>6.1993</v>
      </c>
      <c r="D25" s="78"/>
    </row>
    <row r="26" spans="1:10" x14ac:dyDescent="0.25">
      <c r="A26" s="2" t="s">
        <v>72</v>
      </c>
      <c r="B26" s="30">
        <v>0.25785000000000002</v>
      </c>
      <c r="C26" s="30">
        <v>1.0314000000000001</v>
      </c>
      <c r="D26" s="78"/>
    </row>
    <row r="27" spans="1:10" x14ac:dyDescent="0.25">
      <c r="A27" s="2" t="s">
        <v>75</v>
      </c>
      <c r="B27" s="30">
        <v>0.210225</v>
      </c>
      <c r="C27" s="30">
        <v>0.84089999999999998</v>
      </c>
      <c r="D27" s="78"/>
    </row>
    <row r="28" spans="1:10" x14ac:dyDescent="0.25">
      <c r="A28" s="2" t="s">
        <v>71</v>
      </c>
      <c r="B28" s="30">
        <v>0.64595666666666662</v>
      </c>
      <c r="C28" s="30">
        <v>3.8757399999999995</v>
      </c>
      <c r="D28" s="78">
        <v>0.16055000000000003</v>
      </c>
    </row>
    <row r="29" spans="1:10" x14ac:dyDescent="0.25">
      <c r="A29" s="2" t="s">
        <v>68</v>
      </c>
      <c r="B29" s="30">
        <v>0.41449333333333332</v>
      </c>
      <c r="C29" s="30">
        <v>2.4869599999999998</v>
      </c>
      <c r="D29" s="78"/>
    </row>
    <row r="30" spans="1:10" x14ac:dyDescent="0.25">
      <c r="A30" s="2" t="s">
        <v>208</v>
      </c>
      <c r="B30" s="30">
        <v>2.6728805366666667E-2</v>
      </c>
      <c r="C30" s="30">
        <v>0.16037283220000001</v>
      </c>
      <c r="D30" s="78"/>
    </row>
    <row r="31" spans="1:10" x14ac:dyDescent="0.25">
      <c r="A31" s="2" t="s">
        <v>225</v>
      </c>
      <c r="B31" s="30">
        <v>0.74295</v>
      </c>
      <c r="C31" s="30">
        <v>4.4577</v>
      </c>
      <c r="D31" s="78">
        <v>0.60570000000000002</v>
      </c>
    </row>
    <row r="32" spans="1:10" x14ac:dyDescent="0.25">
      <c r="A32" s="2" t="s">
        <v>228</v>
      </c>
      <c r="B32" s="30">
        <v>2.8309774999999995</v>
      </c>
      <c r="C32" s="30">
        <v>16.985864999999997</v>
      </c>
      <c r="D32" s="78"/>
    </row>
    <row r="33" spans="1:4" x14ac:dyDescent="0.25">
      <c r="A33" s="2" t="s">
        <v>232</v>
      </c>
      <c r="B33" s="30">
        <v>0.69155166666666668</v>
      </c>
      <c r="C33" s="30">
        <v>4.1493099999999998</v>
      </c>
      <c r="D33" s="78">
        <v>2.1453000000000002</v>
      </c>
    </row>
    <row r="34" spans="1:4" x14ac:dyDescent="0.25">
      <c r="A34" s="2" t="s">
        <v>230</v>
      </c>
      <c r="B34" s="30">
        <v>1.2762791666666666</v>
      </c>
      <c r="C34" s="30">
        <v>7.6576749999999993</v>
      </c>
      <c r="D34" s="78"/>
    </row>
    <row r="35" spans="1:4" x14ac:dyDescent="0.25">
      <c r="A35" s="2" t="s">
        <v>93</v>
      </c>
      <c r="B35" s="30">
        <v>2.8110358333333334</v>
      </c>
      <c r="C35" s="30">
        <v>16.866215</v>
      </c>
      <c r="D35" s="78">
        <v>1.1492</v>
      </c>
    </row>
    <row r="36" spans="1:4" x14ac:dyDescent="0.25">
      <c r="A36" s="2" t="s">
        <v>92</v>
      </c>
      <c r="B36" s="30">
        <v>2.8110358333333334</v>
      </c>
      <c r="C36" s="30">
        <v>16.866215</v>
      </c>
      <c r="D36" s="78">
        <v>1.0880666666666667</v>
      </c>
    </row>
    <row r="37" spans="1:4" x14ac:dyDescent="0.25">
      <c r="A37" s="2" t="s">
        <v>308</v>
      </c>
      <c r="B37" s="30">
        <v>3.3042666666666665</v>
      </c>
      <c r="C37" s="30">
        <v>19.825599999999998</v>
      </c>
      <c r="D37" s="78">
        <v>0.69405000000000006</v>
      </c>
    </row>
    <row r="38" spans="1:4" x14ac:dyDescent="0.25">
      <c r="A38" s="2" t="s">
        <v>94</v>
      </c>
      <c r="B38" s="30">
        <v>2.0453333333333332</v>
      </c>
      <c r="C38" s="30">
        <v>12.271999999999998</v>
      </c>
      <c r="D38" s="78"/>
    </row>
    <row r="39" spans="1:4" x14ac:dyDescent="0.25">
      <c r="A39" s="2" t="s">
        <v>96</v>
      </c>
      <c r="B39" s="30">
        <v>1.0665633333333331</v>
      </c>
      <c r="C39" s="30">
        <v>6.399379999999999</v>
      </c>
      <c r="D39" s="78">
        <v>0.47504999999999997</v>
      </c>
    </row>
    <row r="40" spans="1:4" x14ac:dyDescent="0.25">
      <c r="A40" s="2" t="s">
        <v>255</v>
      </c>
      <c r="B40" s="30">
        <v>0.18891250000000001</v>
      </c>
      <c r="C40" s="30">
        <v>1.133475</v>
      </c>
      <c r="D40" s="78">
        <v>0.33175000000000004</v>
      </c>
    </row>
    <row r="41" spans="1:4" x14ac:dyDescent="0.25">
      <c r="A41" s="2" t="s">
        <v>221</v>
      </c>
      <c r="B41" s="30">
        <v>0.91722333333333328</v>
      </c>
      <c r="C41" s="30">
        <v>5.5033399999999997</v>
      </c>
      <c r="D41" s="78">
        <v>0.5524</v>
      </c>
    </row>
    <row r="42" spans="1:4" x14ac:dyDescent="0.25">
      <c r="A42" s="2" t="s">
        <v>28</v>
      </c>
      <c r="B42" s="30">
        <v>1.6026518421666669</v>
      </c>
      <c r="C42" s="30">
        <v>9.6159110530000014</v>
      </c>
      <c r="D42" s="78">
        <v>0.84325000000000006</v>
      </c>
    </row>
    <row r="43" spans="1:4" x14ac:dyDescent="0.25">
      <c r="A43" s="2" t="s">
        <v>86</v>
      </c>
      <c r="B43" s="30">
        <v>0.30829125000000002</v>
      </c>
      <c r="C43" s="30">
        <v>1.2331650000000001</v>
      </c>
      <c r="D43" s="78"/>
    </row>
    <row r="44" spans="1:4" x14ac:dyDescent="0.25">
      <c r="A44" s="2" t="s">
        <v>34</v>
      </c>
      <c r="B44" s="30">
        <v>0.5387358333333333</v>
      </c>
      <c r="C44" s="30">
        <v>3.2324149999999996</v>
      </c>
      <c r="D44" s="78">
        <v>0.48719999999999997</v>
      </c>
    </row>
    <row r="45" spans="1:4" x14ac:dyDescent="0.25">
      <c r="A45" s="2" t="s">
        <v>223</v>
      </c>
      <c r="B45" s="30">
        <v>2.0070849999999996</v>
      </c>
      <c r="C45" s="30">
        <v>12.042509999999998</v>
      </c>
      <c r="D45" s="78">
        <v>1.0761000000000001</v>
      </c>
    </row>
    <row r="46" spans="1:4" x14ac:dyDescent="0.25">
      <c r="A46" s="2" t="s">
        <v>5</v>
      </c>
      <c r="B46" s="30">
        <v>2.5954986282833334</v>
      </c>
      <c r="C46" s="30">
        <v>15.572991769700002</v>
      </c>
      <c r="D46" s="78"/>
    </row>
    <row r="47" spans="1:4" x14ac:dyDescent="0.25">
      <c r="A47" s="2" t="s">
        <v>88</v>
      </c>
      <c r="B47" s="30">
        <v>1.4497158333333333</v>
      </c>
      <c r="C47" s="30">
        <v>8.6982949999999999</v>
      </c>
      <c r="D47" s="78"/>
    </row>
    <row r="48" spans="1:4" x14ac:dyDescent="0.25">
      <c r="A48" s="2" t="s">
        <v>4</v>
      </c>
      <c r="B48" s="30">
        <v>4.8970960653325006</v>
      </c>
      <c r="C48" s="30">
        <v>29.382576391995002</v>
      </c>
      <c r="D48" s="78">
        <v>0.87674195339967265</v>
      </c>
    </row>
    <row r="49" spans="1:4" x14ac:dyDescent="0.25">
      <c r="A49" s="82">
        <v>2008</v>
      </c>
      <c r="B49" s="30">
        <v>3.5796941014000003</v>
      </c>
      <c r="C49" s="30">
        <v>3.5796941014000003</v>
      </c>
      <c r="D49" s="78">
        <v>1.0033706083513065</v>
      </c>
    </row>
    <row r="50" spans="1:4" x14ac:dyDescent="0.25">
      <c r="A50" s="82">
        <v>2009</v>
      </c>
      <c r="B50" s="30">
        <v>6.1851035392250004</v>
      </c>
      <c r="C50" s="30">
        <v>6.1851035392250004</v>
      </c>
      <c r="D50" s="78">
        <v>1.0145967436761225</v>
      </c>
    </row>
    <row r="51" spans="1:4" x14ac:dyDescent="0.25">
      <c r="A51" s="82">
        <v>2010</v>
      </c>
      <c r="B51" s="30">
        <v>8.5169628464699993</v>
      </c>
      <c r="C51" s="30">
        <v>8.5169628464699993</v>
      </c>
      <c r="D51" s="78">
        <v>1.0156528347601661</v>
      </c>
    </row>
    <row r="52" spans="1:4" x14ac:dyDescent="0.25">
      <c r="A52" s="82">
        <v>2011</v>
      </c>
      <c r="B52" s="30">
        <v>7.41946588295</v>
      </c>
      <c r="C52" s="30">
        <v>7.41946588295</v>
      </c>
      <c r="D52" s="78">
        <v>1.1441105062892896</v>
      </c>
    </row>
    <row r="53" spans="1:4" x14ac:dyDescent="0.25">
      <c r="A53" s="82">
        <v>2012</v>
      </c>
      <c r="B53" s="30">
        <v>3.6780138839499998</v>
      </c>
      <c r="C53" s="30">
        <v>3.6780138839499998</v>
      </c>
      <c r="D53" s="78">
        <v>0.57952363232735726</v>
      </c>
    </row>
    <row r="54" spans="1:4" x14ac:dyDescent="0.25">
      <c r="A54" s="82">
        <v>2013</v>
      </c>
      <c r="B54" s="30">
        <v>3.3361380000000002E-3</v>
      </c>
      <c r="C54" s="30">
        <v>3.3361380000000002E-3</v>
      </c>
      <c r="D54" s="78">
        <v>0.50319739499379323</v>
      </c>
    </row>
    <row r="55" spans="1:4" x14ac:dyDescent="0.25">
      <c r="A55" s="2" t="s">
        <v>89</v>
      </c>
      <c r="B55" s="30">
        <v>1.5063691666666665</v>
      </c>
      <c r="C55" s="30">
        <v>9.0382149999999992</v>
      </c>
      <c r="D55" s="78">
        <v>0.61804999999999999</v>
      </c>
    </row>
    <row r="56" spans="1:4" x14ac:dyDescent="0.25">
      <c r="A56" s="2" t="s">
        <v>210</v>
      </c>
      <c r="B56" s="30">
        <v>0.20649999999999999</v>
      </c>
      <c r="C56" s="30">
        <v>1.2389999999999999</v>
      </c>
      <c r="D56" s="78">
        <v>0.45479999999999998</v>
      </c>
    </row>
    <row r="57" spans="1:4" x14ac:dyDescent="0.25">
      <c r="A57" s="2" t="s">
        <v>97</v>
      </c>
      <c r="B57" s="30">
        <v>1.0115091666666667</v>
      </c>
      <c r="C57" s="30">
        <v>6.0690549999999996</v>
      </c>
      <c r="D57" s="78"/>
    </row>
    <row r="58" spans="1:4" x14ac:dyDescent="0.25">
      <c r="A58" s="2" t="s">
        <v>48</v>
      </c>
      <c r="B58" s="30">
        <v>0.17395000000000002</v>
      </c>
      <c r="C58" s="30">
        <v>1.0437000000000001</v>
      </c>
      <c r="D58" s="78">
        <v>0.15859999999999999</v>
      </c>
    </row>
    <row r="59" spans="1:4" x14ac:dyDescent="0.25">
      <c r="A59" s="2" t="s">
        <v>301</v>
      </c>
      <c r="B59" s="30">
        <v>0.41102999999999995</v>
      </c>
      <c r="C59" s="30">
        <v>2.4661799999999996</v>
      </c>
      <c r="D59" s="78">
        <v>0.12855</v>
      </c>
    </row>
    <row r="60" spans="1:4" x14ac:dyDescent="0.25">
      <c r="A60" s="82">
        <v>2008</v>
      </c>
      <c r="B60" s="30">
        <v>1.0878999999999999</v>
      </c>
      <c r="C60" s="30">
        <v>1.0878999999999999</v>
      </c>
      <c r="D60" s="78"/>
    </row>
    <row r="61" spans="1:4" x14ac:dyDescent="0.25">
      <c r="A61" s="82">
        <v>2009</v>
      </c>
      <c r="B61" s="30">
        <v>0.48258499999999999</v>
      </c>
      <c r="C61" s="30">
        <v>0.48258499999999999</v>
      </c>
      <c r="D61" s="78"/>
    </row>
    <row r="62" spans="1:4" x14ac:dyDescent="0.25">
      <c r="A62" s="82">
        <v>2010</v>
      </c>
      <c r="B62" s="30">
        <v>0.22719499999999998</v>
      </c>
      <c r="C62" s="30">
        <v>0.22719499999999998</v>
      </c>
      <c r="D62" s="78"/>
    </row>
    <row r="63" spans="1:4" x14ac:dyDescent="0.25">
      <c r="A63" s="82">
        <v>2011</v>
      </c>
      <c r="B63" s="30">
        <v>0.30717</v>
      </c>
      <c r="C63" s="30">
        <v>0.30717</v>
      </c>
      <c r="D63" s="78"/>
    </row>
    <row r="64" spans="1:4" x14ac:dyDescent="0.25">
      <c r="A64" s="82">
        <v>2012</v>
      </c>
      <c r="B64" s="30">
        <v>0.20148499999999997</v>
      </c>
      <c r="C64" s="30">
        <v>0.20148499999999997</v>
      </c>
      <c r="D64" s="78">
        <v>0.23</v>
      </c>
    </row>
    <row r="65" spans="1:4" x14ac:dyDescent="0.25">
      <c r="A65" s="82">
        <v>2013</v>
      </c>
      <c r="B65" s="30">
        <v>0.15984500000000001</v>
      </c>
      <c r="C65" s="30">
        <v>0.15984500000000001</v>
      </c>
      <c r="D65" s="78">
        <v>2.7099999999999999E-2</v>
      </c>
    </row>
    <row r="66" spans="1:4" x14ac:dyDescent="0.25">
      <c r="A66" s="2" t="s">
        <v>25</v>
      </c>
      <c r="B66" s="64">
        <v>0.11209250000000003</v>
      </c>
      <c r="C66" s="30">
        <v>0.67255500000000012</v>
      </c>
      <c r="D66" s="78"/>
    </row>
    <row r="67" spans="1:4" x14ac:dyDescent="0.25">
      <c r="A67" s="2" t="s">
        <v>100</v>
      </c>
      <c r="B67" s="30">
        <v>2.7445000000000004</v>
      </c>
      <c r="C67" s="30">
        <v>16.467000000000002</v>
      </c>
      <c r="D67" s="78"/>
    </row>
    <row r="68" spans="1:4" x14ac:dyDescent="0.25">
      <c r="A68" s="2" t="s">
        <v>91</v>
      </c>
      <c r="B68" s="30">
        <v>2.1144790378583331</v>
      </c>
      <c r="C68" s="30">
        <v>12.686874227149998</v>
      </c>
      <c r="D68" s="78">
        <v>0.9900000000000001</v>
      </c>
    </row>
    <row r="69" spans="1:4" x14ac:dyDescent="0.25">
      <c r="A69" s="2" t="s">
        <v>95</v>
      </c>
      <c r="B69" s="30">
        <v>2.3259533582250005</v>
      </c>
      <c r="C69" s="30">
        <v>13.955720149350002</v>
      </c>
      <c r="D69" s="78">
        <v>1.105</v>
      </c>
    </row>
    <row r="70" spans="1:4" x14ac:dyDescent="0.25">
      <c r="A70" s="2" t="s">
        <v>39</v>
      </c>
      <c r="B70" s="30">
        <v>0.12658333333333333</v>
      </c>
      <c r="C70" s="30">
        <v>0.75949999999999995</v>
      </c>
      <c r="D70" s="78"/>
    </row>
    <row r="71" spans="1:4" x14ac:dyDescent="0.25">
      <c r="A71" s="2" t="s">
        <v>47</v>
      </c>
      <c r="B71" s="30">
        <v>0.50021666666666664</v>
      </c>
      <c r="C71" s="30">
        <v>3.0013000000000001</v>
      </c>
      <c r="D71" s="78">
        <v>0.17041666666666666</v>
      </c>
    </row>
    <row r="72" spans="1:4" x14ac:dyDescent="0.25">
      <c r="A72" s="2" t="s">
        <v>82</v>
      </c>
      <c r="B72" s="30">
        <v>0.58666666666666656</v>
      </c>
      <c r="C72" s="30">
        <v>3.5199999999999996</v>
      </c>
      <c r="D72" s="78"/>
    </row>
    <row r="73" spans="1:4" x14ac:dyDescent="0.25">
      <c r="A73" s="2" t="s">
        <v>35</v>
      </c>
      <c r="B73" s="30">
        <v>0.33429166666666665</v>
      </c>
      <c r="C73" s="30">
        <v>2.0057499999999999</v>
      </c>
      <c r="D73" s="78">
        <v>0.38583333333333331</v>
      </c>
    </row>
    <row r="74" spans="1:4" x14ac:dyDescent="0.25">
      <c r="A74" s="2" t="s">
        <v>304</v>
      </c>
      <c r="B74" s="30">
        <v>0.95701833333333353</v>
      </c>
      <c r="C74" s="30">
        <v>5.7421100000000012</v>
      </c>
      <c r="D74" s="78">
        <v>0.39560000000000001</v>
      </c>
    </row>
    <row r="75" spans="1:4" x14ac:dyDescent="0.25">
      <c r="A75" s="82">
        <v>2008</v>
      </c>
      <c r="B75" s="30">
        <v>1.3856950000000001</v>
      </c>
      <c r="C75" s="30">
        <v>1.3856950000000001</v>
      </c>
      <c r="D75" s="78">
        <v>0.8</v>
      </c>
    </row>
    <row r="76" spans="1:4" x14ac:dyDescent="0.25">
      <c r="A76" s="82">
        <v>2009</v>
      </c>
      <c r="B76" s="30">
        <v>0.64924000000000015</v>
      </c>
      <c r="C76" s="30">
        <v>0.64924000000000015</v>
      </c>
      <c r="D76" s="78">
        <v>0.31</v>
      </c>
    </row>
    <row r="77" spans="1:4" x14ac:dyDescent="0.25">
      <c r="A77" s="82">
        <v>2010</v>
      </c>
      <c r="B77" s="30">
        <v>0.86301500000000009</v>
      </c>
      <c r="C77" s="30">
        <v>0.86301500000000009</v>
      </c>
      <c r="D77" s="78">
        <v>0.32</v>
      </c>
    </row>
    <row r="78" spans="1:4" x14ac:dyDescent="0.25">
      <c r="A78" s="82">
        <v>2011</v>
      </c>
      <c r="B78" s="30">
        <v>0.94334000000000007</v>
      </c>
      <c r="C78" s="30">
        <v>0.94334000000000007</v>
      </c>
      <c r="D78" s="78">
        <v>0.32</v>
      </c>
    </row>
    <row r="79" spans="1:4" x14ac:dyDescent="0.25">
      <c r="A79" s="82">
        <v>2012</v>
      </c>
      <c r="B79" s="30">
        <v>1.03193</v>
      </c>
      <c r="C79" s="30">
        <v>1.03193</v>
      </c>
      <c r="D79" s="78">
        <v>0.37</v>
      </c>
    </row>
    <row r="80" spans="1:4" x14ac:dyDescent="0.25">
      <c r="A80" s="82">
        <v>2013</v>
      </c>
      <c r="B80" s="30">
        <v>0.86889000000000005</v>
      </c>
      <c r="C80" s="30">
        <v>0.86889000000000005</v>
      </c>
      <c r="D80" s="78">
        <v>0.25359999999999999</v>
      </c>
    </row>
    <row r="81" spans="1:4" x14ac:dyDescent="0.25">
      <c r="A81" s="2" t="s">
        <v>40</v>
      </c>
      <c r="B81" s="30">
        <v>0.16971250000000002</v>
      </c>
      <c r="C81" s="30">
        <v>1.018275</v>
      </c>
      <c r="D81" s="78">
        <v>0.4468833333333333</v>
      </c>
    </row>
    <row r="82" spans="1:4" x14ac:dyDescent="0.25">
      <c r="A82" s="2" t="s">
        <v>173</v>
      </c>
      <c r="B82" s="30">
        <v>0.24613666666666667</v>
      </c>
      <c r="C82" s="30">
        <v>1.47682</v>
      </c>
      <c r="D82" s="78"/>
    </row>
    <row r="83" spans="1:4" x14ac:dyDescent="0.25">
      <c r="A83" s="2" t="s">
        <v>175</v>
      </c>
      <c r="B83" s="30">
        <v>0</v>
      </c>
      <c r="C83" s="30">
        <v>0</v>
      </c>
      <c r="D83" s="78">
        <v>0.58920000000000006</v>
      </c>
    </row>
    <row r="84" spans="1:4" x14ac:dyDescent="0.25">
      <c r="A84" s="2" t="s">
        <v>65</v>
      </c>
      <c r="B84" s="30">
        <v>0.30908000000000002</v>
      </c>
      <c r="C84" s="30">
        <v>0.30908000000000002</v>
      </c>
      <c r="D84" s="78"/>
    </row>
    <row r="85" spans="1:4" x14ac:dyDescent="0.25">
      <c r="A85" s="2" t="s">
        <v>51</v>
      </c>
      <c r="B85" s="30">
        <v>1.0432191666666666</v>
      </c>
      <c r="C85" s="30">
        <v>6.259315</v>
      </c>
      <c r="D85" s="78"/>
    </row>
    <row r="86" spans="1:4" x14ac:dyDescent="0.25">
      <c r="A86" s="2" t="s">
        <v>37</v>
      </c>
      <c r="B86" s="30">
        <v>0.15566749999999999</v>
      </c>
      <c r="C86" s="30">
        <v>0.93400499999999997</v>
      </c>
      <c r="D86" s="78"/>
    </row>
    <row r="87" spans="1:4" x14ac:dyDescent="0.25">
      <c r="A87" s="2" t="s">
        <v>58</v>
      </c>
      <c r="B87" s="30">
        <v>0.72988249999999999</v>
      </c>
      <c r="C87" s="30">
        <v>4.3792949999999999</v>
      </c>
      <c r="D87" s="78">
        <v>0.27276666666666666</v>
      </c>
    </row>
    <row r="88" spans="1:4" x14ac:dyDescent="0.25">
      <c r="A88" s="2" t="s">
        <v>59</v>
      </c>
      <c r="B88" s="30">
        <v>0.80085750000000011</v>
      </c>
      <c r="C88" s="30">
        <v>4.8051450000000004</v>
      </c>
      <c r="D88" s="78">
        <v>0.31655</v>
      </c>
    </row>
    <row r="89" spans="1:4" x14ac:dyDescent="0.25">
      <c r="A89" s="2" t="s">
        <v>238</v>
      </c>
      <c r="B89" s="30">
        <v>0.84348333333333336</v>
      </c>
      <c r="C89" s="30">
        <v>5.0609000000000002</v>
      </c>
      <c r="D89" s="78">
        <v>0.61504999999999999</v>
      </c>
    </row>
    <row r="90" spans="1:4" x14ac:dyDescent="0.25">
      <c r="A90" s="82">
        <v>2008</v>
      </c>
      <c r="B90" s="30">
        <v>0.80878000000000005</v>
      </c>
      <c r="C90" s="30">
        <v>0.80878000000000005</v>
      </c>
      <c r="D90" s="78"/>
    </row>
    <row r="91" spans="1:4" x14ac:dyDescent="0.25">
      <c r="A91" s="82">
        <v>2009</v>
      </c>
      <c r="B91" s="30">
        <v>0.80384999999999995</v>
      </c>
      <c r="C91" s="30">
        <v>0.80384999999999995</v>
      </c>
      <c r="D91" s="78"/>
    </row>
    <row r="92" spans="1:4" x14ac:dyDescent="0.25">
      <c r="A92" s="82">
        <v>2010</v>
      </c>
      <c r="B92" s="30">
        <v>0.8093499999999999</v>
      </c>
      <c r="C92" s="30">
        <v>0.8093499999999999</v>
      </c>
      <c r="D92" s="78"/>
    </row>
    <row r="93" spans="1:4" x14ac:dyDescent="0.25">
      <c r="A93" s="82">
        <v>2011</v>
      </c>
      <c r="B93" s="30">
        <v>0.97699499999999995</v>
      </c>
      <c r="C93" s="30">
        <v>0.97699499999999995</v>
      </c>
      <c r="D93" s="78"/>
    </row>
    <row r="94" spans="1:4" x14ac:dyDescent="0.25">
      <c r="A94" s="82">
        <v>2012</v>
      </c>
      <c r="B94" s="30">
        <v>0.89859499999999992</v>
      </c>
      <c r="C94" s="30">
        <v>0.89859499999999992</v>
      </c>
      <c r="D94" s="78">
        <v>0.52</v>
      </c>
    </row>
    <row r="95" spans="1:4" x14ac:dyDescent="0.25">
      <c r="A95" s="82">
        <v>2013</v>
      </c>
      <c r="B95" s="30">
        <v>0.76332999999999995</v>
      </c>
      <c r="C95" s="30">
        <v>0.76332999999999995</v>
      </c>
      <c r="D95" s="78">
        <v>0.71009999999999995</v>
      </c>
    </row>
    <row r="96" spans="1:4" x14ac:dyDescent="0.25">
      <c r="A96" s="2" t="s">
        <v>30</v>
      </c>
      <c r="B96" s="30">
        <v>0.26518250000000004</v>
      </c>
      <c r="C96" s="30">
        <v>1.5910950000000001</v>
      </c>
      <c r="D96" s="78">
        <v>0.59696666666666665</v>
      </c>
    </row>
    <row r="97" spans="1:4" x14ac:dyDescent="0.25">
      <c r="A97" s="2" t="s">
        <v>310</v>
      </c>
      <c r="B97" s="30">
        <v>0.53252916666666672</v>
      </c>
      <c r="C97" s="30">
        <v>3.1951750000000003</v>
      </c>
      <c r="D97" s="78">
        <v>0.39414999999999994</v>
      </c>
    </row>
    <row r="98" spans="1:4" x14ac:dyDescent="0.25">
      <c r="A98" s="82">
        <v>2008</v>
      </c>
      <c r="B98" s="30">
        <v>0.33150000000000002</v>
      </c>
      <c r="C98" s="30">
        <v>0.33150000000000002</v>
      </c>
      <c r="D98" s="78">
        <v>0.5</v>
      </c>
    </row>
    <row r="99" spans="1:4" x14ac:dyDescent="0.25">
      <c r="A99" s="82">
        <v>2009</v>
      </c>
      <c r="B99" s="30">
        <v>0.28050000000000003</v>
      </c>
      <c r="C99" s="30">
        <v>0.28050000000000003</v>
      </c>
      <c r="D99" s="78">
        <v>0.45</v>
      </c>
    </row>
    <row r="100" spans="1:4" x14ac:dyDescent="0.25">
      <c r="A100" s="82">
        <v>2010</v>
      </c>
      <c r="B100" s="30">
        <v>0.37867499999999998</v>
      </c>
      <c r="C100" s="30">
        <v>0.37867499999999998</v>
      </c>
      <c r="D100" s="78">
        <v>0.39</v>
      </c>
    </row>
    <row r="101" spans="1:4" x14ac:dyDescent="0.25">
      <c r="A101" s="82">
        <v>2011</v>
      </c>
      <c r="B101" s="30">
        <v>0.91850000000000009</v>
      </c>
      <c r="C101" s="30">
        <v>0.91850000000000009</v>
      </c>
      <c r="D101" s="78">
        <v>0.19</v>
      </c>
    </row>
    <row r="102" spans="1:4" x14ac:dyDescent="0.25">
      <c r="A102" s="82">
        <v>2012</v>
      </c>
      <c r="B102" s="30">
        <v>0.91199999999999992</v>
      </c>
      <c r="C102" s="30">
        <v>0.91199999999999992</v>
      </c>
      <c r="D102" s="78">
        <v>0.45</v>
      </c>
    </row>
    <row r="103" spans="1:4" x14ac:dyDescent="0.25">
      <c r="A103" s="82">
        <v>2013</v>
      </c>
      <c r="B103" s="30">
        <v>0.374</v>
      </c>
      <c r="C103" s="30">
        <v>0.374</v>
      </c>
      <c r="D103" s="78">
        <v>0.38490000000000002</v>
      </c>
    </row>
    <row r="104" spans="1:4" x14ac:dyDescent="0.25">
      <c r="A104" s="2" t="s">
        <v>54</v>
      </c>
      <c r="B104" s="30">
        <v>0.37168333333333337</v>
      </c>
      <c r="C104" s="30">
        <v>2.2301000000000002</v>
      </c>
      <c r="D104" s="78"/>
    </row>
    <row r="105" spans="1:4" x14ac:dyDescent="0.25">
      <c r="A105" s="2" t="s">
        <v>41</v>
      </c>
      <c r="B105" s="30">
        <v>2.2915000000000001E-2</v>
      </c>
      <c r="C105" s="30">
        <v>0.13749</v>
      </c>
      <c r="D105" s="78">
        <v>0.13955000000000001</v>
      </c>
    </row>
    <row r="106" spans="1:4" x14ac:dyDescent="0.25">
      <c r="A106" s="2" t="s">
        <v>67</v>
      </c>
      <c r="B106" s="30">
        <v>0.26525916666666666</v>
      </c>
      <c r="C106" s="30">
        <v>1.5915549999999998</v>
      </c>
      <c r="D106" s="78">
        <v>0.30913333333333332</v>
      </c>
    </row>
    <row r="107" spans="1:4" x14ac:dyDescent="0.25">
      <c r="A107" s="2" t="s">
        <v>215</v>
      </c>
      <c r="B107" s="30">
        <v>0.34583333333333338</v>
      </c>
      <c r="C107" s="30">
        <v>1.0375000000000001</v>
      </c>
      <c r="D107" s="78">
        <v>0.70146201779246764</v>
      </c>
    </row>
    <row r="108" spans="1:4" x14ac:dyDescent="0.25">
      <c r="A108" s="2" t="s">
        <v>250</v>
      </c>
      <c r="B108" s="30">
        <v>0.29453666666666661</v>
      </c>
      <c r="C108" s="30">
        <v>1.7672199999999998</v>
      </c>
      <c r="D108" s="78">
        <v>0.6179</v>
      </c>
    </row>
    <row r="109" spans="1:4" x14ac:dyDescent="0.25">
      <c r="A109" s="82">
        <v>2008</v>
      </c>
      <c r="B109" s="30">
        <v>0.23519499999999999</v>
      </c>
      <c r="C109" s="30">
        <v>0.23519499999999999</v>
      </c>
      <c r="D109" s="78"/>
    </row>
    <row r="110" spans="1:4" x14ac:dyDescent="0.25">
      <c r="A110" s="82">
        <v>2009</v>
      </c>
      <c r="B110" s="30">
        <v>0.25631999999999999</v>
      </c>
      <c r="C110" s="30">
        <v>0.25631999999999999</v>
      </c>
      <c r="D110" s="78"/>
    </row>
    <row r="111" spans="1:4" x14ac:dyDescent="0.25">
      <c r="A111" s="82">
        <v>2010</v>
      </c>
      <c r="B111" s="30">
        <v>0.24819999999999998</v>
      </c>
      <c r="C111" s="30">
        <v>0.24819999999999998</v>
      </c>
      <c r="D111" s="78"/>
    </row>
    <row r="112" spans="1:4" x14ac:dyDescent="0.25">
      <c r="A112" s="82">
        <v>2011</v>
      </c>
      <c r="B112" s="30">
        <v>0.29673499999999997</v>
      </c>
      <c r="C112" s="30">
        <v>0.29673499999999997</v>
      </c>
      <c r="D112" s="78"/>
    </row>
    <row r="113" spans="1:4" x14ac:dyDescent="0.25">
      <c r="A113" s="82">
        <v>2012</v>
      </c>
      <c r="B113" s="30">
        <v>0.38053999999999999</v>
      </c>
      <c r="C113" s="30">
        <v>0.38053999999999999</v>
      </c>
      <c r="D113" s="78">
        <v>0.66</v>
      </c>
    </row>
    <row r="114" spans="1:4" x14ac:dyDescent="0.25">
      <c r="A114" s="82">
        <v>2013</v>
      </c>
      <c r="B114" s="30">
        <v>0.35022999999999999</v>
      </c>
      <c r="C114" s="30">
        <v>0.35022999999999999</v>
      </c>
      <c r="D114" s="78">
        <v>0.57579999999999998</v>
      </c>
    </row>
    <row r="115" spans="1:4" x14ac:dyDescent="0.25">
      <c r="A115" s="2" t="s">
        <v>38</v>
      </c>
      <c r="B115" s="30">
        <v>0.19378333333333334</v>
      </c>
      <c r="C115" s="30">
        <v>1.1627000000000001</v>
      </c>
      <c r="D115" s="78">
        <v>0.22</v>
      </c>
    </row>
    <row r="116" spans="1:4" x14ac:dyDescent="0.25">
      <c r="A116" s="2" t="s">
        <v>217</v>
      </c>
      <c r="B116" s="30">
        <v>0.16758083333333332</v>
      </c>
      <c r="C116" s="30">
        <v>1.005485</v>
      </c>
      <c r="D116" s="78">
        <v>0.33415</v>
      </c>
    </row>
    <row r="117" spans="1:4" x14ac:dyDescent="0.25">
      <c r="A117" s="2" t="s">
        <v>98</v>
      </c>
      <c r="B117" s="30">
        <v>1.4246566666666667</v>
      </c>
      <c r="C117" s="30">
        <v>8.5479400000000005</v>
      </c>
      <c r="D117" s="78">
        <v>0.28082000000000001</v>
      </c>
    </row>
    <row r="118" spans="1:4" x14ac:dyDescent="0.25">
      <c r="A118" s="2" t="s">
        <v>248</v>
      </c>
      <c r="B118" s="30">
        <v>0.28860500000000006</v>
      </c>
      <c r="C118" s="30">
        <v>1.7316300000000004</v>
      </c>
      <c r="D118" s="78">
        <v>4.1863000000000001</v>
      </c>
    </row>
    <row r="119" spans="1:4" x14ac:dyDescent="0.25">
      <c r="A119" s="2" t="s">
        <v>74</v>
      </c>
      <c r="B119" s="30">
        <v>0.23616666666666664</v>
      </c>
      <c r="C119" s="30">
        <v>0.70849999999999991</v>
      </c>
      <c r="D119" s="78">
        <v>7.7300000000000008E-2</v>
      </c>
    </row>
    <row r="120" spans="1:4" x14ac:dyDescent="0.25">
      <c r="A120" s="2" t="s">
        <v>182</v>
      </c>
      <c r="B120" s="30">
        <v>0</v>
      </c>
      <c r="C120" s="30">
        <v>0</v>
      </c>
      <c r="D120" s="78"/>
    </row>
    <row r="121" spans="1:4" x14ac:dyDescent="0.25">
      <c r="A121" s="2" t="s">
        <v>56</v>
      </c>
      <c r="B121" s="30">
        <v>0.29656750000000004</v>
      </c>
      <c r="C121" s="30">
        <v>1.7794050000000001</v>
      </c>
      <c r="D121" s="78"/>
    </row>
    <row r="122" spans="1:4" x14ac:dyDescent="0.25">
      <c r="A122" s="2" t="s">
        <v>177</v>
      </c>
      <c r="B122" s="30">
        <v>0</v>
      </c>
      <c r="C122" s="30">
        <v>0</v>
      </c>
      <c r="D122" s="78">
        <v>0.5</v>
      </c>
    </row>
    <row r="123" spans="1:4" x14ac:dyDescent="0.25">
      <c r="A123" s="2" t="s">
        <v>260</v>
      </c>
      <c r="B123" s="30">
        <v>5.9436666666666665E-2</v>
      </c>
      <c r="C123" s="30">
        <v>0.17831</v>
      </c>
      <c r="D123" s="78">
        <v>0.89834999999999998</v>
      </c>
    </row>
    <row r="124" spans="1:4" x14ac:dyDescent="0.25">
      <c r="A124" s="82">
        <v>2011</v>
      </c>
      <c r="B124" s="30">
        <v>6.6070000000000004E-2</v>
      </c>
      <c r="C124" s="30">
        <v>6.6070000000000004E-2</v>
      </c>
      <c r="D124" s="78"/>
    </row>
    <row r="125" spans="1:4" x14ac:dyDescent="0.25">
      <c r="A125" s="82">
        <v>2012</v>
      </c>
      <c r="B125" s="30">
        <v>6.6040000000000001E-2</v>
      </c>
      <c r="C125" s="30">
        <v>6.6040000000000001E-2</v>
      </c>
      <c r="D125" s="78">
        <v>0.31</v>
      </c>
    </row>
    <row r="126" spans="1:4" x14ac:dyDescent="0.25">
      <c r="A126" s="82">
        <v>2013</v>
      </c>
      <c r="B126" s="30">
        <v>4.6199999999999998E-2</v>
      </c>
      <c r="C126" s="30">
        <v>4.6199999999999998E-2</v>
      </c>
      <c r="D126" s="78">
        <v>1.4866999999999999</v>
      </c>
    </row>
    <row r="127" spans="1:4" x14ac:dyDescent="0.25">
      <c r="A127" s="2" t="s">
        <v>63</v>
      </c>
      <c r="B127" s="30">
        <v>1.4022125000000001</v>
      </c>
      <c r="C127" s="30">
        <v>8.4132750000000005</v>
      </c>
      <c r="D127" s="78"/>
    </row>
    <row r="128" spans="1:4" x14ac:dyDescent="0.25">
      <c r="A128" s="2" t="s">
        <v>49</v>
      </c>
      <c r="B128" s="30">
        <v>0.39429999999999998</v>
      </c>
      <c r="C128" s="30">
        <v>0.39429999999999998</v>
      </c>
      <c r="D128" s="78"/>
    </row>
    <row r="129" spans="1:4" x14ac:dyDescent="0.25">
      <c r="A129" s="2" t="s">
        <v>235</v>
      </c>
      <c r="B129" s="30">
        <v>5.3339999999999999E-2</v>
      </c>
      <c r="C129" s="30">
        <v>0.32003999999999999</v>
      </c>
      <c r="D129" s="78">
        <v>0.18004035687974598</v>
      </c>
    </row>
    <row r="130" spans="1:4" x14ac:dyDescent="0.25">
      <c r="A130" s="82">
        <v>2008</v>
      </c>
      <c r="B130" s="30">
        <v>0.10044</v>
      </c>
      <c r="C130" s="30">
        <v>0.10044</v>
      </c>
      <c r="D130" s="78"/>
    </row>
    <row r="131" spans="1:4" x14ac:dyDescent="0.25">
      <c r="A131" s="82">
        <v>2009</v>
      </c>
      <c r="B131" s="30">
        <v>8.4600000000000009E-2</v>
      </c>
      <c r="C131" s="30">
        <v>8.4600000000000009E-2</v>
      </c>
      <c r="D131" s="78"/>
    </row>
    <row r="132" spans="1:4" x14ac:dyDescent="0.25">
      <c r="A132" s="82">
        <v>2010</v>
      </c>
      <c r="B132" s="30">
        <v>8.8999999999999996E-2</v>
      </c>
      <c r="C132" s="30">
        <v>8.8999999999999996E-2</v>
      </c>
      <c r="D132" s="78"/>
    </row>
    <row r="133" spans="1:4" x14ac:dyDescent="0.25">
      <c r="A133" s="82">
        <v>2011</v>
      </c>
      <c r="B133" s="30">
        <v>0</v>
      </c>
      <c r="C133" s="30">
        <v>0</v>
      </c>
      <c r="D133" s="78"/>
    </row>
    <row r="134" spans="1:4" x14ac:dyDescent="0.25">
      <c r="A134" s="82">
        <v>2012</v>
      </c>
      <c r="B134" s="30">
        <v>2.0999999999999999E-3</v>
      </c>
      <c r="C134" s="30">
        <v>2.0999999999999999E-3</v>
      </c>
      <c r="D134" s="78"/>
    </row>
    <row r="135" spans="1:4" x14ac:dyDescent="0.25">
      <c r="A135" s="82">
        <v>2013</v>
      </c>
      <c r="B135" s="30">
        <v>4.3900000000000002E-2</v>
      </c>
      <c r="C135" s="30">
        <v>4.3900000000000002E-2</v>
      </c>
      <c r="D135" s="78">
        <v>0.18004035687974598</v>
      </c>
    </row>
    <row r="136" spans="1:4" x14ac:dyDescent="0.25">
      <c r="A136" s="2" t="s">
        <v>101</v>
      </c>
      <c r="B136" s="30">
        <v>1.6539999999999999E-2</v>
      </c>
      <c r="C136" s="30">
        <v>9.9239999999999995E-2</v>
      </c>
      <c r="D136" s="78">
        <v>0.18004035687974598</v>
      </c>
    </row>
    <row r="137" spans="1:4" x14ac:dyDescent="0.25">
      <c r="A137" s="82">
        <v>2008</v>
      </c>
      <c r="B137" s="30">
        <v>5.6539999999999993E-2</v>
      </c>
      <c r="C137" s="30">
        <v>5.6539999999999993E-2</v>
      </c>
      <c r="D137" s="78"/>
    </row>
    <row r="138" spans="1:4" x14ac:dyDescent="0.25">
      <c r="A138" s="82">
        <v>2009</v>
      </c>
      <c r="B138" s="30">
        <v>3.3000000000000002E-2</v>
      </c>
      <c r="C138" s="30">
        <v>3.3000000000000002E-2</v>
      </c>
      <c r="D138" s="78"/>
    </row>
    <row r="139" spans="1:4" x14ac:dyDescent="0.25">
      <c r="A139" s="82">
        <v>2010</v>
      </c>
      <c r="B139" s="30">
        <v>0</v>
      </c>
      <c r="C139" s="30">
        <v>0</v>
      </c>
      <c r="D139" s="78"/>
    </row>
    <row r="140" spans="1:4" x14ac:dyDescent="0.25">
      <c r="A140" s="82">
        <v>2011</v>
      </c>
      <c r="B140" s="30">
        <v>0</v>
      </c>
      <c r="C140" s="30">
        <v>0</v>
      </c>
      <c r="D140" s="78"/>
    </row>
    <row r="141" spans="1:4" x14ac:dyDescent="0.25">
      <c r="A141" s="82">
        <v>2012</v>
      </c>
      <c r="B141" s="30">
        <v>2.0999999999999999E-3</v>
      </c>
      <c r="C141" s="30">
        <v>2.0999999999999999E-3</v>
      </c>
      <c r="D141" s="78"/>
    </row>
    <row r="142" spans="1:4" x14ac:dyDescent="0.25">
      <c r="A142" s="82">
        <v>2013</v>
      </c>
      <c r="B142" s="30">
        <v>7.6E-3</v>
      </c>
      <c r="C142" s="30">
        <v>7.6E-3</v>
      </c>
      <c r="D142" s="78">
        <v>0.18004035687974598</v>
      </c>
    </row>
    <row r="143" spans="1:4" x14ac:dyDescent="0.25">
      <c r="A143" s="2" t="s">
        <v>104</v>
      </c>
      <c r="B143" s="30">
        <v>0.76007583333333339</v>
      </c>
      <c r="C143" s="30">
        <v>4.5604550000000001</v>
      </c>
      <c r="D143" s="78"/>
    </row>
    <row r="144" spans="1:4" x14ac:dyDescent="0.25">
      <c r="A144" s="2" t="s">
        <v>306</v>
      </c>
      <c r="B144" s="30">
        <v>4.8626416666666659</v>
      </c>
      <c r="C144" s="30">
        <v>29.175849999999997</v>
      </c>
      <c r="D144" s="78">
        <v>0.98775000000000002</v>
      </c>
    </row>
    <row r="145" spans="1:4" x14ac:dyDescent="0.25">
      <c r="A145" s="82">
        <v>2008</v>
      </c>
      <c r="B145" s="30">
        <v>5.5623100000000001</v>
      </c>
      <c r="C145" s="30">
        <v>5.5623100000000001</v>
      </c>
      <c r="D145" s="78"/>
    </row>
    <row r="146" spans="1:4" x14ac:dyDescent="0.25">
      <c r="A146" s="82">
        <v>2009</v>
      </c>
      <c r="B146" s="30">
        <v>3.9943900000000001</v>
      </c>
      <c r="C146" s="30">
        <v>3.9943900000000001</v>
      </c>
      <c r="D146" s="78"/>
    </row>
    <row r="147" spans="1:4" x14ac:dyDescent="0.25">
      <c r="A147" s="82">
        <v>2010</v>
      </c>
      <c r="B147" s="30">
        <v>4.3813649999999997</v>
      </c>
      <c r="C147" s="30">
        <v>4.3813649999999997</v>
      </c>
      <c r="D147" s="78"/>
    </row>
    <row r="148" spans="1:4" x14ac:dyDescent="0.25">
      <c r="A148" s="82">
        <v>2011</v>
      </c>
      <c r="B148" s="30">
        <v>8.0720449999999992</v>
      </c>
      <c r="C148" s="30">
        <v>8.0720449999999992</v>
      </c>
      <c r="D148" s="78"/>
    </row>
    <row r="149" spans="1:4" x14ac:dyDescent="0.25">
      <c r="A149" s="82">
        <v>2012</v>
      </c>
      <c r="B149" s="30">
        <v>2.8243</v>
      </c>
      <c r="C149" s="30">
        <v>2.8243</v>
      </c>
      <c r="D149" s="78">
        <v>0.71</v>
      </c>
    </row>
    <row r="150" spans="1:4" x14ac:dyDescent="0.25">
      <c r="A150" s="82">
        <v>2013</v>
      </c>
      <c r="B150" s="30">
        <v>4.3414400000000004</v>
      </c>
      <c r="C150" s="30">
        <v>4.3414400000000004</v>
      </c>
      <c r="D150" s="78">
        <v>1.2655000000000001</v>
      </c>
    </row>
    <row r="151" spans="1:4" x14ac:dyDescent="0.25">
      <c r="A151" s="2" t="s">
        <v>518</v>
      </c>
      <c r="B151" s="30">
        <v>0.90516078840383596</v>
      </c>
      <c r="C151" s="30">
        <v>442.62362552947576</v>
      </c>
      <c r="D151" s="78">
        <v>0.57411769200624319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A1:V195"/>
  <sheetViews>
    <sheetView topLeftCell="O2" workbookViewId="0">
      <selection activeCell="H2" sqref="H2"/>
    </sheetView>
  </sheetViews>
  <sheetFormatPr defaultRowHeight="11.25" x14ac:dyDescent="0.2"/>
  <cols>
    <col min="1" max="2" width="0" style="3" hidden="1" customWidth="1"/>
    <col min="3" max="3" width="52.85546875" style="3" hidden="1" customWidth="1"/>
    <col min="4" max="14" width="0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 x14ac:dyDescent="0.2">
      <c r="A1" s="3" t="s">
        <v>106</v>
      </c>
      <c r="C1" s="3" t="s">
        <v>530</v>
      </c>
    </row>
    <row r="2" spans="1:22" x14ac:dyDescent="0.2">
      <c r="A2" s="3" t="s">
        <v>107</v>
      </c>
      <c r="C2" s="3" t="s">
        <v>110</v>
      </c>
    </row>
    <row r="3" spans="1:22" x14ac:dyDescent="0.2">
      <c r="A3" s="3" t="s">
        <v>108</v>
      </c>
    </row>
    <row r="4" spans="1:22" x14ac:dyDescent="0.2">
      <c r="A4" s="3" t="s">
        <v>109</v>
      </c>
      <c r="P4" s="48" t="s">
        <v>109</v>
      </c>
      <c r="Q4" s="48" t="s">
        <v>3</v>
      </c>
      <c r="R4" s="49" t="s">
        <v>111</v>
      </c>
      <c r="S4" s="12" t="s">
        <v>112</v>
      </c>
      <c r="T4" s="12" t="s">
        <v>113</v>
      </c>
      <c r="U4" s="12" t="s">
        <v>114</v>
      </c>
      <c r="V4" s="12" t="s">
        <v>115</v>
      </c>
    </row>
    <row r="5" spans="1:22" x14ac:dyDescent="0.2">
      <c r="P5" s="3" t="s">
        <v>70</v>
      </c>
      <c r="Q5" s="10" t="str">
        <f t="shared" ref="Q5:Q59" si="0">IF(A7="","",C7)</f>
        <v xml:space="preserve">ABC BRASIL  -PN  </v>
      </c>
      <c r="R5" s="26">
        <f t="shared" ref="R5:R68" si="1">IF(A7="","",H7)</f>
        <v>41631</v>
      </c>
      <c r="S5" s="5">
        <f t="shared" ref="S5:V21" si="2">J7</f>
        <v>12.38</v>
      </c>
      <c r="T5" s="5">
        <f t="shared" si="2"/>
        <v>12.1</v>
      </c>
      <c r="U5" s="5">
        <f t="shared" si="2"/>
        <v>12.39</v>
      </c>
      <c r="V5" s="5">
        <f t="shared" si="2"/>
        <v>12.1</v>
      </c>
    </row>
    <row r="6" spans="1:22" x14ac:dyDescent="0.2">
      <c r="P6" s="3" t="s">
        <v>45</v>
      </c>
      <c r="Q6" s="10" t="str">
        <f t="shared" si="0"/>
        <v xml:space="preserve">ALL AMER LAT-ON  </v>
      </c>
      <c r="R6" s="26">
        <f t="shared" si="1"/>
        <v>41631</v>
      </c>
      <c r="S6" s="5">
        <f t="shared" si="2"/>
        <v>7.09</v>
      </c>
      <c r="T6" s="5">
        <f t="shared" si="2"/>
        <v>7.1</v>
      </c>
      <c r="U6" s="5">
        <f t="shared" si="2"/>
        <v>7.18</v>
      </c>
      <c r="V6" s="5">
        <f t="shared" si="2"/>
        <v>7.03</v>
      </c>
    </row>
    <row r="7" spans="1:22" x14ac:dyDescent="0.2">
      <c r="A7" s="50" t="str">
        <f>IF(P5="IBOV","^BVSP",IF(P5="","",CONCATENATE(LEFT(P5,6),".SA")))</f>
        <v>ABCB4.SA</v>
      </c>
      <c r="C7" s="3" t="s">
        <v>120</v>
      </c>
      <c r="D7" s="3" t="s">
        <v>245</v>
      </c>
      <c r="E7" s="3" t="s">
        <v>447</v>
      </c>
      <c r="F7" s="3" t="s">
        <v>312</v>
      </c>
      <c r="G7" s="3" t="s">
        <v>447</v>
      </c>
      <c r="H7" s="26">
        <v>41631</v>
      </c>
      <c r="J7" s="3">
        <f>IF($A7="",0,VALUE(CONCATENATE(LEFT(D7,LEN(D7)-3),",",RIGHT(D7,2))))</f>
        <v>12.38</v>
      </c>
      <c r="K7" s="3">
        <f t="shared" ref="K7:M22" si="3">IF($A7="",0,VALUE(CONCATENATE(LEFT(E7,LEN(E7)-3),",",RIGHT(E7,2))))</f>
        <v>12.1</v>
      </c>
      <c r="L7" s="3">
        <f t="shared" si="3"/>
        <v>12.39</v>
      </c>
      <c r="M7" s="3">
        <f t="shared" si="3"/>
        <v>12.1</v>
      </c>
      <c r="P7" s="3" t="s">
        <v>77</v>
      </c>
      <c r="Q7" s="10" t="str">
        <f t="shared" si="0"/>
        <v xml:space="preserve">ALIANSCE    -ON  </v>
      </c>
      <c r="R7" s="26">
        <f t="shared" si="1"/>
        <v>41631</v>
      </c>
      <c r="S7" s="5">
        <f t="shared" si="2"/>
        <v>18.47</v>
      </c>
      <c r="T7" s="5">
        <f t="shared" si="2"/>
        <v>18.5</v>
      </c>
      <c r="U7" s="5">
        <f t="shared" si="2"/>
        <v>18.649999999999999</v>
      </c>
      <c r="V7" s="5">
        <f t="shared" si="2"/>
        <v>18.260000000000002</v>
      </c>
    </row>
    <row r="8" spans="1:22" x14ac:dyDescent="0.2">
      <c r="A8" s="50" t="str">
        <f t="shared" ref="A8:A71" si="4">IF(P6="IBOV","^BVSP",IF(P6="","",CONCATENATE(LEFT(P6,6),".SA")))</f>
        <v>ALLL3.SA</v>
      </c>
      <c r="C8" s="3" t="s">
        <v>121</v>
      </c>
      <c r="D8" s="3" t="s">
        <v>262</v>
      </c>
      <c r="E8" s="3" t="s">
        <v>448</v>
      </c>
      <c r="F8" s="3" t="s">
        <v>286</v>
      </c>
      <c r="G8" s="3" t="s">
        <v>430</v>
      </c>
      <c r="H8" s="26">
        <v>41631</v>
      </c>
      <c r="J8" s="3">
        <f t="shared" ref="J8:M71" si="5">IF($A8="",0,VALUE(CONCATENATE(LEFT(D8,LEN(D8)-3),",",RIGHT(D8,2))))</f>
        <v>7.09</v>
      </c>
      <c r="K8" s="3">
        <f t="shared" si="3"/>
        <v>7.1</v>
      </c>
      <c r="L8" s="3">
        <f t="shared" si="3"/>
        <v>7.18</v>
      </c>
      <c r="M8" s="3">
        <f t="shared" si="3"/>
        <v>7.03</v>
      </c>
      <c r="P8" s="3" t="s">
        <v>83</v>
      </c>
      <c r="Q8" s="10" t="str">
        <f t="shared" si="0"/>
        <v xml:space="preserve">BRASIL      -ON  </v>
      </c>
      <c r="R8" s="26">
        <f t="shared" si="1"/>
        <v>41631</v>
      </c>
      <c r="S8" s="5">
        <f t="shared" si="2"/>
        <v>24.53</v>
      </c>
      <c r="T8" s="5">
        <f t="shared" si="2"/>
        <v>24.52</v>
      </c>
      <c r="U8" s="5">
        <f t="shared" si="2"/>
        <v>24.71</v>
      </c>
      <c r="V8" s="5">
        <f t="shared" si="2"/>
        <v>24.32</v>
      </c>
    </row>
    <row r="9" spans="1:22" x14ac:dyDescent="0.2">
      <c r="A9" s="50" t="str">
        <f t="shared" si="4"/>
        <v>ALSC3.SA</v>
      </c>
      <c r="C9" s="3" t="s">
        <v>122</v>
      </c>
      <c r="D9" s="3" t="s">
        <v>263</v>
      </c>
      <c r="E9" s="3" t="s">
        <v>449</v>
      </c>
      <c r="F9" s="3" t="s">
        <v>190</v>
      </c>
      <c r="G9" s="3" t="s">
        <v>313</v>
      </c>
      <c r="H9" s="26">
        <v>41631</v>
      </c>
      <c r="J9" s="3">
        <f t="shared" si="5"/>
        <v>18.47</v>
      </c>
      <c r="K9" s="3">
        <f t="shared" si="3"/>
        <v>18.5</v>
      </c>
      <c r="L9" s="3">
        <f t="shared" si="3"/>
        <v>18.649999999999999</v>
      </c>
      <c r="M9" s="3">
        <f t="shared" si="3"/>
        <v>18.260000000000002</v>
      </c>
      <c r="P9" s="3" t="s">
        <v>43</v>
      </c>
      <c r="Q9" s="10" t="str">
        <f t="shared" si="0"/>
        <v xml:space="preserve">BR BROKERS  -ON  </v>
      </c>
      <c r="R9" s="26">
        <f t="shared" si="1"/>
        <v>41631</v>
      </c>
      <c r="S9" s="5">
        <f t="shared" si="2"/>
        <v>5.55</v>
      </c>
      <c r="T9" s="5">
        <f t="shared" si="2"/>
        <v>5.72</v>
      </c>
      <c r="U9" s="5">
        <f t="shared" si="2"/>
        <v>5.8</v>
      </c>
      <c r="V9" s="5">
        <f t="shared" si="2"/>
        <v>5.53</v>
      </c>
    </row>
    <row r="10" spans="1:22" x14ac:dyDescent="0.2">
      <c r="A10" s="50" t="str">
        <f t="shared" si="4"/>
        <v>BBAS3.SA</v>
      </c>
      <c r="C10" s="3" t="s">
        <v>123</v>
      </c>
      <c r="D10" s="3" t="s">
        <v>314</v>
      </c>
      <c r="E10" s="3" t="s">
        <v>427</v>
      </c>
      <c r="F10" s="3" t="s">
        <v>450</v>
      </c>
      <c r="G10" s="3" t="s">
        <v>315</v>
      </c>
      <c r="H10" s="26">
        <v>41631</v>
      </c>
      <c r="J10" s="3">
        <f t="shared" si="5"/>
        <v>24.53</v>
      </c>
      <c r="K10" s="3">
        <f t="shared" si="3"/>
        <v>24.52</v>
      </c>
      <c r="L10" s="3">
        <f t="shared" si="3"/>
        <v>24.71</v>
      </c>
      <c r="M10" s="3">
        <f t="shared" si="3"/>
        <v>24.32</v>
      </c>
      <c r="P10" s="3" t="s">
        <v>84</v>
      </c>
      <c r="Q10" s="10" t="str">
        <f t="shared" si="0"/>
        <v xml:space="preserve">BBSEGURIDADE-ON  </v>
      </c>
      <c r="R10" s="26">
        <f t="shared" si="1"/>
        <v>41631</v>
      </c>
      <c r="S10" s="5">
        <f t="shared" si="2"/>
        <v>24.27</v>
      </c>
      <c r="T10" s="5">
        <f t="shared" si="2"/>
        <v>23.95</v>
      </c>
      <c r="U10" s="5">
        <f t="shared" si="2"/>
        <v>24.47</v>
      </c>
      <c r="V10" s="5">
        <f t="shared" si="2"/>
        <v>23.95</v>
      </c>
    </row>
    <row r="11" spans="1:22" x14ac:dyDescent="0.2">
      <c r="A11" s="50" t="str">
        <f t="shared" si="4"/>
        <v>BBRK3.SA</v>
      </c>
      <c r="C11" s="3" t="s">
        <v>124</v>
      </c>
      <c r="D11" s="3" t="s">
        <v>316</v>
      </c>
      <c r="E11" s="3" t="s">
        <v>451</v>
      </c>
      <c r="F11" s="3" t="s">
        <v>389</v>
      </c>
      <c r="G11" s="3" t="s">
        <v>317</v>
      </c>
      <c r="H11" s="26">
        <v>41631</v>
      </c>
      <c r="J11" s="3">
        <f t="shared" si="5"/>
        <v>5.55</v>
      </c>
      <c r="K11" s="3">
        <f t="shared" si="3"/>
        <v>5.72</v>
      </c>
      <c r="L11" s="3">
        <f t="shared" si="3"/>
        <v>5.8</v>
      </c>
      <c r="M11" s="3">
        <f t="shared" si="3"/>
        <v>5.53</v>
      </c>
      <c r="P11" s="3" t="s">
        <v>61</v>
      </c>
      <c r="Q11" s="10" t="str">
        <f t="shared" si="0"/>
        <v xml:space="preserve">BEMATECH    -ON  </v>
      </c>
      <c r="R11" s="26">
        <f t="shared" si="1"/>
        <v>41631</v>
      </c>
      <c r="S11" s="5">
        <f t="shared" si="2"/>
        <v>9.0500000000000007</v>
      </c>
      <c r="T11" s="5">
        <f t="shared" si="2"/>
        <v>9</v>
      </c>
      <c r="U11" s="5">
        <f t="shared" si="2"/>
        <v>9.1199999999999992</v>
      </c>
      <c r="V11" s="5">
        <f t="shared" si="2"/>
        <v>8.91</v>
      </c>
    </row>
    <row r="12" spans="1:22" x14ac:dyDescent="0.2">
      <c r="A12" s="50" t="str">
        <f t="shared" si="4"/>
        <v>BBSE3.SA</v>
      </c>
      <c r="C12" s="3" t="s">
        <v>125</v>
      </c>
      <c r="D12" s="3" t="s">
        <v>264</v>
      </c>
      <c r="E12" s="3" t="s">
        <v>452</v>
      </c>
      <c r="F12" s="3" t="s">
        <v>318</v>
      </c>
      <c r="G12" s="3" t="s">
        <v>452</v>
      </c>
      <c r="H12" s="26">
        <v>41631</v>
      </c>
      <c r="J12" s="3">
        <f t="shared" si="5"/>
        <v>24.27</v>
      </c>
      <c r="K12" s="3">
        <f t="shared" si="3"/>
        <v>23.95</v>
      </c>
      <c r="L12" s="3">
        <f t="shared" si="3"/>
        <v>24.47</v>
      </c>
      <c r="M12" s="3">
        <f t="shared" si="3"/>
        <v>23.95</v>
      </c>
      <c r="P12" s="3" t="s">
        <v>13</v>
      </c>
      <c r="Q12" s="10" t="str">
        <f t="shared" si="0"/>
        <v xml:space="preserve">BICBANCO    -PN  </v>
      </c>
      <c r="R12" s="26">
        <f t="shared" si="1"/>
        <v>41631</v>
      </c>
      <c r="S12" s="5">
        <f t="shared" si="2"/>
        <v>7.4</v>
      </c>
      <c r="T12" s="5">
        <f t="shared" si="2"/>
        <v>7.35</v>
      </c>
      <c r="U12" s="5">
        <f t="shared" si="2"/>
        <v>7.4</v>
      </c>
      <c r="V12" s="5">
        <f t="shared" si="2"/>
        <v>7.35</v>
      </c>
    </row>
    <row r="13" spans="1:22" x14ac:dyDescent="0.2">
      <c r="A13" s="50" t="str">
        <f t="shared" si="4"/>
        <v>BEMA3.SA</v>
      </c>
      <c r="C13" s="3" t="s">
        <v>126</v>
      </c>
      <c r="D13" s="3" t="s">
        <v>187</v>
      </c>
      <c r="E13" s="3" t="s">
        <v>179</v>
      </c>
      <c r="F13" s="3" t="s">
        <v>296</v>
      </c>
      <c r="G13" s="3" t="s">
        <v>417</v>
      </c>
      <c r="H13" s="26">
        <v>41631</v>
      </c>
      <c r="J13" s="3">
        <f t="shared" si="5"/>
        <v>9.0500000000000007</v>
      </c>
      <c r="K13" s="3">
        <f t="shared" si="3"/>
        <v>9</v>
      </c>
      <c r="L13" s="3">
        <f t="shared" si="3"/>
        <v>9.1199999999999992</v>
      </c>
      <c r="M13" s="3">
        <f t="shared" si="3"/>
        <v>8.91</v>
      </c>
      <c r="P13" s="3" t="s">
        <v>31</v>
      </c>
      <c r="Q13" s="10" t="str">
        <f t="shared" si="0"/>
        <v xml:space="preserve">BROOKFIELD  -ON  </v>
      </c>
      <c r="R13" s="26">
        <f t="shared" si="1"/>
        <v>41631</v>
      </c>
      <c r="S13" s="5">
        <f t="shared" si="2"/>
        <v>1.08</v>
      </c>
      <c r="T13" s="5">
        <f t="shared" si="2"/>
        <v>1.07</v>
      </c>
      <c r="U13" s="5">
        <f t="shared" si="2"/>
        <v>1.0900000000000001</v>
      </c>
      <c r="V13" s="5">
        <f t="shared" si="2"/>
        <v>1.07</v>
      </c>
    </row>
    <row r="14" spans="1:22" x14ac:dyDescent="0.2">
      <c r="A14" s="50" t="str">
        <f t="shared" si="4"/>
        <v>BICB4.SA</v>
      </c>
      <c r="C14" s="3" t="s">
        <v>127</v>
      </c>
      <c r="D14" s="3" t="s">
        <v>265</v>
      </c>
      <c r="E14" s="3" t="s">
        <v>453</v>
      </c>
      <c r="F14" s="3" t="s">
        <v>265</v>
      </c>
      <c r="G14" s="3" t="s">
        <v>453</v>
      </c>
      <c r="H14" s="26">
        <v>41631</v>
      </c>
      <c r="J14" s="3">
        <f t="shared" si="5"/>
        <v>7.4</v>
      </c>
      <c r="K14" s="3">
        <f t="shared" si="3"/>
        <v>7.35</v>
      </c>
      <c r="L14" s="3">
        <f t="shared" si="3"/>
        <v>7.4</v>
      </c>
      <c r="M14" s="3">
        <f t="shared" si="3"/>
        <v>7.35</v>
      </c>
      <c r="P14" s="3" t="s">
        <v>80</v>
      </c>
      <c r="Q14" s="10" t="str">
        <f t="shared" si="0"/>
        <v xml:space="preserve">BRADESPAR   -ON  </v>
      </c>
      <c r="R14" s="26">
        <f t="shared" si="1"/>
        <v>41631</v>
      </c>
      <c r="S14" s="5">
        <f t="shared" si="2"/>
        <v>20</v>
      </c>
      <c r="T14" s="5">
        <f t="shared" si="2"/>
        <v>19.559999999999999</v>
      </c>
      <c r="U14" s="5">
        <f t="shared" si="2"/>
        <v>20</v>
      </c>
      <c r="V14" s="5">
        <f t="shared" si="2"/>
        <v>19.559999999999999</v>
      </c>
    </row>
    <row r="15" spans="1:22" x14ac:dyDescent="0.2">
      <c r="A15" s="50" t="str">
        <f t="shared" si="4"/>
        <v>BISA3.SA</v>
      </c>
      <c r="C15" s="3" t="s">
        <v>128</v>
      </c>
      <c r="D15" s="3" t="s">
        <v>320</v>
      </c>
      <c r="E15" s="3" t="s">
        <v>266</v>
      </c>
      <c r="F15" s="3" t="s">
        <v>321</v>
      </c>
      <c r="G15" s="3" t="s">
        <v>266</v>
      </c>
      <c r="H15" s="26">
        <v>41631</v>
      </c>
      <c r="J15" s="3">
        <f t="shared" si="5"/>
        <v>1.08</v>
      </c>
      <c r="K15" s="3">
        <f t="shared" si="3"/>
        <v>1.07</v>
      </c>
      <c r="L15" s="3">
        <f t="shared" si="3"/>
        <v>1.0900000000000001</v>
      </c>
      <c r="M15" s="3">
        <f t="shared" si="3"/>
        <v>1.07</v>
      </c>
      <c r="P15" s="3" t="s">
        <v>87</v>
      </c>
      <c r="Q15" s="10" t="str">
        <f t="shared" si="0"/>
        <v xml:space="preserve">BRADESPAR   -PN  </v>
      </c>
      <c r="R15" s="26">
        <f t="shared" si="1"/>
        <v>41631</v>
      </c>
      <c r="S15" s="5">
        <f t="shared" si="2"/>
        <v>24.34</v>
      </c>
      <c r="T15" s="5">
        <f t="shared" si="2"/>
        <v>24.35</v>
      </c>
      <c r="U15" s="5">
        <f t="shared" si="2"/>
        <v>24.56</v>
      </c>
      <c r="V15" s="5">
        <f t="shared" si="2"/>
        <v>24.26</v>
      </c>
    </row>
    <row r="16" spans="1:22" x14ac:dyDescent="0.2">
      <c r="A16" s="50" t="str">
        <f t="shared" si="4"/>
        <v>BRAP3.SA</v>
      </c>
      <c r="C16" s="3" t="s">
        <v>129</v>
      </c>
      <c r="D16" s="3" t="s">
        <v>390</v>
      </c>
      <c r="E16" s="3" t="s">
        <v>454</v>
      </c>
      <c r="F16" s="3" t="s">
        <v>390</v>
      </c>
      <c r="G16" s="3" t="s">
        <v>454</v>
      </c>
      <c r="H16" s="26">
        <v>41631</v>
      </c>
      <c r="J16" s="3">
        <f t="shared" si="5"/>
        <v>20</v>
      </c>
      <c r="K16" s="3">
        <f t="shared" si="3"/>
        <v>19.559999999999999</v>
      </c>
      <c r="L16" s="3">
        <f t="shared" si="3"/>
        <v>20</v>
      </c>
      <c r="M16" s="3">
        <f t="shared" si="3"/>
        <v>19.559999999999999</v>
      </c>
      <c r="P16" s="3" t="s">
        <v>78</v>
      </c>
      <c r="Q16" s="10" t="str">
        <f t="shared" si="0"/>
        <v xml:space="preserve">BR INSURANCE-ON  </v>
      </c>
      <c r="R16" s="26">
        <f t="shared" si="1"/>
        <v>41631</v>
      </c>
      <c r="S16" s="5">
        <f t="shared" si="2"/>
        <v>18.739999999999998</v>
      </c>
      <c r="T16" s="5">
        <f t="shared" si="2"/>
        <v>18.7</v>
      </c>
      <c r="U16" s="5">
        <f t="shared" si="2"/>
        <v>18.899999999999999</v>
      </c>
      <c r="V16" s="5">
        <f t="shared" si="2"/>
        <v>18.489999999999998</v>
      </c>
    </row>
    <row r="17" spans="1:22" x14ac:dyDescent="0.2">
      <c r="A17" s="50" t="str">
        <f t="shared" si="4"/>
        <v>BRAP4.SA</v>
      </c>
      <c r="C17" s="3" t="s">
        <v>130</v>
      </c>
      <c r="D17" s="3" t="s">
        <v>322</v>
      </c>
      <c r="E17" s="3" t="s">
        <v>455</v>
      </c>
      <c r="F17" s="3" t="s">
        <v>391</v>
      </c>
      <c r="G17" s="3" t="s">
        <v>273</v>
      </c>
      <c r="H17" s="26">
        <v>41631</v>
      </c>
      <c r="J17" s="3">
        <f t="shared" si="5"/>
        <v>24.34</v>
      </c>
      <c r="K17" s="3">
        <f t="shared" si="3"/>
        <v>24.35</v>
      </c>
      <c r="L17" s="3">
        <f t="shared" si="3"/>
        <v>24.56</v>
      </c>
      <c r="M17" s="3">
        <f t="shared" si="3"/>
        <v>24.26</v>
      </c>
      <c r="P17" s="3" t="s">
        <v>72</v>
      </c>
      <c r="Q17" s="10" t="str">
        <f t="shared" si="0"/>
        <v xml:space="preserve">BR MALLS PAR-ON  </v>
      </c>
      <c r="R17" s="26">
        <f t="shared" si="1"/>
        <v>41631</v>
      </c>
      <c r="S17" s="5">
        <f t="shared" si="2"/>
        <v>17.61</v>
      </c>
      <c r="T17" s="5">
        <f t="shared" si="2"/>
        <v>17.3</v>
      </c>
      <c r="U17" s="5">
        <f t="shared" si="2"/>
        <v>17.73</v>
      </c>
      <c r="V17" s="5">
        <f t="shared" si="2"/>
        <v>17.22</v>
      </c>
    </row>
    <row r="18" spans="1:22" x14ac:dyDescent="0.2">
      <c r="A18" s="50" t="str">
        <f t="shared" si="4"/>
        <v>BRIN3.SA</v>
      </c>
      <c r="C18" s="3" t="s">
        <v>131</v>
      </c>
      <c r="D18" s="3" t="s">
        <v>323</v>
      </c>
      <c r="E18" s="3" t="s">
        <v>456</v>
      </c>
      <c r="F18" s="3" t="s">
        <v>392</v>
      </c>
      <c r="G18" s="3" t="s">
        <v>409</v>
      </c>
      <c r="H18" s="26">
        <v>41631</v>
      </c>
      <c r="J18" s="3">
        <f t="shared" si="5"/>
        <v>18.739999999999998</v>
      </c>
      <c r="K18" s="3">
        <f t="shared" si="3"/>
        <v>18.7</v>
      </c>
      <c r="L18" s="3">
        <f t="shared" si="3"/>
        <v>18.899999999999999</v>
      </c>
      <c r="M18" s="3">
        <f t="shared" si="3"/>
        <v>18.489999999999998</v>
      </c>
      <c r="P18" s="3" t="s">
        <v>75</v>
      </c>
      <c r="Q18" s="10" t="str">
        <f t="shared" si="0"/>
        <v xml:space="preserve">BR PROPERT  -ON  </v>
      </c>
      <c r="R18" s="26">
        <f t="shared" si="1"/>
        <v>41631</v>
      </c>
      <c r="S18" s="5">
        <f t="shared" si="2"/>
        <v>18.170000000000002</v>
      </c>
      <c r="T18" s="5">
        <f t="shared" si="2"/>
        <v>18.45</v>
      </c>
      <c r="U18" s="5">
        <f t="shared" si="2"/>
        <v>18.489999999999998</v>
      </c>
      <c r="V18" s="5">
        <f t="shared" si="2"/>
        <v>18.07</v>
      </c>
    </row>
    <row r="19" spans="1:22" x14ac:dyDescent="0.2">
      <c r="A19" s="50" t="str">
        <f t="shared" si="4"/>
        <v>BRML3.SA</v>
      </c>
      <c r="C19" s="3" t="s">
        <v>132</v>
      </c>
      <c r="D19" s="3" t="s">
        <v>324</v>
      </c>
      <c r="E19" s="3" t="s">
        <v>457</v>
      </c>
      <c r="F19" s="3" t="s">
        <v>325</v>
      </c>
      <c r="G19" s="3" t="s">
        <v>410</v>
      </c>
      <c r="H19" s="26">
        <v>41631</v>
      </c>
      <c r="J19" s="3">
        <f t="shared" si="5"/>
        <v>17.61</v>
      </c>
      <c r="K19" s="3">
        <f t="shared" si="3"/>
        <v>17.3</v>
      </c>
      <c r="L19" s="3">
        <f t="shared" si="3"/>
        <v>17.73</v>
      </c>
      <c r="M19" s="3">
        <f t="shared" si="3"/>
        <v>17.22</v>
      </c>
      <c r="P19" s="3" t="s">
        <v>71</v>
      </c>
      <c r="Q19" s="10" t="str">
        <f t="shared" si="0"/>
        <v xml:space="preserve">BANRISUL    -PNB </v>
      </c>
      <c r="R19" s="26">
        <f t="shared" si="1"/>
        <v>41631</v>
      </c>
      <c r="S19" s="5">
        <f t="shared" si="2"/>
        <v>12.65</v>
      </c>
      <c r="T19" s="5">
        <f t="shared" si="2"/>
        <v>12.55</v>
      </c>
      <c r="U19" s="5">
        <f t="shared" si="2"/>
        <v>12.7</v>
      </c>
      <c r="V19" s="5">
        <f t="shared" si="2"/>
        <v>12.51</v>
      </c>
    </row>
    <row r="20" spans="1:22" x14ac:dyDescent="0.2">
      <c r="A20" s="50" t="str">
        <f t="shared" si="4"/>
        <v>BRPR3.SA</v>
      </c>
      <c r="C20" s="3" t="s">
        <v>133</v>
      </c>
      <c r="D20" s="3" t="s">
        <v>267</v>
      </c>
      <c r="E20" s="3" t="s">
        <v>426</v>
      </c>
      <c r="F20" s="3" t="s">
        <v>409</v>
      </c>
      <c r="G20" s="3" t="s">
        <v>326</v>
      </c>
      <c r="H20" s="26">
        <v>41631</v>
      </c>
      <c r="J20" s="3">
        <f t="shared" si="5"/>
        <v>18.170000000000002</v>
      </c>
      <c r="K20" s="3">
        <f t="shared" si="3"/>
        <v>18.45</v>
      </c>
      <c r="L20" s="3">
        <f t="shared" si="3"/>
        <v>18.489999999999998</v>
      </c>
      <c r="M20" s="3">
        <f t="shared" si="3"/>
        <v>18.07</v>
      </c>
      <c r="P20" s="3" t="s">
        <v>68</v>
      </c>
      <c r="Q20" s="10" t="str">
        <f t="shared" si="0"/>
        <v xml:space="preserve">BMFBOVESPA  -ON  </v>
      </c>
      <c r="R20" s="26">
        <f t="shared" si="1"/>
        <v>41631</v>
      </c>
      <c r="S20" s="5">
        <f t="shared" si="2"/>
        <v>10.6</v>
      </c>
      <c r="T20" s="5">
        <f t="shared" si="2"/>
        <v>10.63</v>
      </c>
      <c r="U20" s="5">
        <f t="shared" si="2"/>
        <v>10.69</v>
      </c>
      <c r="V20" s="5">
        <f t="shared" si="2"/>
        <v>10.47</v>
      </c>
    </row>
    <row r="21" spans="1:22" x14ac:dyDescent="0.2">
      <c r="A21" s="50" t="str">
        <f t="shared" si="4"/>
        <v>BRSR6.SA</v>
      </c>
      <c r="C21" s="3" t="s">
        <v>134</v>
      </c>
      <c r="D21" s="3" t="s">
        <v>327</v>
      </c>
      <c r="E21" s="3" t="s">
        <v>431</v>
      </c>
      <c r="F21" s="3" t="s">
        <v>268</v>
      </c>
      <c r="G21" s="3" t="s">
        <v>411</v>
      </c>
      <c r="H21" s="26">
        <v>41631</v>
      </c>
      <c r="J21" s="3">
        <f t="shared" si="5"/>
        <v>12.65</v>
      </c>
      <c r="K21" s="3">
        <f t="shared" si="3"/>
        <v>12.55</v>
      </c>
      <c r="L21" s="3">
        <f t="shared" si="3"/>
        <v>12.7</v>
      </c>
      <c r="M21" s="3">
        <f t="shared" si="3"/>
        <v>12.51</v>
      </c>
      <c r="P21" s="3" t="s">
        <v>93</v>
      </c>
      <c r="Q21" s="10" t="str">
        <f t="shared" si="0"/>
        <v xml:space="preserve">CEMIG       -ON  </v>
      </c>
      <c r="R21" s="26">
        <f t="shared" si="1"/>
        <v>41631</v>
      </c>
      <c r="S21" s="5">
        <f t="shared" si="2"/>
        <v>18.8</v>
      </c>
      <c r="T21" s="5">
        <f t="shared" si="2"/>
        <v>18.47</v>
      </c>
      <c r="U21" s="5">
        <f t="shared" si="2"/>
        <v>18.8</v>
      </c>
      <c r="V21" s="5">
        <f t="shared" si="2"/>
        <v>18.27</v>
      </c>
    </row>
    <row r="22" spans="1:22" x14ac:dyDescent="0.2">
      <c r="A22" s="50" t="str">
        <f t="shared" si="4"/>
        <v>BVMF3.SA</v>
      </c>
      <c r="C22" s="3" t="s">
        <v>135</v>
      </c>
      <c r="D22" s="3" t="s">
        <v>328</v>
      </c>
      <c r="E22" s="3" t="s">
        <v>393</v>
      </c>
      <c r="F22" s="3" t="s">
        <v>458</v>
      </c>
      <c r="G22" s="3" t="s">
        <v>329</v>
      </c>
      <c r="H22" s="26">
        <v>41631</v>
      </c>
      <c r="J22" s="3">
        <f t="shared" si="5"/>
        <v>10.6</v>
      </c>
      <c r="K22" s="3">
        <f t="shared" si="3"/>
        <v>10.63</v>
      </c>
      <c r="L22" s="3">
        <f t="shared" si="3"/>
        <v>10.69</v>
      </c>
      <c r="M22" s="3">
        <f t="shared" si="3"/>
        <v>10.47</v>
      </c>
      <c r="P22" s="3" t="s">
        <v>92</v>
      </c>
      <c r="Q22" s="10" t="str">
        <f t="shared" si="0"/>
        <v xml:space="preserve">CEMIG       -PN  </v>
      </c>
      <c r="R22" s="26">
        <f t="shared" si="1"/>
        <v>41631</v>
      </c>
      <c r="S22" s="5">
        <f t="shared" ref="S22:V85" si="6">J24</f>
        <v>18.100000000000001</v>
      </c>
      <c r="T22" s="5">
        <f t="shared" si="6"/>
        <v>18.21</v>
      </c>
      <c r="U22" s="5">
        <f t="shared" si="6"/>
        <v>18.309999999999999</v>
      </c>
      <c r="V22" s="5">
        <f t="shared" si="6"/>
        <v>17.96</v>
      </c>
    </row>
    <row r="23" spans="1:22" x14ac:dyDescent="0.2">
      <c r="A23" s="50" t="str">
        <f t="shared" si="4"/>
        <v>CMIG3.SA</v>
      </c>
      <c r="C23" s="3" t="s">
        <v>136</v>
      </c>
      <c r="D23" s="3" t="s">
        <v>330</v>
      </c>
      <c r="E23" s="3" t="s">
        <v>263</v>
      </c>
      <c r="F23" s="3" t="s">
        <v>330</v>
      </c>
      <c r="G23" s="3" t="s">
        <v>270</v>
      </c>
      <c r="H23" s="26">
        <v>41631</v>
      </c>
      <c r="J23" s="3">
        <f t="shared" si="5"/>
        <v>18.8</v>
      </c>
      <c r="K23" s="3">
        <f t="shared" si="5"/>
        <v>18.47</v>
      </c>
      <c r="L23" s="3">
        <f t="shared" si="5"/>
        <v>18.8</v>
      </c>
      <c r="M23" s="3">
        <f t="shared" si="5"/>
        <v>18.27</v>
      </c>
      <c r="P23" s="3" t="s">
        <v>94</v>
      </c>
      <c r="Q23" s="10" t="str">
        <f t="shared" si="0"/>
        <v xml:space="preserve">CPFL ENERGIA-ON  </v>
      </c>
      <c r="R23" s="26">
        <f t="shared" si="1"/>
        <v>41631</v>
      </c>
      <c r="S23" s="5">
        <f t="shared" si="6"/>
        <v>19.399999999999999</v>
      </c>
      <c r="T23" s="5">
        <f t="shared" si="6"/>
        <v>19.27</v>
      </c>
      <c r="U23" s="5">
        <f t="shared" si="6"/>
        <v>19.47</v>
      </c>
      <c r="V23" s="5">
        <f t="shared" si="6"/>
        <v>19.12</v>
      </c>
    </row>
    <row r="24" spans="1:22" x14ac:dyDescent="0.2">
      <c r="A24" s="50" t="str">
        <f t="shared" si="4"/>
        <v>CMIG4.SA</v>
      </c>
      <c r="C24" s="3" t="s">
        <v>137</v>
      </c>
      <c r="D24" s="3" t="s">
        <v>331</v>
      </c>
      <c r="E24" s="3" t="s">
        <v>459</v>
      </c>
      <c r="F24" s="3" t="s">
        <v>460</v>
      </c>
      <c r="G24" s="3" t="s">
        <v>413</v>
      </c>
      <c r="H24" s="26">
        <v>41631</v>
      </c>
      <c r="J24" s="3">
        <f t="shared" si="5"/>
        <v>18.100000000000001</v>
      </c>
      <c r="K24" s="3">
        <f t="shared" si="5"/>
        <v>18.21</v>
      </c>
      <c r="L24" s="3">
        <f t="shared" si="5"/>
        <v>18.309999999999999</v>
      </c>
      <c r="M24" s="3">
        <f t="shared" si="5"/>
        <v>17.96</v>
      </c>
      <c r="P24" s="3" t="s">
        <v>96</v>
      </c>
      <c r="Q24" s="10" t="str">
        <f t="shared" si="0"/>
        <v xml:space="preserve">COPEL       -ON  </v>
      </c>
      <c r="R24" s="26">
        <f t="shared" si="1"/>
        <v>41631</v>
      </c>
      <c r="S24" s="5">
        <f t="shared" si="6"/>
        <v>22.3</v>
      </c>
      <c r="T24" s="5">
        <f t="shared" si="6"/>
        <v>22.4</v>
      </c>
      <c r="U24" s="5">
        <f t="shared" si="6"/>
        <v>22.45</v>
      </c>
      <c r="V24" s="5">
        <f t="shared" si="6"/>
        <v>22.12</v>
      </c>
    </row>
    <row r="25" spans="1:22" x14ac:dyDescent="0.2">
      <c r="A25" s="50" t="str">
        <f t="shared" si="4"/>
        <v>CPFE3.SA</v>
      </c>
      <c r="C25" s="3" t="s">
        <v>138</v>
      </c>
      <c r="D25" s="3" t="s">
        <v>271</v>
      </c>
      <c r="E25" s="3" t="s">
        <v>461</v>
      </c>
      <c r="F25" s="3" t="s">
        <v>428</v>
      </c>
      <c r="G25" s="3" t="s">
        <v>394</v>
      </c>
      <c r="H25" s="26">
        <v>41631</v>
      </c>
      <c r="J25" s="3">
        <f t="shared" si="5"/>
        <v>19.399999999999999</v>
      </c>
      <c r="K25" s="3">
        <f t="shared" si="5"/>
        <v>19.27</v>
      </c>
      <c r="L25" s="3">
        <f t="shared" si="5"/>
        <v>19.47</v>
      </c>
      <c r="M25" s="3">
        <f t="shared" si="5"/>
        <v>19.12</v>
      </c>
      <c r="P25" s="3" t="s">
        <v>28</v>
      </c>
      <c r="Q25" s="10" t="str">
        <f t="shared" si="0"/>
        <v xml:space="preserve">CONTAX      -PN  </v>
      </c>
      <c r="R25" s="26">
        <f t="shared" si="1"/>
        <v>41631</v>
      </c>
      <c r="S25" s="5">
        <f t="shared" si="6"/>
        <v>3.68</v>
      </c>
      <c r="T25" s="5">
        <f t="shared" si="6"/>
        <v>3.66</v>
      </c>
      <c r="U25" s="5">
        <f t="shared" si="6"/>
        <v>3.72</v>
      </c>
      <c r="V25" s="5">
        <f t="shared" si="6"/>
        <v>3.66</v>
      </c>
    </row>
    <row r="26" spans="1:22" x14ac:dyDescent="0.2">
      <c r="A26" s="50" t="str">
        <f t="shared" si="4"/>
        <v>CPLE3.SA</v>
      </c>
      <c r="C26" s="3" t="s">
        <v>139</v>
      </c>
      <c r="D26" s="3" t="s">
        <v>395</v>
      </c>
      <c r="E26" s="3" t="s">
        <v>462</v>
      </c>
      <c r="F26" s="3" t="s">
        <v>463</v>
      </c>
      <c r="G26" s="3" t="s">
        <v>464</v>
      </c>
      <c r="H26" s="26">
        <v>41631</v>
      </c>
      <c r="J26" s="3">
        <f t="shared" si="5"/>
        <v>22.3</v>
      </c>
      <c r="K26" s="3">
        <f t="shared" si="5"/>
        <v>22.4</v>
      </c>
      <c r="L26" s="3">
        <f t="shared" si="5"/>
        <v>22.45</v>
      </c>
      <c r="M26" s="3">
        <f t="shared" si="5"/>
        <v>22.12</v>
      </c>
      <c r="P26" s="3" t="s">
        <v>86</v>
      </c>
      <c r="Q26" s="10" t="str">
        <f t="shared" si="0"/>
        <v xml:space="preserve">CETIP       -ON  </v>
      </c>
      <c r="R26" s="26">
        <f t="shared" si="1"/>
        <v>41631</v>
      </c>
      <c r="S26" s="5">
        <f t="shared" si="6"/>
        <v>24.06</v>
      </c>
      <c r="T26" s="5">
        <f t="shared" si="6"/>
        <v>24.24</v>
      </c>
      <c r="U26" s="5">
        <f t="shared" si="6"/>
        <v>24.57</v>
      </c>
      <c r="V26" s="5">
        <f t="shared" si="6"/>
        <v>24.06</v>
      </c>
    </row>
    <row r="27" spans="1:22" x14ac:dyDescent="0.2">
      <c r="A27" s="50" t="str">
        <f t="shared" si="4"/>
        <v>CTAX4.SA</v>
      </c>
      <c r="C27" s="3" t="s">
        <v>140</v>
      </c>
      <c r="D27" s="3" t="s">
        <v>396</v>
      </c>
      <c r="E27" s="3" t="s">
        <v>465</v>
      </c>
      <c r="F27" s="3" t="s">
        <v>466</v>
      </c>
      <c r="G27" s="3" t="s">
        <v>465</v>
      </c>
      <c r="H27" s="26">
        <v>41631</v>
      </c>
      <c r="J27" s="3">
        <f t="shared" si="5"/>
        <v>3.68</v>
      </c>
      <c r="K27" s="3">
        <f t="shared" si="5"/>
        <v>3.66</v>
      </c>
      <c r="L27" s="3">
        <f t="shared" si="5"/>
        <v>3.72</v>
      </c>
      <c r="M27" s="3">
        <f t="shared" si="5"/>
        <v>3.66</v>
      </c>
      <c r="P27" s="3" t="s">
        <v>34</v>
      </c>
      <c r="Q27" s="10" t="str">
        <f t="shared" si="0"/>
        <v xml:space="preserve">DAYCOVAL    -PN  </v>
      </c>
      <c r="R27" s="26">
        <f t="shared" si="1"/>
        <v>41631</v>
      </c>
      <c r="S27" s="5">
        <f t="shared" si="6"/>
        <v>7.91</v>
      </c>
      <c r="T27" s="5">
        <f t="shared" si="6"/>
        <v>7.8</v>
      </c>
      <c r="U27" s="5">
        <f t="shared" si="6"/>
        <v>8</v>
      </c>
      <c r="V27" s="5">
        <f t="shared" si="6"/>
        <v>7.8</v>
      </c>
    </row>
    <row r="28" spans="1:22" x14ac:dyDescent="0.2">
      <c r="A28" s="50" t="str">
        <f t="shared" si="4"/>
        <v>CTIP3.SA</v>
      </c>
      <c r="C28" s="3" t="s">
        <v>141</v>
      </c>
      <c r="D28" s="3" t="s">
        <v>274</v>
      </c>
      <c r="E28" s="3" t="s">
        <v>467</v>
      </c>
      <c r="F28" s="3" t="s">
        <v>332</v>
      </c>
      <c r="G28" s="3" t="s">
        <v>274</v>
      </c>
      <c r="H28" s="26">
        <v>41631</v>
      </c>
      <c r="J28" s="3">
        <f t="shared" si="5"/>
        <v>24.06</v>
      </c>
      <c r="K28" s="3">
        <f t="shared" si="5"/>
        <v>24.24</v>
      </c>
      <c r="L28" s="3">
        <f t="shared" si="5"/>
        <v>24.57</v>
      </c>
      <c r="M28" s="3">
        <f t="shared" si="5"/>
        <v>24.06</v>
      </c>
      <c r="P28" s="3" t="s">
        <v>5</v>
      </c>
      <c r="Q28" s="10" t="str">
        <f t="shared" si="0"/>
        <v xml:space="preserve">ELETROBRAS  -ON  </v>
      </c>
      <c r="R28" s="26">
        <f t="shared" si="1"/>
        <v>41631</v>
      </c>
      <c r="S28" s="5">
        <f t="shared" si="6"/>
        <v>6.05</v>
      </c>
      <c r="T28" s="5">
        <f t="shared" si="6"/>
        <v>6.01</v>
      </c>
      <c r="U28" s="5">
        <f t="shared" si="6"/>
        <v>6.09</v>
      </c>
      <c r="V28" s="5">
        <f t="shared" si="6"/>
        <v>6.01</v>
      </c>
    </row>
    <row r="29" spans="1:22" x14ac:dyDescent="0.2">
      <c r="A29" s="50" t="str">
        <f t="shared" si="4"/>
        <v>DAYC4.SA</v>
      </c>
      <c r="C29" s="3" t="s">
        <v>142</v>
      </c>
      <c r="D29" s="3" t="s">
        <v>333</v>
      </c>
      <c r="E29" s="3" t="s">
        <v>468</v>
      </c>
      <c r="F29" s="3" t="s">
        <v>275</v>
      </c>
      <c r="G29" s="3" t="s">
        <v>468</v>
      </c>
      <c r="H29" s="26">
        <v>41631</v>
      </c>
      <c r="J29" s="3">
        <f t="shared" si="5"/>
        <v>7.91</v>
      </c>
      <c r="K29" s="3">
        <f t="shared" si="5"/>
        <v>7.8</v>
      </c>
      <c r="L29" s="3">
        <f t="shared" si="5"/>
        <v>8</v>
      </c>
      <c r="M29" s="3">
        <f t="shared" si="5"/>
        <v>7.8</v>
      </c>
      <c r="P29" s="3" t="s">
        <v>88</v>
      </c>
      <c r="Q29" s="10" t="str">
        <f t="shared" si="0"/>
        <v xml:space="preserve">ELETROBRAS  -PNB </v>
      </c>
      <c r="R29" s="26">
        <f t="shared" si="1"/>
        <v>41631</v>
      </c>
      <c r="S29" s="5">
        <f t="shared" si="6"/>
        <v>10.35</v>
      </c>
      <c r="T29" s="5">
        <f t="shared" si="6"/>
        <v>10.35</v>
      </c>
      <c r="U29" s="5">
        <f t="shared" si="6"/>
        <v>10.5</v>
      </c>
      <c r="V29" s="5">
        <f t="shared" si="6"/>
        <v>10.25</v>
      </c>
    </row>
    <row r="30" spans="1:22" x14ac:dyDescent="0.2">
      <c r="A30" s="50" t="str">
        <f t="shared" si="4"/>
        <v>ELET3.SA</v>
      </c>
      <c r="C30" s="3" t="s">
        <v>143</v>
      </c>
      <c r="D30" s="3" t="s">
        <v>334</v>
      </c>
      <c r="E30" s="3" t="s">
        <v>335</v>
      </c>
      <c r="F30" s="3" t="s">
        <v>397</v>
      </c>
      <c r="G30" s="3" t="s">
        <v>335</v>
      </c>
      <c r="H30" s="26">
        <v>41631</v>
      </c>
      <c r="J30" s="3">
        <f t="shared" si="5"/>
        <v>6.05</v>
      </c>
      <c r="K30" s="3">
        <f t="shared" si="5"/>
        <v>6.01</v>
      </c>
      <c r="L30" s="3">
        <f t="shared" si="5"/>
        <v>6.09</v>
      </c>
      <c r="M30" s="3">
        <f t="shared" si="5"/>
        <v>6.01</v>
      </c>
      <c r="P30" s="3" t="s">
        <v>4</v>
      </c>
      <c r="Q30" s="10" t="str">
        <f t="shared" si="0"/>
        <v xml:space="preserve">ELETROPAULO -PN  </v>
      </c>
      <c r="R30" s="26">
        <f t="shared" si="1"/>
        <v>41631</v>
      </c>
      <c r="S30" s="5">
        <f t="shared" si="6"/>
        <v>10.7</v>
      </c>
      <c r="T30" s="5">
        <f t="shared" si="6"/>
        <v>10.67</v>
      </c>
      <c r="U30" s="5">
        <f t="shared" si="6"/>
        <v>11</v>
      </c>
      <c r="V30" s="5">
        <f t="shared" si="6"/>
        <v>10.45</v>
      </c>
    </row>
    <row r="31" spans="1:22" x14ac:dyDescent="0.2">
      <c r="A31" s="50" t="str">
        <f t="shared" si="4"/>
        <v>ELET6.SA</v>
      </c>
      <c r="C31" s="3" t="s">
        <v>144</v>
      </c>
      <c r="D31" s="3" t="s">
        <v>336</v>
      </c>
      <c r="E31" s="3" t="s">
        <v>336</v>
      </c>
      <c r="F31" s="3" t="s">
        <v>337</v>
      </c>
      <c r="G31" s="3" t="s">
        <v>432</v>
      </c>
      <c r="H31" s="26">
        <v>41631</v>
      </c>
      <c r="J31" s="3">
        <f t="shared" si="5"/>
        <v>10.35</v>
      </c>
      <c r="K31" s="3">
        <f t="shared" si="5"/>
        <v>10.35</v>
      </c>
      <c r="L31" s="3">
        <f t="shared" si="5"/>
        <v>10.5</v>
      </c>
      <c r="M31" s="3">
        <f t="shared" si="5"/>
        <v>10.25</v>
      </c>
      <c r="P31" s="3" t="s">
        <v>89</v>
      </c>
      <c r="Q31" s="10" t="str">
        <f t="shared" si="0"/>
        <v xml:space="preserve">ENERGIAS BR -ON  </v>
      </c>
      <c r="R31" s="26">
        <f t="shared" si="1"/>
        <v>41631</v>
      </c>
      <c r="S31" s="5">
        <f t="shared" si="6"/>
        <v>11.49</v>
      </c>
      <c r="T31" s="5">
        <f t="shared" si="6"/>
        <v>11.25</v>
      </c>
      <c r="U31" s="5">
        <f t="shared" si="6"/>
        <v>11.62</v>
      </c>
      <c r="V31" s="5">
        <f t="shared" si="6"/>
        <v>11.22</v>
      </c>
    </row>
    <row r="32" spans="1:22" x14ac:dyDescent="0.2">
      <c r="A32" s="50" t="str">
        <f t="shared" si="4"/>
        <v>ELPL4.SA</v>
      </c>
      <c r="C32" s="3" t="s">
        <v>145</v>
      </c>
      <c r="D32" s="3" t="s">
        <v>269</v>
      </c>
      <c r="E32" s="3" t="s">
        <v>412</v>
      </c>
      <c r="F32" s="3" t="s">
        <v>289</v>
      </c>
      <c r="G32" s="3" t="s">
        <v>414</v>
      </c>
      <c r="H32" s="26">
        <v>41631</v>
      </c>
      <c r="J32" s="3">
        <f t="shared" si="5"/>
        <v>10.7</v>
      </c>
      <c r="K32" s="3">
        <f t="shared" si="5"/>
        <v>10.67</v>
      </c>
      <c r="L32" s="3">
        <f t="shared" si="5"/>
        <v>11</v>
      </c>
      <c r="M32" s="3">
        <f t="shared" si="5"/>
        <v>10.45</v>
      </c>
      <c r="P32" s="3" t="s">
        <v>97</v>
      </c>
      <c r="Q32" s="10" t="str">
        <f t="shared" si="0"/>
        <v xml:space="preserve">EQUATORIAL  -ON  </v>
      </c>
      <c r="R32" s="26">
        <f t="shared" si="1"/>
        <v>41631</v>
      </c>
      <c r="S32" s="5">
        <f t="shared" si="6"/>
        <v>22.85</v>
      </c>
      <c r="T32" s="5">
        <f t="shared" si="6"/>
        <v>22.9</v>
      </c>
      <c r="U32" s="5">
        <f t="shared" si="6"/>
        <v>23.31</v>
      </c>
      <c r="V32" s="5">
        <f t="shared" si="6"/>
        <v>22.35</v>
      </c>
    </row>
    <row r="33" spans="1:22" x14ac:dyDescent="0.2">
      <c r="A33" s="50" t="str">
        <f t="shared" si="4"/>
        <v>ENBR3.SA</v>
      </c>
      <c r="C33" s="3" t="s">
        <v>146</v>
      </c>
      <c r="D33" s="3" t="s">
        <v>338</v>
      </c>
      <c r="E33" s="3" t="s">
        <v>469</v>
      </c>
      <c r="F33" s="3" t="s">
        <v>339</v>
      </c>
      <c r="G33" s="3" t="s">
        <v>433</v>
      </c>
      <c r="H33" s="26">
        <v>41631</v>
      </c>
      <c r="J33" s="3">
        <f t="shared" si="5"/>
        <v>11.49</v>
      </c>
      <c r="K33" s="3">
        <f t="shared" si="5"/>
        <v>11.25</v>
      </c>
      <c r="L33" s="3">
        <f t="shared" si="5"/>
        <v>11.62</v>
      </c>
      <c r="M33" s="3">
        <f t="shared" si="5"/>
        <v>11.22</v>
      </c>
      <c r="P33" s="3" t="s">
        <v>48</v>
      </c>
      <c r="Q33" s="10" t="str">
        <f t="shared" si="0"/>
        <v xml:space="preserve">EVEN        -ON  </v>
      </c>
      <c r="R33" s="26">
        <f t="shared" si="1"/>
        <v>41631</v>
      </c>
      <c r="S33" s="5">
        <f t="shared" si="6"/>
        <v>8.01</v>
      </c>
      <c r="T33" s="5">
        <f t="shared" si="6"/>
        <v>8.1</v>
      </c>
      <c r="U33" s="5">
        <f t="shared" si="6"/>
        <v>8.1199999999999992</v>
      </c>
      <c r="V33" s="5">
        <f t="shared" si="6"/>
        <v>7.98</v>
      </c>
    </row>
    <row r="34" spans="1:22" x14ac:dyDescent="0.2">
      <c r="A34" s="50" t="str">
        <f t="shared" si="4"/>
        <v>EQTL3.SA</v>
      </c>
      <c r="C34" s="3" t="s">
        <v>147</v>
      </c>
      <c r="D34" s="3" t="s">
        <v>272</v>
      </c>
      <c r="E34" s="3" t="s">
        <v>470</v>
      </c>
      <c r="F34" s="3" t="s">
        <v>340</v>
      </c>
      <c r="G34" s="3" t="s">
        <v>284</v>
      </c>
      <c r="H34" s="26">
        <v>41631</v>
      </c>
      <c r="J34" s="3">
        <f t="shared" si="5"/>
        <v>22.85</v>
      </c>
      <c r="K34" s="3">
        <f t="shared" si="5"/>
        <v>22.9</v>
      </c>
      <c r="L34" s="3">
        <f t="shared" si="5"/>
        <v>23.31</v>
      </c>
      <c r="M34" s="3">
        <f t="shared" si="5"/>
        <v>22.35</v>
      </c>
      <c r="P34" s="3" t="s">
        <v>25</v>
      </c>
      <c r="Q34" s="10" t="str">
        <f t="shared" si="0"/>
        <v xml:space="preserve">FORJA TAURUS-PN  </v>
      </c>
      <c r="R34" s="26">
        <f t="shared" si="1"/>
        <v>41631</v>
      </c>
      <c r="S34" s="5">
        <f t="shared" si="6"/>
        <v>2.25</v>
      </c>
      <c r="T34" s="5">
        <f t="shared" si="6"/>
        <v>2.2400000000000002</v>
      </c>
      <c r="U34" s="5">
        <f t="shared" si="6"/>
        <v>2.25</v>
      </c>
      <c r="V34" s="5">
        <f t="shared" si="6"/>
        <v>2.13</v>
      </c>
    </row>
    <row r="35" spans="1:22" x14ac:dyDescent="0.2">
      <c r="A35" s="50" t="str">
        <f t="shared" si="4"/>
        <v>EVEN3.SA</v>
      </c>
      <c r="C35" s="3" t="s">
        <v>148</v>
      </c>
      <c r="D35" s="3" t="s">
        <v>341</v>
      </c>
      <c r="E35" s="3" t="s">
        <v>471</v>
      </c>
      <c r="F35" s="3" t="s">
        <v>429</v>
      </c>
      <c r="G35" s="3" t="s">
        <v>342</v>
      </c>
      <c r="H35" s="26">
        <v>41631</v>
      </c>
      <c r="J35" s="3">
        <f t="shared" si="5"/>
        <v>8.01</v>
      </c>
      <c r="K35" s="3">
        <f t="shared" si="5"/>
        <v>8.1</v>
      </c>
      <c r="L35" s="3">
        <f t="shared" si="5"/>
        <v>8.1199999999999992</v>
      </c>
      <c r="M35" s="3">
        <f t="shared" si="5"/>
        <v>7.98</v>
      </c>
      <c r="P35" s="3" t="s">
        <v>100</v>
      </c>
      <c r="Q35" s="10" t="str">
        <f t="shared" si="0"/>
        <v xml:space="preserve">GER PARANAP -PN  </v>
      </c>
      <c r="R35" s="26">
        <f t="shared" si="1"/>
        <v>41628</v>
      </c>
      <c r="S35" s="5">
        <f t="shared" si="6"/>
        <v>56.12</v>
      </c>
      <c r="T35" s="5">
        <f t="shared" si="6"/>
        <v>60</v>
      </c>
      <c r="U35" s="5">
        <f t="shared" si="6"/>
        <v>60</v>
      </c>
      <c r="V35" s="5">
        <f t="shared" si="6"/>
        <v>55.2</v>
      </c>
    </row>
    <row r="36" spans="1:22" x14ac:dyDescent="0.2">
      <c r="A36" s="50" t="str">
        <f t="shared" si="4"/>
        <v>FJTA4.SA</v>
      </c>
      <c r="C36" s="3" t="s">
        <v>149</v>
      </c>
      <c r="D36" s="3" t="s">
        <v>181</v>
      </c>
      <c r="E36" s="3" t="s">
        <v>276</v>
      </c>
      <c r="F36" s="3" t="s">
        <v>181</v>
      </c>
      <c r="G36" s="3" t="s">
        <v>363</v>
      </c>
      <c r="H36" s="26">
        <v>41631</v>
      </c>
      <c r="J36" s="3">
        <f t="shared" si="5"/>
        <v>2.25</v>
      </c>
      <c r="K36" s="3">
        <f t="shared" si="5"/>
        <v>2.2400000000000002</v>
      </c>
      <c r="L36" s="3">
        <f t="shared" si="5"/>
        <v>2.25</v>
      </c>
      <c r="M36" s="3">
        <f t="shared" si="5"/>
        <v>2.13</v>
      </c>
      <c r="P36" s="3" t="s">
        <v>91</v>
      </c>
      <c r="Q36" s="10" t="str">
        <f t="shared" si="0"/>
        <v>AES TIETE   -ON</v>
      </c>
      <c r="R36" s="26">
        <f t="shared" si="1"/>
        <v>41631</v>
      </c>
      <c r="S36" s="5">
        <f t="shared" si="6"/>
        <v>18.2</v>
      </c>
      <c r="T36" s="5">
        <f t="shared" si="6"/>
        <v>18</v>
      </c>
      <c r="U36" s="5">
        <f t="shared" si="6"/>
        <v>18.2</v>
      </c>
      <c r="V36" s="5">
        <f t="shared" si="6"/>
        <v>17.88</v>
      </c>
    </row>
    <row r="37" spans="1:22" x14ac:dyDescent="0.2">
      <c r="A37" s="50" t="str">
        <f t="shared" si="4"/>
        <v>GEPA4.SA</v>
      </c>
      <c r="C37" s="3" t="s">
        <v>277</v>
      </c>
      <c r="D37" s="3" t="s">
        <v>278</v>
      </c>
      <c r="E37" s="3" t="s">
        <v>240</v>
      </c>
      <c r="F37" s="3" t="s">
        <v>240</v>
      </c>
      <c r="G37" s="3" t="s">
        <v>279</v>
      </c>
      <c r="H37" s="26">
        <v>41628</v>
      </c>
      <c r="J37" s="3">
        <f t="shared" si="5"/>
        <v>56.12</v>
      </c>
      <c r="K37" s="3">
        <f t="shared" si="5"/>
        <v>60</v>
      </c>
      <c r="L37" s="3">
        <f t="shared" si="5"/>
        <v>60</v>
      </c>
      <c r="M37" s="3">
        <f t="shared" si="5"/>
        <v>55.2</v>
      </c>
      <c r="P37" s="3" t="s">
        <v>95</v>
      </c>
      <c r="Q37" s="10" t="str">
        <f t="shared" si="0"/>
        <v>AES TIETE   -PN</v>
      </c>
      <c r="R37" s="26">
        <f t="shared" si="1"/>
        <v>41631</v>
      </c>
      <c r="S37" s="5">
        <f t="shared" si="6"/>
        <v>19.79</v>
      </c>
      <c r="T37" s="5">
        <f t="shared" si="6"/>
        <v>19.32</v>
      </c>
      <c r="U37" s="5">
        <f t="shared" si="6"/>
        <v>19.79</v>
      </c>
      <c r="V37" s="5">
        <f t="shared" si="6"/>
        <v>19.309999999999999</v>
      </c>
    </row>
    <row r="38" spans="1:22" x14ac:dyDescent="0.2">
      <c r="A38" s="50" t="str">
        <f t="shared" si="4"/>
        <v>GETI3.SA</v>
      </c>
      <c r="C38" s="3" t="s">
        <v>280</v>
      </c>
      <c r="D38" s="3" t="s">
        <v>281</v>
      </c>
      <c r="E38" s="3" t="s">
        <v>186</v>
      </c>
      <c r="F38" s="3" t="s">
        <v>281</v>
      </c>
      <c r="G38" s="3" t="s">
        <v>415</v>
      </c>
      <c r="H38" s="26">
        <v>41631</v>
      </c>
      <c r="J38" s="3">
        <f t="shared" si="5"/>
        <v>18.2</v>
      </c>
      <c r="K38" s="3">
        <f t="shared" si="5"/>
        <v>18</v>
      </c>
      <c r="L38" s="3">
        <f t="shared" si="5"/>
        <v>18.2</v>
      </c>
      <c r="M38" s="3">
        <f t="shared" si="5"/>
        <v>17.88</v>
      </c>
      <c r="P38" s="3" t="s">
        <v>39</v>
      </c>
      <c r="Q38" s="10" t="str">
        <f t="shared" si="0"/>
        <v xml:space="preserve">GAFISA      -ON  </v>
      </c>
      <c r="R38" s="26">
        <f t="shared" si="1"/>
        <v>41631</v>
      </c>
      <c r="S38" s="5">
        <f t="shared" si="6"/>
        <v>3.83</v>
      </c>
      <c r="T38" s="5">
        <f t="shared" si="6"/>
        <v>3.77</v>
      </c>
      <c r="U38" s="5">
        <f t="shared" si="6"/>
        <v>3.89</v>
      </c>
      <c r="V38" s="5">
        <f t="shared" si="6"/>
        <v>3.73</v>
      </c>
    </row>
    <row r="39" spans="1:22" x14ac:dyDescent="0.2">
      <c r="A39" s="50" t="str">
        <f t="shared" si="4"/>
        <v>GETI4.SA</v>
      </c>
      <c r="C39" s="3" t="s">
        <v>282</v>
      </c>
      <c r="D39" s="3" t="s">
        <v>343</v>
      </c>
      <c r="E39" s="3" t="s">
        <v>472</v>
      </c>
      <c r="F39" s="3" t="s">
        <v>343</v>
      </c>
      <c r="G39" s="3" t="s">
        <v>473</v>
      </c>
      <c r="H39" s="26">
        <v>41631</v>
      </c>
      <c r="J39" s="3">
        <f t="shared" si="5"/>
        <v>19.79</v>
      </c>
      <c r="K39" s="3">
        <f t="shared" si="5"/>
        <v>19.32</v>
      </c>
      <c r="L39" s="3">
        <f t="shared" si="5"/>
        <v>19.79</v>
      </c>
      <c r="M39" s="3">
        <f t="shared" si="5"/>
        <v>19.309999999999999</v>
      </c>
      <c r="P39" s="3" t="s">
        <v>47</v>
      </c>
      <c r="Q39" s="10" t="str">
        <f t="shared" si="0"/>
        <v xml:space="preserve">HELBOR      -ON  </v>
      </c>
      <c r="R39" s="26">
        <f t="shared" si="1"/>
        <v>41631</v>
      </c>
      <c r="S39" s="5">
        <f t="shared" si="6"/>
        <v>7.88</v>
      </c>
      <c r="T39" s="5">
        <f t="shared" si="6"/>
        <v>7.95</v>
      </c>
      <c r="U39" s="5">
        <f t="shared" si="6"/>
        <v>8.01</v>
      </c>
      <c r="V39" s="5">
        <f t="shared" si="6"/>
        <v>7.82</v>
      </c>
    </row>
    <row r="40" spans="1:22" x14ac:dyDescent="0.2">
      <c r="A40" s="50" t="str">
        <f t="shared" si="4"/>
        <v>GFSA3.SA</v>
      </c>
      <c r="C40" s="3" t="s">
        <v>150</v>
      </c>
      <c r="D40" s="3" t="s">
        <v>345</v>
      </c>
      <c r="E40" s="3" t="s">
        <v>474</v>
      </c>
      <c r="F40" s="3" t="s">
        <v>346</v>
      </c>
      <c r="G40" s="3" t="s">
        <v>416</v>
      </c>
      <c r="H40" s="26">
        <v>41631</v>
      </c>
      <c r="J40" s="3">
        <f t="shared" si="5"/>
        <v>3.83</v>
      </c>
      <c r="K40" s="3">
        <f t="shared" si="5"/>
        <v>3.77</v>
      </c>
      <c r="L40" s="3">
        <f t="shared" si="5"/>
        <v>3.89</v>
      </c>
      <c r="M40" s="3">
        <f t="shared" si="5"/>
        <v>3.73</v>
      </c>
      <c r="P40" s="3" t="s">
        <v>82</v>
      </c>
      <c r="Q40" s="10" t="str">
        <f t="shared" si="0"/>
        <v xml:space="preserve">IGUATEMI    -ON  </v>
      </c>
      <c r="R40" s="26">
        <f t="shared" si="1"/>
        <v>41631</v>
      </c>
      <c r="S40" s="5">
        <f t="shared" si="6"/>
        <v>22.35</v>
      </c>
      <c r="T40" s="5">
        <f t="shared" si="6"/>
        <v>22.17</v>
      </c>
      <c r="U40" s="5">
        <f t="shared" si="6"/>
        <v>22.51</v>
      </c>
      <c r="V40" s="5">
        <f t="shared" si="6"/>
        <v>21.73</v>
      </c>
    </row>
    <row r="41" spans="1:22" x14ac:dyDescent="0.2">
      <c r="A41" s="50" t="str">
        <f t="shared" si="4"/>
        <v>HBOR3.SA</v>
      </c>
      <c r="C41" s="3" t="s">
        <v>151</v>
      </c>
      <c r="D41" s="3" t="s">
        <v>283</v>
      </c>
      <c r="E41" s="3" t="s">
        <v>475</v>
      </c>
      <c r="F41" s="3" t="s">
        <v>341</v>
      </c>
      <c r="G41" s="3" t="s">
        <v>347</v>
      </c>
      <c r="H41" s="26">
        <v>41631</v>
      </c>
      <c r="J41" s="3">
        <f t="shared" si="5"/>
        <v>7.88</v>
      </c>
      <c r="K41" s="3">
        <f t="shared" si="5"/>
        <v>7.95</v>
      </c>
      <c r="L41" s="3">
        <f t="shared" si="5"/>
        <v>8.01</v>
      </c>
      <c r="M41" s="3">
        <f t="shared" si="5"/>
        <v>7.82</v>
      </c>
      <c r="P41" s="3" t="s">
        <v>35</v>
      </c>
      <c r="Q41" s="10" t="str">
        <f t="shared" si="0"/>
        <v xml:space="preserve">ITAUSA      -PN  </v>
      </c>
      <c r="R41" s="26">
        <f t="shared" si="1"/>
        <v>41631</v>
      </c>
      <c r="S41" s="5">
        <f t="shared" si="6"/>
        <v>8.9499999999999993</v>
      </c>
      <c r="T41" s="5">
        <f t="shared" si="6"/>
        <v>8.9</v>
      </c>
      <c r="U41" s="5">
        <f t="shared" si="6"/>
        <v>9.01</v>
      </c>
      <c r="V41" s="5">
        <f t="shared" si="6"/>
        <v>8.9</v>
      </c>
    </row>
    <row r="42" spans="1:22" x14ac:dyDescent="0.2">
      <c r="A42" s="50" t="str">
        <f t="shared" si="4"/>
        <v>IGTA3.SA</v>
      </c>
      <c r="C42" s="3" t="s">
        <v>152</v>
      </c>
      <c r="D42" s="3" t="s">
        <v>284</v>
      </c>
      <c r="E42" s="3" t="s">
        <v>476</v>
      </c>
      <c r="F42" s="3" t="s">
        <v>398</v>
      </c>
      <c r="G42" s="3" t="s">
        <v>477</v>
      </c>
      <c r="H42" s="26">
        <v>41631</v>
      </c>
      <c r="J42" s="3">
        <f t="shared" si="5"/>
        <v>22.35</v>
      </c>
      <c r="K42" s="3">
        <f t="shared" si="5"/>
        <v>22.17</v>
      </c>
      <c r="L42" s="3">
        <f t="shared" si="5"/>
        <v>22.51</v>
      </c>
      <c r="M42" s="3">
        <f t="shared" si="5"/>
        <v>21.73</v>
      </c>
      <c r="P42" s="3" t="s">
        <v>40</v>
      </c>
      <c r="Q42" s="10" t="str">
        <f t="shared" si="0"/>
        <v xml:space="preserve">JHSF PART   -ON  </v>
      </c>
      <c r="R42" s="26">
        <f t="shared" si="1"/>
        <v>41631</v>
      </c>
      <c r="S42" s="5">
        <f t="shared" si="6"/>
        <v>4.05</v>
      </c>
      <c r="T42" s="5">
        <f t="shared" si="6"/>
        <v>4.0999999999999996</v>
      </c>
      <c r="U42" s="5">
        <f t="shared" si="6"/>
        <v>4.13</v>
      </c>
      <c r="V42" s="5">
        <f t="shared" si="6"/>
        <v>4.05</v>
      </c>
    </row>
    <row r="43" spans="1:22" x14ac:dyDescent="0.2">
      <c r="A43" s="50" t="str">
        <f t="shared" si="4"/>
        <v>ITSA4.SA</v>
      </c>
      <c r="C43" s="3" t="s">
        <v>153</v>
      </c>
      <c r="D43" s="3" t="s">
        <v>239</v>
      </c>
      <c r="E43" s="3" t="s">
        <v>478</v>
      </c>
      <c r="F43" s="3" t="s">
        <v>319</v>
      </c>
      <c r="G43" s="3" t="s">
        <v>478</v>
      </c>
      <c r="H43" s="26">
        <v>41631</v>
      </c>
      <c r="J43" s="3">
        <f t="shared" si="5"/>
        <v>8.9499999999999993</v>
      </c>
      <c r="K43" s="3">
        <f t="shared" si="5"/>
        <v>8.9</v>
      </c>
      <c r="L43" s="3">
        <f t="shared" si="5"/>
        <v>9.01</v>
      </c>
      <c r="M43" s="3">
        <f t="shared" si="5"/>
        <v>8.9</v>
      </c>
      <c r="P43" s="3" t="s">
        <v>65</v>
      </c>
      <c r="Q43" s="10" t="str">
        <f t="shared" si="0"/>
        <v xml:space="preserve">LINX        -ON  </v>
      </c>
      <c r="R43" s="26">
        <f t="shared" si="1"/>
        <v>41631</v>
      </c>
      <c r="S43" s="5">
        <f t="shared" si="6"/>
        <v>49.4</v>
      </c>
      <c r="T43" s="5">
        <f t="shared" si="6"/>
        <v>48.99</v>
      </c>
      <c r="U43" s="5">
        <f t="shared" si="6"/>
        <v>50</v>
      </c>
      <c r="V43" s="5">
        <f t="shared" si="6"/>
        <v>47.94</v>
      </c>
    </row>
    <row r="44" spans="1:22" x14ac:dyDescent="0.2">
      <c r="A44" s="50" t="str">
        <f t="shared" si="4"/>
        <v>JHSF3.SA</v>
      </c>
      <c r="C44" s="3" t="s">
        <v>154</v>
      </c>
      <c r="D44" s="3" t="s">
        <v>348</v>
      </c>
      <c r="E44" s="3" t="s">
        <v>434</v>
      </c>
      <c r="F44" s="3" t="s">
        <v>399</v>
      </c>
      <c r="G44" s="3" t="s">
        <v>348</v>
      </c>
      <c r="H44" s="26">
        <v>41631</v>
      </c>
      <c r="J44" s="3">
        <f t="shared" si="5"/>
        <v>4.05</v>
      </c>
      <c r="K44" s="3">
        <f t="shared" si="5"/>
        <v>4.0999999999999996</v>
      </c>
      <c r="L44" s="3">
        <f t="shared" si="5"/>
        <v>4.13</v>
      </c>
      <c r="M44" s="3">
        <f t="shared" si="5"/>
        <v>4.05</v>
      </c>
      <c r="P44" s="3" t="s">
        <v>51</v>
      </c>
      <c r="Q44" s="10" t="str">
        <f t="shared" si="0"/>
        <v xml:space="preserve">ODONTOPREV  -ON  </v>
      </c>
      <c r="R44" s="26">
        <f t="shared" si="1"/>
        <v>41631</v>
      </c>
      <c r="S44" s="5">
        <f t="shared" si="6"/>
        <v>10</v>
      </c>
      <c r="T44" s="5">
        <f t="shared" si="6"/>
        <v>10.17</v>
      </c>
      <c r="U44" s="5">
        <f t="shared" si="6"/>
        <v>10.210000000000001</v>
      </c>
      <c r="V44" s="5">
        <f t="shared" si="6"/>
        <v>10</v>
      </c>
    </row>
    <row r="45" spans="1:22" x14ac:dyDescent="0.2">
      <c r="A45" s="50" t="str">
        <f t="shared" si="4"/>
        <v>LINX3.SA</v>
      </c>
      <c r="C45" s="3" t="s">
        <v>155</v>
      </c>
      <c r="D45" s="3" t="s">
        <v>349</v>
      </c>
      <c r="E45" s="3" t="s">
        <v>479</v>
      </c>
      <c r="F45" s="3" t="s">
        <v>285</v>
      </c>
      <c r="G45" s="3" t="s">
        <v>480</v>
      </c>
      <c r="H45" s="26">
        <v>41631</v>
      </c>
      <c r="J45" s="3">
        <f t="shared" si="5"/>
        <v>49.4</v>
      </c>
      <c r="K45" s="3">
        <f t="shared" si="5"/>
        <v>48.99</v>
      </c>
      <c r="L45" s="3">
        <f t="shared" si="5"/>
        <v>50</v>
      </c>
      <c r="M45" s="3">
        <f t="shared" si="5"/>
        <v>47.94</v>
      </c>
      <c r="P45" s="3" t="s">
        <v>37</v>
      </c>
      <c r="Q45" s="10" t="str">
        <f t="shared" si="0"/>
        <v xml:space="preserve">PDG REALT   -ON  </v>
      </c>
      <c r="R45" s="26">
        <f t="shared" si="1"/>
        <v>41631</v>
      </c>
      <c r="S45" s="5">
        <f t="shared" si="6"/>
        <v>1.83</v>
      </c>
      <c r="T45" s="5">
        <f t="shared" si="6"/>
        <v>1.83</v>
      </c>
      <c r="U45" s="5">
        <f t="shared" si="6"/>
        <v>1.84</v>
      </c>
      <c r="V45" s="5">
        <f t="shared" si="6"/>
        <v>1.78</v>
      </c>
    </row>
    <row r="46" spans="1:22" x14ac:dyDescent="0.2">
      <c r="A46" s="50" t="str">
        <f t="shared" si="4"/>
        <v>ODPV3.SA</v>
      </c>
      <c r="C46" s="3" t="s">
        <v>156</v>
      </c>
      <c r="D46" s="3" t="s">
        <v>350</v>
      </c>
      <c r="E46" s="3" t="s">
        <v>481</v>
      </c>
      <c r="F46" s="3" t="s">
        <v>351</v>
      </c>
      <c r="G46" s="3" t="s">
        <v>350</v>
      </c>
      <c r="H46" s="26">
        <v>41631</v>
      </c>
      <c r="J46" s="3">
        <f t="shared" si="5"/>
        <v>10</v>
      </c>
      <c r="K46" s="3">
        <f t="shared" si="5"/>
        <v>10.17</v>
      </c>
      <c r="L46" s="3">
        <f t="shared" si="5"/>
        <v>10.210000000000001</v>
      </c>
      <c r="M46" s="3">
        <f t="shared" si="5"/>
        <v>10</v>
      </c>
      <c r="P46" s="3" t="s">
        <v>58</v>
      </c>
      <c r="Q46" s="10" t="str">
        <f t="shared" si="0"/>
        <v>PETROBRAS   -ON</v>
      </c>
      <c r="R46" s="26">
        <f t="shared" si="1"/>
        <v>41631</v>
      </c>
      <c r="S46" s="5">
        <f t="shared" si="6"/>
        <v>15.87</v>
      </c>
      <c r="T46" s="5">
        <f t="shared" si="6"/>
        <v>15.87</v>
      </c>
      <c r="U46" s="5">
        <f t="shared" si="6"/>
        <v>16.05</v>
      </c>
      <c r="V46" s="5">
        <f t="shared" si="6"/>
        <v>15.71</v>
      </c>
    </row>
    <row r="47" spans="1:22" x14ac:dyDescent="0.2">
      <c r="A47" s="50" t="str">
        <f t="shared" si="4"/>
        <v>PDGR3.SA</v>
      </c>
      <c r="C47" s="3" t="s">
        <v>157</v>
      </c>
      <c r="D47" s="3" t="s">
        <v>352</v>
      </c>
      <c r="E47" s="3" t="s">
        <v>352</v>
      </c>
      <c r="F47" s="3" t="s">
        <v>353</v>
      </c>
      <c r="G47" s="3" t="s">
        <v>354</v>
      </c>
      <c r="H47" s="26">
        <v>41631</v>
      </c>
      <c r="J47" s="3">
        <f t="shared" si="5"/>
        <v>1.83</v>
      </c>
      <c r="K47" s="3">
        <f t="shared" si="5"/>
        <v>1.83</v>
      </c>
      <c r="L47" s="3">
        <f t="shared" si="5"/>
        <v>1.84</v>
      </c>
      <c r="M47" s="3">
        <f t="shared" si="5"/>
        <v>1.78</v>
      </c>
      <c r="P47" s="3" t="s">
        <v>59</v>
      </c>
      <c r="Q47" s="10" t="str">
        <f t="shared" si="0"/>
        <v>PETROBRAS   -PN</v>
      </c>
      <c r="R47" s="26">
        <f t="shared" si="1"/>
        <v>41631</v>
      </c>
      <c r="S47" s="5">
        <f t="shared" si="6"/>
        <v>17.02</v>
      </c>
      <c r="T47" s="5">
        <f t="shared" si="6"/>
        <v>17.059999999999999</v>
      </c>
      <c r="U47" s="5">
        <f t="shared" si="6"/>
        <v>17.170000000000002</v>
      </c>
      <c r="V47" s="5">
        <f t="shared" si="6"/>
        <v>16.87</v>
      </c>
    </row>
    <row r="48" spans="1:22" x14ac:dyDescent="0.2">
      <c r="A48" s="50" t="str">
        <f t="shared" si="4"/>
        <v>PETR3.SA</v>
      </c>
      <c r="C48" s="3" t="s">
        <v>158</v>
      </c>
      <c r="D48" s="3" t="s">
        <v>355</v>
      </c>
      <c r="E48" s="3" t="s">
        <v>355</v>
      </c>
      <c r="F48" s="3" t="s">
        <v>482</v>
      </c>
      <c r="G48" s="3" t="s">
        <v>356</v>
      </c>
      <c r="H48" s="26">
        <v>41631</v>
      </c>
      <c r="J48" s="3">
        <f t="shared" si="5"/>
        <v>15.87</v>
      </c>
      <c r="K48" s="3">
        <f t="shared" si="5"/>
        <v>15.87</v>
      </c>
      <c r="L48" s="3">
        <f t="shared" si="5"/>
        <v>16.05</v>
      </c>
      <c r="M48" s="3">
        <f t="shared" si="5"/>
        <v>15.71</v>
      </c>
      <c r="P48" s="3" t="s">
        <v>30</v>
      </c>
      <c r="Q48" s="10" t="str">
        <f t="shared" si="0"/>
        <v xml:space="preserve">MARCOPOLO   -PN  </v>
      </c>
      <c r="R48" s="26">
        <f t="shared" si="1"/>
        <v>41631</v>
      </c>
      <c r="S48" s="5">
        <f t="shared" si="6"/>
        <v>5.15</v>
      </c>
      <c r="T48" s="5">
        <f t="shared" si="6"/>
        <v>5.0999999999999996</v>
      </c>
      <c r="U48" s="5">
        <f t="shared" si="6"/>
        <v>5.24</v>
      </c>
      <c r="V48" s="5">
        <f t="shared" si="6"/>
        <v>5.0599999999999996</v>
      </c>
    </row>
    <row r="49" spans="1:22" x14ac:dyDescent="0.2">
      <c r="A49" s="50" t="str">
        <f t="shared" si="4"/>
        <v>PETR4.SA</v>
      </c>
      <c r="C49" s="3" t="s">
        <v>159</v>
      </c>
      <c r="D49" s="3" t="s">
        <v>357</v>
      </c>
      <c r="E49" s="3" t="s">
        <v>483</v>
      </c>
      <c r="F49" s="3" t="s">
        <v>484</v>
      </c>
      <c r="G49" s="3" t="s">
        <v>358</v>
      </c>
      <c r="H49" s="26">
        <v>41631</v>
      </c>
      <c r="J49" s="3">
        <f t="shared" si="5"/>
        <v>17.02</v>
      </c>
      <c r="K49" s="3">
        <f t="shared" si="5"/>
        <v>17.059999999999999</v>
      </c>
      <c r="L49" s="3">
        <f t="shared" si="5"/>
        <v>17.170000000000002</v>
      </c>
      <c r="M49" s="3">
        <f t="shared" si="5"/>
        <v>16.87</v>
      </c>
      <c r="P49" s="3" t="s">
        <v>54</v>
      </c>
      <c r="Q49" s="10" t="str">
        <f t="shared" si="0"/>
        <v xml:space="preserve">PROVIDENCIA -ON  </v>
      </c>
      <c r="R49" s="26">
        <f t="shared" si="1"/>
        <v>41631</v>
      </c>
      <c r="S49" s="5">
        <f t="shared" si="6"/>
        <v>6.99</v>
      </c>
      <c r="T49" s="5">
        <f t="shared" si="6"/>
        <v>7.28</v>
      </c>
      <c r="U49" s="5">
        <f t="shared" si="6"/>
        <v>7.29</v>
      </c>
      <c r="V49" s="5">
        <f t="shared" si="6"/>
        <v>6.99</v>
      </c>
    </row>
    <row r="50" spans="1:22" x14ac:dyDescent="0.2">
      <c r="A50" s="50" t="str">
        <f t="shared" si="4"/>
        <v>POMO4.SA</v>
      </c>
      <c r="C50" s="3" t="s">
        <v>160</v>
      </c>
      <c r="D50" s="3" t="s">
        <v>359</v>
      </c>
      <c r="E50" s="3" t="s">
        <v>485</v>
      </c>
      <c r="F50" s="3" t="s">
        <v>360</v>
      </c>
      <c r="G50" s="3" t="s">
        <v>418</v>
      </c>
      <c r="H50" s="26">
        <v>41631</v>
      </c>
      <c r="J50" s="3">
        <f t="shared" si="5"/>
        <v>5.15</v>
      </c>
      <c r="K50" s="3">
        <f t="shared" si="5"/>
        <v>5.0999999999999996</v>
      </c>
      <c r="L50" s="3">
        <f t="shared" si="5"/>
        <v>5.24</v>
      </c>
      <c r="M50" s="3">
        <f t="shared" si="5"/>
        <v>5.0599999999999996</v>
      </c>
      <c r="P50" s="3" t="s">
        <v>41</v>
      </c>
      <c r="Q50" s="10" t="str">
        <f t="shared" si="0"/>
        <v xml:space="preserve">PORTOBELLO  -ON  </v>
      </c>
      <c r="R50" s="26">
        <f t="shared" si="1"/>
        <v>41631</v>
      </c>
      <c r="S50" s="5">
        <f t="shared" si="6"/>
        <v>4.71</v>
      </c>
      <c r="T50" s="5">
        <f t="shared" si="6"/>
        <v>4.7</v>
      </c>
      <c r="U50" s="5">
        <f t="shared" si="6"/>
        <v>4.91</v>
      </c>
      <c r="V50" s="5">
        <f t="shared" si="6"/>
        <v>4.6500000000000004</v>
      </c>
    </row>
    <row r="51" spans="1:22" x14ac:dyDescent="0.2">
      <c r="A51" s="50" t="str">
        <f t="shared" si="4"/>
        <v>PRVI3.SA</v>
      </c>
      <c r="C51" s="3" t="s">
        <v>161</v>
      </c>
      <c r="D51" s="3" t="s">
        <v>287</v>
      </c>
      <c r="E51" s="3" t="s">
        <v>486</v>
      </c>
      <c r="F51" s="3" t="s">
        <v>487</v>
      </c>
      <c r="G51" s="3" t="s">
        <v>287</v>
      </c>
      <c r="H51" s="26">
        <v>41631</v>
      </c>
      <c r="J51" s="3">
        <f t="shared" si="5"/>
        <v>6.99</v>
      </c>
      <c r="K51" s="3">
        <f t="shared" si="5"/>
        <v>7.28</v>
      </c>
      <c r="L51" s="3">
        <f t="shared" si="5"/>
        <v>7.29</v>
      </c>
      <c r="M51" s="3">
        <f t="shared" si="5"/>
        <v>6.99</v>
      </c>
      <c r="P51" s="3" t="s">
        <v>67</v>
      </c>
      <c r="Q51" s="10" t="str">
        <f t="shared" si="0"/>
        <v xml:space="preserve">RANDON PART -PN  </v>
      </c>
      <c r="R51" s="26">
        <f t="shared" si="1"/>
        <v>41631</v>
      </c>
      <c r="S51" s="5">
        <f t="shared" si="6"/>
        <v>10.98</v>
      </c>
      <c r="T51" s="5">
        <f t="shared" si="6"/>
        <v>11.01</v>
      </c>
      <c r="U51" s="5">
        <f t="shared" si="6"/>
        <v>11.21</v>
      </c>
      <c r="V51" s="5">
        <f t="shared" si="6"/>
        <v>10.93</v>
      </c>
    </row>
    <row r="52" spans="1:22" x14ac:dyDescent="0.2">
      <c r="A52" s="50" t="str">
        <f t="shared" si="4"/>
        <v>PTBL3.SA</v>
      </c>
      <c r="C52" s="3" t="s">
        <v>162</v>
      </c>
      <c r="D52" s="3" t="s">
        <v>361</v>
      </c>
      <c r="E52" s="3" t="s">
        <v>488</v>
      </c>
      <c r="F52" s="3" t="s">
        <v>489</v>
      </c>
      <c r="G52" s="3" t="s">
        <v>362</v>
      </c>
      <c r="H52" s="26">
        <v>41631</v>
      </c>
      <c r="J52" s="3">
        <f t="shared" si="5"/>
        <v>4.71</v>
      </c>
      <c r="K52" s="3">
        <f t="shared" si="5"/>
        <v>4.7</v>
      </c>
      <c r="L52" s="3">
        <f t="shared" si="5"/>
        <v>4.91</v>
      </c>
      <c r="M52" s="3">
        <f t="shared" si="5"/>
        <v>4.6500000000000004</v>
      </c>
      <c r="P52" s="3" t="s">
        <v>38</v>
      </c>
      <c r="Q52" s="10" t="str">
        <f t="shared" si="0"/>
        <v xml:space="preserve">ROSSI RESID -ON  </v>
      </c>
      <c r="R52" s="26">
        <f t="shared" si="1"/>
        <v>41631</v>
      </c>
      <c r="S52" s="5">
        <f t="shared" si="6"/>
        <v>2.13</v>
      </c>
      <c r="T52" s="5">
        <f t="shared" si="6"/>
        <v>2.0499999999999998</v>
      </c>
      <c r="U52" s="5">
        <f t="shared" si="6"/>
        <v>2.13</v>
      </c>
      <c r="V52" s="5">
        <f t="shared" si="6"/>
        <v>2.0299999999999998</v>
      </c>
    </row>
    <row r="53" spans="1:22" x14ac:dyDescent="0.2">
      <c r="A53" s="50" t="str">
        <f t="shared" si="4"/>
        <v>RAPT4.SA</v>
      </c>
      <c r="C53" s="3" t="s">
        <v>163</v>
      </c>
      <c r="D53" s="3" t="s">
        <v>288</v>
      </c>
      <c r="E53" s="3" t="s">
        <v>490</v>
      </c>
      <c r="F53" s="3" t="s">
        <v>400</v>
      </c>
      <c r="G53" s="3" t="s">
        <v>419</v>
      </c>
      <c r="H53" s="26">
        <v>41631</v>
      </c>
      <c r="J53" s="3">
        <f t="shared" si="5"/>
        <v>10.98</v>
      </c>
      <c r="K53" s="3">
        <f t="shared" si="5"/>
        <v>11.01</v>
      </c>
      <c r="L53" s="3">
        <f t="shared" si="5"/>
        <v>11.21</v>
      </c>
      <c r="M53" s="3">
        <f t="shared" si="5"/>
        <v>10.93</v>
      </c>
      <c r="P53" s="3" t="s">
        <v>98</v>
      </c>
      <c r="Q53" s="10" t="str">
        <f t="shared" si="0"/>
        <v xml:space="preserve">SABESP      -ON  </v>
      </c>
      <c r="R53" s="26">
        <f t="shared" si="1"/>
        <v>41631</v>
      </c>
      <c r="S53" s="5">
        <f t="shared" si="6"/>
        <v>25.78</v>
      </c>
      <c r="T53" s="5">
        <f t="shared" si="6"/>
        <v>26.1</v>
      </c>
      <c r="U53" s="5">
        <f t="shared" si="6"/>
        <v>26.37</v>
      </c>
      <c r="V53" s="5">
        <f t="shared" si="6"/>
        <v>25.53</v>
      </c>
    </row>
    <row r="54" spans="1:22" x14ac:dyDescent="0.2">
      <c r="A54" s="50" t="str">
        <f t="shared" si="4"/>
        <v>RSID3.SA</v>
      </c>
      <c r="C54" s="3" t="s">
        <v>164</v>
      </c>
      <c r="D54" s="3" t="s">
        <v>363</v>
      </c>
      <c r="E54" s="3" t="s">
        <v>491</v>
      </c>
      <c r="F54" s="3" t="s">
        <v>363</v>
      </c>
      <c r="G54" s="3" t="s">
        <v>420</v>
      </c>
      <c r="H54" s="26">
        <v>41631</v>
      </c>
      <c r="J54" s="3">
        <f t="shared" si="5"/>
        <v>2.13</v>
      </c>
      <c r="K54" s="3">
        <f t="shared" si="5"/>
        <v>2.0499999999999998</v>
      </c>
      <c r="L54" s="3">
        <f t="shared" si="5"/>
        <v>2.13</v>
      </c>
      <c r="M54" s="3">
        <f t="shared" si="5"/>
        <v>2.0299999999999998</v>
      </c>
      <c r="P54" s="3" t="s">
        <v>74</v>
      </c>
      <c r="Q54" s="10" t="str">
        <f t="shared" si="0"/>
        <v xml:space="preserve">SIERRABRASIL-ON  </v>
      </c>
      <c r="R54" s="26">
        <f t="shared" si="1"/>
        <v>41631</v>
      </c>
      <c r="S54" s="5">
        <f t="shared" si="6"/>
        <v>19.350000000000001</v>
      </c>
      <c r="T54" s="5">
        <f t="shared" si="6"/>
        <v>18.600000000000001</v>
      </c>
      <c r="U54" s="5">
        <f t="shared" si="6"/>
        <v>19.39</v>
      </c>
      <c r="V54" s="5">
        <f t="shared" si="6"/>
        <v>18.600000000000001</v>
      </c>
    </row>
    <row r="55" spans="1:22" x14ac:dyDescent="0.2">
      <c r="A55" s="50" t="str">
        <f t="shared" si="4"/>
        <v>SBSP3.SA</v>
      </c>
      <c r="C55" s="3" t="s">
        <v>165</v>
      </c>
      <c r="D55" s="3" t="s">
        <v>364</v>
      </c>
      <c r="E55" s="3" t="s">
        <v>492</v>
      </c>
      <c r="F55" s="3" t="s">
        <v>493</v>
      </c>
      <c r="G55" s="3" t="s">
        <v>365</v>
      </c>
      <c r="H55" s="26">
        <v>41631</v>
      </c>
      <c r="J55" s="3">
        <f t="shared" si="5"/>
        <v>25.78</v>
      </c>
      <c r="K55" s="3">
        <f t="shared" si="5"/>
        <v>26.1</v>
      </c>
      <c r="L55" s="3">
        <f t="shared" si="5"/>
        <v>26.37</v>
      </c>
      <c r="M55" s="3">
        <f t="shared" si="5"/>
        <v>25.53</v>
      </c>
      <c r="P55" s="3" t="s">
        <v>56</v>
      </c>
      <c r="Q55" s="10" t="str">
        <f t="shared" si="0"/>
        <v xml:space="preserve">SUZANO PAPEL-PNA </v>
      </c>
      <c r="R55" s="26">
        <f t="shared" si="1"/>
        <v>41631</v>
      </c>
      <c r="S55" s="5">
        <f t="shared" si="6"/>
        <v>9.1999999999999993</v>
      </c>
      <c r="T55" s="5">
        <f t="shared" si="6"/>
        <v>9.31</v>
      </c>
      <c r="U55" s="5">
        <f t="shared" si="6"/>
        <v>9.34</v>
      </c>
      <c r="V55" s="5">
        <f t="shared" si="6"/>
        <v>9.19</v>
      </c>
    </row>
    <row r="56" spans="1:22" x14ac:dyDescent="0.2">
      <c r="A56" s="50" t="str">
        <f t="shared" si="4"/>
        <v>SSBR3.SA</v>
      </c>
      <c r="C56" s="3" t="s">
        <v>166</v>
      </c>
      <c r="D56" s="3" t="s">
        <v>366</v>
      </c>
      <c r="E56" s="3" t="s">
        <v>494</v>
      </c>
      <c r="F56" s="3" t="s">
        <v>367</v>
      </c>
      <c r="G56" s="3" t="s">
        <v>494</v>
      </c>
      <c r="H56" s="26">
        <v>41631</v>
      </c>
      <c r="J56" s="3">
        <f t="shared" si="5"/>
        <v>19.350000000000001</v>
      </c>
      <c r="K56" s="3">
        <f t="shared" si="5"/>
        <v>18.600000000000001</v>
      </c>
      <c r="L56" s="3">
        <f t="shared" si="5"/>
        <v>19.39</v>
      </c>
      <c r="M56" s="3">
        <f t="shared" si="5"/>
        <v>18.600000000000001</v>
      </c>
      <c r="P56" s="3" t="s">
        <v>63</v>
      </c>
      <c r="Q56" s="10" t="str">
        <f t="shared" si="0"/>
        <v xml:space="preserve">TOTVS       -ON  </v>
      </c>
      <c r="R56" s="26">
        <f t="shared" si="1"/>
        <v>41631</v>
      </c>
      <c r="S56" s="5">
        <f t="shared" si="6"/>
        <v>36.18</v>
      </c>
      <c r="T56" s="5">
        <f t="shared" si="6"/>
        <v>36.24</v>
      </c>
      <c r="U56" s="5">
        <f t="shared" si="6"/>
        <v>37.08</v>
      </c>
      <c r="V56" s="5">
        <f t="shared" si="6"/>
        <v>36.01</v>
      </c>
    </row>
    <row r="57" spans="1:22" x14ac:dyDescent="0.2">
      <c r="A57" s="50" t="str">
        <f t="shared" si="4"/>
        <v>SUZB5.SA</v>
      </c>
      <c r="C57" s="3" t="s">
        <v>167</v>
      </c>
      <c r="D57" s="3" t="s">
        <v>368</v>
      </c>
      <c r="E57" s="3" t="s">
        <v>495</v>
      </c>
      <c r="F57" s="3" t="s">
        <v>435</v>
      </c>
      <c r="G57" s="3" t="s">
        <v>369</v>
      </c>
      <c r="H57" s="26">
        <v>41631</v>
      </c>
      <c r="J57" s="3">
        <f t="shared" si="5"/>
        <v>9.1999999999999993</v>
      </c>
      <c r="K57" s="3">
        <f t="shared" si="5"/>
        <v>9.31</v>
      </c>
      <c r="L57" s="3">
        <f t="shared" si="5"/>
        <v>9.34</v>
      </c>
      <c r="M57" s="3">
        <f t="shared" si="5"/>
        <v>9.19</v>
      </c>
      <c r="P57" s="3" t="s">
        <v>49</v>
      </c>
      <c r="Q57" s="10" t="str">
        <f t="shared" si="0"/>
        <v xml:space="preserve">UNICASA     -ON  </v>
      </c>
      <c r="R57" s="26">
        <f t="shared" si="1"/>
        <v>41631</v>
      </c>
      <c r="S57" s="5">
        <f t="shared" si="6"/>
        <v>6.13</v>
      </c>
      <c r="T57" s="5">
        <f t="shared" si="6"/>
        <v>5.84</v>
      </c>
      <c r="U57" s="5">
        <f t="shared" si="6"/>
        <v>6.13</v>
      </c>
      <c r="V57" s="5">
        <f t="shared" si="6"/>
        <v>5.84</v>
      </c>
    </row>
    <row r="58" spans="1:22" x14ac:dyDescent="0.2">
      <c r="A58" s="50" t="str">
        <f t="shared" si="4"/>
        <v>TOTS3.SA</v>
      </c>
      <c r="C58" s="3" t="s">
        <v>168</v>
      </c>
      <c r="D58" s="3" t="s">
        <v>370</v>
      </c>
      <c r="E58" s="3" t="s">
        <v>496</v>
      </c>
      <c r="F58" s="3" t="s">
        <v>421</v>
      </c>
      <c r="G58" s="3" t="s">
        <v>436</v>
      </c>
      <c r="H58" s="26">
        <v>41631</v>
      </c>
      <c r="J58" s="3">
        <f t="shared" si="5"/>
        <v>36.18</v>
      </c>
      <c r="K58" s="3">
        <f t="shared" si="5"/>
        <v>36.24</v>
      </c>
      <c r="L58" s="3">
        <f t="shared" si="5"/>
        <v>37.08</v>
      </c>
      <c r="M58" s="3">
        <f t="shared" si="5"/>
        <v>36.01</v>
      </c>
      <c r="P58" s="3" t="s">
        <v>101</v>
      </c>
      <c r="Q58" s="10" t="str">
        <f t="shared" si="0"/>
        <v>UNIPAR      -PNB</v>
      </c>
      <c r="R58" s="26">
        <f t="shared" si="1"/>
        <v>41631</v>
      </c>
      <c r="S58" s="5">
        <f t="shared" si="6"/>
        <v>0.53</v>
      </c>
      <c r="T58" s="5">
        <f t="shared" si="6"/>
        <v>0.53</v>
      </c>
      <c r="U58" s="5">
        <f t="shared" si="6"/>
        <v>0.54</v>
      </c>
      <c r="V58" s="5">
        <f t="shared" si="6"/>
        <v>0.52</v>
      </c>
    </row>
    <row r="59" spans="1:22" x14ac:dyDescent="0.2">
      <c r="A59" s="50" t="str">
        <f t="shared" si="4"/>
        <v>UCAS3.SA</v>
      </c>
      <c r="C59" s="3" t="s">
        <v>169</v>
      </c>
      <c r="D59" s="3" t="s">
        <v>371</v>
      </c>
      <c r="E59" s="3" t="s">
        <v>497</v>
      </c>
      <c r="F59" s="3" t="s">
        <v>371</v>
      </c>
      <c r="G59" s="3" t="s">
        <v>497</v>
      </c>
      <c r="H59" s="26">
        <v>41631</v>
      </c>
      <c r="J59" s="3">
        <f t="shared" si="5"/>
        <v>6.13</v>
      </c>
      <c r="K59" s="3">
        <f t="shared" si="5"/>
        <v>5.84</v>
      </c>
      <c r="L59" s="3">
        <f t="shared" si="5"/>
        <v>6.13</v>
      </c>
      <c r="M59" s="3">
        <f t="shared" si="5"/>
        <v>5.84</v>
      </c>
      <c r="P59" s="3" t="s">
        <v>104</v>
      </c>
      <c r="Q59" s="10" t="str">
        <f t="shared" si="0"/>
        <v xml:space="preserve">USIMINAS    -PNA </v>
      </c>
      <c r="R59" s="26">
        <f t="shared" si="1"/>
        <v>41631</v>
      </c>
      <c r="S59" s="5">
        <f t="shared" si="6"/>
        <v>14.17</v>
      </c>
      <c r="T59" s="5">
        <f t="shared" si="6"/>
        <v>14.5</v>
      </c>
      <c r="U59" s="5">
        <f t="shared" si="6"/>
        <v>14.59</v>
      </c>
      <c r="V59" s="5">
        <f t="shared" si="6"/>
        <v>14.17</v>
      </c>
    </row>
    <row r="60" spans="1:22" x14ac:dyDescent="0.2">
      <c r="A60" s="50" t="str">
        <f t="shared" si="4"/>
        <v>UNIP6.SA</v>
      </c>
      <c r="C60" s="3" t="s">
        <v>170</v>
      </c>
      <c r="D60" s="3" t="s">
        <v>291</v>
      </c>
      <c r="E60" s="3" t="s">
        <v>291</v>
      </c>
      <c r="F60" s="3" t="s">
        <v>244</v>
      </c>
      <c r="G60" s="3" t="s">
        <v>171</v>
      </c>
      <c r="H60" s="26">
        <v>41631</v>
      </c>
      <c r="J60" s="3">
        <f t="shared" si="5"/>
        <v>0.53</v>
      </c>
      <c r="K60" s="3">
        <f t="shared" si="5"/>
        <v>0.53</v>
      </c>
      <c r="L60" s="3">
        <f t="shared" si="5"/>
        <v>0.54</v>
      </c>
      <c r="M60" s="3">
        <f t="shared" si="5"/>
        <v>0.52</v>
      </c>
      <c r="P60" s="4" t="s">
        <v>173</v>
      </c>
      <c r="Q60" s="14" t="str">
        <f>IF(A62="","",C62)</f>
        <v xml:space="preserve">KLABIN S/A  -PN  </v>
      </c>
      <c r="R60" s="15">
        <f t="shared" si="1"/>
        <v>41631</v>
      </c>
      <c r="S60" s="6">
        <f t="shared" si="6"/>
        <v>12.44</v>
      </c>
      <c r="T60" s="6">
        <f t="shared" si="6"/>
        <v>12.3</v>
      </c>
      <c r="U60" s="6">
        <f t="shared" si="6"/>
        <v>12.48</v>
      </c>
      <c r="V60" s="6">
        <f t="shared" si="6"/>
        <v>12.11</v>
      </c>
    </row>
    <row r="61" spans="1:22" x14ac:dyDescent="0.2">
      <c r="A61" s="50" t="str">
        <f t="shared" si="4"/>
        <v>USIM5.SA</v>
      </c>
      <c r="C61" s="3" t="s">
        <v>172</v>
      </c>
      <c r="D61" s="3" t="s">
        <v>372</v>
      </c>
      <c r="E61" s="3" t="s">
        <v>498</v>
      </c>
      <c r="F61" s="3" t="s">
        <v>437</v>
      </c>
      <c r="G61" s="3" t="s">
        <v>372</v>
      </c>
      <c r="H61" s="26">
        <v>41631</v>
      </c>
      <c r="J61" s="3">
        <f t="shared" si="5"/>
        <v>14.17</v>
      </c>
      <c r="K61" s="3">
        <f t="shared" si="5"/>
        <v>14.5</v>
      </c>
      <c r="L61" s="3">
        <f t="shared" si="5"/>
        <v>14.59</v>
      </c>
      <c r="M61" s="3">
        <f t="shared" si="5"/>
        <v>14.17</v>
      </c>
      <c r="P61" s="4" t="s">
        <v>175</v>
      </c>
      <c r="Q61" s="14" t="str">
        <f>IF(A63="","",C63)</f>
        <v xml:space="preserve">LIGHT S/A   -ON  </v>
      </c>
      <c r="R61" s="15">
        <f t="shared" si="1"/>
        <v>41631</v>
      </c>
      <c r="S61" s="6">
        <f t="shared" si="6"/>
        <v>21.61</v>
      </c>
      <c r="T61" s="6">
        <f t="shared" si="6"/>
        <v>21.85</v>
      </c>
      <c r="U61" s="6">
        <f t="shared" si="6"/>
        <v>21.94</v>
      </c>
      <c r="V61" s="6">
        <f t="shared" si="6"/>
        <v>21.61</v>
      </c>
    </row>
    <row r="62" spans="1:22" x14ac:dyDescent="0.2">
      <c r="A62" s="50" t="str">
        <f t="shared" si="4"/>
        <v>KLBN4.SA</v>
      </c>
      <c r="C62" s="3" t="s">
        <v>174</v>
      </c>
      <c r="D62" s="3" t="s">
        <v>293</v>
      </c>
      <c r="E62" s="3" t="s">
        <v>499</v>
      </c>
      <c r="F62" s="3" t="s">
        <v>373</v>
      </c>
      <c r="G62" s="3" t="s">
        <v>261</v>
      </c>
      <c r="H62" s="26">
        <v>41631</v>
      </c>
      <c r="J62" s="3">
        <f t="shared" si="5"/>
        <v>12.44</v>
      </c>
      <c r="K62" s="3">
        <f t="shared" si="5"/>
        <v>12.3</v>
      </c>
      <c r="L62" s="3">
        <f t="shared" si="5"/>
        <v>12.48</v>
      </c>
      <c r="M62" s="3">
        <f t="shared" si="5"/>
        <v>12.11</v>
      </c>
      <c r="P62" s="4" t="s">
        <v>177</v>
      </c>
      <c r="Q62" s="14" t="str">
        <f>IF(A64="","",C64)</f>
        <v xml:space="preserve">TAESA       -UNT </v>
      </c>
      <c r="R62" s="15">
        <f t="shared" si="1"/>
        <v>41631</v>
      </c>
      <c r="S62" s="6">
        <f t="shared" si="6"/>
        <v>18.39</v>
      </c>
      <c r="T62" s="6">
        <f t="shared" si="6"/>
        <v>18.09</v>
      </c>
      <c r="U62" s="6">
        <f t="shared" si="6"/>
        <v>18.91</v>
      </c>
      <c r="V62" s="6">
        <f t="shared" si="6"/>
        <v>17.75</v>
      </c>
    </row>
    <row r="63" spans="1:22" x14ac:dyDescent="0.2">
      <c r="A63" s="50" t="str">
        <f t="shared" si="4"/>
        <v>LIGT3.SA</v>
      </c>
      <c r="C63" s="3" t="s">
        <v>176</v>
      </c>
      <c r="D63" s="3" t="s">
        <v>374</v>
      </c>
      <c r="E63" s="3" t="s">
        <v>500</v>
      </c>
      <c r="F63" s="3" t="s">
        <v>401</v>
      </c>
      <c r="G63" s="3" t="s">
        <v>374</v>
      </c>
      <c r="H63" s="26">
        <v>41631</v>
      </c>
      <c r="J63" s="3">
        <f t="shared" si="5"/>
        <v>21.61</v>
      </c>
      <c r="K63" s="3">
        <f t="shared" si="5"/>
        <v>21.85</v>
      </c>
      <c r="L63" s="3">
        <f t="shared" si="5"/>
        <v>21.94</v>
      </c>
      <c r="M63" s="3">
        <f t="shared" si="5"/>
        <v>21.61</v>
      </c>
      <c r="P63" s="4" t="s">
        <v>182</v>
      </c>
      <c r="Q63" s="14" t="str">
        <f>IF(A65="","",C65)</f>
        <v xml:space="preserve">SUL AMERICA -UNT </v>
      </c>
      <c r="R63" s="15">
        <f t="shared" si="1"/>
        <v>41631</v>
      </c>
      <c r="S63" s="6">
        <f t="shared" si="6"/>
        <v>14.6</v>
      </c>
      <c r="T63" s="6">
        <f t="shared" si="6"/>
        <v>14.7</v>
      </c>
      <c r="U63" s="6">
        <f t="shared" si="6"/>
        <v>14.87</v>
      </c>
      <c r="V63" s="6">
        <f t="shared" si="6"/>
        <v>14.6</v>
      </c>
    </row>
    <row r="64" spans="1:22" x14ac:dyDescent="0.2">
      <c r="A64" s="50" t="str">
        <f t="shared" si="4"/>
        <v>TAEE11.SA</v>
      </c>
      <c r="C64" s="3" t="s">
        <v>178</v>
      </c>
      <c r="D64" s="3" t="s">
        <v>375</v>
      </c>
      <c r="E64" s="3" t="s">
        <v>501</v>
      </c>
      <c r="F64" s="3" t="s">
        <v>376</v>
      </c>
      <c r="G64" s="3" t="s">
        <v>422</v>
      </c>
      <c r="H64" s="26">
        <v>41631</v>
      </c>
      <c r="J64" s="3">
        <f t="shared" si="5"/>
        <v>18.39</v>
      </c>
      <c r="K64" s="3">
        <f t="shared" si="5"/>
        <v>18.09</v>
      </c>
      <c r="L64" s="3">
        <f t="shared" si="5"/>
        <v>18.91</v>
      </c>
      <c r="M64" s="3">
        <f t="shared" si="5"/>
        <v>17.75</v>
      </c>
      <c r="P64" s="4" t="s">
        <v>185</v>
      </c>
      <c r="Q64" s="14" t="str">
        <f>IF(A66="","",C66)</f>
        <v>BRASMOTOR   -PN</v>
      </c>
      <c r="R64" s="15">
        <f t="shared" si="1"/>
        <v>41631</v>
      </c>
      <c r="S64" s="6">
        <f t="shared" si="6"/>
        <v>0.83</v>
      </c>
      <c r="T64" s="6">
        <f t="shared" si="6"/>
        <v>0.84</v>
      </c>
      <c r="U64" s="6">
        <f t="shared" si="6"/>
        <v>0.84</v>
      </c>
      <c r="V64" s="6">
        <f t="shared" si="6"/>
        <v>0.83</v>
      </c>
    </row>
    <row r="65" spans="1:22" x14ac:dyDescent="0.2">
      <c r="A65" s="50" t="str">
        <f t="shared" si="4"/>
        <v>SULA11.SA</v>
      </c>
      <c r="C65" s="3" t="s">
        <v>183</v>
      </c>
      <c r="D65" s="3" t="s">
        <v>377</v>
      </c>
      <c r="E65" s="3" t="s">
        <v>502</v>
      </c>
      <c r="F65" s="3" t="s">
        <v>292</v>
      </c>
      <c r="G65" s="3" t="s">
        <v>377</v>
      </c>
      <c r="H65" s="26">
        <v>41631</v>
      </c>
      <c r="J65" s="3">
        <f t="shared" si="5"/>
        <v>14.6</v>
      </c>
      <c r="K65" s="3">
        <f t="shared" si="5"/>
        <v>14.7</v>
      </c>
      <c r="L65" s="3">
        <f t="shared" si="5"/>
        <v>14.87</v>
      </c>
      <c r="M65" s="3">
        <f t="shared" si="5"/>
        <v>14.6</v>
      </c>
      <c r="P65" s="4" t="s">
        <v>193</v>
      </c>
      <c r="Q65" s="14" t="str">
        <f t="shared" ref="Q65:Q66" si="7">IF(A67="","",C67)</f>
        <v>BANESTES    -ON</v>
      </c>
      <c r="R65" s="15">
        <f t="shared" si="1"/>
        <v>41631</v>
      </c>
      <c r="S65" s="6">
        <f t="shared" si="6"/>
        <v>0.47</v>
      </c>
      <c r="T65" s="6">
        <f t="shared" si="6"/>
        <v>0.49</v>
      </c>
      <c r="U65" s="6">
        <f t="shared" si="6"/>
        <v>0.49</v>
      </c>
      <c r="V65" s="6">
        <f t="shared" si="6"/>
        <v>0.47</v>
      </c>
    </row>
    <row r="66" spans="1:22" x14ac:dyDescent="0.2">
      <c r="A66" s="50" t="str">
        <f t="shared" si="4"/>
        <v>BMTO4.SA</v>
      </c>
      <c r="C66" s="3" t="s">
        <v>191</v>
      </c>
      <c r="D66" s="3" t="s">
        <v>192</v>
      </c>
      <c r="E66" s="3" t="s">
        <v>246</v>
      </c>
      <c r="F66" s="3" t="s">
        <v>246</v>
      </c>
      <c r="G66" s="3" t="s">
        <v>192</v>
      </c>
      <c r="H66" s="26">
        <v>41631</v>
      </c>
      <c r="J66" s="3">
        <f t="shared" si="5"/>
        <v>0.83</v>
      </c>
      <c r="K66" s="3">
        <f t="shared" si="5"/>
        <v>0.84</v>
      </c>
      <c r="L66" s="3">
        <f t="shared" si="5"/>
        <v>0.84</v>
      </c>
      <c r="M66" s="3">
        <f t="shared" si="5"/>
        <v>0.83</v>
      </c>
      <c r="P66" s="4" t="s">
        <v>195</v>
      </c>
      <c r="Q66" s="14" t="str">
        <f t="shared" si="7"/>
        <v>BANESTES    -PN</v>
      </c>
      <c r="R66" s="15">
        <f t="shared" si="1"/>
        <v>41628</v>
      </c>
      <c r="S66" s="6">
        <f t="shared" si="6"/>
        <v>0.44</v>
      </c>
      <c r="T66" s="6">
        <f t="shared" si="6"/>
        <v>0.46</v>
      </c>
      <c r="U66" s="6">
        <f t="shared" si="6"/>
        <v>0.46</v>
      </c>
      <c r="V66" s="6">
        <f t="shared" si="6"/>
        <v>0.44</v>
      </c>
    </row>
    <row r="67" spans="1:22" x14ac:dyDescent="0.2">
      <c r="A67" s="50" t="str">
        <f t="shared" si="4"/>
        <v>BEES3.SA</v>
      </c>
      <c r="C67" s="3" t="s">
        <v>194</v>
      </c>
      <c r="D67" s="3" t="s">
        <v>402</v>
      </c>
      <c r="E67" s="3" t="s">
        <v>438</v>
      </c>
      <c r="F67" s="3" t="s">
        <v>438</v>
      </c>
      <c r="G67" s="3" t="s">
        <v>402</v>
      </c>
      <c r="H67" s="26">
        <v>41631</v>
      </c>
      <c r="J67" s="3">
        <f t="shared" si="5"/>
        <v>0.47</v>
      </c>
      <c r="K67" s="3">
        <f t="shared" si="5"/>
        <v>0.49</v>
      </c>
      <c r="L67" s="3">
        <f t="shared" si="5"/>
        <v>0.49</v>
      </c>
      <c r="M67" s="3">
        <f t="shared" si="5"/>
        <v>0.47</v>
      </c>
      <c r="P67" s="4" t="s">
        <v>200</v>
      </c>
      <c r="Q67" s="14" t="str">
        <f>IF(A69="","",C69)</f>
        <v>MERC INVEST -PN</v>
      </c>
      <c r="R67" s="15">
        <f t="shared" si="1"/>
        <v>41625</v>
      </c>
      <c r="S67" s="6">
        <f t="shared" si="6"/>
        <v>0.26</v>
      </c>
      <c r="T67" s="6">
        <f t="shared" si="6"/>
        <v>0.26</v>
      </c>
      <c r="U67" s="6">
        <f t="shared" si="6"/>
        <v>0.26</v>
      </c>
      <c r="V67" s="6">
        <f t="shared" si="6"/>
        <v>0.26</v>
      </c>
    </row>
    <row r="68" spans="1:22" x14ac:dyDescent="0.2">
      <c r="A68" s="50" t="str">
        <f t="shared" si="4"/>
        <v>BEES4.SA</v>
      </c>
      <c r="C68" s="3" t="s">
        <v>196</v>
      </c>
      <c r="D68" s="3" t="s">
        <v>294</v>
      </c>
      <c r="E68" s="3" t="s">
        <v>197</v>
      </c>
      <c r="F68" s="3" t="s">
        <v>197</v>
      </c>
      <c r="G68" s="3" t="s">
        <v>294</v>
      </c>
      <c r="H68" s="26">
        <v>41628</v>
      </c>
      <c r="J68" s="3">
        <f t="shared" si="5"/>
        <v>0.44</v>
      </c>
      <c r="K68" s="3">
        <f t="shared" si="5"/>
        <v>0.46</v>
      </c>
      <c r="L68" s="3">
        <f t="shared" si="5"/>
        <v>0.46</v>
      </c>
      <c r="M68" s="3">
        <f t="shared" si="5"/>
        <v>0.44</v>
      </c>
      <c r="P68" s="4" t="s">
        <v>203</v>
      </c>
      <c r="Q68" s="14" t="str">
        <f>IF(A70="","",C70)</f>
        <v>AMAZONIA    -ON</v>
      </c>
      <c r="R68" s="15">
        <f t="shared" si="1"/>
        <v>41631</v>
      </c>
      <c r="S68" s="6">
        <f t="shared" si="6"/>
        <v>0.32</v>
      </c>
      <c r="T68" s="6">
        <f t="shared" si="6"/>
        <v>0.32</v>
      </c>
      <c r="U68" s="6">
        <f t="shared" si="6"/>
        <v>0.32</v>
      </c>
      <c r="V68" s="6">
        <f t="shared" si="6"/>
        <v>0.32</v>
      </c>
    </row>
    <row r="69" spans="1:22" x14ac:dyDescent="0.2">
      <c r="A69" s="50" t="str">
        <f t="shared" si="4"/>
        <v>BMIN4.SA</v>
      </c>
      <c r="C69" s="3" t="s">
        <v>201</v>
      </c>
      <c r="D69" s="3" t="s">
        <v>202</v>
      </c>
      <c r="E69" s="3" t="s">
        <v>202</v>
      </c>
      <c r="F69" s="3" t="s">
        <v>202</v>
      </c>
      <c r="G69" s="3" t="s">
        <v>202</v>
      </c>
      <c r="H69" s="26">
        <v>41625</v>
      </c>
      <c r="J69" s="3">
        <f t="shared" si="5"/>
        <v>0.26</v>
      </c>
      <c r="K69" s="3">
        <f t="shared" si="5"/>
        <v>0.26</v>
      </c>
      <c r="L69" s="3">
        <f t="shared" si="5"/>
        <v>0.26</v>
      </c>
      <c r="M69" s="3">
        <f t="shared" si="5"/>
        <v>0.26</v>
      </c>
      <c r="P69" s="3" t="s">
        <v>208</v>
      </c>
      <c r="Q69" s="10" t="str">
        <f>IF(A71="","",C71)</f>
        <v>AMPLA ENERG -ON *</v>
      </c>
      <c r="R69" s="26">
        <f t="shared" ref="R69:R132" si="8">IF(A71="","",H71)</f>
        <v>41628</v>
      </c>
      <c r="S69" s="5">
        <f t="shared" si="6"/>
        <v>1.28</v>
      </c>
      <c r="T69" s="5">
        <f t="shared" si="6"/>
        <v>1.28</v>
      </c>
      <c r="U69" s="5">
        <f t="shared" si="6"/>
        <v>1.28</v>
      </c>
      <c r="V69" s="5">
        <f t="shared" si="6"/>
        <v>1.28</v>
      </c>
    </row>
    <row r="70" spans="1:22" x14ac:dyDescent="0.2">
      <c r="A70" s="50" t="str">
        <f t="shared" si="4"/>
        <v>BAZA3.SA</v>
      </c>
      <c r="C70" s="3" t="s">
        <v>204</v>
      </c>
      <c r="D70" s="3" t="s">
        <v>205</v>
      </c>
      <c r="E70" s="3" t="s">
        <v>205</v>
      </c>
      <c r="F70" s="3" t="s">
        <v>205</v>
      </c>
      <c r="G70" s="3" t="s">
        <v>205</v>
      </c>
      <c r="H70" s="26">
        <v>41631</v>
      </c>
      <c r="J70" s="3">
        <f t="shared" si="5"/>
        <v>0.32</v>
      </c>
      <c r="K70" s="3">
        <f t="shared" si="5"/>
        <v>0.32</v>
      </c>
      <c r="L70" s="3">
        <f t="shared" si="5"/>
        <v>0.32</v>
      </c>
      <c r="M70" s="3">
        <f t="shared" si="5"/>
        <v>0.32</v>
      </c>
      <c r="P70" s="3" t="s">
        <v>210</v>
      </c>
      <c r="Q70" s="10" t="str">
        <f t="shared" ref="Q70:Q94" si="9">IF(A72="","",C73)</f>
        <v>AFLUENTE T  -ON</v>
      </c>
      <c r="R70" s="26">
        <f t="shared" si="8"/>
        <v>41631</v>
      </c>
      <c r="S70" s="5">
        <f t="shared" si="6"/>
        <v>2.19</v>
      </c>
      <c r="T70" s="5">
        <f t="shared" si="6"/>
        <v>2.2000000000000002</v>
      </c>
      <c r="U70" s="5">
        <f t="shared" si="6"/>
        <v>2.2000000000000002</v>
      </c>
      <c r="V70" s="5">
        <f t="shared" si="6"/>
        <v>2.19</v>
      </c>
    </row>
    <row r="71" spans="1:22" x14ac:dyDescent="0.2">
      <c r="A71" s="50" t="str">
        <f t="shared" si="4"/>
        <v>CBEE3.SA</v>
      </c>
      <c r="C71" s="3" t="s">
        <v>209</v>
      </c>
      <c r="D71" s="3" t="s">
        <v>295</v>
      </c>
      <c r="E71" s="3" t="s">
        <v>295</v>
      </c>
      <c r="F71" s="3" t="s">
        <v>295</v>
      </c>
      <c r="G71" s="3" t="s">
        <v>295</v>
      </c>
      <c r="H71" s="26">
        <v>41628</v>
      </c>
      <c r="J71" s="3">
        <f t="shared" si="5"/>
        <v>1.28</v>
      </c>
      <c r="K71" s="3">
        <f t="shared" si="5"/>
        <v>1.28</v>
      </c>
      <c r="L71" s="3">
        <f t="shared" si="5"/>
        <v>1.28</v>
      </c>
      <c r="M71" s="3">
        <f t="shared" si="5"/>
        <v>1.28</v>
      </c>
      <c r="P71" s="3" t="s">
        <v>212</v>
      </c>
      <c r="Q71" s="10" t="str">
        <f t="shared" si="9"/>
        <v>REDENTOR    -ON</v>
      </c>
      <c r="R71" s="26">
        <f t="shared" si="8"/>
        <v>41618</v>
      </c>
      <c r="S71" s="5">
        <f t="shared" si="6"/>
        <v>3.5</v>
      </c>
      <c r="T71" s="5">
        <f t="shared" si="6"/>
        <v>3.5</v>
      </c>
      <c r="U71" s="5">
        <f t="shared" si="6"/>
        <v>3.5</v>
      </c>
      <c r="V71" s="5">
        <f t="shared" si="6"/>
        <v>3.5</v>
      </c>
    </row>
    <row r="72" spans="1:22" x14ac:dyDescent="0.2">
      <c r="A72" s="50" t="str">
        <f t="shared" ref="A72:A135" si="10">IF(P70="IBOV","^BVSP",IF(P70="","",CONCATENATE(LEFT(P70,6),".SA")))</f>
        <v>ENGI4.SA</v>
      </c>
      <c r="C72" s="3" t="s">
        <v>211</v>
      </c>
      <c r="D72" s="3" t="s">
        <v>403</v>
      </c>
      <c r="E72" s="3" t="s">
        <v>242</v>
      </c>
      <c r="F72" s="3" t="s">
        <v>242</v>
      </c>
      <c r="G72" s="3" t="s">
        <v>403</v>
      </c>
      <c r="H72" s="26">
        <v>41631</v>
      </c>
      <c r="J72" s="3">
        <f t="shared" ref="J72:M135" si="11">IF($A72="",0,VALUE(CONCATENATE(LEFT(D72,LEN(D72)-3),",",RIGHT(D72,2))))</f>
        <v>2.19</v>
      </c>
      <c r="K72" s="3">
        <f t="shared" si="11"/>
        <v>2.2000000000000002</v>
      </c>
      <c r="L72" s="3">
        <f t="shared" si="11"/>
        <v>2.2000000000000002</v>
      </c>
      <c r="M72" s="3">
        <f t="shared" si="11"/>
        <v>2.19</v>
      </c>
      <c r="P72" s="3" t="s">
        <v>215</v>
      </c>
      <c r="Q72" s="10" t="str">
        <f t="shared" si="9"/>
        <v>SANEPAR     -PN</v>
      </c>
      <c r="R72" s="26">
        <f t="shared" si="8"/>
        <v>41631</v>
      </c>
      <c r="S72" s="5">
        <f t="shared" si="6"/>
        <v>6</v>
      </c>
      <c r="T72" s="5">
        <f t="shared" si="6"/>
        <v>6</v>
      </c>
      <c r="U72" s="5">
        <f t="shared" si="6"/>
        <v>6</v>
      </c>
      <c r="V72" s="5">
        <f t="shared" si="6"/>
        <v>6</v>
      </c>
    </row>
    <row r="73" spans="1:22" x14ac:dyDescent="0.2">
      <c r="A73" s="50" t="str">
        <f t="shared" si="10"/>
        <v>AFLT3.SA</v>
      </c>
      <c r="C73" s="3" t="s">
        <v>213</v>
      </c>
      <c r="D73" s="3" t="s">
        <v>214</v>
      </c>
      <c r="E73" s="3" t="s">
        <v>214</v>
      </c>
      <c r="F73" s="3" t="s">
        <v>214</v>
      </c>
      <c r="G73" s="3" t="s">
        <v>214</v>
      </c>
      <c r="H73" s="26">
        <v>41618</v>
      </c>
      <c r="J73" s="3">
        <f t="shared" si="11"/>
        <v>3.5</v>
      </c>
      <c r="K73" s="3">
        <f t="shared" si="11"/>
        <v>3.5</v>
      </c>
      <c r="L73" s="3">
        <f t="shared" si="11"/>
        <v>3.5</v>
      </c>
      <c r="M73" s="3">
        <f t="shared" si="11"/>
        <v>3.5</v>
      </c>
      <c r="P73" s="3" t="s">
        <v>217</v>
      </c>
      <c r="Q73" s="10" t="str">
        <f t="shared" si="9"/>
        <v>AES ELPA    -ON</v>
      </c>
      <c r="R73" s="26">
        <f t="shared" si="8"/>
        <v>41631</v>
      </c>
      <c r="S73" s="5">
        <f t="shared" si="6"/>
        <v>6.61</v>
      </c>
      <c r="T73" s="5">
        <f t="shared" si="6"/>
        <v>6.7</v>
      </c>
      <c r="U73" s="5">
        <f t="shared" si="6"/>
        <v>6.7</v>
      </c>
      <c r="V73" s="5">
        <f t="shared" si="6"/>
        <v>6.61</v>
      </c>
    </row>
    <row r="74" spans="1:22" x14ac:dyDescent="0.2">
      <c r="A74" s="50" t="str">
        <f t="shared" si="10"/>
        <v>RDTR3.SA</v>
      </c>
      <c r="C74" s="3" t="s">
        <v>216</v>
      </c>
      <c r="D74" s="3" t="s">
        <v>188</v>
      </c>
      <c r="E74" s="3" t="s">
        <v>188</v>
      </c>
      <c r="F74" s="3" t="s">
        <v>188</v>
      </c>
      <c r="G74" s="3" t="s">
        <v>188</v>
      </c>
      <c r="H74" s="26">
        <v>41631</v>
      </c>
      <c r="J74" s="3">
        <f t="shared" si="11"/>
        <v>6</v>
      </c>
      <c r="K74" s="3">
        <f t="shared" si="11"/>
        <v>6</v>
      </c>
      <c r="L74" s="3">
        <f t="shared" si="11"/>
        <v>6</v>
      </c>
      <c r="M74" s="3">
        <f t="shared" si="11"/>
        <v>6</v>
      </c>
      <c r="P74" s="3" t="s">
        <v>219</v>
      </c>
      <c r="Q74" s="10" t="str">
        <f t="shared" si="9"/>
        <v>COSERN      -PNB</v>
      </c>
      <c r="R74" s="26">
        <f t="shared" si="8"/>
        <v>41631</v>
      </c>
      <c r="S74" s="5">
        <f t="shared" si="6"/>
        <v>9.24</v>
      </c>
      <c r="T74" s="5">
        <f t="shared" si="6"/>
        <v>9.24</v>
      </c>
      <c r="U74" s="5">
        <f t="shared" si="6"/>
        <v>9.24</v>
      </c>
      <c r="V74" s="5">
        <f t="shared" si="6"/>
        <v>9.24</v>
      </c>
    </row>
    <row r="75" spans="1:22" x14ac:dyDescent="0.2">
      <c r="A75" s="50" t="str">
        <f t="shared" si="10"/>
        <v>SAPR4.SA</v>
      </c>
      <c r="C75" s="3" t="s">
        <v>218</v>
      </c>
      <c r="D75" s="3" t="s">
        <v>378</v>
      </c>
      <c r="E75" s="3" t="s">
        <v>439</v>
      </c>
      <c r="F75" s="3" t="s">
        <v>439</v>
      </c>
      <c r="G75" s="3" t="s">
        <v>378</v>
      </c>
      <c r="H75" s="26">
        <v>41631</v>
      </c>
      <c r="J75" s="3">
        <f t="shared" si="11"/>
        <v>6.61</v>
      </c>
      <c r="K75" s="3">
        <f t="shared" si="11"/>
        <v>6.7</v>
      </c>
      <c r="L75" s="3">
        <f t="shared" si="11"/>
        <v>6.7</v>
      </c>
      <c r="M75" s="3">
        <f t="shared" si="11"/>
        <v>6.61</v>
      </c>
      <c r="P75" s="3" t="s">
        <v>221</v>
      </c>
      <c r="Q75" s="10" t="str">
        <f t="shared" si="9"/>
        <v>ELEKTRO     -PN</v>
      </c>
      <c r="R75" s="26">
        <f t="shared" si="8"/>
        <v>41584</v>
      </c>
      <c r="S75" s="5">
        <f t="shared" si="6"/>
        <v>9</v>
      </c>
      <c r="T75" s="5">
        <f t="shared" si="6"/>
        <v>9</v>
      </c>
      <c r="U75" s="5">
        <f t="shared" si="6"/>
        <v>9</v>
      </c>
      <c r="V75" s="5">
        <f t="shared" si="6"/>
        <v>9</v>
      </c>
    </row>
    <row r="76" spans="1:22" x14ac:dyDescent="0.2">
      <c r="A76" s="50" t="str">
        <f t="shared" si="10"/>
        <v>AELP3.SA</v>
      </c>
      <c r="C76" s="3" t="s">
        <v>220</v>
      </c>
      <c r="D76" s="3" t="s">
        <v>290</v>
      </c>
      <c r="E76" s="3" t="s">
        <v>290</v>
      </c>
      <c r="F76" s="3" t="s">
        <v>290</v>
      </c>
      <c r="G76" s="3" t="s">
        <v>290</v>
      </c>
      <c r="H76" s="26">
        <v>41631</v>
      </c>
      <c r="J76" s="3">
        <f t="shared" si="11"/>
        <v>9.24</v>
      </c>
      <c r="K76" s="3">
        <f t="shared" si="11"/>
        <v>9.24</v>
      </c>
      <c r="L76" s="3">
        <f t="shared" si="11"/>
        <v>9.24</v>
      </c>
      <c r="M76" s="3">
        <f t="shared" si="11"/>
        <v>9.24</v>
      </c>
      <c r="P76" s="3" t="s">
        <v>223</v>
      </c>
      <c r="Q76" s="10" t="str">
        <f t="shared" si="9"/>
        <v>CEB         -PNB</v>
      </c>
      <c r="R76" s="26">
        <f t="shared" si="8"/>
        <v>41624</v>
      </c>
      <c r="S76" s="5">
        <f t="shared" si="6"/>
        <v>17</v>
      </c>
      <c r="T76" s="5">
        <f t="shared" si="6"/>
        <v>17</v>
      </c>
      <c r="U76" s="5">
        <f t="shared" si="6"/>
        <v>17</v>
      </c>
      <c r="V76" s="5">
        <f t="shared" si="6"/>
        <v>17</v>
      </c>
    </row>
    <row r="77" spans="1:22" x14ac:dyDescent="0.2">
      <c r="A77" s="50" t="str">
        <f t="shared" si="10"/>
        <v>CSRN6.SA</v>
      </c>
      <c r="C77" s="3" t="s">
        <v>222</v>
      </c>
      <c r="D77" s="3" t="s">
        <v>179</v>
      </c>
      <c r="E77" s="3" t="s">
        <v>179</v>
      </c>
      <c r="F77" s="3" t="s">
        <v>179</v>
      </c>
      <c r="G77" s="3" t="s">
        <v>179</v>
      </c>
      <c r="H77" s="26">
        <v>41584</v>
      </c>
      <c r="J77" s="3">
        <f t="shared" si="11"/>
        <v>9</v>
      </c>
      <c r="K77" s="3">
        <f t="shared" si="11"/>
        <v>9</v>
      </c>
      <c r="L77" s="3">
        <f t="shared" si="11"/>
        <v>9</v>
      </c>
      <c r="M77" s="3">
        <f t="shared" si="11"/>
        <v>9</v>
      </c>
      <c r="P77" s="3" t="s">
        <v>225</v>
      </c>
      <c r="Q77" s="10" t="str">
        <f t="shared" si="9"/>
        <v>CELPE       -PNA</v>
      </c>
      <c r="R77" s="26">
        <f t="shared" si="8"/>
        <v>41624</v>
      </c>
      <c r="S77" s="5">
        <f t="shared" si="6"/>
        <v>17.079999999999998</v>
      </c>
      <c r="T77" s="5">
        <f t="shared" si="6"/>
        <v>17.079999999999998</v>
      </c>
      <c r="U77" s="5">
        <f t="shared" si="6"/>
        <v>17.079999999999998</v>
      </c>
      <c r="V77" s="5">
        <f t="shared" si="6"/>
        <v>17.079999999999998</v>
      </c>
    </row>
    <row r="78" spans="1:22" x14ac:dyDescent="0.2">
      <c r="A78" s="50" t="str">
        <f t="shared" si="10"/>
        <v>EKTR4.SA</v>
      </c>
      <c r="C78" s="3" t="s">
        <v>224</v>
      </c>
      <c r="D78" s="3" t="s">
        <v>189</v>
      </c>
      <c r="E78" s="3" t="s">
        <v>189</v>
      </c>
      <c r="F78" s="3" t="s">
        <v>189</v>
      </c>
      <c r="G78" s="3" t="s">
        <v>189</v>
      </c>
      <c r="H78" s="26">
        <v>41624</v>
      </c>
      <c r="J78" s="3">
        <f t="shared" si="11"/>
        <v>17</v>
      </c>
      <c r="K78" s="3">
        <f t="shared" si="11"/>
        <v>17</v>
      </c>
      <c r="L78" s="3">
        <f t="shared" si="11"/>
        <v>17</v>
      </c>
      <c r="M78" s="3">
        <f t="shared" si="11"/>
        <v>17</v>
      </c>
      <c r="P78" s="4" t="s">
        <v>228</v>
      </c>
      <c r="Q78" s="14" t="str">
        <f t="shared" si="9"/>
        <v xml:space="preserve">CELESC      -PN  </v>
      </c>
      <c r="R78" s="15">
        <f t="shared" si="8"/>
        <v>41619</v>
      </c>
      <c r="S78" s="6">
        <f t="shared" si="6"/>
        <v>17.559999999999999</v>
      </c>
      <c r="T78" s="6">
        <f t="shared" si="6"/>
        <v>18</v>
      </c>
      <c r="U78" s="6">
        <f t="shared" si="6"/>
        <v>18</v>
      </c>
      <c r="V78" s="6">
        <f t="shared" si="6"/>
        <v>17.559999999999999</v>
      </c>
    </row>
    <row r="79" spans="1:22" x14ac:dyDescent="0.2">
      <c r="A79" s="50" t="str">
        <f t="shared" si="10"/>
        <v>CEBR6.SA</v>
      </c>
      <c r="C79" s="3" t="s">
        <v>226</v>
      </c>
      <c r="D79" s="3" t="s">
        <v>227</v>
      </c>
      <c r="E79" s="3" t="s">
        <v>227</v>
      </c>
      <c r="F79" s="3" t="s">
        <v>227</v>
      </c>
      <c r="G79" s="3" t="s">
        <v>227</v>
      </c>
      <c r="H79" s="26">
        <v>41624</v>
      </c>
      <c r="J79" s="3">
        <f t="shared" si="11"/>
        <v>17.079999999999998</v>
      </c>
      <c r="K79" s="3">
        <f t="shared" si="11"/>
        <v>17.079999999999998</v>
      </c>
      <c r="L79" s="3">
        <f t="shared" si="11"/>
        <v>17.079999999999998</v>
      </c>
      <c r="M79" s="3">
        <f t="shared" si="11"/>
        <v>17.079999999999998</v>
      </c>
      <c r="P79" s="3" t="s">
        <v>230</v>
      </c>
      <c r="Q79" s="10" t="str">
        <f t="shared" si="9"/>
        <v xml:space="preserve">CESP        -ON  </v>
      </c>
      <c r="R79" s="26">
        <f t="shared" si="8"/>
        <v>41631</v>
      </c>
      <c r="S79" s="5">
        <f t="shared" si="6"/>
        <v>19.2</v>
      </c>
      <c r="T79" s="5">
        <f t="shared" si="6"/>
        <v>18.98</v>
      </c>
      <c r="U79" s="5">
        <f t="shared" si="6"/>
        <v>19.3</v>
      </c>
      <c r="V79" s="5">
        <f t="shared" si="6"/>
        <v>18.98</v>
      </c>
    </row>
    <row r="80" spans="1:22" x14ac:dyDescent="0.2">
      <c r="A80" s="50" t="str">
        <f t="shared" si="10"/>
        <v>CEPE5.SA</v>
      </c>
      <c r="C80" s="3" t="s">
        <v>229</v>
      </c>
      <c r="D80" s="3" t="s">
        <v>180</v>
      </c>
      <c r="E80" s="3" t="s">
        <v>186</v>
      </c>
      <c r="F80" s="3" t="s">
        <v>186</v>
      </c>
      <c r="G80" s="3" t="s">
        <v>180</v>
      </c>
      <c r="H80" s="26">
        <v>41619</v>
      </c>
      <c r="J80" s="3">
        <f t="shared" si="11"/>
        <v>17.559999999999999</v>
      </c>
      <c r="K80" s="3">
        <f t="shared" si="11"/>
        <v>18</v>
      </c>
      <c r="L80" s="3">
        <f t="shared" si="11"/>
        <v>18</v>
      </c>
      <c r="M80" s="3">
        <f t="shared" si="11"/>
        <v>17.559999999999999</v>
      </c>
      <c r="P80" s="3" t="s">
        <v>232</v>
      </c>
      <c r="Q80" s="10" t="str">
        <f t="shared" si="9"/>
        <v>UNIPAR      -PNA</v>
      </c>
      <c r="R80" s="26">
        <f t="shared" si="8"/>
        <v>41631</v>
      </c>
      <c r="S80" s="5">
        <f t="shared" si="6"/>
        <v>19.5</v>
      </c>
      <c r="T80" s="5">
        <f t="shared" si="6"/>
        <v>19.5</v>
      </c>
      <c r="U80" s="5">
        <f t="shared" si="6"/>
        <v>19.5</v>
      </c>
      <c r="V80" s="5">
        <f t="shared" si="6"/>
        <v>19.5</v>
      </c>
    </row>
    <row r="81" spans="1:22" x14ac:dyDescent="0.2">
      <c r="A81" s="50" t="str">
        <f t="shared" si="10"/>
        <v>CLSC4.SA</v>
      </c>
      <c r="C81" s="3" t="s">
        <v>231</v>
      </c>
      <c r="D81" s="3" t="s">
        <v>379</v>
      </c>
      <c r="E81" s="3" t="s">
        <v>503</v>
      </c>
      <c r="F81" s="3" t="s">
        <v>404</v>
      </c>
      <c r="G81" s="3" t="s">
        <v>503</v>
      </c>
      <c r="H81" s="26">
        <v>41631</v>
      </c>
      <c r="J81" s="3">
        <f t="shared" si="11"/>
        <v>19.2</v>
      </c>
      <c r="K81" s="3">
        <f t="shared" si="11"/>
        <v>18.98</v>
      </c>
      <c r="L81" s="3">
        <f t="shared" si="11"/>
        <v>19.3</v>
      </c>
      <c r="M81" s="3">
        <f t="shared" si="11"/>
        <v>18.98</v>
      </c>
      <c r="P81" s="3" t="s">
        <v>235</v>
      </c>
      <c r="Q81" s="10" t="str">
        <f t="shared" si="9"/>
        <v xml:space="preserve">PINE        -PN  </v>
      </c>
      <c r="R81" s="26">
        <f t="shared" si="8"/>
        <v>41631</v>
      </c>
      <c r="S81" s="5">
        <f t="shared" si="6"/>
        <v>0.56999999999999995</v>
      </c>
      <c r="T81" s="5">
        <f t="shared" si="6"/>
        <v>0.62</v>
      </c>
      <c r="U81" s="5">
        <f t="shared" si="6"/>
        <v>0.62</v>
      </c>
      <c r="V81" s="5">
        <f t="shared" si="6"/>
        <v>0.56000000000000005</v>
      </c>
    </row>
    <row r="82" spans="1:22" x14ac:dyDescent="0.2">
      <c r="A82" s="50" t="str">
        <f t="shared" si="10"/>
        <v>CESP3.SA</v>
      </c>
      <c r="C82" s="3" t="s">
        <v>233</v>
      </c>
      <c r="D82" s="3" t="s">
        <v>344</v>
      </c>
      <c r="E82" s="3" t="s">
        <v>344</v>
      </c>
      <c r="F82" s="3" t="s">
        <v>344</v>
      </c>
      <c r="G82" s="3" t="s">
        <v>344</v>
      </c>
      <c r="H82" s="26">
        <v>41631</v>
      </c>
      <c r="J82" s="3">
        <f t="shared" si="11"/>
        <v>19.5</v>
      </c>
      <c r="K82" s="3">
        <f t="shared" si="11"/>
        <v>19.5</v>
      </c>
      <c r="L82" s="3">
        <f t="shared" si="11"/>
        <v>19.5</v>
      </c>
      <c r="M82" s="3">
        <f t="shared" si="11"/>
        <v>19.5</v>
      </c>
      <c r="P82" s="3" t="s">
        <v>238</v>
      </c>
      <c r="Q82" s="10" t="str">
        <f t="shared" si="9"/>
        <v xml:space="preserve">SOFISA      -PN  </v>
      </c>
      <c r="R82" s="26">
        <f t="shared" si="8"/>
        <v>41631</v>
      </c>
      <c r="S82" s="5">
        <f t="shared" si="6"/>
        <v>10</v>
      </c>
      <c r="T82" s="5">
        <f t="shared" si="6"/>
        <v>10.3</v>
      </c>
      <c r="U82" s="5">
        <f t="shared" si="6"/>
        <v>10.3</v>
      </c>
      <c r="V82" s="5">
        <f t="shared" si="6"/>
        <v>9.89</v>
      </c>
    </row>
    <row r="83" spans="1:22" x14ac:dyDescent="0.2">
      <c r="A83" s="50" t="str">
        <f t="shared" si="10"/>
        <v>UNIP5.SA</v>
      </c>
      <c r="C83" s="3" t="s">
        <v>236</v>
      </c>
      <c r="D83" s="3" t="s">
        <v>380</v>
      </c>
      <c r="E83" s="3" t="s">
        <v>381</v>
      </c>
      <c r="F83" s="3" t="s">
        <v>381</v>
      </c>
      <c r="G83" s="3" t="s">
        <v>297</v>
      </c>
      <c r="H83" s="26">
        <v>41631</v>
      </c>
      <c r="J83" s="3">
        <f t="shared" si="11"/>
        <v>0.56999999999999995</v>
      </c>
      <c r="K83" s="3">
        <f t="shared" si="11"/>
        <v>0.62</v>
      </c>
      <c r="L83" s="3">
        <f t="shared" si="11"/>
        <v>0.62</v>
      </c>
      <c r="M83" s="3">
        <f t="shared" si="11"/>
        <v>0.56000000000000005</v>
      </c>
      <c r="P83" s="3" t="s">
        <v>248</v>
      </c>
      <c r="Q83" s="10" t="str">
        <f t="shared" si="9"/>
        <v>ALFA HOLDING-PNA</v>
      </c>
      <c r="R83" s="26">
        <f t="shared" si="8"/>
        <v>41628</v>
      </c>
      <c r="S83" s="5">
        <f t="shared" si="6"/>
        <v>2.71</v>
      </c>
      <c r="T83" s="5">
        <f t="shared" si="6"/>
        <v>2.71</v>
      </c>
      <c r="U83" s="5">
        <f t="shared" si="6"/>
        <v>2.71</v>
      </c>
      <c r="V83" s="5">
        <f t="shared" si="6"/>
        <v>2.71</v>
      </c>
    </row>
    <row r="84" spans="1:22" x14ac:dyDescent="0.2">
      <c r="A84" s="50" t="str">
        <f t="shared" si="10"/>
        <v>PINE4.SA</v>
      </c>
      <c r="C84" s="3" t="s">
        <v>247</v>
      </c>
      <c r="D84" s="3" t="s">
        <v>350</v>
      </c>
      <c r="E84" s="3" t="s">
        <v>504</v>
      </c>
      <c r="F84" s="3" t="s">
        <v>504</v>
      </c>
      <c r="G84" s="3" t="s">
        <v>405</v>
      </c>
      <c r="H84" s="67">
        <v>41631</v>
      </c>
      <c r="J84" s="3">
        <f t="shared" si="11"/>
        <v>10</v>
      </c>
      <c r="K84" s="3">
        <f t="shared" si="11"/>
        <v>10.3</v>
      </c>
      <c r="L84" s="3">
        <f t="shared" si="11"/>
        <v>10.3</v>
      </c>
      <c r="M84" s="3">
        <f t="shared" si="11"/>
        <v>9.89</v>
      </c>
      <c r="P84" s="3" t="s">
        <v>250</v>
      </c>
      <c r="Q84" s="10" t="str">
        <f t="shared" si="9"/>
        <v>ALFA CONSORC-PNB</v>
      </c>
      <c r="R84" s="26">
        <f t="shared" si="8"/>
        <v>41624</v>
      </c>
      <c r="S84" s="5">
        <f t="shared" si="6"/>
        <v>6.2</v>
      </c>
      <c r="T84" s="5">
        <f t="shared" si="6"/>
        <v>6.2</v>
      </c>
      <c r="U84" s="5">
        <f t="shared" si="6"/>
        <v>6.2</v>
      </c>
      <c r="V84" s="5">
        <f t="shared" si="6"/>
        <v>6.2</v>
      </c>
    </row>
    <row r="85" spans="1:22" x14ac:dyDescent="0.2">
      <c r="A85" s="50" t="str">
        <f t="shared" si="10"/>
        <v>SFSA4.SA</v>
      </c>
      <c r="C85" s="3" t="s">
        <v>249</v>
      </c>
      <c r="D85" s="3" t="s">
        <v>298</v>
      </c>
      <c r="E85" s="3" t="s">
        <v>298</v>
      </c>
      <c r="F85" s="3" t="s">
        <v>298</v>
      </c>
      <c r="G85" s="3" t="s">
        <v>298</v>
      </c>
      <c r="H85" s="67">
        <v>41628</v>
      </c>
      <c r="J85" s="3">
        <f t="shared" si="11"/>
        <v>2.71</v>
      </c>
      <c r="K85" s="3">
        <f t="shared" si="11"/>
        <v>2.71</v>
      </c>
      <c r="L85" s="3">
        <f t="shared" si="11"/>
        <v>2.71</v>
      </c>
      <c r="M85" s="3">
        <f t="shared" si="11"/>
        <v>2.71</v>
      </c>
      <c r="P85" s="3" t="s">
        <v>253</v>
      </c>
      <c r="Q85" s="10" t="str">
        <f t="shared" si="9"/>
        <v>ALFA FINANC -PN</v>
      </c>
      <c r="R85" s="26">
        <f t="shared" si="8"/>
        <v>41605</v>
      </c>
      <c r="S85" s="5">
        <f t="shared" si="6"/>
        <v>5.96</v>
      </c>
      <c r="T85" s="5">
        <f t="shared" si="6"/>
        <v>5.96</v>
      </c>
      <c r="U85" s="5">
        <f t="shared" si="6"/>
        <v>5.96</v>
      </c>
      <c r="V85" s="5">
        <f t="shared" ref="V85:V148" si="12">M87</f>
        <v>5.96</v>
      </c>
    </row>
    <row r="86" spans="1:22" x14ac:dyDescent="0.2">
      <c r="A86" s="50" t="str">
        <f t="shared" si="10"/>
        <v>RPAD5.SA</v>
      </c>
      <c r="C86" s="3" t="s">
        <v>251</v>
      </c>
      <c r="D86" s="3" t="s">
        <v>252</v>
      </c>
      <c r="E86" s="3" t="s">
        <v>252</v>
      </c>
      <c r="F86" s="3" t="s">
        <v>252</v>
      </c>
      <c r="G86" s="3" t="s">
        <v>252</v>
      </c>
      <c r="H86" s="67">
        <v>41624</v>
      </c>
      <c r="J86" s="3">
        <f t="shared" si="11"/>
        <v>6.2</v>
      </c>
      <c r="K86" s="3">
        <f t="shared" si="11"/>
        <v>6.2</v>
      </c>
      <c r="L86" s="3">
        <f t="shared" si="11"/>
        <v>6.2</v>
      </c>
      <c r="M86" s="3">
        <f t="shared" si="11"/>
        <v>6.2</v>
      </c>
      <c r="P86" s="3" t="s">
        <v>255</v>
      </c>
      <c r="Q86" s="10" t="str">
        <f t="shared" si="9"/>
        <v>BAHEMA      -ON</v>
      </c>
      <c r="R86" s="26">
        <f t="shared" si="8"/>
        <v>41631</v>
      </c>
      <c r="S86" s="5">
        <f t="shared" ref="S86:V149" si="13">J88</f>
        <v>3.94</v>
      </c>
      <c r="T86" s="5">
        <f t="shared" si="13"/>
        <v>3.92</v>
      </c>
      <c r="U86" s="5">
        <f t="shared" si="13"/>
        <v>3.94</v>
      </c>
      <c r="V86" s="5">
        <f t="shared" si="12"/>
        <v>3.92</v>
      </c>
    </row>
    <row r="87" spans="1:22" x14ac:dyDescent="0.2">
      <c r="A87" s="50" t="str">
        <f t="shared" si="10"/>
        <v>BRGE6.SA</v>
      </c>
      <c r="C87" s="3" t="s">
        <v>254</v>
      </c>
      <c r="D87" s="3" t="s">
        <v>243</v>
      </c>
      <c r="E87" s="3" t="s">
        <v>243</v>
      </c>
      <c r="F87" s="3" t="s">
        <v>243</v>
      </c>
      <c r="G87" s="3" t="s">
        <v>243</v>
      </c>
      <c r="H87" s="67">
        <v>41605</v>
      </c>
      <c r="J87" s="3">
        <f t="shared" si="11"/>
        <v>5.96</v>
      </c>
      <c r="K87" s="3">
        <f t="shared" si="11"/>
        <v>5.96</v>
      </c>
      <c r="L87" s="3">
        <f t="shared" si="11"/>
        <v>5.96</v>
      </c>
      <c r="M87" s="3">
        <f t="shared" si="11"/>
        <v>5.96</v>
      </c>
      <c r="P87" s="3" t="s">
        <v>257</v>
      </c>
      <c r="Q87" s="10" t="str">
        <f t="shared" si="9"/>
        <v xml:space="preserve">TEREOS      -ON  </v>
      </c>
      <c r="R87" s="26">
        <f t="shared" si="8"/>
        <v>41628</v>
      </c>
      <c r="S87" s="5">
        <f t="shared" si="13"/>
        <v>5.2</v>
      </c>
      <c r="T87" s="5">
        <f t="shared" si="13"/>
        <v>5.2</v>
      </c>
      <c r="U87" s="5">
        <f t="shared" si="13"/>
        <v>5.2</v>
      </c>
      <c r="V87" s="5">
        <f t="shared" si="12"/>
        <v>5.2</v>
      </c>
    </row>
    <row r="88" spans="1:22" x14ac:dyDescent="0.2">
      <c r="A88" s="50" t="str">
        <f t="shared" si="10"/>
        <v>CRIV4.SA</v>
      </c>
      <c r="C88" s="3" t="s">
        <v>256</v>
      </c>
      <c r="D88" s="3" t="s">
        <v>505</v>
      </c>
      <c r="E88" s="3" t="s">
        <v>241</v>
      </c>
      <c r="F88" s="3" t="s">
        <v>505</v>
      </c>
      <c r="G88" s="3" t="s">
        <v>241</v>
      </c>
      <c r="H88" s="67">
        <v>41631</v>
      </c>
      <c r="J88" s="3">
        <f t="shared" si="11"/>
        <v>3.94</v>
      </c>
      <c r="K88" s="3">
        <f t="shared" si="11"/>
        <v>3.92</v>
      </c>
      <c r="L88" s="3">
        <f t="shared" si="11"/>
        <v>3.94</v>
      </c>
      <c r="M88" s="3">
        <f t="shared" si="11"/>
        <v>3.92</v>
      </c>
      <c r="P88" s="3" t="s">
        <v>260</v>
      </c>
      <c r="Q88" s="10" t="str">
        <f t="shared" si="9"/>
        <v xml:space="preserve">FERBASA     -PN  </v>
      </c>
      <c r="R88" s="26">
        <f t="shared" si="8"/>
        <v>41631</v>
      </c>
      <c r="S88" s="5">
        <f t="shared" si="13"/>
        <v>2.5</v>
      </c>
      <c r="T88" s="5">
        <f t="shared" si="13"/>
        <v>2.52</v>
      </c>
      <c r="U88" s="5">
        <f t="shared" si="13"/>
        <v>2.54</v>
      </c>
      <c r="V88" s="5">
        <f t="shared" si="12"/>
        <v>2.4700000000000002</v>
      </c>
    </row>
    <row r="89" spans="1:22" x14ac:dyDescent="0.2">
      <c r="A89" s="50" t="str">
        <f t="shared" si="10"/>
        <v>BAHI3.SA</v>
      </c>
      <c r="C89" s="3" t="s">
        <v>258</v>
      </c>
      <c r="D89" s="3" t="s">
        <v>259</v>
      </c>
      <c r="E89" s="3" t="s">
        <v>259</v>
      </c>
      <c r="F89" s="3" t="s">
        <v>259</v>
      </c>
      <c r="G89" s="3" t="s">
        <v>259</v>
      </c>
      <c r="H89" s="67">
        <v>41628</v>
      </c>
      <c r="J89" s="3">
        <f t="shared" si="11"/>
        <v>5.2</v>
      </c>
      <c r="K89" s="3">
        <f t="shared" si="11"/>
        <v>5.2</v>
      </c>
      <c r="L89" s="3">
        <f t="shared" si="11"/>
        <v>5.2</v>
      </c>
      <c r="M89" s="3">
        <f t="shared" si="11"/>
        <v>5.2</v>
      </c>
      <c r="P89" s="3" t="s">
        <v>301</v>
      </c>
      <c r="Q89" s="10" t="str">
        <f t="shared" si="9"/>
        <v xml:space="preserve">ITAUUNIBANCO-PN  </v>
      </c>
      <c r="R89" s="26">
        <f t="shared" si="8"/>
        <v>41631</v>
      </c>
      <c r="S89" s="5">
        <f t="shared" si="13"/>
        <v>12.9</v>
      </c>
      <c r="T89" s="5">
        <f t="shared" si="13"/>
        <v>12.82</v>
      </c>
      <c r="U89" s="5">
        <f t="shared" si="13"/>
        <v>12.99</v>
      </c>
      <c r="V89" s="5">
        <f t="shared" si="12"/>
        <v>12.62</v>
      </c>
    </row>
    <row r="90" spans="1:22" x14ac:dyDescent="0.2">
      <c r="A90" s="50" t="str">
        <f t="shared" si="10"/>
        <v>TERI3.SA</v>
      </c>
      <c r="C90" s="3" t="s">
        <v>299</v>
      </c>
      <c r="D90" s="3" t="s">
        <v>300</v>
      </c>
      <c r="E90" s="3" t="s">
        <v>382</v>
      </c>
      <c r="F90" s="3" t="s">
        <v>506</v>
      </c>
      <c r="G90" s="3" t="s">
        <v>383</v>
      </c>
      <c r="H90" s="67">
        <v>41631</v>
      </c>
      <c r="J90" s="3">
        <f t="shared" si="11"/>
        <v>2.5</v>
      </c>
      <c r="K90" s="3">
        <f t="shared" si="11"/>
        <v>2.52</v>
      </c>
      <c r="L90" s="3">
        <f t="shared" si="11"/>
        <v>2.54</v>
      </c>
      <c r="M90" s="3">
        <f t="shared" si="11"/>
        <v>2.4700000000000002</v>
      </c>
      <c r="P90" s="3" t="s">
        <v>304</v>
      </c>
      <c r="Q90" s="10" t="str">
        <f t="shared" si="9"/>
        <v>TELEF BRASIL-PN</v>
      </c>
      <c r="R90" s="26">
        <f t="shared" si="8"/>
        <v>41631</v>
      </c>
      <c r="S90" s="5">
        <f t="shared" si="13"/>
        <v>31.5</v>
      </c>
      <c r="T90" s="5">
        <f t="shared" si="13"/>
        <v>31.47</v>
      </c>
      <c r="U90" s="5">
        <f t="shared" si="13"/>
        <v>31.75</v>
      </c>
      <c r="V90" s="5">
        <f t="shared" si="12"/>
        <v>31.42</v>
      </c>
    </row>
    <row r="91" spans="1:22" x14ac:dyDescent="0.2">
      <c r="A91" s="50" t="str">
        <f t="shared" si="10"/>
        <v>FESA4.SA</v>
      </c>
      <c r="C91" s="3" t="s">
        <v>302</v>
      </c>
      <c r="D91" s="3" t="s">
        <v>384</v>
      </c>
      <c r="E91" s="3" t="s">
        <v>507</v>
      </c>
      <c r="F91" s="3" t="s">
        <v>508</v>
      </c>
      <c r="G91" s="3" t="s">
        <v>509</v>
      </c>
      <c r="H91" s="67">
        <v>41631</v>
      </c>
      <c r="J91" s="3">
        <f t="shared" si="11"/>
        <v>12.9</v>
      </c>
      <c r="K91" s="3">
        <f t="shared" si="11"/>
        <v>12.82</v>
      </c>
      <c r="L91" s="3">
        <f t="shared" si="11"/>
        <v>12.99</v>
      </c>
      <c r="M91" s="3">
        <f t="shared" si="11"/>
        <v>12.62</v>
      </c>
      <c r="P91" s="3" t="s">
        <v>306</v>
      </c>
      <c r="Q91" s="10" t="str">
        <f t="shared" si="9"/>
        <v>COELCE      -PNA</v>
      </c>
      <c r="R91" s="26">
        <f t="shared" si="8"/>
        <v>41631</v>
      </c>
      <c r="S91" s="5">
        <f t="shared" si="13"/>
        <v>43.92</v>
      </c>
      <c r="T91" s="5">
        <f t="shared" si="13"/>
        <v>43.5</v>
      </c>
      <c r="U91" s="5">
        <f t="shared" si="13"/>
        <v>44.26</v>
      </c>
      <c r="V91" s="5">
        <f t="shared" si="12"/>
        <v>43.31</v>
      </c>
    </row>
    <row r="92" spans="1:22" x14ac:dyDescent="0.2">
      <c r="A92" s="50" t="str">
        <f t="shared" si="10"/>
        <v>ITUB4.SA</v>
      </c>
      <c r="C92" s="3" t="s">
        <v>305</v>
      </c>
      <c r="D92" s="3" t="s">
        <v>385</v>
      </c>
      <c r="E92" s="3" t="s">
        <v>510</v>
      </c>
      <c r="F92" s="3" t="s">
        <v>386</v>
      </c>
      <c r="G92" s="3" t="s">
        <v>423</v>
      </c>
      <c r="H92" s="67">
        <v>41631</v>
      </c>
      <c r="J92" s="3">
        <f t="shared" si="11"/>
        <v>31.5</v>
      </c>
      <c r="K92" s="3">
        <f t="shared" si="11"/>
        <v>31.47</v>
      </c>
      <c r="L92" s="3">
        <f t="shared" si="11"/>
        <v>31.75</v>
      </c>
      <c r="M92" s="3">
        <f t="shared" si="11"/>
        <v>31.42</v>
      </c>
      <c r="P92" s="3" t="s">
        <v>308</v>
      </c>
      <c r="Q92" s="10" t="str">
        <f t="shared" si="9"/>
        <v xml:space="preserve">PARANA      -PN  </v>
      </c>
      <c r="R92" s="26">
        <f t="shared" si="8"/>
        <v>41631</v>
      </c>
      <c r="S92" s="5">
        <f t="shared" si="13"/>
        <v>42.11</v>
      </c>
      <c r="T92" s="5">
        <f t="shared" si="13"/>
        <v>42.09</v>
      </c>
      <c r="U92" s="5">
        <f t="shared" si="13"/>
        <v>42.19</v>
      </c>
      <c r="V92" s="5">
        <f t="shared" si="12"/>
        <v>41.73</v>
      </c>
    </row>
    <row r="93" spans="1:22" x14ac:dyDescent="0.2">
      <c r="A93" s="50" t="str">
        <f t="shared" si="10"/>
        <v>VIVT4.SA</v>
      </c>
      <c r="C93" s="3" t="s">
        <v>307</v>
      </c>
      <c r="D93" s="3" t="s">
        <v>387</v>
      </c>
      <c r="E93" s="3" t="s">
        <v>511</v>
      </c>
      <c r="F93" s="3" t="s">
        <v>406</v>
      </c>
      <c r="G93" s="3" t="s">
        <v>440</v>
      </c>
      <c r="H93" s="67">
        <v>41631</v>
      </c>
      <c r="J93" s="3">
        <f t="shared" si="11"/>
        <v>43.92</v>
      </c>
      <c r="K93" s="3">
        <f t="shared" si="11"/>
        <v>43.5</v>
      </c>
      <c r="L93" s="3">
        <f t="shared" si="11"/>
        <v>44.26</v>
      </c>
      <c r="M93" s="3">
        <f t="shared" si="11"/>
        <v>43.31</v>
      </c>
      <c r="P93" s="3" t="s">
        <v>310</v>
      </c>
      <c r="Q93" s="10" t="str">
        <f t="shared" si="9"/>
        <v>ENERGISA    -UNT</v>
      </c>
      <c r="R93" s="26">
        <f t="shared" si="8"/>
        <v>41631</v>
      </c>
      <c r="S93" s="5">
        <f t="shared" si="13"/>
        <v>12.11</v>
      </c>
      <c r="T93" s="5">
        <f t="shared" si="13"/>
        <v>12.1</v>
      </c>
      <c r="U93" s="5">
        <f t="shared" si="13"/>
        <v>12.29</v>
      </c>
      <c r="V93" s="5">
        <f t="shared" si="12"/>
        <v>12</v>
      </c>
    </row>
    <row r="94" spans="1:22" x14ac:dyDescent="0.2">
      <c r="A94" s="50" t="str">
        <f t="shared" si="10"/>
        <v>COCE5.SA</v>
      </c>
      <c r="C94" s="3" t="s">
        <v>309</v>
      </c>
      <c r="D94" s="3" t="s">
        <v>388</v>
      </c>
      <c r="E94" s="3" t="s">
        <v>512</v>
      </c>
      <c r="F94" s="3" t="s">
        <v>424</v>
      </c>
      <c r="G94" s="3" t="s">
        <v>441</v>
      </c>
      <c r="H94" s="67">
        <v>41631</v>
      </c>
      <c r="J94" s="3">
        <f t="shared" si="11"/>
        <v>42.11</v>
      </c>
      <c r="K94" s="3">
        <f t="shared" si="11"/>
        <v>42.09</v>
      </c>
      <c r="L94" s="3">
        <f t="shared" si="11"/>
        <v>42.19</v>
      </c>
      <c r="M94" s="3">
        <f t="shared" si="11"/>
        <v>41.73</v>
      </c>
      <c r="P94" s="3" t="s">
        <v>446</v>
      </c>
      <c r="Q94" s="10" t="str">
        <f t="shared" si="9"/>
        <v xml:space="preserve">OI          -PN  </v>
      </c>
      <c r="R94" s="26">
        <f t="shared" si="8"/>
        <v>41631</v>
      </c>
      <c r="S94" s="5">
        <f t="shared" si="13"/>
        <v>12.1</v>
      </c>
      <c r="T94" s="5">
        <f t="shared" si="13"/>
        <v>11.8</v>
      </c>
      <c r="U94" s="5">
        <f t="shared" si="13"/>
        <v>12.1</v>
      </c>
      <c r="V94" s="5">
        <f t="shared" si="12"/>
        <v>11.8</v>
      </c>
    </row>
    <row r="95" spans="1:22" x14ac:dyDescent="0.2">
      <c r="A95" s="50" t="str">
        <f t="shared" si="10"/>
        <v>PRBC4.SA</v>
      </c>
      <c r="C95" s="3" t="s">
        <v>311</v>
      </c>
      <c r="D95" s="3" t="s">
        <v>261</v>
      </c>
      <c r="E95" s="3" t="s">
        <v>447</v>
      </c>
      <c r="F95" s="3" t="s">
        <v>513</v>
      </c>
      <c r="G95" s="3" t="s">
        <v>425</v>
      </c>
      <c r="H95" s="67">
        <v>41631</v>
      </c>
      <c r="J95" s="3">
        <f t="shared" si="11"/>
        <v>12.11</v>
      </c>
      <c r="K95" s="3">
        <f t="shared" si="11"/>
        <v>12.1</v>
      </c>
      <c r="L95" s="3">
        <f t="shared" si="11"/>
        <v>12.29</v>
      </c>
      <c r="M95" s="3">
        <f t="shared" si="11"/>
        <v>12</v>
      </c>
      <c r="P95" s="3" t="s">
        <v>519</v>
      </c>
      <c r="Q95" s="10" t="str">
        <f t="shared" ref="Q95:Q126" si="14">IF(A97="","",C98)</f>
        <v>MILLENNIUM  -PNA</v>
      </c>
      <c r="R95" s="26">
        <f t="shared" si="8"/>
        <v>41631</v>
      </c>
      <c r="S95" s="5">
        <f t="shared" si="13"/>
        <v>3.92</v>
      </c>
      <c r="T95" s="5">
        <f t="shared" si="13"/>
        <v>3.81</v>
      </c>
      <c r="U95" s="5">
        <f t="shared" si="13"/>
        <v>3.94</v>
      </c>
      <c r="V95" s="5">
        <f t="shared" si="12"/>
        <v>3.78</v>
      </c>
    </row>
    <row r="96" spans="1:22" x14ac:dyDescent="0.2">
      <c r="A96" s="50" t="str">
        <f t="shared" si="10"/>
        <v>ENGI11.SA</v>
      </c>
      <c r="C96" s="3" t="s">
        <v>514</v>
      </c>
      <c r="D96" s="3" t="s">
        <v>447</v>
      </c>
      <c r="E96" s="3" t="s">
        <v>515</v>
      </c>
      <c r="F96" s="3" t="s">
        <v>447</v>
      </c>
      <c r="G96" s="3" t="s">
        <v>515</v>
      </c>
      <c r="H96" s="81">
        <v>41631</v>
      </c>
      <c r="J96" s="3">
        <f t="shared" si="11"/>
        <v>12.1</v>
      </c>
      <c r="K96" s="3">
        <f t="shared" si="11"/>
        <v>11.8</v>
      </c>
      <c r="L96" s="3">
        <f t="shared" si="11"/>
        <v>12.1</v>
      </c>
      <c r="M96" s="3">
        <f t="shared" si="11"/>
        <v>11.8</v>
      </c>
      <c r="P96" s="3" t="s">
        <v>523</v>
      </c>
      <c r="Q96" s="10" t="str">
        <f t="shared" si="14"/>
        <v xml:space="preserve">MILLENNIUM  -PNB </v>
      </c>
      <c r="R96" s="26">
        <f t="shared" si="8"/>
        <v>41628</v>
      </c>
      <c r="S96" s="5">
        <f t="shared" si="13"/>
        <v>0.19</v>
      </c>
      <c r="T96" s="5">
        <f t="shared" si="13"/>
        <v>0.19</v>
      </c>
      <c r="U96" s="5">
        <f t="shared" si="13"/>
        <v>0.19</v>
      </c>
      <c r="V96" s="5">
        <f t="shared" si="12"/>
        <v>0.19</v>
      </c>
    </row>
    <row r="97" spans="1:22" x14ac:dyDescent="0.2">
      <c r="A97" s="50" t="str">
        <f t="shared" si="10"/>
        <v>OIBR4.SA</v>
      </c>
      <c r="C97" s="3" t="s">
        <v>520</v>
      </c>
      <c r="D97" s="3" t="s">
        <v>241</v>
      </c>
      <c r="E97" s="3" t="s">
        <v>521</v>
      </c>
      <c r="F97" s="3" t="s">
        <v>505</v>
      </c>
      <c r="G97" s="3" t="s">
        <v>522</v>
      </c>
      <c r="H97" s="81">
        <v>41631</v>
      </c>
      <c r="J97" s="3">
        <f t="shared" si="11"/>
        <v>3.92</v>
      </c>
      <c r="K97" s="3">
        <f t="shared" si="11"/>
        <v>3.81</v>
      </c>
      <c r="L97" s="3">
        <f t="shared" si="11"/>
        <v>3.94</v>
      </c>
      <c r="M97" s="3">
        <f t="shared" si="11"/>
        <v>3.78</v>
      </c>
      <c r="P97" s="3" t="s">
        <v>524</v>
      </c>
      <c r="Q97" s="10" t="str">
        <f t="shared" si="14"/>
        <v xml:space="preserve">RENAR       -ON  </v>
      </c>
      <c r="R97" s="26">
        <f t="shared" si="8"/>
        <v>41628</v>
      </c>
      <c r="S97" s="5">
        <f t="shared" si="13"/>
        <v>0.2</v>
      </c>
      <c r="T97" s="5">
        <f t="shared" si="13"/>
        <v>0.2</v>
      </c>
      <c r="U97" s="5">
        <f t="shared" si="13"/>
        <v>0.2</v>
      </c>
      <c r="V97" s="5">
        <f t="shared" si="12"/>
        <v>0.2</v>
      </c>
    </row>
    <row r="98" spans="1:22" x14ac:dyDescent="0.2">
      <c r="A98" s="50" t="str">
        <f t="shared" si="10"/>
        <v>TIBR5.SA</v>
      </c>
      <c r="C98" s="3" t="s">
        <v>525</v>
      </c>
      <c r="D98" s="3" t="s">
        <v>526</v>
      </c>
      <c r="E98" s="3" t="s">
        <v>526</v>
      </c>
      <c r="F98" s="3" t="s">
        <v>526</v>
      </c>
      <c r="G98" s="3" t="s">
        <v>526</v>
      </c>
      <c r="H98" s="81">
        <v>41628</v>
      </c>
      <c r="J98" s="3">
        <f t="shared" si="11"/>
        <v>0.19</v>
      </c>
      <c r="K98" s="3">
        <f t="shared" si="11"/>
        <v>0.19</v>
      </c>
      <c r="L98" s="3">
        <f t="shared" si="11"/>
        <v>0.19</v>
      </c>
      <c r="M98" s="3">
        <f t="shared" si="11"/>
        <v>0.19</v>
      </c>
      <c r="P98" s="4" t="s">
        <v>529</v>
      </c>
      <c r="Q98" s="14" t="str">
        <f t="shared" si="14"/>
        <v xml:space="preserve"> </v>
      </c>
      <c r="R98" s="15">
        <f t="shared" si="8"/>
        <v>41631</v>
      </c>
      <c r="S98" s="6">
        <f t="shared" si="13"/>
        <v>0.23</v>
      </c>
      <c r="T98" s="6">
        <f t="shared" si="13"/>
        <v>0.22</v>
      </c>
      <c r="U98" s="6">
        <f t="shared" si="13"/>
        <v>0.23</v>
      </c>
      <c r="V98" s="6">
        <f t="shared" si="12"/>
        <v>0.22</v>
      </c>
    </row>
    <row r="99" spans="1:22" x14ac:dyDescent="0.2">
      <c r="A99" s="50" t="str">
        <f t="shared" si="10"/>
        <v>TIBR6.SA</v>
      </c>
      <c r="C99" s="3" t="s">
        <v>527</v>
      </c>
      <c r="D99" s="3" t="s">
        <v>528</v>
      </c>
      <c r="E99" s="3" t="s">
        <v>528</v>
      </c>
      <c r="F99" s="3" t="s">
        <v>528</v>
      </c>
      <c r="G99" s="3" t="s">
        <v>528</v>
      </c>
      <c r="H99" s="81">
        <v>41628</v>
      </c>
      <c r="J99" s="3">
        <f t="shared" si="11"/>
        <v>0.2</v>
      </c>
      <c r="K99" s="3">
        <f t="shared" si="11"/>
        <v>0.2</v>
      </c>
      <c r="L99" s="3">
        <f t="shared" si="11"/>
        <v>0.2</v>
      </c>
      <c r="M99" s="3">
        <f t="shared" si="11"/>
        <v>0.2</v>
      </c>
      <c r="P99" s="3" t="str">
        <f>IF([1]Patrimonio!C96="","",[1]Patrimonio!C96)</f>
        <v/>
      </c>
      <c r="Q99" s="3" t="str">
        <f t="shared" si="14"/>
        <v/>
      </c>
      <c r="R99" s="26" t="str">
        <f t="shared" si="8"/>
        <v/>
      </c>
      <c r="S99" s="5">
        <f t="shared" si="13"/>
        <v>0</v>
      </c>
      <c r="T99" s="5">
        <f t="shared" si="13"/>
        <v>0</v>
      </c>
      <c r="U99" s="5">
        <f t="shared" si="13"/>
        <v>0</v>
      </c>
      <c r="V99" s="5">
        <f t="shared" si="12"/>
        <v>0</v>
      </c>
    </row>
    <row r="100" spans="1:22" x14ac:dyDescent="0.2">
      <c r="A100" s="50" t="str">
        <f t="shared" si="10"/>
        <v>RNAR3.SA</v>
      </c>
      <c r="C100" s="3" t="s">
        <v>531</v>
      </c>
      <c r="D100" s="3" t="s">
        <v>532</v>
      </c>
      <c r="E100" s="3" t="s">
        <v>533</v>
      </c>
      <c r="F100" s="3" t="s">
        <v>532</v>
      </c>
      <c r="G100" s="3" t="s">
        <v>533</v>
      </c>
      <c r="H100" s="81">
        <v>41631</v>
      </c>
      <c r="J100" s="3">
        <f t="shared" si="11"/>
        <v>0.23</v>
      </c>
      <c r="K100" s="3">
        <f t="shared" si="11"/>
        <v>0.22</v>
      </c>
      <c r="L100" s="3">
        <f t="shared" si="11"/>
        <v>0.23</v>
      </c>
      <c r="M100" s="3">
        <f t="shared" si="11"/>
        <v>0.22</v>
      </c>
      <c r="P100" s="3" t="str">
        <f>IF([1]Patrimonio!C97="","",[1]Patrimonio!C97)</f>
        <v/>
      </c>
      <c r="Q100" s="3" t="str">
        <f t="shared" si="14"/>
        <v/>
      </c>
      <c r="R100" s="26" t="str">
        <f t="shared" si="8"/>
        <v/>
      </c>
      <c r="S100" s="5">
        <f t="shared" si="13"/>
        <v>0</v>
      </c>
      <c r="T100" s="5">
        <f t="shared" si="13"/>
        <v>0</v>
      </c>
      <c r="U100" s="5">
        <f t="shared" si="13"/>
        <v>0</v>
      </c>
      <c r="V100" s="5">
        <f t="shared" si="12"/>
        <v>0</v>
      </c>
    </row>
    <row r="101" spans="1:22" x14ac:dyDescent="0.2">
      <c r="A101" s="50" t="str">
        <f t="shared" si="10"/>
        <v/>
      </c>
      <c r="C101" s="3" t="s">
        <v>119</v>
      </c>
      <c r="J101" s="3">
        <f t="shared" si="11"/>
        <v>0</v>
      </c>
      <c r="K101" s="3">
        <f t="shared" si="11"/>
        <v>0</v>
      </c>
      <c r="L101" s="3">
        <f t="shared" si="11"/>
        <v>0</v>
      </c>
      <c r="M101" s="3">
        <f t="shared" si="11"/>
        <v>0</v>
      </c>
      <c r="P101" s="3" t="str">
        <f>IF([1]Patrimonio!C98="","",[1]Patrimonio!C98)</f>
        <v/>
      </c>
      <c r="Q101" s="3" t="str">
        <f t="shared" si="14"/>
        <v/>
      </c>
      <c r="R101" s="26" t="str">
        <f t="shared" si="8"/>
        <v/>
      </c>
      <c r="S101" s="5">
        <f t="shared" si="13"/>
        <v>0</v>
      </c>
      <c r="T101" s="5">
        <f t="shared" si="13"/>
        <v>0</v>
      </c>
      <c r="U101" s="5">
        <f t="shared" si="13"/>
        <v>0</v>
      </c>
      <c r="V101" s="5">
        <f t="shared" si="12"/>
        <v>0</v>
      </c>
    </row>
    <row r="102" spans="1:22" x14ac:dyDescent="0.2">
      <c r="A102" s="50" t="str">
        <f t="shared" si="10"/>
        <v/>
      </c>
      <c r="J102" s="3">
        <f t="shared" si="11"/>
        <v>0</v>
      </c>
      <c r="K102" s="3">
        <f t="shared" si="11"/>
        <v>0</v>
      </c>
      <c r="L102" s="3">
        <f t="shared" si="11"/>
        <v>0</v>
      </c>
      <c r="M102" s="3">
        <f t="shared" si="11"/>
        <v>0</v>
      </c>
      <c r="P102" s="3" t="str">
        <f>IF([1]Patrimonio!C99="","",[1]Patrimonio!C99)</f>
        <v/>
      </c>
      <c r="Q102" s="3" t="str">
        <f t="shared" si="14"/>
        <v/>
      </c>
      <c r="R102" s="26" t="str">
        <f t="shared" si="8"/>
        <v/>
      </c>
      <c r="S102" s="5">
        <f t="shared" si="13"/>
        <v>0</v>
      </c>
      <c r="T102" s="5">
        <f t="shared" si="13"/>
        <v>0</v>
      </c>
      <c r="U102" s="5">
        <f t="shared" si="13"/>
        <v>0</v>
      </c>
      <c r="V102" s="5">
        <f t="shared" si="12"/>
        <v>0</v>
      </c>
    </row>
    <row r="103" spans="1:22" x14ac:dyDescent="0.2">
      <c r="A103" s="50" t="str">
        <f t="shared" si="10"/>
        <v/>
      </c>
      <c r="J103" s="3">
        <f t="shared" si="11"/>
        <v>0</v>
      </c>
      <c r="K103" s="3">
        <f t="shared" si="11"/>
        <v>0</v>
      </c>
      <c r="L103" s="3">
        <f t="shared" si="11"/>
        <v>0</v>
      </c>
      <c r="M103" s="3">
        <f t="shared" si="11"/>
        <v>0</v>
      </c>
      <c r="P103" s="3" t="str">
        <f>IF([1]Patrimonio!C100="","",[1]Patrimonio!C100)</f>
        <v/>
      </c>
      <c r="Q103" s="3" t="str">
        <f t="shared" si="14"/>
        <v/>
      </c>
      <c r="R103" s="26" t="str">
        <f t="shared" si="8"/>
        <v/>
      </c>
      <c r="S103" s="5">
        <f t="shared" si="13"/>
        <v>0</v>
      </c>
      <c r="T103" s="5">
        <f t="shared" si="13"/>
        <v>0</v>
      </c>
      <c r="U103" s="5">
        <f t="shared" si="13"/>
        <v>0</v>
      </c>
      <c r="V103" s="5">
        <f t="shared" si="12"/>
        <v>0</v>
      </c>
    </row>
    <row r="104" spans="1:22" x14ac:dyDescent="0.2">
      <c r="A104" s="50" t="str">
        <f t="shared" si="10"/>
        <v/>
      </c>
      <c r="J104" s="3">
        <f t="shared" si="11"/>
        <v>0</v>
      </c>
      <c r="K104" s="3">
        <f t="shared" si="11"/>
        <v>0</v>
      </c>
      <c r="L104" s="3">
        <f t="shared" si="11"/>
        <v>0</v>
      </c>
      <c r="M104" s="3">
        <f t="shared" si="11"/>
        <v>0</v>
      </c>
      <c r="P104" s="3" t="str">
        <f>IF([1]Patrimonio!C101="","",[1]Patrimonio!C101)</f>
        <v/>
      </c>
      <c r="Q104" s="3" t="str">
        <f t="shared" si="14"/>
        <v/>
      </c>
      <c r="R104" s="26" t="str">
        <f t="shared" si="8"/>
        <v/>
      </c>
      <c r="S104" s="5">
        <f t="shared" si="13"/>
        <v>0</v>
      </c>
      <c r="T104" s="5">
        <f t="shared" si="13"/>
        <v>0</v>
      </c>
      <c r="U104" s="5">
        <f t="shared" si="13"/>
        <v>0</v>
      </c>
      <c r="V104" s="5">
        <f t="shared" si="12"/>
        <v>0</v>
      </c>
    </row>
    <row r="105" spans="1:22" x14ac:dyDescent="0.2">
      <c r="A105" s="50" t="str">
        <f t="shared" si="10"/>
        <v/>
      </c>
      <c r="J105" s="3">
        <f t="shared" si="11"/>
        <v>0</v>
      </c>
      <c r="K105" s="3">
        <f t="shared" si="11"/>
        <v>0</v>
      </c>
      <c r="L105" s="3">
        <f t="shared" si="11"/>
        <v>0</v>
      </c>
      <c r="M105" s="3">
        <f t="shared" si="11"/>
        <v>0</v>
      </c>
      <c r="P105" s="3" t="str">
        <f>IF([1]Patrimonio!C102="","",[1]Patrimonio!C102)</f>
        <v/>
      </c>
      <c r="Q105" s="3" t="str">
        <f t="shared" si="14"/>
        <v/>
      </c>
      <c r="R105" s="26" t="str">
        <f t="shared" si="8"/>
        <v/>
      </c>
      <c r="S105" s="5">
        <f t="shared" si="13"/>
        <v>0</v>
      </c>
      <c r="T105" s="5">
        <f t="shared" si="13"/>
        <v>0</v>
      </c>
      <c r="U105" s="5">
        <f t="shared" si="13"/>
        <v>0</v>
      </c>
      <c r="V105" s="5">
        <f t="shared" si="12"/>
        <v>0</v>
      </c>
    </row>
    <row r="106" spans="1:22" x14ac:dyDescent="0.2">
      <c r="A106" s="50" t="str">
        <f t="shared" si="10"/>
        <v/>
      </c>
      <c r="J106" s="3">
        <f t="shared" si="11"/>
        <v>0</v>
      </c>
      <c r="K106" s="3">
        <f t="shared" si="11"/>
        <v>0</v>
      </c>
      <c r="L106" s="3">
        <f t="shared" si="11"/>
        <v>0</v>
      </c>
      <c r="M106" s="3">
        <f t="shared" si="11"/>
        <v>0</v>
      </c>
      <c r="P106" s="3" t="str">
        <f>IF([1]Patrimonio!C103="","",[1]Patrimonio!C103)</f>
        <v/>
      </c>
      <c r="Q106" s="3" t="str">
        <f t="shared" si="14"/>
        <v/>
      </c>
      <c r="R106" s="26" t="str">
        <f t="shared" si="8"/>
        <v/>
      </c>
      <c r="S106" s="5">
        <f t="shared" si="13"/>
        <v>0</v>
      </c>
      <c r="T106" s="5">
        <f t="shared" si="13"/>
        <v>0</v>
      </c>
      <c r="U106" s="5">
        <f t="shared" si="13"/>
        <v>0</v>
      </c>
      <c r="V106" s="5">
        <f t="shared" si="12"/>
        <v>0</v>
      </c>
    </row>
    <row r="107" spans="1:22" x14ac:dyDescent="0.2">
      <c r="A107" s="50" t="str">
        <f t="shared" si="10"/>
        <v/>
      </c>
      <c r="J107" s="3">
        <f t="shared" si="11"/>
        <v>0</v>
      </c>
      <c r="K107" s="3">
        <f t="shared" si="11"/>
        <v>0</v>
      </c>
      <c r="L107" s="3">
        <f t="shared" si="11"/>
        <v>0</v>
      </c>
      <c r="M107" s="3">
        <f t="shared" si="11"/>
        <v>0</v>
      </c>
      <c r="P107" s="3" t="str">
        <f>IF([1]Patrimonio!C104="","",[1]Patrimonio!C104)</f>
        <v/>
      </c>
      <c r="Q107" s="3" t="str">
        <f t="shared" si="14"/>
        <v/>
      </c>
      <c r="R107" s="26" t="str">
        <f t="shared" si="8"/>
        <v/>
      </c>
      <c r="S107" s="5">
        <f t="shared" si="13"/>
        <v>0</v>
      </c>
      <c r="T107" s="5">
        <f t="shared" si="13"/>
        <v>0</v>
      </c>
      <c r="U107" s="5">
        <f t="shared" si="13"/>
        <v>0</v>
      </c>
      <c r="V107" s="5">
        <f t="shared" si="12"/>
        <v>0</v>
      </c>
    </row>
    <row r="108" spans="1:22" x14ac:dyDescent="0.2">
      <c r="A108" s="50" t="str">
        <f t="shared" si="10"/>
        <v/>
      </c>
      <c r="J108" s="3">
        <f t="shared" si="11"/>
        <v>0</v>
      </c>
      <c r="K108" s="3">
        <f t="shared" si="11"/>
        <v>0</v>
      </c>
      <c r="L108" s="3">
        <f t="shared" si="11"/>
        <v>0</v>
      </c>
      <c r="M108" s="3">
        <f t="shared" si="11"/>
        <v>0</v>
      </c>
      <c r="P108" s="3" t="str">
        <f>IF([1]Patrimonio!C105="","",[1]Patrimonio!C105)</f>
        <v/>
      </c>
      <c r="Q108" s="3" t="str">
        <f t="shared" si="14"/>
        <v/>
      </c>
      <c r="R108" s="26" t="str">
        <f t="shared" si="8"/>
        <v/>
      </c>
      <c r="S108" s="5">
        <f t="shared" si="13"/>
        <v>0</v>
      </c>
      <c r="T108" s="5">
        <f t="shared" si="13"/>
        <v>0</v>
      </c>
      <c r="U108" s="5">
        <f t="shared" si="13"/>
        <v>0</v>
      </c>
      <c r="V108" s="5">
        <f t="shared" si="12"/>
        <v>0</v>
      </c>
    </row>
    <row r="109" spans="1:22" x14ac:dyDescent="0.2">
      <c r="A109" s="50" t="str">
        <f t="shared" si="10"/>
        <v/>
      </c>
      <c r="J109" s="3">
        <f t="shared" si="11"/>
        <v>0</v>
      </c>
      <c r="K109" s="3">
        <f t="shared" si="11"/>
        <v>0</v>
      </c>
      <c r="L109" s="3">
        <f t="shared" si="11"/>
        <v>0</v>
      </c>
      <c r="M109" s="3">
        <f t="shared" si="11"/>
        <v>0</v>
      </c>
      <c r="P109" s="3" t="str">
        <f>IF([1]Patrimonio!C106="","",[1]Patrimonio!C106)</f>
        <v/>
      </c>
      <c r="Q109" s="3" t="str">
        <f t="shared" si="14"/>
        <v/>
      </c>
      <c r="R109" s="26" t="str">
        <f t="shared" si="8"/>
        <v/>
      </c>
      <c r="S109" s="5">
        <f t="shared" si="13"/>
        <v>0</v>
      </c>
      <c r="T109" s="5">
        <f t="shared" si="13"/>
        <v>0</v>
      </c>
      <c r="U109" s="5">
        <f t="shared" si="13"/>
        <v>0</v>
      </c>
      <c r="V109" s="5">
        <f t="shared" si="12"/>
        <v>0</v>
      </c>
    </row>
    <row r="110" spans="1:22" x14ac:dyDescent="0.2">
      <c r="A110" s="50" t="str">
        <f t="shared" si="10"/>
        <v/>
      </c>
      <c r="J110" s="3">
        <f t="shared" si="11"/>
        <v>0</v>
      </c>
      <c r="K110" s="3">
        <f t="shared" si="11"/>
        <v>0</v>
      </c>
      <c r="L110" s="3">
        <f t="shared" si="11"/>
        <v>0</v>
      </c>
      <c r="M110" s="3">
        <f t="shared" si="11"/>
        <v>0</v>
      </c>
      <c r="P110" s="3" t="str">
        <f>IF([1]Patrimonio!C107="","",[1]Patrimonio!C107)</f>
        <v/>
      </c>
      <c r="Q110" s="3" t="str">
        <f t="shared" si="14"/>
        <v/>
      </c>
      <c r="R110" s="26" t="str">
        <f t="shared" si="8"/>
        <v/>
      </c>
      <c r="S110" s="5">
        <f t="shared" si="13"/>
        <v>0</v>
      </c>
      <c r="T110" s="5">
        <f t="shared" si="13"/>
        <v>0</v>
      </c>
      <c r="U110" s="5">
        <f t="shared" si="13"/>
        <v>0</v>
      </c>
      <c r="V110" s="5">
        <f t="shared" si="12"/>
        <v>0</v>
      </c>
    </row>
    <row r="111" spans="1:22" x14ac:dyDescent="0.2">
      <c r="A111" s="50" t="str">
        <f t="shared" si="10"/>
        <v/>
      </c>
      <c r="J111" s="3">
        <f t="shared" si="11"/>
        <v>0</v>
      </c>
      <c r="K111" s="3">
        <f t="shared" si="11"/>
        <v>0</v>
      </c>
      <c r="L111" s="3">
        <f t="shared" si="11"/>
        <v>0</v>
      </c>
      <c r="M111" s="3">
        <f t="shared" si="11"/>
        <v>0</v>
      </c>
      <c r="P111" s="3" t="str">
        <f>IF([1]Patrimonio!C108="","",[1]Patrimonio!C108)</f>
        <v/>
      </c>
      <c r="Q111" s="3" t="str">
        <f t="shared" si="14"/>
        <v/>
      </c>
      <c r="R111" s="26" t="str">
        <f t="shared" si="8"/>
        <v/>
      </c>
      <c r="S111" s="5">
        <f t="shared" si="13"/>
        <v>0</v>
      </c>
      <c r="T111" s="5">
        <f t="shared" si="13"/>
        <v>0</v>
      </c>
      <c r="U111" s="5">
        <f t="shared" si="13"/>
        <v>0</v>
      </c>
      <c r="V111" s="5">
        <f t="shared" si="12"/>
        <v>0</v>
      </c>
    </row>
    <row r="112" spans="1:22" x14ac:dyDescent="0.2">
      <c r="A112" s="50" t="str">
        <f t="shared" si="10"/>
        <v/>
      </c>
      <c r="J112" s="3">
        <f t="shared" si="11"/>
        <v>0</v>
      </c>
      <c r="K112" s="3">
        <f t="shared" si="11"/>
        <v>0</v>
      </c>
      <c r="L112" s="3">
        <f t="shared" si="11"/>
        <v>0</v>
      </c>
      <c r="M112" s="3">
        <f t="shared" si="11"/>
        <v>0</v>
      </c>
      <c r="P112" s="3" t="str">
        <f>IF([1]Patrimonio!C109="","",[1]Patrimonio!C109)</f>
        <v/>
      </c>
      <c r="Q112" s="3" t="str">
        <f t="shared" si="14"/>
        <v/>
      </c>
      <c r="R112" s="26" t="str">
        <f t="shared" si="8"/>
        <v/>
      </c>
      <c r="S112" s="5">
        <f t="shared" si="13"/>
        <v>0</v>
      </c>
      <c r="T112" s="5">
        <f t="shared" si="13"/>
        <v>0</v>
      </c>
      <c r="U112" s="5">
        <f t="shared" si="13"/>
        <v>0</v>
      </c>
      <c r="V112" s="5">
        <f t="shared" si="12"/>
        <v>0</v>
      </c>
    </row>
    <row r="113" spans="1:22" x14ac:dyDescent="0.2">
      <c r="A113" s="50" t="str">
        <f t="shared" si="10"/>
        <v/>
      </c>
      <c r="J113" s="3">
        <f t="shared" si="11"/>
        <v>0</v>
      </c>
      <c r="K113" s="3">
        <f t="shared" si="11"/>
        <v>0</v>
      </c>
      <c r="L113" s="3">
        <f t="shared" si="11"/>
        <v>0</v>
      </c>
      <c r="M113" s="3">
        <f t="shared" si="11"/>
        <v>0</v>
      </c>
      <c r="P113" s="3" t="str">
        <f>IF([1]Patrimonio!C110="","",[1]Patrimonio!C110)</f>
        <v/>
      </c>
      <c r="Q113" s="3" t="str">
        <f t="shared" si="14"/>
        <v/>
      </c>
      <c r="R113" s="26" t="str">
        <f t="shared" si="8"/>
        <v/>
      </c>
      <c r="S113" s="5">
        <f t="shared" si="13"/>
        <v>0</v>
      </c>
      <c r="T113" s="5">
        <f t="shared" si="13"/>
        <v>0</v>
      </c>
      <c r="U113" s="5">
        <f t="shared" si="13"/>
        <v>0</v>
      </c>
      <c r="V113" s="5">
        <f t="shared" si="12"/>
        <v>0</v>
      </c>
    </row>
    <row r="114" spans="1:22" x14ac:dyDescent="0.2">
      <c r="A114" s="50" t="str">
        <f t="shared" si="10"/>
        <v/>
      </c>
      <c r="J114" s="3">
        <f t="shared" si="11"/>
        <v>0</v>
      </c>
      <c r="K114" s="3">
        <f t="shared" si="11"/>
        <v>0</v>
      </c>
      <c r="L114" s="3">
        <f t="shared" si="11"/>
        <v>0</v>
      </c>
      <c r="M114" s="3">
        <f t="shared" si="11"/>
        <v>0</v>
      </c>
      <c r="P114" s="3" t="str">
        <f>IF([1]Patrimonio!C111="","",[1]Patrimonio!C111)</f>
        <v/>
      </c>
      <c r="Q114" s="3" t="str">
        <f t="shared" si="14"/>
        <v/>
      </c>
      <c r="R114" s="26" t="str">
        <f t="shared" si="8"/>
        <v/>
      </c>
      <c r="S114" s="5">
        <f t="shared" si="13"/>
        <v>0</v>
      </c>
      <c r="T114" s="5">
        <f t="shared" si="13"/>
        <v>0</v>
      </c>
      <c r="U114" s="5">
        <f t="shared" si="13"/>
        <v>0</v>
      </c>
      <c r="V114" s="5">
        <f t="shared" si="12"/>
        <v>0</v>
      </c>
    </row>
    <row r="115" spans="1:22" x14ac:dyDescent="0.2">
      <c r="A115" s="50" t="str">
        <f t="shared" si="10"/>
        <v/>
      </c>
      <c r="J115" s="3">
        <f t="shared" si="11"/>
        <v>0</v>
      </c>
      <c r="K115" s="3">
        <f t="shared" si="11"/>
        <v>0</v>
      </c>
      <c r="L115" s="3">
        <f t="shared" si="11"/>
        <v>0</v>
      </c>
      <c r="M115" s="3">
        <f t="shared" si="11"/>
        <v>0</v>
      </c>
      <c r="P115" s="3" t="str">
        <f>IF([1]Patrimonio!C112="","",[1]Patrimonio!C112)</f>
        <v/>
      </c>
      <c r="Q115" s="3" t="str">
        <f t="shared" si="14"/>
        <v/>
      </c>
      <c r="R115" s="26" t="str">
        <f t="shared" si="8"/>
        <v/>
      </c>
      <c r="S115" s="5">
        <f t="shared" si="13"/>
        <v>0</v>
      </c>
      <c r="T115" s="5">
        <f t="shared" si="13"/>
        <v>0</v>
      </c>
      <c r="U115" s="5">
        <f t="shared" si="13"/>
        <v>0</v>
      </c>
      <c r="V115" s="5">
        <f t="shared" si="12"/>
        <v>0</v>
      </c>
    </row>
    <row r="116" spans="1:22" x14ac:dyDescent="0.2">
      <c r="A116" s="50" t="str">
        <f t="shared" si="10"/>
        <v/>
      </c>
      <c r="J116" s="3">
        <f t="shared" si="11"/>
        <v>0</v>
      </c>
      <c r="K116" s="3">
        <f t="shared" si="11"/>
        <v>0</v>
      </c>
      <c r="L116" s="3">
        <f t="shared" si="11"/>
        <v>0</v>
      </c>
      <c r="M116" s="3">
        <f t="shared" si="11"/>
        <v>0</v>
      </c>
      <c r="P116" s="3" t="str">
        <f>IF([1]Patrimonio!C113="","",[1]Patrimonio!C113)</f>
        <v/>
      </c>
      <c r="Q116" s="3" t="str">
        <f t="shared" si="14"/>
        <v/>
      </c>
      <c r="R116" s="26" t="str">
        <f t="shared" si="8"/>
        <v/>
      </c>
      <c r="S116" s="5">
        <f t="shared" si="13"/>
        <v>0</v>
      </c>
      <c r="T116" s="5">
        <f t="shared" si="13"/>
        <v>0</v>
      </c>
      <c r="U116" s="5">
        <f t="shared" si="13"/>
        <v>0</v>
      </c>
      <c r="V116" s="5">
        <f t="shared" si="12"/>
        <v>0</v>
      </c>
    </row>
    <row r="117" spans="1:22" x14ac:dyDescent="0.2">
      <c r="A117" s="50" t="str">
        <f t="shared" si="10"/>
        <v/>
      </c>
      <c r="J117" s="3">
        <f t="shared" si="11"/>
        <v>0</v>
      </c>
      <c r="K117" s="3">
        <f t="shared" si="11"/>
        <v>0</v>
      </c>
      <c r="L117" s="3">
        <f t="shared" si="11"/>
        <v>0</v>
      </c>
      <c r="M117" s="3">
        <f t="shared" si="11"/>
        <v>0</v>
      </c>
      <c r="P117" s="3" t="str">
        <f>IF([1]Patrimonio!C114="","",[1]Patrimonio!C114)</f>
        <v/>
      </c>
      <c r="Q117" s="3" t="str">
        <f t="shared" si="14"/>
        <v/>
      </c>
      <c r="R117" s="26" t="str">
        <f t="shared" si="8"/>
        <v/>
      </c>
      <c r="S117" s="5">
        <f t="shared" si="13"/>
        <v>0</v>
      </c>
      <c r="T117" s="5">
        <f t="shared" si="13"/>
        <v>0</v>
      </c>
      <c r="U117" s="5">
        <f t="shared" si="13"/>
        <v>0</v>
      </c>
      <c r="V117" s="5">
        <f t="shared" si="12"/>
        <v>0</v>
      </c>
    </row>
    <row r="118" spans="1:22" x14ac:dyDescent="0.2">
      <c r="A118" s="50" t="str">
        <f t="shared" si="10"/>
        <v/>
      </c>
      <c r="J118" s="3">
        <f t="shared" si="11"/>
        <v>0</v>
      </c>
      <c r="K118" s="3">
        <f t="shared" si="11"/>
        <v>0</v>
      </c>
      <c r="L118" s="3">
        <f t="shared" si="11"/>
        <v>0</v>
      </c>
      <c r="M118" s="3">
        <f t="shared" si="11"/>
        <v>0</v>
      </c>
      <c r="P118" s="3" t="str">
        <f>IF([1]Patrimonio!C115="","",[1]Patrimonio!C115)</f>
        <v/>
      </c>
      <c r="Q118" s="3" t="str">
        <f t="shared" si="14"/>
        <v/>
      </c>
      <c r="R118" s="26" t="str">
        <f t="shared" si="8"/>
        <v/>
      </c>
      <c r="S118" s="5">
        <f t="shared" si="13"/>
        <v>0</v>
      </c>
      <c r="T118" s="5">
        <f t="shared" si="13"/>
        <v>0</v>
      </c>
      <c r="U118" s="5">
        <f t="shared" si="13"/>
        <v>0</v>
      </c>
      <c r="V118" s="5">
        <f t="shared" si="12"/>
        <v>0</v>
      </c>
    </row>
    <row r="119" spans="1:22" x14ac:dyDescent="0.2">
      <c r="A119" s="50" t="str">
        <f t="shared" si="10"/>
        <v/>
      </c>
      <c r="J119" s="3">
        <f t="shared" si="11"/>
        <v>0</v>
      </c>
      <c r="K119" s="3">
        <f t="shared" si="11"/>
        <v>0</v>
      </c>
      <c r="L119" s="3">
        <f t="shared" si="11"/>
        <v>0</v>
      </c>
      <c r="M119" s="3">
        <f t="shared" si="11"/>
        <v>0</v>
      </c>
      <c r="P119" s="3" t="str">
        <f>IF([1]Patrimonio!C116="","",[1]Patrimonio!C116)</f>
        <v/>
      </c>
      <c r="Q119" s="3" t="str">
        <f t="shared" si="14"/>
        <v/>
      </c>
      <c r="R119" s="26" t="str">
        <f t="shared" si="8"/>
        <v/>
      </c>
      <c r="S119" s="5">
        <f t="shared" si="13"/>
        <v>0</v>
      </c>
      <c r="T119" s="5">
        <f t="shared" si="13"/>
        <v>0</v>
      </c>
      <c r="U119" s="5">
        <f t="shared" si="13"/>
        <v>0</v>
      </c>
      <c r="V119" s="5">
        <f t="shared" si="12"/>
        <v>0</v>
      </c>
    </row>
    <row r="120" spans="1:22" x14ac:dyDescent="0.2">
      <c r="A120" s="50" t="str">
        <f t="shared" si="10"/>
        <v/>
      </c>
      <c r="J120" s="3">
        <f t="shared" si="11"/>
        <v>0</v>
      </c>
      <c r="K120" s="3">
        <f t="shared" si="11"/>
        <v>0</v>
      </c>
      <c r="L120" s="3">
        <f t="shared" si="11"/>
        <v>0</v>
      </c>
      <c r="M120" s="3">
        <f t="shared" si="11"/>
        <v>0</v>
      </c>
      <c r="P120" s="3" t="str">
        <f>IF([1]Patrimonio!C117="","",[1]Patrimonio!C117)</f>
        <v/>
      </c>
      <c r="Q120" s="3" t="str">
        <f t="shared" si="14"/>
        <v/>
      </c>
      <c r="R120" s="26" t="str">
        <f t="shared" si="8"/>
        <v/>
      </c>
      <c r="S120" s="5">
        <f t="shared" si="13"/>
        <v>0</v>
      </c>
      <c r="T120" s="5">
        <f t="shared" si="13"/>
        <v>0</v>
      </c>
      <c r="U120" s="5">
        <f t="shared" si="13"/>
        <v>0</v>
      </c>
      <c r="V120" s="5">
        <f t="shared" si="12"/>
        <v>0</v>
      </c>
    </row>
    <row r="121" spans="1:22" x14ac:dyDescent="0.2">
      <c r="A121" s="50" t="str">
        <f t="shared" si="10"/>
        <v/>
      </c>
      <c r="J121" s="3">
        <f t="shared" si="11"/>
        <v>0</v>
      </c>
      <c r="K121" s="3">
        <f t="shared" si="11"/>
        <v>0</v>
      </c>
      <c r="L121" s="3">
        <f t="shared" si="11"/>
        <v>0</v>
      </c>
      <c r="M121" s="3">
        <f t="shared" si="11"/>
        <v>0</v>
      </c>
      <c r="P121" s="3" t="str">
        <f>IF([1]Patrimonio!C118="","",[1]Patrimonio!C118)</f>
        <v/>
      </c>
      <c r="Q121" s="3" t="str">
        <f t="shared" si="14"/>
        <v/>
      </c>
      <c r="R121" s="26" t="str">
        <f t="shared" si="8"/>
        <v/>
      </c>
      <c r="S121" s="5">
        <f t="shared" si="13"/>
        <v>0</v>
      </c>
      <c r="T121" s="5">
        <f t="shared" si="13"/>
        <v>0</v>
      </c>
      <c r="U121" s="5">
        <f t="shared" si="13"/>
        <v>0</v>
      </c>
      <c r="V121" s="5">
        <f t="shared" si="12"/>
        <v>0</v>
      </c>
    </row>
    <row r="122" spans="1:22" x14ac:dyDescent="0.2">
      <c r="A122" s="50" t="str">
        <f t="shared" si="10"/>
        <v/>
      </c>
      <c r="J122" s="3">
        <f t="shared" si="11"/>
        <v>0</v>
      </c>
      <c r="K122" s="3">
        <f t="shared" si="11"/>
        <v>0</v>
      </c>
      <c r="L122" s="3">
        <f t="shared" si="11"/>
        <v>0</v>
      </c>
      <c r="M122" s="3">
        <f t="shared" si="11"/>
        <v>0</v>
      </c>
      <c r="P122" s="3" t="str">
        <f>IF([1]Patrimonio!C119="","",[1]Patrimonio!C119)</f>
        <v/>
      </c>
      <c r="Q122" s="3" t="str">
        <f t="shared" si="14"/>
        <v/>
      </c>
      <c r="R122" s="26" t="str">
        <f t="shared" si="8"/>
        <v/>
      </c>
      <c r="S122" s="5">
        <f t="shared" si="13"/>
        <v>0</v>
      </c>
      <c r="T122" s="5">
        <f t="shared" si="13"/>
        <v>0</v>
      </c>
      <c r="U122" s="5">
        <f t="shared" si="13"/>
        <v>0</v>
      </c>
      <c r="V122" s="5">
        <f t="shared" si="12"/>
        <v>0</v>
      </c>
    </row>
    <row r="123" spans="1:22" x14ac:dyDescent="0.2">
      <c r="A123" s="50" t="str">
        <f t="shared" si="10"/>
        <v/>
      </c>
      <c r="J123" s="3">
        <f t="shared" si="11"/>
        <v>0</v>
      </c>
      <c r="K123" s="3">
        <f t="shared" si="11"/>
        <v>0</v>
      </c>
      <c r="L123" s="3">
        <f t="shared" si="11"/>
        <v>0</v>
      </c>
      <c r="M123" s="3">
        <f t="shared" si="11"/>
        <v>0</v>
      </c>
      <c r="P123" s="3" t="str">
        <f>IF([1]Patrimonio!C120="","",[1]Patrimonio!C120)</f>
        <v/>
      </c>
      <c r="Q123" s="3" t="str">
        <f t="shared" si="14"/>
        <v/>
      </c>
      <c r="R123" s="26" t="str">
        <f t="shared" si="8"/>
        <v/>
      </c>
      <c r="S123" s="5">
        <f t="shared" si="13"/>
        <v>0</v>
      </c>
      <c r="T123" s="5">
        <f t="shared" si="13"/>
        <v>0</v>
      </c>
      <c r="U123" s="5">
        <f t="shared" si="13"/>
        <v>0</v>
      </c>
      <c r="V123" s="5">
        <f t="shared" si="12"/>
        <v>0</v>
      </c>
    </row>
    <row r="124" spans="1:22" x14ac:dyDescent="0.2">
      <c r="A124" s="50" t="str">
        <f t="shared" si="10"/>
        <v/>
      </c>
      <c r="J124" s="3">
        <f t="shared" si="11"/>
        <v>0</v>
      </c>
      <c r="K124" s="3">
        <f t="shared" si="11"/>
        <v>0</v>
      </c>
      <c r="L124" s="3">
        <f t="shared" si="11"/>
        <v>0</v>
      </c>
      <c r="M124" s="3">
        <f t="shared" si="11"/>
        <v>0</v>
      </c>
      <c r="P124" s="3" t="str">
        <f>IF([1]Patrimonio!C121="","",[1]Patrimonio!C121)</f>
        <v/>
      </c>
      <c r="Q124" s="3" t="str">
        <f t="shared" si="14"/>
        <v/>
      </c>
      <c r="R124" s="26" t="str">
        <f t="shared" si="8"/>
        <v/>
      </c>
      <c r="S124" s="5">
        <f t="shared" si="13"/>
        <v>0</v>
      </c>
      <c r="T124" s="5">
        <f t="shared" si="13"/>
        <v>0</v>
      </c>
      <c r="U124" s="5">
        <f t="shared" si="13"/>
        <v>0</v>
      </c>
      <c r="V124" s="5">
        <f t="shared" si="12"/>
        <v>0</v>
      </c>
    </row>
    <row r="125" spans="1:22" x14ac:dyDescent="0.2">
      <c r="A125" s="50" t="str">
        <f t="shared" si="10"/>
        <v/>
      </c>
      <c r="J125" s="3">
        <f t="shared" si="11"/>
        <v>0</v>
      </c>
      <c r="K125" s="3">
        <f t="shared" si="11"/>
        <v>0</v>
      </c>
      <c r="L125" s="3">
        <f t="shared" si="11"/>
        <v>0</v>
      </c>
      <c r="M125" s="3">
        <f t="shared" si="11"/>
        <v>0</v>
      </c>
      <c r="P125" s="3" t="str">
        <f>IF([1]Patrimonio!C122="","",[1]Patrimonio!C122)</f>
        <v/>
      </c>
      <c r="Q125" s="3" t="str">
        <f t="shared" si="14"/>
        <v/>
      </c>
      <c r="R125" s="26" t="str">
        <f t="shared" si="8"/>
        <v/>
      </c>
      <c r="S125" s="5">
        <f t="shared" si="13"/>
        <v>0</v>
      </c>
      <c r="T125" s="5">
        <f t="shared" si="13"/>
        <v>0</v>
      </c>
      <c r="U125" s="5">
        <f t="shared" si="13"/>
        <v>0</v>
      </c>
      <c r="V125" s="5">
        <f t="shared" si="12"/>
        <v>0</v>
      </c>
    </row>
    <row r="126" spans="1:22" x14ac:dyDescent="0.2">
      <c r="A126" s="50" t="str">
        <f t="shared" si="10"/>
        <v/>
      </c>
      <c r="J126" s="3">
        <f t="shared" si="11"/>
        <v>0</v>
      </c>
      <c r="K126" s="3">
        <f t="shared" si="11"/>
        <v>0</v>
      </c>
      <c r="L126" s="3">
        <f t="shared" si="11"/>
        <v>0</v>
      </c>
      <c r="M126" s="3">
        <f t="shared" si="11"/>
        <v>0</v>
      </c>
      <c r="P126" s="3" t="str">
        <f>IF([1]Patrimonio!C123="","",[1]Patrimonio!C123)</f>
        <v/>
      </c>
      <c r="Q126" s="3" t="str">
        <f t="shared" si="14"/>
        <v/>
      </c>
      <c r="R126" s="26" t="str">
        <f t="shared" si="8"/>
        <v/>
      </c>
      <c r="S126" s="5">
        <f t="shared" si="13"/>
        <v>0</v>
      </c>
      <c r="T126" s="5">
        <f t="shared" si="13"/>
        <v>0</v>
      </c>
      <c r="U126" s="5">
        <f t="shared" si="13"/>
        <v>0</v>
      </c>
      <c r="V126" s="5">
        <f t="shared" si="12"/>
        <v>0</v>
      </c>
    </row>
    <row r="127" spans="1:22" x14ac:dyDescent="0.2">
      <c r="A127" s="50" t="str">
        <f t="shared" si="10"/>
        <v/>
      </c>
      <c r="J127" s="3">
        <f t="shared" si="11"/>
        <v>0</v>
      </c>
      <c r="K127" s="3">
        <f t="shared" si="11"/>
        <v>0</v>
      </c>
      <c r="L127" s="3">
        <f t="shared" si="11"/>
        <v>0</v>
      </c>
      <c r="M127" s="3">
        <f t="shared" si="11"/>
        <v>0</v>
      </c>
      <c r="P127" s="3" t="str">
        <f>IF([1]Patrimonio!C124="","",[1]Patrimonio!C124)</f>
        <v/>
      </c>
      <c r="Q127" s="3" t="str">
        <f t="shared" ref="Q127:Q158" si="15">IF(A129="","",C130)</f>
        <v/>
      </c>
      <c r="R127" s="26" t="str">
        <f t="shared" si="8"/>
        <v/>
      </c>
      <c r="S127" s="5">
        <f t="shared" si="13"/>
        <v>0</v>
      </c>
      <c r="T127" s="5">
        <f t="shared" si="13"/>
        <v>0</v>
      </c>
      <c r="U127" s="5">
        <f t="shared" si="13"/>
        <v>0</v>
      </c>
      <c r="V127" s="5">
        <f t="shared" si="12"/>
        <v>0</v>
      </c>
    </row>
    <row r="128" spans="1:22" x14ac:dyDescent="0.2">
      <c r="A128" s="50" t="str">
        <f t="shared" si="10"/>
        <v/>
      </c>
      <c r="J128" s="3">
        <f t="shared" si="11"/>
        <v>0</v>
      </c>
      <c r="K128" s="3">
        <f t="shared" si="11"/>
        <v>0</v>
      </c>
      <c r="L128" s="3">
        <f t="shared" si="11"/>
        <v>0</v>
      </c>
      <c r="M128" s="3">
        <f t="shared" si="11"/>
        <v>0</v>
      </c>
      <c r="P128" s="3" t="str">
        <f>IF([1]Patrimonio!C125="","",[1]Patrimonio!C125)</f>
        <v/>
      </c>
      <c r="Q128" s="3" t="str">
        <f t="shared" si="15"/>
        <v/>
      </c>
      <c r="R128" s="26" t="str">
        <f t="shared" si="8"/>
        <v/>
      </c>
      <c r="S128" s="5">
        <f t="shared" si="13"/>
        <v>0</v>
      </c>
      <c r="T128" s="5">
        <f t="shared" si="13"/>
        <v>0</v>
      </c>
      <c r="U128" s="5">
        <f t="shared" si="13"/>
        <v>0</v>
      </c>
      <c r="V128" s="5">
        <f t="shared" si="12"/>
        <v>0</v>
      </c>
    </row>
    <row r="129" spans="1:22" x14ac:dyDescent="0.2">
      <c r="A129" s="50" t="str">
        <f t="shared" si="10"/>
        <v/>
      </c>
      <c r="J129" s="3">
        <f t="shared" si="11"/>
        <v>0</v>
      </c>
      <c r="K129" s="3">
        <f t="shared" si="11"/>
        <v>0</v>
      </c>
      <c r="L129" s="3">
        <f t="shared" si="11"/>
        <v>0</v>
      </c>
      <c r="M129" s="3">
        <f t="shared" si="11"/>
        <v>0</v>
      </c>
      <c r="P129" s="3" t="str">
        <f>IF([1]Patrimonio!C126="","",[1]Patrimonio!C126)</f>
        <v/>
      </c>
      <c r="Q129" s="3" t="str">
        <f t="shared" si="15"/>
        <v/>
      </c>
      <c r="R129" s="26" t="str">
        <f t="shared" si="8"/>
        <v/>
      </c>
      <c r="S129" s="5">
        <f t="shared" si="13"/>
        <v>0</v>
      </c>
      <c r="T129" s="5">
        <f t="shared" si="13"/>
        <v>0</v>
      </c>
      <c r="U129" s="5">
        <f t="shared" si="13"/>
        <v>0</v>
      </c>
      <c r="V129" s="5">
        <f t="shared" si="12"/>
        <v>0</v>
      </c>
    </row>
    <row r="130" spans="1:22" x14ac:dyDescent="0.2">
      <c r="A130" s="50" t="str">
        <f t="shared" si="10"/>
        <v/>
      </c>
      <c r="J130" s="3">
        <f t="shared" si="11"/>
        <v>0</v>
      </c>
      <c r="K130" s="3">
        <f t="shared" si="11"/>
        <v>0</v>
      </c>
      <c r="L130" s="3">
        <f t="shared" si="11"/>
        <v>0</v>
      </c>
      <c r="M130" s="3">
        <f t="shared" si="11"/>
        <v>0</v>
      </c>
      <c r="P130" s="3" t="str">
        <f>IF([1]Patrimonio!C127="","",[1]Patrimonio!C127)</f>
        <v/>
      </c>
      <c r="Q130" s="3" t="str">
        <f t="shared" si="15"/>
        <v/>
      </c>
      <c r="R130" s="26" t="str">
        <f t="shared" si="8"/>
        <v/>
      </c>
      <c r="S130" s="5">
        <f t="shared" si="13"/>
        <v>0</v>
      </c>
      <c r="T130" s="5">
        <f t="shared" si="13"/>
        <v>0</v>
      </c>
      <c r="U130" s="5">
        <f t="shared" si="13"/>
        <v>0</v>
      </c>
      <c r="V130" s="5">
        <f t="shared" si="12"/>
        <v>0</v>
      </c>
    </row>
    <row r="131" spans="1:22" x14ac:dyDescent="0.2">
      <c r="A131" s="50" t="str">
        <f t="shared" si="10"/>
        <v/>
      </c>
      <c r="J131" s="3">
        <f t="shared" si="11"/>
        <v>0</v>
      </c>
      <c r="K131" s="3">
        <f t="shared" si="11"/>
        <v>0</v>
      </c>
      <c r="L131" s="3">
        <f t="shared" si="11"/>
        <v>0</v>
      </c>
      <c r="M131" s="3">
        <f t="shared" si="11"/>
        <v>0</v>
      </c>
      <c r="P131" s="3" t="str">
        <f>IF([1]Patrimonio!C128="","",[1]Patrimonio!C128)</f>
        <v/>
      </c>
      <c r="Q131" s="3" t="str">
        <f t="shared" si="15"/>
        <v/>
      </c>
      <c r="R131" s="26" t="str">
        <f t="shared" si="8"/>
        <v/>
      </c>
      <c r="S131" s="5">
        <f t="shared" si="13"/>
        <v>0</v>
      </c>
      <c r="T131" s="5">
        <f t="shared" si="13"/>
        <v>0</v>
      </c>
      <c r="U131" s="5">
        <f t="shared" si="13"/>
        <v>0</v>
      </c>
      <c r="V131" s="5">
        <f t="shared" si="12"/>
        <v>0</v>
      </c>
    </row>
    <row r="132" spans="1:22" x14ac:dyDescent="0.2">
      <c r="A132" s="50" t="str">
        <f t="shared" si="10"/>
        <v/>
      </c>
      <c r="J132" s="3">
        <f t="shared" si="11"/>
        <v>0</v>
      </c>
      <c r="K132" s="3">
        <f t="shared" si="11"/>
        <v>0</v>
      </c>
      <c r="L132" s="3">
        <f t="shared" si="11"/>
        <v>0</v>
      </c>
      <c r="M132" s="3">
        <f t="shared" si="11"/>
        <v>0</v>
      </c>
      <c r="P132" s="3" t="str">
        <f>IF([1]Patrimonio!C129="","",[1]Patrimonio!C129)</f>
        <v/>
      </c>
      <c r="Q132" s="3" t="str">
        <f t="shared" si="15"/>
        <v/>
      </c>
      <c r="R132" s="26" t="str">
        <f t="shared" si="8"/>
        <v/>
      </c>
      <c r="S132" s="5">
        <f t="shared" si="13"/>
        <v>0</v>
      </c>
      <c r="T132" s="5">
        <f t="shared" si="13"/>
        <v>0</v>
      </c>
      <c r="U132" s="5">
        <f t="shared" si="13"/>
        <v>0</v>
      </c>
      <c r="V132" s="5">
        <f t="shared" si="12"/>
        <v>0</v>
      </c>
    </row>
    <row r="133" spans="1:22" x14ac:dyDescent="0.2">
      <c r="A133" s="50" t="str">
        <f t="shared" si="10"/>
        <v/>
      </c>
      <c r="J133" s="3">
        <f t="shared" si="11"/>
        <v>0</v>
      </c>
      <c r="K133" s="3">
        <f t="shared" si="11"/>
        <v>0</v>
      </c>
      <c r="L133" s="3">
        <f t="shared" si="11"/>
        <v>0</v>
      </c>
      <c r="M133" s="3">
        <f t="shared" si="11"/>
        <v>0</v>
      </c>
      <c r="P133" s="3" t="str">
        <f>IF([1]Patrimonio!C130="","",[1]Patrimonio!C130)</f>
        <v/>
      </c>
      <c r="Q133" s="3" t="str">
        <f t="shared" si="15"/>
        <v/>
      </c>
      <c r="R133" s="26" t="str">
        <f t="shared" ref="R133:R172" si="16">IF(A135="","",H135)</f>
        <v/>
      </c>
      <c r="S133" s="5">
        <f t="shared" si="13"/>
        <v>0</v>
      </c>
      <c r="T133" s="5">
        <f t="shared" si="13"/>
        <v>0</v>
      </c>
      <c r="U133" s="5">
        <f t="shared" si="13"/>
        <v>0</v>
      </c>
      <c r="V133" s="5">
        <f t="shared" si="12"/>
        <v>0</v>
      </c>
    </row>
    <row r="134" spans="1:22" x14ac:dyDescent="0.2">
      <c r="A134" s="50" t="str">
        <f t="shared" si="10"/>
        <v/>
      </c>
      <c r="J134" s="3">
        <f t="shared" si="11"/>
        <v>0</v>
      </c>
      <c r="K134" s="3">
        <f t="shared" si="11"/>
        <v>0</v>
      </c>
      <c r="L134" s="3">
        <f t="shared" si="11"/>
        <v>0</v>
      </c>
      <c r="M134" s="3">
        <f t="shared" si="11"/>
        <v>0</v>
      </c>
      <c r="P134" s="3" t="str">
        <f>IF([1]Patrimonio!C131="","",[1]Patrimonio!C131)</f>
        <v/>
      </c>
      <c r="Q134" s="3" t="str">
        <f t="shared" si="15"/>
        <v/>
      </c>
      <c r="R134" s="26" t="str">
        <f t="shared" si="16"/>
        <v/>
      </c>
      <c r="S134" s="5">
        <f t="shared" si="13"/>
        <v>0</v>
      </c>
      <c r="T134" s="5">
        <f t="shared" si="13"/>
        <v>0</v>
      </c>
      <c r="U134" s="5">
        <f t="shared" si="13"/>
        <v>0</v>
      </c>
      <c r="V134" s="5">
        <f t="shared" si="12"/>
        <v>0</v>
      </c>
    </row>
    <row r="135" spans="1:22" x14ac:dyDescent="0.2">
      <c r="A135" s="50" t="str">
        <f t="shared" si="10"/>
        <v/>
      </c>
      <c r="J135" s="3">
        <f t="shared" si="11"/>
        <v>0</v>
      </c>
      <c r="K135" s="3">
        <f t="shared" si="11"/>
        <v>0</v>
      </c>
      <c r="L135" s="3">
        <f t="shared" si="11"/>
        <v>0</v>
      </c>
      <c r="M135" s="3">
        <f t="shared" ref="M135:M172" si="17">IF($A135="",0,VALUE(CONCATENATE(LEFT(G135,LEN(G135)-3),",",RIGHT(G135,2))))</f>
        <v>0</v>
      </c>
      <c r="P135" s="3" t="str">
        <f>IF([1]Patrimonio!C132="","",[1]Patrimonio!C132)</f>
        <v/>
      </c>
      <c r="Q135" s="3" t="str">
        <f t="shared" si="15"/>
        <v/>
      </c>
      <c r="R135" s="26" t="str">
        <f t="shared" si="16"/>
        <v/>
      </c>
      <c r="S135" s="5">
        <f t="shared" si="13"/>
        <v>0</v>
      </c>
      <c r="T135" s="5">
        <f t="shared" si="13"/>
        <v>0</v>
      </c>
      <c r="U135" s="5">
        <f t="shared" si="13"/>
        <v>0</v>
      </c>
      <c r="V135" s="5">
        <f t="shared" si="12"/>
        <v>0</v>
      </c>
    </row>
    <row r="136" spans="1:22" x14ac:dyDescent="0.2">
      <c r="A136" s="50" t="str">
        <f t="shared" ref="A136:A195" si="18">IF(P134="IBOV","^BVSP",IF(P134="","",CONCATENATE(LEFT(P134,6),".SA")))</f>
        <v/>
      </c>
      <c r="J136" s="3">
        <f t="shared" ref="J136:L172" si="19">IF($A136="",0,VALUE(CONCATENATE(LEFT(D136,LEN(D136)-3),",",RIGHT(D136,2))))</f>
        <v>0</v>
      </c>
      <c r="K136" s="3">
        <f t="shared" si="19"/>
        <v>0</v>
      </c>
      <c r="L136" s="3">
        <f t="shared" si="19"/>
        <v>0</v>
      </c>
      <c r="M136" s="3">
        <f t="shared" si="17"/>
        <v>0</v>
      </c>
      <c r="P136" s="3" t="str">
        <f>IF([1]Patrimonio!C133="","",[1]Patrimonio!C133)</f>
        <v/>
      </c>
      <c r="Q136" s="3" t="str">
        <f t="shared" si="15"/>
        <v/>
      </c>
      <c r="R136" s="26" t="str">
        <f t="shared" si="16"/>
        <v/>
      </c>
      <c r="S136" s="5">
        <f t="shared" si="13"/>
        <v>0</v>
      </c>
      <c r="T136" s="5">
        <f t="shared" si="13"/>
        <v>0</v>
      </c>
      <c r="U136" s="5">
        <f t="shared" si="13"/>
        <v>0</v>
      </c>
      <c r="V136" s="5">
        <f t="shared" si="12"/>
        <v>0</v>
      </c>
    </row>
    <row r="137" spans="1:22" x14ac:dyDescent="0.2">
      <c r="A137" s="50" t="str">
        <f t="shared" si="18"/>
        <v/>
      </c>
      <c r="J137" s="3">
        <f t="shared" si="19"/>
        <v>0</v>
      </c>
      <c r="K137" s="3">
        <f t="shared" si="19"/>
        <v>0</v>
      </c>
      <c r="L137" s="3">
        <f t="shared" si="19"/>
        <v>0</v>
      </c>
      <c r="M137" s="3">
        <f t="shared" si="17"/>
        <v>0</v>
      </c>
      <c r="P137" s="3" t="str">
        <f>IF([1]Patrimonio!C134="","",[1]Patrimonio!C134)</f>
        <v/>
      </c>
      <c r="Q137" s="3" t="str">
        <f t="shared" si="15"/>
        <v/>
      </c>
      <c r="R137" s="26" t="str">
        <f t="shared" si="16"/>
        <v/>
      </c>
      <c r="S137" s="5">
        <f t="shared" si="13"/>
        <v>0</v>
      </c>
      <c r="T137" s="5">
        <f t="shared" si="13"/>
        <v>0</v>
      </c>
      <c r="U137" s="5">
        <f t="shared" si="13"/>
        <v>0</v>
      </c>
      <c r="V137" s="5">
        <f t="shared" si="12"/>
        <v>0</v>
      </c>
    </row>
    <row r="138" spans="1:22" x14ac:dyDescent="0.2">
      <c r="A138" s="50" t="str">
        <f t="shared" si="18"/>
        <v/>
      </c>
      <c r="J138" s="3">
        <f t="shared" si="19"/>
        <v>0</v>
      </c>
      <c r="K138" s="3">
        <f t="shared" si="19"/>
        <v>0</v>
      </c>
      <c r="L138" s="3">
        <f t="shared" si="19"/>
        <v>0</v>
      </c>
      <c r="M138" s="3">
        <f t="shared" si="17"/>
        <v>0</v>
      </c>
      <c r="P138" s="3" t="str">
        <f>IF([1]Patrimonio!C135="","",[1]Patrimonio!C135)</f>
        <v/>
      </c>
      <c r="Q138" s="3" t="str">
        <f t="shared" si="15"/>
        <v/>
      </c>
      <c r="R138" s="26" t="str">
        <f t="shared" si="16"/>
        <v/>
      </c>
      <c r="S138" s="5">
        <f t="shared" si="13"/>
        <v>0</v>
      </c>
      <c r="T138" s="5">
        <f t="shared" si="13"/>
        <v>0</v>
      </c>
      <c r="U138" s="5">
        <f t="shared" si="13"/>
        <v>0</v>
      </c>
      <c r="V138" s="5">
        <f t="shared" si="12"/>
        <v>0</v>
      </c>
    </row>
    <row r="139" spans="1:22" x14ac:dyDescent="0.2">
      <c r="A139" s="50" t="str">
        <f t="shared" si="18"/>
        <v/>
      </c>
      <c r="J139" s="3">
        <f t="shared" si="19"/>
        <v>0</v>
      </c>
      <c r="K139" s="3">
        <f t="shared" si="19"/>
        <v>0</v>
      </c>
      <c r="L139" s="3">
        <f t="shared" si="19"/>
        <v>0</v>
      </c>
      <c r="M139" s="3">
        <f t="shared" si="17"/>
        <v>0</v>
      </c>
      <c r="P139" s="3" t="str">
        <f>IF([1]Patrimonio!C136="","",[1]Patrimonio!C136)</f>
        <v/>
      </c>
      <c r="Q139" s="3" t="str">
        <f t="shared" si="15"/>
        <v/>
      </c>
      <c r="R139" s="26" t="str">
        <f t="shared" si="16"/>
        <v/>
      </c>
      <c r="S139" s="5">
        <f t="shared" si="13"/>
        <v>0</v>
      </c>
      <c r="T139" s="5">
        <f t="shared" si="13"/>
        <v>0</v>
      </c>
      <c r="U139" s="5">
        <f t="shared" si="13"/>
        <v>0</v>
      </c>
      <c r="V139" s="5">
        <f t="shared" si="12"/>
        <v>0</v>
      </c>
    </row>
    <row r="140" spans="1:22" x14ac:dyDescent="0.2">
      <c r="A140" s="50" t="str">
        <f t="shared" si="18"/>
        <v/>
      </c>
      <c r="J140" s="3">
        <f t="shared" si="19"/>
        <v>0</v>
      </c>
      <c r="K140" s="3">
        <f t="shared" si="19"/>
        <v>0</v>
      </c>
      <c r="L140" s="3">
        <f t="shared" si="19"/>
        <v>0</v>
      </c>
      <c r="M140" s="3">
        <f t="shared" si="17"/>
        <v>0</v>
      </c>
      <c r="P140" s="3" t="str">
        <f>IF([1]Patrimonio!C137="","",[1]Patrimonio!C137)</f>
        <v/>
      </c>
      <c r="Q140" s="3" t="str">
        <f t="shared" si="15"/>
        <v/>
      </c>
      <c r="R140" s="26" t="str">
        <f t="shared" si="16"/>
        <v/>
      </c>
      <c r="S140" s="5">
        <f t="shared" si="13"/>
        <v>0</v>
      </c>
      <c r="T140" s="5">
        <f t="shared" si="13"/>
        <v>0</v>
      </c>
      <c r="U140" s="5">
        <f t="shared" si="13"/>
        <v>0</v>
      </c>
      <c r="V140" s="5">
        <f t="shared" si="12"/>
        <v>0</v>
      </c>
    </row>
    <row r="141" spans="1:22" x14ac:dyDescent="0.2">
      <c r="A141" s="50" t="str">
        <f t="shared" si="18"/>
        <v/>
      </c>
      <c r="J141" s="3">
        <f t="shared" si="19"/>
        <v>0</v>
      </c>
      <c r="K141" s="3">
        <f t="shared" si="19"/>
        <v>0</v>
      </c>
      <c r="L141" s="3">
        <f t="shared" si="19"/>
        <v>0</v>
      </c>
      <c r="M141" s="3">
        <f t="shared" si="17"/>
        <v>0</v>
      </c>
      <c r="P141" s="3" t="str">
        <f>IF([1]Patrimonio!C138="","",[1]Patrimonio!C138)</f>
        <v/>
      </c>
      <c r="Q141" s="3" t="str">
        <f t="shared" si="15"/>
        <v/>
      </c>
      <c r="R141" s="26" t="str">
        <f t="shared" si="16"/>
        <v/>
      </c>
      <c r="S141" s="5">
        <f t="shared" si="13"/>
        <v>0</v>
      </c>
      <c r="T141" s="5">
        <f t="shared" si="13"/>
        <v>0</v>
      </c>
      <c r="U141" s="5">
        <f t="shared" si="13"/>
        <v>0</v>
      </c>
      <c r="V141" s="5">
        <f t="shared" si="12"/>
        <v>0</v>
      </c>
    </row>
    <row r="142" spans="1:22" x14ac:dyDescent="0.2">
      <c r="A142" s="50" t="str">
        <f t="shared" si="18"/>
        <v/>
      </c>
      <c r="J142" s="3">
        <f t="shared" si="19"/>
        <v>0</v>
      </c>
      <c r="K142" s="3">
        <f t="shared" si="19"/>
        <v>0</v>
      </c>
      <c r="L142" s="3">
        <f t="shared" si="19"/>
        <v>0</v>
      </c>
      <c r="M142" s="3">
        <f t="shared" si="17"/>
        <v>0</v>
      </c>
      <c r="P142" s="3" t="str">
        <f>IF([1]Patrimonio!C139="","",[1]Patrimonio!C139)</f>
        <v/>
      </c>
      <c r="Q142" s="3" t="str">
        <f t="shared" si="15"/>
        <v/>
      </c>
      <c r="R142" s="26" t="str">
        <f t="shared" si="16"/>
        <v/>
      </c>
      <c r="S142" s="5">
        <f t="shared" si="13"/>
        <v>0</v>
      </c>
      <c r="T142" s="5">
        <f t="shared" si="13"/>
        <v>0</v>
      </c>
      <c r="U142" s="5">
        <f t="shared" si="13"/>
        <v>0</v>
      </c>
      <c r="V142" s="5">
        <f t="shared" si="12"/>
        <v>0</v>
      </c>
    </row>
    <row r="143" spans="1:22" x14ac:dyDescent="0.2">
      <c r="A143" s="50" t="str">
        <f t="shared" si="18"/>
        <v/>
      </c>
      <c r="J143" s="3">
        <f t="shared" si="19"/>
        <v>0</v>
      </c>
      <c r="K143" s="3">
        <f t="shared" si="19"/>
        <v>0</v>
      </c>
      <c r="L143" s="3">
        <f t="shared" si="19"/>
        <v>0</v>
      </c>
      <c r="M143" s="3">
        <f t="shared" si="17"/>
        <v>0</v>
      </c>
      <c r="P143" s="3" t="str">
        <f>IF([1]Patrimonio!C140="","",[1]Patrimonio!C140)</f>
        <v/>
      </c>
      <c r="Q143" s="3" t="str">
        <f t="shared" si="15"/>
        <v/>
      </c>
      <c r="R143" s="26" t="str">
        <f t="shared" si="16"/>
        <v/>
      </c>
      <c r="S143" s="5">
        <f t="shared" si="13"/>
        <v>0</v>
      </c>
      <c r="T143" s="5">
        <f t="shared" si="13"/>
        <v>0</v>
      </c>
      <c r="U143" s="5">
        <f t="shared" si="13"/>
        <v>0</v>
      </c>
      <c r="V143" s="5">
        <f t="shared" si="12"/>
        <v>0</v>
      </c>
    </row>
    <row r="144" spans="1:22" x14ac:dyDescent="0.2">
      <c r="A144" s="50" t="str">
        <f t="shared" si="18"/>
        <v/>
      </c>
      <c r="J144" s="3">
        <f t="shared" si="19"/>
        <v>0</v>
      </c>
      <c r="K144" s="3">
        <f t="shared" si="19"/>
        <v>0</v>
      </c>
      <c r="L144" s="3">
        <f t="shared" si="19"/>
        <v>0</v>
      </c>
      <c r="M144" s="3">
        <f t="shared" si="17"/>
        <v>0</v>
      </c>
      <c r="P144" s="3" t="str">
        <f>IF([1]Patrimonio!C141="","",[1]Patrimonio!C141)</f>
        <v/>
      </c>
      <c r="Q144" s="3" t="str">
        <f t="shared" si="15"/>
        <v/>
      </c>
      <c r="R144" s="26" t="str">
        <f t="shared" si="16"/>
        <v/>
      </c>
      <c r="S144" s="5">
        <f t="shared" si="13"/>
        <v>0</v>
      </c>
      <c r="T144" s="5">
        <f t="shared" si="13"/>
        <v>0</v>
      </c>
      <c r="U144" s="5">
        <f t="shared" si="13"/>
        <v>0</v>
      </c>
      <c r="V144" s="5">
        <f t="shared" si="12"/>
        <v>0</v>
      </c>
    </row>
    <row r="145" spans="1:22" x14ac:dyDescent="0.2">
      <c r="A145" s="50" t="str">
        <f t="shared" si="18"/>
        <v/>
      </c>
      <c r="J145" s="3">
        <f t="shared" si="19"/>
        <v>0</v>
      </c>
      <c r="K145" s="3">
        <f t="shared" si="19"/>
        <v>0</v>
      </c>
      <c r="L145" s="3">
        <f t="shared" si="19"/>
        <v>0</v>
      </c>
      <c r="M145" s="3">
        <f t="shared" si="17"/>
        <v>0</v>
      </c>
      <c r="P145" s="3" t="str">
        <f>IF([1]Patrimonio!C142="","",[1]Patrimonio!C142)</f>
        <v/>
      </c>
      <c r="Q145" s="3" t="str">
        <f t="shared" si="15"/>
        <v/>
      </c>
      <c r="R145" s="26" t="str">
        <f t="shared" si="16"/>
        <v/>
      </c>
      <c r="S145" s="5">
        <f t="shared" si="13"/>
        <v>0</v>
      </c>
      <c r="T145" s="5">
        <f t="shared" si="13"/>
        <v>0</v>
      </c>
      <c r="U145" s="5">
        <f t="shared" si="13"/>
        <v>0</v>
      </c>
      <c r="V145" s="5">
        <f t="shared" si="12"/>
        <v>0</v>
      </c>
    </row>
    <row r="146" spans="1:22" x14ac:dyDescent="0.2">
      <c r="A146" s="50" t="str">
        <f t="shared" si="18"/>
        <v/>
      </c>
      <c r="J146" s="3">
        <f t="shared" si="19"/>
        <v>0</v>
      </c>
      <c r="K146" s="3">
        <f t="shared" si="19"/>
        <v>0</v>
      </c>
      <c r="L146" s="3">
        <f t="shared" si="19"/>
        <v>0</v>
      </c>
      <c r="M146" s="3">
        <f t="shared" si="17"/>
        <v>0</v>
      </c>
      <c r="P146" s="3" t="str">
        <f>IF([1]Patrimonio!C143="","",[1]Patrimonio!C143)</f>
        <v/>
      </c>
      <c r="Q146" s="3" t="str">
        <f t="shared" si="15"/>
        <v/>
      </c>
      <c r="R146" s="26" t="str">
        <f t="shared" si="16"/>
        <v/>
      </c>
      <c r="S146" s="5">
        <f t="shared" si="13"/>
        <v>0</v>
      </c>
      <c r="T146" s="5">
        <f t="shared" si="13"/>
        <v>0</v>
      </c>
      <c r="U146" s="5">
        <f t="shared" si="13"/>
        <v>0</v>
      </c>
      <c r="V146" s="5">
        <f t="shared" si="12"/>
        <v>0</v>
      </c>
    </row>
    <row r="147" spans="1:22" x14ac:dyDescent="0.2">
      <c r="A147" s="50" t="str">
        <f t="shared" si="18"/>
        <v/>
      </c>
      <c r="J147" s="3">
        <f t="shared" si="19"/>
        <v>0</v>
      </c>
      <c r="K147" s="3">
        <f t="shared" si="19"/>
        <v>0</v>
      </c>
      <c r="L147" s="3">
        <f t="shared" si="19"/>
        <v>0</v>
      </c>
      <c r="M147" s="3">
        <f t="shared" si="17"/>
        <v>0</v>
      </c>
      <c r="P147" s="3" t="str">
        <f>IF([1]Patrimonio!C144="","",[1]Patrimonio!C144)</f>
        <v/>
      </c>
      <c r="Q147" s="3" t="str">
        <f t="shared" si="15"/>
        <v/>
      </c>
      <c r="R147" s="26" t="str">
        <f t="shared" si="16"/>
        <v/>
      </c>
      <c r="S147" s="5">
        <f t="shared" si="13"/>
        <v>0</v>
      </c>
      <c r="T147" s="5">
        <f t="shared" si="13"/>
        <v>0</v>
      </c>
      <c r="U147" s="5">
        <f t="shared" si="13"/>
        <v>0</v>
      </c>
      <c r="V147" s="5">
        <f t="shared" si="12"/>
        <v>0</v>
      </c>
    </row>
    <row r="148" spans="1:22" x14ac:dyDescent="0.2">
      <c r="A148" s="50" t="str">
        <f t="shared" si="18"/>
        <v/>
      </c>
      <c r="J148" s="3">
        <f t="shared" si="19"/>
        <v>0</v>
      </c>
      <c r="K148" s="3">
        <f t="shared" si="19"/>
        <v>0</v>
      </c>
      <c r="L148" s="3">
        <f t="shared" si="19"/>
        <v>0</v>
      </c>
      <c r="M148" s="3">
        <f t="shared" si="17"/>
        <v>0</v>
      </c>
      <c r="P148" s="3" t="str">
        <f>IF([1]Patrimonio!C145="","",[1]Patrimonio!C145)</f>
        <v/>
      </c>
      <c r="Q148" s="3" t="str">
        <f t="shared" si="15"/>
        <v/>
      </c>
      <c r="R148" s="26" t="str">
        <f t="shared" si="16"/>
        <v/>
      </c>
      <c r="S148" s="5">
        <f t="shared" si="13"/>
        <v>0</v>
      </c>
      <c r="T148" s="5">
        <f t="shared" si="13"/>
        <v>0</v>
      </c>
      <c r="U148" s="5">
        <f t="shared" si="13"/>
        <v>0</v>
      </c>
      <c r="V148" s="5">
        <f t="shared" si="12"/>
        <v>0</v>
      </c>
    </row>
    <row r="149" spans="1:22" x14ac:dyDescent="0.2">
      <c r="A149" s="50" t="str">
        <f t="shared" si="18"/>
        <v/>
      </c>
      <c r="J149" s="3">
        <f t="shared" si="19"/>
        <v>0</v>
      </c>
      <c r="K149" s="3">
        <f t="shared" si="19"/>
        <v>0</v>
      </c>
      <c r="L149" s="3">
        <f t="shared" si="19"/>
        <v>0</v>
      </c>
      <c r="M149" s="3">
        <f t="shared" si="17"/>
        <v>0</v>
      </c>
      <c r="P149" s="3" t="str">
        <f>IF([1]Patrimonio!C146="","",[1]Patrimonio!C146)</f>
        <v/>
      </c>
      <c r="Q149" s="3" t="str">
        <f t="shared" si="15"/>
        <v/>
      </c>
      <c r="R149" s="26" t="str">
        <f t="shared" si="16"/>
        <v/>
      </c>
      <c r="S149" s="5">
        <f t="shared" si="13"/>
        <v>0</v>
      </c>
      <c r="T149" s="5">
        <f t="shared" si="13"/>
        <v>0</v>
      </c>
      <c r="U149" s="5">
        <f t="shared" si="13"/>
        <v>0</v>
      </c>
      <c r="V149" s="5">
        <f t="shared" si="13"/>
        <v>0</v>
      </c>
    </row>
    <row r="150" spans="1:22" x14ac:dyDescent="0.2">
      <c r="A150" s="50" t="str">
        <f t="shared" si="18"/>
        <v/>
      </c>
      <c r="J150" s="3">
        <f t="shared" si="19"/>
        <v>0</v>
      </c>
      <c r="K150" s="3">
        <f t="shared" si="19"/>
        <v>0</v>
      </c>
      <c r="L150" s="3">
        <f t="shared" si="19"/>
        <v>0</v>
      </c>
      <c r="M150" s="3">
        <f t="shared" si="17"/>
        <v>0</v>
      </c>
      <c r="P150" s="3" t="str">
        <f>IF([1]Patrimonio!C147="","",[1]Patrimonio!C147)</f>
        <v/>
      </c>
      <c r="Q150" s="3" t="str">
        <f t="shared" si="15"/>
        <v/>
      </c>
      <c r="R150" s="26" t="str">
        <f t="shared" si="16"/>
        <v/>
      </c>
      <c r="S150" s="5">
        <f t="shared" ref="S150:V172" si="20">J152</f>
        <v>0</v>
      </c>
      <c r="T150" s="5">
        <f t="shared" si="20"/>
        <v>0</v>
      </c>
      <c r="U150" s="5">
        <f t="shared" si="20"/>
        <v>0</v>
      </c>
      <c r="V150" s="5">
        <f t="shared" si="20"/>
        <v>0</v>
      </c>
    </row>
    <row r="151" spans="1:22" x14ac:dyDescent="0.2">
      <c r="A151" s="50" t="str">
        <f t="shared" si="18"/>
        <v/>
      </c>
      <c r="J151" s="3">
        <f t="shared" si="19"/>
        <v>0</v>
      </c>
      <c r="K151" s="3">
        <f t="shared" si="19"/>
        <v>0</v>
      </c>
      <c r="L151" s="3">
        <f t="shared" si="19"/>
        <v>0</v>
      </c>
      <c r="M151" s="3">
        <f t="shared" si="17"/>
        <v>0</v>
      </c>
      <c r="P151" s="3" t="str">
        <f>IF([1]Patrimonio!C148="","",[1]Patrimonio!C148)</f>
        <v/>
      </c>
      <c r="Q151" s="3" t="str">
        <f t="shared" si="15"/>
        <v/>
      </c>
      <c r="R151" s="26" t="str">
        <f t="shared" si="16"/>
        <v/>
      </c>
      <c r="S151" s="5">
        <f t="shared" si="20"/>
        <v>0</v>
      </c>
      <c r="T151" s="5">
        <f t="shared" si="20"/>
        <v>0</v>
      </c>
      <c r="U151" s="5">
        <f t="shared" si="20"/>
        <v>0</v>
      </c>
      <c r="V151" s="5">
        <f t="shared" si="20"/>
        <v>0</v>
      </c>
    </row>
    <row r="152" spans="1:22" x14ac:dyDescent="0.2">
      <c r="A152" s="50" t="str">
        <f t="shared" si="18"/>
        <v/>
      </c>
      <c r="J152" s="3">
        <f t="shared" si="19"/>
        <v>0</v>
      </c>
      <c r="K152" s="3">
        <f t="shared" si="19"/>
        <v>0</v>
      </c>
      <c r="L152" s="3">
        <f t="shared" si="19"/>
        <v>0</v>
      </c>
      <c r="M152" s="3">
        <f t="shared" si="17"/>
        <v>0</v>
      </c>
      <c r="P152" s="3" t="str">
        <f>IF([1]Patrimonio!C149="","",[1]Patrimonio!C149)</f>
        <v/>
      </c>
      <c r="Q152" s="3" t="str">
        <f t="shared" si="15"/>
        <v/>
      </c>
      <c r="R152" s="26" t="str">
        <f t="shared" si="16"/>
        <v/>
      </c>
      <c r="S152" s="5">
        <f t="shared" si="20"/>
        <v>0</v>
      </c>
      <c r="T152" s="5">
        <f t="shared" si="20"/>
        <v>0</v>
      </c>
      <c r="U152" s="5">
        <f t="shared" si="20"/>
        <v>0</v>
      </c>
      <c r="V152" s="5">
        <f t="shared" si="20"/>
        <v>0</v>
      </c>
    </row>
    <row r="153" spans="1:22" x14ac:dyDescent="0.2">
      <c r="A153" s="50" t="str">
        <f t="shared" si="18"/>
        <v/>
      </c>
      <c r="J153" s="3">
        <f t="shared" si="19"/>
        <v>0</v>
      </c>
      <c r="K153" s="3">
        <f t="shared" si="19"/>
        <v>0</v>
      </c>
      <c r="L153" s="3">
        <f t="shared" si="19"/>
        <v>0</v>
      </c>
      <c r="M153" s="3">
        <f t="shared" si="17"/>
        <v>0</v>
      </c>
      <c r="P153" s="3" t="str">
        <f>IF([1]Patrimonio!C150="","",[1]Patrimonio!C150)</f>
        <v/>
      </c>
      <c r="Q153" s="3" t="str">
        <f t="shared" si="15"/>
        <v/>
      </c>
      <c r="R153" s="26" t="str">
        <f t="shared" si="16"/>
        <v/>
      </c>
      <c r="S153" s="5">
        <f t="shared" si="20"/>
        <v>0</v>
      </c>
      <c r="T153" s="5">
        <f t="shared" si="20"/>
        <v>0</v>
      </c>
      <c r="U153" s="5">
        <f t="shared" si="20"/>
        <v>0</v>
      </c>
      <c r="V153" s="5">
        <f t="shared" si="20"/>
        <v>0</v>
      </c>
    </row>
    <row r="154" spans="1:22" x14ac:dyDescent="0.2">
      <c r="A154" s="50" t="str">
        <f t="shared" si="18"/>
        <v/>
      </c>
      <c r="J154" s="3">
        <f t="shared" si="19"/>
        <v>0</v>
      </c>
      <c r="K154" s="3">
        <f t="shared" si="19"/>
        <v>0</v>
      </c>
      <c r="L154" s="3">
        <f t="shared" si="19"/>
        <v>0</v>
      </c>
      <c r="M154" s="3">
        <f t="shared" si="17"/>
        <v>0</v>
      </c>
      <c r="P154" s="3" t="str">
        <f>IF([1]Patrimonio!C151="","",[1]Patrimonio!C151)</f>
        <v/>
      </c>
      <c r="Q154" s="3" t="str">
        <f t="shared" si="15"/>
        <v/>
      </c>
      <c r="R154" s="26" t="str">
        <f t="shared" si="16"/>
        <v/>
      </c>
      <c r="S154" s="5">
        <f t="shared" si="20"/>
        <v>0</v>
      </c>
      <c r="T154" s="5">
        <f t="shared" si="20"/>
        <v>0</v>
      </c>
      <c r="U154" s="5">
        <f t="shared" si="20"/>
        <v>0</v>
      </c>
      <c r="V154" s="5">
        <f t="shared" si="20"/>
        <v>0</v>
      </c>
    </row>
    <row r="155" spans="1:22" x14ac:dyDescent="0.2">
      <c r="A155" s="50" t="str">
        <f t="shared" si="18"/>
        <v/>
      </c>
      <c r="J155" s="3">
        <f t="shared" si="19"/>
        <v>0</v>
      </c>
      <c r="K155" s="3">
        <f t="shared" si="19"/>
        <v>0</v>
      </c>
      <c r="L155" s="3">
        <f t="shared" si="19"/>
        <v>0</v>
      </c>
      <c r="M155" s="3">
        <f t="shared" si="17"/>
        <v>0</v>
      </c>
      <c r="P155" s="3" t="str">
        <f>IF([1]Patrimonio!C152="","",[1]Patrimonio!C152)</f>
        <v/>
      </c>
      <c r="Q155" s="3" t="str">
        <f t="shared" si="15"/>
        <v/>
      </c>
      <c r="R155" s="26" t="str">
        <f t="shared" si="16"/>
        <v/>
      </c>
      <c r="S155" s="5">
        <f t="shared" si="20"/>
        <v>0</v>
      </c>
      <c r="T155" s="5">
        <f t="shared" si="20"/>
        <v>0</v>
      </c>
      <c r="U155" s="5">
        <f t="shared" si="20"/>
        <v>0</v>
      </c>
      <c r="V155" s="5">
        <f t="shared" si="20"/>
        <v>0</v>
      </c>
    </row>
    <row r="156" spans="1:22" x14ac:dyDescent="0.2">
      <c r="A156" s="50" t="str">
        <f t="shared" si="18"/>
        <v/>
      </c>
      <c r="J156" s="3">
        <f t="shared" si="19"/>
        <v>0</v>
      </c>
      <c r="K156" s="3">
        <f t="shared" si="19"/>
        <v>0</v>
      </c>
      <c r="L156" s="3">
        <f t="shared" si="19"/>
        <v>0</v>
      </c>
      <c r="M156" s="3">
        <f t="shared" si="17"/>
        <v>0</v>
      </c>
      <c r="P156" s="3" t="str">
        <f>IF([1]Patrimonio!C153="","",[1]Patrimonio!C153)</f>
        <v/>
      </c>
      <c r="Q156" s="3" t="str">
        <f t="shared" si="15"/>
        <v/>
      </c>
      <c r="R156" s="26" t="str">
        <f t="shared" si="16"/>
        <v/>
      </c>
      <c r="S156" s="5">
        <f t="shared" si="20"/>
        <v>0</v>
      </c>
      <c r="T156" s="5">
        <f t="shared" si="20"/>
        <v>0</v>
      </c>
      <c r="U156" s="5">
        <f t="shared" si="20"/>
        <v>0</v>
      </c>
      <c r="V156" s="5">
        <f t="shared" si="20"/>
        <v>0</v>
      </c>
    </row>
    <row r="157" spans="1:22" x14ac:dyDescent="0.2">
      <c r="A157" s="50" t="str">
        <f t="shared" si="18"/>
        <v/>
      </c>
      <c r="J157" s="3">
        <f t="shared" si="19"/>
        <v>0</v>
      </c>
      <c r="K157" s="3">
        <f t="shared" si="19"/>
        <v>0</v>
      </c>
      <c r="L157" s="3">
        <f t="shared" si="19"/>
        <v>0</v>
      </c>
      <c r="M157" s="3">
        <f t="shared" si="17"/>
        <v>0</v>
      </c>
      <c r="P157" s="3" t="str">
        <f>IF([1]Patrimonio!C154="","",[1]Patrimonio!C154)</f>
        <v/>
      </c>
      <c r="Q157" s="3" t="str">
        <f t="shared" si="15"/>
        <v/>
      </c>
      <c r="R157" s="26" t="str">
        <f t="shared" si="16"/>
        <v/>
      </c>
      <c r="S157" s="5">
        <f t="shared" si="20"/>
        <v>0</v>
      </c>
      <c r="T157" s="5">
        <f t="shared" si="20"/>
        <v>0</v>
      </c>
      <c r="U157" s="5">
        <f t="shared" si="20"/>
        <v>0</v>
      </c>
      <c r="V157" s="5">
        <f t="shared" si="20"/>
        <v>0</v>
      </c>
    </row>
    <row r="158" spans="1:22" x14ac:dyDescent="0.2">
      <c r="A158" s="50" t="str">
        <f t="shared" si="18"/>
        <v/>
      </c>
      <c r="J158" s="3">
        <f t="shared" si="19"/>
        <v>0</v>
      </c>
      <c r="K158" s="3">
        <f t="shared" si="19"/>
        <v>0</v>
      </c>
      <c r="L158" s="3">
        <f t="shared" si="19"/>
        <v>0</v>
      </c>
      <c r="M158" s="3">
        <f t="shared" si="17"/>
        <v>0</v>
      </c>
      <c r="P158" s="3" t="str">
        <f>IF([1]Patrimonio!C155="","",[1]Patrimonio!C155)</f>
        <v/>
      </c>
      <c r="Q158" s="3" t="str">
        <f t="shared" si="15"/>
        <v/>
      </c>
      <c r="R158" s="26" t="str">
        <f t="shared" si="16"/>
        <v/>
      </c>
      <c r="S158" s="5">
        <f t="shared" si="20"/>
        <v>0</v>
      </c>
      <c r="T158" s="5">
        <f t="shared" si="20"/>
        <v>0</v>
      </c>
      <c r="U158" s="5">
        <f t="shared" si="20"/>
        <v>0</v>
      </c>
      <c r="V158" s="5">
        <f t="shared" si="20"/>
        <v>0</v>
      </c>
    </row>
    <row r="159" spans="1:22" x14ac:dyDescent="0.2">
      <c r="A159" s="50" t="str">
        <f t="shared" si="18"/>
        <v/>
      </c>
      <c r="J159" s="3">
        <f t="shared" si="19"/>
        <v>0</v>
      </c>
      <c r="K159" s="3">
        <f t="shared" si="19"/>
        <v>0</v>
      </c>
      <c r="L159" s="3">
        <f t="shared" si="19"/>
        <v>0</v>
      </c>
      <c r="M159" s="3">
        <f t="shared" si="17"/>
        <v>0</v>
      </c>
      <c r="P159" s="3" t="str">
        <f>IF([1]Patrimonio!C156="","",[1]Patrimonio!C156)</f>
        <v/>
      </c>
      <c r="Q159" s="3" t="str">
        <f t="shared" ref="Q159:Q172" si="21">IF(A161="","",C162)</f>
        <v/>
      </c>
      <c r="R159" s="26" t="str">
        <f t="shared" si="16"/>
        <v/>
      </c>
      <c r="S159" s="5">
        <f t="shared" si="20"/>
        <v>0</v>
      </c>
      <c r="T159" s="5">
        <f t="shared" si="20"/>
        <v>0</v>
      </c>
      <c r="U159" s="5">
        <f t="shared" si="20"/>
        <v>0</v>
      </c>
      <c r="V159" s="5">
        <f t="shared" si="20"/>
        <v>0</v>
      </c>
    </row>
    <row r="160" spans="1:22" x14ac:dyDescent="0.2">
      <c r="A160" s="50" t="str">
        <f t="shared" si="18"/>
        <v/>
      </c>
      <c r="J160" s="3">
        <f t="shared" si="19"/>
        <v>0</v>
      </c>
      <c r="K160" s="3">
        <f t="shared" si="19"/>
        <v>0</v>
      </c>
      <c r="L160" s="3">
        <f t="shared" si="19"/>
        <v>0</v>
      </c>
      <c r="M160" s="3">
        <f t="shared" si="17"/>
        <v>0</v>
      </c>
      <c r="P160" s="3" t="str">
        <f>IF([1]Patrimonio!C157="","",[1]Patrimonio!C157)</f>
        <v/>
      </c>
      <c r="Q160" s="3" t="str">
        <f t="shared" si="21"/>
        <v/>
      </c>
      <c r="R160" s="26" t="str">
        <f t="shared" si="16"/>
        <v/>
      </c>
      <c r="S160" s="5">
        <f t="shared" si="20"/>
        <v>0</v>
      </c>
      <c r="T160" s="5">
        <f t="shared" si="20"/>
        <v>0</v>
      </c>
      <c r="U160" s="5">
        <f t="shared" si="20"/>
        <v>0</v>
      </c>
      <c r="V160" s="5">
        <f t="shared" si="20"/>
        <v>0</v>
      </c>
    </row>
    <row r="161" spans="1:22" x14ac:dyDescent="0.2">
      <c r="A161" s="50" t="str">
        <f t="shared" si="18"/>
        <v/>
      </c>
      <c r="J161" s="3">
        <f t="shared" si="19"/>
        <v>0</v>
      </c>
      <c r="K161" s="3">
        <f t="shared" si="19"/>
        <v>0</v>
      </c>
      <c r="L161" s="3">
        <f t="shared" si="19"/>
        <v>0</v>
      </c>
      <c r="M161" s="3">
        <f t="shared" si="17"/>
        <v>0</v>
      </c>
      <c r="P161" s="3" t="str">
        <f>IF([1]Patrimonio!C158="","",[1]Patrimonio!C158)</f>
        <v/>
      </c>
      <c r="Q161" s="3" t="str">
        <f t="shared" si="21"/>
        <v/>
      </c>
      <c r="R161" s="26" t="str">
        <f t="shared" si="16"/>
        <v/>
      </c>
      <c r="S161" s="5">
        <f t="shared" si="20"/>
        <v>0</v>
      </c>
      <c r="T161" s="5">
        <f t="shared" si="20"/>
        <v>0</v>
      </c>
      <c r="U161" s="5">
        <f t="shared" si="20"/>
        <v>0</v>
      </c>
      <c r="V161" s="5">
        <f t="shared" si="20"/>
        <v>0</v>
      </c>
    </row>
    <row r="162" spans="1:22" x14ac:dyDescent="0.2">
      <c r="A162" s="50" t="str">
        <f t="shared" si="18"/>
        <v/>
      </c>
      <c r="J162" s="3">
        <f t="shared" si="19"/>
        <v>0</v>
      </c>
      <c r="K162" s="3">
        <f t="shared" si="19"/>
        <v>0</v>
      </c>
      <c r="L162" s="3">
        <f t="shared" si="19"/>
        <v>0</v>
      </c>
      <c r="M162" s="3">
        <f t="shared" si="17"/>
        <v>0</v>
      </c>
      <c r="P162" s="3" t="str">
        <f>IF([1]Patrimonio!C159="","",[1]Patrimonio!C159)</f>
        <v/>
      </c>
      <c r="Q162" s="3" t="str">
        <f t="shared" si="21"/>
        <v/>
      </c>
      <c r="R162" s="26" t="str">
        <f t="shared" si="16"/>
        <v/>
      </c>
      <c r="S162" s="5">
        <f t="shared" si="20"/>
        <v>0</v>
      </c>
      <c r="T162" s="5">
        <f t="shared" si="20"/>
        <v>0</v>
      </c>
      <c r="U162" s="5">
        <f t="shared" si="20"/>
        <v>0</v>
      </c>
      <c r="V162" s="5">
        <f t="shared" si="20"/>
        <v>0</v>
      </c>
    </row>
    <row r="163" spans="1:22" x14ac:dyDescent="0.2">
      <c r="A163" s="50" t="str">
        <f t="shared" si="18"/>
        <v/>
      </c>
      <c r="J163" s="3">
        <f t="shared" si="19"/>
        <v>0</v>
      </c>
      <c r="K163" s="3">
        <f t="shared" si="19"/>
        <v>0</v>
      </c>
      <c r="L163" s="3">
        <f t="shared" si="19"/>
        <v>0</v>
      </c>
      <c r="M163" s="3">
        <f t="shared" si="17"/>
        <v>0</v>
      </c>
      <c r="P163" s="3" t="str">
        <f>IF([1]Patrimonio!C160="","",[1]Patrimonio!C160)</f>
        <v/>
      </c>
      <c r="Q163" s="3" t="str">
        <f t="shared" si="21"/>
        <v/>
      </c>
      <c r="R163" s="26" t="str">
        <f t="shared" si="16"/>
        <v/>
      </c>
      <c r="S163" s="5">
        <f t="shared" si="20"/>
        <v>0</v>
      </c>
      <c r="T163" s="5">
        <f t="shared" si="20"/>
        <v>0</v>
      </c>
      <c r="U163" s="5">
        <f t="shared" si="20"/>
        <v>0</v>
      </c>
      <c r="V163" s="5">
        <f t="shared" si="20"/>
        <v>0</v>
      </c>
    </row>
    <row r="164" spans="1:22" x14ac:dyDescent="0.2">
      <c r="A164" s="50" t="str">
        <f t="shared" si="18"/>
        <v/>
      </c>
      <c r="J164" s="3">
        <f t="shared" si="19"/>
        <v>0</v>
      </c>
      <c r="K164" s="3">
        <f t="shared" si="19"/>
        <v>0</v>
      </c>
      <c r="L164" s="3">
        <f t="shared" si="19"/>
        <v>0</v>
      </c>
      <c r="M164" s="3">
        <f t="shared" si="17"/>
        <v>0</v>
      </c>
      <c r="P164" s="3" t="str">
        <f>IF([1]Patrimonio!C161="","",[1]Patrimonio!C161)</f>
        <v/>
      </c>
      <c r="Q164" s="3" t="str">
        <f t="shared" si="21"/>
        <v/>
      </c>
      <c r="R164" s="26" t="str">
        <f t="shared" si="16"/>
        <v/>
      </c>
      <c r="S164" s="5">
        <f t="shared" si="20"/>
        <v>0</v>
      </c>
      <c r="T164" s="5">
        <f t="shared" si="20"/>
        <v>0</v>
      </c>
      <c r="U164" s="5">
        <f t="shared" si="20"/>
        <v>0</v>
      </c>
      <c r="V164" s="5">
        <f t="shared" si="20"/>
        <v>0</v>
      </c>
    </row>
    <row r="165" spans="1:22" x14ac:dyDescent="0.2">
      <c r="A165" s="50" t="str">
        <f t="shared" si="18"/>
        <v/>
      </c>
      <c r="J165" s="3">
        <f t="shared" si="19"/>
        <v>0</v>
      </c>
      <c r="K165" s="3">
        <f t="shared" si="19"/>
        <v>0</v>
      </c>
      <c r="L165" s="3">
        <f t="shared" si="19"/>
        <v>0</v>
      </c>
      <c r="M165" s="3">
        <f t="shared" si="17"/>
        <v>0</v>
      </c>
      <c r="P165" s="3" t="str">
        <f>IF([1]Patrimonio!C162="","",[1]Patrimonio!C162)</f>
        <v/>
      </c>
      <c r="Q165" s="3" t="str">
        <f t="shared" si="21"/>
        <v/>
      </c>
      <c r="R165" s="26" t="str">
        <f t="shared" si="16"/>
        <v/>
      </c>
      <c r="S165" s="5">
        <f t="shared" si="20"/>
        <v>0</v>
      </c>
      <c r="T165" s="5">
        <f t="shared" si="20"/>
        <v>0</v>
      </c>
      <c r="U165" s="5">
        <f t="shared" si="20"/>
        <v>0</v>
      </c>
      <c r="V165" s="5">
        <f t="shared" si="20"/>
        <v>0</v>
      </c>
    </row>
    <row r="166" spans="1:22" x14ac:dyDescent="0.2">
      <c r="A166" s="50" t="str">
        <f t="shared" si="18"/>
        <v/>
      </c>
      <c r="J166" s="3">
        <f t="shared" si="19"/>
        <v>0</v>
      </c>
      <c r="K166" s="3">
        <f t="shared" si="19"/>
        <v>0</v>
      </c>
      <c r="L166" s="3">
        <f t="shared" si="19"/>
        <v>0</v>
      </c>
      <c r="M166" s="3">
        <f t="shared" si="17"/>
        <v>0</v>
      </c>
      <c r="P166" s="3" t="str">
        <f>IF([1]Patrimonio!C163="","",[1]Patrimonio!C163)</f>
        <v/>
      </c>
      <c r="Q166" s="3" t="str">
        <f t="shared" si="21"/>
        <v/>
      </c>
      <c r="R166" s="26" t="str">
        <f t="shared" si="16"/>
        <v/>
      </c>
      <c r="S166" s="5">
        <f t="shared" si="20"/>
        <v>0</v>
      </c>
      <c r="T166" s="5">
        <f t="shared" si="20"/>
        <v>0</v>
      </c>
      <c r="U166" s="5">
        <f t="shared" si="20"/>
        <v>0</v>
      </c>
      <c r="V166" s="5">
        <f t="shared" si="20"/>
        <v>0</v>
      </c>
    </row>
    <row r="167" spans="1:22" x14ac:dyDescent="0.2">
      <c r="A167" s="50" t="str">
        <f t="shared" si="18"/>
        <v/>
      </c>
      <c r="J167" s="3">
        <f t="shared" si="19"/>
        <v>0</v>
      </c>
      <c r="K167" s="3">
        <f t="shared" si="19"/>
        <v>0</v>
      </c>
      <c r="L167" s="3">
        <f t="shared" si="19"/>
        <v>0</v>
      </c>
      <c r="M167" s="3">
        <f t="shared" si="17"/>
        <v>0</v>
      </c>
      <c r="P167" s="3" t="str">
        <f>IF([1]Patrimonio!C164="","",[1]Patrimonio!C164)</f>
        <v/>
      </c>
      <c r="Q167" s="3" t="str">
        <f t="shared" si="21"/>
        <v/>
      </c>
      <c r="R167" s="26" t="str">
        <f t="shared" si="16"/>
        <v/>
      </c>
      <c r="S167" s="5">
        <f t="shared" si="20"/>
        <v>0</v>
      </c>
      <c r="T167" s="5">
        <f t="shared" si="20"/>
        <v>0</v>
      </c>
      <c r="U167" s="5">
        <f t="shared" si="20"/>
        <v>0</v>
      </c>
      <c r="V167" s="5">
        <f t="shared" si="20"/>
        <v>0</v>
      </c>
    </row>
    <row r="168" spans="1:22" x14ac:dyDescent="0.2">
      <c r="A168" s="50" t="str">
        <f t="shared" si="18"/>
        <v/>
      </c>
      <c r="J168" s="3">
        <f t="shared" si="19"/>
        <v>0</v>
      </c>
      <c r="K168" s="3">
        <f t="shared" si="19"/>
        <v>0</v>
      </c>
      <c r="L168" s="3">
        <f t="shared" si="19"/>
        <v>0</v>
      </c>
      <c r="M168" s="3">
        <f t="shared" si="17"/>
        <v>0</v>
      </c>
      <c r="P168" s="3" t="str">
        <f>IF([1]Patrimonio!C165="","",[1]Patrimonio!C165)</f>
        <v/>
      </c>
      <c r="Q168" s="3" t="str">
        <f t="shared" si="21"/>
        <v/>
      </c>
      <c r="R168" s="26" t="str">
        <f t="shared" si="16"/>
        <v/>
      </c>
      <c r="S168" s="5">
        <f t="shared" si="20"/>
        <v>0</v>
      </c>
      <c r="T168" s="5">
        <f t="shared" si="20"/>
        <v>0</v>
      </c>
      <c r="U168" s="5">
        <f t="shared" si="20"/>
        <v>0</v>
      </c>
      <c r="V168" s="5">
        <f t="shared" si="20"/>
        <v>0</v>
      </c>
    </row>
    <row r="169" spans="1:22" x14ac:dyDescent="0.2">
      <c r="A169" s="50" t="str">
        <f t="shared" si="18"/>
        <v/>
      </c>
      <c r="J169" s="3">
        <f t="shared" si="19"/>
        <v>0</v>
      </c>
      <c r="K169" s="3">
        <f t="shared" si="19"/>
        <v>0</v>
      </c>
      <c r="L169" s="3">
        <f t="shared" si="19"/>
        <v>0</v>
      </c>
      <c r="M169" s="3">
        <f t="shared" si="17"/>
        <v>0</v>
      </c>
      <c r="P169" s="3" t="str">
        <f>IF([1]Patrimonio!C166="","",[1]Patrimonio!C166)</f>
        <v/>
      </c>
      <c r="Q169" s="3" t="str">
        <f t="shared" si="21"/>
        <v/>
      </c>
      <c r="R169" s="26" t="str">
        <f t="shared" si="16"/>
        <v/>
      </c>
      <c r="S169" s="5">
        <f t="shared" si="20"/>
        <v>0</v>
      </c>
      <c r="T169" s="5">
        <f t="shared" si="20"/>
        <v>0</v>
      </c>
      <c r="U169" s="5">
        <f t="shared" si="20"/>
        <v>0</v>
      </c>
      <c r="V169" s="5">
        <f t="shared" si="20"/>
        <v>0</v>
      </c>
    </row>
    <row r="170" spans="1:22" x14ac:dyDescent="0.2">
      <c r="A170" s="50" t="str">
        <f t="shared" si="18"/>
        <v/>
      </c>
      <c r="J170" s="3">
        <f t="shared" si="19"/>
        <v>0</v>
      </c>
      <c r="K170" s="3">
        <f t="shared" si="19"/>
        <v>0</v>
      </c>
      <c r="L170" s="3">
        <f t="shared" si="19"/>
        <v>0</v>
      </c>
      <c r="M170" s="3">
        <f t="shared" si="17"/>
        <v>0</v>
      </c>
      <c r="P170" s="3" t="str">
        <f>IF([1]Patrimonio!C167="","",[1]Patrimonio!C167)</f>
        <v/>
      </c>
      <c r="Q170" s="3" t="str">
        <f t="shared" si="21"/>
        <v/>
      </c>
      <c r="R170" s="26" t="str">
        <f t="shared" si="16"/>
        <v/>
      </c>
      <c r="S170" s="5">
        <f t="shared" si="20"/>
        <v>0</v>
      </c>
      <c r="T170" s="5">
        <f t="shared" si="20"/>
        <v>0</v>
      </c>
      <c r="U170" s="5">
        <f t="shared" si="20"/>
        <v>0</v>
      </c>
      <c r="V170" s="5">
        <f t="shared" si="20"/>
        <v>0</v>
      </c>
    </row>
    <row r="171" spans="1:22" x14ac:dyDescent="0.2">
      <c r="A171" s="50" t="str">
        <f t="shared" si="18"/>
        <v/>
      </c>
      <c r="J171" s="3">
        <f t="shared" si="19"/>
        <v>0</v>
      </c>
      <c r="K171" s="3">
        <f t="shared" si="19"/>
        <v>0</v>
      </c>
      <c r="L171" s="3">
        <f t="shared" si="19"/>
        <v>0</v>
      </c>
      <c r="M171" s="3">
        <f t="shared" si="17"/>
        <v>0</v>
      </c>
      <c r="P171" s="3" t="str">
        <f>IF([1]Patrimonio!C168="","",[1]Patrimonio!C168)</f>
        <v/>
      </c>
      <c r="Q171" s="3" t="str">
        <f t="shared" si="21"/>
        <v/>
      </c>
      <c r="R171" s="26" t="str">
        <f t="shared" si="16"/>
        <v/>
      </c>
      <c r="S171" s="5">
        <f t="shared" si="20"/>
        <v>0</v>
      </c>
      <c r="T171" s="5">
        <f t="shared" si="20"/>
        <v>0</v>
      </c>
      <c r="U171" s="5">
        <f t="shared" si="20"/>
        <v>0</v>
      </c>
      <c r="V171" s="5">
        <f t="shared" si="20"/>
        <v>0</v>
      </c>
    </row>
    <row r="172" spans="1:22" x14ac:dyDescent="0.2">
      <c r="A172" s="50" t="str">
        <f t="shared" si="18"/>
        <v/>
      </c>
      <c r="J172" s="3">
        <f t="shared" si="19"/>
        <v>0</v>
      </c>
      <c r="K172" s="3">
        <f t="shared" si="19"/>
        <v>0</v>
      </c>
      <c r="L172" s="3">
        <f t="shared" si="19"/>
        <v>0</v>
      </c>
      <c r="M172" s="3">
        <f t="shared" si="17"/>
        <v>0</v>
      </c>
      <c r="P172" s="3" t="str">
        <f>IF([1]Patrimonio!C169="","",[1]Patrimonio!C169)</f>
        <v/>
      </c>
      <c r="Q172" s="3" t="str">
        <f t="shared" si="21"/>
        <v/>
      </c>
      <c r="R172" s="26" t="str">
        <f t="shared" si="16"/>
        <v/>
      </c>
      <c r="S172" s="5">
        <f t="shared" si="20"/>
        <v>0</v>
      </c>
      <c r="T172" s="5">
        <f t="shared" si="20"/>
        <v>0</v>
      </c>
      <c r="U172" s="5">
        <f t="shared" si="20"/>
        <v>0</v>
      </c>
      <c r="V172" s="5">
        <f t="shared" si="20"/>
        <v>0</v>
      </c>
    </row>
    <row r="173" spans="1:22" x14ac:dyDescent="0.2">
      <c r="A173" s="50" t="str">
        <f t="shared" si="18"/>
        <v/>
      </c>
    </row>
    <row r="174" spans="1:22" x14ac:dyDescent="0.2">
      <c r="A174" s="50" t="str">
        <f t="shared" si="18"/>
        <v/>
      </c>
    </row>
    <row r="175" spans="1:22" x14ac:dyDescent="0.2">
      <c r="A175" s="50" t="str">
        <f t="shared" si="18"/>
        <v/>
      </c>
    </row>
    <row r="176" spans="1:22" x14ac:dyDescent="0.2">
      <c r="A176" s="50" t="str">
        <f t="shared" si="18"/>
        <v/>
      </c>
    </row>
    <row r="177" spans="1:1" x14ac:dyDescent="0.2">
      <c r="A177" s="50" t="str">
        <f t="shared" si="18"/>
        <v/>
      </c>
    </row>
    <row r="178" spans="1:1" x14ac:dyDescent="0.2">
      <c r="A178" s="50" t="str">
        <f t="shared" si="18"/>
        <v/>
      </c>
    </row>
    <row r="179" spans="1:1" x14ac:dyDescent="0.2">
      <c r="A179" s="50" t="str">
        <f t="shared" si="18"/>
        <v/>
      </c>
    </row>
    <row r="180" spans="1:1" x14ac:dyDescent="0.2">
      <c r="A180" s="50" t="str">
        <f t="shared" si="18"/>
        <v/>
      </c>
    </row>
    <row r="181" spans="1:1" x14ac:dyDescent="0.2">
      <c r="A181" s="50" t="str">
        <f t="shared" si="18"/>
        <v/>
      </c>
    </row>
    <row r="182" spans="1:1" x14ac:dyDescent="0.2">
      <c r="A182" s="50" t="str">
        <f t="shared" si="18"/>
        <v/>
      </c>
    </row>
    <row r="183" spans="1:1" x14ac:dyDescent="0.2">
      <c r="A183" s="50" t="str">
        <f t="shared" si="18"/>
        <v/>
      </c>
    </row>
    <row r="184" spans="1:1" x14ac:dyDescent="0.2">
      <c r="A184" s="50" t="str">
        <f t="shared" si="18"/>
        <v/>
      </c>
    </row>
    <row r="185" spans="1:1" x14ac:dyDescent="0.2">
      <c r="A185" s="50" t="str">
        <f t="shared" si="18"/>
        <v/>
      </c>
    </row>
    <row r="186" spans="1:1" x14ac:dyDescent="0.2">
      <c r="A186" s="50" t="str">
        <f t="shared" si="18"/>
        <v/>
      </c>
    </row>
    <row r="187" spans="1:1" x14ac:dyDescent="0.2">
      <c r="A187" s="50" t="str">
        <f t="shared" si="18"/>
        <v/>
      </c>
    </row>
    <row r="188" spans="1:1" x14ac:dyDescent="0.2">
      <c r="A188" s="50" t="str">
        <f t="shared" si="18"/>
        <v/>
      </c>
    </row>
    <row r="189" spans="1:1" x14ac:dyDescent="0.2">
      <c r="A189" s="50" t="str">
        <f t="shared" si="18"/>
        <v/>
      </c>
    </row>
    <row r="190" spans="1:1" x14ac:dyDescent="0.2">
      <c r="A190" s="50" t="str">
        <f t="shared" si="18"/>
        <v/>
      </c>
    </row>
    <row r="191" spans="1:1" x14ac:dyDescent="0.2">
      <c r="A191" s="50" t="str">
        <f t="shared" si="18"/>
        <v/>
      </c>
    </row>
    <row r="192" spans="1:1" x14ac:dyDescent="0.2">
      <c r="A192" s="50" t="str">
        <f t="shared" si="18"/>
        <v/>
      </c>
    </row>
    <row r="193" spans="1:1" x14ac:dyDescent="0.2">
      <c r="A193" s="50" t="str">
        <f t="shared" si="18"/>
        <v/>
      </c>
    </row>
    <row r="194" spans="1:1" x14ac:dyDescent="0.2">
      <c r="A194" s="50" t="str">
        <f t="shared" si="18"/>
        <v/>
      </c>
    </row>
    <row r="195" spans="1:1" x14ac:dyDescent="0.2">
      <c r="A195" s="50" t="str">
        <f t="shared" si="18"/>
        <v/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tualizar_Yahoo">
                <anchor moveWithCells="1">
                  <from>
                    <xdr:col>17</xdr:col>
                    <xdr:colOff>66675</xdr:colOff>
                    <xdr:row>0</xdr:row>
                    <xdr:rowOff>114300</xdr:rowOff>
                  </from>
                  <to>
                    <xdr:col>18</xdr:col>
                    <xdr:colOff>200025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E20"/>
  <sheetViews>
    <sheetView workbookViewId="0">
      <selection activeCell="A13" sqref="A13"/>
    </sheetView>
  </sheetViews>
  <sheetFormatPr defaultRowHeight="15" x14ac:dyDescent="0.25"/>
  <cols>
    <col min="1" max="1" width="13.140625" bestFit="1" customWidth="1"/>
    <col min="2" max="2" width="26.7109375" customWidth="1"/>
    <col min="3" max="3" width="16.140625" customWidth="1"/>
    <col min="4" max="4" width="18.28515625" bestFit="1" customWidth="1"/>
    <col min="5" max="5" width="15.7109375" bestFit="1" customWidth="1"/>
  </cols>
  <sheetData>
    <row r="3" spans="1:5" x14ac:dyDescent="0.25">
      <c r="B3" s="1" t="s">
        <v>21</v>
      </c>
    </row>
    <row r="4" spans="1:5" x14ac:dyDescent="0.25">
      <c r="A4" s="1" t="s">
        <v>517</v>
      </c>
      <c r="B4" t="s">
        <v>534</v>
      </c>
      <c r="C4" t="s">
        <v>237</v>
      </c>
      <c r="D4" t="s">
        <v>535</v>
      </c>
      <c r="E4" t="s">
        <v>537</v>
      </c>
    </row>
    <row r="5" spans="1:5" x14ac:dyDescent="0.25">
      <c r="A5" s="2" t="s">
        <v>219</v>
      </c>
      <c r="B5" s="30">
        <v>1.3390629510000001</v>
      </c>
      <c r="C5" s="78">
        <v>0.3417415784420112</v>
      </c>
      <c r="D5" s="30">
        <v>9.24</v>
      </c>
      <c r="E5" s="78">
        <v>0.14492023279220778</v>
      </c>
    </row>
    <row r="6" spans="1:5" x14ac:dyDescent="0.25">
      <c r="A6" s="2" t="s">
        <v>203</v>
      </c>
      <c r="B6" s="30">
        <v>2.6611761599999999E-2</v>
      </c>
      <c r="C6" s="78">
        <v>0.67155214853179268</v>
      </c>
      <c r="D6" s="30">
        <v>0.32</v>
      </c>
      <c r="E6" s="78">
        <v>8.316175499999999E-2</v>
      </c>
    </row>
    <row r="7" spans="1:5" x14ac:dyDescent="0.25">
      <c r="A7" s="2" t="s">
        <v>43</v>
      </c>
      <c r="B7" s="30">
        <v>0.19621465739999999</v>
      </c>
      <c r="C7" s="78">
        <v>0.53772688709431571</v>
      </c>
      <c r="D7" s="30">
        <v>5.72</v>
      </c>
      <c r="E7" s="78">
        <v>3.4303261783216785E-2</v>
      </c>
    </row>
    <row r="8" spans="1:5" x14ac:dyDescent="0.25">
      <c r="A8" s="2" t="s">
        <v>193</v>
      </c>
      <c r="B8" s="30"/>
      <c r="C8" s="78">
        <v>0</v>
      </c>
      <c r="D8" s="30">
        <v>0.49000000000000005</v>
      </c>
      <c r="E8" s="78">
        <v>0</v>
      </c>
    </row>
    <row r="9" spans="1:5" x14ac:dyDescent="0.25">
      <c r="A9" s="2" t="s">
        <v>195</v>
      </c>
      <c r="B9" s="30"/>
      <c r="C9" s="78">
        <v>0</v>
      </c>
      <c r="D9" s="30">
        <v>0.46000000000000008</v>
      </c>
      <c r="E9" s="78">
        <v>0</v>
      </c>
    </row>
    <row r="10" spans="1:5" x14ac:dyDescent="0.25">
      <c r="A10" s="2" t="s">
        <v>255</v>
      </c>
      <c r="B10" s="30">
        <v>0.27146000000000003</v>
      </c>
      <c r="C10" s="78">
        <v>0.40777274711855621</v>
      </c>
      <c r="D10" s="30">
        <v>3.92</v>
      </c>
      <c r="E10" s="78">
        <v>6.9249999999999992E-2</v>
      </c>
    </row>
    <row r="11" spans="1:5" x14ac:dyDescent="0.25">
      <c r="A11" s="2" t="s">
        <v>446</v>
      </c>
      <c r="B11" s="30">
        <v>0.49750000000000005</v>
      </c>
      <c r="C11" s="78">
        <v>2.7939422002548415</v>
      </c>
      <c r="D11" s="30">
        <v>11.8</v>
      </c>
      <c r="E11" s="78">
        <v>4.2161016949152537E-2</v>
      </c>
    </row>
    <row r="12" spans="1:5" x14ac:dyDescent="0.25">
      <c r="A12" s="2" t="s">
        <v>210</v>
      </c>
      <c r="B12" s="30">
        <v>9.9500000000000005E-2</v>
      </c>
      <c r="C12" s="78">
        <v>0.55878844005096828</v>
      </c>
      <c r="D12" s="30">
        <v>2.2000000000000002</v>
      </c>
      <c r="E12" s="78">
        <v>4.5227272727272727E-2</v>
      </c>
    </row>
    <row r="13" spans="1:5" x14ac:dyDescent="0.25">
      <c r="A13" s="2" t="s">
        <v>519</v>
      </c>
      <c r="B13" s="30">
        <v>1.4868961948099999</v>
      </c>
      <c r="C13" s="78">
        <v>1.8354845241995059</v>
      </c>
      <c r="D13" s="30">
        <v>3.81</v>
      </c>
      <c r="E13" s="78">
        <v>0.39026146845406817</v>
      </c>
    </row>
    <row r="14" spans="1:5" x14ac:dyDescent="0.25">
      <c r="A14" s="2" t="s">
        <v>215</v>
      </c>
      <c r="B14" s="30">
        <v>0.34582848500000002</v>
      </c>
      <c r="C14" s="78">
        <v>0.77898506132096379</v>
      </c>
      <c r="D14" s="30">
        <v>6</v>
      </c>
      <c r="E14" s="78">
        <v>5.7638080833333334E-2</v>
      </c>
    </row>
    <row r="15" spans="1:5" x14ac:dyDescent="0.25">
      <c r="A15" s="2" t="s">
        <v>38</v>
      </c>
      <c r="B15" s="30">
        <v>0.30702249999999998</v>
      </c>
      <c r="C15" s="78">
        <v>0.40760807617225675</v>
      </c>
      <c r="D15" s="30">
        <v>2.0499999999999998</v>
      </c>
      <c r="E15" s="78">
        <v>0.14976707317073171</v>
      </c>
    </row>
    <row r="16" spans="1:5" x14ac:dyDescent="0.25">
      <c r="A16" s="2" t="s">
        <v>523</v>
      </c>
      <c r="B16" s="30">
        <v>4.1999999999999997E-3</v>
      </c>
      <c r="C16" s="78">
        <v>0.20478615801445429</v>
      </c>
      <c r="D16" s="30">
        <v>0.19</v>
      </c>
      <c r="E16" s="78">
        <v>2.2105263157894735E-2</v>
      </c>
    </row>
    <row r="17" spans="1:5" x14ac:dyDescent="0.25">
      <c r="A17" s="2" t="s">
        <v>524</v>
      </c>
      <c r="B17" s="30">
        <v>4.7999999999999996E-3</v>
      </c>
      <c r="C17" s="78">
        <v>0.2340413234450906</v>
      </c>
      <c r="D17" s="30">
        <v>0.2</v>
      </c>
      <c r="E17" s="78">
        <v>2.3999999999999997E-2</v>
      </c>
    </row>
    <row r="18" spans="1:5" x14ac:dyDescent="0.25">
      <c r="A18" s="2" t="s">
        <v>235</v>
      </c>
      <c r="B18" s="30">
        <v>9.2956479999999994E-2</v>
      </c>
      <c r="C18" s="78">
        <v>0.71097744658383744</v>
      </c>
      <c r="D18" s="30">
        <v>0.62</v>
      </c>
      <c r="E18" s="78">
        <v>0.14992980645161291</v>
      </c>
    </row>
    <row r="19" spans="1:5" x14ac:dyDescent="0.25">
      <c r="A19" s="2" t="s">
        <v>101</v>
      </c>
      <c r="B19" s="30">
        <v>6.4337679999999994E-2</v>
      </c>
      <c r="C19" s="78">
        <v>0.38058477549625824</v>
      </c>
      <c r="D19" s="30">
        <v>0.53</v>
      </c>
      <c r="E19" s="78">
        <v>0.12139184905660376</v>
      </c>
    </row>
    <row r="20" spans="1:5" x14ac:dyDescent="0.25">
      <c r="A20" s="2" t="s">
        <v>518</v>
      </c>
      <c r="B20" s="30">
        <v>0.35231713557512823</v>
      </c>
      <c r="C20" s="78">
        <v>0.59485826244933793</v>
      </c>
      <c r="D20" s="30">
        <v>2.8581632653061231</v>
      </c>
      <c r="E20" s="78">
        <v>8.7771257619948403E-2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0"/>
  <sheetViews>
    <sheetView tabSelected="1" topLeftCell="A4" workbookViewId="0">
      <selection activeCell="M32" sqref="M32"/>
    </sheetView>
  </sheetViews>
  <sheetFormatPr defaultRowHeight="11.25" x14ac:dyDescent="0.2"/>
  <cols>
    <col min="1" max="1" width="6.7109375" style="3" bestFit="1" customWidth="1"/>
    <col min="2" max="2" width="9.140625" style="3"/>
    <col min="3" max="3" width="16" style="5" bestFit="1" customWidth="1"/>
    <col min="4" max="4" width="13.85546875" style="90" bestFit="1" customWidth="1"/>
    <col min="5" max="5" width="11.7109375" style="91" bestFit="1" customWidth="1"/>
    <col min="6" max="6" width="13.7109375" style="3" bestFit="1" customWidth="1"/>
    <col min="7" max="7" width="15.7109375" style="3" bestFit="1" customWidth="1"/>
    <col min="8" max="8" width="7.85546875" style="3" bestFit="1" customWidth="1"/>
    <col min="9" max="9" width="9.140625" style="3"/>
    <col min="10" max="10" width="9.140625" style="23"/>
    <col min="11" max="16384" width="9.140625" style="3"/>
  </cols>
  <sheetData>
    <row r="1" spans="1:10" x14ac:dyDescent="0.2">
      <c r="A1" s="3" t="s">
        <v>3</v>
      </c>
      <c r="B1" s="3" t="s">
        <v>442</v>
      </c>
      <c r="C1" s="5" t="s">
        <v>117</v>
      </c>
      <c r="D1" s="5" t="s">
        <v>516</v>
      </c>
      <c r="E1" s="90" t="s">
        <v>7</v>
      </c>
      <c r="F1" s="91" t="s">
        <v>444</v>
      </c>
      <c r="G1" s="91" t="s">
        <v>445</v>
      </c>
      <c r="H1" s="23" t="s">
        <v>234</v>
      </c>
      <c r="I1" s="23" t="s">
        <v>9</v>
      </c>
      <c r="J1" s="23" t="s">
        <v>536</v>
      </c>
    </row>
    <row r="2" spans="1:10" x14ac:dyDescent="0.2">
      <c r="A2" s="4" t="s">
        <v>193</v>
      </c>
      <c r="B2" s="4">
        <v>2012</v>
      </c>
      <c r="C2" s="6">
        <v>81394860.719999999</v>
      </c>
      <c r="D2" s="6">
        <f>Tabela2[[#This Row],[Lucro Líquido]]*5%</f>
        <v>4069743.0360000003</v>
      </c>
      <c r="E2" s="8">
        <f>SUMPRODUCT(N(Tabela3[PAPEL]=Tabela2[[#This Row],[Ativo]]),Tabela3[Total Ações])</f>
        <v>1515152000</v>
      </c>
      <c r="F2" s="92">
        <f>(Tabela2[[#This Row],[Lucro Líquido]]-Tabela2[[#This Row],[Reserva Legal]])/Tabela2[[#This Row],[Total Ações]]</f>
        <v>5.1034561340380369E-2</v>
      </c>
      <c r="G2" s="92"/>
      <c r="H2" s="24">
        <f>Tabela2[[#This Row],[Dividendo / Ação]]/Tabela2[[#This Row],[Lucro por ação]]</f>
        <v>0</v>
      </c>
      <c r="I2" s="6">
        <f>SUMPRODUCT(N(Tabela1[Código]=Tabela2[[#This Row],[Ativo]]),Tabela1[Fechamento])</f>
        <v>0.49</v>
      </c>
      <c r="J2" s="23">
        <f>Tabela2[[#This Row],[Dividendo / Ação]]/Tabela2[[#This Row],[Cotação]]</f>
        <v>0</v>
      </c>
    </row>
    <row r="3" spans="1:10" x14ac:dyDescent="0.2">
      <c r="A3" s="4" t="s">
        <v>193</v>
      </c>
      <c r="B3" s="4">
        <v>2011</v>
      </c>
      <c r="C3" s="6">
        <v>87892325.230000004</v>
      </c>
      <c r="D3" s="6">
        <f>Tabela2[[#This Row],[Lucro Líquido]]*5%</f>
        <v>4394616.2615</v>
      </c>
      <c r="E3" s="8">
        <f>SUMPRODUCT(N(Tabela3[PAPEL]=Tabela2[[#This Row],[Ativo]]),Tabela3[Total Ações])</f>
        <v>1515152000</v>
      </c>
      <c r="F3" s="92">
        <f>(Tabela2[[#This Row],[Lucro Líquido]]-Tabela2[[#This Row],[Reserva Legal]])/Tabela2[[#This Row],[Total Ações]]</f>
        <v>5.5108470284499514E-2</v>
      </c>
      <c r="G3" s="92"/>
      <c r="H3" s="24">
        <f>Tabela2[[#This Row],[Dividendo / Ação]]/Tabela2[[#This Row],[Lucro por ação]]</f>
        <v>0</v>
      </c>
      <c r="I3" s="6">
        <f>SUMPRODUCT(N(Tabela1[Código]=Tabela2[[#This Row],[Ativo]]),Tabela1[Fechamento])</f>
        <v>0.49</v>
      </c>
      <c r="J3" s="23">
        <f>Tabela2[[#This Row],[Dividendo / Ação]]/Tabela2[[#This Row],[Cotação]]</f>
        <v>0</v>
      </c>
    </row>
    <row r="4" spans="1:10" x14ac:dyDescent="0.2">
      <c r="A4" s="4" t="s">
        <v>193</v>
      </c>
      <c r="B4" s="4">
        <v>2010</v>
      </c>
      <c r="C4" s="6">
        <v>167022537.74000001</v>
      </c>
      <c r="D4" s="6">
        <f>Tabela2[[#This Row],[Lucro Líquido]]*5%</f>
        <v>8351126.887000001</v>
      </c>
      <c r="E4" s="8">
        <f>SUMPRODUCT(N(Tabela3[PAPEL]=Tabela2[[#This Row],[Ativo]]),Tabela3[Total Ações])</f>
        <v>1515152000</v>
      </c>
      <c r="F4" s="92">
        <f>(Tabela2[[#This Row],[Lucro Líquido]]-Tabela2[[#This Row],[Reserva Legal]])/Tabela2[[#This Row],[Total Ações]]</f>
        <v>0.10472309765158876</v>
      </c>
      <c r="G4" s="92"/>
      <c r="H4" s="24">
        <f>Tabela2[[#This Row],[Dividendo / Ação]]/Tabela2[[#This Row],[Lucro por ação]]</f>
        <v>0</v>
      </c>
      <c r="I4" s="6">
        <f>SUMPRODUCT(N(Tabela1[Código]=Tabela2[[#This Row],[Ativo]]),Tabela1[Fechamento])</f>
        <v>0.49</v>
      </c>
      <c r="J4" s="23">
        <f>Tabela2[[#This Row],[Dividendo / Ação]]/Tabela2[[#This Row],[Cotação]]</f>
        <v>0</v>
      </c>
    </row>
    <row r="5" spans="1:10" x14ac:dyDescent="0.2">
      <c r="A5" s="4" t="s">
        <v>193</v>
      </c>
      <c r="B5" s="4">
        <v>2009</v>
      </c>
      <c r="C5" s="6">
        <v>132495688.40000001</v>
      </c>
      <c r="D5" s="6">
        <f>Tabela2[[#This Row],[Lucro Líquido]]*5%</f>
        <v>6624784.4200000009</v>
      </c>
      <c r="E5" s="90">
        <f>SUMPRODUCT(N(Tabela3[PAPEL]=Tabela2[[#This Row],[Ativo]]),Tabela3[Total Ações])</f>
        <v>1515152000</v>
      </c>
      <c r="F5" s="91">
        <f>(Tabela2[[#This Row],[Lucro Líquido]]-Tabela2[[#This Row],[Reserva Legal]])/Tabela2[[#This Row],[Total Ações]]</f>
        <v>8.3074770042873586E-2</v>
      </c>
      <c r="G5" s="91"/>
      <c r="H5" s="24">
        <f>Tabela2[[#This Row],[Dividendo / Ação]]/Tabela2[[#This Row],[Lucro por ação]]</f>
        <v>0</v>
      </c>
      <c r="I5" s="6">
        <f>SUMPRODUCT(N(Tabela1[Código]=Tabela2[[#This Row],[Ativo]]),Tabela1[Fechamento])</f>
        <v>0.49</v>
      </c>
      <c r="J5" s="23">
        <f>Tabela2[[#This Row],[Dividendo / Ação]]/Tabela2[[#This Row],[Cotação]]</f>
        <v>0</v>
      </c>
    </row>
    <row r="6" spans="1:10" x14ac:dyDescent="0.2">
      <c r="A6" s="4" t="s">
        <v>193</v>
      </c>
      <c r="B6" s="4">
        <v>2008</v>
      </c>
      <c r="C6" s="6">
        <v>161284989.28999999</v>
      </c>
      <c r="D6" s="6">
        <f>Tabela2[[#This Row],[Lucro Líquido]]*5%</f>
        <v>8064249.4644999998</v>
      </c>
      <c r="E6" s="8">
        <f>SUMPRODUCT(N(Tabela3[PAPEL]=Tabela2[[#This Row],[Ativo]]),Tabela3[Total Ações])</f>
        <v>1515152000</v>
      </c>
      <c r="F6" s="92">
        <f>(Tabela2[[#This Row],[Lucro Líquido]]-Tabela2[[#This Row],[Reserva Legal]])/Tabela2[[#This Row],[Total Ações]]</f>
        <v>0.1011256559246201</v>
      </c>
      <c r="G6" s="92"/>
      <c r="H6" s="24">
        <f>Tabela2[[#This Row],[Dividendo / Ação]]/Tabela2[[#This Row],[Lucro por ação]]</f>
        <v>0</v>
      </c>
      <c r="I6" s="6">
        <f>SUMPRODUCT(N(Tabela1[Código]=Tabela2[[#This Row],[Ativo]]),Tabela1[Fechamento])</f>
        <v>0.49</v>
      </c>
      <c r="J6" s="23">
        <f>Tabela2[[#This Row],[Dividendo / Ação]]/Tabela2[[#This Row],[Cotação]]</f>
        <v>0</v>
      </c>
    </row>
    <row r="7" spans="1:10" x14ac:dyDescent="0.2">
      <c r="A7" s="4" t="s">
        <v>195</v>
      </c>
      <c r="B7" s="4">
        <v>2012</v>
      </c>
      <c r="C7" s="6">
        <v>81394860.719999999</v>
      </c>
      <c r="D7" s="6">
        <f>Tabela2[[#This Row],[Lucro Líquido]]*5%</f>
        <v>4069743.0360000003</v>
      </c>
      <c r="E7" s="8">
        <f>SUMPRODUCT(N(Tabela3[PAPEL]=Tabela2[[#This Row],[Ativo]]),Tabela3[Total Ações])</f>
        <v>1515152000</v>
      </c>
      <c r="F7" s="92">
        <f>(Tabela2[[#This Row],[Lucro Líquido]]-Tabela2[[#This Row],[Reserva Legal]])/Tabela2[[#This Row],[Total Ações]]</f>
        <v>5.1034561340380369E-2</v>
      </c>
      <c r="G7" s="92"/>
      <c r="H7" s="24">
        <f>Tabela2[[#This Row],[Dividendo / Ação]]/Tabela2[[#This Row],[Lucro por ação]]</f>
        <v>0</v>
      </c>
      <c r="I7" s="6">
        <f>SUMPRODUCT(N(Tabela1[Código]=Tabela2[[#This Row],[Ativo]]),Tabela1[Fechamento])</f>
        <v>0.46</v>
      </c>
      <c r="J7" s="23">
        <f>Tabela2[[#This Row],[Dividendo / Ação]]/Tabela2[[#This Row],[Cotação]]</f>
        <v>0</v>
      </c>
    </row>
    <row r="8" spans="1:10" x14ac:dyDescent="0.2">
      <c r="A8" s="4" t="s">
        <v>195</v>
      </c>
      <c r="B8" s="4">
        <v>2011</v>
      </c>
      <c r="C8" s="6">
        <v>87892325.230000004</v>
      </c>
      <c r="D8" s="6">
        <f>Tabela2[[#This Row],[Lucro Líquido]]*5%</f>
        <v>4394616.2615</v>
      </c>
      <c r="E8" s="8">
        <f>SUMPRODUCT(N(Tabela3[PAPEL]=Tabela2[[#This Row],[Ativo]]),Tabela3[Total Ações])</f>
        <v>1515152000</v>
      </c>
      <c r="F8" s="92">
        <f>(Tabela2[[#This Row],[Lucro Líquido]]-Tabela2[[#This Row],[Reserva Legal]])/Tabela2[[#This Row],[Total Ações]]</f>
        <v>5.5108470284499514E-2</v>
      </c>
      <c r="G8" s="92"/>
      <c r="H8" s="24">
        <f>Tabela2[[#This Row],[Dividendo / Ação]]/Tabela2[[#This Row],[Lucro por ação]]</f>
        <v>0</v>
      </c>
      <c r="I8" s="6">
        <f>SUMPRODUCT(N(Tabela1[Código]=Tabela2[[#This Row],[Ativo]]),Tabela1[Fechamento])</f>
        <v>0.46</v>
      </c>
      <c r="J8" s="23">
        <f>Tabela2[[#This Row],[Dividendo / Ação]]/Tabela2[[#This Row],[Cotação]]</f>
        <v>0</v>
      </c>
    </row>
    <row r="9" spans="1:10" x14ac:dyDescent="0.2">
      <c r="A9" s="4" t="s">
        <v>195</v>
      </c>
      <c r="B9" s="4">
        <v>2010</v>
      </c>
      <c r="C9" s="6">
        <v>167022537.74000001</v>
      </c>
      <c r="D9" s="6">
        <f>Tabela2[[#This Row],[Lucro Líquido]]*5%</f>
        <v>8351126.887000001</v>
      </c>
      <c r="E9" s="8">
        <f>SUMPRODUCT(N(Tabela3[PAPEL]=Tabela2[[#This Row],[Ativo]]),Tabela3[Total Ações])</f>
        <v>1515152000</v>
      </c>
      <c r="F9" s="92">
        <f>(Tabela2[[#This Row],[Lucro Líquido]]-Tabela2[[#This Row],[Reserva Legal]])/Tabela2[[#This Row],[Total Ações]]</f>
        <v>0.10472309765158876</v>
      </c>
      <c r="G9" s="92"/>
      <c r="H9" s="24">
        <f>Tabela2[[#This Row],[Dividendo / Ação]]/Tabela2[[#This Row],[Lucro por ação]]</f>
        <v>0</v>
      </c>
      <c r="I9" s="6">
        <f>SUMPRODUCT(N(Tabela1[Código]=Tabela2[[#This Row],[Ativo]]),Tabela1[Fechamento])</f>
        <v>0.46</v>
      </c>
      <c r="J9" s="23">
        <f>Tabela2[[#This Row],[Dividendo / Ação]]/Tabela2[[#This Row],[Cotação]]</f>
        <v>0</v>
      </c>
    </row>
    <row r="10" spans="1:10" x14ac:dyDescent="0.2">
      <c r="A10" s="4" t="s">
        <v>195</v>
      </c>
      <c r="B10" s="4">
        <v>2009</v>
      </c>
      <c r="C10" s="6">
        <v>132495688.40000001</v>
      </c>
      <c r="D10" s="6">
        <f>Tabela2[[#This Row],[Lucro Líquido]]*5%</f>
        <v>6624784.4200000009</v>
      </c>
      <c r="E10" s="90">
        <f>SUMPRODUCT(N(Tabela3[PAPEL]=Tabela2[[#This Row],[Ativo]]),Tabela3[Total Ações])</f>
        <v>1515152000</v>
      </c>
      <c r="F10" s="91">
        <f>(Tabela2[[#This Row],[Lucro Líquido]]-Tabela2[[#This Row],[Reserva Legal]])/Tabela2[[#This Row],[Total Ações]]</f>
        <v>8.3074770042873586E-2</v>
      </c>
      <c r="G10" s="91"/>
      <c r="H10" s="24">
        <f>Tabela2[[#This Row],[Dividendo / Ação]]/Tabela2[[#This Row],[Lucro por ação]]</f>
        <v>0</v>
      </c>
      <c r="I10" s="6">
        <f>SUMPRODUCT(N(Tabela1[Código]=Tabela2[[#This Row],[Ativo]]),Tabela1[Fechamento])</f>
        <v>0.46</v>
      </c>
      <c r="J10" s="23">
        <f>Tabela2[[#This Row],[Dividendo / Ação]]/Tabela2[[#This Row],[Cotação]]</f>
        <v>0</v>
      </c>
    </row>
    <row r="11" spans="1:10" x14ac:dyDescent="0.2">
      <c r="A11" s="4" t="s">
        <v>195</v>
      </c>
      <c r="B11" s="4">
        <v>2008</v>
      </c>
      <c r="C11" s="6">
        <v>161284989.28999999</v>
      </c>
      <c r="D11" s="6">
        <f>Tabela2[[#This Row],[Lucro Líquido]]*5%</f>
        <v>8064249.4644999998</v>
      </c>
      <c r="E11" s="8">
        <f>SUMPRODUCT(N(Tabela3[PAPEL]=Tabela2[[#This Row],[Ativo]]),Tabela3[Total Ações])</f>
        <v>1515152000</v>
      </c>
      <c r="F11" s="92">
        <f>(Tabela2[[#This Row],[Lucro Líquido]]-Tabela2[[#This Row],[Reserva Legal]])/Tabela2[[#This Row],[Total Ações]]</f>
        <v>0.1011256559246201</v>
      </c>
      <c r="G11" s="92"/>
      <c r="H11" s="24">
        <f>Tabela2[[#This Row],[Dividendo / Ação]]/Tabela2[[#This Row],[Lucro por ação]]</f>
        <v>0</v>
      </c>
      <c r="I11" s="6">
        <f>SUMPRODUCT(N(Tabela1[Código]=Tabela2[[#This Row],[Ativo]]),Tabela1[Fechamento])</f>
        <v>0.46</v>
      </c>
      <c r="J11" s="23">
        <f>Tabela2[[#This Row],[Dividendo / Ação]]/Tabela2[[#This Row],[Cotação]]</f>
        <v>0</v>
      </c>
    </row>
    <row r="12" spans="1:10" x14ac:dyDescent="0.2">
      <c r="A12" s="4" t="s">
        <v>215</v>
      </c>
      <c r="B12" s="4">
        <v>2012</v>
      </c>
      <c r="C12" s="6">
        <v>50944000</v>
      </c>
      <c r="D12" s="6">
        <f>Tabela2[[#This Row],[Lucro Líquido]]*5%</f>
        <v>2547200</v>
      </c>
      <c r="E12" s="8">
        <f>SUMPRODUCT(N(Tabela3[PAPEL]=Tabela2[[#This Row],[Ativo]]),Tabela3[Total Ações])</f>
        <v>108480828</v>
      </c>
      <c r="F12" s="92">
        <f>(Tabela2[[#This Row],[Lucro Líquido]]-Tabela2[[#This Row],[Reserva Legal]])/Tabela2[[#This Row],[Total Ações]]</f>
        <v>0.44613228800207905</v>
      </c>
      <c r="G12" s="92">
        <v>0.25598361800000002</v>
      </c>
      <c r="H12" s="23">
        <f>Tabela2[[#This Row],[Dividendo / Ação]]/Tabela2[[#This Row],[Lucro por ação]]</f>
        <v>0.57378411041795541</v>
      </c>
      <c r="I12" s="5">
        <f>SUMPRODUCT(N(Tabela1[Código]=Tabela2[[#This Row],[Ativo]]),Tabela1[Fechamento])</f>
        <v>6</v>
      </c>
      <c r="J12" s="23">
        <f>Tabela2[[#This Row],[Dividendo / Ação]]/Tabela2[[#This Row],[Cotação]]</f>
        <v>4.266393633333334E-2</v>
      </c>
    </row>
    <row r="13" spans="1:10" x14ac:dyDescent="0.2">
      <c r="A13" s="4" t="s">
        <v>215</v>
      </c>
      <c r="B13" s="4">
        <v>2011</v>
      </c>
      <c r="C13" s="6">
        <v>42494000</v>
      </c>
      <c r="D13" s="6">
        <f>Tabela2[[#This Row],[Lucro Líquido]]*5%</f>
        <v>2124700</v>
      </c>
      <c r="E13" s="8">
        <f>SUMPRODUCT(N(Tabela3[PAPEL]=Tabela2[[#This Row],[Ativo]]),Tabela3[Total Ações])</f>
        <v>108480828</v>
      </c>
      <c r="F13" s="92">
        <f>(Tabela2[[#This Row],[Lucro Líquido]]-Tabela2[[#This Row],[Reserva Legal]])/Tabela2[[#This Row],[Total Ações]]</f>
        <v>0.37213303718515128</v>
      </c>
      <c r="G13" s="92">
        <v>0.36250183699999999</v>
      </c>
      <c r="H13" s="24">
        <f>Tabela2[[#This Row],[Dividendo / Ação]]/Tabela2[[#This Row],[Lucro por ação]]</f>
        <v>0.97411893268600236</v>
      </c>
      <c r="I13" s="6">
        <f>SUMPRODUCT(N(Tabela1[Código]=Tabela2[[#This Row],[Ativo]]),Tabela1[Fechamento])</f>
        <v>6</v>
      </c>
      <c r="J13" s="23">
        <f>Tabela2[[#This Row],[Dividendo / Ação]]/Tabela2[[#This Row],[Cotação]]</f>
        <v>6.0416972833333332E-2</v>
      </c>
    </row>
    <row r="14" spans="1:10" x14ac:dyDescent="0.2">
      <c r="A14" s="4" t="s">
        <v>215</v>
      </c>
      <c r="B14" s="4">
        <v>2010</v>
      </c>
      <c r="C14" s="6">
        <v>60637000</v>
      </c>
      <c r="D14" s="6">
        <f>Tabela2[[#This Row],[Lucro Líquido]]*5%</f>
        <v>3031850</v>
      </c>
      <c r="E14" s="8">
        <f>SUMPRODUCT(N(Tabela3[PAPEL]=Tabela2[[#This Row],[Ativo]]),Tabela3[Total Ações])</f>
        <v>108480828</v>
      </c>
      <c r="F14" s="92">
        <f>(Tabela2[[#This Row],[Lucro Líquido]]-Tabela2[[#This Row],[Reserva Legal]])/Tabela2[[#This Row],[Total Ações]]</f>
        <v>0.53101687240071582</v>
      </c>
      <c r="G14" s="92">
        <v>0.41899999999999998</v>
      </c>
      <c r="H14" s="24">
        <f>Tabela2[[#This Row],[Dividendo / Ação]]/Tabela2[[#This Row],[Lucro por ação]]</f>
        <v>0.7890521408589336</v>
      </c>
      <c r="I14" s="6">
        <f>SUMPRODUCT(N(Tabela1[Código]=Tabela2[[#This Row],[Ativo]]),Tabela1[Fechamento])</f>
        <v>6</v>
      </c>
      <c r="J14" s="23">
        <f>Tabela2[[#This Row],[Dividendo / Ação]]/Tabela2[[#This Row],[Cotação]]</f>
        <v>6.9833333333333331E-2</v>
      </c>
    </row>
    <row r="15" spans="1:10" x14ac:dyDescent="0.2">
      <c r="A15" s="4" t="s">
        <v>235</v>
      </c>
      <c r="B15" s="4">
        <v>2012</v>
      </c>
      <c r="C15" s="6">
        <v>39281689.020000003</v>
      </c>
      <c r="D15" s="6">
        <f>Tabela2[[#This Row],[Lucro Líquido]]*5%</f>
        <v>1964084.4510000004</v>
      </c>
      <c r="E15" s="8">
        <f>SUMPRODUCT(N(Tabela3[PAPEL]=Tabela2[[#This Row],[Ativo]]),Tabela3[Total Ações])</f>
        <v>835502072</v>
      </c>
      <c r="F15" s="92">
        <f>(Tabela2[[#This Row],[Lucro Líquido]]-Tabela2[[#This Row],[Reserva Legal]])/Tabela2[[#This Row],[Total Ações]]</f>
        <v>4.4664885725142767E-2</v>
      </c>
      <c r="G15" s="92">
        <v>4.3892399999999998E-2</v>
      </c>
      <c r="H15" s="24">
        <f>Tabela2[[#This Row],[Dividendo / Ação]]/Tabela2[[#This Row],[Lucro por ação]]</f>
        <v>0.98270485387791062</v>
      </c>
      <c r="I15" s="6">
        <f>SUMPRODUCT(N(Tabela1[Código]=Tabela2[[#This Row],[Ativo]]),Tabela1[Fechamento])</f>
        <v>0.62</v>
      </c>
      <c r="J15" s="23">
        <f>Tabela2[[#This Row],[Dividendo / Ação]]/Tabela2[[#This Row],[Cotação]]</f>
        <v>7.0794193548387091E-2</v>
      </c>
    </row>
    <row r="16" spans="1:10" x14ac:dyDescent="0.2">
      <c r="A16" s="4" t="s">
        <v>235</v>
      </c>
      <c r="B16" s="4">
        <v>2007</v>
      </c>
      <c r="C16" s="6">
        <v>144980510.25</v>
      </c>
      <c r="D16" s="6">
        <f>Tabela2[[#This Row],[Lucro Líquido]]*5%</f>
        <v>7249025.5125000002</v>
      </c>
      <c r="E16" s="8">
        <f>SUMPRODUCT(N(Tabela3[PAPEL]=Tabela2[[#This Row],[Ativo]]),Tabela3[Total Ações])</f>
        <v>835502072</v>
      </c>
      <c r="F16" s="92">
        <f>(Tabela2[[#This Row],[Lucro Líquido]]-Tabela2[[#This Row],[Reserva Legal]])/Tabela2[[#This Row],[Total Ações]]</f>
        <v>0.16484876501598911</v>
      </c>
      <c r="G16" s="92">
        <v>0.1</v>
      </c>
      <c r="H16" s="24">
        <f>Tabela2[[#This Row],[Dividendo / Ação]]/Tabela2[[#This Row],[Lucro por ação]]</f>
        <v>0.60661661608627004</v>
      </c>
      <c r="I16" s="6">
        <f>SUMPRODUCT(N(Tabela1[Código]=Tabela2[[#This Row],[Ativo]]),Tabela1[Fechamento])</f>
        <v>0.62</v>
      </c>
      <c r="J16" s="23">
        <f>Tabela2[[#This Row],[Dividendo / Ação]]/Tabela2[[#This Row],[Cotação]]</f>
        <v>0.16129032258064518</v>
      </c>
    </row>
    <row r="17" spans="1:10" x14ac:dyDescent="0.2">
      <c r="A17" s="4" t="s">
        <v>235</v>
      </c>
      <c r="B17" s="4">
        <v>2006</v>
      </c>
      <c r="C17" s="6">
        <v>90571594.159999996</v>
      </c>
      <c r="D17" s="6">
        <f>Tabela2[[#This Row],[Lucro Líquido]]*5%</f>
        <v>4528579.7079999996</v>
      </c>
      <c r="E17" s="8">
        <f>SUMPRODUCT(N(Tabela3[PAPEL]=Tabela2[[#This Row],[Ativo]]),Tabela3[Total Ações])</f>
        <v>835502072</v>
      </c>
      <c r="F17" s="92">
        <f>(Tabela2[[#This Row],[Lucro Líquido]]-Tabela2[[#This Row],[Reserva Legal]])/Tabela2[[#This Row],[Total Ações]]</f>
        <v>0.10298360391379136</v>
      </c>
      <c r="G17" s="92">
        <v>0.1</v>
      </c>
      <c r="H17" s="24">
        <f>Tabela2[[#This Row],[Dividendo / Ação]]/Tabela2[[#This Row],[Lucro por ação]]</f>
        <v>0.9710283598514482</v>
      </c>
      <c r="I17" s="6">
        <f>SUMPRODUCT(N(Tabela1[Código]=Tabela2[[#This Row],[Ativo]]),Tabela1[Fechamento])</f>
        <v>0.62</v>
      </c>
      <c r="J17" s="23">
        <f>Tabela2[[#This Row],[Dividendo / Ação]]/Tabela2[[#This Row],[Cotação]]</f>
        <v>0.16129032258064518</v>
      </c>
    </row>
    <row r="18" spans="1:10" x14ac:dyDescent="0.2">
      <c r="A18" s="4" t="s">
        <v>235</v>
      </c>
      <c r="B18" s="3">
        <v>2005</v>
      </c>
      <c r="C18" s="5">
        <v>185746507.69999999</v>
      </c>
      <c r="D18" s="5">
        <f>Tabela2[[#This Row],[Lucro Líquido]]*5%</f>
        <v>9287325.3849999998</v>
      </c>
      <c r="E18" s="90">
        <f>SUMPRODUCT(N(Tabela3[PAPEL]=Tabela2[[#This Row],[Ativo]]),Tabela3[Total Ações])</f>
        <v>835502072</v>
      </c>
      <c r="F18" s="91">
        <f>(Tabela2[[#This Row],[Lucro Líquido]]-Tabela2[[#This Row],[Reserva Legal]])/Tabela2[[#This Row],[Total Ações]]</f>
        <v>0.21120137008469322</v>
      </c>
      <c r="G18" s="91">
        <v>0.1</v>
      </c>
      <c r="H18" s="23">
        <f>Tabela2[[#This Row],[Dividendo / Ação]]/Tabela2[[#This Row],[Lucro por ação]]</f>
        <v>0.47348177694064819</v>
      </c>
      <c r="I18" s="5">
        <f>SUMPRODUCT(N(Tabela1[Código]=Tabela2[[#This Row],[Ativo]]),Tabela1[Fechamento])</f>
        <v>0.62</v>
      </c>
      <c r="J18" s="23">
        <f>Tabela2[[#This Row],[Dividendo / Ação]]/Tabela2[[#This Row],[Cotação]]</f>
        <v>0.16129032258064518</v>
      </c>
    </row>
    <row r="19" spans="1:10" x14ac:dyDescent="0.2">
      <c r="A19" s="4" t="s">
        <v>235</v>
      </c>
      <c r="B19" s="3">
        <v>2004</v>
      </c>
      <c r="C19" s="5">
        <v>204047000</v>
      </c>
      <c r="D19" s="5">
        <f>Tabela2[[#This Row],[Lucro Líquido]]*5%</f>
        <v>10202350</v>
      </c>
      <c r="E19" s="90">
        <f>SUMPRODUCT(N(Tabela3[PAPEL]=Tabela2[[#This Row],[Ativo]]),Tabela3[Total Ações])</f>
        <v>835502072</v>
      </c>
      <c r="F19" s="91">
        <f>(Tabela2[[#This Row],[Lucro Líquido]]-Tabela2[[#This Row],[Reserva Legal]])/Tabela2[[#This Row],[Total Ações]]</f>
        <v>0.2320097777088457</v>
      </c>
      <c r="G19" s="91">
        <v>0.12089</v>
      </c>
      <c r="H19" s="23">
        <f>Tabela2[[#This Row],[Dividendo / Ação]]/Tabela2[[#This Row],[Lucro por ação]]</f>
        <v>0.52105562616290935</v>
      </c>
      <c r="I19" s="5">
        <f>SUMPRODUCT(N(Tabela1[Código]=Tabela2[[#This Row],[Ativo]]),Tabela1[Fechamento])</f>
        <v>0.62</v>
      </c>
      <c r="J19" s="23">
        <f>Tabela2[[#This Row],[Dividendo / Ação]]/Tabela2[[#This Row],[Cotação]]</f>
        <v>0.19498387096774195</v>
      </c>
    </row>
    <row r="20" spans="1:10" x14ac:dyDescent="0.2">
      <c r="A20" s="4" t="s">
        <v>101</v>
      </c>
      <c r="B20" s="4">
        <v>2012</v>
      </c>
      <c r="C20" s="6">
        <v>39281689.020000003</v>
      </c>
      <c r="D20" s="6">
        <f>Tabela2[[#This Row],[Lucro Líquido]]*5%</f>
        <v>1964084.4510000004</v>
      </c>
      <c r="E20" s="8">
        <f>SUMPRODUCT(N(Tabela3[PAPEL]=Tabela2[[#This Row],[Ativo]]),Tabela3[Total Ações])</f>
        <v>835502072</v>
      </c>
      <c r="F20" s="92">
        <f>(Tabela2[[#This Row],[Lucro Líquido]]-Tabela2[[#This Row],[Reserva Legal]])/Tabela2[[#This Row],[Total Ações]]</f>
        <v>4.4664885725142767E-2</v>
      </c>
      <c r="G20" s="92">
        <v>7.5724E-3</v>
      </c>
      <c r="H20" s="24">
        <f>Tabela2[[#This Row],[Dividendo / Ação]]/Tabela2[[#This Row],[Lucro por ação]]</f>
        <v>0.16953810307718628</v>
      </c>
      <c r="I20" s="6">
        <f>SUMPRODUCT(N(Tabela1[Código]=Tabela2[[#This Row],[Ativo]]),Tabela1[Fechamento])</f>
        <v>0.53</v>
      </c>
      <c r="J20" s="23">
        <f>Tabela2[[#This Row],[Dividendo / Ação]]/Tabela2[[#This Row],[Cotação]]</f>
        <v>1.4287547169811321E-2</v>
      </c>
    </row>
    <row r="21" spans="1:10" x14ac:dyDescent="0.2">
      <c r="A21" s="4" t="s">
        <v>101</v>
      </c>
      <c r="B21" s="4">
        <v>2007</v>
      </c>
      <c r="C21" s="6">
        <v>144980510.25</v>
      </c>
      <c r="D21" s="6">
        <f>Tabela2[[#This Row],[Lucro Líquido]]*5%</f>
        <v>7249025.5125000002</v>
      </c>
      <c r="E21" s="8">
        <f>SUMPRODUCT(N(Tabela3[PAPEL]=Tabela2[[#This Row],[Ativo]]),Tabela3[Total Ações])</f>
        <v>835502072</v>
      </c>
      <c r="F21" s="92">
        <f>(Tabela2[[#This Row],[Lucro Líquido]]-Tabela2[[#This Row],[Reserva Legal]])/Tabela2[[#This Row],[Total Ações]]</f>
        <v>0.16484876501598911</v>
      </c>
      <c r="G21" s="92">
        <v>5.6099999999999997E-2</v>
      </c>
      <c r="H21" s="24">
        <f>Tabela2[[#This Row],[Dividendo / Ação]]/Tabela2[[#This Row],[Lucro por ação]]</f>
        <v>0.34031192162439744</v>
      </c>
      <c r="I21" s="6">
        <f>SUMPRODUCT(N(Tabela1[Código]=Tabela2[[#This Row],[Ativo]]),Tabela1[Fechamento])</f>
        <v>0.53</v>
      </c>
      <c r="J21" s="23">
        <f>Tabela2[[#This Row],[Dividendo / Ação]]/Tabela2[[#This Row],[Cotação]]</f>
        <v>0.10584905660377357</v>
      </c>
    </row>
    <row r="22" spans="1:10" x14ac:dyDescent="0.2">
      <c r="A22" s="4" t="s">
        <v>101</v>
      </c>
      <c r="B22" s="4">
        <v>2006</v>
      </c>
      <c r="C22" s="6">
        <v>90571594.159999996</v>
      </c>
      <c r="D22" s="6">
        <f>Tabela2[[#This Row],[Lucro Líquido]]*5%</f>
        <v>4528579.7079999996</v>
      </c>
      <c r="E22" s="8">
        <f>SUMPRODUCT(N(Tabela3[PAPEL]=Tabela2[[#This Row],[Ativo]]),Tabela3[Total Ações])</f>
        <v>835502072</v>
      </c>
      <c r="F22" s="92">
        <f>(Tabela2[[#This Row],[Lucro Líquido]]-Tabela2[[#This Row],[Reserva Legal]])/Tabela2[[#This Row],[Total Ações]]</f>
        <v>0.10298360391379136</v>
      </c>
      <c r="G22" s="92">
        <v>4.4769999999999997E-2</v>
      </c>
      <c r="H22" s="24">
        <f>Tabela2[[#This Row],[Dividendo / Ação]]/Tabela2[[#This Row],[Lucro por ação]]</f>
        <v>0.43472939670549332</v>
      </c>
      <c r="I22" s="6">
        <f>SUMPRODUCT(N(Tabela1[Código]=Tabela2[[#This Row],[Ativo]]),Tabela1[Fechamento])</f>
        <v>0.53</v>
      </c>
      <c r="J22" s="23">
        <f>Tabela2[[#This Row],[Dividendo / Ação]]/Tabela2[[#This Row],[Cotação]]</f>
        <v>8.4471698113207538E-2</v>
      </c>
    </row>
    <row r="23" spans="1:10" x14ac:dyDescent="0.2">
      <c r="A23" s="4" t="s">
        <v>101</v>
      </c>
      <c r="B23" s="4">
        <v>2005</v>
      </c>
      <c r="C23" s="5">
        <v>185746507.69999999</v>
      </c>
      <c r="D23" s="5">
        <f>Tabela2[[#This Row],[Lucro Líquido]]*5%</f>
        <v>9287325.3849999998</v>
      </c>
      <c r="E23" s="8">
        <f>SUMPRODUCT(N(Tabela3[PAPEL]=Tabela2[[#This Row],[Ativo]]),Tabela3[Total Ações])</f>
        <v>835502072</v>
      </c>
      <c r="F23" s="92">
        <f>(Tabela2[[#This Row],[Lucro Líquido]]-Tabela2[[#This Row],[Reserva Legal]])/Tabela2[[#This Row],[Total Ações]]</f>
        <v>0.21120137008469322</v>
      </c>
      <c r="G23" s="92">
        <v>9.2355999999999994E-2</v>
      </c>
      <c r="H23" s="24">
        <f>Tabela2[[#This Row],[Dividendo / Ação]]/Tabela2[[#This Row],[Lucro por ação]]</f>
        <v>0.43728882991130497</v>
      </c>
      <c r="I23" s="6">
        <f>SUMPRODUCT(N(Tabela1[Código]=Tabela2[[#This Row],[Ativo]]),Tabela1[Fechamento])</f>
        <v>0.53</v>
      </c>
      <c r="J23" s="23">
        <f>Tabela2[[#This Row],[Dividendo / Ação]]/Tabela2[[#This Row],[Cotação]]</f>
        <v>0.17425660377358487</v>
      </c>
    </row>
    <row r="24" spans="1:10" x14ac:dyDescent="0.2">
      <c r="A24" s="4" t="s">
        <v>101</v>
      </c>
      <c r="B24" s="4">
        <v>2004</v>
      </c>
      <c r="C24" s="5">
        <v>204047000</v>
      </c>
      <c r="D24" s="5">
        <f>Tabela2[[#This Row],[Lucro Líquido]]*5%</f>
        <v>10202350</v>
      </c>
      <c r="E24" s="8">
        <f>SUMPRODUCT(N(Tabela3[PAPEL]=Tabela2[[#This Row],[Ativo]]),Tabela3[Total Ações])</f>
        <v>835502072</v>
      </c>
      <c r="F24" s="92">
        <f>(Tabela2[[#This Row],[Lucro Líquido]]-Tabela2[[#This Row],[Reserva Legal]])/Tabela2[[#This Row],[Total Ações]]</f>
        <v>0.2320097777088457</v>
      </c>
      <c r="G24" s="92">
        <v>0.12089</v>
      </c>
      <c r="H24" s="24">
        <f>Tabela2[[#This Row],[Dividendo / Ação]]/Tabela2[[#This Row],[Lucro por ação]]</f>
        <v>0.52105562616290935</v>
      </c>
      <c r="I24" s="6">
        <f>SUMPRODUCT(N(Tabela1[Código]=Tabela2[[#This Row],[Ativo]]),Tabela1[Fechamento])</f>
        <v>0.53</v>
      </c>
      <c r="J24" s="23">
        <f>Tabela2[[#This Row],[Dividendo / Ação]]/Tabela2[[#This Row],[Cotação]]</f>
        <v>0.2280943396226415</v>
      </c>
    </row>
    <row r="25" spans="1:10" x14ac:dyDescent="0.2">
      <c r="A25" s="4" t="s">
        <v>203</v>
      </c>
      <c r="B25" s="4">
        <v>2012</v>
      </c>
      <c r="C25" s="6">
        <v>165948458.28999999</v>
      </c>
      <c r="D25" s="6">
        <f>Tabela2[[#This Row],[Lucro Líquido]]*5%</f>
        <v>8297422.9145</v>
      </c>
      <c r="E25" s="8">
        <f>SUMPRODUCT(N(Tabela3[PAPEL]=Tabela2[[#This Row],[Ativo]]),Tabela3[Total Ações])</f>
        <v>2964596762</v>
      </c>
      <c r="F25" s="92">
        <f>(Tabela2[[#This Row],[Lucro Líquido]]-Tabela2[[#This Row],[Reserva Legal]])/Tabela2[[#This Row],[Total Ações]]</f>
        <v>5.3177901762647882E-2</v>
      </c>
      <c r="G25" s="92">
        <v>2.6766179000000001E-2</v>
      </c>
      <c r="H25" s="24">
        <f>Tabela2[[#This Row],[Dividendo / Ação]]/Tabela2[[#This Row],[Lucro por ação]]</f>
        <v>0.50333273996907757</v>
      </c>
      <c r="I25" s="6">
        <f>SUMPRODUCT(N(Tabela1[Código]=Tabela2[[#This Row],[Ativo]]),Tabela1[Fechamento])</f>
        <v>0.32</v>
      </c>
      <c r="J25" s="23">
        <f>Tabela2[[#This Row],[Dividendo / Ação]]/Tabela2[[#This Row],[Cotação]]</f>
        <v>8.3644309375000003E-2</v>
      </c>
    </row>
    <row r="26" spans="1:10" x14ac:dyDescent="0.2">
      <c r="A26" s="4" t="s">
        <v>203</v>
      </c>
      <c r="B26" s="4">
        <v>2011</v>
      </c>
      <c r="C26" s="6">
        <v>142163159.71000001</v>
      </c>
      <c r="D26" s="6">
        <f>Tabela2[[#This Row],[Lucro Líquido]]*5%</f>
        <v>7108157.9855000004</v>
      </c>
      <c r="E26" s="8">
        <f>SUMPRODUCT(N(Tabela3[PAPEL]=Tabela2[[#This Row],[Ativo]]),Tabela3[Total Ações])</f>
        <v>2964596762</v>
      </c>
      <c r="F26" s="92">
        <f>(Tabela2[[#This Row],[Lucro Líquido]]-Tabela2[[#This Row],[Reserva Legal]])/Tabela2[[#This Row],[Total Ações]]</f>
        <v>4.5555943208069931E-2</v>
      </c>
      <c r="G26" s="92">
        <v>3.7426162999999998E-2</v>
      </c>
      <c r="H26" s="24">
        <f>Tabela2[[#This Row],[Dividendo / Ação]]/Tabela2[[#This Row],[Lucro por ação]]</f>
        <v>0.82154292863746925</v>
      </c>
      <c r="I26" s="6">
        <f>SUMPRODUCT(N(Tabela1[Código]=Tabela2[[#This Row],[Ativo]]),Tabela1[Fechamento])</f>
        <v>0.32</v>
      </c>
      <c r="J26" s="23">
        <f>Tabela2[[#This Row],[Dividendo / Ação]]/Tabela2[[#This Row],[Cotação]]</f>
        <v>0.116956759375</v>
      </c>
    </row>
    <row r="27" spans="1:10" x14ac:dyDescent="0.2">
      <c r="A27" s="4" t="s">
        <v>203</v>
      </c>
      <c r="B27" s="4">
        <v>2009</v>
      </c>
      <c r="C27" s="6">
        <v>26300000</v>
      </c>
      <c r="D27" s="6">
        <f>Tabela2[[#This Row],[Lucro Líquido]]*5%</f>
        <v>1315000</v>
      </c>
      <c r="E27" s="8">
        <f>SUMPRODUCT(N(Tabela3[PAPEL]=Tabela2[[#This Row],[Ativo]]),Tabela3[Total Ações])</f>
        <v>2964596762</v>
      </c>
      <c r="F27" s="92">
        <f>(Tabela2[[#This Row],[Lucro Líquido]]-Tabela2[[#This Row],[Reserva Legal]])/Tabela2[[#This Row],[Total Ações]]</f>
        <v>8.4277903559283451E-3</v>
      </c>
      <c r="G27" s="92">
        <v>9.327175E-3</v>
      </c>
      <c r="H27" s="24">
        <f>Tabela2[[#This Row],[Dividendo / Ação]]/Tabela2[[#This Row],[Lucro por ação]]</f>
        <v>1.1067165420695357</v>
      </c>
      <c r="I27" s="6">
        <f>SUMPRODUCT(N(Tabela1[Código]=Tabela2[[#This Row],[Ativo]]),Tabela1[Fechamento])</f>
        <v>0.32</v>
      </c>
      <c r="J27" s="23">
        <f>Tabela2[[#This Row],[Dividendo / Ação]]/Tabela2[[#This Row],[Cotação]]</f>
        <v>2.9147421874999999E-2</v>
      </c>
    </row>
    <row r="28" spans="1:10" x14ac:dyDescent="0.2">
      <c r="A28" s="4" t="s">
        <v>203</v>
      </c>
      <c r="B28" s="4">
        <v>2008</v>
      </c>
      <c r="C28" s="6">
        <v>215849983.30000001</v>
      </c>
      <c r="D28" s="6">
        <f>Tabela2[[#This Row],[Lucro Líquido]]*5%</f>
        <v>10792499.165000001</v>
      </c>
      <c r="E28" s="8">
        <f>SUMPRODUCT(N(Tabela3[PAPEL]=Tabela2[[#This Row],[Ativo]]),Tabela3[Total Ações])</f>
        <v>2964596762</v>
      </c>
      <c r="F28" s="92">
        <f>(Tabela2[[#This Row],[Lucro Líquido]]-Tabela2[[#This Row],[Reserva Legal]])/Tabela2[[#This Row],[Total Ações]]</f>
        <v>6.916876074460207E-2</v>
      </c>
      <c r="G28" s="92">
        <v>3.7007718000000002E-2</v>
      </c>
      <c r="H28" s="24">
        <f>Tabela2[[#This Row],[Dividendo / Ação]]/Tabela2[[#This Row],[Lucro por ação]]</f>
        <v>0.53503514594755963</v>
      </c>
      <c r="I28" s="6">
        <f>SUMPRODUCT(N(Tabela1[Código]=Tabela2[[#This Row],[Ativo]]),Tabela1[Fechamento])</f>
        <v>0.32</v>
      </c>
      <c r="J28" s="23">
        <f>Tabela2[[#This Row],[Dividendo / Ação]]/Tabela2[[#This Row],[Cotação]]</f>
        <v>0.11564911875</v>
      </c>
    </row>
    <row r="29" spans="1:10" x14ac:dyDescent="0.2">
      <c r="A29" s="4" t="s">
        <v>203</v>
      </c>
      <c r="B29" s="4">
        <v>2007</v>
      </c>
      <c r="C29" s="6">
        <v>179766452.93000001</v>
      </c>
      <c r="D29" s="6">
        <f>Tabela2[[#This Row],[Lucro Líquido]]*5%</f>
        <v>8988322.6465000007</v>
      </c>
      <c r="E29" s="8">
        <f>SUMPRODUCT(N(Tabela3[PAPEL]=Tabela2[[#This Row],[Ativo]]),Tabela3[Total Ações])</f>
        <v>2964596762</v>
      </c>
      <c r="F29" s="92">
        <f>(Tabela2[[#This Row],[Lucro Líquido]]-Tabela2[[#This Row],[Reserva Legal]])/Tabela2[[#This Row],[Total Ações]]</f>
        <v>5.7605854689083684E-2</v>
      </c>
      <c r="G29" s="92">
        <v>2.2531572999999999E-2</v>
      </c>
      <c r="H29" s="24">
        <f>Tabela2[[#This Row],[Dividendo / Ação]]/Tabela2[[#This Row],[Lucro por ação]]</f>
        <v>0.39113338603532144</v>
      </c>
      <c r="I29" s="6">
        <f>SUMPRODUCT(N(Tabela1[Código]=Tabela2[[#This Row],[Ativo]]),Tabela1[Fechamento])</f>
        <v>0.32</v>
      </c>
      <c r="J29" s="23">
        <f>Tabela2[[#This Row],[Dividendo / Ação]]/Tabela2[[#This Row],[Cotação]]</f>
        <v>7.0411165624999994E-2</v>
      </c>
    </row>
    <row r="30" spans="1:10" x14ac:dyDescent="0.2">
      <c r="A30" s="4" t="s">
        <v>38</v>
      </c>
      <c r="B30" s="4">
        <v>2011</v>
      </c>
      <c r="C30" s="6">
        <v>339725153.91000003</v>
      </c>
      <c r="D30" s="6">
        <f>Tabela2[[#This Row],[Lucro Líquido]]*5%</f>
        <v>16986257.695500001</v>
      </c>
      <c r="E30" s="8">
        <f>SUMPRODUCT(N(Tabela3[PAPEL]=Tabela2[[#This Row],[Ativo]]),Tabela3[Total Ações])</f>
        <v>428473420</v>
      </c>
      <c r="F30" s="92">
        <f>(Tabela2[[#This Row],[Lucro Líquido]]-Tabela2[[#This Row],[Reserva Legal]])/Tabela2[[#This Row],[Total Ações]]</f>
        <v>0.75322967808481567</v>
      </c>
      <c r="G30" s="92">
        <v>0.30702249999999998</v>
      </c>
      <c r="H30" s="24">
        <f>Tabela2[[#This Row],[Dividendo / Ação]]/Tabela2[[#This Row],[Lucro por ação]]</f>
        <v>0.40760807617225675</v>
      </c>
      <c r="I30" s="6">
        <f>SUMPRODUCT(N(Tabela1[Código]=Tabela2[[#This Row],[Ativo]]),Tabela1[Fechamento])</f>
        <v>2.0499999999999998</v>
      </c>
      <c r="J30" s="23">
        <f>Tabela2[[#This Row],[Dividendo / Ação]]/Tabela2[[#This Row],[Cotação]]</f>
        <v>0.14976707317073171</v>
      </c>
    </row>
    <row r="31" spans="1:10" x14ac:dyDescent="0.2">
      <c r="A31" s="4" t="s">
        <v>210</v>
      </c>
      <c r="B31" s="4">
        <v>2012</v>
      </c>
      <c r="C31" s="6">
        <v>290441196.88</v>
      </c>
      <c r="D31" s="6">
        <f>Tabela2[[#This Row],[Lucro Líquido]]*5%</f>
        <v>14522059.844000001</v>
      </c>
      <c r="E31" s="8">
        <f>SUMPRODUCT(N(Tabela3[PAPEL]=Tabela2[[#This Row],[Ativo]]),Tabela3[Total Ações])</f>
        <v>1245690889</v>
      </c>
      <c r="F31" s="92">
        <f>(Tabela2[[#This Row],[Lucro Líquido]]-Tabela2[[#This Row],[Reserva Legal]])/Tabela2[[#This Row],[Total Ações]]</f>
        <v>0.22149888023785652</v>
      </c>
      <c r="G31" s="92">
        <v>0.159</v>
      </c>
      <c r="H31" s="24">
        <f>Tabela2[[#This Row],[Dividendo / Ação]]/Tabela2[[#This Row],[Lucro por ação]]</f>
        <v>0.71783658603266021</v>
      </c>
      <c r="I31" s="6">
        <f>SUMPRODUCT(N(Tabela1[Código]=Tabela2[[#This Row],[Ativo]]),Tabela1[Fechamento])</f>
        <v>2.2000000000000002</v>
      </c>
      <c r="J31" s="23">
        <f>Tabela2[[#This Row],[Dividendo / Ação]]/Tabela2[[#This Row],[Cotação]]</f>
        <v>7.2272727272727266E-2</v>
      </c>
    </row>
    <row r="32" spans="1:10" x14ac:dyDescent="0.2">
      <c r="A32" s="4" t="s">
        <v>446</v>
      </c>
      <c r="B32" s="4">
        <v>2012</v>
      </c>
      <c r="C32" s="6">
        <v>290441196.88</v>
      </c>
      <c r="D32" s="6">
        <f>Tabela2[[#This Row],[Lucro Líquido]]*5%</f>
        <v>14522059.844000001</v>
      </c>
      <c r="E32" s="8">
        <f>SUMPRODUCT(N(Tabela3[PAPEL]=Tabela2[[#This Row],[Ativo]]),Tabela3[Total Ações])</f>
        <v>1245690889</v>
      </c>
      <c r="F32" s="92">
        <f>(Tabela2[[#This Row],[Lucro Líquido]]-Tabela2[[#This Row],[Reserva Legal]])/Tabela2[[#This Row],[Total Ações]]</f>
        <v>0.22149888023785652</v>
      </c>
      <c r="G32" s="92">
        <v>0.79500000000000004</v>
      </c>
      <c r="H32" s="24">
        <f>Tabela2[[#This Row],[Dividendo / Ação]]/Tabela2[[#This Row],[Lucro por ação]]</f>
        <v>3.5891829301633016</v>
      </c>
      <c r="I32" s="6">
        <f>SUMPRODUCT(N(Tabela1[Código]=Tabela2[[#This Row],[Ativo]]),Tabela1[Fechamento])</f>
        <v>11.8</v>
      </c>
      <c r="J32" s="23">
        <f>Tabela2[[#This Row],[Dividendo / Ação]]/Tabela2[[#This Row],[Cotação]]</f>
        <v>6.7372881355932196E-2</v>
      </c>
    </row>
    <row r="33" spans="1:10" x14ac:dyDescent="0.2">
      <c r="A33" s="4" t="s">
        <v>210</v>
      </c>
      <c r="B33" s="3">
        <v>2011</v>
      </c>
      <c r="C33" s="5">
        <v>131210547.13</v>
      </c>
      <c r="D33" s="5">
        <f>Tabela2[[#This Row],[Lucro Líquido]]*5%</f>
        <v>6560527.3564999998</v>
      </c>
      <c r="E33" s="90">
        <f>SUMPRODUCT(N(Tabela3[PAPEL]=Tabela2[[#This Row],[Ativo]]),Tabela3[Total Ações])</f>
        <v>1245690889</v>
      </c>
      <c r="F33" s="91">
        <f>(Tabela2[[#This Row],[Lucro Líquido]]-Tabela2[[#This Row],[Reserva Legal]])/Tabela2[[#This Row],[Total Ações]]</f>
        <v>0.10006496866454966</v>
      </c>
      <c r="G33" s="91">
        <v>0.04</v>
      </c>
      <c r="H33" s="23">
        <f>Tabela2[[#This Row],[Dividendo / Ação]]/Tabela2[[#This Row],[Lucro por ação]]</f>
        <v>0.39974029406927636</v>
      </c>
      <c r="I33" s="5">
        <f>SUMPRODUCT(N(Tabela1[Código]=Tabela2[[#This Row],[Ativo]]),Tabela1[Fechamento])</f>
        <v>2.2000000000000002</v>
      </c>
      <c r="J33" s="23">
        <f>Tabela2[[#This Row],[Dividendo / Ação]]/Tabela2[[#This Row],[Cotação]]</f>
        <v>1.8181818181818181E-2</v>
      </c>
    </row>
    <row r="34" spans="1:10" x14ac:dyDescent="0.2">
      <c r="A34" s="4" t="s">
        <v>446</v>
      </c>
      <c r="B34" s="4">
        <v>2011</v>
      </c>
      <c r="C34" s="5">
        <v>131210547.13</v>
      </c>
      <c r="D34" s="5">
        <f>Tabela2[[#This Row],[Lucro Líquido]]*5%</f>
        <v>6560527.3564999998</v>
      </c>
      <c r="E34" s="8">
        <f>SUMPRODUCT(N(Tabela3[PAPEL]=Tabela2[[#This Row],[Ativo]]),Tabela3[Total Ações])</f>
        <v>1245690889</v>
      </c>
      <c r="F34" s="92">
        <f>(Tabela2[[#This Row],[Lucro Líquido]]-Tabela2[[#This Row],[Reserva Legal]])/Tabela2[[#This Row],[Total Ações]]</f>
        <v>0.10006496866454966</v>
      </c>
      <c r="G34" s="92">
        <v>0.2</v>
      </c>
      <c r="H34" s="24">
        <f>Tabela2[[#This Row],[Dividendo / Ação]]/Tabela2[[#This Row],[Lucro por ação]]</f>
        <v>1.9987014703463817</v>
      </c>
      <c r="I34" s="6">
        <f>SUMPRODUCT(N(Tabela1[Código]=Tabela2[[#This Row],[Ativo]]),Tabela1[Fechamento])</f>
        <v>11.8</v>
      </c>
      <c r="J34" s="23">
        <f>Tabela2[[#This Row],[Dividendo / Ação]]/Tabela2[[#This Row],[Cotação]]</f>
        <v>1.6949152542372881E-2</v>
      </c>
    </row>
    <row r="35" spans="1:10" x14ac:dyDescent="0.2">
      <c r="A35" s="4" t="s">
        <v>255</v>
      </c>
      <c r="B35" s="4">
        <v>2012</v>
      </c>
      <c r="C35" s="6">
        <v>94365000</v>
      </c>
      <c r="D35" s="6">
        <f>Tabela2[[#This Row],[Lucro Líquido]]*5%</f>
        <v>4718250</v>
      </c>
      <c r="E35" s="8">
        <f>SUMPRODUCT(N(Tabela3[PAPEL]=Tabela2[[#This Row],[Ativo]]),Tabela3[Total Ações])</f>
        <v>105765903</v>
      </c>
      <c r="F35" s="92">
        <f>(Tabela2[[#This Row],[Lucro Líquido]]-Tabela2[[#This Row],[Reserva Legal]])/Tabela2[[#This Row],[Total Ações]]</f>
        <v>0.84759594025307006</v>
      </c>
      <c r="G35" s="92">
        <v>0.26429999999999998</v>
      </c>
      <c r="H35" s="24">
        <f>Tabela2[[#This Row],[Dividendo / Ação]]/Tabela2[[#This Row],[Lucro por ação]]</f>
        <v>0.31182310750696479</v>
      </c>
      <c r="I35" s="6">
        <f>SUMPRODUCT(N(Tabela1[Código]=Tabela2[[#This Row],[Ativo]]),Tabela1[Fechamento])</f>
        <v>3.92</v>
      </c>
      <c r="J35" s="23">
        <f>Tabela2[[#This Row],[Dividendo / Ação]]/Tabela2[[#This Row],[Cotação]]</f>
        <v>6.7423469387755092E-2</v>
      </c>
    </row>
    <row r="36" spans="1:10" x14ac:dyDescent="0.2">
      <c r="A36" s="4" t="s">
        <v>255</v>
      </c>
      <c r="B36" s="4">
        <v>2011</v>
      </c>
      <c r="C36" s="6">
        <v>76923000</v>
      </c>
      <c r="D36" s="6">
        <f>Tabela2[[#This Row],[Lucro Líquido]]*5%</f>
        <v>3846150</v>
      </c>
      <c r="E36" s="8">
        <f>SUMPRODUCT(N(Tabela3[PAPEL]=Tabela2[[#This Row],[Ativo]]),Tabela3[Total Ações])</f>
        <v>105765903</v>
      </c>
      <c r="F36" s="92">
        <f>(Tabela2[[#This Row],[Lucro Líquido]]-Tabela2[[#This Row],[Reserva Legal]])/Tabela2[[#This Row],[Total Ações]]</f>
        <v>0.69093013842088602</v>
      </c>
      <c r="G36" s="92">
        <v>0.24027999999999999</v>
      </c>
      <c r="H36" s="24">
        <f>Tabela2[[#This Row],[Dividendo / Ação]]/Tabela2[[#This Row],[Lucro por ação]]</f>
        <v>0.34776309012826906</v>
      </c>
      <c r="I36" s="6">
        <f>SUMPRODUCT(N(Tabela1[Código]=Tabela2[[#This Row],[Ativo]]),Tabela1[Fechamento])</f>
        <v>3.92</v>
      </c>
      <c r="J36" s="23">
        <f>Tabela2[[#This Row],[Dividendo / Ação]]/Tabela2[[#This Row],[Cotação]]</f>
        <v>6.1295918367346935E-2</v>
      </c>
    </row>
    <row r="37" spans="1:10" x14ac:dyDescent="0.2">
      <c r="A37" s="4" t="s">
        <v>255</v>
      </c>
      <c r="B37" s="4">
        <v>2010</v>
      </c>
      <c r="C37" s="6">
        <v>61183000</v>
      </c>
      <c r="D37" s="6">
        <f>Tabela2[[#This Row],[Lucro Líquido]]*5%</f>
        <v>3059150</v>
      </c>
      <c r="E37" s="8">
        <f>SUMPRODUCT(N(Tabela3[PAPEL]=Tabela2[[#This Row],[Ativo]]),Tabela3[Total Ações])</f>
        <v>105765903</v>
      </c>
      <c r="F37" s="92">
        <f>(Tabela2[[#This Row],[Lucro Líquido]]-Tabela2[[#This Row],[Reserva Legal]])/Tabela2[[#This Row],[Total Ações]]</f>
        <v>0.54955187211893797</v>
      </c>
      <c r="G37" s="92">
        <v>0.30980000000000002</v>
      </c>
      <c r="H37" s="24">
        <f>Tabela2[[#This Row],[Dividendo / Ação]]/Tabela2[[#This Row],[Lucro por ação]]</f>
        <v>0.56373204372043495</v>
      </c>
      <c r="I37" s="6">
        <f>SUMPRODUCT(N(Tabela1[Código]=Tabela2[[#This Row],[Ativo]]),Tabela1[Fechamento])</f>
        <v>3.92</v>
      </c>
      <c r="J37" s="23">
        <f>Tabela2[[#This Row],[Dividendo / Ação]]/Tabela2[[#This Row],[Cotação]]</f>
        <v>7.9030612244897963E-2</v>
      </c>
    </row>
    <row r="38" spans="1:10" x14ac:dyDescent="0.2">
      <c r="A38" s="4" t="s">
        <v>219</v>
      </c>
      <c r="B38" s="4">
        <v>2011</v>
      </c>
      <c r="C38" s="6">
        <v>436885000</v>
      </c>
      <c r="D38" s="6">
        <f>Tabela2[[#This Row],[Lucro Líquido]]*5%</f>
        <v>21844250</v>
      </c>
      <c r="E38" s="8">
        <f>SUMPRODUCT(N(Tabela3[PAPEL]=Tabela2[[#This Row],[Ativo]]),Tabela3[Total Ações])</f>
        <v>95061053</v>
      </c>
      <c r="F38" s="92">
        <f>(Tabela2[[#This Row],[Lucro Líquido]]-Tabela2[[#This Row],[Reserva Legal]])/Tabela2[[#This Row],[Total Ações]]</f>
        <v>4.3660441043084175</v>
      </c>
      <c r="G38" s="92">
        <v>1.876459358</v>
      </c>
      <c r="H38" s="24">
        <f>Tabela2[[#This Row],[Dividendo / Ação]]/Tabela2[[#This Row],[Lucro por ação]]</f>
        <v>0.42978479217566945</v>
      </c>
      <c r="I38" s="6">
        <f>SUMPRODUCT(N(Tabela1[Código]=Tabela2[[#This Row],[Ativo]]),Tabela1[Fechamento])</f>
        <v>9.24</v>
      </c>
      <c r="J38" s="23">
        <f>Tabela2[[#This Row],[Dividendo / Ação]]/Tabela2[[#This Row],[Cotação]]</f>
        <v>0.20308001709956708</v>
      </c>
    </row>
    <row r="39" spans="1:10" x14ac:dyDescent="0.2">
      <c r="A39" s="4" t="s">
        <v>219</v>
      </c>
      <c r="B39" s="4">
        <v>2010</v>
      </c>
      <c r="C39" s="5">
        <v>376137000</v>
      </c>
      <c r="D39" s="5">
        <f>Tabela2[[#This Row],[Lucro Líquido]]*5%</f>
        <v>18806850</v>
      </c>
      <c r="E39" s="90">
        <f>SUMPRODUCT(N(Tabela3[PAPEL]=Tabela2[[#This Row],[Ativo]]),Tabela3[Total Ações])</f>
        <v>95061053</v>
      </c>
      <c r="F39" s="91">
        <f>(Tabela2[[#This Row],[Lucro Líquido]]-Tabela2[[#This Row],[Reserva Legal]])/Tabela2[[#This Row],[Total Ações]]</f>
        <v>3.7589542585857956</v>
      </c>
      <c r="G39" s="91">
        <v>1.3465030730000001</v>
      </c>
      <c r="H39" s="23">
        <f>Tabela2[[#This Row],[Dividendo / Ação]]/Tabela2[[#This Row],[Lucro por ação]]</f>
        <v>0.35821214635013549</v>
      </c>
      <c r="I39" s="5">
        <f>SUMPRODUCT(N(Tabela1[Código]=Tabela2[[#This Row],[Ativo]]),Tabela1[Fechamento])</f>
        <v>9.24</v>
      </c>
      <c r="J39" s="23">
        <f>Tabela2[[#This Row],[Dividendo / Ação]]/Tabela2[[#This Row],[Cotação]]</f>
        <v>0.1457254408008658</v>
      </c>
    </row>
    <row r="40" spans="1:10" x14ac:dyDescent="0.2">
      <c r="A40" s="4" t="s">
        <v>219</v>
      </c>
      <c r="B40" s="4">
        <v>2009</v>
      </c>
      <c r="C40" s="5">
        <v>335010000</v>
      </c>
      <c r="D40" s="5">
        <f>Tabela2[[#This Row],[Lucro Líquido]]*5%</f>
        <v>16750500</v>
      </c>
      <c r="E40" s="90">
        <f>SUMPRODUCT(N(Tabela3[PAPEL]=Tabela2[[#This Row],[Ativo]]),Tabela3[Total Ações])</f>
        <v>95061053</v>
      </c>
      <c r="F40" s="91">
        <f>(Tabela2[[#This Row],[Lucro Líquido]]-Tabela2[[#This Row],[Reserva Legal]])/Tabela2[[#This Row],[Total Ações]]</f>
        <v>3.3479483969107728</v>
      </c>
      <c r="G40" s="91">
        <v>0.79422642200000004</v>
      </c>
      <c r="H40" s="23">
        <f>Tabela2[[#This Row],[Dividendo / Ação]]/Tabela2[[#This Row],[Lucro por ação]]</f>
        <v>0.23722779680022865</v>
      </c>
      <c r="I40" s="5">
        <f>SUMPRODUCT(N(Tabela1[Código]=Tabela2[[#This Row],[Ativo]]),Tabela1[Fechamento])</f>
        <v>9.24</v>
      </c>
      <c r="J40" s="23">
        <f>Tabela2[[#This Row],[Dividendo / Ação]]/Tabela2[[#This Row],[Cotação]]</f>
        <v>8.5955240476190478E-2</v>
      </c>
    </row>
    <row r="41" spans="1:10" x14ac:dyDescent="0.2">
      <c r="A41" s="3" t="s">
        <v>43</v>
      </c>
      <c r="B41" s="3">
        <v>2012</v>
      </c>
      <c r="C41" s="5">
        <v>82501054.159999996</v>
      </c>
      <c r="D41" s="5">
        <f>Tabela2[[#This Row],[Lucro Líquido]]*5%</f>
        <v>4125052.7080000001</v>
      </c>
      <c r="E41" s="90">
        <f>SUMPRODUCT(N(Tabela3[PAPEL]=Tabela2[[#This Row],[Ativo]]),Tabela3[Total Ações])</f>
        <v>192839601</v>
      </c>
      <c r="F41" s="91">
        <f>(Tabela2[[#This Row],[Lucro Líquido]]-Tabela2[[#This Row],[Reserva Legal]])/Tabela2[[#This Row],[Total Ações]]</f>
        <v>0.4064310496680606</v>
      </c>
      <c r="G41" s="93">
        <v>0.304823287</v>
      </c>
      <c r="H41" s="28">
        <f>Tabela2[[#This Row],[Dividendo / Ação]]/Tabela2[[#This Row],[Lucro por ação]]</f>
        <v>0.74999999938231721</v>
      </c>
      <c r="I41" s="5">
        <f>SUMPRODUCT(N(Tabela1[Código]=Tabela2[[#This Row],[Ativo]]),Tabela1[Fechamento])</f>
        <v>5.72</v>
      </c>
      <c r="J41" s="23">
        <f>Tabela2[[#This Row],[Dividendo / Ação]]/Tabela2[[#This Row],[Cotação]]</f>
        <v>5.3290784440559444E-2</v>
      </c>
    </row>
    <row r="42" spans="1:10" x14ac:dyDescent="0.2">
      <c r="A42" s="3" t="s">
        <v>43</v>
      </c>
      <c r="B42" s="3">
        <v>2011</v>
      </c>
      <c r="C42" s="5">
        <v>106599000</v>
      </c>
      <c r="D42" s="71">
        <f>Tabela2[[#This Row],[Lucro Líquido]]*5%</f>
        <v>5329950</v>
      </c>
      <c r="E42" s="90">
        <f>SUMPRODUCT(N(Tabela3[PAPEL]=Tabela2[[#This Row],[Ativo]]),Tabela3[Total Ações])</f>
        <v>192839601</v>
      </c>
      <c r="F42" s="93">
        <f>(Tabela2[[#This Row],[Lucro Líquido]]-Tabela2[[#This Row],[Reserva Legal]])/Tabela2[[#This Row],[Total Ações]]</f>
        <v>0.52514654394042226</v>
      </c>
      <c r="G42" s="93">
        <v>0.32</v>
      </c>
      <c r="H42" s="28">
        <f>Tabela2[[#This Row],[Dividendo / Ação]]/Tabela2[[#This Row],[Lucro por ação]]</f>
        <v>0.60935371981864161</v>
      </c>
      <c r="I42" s="5">
        <f>SUMPRODUCT(N(Tabela1[Código]=Tabela2[[#This Row],[Ativo]]),Tabela1[Fechamento])</f>
        <v>5.72</v>
      </c>
      <c r="J42" s="23">
        <f>Tabela2[[#This Row],[Dividendo / Ação]]/Tabela2[[#This Row],[Cotação]]</f>
        <v>5.5944055944055951E-2</v>
      </c>
    </row>
    <row r="43" spans="1:10" x14ac:dyDescent="0.2">
      <c r="A43" s="3" t="s">
        <v>43</v>
      </c>
      <c r="B43" s="3">
        <v>2010</v>
      </c>
      <c r="C43" s="5">
        <v>72793496.950000003</v>
      </c>
      <c r="D43" s="71">
        <f>Tabela2[[#This Row],[Lucro Líquido]]*5%</f>
        <v>3639674.8475000001</v>
      </c>
      <c r="E43" s="90">
        <f>SUMPRODUCT(N(Tabela3[PAPEL]=Tabela2[[#This Row],[Ativo]]),Tabela3[Total Ações])</f>
        <v>192839601</v>
      </c>
      <c r="F43" s="93">
        <f>(Tabela2[[#This Row],[Lucro Líquido]]-Tabela2[[#This Row],[Reserva Legal]])/Tabela2[[#This Row],[Total Ações]]</f>
        <v>0.35860799205086513</v>
      </c>
      <c r="G43" s="93">
        <v>0.20474999999999999</v>
      </c>
      <c r="H43" s="28">
        <f>Tabela2[[#This Row],[Dividendo / Ação]]/Tabela2[[#This Row],[Lucro por ação]]</f>
        <v>0.57095771577494048</v>
      </c>
      <c r="I43" s="5">
        <f>SUMPRODUCT(N(Tabela1[Código]=Tabela2[[#This Row],[Ativo]]),Tabela1[Fechamento])</f>
        <v>5.72</v>
      </c>
      <c r="J43" s="23">
        <f>Tabela2[[#This Row],[Dividendo / Ação]]/Tabela2[[#This Row],[Cotação]]</f>
        <v>3.5795454545454547E-2</v>
      </c>
    </row>
    <row r="44" spans="1:10" x14ac:dyDescent="0.2">
      <c r="A44" s="3" t="s">
        <v>43</v>
      </c>
      <c r="B44" s="3">
        <v>2009</v>
      </c>
      <c r="C44" s="5">
        <v>44926699.240000002</v>
      </c>
      <c r="D44" s="71">
        <f>Tabela2[[#This Row],[Lucro Líquido]]*5%</f>
        <v>2246334.9620000003</v>
      </c>
      <c r="E44" s="90">
        <f>SUMPRODUCT(N(Tabela3[PAPEL]=Tabela2[[#This Row],[Ativo]]),Tabela3[Total Ações])</f>
        <v>192839601</v>
      </c>
      <c r="F44" s="93">
        <f>(Tabela2[[#This Row],[Lucro Líquido]]-Tabela2[[#This Row],[Reserva Legal]])/Tabela2[[#This Row],[Total Ações]]</f>
        <v>0.22132572384859894</v>
      </c>
      <c r="G44" s="93">
        <v>0.12795999999999999</v>
      </c>
      <c r="H44" s="28">
        <f>Tabela2[[#This Row],[Dividendo / Ação]]/Tabela2[[#This Row],[Lucro por ação]]</f>
        <v>0.57815240711709082</v>
      </c>
      <c r="I44" s="5">
        <f>SUMPRODUCT(N(Tabela1[Código]=Tabela2[[#This Row],[Ativo]]),Tabela1[Fechamento])</f>
        <v>5.72</v>
      </c>
      <c r="J44" s="23">
        <f>Tabela2[[#This Row],[Dividendo / Ação]]/Tabela2[[#This Row],[Cotação]]</f>
        <v>2.237062937062937E-2</v>
      </c>
    </row>
    <row r="45" spans="1:10" x14ac:dyDescent="0.2">
      <c r="A45" s="3" t="s">
        <v>43</v>
      </c>
      <c r="B45" s="3">
        <v>2008</v>
      </c>
      <c r="C45" s="5">
        <v>26521322.010000002</v>
      </c>
      <c r="D45" s="71">
        <f>Tabela2[[#This Row],[Lucro Líquido]]*5%</f>
        <v>1326066.1005000002</v>
      </c>
      <c r="E45" s="90">
        <f>SUMPRODUCT(N(Tabela3[PAPEL]=Tabela2[[#This Row],[Ativo]]),Tabela3[Total Ações])</f>
        <v>192839601</v>
      </c>
      <c r="F45" s="93">
        <f>(Tabela2[[#This Row],[Lucro Líquido]]-Tabela2[[#This Row],[Reserva Legal]])/Tabela2[[#This Row],[Total Ações]]</f>
        <v>0.13065395167199087</v>
      </c>
      <c r="G45" s="93">
        <v>2.3539999999999998E-2</v>
      </c>
      <c r="H45" s="28">
        <f>Tabela2[[#This Row],[Dividendo / Ação]]/Tabela2[[#This Row],[Lucro por ação]]</f>
        <v>0.18017059337858835</v>
      </c>
      <c r="I45" s="5">
        <f>SUMPRODUCT(N(Tabela1[Código]=Tabela2[[#This Row],[Ativo]]),Tabela1[Fechamento])</f>
        <v>5.72</v>
      </c>
      <c r="J45" s="23">
        <f>Tabela2[[#This Row],[Dividendo / Ação]]/Tabela2[[#This Row],[Cotação]]</f>
        <v>4.1153846153846154E-3</v>
      </c>
    </row>
    <row r="46" spans="1:10" x14ac:dyDescent="0.2">
      <c r="A46" s="3" t="s">
        <v>519</v>
      </c>
      <c r="B46" s="3">
        <v>2012</v>
      </c>
      <c r="C46" s="5">
        <v>837439831.94000006</v>
      </c>
      <c r="D46" s="71">
        <f>Tabela2[[#This Row],[Lucro Líquido]]*5%</f>
        <v>41871991.597000003</v>
      </c>
      <c r="E46" s="90">
        <f>SUMPRODUCT(N(Tabela3[PAPEL]=Tabela2[[#This Row],[Ativo]]),Tabela3[Total Ações])</f>
        <v>1797086404</v>
      </c>
      <c r="F46" s="93">
        <f>(Tabela2[[#This Row],[Lucro Líquido]]-Tabela2[[#This Row],[Reserva Legal]])/Tabela2[[#This Row],[Total Ações]]</f>
        <v>0.44269871419215301</v>
      </c>
      <c r="G46" s="93">
        <v>0.51068858442999998</v>
      </c>
      <c r="H46" s="28">
        <f>Tabela2[[#This Row],[Dividendo / Ação]]/Tabela2[[#This Row],[Lucro por ação]]</f>
        <v>1.1535804556422</v>
      </c>
      <c r="I46" s="5">
        <f>SUMPRODUCT(N(Tabela1[Código]=Tabela2[[#This Row],[Ativo]]),Tabela1[Fechamento])</f>
        <v>3.81</v>
      </c>
      <c r="J46" s="23">
        <f>Tabela2[[#This Row],[Dividendo / Ação]]/Tabela2[[#This Row],[Cotação]]</f>
        <v>0.13403899853805773</v>
      </c>
    </row>
    <row r="47" spans="1:10" x14ac:dyDescent="0.2">
      <c r="A47" s="3" t="s">
        <v>519</v>
      </c>
      <c r="B47" s="3">
        <v>2011</v>
      </c>
      <c r="C47" s="5">
        <v>1005731443.8099999</v>
      </c>
      <c r="D47" s="71">
        <f>Tabela2[[#This Row],[Lucro Líquido]]*5%</f>
        <v>50286572.190499999</v>
      </c>
      <c r="E47" s="90">
        <f>SUMPRODUCT(N(Tabela3[PAPEL]=Tabela2[[#This Row],[Ativo]]),Tabela3[Total Ações])</f>
        <v>1797086404</v>
      </c>
      <c r="F47" s="93">
        <f>(Tabela2[[#This Row],[Lucro Líquido]]-Tabela2[[#This Row],[Reserva Legal]])/Tabela2[[#This Row],[Total Ações]]</f>
        <v>0.53166329092070741</v>
      </c>
      <c r="G47" s="93">
        <v>0.61</v>
      </c>
      <c r="H47" s="28">
        <f>Tabela2[[#This Row],[Dividendo / Ação]]/Tabela2[[#This Row],[Lucro por ação]]</f>
        <v>1.1473427080956315</v>
      </c>
      <c r="I47" s="5">
        <f>SUMPRODUCT(N(Tabela1[Código]=Tabela2[[#This Row],[Ativo]]),Tabela1[Fechamento])</f>
        <v>3.81</v>
      </c>
      <c r="J47" s="23">
        <f>Tabela2[[#This Row],[Dividendo / Ação]]/Tabela2[[#This Row],[Cotação]]</f>
        <v>0.1601049868766404</v>
      </c>
    </row>
    <row r="48" spans="1:10" x14ac:dyDescent="0.2">
      <c r="A48" s="3" t="s">
        <v>519</v>
      </c>
      <c r="B48" s="3">
        <v>2010</v>
      </c>
      <c r="C48" s="5">
        <v>1971024029.29</v>
      </c>
      <c r="D48" s="71">
        <f>Tabela2[[#This Row],[Lucro Líquido]]*5%</f>
        <v>98551201.46450001</v>
      </c>
      <c r="E48" s="90">
        <f>SUMPRODUCT(N(Tabela3[PAPEL]=Tabela2[[#This Row],[Ativo]]),Tabela3[Total Ações])</f>
        <v>1797086404</v>
      </c>
      <c r="F48" s="93">
        <f>(Tabela2[[#This Row],[Lucro Líquido]]-Tabela2[[#This Row],[Reserva Legal]])/Tabela2[[#This Row],[Total Ações]]</f>
        <v>1.0419492483264594</v>
      </c>
      <c r="G48" s="93">
        <v>3.34</v>
      </c>
      <c r="H48" s="28">
        <f>Tabela2[[#This Row],[Dividendo / Ação]]/Tabela2[[#This Row],[Lucro por ação]]</f>
        <v>3.2055304088606862</v>
      </c>
      <c r="I48" s="5">
        <f>SUMPRODUCT(N(Tabela1[Código]=Tabela2[[#This Row],[Ativo]]),Tabela1[Fechamento])</f>
        <v>3.81</v>
      </c>
      <c r="J48" s="23">
        <f>Tabela2[[#This Row],[Dividendo / Ação]]/Tabela2[[#This Row],[Cotação]]</f>
        <v>0.87664041994750652</v>
      </c>
    </row>
    <row r="49" spans="1:10" x14ac:dyDescent="0.2">
      <c r="A49" s="3" t="s">
        <v>523</v>
      </c>
      <c r="B49" s="3">
        <v>2012</v>
      </c>
      <c r="C49" s="5">
        <v>50118000</v>
      </c>
      <c r="D49" s="71">
        <f>Tabela2[[#This Row],[Lucro Líquido]]*5%</f>
        <v>2505900</v>
      </c>
      <c r="E49" s="90">
        <f>SUMPRODUCT(N(Tabela3[PAPEL]=Tabela2[[#This Row],[Ativo]]),Tabela3[Total Ações])</f>
        <v>2321499770</v>
      </c>
      <c r="F49" s="93">
        <f>(Tabela2[[#This Row],[Lucro Líquido]]-Tabela2[[#This Row],[Reserva Legal]])/Tabela2[[#This Row],[Total Ações]]</f>
        <v>2.0509198672029161E-2</v>
      </c>
      <c r="G49" s="93">
        <v>4.1999999999999997E-3</v>
      </c>
      <c r="H49" s="28">
        <f>Tabela2[[#This Row],[Dividendo / Ação]]/Tabela2[[#This Row],[Lucro por ação]]</f>
        <v>0.20478615801445429</v>
      </c>
      <c r="I49" s="5">
        <f>SUMPRODUCT(N(Tabela1[Código]=Tabela2[[#This Row],[Ativo]]),Tabela1[Fechamento])</f>
        <v>0.19</v>
      </c>
      <c r="J49" s="23">
        <f>Tabela2[[#This Row],[Dividendo / Ação]]/Tabela2[[#This Row],[Cotação]]</f>
        <v>2.2105263157894735E-2</v>
      </c>
    </row>
    <row r="50" spans="1:10" x14ac:dyDescent="0.2">
      <c r="A50" s="3" t="s">
        <v>524</v>
      </c>
      <c r="B50" s="3">
        <v>2012</v>
      </c>
      <c r="C50" s="5">
        <v>50118000</v>
      </c>
      <c r="D50" s="71">
        <f>Tabela2[[#This Row],[Lucro Líquido]]*5%</f>
        <v>2505900</v>
      </c>
      <c r="E50" s="90">
        <f>SUMPRODUCT(N(Tabela3[PAPEL]=Tabela2[[#This Row],[Ativo]]),Tabela3[Total Ações])</f>
        <v>2321499770</v>
      </c>
      <c r="F50" s="93">
        <f>(Tabela2[[#This Row],[Lucro Líquido]]-Tabela2[[#This Row],[Reserva Legal]])/Tabela2[[#This Row],[Total Ações]]</f>
        <v>2.0509198672029161E-2</v>
      </c>
      <c r="G50" s="93">
        <v>4.7999999999999996E-3</v>
      </c>
      <c r="H50" s="28">
        <f>Tabela2[[#This Row],[Dividendo / Ação]]/Tabela2[[#This Row],[Lucro por ação]]</f>
        <v>0.2340413234450906</v>
      </c>
      <c r="I50" s="5">
        <f>SUMPRODUCT(N(Tabela1[Código]=Tabela2[[#This Row],[Ativo]]),Tabela1[Fechamento])</f>
        <v>0.2</v>
      </c>
      <c r="J50" s="23">
        <f>Tabela2[[#This Row],[Dividendo / Ação]]/Tabela2[[#This Row],[Cotação]]</f>
        <v>2.3999999999999997E-2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71</vt:i4>
      </vt:variant>
    </vt:vector>
  </HeadingPairs>
  <TitlesOfParts>
    <vt:vector size="77" baseType="lpstr">
      <vt:lpstr>Patrimonio</vt:lpstr>
      <vt:lpstr>Proventos</vt:lpstr>
      <vt:lpstr>Tabela Proventos</vt:lpstr>
      <vt:lpstr>Cotacao</vt:lpstr>
      <vt:lpstr>Tabela LL</vt:lpstr>
      <vt:lpstr>Lucro Líquido</vt:lpstr>
      <vt:lpstr>Cotacao!DadosExternos_1</vt:lpstr>
      <vt:lpstr>Cotacao!DadosExternos_10</vt:lpstr>
      <vt:lpstr>Cotacao!DadosExternos_11</vt:lpstr>
      <vt:lpstr>Cotacao!DadosExternos_12</vt:lpstr>
      <vt:lpstr>Cotacao!DadosExternos_14</vt:lpstr>
      <vt:lpstr>Cotacao!DadosExternos_15</vt:lpstr>
      <vt:lpstr>Cotacao!DadosExternos_16</vt:lpstr>
      <vt:lpstr>Cotacao!DadosExternos_17</vt:lpstr>
      <vt:lpstr>Cotacao!DadosExternos_18</vt:lpstr>
      <vt:lpstr>Cotacao!DadosExternos_2</vt:lpstr>
      <vt:lpstr>Cotacao!DadosExternos_20</vt:lpstr>
      <vt:lpstr>Cotacao!DadosExternos_21</vt:lpstr>
      <vt:lpstr>Cotacao!DadosExternos_24</vt:lpstr>
      <vt:lpstr>Cotacao!DadosExternos_26</vt:lpstr>
      <vt:lpstr>Cotacao!DadosExternos_27</vt:lpstr>
      <vt:lpstr>Cotacao!DadosExternos_28</vt:lpstr>
      <vt:lpstr>Cotacao!DadosExternos_29</vt:lpstr>
      <vt:lpstr>Cotacao!DadosExternos_3</vt:lpstr>
      <vt:lpstr>Cotacao!DadosExternos_30</vt:lpstr>
      <vt:lpstr>Cotacao!DadosExternos_31</vt:lpstr>
      <vt:lpstr>Cotacao!DadosExternos_32</vt:lpstr>
      <vt:lpstr>Cotacao!DadosExternos_33</vt:lpstr>
      <vt:lpstr>Cotacao!DadosExternos_34</vt:lpstr>
      <vt:lpstr>Cotacao!DadosExternos_35</vt:lpstr>
      <vt:lpstr>Cotacao!DadosExternos_36</vt:lpstr>
      <vt:lpstr>Cotacao!DadosExternos_37</vt:lpstr>
      <vt:lpstr>Cotacao!DadosExternos_38</vt:lpstr>
      <vt:lpstr>Cotacao!DadosExternos_39</vt:lpstr>
      <vt:lpstr>Cotacao!DadosExternos_4</vt:lpstr>
      <vt:lpstr>Cotacao!DadosExternos_40</vt:lpstr>
      <vt:lpstr>Cotacao!DadosExternos_41</vt:lpstr>
      <vt:lpstr>Cotacao!DadosExternos_42</vt:lpstr>
      <vt:lpstr>Cotacao!DadosExternos_43</vt:lpstr>
      <vt:lpstr>Cotacao!DadosExternos_44</vt:lpstr>
      <vt:lpstr>Cotacao!DadosExternos_45</vt:lpstr>
      <vt:lpstr>Cotacao!DadosExternos_46</vt:lpstr>
      <vt:lpstr>Cotacao!DadosExternos_47</vt:lpstr>
      <vt:lpstr>Cotacao!DadosExternos_48</vt:lpstr>
      <vt:lpstr>Cotacao!DadosExternos_49</vt:lpstr>
      <vt:lpstr>Cotacao!DadosExternos_50</vt:lpstr>
      <vt:lpstr>Cotacao!DadosExternos_51</vt:lpstr>
      <vt:lpstr>Cotacao!DadosExternos_52</vt:lpstr>
      <vt:lpstr>Cotacao!DadosExternos_53</vt:lpstr>
      <vt:lpstr>Cotacao!DadosExternos_54</vt:lpstr>
      <vt:lpstr>Cotacao!DadosExternos_55</vt:lpstr>
      <vt:lpstr>Cotacao!DadosExternos_56</vt:lpstr>
      <vt:lpstr>Cotacao!DadosExternos_57</vt:lpstr>
      <vt:lpstr>Cotacao!DadosExternos_58</vt:lpstr>
      <vt:lpstr>Cotacao!DadosExternos_59</vt:lpstr>
      <vt:lpstr>Cotacao!DadosExternos_6</vt:lpstr>
      <vt:lpstr>Cotacao!DadosExternos_60</vt:lpstr>
      <vt:lpstr>Cotacao!DadosExternos_61</vt:lpstr>
      <vt:lpstr>Cotacao!DadosExternos_7</vt:lpstr>
      <vt:lpstr>Cotacao!DadosExternos_8</vt:lpstr>
      <vt:lpstr>Cotacao!DadosExternos_9</vt:lpstr>
      <vt:lpstr>Cotacao!ExternalData_1</vt:lpstr>
      <vt:lpstr>Cotacao!ExternalData_10</vt:lpstr>
      <vt:lpstr>Cotacao!ExternalData_11</vt:lpstr>
      <vt:lpstr>Cotacao!ExternalData_12</vt:lpstr>
      <vt:lpstr>Cotacao!ExternalData_13</vt:lpstr>
      <vt:lpstr>Cotacao!ExternalData_14</vt:lpstr>
      <vt:lpstr>Cotacao!ExternalData_15</vt:lpstr>
      <vt:lpstr>Cotacao!ExternalData_16</vt:lpstr>
      <vt:lpstr>Cotacao!ExternalData_2</vt:lpstr>
      <vt:lpstr>Cotacao!ExternalData_3</vt:lpstr>
      <vt:lpstr>Cotacao!ExternalData_4</vt:lpstr>
      <vt:lpstr>Cotacao!ExternalData_5</vt:lpstr>
      <vt:lpstr>Cotacao!ExternalData_6</vt:lpstr>
      <vt:lpstr>Cotacao!ExternalData_7</vt:lpstr>
      <vt:lpstr>Cotacao!ExternalData_8</vt:lpstr>
      <vt:lpstr>Cotacao!ExternalData_9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Engelbert</dc:creator>
  <cp:lastModifiedBy>Engelbert</cp:lastModifiedBy>
  <dcterms:created xsi:type="dcterms:W3CDTF">2013-12-06T00:58:41Z</dcterms:created>
  <dcterms:modified xsi:type="dcterms:W3CDTF">2013-12-24T03:28:30Z</dcterms:modified>
</cp:coreProperties>
</file>