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240" yWindow="75" windowWidth="14190" windowHeight="7185" activeTab="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2">'Cotacao 2'!$C$7:$C$8</definedName>
    <definedName name="DadosExternos_186" localSheetId="2">'Cotacao 2'!$C$7:$C$9</definedName>
    <definedName name="DadosExternos_187" localSheetId="2">'Cotacao 2'!$C$7:$C$10</definedName>
    <definedName name="DadosExternos_188" localSheetId="2">'Cotacao 2'!$C$7:$C$13</definedName>
    <definedName name="DadosExternos_189" localSheetId="2">'Cotacao 2'!$C$7:$C$11</definedName>
    <definedName name="DadosExternos_190" localSheetId="2">'Cotacao 2'!$C$7:$C$13</definedName>
    <definedName name="DadosExternos_191" localSheetId="2">'Cotacao 2'!$C$7:$C$14</definedName>
    <definedName name="DadosExternos_192" localSheetId="2">'Cotacao 2'!$C$7:$C$16</definedName>
    <definedName name="DadosExternos_193" localSheetId="2">'Cotacao 2'!$C$7:$C$16</definedName>
    <definedName name="DadosExternos_194" localSheetId="2">'Cotacao 2'!$C$7:$C$17</definedName>
    <definedName name="DadosExternos_195" localSheetId="2">'Cotacao 2'!$C$7:$C$19</definedName>
    <definedName name="DadosExternos_196" localSheetId="2">'Cotacao 2'!$C$7:$C$22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1" localSheetId="1">Cotacao!$C$7:$C$63</definedName>
    <definedName name="DadosExternos_21" localSheetId="2">'Cotacao 2'!$C$7:$C$63</definedName>
    <definedName name="DadosExternos_24" localSheetId="1">Cotacao!$C$7:$C$63</definedName>
    <definedName name="DadosExternos_24" localSheetId="2">'Cotacao 2'!$C$7:$C$63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44525"/>
  <pivotCaches>
    <pivotCache cacheId="28" r:id="rId8"/>
  </pivotCaches>
</workbook>
</file>

<file path=xl/calcChain.xml><?xml version="1.0" encoding="utf-8"?>
<calcChain xmlns="http://schemas.openxmlformats.org/spreadsheetml/2006/main">
  <c r="B3" i="15" l="1"/>
  <c r="F3" i="15" s="1"/>
  <c r="D3" i="15"/>
  <c r="C3" i="15"/>
  <c r="E3" i="15"/>
  <c r="K27" i="1"/>
  <c r="D495" i="12"/>
  <c r="E495" i="12" s="1"/>
  <c r="G495" i="12" s="1"/>
  <c r="I495" i="12"/>
  <c r="J495" i="12"/>
  <c r="H495" i="12" s="1"/>
  <c r="K495" i="12"/>
  <c r="D494" i="12"/>
  <c r="E494" i="12" s="1"/>
  <c r="G494" i="12" s="1"/>
  <c r="I494" i="12"/>
  <c r="J494" i="12"/>
  <c r="H494" i="12" s="1"/>
  <c r="K494" i="12"/>
  <c r="D493" i="12"/>
  <c r="E493" i="12" s="1"/>
  <c r="G493" i="12" s="1"/>
  <c r="I493" i="12"/>
  <c r="J493" i="12"/>
  <c r="K493" i="12"/>
  <c r="H493" i="12" s="1"/>
  <c r="G99" i="1"/>
  <c r="H99" i="1" s="1"/>
  <c r="J99" i="1"/>
  <c r="V99" i="1"/>
  <c r="K99" i="1" s="1"/>
  <c r="W99" i="1"/>
  <c r="D492" i="12"/>
  <c r="M492" i="12" s="1"/>
  <c r="J492" i="12"/>
  <c r="D491" i="12"/>
  <c r="E491" i="12" s="1"/>
  <c r="G491" i="12" s="1"/>
  <c r="J491" i="12"/>
  <c r="D490" i="12"/>
  <c r="E490" i="12" s="1"/>
  <c r="G490" i="12" s="1"/>
  <c r="J490" i="12"/>
  <c r="G98" i="1"/>
  <c r="H98" i="1" s="1"/>
  <c r="J98" i="1"/>
  <c r="V98" i="1"/>
  <c r="D489" i="12"/>
  <c r="E489" i="12" s="1"/>
  <c r="G489" i="12" s="1"/>
  <c r="J489" i="12"/>
  <c r="D488" i="12"/>
  <c r="E488" i="12" s="1"/>
  <c r="G488" i="12" s="1"/>
  <c r="J488" i="12"/>
  <c r="D487" i="12"/>
  <c r="E487" i="12" s="1"/>
  <c r="G487" i="12" s="1"/>
  <c r="J487" i="12"/>
  <c r="D486" i="12"/>
  <c r="E486" i="12" s="1"/>
  <c r="G486" i="12" s="1"/>
  <c r="J486" i="12"/>
  <c r="G95" i="1"/>
  <c r="H95" i="1" s="1"/>
  <c r="J95" i="1"/>
  <c r="V95" i="1"/>
  <c r="D485" i="12"/>
  <c r="E485" i="12" s="1"/>
  <c r="G485" i="12" s="1"/>
  <c r="J485" i="12"/>
  <c r="D484" i="12"/>
  <c r="E484" i="12" s="1"/>
  <c r="G484" i="12" s="1"/>
  <c r="J484" i="12"/>
  <c r="D483" i="12"/>
  <c r="E483" i="12" s="1"/>
  <c r="G483" i="12" s="1"/>
  <c r="J483" i="12"/>
  <c r="G64" i="1"/>
  <c r="H64" i="1" s="1"/>
  <c r="J64" i="1"/>
  <c r="V64" i="1"/>
  <c r="D481" i="12"/>
  <c r="E481" i="12" s="1"/>
  <c r="G481" i="12" s="1"/>
  <c r="D482" i="12"/>
  <c r="E482" i="12" s="1"/>
  <c r="G482" i="12" s="1"/>
  <c r="J481" i="12"/>
  <c r="J482" i="12"/>
  <c r="D479" i="12"/>
  <c r="E479" i="12" s="1"/>
  <c r="G479" i="12" s="1"/>
  <c r="D480" i="12"/>
  <c r="E480" i="12" s="1"/>
  <c r="G480" i="12" s="1"/>
  <c r="J479" i="12"/>
  <c r="J480" i="12"/>
  <c r="D477" i="12"/>
  <c r="E477" i="12" s="1"/>
  <c r="G477" i="12" s="1"/>
  <c r="D478" i="12"/>
  <c r="E478" i="12" s="1"/>
  <c r="G478" i="12" s="1"/>
  <c r="J477" i="12"/>
  <c r="J478" i="12"/>
  <c r="D475" i="12"/>
  <c r="E475" i="12" s="1"/>
  <c r="G475" i="12" s="1"/>
  <c r="D476" i="12"/>
  <c r="E476" i="12" s="1"/>
  <c r="G476" i="12" s="1"/>
  <c r="J475" i="12"/>
  <c r="J476" i="12"/>
  <c r="G61" i="1"/>
  <c r="H61" i="1" s="1"/>
  <c r="J61" i="1"/>
  <c r="V61" i="1"/>
  <c r="G52" i="1"/>
  <c r="H52" i="1" s="1"/>
  <c r="J52" i="1"/>
  <c r="V52" i="1"/>
  <c r="I99" i="1"/>
  <c r="I98" i="1"/>
  <c r="I95" i="1"/>
  <c r="I64" i="1"/>
  <c r="I61" i="1"/>
  <c r="I52" i="1"/>
  <c r="M99" i="1" l="1"/>
  <c r="L99" i="1"/>
  <c r="T99" i="1"/>
  <c r="E492" i="12"/>
  <c r="G492" i="12" s="1"/>
  <c r="Q99" i="1"/>
  <c r="Q98" i="1"/>
  <c r="Q95" i="1"/>
  <c r="Q64" i="1"/>
  <c r="Q61" i="1"/>
  <c r="Q52" i="1"/>
  <c r="D473" i="12"/>
  <c r="E473" i="12" s="1"/>
  <c r="G473" i="12" s="1"/>
  <c r="D474" i="12"/>
  <c r="E474" i="12" s="1"/>
  <c r="G474" i="12" s="1"/>
  <c r="J473" i="12"/>
  <c r="J474" i="12"/>
  <c r="D471" i="12"/>
  <c r="E471" i="12" s="1"/>
  <c r="G471" i="12" s="1"/>
  <c r="D472" i="12"/>
  <c r="E472" i="12" s="1"/>
  <c r="G472" i="12" s="1"/>
  <c r="J471" i="12"/>
  <c r="J472" i="12"/>
  <c r="D469" i="12"/>
  <c r="E469" i="12" s="1"/>
  <c r="G469" i="12" s="1"/>
  <c r="D470" i="12"/>
  <c r="E470" i="12" s="1"/>
  <c r="G470" i="12" s="1"/>
  <c r="J469" i="12"/>
  <c r="J470" i="12"/>
  <c r="D467" i="12"/>
  <c r="E467" i="12" s="1"/>
  <c r="G467" i="12" s="1"/>
  <c r="D468" i="12"/>
  <c r="E468" i="12" s="1"/>
  <c r="G468" i="12" s="1"/>
  <c r="J467" i="12"/>
  <c r="J468" i="12"/>
  <c r="G35" i="1"/>
  <c r="H35" i="1" s="1"/>
  <c r="J35" i="1"/>
  <c r="V35" i="1"/>
  <c r="G32" i="1"/>
  <c r="H32" i="1" s="1"/>
  <c r="J32" i="1"/>
  <c r="V32" i="1"/>
  <c r="D465" i="12"/>
  <c r="E465" i="12" s="1"/>
  <c r="G465" i="12" s="1"/>
  <c r="D466" i="12"/>
  <c r="E466" i="12" s="1"/>
  <c r="G466" i="12" s="1"/>
  <c r="I465" i="12"/>
  <c r="I466" i="12"/>
  <c r="J465" i="12"/>
  <c r="J466" i="12"/>
  <c r="D463" i="12"/>
  <c r="E463" i="12" s="1"/>
  <c r="G463" i="12" s="1"/>
  <c r="D464" i="12"/>
  <c r="E464" i="12" s="1"/>
  <c r="G464" i="12" s="1"/>
  <c r="J463" i="12"/>
  <c r="J464" i="12"/>
  <c r="D461" i="12"/>
  <c r="E461" i="12" s="1"/>
  <c r="G461" i="12" s="1"/>
  <c r="D462" i="12"/>
  <c r="E462" i="12" s="1"/>
  <c r="G462" i="12" s="1"/>
  <c r="J461" i="12"/>
  <c r="J462" i="12"/>
  <c r="G37" i="1"/>
  <c r="H37" i="1" s="1"/>
  <c r="G36" i="1"/>
  <c r="H36" i="1" s="1"/>
  <c r="J37" i="1"/>
  <c r="J36" i="1"/>
  <c r="V37" i="1"/>
  <c r="V36" i="1"/>
  <c r="D460" i="12"/>
  <c r="E460" i="12" s="1"/>
  <c r="G460" i="12" s="1"/>
  <c r="J460" i="12"/>
  <c r="D459" i="12"/>
  <c r="E459" i="12" s="1"/>
  <c r="G459" i="12" s="1"/>
  <c r="J459" i="12"/>
  <c r="D458" i="12"/>
  <c r="E458" i="12" s="1"/>
  <c r="G458" i="12" s="1"/>
  <c r="I458" i="12"/>
  <c r="J458" i="12"/>
  <c r="G106" i="1"/>
  <c r="H106" i="1" s="1"/>
  <c r="J106" i="1"/>
  <c r="V106" i="1"/>
  <c r="D457" i="12"/>
  <c r="E457" i="12" s="1"/>
  <c r="G457" i="12" s="1"/>
  <c r="I457" i="12"/>
  <c r="J457" i="12"/>
  <c r="D456" i="12"/>
  <c r="E456" i="12" s="1"/>
  <c r="G456" i="12" s="1"/>
  <c r="I456" i="12"/>
  <c r="J456" i="12"/>
  <c r="D455" i="12"/>
  <c r="E455" i="12" s="1"/>
  <c r="G455" i="12" s="1"/>
  <c r="J455" i="12"/>
  <c r="G96" i="1"/>
  <c r="H96" i="1" s="1"/>
  <c r="J96" i="1"/>
  <c r="V96" i="1"/>
  <c r="D454" i="12"/>
  <c r="E454" i="12" s="1"/>
  <c r="G454" i="12" s="1"/>
  <c r="I454" i="12"/>
  <c r="J454" i="12"/>
  <c r="D453" i="12"/>
  <c r="E453" i="12" s="1"/>
  <c r="G453" i="12" s="1"/>
  <c r="I453" i="12"/>
  <c r="J453" i="12"/>
  <c r="D452" i="12"/>
  <c r="E452" i="12" s="1"/>
  <c r="G452" i="12" s="1"/>
  <c r="J452" i="12"/>
  <c r="G115" i="1"/>
  <c r="H115" i="1" s="1"/>
  <c r="J115" i="1"/>
  <c r="V115" i="1"/>
  <c r="D451" i="12"/>
  <c r="E451" i="12" s="1"/>
  <c r="G451" i="12" s="1"/>
  <c r="J451" i="12"/>
  <c r="D450" i="12"/>
  <c r="E450" i="12" s="1"/>
  <c r="G450" i="12" s="1"/>
  <c r="J450" i="12"/>
  <c r="D449" i="12"/>
  <c r="E449" i="12" s="1"/>
  <c r="G449" i="12" s="1"/>
  <c r="J449" i="12"/>
  <c r="G114" i="1"/>
  <c r="H114" i="1" s="1"/>
  <c r="J114" i="1"/>
  <c r="V114" i="1"/>
  <c r="D447" i="12"/>
  <c r="E447" i="12" s="1"/>
  <c r="G447" i="12" s="1"/>
  <c r="D448" i="12"/>
  <c r="E448" i="12" s="1"/>
  <c r="G448" i="12" s="1"/>
  <c r="J447" i="12"/>
  <c r="J448" i="12"/>
  <c r="D445" i="12"/>
  <c r="E445" i="12" s="1"/>
  <c r="G445" i="12" s="1"/>
  <c r="D446" i="12"/>
  <c r="E446" i="12" s="1"/>
  <c r="G446" i="12" s="1"/>
  <c r="J445" i="12"/>
  <c r="J446" i="12"/>
  <c r="D443" i="12"/>
  <c r="E443" i="12" s="1"/>
  <c r="G443" i="12" s="1"/>
  <c r="D444" i="12"/>
  <c r="E444" i="12" s="1"/>
  <c r="G444" i="12" s="1"/>
  <c r="I443" i="12"/>
  <c r="I444" i="12"/>
  <c r="J443" i="12"/>
  <c r="J444" i="12"/>
  <c r="D441" i="12"/>
  <c r="E441" i="12" s="1"/>
  <c r="G441" i="12" s="1"/>
  <c r="D442" i="12"/>
  <c r="E442" i="12" s="1"/>
  <c r="G442" i="12" s="1"/>
  <c r="J441" i="12"/>
  <c r="J442" i="12"/>
  <c r="G92" i="1"/>
  <c r="H92" i="1" s="1"/>
  <c r="J92" i="1"/>
  <c r="V92" i="1"/>
  <c r="G49" i="1"/>
  <c r="H49" i="1" s="1"/>
  <c r="J49" i="1"/>
  <c r="V49" i="1"/>
  <c r="D440" i="12"/>
  <c r="E440" i="12" s="1"/>
  <c r="G440" i="12" s="1"/>
  <c r="J440" i="12"/>
  <c r="D439" i="12"/>
  <c r="E439" i="12" s="1"/>
  <c r="G439" i="12" s="1"/>
  <c r="J439" i="12"/>
  <c r="D438" i="12"/>
  <c r="E438" i="12" s="1"/>
  <c r="G438" i="12" s="1"/>
  <c r="J438" i="12"/>
  <c r="D437" i="12"/>
  <c r="E437" i="12" s="1"/>
  <c r="G437" i="12" s="1"/>
  <c r="J437" i="12"/>
  <c r="G111" i="1"/>
  <c r="H111" i="1" s="1"/>
  <c r="J111" i="1"/>
  <c r="V111" i="1"/>
  <c r="D436" i="12"/>
  <c r="E436" i="12" s="1"/>
  <c r="G436" i="12" s="1"/>
  <c r="J436" i="12"/>
  <c r="D435" i="12"/>
  <c r="E435" i="12" s="1"/>
  <c r="G435" i="12" s="1"/>
  <c r="J435" i="12"/>
  <c r="D434" i="12"/>
  <c r="E434" i="12" s="1"/>
  <c r="G434" i="12" s="1"/>
  <c r="J434" i="12"/>
  <c r="G128" i="1"/>
  <c r="H128" i="1" s="1"/>
  <c r="J128" i="1"/>
  <c r="V128" i="1"/>
  <c r="D431" i="12"/>
  <c r="E431" i="12" s="1"/>
  <c r="G431" i="12" s="1"/>
  <c r="D432" i="12"/>
  <c r="E432" i="12" s="1"/>
  <c r="G432" i="12" s="1"/>
  <c r="D433" i="12"/>
  <c r="E433" i="12" s="1"/>
  <c r="G433" i="12" s="1"/>
  <c r="I431" i="12"/>
  <c r="I432" i="12"/>
  <c r="I433" i="12"/>
  <c r="D428" i="12"/>
  <c r="E428" i="12" s="1"/>
  <c r="G428" i="12" s="1"/>
  <c r="D429" i="12"/>
  <c r="E429" i="12" s="1"/>
  <c r="G429" i="12" s="1"/>
  <c r="D430" i="12"/>
  <c r="E430" i="12" s="1"/>
  <c r="G430" i="12" s="1"/>
  <c r="D425" i="12"/>
  <c r="E425" i="12" s="1"/>
  <c r="G425" i="12" s="1"/>
  <c r="D426" i="12"/>
  <c r="E426" i="12" s="1"/>
  <c r="G426" i="12" s="1"/>
  <c r="D427" i="12"/>
  <c r="E427" i="12" s="1"/>
  <c r="G427" i="12" s="1"/>
  <c r="I425" i="12"/>
  <c r="I426" i="12"/>
  <c r="I427" i="12"/>
  <c r="D422" i="12"/>
  <c r="E422" i="12" s="1"/>
  <c r="G422" i="12" s="1"/>
  <c r="D423" i="12"/>
  <c r="E423" i="12" s="1"/>
  <c r="G423" i="12" s="1"/>
  <c r="D424" i="12"/>
  <c r="E424" i="12" s="1"/>
  <c r="G424" i="12" s="1"/>
  <c r="I422" i="12"/>
  <c r="I423" i="12"/>
  <c r="I424" i="12"/>
  <c r="G102" i="1"/>
  <c r="H102" i="1" s="1"/>
  <c r="G110" i="1"/>
  <c r="H110" i="1" s="1"/>
  <c r="G100" i="1"/>
  <c r="H100" i="1" s="1"/>
  <c r="J102" i="1"/>
  <c r="J110" i="1"/>
  <c r="J100" i="1"/>
  <c r="D420" i="12"/>
  <c r="E420" i="12" s="1"/>
  <c r="G420" i="12" s="1"/>
  <c r="D421" i="12"/>
  <c r="E421" i="12" s="1"/>
  <c r="G421" i="12" s="1"/>
  <c r="D418" i="12"/>
  <c r="E418" i="12" s="1"/>
  <c r="G418" i="12" s="1"/>
  <c r="D419" i="12"/>
  <c r="E419" i="12" s="1"/>
  <c r="G419" i="12" s="1"/>
  <c r="D416" i="12"/>
  <c r="E416" i="12" s="1"/>
  <c r="G416" i="12" s="1"/>
  <c r="D417" i="12"/>
  <c r="E417" i="12" s="1"/>
  <c r="G417" i="12" s="1"/>
  <c r="D414" i="12"/>
  <c r="E414" i="12" s="1"/>
  <c r="G414" i="12" s="1"/>
  <c r="D415" i="12"/>
  <c r="E415" i="12" s="1"/>
  <c r="G415" i="12" s="1"/>
  <c r="I414" i="12"/>
  <c r="G80" i="1"/>
  <c r="H80" i="1" s="1"/>
  <c r="G91" i="1"/>
  <c r="H91" i="1" s="1"/>
  <c r="J80" i="1"/>
  <c r="J91" i="1"/>
  <c r="D413" i="12"/>
  <c r="E413" i="12" s="1"/>
  <c r="G413" i="12" s="1"/>
  <c r="I413" i="12"/>
  <c r="D412" i="12"/>
  <c r="E412" i="12" s="1"/>
  <c r="G412" i="12" s="1"/>
  <c r="D411" i="12"/>
  <c r="E411" i="12" s="1"/>
  <c r="G411" i="12" s="1"/>
  <c r="D410" i="12"/>
  <c r="I410" i="12"/>
  <c r="G124" i="1"/>
  <c r="H124" i="1" s="1"/>
  <c r="J124" i="1"/>
  <c r="D409" i="12"/>
  <c r="E409" i="12" s="1"/>
  <c r="G409" i="12" s="1"/>
  <c r="G113" i="1"/>
  <c r="H113" i="1" s="1"/>
  <c r="J113" i="1"/>
  <c r="D407" i="12"/>
  <c r="E407" i="12" s="1"/>
  <c r="G407" i="12" s="1"/>
  <c r="D408" i="12"/>
  <c r="E408" i="12" s="1"/>
  <c r="G408" i="12" s="1"/>
  <c r="D405" i="12"/>
  <c r="E405" i="12" s="1"/>
  <c r="G405" i="12" s="1"/>
  <c r="D406" i="12"/>
  <c r="E406" i="12" s="1"/>
  <c r="G406" i="12" s="1"/>
  <c r="D403" i="12"/>
  <c r="E403" i="12" s="1"/>
  <c r="G403" i="12" s="1"/>
  <c r="D404" i="12"/>
  <c r="E404" i="12" s="1"/>
  <c r="G404" i="12" s="1"/>
  <c r="G123" i="1"/>
  <c r="H123" i="1" s="1"/>
  <c r="J123" i="1"/>
  <c r="G125" i="1"/>
  <c r="H125" i="1" s="1"/>
  <c r="J125" i="1"/>
  <c r="D402" i="12"/>
  <c r="E402" i="12" s="1"/>
  <c r="G402" i="12" s="1"/>
  <c r="D401" i="12"/>
  <c r="E401" i="12" s="1"/>
  <c r="G401" i="12" s="1"/>
  <c r="D400" i="12"/>
  <c r="E400" i="12" s="1"/>
  <c r="G400" i="12" s="1"/>
  <c r="D399" i="12"/>
  <c r="E399" i="12" s="1"/>
  <c r="G399" i="12" s="1"/>
  <c r="G103" i="1"/>
  <c r="H103" i="1" s="1"/>
  <c r="J103" i="1"/>
  <c r="D397" i="12"/>
  <c r="E397" i="12" s="1"/>
  <c r="G397" i="12" s="1"/>
  <c r="D398" i="12"/>
  <c r="E398" i="12" s="1"/>
  <c r="G398" i="12" s="1"/>
  <c r="D395" i="12"/>
  <c r="E395" i="12" s="1"/>
  <c r="G395" i="12" s="1"/>
  <c r="D396" i="12"/>
  <c r="E396" i="12" s="1"/>
  <c r="G396" i="12" s="1"/>
  <c r="D393" i="12"/>
  <c r="E393" i="12" s="1"/>
  <c r="G393" i="12" s="1"/>
  <c r="D394" i="12"/>
  <c r="E394" i="12" s="1"/>
  <c r="G394" i="12" s="1"/>
  <c r="D392" i="12"/>
  <c r="E392" i="12" s="1"/>
  <c r="G392" i="12" s="1"/>
  <c r="D391" i="12"/>
  <c r="E391" i="12" s="1"/>
  <c r="G391" i="12" s="1"/>
  <c r="D390" i="12"/>
  <c r="E390" i="12" s="1"/>
  <c r="G390" i="12" s="1"/>
  <c r="D389" i="12"/>
  <c r="E389" i="12" s="1"/>
  <c r="G389" i="12" s="1"/>
  <c r="D388" i="12"/>
  <c r="E388" i="12" s="1"/>
  <c r="G388" i="12" s="1"/>
  <c r="G77" i="1"/>
  <c r="H77" i="1" s="1"/>
  <c r="J77" i="1"/>
  <c r="G78" i="1"/>
  <c r="H78" i="1" s="1"/>
  <c r="J78" i="1"/>
  <c r="G87" i="1"/>
  <c r="H87" i="1" s="1"/>
  <c r="J87" i="1"/>
  <c r="M172" i="14"/>
  <c r="V156" i="14" s="1"/>
  <c r="L172" i="14"/>
  <c r="U156" i="14" s="1"/>
  <c r="K172" i="14"/>
  <c r="J172" i="14"/>
  <c r="M171" i="14"/>
  <c r="V155" i="14" s="1"/>
  <c r="L171" i="14"/>
  <c r="U155" i="14" s="1"/>
  <c r="K171" i="14"/>
  <c r="T155" i="14" s="1"/>
  <c r="J171" i="14"/>
  <c r="M170" i="14"/>
  <c r="L170" i="14"/>
  <c r="K170" i="14"/>
  <c r="J170" i="14"/>
  <c r="M169" i="14"/>
  <c r="V153" i="14" s="1"/>
  <c r="L169" i="14"/>
  <c r="K169" i="14"/>
  <c r="J169" i="14"/>
  <c r="M168" i="14"/>
  <c r="V152" i="14" s="1"/>
  <c r="L168" i="14"/>
  <c r="U152" i="14" s="1"/>
  <c r="K168" i="14"/>
  <c r="J168" i="14"/>
  <c r="M167" i="14"/>
  <c r="V151" i="14" s="1"/>
  <c r="L167" i="14"/>
  <c r="U151" i="14" s="1"/>
  <c r="K167" i="14"/>
  <c r="T151" i="14" s="1"/>
  <c r="J167" i="14"/>
  <c r="M166" i="14"/>
  <c r="V150" i="14" s="1"/>
  <c r="L166" i="14"/>
  <c r="K166" i="14"/>
  <c r="J166" i="14"/>
  <c r="M165" i="14"/>
  <c r="V149" i="14" s="1"/>
  <c r="L165" i="14"/>
  <c r="K165" i="14"/>
  <c r="J165" i="14"/>
  <c r="M164" i="14"/>
  <c r="L164" i="14"/>
  <c r="U148" i="14" s="1"/>
  <c r="K164" i="14"/>
  <c r="J164" i="14"/>
  <c r="M163" i="14"/>
  <c r="V147" i="14" s="1"/>
  <c r="L163" i="14"/>
  <c r="K163" i="14"/>
  <c r="J163" i="14"/>
  <c r="M162" i="14"/>
  <c r="V146" i="14" s="1"/>
  <c r="L162" i="14"/>
  <c r="K162" i="14"/>
  <c r="J162" i="14"/>
  <c r="M161" i="14"/>
  <c r="V145" i="14" s="1"/>
  <c r="L161" i="14"/>
  <c r="K161" i="14"/>
  <c r="J161" i="14"/>
  <c r="M160" i="14"/>
  <c r="V144" i="14" s="1"/>
  <c r="L160" i="14"/>
  <c r="U144" i="14" s="1"/>
  <c r="K160" i="14"/>
  <c r="J160" i="14"/>
  <c r="M159" i="14"/>
  <c r="L159" i="14"/>
  <c r="K159" i="14"/>
  <c r="J159" i="14"/>
  <c r="V158" i="14"/>
  <c r="U158" i="14"/>
  <c r="T158" i="14"/>
  <c r="S158" i="14"/>
  <c r="R158" i="14"/>
  <c r="Q158" i="14"/>
  <c r="P158" i="14"/>
  <c r="M158" i="14"/>
  <c r="L158" i="14"/>
  <c r="K158" i="14"/>
  <c r="J158" i="14"/>
  <c r="V157" i="14"/>
  <c r="U157" i="14"/>
  <c r="T157" i="14"/>
  <c r="S157" i="14"/>
  <c r="R157" i="14"/>
  <c r="Q157" i="14"/>
  <c r="P157" i="14"/>
  <c r="M157" i="14"/>
  <c r="L157" i="14"/>
  <c r="K157" i="14"/>
  <c r="J157" i="14"/>
  <c r="T156" i="14"/>
  <c r="S156" i="14"/>
  <c r="R156" i="14"/>
  <c r="Q156" i="14"/>
  <c r="P156" i="14"/>
  <c r="M156" i="14"/>
  <c r="V140" i="14" s="1"/>
  <c r="L156" i="14"/>
  <c r="K156" i="14"/>
  <c r="J156" i="14"/>
  <c r="S155" i="14"/>
  <c r="R155" i="14"/>
  <c r="Q155" i="14"/>
  <c r="P155" i="14"/>
  <c r="M155" i="14"/>
  <c r="L155" i="14"/>
  <c r="K155" i="14"/>
  <c r="J155" i="14"/>
  <c r="V154" i="14"/>
  <c r="U154" i="14"/>
  <c r="T154" i="14"/>
  <c r="S154" i="14"/>
  <c r="R154" i="14"/>
  <c r="Q154" i="14"/>
  <c r="P154" i="14"/>
  <c r="M154" i="14"/>
  <c r="L154" i="14"/>
  <c r="K154" i="14"/>
  <c r="J154" i="14"/>
  <c r="U153" i="14"/>
  <c r="T153" i="14"/>
  <c r="S153" i="14"/>
  <c r="R153" i="14"/>
  <c r="Q153" i="14"/>
  <c r="P153" i="14"/>
  <c r="M153" i="14"/>
  <c r="L153" i="14"/>
  <c r="K153" i="14"/>
  <c r="J153" i="14"/>
  <c r="S137" i="14" s="1"/>
  <c r="T152" i="14"/>
  <c r="S152" i="14"/>
  <c r="R152" i="14"/>
  <c r="Q152" i="14"/>
  <c r="P152" i="14"/>
  <c r="M152" i="14"/>
  <c r="V136" i="14" s="1"/>
  <c r="L152" i="14"/>
  <c r="K152" i="14"/>
  <c r="J152" i="14"/>
  <c r="S151" i="14"/>
  <c r="R151" i="14"/>
  <c r="Q151" i="14"/>
  <c r="P151" i="14"/>
  <c r="M151" i="14"/>
  <c r="L151" i="14"/>
  <c r="U135" i="14" s="1"/>
  <c r="K151" i="14"/>
  <c r="J151" i="14"/>
  <c r="U150" i="14"/>
  <c r="T150" i="14"/>
  <c r="S150" i="14"/>
  <c r="R150" i="14"/>
  <c r="Q150" i="14"/>
  <c r="P150" i="14"/>
  <c r="M150" i="14"/>
  <c r="L150" i="14"/>
  <c r="K150" i="14"/>
  <c r="T134" i="14" s="1"/>
  <c r="J150" i="14"/>
  <c r="U149" i="14"/>
  <c r="T149" i="14"/>
  <c r="S149" i="14"/>
  <c r="R149" i="14"/>
  <c r="Q149" i="14"/>
  <c r="P149" i="14"/>
  <c r="M149" i="14"/>
  <c r="V133" i="14" s="1"/>
  <c r="L149" i="14"/>
  <c r="K149" i="14"/>
  <c r="J149" i="14"/>
  <c r="S133" i="14" s="1"/>
  <c r="V148" i="14"/>
  <c r="T148" i="14"/>
  <c r="S148" i="14"/>
  <c r="R148" i="14"/>
  <c r="Q148" i="14"/>
  <c r="P148" i="14"/>
  <c r="M148" i="14"/>
  <c r="L148" i="14"/>
  <c r="K148" i="14"/>
  <c r="J148" i="14"/>
  <c r="U147" i="14"/>
  <c r="T147" i="14"/>
  <c r="S147" i="14"/>
  <c r="R147" i="14"/>
  <c r="Q147" i="14"/>
  <c r="P147" i="14"/>
  <c r="M147" i="14"/>
  <c r="L147" i="14"/>
  <c r="K147" i="14"/>
  <c r="J147" i="14"/>
  <c r="U146" i="14"/>
  <c r="T146" i="14"/>
  <c r="S146" i="14"/>
  <c r="R146" i="14"/>
  <c r="Q146" i="14"/>
  <c r="P146" i="14"/>
  <c r="M146" i="14"/>
  <c r="L146" i="14"/>
  <c r="K146" i="14"/>
  <c r="J146" i="14"/>
  <c r="U145" i="14"/>
  <c r="T145" i="14"/>
  <c r="S145" i="14"/>
  <c r="R145" i="14"/>
  <c r="Q145" i="14"/>
  <c r="P145" i="14"/>
  <c r="M145" i="14"/>
  <c r="L145" i="14"/>
  <c r="K145" i="14"/>
  <c r="J145" i="14"/>
  <c r="T144" i="14"/>
  <c r="S144" i="14"/>
  <c r="R144" i="14"/>
  <c r="Q144" i="14"/>
  <c r="P144" i="14"/>
  <c r="M144" i="14"/>
  <c r="L144" i="14"/>
  <c r="K144" i="14"/>
  <c r="J144" i="14"/>
  <c r="V143" i="14"/>
  <c r="U143" i="14"/>
  <c r="T143" i="14"/>
  <c r="S143" i="14"/>
  <c r="R143" i="14"/>
  <c r="Q143" i="14"/>
  <c r="P143" i="14"/>
  <c r="M143" i="14"/>
  <c r="L143" i="14"/>
  <c r="K143" i="14"/>
  <c r="J143" i="14"/>
  <c r="V142" i="14"/>
  <c r="U142" i="14"/>
  <c r="T142" i="14"/>
  <c r="S142" i="14"/>
  <c r="R142" i="14"/>
  <c r="Q142" i="14"/>
  <c r="P142" i="14"/>
  <c r="M142" i="14"/>
  <c r="L142" i="14"/>
  <c r="K142" i="14"/>
  <c r="J142" i="14"/>
  <c r="V141" i="14"/>
  <c r="U141" i="14"/>
  <c r="T141" i="14"/>
  <c r="S141" i="14"/>
  <c r="R141" i="14"/>
  <c r="Q141" i="14"/>
  <c r="P141" i="14"/>
  <c r="M141" i="14"/>
  <c r="L141" i="14"/>
  <c r="K141" i="14"/>
  <c r="J141" i="14"/>
  <c r="U140" i="14"/>
  <c r="T140" i="14"/>
  <c r="S140" i="14"/>
  <c r="R140" i="14"/>
  <c r="Q140" i="14"/>
  <c r="P140" i="14"/>
  <c r="M140" i="14"/>
  <c r="L140" i="14"/>
  <c r="K140" i="14"/>
  <c r="J140" i="14"/>
  <c r="V139" i="14"/>
  <c r="U139" i="14"/>
  <c r="T139" i="14"/>
  <c r="S139" i="14"/>
  <c r="R139" i="14"/>
  <c r="Q139" i="14"/>
  <c r="P139" i="14"/>
  <c r="M139" i="14"/>
  <c r="L139" i="14"/>
  <c r="K139" i="14"/>
  <c r="J139" i="14"/>
  <c r="V138" i="14"/>
  <c r="U138" i="14"/>
  <c r="T138" i="14"/>
  <c r="S138" i="14"/>
  <c r="R138" i="14"/>
  <c r="Q138" i="14"/>
  <c r="P138" i="14"/>
  <c r="M138" i="14"/>
  <c r="L138" i="14"/>
  <c r="K138" i="14"/>
  <c r="J138" i="14"/>
  <c r="V137" i="14"/>
  <c r="U137" i="14"/>
  <c r="T137" i="14"/>
  <c r="R137" i="14"/>
  <c r="Q137" i="14"/>
  <c r="P137" i="14"/>
  <c r="M137" i="14"/>
  <c r="L137" i="14"/>
  <c r="K137" i="14"/>
  <c r="J137" i="14"/>
  <c r="U136" i="14"/>
  <c r="T136" i="14"/>
  <c r="S136" i="14"/>
  <c r="R136" i="14"/>
  <c r="Q136" i="14"/>
  <c r="P136" i="14"/>
  <c r="M136" i="14"/>
  <c r="L136" i="14"/>
  <c r="K136" i="14"/>
  <c r="J136" i="14"/>
  <c r="V135" i="14"/>
  <c r="T135" i="14"/>
  <c r="S135" i="14"/>
  <c r="R135" i="14"/>
  <c r="Q135" i="14"/>
  <c r="P135" i="14"/>
  <c r="M135" i="14"/>
  <c r="V131" i="14" s="1"/>
  <c r="L135" i="14"/>
  <c r="U131" i="14" s="1"/>
  <c r="K135" i="14"/>
  <c r="J135" i="14"/>
  <c r="S131" i="14" s="1"/>
  <c r="V134" i="14"/>
  <c r="U134" i="14"/>
  <c r="S134" i="14"/>
  <c r="R134" i="14"/>
  <c r="Q134" i="14"/>
  <c r="P134" i="14"/>
  <c r="M134" i="14"/>
  <c r="V130" i="14" s="1"/>
  <c r="L134" i="14"/>
  <c r="U130" i="14" s="1"/>
  <c r="K134" i="14"/>
  <c r="T130" i="14" s="1"/>
  <c r="J134" i="14"/>
  <c r="U133" i="14"/>
  <c r="T133" i="14"/>
  <c r="R133" i="14"/>
  <c r="Q133" i="14"/>
  <c r="P133" i="14"/>
  <c r="A133" i="14"/>
  <c r="M133" i="14" s="1"/>
  <c r="V129" i="14" s="1"/>
  <c r="V132" i="14"/>
  <c r="U132" i="14"/>
  <c r="T132" i="14"/>
  <c r="S132" i="14"/>
  <c r="R132" i="14"/>
  <c r="Q132" i="14"/>
  <c r="P132" i="14"/>
  <c r="A132" i="14"/>
  <c r="M132" i="14" s="1"/>
  <c r="V128" i="14" s="1"/>
  <c r="T131" i="14"/>
  <c r="R131" i="14"/>
  <c r="Q131" i="14"/>
  <c r="A131" i="14"/>
  <c r="M131" i="14" s="1"/>
  <c r="V127" i="14" s="1"/>
  <c r="S130" i="14"/>
  <c r="R130" i="14"/>
  <c r="Q130" i="14"/>
  <c r="A130" i="14"/>
  <c r="M130" i="14" s="1"/>
  <c r="V126" i="14" s="1"/>
  <c r="R129" i="14"/>
  <c r="Q129" i="14"/>
  <c r="A129" i="14"/>
  <c r="M129" i="14" s="1"/>
  <c r="V125" i="14" s="1"/>
  <c r="R128" i="14"/>
  <c r="Q128" i="14"/>
  <c r="A128" i="14"/>
  <c r="M128" i="14" s="1"/>
  <c r="V124" i="14" s="1"/>
  <c r="A127" i="14"/>
  <c r="M127" i="14" s="1"/>
  <c r="V123" i="14" s="1"/>
  <c r="A126" i="14"/>
  <c r="M126" i="14" s="1"/>
  <c r="V122" i="14" s="1"/>
  <c r="R125" i="14"/>
  <c r="A125" i="14"/>
  <c r="M125" i="14" s="1"/>
  <c r="V121" i="14" s="1"/>
  <c r="R124" i="14"/>
  <c r="Q124" i="14"/>
  <c r="A124" i="14"/>
  <c r="M124" i="14" s="1"/>
  <c r="V120" i="14" s="1"/>
  <c r="A123" i="14"/>
  <c r="M123" i="14" s="1"/>
  <c r="V119" i="14" s="1"/>
  <c r="A122" i="14"/>
  <c r="M122" i="14" s="1"/>
  <c r="V118" i="14" s="1"/>
  <c r="R121" i="14"/>
  <c r="A121" i="14"/>
  <c r="M121" i="14" s="1"/>
  <c r="V117" i="14" s="1"/>
  <c r="R120" i="14"/>
  <c r="Q120" i="14"/>
  <c r="M120" i="14"/>
  <c r="L120" i="14"/>
  <c r="K120" i="14"/>
  <c r="T116" i="14" s="1"/>
  <c r="J120" i="14"/>
  <c r="S116" i="14" s="1"/>
  <c r="M119" i="14"/>
  <c r="V115" i="14" s="1"/>
  <c r="L119" i="14"/>
  <c r="U115" i="14" s="1"/>
  <c r="K119" i="14"/>
  <c r="J119" i="14"/>
  <c r="R118" i="14"/>
  <c r="Q118" i="14"/>
  <c r="M118" i="14"/>
  <c r="L118" i="14"/>
  <c r="K118" i="14"/>
  <c r="T114" i="14" s="1"/>
  <c r="J118" i="14"/>
  <c r="S114" i="14" s="1"/>
  <c r="Q117" i="14"/>
  <c r="M117" i="14"/>
  <c r="V113" i="14" s="1"/>
  <c r="L117" i="14"/>
  <c r="U113" i="14" s="1"/>
  <c r="K117" i="14"/>
  <c r="J117" i="14"/>
  <c r="V116" i="14"/>
  <c r="U116" i="14"/>
  <c r="R116" i="14"/>
  <c r="Q116" i="14"/>
  <c r="M116" i="14"/>
  <c r="L116" i="14"/>
  <c r="K116" i="14"/>
  <c r="J116" i="14"/>
  <c r="T115" i="14"/>
  <c r="S115" i="14"/>
  <c r="R115" i="14"/>
  <c r="Q115" i="14"/>
  <c r="M115" i="14"/>
  <c r="L115" i="14"/>
  <c r="K115" i="14"/>
  <c r="J115" i="14"/>
  <c r="V114" i="14"/>
  <c r="U114" i="14"/>
  <c r="R114" i="14"/>
  <c r="Q114" i="14"/>
  <c r="M114" i="14"/>
  <c r="L114" i="14"/>
  <c r="K114" i="14"/>
  <c r="J114" i="14"/>
  <c r="T113" i="14"/>
  <c r="S113" i="14"/>
  <c r="R113" i="14"/>
  <c r="Q113" i="14"/>
  <c r="M113" i="14"/>
  <c r="L113" i="14"/>
  <c r="K113" i="14"/>
  <c r="J113" i="14"/>
  <c r="A112" i="14"/>
  <c r="R112" i="14" s="1"/>
  <c r="A111" i="14"/>
  <c r="R111" i="14" s="1"/>
  <c r="A110" i="14"/>
  <c r="R110" i="14" s="1"/>
  <c r="A109" i="14"/>
  <c r="R109" i="14" s="1"/>
  <c r="A108" i="14"/>
  <c r="R108" i="14" s="1"/>
  <c r="A107" i="14"/>
  <c r="R107" i="14" s="1"/>
  <c r="A106" i="14"/>
  <c r="R106" i="14" s="1"/>
  <c r="A105" i="14"/>
  <c r="R105" i="14" s="1"/>
  <c r="A104" i="14"/>
  <c r="R104" i="14" s="1"/>
  <c r="A103" i="14"/>
  <c r="R103" i="14" s="1"/>
  <c r="A102" i="14"/>
  <c r="R102" i="14" s="1"/>
  <c r="A101" i="14"/>
  <c r="R101" i="14" s="1"/>
  <c r="A100" i="14"/>
  <c r="R100" i="14" s="1"/>
  <c r="A99" i="14"/>
  <c r="R99" i="14" s="1"/>
  <c r="A98" i="14"/>
  <c r="R98" i="14" s="1"/>
  <c r="A97" i="14"/>
  <c r="R97" i="14" s="1"/>
  <c r="A96" i="14"/>
  <c r="R96" i="14" s="1"/>
  <c r="A95" i="14"/>
  <c r="R95" i="14" s="1"/>
  <c r="A94" i="14"/>
  <c r="R94" i="14" s="1"/>
  <c r="A93" i="14"/>
  <c r="R93" i="14" s="1"/>
  <c r="A92" i="14"/>
  <c r="R92" i="14" s="1"/>
  <c r="A91" i="14"/>
  <c r="R91" i="14" s="1"/>
  <c r="A90" i="14"/>
  <c r="R90" i="14" s="1"/>
  <c r="A89" i="14"/>
  <c r="R89" i="14" s="1"/>
  <c r="A88" i="14"/>
  <c r="R88" i="14" s="1"/>
  <c r="A87" i="14"/>
  <c r="R87" i="14" s="1"/>
  <c r="A86" i="14"/>
  <c r="R86" i="14" s="1"/>
  <c r="A85" i="14"/>
  <c r="R85" i="14" s="1"/>
  <c r="A84" i="14"/>
  <c r="R84" i="14" s="1"/>
  <c r="A83" i="14"/>
  <c r="R83" i="14" s="1"/>
  <c r="A82" i="14"/>
  <c r="R82" i="14" s="1"/>
  <c r="A81" i="14"/>
  <c r="R81" i="14" s="1"/>
  <c r="A80" i="14"/>
  <c r="R80" i="14" s="1"/>
  <c r="A79" i="14"/>
  <c r="R79" i="14" s="1"/>
  <c r="A78" i="14"/>
  <c r="R78" i="14" s="1"/>
  <c r="A77" i="14"/>
  <c r="R77" i="14" s="1"/>
  <c r="A76" i="14"/>
  <c r="R76" i="14" s="1"/>
  <c r="A75" i="14"/>
  <c r="R75" i="14" s="1"/>
  <c r="A74" i="14"/>
  <c r="R74" i="14" s="1"/>
  <c r="A73" i="14"/>
  <c r="R73" i="14" s="1"/>
  <c r="A72" i="14"/>
  <c r="R72" i="14" s="1"/>
  <c r="A71" i="14"/>
  <c r="R71" i="14" s="1"/>
  <c r="A70" i="14"/>
  <c r="R70" i="14" s="1"/>
  <c r="A69" i="14"/>
  <c r="R69" i="14" s="1"/>
  <c r="A68" i="14"/>
  <c r="R68" i="14" s="1"/>
  <c r="A67" i="14"/>
  <c r="R67" i="14" s="1"/>
  <c r="A66" i="14"/>
  <c r="R66" i="14" s="1"/>
  <c r="A65" i="14"/>
  <c r="R65" i="14" s="1"/>
  <c r="A64" i="14"/>
  <c r="R64" i="14" s="1"/>
  <c r="A63" i="14"/>
  <c r="R63" i="14" s="1"/>
  <c r="A62" i="14"/>
  <c r="R62" i="14" s="1"/>
  <c r="A61" i="14"/>
  <c r="R61" i="14" s="1"/>
  <c r="A60" i="14"/>
  <c r="R60" i="14" s="1"/>
  <c r="A59" i="14"/>
  <c r="R59" i="14" s="1"/>
  <c r="A58" i="14"/>
  <c r="R58" i="14" s="1"/>
  <c r="A57" i="14"/>
  <c r="R57" i="14" s="1"/>
  <c r="A56" i="14"/>
  <c r="R56" i="14" s="1"/>
  <c r="A55" i="14"/>
  <c r="R55" i="14" s="1"/>
  <c r="A54" i="14"/>
  <c r="R54" i="14" s="1"/>
  <c r="A53" i="14"/>
  <c r="R53" i="14" s="1"/>
  <c r="A52" i="14"/>
  <c r="R52" i="14" s="1"/>
  <c r="A51" i="14"/>
  <c r="R51" i="14" s="1"/>
  <c r="A50" i="14"/>
  <c r="R50" i="14" s="1"/>
  <c r="A49" i="14"/>
  <c r="R49" i="14" s="1"/>
  <c r="A48" i="14"/>
  <c r="R48" i="14" s="1"/>
  <c r="A47" i="14"/>
  <c r="R47" i="14" s="1"/>
  <c r="A46" i="14"/>
  <c r="R46" i="14" s="1"/>
  <c r="A45" i="14"/>
  <c r="R45" i="14" s="1"/>
  <c r="A44" i="14"/>
  <c r="R44" i="14" s="1"/>
  <c r="A43" i="14"/>
  <c r="R43" i="14" s="1"/>
  <c r="A42" i="14"/>
  <c r="R42" i="14" s="1"/>
  <c r="A41" i="14"/>
  <c r="R41" i="14" s="1"/>
  <c r="A40" i="14"/>
  <c r="R40" i="14" s="1"/>
  <c r="A39" i="14"/>
  <c r="R39" i="14" s="1"/>
  <c r="A38" i="14"/>
  <c r="R38" i="14" s="1"/>
  <c r="A37" i="14"/>
  <c r="R37" i="14" s="1"/>
  <c r="A36" i="14"/>
  <c r="R36" i="14" s="1"/>
  <c r="A35" i="14"/>
  <c r="R35" i="14" s="1"/>
  <c r="A34" i="14"/>
  <c r="R34" i="14" s="1"/>
  <c r="A33" i="14"/>
  <c r="R33" i="14" s="1"/>
  <c r="A32" i="14"/>
  <c r="R32" i="14" s="1"/>
  <c r="A31" i="14"/>
  <c r="R31" i="14" s="1"/>
  <c r="A30" i="14"/>
  <c r="R30" i="14" s="1"/>
  <c r="A29" i="14"/>
  <c r="R29" i="14" s="1"/>
  <c r="A28" i="14"/>
  <c r="R28" i="14" s="1"/>
  <c r="A27" i="14"/>
  <c r="R27" i="14" s="1"/>
  <c r="A26" i="14"/>
  <c r="R26" i="14" s="1"/>
  <c r="A25" i="14"/>
  <c r="R25" i="14" s="1"/>
  <c r="A24" i="14"/>
  <c r="R24" i="14" s="1"/>
  <c r="A23" i="14"/>
  <c r="R23" i="14" s="1"/>
  <c r="A22" i="14"/>
  <c r="R22" i="14" s="1"/>
  <c r="A21" i="14"/>
  <c r="R21" i="14" s="1"/>
  <c r="A20" i="14"/>
  <c r="R20" i="14" s="1"/>
  <c r="A19" i="14"/>
  <c r="R19" i="14" s="1"/>
  <c r="A18" i="14"/>
  <c r="R18" i="14" s="1"/>
  <c r="A17" i="14"/>
  <c r="R17" i="14" s="1"/>
  <c r="A16" i="14"/>
  <c r="R16" i="14" s="1"/>
  <c r="A15" i="14"/>
  <c r="R15" i="14" s="1"/>
  <c r="A14" i="14"/>
  <c r="R14" i="14" s="1"/>
  <c r="A13" i="14"/>
  <c r="R13" i="14" s="1"/>
  <c r="A12" i="14"/>
  <c r="R12" i="14" s="1"/>
  <c r="A11" i="14"/>
  <c r="R11" i="14" s="1"/>
  <c r="A10" i="14"/>
  <c r="R10" i="14" s="1"/>
  <c r="A9" i="14"/>
  <c r="R9" i="14" s="1"/>
  <c r="A8" i="14"/>
  <c r="R8" i="14" s="1"/>
  <c r="A7" i="14"/>
  <c r="R7" i="14" s="1"/>
  <c r="M8" i="12"/>
  <c r="D6" i="12"/>
  <c r="E6" i="12" s="1"/>
  <c r="G6" i="12" s="1"/>
  <c r="I6" i="12"/>
  <c r="I36" i="1"/>
  <c r="I114" i="1"/>
  <c r="I128" i="1"/>
  <c r="I12" i="1"/>
  <c r="I22" i="1"/>
  <c r="I43" i="1"/>
  <c r="I62" i="1"/>
  <c r="I103" i="1"/>
  <c r="I104" i="1"/>
  <c r="I127" i="1"/>
  <c r="I134" i="1"/>
  <c r="I21" i="1"/>
  <c r="I60" i="1"/>
  <c r="I86" i="1"/>
  <c r="I136" i="1"/>
  <c r="I10" i="1"/>
  <c r="I26" i="1"/>
  <c r="I48" i="1"/>
  <c r="I68" i="1"/>
  <c r="I84" i="1"/>
  <c r="I113" i="1"/>
  <c r="I100" i="1"/>
  <c r="I13" i="1"/>
  <c r="I27" i="1"/>
  <c r="I66" i="1"/>
  <c r="I69" i="1"/>
  <c r="I85" i="1"/>
  <c r="I116" i="1"/>
  <c r="I133" i="1"/>
  <c r="I24" i="1"/>
  <c r="I65" i="1"/>
  <c r="I121" i="1"/>
  <c r="I112" i="1"/>
  <c r="I28" i="1"/>
  <c r="I101" i="1"/>
  <c r="I17" i="1"/>
  <c r="I53" i="1"/>
  <c r="I72" i="1"/>
  <c r="I119" i="1"/>
  <c r="I7" i="1"/>
  <c r="I31" i="1"/>
  <c r="I73" i="1"/>
  <c r="I89" i="1"/>
  <c r="I80" i="1"/>
  <c r="I78" i="1"/>
  <c r="I130" i="1"/>
  <c r="I35" i="1"/>
  <c r="I106" i="1"/>
  <c r="I92" i="1"/>
  <c r="I102" i="1"/>
  <c r="I11" i="1"/>
  <c r="I25" i="1"/>
  <c r="I47" i="1"/>
  <c r="I67" i="1"/>
  <c r="I83" i="1"/>
  <c r="I132" i="1"/>
  <c r="I4" i="1"/>
  <c r="I70" i="1"/>
  <c r="I110" i="1"/>
  <c r="I30" i="1"/>
  <c r="I88" i="1"/>
  <c r="I16" i="1"/>
  <c r="I55" i="1"/>
  <c r="I120" i="1"/>
  <c r="I33" i="1"/>
  <c r="I32" i="1"/>
  <c r="I49" i="1"/>
  <c r="I15" i="1"/>
  <c r="I51" i="1"/>
  <c r="I87" i="1"/>
  <c r="I135" i="1"/>
  <c r="I42" i="1"/>
  <c r="I117" i="1"/>
  <c r="I39" i="1"/>
  <c r="I58" i="1"/>
  <c r="I94" i="1"/>
  <c r="I3" i="1"/>
  <c r="I41" i="1"/>
  <c r="I77" i="1"/>
  <c r="I125" i="1"/>
  <c r="I46" i="1"/>
  <c r="I96" i="1"/>
  <c r="I91" i="1"/>
  <c r="I29" i="1"/>
  <c r="I71" i="1"/>
  <c r="I118" i="1"/>
  <c r="I9" i="1"/>
  <c r="I74" i="1"/>
  <c r="I2" i="1"/>
  <c r="I38" i="1"/>
  <c r="I76" i="1"/>
  <c r="I129" i="1"/>
  <c r="I20" i="1"/>
  <c r="I59" i="1"/>
  <c r="I105" i="1"/>
  <c r="I54" i="1"/>
  <c r="I90" i="1"/>
  <c r="I8" i="1"/>
  <c r="I34" i="1"/>
  <c r="I122" i="1"/>
  <c r="I82" i="1"/>
  <c r="I44" i="1"/>
  <c r="I124" i="1"/>
  <c r="I97" i="1"/>
  <c r="I14" i="1"/>
  <c r="I37" i="1"/>
  <c r="I111" i="1"/>
  <c r="I19" i="1"/>
  <c r="I57" i="1"/>
  <c r="I93" i="1"/>
  <c r="I123" i="1"/>
  <c r="I50" i="1"/>
  <c r="I126" i="1"/>
  <c r="I23" i="1"/>
  <c r="I63" i="1"/>
  <c r="I107" i="1"/>
  <c r="I6" i="1"/>
  <c r="I45" i="1"/>
  <c r="I81" i="1"/>
  <c r="I131" i="1"/>
  <c r="I56" i="1"/>
  <c r="I115" i="1"/>
  <c r="I75" i="1"/>
  <c r="I18" i="1"/>
  <c r="I5" i="1"/>
  <c r="I79" i="1"/>
  <c r="I40" i="1"/>
  <c r="I108" i="1"/>
  <c r="I109" i="1"/>
  <c r="U99" i="1" l="1"/>
  <c r="S99" i="1"/>
  <c r="R99" i="1" s="1"/>
  <c r="N99" i="1"/>
  <c r="O99" i="1" s="1"/>
  <c r="P99" i="1" s="1"/>
  <c r="N98" i="1"/>
  <c r="O98" i="1" s="1"/>
  <c r="N95" i="1"/>
  <c r="O95" i="1" s="1"/>
  <c r="N64" i="1"/>
  <c r="O64" i="1" s="1"/>
  <c r="N61" i="1"/>
  <c r="O61" i="1" s="1"/>
  <c r="N52" i="1"/>
  <c r="O52" i="1" s="1"/>
  <c r="Q35" i="1"/>
  <c r="Q32" i="1"/>
  <c r="Q37" i="1"/>
  <c r="Q36" i="1"/>
  <c r="Q106" i="1"/>
  <c r="Q96" i="1"/>
  <c r="M451" i="12"/>
  <c r="M452" i="12"/>
  <c r="Q115" i="1"/>
  <c r="Q114" i="1"/>
  <c r="N114" i="1" s="1"/>
  <c r="Q92" i="1"/>
  <c r="N92" i="1" s="1"/>
  <c r="Q49" i="1"/>
  <c r="N49" i="1" s="1"/>
  <c r="Q111" i="1"/>
  <c r="N111" i="1" s="1"/>
  <c r="Q128" i="1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M410" i="12"/>
  <c r="E410" i="12"/>
  <c r="G410" i="12" s="1"/>
  <c r="Q100" i="1"/>
  <c r="Q110" i="1"/>
  <c r="Q102" i="1"/>
  <c r="N102" i="1" s="1"/>
  <c r="Q91" i="1"/>
  <c r="Q80" i="1"/>
  <c r="Q124" i="1"/>
  <c r="Q113" i="1"/>
  <c r="Q123" i="1"/>
  <c r="N123" i="1" s="1"/>
  <c r="Q125" i="1"/>
  <c r="Q103" i="1"/>
  <c r="N103" i="1" s="1"/>
  <c r="Q77" i="1"/>
  <c r="Q78" i="1"/>
  <c r="Q87" i="1"/>
  <c r="J7" i="14"/>
  <c r="S7" i="14" s="1"/>
  <c r="K7" i="14"/>
  <c r="T7" i="14" s="1"/>
  <c r="L7" i="14"/>
  <c r="U7" i="14" s="1"/>
  <c r="M7" i="14"/>
  <c r="V7" i="14" s="1"/>
  <c r="Q7" i="14"/>
  <c r="J8" i="14"/>
  <c r="S8" i="14" s="1"/>
  <c r="K8" i="14"/>
  <c r="T8" i="14" s="1"/>
  <c r="L8" i="14"/>
  <c r="U8" i="14" s="1"/>
  <c r="M8" i="14"/>
  <c r="V8" i="14" s="1"/>
  <c r="Q8" i="14"/>
  <c r="J9" i="14"/>
  <c r="S9" i="14" s="1"/>
  <c r="K9" i="14"/>
  <c r="T9" i="14" s="1"/>
  <c r="L9" i="14"/>
  <c r="U9" i="14" s="1"/>
  <c r="M9" i="14"/>
  <c r="V9" i="14" s="1"/>
  <c r="Q9" i="14"/>
  <c r="J10" i="14"/>
  <c r="S10" i="14" s="1"/>
  <c r="K10" i="14"/>
  <c r="T10" i="14" s="1"/>
  <c r="L10" i="14"/>
  <c r="U10" i="14" s="1"/>
  <c r="M10" i="14"/>
  <c r="V10" i="14" s="1"/>
  <c r="Q10" i="14"/>
  <c r="J11" i="14"/>
  <c r="S11" i="14" s="1"/>
  <c r="K11" i="14"/>
  <c r="T11" i="14" s="1"/>
  <c r="L11" i="14"/>
  <c r="U11" i="14" s="1"/>
  <c r="M11" i="14"/>
  <c r="V11" i="14" s="1"/>
  <c r="Q11" i="14"/>
  <c r="J12" i="14"/>
  <c r="S12" i="14" s="1"/>
  <c r="K12" i="14"/>
  <c r="T12" i="14" s="1"/>
  <c r="L12" i="14"/>
  <c r="U12" i="14" s="1"/>
  <c r="M12" i="14"/>
  <c r="V12" i="14" s="1"/>
  <c r="Q12" i="14"/>
  <c r="J13" i="14"/>
  <c r="S13" i="14" s="1"/>
  <c r="K13" i="14"/>
  <c r="T13" i="14" s="1"/>
  <c r="L13" i="14"/>
  <c r="U13" i="14" s="1"/>
  <c r="M13" i="14"/>
  <c r="V13" i="14" s="1"/>
  <c r="Q13" i="14"/>
  <c r="J14" i="14"/>
  <c r="S14" i="14" s="1"/>
  <c r="K14" i="14"/>
  <c r="T14" i="14" s="1"/>
  <c r="L14" i="14"/>
  <c r="U14" i="14" s="1"/>
  <c r="M14" i="14"/>
  <c r="V14" i="14" s="1"/>
  <c r="Q14" i="14"/>
  <c r="J15" i="14"/>
  <c r="S15" i="14" s="1"/>
  <c r="K15" i="14"/>
  <c r="T15" i="14" s="1"/>
  <c r="L15" i="14"/>
  <c r="U15" i="14" s="1"/>
  <c r="M15" i="14"/>
  <c r="V15" i="14" s="1"/>
  <c r="Q15" i="14"/>
  <c r="J16" i="14"/>
  <c r="S16" i="14" s="1"/>
  <c r="K16" i="14"/>
  <c r="T16" i="14" s="1"/>
  <c r="L16" i="14"/>
  <c r="U16" i="14" s="1"/>
  <c r="M16" i="14"/>
  <c r="V16" i="14" s="1"/>
  <c r="Q16" i="14"/>
  <c r="J17" i="14"/>
  <c r="S17" i="14" s="1"/>
  <c r="K17" i="14"/>
  <c r="T17" i="14" s="1"/>
  <c r="L17" i="14"/>
  <c r="U17" i="14" s="1"/>
  <c r="M17" i="14"/>
  <c r="V17" i="14" s="1"/>
  <c r="Q17" i="14"/>
  <c r="J18" i="14"/>
  <c r="S18" i="14" s="1"/>
  <c r="K18" i="14"/>
  <c r="T18" i="14" s="1"/>
  <c r="L18" i="14"/>
  <c r="U18" i="14" s="1"/>
  <c r="M18" i="14"/>
  <c r="V18" i="14" s="1"/>
  <c r="Q18" i="14"/>
  <c r="J19" i="14"/>
  <c r="S19" i="14" s="1"/>
  <c r="K19" i="14"/>
  <c r="T19" i="14" s="1"/>
  <c r="L19" i="14"/>
  <c r="U19" i="14" s="1"/>
  <c r="M19" i="14"/>
  <c r="V19" i="14" s="1"/>
  <c r="Q19" i="14"/>
  <c r="J20" i="14"/>
  <c r="S20" i="14" s="1"/>
  <c r="K20" i="14"/>
  <c r="T20" i="14" s="1"/>
  <c r="L20" i="14"/>
  <c r="U20" i="14" s="1"/>
  <c r="M20" i="14"/>
  <c r="V20" i="14" s="1"/>
  <c r="Q20" i="14"/>
  <c r="J21" i="14"/>
  <c r="S21" i="14" s="1"/>
  <c r="K21" i="14"/>
  <c r="T21" i="14" s="1"/>
  <c r="L21" i="14"/>
  <c r="U21" i="14" s="1"/>
  <c r="M21" i="14"/>
  <c r="V21" i="14" s="1"/>
  <c r="Q21" i="14"/>
  <c r="J22" i="14"/>
  <c r="S22" i="14" s="1"/>
  <c r="K22" i="14"/>
  <c r="T22" i="14" s="1"/>
  <c r="L22" i="14"/>
  <c r="U22" i="14" s="1"/>
  <c r="M22" i="14"/>
  <c r="V22" i="14" s="1"/>
  <c r="Q22" i="14"/>
  <c r="J23" i="14"/>
  <c r="S23" i="14" s="1"/>
  <c r="K23" i="14"/>
  <c r="T23" i="14" s="1"/>
  <c r="L23" i="14"/>
  <c r="U23" i="14" s="1"/>
  <c r="M23" i="14"/>
  <c r="V23" i="14" s="1"/>
  <c r="Q23" i="14"/>
  <c r="J24" i="14"/>
  <c r="S24" i="14" s="1"/>
  <c r="K24" i="14"/>
  <c r="T24" i="14" s="1"/>
  <c r="L24" i="14"/>
  <c r="U24" i="14" s="1"/>
  <c r="M24" i="14"/>
  <c r="V24" i="14" s="1"/>
  <c r="Q24" i="14"/>
  <c r="J25" i="14"/>
  <c r="S25" i="14" s="1"/>
  <c r="K25" i="14"/>
  <c r="T25" i="14" s="1"/>
  <c r="L25" i="14"/>
  <c r="U25" i="14" s="1"/>
  <c r="M25" i="14"/>
  <c r="V25" i="14" s="1"/>
  <c r="Q25" i="14"/>
  <c r="J26" i="14"/>
  <c r="S26" i="14" s="1"/>
  <c r="K26" i="14"/>
  <c r="T26" i="14" s="1"/>
  <c r="L26" i="14"/>
  <c r="U26" i="14" s="1"/>
  <c r="M26" i="14"/>
  <c r="V26" i="14" s="1"/>
  <c r="Q26" i="14"/>
  <c r="J27" i="14"/>
  <c r="S27" i="14" s="1"/>
  <c r="K27" i="14"/>
  <c r="T27" i="14" s="1"/>
  <c r="L27" i="14"/>
  <c r="U27" i="14" s="1"/>
  <c r="M27" i="14"/>
  <c r="V27" i="14" s="1"/>
  <c r="Q27" i="14"/>
  <c r="J28" i="14"/>
  <c r="S28" i="14" s="1"/>
  <c r="K28" i="14"/>
  <c r="T28" i="14" s="1"/>
  <c r="L28" i="14"/>
  <c r="U28" i="14" s="1"/>
  <c r="M28" i="14"/>
  <c r="V28" i="14" s="1"/>
  <c r="Q28" i="14"/>
  <c r="J29" i="14"/>
  <c r="S29" i="14" s="1"/>
  <c r="K29" i="14"/>
  <c r="T29" i="14" s="1"/>
  <c r="L29" i="14"/>
  <c r="U29" i="14" s="1"/>
  <c r="M29" i="14"/>
  <c r="V29" i="14" s="1"/>
  <c r="Q29" i="14"/>
  <c r="J30" i="14"/>
  <c r="S30" i="14" s="1"/>
  <c r="K30" i="14"/>
  <c r="T30" i="14" s="1"/>
  <c r="L30" i="14"/>
  <c r="U30" i="14" s="1"/>
  <c r="M30" i="14"/>
  <c r="V30" i="14" s="1"/>
  <c r="Q30" i="14"/>
  <c r="J31" i="14"/>
  <c r="S31" i="14" s="1"/>
  <c r="K31" i="14"/>
  <c r="T31" i="14" s="1"/>
  <c r="L31" i="14"/>
  <c r="U31" i="14" s="1"/>
  <c r="M31" i="14"/>
  <c r="V31" i="14" s="1"/>
  <c r="Q31" i="14"/>
  <c r="J32" i="14"/>
  <c r="S32" i="14" s="1"/>
  <c r="K32" i="14"/>
  <c r="T32" i="14" s="1"/>
  <c r="L32" i="14"/>
  <c r="U32" i="14" s="1"/>
  <c r="M32" i="14"/>
  <c r="V32" i="14" s="1"/>
  <c r="Q32" i="14"/>
  <c r="J33" i="14"/>
  <c r="S33" i="14" s="1"/>
  <c r="K33" i="14"/>
  <c r="T33" i="14" s="1"/>
  <c r="L33" i="14"/>
  <c r="U33" i="14" s="1"/>
  <c r="M33" i="14"/>
  <c r="V33" i="14" s="1"/>
  <c r="Q33" i="14"/>
  <c r="J34" i="14"/>
  <c r="S34" i="14" s="1"/>
  <c r="K34" i="14"/>
  <c r="T34" i="14" s="1"/>
  <c r="L34" i="14"/>
  <c r="U34" i="14" s="1"/>
  <c r="M34" i="14"/>
  <c r="V34" i="14" s="1"/>
  <c r="Q34" i="14"/>
  <c r="J35" i="14"/>
  <c r="S35" i="14" s="1"/>
  <c r="K35" i="14"/>
  <c r="T35" i="14" s="1"/>
  <c r="L35" i="14"/>
  <c r="U35" i="14" s="1"/>
  <c r="M35" i="14"/>
  <c r="V35" i="14" s="1"/>
  <c r="Q35" i="14"/>
  <c r="J36" i="14"/>
  <c r="S36" i="14" s="1"/>
  <c r="K36" i="14"/>
  <c r="T36" i="14" s="1"/>
  <c r="L36" i="14"/>
  <c r="U36" i="14" s="1"/>
  <c r="M36" i="14"/>
  <c r="V36" i="14" s="1"/>
  <c r="Q36" i="14"/>
  <c r="J37" i="14"/>
  <c r="S37" i="14" s="1"/>
  <c r="K37" i="14"/>
  <c r="T37" i="14" s="1"/>
  <c r="L37" i="14"/>
  <c r="U37" i="14" s="1"/>
  <c r="M37" i="14"/>
  <c r="V37" i="14" s="1"/>
  <c r="Q37" i="14"/>
  <c r="J38" i="14"/>
  <c r="S38" i="14" s="1"/>
  <c r="K38" i="14"/>
  <c r="T38" i="14" s="1"/>
  <c r="L38" i="14"/>
  <c r="U38" i="14" s="1"/>
  <c r="M38" i="14"/>
  <c r="V38" i="14" s="1"/>
  <c r="Q38" i="14"/>
  <c r="J39" i="14"/>
  <c r="S39" i="14" s="1"/>
  <c r="K39" i="14"/>
  <c r="T39" i="14" s="1"/>
  <c r="L39" i="14"/>
  <c r="U39" i="14" s="1"/>
  <c r="M39" i="14"/>
  <c r="V39" i="14" s="1"/>
  <c r="Q39" i="14"/>
  <c r="J40" i="14"/>
  <c r="S40" i="14" s="1"/>
  <c r="K40" i="14"/>
  <c r="T40" i="14" s="1"/>
  <c r="L40" i="14"/>
  <c r="U40" i="14" s="1"/>
  <c r="M40" i="14"/>
  <c r="V40" i="14" s="1"/>
  <c r="Q40" i="14"/>
  <c r="J41" i="14"/>
  <c r="S41" i="14" s="1"/>
  <c r="K41" i="14"/>
  <c r="T41" i="14" s="1"/>
  <c r="L41" i="14"/>
  <c r="U41" i="14" s="1"/>
  <c r="M41" i="14"/>
  <c r="V41" i="14" s="1"/>
  <c r="Q41" i="14"/>
  <c r="J42" i="14"/>
  <c r="S42" i="14" s="1"/>
  <c r="K42" i="14"/>
  <c r="T42" i="14" s="1"/>
  <c r="L42" i="14"/>
  <c r="U42" i="14" s="1"/>
  <c r="M42" i="14"/>
  <c r="V42" i="14" s="1"/>
  <c r="Q42" i="14"/>
  <c r="J43" i="14"/>
  <c r="S43" i="14" s="1"/>
  <c r="K43" i="14"/>
  <c r="T43" i="14" s="1"/>
  <c r="L43" i="14"/>
  <c r="U43" i="14" s="1"/>
  <c r="M43" i="14"/>
  <c r="V43" i="14" s="1"/>
  <c r="Q43" i="14"/>
  <c r="J44" i="14"/>
  <c r="S44" i="14" s="1"/>
  <c r="K44" i="14"/>
  <c r="T44" i="14" s="1"/>
  <c r="L44" i="14"/>
  <c r="U44" i="14" s="1"/>
  <c r="M44" i="14"/>
  <c r="V44" i="14" s="1"/>
  <c r="Q44" i="14"/>
  <c r="J45" i="14"/>
  <c r="S45" i="14" s="1"/>
  <c r="K45" i="14"/>
  <c r="T45" i="14" s="1"/>
  <c r="L45" i="14"/>
  <c r="U45" i="14" s="1"/>
  <c r="M45" i="14"/>
  <c r="V45" i="14" s="1"/>
  <c r="Q45" i="14"/>
  <c r="J46" i="14"/>
  <c r="S46" i="14" s="1"/>
  <c r="K46" i="14"/>
  <c r="T46" i="14" s="1"/>
  <c r="L46" i="14"/>
  <c r="U46" i="14" s="1"/>
  <c r="M46" i="14"/>
  <c r="V46" i="14" s="1"/>
  <c r="Q46" i="14"/>
  <c r="J47" i="14"/>
  <c r="S47" i="14" s="1"/>
  <c r="K47" i="14"/>
  <c r="T47" i="14" s="1"/>
  <c r="L47" i="14"/>
  <c r="U47" i="14" s="1"/>
  <c r="M47" i="14"/>
  <c r="V47" i="14" s="1"/>
  <c r="Q47" i="14"/>
  <c r="J48" i="14"/>
  <c r="S48" i="14" s="1"/>
  <c r="K48" i="14"/>
  <c r="T48" i="14" s="1"/>
  <c r="L48" i="14"/>
  <c r="U48" i="14" s="1"/>
  <c r="M48" i="14"/>
  <c r="V48" i="14" s="1"/>
  <c r="Q48" i="14"/>
  <c r="J49" i="14"/>
  <c r="S49" i="14" s="1"/>
  <c r="K49" i="14"/>
  <c r="T49" i="14" s="1"/>
  <c r="L49" i="14"/>
  <c r="U49" i="14" s="1"/>
  <c r="M49" i="14"/>
  <c r="V49" i="14" s="1"/>
  <c r="Q49" i="14"/>
  <c r="J50" i="14"/>
  <c r="S50" i="14" s="1"/>
  <c r="K50" i="14"/>
  <c r="T50" i="14" s="1"/>
  <c r="L50" i="14"/>
  <c r="U50" i="14" s="1"/>
  <c r="M50" i="14"/>
  <c r="V50" i="14" s="1"/>
  <c r="Q50" i="14"/>
  <c r="J51" i="14"/>
  <c r="S51" i="14" s="1"/>
  <c r="K51" i="14"/>
  <c r="T51" i="14" s="1"/>
  <c r="L51" i="14"/>
  <c r="U51" i="14" s="1"/>
  <c r="M51" i="14"/>
  <c r="V51" i="14" s="1"/>
  <c r="Q51" i="14"/>
  <c r="J52" i="14"/>
  <c r="S52" i="14" s="1"/>
  <c r="K52" i="14"/>
  <c r="T52" i="14" s="1"/>
  <c r="L52" i="14"/>
  <c r="U52" i="14" s="1"/>
  <c r="M52" i="14"/>
  <c r="V52" i="14" s="1"/>
  <c r="Q52" i="14"/>
  <c r="J53" i="14"/>
  <c r="S53" i="14" s="1"/>
  <c r="K53" i="14"/>
  <c r="T53" i="14" s="1"/>
  <c r="L53" i="14"/>
  <c r="U53" i="14" s="1"/>
  <c r="M53" i="14"/>
  <c r="V53" i="14" s="1"/>
  <c r="Q53" i="14"/>
  <c r="J54" i="14"/>
  <c r="S54" i="14" s="1"/>
  <c r="K54" i="14"/>
  <c r="T54" i="14" s="1"/>
  <c r="L54" i="14"/>
  <c r="U54" i="14" s="1"/>
  <c r="M54" i="14"/>
  <c r="V54" i="14" s="1"/>
  <c r="Q54" i="14"/>
  <c r="J55" i="14"/>
  <c r="S55" i="14" s="1"/>
  <c r="K55" i="14"/>
  <c r="T55" i="14" s="1"/>
  <c r="L55" i="14"/>
  <c r="U55" i="14" s="1"/>
  <c r="M55" i="14"/>
  <c r="V55" i="14" s="1"/>
  <c r="Q55" i="14"/>
  <c r="J56" i="14"/>
  <c r="S56" i="14" s="1"/>
  <c r="K56" i="14"/>
  <c r="T56" i="14" s="1"/>
  <c r="L56" i="14"/>
  <c r="U56" i="14" s="1"/>
  <c r="M56" i="14"/>
  <c r="V56" i="14" s="1"/>
  <c r="Q56" i="14"/>
  <c r="J57" i="14"/>
  <c r="S57" i="14" s="1"/>
  <c r="K57" i="14"/>
  <c r="T57" i="14" s="1"/>
  <c r="L57" i="14"/>
  <c r="U57" i="14" s="1"/>
  <c r="M57" i="14"/>
  <c r="V57" i="14" s="1"/>
  <c r="Q57" i="14"/>
  <c r="J58" i="14"/>
  <c r="S58" i="14" s="1"/>
  <c r="K58" i="14"/>
  <c r="T58" i="14" s="1"/>
  <c r="L58" i="14"/>
  <c r="U58" i="14" s="1"/>
  <c r="M58" i="14"/>
  <c r="V58" i="14" s="1"/>
  <c r="Q58" i="14"/>
  <c r="J59" i="14"/>
  <c r="S59" i="14" s="1"/>
  <c r="K59" i="14"/>
  <c r="T59" i="14" s="1"/>
  <c r="L59" i="14"/>
  <c r="U59" i="14" s="1"/>
  <c r="M59" i="14"/>
  <c r="V59" i="14" s="1"/>
  <c r="Q59" i="14"/>
  <c r="J60" i="14"/>
  <c r="S60" i="14" s="1"/>
  <c r="K60" i="14"/>
  <c r="T60" i="14" s="1"/>
  <c r="L60" i="14"/>
  <c r="U60" i="14" s="1"/>
  <c r="M60" i="14"/>
  <c r="V60" i="14" s="1"/>
  <c r="Q60" i="14"/>
  <c r="J61" i="14"/>
  <c r="S61" i="14" s="1"/>
  <c r="K61" i="14"/>
  <c r="T61" i="14" s="1"/>
  <c r="L61" i="14"/>
  <c r="U61" i="14" s="1"/>
  <c r="M61" i="14"/>
  <c r="V61" i="14" s="1"/>
  <c r="Q61" i="14"/>
  <c r="J62" i="14"/>
  <c r="S62" i="14" s="1"/>
  <c r="K62" i="14"/>
  <c r="T62" i="14" s="1"/>
  <c r="L62" i="14"/>
  <c r="U62" i="14" s="1"/>
  <c r="M62" i="14"/>
  <c r="V62" i="14" s="1"/>
  <c r="Q62" i="14"/>
  <c r="J63" i="14"/>
  <c r="S63" i="14" s="1"/>
  <c r="K63" i="14"/>
  <c r="T63" i="14" s="1"/>
  <c r="L63" i="14"/>
  <c r="U63" i="14" s="1"/>
  <c r="M63" i="14"/>
  <c r="V63" i="14" s="1"/>
  <c r="Q63" i="14"/>
  <c r="J64" i="14"/>
  <c r="S64" i="14" s="1"/>
  <c r="K64" i="14"/>
  <c r="T64" i="14" s="1"/>
  <c r="L64" i="14"/>
  <c r="U64" i="14" s="1"/>
  <c r="M64" i="14"/>
  <c r="V64" i="14" s="1"/>
  <c r="Q64" i="14"/>
  <c r="J65" i="14"/>
  <c r="S65" i="14" s="1"/>
  <c r="K65" i="14"/>
  <c r="T65" i="14" s="1"/>
  <c r="L65" i="14"/>
  <c r="U65" i="14" s="1"/>
  <c r="M65" i="14"/>
  <c r="V65" i="14" s="1"/>
  <c r="Q65" i="14"/>
  <c r="J66" i="14"/>
  <c r="S66" i="14" s="1"/>
  <c r="K66" i="14"/>
  <c r="T66" i="14" s="1"/>
  <c r="L66" i="14"/>
  <c r="U66" i="14" s="1"/>
  <c r="M66" i="14"/>
  <c r="V66" i="14" s="1"/>
  <c r="Q66" i="14"/>
  <c r="J67" i="14"/>
  <c r="S67" i="14" s="1"/>
  <c r="K67" i="14"/>
  <c r="T67" i="14" s="1"/>
  <c r="L67" i="14"/>
  <c r="U67" i="14" s="1"/>
  <c r="M67" i="14"/>
  <c r="V67" i="14" s="1"/>
  <c r="Q67" i="14"/>
  <c r="J68" i="14"/>
  <c r="S68" i="14" s="1"/>
  <c r="K68" i="14"/>
  <c r="T68" i="14" s="1"/>
  <c r="L68" i="14"/>
  <c r="U68" i="14" s="1"/>
  <c r="M68" i="14"/>
  <c r="V68" i="14" s="1"/>
  <c r="Q68" i="14"/>
  <c r="J69" i="14"/>
  <c r="S69" i="14" s="1"/>
  <c r="K69" i="14"/>
  <c r="T69" i="14" s="1"/>
  <c r="L69" i="14"/>
  <c r="U69" i="14" s="1"/>
  <c r="M69" i="14"/>
  <c r="V69" i="14" s="1"/>
  <c r="Q69" i="14"/>
  <c r="J70" i="14"/>
  <c r="S70" i="14" s="1"/>
  <c r="K70" i="14"/>
  <c r="T70" i="14" s="1"/>
  <c r="L70" i="14"/>
  <c r="U70" i="14" s="1"/>
  <c r="M70" i="14"/>
  <c r="V70" i="14" s="1"/>
  <c r="Q70" i="14"/>
  <c r="J71" i="14"/>
  <c r="S71" i="14" s="1"/>
  <c r="K71" i="14"/>
  <c r="T71" i="14" s="1"/>
  <c r="L71" i="14"/>
  <c r="U71" i="14" s="1"/>
  <c r="M71" i="14"/>
  <c r="V71" i="14" s="1"/>
  <c r="Q71" i="14"/>
  <c r="J72" i="14"/>
  <c r="S72" i="14" s="1"/>
  <c r="K72" i="14"/>
  <c r="T72" i="14" s="1"/>
  <c r="L72" i="14"/>
  <c r="U72" i="14" s="1"/>
  <c r="M72" i="14"/>
  <c r="V72" i="14" s="1"/>
  <c r="Q72" i="14"/>
  <c r="J73" i="14"/>
  <c r="S73" i="14" s="1"/>
  <c r="K73" i="14"/>
  <c r="T73" i="14" s="1"/>
  <c r="L73" i="14"/>
  <c r="U73" i="14" s="1"/>
  <c r="M73" i="14"/>
  <c r="V73" i="14" s="1"/>
  <c r="Q73" i="14"/>
  <c r="J74" i="14"/>
  <c r="S74" i="14" s="1"/>
  <c r="K74" i="14"/>
  <c r="T74" i="14" s="1"/>
  <c r="L74" i="14"/>
  <c r="U74" i="14" s="1"/>
  <c r="M74" i="14"/>
  <c r="V74" i="14" s="1"/>
  <c r="Q74" i="14"/>
  <c r="J75" i="14"/>
  <c r="S75" i="14" s="1"/>
  <c r="K75" i="14"/>
  <c r="T75" i="14" s="1"/>
  <c r="L75" i="14"/>
  <c r="U75" i="14" s="1"/>
  <c r="M75" i="14"/>
  <c r="V75" i="14" s="1"/>
  <c r="Q75" i="14"/>
  <c r="J76" i="14"/>
  <c r="S76" i="14" s="1"/>
  <c r="K76" i="14"/>
  <c r="T76" i="14" s="1"/>
  <c r="L76" i="14"/>
  <c r="U76" i="14" s="1"/>
  <c r="M76" i="14"/>
  <c r="V76" i="14" s="1"/>
  <c r="Q76" i="14"/>
  <c r="J77" i="14"/>
  <c r="S77" i="14" s="1"/>
  <c r="K77" i="14"/>
  <c r="T77" i="14" s="1"/>
  <c r="L77" i="14"/>
  <c r="U77" i="14" s="1"/>
  <c r="M77" i="14"/>
  <c r="V77" i="14" s="1"/>
  <c r="Q77" i="14"/>
  <c r="J78" i="14"/>
  <c r="S78" i="14" s="1"/>
  <c r="K78" i="14"/>
  <c r="T78" i="14" s="1"/>
  <c r="L78" i="14"/>
  <c r="U78" i="14" s="1"/>
  <c r="M78" i="14"/>
  <c r="V78" i="14" s="1"/>
  <c r="Q78" i="14"/>
  <c r="J79" i="14"/>
  <c r="S79" i="14" s="1"/>
  <c r="K79" i="14"/>
  <c r="T79" i="14" s="1"/>
  <c r="L79" i="14"/>
  <c r="U79" i="14" s="1"/>
  <c r="M79" i="14"/>
  <c r="V79" i="14" s="1"/>
  <c r="Q79" i="14"/>
  <c r="J80" i="14"/>
  <c r="S80" i="14" s="1"/>
  <c r="K80" i="14"/>
  <c r="T80" i="14" s="1"/>
  <c r="L80" i="14"/>
  <c r="U80" i="14" s="1"/>
  <c r="M80" i="14"/>
  <c r="V80" i="14" s="1"/>
  <c r="Q80" i="14"/>
  <c r="J81" i="14"/>
  <c r="S81" i="14" s="1"/>
  <c r="K81" i="14"/>
  <c r="T81" i="14" s="1"/>
  <c r="L81" i="14"/>
  <c r="U81" i="14" s="1"/>
  <c r="M81" i="14"/>
  <c r="V81" i="14" s="1"/>
  <c r="Q81" i="14"/>
  <c r="J82" i="14"/>
  <c r="S82" i="14" s="1"/>
  <c r="K82" i="14"/>
  <c r="T82" i="14" s="1"/>
  <c r="L82" i="14"/>
  <c r="U82" i="14" s="1"/>
  <c r="M82" i="14"/>
  <c r="V82" i="14" s="1"/>
  <c r="Q82" i="14"/>
  <c r="J83" i="14"/>
  <c r="S83" i="14" s="1"/>
  <c r="K83" i="14"/>
  <c r="T83" i="14" s="1"/>
  <c r="L83" i="14"/>
  <c r="U83" i="14" s="1"/>
  <c r="M83" i="14"/>
  <c r="V83" i="14" s="1"/>
  <c r="Q83" i="14"/>
  <c r="J84" i="14"/>
  <c r="S84" i="14" s="1"/>
  <c r="K84" i="14"/>
  <c r="T84" i="14" s="1"/>
  <c r="L84" i="14"/>
  <c r="U84" i="14" s="1"/>
  <c r="M84" i="14"/>
  <c r="V84" i="14" s="1"/>
  <c r="Q84" i="14"/>
  <c r="J85" i="14"/>
  <c r="S85" i="14" s="1"/>
  <c r="K85" i="14"/>
  <c r="T85" i="14" s="1"/>
  <c r="L85" i="14"/>
  <c r="U85" i="14" s="1"/>
  <c r="M85" i="14"/>
  <c r="V85" i="14" s="1"/>
  <c r="Q85" i="14"/>
  <c r="J86" i="14"/>
  <c r="S86" i="14" s="1"/>
  <c r="K86" i="14"/>
  <c r="T86" i="14" s="1"/>
  <c r="L86" i="14"/>
  <c r="U86" i="14" s="1"/>
  <c r="M86" i="14"/>
  <c r="V86" i="14" s="1"/>
  <c r="Q86" i="14"/>
  <c r="J87" i="14"/>
  <c r="S87" i="14" s="1"/>
  <c r="K87" i="14"/>
  <c r="T87" i="14" s="1"/>
  <c r="L87" i="14"/>
  <c r="U87" i="14" s="1"/>
  <c r="M87" i="14"/>
  <c r="V87" i="14" s="1"/>
  <c r="Q87" i="14"/>
  <c r="J88" i="14"/>
  <c r="S88" i="14" s="1"/>
  <c r="K88" i="14"/>
  <c r="T88" i="14" s="1"/>
  <c r="L88" i="14"/>
  <c r="U88" i="14" s="1"/>
  <c r="M88" i="14"/>
  <c r="V88" i="14" s="1"/>
  <c r="Q88" i="14"/>
  <c r="J89" i="14"/>
  <c r="S89" i="14" s="1"/>
  <c r="K89" i="14"/>
  <c r="T89" i="14" s="1"/>
  <c r="L89" i="14"/>
  <c r="U89" i="14" s="1"/>
  <c r="M89" i="14"/>
  <c r="V89" i="14" s="1"/>
  <c r="Q89" i="14"/>
  <c r="J90" i="14"/>
  <c r="S90" i="14" s="1"/>
  <c r="K90" i="14"/>
  <c r="T90" i="14" s="1"/>
  <c r="L90" i="14"/>
  <c r="U90" i="14" s="1"/>
  <c r="M90" i="14"/>
  <c r="V90" i="14" s="1"/>
  <c r="Q90" i="14"/>
  <c r="J91" i="14"/>
  <c r="S91" i="14" s="1"/>
  <c r="K91" i="14"/>
  <c r="T91" i="14" s="1"/>
  <c r="L91" i="14"/>
  <c r="U91" i="14" s="1"/>
  <c r="M91" i="14"/>
  <c r="V91" i="14" s="1"/>
  <c r="Q91" i="14"/>
  <c r="J92" i="14"/>
  <c r="S92" i="14" s="1"/>
  <c r="K92" i="14"/>
  <c r="T92" i="14" s="1"/>
  <c r="L92" i="14"/>
  <c r="U92" i="14" s="1"/>
  <c r="M92" i="14"/>
  <c r="V92" i="14" s="1"/>
  <c r="Q92" i="14"/>
  <c r="J93" i="14"/>
  <c r="S93" i="14" s="1"/>
  <c r="K93" i="14"/>
  <c r="T93" i="14" s="1"/>
  <c r="L93" i="14"/>
  <c r="U93" i="14" s="1"/>
  <c r="M93" i="14"/>
  <c r="V93" i="14" s="1"/>
  <c r="Q93" i="14"/>
  <c r="J94" i="14"/>
  <c r="S94" i="14" s="1"/>
  <c r="K94" i="14"/>
  <c r="T94" i="14" s="1"/>
  <c r="L94" i="14"/>
  <c r="U94" i="14" s="1"/>
  <c r="M94" i="14"/>
  <c r="V94" i="14" s="1"/>
  <c r="Q94" i="14"/>
  <c r="J95" i="14"/>
  <c r="S95" i="14" s="1"/>
  <c r="K95" i="14"/>
  <c r="T95" i="14" s="1"/>
  <c r="L95" i="14"/>
  <c r="U95" i="14" s="1"/>
  <c r="M95" i="14"/>
  <c r="V95" i="14" s="1"/>
  <c r="Q95" i="14"/>
  <c r="J96" i="14"/>
  <c r="S96" i="14" s="1"/>
  <c r="K96" i="14"/>
  <c r="T96" i="14" s="1"/>
  <c r="L96" i="14"/>
  <c r="U96" i="14" s="1"/>
  <c r="M96" i="14"/>
  <c r="V96" i="14" s="1"/>
  <c r="Q96" i="14"/>
  <c r="J97" i="14"/>
  <c r="S97" i="14" s="1"/>
  <c r="K97" i="14"/>
  <c r="T97" i="14" s="1"/>
  <c r="L97" i="14"/>
  <c r="U97" i="14" s="1"/>
  <c r="M97" i="14"/>
  <c r="V97" i="14" s="1"/>
  <c r="Q97" i="14"/>
  <c r="J98" i="14"/>
  <c r="S98" i="14" s="1"/>
  <c r="K98" i="14"/>
  <c r="T98" i="14" s="1"/>
  <c r="L98" i="14"/>
  <c r="U98" i="14" s="1"/>
  <c r="M98" i="14"/>
  <c r="V98" i="14" s="1"/>
  <c r="Q98" i="14"/>
  <c r="J99" i="14"/>
  <c r="S99" i="14" s="1"/>
  <c r="K99" i="14"/>
  <c r="T99" i="14" s="1"/>
  <c r="L99" i="14"/>
  <c r="U99" i="14" s="1"/>
  <c r="M99" i="14"/>
  <c r="V99" i="14" s="1"/>
  <c r="Q99" i="14"/>
  <c r="J100" i="14"/>
  <c r="S100" i="14" s="1"/>
  <c r="K100" i="14"/>
  <c r="T100" i="14" s="1"/>
  <c r="L100" i="14"/>
  <c r="U100" i="14" s="1"/>
  <c r="M100" i="14"/>
  <c r="V100" i="14" s="1"/>
  <c r="Q100" i="14"/>
  <c r="J101" i="14"/>
  <c r="S101" i="14" s="1"/>
  <c r="K101" i="14"/>
  <c r="T101" i="14" s="1"/>
  <c r="L101" i="14"/>
  <c r="U101" i="14" s="1"/>
  <c r="M101" i="14"/>
  <c r="V101" i="14" s="1"/>
  <c r="Q101" i="14"/>
  <c r="J102" i="14"/>
  <c r="S102" i="14" s="1"/>
  <c r="K102" i="14"/>
  <c r="T102" i="14" s="1"/>
  <c r="L102" i="14"/>
  <c r="U102" i="14" s="1"/>
  <c r="M102" i="14"/>
  <c r="V102" i="14" s="1"/>
  <c r="Q102" i="14"/>
  <c r="J103" i="14"/>
  <c r="S103" i="14" s="1"/>
  <c r="K103" i="14"/>
  <c r="T103" i="14" s="1"/>
  <c r="L103" i="14"/>
  <c r="U103" i="14" s="1"/>
  <c r="M103" i="14"/>
  <c r="V103" i="14" s="1"/>
  <c r="Q103" i="14"/>
  <c r="J104" i="14"/>
  <c r="S104" i="14" s="1"/>
  <c r="K104" i="14"/>
  <c r="T104" i="14" s="1"/>
  <c r="L104" i="14"/>
  <c r="U104" i="14" s="1"/>
  <c r="M104" i="14"/>
  <c r="V104" i="14" s="1"/>
  <c r="Q104" i="14"/>
  <c r="J105" i="14"/>
  <c r="S105" i="14" s="1"/>
  <c r="K105" i="14"/>
  <c r="T105" i="14" s="1"/>
  <c r="L105" i="14"/>
  <c r="U105" i="14" s="1"/>
  <c r="M105" i="14"/>
  <c r="V105" i="14" s="1"/>
  <c r="Q105" i="14"/>
  <c r="J106" i="14"/>
  <c r="S106" i="14" s="1"/>
  <c r="K106" i="14"/>
  <c r="T106" i="14" s="1"/>
  <c r="L106" i="14"/>
  <c r="U106" i="14" s="1"/>
  <c r="M106" i="14"/>
  <c r="V106" i="14" s="1"/>
  <c r="Q106" i="14"/>
  <c r="J107" i="14"/>
  <c r="S107" i="14" s="1"/>
  <c r="K107" i="14"/>
  <c r="T107" i="14" s="1"/>
  <c r="L107" i="14"/>
  <c r="U107" i="14" s="1"/>
  <c r="M107" i="14"/>
  <c r="V107" i="14" s="1"/>
  <c r="Q107" i="14"/>
  <c r="J108" i="14"/>
  <c r="S108" i="14" s="1"/>
  <c r="K108" i="14"/>
  <c r="T108" i="14" s="1"/>
  <c r="L108" i="14"/>
  <c r="U108" i="14" s="1"/>
  <c r="M108" i="14"/>
  <c r="V108" i="14" s="1"/>
  <c r="Q108" i="14"/>
  <c r="J109" i="14"/>
  <c r="S109" i="14" s="1"/>
  <c r="K109" i="14"/>
  <c r="T109" i="14" s="1"/>
  <c r="L109" i="14"/>
  <c r="U109" i="14" s="1"/>
  <c r="M109" i="14"/>
  <c r="V109" i="14" s="1"/>
  <c r="Q109" i="14"/>
  <c r="J110" i="14"/>
  <c r="S110" i="14" s="1"/>
  <c r="K110" i="14"/>
  <c r="T110" i="14" s="1"/>
  <c r="L110" i="14"/>
  <c r="U110" i="14" s="1"/>
  <c r="M110" i="14"/>
  <c r="V110" i="14" s="1"/>
  <c r="Q110" i="14"/>
  <c r="J111" i="14"/>
  <c r="S111" i="14" s="1"/>
  <c r="K111" i="14"/>
  <c r="T111" i="14" s="1"/>
  <c r="L111" i="14"/>
  <c r="U111" i="14" s="1"/>
  <c r="M111" i="14"/>
  <c r="V111" i="14" s="1"/>
  <c r="Q111" i="14"/>
  <c r="J112" i="14"/>
  <c r="S112" i="14" s="1"/>
  <c r="K112" i="14"/>
  <c r="T112" i="14" s="1"/>
  <c r="L112" i="14"/>
  <c r="U112" i="14" s="1"/>
  <c r="M112" i="14"/>
  <c r="V112" i="14" s="1"/>
  <c r="Q112" i="14"/>
  <c r="J121" i="14"/>
  <c r="S117" i="14" s="1"/>
  <c r="K121" i="14"/>
  <c r="T117" i="14" s="1"/>
  <c r="L121" i="14"/>
  <c r="U117" i="14" s="1"/>
  <c r="J122" i="14"/>
  <c r="S118" i="14" s="1"/>
  <c r="K122" i="14"/>
  <c r="T118" i="14" s="1"/>
  <c r="L122" i="14"/>
  <c r="U118" i="14" s="1"/>
  <c r="J123" i="14"/>
  <c r="S119" i="14" s="1"/>
  <c r="K123" i="14"/>
  <c r="T119" i="14" s="1"/>
  <c r="L123" i="14"/>
  <c r="U119" i="14" s="1"/>
  <c r="J124" i="14"/>
  <c r="S120" i="14" s="1"/>
  <c r="K124" i="14"/>
  <c r="T120" i="14" s="1"/>
  <c r="L124" i="14"/>
  <c r="U120" i="14" s="1"/>
  <c r="J125" i="14"/>
  <c r="S121" i="14" s="1"/>
  <c r="K125" i="14"/>
  <c r="T121" i="14" s="1"/>
  <c r="L125" i="14"/>
  <c r="U121" i="14" s="1"/>
  <c r="J126" i="14"/>
  <c r="S122" i="14" s="1"/>
  <c r="K126" i="14"/>
  <c r="T122" i="14" s="1"/>
  <c r="L126" i="14"/>
  <c r="U122" i="14" s="1"/>
  <c r="J127" i="14"/>
  <c r="S123" i="14" s="1"/>
  <c r="K127" i="14"/>
  <c r="T123" i="14" s="1"/>
  <c r="L127" i="14"/>
  <c r="U123" i="14" s="1"/>
  <c r="J128" i="14"/>
  <c r="S124" i="14" s="1"/>
  <c r="K128" i="14"/>
  <c r="T124" i="14" s="1"/>
  <c r="L128" i="14"/>
  <c r="U124" i="14" s="1"/>
  <c r="J129" i="14"/>
  <c r="S125" i="14" s="1"/>
  <c r="K129" i="14"/>
  <c r="T125" i="14" s="1"/>
  <c r="L129" i="14"/>
  <c r="U125" i="14" s="1"/>
  <c r="J130" i="14"/>
  <c r="S126" i="14" s="1"/>
  <c r="K130" i="14"/>
  <c r="T126" i="14" s="1"/>
  <c r="L130" i="14"/>
  <c r="U126" i="14" s="1"/>
  <c r="J131" i="14"/>
  <c r="S127" i="14" s="1"/>
  <c r="K131" i="14"/>
  <c r="T127" i="14" s="1"/>
  <c r="L131" i="14"/>
  <c r="U127" i="14" s="1"/>
  <c r="J132" i="14"/>
  <c r="S128" i="14" s="1"/>
  <c r="K132" i="14"/>
  <c r="T128" i="14" s="1"/>
  <c r="L132" i="14"/>
  <c r="U128" i="14" s="1"/>
  <c r="J133" i="14"/>
  <c r="S129" i="14" s="1"/>
  <c r="K133" i="14"/>
  <c r="T129" i="14" s="1"/>
  <c r="L133" i="14"/>
  <c r="U129" i="14" s="1"/>
  <c r="D261" i="12"/>
  <c r="E261" i="12" s="1"/>
  <c r="D258" i="12"/>
  <c r="E258" i="12" s="1"/>
  <c r="D260" i="12"/>
  <c r="E260" i="12" s="1"/>
  <c r="D257" i="12"/>
  <c r="E257" i="12" s="1"/>
  <c r="D259" i="12"/>
  <c r="E259" i="12" s="1"/>
  <c r="D256" i="12"/>
  <c r="E256" i="12" s="1"/>
  <c r="G107" i="1"/>
  <c r="H107" i="1" s="1"/>
  <c r="G116" i="1"/>
  <c r="H116" i="1" s="1"/>
  <c r="J107" i="1"/>
  <c r="J116" i="1"/>
  <c r="D323" i="12"/>
  <c r="E323" i="12" s="1"/>
  <c r="D322" i="12"/>
  <c r="E322" i="12" s="1"/>
  <c r="D321" i="12"/>
  <c r="E321" i="12" s="1"/>
  <c r="D320" i="12"/>
  <c r="E320" i="12" s="1"/>
  <c r="G93" i="1"/>
  <c r="H93" i="1" s="1"/>
  <c r="J93" i="1"/>
  <c r="D319" i="12"/>
  <c r="E319" i="12" s="1"/>
  <c r="D318" i="12"/>
  <c r="E318" i="12" s="1"/>
  <c r="D317" i="12"/>
  <c r="E317" i="12" s="1"/>
  <c r="D289" i="12"/>
  <c r="D293" i="12"/>
  <c r="E293" i="12" s="1"/>
  <c r="D288" i="12"/>
  <c r="D292" i="12"/>
  <c r="E292" i="12" s="1"/>
  <c r="D287" i="12"/>
  <c r="D291" i="12"/>
  <c r="E291" i="12" s="1"/>
  <c r="G71" i="1"/>
  <c r="H71" i="1" s="1"/>
  <c r="J71" i="1"/>
  <c r="D286" i="12"/>
  <c r="E286" i="12" s="1"/>
  <c r="D290" i="12"/>
  <c r="E290" i="12" s="1"/>
  <c r="G90" i="1"/>
  <c r="H90" i="1" s="1"/>
  <c r="G68" i="1"/>
  <c r="H68" i="1" s="1"/>
  <c r="J90" i="1"/>
  <c r="J68" i="1"/>
  <c r="D296" i="12"/>
  <c r="E296" i="12" s="1"/>
  <c r="D299" i="12"/>
  <c r="D295" i="12"/>
  <c r="E295" i="12" s="1"/>
  <c r="D298" i="12"/>
  <c r="D294" i="12"/>
  <c r="E294" i="12" s="1"/>
  <c r="D297" i="12"/>
  <c r="G74" i="1"/>
  <c r="H74" i="1" s="1"/>
  <c r="J74" i="1"/>
  <c r="G69" i="1"/>
  <c r="H69" i="1" s="1"/>
  <c r="J69" i="1"/>
  <c r="D72" i="12"/>
  <c r="D76" i="12"/>
  <c r="E76" i="12" s="1"/>
  <c r="D80" i="12"/>
  <c r="E80" i="12" s="1"/>
  <c r="D84" i="12"/>
  <c r="E84" i="12" s="1"/>
  <c r="D88" i="12"/>
  <c r="D64" i="12"/>
  <c r="E64" i="12" s="1"/>
  <c r="D68" i="12"/>
  <c r="E68" i="12" s="1"/>
  <c r="D71" i="12"/>
  <c r="E71" i="12" s="1"/>
  <c r="D75" i="12"/>
  <c r="E75" i="12" s="1"/>
  <c r="D79" i="12"/>
  <c r="E79" i="12" s="1"/>
  <c r="D83" i="12"/>
  <c r="E83" i="12" s="1"/>
  <c r="D87" i="12"/>
  <c r="E87" i="12" s="1"/>
  <c r="D63" i="12"/>
  <c r="E63" i="12" s="1"/>
  <c r="D67" i="12"/>
  <c r="E67" i="12" s="1"/>
  <c r="D70" i="12"/>
  <c r="D74" i="12"/>
  <c r="E74" i="12" s="1"/>
  <c r="D78" i="12"/>
  <c r="E78" i="12" s="1"/>
  <c r="D82" i="12"/>
  <c r="E82" i="12" s="1"/>
  <c r="D86" i="12"/>
  <c r="D62" i="12"/>
  <c r="E62" i="12" s="1"/>
  <c r="D66" i="12"/>
  <c r="E66" i="12" s="1"/>
  <c r="M338" i="12"/>
  <c r="D69" i="12"/>
  <c r="E69" i="12" s="1"/>
  <c r="D73" i="12"/>
  <c r="E73" i="12" s="1"/>
  <c r="D77" i="12"/>
  <c r="E77" i="12" s="1"/>
  <c r="D81" i="12"/>
  <c r="E81" i="12" s="1"/>
  <c r="D85" i="12"/>
  <c r="E85" i="12" s="1"/>
  <c r="D61" i="12"/>
  <c r="E61" i="12" s="1"/>
  <c r="D65" i="12"/>
  <c r="E65" i="12" s="1"/>
  <c r="G119" i="1"/>
  <c r="H119" i="1" s="1"/>
  <c r="G62" i="1"/>
  <c r="H62" i="1" s="1"/>
  <c r="G38" i="1"/>
  <c r="H38" i="1" s="1"/>
  <c r="G41" i="1"/>
  <c r="H41" i="1" s="1"/>
  <c r="G73" i="1"/>
  <c r="H73" i="1" s="1"/>
  <c r="G58" i="1"/>
  <c r="H58" i="1" s="1"/>
  <c r="G117" i="1"/>
  <c r="H117" i="1" s="1"/>
  <c r="J119" i="1"/>
  <c r="J62" i="1"/>
  <c r="J38" i="1"/>
  <c r="J41" i="1"/>
  <c r="J73" i="1"/>
  <c r="J58" i="1"/>
  <c r="J117" i="1"/>
  <c r="D106" i="12"/>
  <c r="E106" i="12" s="1"/>
  <c r="D110" i="12"/>
  <c r="D105" i="12"/>
  <c r="E105" i="12" s="1"/>
  <c r="D109" i="12"/>
  <c r="D104" i="12"/>
  <c r="E104" i="12" s="1"/>
  <c r="D108" i="12"/>
  <c r="D103" i="12"/>
  <c r="E103" i="12" s="1"/>
  <c r="D107" i="12"/>
  <c r="G94" i="1"/>
  <c r="H94" i="1" s="1"/>
  <c r="G57" i="1"/>
  <c r="H57" i="1" s="1"/>
  <c r="J94" i="1"/>
  <c r="J57" i="1"/>
  <c r="D358" i="12"/>
  <c r="E358" i="12" s="1"/>
  <c r="D357" i="12"/>
  <c r="D356" i="12"/>
  <c r="E356" i="12" s="1"/>
  <c r="G97" i="1"/>
  <c r="H97" i="1" s="1"/>
  <c r="J97" i="1"/>
  <c r="D316" i="12"/>
  <c r="E316" i="12" s="1"/>
  <c r="D315" i="12"/>
  <c r="D314" i="12"/>
  <c r="E314" i="12" s="1"/>
  <c r="D313" i="12"/>
  <c r="G21" i="1"/>
  <c r="H21" i="1" s="1"/>
  <c r="J21" i="1"/>
  <c r="D55" i="12"/>
  <c r="E55" i="12" s="1"/>
  <c r="D56" i="12"/>
  <c r="E56" i="12" s="1"/>
  <c r="D60" i="12"/>
  <c r="D59" i="12"/>
  <c r="E59" i="12" s="1"/>
  <c r="D58" i="12"/>
  <c r="E58" i="12" s="1"/>
  <c r="D54" i="12"/>
  <c r="E54" i="12" s="1"/>
  <c r="D53" i="12"/>
  <c r="D57" i="12"/>
  <c r="E57" i="12" s="1"/>
  <c r="G15" i="1"/>
  <c r="H15" i="1" s="1"/>
  <c r="J15" i="1"/>
  <c r="G23" i="1"/>
  <c r="H23" i="1" s="1"/>
  <c r="J23" i="1"/>
  <c r="D49" i="12"/>
  <c r="D52" i="12"/>
  <c r="E52" i="12" s="1"/>
  <c r="D48" i="12"/>
  <c r="D51" i="12"/>
  <c r="E51" i="12" s="1"/>
  <c r="D50" i="12"/>
  <c r="E50" i="12" s="1"/>
  <c r="D47" i="12"/>
  <c r="E47" i="12" s="1"/>
  <c r="G101" i="1"/>
  <c r="H101" i="1" s="1"/>
  <c r="J101" i="1"/>
  <c r="G126" i="1"/>
  <c r="H126" i="1" s="1"/>
  <c r="J126" i="1"/>
  <c r="D43" i="12"/>
  <c r="E43" i="12" s="1"/>
  <c r="D46" i="12"/>
  <c r="E46" i="12" s="1"/>
  <c r="D42" i="12"/>
  <c r="E42" i="12" s="1"/>
  <c r="D45" i="12"/>
  <c r="E45" i="12" s="1"/>
  <c r="M288" i="12"/>
  <c r="D44" i="12"/>
  <c r="E44" i="12" s="1"/>
  <c r="D41" i="12"/>
  <c r="G112" i="1"/>
  <c r="H112" i="1" s="1"/>
  <c r="J112" i="1"/>
  <c r="G118" i="1"/>
  <c r="H118" i="1" s="1"/>
  <c r="J118" i="1"/>
  <c r="D98" i="12"/>
  <c r="E98" i="12" s="1"/>
  <c r="D100" i="12"/>
  <c r="E100" i="12" s="1"/>
  <c r="D102" i="12"/>
  <c r="E102" i="12" s="1"/>
  <c r="D97" i="12"/>
  <c r="E97" i="12" s="1"/>
  <c r="D99" i="12"/>
  <c r="E99" i="12" s="1"/>
  <c r="D101" i="12"/>
  <c r="G43" i="1"/>
  <c r="H43" i="1" s="1"/>
  <c r="J43" i="1"/>
  <c r="G60" i="1"/>
  <c r="H60" i="1" s="1"/>
  <c r="J60" i="1"/>
  <c r="G46" i="1"/>
  <c r="H46" i="1" s="1"/>
  <c r="J46" i="1"/>
  <c r="N286" i="12"/>
  <c r="D36" i="12"/>
  <c r="E36" i="12" s="1"/>
  <c r="D40" i="12"/>
  <c r="E40" i="12" s="1"/>
  <c r="D35" i="12"/>
  <c r="E35" i="12" s="1"/>
  <c r="D39" i="12"/>
  <c r="E39" i="12" s="1"/>
  <c r="D34" i="12"/>
  <c r="E34" i="12" s="1"/>
  <c r="D38" i="12"/>
  <c r="E38" i="12" s="1"/>
  <c r="D33" i="12"/>
  <c r="E33" i="12" s="1"/>
  <c r="D37" i="12"/>
  <c r="G33" i="1"/>
  <c r="H33" i="1" s="1"/>
  <c r="J33" i="1"/>
  <c r="G34" i="1"/>
  <c r="H34" i="1" s="1"/>
  <c r="J34" i="1"/>
  <c r="D206" i="12"/>
  <c r="E206" i="12" s="1"/>
  <c r="D205" i="12"/>
  <c r="E205" i="12" s="1"/>
  <c r="D204" i="12"/>
  <c r="E204" i="12" s="1"/>
  <c r="D203" i="12"/>
  <c r="E203" i="12" s="1"/>
  <c r="G48" i="1"/>
  <c r="H48" i="1" s="1"/>
  <c r="J48" i="1"/>
  <c r="D16" i="12"/>
  <c r="E16" i="12" s="1"/>
  <c r="D15" i="12"/>
  <c r="E15" i="12" s="1"/>
  <c r="D14" i="12"/>
  <c r="D13" i="12"/>
  <c r="E13" i="12" s="1"/>
  <c r="G18" i="1"/>
  <c r="H18" i="1" s="1"/>
  <c r="J18" i="1"/>
  <c r="D20" i="12"/>
  <c r="E20" i="12" s="1"/>
  <c r="D24" i="12"/>
  <c r="D19" i="12"/>
  <c r="E19" i="12" s="1"/>
  <c r="D23" i="12"/>
  <c r="D18" i="12"/>
  <c r="E18" i="12" s="1"/>
  <c r="D22" i="12"/>
  <c r="D21" i="12"/>
  <c r="E21" i="12" s="1"/>
  <c r="D17" i="12"/>
  <c r="E17" i="12" s="1"/>
  <c r="G75" i="1"/>
  <c r="H75" i="1" s="1"/>
  <c r="J75" i="1"/>
  <c r="G88" i="1"/>
  <c r="H88" i="1" s="1"/>
  <c r="J88" i="1"/>
  <c r="D12" i="12"/>
  <c r="E12" i="12" s="1"/>
  <c r="D11" i="12"/>
  <c r="D10" i="12"/>
  <c r="E10" i="12" s="1"/>
  <c r="G47" i="1"/>
  <c r="H47" i="1" s="1"/>
  <c r="J47" i="1"/>
  <c r="D92" i="12"/>
  <c r="E92" i="12" s="1"/>
  <c r="D96" i="12"/>
  <c r="D91" i="12"/>
  <c r="E91" i="12" s="1"/>
  <c r="D95" i="12"/>
  <c r="D90" i="12"/>
  <c r="E90" i="12" s="1"/>
  <c r="D94" i="12"/>
  <c r="D93" i="12"/>
  <c r="E93" i="12" s="1"/>
  <c r="D89" i="12"/>
  <c r="G51" i="1"/>
  <c r="H51" i="1" s="1"/>
  <c r="J51" i="1"/>
  <c r="G104" i="1"/>
  <c r="H104" i="1" s="1"/>
  <c r="J104" i="1"/>
  <c r="D5" i="12"/>
  <c r="E5" i="12" s="1"/>
  <c r="D4" i="12"/>
  <c r="E4" i="12" s="1"/>
  <c r="D3" i="12"/>
  <c r="E3" i="12" s="1"/>
  <c r="D2" i="12"/>
  <c r="E2" i="12" s="1"/>
  <c r="G53" i="1"/>
  <c r="H53" i="1" s="1"/>
  <c r="J53" i="1"/>
  <c r="D28" i="12"/>
  <c r="E28" i="12" s="1"/>
  <c r="D32" i="12"/>
  <c r="E32" i="12" s="1"/>
  <c r="D27" i="12"/>
  <c r="E27" i="12" s="1"/>
  <c r="D31" i="12"/>
  <c r="E31" i="12" s="1"/>
  <c r="D26" i="12"/>
  <c r="E26" i="12" s="1"/>
  <c r="D30" i="12"/>
  <c r="E30" i="12" s="1"/>
  <c r="D29" i="12"/>
  <c r="E29" i="12" s="1"/>
  <c r="D25" i="12"/>
  <c r="E25" i="12" s="1"/>
  <c r="G56" i="1"/>
  <c r="H56" i="1" s="1"/>
  <c r="J56" i="1"/>
  <c r="G63" i="1"/>
  <c r="H63" i="1" s="1"/>
  <c r="J63" i="1"/>
  <c r="D336" i="12"/>
  <c r="E336" i="12" s="1"/>
  <c r="D340" i="12"/>
  <c r="E340" i="12" s="1"/>
  <c r="D344" i="12"/>
  <c r="D335" i="12"/>
  <c r="D339" i="12"/>
  <c r="E339" i="12" s="1"/>
  <c r="D343" i="12"/>
  <c r="E343" i="12" s="1"/>
  <c r="D334" i="12"/>
  <c r="E334" i="12" s="1"/>
  <c r="D338" i="12"/>
  <c r="E338" i="12" s="1"/>
  <c r="D342" i="12"/>
  <c r="E342" i="12" s="1"/>
  <c r="I334" i="12"/>
  <c r="I342" i="12"/>
  <c r="D333" i="12"/>
  <c r="E333" i="12" s="1"/>
  <c r="D337" i="12"/>
  <c r="E337" i="12" s="1"/>
  <c r="D341" i="12"/>
  <c r="E341" i="12" s="1"/>
  <c r="G120" i="1"/>
  <c r="H120" i="1" s="1"/>
  <c r="J120" i="1"/>
  <c r="G70" i="1"/>
  <c r="H70" i="1" s="1"/>
  <c r="J70" i="1"/>
  <c r="G122" i="1"/>
  <c r="H122" i="1" s="1"/>
  <c r="J122" i="1"/>
  <c r="G133" i="1"/>
  <c r="H133" i="1" s="1"/>
  <c r="J133" i="1"/>
  <c r="G130" i="1"/>
  <c r="H130" i="1" s="1"/>
  <c r="J130" i="1"/>
  <c r="D362" i="12"/>
  <c r="E362" i="12" s="1"/>
  <c r="D366" i="12"/>
  <c r="E366" i="12" s="1"/>
  <c r="D361" i="12"/>
  <c r="E361" i="12" s="1"/>
  <c r="D365" i="12"/>
  <c r="E365" i="12" s="1"/>
  <c r="D364" i="12"/>
  <c r="E364" i="12" s="1"/>
  <c r="D360" i="12"/>
  <c r="E360" i="12" s="1"/>
  <c r="D363" i="12"/>
  <c r="E363" i="12" s="1"/>
  <c r="I363" i="12"/>
  <c r="D359" i="12"/>
  <c r="E359" i="12" s="1"/>
  <c r="I359" i="12"/>
  <c r="D302" i="12"/>
  <c r="E302" i="12" s="1"/>
  <c r="D305" i="12"/>
  <c r="E305" i="12" s="1"/>
  <c r="D301" i="12"/>
  <c r="D304" i="12"/>
  <c r="E304" i="12" s="1"/>
  <c r="D303" i="12"/>
  <c r="E303" i="12" s="1"/>
  <c r="D300" i="12"/>
  <c r="E300" i="12" s="1"/>
  <c r="G109" i="1"/>
  <c r="H109" i="1" s="1"/>
  <c r="J109" i="1"/>
  <c r="G108" i="1"/>
  <c r="H108" i="1" s="1"/>
  <c r="J108" i="1"/>
  <c r="M178" i="12"/>
  <c r="D326" i="12"/>
  <c r="E326" i="12" s="1"/>
  <c r="D329" i="12"/>
  <c r="E329" i="12" s="1"/>
  <c r="D325" i="12"/>
  <c r="E325" i="12" s="1"/>
  <c r="D328" i="12"/>
  <c r="E328" i="12" s="1"/>
  <c r="D327" i="12"/>
  <c r="D324" i="12"/>
  <c r="E324" i="12" s="1"/>
  <c r="G79" i="1"/>
  <c r="H79" i="1" s="1"/>
  <c r="J79" i="1"/>
  <c r="G85" i="1"/>
  <c r="H85" i="1" s="1"/>
  <c r="J85" i="1"/>
  <c r="D348" i="12"/>
  <c r="E348" i="12" s="1"/>
  <c r="D352" i="12"/>
  <c r="E352" i="12" s="1"/>
  <c r="D347" i="12"/>
  <c r="E347" i="12" s="1"/>
  <c r="D351" i="12"/>
  <c r="E351" i="12" s="1"/>
  <c r="D346" i="12"/>
  <c r="E346" i="12" s="1"/>
  <c r="D350" i="12"/>
  <c r="E350" i="12" s="1"/>
  <c r="D349" i="12"/>
  <c r="D345" i="12"/>
  <c r="E345" i="12" s="1"/>
  <c r="G44" i="1"/>
  <c r="H44" i="1" s="1"/>
  <c r="J44" i="1"/>
  <c r="G67" i="1"/>
  <c r="H67" i="1" s="1"/>
  <c r="J67" i="1"/>
  <c r="D190" i="12"/>
  <c r="D189" i="12"/>
  <c r="E189" i="12" s="1"/>
  <c r="D188" i="12"/>
  <c r="D187" i="12"/>
  <c r="E187" i="12" s="1"/>
  <c r="G89" i="1"/>
  <c r="H89" i="1" s="1"/>
  <c r="J89" i="1"/>
  <c r="D355" i="12"/>
  <c r="D354" i="12"/>
  <c r="E354" i="12" s="1"/>
  <c r="D353" i="12"/>
  <c r="E353" i="12" s="1"/>
  <c r="G17" i="1"/>
  <c r="H17" i="1" s="1"/>
  <c r="J17" i="1"/>
  <c r="D114" i="12"/>
  <c r="D113" i="12"/>
  <c r="E113" i="12" s="1"/>
  <c r="I113" i="12"/>
  <c r="D112" i="12"/>
  <c r="G127" i="1"/>
  <c r="H127" i="1" s="1"/>
  <c r="J127" i="1"/>
  <c r="D111" i="12"/>
  <c r="D273" i="12"/>
  <c r="E273" i="12" s="1"/>
  <c r="D277" i="12"/>
  <c r="E277" i="12" s="1"/>
  <c r="D272" i="12"/>
  <c r="D276" i="12"/>
  <c r="D271" i="12"/>
  <c r="D275" i="12"/>
  <c r="E275" i="12" s="1"/>
  <c r="D274" i="12"/>
  <c r="E274" i="12" s="1"/>
  <c r="D270" i="12"/>
  <c r="D370" i="12"/>
  <c r="E370" i="12" s="1"/>
  <c r="D369" i="12"/>
  <c r="D368" i="12"/>
  <c r="E368" i="12" s="1"/>
  <c r="D367" i="12"/>
  <c r="D373" i="12"/>
  <c r="D372" i="12"/>
  <c r="E372" i="12" s="1"/>
  <c r="D371" i="12"/>
  <c r="G54" i="1"/>
  <c r="H54" i="1" s="1"/>
  <c r="J54" i="1"/>
  <c r="G50" i="1"/>
  <c r="H50" i="1" s="1"/>
  <c r="J50" i="1"/>
  <c r="D308" i="12"/>
  <c r="E308" i="12" s="1"/>
  <c r="D307" i="12"/>
  <c r="D306" i="12"/>
  <c r="E306" i="12" s="1"/>
  <c r="D281" i="12"/>
  <c r="D285" i="12"/>
  <c r="E285" i="12" s="1"/>
  <c r="D280" i="12"/>
  <c r="E280" i="12" s="1"/>
  <c r="D284" i="12"/>
  <c r="E284" i="12" s="1"/>
  <c r="D279" i="12"/>
  <c r="D283" i="12"/>
  <c r="E283" i="12" s="1"/>
  <c r="D282" i="12"/>
  <c r="D278" i="12"/>
  <c r="E278" i="12" s="1"/>
  <c r="G27" i="1"/>
  <c r="H27" i="1" s="1"/>
  <c r="J27" i="1"/>
  <c r="G29" i="1"/>
  <c r="H29" i="1" s="1"/>
  <c r="J29" i="1"/>
  <c r="D255" i="12"/>
  <c r="D254" i="12"/>
  <c r="E254" i="12" s="1"/>
  <c r="D253" i="12"/>
  <c r="E253" i="12" s="1"/>
  <c r="D245" i="12"/>
  <c r="E245" i="12" s="1"/>
  <c r="D244" i="12"/>
  <c r="E244" i="12" s="1"/>
  <c r="D248" i="12"/>
  <c r="E248" i="12" s="1"/>
  <c r="D249" i="12"/>
  <c r="E249" i="12" s="1"/>
  <c r="D240" i="12"/>
  <c r="E240" i="12" s="1"/>
  <c r="D241" i="12"/>
  <c r="E241" i="12" s="1"/>
  <c r="D242" i="12"/>
  <c r="E242" i="12" s="1"/>
  <c r="D243" i="12"/>
  <c r="E243" i="12" s="1"/>
  <c r="G82" i="1"/>
  <c r="H82" i="1" s="1"/>
  <c r="J82" i="1"/>
  <c r="D233" i="12"/>
  <c r="E233" i="12" s="1"/>
  <c r="D232" i="12"/>
  <c r="E232" i="12" s="1"/>
  <c r="I232" i="12"/>
  <c r="D231" i="12"/>
  <c r="E231" i="12" s="1"/>
  <c r="D230" i="12"/>
  <c r="I230" i="12"/>
  <c r="D229" i="12"/>
  <c r="E229" i="12" s="1"/>
  <c r="I229" i="12"/>
  <c r="G83" i="1"/>
  <c r="H83" i="1" s="1"/>
  <c r="J83" i="1"/>
  <c r="D224" i="12"/>
  <c r="E224" i="12" s="1"/>
  <c r="D228" i="12"/>
  <c r="E228" i="12" s="1"/>
  <c r="D223" i="12"/>
  <c r="E223" i="12" s="1"/>
  <c r="D227" i="12"/>
  <c r="E227" i="12" s="1"/>
  <c r="D222" i="12"/>
  <c r="E222" i="12" s="1"/>
  <c r="D226" i="12"/>
  <c r="E226" i="12" s="1"/>
  <c r="D225" i="12"/>
  <c r="E225" i="12" s="1"/>
  <c r="D221" i="12"/>
  <c r="E221" i="12" s="1"/>
  <c r="G5" i="1"/>
  <c r="H5" i="1" s="1"/>
  <c r="J5" i="1"/>
  <c r="D311" i="12"/>
  <c r="E311" i="12" s="1"/>
  <c r="D312" i="12"/>
  <c r="E312" i="12" s="1"/>
  <c r="G121" i="1"/>
  <c r="H121" i="1" s="1"/>
  <c r="J121" i="1"/>
  <c r="D310" i="12"/>
  <c r="E310" i="12" s="1"/>
  <c r="D309" i="12"/>
  <c r="E309" i="12" s="1"/>
  <c r="D237" i="12"/>
  <c r="E237" i="12" s="1"/>
  <c r="D236" i="12"/>
  <c r="E236" i="12" s="1"/>
  <c r="D235" i="12"/>
  <c r="E235" i="12" s="1"/>
  <c r="D234" i="12"/>
  <c r="E234" i="12" s="1"/>
  <c r="G12" i="1"/>
  <c r="H12" i="1" s="1"/>
  <c r="J12" i="1"/>
  <c r="D269" i="12"/>
  <c r="E269" i="12" s="1"/>
  <c r="D265" i="12"/>
  <c r="E265" i="12" s="1"/>
  <c r="D268" i="12"/>
  <c r="E268" i="12" s="1"/>
  <c r="D264" i="12"/>
  <c r="E264" i="12" s="1"/>
  <c r="D263" i="12"/>
  <c r="E263" i="12" s="1"/>
  <c r="D267" i="12"/>
  <c r="E267" i="12" s="1"/>
  <c r="G40" i="1"/>
  <c r="H40" i="1" s="1"/>
  <c r="J40" i="1"/>
  <c r="D262" i="12"/>
  <c r="E262" i="12" s="1"/>
  <c r="D266" i="12"/>
  <c r="E266" i="12" s="1"/>
  <c r="D376" i="12"/>
  <c r="E376" i="12" s="1"/>
  <c r="D379" i="12"/>
  <c r="E379" i="12" s="1"/>
  <c r="D375" i="12"/>
  <c r="E375" i="12" s="1"/>
  <c r="D378" i="12"/>
  <c r="E378" i="12" s="1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D377" i="12"/>
  <c r="E377" i="12" s="1"/>
  <c r="D374" i="12"/>
  <c r="E374" i="12" s="1"/>
  <c r="G131" i="1"/>
  <c r="H131" i="1" s="1"/>
  <c r="J131" i="1"/>
  <c r="G129" i="1"/>
  <c r="H129" i="1" s="1"/>
  <c r="J129" i="1"/>
  <c r="D174" i="12"/>
  <c r="E174" i="12" s="1"/>
  <c r="D173" i="12"/>
  <c r="E173" i="12" s="1"/>
  <c r="D172" i="12"/>
  <c r="E172" i="12" s="1"/>
  <c r="D171" i="12"/>
  <c r="E171" i="12" s="1"/>
  <c r="D178" i="12"/>
  <c r="E178" i="12" s="1"/>
  <c r="D182" i="12"/>
  <c r="E182" i="12" s="1"/>
  <c r="D186" i="12"/>
  <c r="E186" i="12" s="1"/>
  <c r="D177" i="12"/>
  <c r="E177" i="12" s="1"/>
  <c r="D181" i="12"/>
  <c r="E181" i="12" s="1"/>
  <c r="D185" i="12"/>
  <c r="E185" i="12" s="1"/>
  <c r="D176" i="12"/>
  <c r="E176" i="12" s="1"/>
  <c r="D180" i="12"/>
  <c r="E180" i="12" s="1"/>
  <c r="D184" i="12"/>
  <c r="E184" i="12" s="1"/>
  <c r="D183" i="12"/>
  <c r="E183" i="12" s="1"/>
  <c r="D179" i="12"/>
  <c r="E179" i="12" s="1"/>
  <c r="D175" i="12"/>
  <c r="E175" i="12" s="1"/>
  <c r="Q131" i="9"/>
  <c r="Q129" i="9"/>
  <c r="R131" i="9"/>
  <c r="R128" i="9"/>
  <c r="A112" i="9"/>
  <c r="J112" i="9" s="1"/>
  <c r="A111" i="9"/>
  <c r="A110" i="9"/>
  <c r="A109" i="9"/>
  <c r="A108" i="9"/>
  <c r="A107" i="9"/>
  <c r="Q107" i="9" s="1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Q90" i="9" s="1"/>
  <c r="A89" i="9"/>
  <c r="A88" i="9"/>
  <c r="A87" i="9"/>
  <c r="A86" i="9"/>
  <c r="A85" i="9"/>
  <c r="A84" i="9"/>
  <c r="A83" i="9"/>
  <c r="A82" i="9"/>
  <c r="A81" i="9"/>
  <c r="A80" i="9"/>
  <c r="A79" i="9"/>
  <c r="A78" i="9"/>
  <c r="Q78" i="9" s="1"/>
  <c r="A77" i="9"/>
  <c r="A76" i="9"/>
  <c r="A75" i="9"/>
  <c r="A74" i="9"/>
  <c r="A73" i="9"/>
  <c r="A72" i="9"/>
  <c r="A71" i="9"/>
  <c r="Q71" i="9" s="1"/>
  <c r="A70" i="9"/>
  <c r="A69" i="9"/>
  <c r="A68" i="9"/>
  <c r="A67" i="9"/>
  <c r="A66" i="9"/>
  <c r="A65" i="9"/>
  <c r="A64" i="9"/>
  <c r="A63" i="9"/>
  <c r="Q63" i="9" s="1"/>
  <c r="A62" i="9"/>
  <c r="A61" i="9"/>
  <c r="A60" i="9"/>
  <c r="R109" i="9" s="1"/>
  <c r="A59" i="9"/>
  <c r="A58" i="9"/>
  <c r="Q58" i="9" s="1"/>
  <c r="A57" i="9"/>
  <c r="A56" i="9"/>
  <c r="A55" i="9"/>
  <c r="Q55" i="9" s="1"/>
  <c r="A54" i="9"/>
  <c r="Q54" i="9" s="1"/>
  <c r="A53" i="9"/>
  <c r="A52" i="9"/>
  <c r="A51" i="9"/>
  <c r="A50" i="9"/>
  <c r="Q50" i="9" s="1"/>
  <c r="A49" i="9"/>
  <c r="A48" i="9"/>
  <c r="A47" i="9"/>
  <c r="Q47" i="9" s="1"/>
  <c r="A46" i="9"/>
  <c r="A45" i="9"/>
  <c r="A44" i="9"/>
  <c r="A43" i="9"/>
  <c r="Q73" i="9" s="1"/>
  <c r="A42" i="9"/>
  <c r="Q42" i="9" s="1"/>
  <c r="A41" i="9"/>
  <c r="A40" i="9"/>
  <c r="A39" i="9"/>
  <c r="Q39" i="9" s="1"/>
  <c r="A38" i="9"/>
  <c r="A37" i="9"/>
  <c r="A36" i="9"/>
  <c r="A35" i="9"/>
  <c r="Q65" i="9" s="1"/>
  <c r="A34" i="9"/>
  <c r="A33" i="9"/>
  <c r="A32" i="9"/>
  <c r="A31" i="9"/>
  <c r="Q60" i="9" s="1"/>
  <c r="A30" i="9"/>
  <c r="A29" i="9"/>
  <c r="J29" i="9" s="1"/>
  <c r="A28" i="9"/>
  <c r="Q57" i="9" s="1"/>
  <c r="A27" i="9"/>
  <c r="Q56" i="9" s="1"/>
  <c r="A26" i="9"/>
  <c r="A25" i="9"/>
  <c r="A24" i="9"/>
  <c r="Q53" i="9" s="1"/>
  <c r="A23" i="9"/>
  <c r="A22" i="9"/>
  <c r="A21" i="9"/>
  <c r="A20" i="9"/>
  <c r="Q49" i="9" s="1"/>
  <c r="A19" i="9"/>
  <c r="Q48" i="9" s="1"/>
  <c r="A18" i="9"/>
  <c r="A17" i="9"/>
  <c r="A16" i="9"/>
  <c r="Q45" i="9" s="1"/>
  <c r="A15" i="9"/>
  <c r="Q44" i="9" s="1"/>
  <c r="A14" i="9"/>
  <c r="A13" i="9"/>
  <c r="A12" i="9"/>
  <c r="Q41" i="9" s="1"/>
  <c r="A11" i="9"/>
  <c r="Q40" i="9" s="1"/>
  <c r="A10" i="9"/>
  <c r="A9" i="9"/>
  <c r="A8" i="9"/>
  <c r="Q37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G59" i="1"/>
  <c r="H59" i="1" s="1"/>
  <c r="J59" i="1"/>
  <c r="G16" i="1"/>
  <c r="H16" i="1" s="1"/>
  <c r="J16" i="1"/>
  <c r="D208" i="12"/>
  <c r="E208" i="12" s="1"/>
  <c r="D210" i="12"/>
  <c r="E210" i="12" s="1"/>
  <c r="D209" i="12"/>
  <c r="E209" i="12" s="1"/>
  <c r="I209" i="12"/>
  <c r="D207" i="12"/>
  <c r="E207" i="12" s="1"/>
  <c r="I207" i="12"/>
  <c r="G132" i="1"/>
  <c r="H132" i="1" s="1"/>
  <c r="J132" i="1"/>
  <c r="G134" i="1"/>
  <c r="H134" i="1" s="1"/>
  <c r="J134" i="1"/>
  <c r="D194" i="12"/>
  <c r="E194" i="12" s="1"/>
  <c r="D198" i="12"/>
  <c r="E198" i="12" s="1"/>
  <c r="D202" i="12"/>
  <c r="E202" i="12" s="1"/>
  <c r="D193" i="12"/>
  <c r="E193" i="12" s="1"/>
  <c r="D197" i="12"/>
  <c r="E197" i="12" s="1"/>
  <c r="D201" i="12"/>
  <c r="E201" i="12" s="1"/>
  <c r="D192" i="12"/>
  <c r="E192" i="12" s="1"/>
  <c r="D196" i="12"/>
  <c r="E196" i="12" s="1"/>
  <c r="D200" i="12"/>
  <c r="E200" i="12" s="1"/>
  <c r="D199" i="12"/>
  <c r="D195" i="12"/>
  <c r="E195" i="12" s="1"/>
  <c r="D191" i="12"/>
  <c r="E191" i="12" s="1"/>
  <c r="G24" i="1"/>
  <c r="H24" i="1" s="1"/>
  <c r="J24" i="1"/>
  <c r="G31" i="1"/>
  <c r="H31" i="1" s="1"/>
  <c r="J31" i="1"/>
  <c r="Q8" i="9"/>
  <c r="Q38" i="9"/>
  <c r="Q43" i="9"/>
  <c r="Q46" i="9"/>
  <c r="Q51" i="9"/>
  <c r="Q52" i="9"/>
  <c r="Q59" i="9"/>
  <c r="Q64" i="9"/>
  <c r="Q67" i="9"/>
  <c r="Q68" i="9"/>
  <c r="Q69" i="9"/>
  <c r="Q72" i="9"/>
  <c r="Q77" i="9"/>
  <c r="Q81" i="9"/>
  <c r="Q106" i="9"/>
  <c r="Q130" i="9"/>
  <c r="G76" i="1"/>
  <c r="H76" i="1" s="1"/>
  <c r="J76" i="1"/>
  <c r="D252" i="12"/>
  <c r="E252" i="12" s="1"/>
  <c r="D251" i="12"/>
  <c r="D250" i="12"/>
  <c r="E250" i="12" s="1"/>
  <c r="D167" i="12"/>
  <c r="E167" i="12" s="1"/>
  <c r="D170" i="12"/>
  <c r="E170" i="12" s="1"/>
  <c r="D166" i="12"/>
  <c r="E166" i="12" s="1"/>
  <c r="D169" i="12"/>
  <c r="E169" i="12" s="1"/>
  <c r="D168" i="12"/>
  <c r="D165" i="12"/>
  <c r="E165" i="12" s="1"/>
  <c r="G84" i="1"/>
  <c r="H84" i="1" s="1"/>
  <c r="J84" i="1"/>
  <c r="D138" i="12"/>
  <c r="E138" i="12" s="1"/>
  <c r="D142" i="12"/>
  <c r="E142" i="12" s="1"/>
  <c r="D137" i="12"/>
  <c r="E137" i="12" s="1"/>
  <c r="D141" i="12"/>
  <c r="E141" i="12" s="1"/>
  <c r="D136" i="12"/>
  <c r="E136" i="12" s="1"/>
  <c r="D140" i="12"/>
  <c r="E140" i="12" s="1"/>
  <c r="D139" i="12"/>
  <c r="E139" i="12" s="1"/>
  <c r="D135" i="12"/>
  <c r="G72" i="1"/>
  <c r="H72" i="1" s="1"/>
  <c r="J72" i="1"/>
  <c r="D160" i="12"/>
  <c r="E160" i="12" s="1"/>
  <c r="D164" i="12"/>
  <c r="E164" i="12" s="1"/>
  <c r="D159" i="12"/>
  <c r="E159" i="12" s="1"/>
  <c r="D163" i="12"/>
  <c r="E163" i="12" s="1"/>
  <c r="D158" i="12"/>
  <c r="E158" i="12" s="1"/>
  <c r="D162" i="12"/>
  <c r="E162" i="12" s="1"/>
  <c r="D161" i="12"/>
  <c r="D157" i="12"/>
  <c r="E157" i="12" s="1"/>
  <c r="D118" i="12"/>
  <c r="E118" i="12" s="1"/>
  <c r="D122" i="12"/>
  <c r="E122" i="12" s="1"/>
  <c r="D126" i="12"/>
  <c r="E126" i="12" s="1"/>
  <c r="I122" i="12"/>
  <c r="D117" i="12"/>
  <c r="E117" i="12" s="1"/>
  <c r="D121" i="12"/>
  <c r="E121" i="12" s="1"/>
  <c r="D125" i="12"/>
  <c r="E125" i="12" s="1"/>
  <c r="I117" i="12"/>
  <c r="I121" i="12"/>
  <c r="I125" i="12"/>
  <c r="D116" i="12"/>
  <c r="E116" i="12" s="1"/>
  <c r="D120" i="12"/>
  <c r="E120" i="12" s="1"/>
  <c r="D124" i="12"/>
  <c r="E124" i="12" s="1"/>
  <c r="I116" i="12"/>
  <c r="I120" i="12"/>
  <c r="I124" i="12"/>
  <c r="G25" i="1"/>
  <c r="H25" i="1" s="1"/>
  <c r="J25" i="1"/>
  <c r="G26" i="1"/>
  <c r="H26" i="1" s="1"/>
  <c r="J26" i="1"/>
  <c r="D123" i="12"/>
  <c r="E123" i="12" s="1"/>
  <c r="D119" i="12"/>
  <c r="E119" i="12" s="1"/>
  <c r="D115" i="12"/>
  <c r="E115" i="12" s="1"/>
  <c r="D130" i="12"/>
  <c r="D134" i="12"/>
  <c r="E134" i="12" s="1"/>
  <c r="D129" i="12"/>
  <c r="E129" i="12" s="1"/>
  <c r="D133" i="12"/>
  <c r="E133" i="12" s="1"/>
  <c r="D128" i="12"/>
  <c r="D132" i="12"/>
  <c r="E132" i="12" s="1"/>
  <c r="D131" i="12"/>
  <c r="E131" i="12" s="1"/>
  <c r="D127" i="12"/>
  <c r="E127" i="12" s="1"/>
  <c r="G30" i="1"/>
  <c r="H30" i="1" s="1"/>
  <c r="J30" i="1"/>
  <c r="G28" i="1"/>
  <c r="H28" i="1" s="1"/>
  <c r="J28" i="1"/>
  <c r="N72" i="12"/>
  <c r="D145" i="12"/>
  <c r="E145" i="12" s="1"/>
  <c r="D148" i="12"/>
  <c r="E148" i="12" s="1"/>
  <c r="D151" i="12"/>
  <c r="E151" i="12" s="1"/>
  <c r="D144" i="12"/>
  <c r="E144" i="12" s="1"/>
  <c r="D147" i="12"/>
  <c r="E147" i="12" s="1"/>
  <c r="D150" i="12"/>
  <c r="E150" i="12" s="1"/>
  <c r="D149" i="12"/>
  <c r="D146" i="12"/>
  <c r="E146" i="12" s="1"/>
  <c r="D143" i="12"/>
  <c r="G8" i="1"/>
  <c r="H8" i="1" s="1"/>
  <c r="J8" i="1"/>
  <c r="G7" i="1"/>
  <c r="H7" i="1" s="1"/>
  <c r="J7" i="1"/>
  <c r="D156" i="12"/>
  <c r="D155" i="12"/>
  <c r="E155" i="12" s="1"/>
  <c r="D154" i="12"/>
  <c r="E154" i="12" s="1"/>
  <c r="D153" i="12"/>
  <c r="E153" i="12" s="1"/>
  <c r="D152" i="12"/>
  <c r="I152" i="12"/>
  <c r="D215" i="12"/>
  <c r="E215" i="12" s="1"/>
  <c r="D220" i="12"/>
  <c r="E220" i="12" s="1"/>
  <c r="D214" i="12"/>
  <c r="E214" i="12" s="1"/>
  <c r="D219" i="12"/>
  <c r="D213" i="12"/>
  <c r="E213" i="12" s="1"/>
  <c r="D218" i="12"/>
  <c r="E218" i="12" s="1"/>
  <c r="D212" i="12"/>
  <c r="E212" i="12" s="1"/>
  <c r="D217" i="12"/>
  <c r="D216" i="12"/>
  <c r="E216" i="12" s="1"/>
  <c r="D211" i="12"/>
  <c r="K491" i="12" l="1"/>
  <c r="H491" i="12" s="1"/>
  <c r="I491" i="12" s="1"/>
  <c r="K490" i="12"/>
  <c r="H490" i="12" s="1"/>
  <c r="I490" i="12" s="1"/>
  <c r="W98" i="1"/>
  <c r="K98" i="1" s="1"/>
  <c r="P98" i="1" s="1"/>
  <c r="K492" i="12"/>
  <c r="H492" i="12" s="1"/>
  <c r="I492" i="12" s="1"/>
  <c r="K487" i="12"/>
  <c r="H487" i="12" s="1"/>
  <c r="I487" i="12" s="1"/>
  <c r="K486" i="12"/>
  <c r="H486" i="12" s="1"/>
  <c r="I486" i="12" s="1"/>
  <c r="K488" i="12"/>
  <c r="H488" i="12" s="1"/>
  <c r="I488" i="12" s="1"/>
  <c r="K489" i="12"/>
  <c r="H489" i="12" s="1"/>
  <c r="I489" i="12" s="1"/>
  <c r="K485" i="12"/>
  <c r="H485" i="12" s="1"/>
  <c r="I485" i="12" s="1"/>
  <c r="W64" i="1"/>
  <c r="K64" i="1" s="1"/>
  <c r="K484" i="12"/>
  <c r="H484" i="12" s="1"/>
  <c r="I484" i="12" s="1"/>
  <c r="K483" i="12"/>
  <c r="H483" i="12" s="1"/>
  <c r="I483" i="12" s="1"/>
  <c r="W95" i="1"/>
  <c r="K95" i="1" s="1"/>
  <c r="P95" i="1" s="1"/>
  <c r="P64" i="1"/>
  <c r="K481" i="12"/>
  <c r="H481" i="12" s="1"/>
  <c r="I481" i="12" s="1"/>
  <c r="K478" i="12"/>
  <c r="H478" i="12" s="1"/>
  <c r="I478" i="12" s="1"/>
  <c r="K482" i="12"/>
  <c r="H482" i="12" s="1"/>
  <c r="I482" i="12" s="1"/>
  <c r="K479" i="12"/>
  <c r="H479" i="12" s="1"/>
  <c r="I479" i="12" s="1"/>
  <c r="K480" i="12"/>
  <c r="H480" i="12" s="1"/>
  <c r="I480" i="12" s="1"/>
  <c r="K476" i="12"/>
  <c r="H476" i="12" s="1"/>
  <c r="I476" i="12" s="1"/>
  <c r="K477" i="12"/>
  <c r="H477" i="12" s="1"/>
  <c r="I477" i="12" s="1"/>
  <c r="K475" i="12"/>
  <c r="H475" i="12" s="1"/>
  <c r="I475" i="12" s="1"/>
  <c r="W61" i="1"/>
  <c r="K61" i="1" s="1"/>
  <c r="P61" i="1" s="1"/>
  <c r="W52" i="1"/>
  <c r="K52" i="1" s="1"/>
  <c r="K474" i="12"/>
  <c r="H474" i="12" s="1"/>
  <c r="I474" i="12" s="1"/>
  <c r="K470" i="12"/>
  <c r="H470" i="12" s="1"/>
  <c r="I470" i="12" s="1"/>
  <c r="K471" i="12"/>
  <c r="H471" i="12" s="1"/>
  <c r="I471" i="12" s="1"/>
  <c r="K467" i="12"/>
  <c r="H467" i="12" s="1"/>
  <c r="I467" i="12" s="1"/>
  <c r="K472" i="12"/>
  <c r="H472" i="12" s="1"/>
  <c r="I472" i="12" s="1"/>
  <c r="K468" i="12"/>
  <c r="H468" i="12" s="1"/>
  <c r="I468" i="12" s="1"/>
  <c r="W35" i="1"/>
  <c r="K35" i="1" s="1"/>
  <c r="W32" i="1"/>
  <c r="K32" i="1" s="1"/>
  <c r="L32" i="1" s="1"/>
  <c r="K473" i="12"/>
  <c r="H473" i="12" s="1"/>
  <c r="I473" i="12" s="1"/>
  <c r="K469" i="12"/>
  <c r="H469" i="12" s="1"/>
  <c r="I469" i="12" s="1"/>
  <c r="N124" i="1"/>
  <c r="N87" i="1"/>
  <c r="N125" i="1"/>
  <c r="N80" i="1"/>
  <c r="N100" i="1"/>
  <c r="N128" i="1"/>
  <c r="N78" i="1"/>
  <c r="N91" i="1"/>
  <c r="N115" i="1"/>
  <c r="N110" i="1"/>
  <c r="N77" i="1"/>
  <c r="N113" i="1"/>
  <c r="N35" i="1"/>
  <c r="O35" i="1" s="1"/>
  <c r="N32" i="1"/>
  <c r="O32" i="1" s="1"/>
  <c r="K466" i="12"/>
  <c r="H466" i="12" s="1"/>
  <c r="K462" i="12"/>
  <c r="H462" i="12" s="1"/>
  <c r="I462" i="12" s="1"/>
  <c r="W36" i="1"/>
  <c r="K36" i="1" s="1"/>
  <c r="S36" i="1" s="1"/>
  <c r="K465" i="12"/>
  <c r="H465" i="12" s="1"/>
  <c r="W37" i="1"/>
  <c r="K37" i="1" s="1"/>
  <c r="S37" i="1" s="1"/>
  <c r="K463" i="12"/>
  <c r="H463" i="12" s="1"/>
  <c r="I463" i="12" s="1"/>
  <c r="K464" i="12"/>
  <c r="H464" i="12" s="1"/>
  <c r="I464" i="12" s="1"/>
  <c r="K461" i="12"/>
  <c r="H461" i="12" s="1"/>
  <c r="I461" i="12" s="1"/>
  <c r="N37" i="1"/>
  <c r="O37" i="1" s="1"/>
  <c r="N36" i="1"/>
  <c r="O36" i="1" s="1"/>
  <c r="K460" i="12"/>
  <c r="H460" i="12" s="1"/>
  <c r="I460" i="12" s="1"/>
  <c r="K458" i="12"/>
  <c r="H458" i="12" s="1"/>
  <c r="K459" i="12"/>
  <c r="H459" i="12" s="1"/>
  <c r="I459" i="12" s="1"/>
  <c r="K457" i="12"/>
  <c r="H457" i="12" s="1"/>
  <c r="K456" i="12"/>
  <c r="H456" i="12" s="1"/>
  <c r="K455" i="12"/>
  <c r="H455" i="12" s="1"/>
  <c r="I455" i="12" s="1"/>
  <c r="W96" i="1"/>
  <c r="W106" i="1"/>
  <c r="K106" i="1" s="1"/>
  <c r="S106" i="1" s="1"/>
  <c r="N106" i="1"/>
  <c r="O106" i="1" s="1"/>
  <c r="N96" i="1"/>
  <c r="O96" i="1" s="1"/>
  <c r="K452" i="12"/>
  <c r="H452" i="12" s="1"/>
  <c r="I452" i="12" s="1"/>
  <c r="W115" i="1"/>
  <c r="K115" i="1" s="1"/>
  <c r="S115" i="1" s="1"/>
  <c r="K453" i="12"/>
  <c r="H453" i="12" s="1"/>
  <c r="K454" i="12"/>
  <c r="H454" i="12" s="1"/>
  <c r="K449" i="12"/>
  <c r="H449" i="12" s="1"/>
  <c r="I449" i="12" s="1"/>
  <c r="K451" i="12"/>
  <c r="H451" i="12" s="1"/>
  <c r="I451" i="12" s="1"/>
  <c r="K450" i="12"/>
  <c r="H450" i="12" s="1"/>
  <c r="I450" i="12" s="1"/>
  <c r="K447" i="12"/>
  <c r="H447" i="12" s="1"/>
  <c r="I447" i="12" s="1"/>
  <c r="K443" i="12"/>
  <c r="H443" i="12" s="1"/>
  <c r="K448" i="12"/>
  <c r="H448" i="12" s="1"/>
  <c r="I448" i="12" s="1"/>
  <c r="K444" i="12"/>
  <c r="H444" i="12" s="1"/>
  <c r="K445" i="12"/>
  <c r="H445" i="12" s="1"/>
  <c r="I445" i="12" s="1"/>
  <c r="W114" i="1"/>
  <c r="K114" i="1" s="1"/>
  <c r="S114" i="1" s="1"/>
  <c r="K446" i="12"/>
  <c r="H446" i="12" s="1"/>
  <c r="I446" i="12" s="1"/>
  <c r="K442" i="12"/>
  <c r="H442" i="12" s="1"/>
  <c r="I442" i="12" s="1"/>
  <c r="W92" i="1"/>
  <c r="K92" i="1" s="1"/>
  <c r="S92" i="1" s="1"/>
  <c r="W49" i="1"/>
  <c r="K49" i="1" s="1"/>
  <c r="S49" i="1" s="1"/>
  <c r="K441" i="12"/>
  <c r="H441" i="12" s="1"/>
  <c r="I441" i="12" s="1"/>
  <c r="K438" i="12"/>
  <c r="H438" i="12" s="1"/>
  <c r="I438" i="12" s="1"/>
  <c r="K440" i="12"/>
  <c r="H440" i="12" s="1"/>
  <c r="I440" i="12" s="1"/>
  <c r="W111" i="1"/>
  <c r="K111" i="1" s="1"/>
  <c r="S111" i="1" s="1"/>
  <c r="K439" i="12"/>
  <c r="H439" i="12" s="1"/>
  <c r="I439" i="12" s="1"/>
  <c r="K437" i="12"/>
  <c r="H437" i="12" s="1"/>
  <c r="I437" i="12" s="1"/>
  <c r="W128" i="1"/>
  <c r="K435" i="12"/>
  <c r="H435" i="12" s="1"/>
  <c r="I435" i="12" s="1"/>
  <c r="K434" i="12"/>
  <c r="H434" i="12" s="1"/>
  <c r="I434" i="12" s="1"/>
  <c r="K436" i="12"/>
  <c r="H436" i="12" s="1"/>
  <c r="I436" i="12" s="1"/>
  <c r="K430" i="12"/>
  <c r="K426" i="12"/>
  <c r="K422" i="12"/>
  <c r="W100" i="1"/>
  <c r="K432" i="12"/>
  <c r="K428" i="12"/>
  <c r="K424" i="12"/>
  <c r="W102" i="1"/>
  <c r="K431" i="12"/>
  <c r="K425" i="12"/>
  <c r="K423" i="12"/>
  <c r="K433" i="12"/>
  <c r="K427" i="12"/>
  <c r="K429" i="12"/>
  <c r="W110" i="1"/>
  <c r="Q66" i="9"/>
  <c r="Q74" i="9"/>
  <c r="Q102" i="9"/>
  <c r="R129" i="9"/>
  <c r="Q128" i="9"/>
  <c r="Q70" i="9"/>
  <c r="K420" i="12"/>
  <c r="K421" i="12"/>
  <c r="K418" i="12"/>
  <c r="K419" i="12"/>
  <c r="K416" i="12"/>
  <c r="K417" i="12"/>
  <c r="K414" i="12"/>
  <c r="K415" i="12"/>
  <c r="W80" i="1"/>
  <c r="W91" i="1"/>
  <c r="K413" i="12"/>
  <c r="K412" i="12"/>
  <c r="K411" i="12"/>
  <c r="K410" i="12"/>
  <c r="W124" i="1"/>
  <c r="K409" i="12"/>
  <c r="W113" i="1"/>
  <c r="K407" i="12"/>
  <c r="K408" i="12"/>
  <c r="K405" i="12"/>
  <c r="K406" i="12"/>
  <c r="K403" i="12"/>
  <c r="K404" i="12"/>
  <c r="W123" i="1"/>
  <c r="W125" i="1"/>
  <c r="K402" i="12"/>
  <c r="K401" i="12"/>
  <c r="K400" i="12"/>
  <c r="K399" i="12"/>
  <c r="W103" i="1"/>
  <c r="K397" i="12"/>
  <c r="K398" i="12"/>
  <c r="K395" i="12"/>
  <c r="K396" i="12"/>
  <c r="K393" i="12"/>
  <c r="K394" i="12"/>
  <c r="K392" i="12"/>
  <c r="K391" i="12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55" i="12"/>
  <c r="K256" i="12"/>
  <c r="K257" i="12"/>
  <c r="K258" i="12"/>
  <c r="K259" i="12"/>
  <c r="K260" i="12"/>
  <c r="K261" i="12"/>
  <c r="K262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K369" i="12"/>
  <c r="K370" i="12"/>
  <c r="K371" i="12"/>
  <c r="K372" i="12"/>
  <c r="K373" i="12"/>
  <c r="K374" i="12"/>
  <c r="K375" i="12"/>
  <c r="K376" i="12"/>
  <c r="K377" i="12"/>
  <c r="K378" i="12"/>
  <c r="K379" i="12"/>
  <c r="K380" i="12"/>
  <c r="K381" i="12"/>
  <c r="K382" i="12"/>
  <c r="K383" i="12"/>
  <c r="K384" i="12"/>
  <c r="K385" i="12"/>
  <c r="K386" i="12"/>
  <c r="K387" i="12"/>
  <c r="K388" i="12"/>
  <c r="K389" i="12"/>
  <c r="K390" i="12"/>
  <c r="W2" i="1"/>
  <c r="W22" i="1"/>
  <c r="W18" i="1"/>
  <c r="W3" i="1"/>
  <c r="W6" i="1"/>
  <c r="W9" i="1"/>
  <c r="W5" i="1"/>
  <c r="W45" i="1"/>
  <c r="W62" i="1"/>
  <c r="W15" i="1"/>
  <c r="W94" i="1"/>
  <c r="W57" i="1"/>
  <c r="W41" i="1"/>
  <c r="W120" i="1"/>
  <c r="W83" i="1"/>
  <c r="W73" i="1"/>
  <c r="W4" i="1"/>
  <c r="W58" i="1"/>
  <c r="W26" i="1"/>
  <c r="W23" i="1"/>
  <c r="W122" i="1"/>
  <c r="W117" i="1"/>
  <c r="W43" i="1"/>
  <c r="W13" i="1"/>
  <c r="W46" i="1"/>
  <c r="W119" i="1"/>
  <c r="W59" i="1"/>
  <c r="W7" i="1"/>
  <c r="W16" i="1"/>
  <c r="W8" i="1"/>
  <c r="W56" i="1"/>
  <c r="W53" i="1"/>
  <c r="W63" i="1"/>
  <c r="W20" i="1"/>
  <c r="W14" i="1"/>
  <c r="W71" i="1"/>
  <c r="W21" i="1"/>
  <c r="W44" i="1"/>
  <c r="W10" i="1"/>
  <c r="W33" i="1"/>
  <c r="W51" i="1"/>
  <c r="W60" i="1"/>
  <c r="W31" i="1"/>
  <c r="W19" i="1"/>
  <c r="W24" i="1"/>
  <c r="W34" i="1"/>
  <c r="W11" i="1"/>
  <c r="W48" i="1"/>
  <c r="W12" i="1"/>
  <c r="W67" i="1"/>
  <c r="W68" i="1"/>
  <c r="W38" i="1"/>
  <c r="W25" i="1"/>
  <c r="W69" i="1"/>
  <c r="W104" i="1"/>
  <c r="W29" i="1"/>
  <c r="W28" i="1"/>
  <c r="W75" i="1"/>
  <c r="W17" i="1"/>
  <c r="W30" i="1"/>
  <c r="W74" i="1"/>
  <c r="W89" i="1"/>
  <c r="W27" i="1"/>
  <c r="W88" i="1"/>
  <c r="W55" i="1"/>
  <c r="W76" i="1"/>
  <c r="W47" i="1"/>
  <c r="W90" i="1"/>
  <c r="W42" i="1"/>
  <c r="W70" i="1"/>
  <c r="W50" i="1"/>
  <c r="W93" i="1"/>
  <c r="W82" i="1"/>
  <c r="W39" i="1"/>
  <c r="W40" i="1"/>
  <c r="W65" i="1"/>
  <c r="W81" i="1"/>
  <c r="W79" i="1"/>
  <c r="W85" i="1"/>
  <c r="W84" i="1"/>
  <c r="W107" i="1"/>
  <c r="W54" i="1"/>
  <c r="W72" i="1"/>
  <c r="W66" i="1"/>
  <c r="W116" i="1"/>
  <c r="W101" i="1"/>
  <c r="W86" i="1"/>
  <c r="W108" i="1"/>
  <c r="W109" i="1"/>
  <c r="W97" i="1"/>
  <c r="W105" i="1"/>
  <c r="W112" i="1"/>
  <c r="W118" i="1"/>
  <c r="W121" i="1"/>
  <c r="W126" i="1"/>
  <c r="W127" i="1"/>
  <c r="W130" i="1"/>
  <c r="W129" i="1"/>
  <c r="W133" i="1"/>
  <c r="W131" i="1"/>
  <c r="W135" i="1"/>
  <c r="W132" i="1"/>
  <c r="W134" i="1"/>
  <c r="W136" i="1"/>
  <c r="W87" i="1"/>
  <c r="W78" i="1"/>
  <c r="W77" i="1"/>
  <c r="E211" i="12"/>
  <c r="G211" i="12" s="1"/>
  <c r="E217" i="12"/>
  <c r="G217" i="12" s="1"/>
  <c r="E219" i="12"/>
  <c r="G219" i="12" s="1"/>
  <c r="E152" i="12"/>
  <c r="G152" i="12" s="1"/>
  <c r="E156" i="12"/>
  <c r="G156" i="12" s="1"/>
  <c r="E143" i="12"/>
  <c r="G143" i="12" s="1"/>
  <c r="E149" i="12"/>
  <c r="G149" i="12" s="1"/>
  <c r="E128" i="12"/>
  <c r="G128" i="12" s="1"/>
  <c r="E130" i="12"/>
  <c r="G130" i="12" s="1"/>
  <c r="E161" i="12"/>
  <c r="G161" i="12" s="1"/>
  <c r="E135" i="12"/>
  <c r="G135" i="12" s="1"/>
  <c r="E168" i="12"/>
  <c r="G168" i="12" s="1"/>
  <c r="E251" i="12"/>
  <c r="G251" i="12" s="1"/>
  <c r="E199" i="12"/>
  <c r="G199" i="12" s="1"/>
  <c r="E230" i="12"/>
  <c r="G230" i="12" s="1"/>
  <c r="E255" i="12"/>
  <c r="G255" i="12" s="1"/>
  <c r="E282" i="12"/>
  <c r="G282" i="12" s="1"/>
  <c r="E279" i="12"/>
  <c r="G279" i="12" s="1"/>
  <c r="E281" i="12"/>
  <c r="G281" i="12" s="1"/>
  <c r="E307" i="12"/>
  <c r="G307" i="12" s="1"/>
  <c r="E371" i="12"/>
  <c r="G371" i="12" s="1"/>
  <c r="E373" i="12"/>
  <c r="G373" i="12" s="1"/>
  <c r="E367" i="12"/>
  <c r="G367" i="12" s="1"/>
  <c r="E369" i="12"/>
  <c r="G369" i="12" s="1"/>
  <c r="E270" i="12"/>
  <c r="G270" i="12" s="1"/>
  <c r="E271" i="12"/>
  <c r="G271" i="12" s="1"/>
  <c r="E276" i="12"/>
  <c r="G276" i="12" s="1"/>
  <c r="E272" i="12"/>
  <c r="G272" i="12" s="1"/>
  <c r="E111" i="12"/>
  <c r="G111" i="12" s="1"/>
  <c r="E112" i="12"/>
  <c r="G112" i="12" s="1"/>
  <c r="E114" i="12"/>
  <c r="G114" i="12" s="1"/>
  <c r="E355" i="12"/>
  <c r="G355" i="12" s="1"/>
  <c r="E188" i="12"/>
  <c r="G188" i="12" s="1"/>
  <c r="E190" i="12"/>
  <c r="G190" i="12" s="1"/>
  <c r="E349" i="12"/>
  <c r="G349" i="12" s="1"/>
  <c r="E327" i="12"/>
  <c r="G327" i="12" s="1"/>
  <c r="E301" i="12"/>
  <c r="G301" i="12" s="1"/>
  <c r="E335" i="12"/>
  <c r="G335" i="12" s="1"/>
  <c r="E344" i="12"/>
  <c r="G344" i="12" s="1"/>
  <c r="E89" i="12"/>
  <c r="G89" i="12" s="1"/>
  <c r="E94" i="12"/>
  <c r="G94" i="12" s="1"/>
  <c r="E95" i="12"/>
  <c r="G95" i="12" s="1"/>
  <c r="E96" i="12"/>
  <c r="G96" i="12" s="1"/>
  <c r="E11" i="12"/>
  <c r="G11" i="12" s="1"/>
  <c r="E22" i="12"/>
  <c r="G22" i="12" s="1"/>
  <c r="E23" i="12"/>
  <c r="G23" i="12" s="1"/>
  <c r="E24" i="12"/>
  <c r="G24" i="12" s="1"/>
  <c r="E14" i="12"/>
  <c r="G14" i="12" s="1"/>
  <c r="E37" i="12"/>
  <c r="G37" i="12" s="1"/>
  <c r="E101" i="12"/>
  <c r="G101" i="12" s="1"/>
  <c r="E41" i="12"/>
  <c r="G41" i="12" s="1"/>
  <c r="E48" i="12"/>
  <c r="G48" i="12" s="1"/>
  <c r="E49" i="12"/>
  <c r="G49" i="12" s="1"/>
  <c r="E53" i="12"/>
  <c r="G53" i="12" s="1"/>
  <c r="E60" i="12"/>
  <c r="G60" i="12" s="1"/>
  <c r="E313" i="12"/>
  <c r="G313" i="12" s="1"/>
  <c r="E315" i="12"/>
  <c r="G315" i="12" s="1"/>
  <c r="E357" i="12"/>
  <c r="G357" i="12" s="1"/>
  <c r="E107" i="12"/>
  <c r="G107" i="12" s="1"/>
  <c r="E108" i="12"/>
  <c r="G108" i="12" s="1"/>
  <c r="E109" i="12"/>
  <c r="G109" i="12" s="1"/>
  <c r="E110" i="12"/>
  <c r="G110" i="12" s="1"/>
  <c r="E86" i="12"/>
  <c r="G86" i="12" s="1"/>
  <c r="E70" i="12"/>
  <c r="G70" i="12" s="1"/>
  <c r="E88" i="12"/>
  <c r="G88" i="12" s="1"/>
  <c r="E72" i="12"/>
  <c r="G72" i="12" s="1"/>
  <c r="E297" i="12"/>
  <c r="G297" i="12" s="1"/>
  <c r="E298" i="12"/>
  <c r="G298" i="12" s="1"/>
  <c r="E299" i="12"/>
  <c r="G299" i="12" s="1"/>
  <c r="E287" i="12"/>
  <c r="G287" i="12" s="1"/>
  <c r="E288" i="12"/>
  <c r="G288" i="12" s="1"/>
  <c r="E289" i="12"/>
  <c r="G289" i="12" s="1"/>
  <c r="M134" i="1"/>
  <c r="M132" i="1"/>
  <c r="M129" i="1"/>
  <c r="M131" i="1"/>
  <c r="M130" i="1"/>
  <c r="M133" i="1"/>
  <c r="Q62" i="9"/>
  <c r="Q101" i="9"/>
  <c r="R110" i="9"/>
  <c r="R111" i="9"/>
  <c r="R87" i="9"/>
  <c r="R88" i="9"/>
  <c r="R104" i="9"/>
  <c r="R105" i="9"/>
  <c r="R103" i="9"/>
  <c r="R19" i="9"/>
  <c r="R20" i="9"/>
  <c r="R21" i="9"/>
  <c r="R22" i="9"/>
  <c r="R91" i="9"/>
  <c r="Q79" i="9"/>
  <c r="Q80" i="9"/>
  <c r="R94" i="9"/>
  <c r="R95" i="9"/>
  <c r="R97" i="9"/>
  <c r="R98" i="9"/>
  <c r="R99" i="9"/>
  <c r="R13" i="9"/>
  <c r="R14" i="9"/>
  <c r="R7" i="9"/>
  <c r="R30" i="9"/>
  <c r="R31" i="9"/>
  <c r="R9" i="9"/>
  <c r="R11" i="9"/>
  <c r="R12" i="9"/>
  <c r="R10" i="9"/>
  <c r="R61" i="9"/>
  <c r="R15" i="9"/>
  <c r="R16" i="9"/>
  <c r="R32" i="9"/>
  <c r="R33" i="9"/>
  <c r="R34" i="9"/>
  <c r="R17" i="9"/>
  <c r="R18" i="9"/>
  <c r="R35" i="9"/>
  <c r="R36" i="9"/>
  <c r="R25" i="9"/>
  <c r="R26" i="9"/>
  <c r="R27" i="9"/>
  <c r="R28" i="9"/>
  <c r="R29" i="9"/>
  <c r="R23" i="9"/>
  <c r="R24" i="9"/>
  <c r="R85" i="9"/>
  <c r="R86" i="9"/>
  <c r="R83" i="9"/>
  <c r="R84" i="9"/>
  <c r="R92" i="9"/>
  <c r="R93" i="9"/>
  <c r="R76" i="9"/>
  <c r="G100" i="12"/>
  <c r="G257" i="12"/>
  <c r="G258" i="12"/>
  <c r="G261" i="12"/>
  <c r="G155" i="12"/>
  <c r="G127" i="12"/>
  <c r="G133" i="12"/>
  <c r="G115" i="12"/>
  <c r="G123" i="12"/>
  <c r="G158" i="12"/>
  <c r="G160" i="12"/>
  <c r="G250" i="12"/>
  <c r="G377" i="12"/>
  <c r="G234" i="12"/>
  <c r="G309" i="12"/>
  <c r="G229" i="12"/>
  <c r="G232" i="12"/>
  <c r="G242" i="12"/>
  <c r="G248" i="12"/>
  <c r="G260" i="12"/>
  <c r="G210" i="12"/>
  <c r="G179" i="12"/>
  <c r="G172" i="12"/>
  <c r="G174" i="12"/>
  <c r="G378" i="12"/>
  <c r="G268" i="12"/>
  <c r="G311" i="12"/>
  <c r="G370" i="12"/>
  <c r="G189" i="12"/>
  <c r="G201" i="12"/>
  <c r="G184" i="12"/>
  <c r="G213" i="12"/>
  <c r="G215" i="12"/>
  <c r="G216" i="12"/>
  <c r="G157" i="12"/>
  <c r="G162" i="12"/>
  <c r="G164" i="12"/>
  <c r="G207" i="12"/>
  <c r="G209" i="12"/>
  <c r="G175" i="12"/>
  <c r="G254" i="12"/>
  <c r="G291" i="12"/>
  <c r="G292" i="12"/>
  <c r="G293" i="12"/>
  <c r="G375" i="12"/>
  <c r="G227" i="12"/>
  <c r="G345" i="12"/>
  <c r="G25" i="12"/>
  <c r="G3" i="12"/>
  <c r="G259" i="12"/>
  <c r="G256" i="12"/>
  <c r="G124" i="12"/>
  <c r="G337" i="12"/>
  <c r="G82" i="12"/>
  <c r="G84" i="12"/>
  <c r="G178" i="12"/>
  <c r="G171" i="12"/>
  <c r="G262" i="12"/>
  <c r="G223" i="12"/>
  <c r="G231" i="12"/>
  <c r="G350" i="12"/>
  <c r="G352" i="12"/>
  <c r="G329" i="12"/>
  <c r="G334" i="12"/>
  <c r="G30" i="12"/>
  <c r="G32" i="12"/>
  <c r="G90" i="12"/>
  <c r="G91" i="12"/>
  <c r="G92" i="12"/>
  <c r="G18" i="12"/>
  <c r="G19" i="12"/>
  <c r="G20" i="12"/>
  <c r="G33" i="12"/>
  <c r="G34" i="12"/>
  <c r="G35" i="12"/>
  <c r="G36" i="12"/>
  <c r="G102" i="12"/>
  <c r="G56" i="12"/>
  <c r="G103" i="12"/>
  <c r="G104" i="12"/>
  <c r="G105" i="12"/>
  <c r="G106" i="12"/>
  <c r="G81" i="12"/>
  <c r="G87" i="12"/>
  <c r="G71" i="12"/>
  <c r="G294" i="12"/>
  <c r="G295" i="12"/>
  <c r="G296" i="12"/>
  <c r="G125" i="12"/>
  <c r="G141" i="12"/>
  <c r="G170" i="12"/>
  <c r="G153" i="12"/>
  <c r="G146" i="12"/>
  <c r="G145" i="12"/>
  <c r="G118" i="12"/>
  <c r="G136" i="12"/>
  <c r="G138" i="12"/>
  <c r="G167" i="12"/>
  <c r="G191" i="12"/>
  <c r="G196" i="12"/>
  <c r="G374" i="12"/>
  <c r="G267" i="12"/>
  <c r="G265" i="12"/>
  <c r="G235" i="12"/>
  <c r="G237" i="12"/>
  <c r="G310" i="12"/>
  <c r="G225" i="12"/>
  <c r="G233" i="12"/>
  <c r="G243" i="12"/>
  <c r="G241" i="12"/>
  <c r="G249" i="12"/>
  <c r="G244" i="12"/>
  <c r="G253" i="12"/>
  <c r="G278" i="12"/>
  <c r="G283" i="12"/>
  <c r="G285" i="12"/>
  <c r="G306" i="12"/>
  <c r="G113" i="12"/>
  <c r="G354" i="12"/>
  <c r="G346" i="12"/>
  <c r="G348" i="12"/>
  <c r="G326" i="12"/>
  <c r="G300" i="12"/>
  <c r="G305" i="12"/>
  <c r="G339" i="12"/>
  <c r="G26" i="12"/>
  <c r="G28" i="12"/>
  <c r="G93" i="12"/>
  <c r="G10" i="12"/>
  <c r="G12" i="12"/>
  <c r="G13" i="12"/>
  <c r="G15" i="12"/>
  <c r="G44" i="12"/>
  <c r="G47" i="12"/>
  <c r="G51" i="12"/>
  <c r="G52" i="12"/>
  <c r="G57" i="12"/>
  <c r="G314" i="12"/>
  <c r="G316" i="12"/>
  <c r="G356" i="12"/>
  <c r="G358" i="12"/>
  <c r="G65" i="12"/>
  <c r="G77" i="12"/>
  <c r="G83" i="12"/>
  <c r="G67" i="12"/>
  <c r="G79" i="12"/>
  <c r="G286" i="12"/>
  <c r="Q116" i="1"/>
  <c r="G63" i="12"/>
  <c r="G75" i="12"/>
  <c r="G320" i="12"/>
  <c r="G322" i="12"/>
  <c r="Q107" i="1"/>
  <c r="N107" i="1" s="1"/>
  <c r="Q76" i="9"/>
  <c r="G206" i="12"/>
  <c r="G38" i="12"/>
  <c r="G97" i="12"/>
  <c r="G58" i="12"/>
  <c r="G64" i="12"/>
  <c r="G76" i="12"/>
  <c r="G290" i="12"/>
  <c r="G21" i="12"/>
  <c r="G80" i="12"/>
  <c r="G55" i="12"/>
  <c r="G17" i="12"/>
  <c r="G205" i="12"/>
  <c r="G39" i="12"/>
  <c r="G85" i="12"/>
  <c r="G69" i="12"/>
  <c r="G66" i="12"/>
  <c r="G78" i="12"/>
  <c r="G321" i="12"/>
  <c r="G54" i="12"/>
  <c r="G59" i="12"/>
  <c r="G40" i="12"/>
  <c r="G99" i="12"/>
  <c r="G62" i="12"/>
  <c r="G74" i="12"/>
  <c r="G317" i="12"/>
  <c r="G319" i="12"/>
  <c r="G323" i="12"/>
  <c r="R75" i="9"/>
  <c r="Q75" i="9"/>
  <c r="G121" i="12"/>
  <c r="G192" i="12"/>
  <c r="G202" i="12"/>
  <c r="G180" i="12"/>
  <c r="G214" i="12"/>
  <c r="G218" i="12"/>
  <c r="G220" i="12"/>
  <c r="G154" i="12"/>
  <c r="G144" i="12"/>
  <c r="G148" i="12"/>
  <c r="G131" i="12"/>
  <c r="G132" i="12"/>
  <c r="G134" i="12"/>
  <c r="G119" i="12"/>
  <c r="G122" i="12"/>
  <c r="G159" i="12"/>
  <c r="G139" i="12"/>
  <c r="G140" i="12"/>
  <c r="G142" i="12"/>
  <c r="G165" i="12"/>
  <c r="G166" i="12"/>
  <c r="G252" i="12"/>
  <c r="G195" i="12"/>
  <c r="G200" i="12"/>
  <c r="G194" i="12"/>
  <c r="G183" i="12"/>
  <c r="G177" i="12"/>
  <c r="G182" i="12"/>
  <c r="G173" i="12"/>
  <c r="G376" i="12"/>
  <c r="G266" i="12"/>
  <c r="G263" i="12"/>
  <c r="G264" i="12"/>
  <c r="G236" i="12"/>
  <c r="G312" i="12"/>
  <c r="G221" i="12"/>
  <c r="G222" i="12"/>
  <c r="G224" i="12"/>
  <c r="G240" i="12"/>
  <c r="G245" i="12"/>
  <c r="G280" i="12"/>
  <c r="G308" i="12"/>
  <c r="G372" i="12"/>
  <c r="G273" i="12"/>
  <c r="G29" i="12"/>
  <c r="G4" i="12"/>
  <c r="G50" i="12"/>
  <c r="G150" i="12"/>
  <c r="G120" i="12"/>
  <c r="G197" i="12"/>
  <c r="G185" i="12"/>
  <c r="R112" i="9"/>
  <c r="G212" i="12"/>
  <c r="G147" i="12"/>
  <c r="G151" i="12"/>
  <c r="G129" i="12"/>
  <c r="G116" i="12"/>
  <c r="G117" i="12"/>
  <c r="G126" i="12"/>
  <c r="G163" i="12"/>
  <c r="G137" i="12"/>
  <c r="G169" i="12"/>
  <c r="G193" i="12"/>
  <c r="G198" i="12"/>
  <c r="G208" i="12"/>
  <c r="G176" i="12"/>
  <c r="G181" i="12"/>
  <c r="G186" i="12"/>
  <c r="G379" i="12"/>
  <c r="G269" i="12"/>
  <c r="G226" i="12"/>
  <c r="G228" i="12"/>
  <c r="Q112" i="9"/>
  <c r="G284" i="12"/>
  <c r="G333" i="12"/>
  <c r="G340" i="12"/>
  <c r="G5" i="12"/>
  <c r="G16" i="12"/>
  <c r="G368" i="12"/>
  <c r="G274" i="12"/>
  <c r="G275" i="12"/>
  <c r="G277" i="12"/>
  <c r="G353" i="12"/>
  <c r="G187" i="12"/>
  <c r="G347" i="12"/>
  <c r="G324" i="12"/>
  <c r="G325" i="12"/>
  <c r="G303" i="12"/>
  <c r="G304" i="12"/>
  <c r="G341" i="12"/>
  <c r="G338" i="12"/>
  <c r="G343" i="12"/>
  <c r="G27" i="12"/>
  <c r="G203" i="12"/>
  <c r="G98" i="12"/>
  <c r="G61" i="12"/>
  <c r="G73" i="12"/>
  <c r="G318" i="12"/>
  <c r="G351" i="12"/>
  <c r="G328" i="12"/>
  <c r="G302" i="12"/>
  <c r="G342" i="12"/>
  <c r="G336" i="12"/>
  <c r="G31" i="12"/>
  <c r="G204" i="12"/>
  <c r="G68" i="12"/>
  <c r="Q93" i="1"/>
  <c r="Q71" i="1"/>
  <c r="Q68" i="1"/>
  <c r="N68" i="1" s="1"/>
  <c r="Q90" i="1"/>
  <c r="Q74" i="1"/>
  <c r="Q69" i="1"/>
  <c r="Q93" i="9"/>
  <c r="Q92" i="9"/>
  <c r="Q84" i="9"/>
  <c r="Q83" i="9"/>
  <c r="Q86" i="9"/>
  <c r="Q85" i="9"/>
  <c r="Q117" i="1"/>
  <c r="Q58" i="1"/>
  <c r="N58" i="1" s="1"/>
  <c r="Q73" i="1"/>
  <c r="Q41" i="1"/>
  <c r="N41" i="1" s="1"/>
  <c r="Q38" i="1"/>
  <c r="Q62" i="1"/>
  <c r="N62" i="1" s="1"/>
  <c r="Q119" i="1"/>
  <c r="N119" i="1" s="1"/>
  <c r="Q24" i="9"/>
  <c r="Q23" i="9"/>
  <c r="Q29" i="9"/>
  <c r="Q28" i="9"/>
  <c r="Q27" i="9"/>
  <c r="Q26" i="9"/>
  <c r="Q25" i="9"/>
  <c r="Q57" i="1"/>
  <c r="Q94" i="1"/>
  <c r="Q97" i="1"/>
  <c r="Q36" i="9"/>
  <c r="Q35" i="9"/>
  <c r="Q21" i="1"/>
  <c r="N21" i="1" s="1"/>
  <c r="Q103" i="9"/>
  <c r="Q91" i="9"/>
  <c r="Q15" i="1"/>
  <c r="Q23" i="1"/>
  <c r="Q22" i="9"/>
  <c r="Q21" i="9"/>
  <c r="Q20" i="9"/>
  <c r="Q19" i="9"/>
  <c r="Q101" i="1"/>
  <c r="Q126" i="1"/>
  <c r="G45" i="12"/>
  <c r="G42" i="12"/>
  <c r="G46" i="12"/>
  <c r="G43" i="12"/>
  <c r="Q18" i="9"/>
  <c r="Q17" i="9"/>
  <c r="Q112" i="1"/>
  <c r="Q118" i="1"/>
  <c r="N118" i="1" s="1"/>
  <c r="Q43" i="1"/>
  <c r="Q60" i="1"/>
  <c r="Q46" i="1"/>
  <c r="Q34" i="9"/>
  <c r="Q33" i="9"/>
  <c r="Q32" i="9"/>
  <c r="Q33" i="1"/>
  <c r="N33" i="1" s="1"/>
  <c r="Q34" i="1"/>
  <c r="Q16" i="9"/>
  <c r="Q48" i="1"/>
  <c r="N48" i="1" s="1"/>
  <c r="Q15" i="9"/>
  <c r="Q61" i="9"/>
  <c r="Q10" i="9"/>
  <c r="Q18" i="1"/>
  <c r="Q12" i="9"/>
  <c r="Q11" i="9"/>
  <c r="Q75" i="1"/>
  <c r="Q88" i="1"/>
  <c r="N88" i="1" s="1"/>
  <c r="Q9" i="9"/>
  <c r="Q47" i="1"/>
  <c r="Q51" i="1"/>
  <c r="Q104" i="1"/>
  <c r="Q31" i="9"/>
  <c r="G359" i="12"/>
  <c r="G363" i="12"/>
  <c r="G360" i="12"/>
  <c r="G364" i="12"/>
  <c r="G365" i="12"/>
  <c r="G361" i="12"/>
  <c r="G366" i="12"/>
  <c r="G362" i="12"/>
  <c r="G2" i="12"/>
  <c r="Q30" i="9"/>
  <c r="Q7" i="9"/>
  <c r="Q53" i="1"/>
  <c r="Q56" i="1"/>
  <c r="Q63" i="1"/>
  <c r="Q120" i="1"/>
  <c r="Q70" i="1"/>
  <c r="Q122" i="1"/>
  <c r="Q133" i="1"/>
  <c r="Q130" i="1"/>
  <c r="N130" i="1" s="1"/>
  <c r="Q109" i="1"/>
  <c r="Q108" i="1"/>
  <c r="Q79" i="1"/>
  <c r="N79" i="1" s="1"/>
  <c r="Q85" i="1"/>
  <c r="Q109" i="9"/>
  <c r="Q14" i="9"/>
  <c r="Q44" i="1"/>
  <c r="N44" i="1" s="1"/>
  <c r="Q67" i="1"/>
  <c r="N67" i="1" s="1"/>
  <c r="Q13" i="9"/>
  <c r="Q99" i="9"/>
  <c r="Q98" i="9"/>
  <c r="Q89" i="1"/>
  <c r="Q17" i="1"/>
  <c r="N17" i="1" s="1"/>
  <c r="Q127" i="1"/>
  <c r="N127" i="1" s="1"/>
  <c r="Q97" i="9"/>
  <c r="Q54" i="1"/>
  <c r="N54" i="1" s="1"/>
  <c r="Q50" i="1"/>
  <c r="Q105" i="9"/>
  <c r="Q104" i="9"/>
  <c r="Q88" i="9"/>
  <c r="Q87" i="9"/>
  <c r="Q95" i="9"/>
  <c r="Q27" i="1"/>
  <c r="Q29" i="1"/>
  <c r="Q94" i="9"/>
  <c r="Q111" i="9"/>
  <c r="Q110" i="9"/>
  <c r="Q82" i="1"/>
  <c r="Q83" i="1"/>
  <c r="N83" i="1" s="1"/>
  <c r="Q5" i="1"/>
  <c r="N5" i="1" s="1"/>
  <c r="Q121" i="1"/>
  <c r="Q12" i="1"/>
  <c r="N12" i="1" s="1"/>
  <c r="Q40" i="1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Q131" i="1"/>
  <c r="Q129" i="1"/>
  <c r="Q59" i="1"/>
  <c r="Q16" i="1"/>
  <c r="N16" i="1" s="1"/>
  <c r="Q132" i="1"/>
  <c r="Q134" i="1"/>
  <c r="N134" i="1" s="1"/>
  <c r="Q24" i="1"/>
  <c r="Q31" i="1"/>
  <c r="Q76" i="1"/>
  <c r="N76" i="1" s="1"/>
  <c r="Q84" i="1"/>
  <c r="N84" i="1" s="1"/>
  <c r="Q72" i="1"/>
  <c r="N72" i="1" s="1"/>
  <c r="Q25" i="1"/>
  <c r="N25" i="1" s="1"/>
  <c r="Q26" i="1"/>
  <c r="Q30" i="1"/>
  <c r="Q28" i="1"/>
  <c r="N28" i="1" s="1"/>
  <c r="Q8" i="1"/>
  <c r="Q7" i="1"/>
  <c r="L98" i="1" l="1"/>
  <c r="M98" i="1"/>
  <c r="T98" i="1"/>
  <c r="U98" i="1" s="1"/>
  <c r="S98" i="1"/>
  <c r="P32" i="1"/>
  <c r="M64" i="1"/>
  <c r="L64" i="1"/>
  <c r="T64" i="1"/>
  <c r="U64" i="1" s="1"/>
  <c r="S64" i="1"/>
  <c r="L95" i="1"/>
  <c r="T95" i="1"/>
  <c r="U95" i="1" s="1"/>
  <c r="M95" i="1"/>
  <c r="S95" i="1"/>
  <c r="M35" i="1"/>
  <c r="L35" i="1"/>
  <c r="T35" i="1"/>
  <c r="U35" i="1" s="1"/>
  <c r="M61" i="1"/>
  <c r="L61" i="1"/>
  <c r="T61" i="1"/>
  <c r="U61" i="1" s="1"/>
  <c r="S61" i="1"/>
  <c r="S35" i="1"/>
  <c r="P35" i="1"/>
  <c r="S32" i="1"/>
  <c r="M32" i="1"/>
  <c r="T32" i="1"/>
  <c r="U32" i="1" s="1"/>
  <c r="M52" i="1"/>
  <c r="L52" i="1"/>
  <c r="T52" i="1"/>
  <c r="U52" i="1" s="1"/>
  <c r="S52" i="1"/>
  <c r="P52" i="1"/>
  <c r="N24" i="1"/>
  <c r="N50" i="1"/>
  <c r="N109" i="1"/>
  <c r="N70" i="1"/>
  <c r="N53" i="1"/>
  <c r="N97" i="1"/>
  <c r="N117" i="1"/>
  <c r="N93" i="1"/>
  <c r="N89" i="1"/>
  <c r="N104" i="1"/>
  <c r="N23" i="1"/>
  <c r="N94" i="1"/>
  <c r="N90" i="1"/>
  <c r="N7" i="1"/>
  <c r="N26" i="1"/>
  <c r="N132" i="1"/>
  <c r="N131" i="1"/>
  <c r="N121" i="1"/>
  <c r="N27" i="1"/>
  <c r="N133" i="1"/>
  <c r="N63" i="1"/>
  <c r="N51" i="1"/>
  <c r="N75" i="1"/>
  <c r="N43" i="1"/>
  <c r="N15" i="1"/>
  <c r="N57" i="1"/>
  <c r="N73" i="1"/>
  <c r="N116" i="1"/>
  <c r="N59" i="1"/>
  <c r="N40" i="1"/>
  <c r="N46" i="1"/>
  <c r="N112" i="1"/>
  <c r="N101" i="1"/>
  <c r="N38" i="1"/>
  <c r="N74" i="1"/>
  <c r="O128" i="1"/>
  <c r="K128" i="1"/>
  <c r="S128" i="1" s="1"/>
  <c r="N30" i="1"/>
  <c r="N129" i="1"/>
  <c r="N82" i="1"/>
  <c r="N29" i="1"/>
  <c r="N85" i="1"/>
  <c r="N120" i="1"/>
  <c r="N18" i="1"/>
  <c r="N60" i="1"/>
  <c r="N8" i="1"/>
  <c r="N31" i="1"/>
  <c r="N108" i="1"/>
  <c r="N122" i="1"/>
  <c r="N56" i="1"/>
  <c r="N47" i="1"/>
  <c r="N34" i="1"/>
  <c r="N126" i="1"/>
  <c r="N69" i="1"/>
  <c r="N71" i="1"/>
  <c r="K96" i="1"/>
  <c r="S96" i="1" s="1"/>
  <c r="P37" i="1"/>
  <c r="M36" i="1"/>
  <c r="L36" i="1"/>
  <c r="T36" i="1"/>
  <c r="U36" i="1" s="1"/>
  <c r="P36" i="1"/>
  <c r="T37" i="1"/>
  <c r="U37" i="1" s="1"/>
  <c r="M37" i="1"/>
  <c r="L37" i="1"/>
  <c r="P106" i="1"/>
  <c r="L106" i="1"/>
  <c r="T106" i="1"/>
  <c r="U106" i="1" s="1"/>
  <c r="M106" i="1"/>
  <c r="L115" i="1"/>
  <c r="M115" i="1"/>
  <c r="T115" i="1"/>
  <c r="U115" i="1" s="1"/>
  <c r="O115" i="1"/>
  <c r="P115" i="1" s="1"/>
  <c r="O49" i="1"/>
  <c r="P49" i="1" s="1"/>
  <c r="O92" i="1"/>
  <c r="P92" i="1" s="1"/>
  <c r="M49" i="1"/>
  <c r="T49" i="1"/>
  <c r="U49" i="1" s="1"/>
  <c r="L49" i="1"/>
  <c r="L114" i="1"/>
  <c r="T114" i="1"/>
  <c r="U114" i="1" s="1"/>
  <c r="M114" i="1"/>
  <c r="T92" i="1"/>
  <c r="U92" i="1" s="1"/>
  <c r="M92" i="1"/>
  <c r="L92" i="1"/>
  <c r="L111" i="1"/>
  <c r="M111" i="1"/>
  <c r="T111" i="1"/>
  <c r="U111" i="1" s="1"/>
  <c r="D8" i="12"/>
  <c r="E8" i="12" s="1"/>
  <c r="D9" i="12"/>
  <c r="E9" i="12" s="1"/>
  <c r="D7" i="12"/>
  <c r="E7" i="12" s="1"/>
  <c r="D247" i="12"/>
  <c r="E247" i="12" s="1"/>
  <c r="D239" i="12"/>
  <c r="E239" i="12" s="1"/>
  <c r="G105" i="1"/>
  <c r="H105" i="1" s="1"/>
  <c r="J105" i="1"/>
  <c r="D238" i="12"/>
  <c r="E238" i="12" s="1"/>
  <c r="D246" i="12"/>
  <c r="E246" i="12" s="1"/>
  <c r="D383" i="12"/>
  <c r="E383" i="12" s="1"/>
  <c r="D387" i="12"/>
  <c r="E387" i="12" s="1"/>
  <c r="D386" i="12"/>
  <c r="E386" i="12" s="1"/>
  <c r="D382" i="12"/>
  <c r="E382" i="12" s="1"/>
  <c r="D385" i="12"/>
  <c r="E385" i="12" s="1"/>
  <c r="D381" i="12"/>
  <c r="E381" i="12" s="1"/>
  <c r="D330" i="12"/>
  <c r="E330" i="12" s="1"/>
  <c r="D331" i="12"/>
  <c r="E331" i="12" s="1"/>
  <c r="D332" i="12"/>
  <c r="E332" i="12" s="1"/>
  <c r="D380" i="12"/>
  <c r="E380" i="12" s="1"/>
  <c r="D384" i="12"/>
  <c r="E384" i="12" s="1"/>
  <c r="G2" i="1"/>
  <c r="H2" i="1" s="1"/>
  <c r="J2" i="1"/>
  <c r="R98" i="1" l="1"/>
  <c r="R95" i="1"/>
  <c r="R64" i="1"/>
  <c r="M96" i="1"/>
  <c r="R52" i="1"/>
  <c r="R35" i="1"/>
  <c r="R32" i="1"/>
  <c r="P96" i="1"/>
  <c r="R61" i="1"/>
  <c r="L96" i="1"/>
  <c r="T96" i="1"/>
  <c r="U96" i="1" s="1"/>
  <c r="L128" i="1"/>
  <c r="P128" i="1"/>
  <c r="T128" i="1"/>
  <c r="U128" i="1" s="1"/>
  <c r="M128" i="1"/>
  <c r="R37" i="1"/>
  <c r="R36" i="1"/>
  <c r="R106" i="1"/>
  <c r="R115" i="1"/>
  <c r="R92" i="1"/>
  <c r="R49" i="1"/>
  <c r="R114" i="1"/>
  <c r="O114" i="1"/>
  <c r="P114" i="1" s="1"/>
  <c r="R111" i="1"/>
  <c r="O111" i="1"/>
  <c r="P111" i="1" s="1"/>
  <c r="G246" i="12"/>
  <c r="G387" i="12"/>
  <c r="G380" i="12"/>
  <c r="G7" i="12"/>
  <c r="G386" i="12"/>
  <c r="G239" i="12"/>
  <c r="G383" i="12"/>
  <c r="G332" i="12"/>
  <c r="G247" i="12"/>
  <c r="G385" i="12"/>
  <c r="G382" i="12"/>
  <c r="G331" i="12"/>
  <c r="G8" i="12"/>
  <c r="G9" i="12"/>
  <c r="G238" i="12"/>
  <c r="G384" i="12"/>
  <c r="G381" i="12"/>
  <c r="G330" i="12"/>
  <c r="Q105" i="1"/>
  <c r="Q2" i="1"/>
  <c r="G81" i="1"/>
  <c r="H81" i="1" s="1"/>
  <c r="J81" i="1"/>
  <c r="R96" i="1" l="1"/>
  <c r="R128" i="1"/>
  <c r="N105" i="1"/>
  <c r="N2" i="1"/>
  <c r="Q81" i="1"/>
  <c r="G4" i="1"/>
  <c r="H4" i="1" s="1"/>
  <c r="J4" i="1"/>
  <c r="G22" i="1"/>
  <c r="H22" i="1" s="1"/>
  <c r="J22" i="1"/>
  <c r="G65" i="1"/>
  <c r="H65" i="1" s="1"/>
  <c r="J65" i="1"/>
  <c r="G13" i="1"/>
  <c r="H13" i="1" s="1"/>
  <c r="J13" i="1"/>
  <c r="G20" i="1"/>
  <c r="H20" i="1" s="1"/>
  <c r="J20" i="1"/>
  <c r="G42" i="1"/>
  <c r="H42" i="1" s="1"/>
  <c r="J42" i="1"/>
  <c r="G19" i="1"/>
  <c r="H19" i="1" s="1"/>
  <c r="J19" i="1"/>
  <c r="G55" i="1"/>
  <c r="H55" i="1" s="1"/>
  <c r="J55" i="1"/>
  <c r="G14" i="1"/>
  <c r="H14" i="1" s="1"/>
  <c r="J14" i="1"/>
  <c r="N81" i="1" l="1"/>
  <c r="Q14" i="1"/>
  <c r="Q55" i="1"/>
  <c r="Q19" i="1"/>
  <c r="Q42" i="1"/>
  <c r="Q20" i="1"/>
  <c r="Q13" i="1"/>
  <c r="Q65" i="1"/>
  <c r="Q22" i="1"/>
  <c r="Q4" i="1"/>
  <c r="G9" i="1"/>
  <c r="H9" i="1" s="1"/>
  <c r="G6" i="1"/>
  <c r="H6" i="1" s="1"/>
  <c r="G66" i="1"/>
  <c r="H66" i="1" s="1"/>
  <c r="G45" i="1"/>
  <c r="H45" i="1" s="1"/>
  <c r="G136" i="1"/>
  <c r="H136" i="1" s="1"/>
  <c r="G135" i="1"/>
  <c r="H135" i="1" s="1"/>
  <c r="G3" i="1"/>
  <c r="H3" i="1" s="1"/>
  <c r="G86" i="1"/>
  <c r="H86" i="1" s="1"/>
  <c r="G39" i="1"/>
  <c r="H39" i="1" s="1"/>
  <c r="G10" i="1"/>
  <c r="H10" i="1" s="1"/>
  <c r="G11" i="1"/>
  <c r="H11" i="1" s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78" i="9"/>
  <c r="N65" i="1" l="1"/>
  <c r="N13" i="1"/>
  <c r="N55" i="1"/>
  <c r="N4" i="1"/>
  <c r="N20" i="1"/>
  <c r="N14" i="1"/>
  <c r="N22" i="1"/>
  <c r="N42" i="1"/>
  <c r="N19" i="1"/>
  <c r="M135" i="1"/>
  <c r="M136" i="1"/>
  <c r="M116" i="9"/>
  <c r="L116" i="9"/>
  <c r="K116" i="9"/>
  <c r="M117" i="9"/>
  <c r="L117" i="9"/>
  <c r="K117" i="9"/>
  <c r="M118" i="9"/>
  <c r="L118" i="9"/>
  <c r="K118" i="9"/>
  <c r="Q113" i="9"/>
  <c r="R113" i="9"/>
  <c r="M119" i="9"/>
  <c r="V113" i="9" s="1"/>
  <c r="L119" i="9"/>
  <c r="K119" i="9"/>
  <c r="T113" i="9" s="1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U117" i="9" s="1"/>
  <c r="K123" i="9"/>
  <c r="T117" i="9" s="1"/>
  <c r="Q118" i="9"/>
  <c r="R118" i="9"/>
  <c r="M124" i="9"/>
  <c r="V118" i="9" s="1"/>
  <c r="L124" i="9"/>
  <c r="U118" i="9" s="1"/>
  <c r="K124" i="9"/>
  <c r="Q119" i="9"/>
  <c r="R119" i="9"/>
  <c r="M125" i="9"/>
  <c r="V119" i="9" s="1"/>
  <c r="L125" i="9"/>
  <c r="K125" i="9"/>
  <c r="Q120" i="9"/>
  <c r="R120" i="9"/>
  <c r="M126" i="9"/>
  <c r="L126" i="9"/>
  <c r="K126" i="9"/>
  <c r="T120" i="9" s="1"/>
  <c r="Q121" i="9"/>
  <c r="R121" i="9"/>
  <c r="M127" i="9"/>
  <c r="L127" i="9"/>
  <c r="U121" i="9" s="1"/>
  <c r="K127" i="9"/>
  <c r="T121" i="9" s="1"/>
  <c r="Q122" i="9"/>
  <c r="R122" i="9"/>
  <c r="M128" i="9"/>
  <c r="V122" i="9" s="1"/>
  <c r="L128" i="9"/>
  <c r="U122" i="9" s="1"/>
  <c r="K128" i="9"/>
  <c r="Q123" i="9"/>
  <c r="R123" i="9"/>
  <c r="M129" i="9"/>
  <c r="V123" i="9" s="1"/>
  <c r="L129" i="9"/>
  <c r="K129" i="9"/>
  <c r="Q124" i="9"/>
  <c r="R124" i="9"/>
  <c r="M130" i="9"/>
  <c r="L130" i="9"/>
  <c r="K130" i="9"/>
  <c r="T124" i="9" s="1"/>
  <c r="Q125" i="9"/>
  <c r="R125" i="9"/>
  <c r="M131" i="9"/>
  <c r="L131" i="9"/>
  <c r="U125" i="9" s="1"/>
  <c r="K131" i="9"/>
  <c r="T125" i="9" s="1"/>
  <c r="Q126" i="9"/>
  <c r="R126" i="9"/>
  <c r="M132" i="9"/>
  <c r="L132" i="9"/>
  <c r="K132" i="9"/>
  <c r="Q127" i="9"/>
  <c r="R127" i="9"/>
  <c r="M133" i="9"/>
  <c r="L133" i="9"/>
  <c r="K133" i="9"/>
  <c r="R89" i="9"/>
  <c r="Q89" i="9"/>
  <c r="R82" i="9"/>
  <c r="Q82" i="9"/>
  <c r="R108" i="9"/>
  <c r="Q108" i="9"/>
  <c r="R100" i="9"/>
  <c r="Q100" i="9"/>
  <c r="R96" i="9"/>
  <c r="Q96" i="9"/>
  <c r="R69" i="9"/>
  <c r="R67" i="9"/>
  <c r="R65" i="9"/>
  <c r="R63" i="9"/>
  <c r="R62" i="9"/>
  <c r="R107" i="9"/>
  <c r="R106" i="9"/>
  <c r="R102" i="9"/>
  <c r="R81" i="9"/>
  <c r="R80" i="9"/>
  <c r="R77" i="9"/>
  <c r="R74" i="9"/>
  <c r="R59" i="9"/>
  <c r="R58" i="9"/>
  <c r="R57" i="9"/>
  <c r="R56" i="9"/>
  <c r="R55" i="9"/>
  <c r="R53" i="9"/>
  <c r="R52" i="9"/>
  <c r="R49" i="9"/>
  <c r="R48" i="9"/>
  <c r="R47" i="9"/>
  <c r="R44" i="9"/>
  <c r="R43" i="9"/>
  <c r="R42" i="9"/>
  <c r="R39" i="9"/>
  <c r="R38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66" i="9"/>
  <c r="R72" i="9"/>
  <c r="R71" i="9"/>
  <c r="R79" i="9"/>
  <c r="R40" i="9"/>
  <c r="R90" i="9"/>
  <c r="R54" i="9"/>
  <c r="R130" i="9"/>
  <c r="R70" i="9"/>
  <c r="R73" i="9"/>
  <c r="R68" i="9"/>
  <c r="R64" i="9"/>
  <c r="R101" i="9"/>
  <c r="R8" i="9"/>
  <c r="R37" i="9"/>
  <c r="R60" i="9"/>
  <c r="R41" i="9"/>
  <c r="R50" i="9"/>
  <c r="R46" i="9"/>
  <c r="R45" i="9"/>
  <c r="R51" i="9"/>
  <c r="J7" i="9"/>
  <c r="S112" i="9" s="1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U13" i="9" s="1"/>
  <c r="M72" i="9"/>
  <c r="V13" i="9" s="1"/>
  <c r="J73" i="9"/>
  <c r="K73" i="9"/>
  <c r="L73" i="9"/>
  <c r="M73" i="9"/>
  <c r="J74" i="9"/>
  <c r="K74" i="9"/>
  <c r="L74" i="9"/>
  <c r="U7" i="9" s="1"/>
  <c r="M74" i="9"/>
  <c r="V7" i="9" s="1"/>
  <c r="J75" i="9"/>
  <c r="S30" i="9" s="1"/>
  <c r="K75" i="9"/>
  <c r="T30" i="9" s="1"/>
  <c r="L75" i="9"/>
  <c r="U30" i="9" s="1"/>
  <c r="M75" i="9"/>
  <c r="V30" i="9" s="1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K83" i="9"/>
  <c r="L83" i="9"/>
  <c r="M83" i="9"/>
  <c r="J84" i="9"/>
  <c r="S32" i="9" s="1"/>
  <c r="K84" i="9"/>
  <c r="T32" i="9" s="1"/>
  <c r="L84" i="9"/>
  <c r="U32" i="9" s="1"/>
  <c r="M84" i="9"/>
  <c r="V32" i="9" s="1"/>
  <c r="J85" i="9"/>
  <c r="S33" i="9" s="1"/>
  <c r="K85" i="9"/>
  <c r="T33" i="9" s="1"/>
  <c r="L85" i="9"/>
  <c r="U33" i="9" s="1"/>
  <c r="M85" i="9"/>
  <c r="V33" i="9" s="1"/>
  <c r="J86" i="9"/>
  <c r="S34" i="9" s="1"/>
  <c r="K86" i="9"/>
  <c r="T34" i="9" s="1"/>
  <c r="L86" i="9"/>
  <c r="U34" i="9" s="1"/>
  <c r="M86" i="9"/>
  <c r="V34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K92" i="9"/>
  <c r="L92" i="9"/>
  <c r="M92" i="9"/>
  <c r="J93" i="9"/>
  <c r="K93" i="9"/>
  <c r="L93" i="9"/>
  <c r="M93" i="9"/>
  <c r="J94" i="9"/>
  <c r="K94" i="9"/>
  <c r="L94" i="9"/>
  <c r="M94" i="9"/>
  <c r="J95" i="9"/>
  <c r="S35" i="9" s="1"/>
  <c r="K95" i="9"/>
  <c r="T35" i="9" s="1"/>
  <c r="L95" i="9"/>
  <c r="U35" i="9" s="1"/>
  <c r="M95" i="9"/>
  <c r="V35" i="9" s="1"/>
  <c r="J96" i="9"/>
  <c r="S36" i="9" s="1"/>
  <c r="K96" i="9"/>
  <c r="T36" i="9" s="1"/>
  <c r="L96" i="9"/>
  <c r="U36" i="9" s="1"/>
  <c r="M96" i="9"/>
  <c r="V36" i="9" s="1"/>
  <c r="J97" i="9"/>
  <c r="K97" i="9"/>
  <c r="L97" i="9"/>
  <c r="U25" i="9" s="1"/>
  <c r="M97" i="9"/>
  <c r="V25" i="9" s="1"/>
  <c r="J98" i="9"/>
  <c r="K98" i="9"/>
  <c r="L98" i="9"/>
  <c r="U26" i="9" s="1"/>
  <c r="M98" i="9"/>
  <c r="V26" i="9" s="1"/>
  <c r="J99" i="9"/>
  <c r="K99" i="9"/>
  <c r="L99" i="9"/>
  <c r="U27" i="9" s="1"/>
  <c r="M99" i="9"/>
  <c r="V27" i="9" s="1"/>
  <c r="J100" i="9"/>
  <c r="K100" i="9"/>
  <c r="L100" i="9"/>
  <c r="U28" i="9" s="1"/>
  <c r="M100" i="9"/>
  <c r="V28" i="9" s="1"/>
  <c r="J101" i="9"/>
  <c r="K101" i="9"/>
  <c r="L101" i="9"/>
  <c r="U29" i="9" s="1"/>
  <c r="M101" i="9"/>
  <c r="V29" i="9" s="1"/>
  <c r="J102" i="9"/>
  <c r="K102" i="9"/>
  <c r="L102" i="9"/>
  <c r="U23" i="9" s="1"/>
  <c r="M102" i="9"/>
  <c r="V23" i="9" s="1"/>
  <c r="J103" i="9"/>
  <c r="K103" i="9"/>
  <c r="L103" i="9"/>
  <c r="U24" i="9" s="1"/>
  <c r="M103" i="9"/>
  <c r="V24" i="9" s="1"/>
  <c r="J104" i="9"/>
  <c r="S85" i="9" s="1"/>
  <c r="K104" i="9"/>
  <c r="T85" i="9" s="1"/>
  <c r="L104" i="9"/>
  <c r="U85" i="9" s="1"/>
  <c r="M104" i="9"/>
  <c r="V85" i="9" s="1"/>
  <c r="J105" i="9"/>
  <c r="S86" i="9" s="1"/>
  <c r="K105" i="9"/>
  <c r="T86" i="9" s="1"/>
  <c r="L105" i="9"/>
  <c r="U86" i="9" s="1"/>
  <c r="M105" i="9"/>
  <c r="V86" i="9" s="1"/>
  <c r="J106" i="9"/>
  <c r="S83" i="9" s="1"/>
  <c r="K106" i="9"/>
  <c r="T83" i="9" s="1"/>
  <c r="L106" i="9"/>
  <c r="U83" i="9" s="1"/>
  <c r="M106" i="9"/>
  <c r="V83" i="9" s="1"/>
  <c r="J107" i="9"/>
  <c r="S84" i="9" s="1"/>
  <c r="K107" i="9"/>
  <c r="T84" i="9" s="1"/>
  <c r="L107" i="9"/>
  <c r="U84" i="9" s="1"/>
  <c r="M107" i="9"/>
  <c r="V84" i="9" s="1"/>
  <c r="J108" i="9"/>
  <c r="S92" i="9" s="1"/>
  <c r="K108" i="9"/>
  <c r="T92" i="9" s="1"/>
  <c r="L108" i="9"/>
  <c r="U92" i="9" s="1"/>
  <c r="M108" i="9"/>
  <c r="V92" i="9" s="1"/>
  <c r="J109" i="9"/>
  <c r="S93" i="9" s="1"/>
  <c r="K109" i="9"/>
  <c r="T93" i="9" s="1"/>
  <c r="L109" i="9"/>
  <c r="U93" i="9" s="1"/>
  <c r="M109" i="9"/>
  <c r="V93" i="9" s="1"/>
  <c r="J110" i="9"/>
  <c r="K110" i="9"/>
  <c r="L110" i="9"/>
  <c r="M110" i="9"/>
  <c r="J111" i="9"/>
  <c r="K111" i="9"/>
  <c r="L111" i="9"/>
  <c r="M111" i="9"/>
  <c r="S108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T26" i="9" l="1"/>
  <c r="T28" i="9"/>
  <c r="T13" i="9"/>
  <c r="U113" i="9"/>
  <c r="S28" i="9"/>
  <c r="S27" i="9"/>
  <c r="S26" i="9"/>
  <c r="S25" i="9"/>
  <c r="S7" i="9"/>
  <c r="S13" i="9"/>
  <c r="V125" i="9"/>
  <c r="U124" i="9"/>
  <c r="T123" i="9"/>
  <c r="V121" i="9"/>
  <c r="U120" i="9"/>
  <c r="T119" i="9"/>
  <c r="V117" i="9"/>
  <c r="U116" i="9"/>
  <c r="T115" i="9"/>
  <c r="T27" i="9"/>
  <c r="T25" i="9"/>
  <c r="T7" i="9"/>
  <c r="V124" i="9"/>
  <c r="U123" i="9"/>
  <c r="T122" i="9"/>
  <c r="V120" i="9"/>
  <c r="U119" i="9"/>
  <c r="T118" i="9"/>
  <c r="V116" i="9"/>
  <c r="U115" i="9"/>
  <c r="T114" i="9"/>
  <c r="V16" i="9"/>
  <c r="U16" i="9"/>
  <c r="T16" i="9"/>
  <c r="S16" i="9"/>
  <c r="V11" i="9"/>
  <c r="U11" i="9"/>
  <c r="T11" i="9"/>
  <c r="S11" i="9"/>
  <c r="V95" i="9"/>
  <c r="U95" i="9"/>
  <c r="T95" i="9"/>
  <c r="S95" i="9"/>
  <c r="V94" i="9"/>
  <c r="U94" i="9"/>
  <c r="T94" i="9"/>
  <c r="S94" i="9"/>
  <c r="S111" i="9"/>
  <c r="V91" i="9"/>
  <c r="U91" i="9"/>
  <c r="T91" i="9"/>
  <c r="S91" i="9"/>
  <c r="V22" i="9"/>
  <c r="U22" i="9"/>
  <c r="T22" i="9"/>
  <c r="S22" i="9"/>
  <c r="V21" i="9"/>
  <c r="U21" i="9"/>
  <c r="T21" i="9"/>
  <c r="S21" i="9"/>
  <c r="V20" i="9"/>
  <c r="U20" i="9"/>
  <c r="T20" i="9"/>
  <c r="S20" i="9"/>
  <c r="V87" i="9"/>
  <c r="U87" i="9"/>
  <c r="T87" i="9"/>
  <c r="S87" i="9"/>
  <c r="V111" i="9"/>
  <c r="U111" i="9"/>
  <c r="T111" i="9"/>
  <c r="V110" i="9"/>
  <c r="U110" i="9"/>
  <c r="T110" i="9"/>
  <c r="S110" i="9"/>
  <c r="V109" i="9"/>
  <c r="U109" i="9"/>
  <c r="T109" i="9"/>
  <c r="S109" i="9"/>
  <c r="T82" i="9"/>
  <c r="S82" i="9"/>
  <c r="V115" i="9"/>
  <c r="U114" i="9"/>
  <c r="T116" i="9"/>
  <c r="V114" i="9"/>
  <c r="U82" i="9"/>
  <c r="V82" i="9"/>
  <c r="V108" i="9"/>
  <c r="V112" i="9"/>
  <c r="U108" i="9"/>
  <c r="U112" i="9"/>
  <c r="T108" i="9"/>
  <c r="T112" i="9"/>
  <c r="V100" i="9"/>
  <c r="V75" i="9"/>
  <c r="U100" i="9"/>
  <c r="U75" i="9"/>
  <c r="T100" i="9"/>
  <c r="T75" i="9"/>
  <c r="S100" i="9"/>
  <c r="S75" i="9"/>
  <c r="V96" i="9"/>
  <c r="V76" i="9"/>
  <c r="U96" i="9"/>
  <c r="U76" i="9"/>
  <c r="T96" i="9"/>
  <c r="T76" i="9"/>
  <c r="S96" i="9"/>
  <c r="S76" i="9"/>
  <c r="T66" i="9"/>
  <c r="T24" i="9"/>
  <c r="S66" i="9"/>
  <c r="S24" i="9"/>
  <c r="T72" i="9"/>
  <c r="T23" i="9"/>
  <c r="S72" i="9"/>
  <c r="S23" i="9"/>
  <c r="T71" i="9"/>
  <c r="T29" i="9"/>
  <c r="S71" i="9"/>
  <c r="S29" i="9"/>
  <c r="V79" i="9"/>
  <c r="V103" i="9"/>
  <c r="U79" i="9"/>
  <c r="U103" i="9"/>
  <c r="T79" i="9"/>
  <c r="T103" i="9"/>
  <c r="S79" i="9"/>
  <c r="S103" i="9"/>
  <c r="V40" i="9"/>
  <c r="V19" i="9"/>
  <c r="U40" i="9"/>
  <c r="U19" i="9"/>
  <c r="T40" i="9"/>
  <c r="T19" i="9"/>
  <c r="S40" i="9"/>
  <c r="S19" i="9"/>
  <c r="V90" i="9"/>
  <c r="V18" i="9"/>
  <c r="U90" i="9"/>
  <c r="U18" i="9"/>
  <c r="T90" i="9"/>
  <c r="T18" i="9"/>
  <c r="S90" i="9"/>
  <c r="S18" i="9"/>
  <c r="V54" i="9"/>
  <c r="V17" i="9"/>
  <c r="U54" i="9"/>
  <c r="U17" i="9"/>
  <c r="T54" i="9"/>
  <c r="T17" i="9"/>
  <c r="S54" i="9"/>
  <c r="S17" i="9"/>
  <c r="V70" i="9"/>
  <c r="V15" i="9"/>
  <c r="U70" i="9"/>
  <c r="U15" i="9"/>
  <c r="T70" i="9"/>
  <c r="T15" i="9"/>
  <c r="S70" i="9"/>
  <c r="S15" i="9"/>
  <c r="V73" i="9"/>
  <c r="V61" i="9"/>
  <c r="U73" i="9"/>
  <c r="U61" i="9"/>
  <c r="T73" i="9"/>
  <c r="T61" i="9"/>
  <c r="S73" i="9"/>
  <c r="S61" i="9"/>
  <c r="V68" i="9"/>
  <c r="V10" i="9"/>
  <c r="U68" i="9"/>
  <c r="U10" i="9"/>
  <c r="T68" i="9"/>
  <c r="T10" i="9"/>
  <c r="S68" i="9"/>
  <c r="S10" i="9"/>
  <c r="V64" i="9"/>
  <c r="V12" i="9"/>
  <c r="U64" i="9"/>
  <c r="U12" i="9"/>
  <c r="T64" i="9"/>
  <c r="T12" i="9"/>
  <c r="S64" i="9"/>
  <c r="S12" i="9"/>
  <c r="V101" i="9"/>
  <c r="V9" i="9"/>
  <c r="U101" i="9"/>
  <c r="U9" i="9"/>
  <c r="T101" i="9"/>
  <c r="T9" i="9"/>
  <c r="S101" i="9"/>
  <c r="S9" i="9"/>
  <c r="V8" i="9"/>
  <c r="V31" i="9"/>
  <c r="U8" i="9"/>
  <c r="U31" i="9"/>
  <c r="T8" i="9"/>
  <c r="T31" i="9"/>
  <c r="S8" i="9"/>
  <c r="S31" i="9"/>
  <c r="V37" i="9"/>
  <c r="V14" i="9"/>
  <c r="U37" i="9"/>
  <c r="U14" i="9"/>
  <c r="T37" i="9"/>
  <c r="T14" i="9"/>
  <c r="S37" i="9"/>
  <c r="S14" i="9"/>
  <c r="V60" i="9"/>
  <c r="V99" i="9"/>
  <c r="U60" i="9"/>
  <c r="U99" i="9"/>
  <c r="T60" i="9"/>
  <c r="T99" i="9"/>
  <c r="S60" i="9"/>
  <c r="S99" i="9"/>
  <c r="V41" i="9"/>
  <c r="V98" i="9"/>
  <c r="U41" i="9"/>
  <c r="U98" i="9"/>
  <c r="T41" i="9"/>
  <c r="T98" i="9"/>
  <c r="S41" i="9"/>
  <c r="S98" i="9"/>
  <c r="V50" i="9"/>
  <c r="V97" i="9"/>
  <c r="U50" i="9"/>
  <c r="U97" i="9"/>
  <c r="T50" i="9"/>
  <c r="T97" i="9"/>
  <c r="S50" i="9"/>
  <c r="S97" i="9"/>
  <c r="V46" i="9"/>
  <c r="V105" i="9"/>
  <c r="U46" i="9"/>
  <c r="U105" i="9"/>
  <c r="T46" i="9"/>
  <c r="T105" i="9"/>
  <c r="S46" i="9"/>
  <c r="S105" i="9"/>
  <c r="V45" i="9"/>
  <c r="V104" i="9"/>
  <c r="U45" i="9"/>
  <c r="U104" i="9"/>
  <c r="T45" i="9"/>
  <c r="T104" i="9"/>
  <c r="S45" i="9"/>
  <c r="S104" i="9"/>
  <c r="V51" i="9"/>
  <c r="V88" i="9"/>
  <c r="U51" i="9"/>
  <c r="U88" i="9"/>
  <c r="T51" i="9"/>
  <c r="T88" i="9"/>
  <c r="S51" i="9"/>
  <c r="S88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89" i="9"/>
  <c r="V131" i="9"/>
  <c r="U89" i="9"/>
  <c r="U131" i="9"/>
  <c r="T89" i="9"/>
  <c r="T131" i="9"/>
  <c r="S89" i="9"/>
  <c r="V78" i="9"/>
  <c r="U78" i="9"/>
  <c r="T78" i="9"/>
  <c r="S78" i="9"/>
  <c r="V72" i="9"/>
  <c r="U72" i="9"/>
  <c r="V71" i="9"/>
  <c r="U71" i="9"/>
  <c r="V69" i="9"/>
  <c r="U69" i="9"/>
  <c r="T69" i="9"/>
  <c r="S69" i="9"/>
  <c r="V67" i="9"/>
  <c r="U67" i="9"/>
  <c r="T67" i="9"/>
  <c r="S67" i="9"/>
  <c r="V66" i="9"/>
  <c r="U66" i="9"/>
  <c r="V65" i="9"/>
  <c r="U65" i="9"/>
  <c r="T65" i="9"/>
  <c r="S65" i="9"/>
  <c r="V63" i="9"/>
  <c r="U63" i="9"/>
  <c r="T63" i="9"/>
  <c r="S63" i="9"/>
  <c r="V62" i="9"/>
  <c r="U62" i="9"/>
  <c r="T62" i="9"/>
  <c r="S62" i="9"/>
  <c r="V130" i="9"/>
  <c r="U130" i="9"/>
  <c r="T130" i="9"/>
  <c r="V107" i="9"/>
  <c r="U107" i="9"/>
  <c r="T107" i="9"/>
  <c r="S107" i="9"/>
  <c r="V106" i="9"/>
  <c r="U106" i="9"/>
  <c r="T106" i="9"/>
  <c r="S106" i="9"/>
  <c r="V102" i="9"/>
  <c r="U102" i="9"/>
  <c r="T102" i="9"/>
  <c r="S102" i="9"/>
  <c r="V81" i="9"/>
  <c r="U81" i="9"/>
  <c r="T81" i="9"/>
  <c r="S81" i="9"/>
  <c r="V80" i="9"/>
  <c r="U80" i="9"/>
  <c r="T80" i="9"/>
  <c r="S80" i="9"/>
  <c r="V77" i="9"/>
  <c r="U77" i="9"/>
  <c r="T77" i="9"/>
  <c r="S77" i="9"/>
  <c r="V74" i="9"/>
  <c r="U74" i="9"/>
  <c r="T74" i="9"/>
  <c r="S74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3" i="9"/>
  <c r="U53" i="9"/>
  <c r="T53" i="9"/>
  <c r="S53" i="9"/>
  <c r="V52" i="9"/>
  <c r="U52" i="9"/>
  <c r="T52" i="9"/>
  <c r="S52" i="9"/>
  <c r="V49" i="9"/>
  <c r="U49" i="9"/>
  <c r="T49" i="9"/>
  <c r="S49" i="9"/>
  <c r="V48" i="9"/>
  <c r="U48" i="9"/>
  <c r="T48" i="9"/>
  <c r="S48" i="9"/>
  <c r="V47" i="9"/>
  <c r="U47" i="9"/>
  <c r="T47" i="9"/>
  <c r="S47" i="9"/>
  <c r="V44" i="9"/>
  <c r="U44" i="9"/>
  <c r="T44" i="9"/>
  <c r="S44" i="9"/>
  <c r="V43" i="9"/>
  <c r="U43" i="9"/>
  <c r="T43" i="9"/>
  <c r="S43" i="9"/>
  <c r="V42" i="9"/>
  <c r="U42" i="9"/>
  <c r="T42" i="9"/>
  <c r="S42" i="9"/>
  <c r="V39" i="9"/>
  <c r="U39" i="9"/>
  <c r="T39" i="9"/>
  <c r="S39" i="9"/>
  <c r="V38" i="9"/>
  <c r="U38" i="9"/>
  <c r="T38" i="9"/>
  <c r="S38" i="9"/>
  <c r="J39" i="1"/>
  <c r="J86" i="1"/>
  <c r="J45" i="1"/>
  <c r="J11" i="1"/>
  <c r="J66" i="1"/>
  <c r="J9" i="1"/>
  <c r="J6" i="1"/>
  <c r="J10" i="1"/>
  <c r="J135" i="1"/>
  <c r="J432" i="12" l="1"/>
  <c r="H432" i="12" s="1"/>
  <c r="J433" i="12"/>
  <c r="H433" i="12" s="1"/>
  <c r="J429" i="12"/>
  <c r="H429" i="12" s="1"/>
  <c r="I429" i="12" s="1"/>
  <c r="J425" i="12"/>
  <c r="H425" i="12" s="1"/>
  <c r="V110" i="1"/>
  <c r="K110" i="1" s="1"/>
  <c r="S110" i="1" s="1"/>
  <c r="J419" i="12"/>
  <c r="H419" i="12" s="1"/>
  <c r="I419" i="12" s="1"/>
  <c r="J414" i="12"/>
  <c r="H414" i="12" s="1"/>
  <c r="V80" i="1"/>
  <c r="K80" i="1" s="1"/>
  <c r="S80" i="1" s="1"/>
  <c r="J412" i="12"/>
  <c r="H412" i="12" s="1"/>
  <c r="I412" i="12" s="1"/>
  <c r="J409" i="12"/>
  <c r="H409" i="12" s="1"/>
  <c r="I409" i="12" s="1"/>
  <c r="V113" i="1"/>
  <c r="K113" i="1" s="1"/>
  <c r="S113" i="1" s="1"/>
  <c r="J406" i="12"/>
  <c r="H406" i="12" s="1"/>
  <c r="I406" i="12" s="1"/>
  <c r="J401" i="12"/>
  <c r="H401" i="12" s="1"/>
  <c r="I401" i="12" s="1"/>
  <c r="J398" i="12"/>
  <c r="H398" i="12" s="1"/>
  <c r="I398" i="12" s="1"/>
  <c r="J394" i="12"/>
  <c r="H394" i="12" s="1"/>
  <c r="I394" i="12" s="1"/>
  <c r="J3" i="12"/>
  <c r="H3" i="12" s="1"/>
  <c r="I3" i="12" s="1"/>
  <c r="J7" i="12"/>
  <c r="H7" i="12" s="1"/>
  <c r="I7" i="12" s="1"/>
  <c r="J11" i="12"/>
  <c r="H11" i="12" s="1"/>
  <c r="I11" i="12" s="1"/>
  <c r="J15" i="12"/>
  <c r="H15" i="12" s="1"/>
  <c r="I15" i="12" s="1"/>
  <c r="J19" i="12"/>
  <c r="H19" i="12" s="1"/>
  <c r="I19" i="12" s="1"/>
  <c r="J23" i="12"/>
  <c r="H23" i="12" s="1"/>
  <c r="I23" i="12" s="1"/>
  <c r="J27" i="12"/>
  <c r="H27" i="12" s="1"/>
  <c r="I27" i="12" s="1"/>
  <c r="J31" i="12"/>
  <c r="H31" i="12" s="1"/>
  <c r="I31" i="12" s="1"/>
  <c r="J35" i="12"/>
  <c r="H35" i="12" s="1"/>
  <c r="I35" i="12" s="1"/>
  <c r="J39" i="12"/>
  <c r="H39" i="12" s="1"/>
  <c r="I39" i="12" s="1"/>
  <c r="J43" i="12"/>
  <c r="H43" i="12" s="1"/>
  <c r="I43" i="12" s="1"/>
  <c r="J47" i="12"/>
  <c r="H47" i="12" s="1"/>
  <c r="I47" i="12" s="1"/>
  <c r="J51" i="12"/>
  <c r="H51" i="12" s="1"/>
  <c r="I51" i="12" s="1"/>
  <c r="J55" i="12"/>
  <c r="H55" i="12" s="1"/>
  <c r="I55" i="12" s="1"/>
  <c r="J59" i="12"/>
  <c r="H59" i="12" s="1"/>
  <c r="I59" i="12" s="1"/>
  <c r="J63" i="12"/>
  <c r="H63" i="12" s="1"/>
  <c r="I63" i="12" s="1"/>
  <c r="J67" i="12"/>
  <c r="H67" i="12" s="1"/>
  <c r="I67" i="12" s="1"/>
  <c r="J71" i="12"/>
  <c r="H71" i="12" s="1"/>
  <c r="I71" i="12" s="1"/>
  <c r="J75" i="12"/>
  <c r="H75" i="12" s="1"/>
  <c r="I75" i="12" s="1"/>
  <c r="J79" i="12"/>
  <c r="H79" i="12" s="1"/>
  <c r="I79" i="12" s="1"/>
  <c r="J83" i="12"/>
  <c r="H83" i="12" s="1"/>
  <c r="I83" i="12" s="1"/>
  <c r="J87" i="12"/>
  <c r="H87" i="12" s="1"/>
  <c r="I87" i="12" s="1"/>
  <c r="J91" i="12"/>
  <c r="H91" i="12" s="1"/>
  <c r="I91" i="12" s="1"/>
  <c r="J95" i="12"/>
  <c r="H95" i="12" s="1"/>
  <c r="I95" i="12" s="1"/>
  <c r="J99" i="12"/>
  <c r="H99" i="12" s="1"/>
  <c r="I99" i="12" s="1"/>
  <c r="J103" i="12"/>
  <c r="H103" i="12" s="1"/>
  <c r="I103" i="12" s="1"/>
  <c r="J107" i="12"/>
  <c r="H107" i="12" s="1"/>
  <c r="I107" i="12" s="1"/>
  <c r="J111" i="12"/>
  <c r="H111" i="12" s="1"/>
  <c r="I111" i="12" s="1"/>
  <c r="J115" i="12"/>
  <c r="H115" i="12" s="1"/>
  <c r="I115" i="12" s="1"/>
  <c r="J119" i="12"/>
  <c r="H119" i="12" s="1"/>
  <c r="I119" i="12" s="1"/>
  <c r="J123" i="12"/>
  <c r="H123" i="12" s="1"/>
  <c r="I123" i="12" s="1"/>
  <c r="J127" i="12"/>
  <c r="H127" i="12" s="1"/>
  <c r="I127" i="12" s="1"/>
  <c r="J131" i="12"/>
  <c r="H131" i="12" s="1"/>
  <c r="I131" i="12" s="1"/>
  <c r="J135" i="12"/>
  <c r="H135" i="12" s="1"/>
  <c r="I135" i="12" s="1"/>
  <c r="J139" i="12"/>
  <c r="H139" i="12" s="1"/>
  <c r="I139" i="12" s="1"/>
  <c r="J143" i="12"/>
  <c r="H143" i="12" s="1"/>
  <c r="I143" i="12" s="1"/>
  <c r="J147" i="12"/>
  <c r="H147" i="12" s="1"/>
  <c r="I147" i="12" s="1"/>
  <c r="J431" i="12"/>
  <c r="H431" i="12" s="1"/>
  <c r="J427" i="12"/>
  <c r="H427" i="12" s="1"/>
  <c r="J423" i="12"/>
  <c r="H423" i="12" s="1"/>
  <c r="J421" i="12"/>
  <c r="H421" i="12" s="1"/>
  <c r="I421" i="12" s="1"/>
  <c r="J417" i="12"/>
  <c r="H417" i="12" s="1"/>
  <c r="I417" i="12" s="1"/>
  <c r="J408" i="12"/>
  <c r="H408" i="12" s="1"/>
  <c r="I408" i="12" s="1"/>
  <c r="J404" i="12"/>
  <c r="H404" i="12" s="1"/>
  <c r="I404" i="12" s="1"/>
  <c r="V123" i="1"/>
  <c r="K123" i="1" s="1"/>
  <c r="S123" i="1" s="1"/>
  <c r="V125" i="1"/>
  <c r="K125" i="1" s="1"/>
  <c r="S125" i="1" s="1"/>
  <c r="J399" i="12"/>
  <c r="H399" i="12" s="1"/>
  <c r="I399" i="12" s="1"/>
  <c r="V103" i="1"/>
  <c r="K103" i="1" s="1"/>
  <c r="S103" i="1" s="1"/>
  <c r="J396" i="12"/>
  <c r="H396" i="12" s="1"/>
  <c r="I396" i="12" s="1"/>
  <c r="J391" i="12"/>
  <c r="H391" i="12" s="1"/>
  <c r="I391" i="12" s="1"/>
  <c r="J5" i="12"/>
  <c r="H5" i="12" s="1"/>
  <c r="I5" i="12" s="1"/>
  <c r="J9" i="12"/>
  <c r="H9" i="12" s="1"/>
  <c r="I9" i="12" s="1"/>
  <c r="J13" i="12"/>
  <c r="H13" i="12" s="1"/>
  <c r="I13" i="12" s="1"/>
  <c r="J17" i="12"/>
  <c r="H17" i="12" s="1"/>
  <c r="I17" i="12" s="1"/>
  <c r="J21" i="12"/>
  <c r="H21" i="12" s="1"/>
  <c r="I21" i="12" s="1"/>
  <c r="J25" i="12"/>
  <c r="H25" i="12" s="1"/>
  <c r="I25" i="12" s="1"/>
  <c r="J29" i="12"/>
  <c r="H29" i="12" s="1"/>
  <c r="I29" i="12" s="1"/>
  <c r="J33" i="12"/>
  <c r="H33" i="12" s="1"/>
  <c r="I33" i="12" s="1"/>
  <c r="J37" i="12"/>
  <c r="H37" i="12" s="1"/>
  <c r="I37" i="12" s="1"/>
  <c r="J41" i="12"/>
  <c r="H41" i="12" s="1"/>
  <c r="I41" i="12" s="1"/>
  <c r="J45" i="12"/>
  <c r="H45" i="12" s="1"/>
  <c r="I45" i="12" s="1"/>
  <c r="J49" i="12"/>
  <c r="H49" i="12" s="1"/>
  <c r="I49" i="12" s="1"/>
  <c r="J53" i="12"/>
  <c r="H53" i="12" s="1"/>
  <c r="I53" i="12" s="1"/>
  <c r="J57" i="12"/>
  <c r="H57" i="12" s="1"/>
  <c r="I57" i="12" s="1"/>
  <c r="J61" i="12"/>
  <c r="H61" i="12" s="1"/>
  <c r="I61" i="12" s="1"/>
  <c r="J65" i="12"/>
  <c r="H65" i="12" s="1"/>
  <c r="I65" i="12" s="1"/>
  <c r="J69" i="12"/>
  <c r="H69" i="12" s="1"/>
  <c r="I69" i="12" s="1"/>
  <c r="J73" i="12"/>
  <c r="H73" i="12" s="1"/>
  <c r="I73" i="12" s="1"/>
  <c r="J77" i="12"/>
  <c r="H77" i="12" s="1"/>
  <c r="I77" i="12" s="1"/>
  <c r="J81" i="12"/>
  <c r="H81" i="12" s="1"/>
  <c r="I81" i="12" s="1"/>
  <c r="J85" i="12"/>
  <c r="H85" i="12" s="1"/>
  <c r="I85" i="12" s="1"/>
  <c r="J89" i="12"/>
  <c r="H89" i="12" s="1"/>
  <c r="I89" i="12" s="1"/>
  <c r="J93" i="12"/>
  <c r="H93" i="12" s="1"/>
  <c r="I93" i="12" s="1"/>
  <c r="J97" i="12"/>
  <c r="H97" i="12" s="1"/>
  <c r="I97" i="12" s="1"/>
  <c r="J101" i="12"/>
  <c r="H101" i="12" s="1"/>
  <c r="I101" i="12" s="1"/>
  <c r="J105" i="12"/>
  <c r="H105" i="12" s="1"/>
  <c r="I105" i="12" s="1"/>
  <c r="J109" i="12"/>
  <c r="H109" i="12" s="1"/>
  <c r="I109" i="12" s="1"/>
  <c r="J113" i="12"/>
  <c r="H113" i="12" s="1"/>
  <c r="J117" i="12"/>
  <c r="H117" i="12" s="1"/>
  <c r="J121" i="12"/>
  <c r="H121" i="12" s="1"/>
  <c r="J125" i="12"/>
  <c r="H125" i="12" s="1"/>
  <c r="J129" i="12"/>
  <c r="H129" i="12" s="1"/>
  <c r="I129" i="12" s="1"/>
  <c r="J133" i="12"/>
  <c r="H133" i="12" s="1"/>
  <c r="I133" i="12" s="1"/>
  <c r="J137" i="12"/>
  <c r="H137" i="12" s="1"/>
  <c r="I137" i="12" s="1"/>
  <c r="J428" i="12"/>
  <c r="H428" i="12" s="1"/>
  <c r="I428" i="12" s="1"/>
  <c r="V91" i="1"/>
  <c r="K91" i="1" s="1"/>
  <c r="S91" i="1" s="1"/>
  <c r="J411" i="12"/>
  <c r="H411" i="12" s="1"/>
  <c r="I411" i="12" s="1"/>
  <c r="J405" i="12"/>
  <c r="H405" i="12" s="1"/>
  <c r="I405" i="12" s="1"/>
  <c r="J8" i="12"/>
  <c r="H8" i="12" s="1"/>
  <c r="I8" i="12" s="1"/>
  <c r="J16" i="12"/>
  <c r="H16" i="12" s="1"/>
  <c r="I16" i="12" s="1"/>
  <c r="J24" i="12"/>
  <c r="H24" i="12" s="1"/>
  <c r="I24" i="12" s="1"/>
  <c r="J32" i="12"/>
  <c r="H32" i="12" s="1"/>
  <c r="I32" i="12" s="1"/>
  <c r="J40" i="12"/>
  <c r="H40" i="12" s="1"/>
  <c r="I40" i="12" s="1"/>
  <c r="J48" i="12"/>
  <c r="H48" i="12" s="1"/>
  <c r="I48" i="12" s="1"/>
  <c r="J56" i="12"/>
  <c r="H56" i="12" s="1"/>
  <c r="I56" i="12" s="1"/>
  <c r="J64" i="12"/>
  <c r="H64" i="12" s="1"/>
  <c r="I64" i="12" s="1"/>
  <c r="J72" i="12"/>
  <c r="H72" i="12" s="1"/>
  <c r="I72" i="12" s="1"/>
  <c r="J80" i="12"/>
  <c r="H80" i="12" s="1"/>
  <c r="I80" i="12" s="1"/>
  <c r="J88" i="12"/>
  <c r="H88" i="12" s="1"/>
  <c r="I88" i="12" s="1"/>
  <c r="J96" i="12"/>
  <c r="H96" i="12" s="1"/>
  <c r="I96" i="12" s="1"/>
  <c r="J104" i="12"/>
  <c r="H104" i="12" s="1"/>
  <c r="I104" i="12" s="1"/>
  <c r="J112" i="12"/>
  <c r="H112" i="12" s="1"/>
  <c r="I112" i="12" s="1"/>
  <c r="J120" i="12"/>
  <c r="H120" i="12" s="1"/>
  <c r="J128" i="12"/>
  <c r="H128" i="12" s="1"/>
  <c r="I128" i="12" s="1"/>
  <c r="J136" i="12"/>
  <c r="H136" i="12" s="1"/>
  <c r="I136" i="12" s="1"/>
  <c r="J142" i="12"/>
  <c r="H142" i="12" s="1"/>
  <c r="I142" i="12" s="1"/>
  <c r="J148" i="12"/>
  <c r="H148" i="12" s="1"/>
  <c r="I148" i="12" s="1"/>
  <c r="J152" i="12"/>
  <c r="H152" i="12" s="1"/>
  <c r="J156" i="12"/>
  <c r="H156" i="12" s="1"/>
  <c r="I156" i="12" s="1"/>
  <c r="J160" i="12"/>
  <c r="H160" i="12" s="1"/>
  <c r="I160" i="12" s="1"/>
  <c r="J164" i="12"/>
  <c r="H164" i="12" s="1"/>
  <c r="I164" i="12" s="1"/>
  <c r="J168" i="12"/>
  <c r="H168" i="12" s="1"/>
  <c r="I168" i="12" s="1"/>
  <c r="J172" i="12"/>
  <c r="H172" i="12" s="1"/>
  <c r="I172" i="12" s="1"/>
  <c r="J176" i="12"/>
  <c r="H176" i="12" s="1"/>
  <c r="I176" i="12" s="1"/>
  <c r="J180" i="12"/>
  <c r="H180" i="12" s="1"/>
  <c r="I180" i="12" s="1"/>
  <c r="J184" i="12"/>
  <c r="H184" i="12" s="1"/>
  <c r="I184" i="12" s="1"/>
  <c r="J188" i="12"/>
  <c r="H188" i="12" s="1"/>
  <c r="I188" i="12" s="1"/>
  <c r="J192" i="12"/>
  <c r="H192" i="12" s="1"/>
  <c r="I192" i="12" s="1"/>
  <c r="J196" i="12"/>
  <c r="H196" i="12" s="1"/>
  <c r="I196" i="12" s="1"/>
  <c r="J200" i="12"/>
  <c r="H200" i="12" s="1"/>
  <c r="I200" i="12" s="1"/>
  <c r="J204" i="12"/>
  <c r="H204" i="12" s="1"/>
  <c r="I204" i="12" s="1"/>
  <c r="J208" i="12"/>
  <c r="H208" i="12" s="1"/>
  <c r="I208" i="12" s="1"/>
  <c r="J212" i="12"/>
  <c r="H212" i="12" s="1"/>
  <c r="I212" i="12" s="1"/>
  <c r="J216" i="12"/>
  <c r="H216" i="12" s="1"/>
  <c r="I216" i="12" s="1"/>
  <c r="J220" i="12"/>
  <c r="H220" i="12" s="1"/>
  <c r="I220" i="12" s="1"/>
  <c r="J224" i="12"/>
  <c r="H224" i="12" s="1"/>
  <c r="I224" i="12" s="1"/>
  <c r="J228" i="12"/>
  <c r="H228" i="12" s="1"/>
  <c r="I228" i="12" s="1"/>
  <c r="J232" i="12"/>
  <c r="H232" i="12" s="1"/>
  <c r="J236" i="12"/>
  <c r="H236" i="12" s="1"/>
  <c r="I236" i="12" s="1"/>
  <c r="J240" i="12"/>
  <c r="H240" i="12" s="1"/>
  <c r="I240" i="12" s="1"/>
  <c r="J244" i="12"/>
  <c r="H244" i="12" s="1"/>
  <c r="I244" i="12" s="1"/>
  <c r="J248" i="12"/>
  <c r="H248" i="12" s="1"/>
  <c r="I248" i="12" s="1"/>
  <c r="J252" i="12"/>
  <c r="H252" i="12" s="1"/>
  <c r="I252" i="12" s="1"/>
  <c r="J256" i="12"/>
  <c r="H256" i="12" s="1"/>
  <c r="I256" i="12" s="1"/>
  <c r="J260" i="12"/>
  <c r="H260" i="12" s="1"/>
  <c r="I260" i="12" s="1"/>
  <c r="J264" i="12"/>
  <c r="H264" i="12" s="1"/>
  <c r="I264" i="12" s="1"/>
  <c r="J268" i="12"/>
  <c r="H268" i="12" s="1"/>
  <c r="I268" i="12" s="1"/>
  <c r="J272" i="12"/>
  <c r="H272" i="12" s="1"/>
  <c r="I272" i="12" s="1"/>
  <c r="J276" i="12"/>
  <c r="H276" i="12" s="1"/>
  <c r="I276" i="12" s="1"/>
  <c r="J280" i="12"/>
  <c r="H280" i="12" s="1"/>
  <c r="I280" i="12" s="1"/>
  <c r="J284" i="12"/>
  <c r="H284" i="12" s="1"/>
  <c r="I284" i="12" s="1"/>
  <c r="J288" i="12"/>
  <c r="H288" i="12" s="1"/>
  <c r="I288" i="12" s="1"/>
  <c r="J292" i="12"/>
  <c r="H292" i="12" s="1"/>
  <c r="I292" i="12" s="1"/>
  <c r="J296" i="12"/>
  <c r="H296" i="12" s="1"/>
  <c r="I296" i="12" s="1"/>
  <c r="J300" i="12"/>
  <c r="H300" i="12" s="1"/>
  <c r="I300" i="12" s="1"/>
  <c r="J304" i="12"/>
  <c r="H304" i="12" s="1"/>
  <c r="I304" i="12" s="1"/>
  <c r="J308" i="12"/>
  <c r="H308" i="12" s="1"/>
  <c r="I308" i="12" s="1"/>
  <c r="J312" i="12"/>
  <c r="H312" i="12" s="1"/>
  <c r="I312" i="12" s="1"/>
  <c r="J316" i="12"/>
  <c r="H316" i="12" s="1"/>
  <c r="I316" i="12" s="1"/>
  <c r="J320" i="12"/>
  <c r="H320" i="12" s="1"/>
  <c r="I320" i="12" s="1"/>
  <c r="J324" i="12"/>
  <c r="H324" i="12" s="1"/>
  <c r="I324" i="12" s="1"/>
  <c r="J328" i="12"/>
  <c r="H328" i="12" s="1"/>
  <c r="I328" i="12" s="1"/>
  <c r="J332" i="12"/>
  <c r="H332" i="12" s="1"/>
  <c r="I332" i="12" s="1"/>
  <c r="J336" i="12"/>
  <c r="H336" i="12" s="1"/>
  <c r="I336" i="12" s="1"/>
  <c r="J340" i="12"/>
  <c r="H340" i="12" s="1"/>
  <c r="I340" i="12" s="1"/>
  <c r="J344" i="12"/>
  <c r="H344" i="12" s="1"/>
  <c r="I344" i="12" s="1"/>
  <c r="J430" i="12"/>
  <c r="H430" i="12" s="1"/>
  <c r="I430" i="12" s="1"/>
  <c r="V102" i="1"/>
  <c r="K102" i="1" s="1"/>
  <c r="S102" i="1" s="1"/>
  <c r="J413" i="12"/>
  <c r="H413" i="12" s="1"/>
  <c r="J410" i="12"/>
  <c r="H410" i="12" s="1"/>
  <c r="V124" i="1"/>
  <c r="K124" i="1" s="1"/>
  <c r="S124" i="1" s="1"/>
  <c r="J407" i="12"/>
  <c r="H407" i="12" s="1"/>
  <c r="I407" i="12" s="1"/>
  <c r="J393" i="12"/>
  <c r="H393" i="12" s="1"/>
  <c r="I393" i="12" s="1"/>
  <c r="J392" i="12"/>
  <c r="H392" i="12" s="1"/>
  <c r="I392" i="12" s="1"/>
  <c r="J2" i="12"/>
  <c r="H2" i="12" s="1"/>
  <c r="I2" i="12" s="1"/>
  <c r="J10" i="12"/>
  <c r="H10" i="12" s="1"/>
  <c r="I10" i="12" s="1"/>
  <c r="J18" i="12"/>
  <c r="H18" i="12" s="1"/>
  <c r="I18" i="12" s="1"/>
  <c r="J26" i="12"/>
  <c r="H26" i="12" s="1"/>
  <c r="I26" i="12" s="1"/>
  <c r="J34" i="12"/>
  <c r="H34" i="12" s="1"/>
  <c r="I34" i="12" s="1"/>
  <c r="J42" i="12"/>
  <c r="H42" i="12" s="1"/>
  <c r="I42" i="12" s="1"/>
  <c r="J50" i="12"/>
  <c r="H50" i="12" s="1"/>
  <c r="I50" i="12" s="1"/>
  <c r="J58" i="12"/>
  <c r="H58" i="12" s="1"/>
  <c r="I58" i="12" s="1"/>
  <c r="J66" i="12"/>
  <c r="H66" i="12" s="1"/>
  <c r="I66" i="12" s="1"/>
  <c r="J74" i="12"/>
  <c r="H74" i="12" s="1"/>
  <c r="I74" i="12" s="1"/>
  <c r="J82" i="12"/>
  <c r="H82" i="12" s="1"/>
  <c r="I82" i="12" s="1"/>
  <c r="J90" i="12"/>
  <c r="H90" i="12" s="1"/>
  <c r="I90" i="12" s="1"/>
  <c r="J98" i="12"/>
  <c r="H98" i="12" s="1"/>
  <c r="I98" i="12" s="1"/>
  <c r="J106" i="12"/>
  <c r="H106" i="12" s="1"/>
  <c r="I106" i="12" s="1"/>
  <c r="J114" i="12"/>
  <c r="H114" i="12" s="1"/>
  <c r="I114" i="12" s="1"/>
  <c r="J122" i="12"/>
  <c r="H122" i="12" s="1"/>
  <c r="J130" i="12"/>
  <c r="H130" i="12" s="1"/>
  <c r="I130" i="12" s="1"/>
  <c r="J138" i="12"/>
  <c r="H138" i="12" s="1"/>
  <c r="I138" i="12" s="1"/>
  <c r="J144" i="12"/>
  <c r="H144" i="12" s="1"/>
  <c r="I144" i="12" s="1"/>
  <c r="J149" i="12"/>
  <c r="H149" i="12" s="1"/>
  <c r="I149" i="12" s="1"/>
  <c r="J153" i="12"/>
  <c r="H153" i="12" s="1"/>
  <c r="I153" i="12" s="1"/>
  <c r="J157" i="12"/>
  <c r="H157" i="12" s="1"/>
  <c r="I157" i="12" s="1"/>
  <c r="J161" i="12"/>
  <c r="H161" i="12" s="1"/>
  <c r="I161" i="12" s="1"/>
  <c r="J165" i="12"/>
  <c r="H165" i="12" s="1"/>
  <c r="I165" i="12" s="1"/>
  <c r="J169" i="12"/>
  <c r="H169" i="12" s="1"/>
  <c r="I169" i="12" s="1"/>
  <c r="J173" i="12"/>
  <c r="H173" i="12" s="1"/>
  <c r="I173" i="12" s="1"/>
  <c r="J177" i="12"/>
  <c r="H177" i="12" s="1"/>
  <c r="I177" i="12" s="1"/>
  <c r="J181" i="12"/>
  <c r="H181" i="12" s="1"/>
  <c r="I181" i="12" s="1"/>
  <c r="J185" i="12"/>
  <c r="H185" i="12" s="1"/>
  <c r="I185" i="12" s="1"/>
  <c r="J189" i="12"/>
  <c r="H189" i="12" s="1"/>
  <c r="I189" i="12" s="1"/>
  <c r="J193" i="12"/>
  <c r="H193" i="12" s="1"/>
  <c r="I193" i="12" s="1"/>
  <c r="J197" i="12"/>
  <c r="H197" i="12" s="1"/>
  <c r="I197" i="12" s="1"/>
  <c r="J201" i="12"/>
  <c r="H201" i="12" s="1"/>
  <c r="I201" i="12" s="1"/>
  <c r="J205" i="12"/>
  <c r="H205" i="12" s="1"/>
  <c r="I205" i="12" s="1"/>
  <c r="J209" i="12"/>
  <c r="H209" i="12" s="1"/>
  <c r="J213" i="12"/>
  <c r="H213" i="12" s="1"/>
  <c r="I213" i="12" s="1"/>
  <c r="J217" i="12"/>
  <c r="H217" i="12" s="1"/>
  <c r="I217" i="12" s="1"/>
  <c r="J221" i="12"/>
  <c r="H221" i="12" s="1"/>
  <c r="I221" i="12" s="1"/>
  <c r="J225" i="12"/>
  <c r="H225" i="12" s="1"/>
  <c r="I225" i="12" s="1"/>
  <c r="J229" i="12"/>
  <c r="H229" i="12" s="1"/>
  <c r="J233" i="12"/>
  <c r="H233" i="12" s="1"/>
  <c r="I233" i="12" s="1"/>
  <c r="J237" i="12"/>
  <c r="H237" i="12" s="1"/>
  <c r="I237" i="12" s="1"/>
  <c r="J241" i="12"/>
  <c r="H241" i="12" s="1"/>
  <c r="I241" i="12" s="1"/>
  <c r="J245" i="12"/>
  <c r="H245" i="12" s="1"/>
  <c r="I245" i="12" s="1"/>
  <c r="J249" i="12"/>
  <c r="H249" i="12" s="1"/>
  <c r="I249" i="12" s="1"/>
  <c r="J253" i="12"/>
  <c r="H253" i="12" s="1"/>
  <c r="I253" i="12" s="1"/>
  <c r="J257" i="12"/>
  <c r="H257" i="12" s="1"/>
  <c r="I257" i="12" s="1"/>
  <c r="J261" i="12"/>
  <c r="H261" i="12" s="1"/>
  <c r="I261" i="12" s="1"/>
  <c r="J265" i="12"/>
  <c r="H265" i="12" s="1"/>
  <c r="I265" i="12" s="1"/>
  <c r="J269" i="12"/>
  <c r="H269" i="12" s="1"/>
  <c r="I269" i="12" s="1"/>
  <c r="J273" i="12"/>
  <c r="H273" i="12" s="1"/>
  <c r="I273" i="12" s="1"/>
  <c r="J277" i="12"/>
  <c r="H277" i="12" s="1"/>
  <c r="I277" i="12" s="1"/>
  <c r="J281" i="12"/>
  <c r="H281" i="12" s="1"/>
  <c r="I281" i="12" s="1"/>
  <c r="J285" i="12"/>
  <c r="H285" i="12" s="1"/>
  <c r="I285" i="12" s="1"/>
  <c r="J289" i="12"/>
  <c r="H289" i="12" s="1"/>
  <c r="I289" i="12" s="1"/>
  <c r="J293" i="12"/>
  <c r="H293" i="12" s="1"/>
  <c r="I293" i="12" s="1"/>
  <c r="J297" i="12"/>
  <c r="H297" i="12" s="1"/>
  <c r="I297" i="12" s="1"/>
  <c r="J301" i="12"/>
  <c r="H301" i="12" s="1"/>
  <c r="I301" i="12" s="1"/>
  <c r="J305" i="12"/>
  <c r="H305" i="12" s="1"/>
  <c r="I305" i="12" s="1"/>
  <c r="J422" i="12"/>
  <c r="H422" i="12" s="1"/>
  <c r="J415" i="12"/>
  <c r="H415" i="12" s="1"/>
  <c r="I415" i="12" s="1"/>
  <c r="J14" i="12"/>
  <c r="H14" i="12" s="1"/>
  <c r="I14" i="12" s="1"/>
  <c r="J30" i="12"/>
  <c r="H30" i="12" s="1"/>
  <c r="I30" i="12" s="1"/>
  <c r="J46" i="12"/>
  <c r="H46" i="12" s="1"/>
  <c r="I46" i="12" s="1"/>
  <c r="J62" i="12"/>
  <c r="H62" i="12" s="1"/>
  <c r="I62" i="12" s="1"/>
  <c r="J78" i="12"/>
  <c r="H78" i="12" s="1"/>
  <c r="I78" i="12" s="1"/>
  <c r="J94" i="12"/>
  <c r="H94" i="12" s="1"/>
  <c r="I94" i="12" s="1"/>
  <c r="J110" i="12"/>
  <c r="H110" i="12" s="1"/>
  <c r="I110" i="12" s="1"/>
  <c r="J126" i="12"/>
  <c r="H126" i="12" s="1"/>
  <c r="I126" i="12" s="1"/>
  <c r="J141" i="12"/>
  <c r="H141" i="12" s="1"/>
  <c r="I141" i="12" s="1"/>
  <c r="J151" i="12"/>
  <c r="H151" i="12" s="1"/>
  <c r="I151" i="12" s="1"/>
  <c r="J159" i="12"/>
  <c r="H159" i="12" s="1"/>
  <c r="I159" i="12" s="1"/>
  <c r="J167" i="12"/>
  <c r="H167" i="12" s="1"/>
  <c r="I167" i="12" s="1"/>
  <c r="J175" i="12"/>
  <c r="H175" i="12" s="1"/>
  <c r="I175" i="12" s="1"/>
  <c r="J183" i="12"/>
  <c r="H183" i="12" s="1"/>
  <c r="I183" i="12" s="1"/>
  <c r="J191" i="12"/>
  <c r="H191" i="12" s="1"/>
  <c r="I191" i="12" s="1"/>
  <c r="J199" i="12"/>
  <c r="H199" i="12" s="1"/>
  <c r="I199" i="12" s="1"/>
  <c r="J207" i="12"/>
  <c r="H207" i="12" s="1"/>
  <c r="J215" i="12"/>
  <c r="H215" i="12" s="1"/>
  <c r="I215" i="12" s="1"/>
  <c r="J223" i="12"/>
  <c r="H223" i="12" s="1"/>
  <c r="I223" i="12" s="1"/>
  <c r="J231" i="12"/>
  <c r="H231" i="12" s="1"/>
  <c r="I231" i="12" s="1"/>
  <c r="J239" i="12"/>
  <c r="H239" i="12" s="1"/>
  <c r="I239" i="12" s="1"/>
  <c r="J247" i="12"/>
  <c r="H247" i="12" s="1"/>
  <c r="I247" i="12" s="1"/>
  <c r="J255" i="12"/>
  <c r="H255" i="12" s="1"/>
  <c r="I255" i="12" s="1"/>
  <c r="J263" i="12"/>
  <c r="H263" i="12" s="1"/>
  <c r="I263" i="12" s="1"/>
  <c r="J271" i="12"/>
  <c r="H271" i="12" s="1"/>
  <c r="I271" i="12" s="1"/>
  <c r="J279" i="12"/>
  <c r="H279" i="12" s="1"/>
  <c r="I279" i="12" s="1"/>
  <c r="J287" i="12"/>
  <c r="H287" i="12" s="1"/>
  <c r="I287" i="12" s="1"/>
  <c r="J295" i="12"/>
  <c r="H295" i="12" s="1"/>
  <c r="I295" i="12" s="1"/>
  <c r="J303" i="12"/>
  <c r="H303" i="12" s="1"/>
  <c r="I303" i="12" s="1"/>
  <c r="J310" i="12"/>
  <c r="H310" i="12" s="1"/>
  <c r="I310" i="12" s="1"/>
  <c r="J315" i="12"/>
  <c r="H315" i="12" s="1"/>
  <c r="I315" i="12" s="1"/>
  <c r="J321" i="12"/>
  <c r="H321" i="12" s="1"/>
  <c r="I321" i="12" s="1"/>
  <c r="J326" i="12"/>
  <c r="H326" i="12" s="1"/>
  <c r="I326" i="12" s="1"/>
  <c r="J331" i="12"/>
  <c r="H331" i="12" s="1"/>
  <c r="I331" i="12" s="1"/>
  <c r="J337" i="12"/>
  <c r="H337" i="12" s="1"/>
  <c r="I337" i="12" s="1"/>
  <c r="J342" i="12"/>
  <c r="H342" i="12" s="1"/>
  <c r="J347" i="12"/>
  <c r="H347" i="12" s="1"/>
  <c r="I347" i="12" s="1"/>
  <c r="J351" i="12"/>
  <c r="H351" i="12" s="1"/>
  <c r="I351" i="12" s="1"/>
  <c r="J355" i="12"/>
  <c r="H355" i="12" s="1"/>
  <c r="I355" i="12" s="1"/>
  <c r="J359" i="12"/>
  <c r="H359" i="12" s="1"/>
  <c r="J363" i="12"/>
  <c r="H363" i="12" s="1"/>
  <c r="J367" i="12"/>
  <c r="H367" i="12" s="1"/>
  <c r="I367" i="12" s="1"/>
  <c r="J371" i="12"/>
  <c r="H371" i="12" s="1"/>
  <c r="I371" i="12" s="1"/>
  <c r="J375" i="12"/>
  <c r="H375" i="12" s="1"/>
  <c r="I375" i="12" s="1"/>
  <c r="J379" i="12"/>
  <c r="H379" i="12" s="1"/>
  <c r="I379" i="12" s="1"/>
  <c r="J383" i="12"/>
  <c r="H383" i="12" s="1"/>
  <c r="I383" i="12" s="1"/>
  <c r="J387" i="12"/>
  <c r="H387" i="12" s="1"/>
  <c r="I387" i="12" s="1"/>
  <c r="V2" i="1"/>
  <c r="V3" i="1"/>
  <c r="V45" i="1"/>
  <c r="V57" i="1"/>
  <c r="V73" i="1"/>
  <c r="V23" i="1"/>
  <c r="V13" i="1"/>
  <c r="V7" i="1"/>
  <c r="V53" i="1"/>
  <c r="V71" i="1"/>
  <c r="V33" i="1"/>
  <c r="V19" i="1"/>
  <c r="V48" i="1"/>
  <c r="V38" i="1"/>
  <c r="V29" i="1"/>
  <c r="V30" i="1"/>
  <c r="V88" i="1"/>
  <c r="V90" i="1"/>
  <c r="V93" i="1"/>
  <c r="V65" i="1"/>
  <c r="V84" i="1"/>
  <c r="V66" i="1"/>
  <c r="V108" i="1"/>
  <c r="V112" i="1"/>
  <c r="V127" i="1"/>
  <c r="V131" i="1"/>
  <c r="V136" i="1"/>
  <c r="J426" i="12"/>
  <c r="H426" i="12" s="1"/>
  <c r="J397" i="12"/>
  <c r="H397" i="12" s="1"/>
  <c r="I397" i="12" s="1"/>
  <c r="J12" i="12"/>
  <c r="H12" i="12" s="1"/>
  <c r="I12" i="12" s="1"/>
  <c r="J28" i="12"/>
  <c r="H28" i="12" s="1"/>
  <c r="I28" i="12" s="1"/>
  <c r="J44" i="12"/>
  <c r="H44" i="12" s="1"/>
  <c r="I44" i="12" s="1"/>
  <c r="J60" i="12"/>
  <c r="H60" i="12" s="1"/>
  <c r="I60" i="12" s="1"/>
  <c r="J76" i="12"/>
  <c r="H76" i="12" s="1"/>
  <c r="I76" i="12" s="1"/>
  <c r="J92" i="12"/>
  <c r="H92" i="12" s="1"/>
  <c r="I92" i="12" s="1"/>
  <c r="J108" i="12"/>
  <c r="H108" i="12" s="1"/>
  <c r="I108" i="12" s="1"/>
  <c r="J124" i="12"/>
  <c r="H124" i="12" s="1"/>
  <c r="J140" i="12"/>
  <c r="H140" i="12" s="1"/>
  <c r="I140" i="12" s="1"/>
  <c r="J150" i="12"/>
  <c r="H150" i="12" s="1"/>
  <c r="I150" i="12" s="1"/>
  <c r="J158" i="12"/>
  <c r="H158" i="12" s="1"/>
  <c r="I158" i="12" s="1"/>
  <c r="J166" i="12"/>
  <c r="H166" i="12" s="1"/>
  <c r="I166" i="12" s="1"/>
  <c r="J174" i="12"/>
  <c r="H174" i="12" s="1"/>
  <c r="I174" i="12" s="1"/>
  <c r="J182" i="12"/>
  <c r="H182" i="12" s="1"/>
  <c r="I182" i="12" s="1"/>
  <c r="J190" i="12"/>
  <c r="H190" i="12" s="1"/>
  <c r="I190" i="12" s="1"/>
  <c r="J198" i="12"/>
  <c r="H198" i="12" s="1"/>
  <c r="I198" i="12" s="1"/>
  <c r="J206" i="12"/>
  <c r="H206" i="12" s="1"/>
  <c r="I206" i="12" s="1"/>
  <c r="J214" i="12"/>
  <c r="H214" i="12" s="1"/>
  <c r="I214" i="12" s="1"/>
  <c r="J222" i="12"/>
  <c r="H222" i="12" s="1"/>
  <c r="I222" i="12" s="1"/>
  <c r="J230" i="12"/>
  <c r="H230" i="12" s="1"/>
  <c r="J238" i="12"/>
  <c r="H238" i="12" s="1"/>
  <c r="I238" i="12" s="1"/>
  <c r="J246" i="12"/>
  <c r="H246" i="12" s="1"/>
  <c r="I246" i="12" s="1"/>
  <c r="J254" i="12"/>
  <c r="H254" i="12" s="1"/>
  <c r="I254" i="12" s="1"/>
  <c r="J262" i="12"/>
  <c r="H262" i="12" s="1"/>
  <c r="I262" i="12" s="1"/>
  <c r="J270" i="12"/>
  <c r="H270" i="12" s="1"/>
  <c r="I270" i="12" s="1"/>
  <c r="J278" i="12"/>
  <c r="H278" i="12" s="1"/>
  <c r="I278" i="12" s="1"/>
  <c r="J286" i="12"/>
  <c r="H286" i="12" s="1"/>
  <c r="I286" i="12" s="1"/>
  <c r="J294" i="12"/>
  <c r="H294" i="12" s="1"/>
  <c r="I294" i="12" s="1"/>
  <c r="J302" i="12"/>
  <c r="H302" i="12" s="1"/>
  <c r="I302" i="12" s="1"/>
  <c r="J309" i="12"/>
  <c r="H309" i="12" s="1"/>
  <c r="I309" i="12" s="1"/>
  <c r="J314" i="12"/>
  <c r="H314" i="12" s="1"/>
  <c r="I314" i="12" s="1"/>
  <c r="J319" i="12"/>
  <c r="H319" i="12" s="1"/>
  <c r="I319" i="12" s="1"/>
  <c r="J325" i="12"/>
  <c r="H325" i="12" s="1"/>
  <c r="I325" i="12" s="1"/>
  <c r="J330" i="12"/>
  <c r="H330" i="12" s="1"/>
  <c r="I330" i="12" s="1"/>
  <c r="J335" i="12"/>
  <c r="H335" i="12" s="1"/>
  <c r="I335" i="12" s="1"/>
  <c r="J341" i="12"/>
  <c r="H341" i="12" s="1"/>
  <c r="I341" i="12" s="1"/>
  <c r="J346" i="12"/>
  <c r="H346" i="12" s="1"/>
  <c r="I346" i="12" s="1"/>
  <c r="J350" i="12"/>
  <c r="H350" i="12" s="1"/>
  <c r="I350" i="12" s="1"/>
  <c r="J354" i="12"/>
  <c r="H354" i="12" s="1"/>
  <c r="I354" i="12" s="1"/>
  <c r="J358" i="12"/>
  <c r="H358" i="12" s="1"/>
  <c r="I358" i="12" s="1"/>
  <c r="J362" i="12"/>
  <c r="H362" i="12" s="1"/>
  <c r="I362" i="12" s="1"/>
  <c r="J366" i="12"/>
  <c r="H366" i="12" s="1"/>
  <c r="I366" i="12" s="1"/>
  <c r="J370" i="12"/>
  <c r="H370" i="12" s="1"/>
  <c r="I370" i="12" s="1"/>
  <c r="J374" i="12"/>
  <c r="H374" i="12" s="1"/>
  <c r="I374" i="12" s="1"/>
  <c r="J378" i="12"/>
  <c r="H378" i="12" s="1"/>
  <c r="I378" i="12" s="1"/>
  <c r="J382" i="12"/>
  <c r="H382" i="12" s="1"/>
  <c r="J386" i="12"/>
  <c r="H386" i="12" s="1"/>
  <c r="J390" i="12"/>
  <c r="H390" i="12" s="1"/>
  <c r="I390" i="12" s="1"/>
  <c r="V18" i="1"/>
  <c r="V5" i="1"/>
  <c r="V94" i="1"/>
  <c r="V83" i="1"/>
  <c r="V26" i="1"/>
  <c r="V43" i="1"/>
  <c r="V59" i="1"/>
  <c r="V56" i="1"/>
  <c r="V14" i="1"/>
  <c r="V10" i="1"/>
  <c r="V31" i="1"/>
  <c r="V11" i="1"/>
  <c r="V68" i="1"/>
  <c r="V104" i="1"/>
  <c r="V17" i="1"/>
  <c r="V27" i="1"/>
  <c r="V47" i="1"/>
  <c r="V50" i="1"/>
  <c r="V40" i="1"/>
  <c r="V85" i="1"/>
  <c r="V72" i="1"/>
  <c r="V86" i="1"/>
  <c r="V105" i="1"/>
  <c r="V126" i="1"/>
  <c r="V133" i="1"/>
  <c r="V134" i="1"/>
  <c r="V77" i="1"/>
  <c r="K77" i="1" s="1"/>
  <c r="S77" i="1" s="1"/>
  <c r="J420" i="12"/>
  <c r="H420" i="12" s="1"/>
  <c r="I420" i="12" s="1"/>
  <c r="J416" i="12"/>
  <c r="H416" i="12" s="1"/>
  <c r="I416" i="12" s="1"/>
  <c r="J22" i="12"/>
  <c r="H22" i="12" s="1"/>
  <c r="I22" i="12" s="1"/>
  <c r="J54" i="12"/>
  <c r="H54" i="12" s="1"/>
  <c r="I54" i="12" s="1"/>
  <c r="J86" i="12"/>
  <c r="H86" i="12" s="1"/>
  <c r="I86" i="12" s="1"/>
  <c r="J118" i="12"/>
  <c r="H118" i="12" s="1"/>
  <c r="I118" i="12" s="1"/>
  <c r="J146" i="12"/>
  <c r="H146" i="12" s="1"/>
  <c r="I146" i="12" s="1"/>
  <c r="J163" i="12"/>
  <c r="H163" i="12" s="1"/>
  <c r="I163" i="12" s="1"/>
  <c r="J179" i="12"/>
  <c r="H179" i="12" s="1"/>
  <c r="I179" i="12" s="1"/>
  <c r="J195" i="12"/>
  <c r="H195" i="12" s="1"/>
  <c r="I195" i="12" s="1"/>
  <c r="J211" i="12"/>
  <c r="H211" i="12" s="1"/>
  <c r="I211" i="12" s="1"/>
  <c r="J227" i="12"/>
  <c r="H227" i="12" s="1"/>
  <c r="I227" i="12" s="1"/>
  <c r="J243" i="12"/>
  <c r="H243" i="12" s="1"/>
  <c r="I243" i="12" s="1"/>
  <c r="J259" i="12"/>
  <c r="H259" i="12" s="1"/>
  <c r="I259" i="12" s="1"/>
  <c r="J275" i="12"/>
  <c r="H275" i="12" s="1"/>
  <c r="I275" i="12" s="1"/>
  <c r="J291" i="12"/>
  <c r="H291" i="12" s="1"/>
  <c r="I291" i="12" s="1"/>
  <c r="J307" i="12"/>
  <c r="H307" i="12" s="1"/>
  <c r="I307" i="12" s="1"/>
  <c r="J318" i="12"/>
  <c r="H318" i="12" s="1"/>
  <c r="I318" i="12" s="1"/>
  <c r="J329" i="12"/>
  <c r="H329" i="12" s="1"/>
  <c r="I329" i="12" s="1"/>
  <c r="J339" i="12"/>
  <c r="H339" i="12" s="1"/>
  <c r="I339" i="12" s="1"/>
  <c r="J349" i="12"/>
  <c r="H349" i="12" s="1"/>
  <c r="I349" i="12" s="1"/>
  <c r="J357" i="12"/>
  <c r="H357" i="12" s="1"/>
  <c r="I357" i="12" s="1"/>
  <c r="J365" i="12"/>
  <c r="H365" i="12" s="1"/>
  <c r="I365" i="12" s="1"/>
  <c r="J373" i="12"/>
  <c r="H373" i="12" s="1"/>
  <c r="I373" i="12" s="1"/>
  <c r="J381" i="12"/>
  <c r="H381" i="12" s="1"/>
  <c r="J389" i="12"/>
  <c r="H389" i="12" s="1"/>
  <c r="I389" i="12" s="1"/>
  <c r="V6" i="1"/>
  <c r="V41" i="1"/>
  <c r="V122" i="1"/>
  <c r="V16" i="1"/>
  <c r="V21" i="1"/>
  <c r="V24" i="1"/>
  <c r="V25" i="1"/>
  <c r="V74" i="1"/>
  <c r="V42" i="1"/>
  <c r="V81" i="1"/>
  <c r="V116" i="1"/>
  <c r="V118" i="1"/>
  <c r="V135" i="1"/>
  <c r="J400" i="12"/>
  <c r="H400" i="12" s="1"/>
  <c r="I400" i="12" s="1"/>
  <c r="J395" i="12"/>
  <c r="H395" i="12" s="1"/>
  <c r="I395" i="12" s="1"/>
  <c r="J38" i="12"/>
  <c r="H38" i="12" s="1"/>
  <c r="I38" i="12" s="1"/>
  <c r="J102" i="12"/>
  <c r="H102" i="12" s="1"/>
  <c r="I102" i="12" s="1"/>
  <c r="J155" i="12"/>
  <c r="H155" i="12" s="1"/>
  <c r="I155" i="12" s="1"/>
  <c r="J187" i="12"/>
  <c r="H187" i="12" s="1"/>
  <c r="I187" i="12" s="1"/>
  <c r="J219" i="12"/>
  <c r="H219" i="12" s="1"/>
  <c r="I219" i="12" s="1"/>
  <c r="J251" i="12"/>
  <c r="H251" i="12" s="1"/>
  <c r="I251" i="12" s="1"/>
  <c r="J283" i="12"/>
  <c r="H283" i="12" s="1"/>
  <c r="I283" i="12" s="1"/>
  <c r="J313" i="12"/>
  <c r="H313" i="12" s="1"/>
  <c r="I313" i="12" s="1"/>
  <c r="J334" i="12"/>
  <c r="H334" i="12" s="1"/>
  <c r="J353" i="12"/>
  <c r="H353" i="12" s="1"/>
  <c r="I353" i="12" s="1"/>
  <c r="J369" i="12"/>
  <c r="H369" i="12" s="1"/>
  <c r="I369" i="12" s="1"/>
  <c r="J385" i="12"/>
  <c r="H385" i="12" s="1"/>
  <c r="V62" i="1"/>
  <c r="V46" i="1"/>
  <c r="V51" i="1"/>
  <c r="V28" i="1"/>
  <c r="V82" i="1"/>
  <c r="V109" i="1"/>
  <c r="V87" i="1"/>
  <c r="K87" i="1" s="1"/>
  <c r="S87" i="1" s="1"/>
  <c r="J403" i="12"/>
  <c r="H403" i="12" s="1"/>
  <c r="I403" i="12" s="1"/>
  <c r="J20" i="12"/>
  <c r="H20" i="12" s="1"/>
  <c r="I20" i="12" s="1"/>
  <c r="J84" i="12"/>
  <c r="H84" i="12" s="1"/>
  <c r="I84" i="12" s="1"/>
  <c r="J145" i="12"/>
  <c r="H145" i="12" s="1"/>
  <c r="I145" i="12" s="1"/>
  <c r="J178" i="12"/>
  <c r="H178" i="12" s="1"/>
  <c r="I178" i="12" s="1"/>
  <c r="J210" i="12"/>
  <c r="H210" i="12" s="1"/>
  <c r="I210" i="12" s="1"/>
  <c r="J242" i="12"/>
  <c r="H242" i="12" s="1"/>
  <c r="I242" i="12" s="1"/>
  <c r="J274" i="12"/>
  <c r="H274" i="12" s="1"/>
  <c r="I274" i="12" s="1"/>
  <c r="J306" i="12"/>
  <c r="H306" i="12" s="1"/>
  <c r="I306" i="12" s="1"/>
  <c r="J327" i="12"/>
  <c r="H327" i="12" s="1"/>
  <c r="I327" i="12" s="1"/>
  <c r="J348" i="12"/>
  <c r="H348" i="12" s="1"/>
  <c r="I348" i="12" s="1"/>
  <c r="J364" i="12"/>
  <c r="H364" i="12" s="1"/>
  <c r="I364" i="12" s="1"/>
  <c r="J380" i="12"/>
  <c r="H380" i="12" s="1"/>
  <c r="I380" i="12" s="1"/>
  <c r="V22" i="1"/>
  <c r="V58" i="1"/>
  <c r="V20" i="1"/>
  <c r="V67" i="1"/>
  <c r="V76" i="1"/>
  <c r="V54" i="1"/>
  <c r="V129" i="1"/>
  <c r="J424" i="12"/>
  <c r="H424" i="12" s="1"/>
  <c r="V100" i="1"/>
  <c r="K100" i="1" s="1"/>
  <c r="S100" i="1" s="1"/>
  <c r="J418" i="12"/>
  <c r="H418" i="12" s="1"/>
  <c r="I418" i="12" s="1"/>
  <c r="J4" i="12"/>
  <c r="H4" i="12" s="1"/>
  <c r="I4" i="12" s="1"/>
  <c r="J36" i="12"/>
  <c r="H36" i="12" s="1"/>
  <c r="I36" i="12" s="1"/>
  <c r="J68" i="12"/>
  <c r="H68" i="12" s="1"/>
  <c r="I68" i="12" s="1"/>
  <c r="J100" i="12"/>
  <c r="H100" i="12" s="1"/>
  <c r="I100" i="12" s="1"/>
  <c r="J132" i="12"/>
  <c r="H132" i="12" s="1"/>
  <c r="I132" i="12" s="1"/>
  <c r="J154" i="12"/>
  <c r="H154" i="12" s="1"/>
  <c r="I154" i="12" s="1"/>
  <c r="J170" i="12"/>
  <c r="H170" i="12" s="1"/>
  <c r="I170" i="12" s="1"/>
  <c r="J186" i="12"/>
  <c r="H186" i="12" s="1"/>
  <c r="I186" i="12" s="1"/>
  <c r="J202" i="12"/>
  <c r="H202" i="12" s="1"/>
  <c r="I202" i="12" s="1"/>
  <c r="J218" i="12"/>
  <c r="H218" i="12" s="1"/>
  <c r="I218" i="12" s="1"/>
  <c r="J234" i="12"/>
  <c r="H234" i="12" s="1"/>
  <c r="I234" i="12" s="1"/>
  <c r="J250" i="12"/>
  <c r="H250" i="12" s="1"/>
  <c r="I250" i="12" s="1"/>
  <c r="J266" i="12"/>
  <c r="H266" i="12" s="1"/>
  <c r="I266" i="12" s="1"/>
  <c r="J282" i="12"/>
  <c r="H282" i="12" s="1"/>
  <c r="I282" i="12" s="1"/>
  <c r="J298" i="12"/>
  <c r="H298" i="12" s="1"/>
  <c r="I298" i="12" s="1"/>
  <c r="J311" i="12"/>
  <c r="H311" i="12" s="1"/>
  <c r="I311" i="12" s="1"/>
  <c r="J322" i="12"/>
  <c r="H322" i="12" s="1"/>
  <c r="I322" i="12" s="1"/>
  <c r="J333" i="12"/>
  <c r="H333" i="12" s="1"/>
  <c r="I333" i="12" s="1"/>
  <c r="J343" i="12"/>
  <c r="H343" i="12" s="1"/>
  <c r="I343" i="12" s="1"/>
  <c r="J352" i="12"/>
  <c r="H352" i="12" s="1"/>
  <c r="I352" i="12" s="1"/>
  <c r="J360" i="12"/>
  <c r="H360" i="12" s="1"/>
  <c r="I360" i="12" s="1"/>
  <c r="J368" i="12"/>
  <c r="H368" i="12" s="1"/>
  <c r="I368" i="12" s="1"/>
  <c r="J376" i="12"/>
  <c r="H376" i="12" s="1"/>
  <c r="I376" i="12" s="1"/>
  <c r="J384" i="12"/>
  <c r="H384" i="12" s="1"/>
  <c r="I384" i="12" s="1"/>
  <c r="V9" i="1"/>
  <c r="V120" i="1"/>
  <c r="V117" i="1"/>
  <c r="V8" i="1"/>
  <c r="V44" i="1"/>
  <c r="V34" i="1"/>
  <c r="V69" i="1"/>
  <c r="V89" i="1"/>
  <c r="V70" i="1"/>
  <c r="V79" i="1"/>
  <c r="V101" i="1"/>
  <c r="V121" i="1"/>
  <c r="V132" i="1"/>
  <c r="J6" i="12"/>
  <c r="H6" i="12" s="1"/>
  <c r="J70" i="12"/>
  <c r="H70" i="12" s="1"/>
  <c r="I70" i="12" s="1"/>
  <c r="J134" i="12"/>
  <c r="H134" i="12" s="1"/>
  <c r="I134" i="12" s="1"/>
  <c r="J171" i="12"/>
  <c r="H171" i="12" s="1"/>
  <c r="I171" i="12" s="1"/>
  <c r="J203" i="12"/>
  <c r="H203" i="12" s="1"/>
  <c r="I203" i="12" s="1"/>
  <c r="J235" i="12"/>
  <c r="H235" i="12" s="1"/>
  <c r="I235" i="12" s="1"/>
  <c r="J267" i="12"/>
  <c r="H267" i="12" s="1"/>
  <c r="I267" i="12" s="1"/>
  <c r="J299" i="12"/>
  <c r="H299" i="12" s="1"/>
  <c r="I299" i="12" s="1"/>
  <c r="J323" i="12"/>
  <c r="H323" i="12" s="1"/>
  <c r="I323" i="12" s="1"/>
  <c r="J345" i="12"/>
  <c r="H345" i="12" s="1"/>
  <c r="I345" i="12" s="1"/>
  <c r="J361" i="12"/>
  <c r="H361" i="12" s="1"/>
  <c r="I361" i="12" s="1"/>
  <c r="J377" i="12"/>
  <c r="H377" i="12" s="1"/>
  <c r="I377" i="12" s="1"/>
  <c r="V4" i="1"/>
  <c r="V63" i="1"/>
  <c r="V12" i="1"/>
  <c r="V55" i="1"/>
  <c r="V107" i="1"/>
  <c r="V130" i="1"/>
  <c r="J402" i="12"/>
  <c r="H402" i="12" s="1"/>
  <c r="I402" i="12" s="1"/>
  <c r="J52" i="12"/>
  <c r="H52" i="12" s="1"/>
  <c r="I52" i="12" s="1"/>
  <c r="J116" i="12"/>
  <c r="H116" i="12" s="1"/>
  <c r="J162" i="12"/>
  <c r="H162" i="12" s="1"/>
  <c r="I162" i="12" s="1"/>
  <c r="J194" i="12"/>
  <c r="H194" i="12" s="1"/>
  <c r="I194" i="12" s="1"/>
  <c r="J226" i="12"/>
  <c r="H226" i="12" s="1"/>
  <c r="I226" i="12" s="1"/>
  <c r="J258" i="12"/>
  <c r="H258" i="12" s="1"/>
  <c r="I258" i="12" s="1"/>
  <c r="J290" i="12"/>
  <c r="H290" i="12" s="1"/>
  <c r="I290" i="12" s="1"/>
  <c r="J317" i="12"/>
  <c r="H317" i="12" s="1"/>
  <c r="I317" i="12" s="1"/>
  <c r="J338" i="12"/>
  <c r="H338" i="12" s="1"/>
  <c r="I338" i="12" s="1"/>
  <c r="J356" i="12"/>
  <c r="H356" i="12" s="1"/>
  <c r="I356" i="12" s="1"/>
  <c r="J372" i="12"/>
  <c r="H372" i="12" s="1"/>
  <c r="I372" i="12" s="1"/>
  <c r="J388" i="12"/>
  <c r="H388" i="12" s="1"/>
  <c r="I388" i="12" s="1"/>
  <c r="V15" i="1"/>
  <c r="V119" i="1"/>
  <c r="V60" i="1"/>
  <c r="V75" i="1"/>
  <c r="V39" i="1"/>
  <c r="V97" i="1"/>
  <c r="V78" i="1"/>
  <c r="K78" i="1" s="1"/>
  <c r="S78" i="1" s="1"/>
  <c r="I386" i="12"/>
  <c r="I382" i="12"/>
  <c r="I385" i="12"/>
  <c r="I381" i="12"/>
  <c r="Q6" i="1"/>
  <c r="Q45" i="1"/>
  <c r="Q10" i="1"/>
  <c r="Q11" i="1"/>
  <c r="Q39" i="1"/>
  <c r="Q135" i="1"/>
  <c r="N135" i="1" s="1"/>
  <c r="Q9" i="1"/>
  <c r="N9" i="1" s="1"/>
  <c r="Q86" i="1"/>
  <c r="Q66" i="1"/>
  <c r="J3" i="1"/>
  <c r="J136" i="1"/>
  <c r="N86" i="1" l="1"/>
  <c r="N11" i="1"/>
  <c r="K119" i="1"/>
  <c r="S119" i="1" s="1"/>
  <c r="K4" i="1"/>
  <c r="K34" i="1"/>
  <c r="S34" i="1" s="1"/>
  <c r="K67" i="1"/>
  <c r="L67" i="1" s="1"/>
  <c r="K116" i="1"/>
  <c r="S116" i="1" s="1"/>
  <c r="K122" i="1"/>
  <c r="K85" i="1"/>
  <c r="S85" i="1" s="1"/>
  <c r="K11" i="1"/>
  <c r="K83" i="1"/>
  <c r="S83" i="1" s="1"/>
  <c r="K84" i="1"/>
  <c r="K48" i="1"/>
  <c r="S48" i="1" s="1"/>
  <c r="K73" i="1"/>
  <c r="K39" i="1"/>
  <c r="T39" i="1" s="1"/>
  <c r="U39" i="1" s="1"/>
  <c r="K55" i="1"/>
  <c r="K70" i="1"/>
  <c r="S70" i="1" s="1"/>
  <c r="K9" i="1"/>
  <c r="K20" i="1"/>
  <c r="S20" i="1" s="1"/>
  <c r="K51" i="1"/>
  <c r="M51" i="1" s="1"/>
  <c r="K24" i="1"/>
  <c r="S24" i="1" s="1"/>
  <c r="K40" i="1"/>
  <c r="L40" i="1" s="1"/>
  <c r="K31" i="1"/>
  <c r="S31" i="1" s="1"/>
  <c r="K94" i="1"/>
  <c r="K112" i="1"/>
  <c r="S112" i="1" s="1"/>
  <c r="K65" i="1"/>
  <c r="K30" i="1"/>
  <c r="S30" i="1" s="1"/>
  <c r="K19" i="1"/>
  <c r="M19" i="1" s="1"/>
  <c r="K7" i="1"/>
  <c r="S7" i="1" s="1"/>
  <c r="K57" i="1"/>
  <c r="N45" i="1"/>
  <c r="K75" i="1"/>
  <c r="M75" i="1" s="1"/>
  <c r="K12" i="1"/>
  <c r="S12" i="1" s="1"/>
  <c r="K121" i="1"/>
  <c r="M121" i="1" s="1"/>
  <c r="K89" i="1"/>
  <c r="S89" i="1" s="1"/>
  <c r="K8" i="1"/>
  <c r="L8" i="1" s="1"/>
  <c r="K54" i="1"/>
  <c r="S54" i="1" s="1"/>
  <c r="K58" i="1"/>
  <c r="M58" i="1" s="1"/>
  <c r="K109" i="1"/>
  <c r="S109" i="1" s="1"/>
  <c r="K46" i="1"/>
  <c r="M46" i="1" s="1"/>
  <c r="K135" i="1"/>
  <c r="S135" i="1" s="1"/>
  <c r="K42" i="1"/>
  <c r="K21" i="1"/>
  <c r="S21" i="1" s="1"/>
  <c r="K6" i="1"/>
  <c r="S6" i="1" s="1"/>
  <c r="K134" i="1"/>
  <c r="S134" i="1" s="1"/>
  <c r="K86" i="1"/>
  <c r="K50" i="1"/>
  <c r="S50" i="1" s="1"/>
  <c r="K104" i="1"/>
  <c r="K10" i="1"/>
  <c r="S10" i="1" s="1"/>
  <c r="K43" i="1"/>
  <c r="L43" i="1" s="1"/>
  <c r="K5" i="1"/>
  <c r="S5" i="1" s="1"/>
  <c r="K136" i="1"/>
  <c r="K108" i="1"/>
  <c r="S108" i="1" s="1"/>
  <c r="K93" i="1"/>
  <c r="M93" i="1" s="1"/>
  <c r="K29" i="1"/>
  <c r="S29" i="1" s="1"/>
  <c r="K33" i="1"/>
  <c r="K13" i="1"/>
  <c r="S13" i="1" s="1"/>
  <c r="K45" i="1"/>
  <c r="M45" i="1" s="1"/>
  <c r="K97" i="1"/>
  <c r="S97" i="1" s="1"/>
  <c r="K107" i="1"/>
  <c r="K79" i="1"/>
  <c r="S79" i="1" s="1"/>
  <c r="K120" i="1"/>
  <c r="K28" i="1"/>
  <c r="S28" i="1" s="1"/>
  <c r="K25" i="1"/>
  <c r="K126" i="1"/>
  <c r="S126" i="1" s="1"/>
  <c r="L27" i="1"/>
  <c r="K56" i="1"/>
  <c r="S56" i="1" s="1"/>
  <c r="K127" i="1"/>
  <c r="M127" i="1" s="1"/>
  <c r="K88" i="1"/>
  <c r="S88" i="1" s="1"/>
  <c r="K53" i="1"/>
  <c r="K2" i="1"/>
  <c r="S2" i="1" s="1"/>
  <c r="N10" i="1"/>
  <c r="K15" i="1"/>
  <c r="S15" i="1" s="1"/>
  <c r="K132" i="1"/>
  <c r="K44" i="1"/>
  <c r="S44" i="1" s="1"/>
  <c r="K129" i="1"/>
  <c r="K81" i="1"/>
  <c r="S81" i="1" s="1"/>
  <c r="K41" i="1"/>
  <c r="K105" i="1"/>
  <c r="S105" i="1" s="1"/>
  <c r="K17" i="1"/>
  <c r="K59" i="1"/>
  <c r="S59" i="1" s="1"/>
  <c r="N66" i="1"/>
  <c r="N39" i="1"/>
  <c r="N6" i="1"/>
  <c r="K60" i="1"/>
  <c r="S60" i="1" s="1"/>
  <c r="K130" i="1"/>
  <c r="L130" i="1" s="1"/>
  <c r="K63" i="1"/>
  <c r="S63" i="1" s="1"/>
  <c r="K101" i="1"/>
  <c r="K69" i="1"/>
  <c r="S69" i="1" s="1"/>
  <c r="K117" i="1"/>
  <c r="K76" i="1"/>
  <c r="S76" i="1" s="1"/>
  <c r="K22" i="1"/>
  <c r="K82" i="1"/>
  <c r="S82" i="1" s="1"/>
  <c r="K62" i="1"/>
  <c r="K118" i="1"/>
  <c r="S118" i="1" s="1"/>
  <c r="K74" i="1"/>
  <c r="K16" i="1"/>
  <c r="S16" i="1" s="1"/>
  <c r="K133" i="1"/>
  <c r="K72" i="1"/>
  <c r="S72" i="1" s="1"/>
  <c r="K47" i="1"/>
  <c r="K68" i="1"/>
  <c r="S68" i="1" s="1"/>
  <c r="K14" i="1"/>
  <c r="L14" i="1" s="1"/>
  <c r="K26" i="1"/>
  <c r="S26" i="1" s="1"/>
  <c r="K18" i="1"/>
  <c r="K131" i="1"/>
  <c r="S131" i="1" s="1"/>
  <c r="K66" i="1"/>
  <c r="M66" i="1" s="1"/>
  <c r="K90" i="1"/>
  <c r="S90" i="1" s="1"/>
  <c r="K38" i="1"/>
  <c r="K71" i="1"/>
  <c r="S71" i="1" s="1"/>
  <c r="K23" i="1"/>
  <c r="L23" i="1" s="1"/>
  <c r="K3" i="1"/>
  <c r="T3" i="1" s="1"/>
  <c r="O65" i="1"/>
  <c r="O124" i="1"/>
  <c r="P124" i="1" s="1"/>
  <c r="L124" i="1"/>
  <c r="M124" i="1"/>
  <c r="T124" i="1"/>
  <c r="U124" i="1" s="1"/>
  <c r="O123" i="1"/>
  <c r="P123" i="1" s="1"/>
  <c r="T123" i="1"/>
  <c r="U123" i="1" s="1"/>
  <c r="M123" i="1"/>
  <c r="L123" i="1"/>
  <c r="O80" i="1"/>
  <c r="P80" i="1" s="1"/>
  <c r="M80" i="1"/>
  <c r="L80" i="1"/>
  <c r="T80" i="1"/>
  <c r="U80" i="1" s="1"/>
  <c r="T87" i="1"/>
  <c r="U87" i="1" s="1"/>
  <c r="O87" i="1"/>
  <c r="P87" i="1" s="1"/>
  <c r="L87" i="1"/>
  <c r="M87" i="1"/>
  <c r="L77" i="1"/>
  <c r="M77" i="1"/>
  <c r="T77" i="1"/>
  <c r="U77" i="1" s="1"/>
  <c r="M103" i="1"/>
  <c r="O103" i="1"/>
  <c r="P103" i="1" s="1"/>
  <c r="L103" i="1"/>
  <c r="T103" i="1"/>
  <c r="U103" i="1" s="1"/>
  <c r="O113" i="1"/>
  <c r="P113" i="1" s="1"/>
  <c r="M113" i="1"/>
  <c r="T113" i="1"/>
  <c r="U113" i="1" s="1"/>
  <c r="L113" i="1"/>
  <c r="T78" i="1"/>
  <c r="U78" i="1" s="1"/>
  <c r="O78" i="1"/>
  <c r="P78" i="1" s="1"/>
  <c r="L78" i="1"/>
  <c r="M78" i="1"/>
  <c r="L100" i="1"/>
  <c r="M100" i="1"/>
  <c r="T100" i="1"/>
  <c r="U100" i="1" s="1"/>
  <c r="M102" i="1"/>
  <c r="L102" i="1"/>
  <c r="T102" i="1"/>
  <c r="U102" i="1" s="1"/>
  <c r="O91" i="1"/>
  <c r="P91" i="1" s="1"/>
  <c r="T91" i="1"/>
  <c r="U91" i="1" s="1"/>
  <c r="L91" i="1"/>
  <c r="M91" i="1"/>
  <c r="O125" i="1"/>
  <c r="P125" i="1" s="1"/>
  <c r="T125" i="1"/>
  <c r="U125" i="1" s="1"/>
  <c r="L125" i="1"/>
  <c r="M125" i="1"/>
  <c r="M110" i="1"/>
  <c r="T110" i="1"/>
  <c r="U110" i="1" s="1"/>
  <c r="L110" i="1"/>
  <c r="M24" i="1"/>
  <c r="O2" i="1"/>
  <c r="O90" i="1"/>
  <c r="O7" i="1"/>
  <c r="O4" i="1"/>
  <c r="O69" i="1"/>
  <c r="O30" i="1"/>
  <c r="L34" i="1"/>
  <c r="O58" i="1"/>
  <c r="O19" i="1"/>
  <c r="O8" i="1"/>
  <c r="M79" i="1"/>
  <c r="O57" i="1"/>
  <c r="O41" i="1"/>
  <c r="O13" i="1"/>
  <c r="O93" i="1"/>
  <c r="L7" i="1"/>
  <c r="O72" i="1"/>
  <c r="O81" i="1"/>
  <c r="O20" i="1"/>
  <c r="O76" i="1"/>
  <c r="O82" i="1"/>
  <c r="O23" i="1"/>
  <c r="O108" i="1"/>
  <c r="M85" i="1"/>
  <c r="O55" i="1"/>
  <c r="O84" i="1"/>
  <c r="O83" i="1"/>
  <c r="O29" i="1"/>
  <c r="O16" i="1"/>
  <c r="O62" i="1"/>
  <c r="O73" i="1"/>
  <c r="O75" i="1"/>
  <c r="O15" i="1"/>
  <c r="O14" i="1"/>
  <c r="O33" i="1"/>
  <c r="L85" i="1"/>
  <c r="O53" i="1"/>
  <c r="O34" i="1"/>
  <c r="O97" i="1"/>
  <c r="M13" i="1"/>
  <c r="O63" i="1"/>
  <c r="O31" i="1"/>
  <c r="O134" i="1"/>
  <c r="P134" i="1" s="1"/>
  <c r="O88" i="1"/>
  <c r="O132" i="1"/>
  <c r="L134" i="1"/>
  <c r="M118" i="1"/>
  <c r="L54" i="1"/>
  <c r="Q136" i="1"/>
  <c r="Q3" i="1"/>
  <c r="M31" i="1" l="1"/>
  <c r="P63" i="1"/>
  <c r="M5" i="1"/>
  <c r="L39" i="1"/>
  <c r="P31" i="1"/>
  <c r="L29" i="1"/>
  <c r="L116" i="1"/>
  <c r="M116" i="1"/>
  <c r="R116" i="1" s="1"/>
  <c r="M72" i="1"/>
  <c r="P20" i="1"/>
  <c r="L63" i="1"/>
  <c r="P53" i="1"/>
  <c r="L21" i="1"/>
  <c r="L26" i="1"/>
  <c r="L109" i="1"/>
  <c r="M109" i="1"/>
  <c r="M59" i="1"/>
  <c r="M69" i="1"/>
  <c r="T109" i="1"/>
  <c r="U109" i="1" s="1"/>
  <c r="M63" i="1"/>
  <c r="P88" i="1"/>
  <c r="L108" i="1"/>
  <c r="L13" i="1"/>
  <c r="R13" i="1" s="1"/>
  <c r="L5" i="1"/>
  <c r="R5" i="1" s="1"/>
  <c r="M76" i="1"/>
  <c r="P75" i="1"/>
  <c r="P76" i="1"/>
  <c r="L3" i="1"/>
  <c r="M82" i="1"/>
  <c r="L70" i="1"/>
  <c r="L118" i="1"/>
  <c r="R118" i="1" s="1"/>
  <c r="P97" i="1"/>
  <c r="L79" i="1"/>
  <c r="R79" i="1" s="1"/>
  <c r="M26" i="1"/>
  <c r="L72" i="1"/>
  <c r="M20" i="1"/>
  <c r="M81" i="1"/>
  <c r="P72" i="1"/>
  <c r="M71" i="1"/>
  <c r="P90" i="1"/>
  <c r="L56" i="1"/>
  <c r="M28" i="1"/>
  <c r="M54" i="1"/>
  <c r="M112" i="1"/>
  <c r="L60" i="1"/>
  <c r="M70" i="1"/>
  <c r="L15" i="1"/>
  <c r="L76" i="1"/>
  <c r="L97" i="1"/>
  <c r="M90" i="1"/>
  <c r="L90" i="1"/>
  <c r="M29" i="1"/>
  <c r="P29" i="1"/>
  <c r="L24" i="1"/>
  <c r="R24" i="1" s="1"/>
  <c r="L31" i="1"/>
  <c r="R31" i="1" s="1"/>
  <c r="P81" i="1"/>
  <c r="M3" i="1"/>
  <c r="T29" i="1"/>
  <c r="U29" i="1" s="1"/>
  <c r="T70" i="1"/>
  <c r="U70" i="1" s="1"/>
  <c r="M50" i="1"/>
  <c r="L112" i="1"/>
  <c r="M88" i="1"/>
  <c r="L83" i="1"/>
  <c r="P15" i="1"/>
  <c r="L28" i="1"/>
  <c r="P108" i="1"/>
  <c r="L6" i="1"/>
  <c r="S39" i="1"/>
  <c r="T50" i="1"/>
  <c r="U50" i="1" s="1"/>
  <c r="T112" i="1"/>
  <c r="U112" i="1" s="1"/>
  <c r="L50" i="1"/>
  <c r="M44" i="1"/>
  <c r="L48" i="1"/>
  <c r="L88" i="1"/>
  <c r="R88" i="1" s="1"/>
  <c r="M15" i="1"/>
  <c r="R15" i="1" s="1"/>
  <c r="M108" i="1"/>
  <c r="L59" i="1"/>
  <c r="R59" i="1" s="1"/>
  <c r="M56" i="1"/>
  <c r="M7" i="1"/>
  <c r="R7" i="1" s="1"/>
  <c r="L81" i="1"/>
  <c r="M39" i="1"/>
  <c r="L2" i="1"/>
  <c r="T28" i="1"/>
  <c r="U28" i="1" s="1"/>
  <c r="T85" i="1"/>
  <c r="U85" i="1" s="1"/>
  <c r="M12" i="1"/>
  <c r="M126" i="1"/>
  <c r="L119" i="1"/>
  <c r="P69" i="1"/>
  <c r="T126" i="1"/>
  <c r="U126" i="1" s="1"/>
  <c r="T13" i="1"/>
  <c r="U13" i="1" s="1"/>
  <c r="T83" i="1"/>
  <c r="U83" i="1" s="1"/>
  <c r="T119" i="1"/>
  <c r="U119" i="1" s="1"/>
  <c r="L126" i="1"/>
  <c r="M34" i="1"/>
  <c r="R34" i="1" s="1"/>
  <c r="M83" i="1"/>
  <c r="P16" i="1"/>
  <c r="L30" i="1"/>
  <c r="P82" i="1"/>
  <c r="M30" i="1"/>
  <c r="L105" i="1"/>
  <c r="L135" i="1"/>
  <c r="P30" i="1"/>
  <c r="M10" i="1"/>
  <c r="M68" i="1"/>
  <c r="M2" i="1"/>
  <c r="T56" i="1"/>
  <c r="U56" i="1" s="1"/>
  <c r="T97" i="1"/>
  <c r="U97" i="1" s="1"/>
  <c r="T5" i="1"/>
  <c r="U5" i="1" s="1"/>
  <c r="T21" i="1"/>
  <c r="U21" i="1" s="1"/>
  <c r="T89" i="1"/>
  <c r="U89" i="1" s="1"/>
  <c r="T7" i="1"/>
  <c r="U7" i="1" s="1"/>
  <c r="T24" i="1"/>
  <c r="U24" i="1" s="1"/>
  <c r="T48" i="1"/>
  <c r="U48" i="1" s="1"/>
  <c r="T34" i="1"/>
  <c r="U34" i="1" s="1"/>
  <c r="L44" i="1"/>
  <c r="L82" i="1"/>
  <c r="M119" i="1"/>
  <c r="L68" i="1"/>
  <c r="M105" i="1"/>
  <c r="T10" i="1"/>
  <c r="U10" i="1" s="1"/>
  <c r="T135" i="1"/>
  <c r="U135" i="1" s="1"/>
  <c r="T12" i="1"/>
  <c r="U12" i="1" s="1"/>
  <c r="T30" i="1"/>
  <c r="U30" i="1" s="1"/>
  <c r="T20" i="1"/>
  <c r="U20" i="1" s="1"/>
  <c r="L131" i="1"/>
  <c r="L12" i="1"/>
  <c r="M89" i="1"/>
  <c r="L89" i="1"/>
  <c r="M48" i="1"/>
  <c r="M60" i="1"/>
  <c r="M21" i="1"/>
  <c r="R21" i="1" s="1"/>
  <c r="M16" i="1"/>
  <c r="M97" i="1"/>
  <c r="P34" i="1"/>
  <c r="L69" i="1"/>
  <c r="P83" i="1"/>
  <c r="L20" i="1"/>
  <c r="L16" i="1"/>
  <c r="P13" i="1"/>
  <c r="L71" i="1"/>
  <c r="L10" i="1"/>
  <c r="P7" i="1"/>
  <c r="P2" i="1"/>
  <c r="T79" i="1"/>
  <c r="U79" i="1" s="1"/>
  <c r="T108" i="1"/>
  <c r="U108" i="1" s="1"/>
  <c r="T134" i="1"/>
  <c r="U134" i="1" s="1"/>
  <c r="T54" i="1"/>
  <c r="U54" i="1" s="1"/>
  <c r="T31" i="1"/>
  <c r="U31" i="1" s="1"/>
  <c r="T116" i="1"/>
  <c r="U116" i="1" s="1"/>
  <c r="N3" i="1"/>
  <c r="S3" i="1"/>
  <c r="S41" i="1"/>
  <c r="T41" i="1"/>
  <c r="U41" i="1" s="1"/>
  <c r="M41" i="1"/>
  <c r="S132" i="1"/>
  <c r="L132" i="1"/>
  <c r="T132" i="1"/>
  <c r="U132" i="1" s="1"/>
  <c r="S120" i="1"/>
  <c r="L120" i="1"/>
  <c r="T120" i="1"/>
  <c r="U120" i="1" s="1"/>
  <c r="S93" i="1"/>
  <c r="L93" i="1"/>
  <c r="T93" i="1"/>
  <c r="U93" i="1" s="1"/>
  <c r="T86" i="1"/>
  <c r="U86" i="1" s="1"/>
  <c r="M86" i="1"/>
  <c r="L86" i="1"/>
  <c r="S86" i="1"/>
  <c r="S58" i="1"/>
  <c r="T58" i="1"/>
  <c r="U58" i="1" s="1"/>
  <c r="L58" i="1"/>
  <c r="S94" i="1"/>
  <c r="M94" i="1"/>
  <c r="T94" i="1"/>
  <c r="U94" i="1" s="1"/>
  <c r="S55" i="1"/>
  <c r="M55" i="1"/>
  <c r="T55" i="1"/>
  <c r="U55" i="1" s="1"/>
  <c r="L55" i="1"/>
  <c r="S122" i="1"/>
  <c r="M122" i="1"/>
  <c r="T122" i="1"/>
  <c r="U122" i="1" s="1"/>
  <c r="L122" i="1"/>
  <c r="L94" i="1"/>
  <c r="S23" i="1"/>
  <c r="M23" i="1"/>
  <c r="T23" i="1"/>
  <c r="U23" i="1" s="1"/>
  <c r="L66" i="1"/>
  <c r="T66" i="1"/>
  <c r="U66" i="1" s="1"/>
  <c r="S14" i="1"/>
  <c r="M14" i="1"/>
  <c r="T14" i="1"/>
  <c r="U14" i="1" s="1"/>
  <c r="S133" i="1"/>
  <c r="L133" i="1"/>
  <c r="T133" i="1"/>
  <c r="U133" i="1" s="1"/>
  <c r="S62" i="1"/>
  <c r="M62" i="1"/>
  <c r="L62" i="1"/>
  <c r="T62" i="1"/>
  <c r="U62" i="1" s="1"/>
  <c r="S117" i="1"/>
  <c r="M117" i="1"/>
  <c r="T117" i="1"/>
  <c r="U117" i="1" s="1"/>
  <c r="L117" i="1"/>
  <c r="S130" i="1"/>
  <c r="R130" i="1" s="1"/>
  <c r="T130" i="1"/>
  <c r="U130" i="1" s="1"/>
  <c r="S53" i="1"/>
  <c r="M53" i="1"/>
  <c r="L53" i="1"/>
  <c r="T53" i="1"/>
  <c r="U53" i="1" s="1"/>
  <c r="S25" i="1"/>
  <c r="M25" i="1"/>
  <c r="T25" i="1"/>
  <c r="U25" i="1" s="1"/>
  <c r="L25" i="1"/>
  <c r="S33" i="1"/>
  <c r="L33" i="1"/>
  <c r="M33" i="1"/>
  <c r="T33" i="1"/>
  <c r="U33" i="1" s="1"/>
  <c r="S104" i="1"/>
  <c r="L104" i="1"/>
  <c r="M104" i="1"/>
  <c r="T104" i="1"/>
  <c r="U104" i="1" s="1"/>
  <c r="S46" i="1"/>
  <c r="L46" i="1"/>
  <c r="T46" i="1"/>
  <c r="U46" i="1" s="1"/>
  <c r="S75" i="1"/>
  <c r="T75" i="1"/>
  <c r="U75" i="1" s="1"/>
  <c r="L75" i="1"/>
  <c r="S65" i="1"/>
  <c r="M65" i="1"/>
  <c r="T65" i="1"/>
  <c r="U65" i="1" s="1"/>
  <c r="S9" i="1"/>
  <c r="M9" i="1"/>
  <c r="L9" i="1"/>
  <c r="T9" i="1"/>
  <c r="U9" i="1" s="1"/>
  <c r="L11" i="1"/>
  <c r="M11" i="1"/>
  <c r="T11" i="1"/>
  <c r="U11" i="1" s="1"/>
  <c r="S11" i="1"/>
  <c r="M120" i="1"/>
  <c r="P23" i="1"/>
  <c r="S17" i="1"/>
  <c r="L17" i="1"/>
  <c r="M17" i="1"/>
  <c r="T17" i="1"/>
  <c r="U17" i="1" s="1"/>
  <c r="S129" i="1"/>
  <c r="T129" i="1"/>
  <c r="U129" i="1" s="1"/>
  <c r="L129" i="1"/>
  <c r="S27" i="1"/>
  <c r="T27" i="1"/>
  <c r="U27" i="1" s="1"/>
  <c r="M27" i="1"/>
  <c r="T45" i="1"/>
  <c r="U45" i="1" s="1"/>
  <c r="S45" i="1"/>
  <c r="L45" i="1"/>
  <c r="S43" i="1"/>
  <c r="M43" i="1"/>
  <c r="T43" i="1"/>
  <c r="U43" i="1" s="1"/>
  <c r="S42" i="1"/>
  <c r="T42" i="1"/>
  <c r="U42" i="1" s="1"/>
  <c r="M42" i="1"/>
  <c r="L42" i="1"/>
  <c r="S121" i="1"/>
  <c r="T121" i="1"/>
  <c r="U121" i="1" s="1"/>
  <c r="L121" i="1"/>
  <c r="S19" i="1"/>
  <c r="L19" i="1"/>
  <c r="T19" i="1"/>
  <c r="U19" i="1" s="1"/>
  <c r="S51" i="1"/>
  <c r="L51" i="1"/>
  <c r="T51" i="1"/>
  <c r="U51" i="1" s="1"/>
  <c r="S84" i="1"/>
  <c r="M84" i="1"/>
  <c r="L84" i="1"/>
  <c r="T84" i="1"/>
  <c r="U84" i="1" s="1"/>
  <c r="S4" i="1"/>
  <c r="M4" i="1"/>
  <c r="L4" i="1"/>
  <c r="T4" i="1"/>
  <c r="U4" i="1" s="1"/>
  <c r="L41" i="1"/>
  <c r="L65" i="1"/>
  <c r="S38" i="1"/>
  <c r="L38" i="1"/>
  <c r="M38" i="1"/>
  <c r="T38" i="1"/>
  <c r="U38" i="1" s="1"/>
  <c r="S18" i="1"/>
  <c r="T18" i="1"/>
  <c r="U18" i="1" s="1"/>
  <c r="L18" i="1"/>
  <c r="M18" i="1"/>
  <c r="S47" i="1"/>
  <c r="L47" i="1"/>
  <c r="T47" i="1"/>
  <c r="U47" i="1" s="1"/>
  <c r="M47" i="1"/>
  <c r="S74" i="1"/>
  <c r="T74" i="1"/>
  <c r="U74" i="1" s="1"/>
  <c r="L74" i="1"/>
  <c r="M74" i="1"/>
  <c r="S22" i="1"/>
  <c r="T22" i="1"/>
  <c r="U22" i="1" s="1"/>
  <c r="M22" i="1"/>
  <c r="L22" i="1"/>
  <c r="S101" i="1"/>
  <c r="T101" i="1"/>
  <c r="U101" i="1" s="1"/>
  <c r="M101" i="1"/>
  <c r="L101" i="1"/>
  <c r="S66" i="1"/>
  <c r="R66" i="1" s="1"/>
  <c r="S127" i="1"/>
  <c r="T127" i="1"/>
  <c r="U127" i="1" s="1"/>
  <c r="L127" i="1"/>
  <c r="S107" i="1"/>
  <c r="M107" i="1"/>
  <c r="L107" i="1"/>
  <c r="T107" i="1"/>
  <c r="U107" i="1" s="1"/>
  <c r="L136" i="1"/>
  <c r="T136" i="1"/>
  <c r="U136" i="1" s="1"/>
  <c r="T6" i="1"/>
  <c r="U6" i="1" s="1"/>
  <c r="M6" i="1"/>
  <c r="S8" i="1"/>
  <c r="M8" i="1"/>
  <c r="T8" i="1"/>
  <c r="U8" i="1" s="1"/>
  <c r="S57" i="1"/>
  <c r="L57" i="1"/>
  <c r="T57" i="1"/>
  <c r="U57" i="1" s="1"/>
  <c r="M57" i="1"/>
  <c r="S40" i="1"/>
  <c r="M40" i="1"/>
  <c r="T40" i="1"/>
  <c r="U40" i="1" s="1"/>
  <c r="S73" i="1"/>
  <c r="L73" i="1"/>
  <c r="M73" i="1"/>
  <c r="T73" i="1"/>
  <c r="U73" i="1" s="1"/>
  <c r="S67" i="1"/>
  <c r="M67" i="1"/>
  <c r="T67" i="1"/>
  <c r="U67" i="1" s="1"/>
  <c r="P14" i="1"/>
  <c r="N136" i="1"/>
  <c r="S136" i="1"/>
  <c r="P33" i="1"/>
  <c r="P73" i="1"/>
  <c r="P55" i="1"/>
  <c r="P93" i="1"/>
  <c r="P41" i="1"/>
  <c r="P4" i="1"/>
  <c r="P65" i="1"/>
  <c r="P84" i="1"/>
  <c r="P8" i="1"/>
  <c r="P58" i="1"/>
  <c r="P132" i="1"/>
  <c r="P62" i="1"/>
  <c r="P57" i="1"/>
  <c r="P19" i="1"/>
  <c r="T71" i="1"/>
  <c r="U71" i="1" s="1"/>
  <c r="T90" i="1"/>
  <c r="U90" i="1" s="1"/>
  <c r="T131" i="1"/>
  <c r="U131" i="1" s="1"/>
  <c r="T26" i="1"/>
  <c r="U26" i="1" s="1"/>
  <c r="T68" i="1"/>
  <c r="U68" i="1" s="1"/>
  <c r="T72" i="1"/>
  <c r="U72" i="1" s="1"/>
  <c r="T16" i="1"/>
  <c r="U16" i="1" s="1"/>
  <c r="T118" i="1"/>
  <c r="U118" i="1" s="1"/>
  <c r="T82" i="1"/>
  <c r="U82" i="1" s="1"/>
  <c r="T76" i="1"/>
  <c r="U76" i="1" s="1"/>
  <c r="T69" i="1"/>
  <c r="U69" i="1" s="1"/>
  <c r="T63" i="1"/>
  <c r="U63" i="1" s="1"/>
  <c r="T60" i="1"/>
  <c r="U60" i="1" s="1"/>
  <c r="T59" i="1"/>
  <c r="U59" i="1" s="1"/>
  <c r="T105" i="1"/>
  <c r="U105" i="1" s="1"/>
  <c r="T81" i="1"/>
  <c r="U81" i="1" s="1"/>
  <c r="T44" i="1"/>
  <c r="U44" i="1" s="1"/>
  <c r="T15" i="1"/>
  <c r="U15" i="1" s="1"/>
  <c r="T2" i="1"/>
  <c r="U2" i="1" s="1"/>
  <c r="T88" i="1"/>
  <c r="U88" i="1" s="1"/>
  <c r="R125" i="1"/>
  <c r="R91" i="1"/>
  <c r="R78" i="1"/>
  <c r="R103" i="1"/>
  <c r="R87" i="1"/>
  <c r="R80" i="1"/>
  <c r="O77" i="1"/>
  <c r="P77" i="1" s="1"/>
  <c r="R77" i="1"/>
  <c r="O110" i="1"/>
  <c r="P110" i="1" s="1"/>
  <c r="R110" i="1"/>
  <c r="O102" i="1"/>
  <c r="P102" i="1" s="1"/>
  <c r="R102" i="1"/>
  <c r="O100" i="1"/>
  <c r="P100" i="1" s="1"/>
  <c r="R100" i="1"/>
  <c r="R113" i="1"/>
  <c r="R123" i="1"/>
  <c r="R124" i="1"/>
  <c r="R131" i="1"/>
  <c r="O131" i="1"/>
  <c r="P131" i="1" s="1"/>
  <c r="O129" i="1"/>
  <c r="P129" i="1" s="1"/>
  <c r="O40" i="1"/>
  <c r="P40" i="1" s="1"/>
  <c r="O12" i="1"/>
  <c r="P12" i="1" s="1"/>
  <c r="O121" i="1"/>
  <c r="P121" i="1" s="1"/>
  <c r="R54" i="1"/>
  <c r="O54" i="1"/>
  <c r="P54" i="1" s="1"/>
  <c r="O50" i="1"/>
  <c r="P50" i="1" s="1"/>
  <c r="O6" i="1"/>
  <c r="P6" i="1" s="1"/>
  <c r="O45" i="1"/>
  <c r="P45" i="1" s="1"/>
  <c r="O10" i="1"/>
  <c r="P10" i="1" s="1"/>
  <c r="O11" i="1"/>
  <c r="P11" i="1" s="1"/>
  <c r="O39" i="1"/>
  <c r="P39" i="1" s="1"/>
  <c r="R135" i="1"/>
  <c r="O135" i="1"/>
  <c r="P135" i="1" s="1"/>
  <c r="O9" i="1"/>
  <c r="P9" i="1" s="1"/>
  <c r="O86" i="1"/>
  <c r="P86" i="1" s="1"/>
  <c r="O66" i="1"/>
  <c r="P66" i="1" s="1"/>
  <c r="O17" i="1"/>
  <c r="P17" i="1" s="1"/>
  <c r="O127" i="1"/>
  <c r="P127" i="1" s="1"/>
  <c r="O89" i="1"/>
  <c r="P89" i="1" s="1"/>
  <c r="O44" i="1"/>
  <c r="P44" i="1" s="1"/>
  <c r="O67" i="1"/>
  <c r="P67" i="1" s="1"/>
  <c r="O120" i="1"/>
  <c r="P120" i="1" s="1"/>
  <c r="R70" i="1"/>
  <c r="O70" i="1"/>
  <c r="P70" i="1" s="1"/>
  <c r="O122" i="1"/>
  <c r="P122" i="1" s="1"/>
  <c r="O133" i="1"/>
  <c r="P133" i="1" s="1"/>
  <c r="O130" i="1"/>
  <c r="P130" i="1" s="1"/>
  <c r="O47" i="1"/>
  <c r="P47" i="1" s="1"/>
  <c r="O51" i="1"/>
  <c r="P51" i="1" s="1"/>
  <c r="O104" i="1"/>
  <c r="P104" i="1" s="1"/>
  <c r="O18" i="1"/>
  <c r="P18" i="1" s="1"/>
  <c r="R48" i="1"/>
  <c r="O48" i="1"/>
  <c r="P48" i="1" s="1"/>
  <c r="O112" i="1"/>
  <c r="P112" i="1" s="1"/>
  <c r="O118" i="1"/>
  <c r="P118" i="1" s="1"/>
  <c r="O43" i="1"/>
  <c r="P43" i="1" s="1"/>
  <c r="O60" i="1"/>
  <c r="P60" i="1" s="1"/>
  <c r="O46" i="1"/>
  <c r="P46" i="1" s="1"/>
  <c r="O101" i="1"/>
  <c r="P101" i="1" s="1"/>
  <c r="O126" i="1"/>
  <c r="P126" i="1" s="1"/>
  <c r="O21" i="1"/>
  <c r="P21" i="1" s="1"/>
  <c r="O27" i="1"/>
  <c r="P27" i="1" s="1"/>
  <c r="O5" i="1"/>
  <c r="P5" i="1" s="1"/>
  <c r="O117" i="1"/>
  <c r="P117" i="1" s="1"/>
  <c r="O38" i="1"/>
  <c r="P38" i="1" s="1"/>
  <c r="O94" i="1"/>
  <c r="P94" i="1" s="1"/>
  <c r="R85" i="1"/>
  <c r="O85" i="1"/>
  <c r="P85" i="1" s="1"/>
  <c r="O109" i="1"/>
  <c r="P109" i="1" s="1"/>
  <c r="O59" i="1"/>
  <c r="P59" i="1" s="1"/>
  <c r="O26" i="1"/>
  <c r="P26" i="1" s="1"/>
  <c r="O24" i="1"/>
  <c r="P24" i="1" s="1"/>
  <c r="O22" i="1"/>
  <c r="P22" i="1" s="1"/>
  <c r="O79" i="1"/>
  <c r="P79" i="1" s="1"/>
  <c r="O119" i="1"/>
  <c r="P119" i="1" s="1"/>
  <c r="O56" i="1"/>
  <c r="P56" i="1" s="1"/>
  <c r="O74" i="1"/>
  <c r="P74" i="1" s="1"/>
  <c r="O71" i="1"/>
  <c r="P71" i="1" s="1"/>
  <c r="O28" i="1"/>
  <c r="P28" i="1" s="1"/>
  <c r="O105" i="1"/>
  <c r="P105" i="1" s="1"/>
  <c r="O42" i="1"/>
  <c r="P42" i="1" s="1"/>
  <c r="O68" i="1"/>
  <c r="P68" i="1" s="1"/>
  <c r="O25" i="1"/>
  <c r="P25" i="1" s="1"/>
  <c r="O107" i="1"/>
  <c r="P107" i="1" s="1"/>
  <c r="O116" i="1"/>
  <c r="P116" i="1" s="1"/>
  <c r="R134" i="1"/>
  <c r="U3" i="1"/>
  <c r="R29" i="1" l="1"/>
  <c r="R76" i="1"/>
  <c r="R72" i="1"/>
  <c r="R28" i="1"/>
  <c r="R56" i="1"/>
  <c r="R30" i="1"/>
  <c r="R63" i="1"/>
  <c r="R2" i="1"/>
  <c r="R108" i="1"/>
  <c r="R26" i="1"/>
  <c r="R112" i="1"/>
  <c r="R20" i="1"/>
  <c r="R109" i="1"/>
  <c r="R69" i="1"/>
  <c r="R89" i="1"/>
  <c r="R44" i="1"/>
  <c r="R50" i="1"/>
  <c r="R83" i="1"/>
  <c r="R90" i="1"/>
  <c r="R97" i="1"/>
  <c r="R81" i="1"/>
  <c r="R75" i="1"/>
  <c r="R10" i="1"/>
  <c r="R119" i="1"/>
  <c r="R27" i="1"/>
  <c r="R16" i="1"/>
  <c r="R60" i="1"/>
  <c r="R12" i="1"/>
  <c r="R68" i="1"/>
  <c r="R126" i="1"/>
  <c r="R67" i="1"/>
  <c r="R53" i="1"/>
  <c r="R14" i="1"/>
  <c r="R71" i="1"/>
  <c r="R82" i="1"/>
  <c r="R39" i="1"/>
  <c r="R19" i="1"/>
  <c r="R8" i="1"/>
  <c r="R45" i="1"/>
  <c r="R6" i="1"/>
  <c r="R127" i="1"/>
  <c r="R121" i="1"/>
  <c r="R129" i="1"/>
  <c r="R94" i="1"/>
  <c r="R73" i="1"/>
  <c r="R4" i="1"/>
  <c r="R17" i="1"/>
  <c r="R133" i="1"/>
  <c r="R23" i="1"/>
  <c r="R132" i="1"/>
  <c r="R105" i="1"/>
  <c r="R107" i="1"/>
  <c r="R38" i="1"/>
  <c r="R84" i="1"/>
  <c r="R11" i="1"/>
  <c r="R33" i="1"/>
  <c r="R62" i="1"/>
  <c r="R58" i="1"/>
  <c r="R41" i="1"/>
  <c r="R40" i="1"/>
  <c r="R57" i="1"/>
  <c r="R101" i="1"/>
  <c r="R22" i="1"/>
  <c r="R74" i="1"/>
  <c r="R47" i="1"/>
  <c r="R18" i="1"/>
  <c r="R65" i="1"/>
  <c r="R51" i="1"/>
  <c r="R42" i="1"/>
  <c r="R43" i="1"/>
  <c r="R120" i="1"/>
  <c r="R9" i="1"/>
  <c r="R46" i="1"/>
  <c r="R25" i="1"/>
  <c r="R117" i="1"/>
  <c r="R122" i="1"/>
  <c r="R55" i="1"/>
  <c r="R86" i="1"/>
  <c r="R93" i="1"/>
  <c r="R104" i="1"/>
  <c r="R136" i="1"/>
  <c r="O136" i="1"/>
  <c r="P136" i="1" s="1"/>
  <c r="R3" i="1"/>
  <c r="O3" i="1"/>
  <c r="P3" i="1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4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5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6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8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2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3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4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5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6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7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8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9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0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1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2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3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4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55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8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59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0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1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2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3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4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5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7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8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9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0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1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2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3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4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5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6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7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8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79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0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2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3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4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5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6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7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8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9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90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1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2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3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4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5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6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7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8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9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00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1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2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3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1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2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7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8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8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19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0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5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5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25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26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26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26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26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26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26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26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27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7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7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27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27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27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27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27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27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27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0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1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2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3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4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5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6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7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8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9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290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<sst xmlns="http://schemas.openxmlformats.org/spreadsheetml/2006/main" count="1804" uniqueCount="640">
  <si>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</si>
  <si>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</si>
  <si>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</si>
  <si>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</si>
  <si>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</si>
  <si>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</si>
  <si>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</si>
  <si>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</si>
  <si>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</si>
  <si>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</si>
  <si>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</si>
  <si>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</si>
  <si>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</si>
  <si>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</si>
  <si>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</si>
  <si>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</si>
  <si>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</si>
  <si>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</si>
  <si>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</si>
  <si>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</si>
  <si>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</si>
  <si>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</si>
  <si>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</si>
  <si>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</si>
  <si>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</si>
  <si>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</si>
  <si>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</si>
  <si>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</si>
  <si>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</si>
  <si>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</si>
  <si>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</si>
  <si>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</si>
  <si>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</si>
  <si>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</si>
  <si>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</si>
  <si>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</si>
  <si>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</si>
  <si>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</si>
  <si>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</si>
  <si>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</si>
  <si>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</si>
  <si>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</si>
  <si>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</si>
  <si>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</si>
  <si>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</si>
  <si>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</si>
  <si>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</si>
  <si>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</si>
  <si>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</si>
  <si>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</si>
  <si>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</si>
  <si>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</si>
  <si>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</si>
  <si>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</si>
  <si>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</si>
  <si>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</si>
  <si>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</si>
  <si>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</si>
  <si>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</si>
  <si>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</si>
  <si>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</si>
  <si>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</si>
  <si>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</si>
  <si>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</si>
  <si>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</si>
  <si>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</si>
  <si>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</si>
  <si>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</si>
  <si>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</si>
  <si>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</si>
  <si>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</si>
  <si>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</si>
  <si>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</si>
  <si>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</si>
  <si>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</si>
  <si>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</si>
  <si>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</si>
  <si>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</si>
  <si>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</si>
  <si>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</si>
  <si>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</si>
  <si>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</si>
  <si>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</si>
  <si>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</si>
  <si>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</si>
  <si>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</si>
  <si>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</si>
  <si>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</si>
  <si>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</si>
  <si>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</si>
  <si>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</si>
  <si>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</si>
  <si>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</si>
  <si>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</si>
  <si>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</si>
  <si>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</si>
  <si>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</si>
  <si>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</si>
  <si>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</si>
  <si>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</si>
  <si>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</si>
  <si>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</si>
  <si>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</si>
  <si>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</si>
  <si>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</si>
  <si>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</si>
  <si>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</si>
  <si>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</si>
  <si>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</si>
  <si>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</si>
  <si>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</si>
  <si>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</si>
  <si>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</si>
  <si>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</si>
  <si>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</si>
  <si>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</si>
  <si>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</si>
  <si>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</si>
  <si>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</si>
  <si>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</si>
  <si>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</si>
  <si>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</si>
  <si>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</si>
  <si>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</si>
  <si>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</si>
  <si>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</si>
  <si>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</si>
  <si>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</si>
  <si>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</si>
  <si>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</si>
  <si>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</si>
  <si>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</si>
  <si>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</si>
  <si>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</si>
  <si>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</si>
  <si>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</si>
  <si>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</si>
  <si>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</si>
  <si>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</si>
  <si>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</si>
  <si>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</si>
  <si>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</si>
  <si>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</si>
  <si>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</si>
  <si>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</si>
  <si>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</si>
  <si>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</si>
  <si>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</si>
  <si>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</si>
  <si>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</si>
  <si>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</si>
  <si>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</si>
  <si>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</si>
  <si>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</si>
  <si>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</si>
  <si>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</si>
  <si>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</si>
  <si>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</si>
  <si>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</si>
  <si>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</si>
  <si>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</si>
  <si>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</si>
  <si>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</si>
  <si>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</si>
  <si>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</si>
  <si>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</si>
  <si>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</si>
  <si>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</si>
  <si>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</si>
  <si>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</si>
  <si>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</si>
  <si>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</si>
  <si>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</si>
  <si>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</si>
  <si>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</si>
  <si>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</si>
  <si>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</si>
  <si>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</si>
  <si>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</si>
  <si>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</si>
  <si>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</si>
  <si>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</si>
  <si>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</si>
  <si>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</si>
  <si>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</si>
  <si>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</si>
  <si>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</si>
  <si>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</si>
  <si>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</si>
  <si>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</si>
  <si>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</si>
  <si>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</si>
  <si>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TRPL3</t>
  </si>
  <si>
    <t>TRPL4</t>
  </si>
  <si>
    <t>1.10</t>
  </si>
  <si>
    <t>11.30</t>
  </si>
  <si>
    <t>4.12</t>
  </si>
  <si>
    <t>3.82</t>
  </si>
  <si>
    <t>0.64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</si>
  <si>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</si>
  <si>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</si>
  <si>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</si>
  <si>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</si>
  <si>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</si>
  <si>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</si>
  <si>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</si>
  <si>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</si>
  <si>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</si>
  <si>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</si>
  <si>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</si>
  <si>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</si>
  <si>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</si>
  <si>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</si>
  <si>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</si>
  <si>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</si>
  <si>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</si>
  <si>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</si>
  <si>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</si>
  <si>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</si>
  <si>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</si>
  <si>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</si>
  <si>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</si>
  <si>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</si>
  <si>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</si>
  <si>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</si>
  <si>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</si>
  <si>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</si>
  <si>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</si>
  <si>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</si>
  <si>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</si>
  <si>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</si>
  <si>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</si>
  <si>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</si>
  <si>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</si>
  <si>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</si>
  <si>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</si>
  <si>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</si>
  <si>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</si>
  <si>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</si>
  <si>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</si>
  <si>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</si>
  <si>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</si>
  <si>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</si>
  <si>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</si>
  <si>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</si>
  <si>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</si>
  <si>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</si>
  <si>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</si>
  <si>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</si>
  <si>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</si>
  <si>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</si>
  <si>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</si>
  <si>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</si>
  <si>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</si>
  <si>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</si>
  <si>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</si>
  <si>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</si>
  <si>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BANESE      -ON</t>
  </si>
  <si>
    <t>49.98</t>
  </si>
  <si>
    <t>BANESE      -PN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</si>
  <si>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</si>
  <si>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</si>
  <si>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</si>
  <si>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</si>
  <si>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</si>
  <si>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</si>
  <si>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</si>
  <si>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</si>
  <si>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</si>
  <si>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</si>
  <si>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</si>
  <si>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</si>
  <si>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</si>
  <si>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</si>
  <si>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</si>
  <si>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</si>
  <si>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</si>
  <si>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</si>
  <si>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</si>
  <si>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</si>
  <si>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</si>
  <si>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</si>
  <si>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</si>
  <si>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</si>
  <si>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</si>
  <si>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</si>
  <si>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</si>
  <si>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</si>
  <si>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</si>
  <si>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</si>
  <si>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</si>
  <si>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</si>
  <si>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</si>
  <si>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</si>
  <si>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</si>
  <si>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</si>
  <si>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</si>
  <si>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</si>
  <si>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</si>
  <si>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</si>
  <si>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</si>
  <si>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</si>
  <si>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</si>
  <si>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</si>
  <si>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</si>
  <si>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22.18</t>
  </si>
  <si>
    <t>14.38</t>
  </si>
  <si>
    <t>18.88</t>
  </si>
  <si>
    <t>22.50</t>
  </si>
  <si>
    <t>30.69</t>
  </si>
  <si>
    <t>10.22</t>
  </si>
  <si>
    <t>10.11</t>
  </si>
  <si>
    <t>2.29</t>
  </si>
  <si>
    <t>22.99</t>
  </si>
  <si>
    <t>58.00</t>
  </si>
  <si>
    <t>61.99</t>
  </si>
  <si>
    <t>17.75</t>
  </si>
  <si>
    <t>19.00</t>
  </si>
  <si>
    <t>19.01</t>
  </si>
  <si>
    <t>21.91</t>
  </si>
  <si>
    <t>51.00</t>
  </si>
  <si>
    <t>18.42</t>
  </si>
  <si>
    <t>0.51</t>
  </si>
  <si>
    <t>12.15</t>
  </si>
  <si>
    <t>9.23</t>
  </si>
  <si>
    <t>6.80</t>
  </si>
  <si>
    <t>28.80</t>
  </si>
  <si>
    <t>24.28</t>
  </si>
  <si>
    <t>2.55</t>
  </si>
  <si>
    <t>29.90</t>
  </si>
  <si>
    <t>FESA3</t>
  </si>
  <si>
    <t xml:space="preserve">FERBASA     -PN  </t>
  </si>
  <si>
    <t xml:space="preserve">FERBASA     -ON  </t>
  </si>
  <si>
    <t>Materiais Básicos / Siderurgia e Metalurgia / Siderurgia</t>
  </si>
  <si>
    <t>22.37</t>
  </si>
  <si>
    <t>14.56</t>
  </si>
  <si>
    <t>5.99</t>
  </si>
  <si>
    <t>5.98</t>
  </si>
  <si>
    <t>9.86</t>
  </si>
  <si>
    <t>11.42</t>
  </si>
  <si>
    <t>19.15</t>
  </si>
  <si>
    <t>26.78</t>
  </si>
  <si>
    <t>35.97</t>
  </si>
  <si>
    <t>26.69</t>
  </si>
  <si>
    <t>31.54</t>
  </si>
  <si>
    <t>28.89</t>
  </si>
  <si>
    <t>12.73</t>
  </si>
  <si>
    <t>31.65</t>
  </si>
  <si>
    <t>11.64</t>
  </si>
  <si>
    <t>8.87</t>
  </si>
  <si>
    <t>19.50</t>
  </si>
  <si>
    <t>18.47</t>
  </si>
  <si>
    <t>14.74</t>
  </si>
  <si>
    <t>41.77</t>
  </si>
  <si>
    <t>42.12</t>
  </si>
  <si>
    <t>31.09</t>
  </si>
  <si>
    <t>36.68</t>
  </si>
  <si>
    <t>22.97</t>
  </si>
  <si>
    <t>17.69</t>
  </si>
  <si>
    <t>12.11</t>
  </si>
  <si>
    <t>9.28</t>
  </si>
  <si>
    <t>12.51</t>
  </si>
  <si>
    <t>31.48</t>
  </si>
  <si>
    <t>7.96</t>
  </si>
  <si>
    <t>7.88</t>
  </si>
  <si>
    <t>7.32</t>
  </si>
  <si>
    <t>10.27</t>
  </si>
  <si>
    <t>8.86</t>
  </si>
  <si>
    <t>11.66</t>
  </si>
  <si>
    <t>13.19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</si>
  <si>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</si>
  <si>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</si>
  <si>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24.57</t>
  </si>
  <si>
    <t>24.21</t>
  </si>
  <si>
    <t>12.59</t>
  </si>
  <si>
    <t>16.01</t>
  </si>
  <si>
    <t>25.53</t>
  </si>
  <si>
    <t>22.75</t>
  </si>
  <si>
    <t>14.48</t>
  </si>
  <si>
    <t>22.46</t>
  </si>
  <si>
    <t>11.48</t>
  </si>
  <si>
    <t>15.20</t>
  </si>
  <si>
    <t>0.15</t>
  </si>
  <si>
    <t>0.16</t>
  </si>
  <si>
    <t>29.26</t>
  </si>
  <si>
    <t>29.23</t>
  </si>
  <si>
    <t>3.21</t>
  </si>
  <si>
    <t>2.83</t>
  </si>
  <si>
    <t>26.93</t>
  </si>
  <si>
    <t>18.49</t>
  </si>
  <si>
    <t>5.50</t>
  </si>
  <si>
    <t>1.63</t>
  </si>
  <si>
    <t>23.42</t>
  </si>
  <si>
    <t>12.36</t>
  </si>
  <si>
    <t>7.40</t>
  </si>
  <si>
    <t>25.00</t>
  </si>
  <si>
    <t>12.64</t>
  </si>
  <si>
    <t>22.09</t>
  </si>
  <si>
    <t>6.07</t>
  </si>
  <si>
    <t>9.78</t>
  </si>
  <si>
    <t>12.50</t>
  </si>
  <si>
    <t>15.10</t>
  </si>
  <si>
    <t>17.99</t>
  </si>
  <si>
    <t>32.07</t>
  </si>
  <si>
    <t>30.24</t>
  </si>
  <si>
    <t>6.05</t>
  </si>
  <si>
    <t>9.10</t>
  </si>
  <si>
    <t>18.10</t>
  </si>
  <si>
    <t>27.05</t>
  </si>
  <si>
    <t>0.33</t>
  </si>
  <si>
    <t>24.40</t>
  </si>
  <si>
    <t>31.95</t>
  </si>
  <si>
    <t>32.10</t>
  </si>
  <si>
    <t>29.09</t>
  </si>
  <si>
    <t>0.50</t>
  </si>
  <si>
    <t>47.77</t>
  </si>
  <si>
    <t>50.00</t>
  </si>
  <si>
    <t>5.69</t>
  </si>
  <si>
    <t>12.60</t>
  </si>
  <si>
    <t>25.02</t>
  </si>
  <si>
    <t>19.90</t>
  </si>
  <si>
    <t>19.27</t>
  </si>
  <si>
    <t>22.42</t>
  </si>
  <si>
    <t>22.33</t>
  </si>
  <si>
    <t>18.40</t>
  </si>
  <si>
    <t>18.83</t>
  </si>
  <si>
    <t>14.20</t>
  </si>
  <si>
    <t>14.11</t>
  </si>
  <si>
    <t>14.01</t>
  </si>
  <si>
    <t>14.00</t>
  </si>
  <si>
    <t>44.60</t>
  </si>
  <si>
    <t>44.70</t>
  </si>
  <si>
    <t>42.00</t>
  </si>
  <si>
    <t>19.09</t>
  </si>
  <si>
    <t>18.74</t>
  </si>
  <si>
    <t>22.30</t>
  </si>
  <si>
    <t>22.89</t>
  </si>
  <si>
    <t>30.53</t>
  </si>
  <si>
    <t>37.20</t>
  </si>
  <si>
    <t>38.13</t>
  </si>
  <si>
    <t>8.00</t>
  </si>
  <si>
    <t>8.03</t>
  </si>
  <si>
    <t>1.70</t>
  </si>
  <si>
    <t>5.87</t>
  </si>
  <si>
    <t>9.93</t>
  </si>
  <si>
    <t>9.36</t>
  </si>
  <si>
    <t>5.75</t>
  </si>
  <si>
    <t>11.35</t>
  </si>
  <si>
    <t>2.25</t>
  </si>
  <si>
    <t>15.50</t>
  </si>
  <si>
    <t>23.15</t>
  </si>
  <si>
    <t>13.30</t>
  </si>
  <si>
    <t>13.13</t>
  </si>
  <si>
    <t>17.80</t>
  </si>
  <si>
    <t>19.42</t>
  </si>
  <si>
    <t>12.70</t>
  </si>
  <si>
    <t>8.90</t>
  </si>
  <si>
    <t>29.45</t>
  </si>
  <si>
    <t>29.60</t>
  </si>
  <si>
    <t>31.35</t>
  </si>
  <si>
    <t>12.26</t>
  </si>
  <si>
    <t>12.33</t>
  </si>
  <si>
    <t>22.12</t>
  </si>
  <si>
    <t>10.53</t>
  </si>
  <si>
    <t>10.59</t>
  </si>
  <si>
    <t>11.60</t>
  </si>
  <si>
    <t>29.75</t>
  </si>
  <si>
    <t>3.30</t>
  </si>
  <si>
    <t>6.89</t>
  </si>
  <si>
    <t>2.84</t>
  </si>
  <si>
    <t>6.78</t>
  </si>
  <si>
    <t>26.46</t>
  </si>
  <si>
    <t>2.65</t>
  </si>
  <si>
    <t>18.20</t>
  </si>
  <si>
    <t>35.94</t>
  </si>
  <si>
    <t>36.42</t>
  </si>
  <si>
    <t>26.92</t>
  </si>
  <si>
    <t>26.44</t>
  </si>
  <si>
    <t>0.67</t>
  </si>
  <si>
    <t>PETROBRAS   -PN</t>
  </si>
  <si>
    <t>16.95</t>
  </si>
  <si>
    <t>17.25</t>
  </si>
  <si>
    <t>Cotação 1</t>
  </si>
  <si>
    <t>Cotação 2</t>
  </si>
  <si>
    <t>PETROBRAS   -ON</t>
  </si>
  <si>
    <t>16.00</t>
  </si>
  <si>
    <t>15.99</t>
  </si>
  <si>
    <t>16.30</t>
  </si>
  <si>
    <t>15.91</t>
  </si>
  <si>
    <t>Petróleo. Gás e Biocombustíveis / Petróleo. Gás e Biocombustíveis / Exploração e/ou Refino</t>
  </si>
  <si>
    <t>QGEP3</t>
  </si>
  <si>
    <t xml:space="preserve">QGEP PART   -ON  </t>
  </si>
  <si>
    <t>9.37</t>
  </si>
  <si>
    <t>9.79</t>
  </si>
  <si>
    <t xml:space="preserve">SUL AMERICA -UNT </t>
  </si>
  <si>
    <t>14.58</t>
  </si>
  <si>
    <t>14.79</t>
  </si>
  <si>
    <t>14.86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</si>
  <si>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</si>
  <si>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</si>
  <si>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</si>
  <si>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</si>
  <si>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</si>
  <si>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</si>
  <si>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</si>
  <si>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24.06</t>
  </si>
  <si>
    <t>24.50</t>
  </si>
  <si>
    <t>24.05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</si>
  <si>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</si>
  <si>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</si>
  <si>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</si>
  <si>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</si>
  <si>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</si>
  <si>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</si>
  <si>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</si>
  <si>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2.53</t>
  </si>
  <si>
    <t>2.49</t>
  </si>
  <si>
    <t>2.47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</si>
  <si>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</si>
  <si>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</si>
  <si>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</si>
  <si>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</si>
  <si>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</si>
  <si>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</si>
  <si>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</si>
  <si>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</si>
  <si>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</si>
  <si>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</si>
  <si>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</si>
  <si>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 xml:space="preserve">BRASKEM     -ON  </t>
  </si>
  <si>
    <t>16.20</t>
  </si>
  <si>
    <t>16.50</t>
  </si>
  <si>
    <t xml:space="preserve">BRASKEM     -PNA </t>
  </si>
  <si>
    <t>20.70</t>
  </si>
  <si>
    <t>21.00</t>
  </si>
  <si>
    <t>21.17</t>
  </si>
  <si>
    <t>20.61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</si>
  <si>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</si>
  <si>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</si>
  <si>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</si>
  <si>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</si>
  <si>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</si>
  <si>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39.27</t>
  </si>
  <si>
    <t>39.58</t>
  </si>
  <si>
    <t>39.90</t>
  </si>
  <si>
    <t>39.18</t>
  </si>
  <si>
    <t>Row Labels</t>
  </si>
  <si>
    <t>Grand Total</t>
  </si>
  <si>
    <t>SMTO3</t>
  </si>
  <si>
    <t xml:space="preserve">SAO MARTINHO-ON  </t>
  </si>
  <si>
    <t>28.66</t>
  </si>
  <si>
    <t>28.70</t>
  </si>
  <si>
    <t>28.92</t>
  </si>
  <si>
    <t>28.40</t>
  </si>
  <si>
    <t>CIQU3</t>
  </si>
  <si>
    <t>CIQU4</t>
  </si>
  <si>
    <t>CACIQUE     -ON</t>
  </si>
  <si>
    <t>7.08</t>
  </si>
  <si>
    <t>CACIQUE     -PN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</si>
  <si>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</si>
  <si>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</si>
  <si>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</si>
  <si>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</si>
  <si>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</si>
  <si>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48.30</t>
  </si>
  <si>
    <t>49.25</t>
  </si>
  <si>
    <t>49.29</t>
  </si>
  <si>
    <t>48.12</t>
  </si>
  <si>
    <t>JBSS3</t>
  </si>
  <si>
    <t xml:space="preserve">JBS         -ON  </t>
  </si>
  <si>
    <t>8.81</t>
  </si>
  <si>
    <t>8.77</t>
  </si>
  <si>
    <t>8.98</t>
  </si>
  <si>
    <t>8.70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</si>
  <si>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</si>
  <si>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</si>
  <si>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</si>
  <si>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</si>
  <si>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</si>
  <si>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</si>
  <si>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12.16</t>
  </si>
  <si>
    <t>OIBR3</t>
  </si>
  <si>
    <t>OIBR4</t>
  </si>
  <si>
    <t xml:space="preserve">OI          -ON  </t>
  </si>
  <si>
    <t>3.69</t>
  </si>
  <si>
    <t>3.61</t>
  </si>
  <si>
    <t>3.72</t>
  </si>
  <si>
    <t xml:space="preserve">OI          -PN  </t>
  </si>
  <si>
    <t>3.59</t>
  </si>
  <si>
    <t>Telecomunicações / Telefonia Fixa / Telefonia Fixa</t>
  </si>
  <si>
    <t>VIVT3</t>
  </si>
  <si>
    <t>VIVT4</t>
  </si>
  <si>
    <t>TELEF BRASIL-ON</t>
  </si>
  <si>
    <t>39.48</t>
  </si>
  <si>
    <t>40.00</t>
  </si>
  <si>
    <t>39.25</t>
  </si>
  <si>
    <t>TELEF BRASIL-PN</t>
  </si>
  <si>
    <t>44.18</t>
  </si>
  <si>
    <t>44.83</t>
  </si>
  <si>
    <t>45.50</t>
  </si>
  <si>
    <t>BRAP3</t>
  </si>
  <si>
    <t>BRAP4</t>
  </si>
  <si>
    <t>Financeiro e Outros / Holdings Diversificadas / Holdings Diversificadas</t>
  </si>
  <si>
    <t xml:space="preserve">BRADESPAR   -ON  </t>
  </si>
  <si>
    <t>20.28</t>
  </si>
  <si>
    <t>20.30</t>
  </si>
  <si>
    <t>20.10</t>
  </si>
  <si>
    <t xml:space="preserve">BRADESPAR   -PN  </t>
  </si>
  <si>
    <t>24.79</t>
  </si>
  <si>
    <t>25.08</t>
  </si>
  <si>
    <t>25.20</t>
  </si>
  <si>
    <t>24.67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</si>
  <si>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</si>
  <si>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</si>
  <si>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</si>
  <si>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</si>
  <si>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</si>
  <si>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</si>
  <si>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</si>
  <si>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</si>
  <si>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</si>
  <si>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</si>
  <si>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</si>
  <si>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</si>
  <si>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</si>
  <si>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</si>
  <si>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55.75</t>
  </si>
  <si>
    <t>55.95</t>
  </si>
  <si>
    <t>56.35</t>
  </si>
  <si>
    <t>55.60</t>
  </si>
  <si>
    <t>BAHI3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</si>
  <si>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</t>
  </si>
  <si>
    <t>BAHEMA      -ON</t>
  </si>
  <si>
    <t>5.20</t>
  </si>
  <si>
    <t>Data Liquidação</t>
  </si>
  <si>
    <t>Taxas</t>
  </si>
  <si>
    <t>Resgates</t>
  </si>
  <si>
    <t>Aplicação</t>
  </si>
  <si>
    <t>Rendimento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</si>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</sst>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&quot;R$&quot;\ #,##0.00"/>
    <numFmt numFmtId="167" formatCode="_-* #,##0.000000000_-;\-* #,##0.000000000_-;_-* &quot;-&quot;??_-;_-@_-"/>
    <numFmt numFmtId="168" formatCode="_(* #,##0.000000000_);_(* \(#,##0.000000000\);_(* &quot;-&quot;?????????_);_(@_)"/>
    <numFmt numFmtId="169" formatCode="_-* #,##0.0000_-;\-* #,##0.0000_-;_-* &quot;-&quot;??_-;_-@_-"/>
    <numFmt numFmtId="170" formatCode="_-* #,##0.0000000000_-;\-* #,##0.00000000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8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5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5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5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5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5" fontId="2" fillId="0" borderId="0" xfId="1" applyNumberFormat="1" applyFont="1"/>
    <xf numFmtId="167" fontId="2" fillId="0" borderId="0" xfId="1" applyNumberFormat="1" applyFont="1"/>
    <xf numFmtId="167" fontId="2" fillId="0" borderId="0" xfId="1" applyNumberFormat="1" applyFont="1" applyBorder="1"/>
    <xf numFmtId="167" fontId="2" fillId="0" borderId="0" xfId="0" applyNumberFormat="1" applyFont="1"/>
    <xf numFmtId="167" fontId="2" fillId="0" borderId="0" xfId="0" applyNumberFormat="1" applyFont="1" applyBorder="1"/>
    <xf numFmtId="165" fontId="2" fillId="0" borderId="0" xfId="0" applyNumberFormat="1" applyFont="1"/>
    <xf numFmtId="168" fontId="2" fillId="0" borderId="0" xfId="0" applyNumberFormat="1" applyFont="1"/>
    <xf numFmtId="164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69" fontId="2" fillId="0" borderId="0" xfId="0" applyNumberFormat="1" applyFont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44" fontId="0" fillId="0" borderId="0" xfId="2" applyFont="1"/>
    <xf numFmtId="44" fontId="0" fillId="0" borderId="0" xfId="0" applyNumberFormat="1"/>
    <xf numFmtId="0" fontId="11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1" fillId="0" borderId="0" xfId="3" applyNumberFormat="1" applyFont="1"/>
    <xf numFmtId="44" fontId="11" fillId="0" borderId="0" xfId="2" applyFont="1"/>
    <xf numFmtId="0" fontId="1" fillId="0" borderId="0" xfId="0" applyNumberFormat="1" applyFont="1"/>
    <xf numFmtId="44" fontId="0" fillId="0" borderId="0" xfId="0" applyNumberFormat="1" applyFon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0.635868865742" createdVersion="3" refreshedVersion="4" minRefreshableVersion="3" recordCount="494">
  <cacheSource type="worksheet">
    <worksheetSource name="Tabela2"/>
  </cacheSource>
  <cacheFields count="11">
    <cacheField name="Ativo" numFmtId="0">
      <sharedItems containsBlank="1" count="143">
        <s v="ABCB4"/>
        <s v="AELP3"/>
        <s v="BAZA3"/>
        <s v="BBAS3"/>
        <s v="BBDC3"/>
        <s v="BBDC4"/>
        <s v="BEES3"/>
        <s v="BEES4"/>
        <s v="BGIP3"/>
        <s v="BGIP4"/>
        <s v="BICB3"/>
        <s v="BICB4"/>
        <s v="BMIN3"/>
        <s v="BMIN4"/>
        <s v="BNBR3"/>
        <s v="BNBR4"/>
        <s v="BRGE11"/>
        <s v="BRGE12"/>
        <s v="BRGE3"/>
        <s v="BRGE5"/>
        <s v="BRGE6"/>
        <s v="BRGE7"/>
        <s v="BRGE8"/>
        <s v="BRIV3"/>
        <s v="BRIV4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ITSA3"/>
        <s v="ITSA4"/>
        <s v="ITUB3"/>
        <s v="ITUB4"/>
        <s v="KLBN3"/>
        <s v="KLBN4"/>
        <s v="LIGT3"/>
        <s v="LIPR3"/>
        <s v="PINE4"/>
        <s v="PRBC4"/>
        <s v="PSSA3"/>
        <s v="RANI3"/>
        <s v="RANI4"/>
        <s v="RDTR3"/>
        <s v="RPAD3"/>
        <s v="RPAD5"/>
        <s v="RPAD6"/>
        <s v="SAPR3"/>
        <s v="SAPR4"/>
        <s v="SBSP3"/>
        <s v="SFSA4"/>
        <s v="SUZB5"/>
        <s v="SUZB6"/>
        <s v="TAEE11"/>
        <s v="TBLE3"/>
        <s v="TRPL3"/>
        <s v="TRPL4"/>
        <s v="UNIP5"/>
        <s v="UNIP6"/>
        <s v="QGEP3"/>
        <s v="PETR3"/>
        <s v="PETR4"/>
        <s v="SULA11"/>
        <s v="CSAB3"/>
        <s v="CSAB4"/>
        <s v="BBSE3"/>
        <s v="TERI3"/>
        <s v="ELEK3"/>
        <s v="ELEK4"/>
        <s v="BRKM3"/>
        <s v="BRKM5"/>
        <s v="BRKM6"/>
        <s v="CSAN3"/>
        <s v="SMTO3"/>
        <s v="CIQU3"/>
        <s v="CIQU4"/>
        <s v="BRFS3"/>
        <s v="JBSS3"/>
        <s v="VIGR3"/>
        <s v="TIMP3"/>
        <s v="OIBR3"/>
        <s v="OIBR4"/>
        <s v="VIVT3"/>
        <s v="VIVT4"/>
        <s v="BRAP3"/>
        <s v="BRAP4"/>
        <s v="HBTS5"/>
        <s v="MOAR3"/>
        <s v="UGPA3"/>
        <s v="BAHI3"/>
        <m u="1"/>
        <s v="TIBR5" u="1"/>
        <s v="RNAR3" u="1"/>
        <s v="BBRK3" u="1"/>
        <s v="RSID3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/>
    </cacheField>
    <cacheField name="Total Ações" numFmtId="165">
      <sharedItems containsSemiMixedTypes="0" containsString="0" containsNumber="1" containsInteger="1" minValue="0" maxValue="13044496930"/>
    </cacheField>
    <cacheField name="Lucro por ação" numFmtId="167">
      <sharedItems containsMixedTypes="1" containsNumber="1" minValue="-6.6983599058695811" maxValue="14.777840931120254"/>
    </cacheField>
    <cacheField name="Dividendo / Ação" numFmtId="167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.15" maxValue="158.99"/>
    </cacheField>
    <cacheField name="Yield" numFmtId="10">
      <sharedItems containsMixedTypes="1" containsNumber="1" minValue="3.0674846625766876E-7" maxValue="1.1337047353760448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x v="0"/>
    <n v="226618835.09"/>
    <n v="147232649"/>
    <n v="1.5391887372073296"/>
    <n v="0.62"/>
    <n v="0.40280960028652135"/>
    <n v="12.64"/>
    <n v="4.9050632911392403E-2"/>
    <n v="12.64"/>
    <n v="0"/>
  </r>
  <r>
    <x v="0"/>
    <x v="1"/>
    <n v="259319392"/>
    <n v="147232649"/>
    <n v="1.7612899975738399"/>
    <n v="0.6"/>
    <n v="0.34065940352042778"/>
    <n v="12.64"/>
    <n v="4.7468354430379743E-2"/>
    <n v="12.64"/>
    <n v="0"/>
  </r>
  <r>
    <x v="0"/>
    <x v="2"/>
    <n v="221437904"/>
    <n v="147232649"/>
    <n v="1.5039999993479707"/>
    <n v="0.54"/>
    <n v="0.35904255334714513"/>
    <n v="12.64"/>
    <n v="4.2721518987341771E-2"/>
    <n v="12.64"/>
    <n v="0"/>
  </r>
  <r>
    <x v="0"/>
    <x v="3"/>
    <n v="165523361"/>
    <n v="147232649"/>
    <n v="1.1242300001000458"/>
    <n v="0.51"/>
    <n v="0.45364382729033637"/>
    <n v="12.64"/>
    <n v="4.0348101265822785E-2"/>
    <n v="12.64"/>
    <n v="0"/>
  </r>
  <r>
    <x v="1"/>
    <x v="0"/>
    <n v="-30675397.18"/>
    <n v="95061053"/>
    <n v="-0.32269153572283699"/>
    <n v="0"/>
    <s v=""/>
    <n v="9.24"/>
    <s v=""/>
    <n v="9.24"/>
    <n v="0"/>
  </r>
  <r>
    <x v="1"/>
    <x v="1"/>
    <n v="436885000"/>
    <n v="95061053"/>
    <n v="4.5958358992720187"/>
    <n v="3.2228539679999999"/>
    <n v="0.70125523161314363"/>
    <n v="9.24"/>
    <n v="0.34879371948051946"/>
    <n v="9.24"/>
    <n v="0"/>
  </r>
  <r>
    <x v="1"/>
    <x v="2"/>
    <n v="376137000"/>
    <n v="95061053"/>
    <n v="3.9567939564061003"/>
    <n v="3.5129712419999999"/>
    <n v="0.8878327455773769"/>
    <n v="9.24"/>
    <n v="0.38019169285714283"/>
    <n v="9.24"/>
    <n v="0"/>
  </r>
  <r>
    <x v="1"/>
    <x v="3"/>
    <n v="335010000"/>
    <n v="95061053"/>
    <n v="3.5241562072744976"/>
    <n v="3.1989132250000001"/>
    <n v="0.90771039558259736"/>
    <n v="9.24"/>
    <n v="0.34620272997835499"/>
    <n v="9.24"/>
    <n v="0"/>
  </r>
  <r>
    <x v="2"/>
    <x v="0"/>
    <n v="165948458.28999999"/>
    <n v="2964596762"/>
    <n v="5.5976738697524085E-2"/>
    <n v="2.6766000000000002E-2"/>
    <n v="0.47816290521376681"/>
    <n v="0.33"/>
    <n v="8.1109090909090908E-2"/>
    <n v="0.33"/>
    <n v="0"/>
  </r>
  <r>
    <x v="2"/>
    <x v="1"/>
    <n v="78567508.840000004"/>
    <n v="2964596762"/>
    <n v="2.6501920884173184E-2"/>
    <n v="2.648E-2"/>
    <n v="0.99917285678011836"/>
    <n v="0.33"/>
    <n v="8.024242424242424E-2"/>
    <n v="0.33"/>
    <n v="0"/>
  </r>
  <r>
    <x v="2"/>
    <x v="2"/>
    <n v="142163159.71000001"/>
    <n v="2964596762"/>
    <n v="4.7953624429547294E-2"/>
    <n v="3.7429999999999998E-2"/>
    <n v="0.78054579701251903"/>
    <n v="0.33"/>
    <n v="0.11342424242424241"/>
    <n v="0.33"/>
    <n v="0"/>
  </r>
  <r>
    <x v="3"/>
    <x v="0"/>
    <n v="12309870442.799999"/>
    <n v="2865417020"/>
    <n v="4.2960135843682536"/>
    <n v="1.722"/>
    <n v="0.40083672134226433"/>
    <n v="24.4"/>
    <n v="7.0573770491803287E-2"/>
    <n v="24.4"/>
    <n v="0"/>
  </r>
  <r>
    <x v="3"/>
    <x v="1"/>
    <n v="12247330314.43"/>
    <n v="2865417020"/>
    <n v="4.2741877461277875"/>
    <n v="1.7096750979999999"/>
    <n v="0.39999999989445595"/>
    <n v="24.4"/>
    <n v="7.0068651557377057E-2"/>
    <n v="24.4"/>
    <n v="0"/>
  </r>
  <r>
    <x v="3"/>
    <x v="2"/>
    <n v="11758093384.549999"/>
    <n v="2865417020"/>
    <n v="4.1034492719492537"/>
    <n v="1.6421960419999999"/>
    <n v="0.40019893829951275"/>
    <n v="24.4"/>
    <n v="6.7303116475409833E-2"/>
    <n v="24.4"/>
    <n v="0"/>
  </r>
  <r>
    <x v="3"/>
    <x v="3"/>
    <n v="10147521914.51"/>
    <n v="2865417020"/>
    <n v="3.5413769945814031"/>
    <n v="1.4165507980000001"/>
    <n v="0.4000000000472807"/>
    <n v="24.4"/>
    <n v="5.8055360573770497E-2"/>
    <n v="24.4"/>
    <n v="0"/>
  </r>
  <r>
    <x v="4"/>
    <x v="0"/>
    <n v="11381244459.27"/>
    <n v="4207274039"/>
    <n v="2.705135047959732"/>
    <n v="0.97174542699999999"/>
    <n v="0.35922251930930776"/>
    <n v="31.95"/>
    <n v="3.0414567355242568E-2"/>
    <n v="31.95"/>
    <n v="0"/>
  </r>
  <r>
    <x v="4"/>
    <x v="1"/>
    <n v="11037515599"/>
    <n v="4207274039"/>
    <n v="2.6234363382765142"/>
    <n v="0.933388"/>
    <n v="0.35578831717075171"/>
    <n v="31.95"/>
    <n v="2.9214021909233178E-2"/>
    <n v="31.95"/>
    <n v="0"/>
  </r>
  <r>
    <x v="4"/>
    <x v="2"/>
    <n v="10159097403"/>
    <n v="4207274039"/>
    <n v="2.4146507474503967"/>
    <n v="0.87638400000000005"/>
    <n v="0.36294441377303294"/>
    <n v="31.95"/>
    <n v="2.742985915492958E-2"/>
    <n v="31.95"/>
    <n v="0"/>
  </r>
  <r>
    <x v="4"/>
    <x v="3"/>
    <n v="8134916341"/>
    <n v="4207274039"/>
    <n v="1.933536124719258"/>
    <n v="0.834144"/>
    <n v="0.43140854175719862"/>
    <n v="31.95"/>
    <n v="2.6107793427230047E-2"/>
    <n v="31.95"/>
    <n v="0"/>
  </r>
  <r>
    <x v="5"/>
    <x v="0"/>
    <n v="11381244459.27"/>
    <n v="4207274039"/>
    <n v="2.705135047959732"/>
    <n v="1.0689199700000001"/>
    <n v="0.39514477135113873"/>
    <n v="29.09"/>
    <n v="3.6745272258508078E-2"/>
    <n v="29.09"/>
    <n v="0"/>
  </r>
  <r>
    <x v="5"/>
    <x v="1"/>
    <n v="11037515599"/>
    <n v="4207274039"/>
    <n v="2.6234363382765142"/>
    <n v="1.0267269999999999"/>
    <n v="0.3913672251237153"/>
    <n v="29.09"/>
    <n v="3.5294843588862153E-2"/>
    <n v="29.09"/>
    <n v="0"/>
  </r>
  <r>
    <x v="5"/>
    <x v="2"/>
    <n v="10159097403"/>
    <n v="4207274039"/>
    <n v="2.4146507474503967"/>
    <n v="0.96402200000000005"/>
    <n v="0.39923868949490948"/>
    <n v="29.09"/>
    <n v="3.3139291852870401E-2"/>
    <n v="29.09"/>
    <n v="0"/>
  </r>
  <r>
    <x v="5"/>
    <x v="3"/>
    <n v="8134916341"/>
    <n v="4207274039"/>
    <n v="1.933536124719258"/>
    <n v="0.91755799999999998"/>
    <n v="0.47454918905806631"/>
    <n v="29.09"/>
    <n v="3.1542041938810585E-2"/>
    <n v="29.09"/>
    <n v="0"/>
  </r>
  <r>
    <x v="6"/>
    <x v="0"/>
    <n v="81395000"/>
    <n v="1579564303"/>
    <n v="5.153003258266213E-2"/>
    <n v="2.0200094799999999E-2"/>
    <n v="0.39200624931870415"/>
    <n v="0.5"/>
    <n v="4.0400189599999997E-2"/>
    <n v="0.5"/>
    <n v="0"/>
  </r>
  <r>
    <x v="6"/>
    <x v="1"/>
    <n v="87892000"/>
    <n v="1579564303"/>
    <n v="5.5643192134103327E-2"/>
    <n v="3.1132696000000001E-2"/>
    <n v="0.55950593066207266"/>
    <n v="0.5"/>
    <n v="6.2265392000000003E-2"/>
    <n v="0.5"/>
    <n v="0"/>
  </r>
  <r>
    <x v="6"/>
    <x v="2"/>
    <n v="167023000"/>
    <n v="1579564303"/>
    <n v="0.1057399180791692"/>
    <n v="2.6446688999999999E-2"/>
    <n v="0.25011073850273774"/>
    <n v="0.5"/>
    <n v="5.2893377999999998E-2"/>
    <n v="0.5"/>
    <n v="0"/>
  </r>
  <r>
    <x v="6"/>
    <x v="3"/>
    <n v="132496000"/>
    <n v="1579564303"/>
    <n v="8.3881358769855668E-2"/>
    <n v="2.117499288E-2"/>
    <n v="0.2524397934241574"/>
    <n v="0.5"/>
    <n v="4.234998576E-2"/>
    <n v="0.5"/>
    <n v="0"/>
  </r>
  <r>
    <x v="7"/>
    <x v="0"/>
    <n v="81395000"/>
    <n v="1579564303"/>
    <n v="5.153003258266213E-2"/>
    <n v="2.0200094799999999E-2"/>
    <n v="0.39200624931870415"/>
    <n v="0.46"/>
    <n v="4.3913249565217388E-2"/>
    <n v="0.46"/>
    <n v="0"/>
  </r>
  <r>
    <x v="7"/>
    <x v="1"/>
    <n v="87892000"/>
    <n v="1579564303"/>
    <n v="5.5643192134103327E-2"/>
    <n v="3.1132696000000001E-2"/>
    <n v="0.55950593066207266"/>
    <n v="0.46"/>
    <n v="6.7679773913043473E-2"/>
    <n v="0.46"/>
    <n v="0"/>
  </r>
  <r>
    <x v="7"/>
    <x v="2"/>
    <n v="167023000"/>
    <n v="1579564303"/>
    <n v="0.1057399180791692"/>
    <n v="2.6446688999999999E-2"/>
    <n v="0.25011073850273774"/>
    <n v="0.46"/>
    <n v="5.7492802173913039E-2"/>
    <n v="0.46"/>
    <n v="0"/>
  </r>
  <r>
    <x v="7"/>
    <x v="3"/>
    <n v="132496000"/>
    <n v="1579564303"/>
    <n v="8.3881358769855668E-2"/>
    <n v="2.117499288E-2"/>
    <n v="0.2524397934241574"/>
    <n v="0.46"/>
    <n v="4.6032593217391303E-2"/>
    <n v="0.46"/>
    <n v="0"/>
  </r>
  <r>
    <x v="8"/>
    <x v="0"/>
    <n v="87990976.469999999"/>
    <n v="10541442"/>
    <n v="8.3471479964505804"/>
    <n v="4.946395323"/>
    <n v="0.5925850751781726"/>
    <n v="49.98"/>
    <n v="9.8967493457382955E-2"/>
    <n v="49.98"/>
    <n v="0"/>
  </r>
  <r>
    <x v="8"/>
    <x v="1"/>
    <n v="90962523.890000001"/>
    <n v="10541442"/>
    <n v="8.6290399254675023"/>
    <n v="5.5438895290000003"/>
    <n v="0.64246886987252461"/>
    <n v="49.98"/>
    <n v="0.11092215944377752"/>
    <n v="49.98"/>
    <n v="0"/>
  </r>
  <r>
    <x v="8"/>
    <x v="2"/>
    <n v="54465018.079999998"/>
    <n v="10541442"/>
    <n v="5.1667521464330965"/>
    <n v="2.2723217359999999"/>
    <n v="0.43979693076020943"/>
    <n v="49.98"/>
    <n v="4.5464620568227289E-2"/>
    <n v="49.98"/>
    <n v="0"/>
  </r>
  <r>
    <x v="8"/>
    <x v="3"/>
    <n v="39114199.380000003"/>
    <n v="10541442"/>
    <n v="3.7105169653259966"/>
    <n v="1.979881029"/>
    <n v="0.53358630279865937"/>
    <n v="49.98"/>
    <n v="3.9613465966386555E-2"/>
    <n v="49.98"/>
    <n v="0"/>
  </r>
  <r>
    <x v="9"/>
    <x v="0"/>
    <n v="87990976.469999999"/>
    <n v="10541442"/>
    <n v="8.3471479964505804"/>
    <n v="5.4410348859999997"/>
    <n v="0.65184358637389272"/>
    <n v="50"/>
    <n v="0.10882069772"/>
    <n v="50"/>
    <n v="0"/>
  </r>
  <r>
    <x v="9"/>
    <x v="1"/>
    <n v="90962523.890000001"/>
    <n v="10541442"/>
    <n v="8.6290399254675023"/>
    <n v="6.0982784810000004"/>
    <n v="0.70671575675547815"/>
    <n v="50"/>
    <n v="0.12196556962000001"/>
    <n v="50"/>
    <n v="0"/>
  </r>
  <r>
    <x v="9"/>
    <x v="2"/>
    <n v="54465018.079999998"/>
    <n v="10541442"/>
    <n v="5.1667521464330965"/>
    <n v="2.4995539089999999"/>
    <n v="0.48377662372010322"/>
    <n v="50"/>
    <n v="4.9991078179999995E-2"/>
    <n v="50"/>
    <n v="0"/>
  </r>
  <r>
    <x v="9"/>
    <x v="3"/>
    <n v="39114199.380000003"/>
    <n v="10541442"/>
    <n v="3.7105169653259966"/>
    <n v="2.1790691309999999"/>
    <n v="0.58726833790626598"/>
    <n v="50"/>
    <n v="4.3581382619999998E-2"/>
    <n v="50"/>
    <n v="0"/>
  </r>
  <r>
    <x v="10"/>
    <x v="0"/>
    <n v="108819511.64"/>
    <n v="252903569"/>
    <n v="0.43028064835257424"/>
    <n v="0.48572491200000001"/>
    <n v="1.1288560474650824"/>
    <n v="9.65"/>
    <n v="5.0334187772020728E-2"/>
    <n v="9.65"/>
    <n v="0"/>
  </r>
  <r>
    <x v="10"/>
    <x v="1"/>
    <n v="232542541"/>
    <n v="252903569"/>
    <n v="0.91949094241528873"/>
    <n v="0.46371743599999998"/>
    <n v="0.50431974325045792"/>
    <n v="9.65"/>
    <n v="4.8053620310880826E-2"/>
    <n v="9.65"/>
    <n v="0"/>
  </r>
  <r>
    <x v="10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1"/>
    <x v="0"/>
    <n v="108819511.64"/>
    <n v="252903569"/>
    <n v="0.43028064835257424"/>
    <n v="0.48572491200000001"/>
    <n v="1.1288560474650824"/>
    <n v="7.4"/>
    <n v="6.5638501621621617E-2"/>
    <n v="7.4"/>
    <n v="0"/>
  </r>
  <r>
    <x v="11"/>
    <x v="1"/>
    <n v="232542541"/>
    <n v="252903569"/>
    <n v="0.91949094241528873"/>
    <n v="0.46371743599999998"/>
    <n v="0.50431974325045792"/>
    <n v="7.4"/>
    <n v="6.2664518378378373E-2"/>
    <n v="7.4"/>
    <n v="0"/>
  </r>
  <r>
    <x v="11"/>
    <x v="2"/>
    <n v="348395895.98000002"/>
    <n v="252903569"/>
    <n v="1.3775839437837274"/>
    <n v="0.60299663000000003"/>
    <n v="0.43772042547460682"/>
    <n v="7.4"/>
    <n v="8.1486031081081087E-2"/>
    <n v="7.4"/>
    <n v="0"/>
  </r>
  <r>
    <x v="12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2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2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3"/>
    <x v="0"/>
    <n v="5431000"/>
    <n v="182520000"/>
    <n v="2.9755643217181677E-2"/>
    <n v="1.2352500000000001E-2"/>
    <n v="0.41513133861167378"/>
    <n v="0.26"/>
    <n v="4.7509615384615386E-2"/>
    <n v="0.26"/>
    <n v="0"/>
  </r>
  <r>
    <x v="13"/>
    <x v="1"/>
    <n v="5361000"/>
    <n v="182520000"/>
    <n v="2.9372123602892833E-2"/>
    <n v="1.1599999999999999E-2"/>
    <n v="0.39493228875209846"/>
    <n v="0.26"/>
    <n v="4.4615384615384612E-2"/>
    <n v="0.26"/>
    <n v="0"/>
  </r>
  <r>
    <x v="13"/>
    <x v="2"/>
    <n v="2644000"/>
    <n v="182520000"/>
    <n v="1.4486083716852947E-2"/>
    <n v="9.8600000000000007E-3"/>
    <n v="0.68065325264750387"/>
    <n v="0.26"/>
    <n v="3.7923076923076927E-2"/>
    <n v="0.26"/>
    <n v="0"/>
  </r>
  <r>
    <x v="14"/>
    <x v="0"/>
    <n v="508363303.81999999"/>
    <n v="87001901"/>
    <n v="5.8431286900271298"/>
    <n v="2.09879358938"/>
    <n v="0.35919003340832723"/>
    <n v="28.74"/>
    <n v="7.3026916819067506E-2"/>
    <n v="28.74"/>
    <n v="0"/>
  </r>
  <r>
    <x v="14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4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4"/>
    <x v="3"/>
    <n v="459012514.60000002"/>
    <n v="87001901"/>
    <n v="5.2758906337000617"/>
    <n v="2.646819604"/>
    <n v="0.50168204532013683"/>
    <n v="28.74"/>
    <n v="9.2095323729993045E-2"/>
    <n v="28.74"/>
    <n v="0"/>
  </r>
  <r>
    <x v="15"/>
    <x v="0"/>
    <n v="508363303.81999999"/>
    <n v="87001901"/>
    <n v="5.8431286900271298"/>
    <n v="2.308672948101"/>
    <n v="0.3951090367120223"/>
    <n v="25"/>
    <n v="9.2346917924039998E-2"/>
    <n v="25"/>
    <n v="0"/>
  </r>
  <r>
    <x v="15"/>
    <x v="1"/>
    <n v="314799260.60000002"/>
    <n v="87001901"/>
    <n v="3.6183032437417664"/>
    <n v="2.0491208919999999"/>
    <n v="0.56632093939173522"/>
    <n v="25"/>
    <n v="8.1964835680000001E-2"/>
    <n v="25"/>
    <n v="0"/>
  </r>
  <r>
    <x v="15"/>
    <x v="2"/>
    <n v="313589945.75999999"/>
    <n v="87001901"/>
    <n v="3.6044033768871326"/>
    <n v="2.5006020599999998"/>
    <n v="0.69376309988911189"/>
    <n v="25"/>
    <n v="0.10002408239999999"/>
    <n v="25"/>
    <n v="0"/>
  </r>
  <r>
    <x v="15"/>
    <x v="3"/>
    <n v="459012514.60000002"/>
    <n v="87001901"/>
    <n v="5.2758906337000617"/>
    <n v="2.911501565"/>
    <n v="0.55185024996587539"/>
    <n v="25"/>
    <n v="0.1164600626"/>
    <n v="25"/>
    <n v="0"/>
  </r>
  <r>
    <x v="16"/>
    <x v="0"/>
    <n v="63154000"/>
    <n v="73646388"/>
    <n v="0.85753017513907126"/>
    <n v="0.24782000000000001"/>
    <n v="0.28899274589353013"/>
    <n v="3.82"/>
    <n v="6.4874345549738227E-2"/>
    <n v="3.82"/>
    <n v="0"/>
  </r>
  <r>
    <x v="16"/>
    <x v="1"/>
    <n v="56638000"/>
    <n v="73646388"/>
    <n v="0.76905333089791184"/>
    <n v="0.22899"/>
    <n v="0.29775568325364593"/>
    <n v="3.82"/>
    <n v="5.9945026178010473E-2"/>
    <n v="3.82"/>
    <n v="0"/>
  </r>
  <r>
    <x v="16"/>
    <x v="2"/>
    <n v="50724000"/>
    <n v="73646388"/>
    <n v="0.6887506825181976"/>
    <n v="0.22311"/>
    <n v="0.32393434324343506"/>
    <n v="3.82"/>
    <n v="5.8405759162303665E-2"/>
    <n v="3.82"/>
    <n v="0"/>
  </r>
  <r>
    <x v="16"/>
    <x v="3"/>
    <n v="46296000"/>
    <n v="73646388"/>
    <n v="0.62862553422171907"/>
    <n v="0.19269"/>
    <n v="0.30652588784603418"/>
    <n v="3.82"/>
    <n v="5.0442408376963351E-2"/>
    <n v="3.82"/>
    <n v="0"/>
  </r>
  <r>
    <x v="17"/>
    <x v="0"/>
    <n v="63154000"/>
    <n v="73646388"/>
    <n v="0.85753017513907126"/>
    <n v="3.3640000000000003E-2"/>
    <n v="3.9228940246381863E-2"/>
    <n v="4"/>
    <n v="8.4100000000000008E-3"/>
    <n v="4"/>
    <n v="0"/>
  </r>
  <r>
    <x v="17"/>
    <x v="1"/>
    <n v="56638000"/>
    <n v="73646388"/>
    <n v="0.76905333089791184"/>
    <n v="1.0189999999999999E-2"/>
    <n v="1.3250056388290545E-2"/>
    <n v="4"/>
    <n v="2.5474999999999999E-3"/>
    <n v="4"/>
    <n v="0"/>
  </r>
  <r>
    <x v="17"/>
    <x v="2"/>
    <n v="50724000"/>
    <n v="73646388"/>
    <n v="0.6887506825181976"/>
    <n v="3.8589999999999999E-2"/>
    <n v="5.6028982590489711E-2"/>
    <n v="4"/>
    <n v="9.6474999999999998E-3"/>
    <n v="4"/>
    <n v="0"/>
  </r>
  <r>
    <x v="17"/>
    <x v="3"/>
    <n v="46296000"/>
    <n v="73646388"/>
    <n v="0.62862553422171907"/>
    <n v="6.8790000000000004E-2"/>
    <n v="0.10942921700622084"/>
    <n v="4"/>
    <n v="1.7197500000000001E-2"/>
    <n v="4"/>
    <n v="0"/>
  </r>
  <r>
    <x v="18"/>
    <x v="0"/>
    <n v="63154000"/>
    <n v="73646388"/>
    <n v="0.85753017513907126"/>
    <n v="3.058E-2"/>
    <n v="3.5660552697216331E-2"/>
    <n v="4.2"/>
    <n v="7.2809523809523801E-3"/>
    <n v="4.2"/>
    <n v="0"/>
  </r>
  <r>
    <x v="18"/>
    <x v="1"/>
    <n v="56638000"/>
    <n v="73646388"/>
    <n v="0.76905333089791184"/>
    <n v="2.5999999999999999E-3"/>
    <n v="3.380779843921042E-3"/>
    <n v="4.2"/>
    <n v="6.19047619047619E-4"/>
    <n v="4.2"/>
    <n v="0"/>
  </r>
  <r>
    <x v="18"/>
    <x v="2"/>
    <n v="50724000"/>
    <n v="73646388"/>
    <n v="0.6887506825181976"/>
    <n v="3.508E-2"/>
    <n v="5.0932798892831796E-2"/>
    <n v="4.2"/>
    <n v="8.3523809523809514E-3"/>
    <n v="4.2"/>
    <n v="0"/>
  </r>
  <r>
    <x v="18"/>
    <x v="3"/>
    <n v="46296000"/>
    <n v="73646388"/>
    <n v="0.62862553422171907"/>
    <n v="6.2530000000000002E-2"/>
    <n v="9.9470983273716951E-2"/>
    <n v="4.2"/>
    <n v="1.4888095238095238E-2"/>
    <n v="4.2"/>
    <n v="0"/>
  </r>
  <r>
    <x v="19"/>
    <x v="0"/>
    <n v="63154000"/>
    <n v="73646388"/>
    <n v="0.85753017513907126"/>
    <n v="0.20652000000000001"/>
    <n v="0.24083117537701496"/>
    <n v="3.27"/>
    <n v="6.3155963302752291E-2"/>
    <n v="3.27"/>
    <n v="0"/>
  </r>
  <r>
    <x v="19"/>
    <x v="1"/>
    <n v="56638000"/>
    <n v="73646388"/>
    <n v="0.76905333089791184"/>
    <n v="0.19086"/>
    <n v="0.24817524654260389"/>
    <n v="3.27"/>
    <n v="5.8366972477064218E-2"/>
    <n v="3.27"/>
    <n v="0"/>
  </r>
  <r>
    <x v="19"/>
    <x v="2"/>
    <n v="50724000"/>
    <n v="73646388"/>
    <n v="0.6887506825181976"/>
    <n v="0.18592"/>
    <n v="0.26993802651525906"/>
    <n v="3.27"/>
    <n v="5.6856269113149845E-2"/>
    <n v="3.27"/>
    <n v="0"/>
  </r>
  <r>
    <x v="19"/>
    <x v="3"/>
    <n v="46296000"/>
    <n v="73646388"/>
    <n v="0.62862553422171907"/>
    <n v="0.16084999999999999"/>
    <n v="0.25587570221617417"/>
    <n v="3.27"/>
    <n v="4.9189602446483176E-2"/>
    <n v="3.27"/>
    <n v="0"/>
  </r>
  <r>
    <x v="20"/>
    <x v="0"/>
    <n v="63154000"/>
    <n v="73646388"/>
    <n v="0.85753017513907126"/>
    <n v="0.49564999999999998"/>
    <n v="0.57799715318427969"/>
    <n v="5.96"/>
    <n v="8.3162751677852351E-2"/>
    <n v="5.96"/>
    <n v="0"/>
  </r>
  <r>
    <x v="20"/>
    <x v="1"/>
    <n v="56638000"/>
    <n v="73646388"/>
    <n v="0.76905333089791184"/>
    <n v="0.45779999999999998"/>
    <n v="0.59527731251809735"/>
    <n v="5.96"/>
    <n v="7.6812080536912755E-2"/>
    <n v="5.96"/>
    <n v="0"/>
  </r>
  <r>
    <x v="20"/>
    <x v="2"/>
    <n v="50724000"/>
    <n v="73646388"/>
    <n v="0.6887506825181976"/>
    <n v="0.44624000000000003"/>
    <n v="0.64789772457061756"/>
    <n v="5.96"/>
    <n v="7.4872483221476521E-2"/>
    <n v="5.96"/>
    <n v="0"/>
  </r>
  <r>
    <x v="20"/>
    <x v="3"/>
    <n v="46296000"/>
    <n v="73646388"/>
    <n v="0.62862553422171907"/>
    <n v="0.38367000000000001"/>
    <n v="0.61033155529548988"/>
    <n v="5.96"/>
    <n v="6.43741610738255E-2"/>
    <n v="5.96"/>
    <n v="0"/>
  </r>
  <r>
    <x v="21"/>
    <x v="0"/>
    <n v="63154000"/>
    <n v="73646388"/>
    <n v="0.85753017513907126"/>
    <n v="0.28913"/>
    <n v="0.33716597780726482"/>
    <n v="3.6"/>
    <n v="8.0313888888888893E-2"/>
    <n v="3.6"/>
    <n v="0"/>
  </r>
  <r>
    <x v="21"/>
    <x v="1"/>
    <n v="56638000"/>
    <n v="73646388"/>
    <n v="0.76905333089791184"/>
    <n v="0.26712000000000002"/>
    <n v="0.34733611996468805"/>
    <n v="3.6"/>
    <n v="7.4200000000000002E-2"/>
    <n v="3.6"/>
    <n v="0"/>
  </r>
  <r>
    <x v="21"/>
    <x v="2"/>
    <n v="50724000"/>
    <n v="73646388"/>
    <n v="0.6887506825181976"/>
    <n v="0.26029999999999998"/>
    <n v="0.37793065997161107"/>
    <n v="3.6"/>
    <n v="7.2305555555555553E-2"/>
    <n v="3.6"/>
    <n v="0"/>
  </r>
  <r>
    <x v="21"/>
    <x v="3"/>
    <n v="46296000"/>
    <n v="73646388"/>
    <n v="0.62862553422171907"/>
    <n v="0.22452"/>
    <n v="0.35716016575427684"/>
    <n v="3.6"/>
    <n v="6.2366666666666667E-2"/>
    <n v="3.6"/>
    <n v="0"/>
  </r>
  <r>
    <x v="22"/>
    <x v="0"/>
    <n v="63154000"/>
    <n v="73646388"/>
    <n v="0.85753017513907126"/>
    <n v="0.20652000000000001"/>
    <n v="0.24083117537701496"/>
    <n v="3.71"/>
    <n v="5.5665768194070084E-2"/>
    <n v="3.71"/>
    <n v="0"/>
  </r>
  <r>
    <x v="22"/>
    <x v="1"/>
    <n v="56638000"/>
    <n v="73646388"/>
    <n v="0.76905333089791184"/>
    <n v="0.19086"/>
    <n v="0.24817524654260389"/>
    <n v="3.71"/>
    <n v="5.1444743935309976E-2"/>
    <n v="3.71"/>
    <n v="0"/>
  </r>
  <r>
    <x v="22"/>
    <x v="2"/>
    <n v="50724000"/>
    <n v="73646388"/>
    <n v="0.6887506825181976"/>
    <n v="0.18592"/>
    <n v="0.26993802651525906"/>
    <n v="3.71"/>
    <n v="5.0113207547169809E-2"/>
    <n v="3.71"/>
    <n v="0"/>
  </r>
  <r>
    <x v="22"/>
    <x v="3"/>
    <n v="46296000"/>
    <n v="73646388"/>
    <n v="0.62862553422171907"/>
    <n v="0.16084999999999999"/>
    <n v="0.25587570221617417"/>
    <n v="3.71"/>
    <n v="4.3355795148247979E-2"/>
    <n v="3.71"/>
    <n v="0"/>
  </r>
  <r>
    <x v="23"/>
    <x v="0"/>
    <n v="66187000"/>
    <n v="90224492"/>
    <n v="0.73358129852368692"/>
    <n v="7.9699999999999993E-2"/>
    <n v="0.10864508154773594"/>
    <n v="6.8"/>
    <n v="1.1720588235294116E-2"/>
    <n v="6.8"/>
    <n v="0"/>
  </r>
  <r>
    <x v="23"/>
    <x v="1"/>
    <n v="67513447"/>
    <n v="90224492"/>
    <n v="0.74828292743393887"/>
    <n v="9.9199999999999997E-2"/>
    <n v="0.13257017681825667"/>
    <n v="6.8"/>
    <n v="1.4588235294117647E-2"/>
    <n v="6.8"/>
    <n v="0"/>
  </r>
  <r>
    <x v="23"/>
    <x v="2"/>
    <n v="82086317"/>
    <n v="90224492"/>
    <n v="0.90980082215370084"/>
    <n v="0.1905"/>
    <n v="0.20938648917577821"/>
    <n v="6.8"/>
    <n v="2.8014705882352942E-2"/>
    <n v="6.8"/>
    <n v="0"/>
  </r>
  <r>
    <x v="23"/>
    <x v="3"/>
    <n v="76789552"/>
    <n v="90224492"/>
    <n v="0.85109431261746538"/>
    <n v="0.1767"/>
    <n v="0.20761506378367722"/>
    <n v="6.8"/>
    <n v="2.5985294117647058E-2"/>
    <n v="6.8"/>
    <n v="0"/>
  </r>
  <r>
    <x v="24"/>
    <x v="0"/>
    <n v="66187000"/>
    <n v="90224492"/>
    <n v="0.73358129852368692"/>
    <n v="0.39119999999999999"/>
    <n v="0.53327422712012928"/>
    <n v="5.69"/>
    <n v="6.8752196836555354E-2"/>
    <n v="5.69"/>
    <n v="0"/>
  </r>
  <r>
    <x v="24"/>
    <x v="1"/>
    <n v="67513447"/>
    <n v="90224492"/>
    <n v="0.74828292743393887"/>
    <n v="0.37240000000000001"/>
    <n v="0.49767272023305226"/>
    <n v="5.69"/>
    <n v="6.5448154657293492E-2"/>
    <n v="5.69"/>
    <n v="0"/>
  </r>
  <r>
    <x v="24"/>
    <x v="2"/>
    <n v="82086317"/>
    <n v="90224492"/>
    <n v="0.90980082215370084"/>
    <n v="0.34889999999999999"/>
    <n v="0.3834905305691812"/>
    <n v="5.69"/>
    <n v="6.1318101933216164E-2"/>
    <n v="5.69"/>
    <n v="0"/>
  </r>
  <r>
    <x v="24"/>
    <x v="3"/>
    <n v="76789552"/>
    <n v="90224492"/>
    <n v="0.85109431261746538"/>
    <n v="0.3286"/>
    <n v="0.38609117124683834"/>
    <n v="5.69"/>
    <n v="5.7750439367311071E-2"/>
    <n v="5.69"/>
    <n v="0"/>
  </r>
  <r>
    <x v="25"/>
    <x v="0"/>
    <n v="818590368.54999995"/>
    <n v="408974477"/>
    <n v="2.0015683486038176"/>
    <n v="0.79800700000000002"/>
    <n v="0.39869085687563216"/>
    <n v="13"/>
    <n v="6.1385153846153846E-2"/>
    <n v="13"/>
    <n v="0"/>
  </r>
  <r>
    <x v="25"/>
    <x v="1"/>
    <n v="904348943.24000001"/>
    <n v="408974477"/>
    <n v="2.2112601008106432"/>
    <n v="0.840279"/>
    <n v="0.38000007312208794"/>
    <n v="13"/>
    <n v="6.4636846153846156E-2"/>
    <n v="13"/>
    <n v="0"/>
  </r>
  <r>
    <x v="26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26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27"/>
    <x v="0"/>
    <n v="818590368.54999995"/>
    <n v="408974477"/>
    <n v="2.0015683486038176"/>
    <n v="0.79800700000000002"/>
    <n v="0.39869085687563216"/>
    <n v="12.6"/>
    <n v="6.3333888888888898E-2"/>
    <n v="12.6"/>
    <n v="0"/>
  </r>
  <r>
    <x v="27"/>
    <x v="1"/>
    <n v="904348943.24000001"/>
    <n v="408974477"/>
    <n v="2.2112601008106432"/>
    <n v="0.84058699999999997"/>
    <n v="0.3801393602190184"/>
    <n v="12.6"/>
    <n v="6.6713253968253963E-2"/>
    <n v="12.6"/>
    <n v="0"/>
  </r>
  <r>
    <x v="28"/>
    <x v="0"/>
    <n v="215388793.88999999"/>
    <n v="36304650"/>
    <n v="5.9328156004809296"/>
    <n v="1.375"/>
    <n v="0.23176179618468826"/>
    <n v="29.02"/>
    <n v="4.7381116471399039E-2"/>
    <n v="29.02"/>
    <n v="0"/>
  </r>
  <r>
    <x v="28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28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28"/>
    <x v="3"/>
    <n v="190454809.5"/>
    <n v="36304650"/>
    <n v="5.2460169565055716"/>
    <n v="0.18859646699999999"/>
    <n v="3.5950411247932017E-2"/>
    <n v="29.02"/>
    <n v="6.4988444865609922E-3"/>
    <n v="29.02"/>
    <n v="0"/>
  </r>
  <r>
    <x v="29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29"/>
    <x v="1"/>
    <n v="96039575.989999995"/>
    <n v="36304650"/>
    <n v="2.6453794759073559"/>
    <n v="0.649664927"/>
    <n v="0.24558477636830051"/>
    <n v="29.99"/>
    <n v="2.1662718472824277E-2"/>
    <n v="29.99"/>
    <n v="0"/>
  </r>
  <r>
    <x v="29"/>
    <x v="2"/>
    <n v="196040834.49000001"/>
    <n v="36304650"/>
    <n v="5.3998822324412989"/>
    <n v="1.954906128"/>
    <n v="0.3620275487223325"/>
    <n v="29.99"/>
    <n v="6.5185266022007332E-2"/>
    <n v="29.99"/>
    <n v="0"/>
  </r>
  <r>
    <x v="29"/>
    <x v="3"/>
    <n v="190454809.5"/>
    <n v="36304650"/>
    <n v="5.2460169565055716"/>
    <n v="1.4895923250000001"/>
    <n v="0.28394729512888067"/>
    <n v="29.99"/>
    <n v="4.9669634044681568E-2"/>
    <n v="29.99"/>
    <n v="0"/>
  </r>
  <r>
    <x v="30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30"/>
    <x v="1"/>
    <n v="7903625"/>
    <n v="715094432"/>
    <n v="1.1052561237115044E-2"/>
    <n v="3.2377399999999998E-3"/>
    <n v="0.29294024530056523"/>
    <n v="4.12"/>
    <n v="7.8585922330097078E-4"/>
    <n v="4.12"/>
    <n v="0"/>
  </r>
  <r>
    <x v="30"/>
    <x v="2"/>
    <n v="-11477601"/>
    <n v="715094432"/>
    <n v="-1.6050468981976356E-2"/>
    <n v="0"/>
    <s v=""/>
    <n v="4.12"/>
    <s v=""/>
    <n v="4.12"/>
    <n v="0"/>
  </r>
  <r>
    <x v="30"/>
    <x v="3"/>
    <n v="32515448"/>
    <n v="715094432"/>
    <n v="4.5470145682801236E-2"/>
    <n v="1.1338000000000001E-2"/>
    <n v="0.24935042168313351"/>
    <n v="4.12"/>
    <n v="2.7519417475728157E-3"/>
    <n v="4.12"/>
    <n v="0"/>
  </r>
  <r>
    <x v="31"/>
    <x v="0"/>
    <n v="55498182.030000001"/>
    <n v="9183458"/>
    <n v="6.0432771653118031"/>
    <n v="2.4664000000000001"/>
    <n v="0.40812293272879302"/>
    <n v="16.010000000000002"/>
    <n v="0.15405371642723298"/>
    <n v="16.010000000000002"/>
    <n v="0"/>
  </r>
  <r>
    <x v="31"/>
    <x v="1"/>
    <n v="26190000"/>
    <n v="9183458"/>
    <n v="2.8518669111352173"/>
    <n v="0"/>
    <s v=""/>
    <n v="16.010000000000002"/>
    <s v=""/>
    <n v="16.010000000000002"/>
    <n v="0"/>
  </r>
  <r>
    <x v="31"/>
    <x v="2"/>
    <n v="2049000"/>
    <n v="9183458"/>
    <n v="0.22311856819076212"/>
    <n v="0"/>
    <s v=""/>
    <n v="16.010000000000002"/>
    <s v=""/>
    <n v="16.010000000000002"/>
    <n v="0"/>
  </r>
  <r>
    <x v="31"/>
    <x v="3"/>
    <n v="48919970.259999998"/>
    <n v="9183458"/>
    <n v="5.3269661885533743"/>
    <n v="2.8779460000000001"/>
    <n v="0.540259858638516"/>
    <n v="16.010000000000002"/>
    <n v="0.17975927545284195"/>
    <n v="16.010000000000002"/>
    <n v="0"/>
  </r>
  <r>
    <x v="32"/>
    <x v="0"/>
    <n v="55498182.030000001"/>
    <n v="9183458"/>
    <n v="6.0432771653118031"/>
    <n v="4.5993199999999996"/>
    <n v="0.76106388540309444"/>
    <n v="25.02"/>
    <n v="0.18382573940847322"/>
    <n v="25.02"/>
    <n v="0"/>
  </r>
  <r>
    <x v="32"/>
    <x v="1"/>
    <n v="26190000"/>
    <n v="9183458"/>
    <n v="2.8518669111352173"/>
    <n v="0"/>
    <s v=""/>
    <n v="25.02"/>
    <s v=""/>
    <n v="25.02"/>
    <n v="0"/>
  </r>
  <r>
    <x v="32"/>
    <x v="2"/>
    <n v="2049000"/>
    <n v="9183458"/>
    <n v="0.22311856819076212"/>
    <n v="0"/>
    <s v=""/>
    <n v="25.02"/>
    <s v=""/>
    <n v="25.02"/>
    <n v="0"/>
  </r>
  <r>
    <x v="32"/>
    <x v="3"/>
    <n v="48919970.259999998"/>
    <n v="9183458"/>
    <n v="5.3269661885533743"/>
    <n v="0"/>
    <s v=""/>
    <n v="25.02"/>
    <s v=""/>
    <n v="25.02"/>
    <n v="0"/>
  </r>
  <r>
    <x v="33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33"/>
    <x v="1"/>
    <n v="26190000"/>
    <n v="9183458"/>
    <n v="2.8518669111352173"/>
    <n v="0"/>
    <s v=""/>
    <n v="17.079999999999998"/>
    <s v=""/>
    <n v="17.079999999999998"/>
    <n v="0"/>
  </r>
  <r>
    <x v="33"/>
    <x v="2"/>
    <n v="2049000"/>
    <n v="9183458"/>
    <n v="0.22311856819076212"/>
    <n v="0"/>
    <s v=""/>
    <n v="17.079999999999998"/>
    <s v=""/>
    <n v="17.079999999999998"/>
    <n v="0"/>
  </r>
  <r>
    <x v="33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34"/>
    <x v="0"/>
    <n v="805497405.55999994"/>
    <n v="188177338"/>
    <n v="4.2805229052607805"/>
    <n v="2.3192654978"/>
    <n v="0.54181826592952298"/>
    <n v="30.99"/>
    <n v="7.4839157721845767E-2"/>
    <n v="30.99"/>
    <n v="0"/>
  </r>
  <r>
    <x v="34"/>
    <x v="1"/>
    <n v="750490000"/>
    <n v="188177338"/>
    <n v="3.988206061242082"/>
    <n v="4.4176596381"/>
    <n v="1.1076808896690182"/>
    <n v="30.99"/>
    <n v="0.14255113385285575"/>
    <n v="30.99"/>
    <n v="0"/>
  </r>
  <r>
    <x v="34"/>
    <x v="2"/>
    <n v="945719000"/>
    <n v="188177338"/>
    <n v="5.0256795534008454"/>
    <n v="3.6718683019"/>
    <n v="0.73062125487393448"/>
    <n v="30.99"/>
    <n v="0.11848558573410778"/>
    <n v="30.99"/>
    <n v="0"/>
  </r>
  <r>
    <x v="34"/>
    <x v="3"/>
    <n v="887625000"/>
    <n v="188177338"/>
    <n v="4.7169601261975549"/>
    <n v="3.24332932"/>
    <n v="0.68758887784250122"/>
    <n v="30.99"/>
    <n v="0.1046572868667312"/>
    <n v="30.99"/>
    <n v="0"/>
  </r>
  <r>
    <x v="35"/>
    <x v="0"/>
    <n v="805497405.55999994"/>
    <n v="188177338"/>
    <n v="4.2805229052607805"/>
    <n v="2.3192654978"/>
    <n v="0.54181826592952298"/>
    <n v="32.01"/>
    <n v="7.2454404804748518E-2"/>
    <n v="32.01"/>
    <n v="0"/>
  </r>
  <r>
    <x v="35"/>
    <x v="1"/>
    <n v="750490000"/>
    <n v="188177338"/>
    <n v="3.988206061242082"/>
    <n v="4.4176596381"/>
    <n v="1.1076808896690182"/>
    <n v="32.01"/>
    <n v="0.13800873596063731"/>
    <n v="32.01"/>
    <n v="0"/>
  </r>
  <r>
    <x v="35"/>
    <x v="2"/>
    <n v="945719000"/>
    <n v="188177338"/>
    <n v="5.0256795534008454"/>
    <n v="3.6718683019"/>
    <n v="0.73062125487393448"/>
    <n v="32.01"/>
    <n v="0.11471003754764136"/>
    <n v="32.01"/>
    <n v="0"/>
  </r>
  <r>
    <x v="35"/>
    <x v="3"/>
    <n v="887625000"/>
    <n v="188177338"/>
    <n v="4.7169601261975549"/>
    <n v="3.24332932"/>
    <n v="0.68758887784250122"/>
    <n v="32.01"/>
    <n v="0.10132237800687285"/>
    <n v="32.01"/>
    <n v="0"/>
  </r>
  <r>
    <x v="36"/>
    <x v="0"/>
    <n v="15128479.970000001"/>
    <n v="74612388"/>
    <n v="0.20276096738788202"/>
    <n v="0.20233950000000001"/>
    <n v="0.99792135836935647"/>
    <n v="18"/>
    <n v="1.1241083333333334E-2"/>
    <n v="18"/>
    <n v="0"/>
  </r>
  <r>
    <x v="36"/>
    <x v="1"/>
    <n v="283416000"/>
    <n v="74612388"/>
    <n v="3.7985113142337705"/>
    <n v="3.2507519999999999"/>
    <n v="0.85579631889440255"/>
    <n v="18"/>
    <n v="0.18059733333333333"/>
    <n v="18"/>
    <n v="0"/>
  </r>
  <r>
    <x v="36"/>
    <x v="2"/>
    <n v="448291000"/>
    <n v="74612388"/>
    <n v="6.0082650082182063"/>
    <n v="3.3315596300000001"/>
    <n v="0.55449611916968322"/>
    <n v="18"/>
    <n v="0.18508664611111111"/>
    <n v="18"/>
    <n v="0"/>
  </r>
  <r>
    <x v="36"/>
    <x v="2"/>
    <n v="586949000"/>
    <n v="74612388"/>
    <n v="7.866642734983901"/>
    <n v="4.429843"/>
    <n v="0.56311734868801888"/>
    <n v="18"/>
    <n v="0.24610238888888888"/>
    <n v="18"/>
    <n v="0"/>
  </r>
  <r>
    <x v="37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37"/>
    <x v="1"/>
    <n v="283416000"/>
    <n v="74612388"/>
    <n v="3.7985113142337705"/>
    <n v="3.5758272"/>
    <n v="0.94137595078384284"/>
    <n v="21.51"/>
    <n v="0.1662402231520223"/>
    <n v="21.51"/>
    <n v="0"/>
  </r>
  <r>
    <x v="37"/>
    <x v="2"/>
    <n v="448291000"/>
    <n v="74612388"/>
    <n v="6.0082650082182063"/>
    <n v="3.6647560000000001"/>
    <n v="0.60995245632262973"/>
    <n v="21.51"/>
    <n v="0.17037452347745233"/>
    <n v="21.51"/>
    <n v="0"/>
  </r>
  <r>
    <x v="37"/>
    <x v="2"/>
    <n v="586949000"/>
    <n v="74612388"/>
    <n v="7.866642734983901"/>
    <n v="4.8728273"/>
    <n v="0.6194290835568208"/>
    <n v="21.51"/>
    <n v="0.22653776383077637"/>
    <n v="21.51"/>
    <n v="0"/>
  </r>
  <r>
    <x v="38"/>
    <x v="0"/>
    <n v="147982000"/>
    <n v="327502673"/>
    <n v="0.4518497471927504"/>
    <n v="1.1599999999999999"/>
    <n v="2.5672250725088186"/>
    <n v="19.899999999999999"/>
    <n v="5.8291457286432161E-2"/>
    <n v="19.899999999999999"/>
    <n v="0"/>
  </r>
  <r>
    <x v="38"/>
    <x v="1"/>
    <n v="108581000"/>
    <n v="327502673"/>
    <n v="0.33154233217510259"/>
    <n v="1.6978355000000001"/>
    <n v="5.121021767752107"/>
    <n v="19.899999999999999"/>
    <n v="8.5318366834170864E-2"/>
    <n v="19.899999999999999"/>
    <n v="0"/>
  </r>
  <r>
    <x v="38"/>
    <x v="2"/>
    <n v="93042000"/>
    <n v="327502673"/>
    <n v="0.28409539118479193"/>
    <n v="0.70331069999999996"/>
    <n v="2.475614606301467"/>
    <n v="19.899999999999999"/>
    <n v="3.5342246231155776E-2"/>
    <n v="19.899999999999999"/>
    <n v="0"/>
  </r>
  <r>
    <x v="39"/>
    <x v="0"/>
    <n v="147982000"/>
    <n v="327502673"/>
    <n v="0.4518497471927504"/>
    <n v="1.82"/>
    <n v="4.027887613763836"/>
    <n v="22.18"/>
    <n v="8.2055906221821462E-2"/>
    <n v="22.18"/>
    <n v="0"/>
  </r>
  <r>
    <x v="39"/>
    <x v="1"/>
    <n v="108581000"/>
    <n v="327502673"/>
    <n v="0.33154233217510259"/>
    <n v="1.8245449413999999"/>
    <n v="5.5032035560284793"/>
    <n v="22.18"/>
    <n v="8.2260817917042373E-2"/>
    <n v="22.18"/>
    <n v="0"/>
  </r>
  <r>
    <x v="39"/>
    <x v="2"/>
    <n v="93042000"/>
    <n v="327502673"/>
    <n v="0.28409539118479193"/>
    <n v="1.8245449413999999"/>
    <n v="6.4222968693399576"/>
    <n v="22.18"/>
    <n v="8.2260817917042373E-2"/>
    <n v="22.18"/>
    <n v="0"/>
  </r>
  <r>
    <x v="40"/>
    <x v="0"/>
    <n v="147982000"/>
    <n v="327502673"/>
    <n v="0.4518497471927504"/>
    <n v="1.1599999999999999"/>
    <n v="2.5672250725088186"/>
    <n v="22.42"/>
    <n v="5.1739518287243526E-2"/>
    <n v="22.42"/>
    <n v="0"/>
  </r>
  <r>
    <x v="40"/>
    <x v="1"/>
    <n v="108581000"/>
    <n v="327502673"/>
    <n v="0.33154233217510259"/>
    <n v="1.4108145000000001"/>
    <n v="4.2553072808056518"/>
    <n v="22.42"/>
    <n v="6.2926605709188219E-2"/>
    <n v="22.42"/>
    <n v="0"/>
  </r>
  <r>
    <x v="40"/>
    <x v="2"/>
    <n v="93042000"/>
    <n v="327502673"/>
    <n v="0.28409539118479193"/>
    <n v="0.70331069999999996"/>
    <n v="2.475614606301467"/>
    <n v="22.42"/>
    <n v="3.1369790365744867E-2"/>
    <n v="22.42"/>
    <n v="0"/>
  </r>
  <r>
    <x v="41"/>
    <x v="0"/>
    <n v="-258366398.66"/>
    <n v="38571591"/>
    <n v="-6.6983599058695811"/>
    <n v="0"/>
    <s v=""/>
    <n v="18.399999999999999"/>
    <s v=""/>
    <n v="18.399999999999999"/>
    <n v="0"/>
  </r>
  <r>
    <x v="41"/>
    <x v="1"/>
    <n v="323886563.73000002"/>
    <n v="38571591"/>
    <n v="8.3970236988668692"/>
    <n v="2.2201449599999998"/>
    <n v="0.26439665286398989"/>
    <n v="18.399999999999999"/>
    <n v="0.12066005217391304"/>
    <n v="18.399999999999999"/>
    <n v="0"/>
  </r>
  <r>
    <x v="41"/>
    <x v="2"/>
    <n v="259841000"/>
    <n v="38571591"/>
    <n v="6.7365901499888867"/>
    <n v="2.09736089"/>
    <n v="0.31133865105382136"/>
    <n v="18.399999999999999"/>
    <n v="0.11398700489130435"/>
    <n v="18.399999999999999"/>
    <n v="0"/>
  </r>
  <r>
    <x v="41"/>
    <x v="3"/>
    <n v="120919000"/>
    <n v="38571591"/>
    <n v="3.1349238355244409"/>
    <n v="0.97620123000000003"/>
    <n v="0.31139551747249755"/>
    <n v="18.399999999999999"/>
    <n v="5.3054414673913051E-2"/>
    <n v="18.399999999999999"/>
    <n v="0"/>
  </r>
  <r>
    <x v="41"/>
    <x v="4"/>
    <n v="245522000"/>
    <n v="38571591"/>
    <n v="6.3653583799537854"/>
    <n v="1.9821435199999999"/>
    <n v="0.31139543159773997"/>
    <n v="18.399999999999999"/>
    <n v="0.10772519130434784"/>
    <n v="18.399999999999999"/>
    <n v="0"/>
  </r>
  <r>
    <x v="42"/>
    <x v="0"/>
    <n v="4271685000"/>
    <n v="962672385"/>
    <n v="4.4373195560190499"/>
    <n v="1.4286055"/>
    <n v="0.32195235929360838"/>
    <n v="14.2"/>
    <n v="0.10060602112676056"/>
    <n v="14.2"/>
    <n v="0"/>
  </r>
  <r>
    <x v="42"/>
    <x v="1"/>
    <n v="2415450000"/>
    <n v="962672385"/>
    <n v="2.5091090568677732"/>
    <n v="1.9"/>
    <n v="0.75724089983232934"/>
    <n v="14.2"/>
    <n v="0.13380281690140844"/>
    <n v="14.2"/>
    <n v="0"/>
  </r>
  <r>
    <x v="42"/>
    <x v="2"/>
    <n v="2257976000"/>
    <n v="962672385"/>
    <n v="2.3455290036184011"/>
    <n v="1.75"/>
    <n v="0.74610034550854398"/>
    <n v="14.2"/>
    <n v="0.12323943661971831"/>
    <n v="14.2"/>
    <n v="0"/>
  </r>
  <r>
    <x v="42"/>
    <x v="3"/>
    <n v="1861403000"/>
    <n v="962672385"/>
    <n v="1.9335788883151561"/>
    <n v="1.5"/>
    <n v="0.77576353830954392"/>
    <n v="14.2"/>
    <n v="0.10563380281690142"/>
    <n v="14.2"/>
    <n v="0"/>
  </r>
  <r>
    <x v="43"/>
    <x v="0"/>
    <n v="4271685000"/>
    <n v="962672385"/>
    <n v="4.4373195560190499"/>
    <n v="1.4286055"/>
    <n v="0.32195235929360838"/>
    <n v="14.01"/>
    <n v="0.10197041399000714"/>
    <n v="14.01"/>
    <n v="0"/>
  </r>
  <r>
    <x v="43"/>
    <x v="1"/>
    <n v="2415450000"/>
    <n v="962672385"/>
    <n v="2.5091090568677732"/>
    <n v="1.9"/>
    <n v="0.75724089983232934"/>
    <n v="14.01"/>
    <n v="0.13561741613133477"/>
    <n v="14.01"/>
    <n v="0"/>
  </r>
  <r>
    <x v="43"/>
    <x v="2"/>
    <n v="2257976000"/>
    <n v="962672385"/>
    <n v="2.3455290036184011"/>
    <n v="1.75"/>
    <n v="0.74610034550854398"/>
    <n v="14.01"/>
    <n v="0.12491077801570308"/>
    <n v="14.01"/>
    <n v="0"/>
  </r>
  <r>
    <x v="43"/>
    <x v="3"/>
    <n v="1861403000"/>
    <n v="962672385"/>
    <n v="1.9335788883151561"/>
    <n v="1.5"/>
    <n v="0.77576353830954392"/>
    <n v="14.01"/>
    <n v="0.10706638115631692"/>
    <n v="14.01"/>
    <n v="0"/>
  </r>
  <r>
    <x v="44"/>
    <x v="0"/>
    <n v="400000153.68000001"/>
    <n v="77855299"/>
    <n v="5.1377383276120998"/>
    <n v="2.7486247275000002"/>
    <n v="0.53498729445364657"/>
    <n v="44.6"/>
    <n v="6.1628357118834083E-2"/>
    <n v="44.6"/>
    <n v="0"/>
  </r>
  <r>
    <x v="44"/>
    <x v="1"/>
    <n v="471181647.69999999"/>
    <n v="77855299"/>
    <n v="6.0520177014540781"/>
    <n v="3.5452297189999999"/>
    <n v="0.58579301877260059"/>
    <n v="44.6"/>
    <n v="7.9489455582959639E-2"/>
    <n v="44.6"/>
    <n v="0"/>
  </r>
  <r>
    <x v="44"/>
    <x v="2"/>
    <n v="458054165.95999998"/>
    <n v="77855299"/>
    <n v="5.8834038510339548"/>
    <n v="4.272592929"/>
    <n v="0.72621105692908205"/>
    <n v="44.6"/>
    <n v="9.5798047735426009E-2"/>
    <n v="44.6"/>
    <n v="0"/>
  </r>
  <r>
    <x v="45"/>
    <x v="0"/>
    <n v="400000153.68000001"/>
    <n v="77855299"/>
    <n v="5.1377383276120998"/>
    <n v="2.7486247275000002"/>
    <n v="0.53498729445364657"/>
    <n v="42"/>
    <n v="6.5443445892857152E-2"/>
    <n v="42"/>
    <n v="0"/>
  </r>
  <r>
    <x v="45"/>
    <x v="1"/>
    <n v="471181647.69999999"/>
    <n v="77855299"/>
    <n v="6.0520177014540781"/>
    <n v="3.5452297189999999"/>
    <n v="0.58579301877260059"/>
    <n v="42"/>
    <n v="8.4410231404761907E-2"/>
    <n v="42"/>
    <n v="0"/>
  </r>
  <r>
    <x v="45"/>
    <x v="2"/>
    <n v="458054165.95999998"/>
    <n v="77855299"/>
    <n v="5.8834038510339548"/>
    <n v="4.272592929"/>
    <n v="0.72621105692908205"/>
    <n v="42"/>
    <n v="0.10172840307142857"/>
    <n v="42"/>
    <n v="0"/>
  </r>
  <r>
    <x v="46"/>
    <x v="0"/>
    <n v="1225923257.8099999"/>
    <n v="962274260"/>
    <n v="1.2739852958448665"/>
    <n v="1.139118233"/>
    <n v="0.89413766133350314"/>
    <n v="19.09"/>
    <n v="5.9670939392352018E-2"/>
    <n v="19.09"/>
    <n v="0"/>
  </r>
  <r>
    <x v="46"/>
    <x v="1"/>
    <n v="1572292596.6700001"/>
    <n v="962274260"/>
    <n v="1.6339339645954991"/>
    <n v="1.5653283019999999"/>
    <n v="0.9580119735056225"/>
    <n v="19.09"/>
    <n v="8.1997291880565745E-2"/>
    <n v="19.09"/>
    <n v="0"/>
  </r>
  <r>
    <x v="46"/>
    <x v="2"/>
    <n v="1595150826.9300001"/>
    <n v="962274260"/>
    <n v="1.6576883464907397"/>
    <n v="2.6197703689999998"/>
    <n v="1.580375692780823"/>
    <n v="19.09"/>
    <n v="0.13723260183342062"/>
    <n v="19.09"/>
    <n v="0"/>
  </r>
  <r>
    <x v="46"/>
    <x v="3"/>
    <n v="1649898817.26"/>
    <n v="962274260"/>
    <n v="1.7145827191304068"/>
    <n v="2.5560733889999998"/>
    <n v="1.4907845276175278"/>
    <n v="19.09"/>
    <n v="0.133895934468308"/>
    <n v="19.09"/>
    <n v="0"/>
  </r>
  <r>
    <x v="47"/>
    <x v="0"/>
    <n v="700688167.34000003"/>
    <n v="273655375"/>
    <n v="2.5604765385660708"/>
    <n v="0.93527000000000005"/>
    <n v="0.36527184917061339"/>
    <n v="22.3"/>
    <n v="4.1940358744394619E-2"/>
    <n v="22.3"/>
    <n v="0"/>
  </r>
  <r>
    <x v="47"/>
    <x v="1"/>
    <n v="1203117000"/>
    <n v="273655375"/>
    <n v="4.396467637443628"/>
    <n v="1.4683299999999999"/>
    <n v="0.33397948559761848"/>
    <n v="22.3"/>
    <n v="6.5844394618834068E-2"/>
    <n v="22.3"/>
    <n v="0"/>
  </r>
  <r>
    <x v="47"/>
    <x v="2"/>
    <n v="1041534000"/>
    <n v="273655375"/>
    <n v="3.8060060029882474"/>
    <n v="0.98026999999999997"/>
    <n v="0.25755871095062666"/>
    <n v="22.3"/>
    <n v="4.3958295964125559E-2"/>
    <n v="22.3"/>
    <n v="0"/>
  </r>
  <r>
    <x v="47"/>
    <x v="3"/>
    <n v="900821000"/>
    <n v="273655375"/>
    <n v="3.2918081729620696"/>
    <n v="0.86965000000000003"/>
    <n v="0.26418611119051399"/>
    <n v="22.3"/>
    <n v="3.8997757847533635E-2"/>
    <n v="22.3"/>
    <n v="0"/>
  </r>
  <r>
    <x v="48"/>
    <x v="0"/>
    <n v="700688167.34000003"/>
    <n v="273655375"/>
    <n v="2.5604765385660708"/>
    <n v="2.5250699999999999"/>
    <n v="0.98617189494503266"/>
    <n v="30"/>
    <n v="8.4168999999999994E-2"/>
    <n v="30"/>
    <n v="0"/>
  </r>
  <r>
    <x v="48"/>
    <x v="1"/>
    <n v="1203117000"/>
    <n v="273655375"/>
    <n v="4.396467637443628"/>
    <n v="2.5250699999999999"/>
    <n v="0.57434063166861571"/>
    <n v="30"/>
    <n v="8.4168999999999994E-2"/>
    <n v="30"/>
    <n v="0"/>
  </r>
  <r>
    <x v="48"/>
    <x v="2"/>
    <n v="1041534000"/>
    <n v="273655375"/>
    <n v="3.8060060029882474"/>
    <n v="2.5250699999999999"/>
    <n v="0.66344351480724584"/>
    <n v="30"/>
    <n v="8.4168999999999994E-2"/>
    <n v="30"/>
    <n v="0"/>
  </r>
  <r>
    <x v="48"/>
    <x v="3"/>
    <n v="900821000"/>
    <n v="273655375"/>
    <n v="3.2918081729620696"/>
    <n v="1.6297900000000001"/>
    <n v="0.49510479176356903"/>
    <n v="30"/>
    <n v="5.4326333333333338E-2"/>
    <n v="30"/>
    <n v="0"/>
  </r>
  <r>
    <x v="49"/>
    <x v="0"/>
    <n v="700688167.34000003"/>
    <n v="273655375"/>
    <n v="2.5604765385660708"/>
    <n v="1.0288900000000001"/>
    <n v="0.40183535545152993"/>
    <n v="30.53"/>
    <n v="3.3700949885358662E-2"/>
    <n v="30.53"/>
    <n v="0"/>
  </r>
  <r>
    <x v="49"/>
    <x v="1"/>
    <n v="1203117000"/>
    <n v="273655375"/>
    <n v="4.396467637443628"/>
    <n v="1.6154599999999999"/>
    <n v="0.3674449883905721"/>
    <n v="30.53"/>
    <n v="5.291385522436947E-2"/>
    <n v="30.53"/>
    <n v="0"/>
  </r>
  <r>
    <x v="49"/>
    <x v="2"/>
    <n v="1041534000"/>
    <n v="273655375"/>
    <n v="3.8060060029882474"/>
    <n v="1.0785400000000001"/>
    <n v="0.28337842850305417"/>
    <n v="30.53"/>
    <n v="3.5327219128725842E-2"/>
    <n v="30.53"/>
    <n v="0"/>
  </r>
  <r>
    <x v="49"/>
    <x v="3"/>
    <n v="900821000"/>
    <n v="273655375"/>
    <n v="3.2918081729620696"/>
    <n v="0.95679000000000003"/>
    <n v="0.29065788458112102"/>
    <n v="30.53"/>
    <n v="3.1339338355715687E-2"/>
    <n v="30.53"/>
    <n v="0"/>
  </r>
  <r>
    <x v="50"/>
    <x v="0"/>
    <n v="486927674.55000001"/>
    <n v="119684430"/>
    <n v="4.0684295739220211"/>
    <n v="1.3564000000000001"/>
    <n v="0.33339645564822007"/>
    <n v="37.200000000000003"/>
    <n v="3.6462365591397851E-2"/>
    <n v="37.200000000000003"/>
    <n v="0"/>
  </r>
  <r>
    <x v="50"/>
    <x v="1"/>
    <n v="470437900"/>
    <n v="119684430"/>
    <n v="3.9306524666575258"/>
    <n v="1.33"/>
    <n v="0.33836621560465263"/>
    <n v="37.200000000000003"/>
    <n v="3.575268817204301E-2"/>
    <n v="37.200000000000003"/>
    <n v="0"/>
  </r>
  <r>
    <x v="50"/>
    <x v="2"/>
    <n v="677124500"/>
    <n v="119684430"/>
    <n v="5.6575821934398656"/>
    <n v="1.95"/>
    <n v="0.34467020245169089"/>
    <n v="37.200000000000003"/>
    <n v="5.2419354838709672E-2"/>
    <n v="37.200000000000003"/>
    <n v="0"/>
  </r>
  <r>
    <x v="50"/>
    <x v="3"/>
    <n v="525306600"/>
    <n v="119684430"/>
    <n v="4.3890972284364809"/>
    <n v="1.5"/>
    <n v="0.34175592882328149"/>
    <n v="37.200000000000003"/>
    <n v="4.0322580645161289E-2"/>
    <n v="37.200000000000003"/>
    <n v="0"/>
  </r>
  <r>
    <x v="51"/>
    <x v="0"/>
    <n v="245872000"/>
    <n v="168074028"/>
    <n v="1.4628792022524741"/>
    <n v="0.210547822"/>
    <n v="0.14392700482432735"/>
    <n v="10.02"/>
    <n v="2.1012756686626746E-2"/>
    <n v="10.02"/>
    <n v="0"/>
  </r>
  <r>
    <x v="51"/>
    <x v="1"/>
    <n v="232128000"/>
    <n v="168074028"/>
    <n v="1.3811057113476213"/>
    <n v="1.158632954"/>
    <n v="0.83891692321615097"/>
    <n v="10.02"/>
    <n v="0.11563203133732536"/>
    <n v="10.02"/>
    <n v="0"/>
  </r>
  <r>
    <x v="51"/>
    <x v="2"/>
    <n v="253664000"/>
    <n v="168074028"/>
    <n v="1.5092397261996957"/>
    <n v="1.1372260759999999"/>
    <n v="0.75350923796815517"/>
    <n v="10.02"/>
    <n v="0.11349561636726546"/>
    <n v="10.02"/>
    <n v="0"/>
  </r>
  <r>
    <x v="51"/>
    <x v="3"/>
    <n v="244788000"/>
    <n v="168074028"/>
    <n v="1.4564296632433893"/>
    <n v="0.9505576"/>
    <n v="0.65266289474162464"/>
    <n v="10.02"/>
    <n v="9.486602794411178E-2"/>
    <n v="10.02"/>
    <n v="0"/>
  </r>
  <r>
    <x v="52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52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52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52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53"/>
    <x v="0"/>
    <n v="245872000"/>
    <n v="168074028"/>
    <n v="1.4628792022524741"/>
    <n v="0.23160260399999999"/>
    <n v="0.1583197051700434"/>
    <n v="9"/>
    <n v="2.5733622666666664E-2"/>
    <n v="9"/>
    <n v="0"/>
  </r>
  <r>
    <x v="53"/>
    <x v="1"/>
    <n v="232128000"/>
    <n v="168074028"/>
    <n v="1.3811057113476213"/>
    <n v="1.2744962500000001"/>
    <n v="0.92280861597220065"/>
    <n v="9"/>
    <n v="0.14161069444444446"/>
    <n v="9"/>
    <n v="0"/>
  </r>
  <r>
    <x v="53"/>
    <x v="2"/>
    <n v="253664000"/>
    <n v="168074028"/>
    <n v="1.5092397261996957"/>
    <n v="1.250948685"/>
    <n v="0.82886016269259011"/>
    <n v="9"/>
    <n v="0.13899429833333332"/>
    <n v="9"/>
    <n v="0"/>
  </r>
  <r>
    <x v="53"/>
    <x v="3"/>
    <n v="244788000"/>
    <n v="168074028"/>
    <n v="1.4564296632433893"/>
    <n v="1.0456133000000001"/>
    <n v="0.717929143019153"/>
    <n v="9"/>
    <n v="0.11617925555555557"/>
    <n v="9"/>
    <n v="0"/>
  </r>
  <r>
    <x v="54"/>
    <x v="0"/>
    <n v="357464258.91000003"/>
    <n v="243051520"/>
    <n v="1.4707345130365777"/>
    <n v="0.74467047200000003"/>
    <n v="0.50632555733155615"/>
    <n v="8"/>
    <n v="9.3083809000000003E-2"/>
    <n v="8"/>
    <n v="0"/>
  </r>
  <r>
    <x v="54"/>
    <x v="1"/>
    <n v="305060417.76999998"/>
    <n v="243051520"/>
    <n v="1.2551265582293005"/>
    <n v="0.63549999999999995"/>
    <n v="0.50632344271046792"/>
    <n v="8"/>
    <n v="7.9437499999999994E-2"/>
    <n v="8"/>
    <n v="0"/>
  </r>
  <r>
    <x v="54"/>
    <x v="2"/>
    <n v="276916946.19"/>
    <n v="243051520"/>
    <n v="1.1393343526096853"/>
    <n v="0.57389999999999997"/>
    <n v="0.50371517253514031"/>
    <n v="8"/>
    <n v="7.1737499999999996E-2"/>
    <n v="8"/>
    <n v="0"/>
  </r>
  <r>
    <x v="54"/>
    <x v="3"/>
    <n v="211087826.47999999"/>
    <n v="243051520"/>
    <n v="0.8684900488587769"/>
    <n v="0.43609999999999999"/>
    <n v="0.50213586278052236"/>
    <n v="8"/>
    <n v="5.4512499999999998E-2"/>
    <n v="8"/>
    <n v="0"/>
  </r>
  <r>
    <x v="55"/>
    <x v="0"/>
    <n v="-130200000"/>
    <n v="387229828"/>
    <n v="-0.33623442871761416"/>
    <n v="0"/>
    <s v=""/>
    <n v="1.6"/>
    <s v=""/>
    <n v="1.6"/>
    <n v="0"/>
  </r>
  <r>
    <x v="55"/>
    <x v="1"/>
    <n v="88173075.810000002"/>
    <n v="387229828"/>
    <n v="0.22770217951805097"/>
    <n v="0.1"/>
    <n v="0.43917014853198871"/>
    <n v="1.6"/>
    <n v="6.25E-2"/>
    <n v="1.6"/>
    <n v="0"/>
  </r>
  <r>
    <x v="56"/>
    <x v="0"/>
    <n v="-130200000"/>
    <n v="387229828"/>
    <n v="-0.33623442871761416"/>
    <n v="0"/>
    <s v=""/>
    <n v="1.7"/>
    <s v=""/>
    <n v="1.7"/>
    <n v="0"/>
  </r>
  <r>
    <x v="56"/>
    <x v="1"/>
    <n v="88173075.810000002"/>
    <n v="387229828"/>
    <n v="0.22770217951805097"/>
    <n v="0.1"/>
    <n v="0.43917014853198871"/>
    <n v="1.7"/>
    <n v="5.8823529411764712E-2"/>
    <n v="1.7"/>
    <n v="0"/>
  </r>
  <r>
    <x v="57"/>
    <x v="0"/>
    <n v="-6878916000"/>
    <n v="1352634100"/>
    <n v="-5.0855704436255156"/>
    <n v="0.40852810099999998"/>
    <s v=""/>
    <n v="5.87"/>
    <n v="6.9595928620102207E-2"/>
    <n v="5.87"/>
    <n v="0"/>
  </r>
  <r>
    <x v="57"/>
    <x v="1"/>
    <n v="3732565000"/>
    <n v="1352634100"/>
    <n v="2.7594787089871531"/>
    <n v="1.2317791624600001"/>
    <n v="0.44638110757959637"/>
    <n v="5.87"/>
    <n v="0.20984312818739354"/>
    <n v="5.87"/>
    <n v="0"/>
  </r>
  <r>
    <x v="57"/>
    <x v="2"/>
    <n v="2247913000"/>
    <n v="1352634100"/>
    <n v="1.6618781087952759"/>
    <n v="0.83224516954000005"/>
    <n v="0.50078592716003034"/>
    <n v="5.87"/>
    <n v="0.14177941559454857"/>
    <n v="5.87"/>
    <n v="0"/>
  </r>
  <r>
    <x v="57"/>
    <x v="3"/>
    <n v="170526000"/>
    <n v="1352634100"/>
    <n v="0.12606957047733752"/>
    <n v="0.41"/>
    <n v="3.2521725777887238"/>
    <n v="5.87"/>
    <n v="6.9846678023850084E-2"/>
    <n v="5.87"/>
    <n v="0"/>
  </r>
  <r>
    <x v="57"/>
    <x v="4"/>
    <n v="6136497000"/>
    <n v="1352634100"/>
    <n v="4.5367013887939098"/>
    <n v="1.54227975422"/>
    <n v="0.33995619769676261"/>
    <n v="5.87"/>
    <n v="0.262739310770017"/>
    <n v="5.87"/>
    <n v="0"/>
  </r>
  <r>
    <x v="58"/>
    <x v="0"/>
    <n v="-6878916000"/>
    <n v="1352634100"/>
    <n v="-5.0855704436255156"/>
    <n v="1.671821523"/>
    <s v=""/>
    <n v="9.93"/>
    <n v="0.16836067703927493"/>
    <n v="9.93"/>
    <n v="0"/>
  </r>
  <r>
    <x v="58"/>
    <x v="1"/>
    <n v="3732565000"/>
    <n v="1352634100"/>
    <n v="2.7594787089871531"/>
    <n v="1.6336924400499999"/>
    <n v="0.59202936943464768"/>
    <n v="9.93"/>
    <n v="0.16452089023665659"/>
    <n v="9.93"/>
    <n v="0"/>
  </r>
  <r>
    <x v="58"/>
    <x v="2"/>
    <n v="2247913000"/>
    <n v="1352634100"/>
    <n v="1.6618781087952759"/>
    <n v="1.6305332803199999"/>
    <n v="0.98113891246933971"/>
    <n v="9.93"/>
    <n v="0.16420274726283987"/>
    <n v="9.93"/>
    <n v="0"/>
  </r>
  <r>
    <x v="58"/>
    <x v="3"/>
    <n v="170526000"/>
    <n v="1352634100"/>
    <n v="0.12606957047733752"/>
    <n v="1.63"/>
    <n v="12.929369028769806"/>
    <n v="9.93"/>
    <n v="0.16414904330312186"/>
    <n v="9.93"/>
    <n v="0"/>
  </r>
  <r>
    <x v="58"/>
    <x v="4"/>
    <n v="6136497000"/>
    <n v="1352634100"/>
    <n v="4.5367013887939098"/>
    <n v="1.69650772972"/>
    <n v="0.37395181748363199"/>
    <n v="9.93"/>
    <n v="0.17084669987109768"/>
    <n v="9.93"/>
    <n v="0"/>
  </r>
  <r>
    <x v="59"/>
    <x v="0"/>
    <n v="107945984.63"/>
    <n v="167343887"/>
    <n v="0.64505484224828602"/>
    <n v="0.30919236900000002"/>
    <n v="0.47932725831858769"/>
    <n v="11"/>
    <n v="2.8108397181818182E-2"/>
    <n v="11"/>
    <n v="0"/>
  </r>
  <r>
    <x v="59"/>
    <x v="1"/>
    <n v="1573104991"/>
    <n v="167343887"/>
    <n v="9.4004329599443324"/>
    <n v="5.1351776620000003"/>
    <n v="0.54627033498150812"/>
    <n v="11"/>
    <n v="0.46683433290909093"/>
    <n v="11"/>
    <n v="0"/>
  </r>
  <r>
    <x v="59"/>
    <x v="2"/>
    <n v="1347688144.1600001"/>
    <n v="167343887"/>
    <n v="8.0534052860861305"/>
    <n v="8.6908053330000001"/>
    <n v="1.0791466496806148"/>
    <n v="11"/>
    <n v="0.79007321209090908"/>
    <n v="11"/>
    <n v="0"/>
  </r>
  <r>
    <x v="59"/>
    <x v="3"/>
    <n v="1063193672.4299999"/>
    <n v="167343887"/>
    <n v="6.3533463426124426"/>
    <n v="6.086401306"/>
    <n v="0.95798355351383579"/>
    <n v="11"/>
    <n v="0.55330920963636365"/>
    <n v="11"/>
    <n v="0"/>
  </r>
  <r>
    <x v="60"/>
    <x v="0"/>
    <n v="107945984.63"/>
    <n v="167343887"/>
    <n v="0.64505484224828602"/>
    <n v="0.34011160499999998"/>
    <n v="0.52725998275521624"/>
    <n v="9.36"/>
    <n v="3.6336709935897438E-2"/>
    <n v="9.36"/>
    <n v="0"/>
  </r>
  <r>
    <x v="60"/>
    <x v="1"/>
    <n v="1573104991"/>
    <n v="167343887"/>
    <n v="9.4004329599443324"/>
    <n v="5.648695429"/>
    <n v="0.60089736856476139"/>
    <n v="9.36"/>
    <n v="0.6034931013888889"/>
    <n v="9.36"/>
    <n v="0"/>
  </r>
  <r>
    <x v="60"/>
    <x v="2"/>
    <n v="1347688144.1600001"/>
    <n v="167343887"/>
    <n v="8.0534052860861305"/>
    <n v="9.5598858660000001"/>
    <n v="1.1870613146114248"/>
    <n v="9.36"/>
    <n v="1.0213553275641027"/>
    <n v="9.36"/>
    <n v="0"/>
  </r>
  <r>
    <x v="60"/>
    <x v="3"/>
    <n v="1063193672.4299999"/>
    <n v="167343887"/>
    <n v="6.3533463426124426"/>
    <n v="6.6950414370000004"/>
    <n v="1.0537819089281784"/>
    <n v="9.36"/>
    <n v="0.71528220480769245"/>
    <n v="9.36"/>
    <n v="0"/>
  </r>
  <r>
    <x v="61"/>
    <x v="0"/>
    <m/>
    <n v="36947084"/>
    <n v="0"/>
    <n v="0"/>
    <s v=""/>
    <n v="5.75"/>
    <s v=""/>
    <n v="5.75"/>
    <n v="0"/>
  </r>
  <r>
    <x v="61"/>
    <x v="1"/>
    <m/>
    <n v="36947084"/>
    <n v="0"/>
    <n v="0"/>
    <s v=""/>
    <n v="5.75"/>
    <s v=""/>
    <n v="5.75"/>
    <n v="0"/>
  </r>
  <r>
    <x v="61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61"/>
    <x v="3"/>
    <n v="-7526000"/>
    <n v="36947084"/>
    <n v="-0.20369672475370451"/>
    <n v="0"/>
    <s v=""/>
    <n v="5.75"/>
    <s v=""/>
    <n v="5.75"/>
    <n v="0"/>
  </r>
  <r>
    <x v="61"/>
    <x v="4"/>
    <n v="-170585000"/>
    <n v="36947084"/>
    <n v="-4.6170084762304926"/>
    <n v="0.36506361199999998"/>
    <s v=""/>
    <n v="5.75"/>
    <n v="6.3489323826086949E-2"/>
    <n v="5.75"/>
    <n v="0"/>
  </r>
  <r>
    <x v="62"/>
    <x v="0"/>
    <n v="341644899.63"/>
    <n v="476415612"/>
    <n v="0.71711524774717084"/>
    <n v="0.77853000000000006"/>
    <n v="1.0856413978726078"/>
    <n v="11.35"/>
    <n v="6.8592951541850231E-2"/>
    <n v="11.35"/>
    <n v="0"/>
  </r>
  <r>
    <x v="62"/>
    <x v="1"/>
    <n v="491579920.89999998"/>
    <n v="476415612"/>
    <n v="1.0318299999371137"/>
    <n v="2.3355890000000001"/>
    <n v="2.2635405058414135"/>
    <n v="11.35"/>
    <n v="0.2057787665198238"/>
    <n v="11.35"/>
    <n v="0"/>
  </r>
  <r>
    <x v="62"/>
    <x v="2"/>
    <n v="588911630.5"/>
    <n v="476415612"/>
    <n v="1.2361300000806859"/>
    <n v="2.22437"/>
    <n v="1.7994628395515107"/>
    <n v="11.35"/>
    <n v="0.19597973568281937"/>
    <n v="11.35"/>
    <n v="0"/>
  </r>
  <r>
    <x v="62"/>
    <x v="3"/>
    <n v="695571557.70000005"/>
    <n v="476415612"/>
    <n v="1.4600100000501244"/>
    <n v="1.869219"/>
    <n v="1.2802782172285305"/>
    <n v="11.35"/>
    <n v="0.1646888986784141"/>
    <n v="11.35"/>
    <n v="0"/>
  </r>
  <r>
    <x v="63"/>
    <x v="0"/>
    <n v="290441196.88"/>
    <n v="1245690889"/>
    <n v="0.23315671603984894"/>
    <n v="0.79500000000000004"/>
    <n v="3.4097237836551368"/>
    <n v="12.5"/>
    <n v="6.3600000000000004E-2"/>
    <n v="12.5"/>
    <n v="0"/>
  </r>
  <r>
    <x v="63"/>
    <x v="1"/>
    <n v="212054242.16999999"/>
    <n v="1245690889"/>
    <n v="0.17023022648919767"/>
    <n v="9.6000000000000002E-2"/>
    <n v="0.56394215046228524"/>
    <n v="12.5"/>
    <n v="7.6800000000000002E-3"/>
    <n v="12.5"/>
    <n v="0"/>
  </r>
  <r>
    <x v="63"/>
    <x v="2"/>
    <n v="194647783.53"/>
    <n v="1245690889"/>
    <n v="0.15625688944892011"/>
    <n v="8.8999999999999996E-2"/>
    <n v="0.56957488603466555"/>
    <n v="12.5"/>
    <n v="7.1199999999999996E-3"/>
    <n v="12.5"/>
    <n v="0"/>
  </r>
  <r>
    <x v="63"/>
    <x v="3"/>
    <n v="276855137.25"/>
    <n v="1245690889"/>
    <n v="0.22225027066887379"/>
    <n v="0.113"/>
    <n v="0.50843582624183359"/>
    <n v="12.5"/>
    <n v="9.0399999999999994E-3"/>
    <n v="12.5"/>
    <n v="0"/>
  </r>
  <r>
    <x v="64"/>
    <x v="0"/>
    <n v="290441196.88"/>
    <n v="1245690889"/>
    <n v="0.23315671603984894"/>
    <n v="0.159"/>
    <n v="0.68194475673102728"/>
    <n v="3.15"/>
    <n v="5.047619047619048E-2"/>
    <n v="3.15"/>
    <n v="0"/>
  </r>
  <r>
    <x v="64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64"/>
    <x v="2"/>
    <n v="194647783.53"/>
    <n v="1245690889"/>
    <n v="0.15625688944892011"/>
    <n v="8.8999999999999996E-2"/>
    <n v="0.56957488603466555"/>
    <n v="3.15"/>
    <n v="2.8253968253968254E-2"/>
    <n v="3.15"/>
    <n v="0"/>
  </r>
  <r>
    <x v="64"/>
    <x v="3"/>
    <n v="276855137.25"/>
    <n v="1245690889"/>
    <n v="0.22225027066887379"/>
    <n v="0.113"/>
    <n v="0.50843582624183359"/>
    <n v="3.15"/>
    <n v="3.5873015873015876E-2"/>
    <n v="3.15"/>
    <n v="0"/>
  </r>
  <r>
    <x v="65"/>
    <x v="0"/>
    <n v="290441196.88"/>
    <n v="1245690889"/>
    <n v="0.23315671603984894"/>
    <n v="0.159"/>
    <n v="0.68194475673102728"/>
    <n v="2.25"/>
    <n v="7.0666666666666669E-2"/>
    <n v="2.25"/>
    <n v="0"/>
  </r>
  <r>
    <x v="65"/>
    <x v="1"/>
    <n v="212054242.16999999"/>
    <n v="1245690889"/>
    <n v="0.17023022648919767"/>
    <n v="9.6000000000000002E-2"/>
    <n v="0.56394215046228524"/>
    <n v="2.25"/>
    <n v="4.2666666666666665E-2"/>
    <n v="2.25"/>
    <n v="0"/>
  </r>
  <r>
    <x v="65"/>
    <x v="2"/>
    <n v="194647783.53"/>
    <n v="1245690889"/>
    <n v="0.15625688944892011"/>
    <n v="8.8999999999999996E-2"/>
    <n v="0.56957488603466555"/>
    <n v="2.25"/>
    <n v="3.9555555555555552E-2"/>
    <n v="2.25"/>
    <n v="0"/>
  </r>
  <r>
    <x v="65"/>
    <x v="3"/>
    <n v="276855137.25"/>
    <n v="1245690889"/>
    <n v="0.22225027066887379"/>
    <n v="0.113"/>
    <n v="0.50843582624183359"/>
    <n v="2.25"/>
    <n v="5.0222222222222224E-2"/>
    <n v="2.25"/>
    <n v="0"/>
  </r>
  <r>
    <x v="66"/>
    <x v="0"/>
    <n v="384946993.33999997"/>
    <n v="164183899"/>
    <n v="2.3446086716456889"/>
    <n v="0.46"/>
    <n v="0.19619478745556479"/>
    <n v="15.5"/>
    <n v="2.9677419354838711E-2"/>
    <n v="15.5"/>
    <n v="0"/>
  </r>
  <r>
    <x v="66"/>
    <x v="1"/>
    <n v="247502000"/>
    <n v="164183899"/>
    <n v="1.5074681592255279"/>
    <n v="0.56999999999999995"/>
    <n v="0.37811743917220869"/>
    <n v="15.5"/>
    <n v="3.6774193548387096E-2"/>
    <n v="15.5"/>
    <n v="0"/>
  </r>
  <r>
    <x v="66"/>
    <x v="2"/>
    <n v="278621000"/>
    <n v="164183899"/>
    <n v="1.6970056241629394"/>
    <n v="1.52"/>
    <n v="0.89569532260669515"/>
    <n v="15.5"/>
    <n v="9.8064516129032261E-2"/>
    <n v="15.5"/>
    <n v="0"/>
  </r>
  <r>
    <x v="67"/>
    <x v="0"/>
    <n v="140995000"/>
    <n v="198447352"/>
    <n v="0.7104907098987141"/>
    <n v="0.17"/>
    <n v="0.23927124961878082"/>
    <n v="23.15"/>
    <n v="7.3434125269978409E-3"/>
    <n v="23.15"/>
    <n v="0"/>
  </r>
  <r>
    <x v="67"/>
    <x v="1"/>
    <n v="159996000"/>
    <n v="198447352"/>
    <n v="0.80623902706446793"/>
    <n v="0.46"/>
    <n v="0.57055040076001906"/>
    <n v="23.15"/>
    <n v="1.9870410367170629E-2"/>
    <n v="23.15"/>
    <n v="0"/>
  </r>
  <r>
    <x v="67"/>
    <x v="2"/>
    <n v="188871000"/>
    <n v="198447352"/>
    <n v="0.95174361409468444"/>
    <n v="1.8"/>
    <n v="1.8912656448051846"/>
    <n v="23.15"/>
    <n v="7.7753779697624203E-2"/>
    <n v="23.15"/>
    <n v="0"/>
  </r>
  <r>
    <x v="68"/>
    <x v="0"/>
    <n v="85326018.709999993"/>
    <n v="88320000"/>
    <n v="0.96610075532155792"/>
    <n v="0.22040999999999999"/>
    <n v="0.22814390609459623"/>
    <n v="19"/>
    <n v="1.1600526315789473E-2"/>
    <n v="19"/>
    <n v="0"/>
  </r>
  <r>
    <x v="68"/>
    <x v="1"/>
    <n v="90654592"/>
    <n v="88320000"/>
    <n v="1.0264333333333333"/>
    <n v="0.244201419"/>
    <n v="0.23791259604455559"/>
    <n v="19"/>
    <n v="1.2852706263157895E-2"/>
    <n v="19"/>
    <n v="0"/>
  </r>
  <r>
    <x v="68"/>
    <x v="2"/>
    <n v="133778304"/>
    <n v="88320000"/>
    <n v="1.5146999999999999"/>
    <n v="0.31610713000000001"/>
    <n v="0.20869289628309237"/>
    <n v="19"/>
    <n v="1.6637217368421053E-2"/>
    <n v="19"/>
    <n v="0"/>
  </r>
  <r>
    <x v="69"/>
    <x v="0"/>
    <n v="85326018.709999993"/>
    <n v="88320000"/>
    <n v="0.96610075532155792"/>
    <n v="0.24245"/>
    <n v="0.25095726161532989"/>
    <n v="13.19"/>
    <n v="1.8381349507202428E-2"/>
    <n v="13.19"/>
    <n v="0"/>
  </r>
  <r>
    <x v="69"/>
    <x v="1"/>
    <n v="90654592"/>
    <n v="88320000"/>
    <n v="1.0264333333333333"/>
    <n v="0.26862156100000001"/>
    <n v="0.2617038557464359"/>
    <n v="13.19"/>
    <n v="2.0365546702047006E-2"/>
    <n v="13.19"/>
    <n v="0"/>
  </r>
  <r>
    <x v="69"/>
    <x v="2"/>
    <n v="133778304"/>
    <n v="88320000"/>
    <n v="1.5146999999999999"/>
    <n v="0.3477384"/>
    <n v="0.2295757575757576"/>
    <n v="13.19"/>
    <n v="2.6363790750568612E-2"/>
    <n v="13.19"/>
    <n v="0"/>
  </r>
  <r>
    <x v="70"/>
    <x v="0"/>
    <n v="324648000"/>
    <n v="94433283"/>
    <n v="3.4378556975510426"/>
    <n v="3.9972394429999998"/>
    <n v="1.1627129800263096"/>
    <n v="62.04"/>
    <n v="6.4430036154094136E-2"/>
    <n v="62.04"/>
    <n v="0"/>
  </r>
  <r>
    <x v="70"/>
    <x v="1"/>
    <n v="281411183"/>
    <n v="94433283"/>
    <n v="2.9799999963995747"/>
    <n v="3.6127542309999998"/>
    <n v="1.2123336360284955"/>
    <n v="62.04"/>
    <n v="5.8232660074145709E-2"/>
    <n v="62.04"/>
    <n v="0"/>
  </r>
  <r>
    <x v="70"/>
    <x v="2"/>
    <n v="183200569"/>
    <n v="94433283"/>
    <n v="1.9399999997882102"/>
    <n v="2.6568953629999998"/>
    <n v="1.3695336924175532"/>
    <n v="62.04"/>
    <n v="4.2825521647324304E-2"/>
    <n v="62.04"/>
    <n v="0"/>
  </r>
  <r>
    <x v="70"/>
    <x v="3"/>
    <n v="101987946"/>
    <n v="94433283"/>
    <n v="1.0800000038122153"/>
    <n v="1.4826292830000001"/>
    <n v="1.3728048868209002"/>
    <n v="62.04"/>
    <n v="2.389795749516441E-2"/>
    <n v="62.04"/>
    <n v="0"/>
  </r>
  <r>
    <x v="71"/>
    <x v="0"/>
    <n v="324648000"/>
    <n v="94433283"/>
    <n v="3.4378556975510426"/>
    <n v="3.9972394429999998"/>
    <n v="1.1627129800263096"/>
    <n v="61.99"/>
    <n v="6.4482004242619767E-2"/>
    <n v="61.99"/>
    <n v="0"/>
  </r>
  <r>
    <x v="71"/>
    <x v="1"/>
    <n v="281411183"/>
    <n v="94433283"/>
    <n v="2.9799999963995747"/>
    <n v="3.6127542300000002"/>
    <n v="1.2123336356929251"/>
    <n v="61.99"/>
    <n v="5.8279629456363932E-2"/>
    <n v="61.99"/>
    <n v="0"/>
  </r>
  <r>
    <x v="71"/>
    <x v="2"/>
    <n v="183200569"/>
    <n v="94433283"/>
    <n v="1.9399999997882102"/>
    <n v="2.6568953610000001"/>
    <n v="1.3695336913866254"/>
    <n v="61.99"/>
    <n v="4.2860063897402809E-2"/>
    <n v="61.99"/>
    <n v="0"/>
  </r>
  <r>
    <x v="71"/>
    <x v="3"/>
    <n v="101987946"/>
    <n v="94433283"/>
    <n v="1.0800000038122153"/>
    <n v="2.1814776419999999"/>
    <n v="2.0198866984257009"/>
    <n v="61.99"/>
    <n v="3.519079919341829E-2"/>
    <n v="61.99"/>
    <n v="0"/>
  </r>
  <r>
    <x v="72"/>
    <x v="0"/>
    <n v="901262803.92999995"/>
    <n v="381253493"/>
    <n v="2.363946351909227"/>
    <n v="2.4435890119999999"/>
    <n v="1.0336905530984026"/>
    <n v="17.8"/>
    <n v="0.13728028157303371"/>
    <n v="17.8"/>
    <n v="0"/>
  </r>
  <r>
    <x v="72"/>
    <x v="1"/>
    <n v="844863980.05999994"/>
    <n v="381253493"/>
    <n v="2.2160163659405474"/>
    <n v="2.307552448"/>
    <n v="1.0413065911724897"/>
    <n v="17.8"/>
    <n v="0.1296377779775281"/>
    <n v="17.8"/>
    <n v="0"/>
  </r>
  <r>
    <x v="72"/>
    <x v="2"/>
    <n v="737339863.24000001"/>
    <n v="381253493"/>
    <n v="1.9339884795232551"/>
    <n v="2.1575277719999999"/>
    <n v="1.1155846039640573"/>
    <n v="17.8"/>
    <n v="0.12120942539325842"/>
    <n v="17.8"/>
    <n v="0"/>
  </r>
  <r>
    <x v="72"/>
    <x v="3"/>
    <n v="780235000"/>
    <n v="381253493"/>
    <n v="2.0464992828275541"/>
    <n v="1.9523818630000001"/>
    <n v="0.95401052880042236"/>
    <n v="17.8"/>
    <n v="0.1096843743258427"/>
    <n v="17.8"/>
    <n v="0"/>
  </r>
  <r>
    <x v="73"/>
    <x v="0"/>
    <n v="901262803.92999995"/>
    <n v="381253493"/>
    <n v="2.363946351909227"/>
    <n v="2.687947914"/>
    <n v="1.13705960874666"/>
    <n v="19.09"/>
    <n v="0.14080397663698271"/>
    <n v="19.09"/>
    <n v="0"/>
  </r>
  <r>
    <x v="73"/>
    <x v="1"/>
    <n v="844863980.05999994"/>
    <n v="381253493"/>
    <n v="2.2160163659405474"/>
    <n v="2.5383076930000001"/>
    <n v="1.1454372503799908"/>
    <n v="19.09"/>
    <n v="0.13296530607647983"/>
    <n v="19.09"/>
    <n v="0"/>
  </r>
  <r>
    <x v="73"/>
    <x v="2"/>
    <n v="737339863.24000001"/>
    <n v="381253493"/>
    <n v="1.9339884795232551"/>
    <n v="2.373280549"/>
    <n v="1.2271430642570498"/>
    <n v="19.09"/>
    <n v="0.12432061545311682"/>
    <n v="19.09"/>
    <n v="0"/>
  </r>
  <r>
    <x v="73"/>
    <x v="3"/>
    <n v="780235000"/>
    <n v="381253493"/>
    <n v="2.0464992828275541"/>
    <n v="2.1476200489999999"/>
    <n v="1.0494115815338727"/>
    <n v="19.09"/>
    <n v="0.11249974064955474"/>
    <n v="19.09"/>
    <n v="0"/>
  </r>
  <r>
    <x v="74"/>
    <x v="0"/>
    <n v="3061251.15"/>
    <n v="166355563"/>
    <n v="1.8401856209641753E-2"/>
    <n v="1.6664410399999999E-2"/>
    <n v="0.90558312216724046"/>
    <n v="0.15"/>
    <n v="0.11109606933333334"/>
    <n v="0.15"/>
    <n v="0"/>
  </r>
  <r>
    <x v="74"/>
    <x v="1"/>
    <n v="2796437"/>
    <n v="166355563"/>
    <n v="1.6809999915662573E-2"/>
    <n v="1.4520999999999999E-2"/>
    <n v="0.86383105727860132"/>
    <n v="0.15"/>
    <n v="9.6806666666666666E-2"/>
    <n v="0.15"/>
    <n v="0"/>
  </r>
  <r>
    <x v="74"/>
    <x v="2"/>
    <n v="2520287"/>
    <n v="166355563"/>
    <n v="1.5150001325774719E-2"/>
    <n v="2.696E-3"/>
    <n v="0.17795377980682361"/>
    <n v="0.15"/>
    <n v="1.7973333333333334E-2"/>
    <n v="0.15"/>
    <n v="0"/>
  </r>
  <r>
    <x v="74"/>
    <x v="3"/>
    <n v="1605331"/>
    <n v="166355563"/>
    <n v="9.6499989002471771E-3"/>
    <n v="1.01E-2"/>
    <n v="1.0466322436307527"/>
    <n v="0.15"/>
    <n v="6.7333333333333328E-2"/>
    <n v="0.15"/>
    <n v="0"/>
  </r>
  <r>
    <x v="75"/>
    <x v="0"/>
    <n v="3061251.15"/>
    <n v="166355563"/>
    <n v="1.8401856209641753E-2"/>
    <n v="1.8330851400000001E-2"/>
    <n v="0.99614143221027074"/>
    <n v="0.16"/>
    <n v="0.11456782125000001"/>
    <n v="0.16"/>
    <n v="0"/>
  </r>
  <r>
    <x v="75"/>
    <x v="1"/>
    <n v="2796437"/>
    <n v="166355563"/>
    <n v="1.6809999915662573E-2"/>
    <n v="1.5972E-2"/>
    <n v="0.95014872576639497"/>
    <n v="0.16"/>
    <n v="9.9824999999999997E-2"/>
    <n v="0.16"/>
    <n v="0"/>
  </r>
  <r>
    <x v="75"/>
    <x v="2"/>
    <n v="2520287"/>
    <n v="166355563"/>
    <n v="1.5150001325774719E-2"/>
    <n v="3.0049999999999999E-3"/>
    <n v="0.1983498176259291"/>
    <n v="0.16"/>
    <n v="1.8781249999999999E-2"/>
    <n v="0.16"/>
    <n v="0"/>
  </r>
  <r>
    <x v="75"/>
    <x v="3"/>
    <n v="1605331"/>
    <n v="166355563"/>
    <n v="9.6499989002471771E-3"/>
    <n v="1.11E-2"/>
    <n v="1.1502591984456789"/>
    <n v="0.16"/>
    <n v="6.9375000000000006E-2"/>
    <n v="0.16"/>
    <n v="0"/>
  </r>
  <r>
    <x v="76"/>
    <x v="0"/>
    <n v="4539233257.3500004"/>
    <n v="5470667261"/>
    <n v="0.82974032979667278"/>
    <n v="0.34289999999999998"/>
    <n v="0.41326182142312806"/>
    <n v="12.7"/>
    <n v="2.7E-2"/>
    <n v="12.7"/>
    <n v="0"/>
  </r>
  <r>
    <x v="76"/>
    <x v="1"/>
    <n v="4693567188.1000004"/>
    <n v="5470667261"/>
    <n v="0.85795150100977791"/>
    <n v="0.33350000000000002"/>
    <n v="0.38871661114583117"/>
    <n v="12.7"/>
    <n v="2.6259842519685044E-2"/>
    <n v="12.7"/>
    <n v="0"/>
  </r>
  <r>
    <x v="76"/>
    <x v="2"/>
    <n v="4309548054.5299997"/>
    <n v="5470667261"/>
    <n v="0.78775546910931016"/>
    <n v="0.29649999999999999"/>
    <n v="0.37638583497902339"/>
    <n v="12.7"/>
    <n v="2.3346456692913384E-2"/>
    <n v="12.7"/>
    <n v="0"/>
  </r>
  <r>
    <x v="76"/>
    <x v="3"/>
    <n v="2858809105.48"/>
    <n v="5470667261"/>
    <n v="0.52257045970612181"/>
    <n v="0.25769999999999998"/>
    <n v="0.49313924125164449"/>
    <n v="12.7"/>
    <n v="2.0291338582677166E-2"/>
    <n v="12.7"/>
    <n v="0"/>
  </r>
  <r>
    <x v="77"/>
    <x v="0"/>
    <n v="4539233257.3500004"/>
    <n v="5470667261"/>
    <n v="0.82974032979667278"/>
    <n v="0.34289999999999998"/>
    <n v="0.41326182142312806"/>
    <n v="8.9"/>
    <n v="3.8528089887640449E-2"/>
    <n v="8.9"/>
    <n v="0"/>
  </r>
  <r>
    <x v="77"/>
    <x v="1"/>
    <n v="4693567188.1000004"/>
    <n v="5470667261"/>
    <n v="0.85795150100977791"/>
    <n v="0.33350000000000002"/>
    <n v="0.38871661114583117"/>
    <n v="8.9"/>
    <n v="3.7471910112359549E-2"/>
    <n v="8.9"/>
    <n v="0"/>
  </r>
  <r>
    <x v="77"/>
    <x v="2"/>
    <n v="4309548054.5299997"/>
    <n v="5470667261"/>
    <n v="0.78775546910931016"/>
    <n v="0.29649999999999999"/>
    <n v="0.37638583497902339"/>
    <n v="8.9"/>
    <n v="3.3314606741573029E-2"/>
    <n v="8.9"/>
    <n v="0"/>
  </r>
  <r>
    <x v="77"/>
    <x v="3"/>
    <n v="2858809105.48"/>
    <n v="5470667261"/>
    <n v="0.52257045970612181"/>
    <n v="0.25769999999999998"/>
    <n v="0.49313924125164449"/>
    <n v="8.9"/>
    <n v="2.8955056179775278E-2"/>
    <n v="8.9"/>
    <n v="0"/>
  </r>
  <r>
    <x v="78"/>
    <x v="0"/>
    <n v="10799538178.68"/>
    <n v="5028029710"/>
    <n v="2.14786681892538"/>
    <n v="1"/>
    <n v="0.46557821518017567"/>
    <n v="29.45"/>
    <n v="3.3955857385398983E-2"/>
    <n v="29.45"/>
    <n v="0"/>
  </r>
  <r>
    <x v="78"/>
    <x v="1"/>
    <n v="11890195760.129999"/>
    <n v="5028029710"/>
    <n v="2.364782319500256"/>
    <n v="0.97270000000000001"/>
    <n v="0.41132750020118491"/>
    <n v="29.45"/>
    <n v="3.3028862478777593E-2"/>
    <n v="29.45"/>
    <n v="0"/>
  </r>
  <r>
    <x v="78"/>
    <x v="2"/>
    <n v="10272015528.35"/>
    <n v="5028029710"/>
    <n v="2.0429504439722175"/>
    <n v="0.86070000000000002"/>
    <n v="0.42130243664966005"/>
    <n v="29.45"/>
    <n v="2.9225806451612903E-2"/>
    <n v="29.45"/>
    <n v="0"/>
  </r>
  <r>
    <x v="79"/>
    <x v="0"/>
    <n v="10799538178.68"/>
    <n v="5028029710"/>
    <n v="2.14786681892538"/>
    <n v="1"/>
    <n v="0.46557821518017567"/>
    <n v="31.35"/>
    <n v="3.1897926634768738E-2"/>
    <n v="31.35"/>
    <n v="0"/>
  </r>
  <r>
    <x v="79"/>
    <x v="1"/>
    <n v="11890195760.129999"/>
    <n v="5028029710"/>
    <n v="2.364782319500256"/>
    <n v="0.97270000000000001"/>
    <n v="0.41132750020118491"/>
    <n v="31.35"/>
    <n v="3.1027113237639552E-2"/>
    <n v="31.35"/>
    <n v="0"/>
  </r>
  <r>
    <x v="79"/>
    <x v="2"/>
    <n v="10272015528.35"/>
    <n v="5028029710"/>
    <n v="2.0429504439722175"/>
    <n v="0.86070000000000002"/>
    <n v="0.42130243664966005"/>
    <n v="31.35"/>
    <n v="2.7454545454545454E-2"/>
    <n v="31.35"/>
    <n v="0"/>
  </r>
  <r>
    <x v="80"/>
    <x v="0"/>
    <n v="751965362.53999996"/>
    <n v="917683296"/>
    <n v="0.81941707538719322"/>
    <n v="0.2064"/>
    <n v="0.25188637898773503"/>
    <n v="11"/>
    <n v="1.8763636363636364E-2"/>
    <n v="11"/>
    <n v="0"/>
  </r>
  <r>
    <x v="80"/>
    <x v="1"/>
    <n v="182710744"/>
    <n v="917683296"/>
    <n v="0.19909999974544595"/>
    <n v="0.1447"/>
    <n v="0.72677046803115197"/>
    <n v="11"/>
    <n v="1.3154545454545453E-2"/>
    <n v="11"/>
    <n v="0"/>
  </r>
  <r>
    <x v="80"/>
    <x v="2"/>
    <n v="559786811"/>
    <n v="917683296"/>
    <n v="0.61000000047946823"/>
    <n v="0.12509999999999999"/>
    <n v="0.20508196705191753"/>
    <n v="11"/>
    <n v="1.1372727272727272E-2"/>
    <n v="11"/>
    <n v="0"/>
  </r>
  <r>
    <x v="81"/>
    <x v="0"/>
    <n v="751965362.53999996"/>
    <n v="917683296"/>
    <n v="0.81941707538719322"/>
    <n v="0.22700000000000001"/>
    <n v="0.27702620169678221"/>
    <n v="12.26"/>
    <n v="1.8515497553017946E-2"/>
    <n v="12.26"/>
    <n v="0"/>
  </r>
  <r>
    <x v="81"/>
    <x v="1"/>
    <n v="182710744"/>
    <n v="917683296"/>
    <n v="0.19909999974544595"/>
    <n v="0.15920000000000001"/>
    <n v="0.79959819288569045"/>
    <n v="12.26"/>
    <n v="1.2985318107667211E-2"/>
    <n v="12.26"/>
    <n v="0"/>
  </r>
  <r>
    <x v="81"/>
    <x v="2"/>
    <n v="559786811"/>
    <n v="917683296"/>
    <n v="0.61000000047946823"/>
    <n v="0.1376"/>
    <n v="0.22557377031449924"/>
    <n v="12.26"/>
    <n v="1.1223491027732464E-2"/>
    <n v="12.26"/>
    <n v="0"/>
  </r>
  <r>
    <x v="82"/>
    <x v="0"/>
    <n v="423923458.43000001"/>
    <n v="203934060"/>
    <n v="2.0787280870591212"/>
    <n v="1.71"/>
    <n v="0.82261841298311467"/>
    <n v="22.12"/>
    <n v="7.7305605786618437E-2"/>
    <n v="22.12"/>
    <n v="0"/>
  </r>
  <r>
    <x v="82"/>
    <x v="1"/>
    <n v="310647000"/>
    <n v="203934060"/>
    <n v="1.523271786968788"/>
    <n v="1.45"/>
    <n v="0.95189841524302499"/>
    <n v="22.12"/>
    <n v="6.5551537070524413E-2"/>
    <n v="22.12"/>
    <n v="0"/>
  </r>
  <r>
    <x v="82"/>
    <x v="2"/>
    <n v="575150000"/>
    <n v="203934060"/>
    <n v="2.8202743573094167"/>
    <n v="1.72"/>
    <n v="0.6098697438928975"/>
    <n v="22.12"/>
    <n v="7.7757685352622063E-2"/>
    <n v="22.12"/>
    <n v="0"/>
  </r>
  <r>
    <x v="83"/>
    <x v="0"/>
    <n v="13335000"/>
    <n v="11764889"/>
    <n v="1.1334573577362268"/>
    <n v="0.27145999999999998"/>
    <n v="0.23949732043044619"/>
    <n v="49.45"/>
    <n v="5.4895854398382196E-3"/>
    <n v="49.45"/>
    <n v="0"/>
  </r>
  <r>
    <x v="83"/>
    <x v="1"/>
    <n v="23655000"/>
    <n v="11764889"/>
    <n v="2.0106437043307421"/>
    <n v="1.9100999999999999"/>
    <n v="0.94999427093214961"/>
    <n v="49.45"/>
    <n v="3.862689585439838E-2"/>
    <n v="49.45"/>
    <n v="0"/>
  </r>
  <r>
    <x v="83"/>
    <x v="2"/>
    <n v="23252000"/>
    <n v="11764889"/>
    <n v="1.9763892375015182"/>
    <n v="0.92493999999999998"/>
    <n v="0.46799485771804578"/>
    <n v="49.45"/>
    <n v="1.8704550050556115E-2"/>
    <n v="49.45"/>
    <n v="0"/>
  </r>
  <r>
    <x v="83"/>
    <x v="3"/>
    <n v="11051000"/>
    <n v="11764889"/>
    <n v="0.93932037947829339"/>
    <n v="6.5060000000000007E-2"/>
    <n v="6.9262843031399887E-2"/>
    <n v="49.45"/>
    <n v="1.3156723963599595E-3"/>
    <n v="49.45"/>
    <n v="0"/>
  </r>
  <r>
    <x v="84"/>
    <x v="0"/>
    <n v="187453404.96000001"/>
    <n v="110842313"/>
    <n v="1.6911718989480129"/>
    <n v="0.92906"/>
    <n v="0.54935870243463614"/>
    <n v="10.53"/>
    <n v="8.82298195631529E-2"/>
    <n v="10.53"/>
    <n v="0"/>
  </r>
  <r>
    <x v="84"/>
    <x v="1"/>
    <n v="161513908.16999999"/>
    <n v="110842313"/>
    <n v="1.4571502867321073"/>
    <n v="0.83615399999999995"/>
    <n v="0.57382825067084131"/>
    <n v="10.53"/>
    <n v="7.9406837606837602E-2"/>
    <n v="10.53"/>
    <n v="0"/>
  </r>
  <r>
    <x v="84"/>
    <x v="2"/>
    <n v="116428578.18000001"/>
    <n v="110842313"/>
    <n v="1.0503983093532161"/>
    <n v="0.69679500000000005"/>
    <n v="0.66336264424211833"/>
    <n v="10.53"/>
    <n v="6.6172364672364675E-2"/>
    <n v="10.53"/>
    <n v="0"/>
  </r>
  <r>
    <x v="84"/>
    <x v="3"/>
    <n v="86911496.730000004"/>
    <n v="110842313"/>
    <n v="0.78410035281382129"/>
    <n v="0.69679500000000005"/>
    <n v="0.88865538384147214"/>
    <n v="10.53"/>
    <n v="6.6172364672364675E-2"/>
    <n v="10.53"/>
    <n v="0"/>
  </r>
  <r>
    <x v="85"/>
    <x v="0"/>
    <n v="196691606.94"/>
    <n v="87289932"/>
    <n v="2.2533137835414969"/>
    <n v="0.72"/>
    <n v="0.31952939943783043"/>
    <n v="11.6"/>
    <n v="6.2068965517241378E-2"/>
    <n v="11.6"/>
    <n v="0"/>
  </r>
  <r>
    <x v="85"/>
    <x v="1"/>
    <n v="359474959.12"/>
    <n v="87289932"/>
    <n v="4.118172060438769"/>
    <n v="1.0900000000000001"/>
    <n v="0.26468053884175652"/>
    <n v="11.6"/>
    <n v="9.3965517241379318E-2"/>
    <n v="11.6"/>
    <n v="0"/>
  </r>
  <r>
    <x v="85"/>
    <x v="2"/>
    <n v="117452154.81999999"/>
    <n v="87289932"/>
    <n v="1.3455406841192177"/>
    <n v="0.52"/>
    <n v="0.38646174444022008"/>
    <n v="11.6"/>
    <n v="4.4827586206896558E-2"/>
    <n v="11.6"/>
    <n v="0"/>
  </r>
  <r>
    <x v="86"/>
    <x v="0"/>
    <n v="682580077"/>
    <n v="323293030"/>
    <n v="2.111335579984511"/>
    <n v="1.05"/>
    <n v="0.49731554280333917"/>
    <n v="29.75"/>
    <n v="3.5294117647058823E-2"/>
    <n v="29.75"/>
    <n v="0"/>
  </r>
  <r>
    <x v="86"/>
    <x v="1"/>
    <n v="580084000"/>
    <n v="323293030"/>
    <n v="1.7942978851106068"/>
    <n v="0.84"/>
    <n v="0.46814969073444535"/>
    <n v="29.75"/>
    <n v="2.8235294117647056E-2"/>
    <n v="29.75"/>
    <n v="0"/>
  </r>
  <r>
    <x v="86"/>
    <x v="2"/>
    <n v="623912000"/>
    <n v="323293030"/>
    <n v="1.9298652989827836"/>
    <n v="0.72"/>
    <n v="0.37308303350472499"/>
    <n v="29.75"/>
    <n v="2.4201680672268907E-2"/>
    <n v="29.75"/>
    <n v="0"/>
  </r>
  <r>
    <x v="86"/>
    <x v="3"/>
    <n v="328416000"/>
    <n v="323293030"/>
    <n v="1.0158462123356016"/>
    <n v="0.4"/>
    <n v="0.39376038926239892"/>
    <n v="29.75"/>
    <n v="1.3445378151260505E-2"/>
    <n v="29.75"/>
    <n v="0"/>
  </r>
  <r>
    <x v="87"/>
    <x v="0"/>
    <n v="26381000"/>
    <n v="166720235"/>
    <n v="0.15823514164312449"/>
    <n v="6.1899999999999997E-2"/>
    <n v="0.39118996802623096"/>
    <n v="3.3"/>
    <n v="1.8757575757575758E-2"/>
    <n v="3.3"/>
    <n v="0"/>
  </r>
  <r>
    <x v="87"/>
    <x v="1"/>
    <n v="9354000"/>
    <n v="166720235"/>
    <n v="5.610596698115259E-2"/>
    <n v="6.0350000000000001E-2"/>
    <n v="1.0756431668002993"/>
    <n v="3.3"/>
    <n v="1.828787878787879E-2"/>
    <n v="3.3"/>
    <n v="0"/>
  </r>
  <r>
    <x v="87"/>
    <x v="2"/>
    <n v="34360000"/>
    <n v="166720235"/>
    <n v="0.20609375940478972"/>
    <n v="5.9830000000000001E-2"/>
    <n v="0.29030476309807918"/>
    <n v="3.3"/>
    <n v="1.8130303030303031E-2"/>
    <n v="3.3"/>
    <n v="0"/>
  </r>
  <r>
    <x v="88"/>
    <x v="0"/>
    <n v="26381000"/>
    <n v="166720235"/>
    <n v="0.15823514164312449"/>
    <n v="6.1899999999999997E-2"/>
    <n v="0.39118996802623096"/>
    <n v="3.25"/>
    <n v="1.9046153846153845E-2"/>
    <n v="3.25"/>
    <n v="0"/>
  </r>
  <r>
    <x v="88"/>
    <x v="1"/>
    <n v="9354000"/>
    <n v="166720235"/>
    <n v="5.610596698115259E-2"/>
    <n v="6.6379999999999995E-2"/>
    <n v="1.1831183663994012"/>
    <n v="3.25"/>
    <n v="2.0424615384615381E-2"/>
    <n v="3.25"/>
    <n v="0"/>
  </r>
  <r>
    <x v="88"/>
    <x v="2"/>
    <n v="34360000"/>
    <n v="166720235"/>
    <n v="0.20609375940478972"/>
    <n v="6.5809999999999994E-2"/>
    <n v="0.31932068292636784"/>
    <n v="3.25"/>
    <n v="2.0249230769230766E-2"/>
    <n v="3.25"/>
    <n v="0"/>
  </r>
  <r>
    <x v="89"/>
    <x v="0"/>
    <n v="50944000"/>
    <n v="108480828"/>
    <n v="0.46961293473903054"/>
    <n v="0.25598361800000002"/>
    <n v="0.5450949048970577"/>
    <n v="5.98"/>
    <n v="4.2806625083612042E-2"/>
    <n v="5.98"/>
    <n v="0"/>
  </r>
  <r>
    <x v="89"/>
    <x v="1"/>
    <n v="42494000"/>
    <n v="108480828"/>
    <n v="0.39171898651068554"/>
    <n v="0.36250183699999999"/>
    <n v="0.9254129860517023"/>
    <n v="5.98"/>
    <n v="6.0619036287625411E-2"/>
    <n v="5.98"/>
    <n v="0"/>
  </r>
  <r>
    <x v="89"/>
    <x v="2"/>
    <n v="60637000"/>
    <n v="108480828"/>
    <n v="0.55896512884285876"/>
    <n v="0.41899999999999998"/>
    <n v="0.74959953381598687"/>
    <n v="5.98"/>
    <n v="7.0066889632107013E-2"/>
    <n v="5.98"/>
    <n v="0"/>
  </r>
  <r>
    <x v="90"/>
    <x v="0"/>
    <n v="52406000"/>
    <n v="84682269"/>
    <n v="0.61885446172917258"/>
    <n v="1.0399999999999999E-3"/>
    <n v="1.6805243628592145E-3"/>
    <n v="3.08"/>
    <n v="3.3766233766233762E-4"/>
    <n v="3.08"/>
    <n v="0"/>
  </r>
  <r>
    <x v="90"/>
    <x v="1"/>
    <n v="47835000"/>
    <n v="84682269"/>
    <n v="0.56487621983770886"/>
    <n v="0"/>
    <s v=""/>
    <n v="3.08"/>
    <s v=""/>
    <n v="3.08"/>
    <n v="0"/>
  </r>
  <r>
    <x v="90"/>
    <x v="2"/>
    <n v="43244000"/>
    <n v="84682269"/>
    <n v="0.51066180099638092"/>
    <n v="4.8799999999999998E-3"/>
    <n v="9.5562268226806035E-3"/>
    <n v="3.08"/>
    <n v="1.5844155844155843E-3"/>
    <n v="3.08"/>
    <n v="0"/>
  </r>
  <r>
    <x v="90"/>
    <x v="3"/>
    <n v="40621000"/>
    <n v="84682269"/>
    <n v="0.47968719402169063"/>
    <n v="3.2800000000000003E-2"/>
    <n v="6.8377893779079796E-2"/>
    <n v="3.08"/>
    <n v="1.064935064935065E-2"/>
    <n v="3.08"/>
    <n v="0"/>
  </r>
  <r>
    <x v="91"/>
    <x v="0"/>
    <n v="52406000"/>
    <n v="84682269"/>
    <n v="0.61885446172917258"/>
    <n v="0.38174999999999998"/>
    <n v="0.61686555338606264"/>
    <n v="6.89"/>
    <n v="5.5406386066763423E-2"/>
    <n v="6.89"/>
    <n v="0"/>
  </r>
  <r>
    <x v="91"/>
    <x v="1"/>
    <n v="47835000"/>
    <n v="84682269"/>
    <n v="0.56487621983770886"/>
    <n v="0.34691"/>
    <n v="0.61413454455503291"/>
    <n v="6.89"/>
    <n v="5.0349782293178519E-2"/>
    <n v="6.89"/>
    <n v="0"/>
  </r>
  <r>
    <x v="91"/>
    <x v="2"/>
    <n v="43244000"/>
    <n v="84682269"/>
    <n v="0.51066180099638092"/>
    <n v="0.34364"/>
    <n v="0.67293069371843495"/>
    <n v="6.89"/>
    <n v="4.9875181422351235E-2"/>
    <n v="6.89"/>
    <n v="0"/>
  </r>
  <r>
    <x v="91"/>
    <x v="3"/>
    <n v="40621000"/>
    <n v="84682269"/>
    <n v="0.47968719402169063"/>
    <n v="0.29580000000000001"/>
    <n v="0.61665185914182319"/>
    <n v="6.89"/>
    <n v="4.2931785195936142E-2"/>
    <n v="6.89"/>
    <n v="0"/>
  </r>
  <r>
    <x v="92"/>
    <x v="0"/>
    <n v="52406000"/>
    <n v="84682269"/>
    <n v="0.61885446172917258"/>
    <n v="1.14E-3"/>
    <n v="1.8421132439033698E-3"/>
    <n v="2.83"/>
    <n v="4.028268551236749E-4"/>
    <n v="2.83"/>
    <n v="0"/>
  </r>
  <r>
    <x v="92"/>
    <x v="1"/>
    <n v="47835000"/>
    <n v="84682269"/>
    <n v="0.56487621983770886"/>
    <n v="0"/>
    <s v=""/>
    <n v="2.83"/>
    <s v=""/>
    <n v="2.83"/>
    <n v="0"/>
  </r>
  <r>
    <x v="92"/>
    <x v="2"/>
    <n v="43244000"/>
    <n v="84682269"/>
    <n v="0.51066180099638092"/>
    <n v="5.3800000000000002E-3"/>
    <n v="1.0535348423365093E-2"/>
    <n v="2.83"/>
    <n v="1.901060070671378E-3"/>
    <n v="2.83"/>
    <n v="0"/>
  </r>
  <r>
    <x v="92"/>
    <x v="3"/>
    <n v="40621000"/>
    <n v="84682269"/>
    <n v="0.47968719402169063"/>
    <n v="3.6089999999999997E-2"/>
    <n v="7.5236530075822844E-2"/>
    <n v="2.83"/>
    <n v="1.2752650176678443E-2"/>
    <n v="2.83"/>
    <n v="0"/>
  </r>
  <r>
    <x v="93"/>
    <x v="0"/>
    <n v="335756000"/>
    <n v="476620206"/>
    <n v="0.70445187965866474"/>
    <n v="0.37269999999999998"/>
    <n v="0.52906381651020384"/>
    <n v="8.19"/>
    <n v="4.5506715506715506E-2"/>
    <n v="8.19"/>
    <n v="0"/>
  </r>
  <r>
    <x v="93"/>
    <x v="1"/>
    <n v="249170000"/>
    <n v="476620206"/>
    <n v="0.52278522157325402"/>
    <n v="0.27800000000000002"/>
    <n v="0.53176713596339853"/>
    <n v="8.19"/>
    <n v="3.3943833943833948E-2"/>
    <n v="8.19"/>
    <n v="0"/>
  </r>
  <r>
    <x v="93"/>
    <x v="2"/>
    <n v="135511000"/>
    <n v="476620206"/>
    <n v="0.28431652350047448"/>
    <n v="8.72E-2"/>
    <n v="0.30670042995181207"/>
    <n v="8.19"/>
    <n v="1.0647130647130647E-2"/>
    <n v="8.19"/>
    <n v="0"/>
  </r>
  <r>
    <x v="93"/>
    <x v="3"/>
    <n v="137871000"/>
    <n v="476620206"/>
    <n v="0.28926805507695996"/>
    <n v="9.1499999999999998E-2"/>
    <n v="0.31631560552255367"/>
    <n v="8.19"/>
    <n v="1.1172161172161172E-2"/>
    <n v="8.19"/>
    <n v="0"/>
  </r>
  <r>
    <x v="94"/>
    <x v="0"/>
    <n v="335756000"/>
    <n v="476620206"/>
    <n v="0.70445187965866474"/>
    <n v="0.40989999999999999"/>
    <n v="0.58187083012485252"/>
    <n v="6.78"/>
    <n v="6.0457227138643065E-2"/>
    <n v="6.78"/>
    <n v="0"/>
  </r>
  <r>
    <x v="94"/>
    <x v="1"/>
    <n v="249170000"/>
    <n v="476620206"/>
    <n v="0.52278522157325402"/>
    <n v="0.30580000000000002"/>
    <n v="0.58494384955973844"/>
    <n v="6.78"/>
    <n v="4.5103244837758114E-2"/>
    <n v="6.78"/>
    <n v="0"/>
  </r>
  <r>
    <x v="94"/>
    <x v="2"/>
    <n v="135511000"/>
    <n v="476620206"/>
    <n v="0.28431652350047448"/>
    <n v="9.5899999999999999E-2"/>
    <n v="0.3373001288116832"/>
    <n v="6.78"/>
    <n v="1.4144542772861356E-2"/>
    <n v="6.78"/>
    <n v="0"/>
  </r>
  <r>
    <x v="94"/>
    <x v="3"/>
    <n v="137871000"/>
    <n v="476620206"/>
    <n v="0.28926805507695996"/>
    <n v="0.10059999999999999"/>
    <n v="0.34777431601714642"/>
    <n v="6.78"/>
    <n v="1.4837758112094394E-2"/>
    <n v="6.78"/>
    <n v="0"/>
  </r>
  <r>
    <x v="95"/>
    <x v="0"/>
    <n v="1911900245.4200001"/>
    <n v="683509869"/>
    <n v="2.7971801610080336"/>
    <n v="2.3450000000000002"/>
    <n v="0.83834428425050789"/>
    <n v="26.46"/>
    <n v="8.8624338624338633E-2"/>
    <n v="26.46"/>
    <n v="0"/>
  </r>
  <r>
    <x v="95"/>
    <x v="1"/>
    <n v="1223420217"/>
    <n v="683509869"/>
    <n v="1.7899086355401257"/>
    <n v="2.54"/>
    <n v="1.4190668448468184"/>
    <n v="26.46"/>
    <n v="9.5993953136810278E-2"/>
    <n v="26.46"/>
    <n v="0"/>
  </r>
  <r>
    <x v="95"/>
    <x v="2"/>
    <n v="1630452307"/>
    <n v="683509869"/>
    <n v="2.385411507496463"/>
    <n v="2"/>
    <n v="0.83842976095098998"/>
    <n v="26.46"/>
    <n v="7.5585789871504161E-2"/>
    <n v="26.46"/>
    <n v="0"/>
  </r>
  <r>
    <x v="96"/>
    <x v="0"/>
    <n v="26389234.239999998"/>
    <n v="137747421"/>
    <n v="0.19157697507817587"/>
    <n v="0.59209073000000001"/>
    <n v="3.090615298411453"/>
    <n v="2.65"/>
    <n v="0.22343046415094342"/>
    <n v="2.65"/>
    <n v="0"/>
  </r>
  <r>
    <x v="96"/>
    <x v="1"/>
    <n v="27175402.329999998"/>
    <n v="137747421"/>
    <n v="0.19728429129718514"/>
    <n v="0.28363851000000001"/>
    <n v="1.4377146205357658"/>
    <n v="2.65"/>
    <n v="0.1070334"/>
    <n v="2.65"/>
    <n v="0"/>
  </r>
  <r>
    <x v="96"/>
    <x v="2"/>
    <n v="76030857.450000003"/>
    <n v="137747421"/>
    <n v="0.55195848240236745"/>
    <n v="0.69388981999999999"/>
    <n v="1.2571413287823472"/>
    <n v="2.65"/>
    <n v="0.26184521509433961"/>
    <n v="2.65"/>
    <n v="0"/>
  </r>
  <r>
    <x v="97"/>
    <x v="0"/>
    <n v="-182125692.53"/>
    <n v="1107677313"/>
    <n v="-0.16442125372843128"/>
    <n v="0"/>
    <s v=""/>
    <n v="9.24"/>
    <s v=""/>
    <n v="9.24"/>
    <n v="0"/>
  </r>
  <r>
    <x v="97"/>
    <x v="1"/>
    <n v="78013713"/>
    <n v="1107677313"/>
    <n v="7.04299998604377E-2"/>
    <n v="0.24881"/>
    <n v="3.5327275378820899"/>
    <n v="9.24"/>
    <n v="2.6927489177489179E-2"/>
    <n v="9.24"/>
    <n v="0"/>
  </r>
  <r>
    <x v="97"/>
    <x v="2"/>
    <n v="2190730959"/>
    <n v="1107677313"/>
    <n v="1.9777699997002647"/>
    <n v="0.64239000000000002"/>
    <n v="0.32480520995735379"/>
    <n v="9.24"/>
    <n v="6.9522727272727278E-2"/>
    <n v="9.24"/>
    <n v="0"/>
  </r>
  <r>
    <x v="97"/>
    <x v="3"/>
    <n v="3206936280"/>
    <n v="1107677313"/>
    <n v="2.8951900001584669"/>
    <n v="0.77659999999999996"/>
    <n v="0.26823800854434188"/>
    <n v="9.24"/>
    <n v="8.4047619047619038E-2"/>
    <n v="9.24"/>
    <n v="0"/>
  </r>
  <r>
    <x v="98"/>
    <x v="0"/>
    <n v="-182125692.53"/>
    <n v="1107677313"/>
    <n v="-0.16442125372843128"/>
    <n v="0"/>
    <s v=""/>
    <n v="5.7"/>
    <s v=""/>
    <n v="5.7"/>
    <n v="0"/>
  </r>
  <r>
    <x v="98"/>
    <x v="1"/>
    <n v="78013713"/>
    <n v="1107677313"/>
    <n v="7.04299998604377E-2"/>
    <n v="0.24881"/>
    <n v="3.5327275378820899"/>
    <n v="5.7"/>
    <n v="4.3650877192982454E-2"/>
    <n v="5.7"/>
    <n v="0"/>
  </r>
  <r>
    <x v="98"/>
    <x v="2"/>
    <n v="2190730959"/>
    <n v="1107677313"/>
    <n v="1.9777699997002647"/>
    <n v="0.59360000000000002"/>
    <n v="0.3001360118163191"/>
    <n v="5.7"/>
    <n v="0.10414035087719298"/>
    <n v="5.7"/>
    <n v="0"/>
  </r>
  <r>
    <x v="98"/>
    <x v="3"/>
    <n v="3206936280"/>
    <n v="1107677313"/>
    <n v="2.8951900001584669"/>
    <n v="0.77659999999999996"/>
    <n v="0.26823800854434188"/>
    <n v="5.7"/>
    <n v="0.1362456140350877"/>
    <n v="5.7"/>
    <n v="0"/>
  </r>
  <r>
    <x v="99"/>
    <x v="0"/>
    <n v="589182430.70000005"/>
    <n v="1033496721"/>
    <n v="0.57008640543137246"/>
    <n v="1.51"/>
    <n v="2.6487212913933891"/>
    <n v="18.2"/>
    <n v="8.2967032967032978E-2"/>
    <n v="18.2"/>
    <n v="0"/>
  </r>
  <r>
    <x v="99"/>
    <x v="1"/>
    <n v="495399428.38999999"/>
    <n v="1033496721"/>
    <n v="0.47934300934274565"/>
    <n v="1.88"/>
    <n v="3.9220348755638983"/>
    <n v="18.2"/>
    <n v="0.10329670329670329"/>
    <n v="18.2"/>
    <n v="0"/>
  </r>
  <r>
    <x v="99"/>
    <x v="2"/>
    <n v="428630102.26999998"/>
    <n v="1033496721"/>
    <n v="0.41473774764883842"/>
    <n v="1.63"/>
    <n v="3.9301944644308895"/>
    <n v="18.2"/>
    <n v="8.9560439560439561E-2"/>
    <n v="18.2"/>
    <n v="0"/>
  </r>
  <r>
    <x v="99"/>
    <x v="3"/>
    <n v="287794829.95999998"/>
    <n v="1033496721"/>
    <n v="0.2784670953590766"/>
    <n v="1.0900000000000001"/>
    <n v="3.9142865285195416"/>
    <n v="18.2"/>
    <n v="5.9890109890109899E-2"/>
    <n v="18.2"/>
    <n v="0"/>
  </r>
  <r>
    <x v="100"/>
    <x v="0"/>
    <n v="1499500000"/>
    <n v="652742192"/>
    <n v="2.2972316151427821"/>
    <n v="2.3690660666999999"/>
    <n v="1.0312700082498008"/>
    <n v="35.94"/>
    <n v="6.5917252829716194E-2"/>
    <n v="35.94"/>
    <n v="0"/>
  </r>
  <r>
    <x v="100"/>
    <x v="1"/>
    <n v="1447636528"/>
    <n v="652742192"/>
    <n v="2.2177768585242608"/>
    <n v="2.1897556102000002"/>
    <n v="0.98736516335421309"/>
    <n v="35.94"/>
    <n v="6.0928091547022827E-2"/>
    <n v="35.94"/>
    <n v="0"/>
  </r>
  <r>
    <x v="100"/>
    <x v="2"/>
    <n v="1211648449"/>
    <n v="652742192"/>
    <n v="1.8562434968199513"/>
    <n v="1.0178134248999999"/>
    <n v="0.5483189175577885"/>
    <n v="35.94"/>
    <n v="2.831979479410128E-2"/>
    <n v="35.94"/>
    <n v="0"/>
  </r>
  <r>
    <x v="101"/>
    <x v="0"/>
    <n v="843488000"/>
    <n v="152661565"/>
    <n v="5.5252152039709532"/>
    <n v="1.8032159999999999"/>
    <n v="0.32636122457348538"/>
    <n v="44"/>
    <n v="4.0982181818181813E-2"/>
    <n v="44"/>
    <n v="0"/>
  </r>
  <r>
    <x v="101"/>
    <x v="1"/>
    <n v="920137051"/>
    <n v="152661565"/>
    <n v="6.0273000018046456"/>
    <n v="4.9819000000000004"/>
    <n v="0.82655583735808069"/>
    <n v="44"/>
    <n v="0.11322500000000001"/>
    <n v="44"/>
    <n v="0"/>
  </r>
  <r>
    <x v="101"/>
    <x v="2"/>
    <n v="818571312"/>
    <n v="152661565"/>
    <n v="5.3620000030787054"/>
    <n v="5.0853999999999999"/>
    <n v="0.94841477006342978"/>
    <n v="44"/>
    <n v="0.11557727272727272"/>
    <n v="44"/>
    <n v="0"/>
  </r>
  <r>
    <x v="102"/>
    <x v="0"/>
    <n v="843488000"/>
    <n v="152661565"/>
    <n v="5.5252152039709532"/>
    <n v="1.8032159999999999"/>
    <n v="0.32636122457348538"/>
    <n v="26.92"/>
    <n v="6.6984249628528975E-2"/>
    <n v="26.92"/>
    <n v="0"/>
  </r>
  <r>
    <x v="102"/>
    <x v="1"/>
    <n v="920137051"/>
    <n v="152661565"/>
    <n v="6.0273000018046456"/>
    <n v="4.9819000000000004"/>
    <n v="0.82655583735808069"/>
    <n v="26.92"/>
    <n v="0.18506315007429422"/>
    <n v="26.92"/>
    <n v="0"/>
  </r>
  <r>
    <x v="102"/>
    <x v="2"/>
    <n v="818571312"/>
    <n v="152661565"/>
    <n v="5.3620000030787054"/>
    <n v="5.0853999999999999"/>
    <n v="0.94841477006342978"/>
    <n v="26.92"/>
    <n v="0.18890787518573549"/>
    <n v="26.92"/>
    <n v="0"/>
  </r>
  <r>
    <x v="103"/>
    <x v="0"/>
    <n v="39281689.020000003"/>
    <n v="0"/>
    <e v="#DIV/0!"/>
    <n v="4.5999999999999999E-2"/>
    <e v="#DIV/0!"/>
    <n v="0.67"/>
    <n v="6.8656716417910449E-2"/>
    <n v="0.67"/>
    <n v="0"/>
  </r>
  <r>
    <x v="103"/>
    <x v="1"/>
    <n v="4448000"/>
    <n v="0"/>
    <e v="#DIV/0!"/>
    <n v="0"/>
    <e v="#DIV/0!"/>
    <n v="0.67"/>
    <s v=""/>
    <n v="0.67"/>
    <n v="0"/>
  </r>
  <r>
    <x v="103"/>
    <x v="2"/>
    <n v="30296000"/>
    <n v="0"/>
    <e v="#DIV/0!"/>
    <n v="0"/>
    <e v="#DIV/0!"/>
    <n v="0.67"/>
    <s v=""/>
    <n v="0.67"/>
    <n v="0"/>
  </r>
  <r>
    <x v="103"/>
    <x v="3"/>
    <n v="-599025000"/>
    <n v="0"/>
    <e v="#DIV/0!"/>
    <n v="0.1"/>
    <e v="#DIV/0!"/>
    <n v="0.67"/>
    <n v="0.14925373134328357"/>
    <n v="0.67"/>
    <n v="0"/>
  </r>
  <r>
    <x v="104"/>
    <x v="0"/>
    <n v="39281689.020000003"/>
    <n v="835502072"/>
    <n v="4.7015669184360807E-2"/>
    <n v="9.6799999999999994E-3"/>
    <n v="0.20588880617740807"/>
    <n v="0.53"/>
    <n v="1.8264150943396226E-2"/>
    <n v="0.53"/>
    <n v="0"/>
  </r>
  <r>
    <x v="104"/>
    <x v="1"/>
    <n v="4448000"/>
    <n v="835502072"/>
    <n v="5.323745025972838E-3"/>
    <n v="0"/>
    <s v=""/>
    <n v="0.53"/>
    <s v=""/>
    <n v="0.53"/>
    <n v="0"/>
  </r>
  <r>
    <x v="104"/>
    <x v="2"/>
    <n v="30296000"/>
    <n v="835502072"/>
    <n v="3.6260831678703483E-2"/>
    <n v="0"/>
    <s v=""/>
    <n v="0.53"/>
    <s v=""/>
    <n v="0.53"/>
    <n v="0"/>
  </r>
  <r>
    <x v="104"/>
    <x v="3"/>
    <n v="-599025000"/>
    <n v="835502072"/>
    <n v="-0.71696411065273813"/>
    <n v="1.0999999999999999E-2"/>
    <s v=""/>
    <n v="0.53"/>
    <n v="2.0754716981132074E-2"/>
    <n v="0.53"/>
    <n v="0"/>
  </r>
  <r>
    <x v="105"/>
    <x v="0"/>
    <n v="82468112.400000006"/>
    <n v="265806905"/>
    <n v="0.31025571890241155"/>
    <n v="3.0000000000000001E-6"/>
    <n v="9.6694430343236506E-6"/>
    <n v="9.7799999999999994"/>
    <n v="3.0674846625766876E-7"/>
    <n v="0"/>
    <n v="9.7799999999999994"/>
  </r>
  <r>
    <x v="105"/>
    <x v="1"/>
    <n v="92137357.700000003"/>
    <n v="265806905"/>
    <n v="0.34663267193905289"/>
    <n v="3.0000000000000001E-6"/>
    <n v="8.6546948480594434E-6"/>
    <n v="9.7799999999999994"/>
    <n v="3.0674846625766876E-7"/>
    <n v="0"/>
    <n v="9.7799999999999994"/>
  </r>
  <r>
    <x v="105"/>
    <x v="2"/>
    <n v="35594641.18"/>
    <n v="265806905"/>
    <n v="0.13391164981210701"/>
    <n v="0.18173600000000001"/>
    <n v="1.3571336045444582"/>
    <n v="9.7799999999999994"/>
    <n v="1.8582413087934561E-2"/>
    <n v="0"/>
    <n v="9.7799999999999994"/>
  </r>
  <r>
    <x v="106"/>
    <x v="0"/>
    <n v="20894905121.599998"/>
    <n v="13044496930"/>
    <n v="1.6018176272896711"/>
    <n v="0.47"/>
    <n v="0.29341667365420099"/>
    <n v="15.99"/>
    <n v="2.9393370856785488E-2"/>
    <n v="0"/>
    <n v="15.99"/>
  </r>
  <r>
    <x v="107"/>
    <x v="0"/>
    <n v="20894905121.599998"/>
    <n v="13044496930"/>
    <n v="1.6018176272896711"/>
    <n v="0.96"/>
    <n v="0.5993191632085807"/>
    <n v="17.079999999999998"/>
    <n v="5.6206088992974246E-2"/>
    <n v="0"/>
    <n v="17.079999999999998"/>
  </r>
  <r>
    <x v="106"/>
    <x v="1"/>
    <n v="33133022202"/>
    <n v="13044496930"/>
    <n v="2.5399999999846679"/>
    <n v="0.92"/>
    <n v="0.3622047244116352"/>
    <n v="15.99"/>
    <n v="5.7535959974984369E-2"/>
    <n v="0"/>
    <n v="15.99"/>
  </r>
  <r>
    <x v="107"/>
    <x v="1"/>
    <n v="33133022202"/>
    <n v="13044496930"/>
    <n v="2.5399999999846679"/>
    <n v="0.92"/>
    <n v="0.3622047244116352"/>
    <n v="17.079999999999998"/>
    <n v="5.3864168618266983E-2"/>
    <n v="0"/>
    <n v="17.079999999999998"/>
  </r>
  <r>
    <x v="106"/>
    <x v="2"/>
    <n v="46307964102"/>
    <n v="13044496930"/>
    <n v="3.5500000000383305"/>
    <n v="1.03"/>
    <n v="0.29014084506728982"/>
    <n v="15.99"/>
    <n v="6.4415259537210751E-2"/>
    <n v="0"/>
    <n v="15.99"/>
  </r>
  <r>
    <x v="107"/>
    <x v="2"/>
    <n v="46307964102"/>
    <n v="13044496930"/>
    <n v="3.5500000000383305"/>
    <n v="1.03"/>
    <n v="0.29014084506728982"/>
    <n v="17.079999999999998"/>
    <n v="6.0304449648711948E-2"/>
    <n v="0"/>
    <n v="17.079999999999998"/>
  </r>
  <r>
    <x v="106"/>
    <x v="3"/>
    <n v="44612179501"/>
    <n v="13044496930"/>
    <n v="3.4200000000306643"/>
    <n v="0.95"/>
    <n v="0.27777777777528717"/>
    <n v="15.99"/>
    <n v="5.9412132582864284E-2"/>
    <n v="0"/>
    <n v="15.99"/>
  </r>
  <r>
    <x v="107"/>
    <x v="3"/>
    <n v="44612179501"/>
    <n v="13044496930"/>
    <n v="3.4200000000306643"/>
    <n v="0.95"/>
    <n v="0.27777777777528717"/>
    <n v="17.079999999999998"/>
    <n v="5.562060889929743E-2"/>
    <n v="0"/>
    <n v="17.079999999999998"/>
  </r>
  <r>
    <x v="108"/>
    <x v="0"/>
    <n v="483247945.06999999"/>
    <n v="1022205493"/>
    <n v="0.47275029177523703"/>
    <n v="0.30062499999999998"/>
    <n v="0.63590653507820194"/>
    <n v="14.79"/>
    <n v="2.0326233941852602E-2"/>
    <n v="0"/>
    <n v="14.79"/>
  </r>
  <r>
    <x v="108"/>
    <x v="1"/>
    <n v="445682000"/>
    <n v="1022205493"/>
    <n v="0.43600039625300663"/>
    <n v="0.76497757200000005"/>
    <n v="1.7545341210105032"/>
    <n v="14.79"/>
    <n v="5.1722621501014206E-2"/>
    <n v="0"/>
    <n v="14.79"/>
  </r>
  <r>
    <x v="108"/>
    <x v="2"/>
    <n v="614021000"/>
    <n v="1022205493"/>
    <n v="0.6006825478876584"/>
    <n v="1.0517938200000001"/>
    <n v="1.7509978002502413"/>
    <n v="14.79"/>
    <n v="7.1115200811359039E-2"/>
    <n v="0"/>
    <n v="14.79"/>
  </r>
  <r>
    <x v="108"/>
    <x v="3"/>
    <n v="419093000"/>
    <n v="1022205493"/>
    <n v="0.40998899230137476"/>
    <n v="2.1419339700000002"/>
    <n v="5.2243694592305223"/>
    <n v="14.79"/>
    <n v="0.14482312170385397"/>
    <n v="0"/>
    <n v="14.79"/>
  </r>
  <r>
    <x v="109"/>
    <x v="0"/>
    <n v="13717907.74"/>
    <n v="7680000"/>
    <n v="1.7861859036458334"/>
    <n v="1.24"/>
    <n v="0.69421665318766745"/>
    <n v="30.01"/>
    <n v="4.1319560146617793E-2"/>
    <n v="0"/>
    <n v="30.01"/>
  </r>
  <r>
    <x v="110"/>
    <x v="0"/>
    <n v="13717907.74"/>
    <n v="7680000"/>
    <n v="1.7861859036458334"/>
    <n v="1.37"/>
    <n v="0.7669974313444391"/>
    <n v="30.05"/>
    <n v="4.5590682196339438E-2"/>
    <n v="0"/>
    <n v="30.05"/>
  </r>
  <r>
    <x v="109"/>
    <x v="1"/>
    <n v="28253000"/>
    <n v="7680000"/>
    <n v="3.6787760416666666"/>
    <n v="2.48"/>
    <n v="0.67413725976002548"/>
    <n v="30.01"/>
    <n v="8.2639120293235585E-2"/>
    <n v="0"/>
    <n v="30.01"/>
  </r>
  <r>
    <x v="110"/>
    <x v="1"/>
    <n v="28253000"/>
    <n v="7680000"/>
    <n v="3.6787760416666666"/>
    <n v="2.74"/>
    <n v="0.7448129402187379"/>
    <n v="30.05"/>
    <n v="9.1181364392678876E-2"/>
    <n v="0"/>
    <n v="30.05"/>
  </r>
  <r>
    <x v="109"/>
    <x v="2"/>
    <n v="23457000"/>
    <n v="7680000"/>
    <n v="3.0542968749999999"/>
    <n v="2.5"/>
    <n v="0.81851899219849089"/>
    <n v="30.01"/>
    <n v="8.3305564811729418E-2"/>
    <n v="0"/>
    <n v="30.01"/>
  </r>
  <r>
    <x v="110"/>
    <x v="2"/>
    <n v="23457000"/>
    <n v="7680000"/>
    <n v="3.0542968749999999"/>
    <n v="2.75"/>
    <n v="0.90037089141833992"/>
    <n v="30.05"/>
    <n v="9.1514143094841932E-2"/>
    <n v="0"/>
    <n v="30.05"/>
  </r>
  <r>
    <x v="111"/>
    <x v="0"/>
    <n v="2000000000"/>
    <n v="2000000000"/>
    <n v="1"/>
    <n v="0.25"/>
    <n v="0.25"/>
    <n v="24.5"/>
    <n v="1.020408163265306E-2"/>
    <n v="0"/>
    <n v="24.5"/>
  </r>
  <r>
    <x v="112"/>
    <x v="0"/>
    <m/>
    <n v="817720079"/>
    <n v="0"/>
    <n v="0"/>
    <s v=""/>
    <n v="2.4900000000000002"/>
    <s v=""/>
    <n v="0"/>
    <n v="2.4900000000000002"/>
  </r>
  <r>
    <x v="112"/>
    <x v="1"/>
    <n v="166896668.09999999"/>
    <n v="817720079"/>
    <n v="0.20409999997077238"/>
    <n v="6.6000000000000003E-2"/>
    <n v="0.32337089666561175"/>
    <n v="2.4900000000000002"/>
    <n v="2.6506024096385541E-2"/>
    <n v="0"/>
    <n v="2.4900000000000002"/>
  </r>
  <r>
    <x v="112"/>
    <x v="2"/>
    <n v="234522118.69999999"/>
    <n v="817720079"/>
    <n v="0.28680000005234063"/>
    <n v="6.6400000000000001E-2"/>
    <n v="0.23152022310977016"/>
    <n v="2.4900000000000002"/>
    <n v="2.6666666666666665E-2"/>
    <n v="0"/>
    <n v="2.4900000000000002"/>
  </r>
  <r>
    <x v="112"/>
    <x v="3"/>
    <n v="106303610.3"/>
    <n v="817720079"/>
    <n v="0.13000000003668738"/>
    <n v="0"/>
    <s v=""/>
    <n v="2.4900000000000002"/>
    <s v=""/>
    <n v="0"/>
    <n v="2.4900000000000002"/>
  </r>
  <r>
    <x v="113"/>
    <x v="0"/>
    <n v="459346.49"/>
    <n v="31485170"/>
    <n v="1.4589296802272307E-2"/>
    <n v="0"/>
    <s v=""/>
    <n v="10"/>
    <s v=""/>
    <n v="0"/>
    <n v="10"/>
  </r>
  <r>
    <x v="114"/>
    <x v="0"/>
    <n v="459346.49"/>
    <n v="31485170"/>
    <n v="1.4589296802272307E-2"/>
    <n v="2E-3"/>
    <n v="0.13708679911758986"/>
    <n v="10.91"/>
    <n v="1.8331805682859762E-4"/>
    <n v="0"/>
    <n v="10.91"/>
  </r>
  <r>
    <x v="113"/>
    <x v="1"/>
    <n v="14826895.1"/>
    <n v="31485170"/>
    <n v="0.47091678717313579"/>
    <n v="0.11279"/>
    <n v="0.2395115295784348"/>
    <n v="10"/>
    <n v="1.1279000000000001E-2"/>
    <n v="0"/>
    <n v="10"/>
  </r>
  <r>
    <x v="114"/>
    <x v="1"/>
    <n v="14826895.1"/>
    <n v="31485170"/>
    <n v="0.47091678717313579"/>
    <n v="0.11279"/>
    <n v="0.2395115295784348"/>
    <n v="10.91"/>
    <n v="1.0338221814848763E-2"/>
    <n v="0"/>
    <n v="10.91"/>
  </r>
  <r>
    <x v="113"/>
    <x v="2"/>
    <n v="45200803.640000001"/>
    <n v="31485170"/>
    <n v="1.4356220290377979"/>
    <n v="0.31025000000000003"/>
    <n v="0.21610841414013407"/>
    <n v="10"/>
    <n v="3.1025000000000004E-2"/>
    <n v="0"/>
    <n v="10"/>
  </r>
  <r>
    <x v="114"/>
    <x v="2"/>
    <n v="45200803.640000001"/>
    <n v="31485170"/>
    <n v="1.4356220290377979"/>
    <n v="0.31025000000000003"/>
    <n v="0.21610841414013407"/>
    <n v="10.91"/>
    <n v="2.8437213565536208E-2"/>
    <n v="0"/>
    <n v="10.91"/>
  </r>
  <r>
    <x v="113"/>
    <x v="3"/>
    <n v="3829778.75"/>
    <n v="31485170"/>
    <n v="0.12163754396117284"/>
    <n v="4.3194999999999997E-2"/>
    <n v="0.35511239863399419"/>
    <n v="10"/>
    <n v="4.3194999999999996E-3"/>
    <n v="0"/>
    <n v="10"/>
  </r>
  <r>
    <x v="114"/>
    <x v="3"/>
    <n v="3829778.75"/>
    <n v="31485170"/>
    <n v="0.12163754396117284"/>
    <n v="4.3194999999999997E-2"/>
    <n v="0.35511239863399419"/>
    <n v="10.91"/>
    <n v="3.9592117323556369E-3"/>
    <n v="0"/>
    <n v="10.91"/>
  </r>
  <r>
    <x v="115"/>
    <x v="0"/>
    <n v="-731143033.12"/>
    <n v="797265348"/>
    <n v="-0.91706360367238737"/>
    <n v="0"/>
    <s v=""/>
    <n v="16.5"/>
    <s v=""/>
    <n v="0"/>
    <n v="16.5"/>
  </r>
  <r>
    <x v="116"/>
    <x v="0"/>
    <n v="-731143033.12"/>
    <n v="797265348"/>
    <n v="-0.91706360367238737"/>
    <n v="0"/>
    <s v=""/>
    <n v="21"/>
    <s v=""/>
    <n v="0"/>
    <n v="21"/>
  </r>
  <r>
    <x v="117"/>
    <x v="0"/>
    <n v="-731143033.12"/>
    <n v="797265348"/>
    <n v="-0.91706360367238737"/>
    <n v="0"/>
    <s v=""/>
    <n v="10.1"/>
    <s v=""/>
    <n v="0"/>
    <n v="10.1"/>
  </r>
  <r>
    <x v="115"/>
    <x v="1"/>
    <n v="-525142000"/>
    <n v="797265348"/>
    <n v="-0.65867907255389713"/>
    <n v="0"/>
    <s v=""/>
    <n v="16.5"/>
    <s v=""/>
    <n v="0"/>
    <n v="16.5"/>
  </r>
  <r>
    <x v="116"/>
    <x v="1"/>
    <n v="-525142000"/>
    <n v="797265348"/>
    <n v="-0.65867907255389713"/>
    <n v="0"/>
    <s v=""/>
    <n v="21"/>
    <s v=""/>
    <n v="0"/>
    <n v="21"/>
  </r>
  <r>
    <x v="117"/>
    <x v="1"/>
    <n v="-525142000"/>
    <n v="797265348"/>
    <n v="-0.65867907255389713"/>
    <n v="0"/>
    <s v=""/>
    <n v="10.1"/>
    <s v=""/>
    <n v="0"/>
    <n v="10.1"/>
  </r>
  <r>
    <x v="115"/>
    <x v="2"/>
    <n v="1895309000"/>
    <n v="797265348"/>
    <n v="2.3772624820011616"/>
    <n v="0.83324714"/>
    <n v="0.35050699967240423"/>
    <n v="16.5"/>
    <n v="5.0499826666666664E-2"/>
    <n v="0"/>
    <n v="16.5"/>
  </r>
  <r>
    <x v="116"/>
    <x v="2"/>
    <n v="1895309000"/>
    <n v="797265348"/>
    <n v="2.3772624820011616"/>
    <n v="0.83324714"/>
    <n v="0.35050699967240423"/>
    <n v="21"/>
    <n v="3.9678435238095236E-2"/>
    <n v="0"/>
    <n v="21"/>
  </r>
  <r>
    <x v="117"/>
    <x v="2"/>
    <n v="1895309000"/>
    <n v="797265348"/>
    <n v="2.3772624820011616"/>
    <n v="0.60198830400000003"/>
    <n v="0.25322752895727813"/>
    <n v="10.1"/>
    <n v="5.9602802376237628E-2"/>
    <n v="0"/>
    <n v="10.1"/>
  </r>
  <r>
    <x v="115"/>
    <x v="3"/>
    <n v="398491000"/>
    <n v="797265348"/>
    <n v="0.49982230006564893"/>
    <n v="0"/>
    <s v=""/>
    <n v="16.5"/>
    <s v=""/>
    <n v="0"/>
    <n v="16.5"/>
  </r>
  <r>
    <x v="116"/>
    <x v="3"/>
    <n v="398491000"/>
    <n v="797265348"/>
    <n v="0.49982230006564893"/>
    <n v="0"/>
    <s v=""/>
    <n v="21"/>
    <s v=""/>
    <n v="0"/>
    <n v="21"/>
  </r>
  <r>
    <x v="117"/>
    <x v="3"/>
    <n v="398491000"/>
    <n v="797265348"/>
    <n v="0.49982230006564893"/>
    <n v="0"/>
    <s v=""/>
    <n v="10.1"/>
    <s v=""/>
    <n v="0"/>
    <n v="10.1"/>
  </r>
  <r>
    <x v="118"/>
    <x v="0"/>
    <n v="638200000"/>
    <n v="407214353"/>
    <n v="1.5672335596677753"/>
    <n v="0.74068530099999996"/>
    <n v="0.4726068405254234"/>
    <n v="39.58"/>
    <n v="1.8713625593734209E-2"/>
    <n v="0"/>
    <n v="39.58"/>
  </r>
  <r>
    <x v="118"/>
    <x v="1"/>
    <n v="2605800000"/>
    <n v="407214353"/>
    <n v="6.399086821971621"/>
    <n v="0.61834152200000003"/>
    <n v="9.6629650323994662E-2"/>
    <n v="39.58"/>
    <n v="1.56225750884285E-2"/>
    <n v="0"/>
    <n v="39.58"/>
  </r>
  <r>
    <x v="118"/>
    <x v="2"/>
    <n v="771500000"/>
    <n v="407214353"/>
    <n v="1.8945795852141782"/>
    <n v="0.49227156500000002"/>
    <n v="0.25983155779879774"/>
    <n v="39.58"/>
    <n v="1.2437381632137444E-2"/>
    <n v="0"/>
    <n v="39.58"/>
  </r>
  <r>
    <x v="119"/>
    <x v="0"/>
    <n v="72949906.010000005"/>
    <n v="113000000"/>
    <n v="0.64557438946902657"/>
    <n v="0.26730199999999998"/>
    <n v="0.41405298035421001"/>
    <n v="28.7"/>
    <n v="9.3136585365853654E-3"/>
    <n v="0"/>
    <n v="28.7"/>
  </r>
  <r>
    <x v="119"/>
    <x v="1"/>
    <n v="126610718.51000001"/>
    <n v="113000000"/>
    <n v="1.1204488363716814"/>
    <n v="0.32134299999999999"/>
    <n v="0.28679845930368064"/>
    <n v="28.7"/>
    <n v="1.1196620209059233E-2"/>
    <n v="0"/>
    <n v="28.7"/>
  </r>
  <r>
    <x v="119"/>
    <x v="2"/>
    <n v="142288162.75"/>
    <n v="113000000"/>
    <n v="1.2591872809734512"/>
    <n v="0.41675099999999998"/>
    <n v="0.33096824141824127"/>
    <n v="28.7"/>
    <n v="1.4520940766550522E-2"/>
    <n v="0"/>
    <n v="28.7"/>
  </r>
  <r>
    <x v="119"/>
    <x v="3"/>
    <n v="93031657.010000005"/>
    <n v="113000000"/>
    <n v="0.82328900008849559"/>
    <n v="0.24957299999999999"/>
    <n v="0.30314142418175549"/>
    <n v="28.7"/>
    <n v="8.6959233449477348E-3"/>
    <n v="0"/>
    <n v="28.7"/>
  </r>
  <r>
    <x v="120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121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120"/>
    <x v="1"/>
    <n v="-9978849.7799999993"/>
    <n v="24948000"/>
    <n v="-0.39998596200096198"/>
    <n v="0"/>
    <s v=""/>
    <n v="7.08"/>
    <s v=""/>
    <n v="0"/>
    <n v="7.08"/>
  </r>
  <r>
    <x v="121"/>
    <x v="1"/>
    <n v="-9978849.7799999993"/>
    <n v="24948000"/>
    <n v="-0.39998596200096198"/>
    <n v="0"/>
    <s v=""/>
    <n v="15.09"/>
    <s v=""/>
    <n v="0"/>
    <n v="15.09"/>
  </r>
  <r>
    <x v="120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121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120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121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122"/>
    <x v="0"/>
    <n v="813227000"/>
    <n v="872473246"/>
    <n v="0.93209391087735427"/>
    <n v="0.32"/>
    <n v="0.34331304632040011"/>
    <n v="49.25"/>
    <n v="6.49746192893401E-3"/>
    <n v="0"/>
    <n v="49.25"/>
  </r>
  <r>
    <x v="122"/>
    <x v="1"/>
    <n v="1367409000"/>
    <n v="872473246"/>
    <n v="1.5672790039913729"/>
    <n v="0.72453109900000001"/>
    <n v="0.46228597279415107"/>
    <n v="49.25"/>
    <n v="1.4711291350253808E-2"/>
    <n v="0"/>
    <n v="49.25"/>
  </r>
  <r>
    <x v="122"/>
    <x v="2"/>
    <n v="804106000"/>
    <n v="872473246"/>
    <n v="0.92163972211934164"/>
    <n v="0.30086882500000001"/>
    <n v="0.32644949840935888"/>
    <n v="49.25"/>
    <n v="6.1090116751269033E-3"/>
    <n v="0"/>
    <n v="49.25"/>
  </r>
  <r>
    <x v="123"/>
    <x v="0"/>
    <n v="718939800.83000004"/>
    <n v="2943644008"/>
    <n v="0.244234628533927"/>
    <n v="5.8005724000000002E-2"/>
    <n v="0.23749999886663223"/>
    <n v="8.77"/>
    <n v="6.6141076396807304E-3"/>
    <n v="0"/>
    <n v="8.77"/>
  </r>
  <r>
    <x v="123"/>
    <x v="1"/>
    <n v="-75180667.959999993"/>
    <n v="2943644008"/>
    <n v="-2.5539999998532428E-2"/>
    <n v="0"/>
    <s v=""/>
    <n v="8.77"/>
    <s v=""/>
    <n v="0"/>
    <n v="8.77"/>
  </r>
  <r>
    <x v="123"/>
    <x v="2"/>
    <n v="-357505564.80000001"/>
    <n v="2943644008"/>
    <n v="-0.12145000000964791"/>
    <n v="0"/>
    <s v=""/>
    <n v="8.77"/>
    <s v=""/>
    <n v="0"/>
    <n v="8.77"/>
  </r>
  <r>
    <x v="124"/>
    <x v="0"/>
    <n v="30653409.600000001"/>
    <n v="149714346"/>
    <n v="0.20474597404312878"/>
    <n v="4.87E-2"/>
    <n v="0.23785571475872622"/>
    <n v="8.8699999999999992"/>
    <n v="5.490417136414882E-3"/>
    <n v="0"/>
    <n v="8.8699999999999992"/>
  </r>
  <r>
    <x v="124"/>
    <x v="1"/>
    <m/>
    <n v="149714346"/>
    <n v="0"/>
    <n v="0"/>
    <s v=""/>
    <n v="8.8699999999999992"/>
    <s v=""/>
    <n v="0"/>
    <n v="8.8699999999999992"/>
  </r>
  <r>
    <x v="124"/>
    <x v="2"/>
    <m/>
    <n v="149714346"/>
    <n v="0"/>
    <n v="0"/>
    <s v=""/>
    <n v="8.8699999999999992"/>
    <s v=""/>
    <n v="0"/>
    <n v="8.8699999999999992"/>
  </r>
  <r>
    <x v="125"/>
    <x v="0"/>
    <m/>
    <n v="2417632647"/>
    <n v="0"/>
    <m/>
    <s v=""/>
    <n v="12.33"/>
    <s v=""/>
    <n v="0"/>
    <n v="12.33"/>
  </r>
  <r>
    <x v="125"/>
    <x v="1"/>
    <n v="1281227722.3699999"/>
    <n v="2417632647"/>
    <n v="0.52995136542346666"/>
    <n v="0.22"/>
    <n v="0.41513243356624857"/>
    <n v="12.33"/>
    <n v="1.7842660178426603E-2"/>
    <n v="0"/>
    <n v="12.33"/>
  </r>
  <r>
    <x v="125"/>
    <x v="2"/>
    <n v="2216909132.75"/>
    <n v="2417632647"/>
    <n v="0.9169751804522186"/>
    <n v="0.2"/>
    <n v="0.21810841150724203"/>
    <n v="12.33"/>
    <n v="1.6220600162206004E-2"/>
    <n v="0"/>
    <n v="12.33"/>
  </r>
  <r>
    <x v="126"/>
    <x v="0"/>
    <n v="837439831.94000006"/>
    <n v="1797086404"/>
    <n v="0.46599864651805584"/>
    <n v="4.07"/>
    <n v="8.7339309468193953"/>
    <n v="3.61"/>
    <n v="1.1274238227146816"/>
    <n v="0"/>
    <n v="3.61"/>
  </r>
  <r>
    <x v="127"/>
    <x v="0"/>
    <n v="837439831.94000006"/>
    <n v="1797086404"/>
    <n v="0.46599864651805584"/>
    <n v="4.07"/>
    <n v="8.7339309468193953"/>
    <n v="3.59"/>
    <n v="1.1337047353760448"/>
    <n v="0"/>
    <n v="3.59"/>
  </r>
  <r>
    <x v="126"/>
    <x v="1"/>
    <n v="1005731443.8099999"/>
    <n v="1797086404"/>
    <n v="0.55964556939021837"/>
    <n v="0.92"/>
    <n v="1.6438975850419375"/>
    <n v="3.61"/>
    <n v="0.25484764542936289"/>
    <n v="0"/>
    <n v="3.61"/>
  </r>
  <r>
    <x v="127"/>
    <x v="1"/>
    <n v="1005731443.8099999"/>
    <n v="1797086404"/>
    <n v="0.55964556939021837"/>
    <n v="0.92"/>
    <n v="1.6438975850419375"/>
    <n v="3.59"/>
    <n v="0.25626740947075211"/>
    <n v="0"/>
    <n v="3.59"/>
  </r>
  <r>
    <x v="126"/>
    <x v="2"/>
    <n v="1971024029.29"/>
    <n v="1797086404"/>
    <n v="1.0967886824489046"/>
    <n v="0"/>
    <s v=""/>
    <n v="3.61"/>
    <s v=""/>
    <n v="0"/>
    <n v="3.61"/>
  </r>
  <r>
    <x v="127"/>
    <x v="2"/>
    <n v="1971024029.29"/>
    <n v="1797086404"/>
    <n v="1.0967886824489046"/>
    <n v="0"/>
    <s v=""/>
    <n v="3.59"/>
    <s v=""/>
    <n v="0"/>
    <n v="3.59"/>
  </r>
  <r>
    <x v="128"/>
    <x v="0"/>
    <n v="4453572915.3800001"/>
    <n v="1125601930"/>
    <n v="3.9566144981467826"/>
    <n v="3.566950672031"/>
    <n v="0.90151584737449275"/>
    <n v="40"/>
    <n v="8.9173766800775003E-2"/>
    <n v="0"/>
    <n v="40"/>
  </r>
  <r>
    <x v="129"/>
    <x v="0"/>
    <n v="4453572915.3800001"/>
    <n v="1125601930"/>
    <n v="3.9566144981467826"/>
    <n v="3.9236457392339998"/>
    <n v="0.99166743211191666"/>
    <n v="44.83"/>
    <n v="8.7522769110729426E-2"/>
    <n v="0"/>
    <n v="44.83"/>
  </r>
  <r>
    <x v="128"/>
    <x v="1"/>
    <n v="4091563016"/>
    <n v="1125601930"/>
    <n v="3.6350000003997862"/>
    <n v="3.5070000000000001"/>
    <n v="0.96478679494203345"/>
    <n v="40"/>
    <n v="8.7675000000000003E-2"/>
    <n v="0"/>
    <n v="40"/>
  </r>
  <r>
    <x v="129"/>
    <x v="1"/>
    <n v="4091563016"/>
    <n v="1125601930"/>
    <n v="3.6350000003997862"/>
    <n v="3.8576999999999999"/>
    <n v="1.0612654744362366"/>
    <n v="44.83"/>
    <n v="8.6051751059558326E-2"/>
    <n v="0"/>
    <n v="44.83"/>
  </r>
  <r>
    <x v="128"/>
    <x v="2"/>
    <n v="5004201060"/>
    <n v="1125601930"/>
    <n v="4.4457999996499646"/>
    <n v="4.6006999999999998"/>
    <n v="1.0348418733101423"/>
    <n v="40"/>
    <n v="0.11501749999999999"/>
    <n v="0"/>
    <n v="40"/>
  </r>
  <r>
    <x v="129"/>
    <x v="2"/>
    <n v="5004201060"/>
    <n v="1125601930"/>
    <n v="4.4457999996499646"/>
    <n v="5.0608000000000004"/>
    <n v="1.1383328085830351"/>
    <n v="44.83"/>
    <n v="0.11288869060896722"/>
    <n v="0"/>
    <n v="44.83"/>
  </r>
  <r>
    <x v="128"/>
    <x v="3"/>
    <n v="4597971324"/>
    <n v="1125601930"/>
    <n v="4.0849000001270435"/>
    <n v="4.3120000000000003"/>
    <n v="1.0555949961727078"/>
    <n v="40"/>
    <n v="0.10780000000000001"/>
    <n v="0"/>
    <n v="40"/>
  </r>
  <r>
    <x v="129"/>
    <x v="3"/>
    <n v="4597971324"/>
    <n v="1125601930"/>
    <n v="4.0849000001270435"/>
    <n v="4.7431999999999999"/>
    <n v="1.1611544957899784"/>
    <n v="44.83"/>
    <n v="0.10580414900736114"/>
    <n v="0"/>
    <n v="44.83"/>
  </r>
  <r>
    <x v="130"/>
    <x v="0"/>
    <n v="476737173.38"/>
    <n v="349547945"/>
    <n v="1.3638677617744255"/>
    <n v="0.59109131800000003"/>
    <n v="0.43339342315047885"/>
    <n v="20.3"/>
    <n v="2.9117798916256158E-2"/>
    <n v="0"/>
    <n v="20.3"/>
  </r>
  <r>
    <x v="131"/>
    <x v="0"/>
    <n v="476737173.38"/>
    <n v="349547945"/>
    <n v="1.3638677617744255"/>
    <n v="0.65020045000000004"/>
    <n v="0.47673276561216849"/>
    <n v="25.08"/>
    <n v="2.592505781499203E-2"/>
    <n v="0"/>
    <n v="25.08"/>
  </r>
  <r>
    <x v="130"/>
    <x v="1"/>
    <n v="2023882601.55"/>
    <n v="349547945"/>
    <n v="5.79"/>
    <n v="1.7780234450000001"/>
    <n v="0.30708522366148533"/>
    <n v="20.3"/>
    <n v="8.7587361822660095E-2"/>
    <n v="0"/>
    <n v="20.3"/>
  </r>
  <r>
    <x v="131"/>
    <x v="1"/>
    <n v="2023882601.55"/>
    <n v="349547945"/>
    <n v="5.79"/>
    <n v="1.955825792"/>
    <n v="0.33779374645941279"/>
    <n v="25.08"/>
    <n v="7.7983484529505584E-2"/>
    <n v="0"/>
    <n v="25.08"/>
  </r>
  <r>
    <x v="130"/>
    <x v="2"/>
    <n v="1758226163.3499999"/>
    <n v="349547945"/>
    <n v="5.0299999999999994"/>
    <n v="1.5299646339999999"/>
    <n v="0.30416791928429426"/>
    <n v="20.3"/>
    <n v="7.5367715960591122E-2"/>
    <n v="0"/>
    <n v="20.3"/>
  </r>
  <r>
    <x v="131"/>
    <x v="2"/>
    <n v="1758226163.3499999"/>
    <n v="349547945"/>
    <n v="5.0299999999999994"/>
    <n v="1.6829611"/>
    <n v="0.33458471172962229"/>
    <n v="25.08"/>
    <n v="6.710371212121212E-2"/>
    <n v="0"/>
    <n v="25.08"/>
  </r>
  <r>
    <x v="130"/>
    <x v="3"/>
    <n v="961256848.75"/>
    <n v="349547945"/>
    <n v="2.75"/>
    <n v="0.86687395199999995"/>
    <n v="0.31522689163636364"/>
    <n v="20.3"/>
    <n v="4.2703150344827585E-2"/>
    <n v="0"/>
    <n v="20.3"/>
  </r>
  <r>
    <x v="131"/>
    <x v="3"/>
    <n v="961256848.75"/>
    <n v="349547945"/>
    <n v="2.75"/>
    <n v="0.953561349"/>
    <n v="0.34674958145454543"/>
    <n v="25.08"/>
    <n v="3.8020787440191391E-2"/>
    <n v="0"/>
    <n v="25.08"/>
  </r>
  <r>
    <x v="132"/>
    <x v="0"/>
    <n v="645407.11"/>
    <n v="9133687"/>
    <n v="7.0662275814794173E-2"/>
    <n v="1.3493369900000001"/>
    <n v="19.095577865856068"/>
    <n v="15.8"/>
    <n v="8.5401075316455702E-2"/>
    <n v="0"/>
    <n v="15.8"/>
  </r>
  <r>
    <x v="132"/>
    <x v="1"/>
    <n v="9737000"/>
    <n v="9133687"/>
    <n v="1.0660536101138565"/>
    <n v="0.91752482999999996"/>
    <n v="0.86067419245642496"/>
    <n v="15.8"/>
    <n v="5.8071191772151892E-2"/>
    <n v="0"/>
    <n v="15.8"/>
  </r>
  <r>
    <x v="132"/>
    <x v="2"/>
    <n v="18645000"/>
    <n v="9133687"/>
    <n v="2.0413443114483778"/>
    <n v="0.50479059999999998"/>
    <n v="0.24728341866142128"/>
    <n v="15.8"/>
    <n v="3.194877215189873E-2"/>
    <n v="0"/>
    <n v="15.8"/>
  </r>
  <r>
    <x v="133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33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33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33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34"/>
    <x v="0"/>
    <n v="1011009000"/>
    <n v="544383996"/>
    <n v="1.8571615025949439"/>
    <n v="1.17"/>
    <n v="0.62999367495244851"/>
    <n v="55.95"/>
    <n v="2.0911528150134046E-2"/>
    <n v="0"/>
    <n v="55.95"/>
  </r>
  <r>
    <x v="134"/>
    <x v="1"/>
    <n v="860126713.70000005"/>
    <n v="544383996"/>
    <n v="1.5800000000367389"/>
    <n v="0.98"/>
    <n v="0.62025316454253965"/>
    <n v="55.95"/>
    <n v="1.7515638963360142E-2"/>
    <n v="0"/>
    <n v="55.95"/>
  </r>
  <r>
    <x v="134"/>
    <x v="2"/>
    <n v="773025274.29999995"/>
    <n v="544383996"/>
    <n v="1.4199999999632611"/>
    <n v="0.8"/>
    <n v="0.56338028170471688"/>
    <n v="55.95"/>
    <n v="1.4298480786416443E-2"/>
    <n v="0"/>
    <n v="55.95"/>
  </r>
  <r>
    <x v="135"/>
    <x v="0"/>
    <n v="-2048000"/>
    <n v="5996334"/>
    <n v="-0.34154201550480678"/>
    <n v="1"/>
    <s v=""/>
    <n v="5.2"/>
    <n v="0.19230769230769229"/>
    <n v="0"/>
    <n v="5.2"/>
  </r>
  <r>
    <x v="135"/>
    <x v="1"/>
    <n v="-2767000"/>
    <n v="5996334"/>
    <n v="-0.4614486117684572"/>
    <n v="1"/>
    <s v=""/>
    <n v="5.2"/>
    <n v="0.19230769230769229"/>
    <n v="0"/>
    <n v="5.2"/>
  </r>
  <r>
    <x v="135"/>
    <x v="2"/>
    <n v="47518888.590000004"/>
    <n v="5996334"/>
    <n v="7.9246567302621909"/>
    <n v="1.5139"/>
    <n v="0.19103666588090965"/>
    <n v="5.2"/>
    <n v="0.29113461538461538"/>
    <n v="0"/>
    <n v="5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8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142" firstHeaderRow="1" firstDataRow="2" firstDataCol="1"/>
  <pivotFields count="11">
    <pivotField axis="axisRow" showAll="0" sortType="descending">
      <items count="144">
        <item m="1" x="136"/>
        <item sd="0" x="129"/>
        <item sd="0" x="128"/>
        <item sd="0" x="124"/>
        <item sd="0" x="104"/>
        <item sd="0" x="103"/>
        <item sd="0" x="102"/>
        <item sd="0" x="101"/>
        <item sd="0" x="125"/>
        <item sd="0" m="1" x="142"/>
        <item sd="0" m="1" x="137"/>
        <item sd="0" x="112"/>
        <item sd="0" x="100"/>
        <item sd="0" x="99"/>
        <item sd="0" x="98"/>
        <item sd="0" x="97"/>
        <item sd="0" x="108"/>
        <item sd="0" x="119"/>
        <item sd="0" x="96"/>
        <item sd="0" x="95"/>
        <item sd="0" x="94"/>
        <item sd="0" x="93"/>
        <item sd="0" m="1" x="140"/>
        <item sd="0" x="92"/>
        <item sd="0" x="91"/>
        <item sd="0" x="90"/>
        <item sd="0" m="1" x="138"/>
        <item sd="0" x="89"/>
        <item sd="0" x="88"/>
        <item sd="0" x="87"/>
        <item sd="0" x="105"/>
        <item sd="0" x="86"/>
        <item sd="0" x="85"/>
        <item sd="0" x="84"/>
        <item sd="0" x="107"/>
        <item sd="0" x="106"/>
        <item sd="0" x="127"/>
        <item sd="0" x="126"/>
        <item sd="0" x="83"/>
        <item sd="0" x="82"/>
        <item sd="0" x="81"/>
        <item sd="0" x="80"/>
        <item sd="0" x="123"/>
        <item sd="0" x="79"/>
        <item sd="0" x="78"/>
        <item sd="0" x="77"/>
        <item sd="0" x="76"/>
        <item sd="0" x="75"/>
        <item sd="0" x="74"/>
        <item sd="0" x="73"/>
        <item sd="0" x="72"/>
        <item sd="0" x="71"/>
        <item sd="0" x="70"/>
        <item sd="0" x="69"/>
        <item sd="0" x="68"/>
        <item sd="0" x="67"/>
        <item sd="0" x="66"/>
        <item sd="0" x="65"/>
        <item sd="0" x="64"/>
        <item sd="0" x="63"/>
        <item sd="0" x="62"/>
        <item sd="0" x="61"/>
        <item sd="0" x="60"/>
        <item sd="0" x="59"/>
        <item sd="0" x="58"/>
        <item sd="0" x="57"/>
        <item sd="0" x="114"/>
        <item sd="0" x="113"/>
        <item sd="0" x="56"/>
        <item sd="0" x="55"/>
        <item sd="0" x="54"/>
        <item sd="0" x="53"/>
        <item sd="0" x="52"/>
        <item sd="0" x="51"/>
        <item sd="0" x="50"/>
        <item sd="0" x="118"/>
        <item sd="0" x="110"/>
        <item sd="0" x="109"/>
        <item sd="0" m="1" x="141"/>
        <item sd="0" x="49"/>
        <item sd="0" x="48"/>
        <item sd="0" x="47"/>
        <item sd="0" x="46"/>
        <item sd="0" x="45"/>
        <item sd="0" x="44"/>
        <item sd="0" x="43"/>
        <item sd="0" x="42"/>
        <item sd="0" x="41"/>
        <item sd="0" x="121"/>
        <item sd="0" x="120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117"/>
        <item sd="0" x="116"/>
        <item sd="0" x="11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22"/>
        <item sd="0" x="131"/>
        <item sd="0" x="130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x="111"/>
        <item sd="0" m="1" x="139"/>
        <item sd="0" x="5"/>
        <item sd="0" x="4"/>
        <item sd="0" x="3"/>
        <item sd="0" x="2"/>
        <item sd="0" x="1"/>
        <item sd="0" x="0"/>
        <item sd="0" x="132"/>
        <item sd="0" x="133"/>
        <item sd="0" x="134"/>
        <item sd="0" x="1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44" showAll="0"/>
    <pivotField numFmtId="165" showAll="0" defaultSubtotal="0"/>
    <pivotField numFmtId="167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</pivotFields>
  <rowFields count="2">
    <field x="0"/>
    <field x="1"/>
  </rowFields>
  <rowItems count="138">
    <i>
      <x v="62"/>
    </i>
    <i>
      <x v="63"/>
    </i>
    <i>
      <x v="1"/>
    </i>
    <i>
      <x v="140"/>
    </i>
    <i>
      <x v="127"/>
    </i>
    <i>
      <x v="2"/>
    </i>
    <i>
      <x v="6"/>
    </i>
    <i>
      <x v="7"/>
    </i>
    <i>
      <x v="128"/>
    </i>
    <i>
      <x v="83"/>
    </i>
    <i>
      <x v="84"/>
    </i>
    <i>
      <x v="96"/>
    </i>
    <i>
      <x v="95"/>
    </i>
    <i>
      <x v="51"/>
    </i>
    <i>
      <x v="93"/>
    </i>
    <i>
      <x v="52"/>
    </i>
    <i>
      <x v="94"/>
    </i>
    <i>
      <x v="137"/>
    </i>
    <i>
      <x v="121"/>
    </i>
    <i>
      <x v="49"/>
    </i>
    <i>
      <x v="80"/>
    </i>
    <i>
      <x v="19"/>
    </i>
    <i>
      <x v="76"/>
    </i>
    <i>
      <x v="122"/>
    </i>
    <i>
      <x v="50"/>
    </i>
    <i>
      <x v="77"/>
    </i>
    <i>
      <x v="97"/>
    </i>
    <i>
      <x v="82"/>
    </i>
    <i>
      <x v="12"/>
    </i>
    <i>
      <x v="91"/>
    </i>
    <i>
      <x v="60"/>
    </i>
    <i>
      <x v="37"/>
    </i>
    <i>
      <x v="36"/>
    </i>
    <i>
      <x v="64"/>
    </i>
    <i>
      <x v="86"/>
    </i>
    <i>
      <x v="85"/>
    </i>
    <i>
      <x v="39"/>
    </i>
    <i>
      <x v="135"/>
    </i>
    <i>
      <x v="74"/>
    </i>
    <i>
      <x v="13"/>
    </i>
    <i>
      <x v="87"/>
    </i>
    <i>
      <x v="101"/>
    </i>
    <i>
      <x v="99"/>
    </i>
    <i>
      <x v="119"/>
    </i>
    <i>
      <x v="120"/>
    </i>
    <i>
      <x v="92"/>
    </i>
    <i>
      <x v="142"/>
    </i>
    <i>
      <x v="79"/>
    </i>
    <i>
      <x v="98"/>
    </i>
    <i>
      <x v="90"/>
    </i>
    <i>
      <x v="16"/>
    </i>
    <i>
      <x v="81"/>
    </i>
    <i>
      <x v="133"/>
    </i>
    <i>
      <x v="141"/>
    </i>
    <i>
      <x v="34"/>
    </i>
    <i>
      <x v="71"/>
    </i>
    <i>
      <x v="72"/>
    </i>
    <i>
      <x v="44"/>
    </i>
    <i>
      <x v="43"/>
    </i>
    <i>
      <x v="139"/>
    </i>
    <i>
      <x v="134"/>
    </i>
    <i>
      <x v="65"/>
    </i>
    <i>
      <x v="73"/>
    </i>
    <i>
      <x v="56"/>
    </i>
    <i>
      <x v="35"/>
    </i>
    <i>
      <x v="104"/>
    </i>
    <i>
      <x v="103"/>
    </i>
    <i>
      <x v="105"/>
    </i>
    <i>
      <x v="55"/>
    </i>
    <i>
      <x v="38"/>
    </i>
    <i>
      <x v="33"/>
    </i>
    <i>
      <x v="32"/>
    </i>
    <i>
      <x v="31"/>
    </i>
    <i>
      <x v="102"/>
    </i>
    <i>
      <x v="75"/>
    </i>
    <i>
      <x v="70"/>
    </i>
    <i>
      <x v="138"/>
    </i>
    <i>
      <x v="18"/>
    </i>
    <i>
      <x v="125"/>
    </i>
    <i>
      <x v="126"/>
    </i>
    <i>
      <x v="118"/>
    </i>
    <i>
      <x v="113"/>
    </i>
    <i>
      <x v="15"/>
    </i>
    <i>
      <x v="14"/>
    </i>
    <i>
      <x v="109"/>
    </i>
    <i>
      <x v="27"/>
    </i>
    <i>
      <x v="24"/>
    </i>
    <i>
      <x v="17"/>
    </i>
    <i>
      <x v="46"/>
    </i>
    <i>
      <x v="45"/>
    </i>
    <i>
      <x v="53"/>
    </i>
    <i>
      <x v="59"/>
    </i>
    <i>
      <x v="112"/>
    </i>
    <i>
      <x v="54"/>
    </i>
    <i>
      <x v="131"/>
    </i>
    <i r="1">
      <x v="8"/>
    </i>
    <i>
      <x v="20"/>
    </i>
    <i>
      <x v="117"/>
    </i>
    <i>
      <x v="8"/>
    </i>
    <i>
      <x v="107"/>
    </i>
    <i>
      <x v="108"/>
    </i>
    <i>
      <x v="21"/>
    </i>
    <i>
      <x v="111"/>
    </i>
    <i>
      <x v="114"/>
    </i>
    <i>
      <x v="40"/>
    </i>
    <i>
      <x v="41"/>
    </i>
    <i>
      <x v="106"/>
    </i>
    <i>
      <x v="110"/>
    </i>
    <i>
      <x v="66"/>
    </i>
    <i>
      <x v="67"/>
    </i>
    <i>
      <x v="57"/>
    </i>
    <i>
      <x v="58"/>
    </i>
    <i>
      <x v="61"/>
    </i>
    <i>
      <x v="28"/>
    </i>
    <i>
      <x v="88"/>
    </i>
    <i>
      <x v="29"/>
    </i>
    <i>
      <x v="30"/>
    </i>
    <i>
      <x v="89"/>
    </i>
    <i>
      <x v="69"/>
    </i>
    <i>
      <x v="68"/>
    </i>
    <i>
      <x v="116"/>
    </i>
    <i>
      <x v="5"/>
    </i>
    <i>
      <x v="11"/>
    </i>
    <i>
      <x v="115"/>
    </i>
    <i>
      <x v="136"/>
    </i>
    <i>
      <x v="130"/>
    </i>
    <i>
      <x v="129"/>
    </i>
    <i>
      <x v="42"/>
    </i>
    <i>
      <x v="3"/>
    </i>
    <i>
      <x v="47"/>
    </i>
    <i>
      <x v="123"/>
    </i>
    <i>
      <x v="48"/>
    </i>
    <i>
      <x v="23"/>
    </i>
    <i>
      <x v="25"/>
    </i>
    <i>
      <x v="124"/>
    </i>
    <i>
      <x v="100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édia Dividendo" fld="5" subtotal="average" baseField="0" baseItem="0" numFmtId="166"/>
    <dataField name="Média Payout" fld="6" subtotal="average" baseField="0" baseItem="0" numFmtId="10"/>
    <dataField name="Cotação Atual" fld="7" subtotal="average" baseField="0" baseItem="7" numFmtId="166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5" connectionId="2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44" connectionId="14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52" connectionId="1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66" connectionId="12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25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1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56" connectionId="17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44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10" connectionId="3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14" connectionId="5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23" connectionId="8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" connectionId="9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8" connectionId="18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8" connectionId="25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59" connectionId="18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62" connectionId="11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54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76" connectionId="22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72" connectionId="14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33" connectionId="1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17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9" connectionId="2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49" connectionId="16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77" connectionId="2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7" connectionId="2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40" connectionId="1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08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48" connectionId="6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41" connectionId="14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0" connectionId="12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66" connectionId="20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69" connectionId="5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5" connectionId="19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43" connectionId="14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68" connectionId="20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7" connectionId="17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20" connectionId="7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29" connectionId="10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49" connectionId="6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1" connectionId="29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25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39" connectionId="13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46" connectionId="1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3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" connectionId="2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57" connectionId="9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62" connectionId="19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39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1" connectionId="28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73" connectionId="21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4" connectionId="19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81" connectionId="2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19" connectionId="7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28" connectionId="10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0" connectionId="2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36" connectionId="1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26" connectionId="9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9" connectionId="28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16" connectionId="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51" connectionId="7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3" connectionId="25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5" connectionId="27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61" connectionId="1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8" connectionId="5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09" connectionId="3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31" connectionId="14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47" connectionId="15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6" connectionId="14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34" connectionId="1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45" connectionId="15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43" connectionId="4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9" connectionId="9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63" connectionId="11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51" connectionId="1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74" connectionId="21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67" connectionId="20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11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83" connectionId="25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" connectionId="2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0" connectionId="11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0" connectionId="21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46" connectionId="5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70" connectionId="9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45" connectionId="5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31" connectionId="11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04" connectionId="2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32" connectionId="11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8" connectionId="19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20" connectionId="27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79" connectionId="23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33" connectionId="19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97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50" connectionId="16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40" connectionId="3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35" connectionId="12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42" connectionId="4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55" connectionId="8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35" connectionId="24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3" connectionId="25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55" connectionId="17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24" connectionId="8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57" connectionId="18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2" connectionId="17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13" connectionId="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03" connectionId="22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72" connectionId="21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34" connectionId="22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37" connectionId="13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6" connectionId="28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15" connectionId="5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71" connectionId="12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73" connectionId="17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27" connectionId="10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50" connectionId="7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12" connectionId="4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52" connectionId="7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53" connectionId="16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56" connectionId="9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38" connectionId="13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63" connectionId="19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58" connectionId="10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8" connectionId="28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0" connectionId="28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21" connectionId="7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53" connectionId="8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18" connectionId="6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69" connectionId="20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47" connectionId="5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98" connectionId="9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61" connectionId="18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64" connectionId="11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42" connectionId="14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8" connectionId="23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65" connectionId="12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71" connectionId="2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0" connectionId="24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60" connectionId="18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48" connectionId="15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82" connectionId="24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54" connectionId="17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59" connectionId="10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64" connectionId="19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7" connectionId="28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9" connectionId="26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22" connectionId="8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90" connectionId="24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60" connectionId="10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75" connectionId="22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39" connectionId="27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38" connectionId="27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37" connectionId="27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36" connectionId="27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35" connectionId="27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77" connectionId="23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1" connectionId="25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63" connectionId="11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26" connectionId="9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13" connectionId="25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32" connectionId="11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74" connectionId="22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31" connectionId="26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0" connectionId="7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41" connectionId="4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50" connectionId="16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65" connectionId="1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43" connectionId="4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5" connectionId="22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10" connectionId="4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41" connectionId="14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30" connectionId="11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56" connectionId="9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9" connectionId="10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25" connectionId="9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21" connectionId="8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30" connectionId="26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68" connectionId="20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55" connectionId="17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6" connectionId="20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90" connectionId="24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5" connectionId="26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2" connectionId="19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40" connectionId="3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45" connectionId="5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69" connectionId="5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72" connectionId="15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58" connectionId="18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10" connectionId="28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19" connectionId="7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6" connectionId="18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48" connectionId="6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46" connectionId="15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52" connectionId="16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14" connectionId="5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76" connectionId="22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8" connectionId="6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73" connectionId="21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2" connectionId="14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46" connectionId="5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23" connectionId="8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61" connectionId="11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13" connectionId="4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0" connectionId="25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6" connectionId="24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2" connectionId="26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80" connectionId="23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5" connectionId="24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44" connectionId="5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1" connectionId="28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7" connectionId="17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39" connectionId="3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2" connectionId="28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75" connectionId="22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26" connectionId="26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8" connectionId="20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6" connectionId="28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51" connectionId="16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43" connectionId="14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" connectionId="28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39" connectionId="13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27" connectionId="10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28" connectionId="10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82" connectionId="24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60" connectionId="10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08" connectionId="3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6" connectionId="24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22" connectionId="8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29" connectionId="10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" connectionId="24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71" connectionId="21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36" connectionId="13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57" connectionId="9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17" connectionId="6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54" connectionId="17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33" connectionId="27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16" connectionId="6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40" connectionId="14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72" connectionId="21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04" connectionId="24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4" connectionId="27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55" connectionId="8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73" connectionId="17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24" connectionId="8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47" connectionId="15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8" connectionId="6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4" connectionId="20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22" connectionId="28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27" connectionId="26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4" connectionId="9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11" connectionId="29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09" connectionId="3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15" connectionId="5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57" connectionId="18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37" connectionId="13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9" connectionId="22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03" connectionId="22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42" connectionId="4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98" connectionId="9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6" connectionId="15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59" connectionId="10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83" connectionId="25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81" connectionId="23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64" connectionId="19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35" connectionId="12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34" connectionId="27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45" connectionId="15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79" connectionId="23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70" connectionId="9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33" connectionId="12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97" connectionId="6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47" connectionId="6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3" connectionId="20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32" connectionId="17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17" connectionId="28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44" connectionId="14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54" connectionId="8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21" connectionId="28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8" connectionId="10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0" connectionId="13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3" connectionId="25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23" connectionId="29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8" connectionId="26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19" connectionId="27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9" connectionId="28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65" connectionId="19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61" connectionId="19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67" connectionId="24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4" connectionId="22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31" connectionId="11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8" connectionId="28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71" connectionId="13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62" connectionId="11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5" connectionId="28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0" connectionId="25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53" connectionId="8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70" connectionId="21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51" connectionId="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63" connectionId="19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18" connectionId="7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64" connectionId="12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11" connectionId="4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49" connectionId="7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60" connectionId="18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20" connectionId="7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66" connectionId="12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" connectionId="6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18" connectionId="26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53" connectionId="17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34" connectionId="12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9" connectionId="26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67" connectionId="20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24" connectionId="25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48" connectionId="16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69" connectionId="21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78" connectionId="23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52" connectionId="7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12" connectionId="4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1" connectionId="15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49" connectionId="16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38" connectionId="13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59" connectionId="18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0" connectionId="28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36" totalsRowShown="0">
  <autoFilter ref="A1:W136"/>
  <sortState ref="A2:W136">
    <sortCondition descending="1" ref="S1:S136"/>
  </sortState>
  <tableColumns count="23">
    <tableColumn id="10" name="Classificação Setorial" dataDxfId="12"/>
    <tableColumn id="9" name="PAPEL" dataDxfId="11"/>
    <tableColumn id="24" name="Ref"/>
    <tableColumn id="2" name="Patrimônio Líquido" dataDxfId="63"/>
    <tableColumn id="13" name="Lucro Líquido" dataDxfId="62"/>
    <tableColumn id="3" name="Total Ações" dataDxfId="61"/>
    <tableColumn id="19" name="Lucro/Ação" dataDxfId="60">
      <calculatedColumnFormula>Tabela3[[#This Row],[Lucro Líquido]]/Tabela3[[#This Row],[Total Ações]]</calculatedColumnFormula>
    </tableColumn>
    <tableColumn id="25" name="Lucro/Ação Ano" dataDxfId="59">
      <calculatedColumnFormula>Tabela3[[#This Row],[Lucro/Ação]]/Tabela3[[#This Row],[Ref]]*4</calculatedColumnFormula>
    </tableColumn>
    <tableColumn id="26" name="Payout" dataDxfId="58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57">
      <calculatedColumnFormula>Tabela3[Patrimônio Líquido]/Tabela3[Total Ações]</calculatedColumnFormula>
    </tableColumn>
    <tableColumn id="5" name="Cotação" dataDxfId="56">
      <calculatedColumnFormula>MAX(Tabela3[[#This Row],[Cotação 1]],Tabela3[[#This Row],[Cotação 2]])</calculatedColumnFormula>
    </tableColumn>
    <tableColumn id="6" name="PVPA" dataDxfId="55">
      <calculatedColumnFormula>Tabela3[Cotação]/Tabela3[VPA]</calculatedColumnFormula>
    </tableColumn>
    <tableColumn id="16" name="PL" dataDxfId="54">
      <calculatedColumnFormula>IF(Tabela3[[#This Row],[Lucro/Ação Ano]]&gt;0,Tabela3[[#This Row],[Cotação]]/Tabela3[[#This Row],[Lucro/Ação Ano]],0)</calculatedColumnFormula>
    </tableColumn>
    <tableColumn id="11" name="10% Rent" dataDxfId="53">
      <calculatedColumnFormula>ROUND(Tabela3[[#This Row],[Lucro Prev]]/10%,2)</calculatedColumnFormula>
    </tableColumn>
    <tableColumn id="7" name="P Compra" dataDxfId="52">
      <calculatedColumnFormula>MIN(Tabela3[[#This Row],[10% Rent]],Tabela3[[#This Row],[VPA]]*2)</calculatedColumnFormula>
    </tableColumn>
    <tableColumn id="1" name="% Compra" dataDxfId="51">
      <calculatedColumnFormula>Tabela3[[#This Row],[P Compra]]/Tabela3[[#This Row],[Cotação]]-1</calculatedColumnFormula>
    </tableColumn>
    <tableColumn id="21" name="Lucro Prev" dataDxfId="50">
      <calculatedColumnFormula>Tabela3[[#This Row],[Lucro/Ação Ano]]*Tabela3[[#This Row],[Payout]]</calculatedColumnFormula>
    </tableColumn>
    <tableColumn id="8" name="Comprar ?" dataDxfId="49">
      <calculatedColumnFormula>IF(AND(Tabela3[% Yield]&gt;=10%,Tabela3[PVPA]&lt;=2,Tabela3[PL]&lt;=15,Tabela3[PL]&gt;0),"Sim","Não")</calculatedColumnFormula>
    </tableColumn>
    <tableColumn id="14" name="% Yield" dataDxfId="48">
      <calculatedColumnFormula>Tabela3[[#This Row],[Lucro Prev]]/Tabela3[[#This Row],[Cotação]]</calculatedColumnFormula>
    </tableColumn>
    <tableColumn id="17" name="Ativos" dataDxfId="47">
      <calculatedColumnFormula>($Z$1/Tabela3[[#This Row],[Cotação]]-MOD($Z$1/Tabela3[[#This Row],[Cotação]],100))</calculatedColumnFormula>
    </tableColumn>
    <tableColumn id="18" name="Lucro Med A.A" dataDxfId="46">
      <calculatedColumnFormula>Tabela3[[#This Row],[Ativos]]*Tabela3[[#This Row],[Lucro Prev]]</calculatedColumnFormula>
    </tableColumn>
    <tableColumn id="15" name="Cotação 1" dataDxfId="45">
      <calculatedColumnFormula>SUMPRODUCT(N(Tabela1[Código]=Tabela3[[#This Row],[PAPEL]]),Tabela1[Fechamento])</calculatedColumnFormula>
    </tableColumn>
    <tableColumn id="20" name="Cotação 2" dataDxfId="44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43" dataDxfId="42">
  <autoFilter ref="P6:V112"/>
  <sortState ref="P7:V112">
    <sortCondition ref="P6:P112"/>
  </sortState>
  <tableColumns count="7">
    <tableColumn id="1" name="Código" dataDxfId="41"/>
    <tableColumn id="2" name="Ativo" dataDxfId="40">
      <calculatedColumnFormula>IF(A7="","",C7)</calculatedColumnFormula>
    </tableColumn>
    <tableColumn id="3" name="Data" dataDxfId="39">
      <calculatedColumnFormula>IF(A7="","",H7)</calculatedColumnFormula>
    </tableColumn>
    <tableColumn id="4" name="Abertura" dataDxfId="38">
      <calculatedColumnFormula>J7</calculatedColumnFormula>
    </tableColumn>
    <tableColumn id="5" name="Fechamento" dataDxfId="37">
      <calculatedColumnFormula>K7</calculatedColumnFormula>
    </tableColumn>
    <tableColumn id="6" name="Máxima" dataDxfId="36">
      <calculatedColumnFormula>L7</calculatedColumnFormula>
    </tableColumn>
    <tableColumn id="7" name="Mínima" dataDxfId="3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34" dataDxfId="33">
  <autoFilter ref="P6:V112"/>
  <sortState ref="P7:V112">
    <sortCondition ref="P6:P112"/>
  </sortState>
  <tableColumns count="7">
    <tableColumn id="1" name="Código" dataDxfId="32"/>
    <tableColumn id="2" name="Ativo" dataDxfId="31">
      <calculatedColumnFormula>IF(A7="","",C7)</calculatedColumnFormula>
    </tableColumn>
    <tableColumn id="3" name="Data" dataDxfId="30">
      <calculatedColumnFormula>IF(A7="","",H7)</calculatedColumnFormula>
    </tableColumn>
    <tableColumn id="4" name="Abertura" dataDxfId="29">
      <calculatedColumnFormula>J7</calculatedColumnFormula>
    </tableColumn>
    <tableColumn id="5" name="Fechamento" dataDxfId="28">
      <calculatedColumnFormula>K7</calculatedColumnFormula>
    </tableColumn>
    <tableColumn id="6" name="Máxima" dataDxfId="27">
      <calculatedColumnFormula>L7</calculatedColumnFormula>
    </tableColumn>
    <tableColumn id="7" name="Mínima" dataDxfId="2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495" totalsRowShown="0" headerRowDxfId="25" dataDxfId="24">
  <autoFilter ref="A1:K495"/>
  <sortState ref="A2:J386">
    <sortCondition ref="A1:A386"/>
  </sortState>
  <tableColumns count="11">
    <tableColumn id="1" name="Ativo" dataDxfId="23"/>
    <tableColumn id="4" name="Exercício" dataDxfId="22"/>
    <tableColumn id="2" name="Lucro Líquido" dataDxfId="14" dataCellStyle="Currency"/>
    <tableColumn id="6" name="Total Ações" dataDxfId="13">
      <calculatedColumnFormula>SUMPRODUCT(N(Tabela3[PAPEL]=Tabela2[[#This Row],[Ativo]]),Tabela3[Total Ações])</calculatedColumnFormula>
    </tableColumn>
    <tableColumn id="7" name="Lucro por ação" dataDxfId="21">
      <calculatedColumnFormula>(Tabela2[[#This Row],[Lucro Líquido]])/Tabela2[[#This Row],[Total Ações]]</calculatedColumnFormula>
    </tableColumn>
    <tableColumn id="8" name="Dividendo / Ação" dataDxfId="20"/>
    <tableColumn id="5" name="Payout" dataDxfId="19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8">
      <calculatedColumnFormula>MAX(Tabela2[[#This Row],[Cotação 1]],Tabela2[[#This Row],[Cotação 2]])</calculatedColumnFormula>
    </tableColumn>
    <tableColumn id="10" name="Yield" dataDxfId="17">
      <calculatedColumnFormula>IF(Tabela2[[#This Row],[Dividendo / Ação]]&gt;0,Tabela2[[#This Row],[Dividendo / Ação]]/Tabela2[[#This Row],[Cotação]],"")</calculatedColumnFormula>
    </tableColumn>
    <tableColumn id="11" name="Cotação 1" dataDxfId="16">
      <calculatedColumnFormula>SUMPRODUCT(N(Tabela1[Código]=Tabela2[[#This Row],[Ativo]]),Tabela1[Fechamento])</calculatedColumnFormula>
    </tableColumn>
    <tableColumn id="12" name="Cotação 2" dataDxfId="15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10">
  <autoFilter ref="A1:F2"/>
  <tableColumns count="6">
    <tableColumn id="1" name="Data Liquidação" totalsRowLabel="Total" dataDxfId="9" totalsRowDxfId="5" dataCellStyle="Currency"/>
    <tableColumn id="2" name="Aplicação" totalsRowFunction="sum" dataDxfId="8" totalsRowDxfId="0" dataCellStyle="Currency"/>
    <tableColumn id="3" name="Taxas" totalsRowFunction="min" totalsRowDxfId="4" dataCellStyle="Currency"/>
    <tableColumn id="4" name="Resgates" totalsRowFunction="sum" dataDxfId="7" totalsRowDxfId="3" dataCellStyle="Currency"/>
    <tableColumn id="5" name="Rendimento" totalsRowFunction="sum" totalsRowDxfId="2" dataCellStyle="Currency"/>
    <tableColumn id="6" name="Rentabilidade" totalsRowFunction="custom" dataDxfId="6" totalsRowDxfId="1" dataCellStyle="Percent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38" Type="http://schemas.openxmlformats.org/officeDocument/2006/relationships/queryTable" Target="../queryTables/queryTable133.xml"/><Relationship Id="rId154" Type="http://schemas.openxmlformats.org/officeDocument/2006/relationships/queryTable" Target="../queryTables/queryTable149.xml"/><Relationship Id="rId159" Type="http://schemas.openxmlformats.org/officeDocument/2006/relationships/queryTable" Target="../queryTables/queryTable154.xml"/><Relationship Id="rId175" Type="http://schemas.openxmlformats.org/officeDocument/2006/relationships/queryTable" Target="../queryTables/queryTable170.xml"/><Relationship Id="rId170" Type="http://schemas.openxmlformats.org/officeDocument/2006/relationships/queryTable" Target="../queryTables/queryTable165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144" Type="http://schemas.openxmlformats.org/officeDocument/2006/relationships/queryTable" Target="../queryTables/queryTable139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2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65" Type="http://schemas.openxmlformats.org/officeDocument/2006/relationships/queryTable" Target="../queryTables/queryTable16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71" Type="http://schemas.openxmlformats.org/officeDocument/2006/relationships/queryTable" Target="../queryTables/queryTable166.xml"/><Relationship Id="rId176" Type="http://schemas.openxmlformats.org/officeDocument/2006/relationships/queryTable" Target="../queryTables/queryTable171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77" Type="http://schemas.openxmlformats.org/officeDocument/2006/relationships/queryTable" Target="../queryTables/queryTable17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72" Type="http://schemas.openxmlformats.org/officeDocument/2006/relationships/queryTable" Target="../queryTables/queryTable167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85.xml"/><Relationship Id="rId21" Type="http://schemas.openxmlformats.org/officeDocument/2006/relationships/queryTable" Target="../queryTables/queryTable189.xml"/><Relationship Id="rId42" Type="http://schemas.openxmlformats.org/officeDocument/2006/relationships/queryTable" Target="../queryTables/queryTable210.xml"/><Relationship Id="rId63" Type="http://schemas.openxmlformats.org/officeDocument/2006/relationships/queryTable" Target="../queryTables/queryTable231.xml"/><Relationship Id="rId84" Type="http://schemas.openxmlformats.org/officeDocument/2006/relationships/queryTable" Target="../queryTables/queryTable252.xml"/><Relationship Id="rId138" Type="http://schemas.openxmlformats.org/officeDocument/2006/relationships/queryTable" Target="../queryTables/queryTable306.xml"/><Relationship Id="rId159" Type="http://schemas.openxmlformats.org/officeDocument/2006/relationships/queryTable" Target="../queryTables/queryTable327.xml"/><Relationship Id="rId170" Type="http://schemas.openxmlformats.org/officeDocument/2006/relationships/queryTable" Target="../queryTables/queryTable338.xml"/><Relationship Id="rId191" Type="http://schemas.openxmlformats.org/officeDocument/2006/relationships/queryTable" Target="../queryTables/queryTable359.xml"/><Relationship Id="rId205" Type="http://schemas.openxmlformats.org/officeDocument/2006/relationships/queryTable" Target="../queryTables/queryTable373.xml"/><Relationship Id="rId16" Type="http://schemas.openxmlformats.org/officeDocument/2006/relationships/queryTable" Target="../queryTables/queryTable184.xml"/><Relationship Id="rId107" Type="http://schemas.openxmlformats.org/officeDocument/2006/relationships/queryTable" Target="../queryTables/queryTable275.xml"/><Relationship Id="rId11" Type="http://schemas.openxmlformats.org/officeDocument/2006/relationships/queryTable" Target="../queryTables/queryTable179.xml"/><Relationship Id="rId32" Type="http://schemas.openxmlformats.org/officeDocument/2006/relationships/queryTable" Target="../queryTables/queryTable200.xml"/><Relationship Id="rId37" Type="http://schemas.openxmlformats.org/officeDocument/2006/relationships/queryTable" Target="../queryTables/queryTable205.xml"/><Relationship Id="rId53" Type="http://schemas.openxmlformats.org/officeDocument/2006/relationships/queryTable" Target="../queryTables/queryTable221.xml"/><Relationship Id="rId58" Type="http://schemas.openxmlformats.org/officeDocument/2006/relationships/queryTable" Target="../queryTables/queryTable226.xml"/><Relationship Id="rId74" Type="http://schemas.openxmlformats.org/officeDocument/2006/relationships/queryTable" Target="../queryTables/queryTable242.xml"/><Relationship Id="rId79" Type="http://schemas.openxmlformats.org/officeDocument/2006/relationships/queryTable" Target="../queryTables/queryTable247.xml"/><Relationship Id="rId102" Type="http://schemas.openxmlformats.org/officeDocument/2006/relationships/queryTable" Target="../queryTables/queryTable270.xml"/><Relationship Id="rId123" Type="http://schemas.openxmlformats.org/officeDocument/2006/relationships/queryTable" Target="../queryTables/queryTable291.xml"/><Relationship Id="rId128" Type="http://schemas.openxmlformats.org/officeDocument/2006/relationships/queryTable" Target="../queryTables/queryTable296.xml"/><Relationship Id="rId144" Type="http://schemas.openxmlformats.org/officeDocument/2006/relationships/queryTable" Target="../queryTables/queryTable312.xml"/><Relationship Id="rId149" Type="http://schemas.openxmlformats.org/officeDocument/2006/relationships/queryTable" Target="../queryTables/queryTable317.xml"/><Relationship Id="rId5" Type="http://schemas.openxmlformats.org/officeDocument/2006/relationships/table" Target="../tables/table3.xml"/><Relationship Id="rId90" Type="http://schemas.openxmlformats.org/officeDocument/2006/relationships/queryTable" Target="../queryTables/queryTable258.xml"/><Relationship Id="rId95" Type="http://schemas.openxmlformats.org/officeDocument/2006/relationships/queryTable" Target="../queryTables/queryTable263.xml"/><Relationship Id="rId160" Type="http://schemas.openxmlformats.org/officeDocument/2006/relationships/queryTable" Target="../queryTables/queryTable328.xml"/><Relationship Id="rId165" Type="http://schemas.openxmlformats.org/officeDocument/2006/relationships/queryTable" Target="../queryTables/queryTable333.xml"/><Relationship Id="rId181" Type="http://schemas.openxmlformats.org/officeDocument/2006/relationships/queryTable" Target="../queryTables/queryTable349.xml"/><Relationship Id="rId186" Type="http://schemas.openxmlformats.org/officeDocument/2006/relationships/queryTable" Target="../queryTables/queryTable354.xml"/><Relationship Id="rId22" Type="http://schemas.openxmlformats.org/officeDocument/2006/relationships/queryTable" Target="../queryTables/queryTable190.xml"/><Relationship Id="rId27" Type="http://schemas.openxmlformats.org/officeDocument/2006/relationships/queryTable" Target="../queryTables/queryTable195.xml"/><Relationship Id="rId43" Type="http://schemas.openxmlformats.org/officeDocument/2006/relationships/queryTable" Target="../queryTables/queryTable211.xml"/><Relationship Id="rId48" Type="http://schemas.openxmlformats.org/officeDocument/2006/relationships/queryTable" Target="../queryTables/queryTable216.xml"/><Relationship Id="rId64" Type="http://schemas.openxmlformats.org/officeDocument/2006/relationships/queryTable" Target="../queryTables/queryTable232.xml"/><Relationship Id="rId69" Type="http://schemas.openxmlformats.org/officeDocument/2006/relationships/queryTable" Target="../queryTables/queryTable237.xml"/><Relationship Id="rId113" Type="http://schemas.openxmlformats.org/officeDocument/2006/relationships/queryTable" Target="../queryTables/queryTable281.xml"/><Relationship Id="rId118" Type="http://schemas.openxmlformats.org/officeDocument/2006/relationships/queryTable" Target="../queryTables/queryTable286.xml"/><Relationship Id="rId134" Type="http://schemas.openxmlformats.org/officeDocument/2006/relationships/queryTable" Target="../queryTables/queryTable302.xml"/><Relationship Id="rId139" Type="http://schemas.openxmlformats.org/officeDocument/2006/relationships/queryTable" Target="../queryTables/queryTable307.xml"/><Relationship Id="rId80" Type="http://schemas.openxmlformats.org/officeDocument/2006/relationships/queryTable" Target="../queryTables/queryTable248.xml"/><Relationship Id="rId85" Type="http://schemas.openxmlformats.org/officeDocument/2006/relationships/queryTable" Target="../queryTables/queryTable253.xml"/><Relationship Id="rId150" Type="http://schemas.openxmlformats.org/officeDocument/2006/relationships/queryTable" Target="../queryTables/queryTable318.xml"/><Relationship Id="rId155" Type="http://schemas.openxmlformats.org/officeDocument/2006/relationships/queryTable" Target="../queryTables/queryTable323.xml"/><Relationship Id="rId171" Type="http://schemas.openxmlformats.org/officeDocument/2006/relationships/queryTable" Target="../queryTables/queryTable339.xml"/><Relationship Id="rId176" Type="http://schemas.openxmlformats.org/officeDocument/2006/relationships/queryTable" Target="../queryTables/queryTable344.xml"/><Relationship Id="rId192" Type="http://schemas.openxmlformats.org/officeDocument/2006/relationships/queryTable" Target="../queryTables/queryTable360.xml"/><Relationship Id="rId197" Type="http://schemas.openxmlformats.org/officeDocument/2006/relationships/queryTable" Target="../queryTables/queryTable365.xml"/><Relationship Id="rId206" Type="http://schemas.openxmlformats.org/officeDocument/2006/relationships/queryTable" Target="../queryTables/queryTable374.xml"/><Relationship Id="rId201" Type="http://schemas.openxmlformats.org/officeDocument/2006/relationships/queryTable" Target="../queryTables/queryTable369.xml"/><Relationship Id="rId12" Type="http://schemas.openxmlformats.org/officeDocument/2006/relationships/queryTable" Target="../queryTables/queryTable180.xml"/><Relationship Id="rId17" Type="http://schemas.openxmlformats.org/officeDocument/2006/relationships/queryTable" Target="../queryTables/queryTable185.xml"/><Relationship Id="rId33" Type="http://schemas.openxmlformats.org/officeDocument/2006/relationships/queryTable" Target="../queryTables/queryTable201.xml"/><Relationship Id="rId38" Type="http://schemas.openxmlformats.org/officeDocument/2006/relationships/queryTable" Target="../queryTables/queryTable206.xml"/><Relationship Id="rId59" Type="http://schemas.openxmlformats.org/officeDocument/2006/relationships/queryTable" Target="../queryTables/queryTable227.xml"/><Relationship Id="rId103" Type="http://schemas.openxmlformats.org/officeDocument/2006/relationships/queryTable" Target="../queryTables/queryTable271.xml"/><Relationship Id="rId108" Type="http://schemas.openxmlformats.org/officeDocument/2006/relationships/queryTable" Target="../queryTables/queryTable276.xml"/><Relationship Id="rId124" Type="http://schemas.openxmlformats.org/officeDocument/2006/relationships/queryTable" Target="../queryTables/queryTable292.xml"/><Relationship Id="rId129" Type="http://schemas.openxmlformats.org/officeDocument/2006/relationships/queryTable" Target="../queryTables/queryTable297.xml"/><Relationship Id="rId54" Type="http://schemas.openxmlformats.org/officeDocument/2006/relationships/queryTable" Target="../queryTables/queryTable222.xml"/><Relationship Id="rId70" Type="http://schemas.openxmlformats.org/officeDocument/2006/relationships/queryTable" Target="../queryTables/queryTable238.xml"/><Relationship Id="rId75" Type="http://schemas.openxmlformats.org/officeDocument/2006/relationships/queryTable" Target="../queryTables/queryTable243.xml"/><Relationship Id="rId91" Type="http://schemas.openxmlformats.org/officeDocument/2006/relationships/queryTable" Target="../queryTables/queryTable259.xml"/><Relationship Id="rId96" Type="http://schemas.openxmlformats.org/officeDocument/2006/relationships/queryTable" Target="../queryTables/queryTable264.xml"/><Relationship Id="rId140" Type="http://schemas.openxmlformats.org/officeDocument/2006/relationships/queryTable" Target="../queryTables/queryTable308.xml"/><Relationship Id="rId145" Type="http://schemas.openxmlformats.org/officeDocument/2006/relationships/queryTable" Target="../queryTables/queryTable313.xml"/><Relationship Id="rId161" Type="http://schemas.openxmlformats.org/officeDocument/2006/relationships/queryTable" Target="../queryTables/queryTable329.xml"/><Relationship Id="rId166" Type="http://schemas.openxmlformats.org/officeDocument/2006/relationships/queryTable" Target="../queryTables/queryTable334.xml"/><Relationship Id="rId182" Type="http://schemas.openxmlformats.org/officeDocument/2006/relationships/queryTable" Target="../queryTables/queryTable350.xml"/><Relationship Id="rId187" Type="http://schemas.openxmlformats.org/officeDocument/2006/relationships/queryTable" Target="../queryTables/queryTable355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74.xml"/><Relationship Id="rId23" Type="http://schemas.openxmlformats.org/officeDocument/2006/relationships/queryTable" Target="../queryTables/queryTable191.xml"/><Relationship Id="rId28" Type="http://schemas.openxmlformats.org/officeDocument/2006/relationships/queryTable" Target="../queryTables/queryTable196.xml"/><Relationship Id="rId49" Type="http://schemas.openxmlformats.org/officeDocument/2006/relationships/queryTable" Target="../queryTables/queryTable217.xml"/><Relationship Id="rId114" Type="http://schemas.openxmlformats.org/officeDocument/2006/relationships/queryTable" Target="../queryTables/queryTable282.xml"/><Relationship Id="rId119" Type="http://schemas.openxmlformats.org/officeDocument/2006/relationships/queryTable" Target="../queryTables/queryTable287.xml"/><Relationship Id="rId44" Type="http://schemas.openxmlformats.org/officeDocument/2006/relationships/queryTable" Target="../queryTables/queryTable212.xml"/><Relationship Id="rId60" Type="http://schemas.openxmlformats.org/officeDocument/2006/relationships/queryTable" Target="../queryTables/queryTable228.xml"/><Relationship Id="rId65" Type="http://schemas.openxmlformats.org/officeDocument/2006/relationships/queryTable" Target="../queryTables/queryTable233.xml"/><Relationship Id="rId81" Type="http://schemas.openxmlformats.org/officeDocument/2006/relationships/queryTable" Target="../queryTables/queryTable249.xml"/><Relationship Id="rId86" Type="http://schemas.openxmlformats.org/officeDocument/2006/relationships/queryTable" Target="../queryTables/queryTable254.xml"/><Relationship Id="rId130" Type="http://schemas.openxmlformats.org/officeDocument/2006/relationships/queryTable" Target="../queryTables/queryTable298.xml"/><Relationship Id="rId135" Type="http://schemas.openxmlformats.org/officeDocument/2006/relationships/queryTable" Target="../queryTables/queryTable303.xml"/><Relationship Id="rId151" Type="http://schemas.openxmlformats.org/officeDocument/2006/relationships/queryTable" Target="../queryTables/queryTable319.xml"/><Relationship Id="rId156" Type="http://schemas.openxmlformats.org/officeDocument/2006/relationships/queryTable" Target="../queryTables/queryTable324.xml"/><Relationship Id="rId177" Type="http://schemas.openxmlformats.org/officeDocument/2006/relationships/queryTable" Target="../queryTables/queryTable345.xml"/><Relationship Id="rId198" Type="http://schemas.openxmlformats.org/officeDocument/2006/relationships/queryTable" Target="../queryTables/queryTable366.xml"/><Relationship Id="rId172" Type="http://schemas.openxmlformats.org/officeDocument/2006/relationships/queryTable" Target="../queryTables/queryTable340.xml"/><Relationship Id="rId193" Type="http://schemas.openxmlformats.org/officeDocument/2006/relationships/queryTable" Target="../queryTables/queryTable361.xml"/><Relationship Id="rId202" Type="http://schemas.openxmlformats.org/officeDocument/2006/relationships/queryTable" Target="../queryTables/queryTable370.xml"/><Relationship Id="rId207" Type="http://schemas.openxmlformats.org/officeDocument/2006/relationships/queryTable" Target="../queryTables/queryTable375.xml"/><Relationship Id="rId13" Type="http://schemas.openxmlformats.org/officeDocument/2006/relationships/queryTable" Target="../queryTables/queryTable181.xml"/><Relationship Id="rId18" Type="http://schemas.openxmlformats.org/officeDocument/2006/relationships/queryTable" Target="../queryTables/queryTable186.xml"/><Relationship Id="rId39" Type="http://schemas.openxmlformats.org/officeDocument/2006/relationships/queryTable" Target="../queryTables/queryTable207.xml"/><Relationship Id="rId109" Type="http://schemas.openxmlformats.org/officeDocument/2006/relationships/queryTable" Target="../queryTables/queryTable277.xml"/><Relationship Id="rId34" Type="http://schemas.openxmlformats.org/officeDocument/2006/relationships/queryTable" Target="../queryTables/queryTable202.xml"/><Relationship Id="rId50" Type="http://schemas.openxmlformats.org/officeDocument/2006/relationships/queryTable" Target="../queryTables/queryTable218.xml"/><Relationship Id="rId55" Type="http://schemas.openxmlformats.org/officeDocument/2006/relationships/queryTable" Target="../queryTables/queryTable223.xml"/><Relationship Id="rId76" Type="http://schemas.openxmlformats.org/officeDocument/2006/relationships/queryTable" Target="../queryTables/queryTable244.xml"/><Relationship Id="rId97" Type="http://schemas.openxmlformats.org/officeDocument/2006/relationships/queryTable" Target="../queryTables/queryTable265.xml"/><Relationship Id="rId104" Type="http://schemas.openxmlformats.org/officeDocument/2006/relationships/queryTable" Target="../queryTables/queryTable272.xml"/><Relationship Id="rId120" Type="http://schemas.openxmlformats.org/officeDocument/2006/relationships/queryTable" Target="../queryTables/queryTable288.xml"/><Relationship Id="rId125" Type="http://schemas.openxmlformats.org/officeDocument/2006/relationships/queryTable" Target="../queryTables/queryTable293.xml"/><Relationship Id="rId141" Type="http://schemas.openxmlformats.org/officeDocument/2006/relationships/queryTable" Target="../queryTables/queryTable309.xml"/><Relationship Id="rId146" Type="http://schemas.openxmlformats.org/officeDocument/2006/relationships/queryTable" Target="../queryTables/queryTable314.xml"/><Relationship Id="rId167" Type="http://schemas.openxmlformats.org/officeDocument/2006/relationships/queryTable" Target="../queryTables/queryTable335.xml"/><Relationship Id="rId188" Type="http://schemas.openxmlformats.org/officeDocument/2006/relationships/queryTable" Target="../queryTables/queryTable356.xml"/><Relationship Id="rId7" Type="http://schemas.openxmlformats.org/officeDocument/2006/relationships/queryTable" Target="../queryTables/queryTable175.xml"/><Relationship Id="rId71" Type="http://schemas.openxmlformats.org/officeDocument/2006/relationships/queryTable" Target="../queryTables/queryTable239.xml"/><Relationship Id="rId92" Type="http://schemas.openxmlformats.org/officeDocument/2006/relationships/queryTable" Target="../queryTables/queryTable260.xml"/><Relationship Id="rId162" Type="http://schemas.openxmlformats.org/officeDocument/2006/relationships/queryTable" Target="../queryTables/queryTable330.xml"/><Relationship Id="rId183" Type="http://schemas.openxmlformats.org/officeDocument/2006/relationships/queryTable" Target="../queryTables/queryTable351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197.xml"/><Relationship Id="rId24" Type="http://schemas.openxmlformats.org/officeDocument/2006/relationships/queryTable" Target="../queryTables/queryTable192.xml"/><Relationship Id="rId40" Type="http://schemas.openxmlformats.org/officeDocument/2006/relationships/queryTable" Target="../queryTables/queryTable208.xml"/><Relationship Id="rId45" Type="http://schemas.openxmlformats.org/officeDocument/2006/relationships/queryTable" Target="../queryTables/queryTable213.xml"/><Relationship Id="rId66" Type="http://schemas.openxmlformats.org/officeDocument/2006/relationships/queryTable" Target="../queryTables/queryTable234.xml"/><Relationship Id="rId87" Type="http://schemas.openxmlformats.org/officeDocument/2006/relationships/queryTable" Target="../queryTables/queryTable255.xml"/><Relationship Id="rId110" Type="http://schemas.openxmlformats.org/officeDocument/2006/relationships/queryTable" Target="../queryTables/queryTable278.xml"/><Relationship Id="rId115" Type="http://schemas.openxmlformats.org/officeDocument/2006/relationships/queryTable" Target="../queryTables/queryTable283.xml"/><Relationship Id="rId131" Type="http://schemas.openxmlformats.org/officeDocument/2006/relationships/queryTable" Target="../queryTables/queryTable299.xml"/><Relationship Id="rId136" Type="http://schemas.openxmlformats.org/officeDocument/2006/relationships/queryTable" Target="../queryTables/queryTable304.xml"/><Relationship Id="rId157" Type="http://schemas.openxmlformats.org/officeDocument/2006/relationships/queryTable" Target="../queryTables/queryTable325.xml"/><Relationship Id="rId178" Type="http://schemas.openxmlformats.org/officeDocument/2006/relationships/queryTable" Target="../queryTables/queryTable346.xml"/><Relationship Id="rId61" Type="http://schemas.openxmlformats.org/officeDocument/2006/relationships/queryTable" Target="../queryTables/queryTable229.xml"/><Relationship Id="rId82" Type="http://schemas.openxmlformats.org/officeDocument/2006/relationships/queryTable" Target="../queryTables/queryTable250.xml"/><Relationship Id="rId152" Type="http://schemas.openxmlformats.org/officeDocument/2006/relationships/queryTable" Target="../queryTables/queryTable320.xml"/><Relationship Id="rId173" Type="http://schemas.openxmlformats.org/officeDocument/2006/relationships/queryTable" Target="../queryTables/queryTable341.xml"/><Relationship Id="rId194" Type="http://schemas.openxmlformats.org/officeDocument/2006/relationships/queryTable" Target="../queryTables/queryTable362.xml"/><Relationship Id="rId199" Type="http://schemas.openxmlformats.org/officeDocument/2006/relationships/queryTable" Target="../queryTables/queryTable367.xml"/><Relationship Id="rId203" Type="http://schemas.openxmlformats.org/officeDocument/2006/relationships/queryTable" Target="../queryTables/queryTable371.xml"/><Relationship Id="rId208" Type="http://schemas.openxmlformats.org/officeDocument/2006/relationships/queryTable" Target="../queryTables/queryTable376.xml"/><Relationship Id="rId19" Type="http://schemas.openxmlformats.org/officeDocument/2006/relationships/queryTable" Target="../queryTables/queryTable187.xml"/><Relationship Id="rId14" Type="http://schemas.openxmlformats.org/officeDocument/2006/relationships/queryTable" Target="../queryTables/queryTable182.xml"/><Relationship Id="rId30" Type="http://schemas.openxmlformats.org/officeDocument/2006/relationships/queryTable" Target="../queryTables/queryTable198.xml"/><Relationship Id="rId35" Type="http://schemas.openxmlformats.org/officeDocument/2006/relationships/queryTable" Target="../queryTables/queryTable203.xml"/><Relationship Id="rId56" Type="http://schemas.openxmlformats.org/officeDocument/2006/relationships/queryTable" Target="../queryTables/queryTable224.xml"/><Relationship Id="rId77" Type="http://schemas.openxmlformats.org/officeDocument/2006/relationships/queryTable" Target="../queryTables/queryTable245.xml"/><Relationship Id="rId100" Type="http://schemas.openxmlformats.org/officeDocument/2006/relationships/queryTable" Target="../queryTables/queryTable268.xml"/><Relationship Id="rId105" Type="http://schemas.openxmlformats.org/officeDocument/2006/relationships/queryTable" Target="../queryTables/queryTable273.xml"/><Relationship Id="rId126" Type="http://schemas.openxmlformats.org/officeDocument/2006/relationships/queryTable" Target="../queryTables/queryTable294.xml"/><Relationship Id="rId147" Type="http://schemas.openxmlformats.org/officeDocument/2006/relationships/queryTable" Target="../queryTables/queryTable315.xml"/><Relationship Id="rId168" Type="http://schemas.openxmlformats.org/officeDocument/2006/relationships/queryTable" Target="../queryTables/queryTable336.xml"/><Relationship Id="rId8" Type="http://schemas.openxmlformats.org/officeDocument/2006/relationships/queryTable" Target="../queryTables/queryTable176.xml"/><Relationship Id="rId51" Type="http://schemas.openxmlformats.org/officeDocument/2006/relationships/queryTable" Target="../queryTables/queryTable219.xml"/><Relationship Id="rId72" Type="http://schemas.openxmlformats.org/officeDocument/2006/relationships/queryTable" Target="../queryTables/queryTable240.xml"/><Relationship Id="rId93" Type="http://schemas.openxmlformats.org/officeDocument/2006/relationships/queryTable" Target="../queryTables/queryTable261.xml"/><Relationship Id="rId98" Type="http://schemas.openxmlformats.org/officeDocument/2006/relationships/queryTable" Target="../queryTables/queryTable266.xml"/><Relationship Id="rId121" Type="http://schemas.openxmlformats.org/officeDocument/2006/relationships/queryTable" Target="../queryTables/queryTable289.xml"/><Relationship Id="rId142" Type="http://schemas.openxmlformats.org/officeDocument/2006/relationships/queryTable" Target="../queryTables/queryTable310.xml"/><Relationship Id="rId163" Type="http://schemas.openxmlformats.org/officeDocument/2006/relationships/queryTable" Target="../queryTables/queryTable331.xml"/><Relationship Id="rId184" Type="http://schemas.openxmlformats.org/officeDocument/2006/relationships/queryTable" Target="../queryTables/queryTable352.xml"/><Relationship Id="rId189" Type="http://schemas.openxmlformats.org/officeDocument/2006/relationships/queryTable" Target="../queryTables/queryTable357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193.xml"/><Relationship Id="rId46" Type="http://schemas.openxmlformats.org/officeDocument/2006/relationships/queryTable" Target="../queryTables/queryTable214.xml"/><Relationship Id="rId67" Type="http://schemas.openxmlformats.org/officeDocument/2006/relationships/queryTable" Target="../queryTables/queryTable235.xml"/><Relationship Id="rId116" Type="http://schemas.openxmlformats.org/officeDocument/2006/relationships/queryTable" Target="../queryTables/queryTable284.xml"/><Relationship Id="rId137" Type="http://schemas.openxmlformats.org/officeDocument/2006/relationships/queryTable" Target="../queryTables/queryTable305.xml"/><Relationship Id="rId158" Type="http://schemas.openxmlformats.org/officeDocument/2006/relationships/queryTable" Target="../queryTables/queryTable326.xml"/><Relationship Id="rId20" Type="http://schemas.openxmlformats.org/officeDocument/2006/relationships/queryTable" Target="../queryTables/queryTable188.xml"/><Relationship Id="rId41" Type="http://schemas.openxmlformats.org/officeDocument/2006/relationships/queryTable" Target="../queryTables/queryTable209.xml"/><Relationship Id="rId62" Type="http://schemas.openxmlformats.org/officeDocument/2006/relationships/queryTable" Target="../queryTables/queryTable230.xml"/><Relationship Id="rId83" Type="http://schemas.openxmlformats.org/officeDocument/2006/relationships/queryTable" Target="../queryTables/queryTable251.xml"/><Relationship Id="rId88" Type="http://schemas.openxmlformats.org/officeDocument/2006/relationships/queryTable" Target="../queryTables/queryTable256.xml"/><Relationship Id="rId111" Type="http://schemas.openxmlformats.org/officeDocument/2006/relationships/queryTable" Target="../queryTables/queryTable279.xml"/><Relationship Id="rId132" Type="http://schemas.openxmlformats.org/officeDocument/2006/relationships/queryTable" Target="../queryTables/queryTable300.xml"/><Relationship Id="rId153" Type="http://schemas.openxmlformats.org/officeDocument/2006/relationships/queryTable" Target="../queryTables/queryTable321.xml"/><Relationship Id="rId174" Type="http://schemas.openxmlformats.org/officeDocument/2006/relationships/queryTable" Target="../queryTables/queryTable342.xml"/><Relationship Id="rId179" Type="http://schemas.openxmlformats.org/officeDocument/2006/relationships/queryTable" Target="../queryTables/queryTable347.xml"/><Relationship Id="rId195" Type="http://schemas.openxmlformats.org/officeDocument/2006/relationships/queryTable" Target="../queryTables/queryTable363.xml"/><Relationship Id="rId190" Type="http://schemas.openxmlformats.org/officeDocument/2006/relationships/queryTable" Target="../queryTables/queryTable358.xml"/><Relationship Id="rId204" Type="http://schemas.openxmlformats.org/officeDocument/2006/relationships/queryTable" Target="../queryTables/queryTable372.xml"/><Relationship Id="rId15" Type="http://schemas.openxmlformats.org/officeDocument/2006/relationships/queryTable" Target="../queryTables/queryTable183.xml"/><Relationship Id="rId36" Type="http://schemas.openxmlformats.org/officeDocument/2006/relationships/queryTable" Target="../queryTables/queryTable204.xml"/><Relationship Id="rId57" Type="http://schemas.openxmlformats.org/officeDocument/2006/relationships/queryTable" Target="../queryTables/queryTable225.xml"/><Relationship Id="rId106" Type="http://schemas.openxmlformats.org/officeDocument/2006/relationships/queryTable" Target="../queryTables/queryTable274.xml"/><Relationship Id="rId127" Type="http://schemas.openxmlformats.org/officeDocument/2006/relationships/queryTable" Target="../queryTables/queryTable295.xml"/><Relationship Id="rId10" Type="http://schemas.openxmlformats.org/officeDocument/2006/relationships/queryTable" Target="../queryTables/queryTable178.xml"/><Relationship Id="rId31" Type="http://schemas.openxmlformats.org/officeDocument/2006/relationships/queryTable" Target="../queryTables/queryTable199.xml"/><Relationship Id="rId52" Type="http://schemas.openxmlformats.org/officeDocument/2006/relationships/queryTable" Target="../queryTables/queryTable220.xml"/><Relationship Id="rId73" Type="http://schemas.openxmlformats.org/officeDocument/2006/relationships/queryTable" Target="../queryTables/queryTable241.xml"/><Relationship Id="rId78" Type="http://schemas.openxmlformats.org/officeDocument/2006/relationships/queryTable" Target="../queryTables/queryTable246.xml"/><Relationship Id="rId94" Type="http://schemas.openxmlformats.org/officeDocument/2006/relationships/queryTable" Target="../queryTables/queryTable262.xml"/><Relationship Id="rId99" Type="http://schemas.openxmlformats.org/officeDocument/2006/relationships/queryTable" Target="../queryTables/queryTable267.xml"/><Relationship Id="rId101" Type="http://schemas.openxmlformats.org/officeDocument/2006/relationships/queryTable" Target="../queryTables/queryTable269.xml"/><Relationship Id="rId122" Type="http://schemas.openxmlformats.org/officeDocument/2006/relationships/queryTable" Target="../queryTables/queryTable290.xml"/><Relationship Id="rId143" Type="http://schemas.openxmlformats.org/officeDocument/2006/relationships/queryTable" Target="../queryTables/queryTable311.xml"/><Relationship Id="rId148" Type="http://schemas.openxmlformats.org/officeDocument/2006/relationships/queryTable" Target="../queryTables/queryTable316.xml"/><Relationship Id="rId164" Type="http://schemas.openxmlformats.org/officeDocument/2006/relationships/queryTable" Target="../queryTables/queryTable332.xml"/><Relationship Id="rId169" Type="http://schemas.openxmlformats.org/officeDocument/2006/relationships/queryTable" Target="../queryTables/queryTable337.xml"/><Relationship Id="rId185" Type="http://schemas.openxmlformats.org/officeDocument/2006/relationships/queryTable" Target="../queryTables/queryTable353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77.xml"/><Relationship Id="rId180" Type="http://schemas.openxmlformats.org/officeDocument/2006/relationships/queryTable" Target="../queryTables/queryTable348.xml"/><Relationship Id="rId26" Type="http://schemas.openxmlformats.org/officeDocument/2006/relationships/queryTable" Target="../queryTables/queryTable194.xml"/><Relationship Id="rId47" Type="http://schemas.openxmlformats.org/officeDocument/2006/relationships/queryTable" Target="../queryTables/queryTable215.xml"/><Relationship Id="rId68" Type="http://schemas.openxmlformats.org/officeDocument/2006/relationships/queryTable" Target="../queryTables/queryTable236.xml"/><Relationship Id="rId89" Type="http://schemas.openxmlformats.org/officeDocument/2006/relationships/queryTable" Target="../queryTables/queryTable257.xml"/><Relationship Id="rId112" Type="http://schemas.openxmlformats.org/officeDocument/2006/relationships/queryTable" Target="../queryTables/queryTable280.xml"/><Relationship Id="rId133" Type="http://schemas.openxmlformats.org/officeDocument/2006/relationships/queryTable" Target="../queryTables/queryTable301.xml"/><Relationship Id="rId154" Type="http://schemas.openxmlformats.org/officeDocument/2006/relationships/queryTable" Target="../queryTables/queryTable322.xml"/><Relationship Id="rId175" Type="http://schemas.openxmlformats.org/officeDocument/2006/relationships/queryTable" Target="../queryTables/queryTable343.xml"/><Relationship Id="rId196" Type="http://schemas.openxmlformats.org/officeDocument/2006/relationships/queryTable" Target="../queryTables/queryTable364.xml"/><Relationship Id="rId200" Type="http://schemas.openxmlformats.org/officeDocument/2006/relationships/queryTable" Target="../queryTables/queryTable36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36"/>
  <sheetViews>
    <sheetView workbookViewId="0">
      <pane xSplit="2" topLeftCell="C1" activePane="topRight" state="frozen"/>
      <selection activeCell="B1" sqref="B1"/>
      <selection pane="topRight" activeCell="K27" sqref="K27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18" bestFit="1" customWidth="1"/>
    <col min="8" max="8" width="12.285156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6.5703125" style="3" bestFit="1" customWidth="1"/>
    <col min="14" max="14" width="10.28515625" style="3" hidden="1" customWidth="1"/>
    <col min="15" max="15" width="9.42578125" style="5" bestFit="1" customWidth="1"/>
    <col min="16" max="16" width="9.85546875" style="18" bestFit="1" customWidth="1"/>
    <col min="17" max="17" width="9.7109375" style="5" customWidth="1"/>
    <col min="18" max="18" width="7" style="5" customWidth="1"/>
    <col min="19" max="19" width="8.140625" style="3" bestFit="1" customWidth="1"/>
    <col min="20" max="20" width="7.28515625" style="3" bestFit="1" customWidth="1"/>
    <col min="21" max="21" width="9.85546875" style="3" customWidth="1"/>
    <col min="22" max="22" width="9.140625" style="5"/>
    <col min="23" max="23" width="9.140625" style="18"/>
    <col min="24" max="16384" width="9.140625" style="3"/>
  </cols>
  <sheetData>
    <row r="1" spans="1:26" x14ac:dyDescent="0.2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89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370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614</v>
      </c>
      <c r="T1" s="3" t="s">
        <v>41</v>
      </c>
      <c r="U1" s="5" t="s">
        <v>62</v>
      </c>
      <c r="V1" s="5" t="s">
        <v>482</v>
      </c>
      <c r="W1" s="5" t="s">
        <v>483</v>
      </c>
      <c r="Z1" s="3">
        <v>1000</v>
      </c>
    </row>
    <row r="2" spans="1:26" x14ac:dyDescent="0.2">
      <c r="A2" s="25" t="s">
        <v>40</v>
      </c>
      <c r="B2" s="72" t="s">
        <v>39</v>
      </c>
      <c r="C2" s="15">
        <v>3</v>
      </c>
      <c r="D2" s="31">
        <v>740932000</v>
      </c>
      <c r="E2" s="31">
        <v>342727000</v>
      </c>
      <c r="F2" s="28">
        <v>835502072</v>
      </c>
      <c r="G2" s="15">
        <f>Tabela3[[#This Row],[Lucro Líquido]]/Tabela3[[#This Row],[Total Ações]]</f>
        <v>0.4102048474632628</v>
      </c>
      <c r="H2" s="15">
        <f>Tabela3[[#This Row],[Lucro/Ação]]/Tabela3[[#This Row],[Ref]]*4</f>
        <v>0.54693979661768377</v>
      </c>
      <c r="I2" s="19">
        <f>IF(GETPIVOTDATA("Payout",'Tabela LL'!$A$3,"Ativo",Tabela3[[#This Row],[PAPEL]])&gt;1,1,GETPIVOTDATA("Payout",'Tabela LL'!$A$3,"Ativo",Tabela3[[#This Row],[PAPEL]]))</f>
        <v>0.20588880617740807</v>
      </c>
      <c r="J2" s="6">
        <f>Tabela3[Patrimônio Líquido]/Tabela3[Total Ações]</f>
        <v>0.88681048776621108</v>
      </c>
      <c r="K2" s="52">
        <f>MAX(Tabela3[[#This Row],[Cotação 1]],Tabela3[[#This Row],[Cotação 2]])</f>
        <v>0.53</v>
      </c>
      <c r="L2" s="48">
        <f>Tabela3[Cotação]/Tabela3[VPA]</f>
        <v>0.59764741995216841</v>
      </c>
      <c r="M2" s="44">
        <f>IF(Tabela3[[#This Row],[Lucro/Ação Ano]]&gt;0,Tabela3[[#This Row],[Cotação]]/Tabela3[[#This Row],[Lucro/Ação Ano]],0)</f>
        <v>0.96902804161913125</v>
      </c>
      <c r="N2" s="6">
        <f>ROUND(Tabela3[[#This Row],[Lucro Prev]]/10%,2)</f>
        <v>1.1299999999999999</v>
      </c>
      <c r="O2" s="62">
        <f>MIN(Tabela3[[#This Row],[10% Rent]],Tabela3[[#This Row],[VPA]]*2)</f>
        <v>1.1299999999999999</v>
      </c>
      <c r="P2" s="19">
        <f>Tabela3[[#This Row],[P Compra]]/Tabela3[[#This Row],[Cotação]]-1</f>
        <v>1.132075471698113</v>
      </c>
      <c r="Q2" s="6">
        <f>Tabela3[[#This Row],[Lucro/Ação Ano]]*Tabela3[[#This Row],[Payout]]</f>
        <v>0.11260878177652928</v>
      </c>
      <c r="R2" s="14" t="str">
        <f>IF(AND(Tabela3[% Yield]&gt;=10%,Tabela3[PVPA]&lt;=2,Tabela3[PL]&lt;=15,Tabela3[PL]&gt;0),"Sim","Não")</f>
        <v>Sim</v>
      </c>
      <c r="S2" s="46">
        <f>Tabela3[[#This Row],[Lucro Prev]]/Tabela3[[#This Row],[Cotação]]</f>
        <v>0.21246939957835712</v>
      </c>
      <c r="T2" s="14">
        <f>($Z$1/Tabela3[[#This Row],[Cotação]]-MOD($Z$1/Tabela3[[#This Row],[Cotação]],100))</f>
        <v>1800</v>
      </c>
      <c r="U2" s="17">
        <f>Tabela3[[#This Row],[Ativos]]*Tabela3[[#This Row],[Lucro Prev]]</f>
        <v>202.69580719775269</v>
      </c>
      <c r="V2" s="17">
        <f>SUMPRODUCT(N(Tabela1[Código]=Tabela3[[#This Row],[PAPEL]]),Tabela1[Fechamento])</f>
        <v>0.53</v>
      </c>
      <c r="W2" s="17">
        <f>SUMPRODUCT(N(Tabela17[Código]=Tabela3[[#This Row],[PAPEL]]),Tabela17[Fechamento])</f>
        <v>0</v>
      </c>
    </row>
    <row r="3" spans="1:26" x14ac:dyDescent="0.2">
      <c r="A3" s="4" t="s">
        <v>12</v>
      </c>
      <c r="B3" s="15" t="s">
        <v>1</v>
      </c>
      <c r="C3" s="16">
        <v>3</v>
      </c>
      <c r="D3" s="6">
        <v>2577741000</v>
      </c>
      <c r="E3" s="6">
        <v>271448000</v>
      </c>
      <c r="F3" s="8">
        <v>167343887</v>
      </c>
      <c r="G3" s="41">
        <f>Tabela3[[#This Row],[Lucro Líquido]]/Tabela3[[#This Row],[Total Ações]]</f>
        <v>1.6220968979882724</v>
      </c>
      <c r="H3" s="41">
        <f>Tabela3[[#This Row],[Lucro/Ação]]/Tabela3[[#This Row],[Ref]]*4</f>
        <v>2.1627958639843632</v>
      </c>
      <c r="I3" s="19">
        <f>IF(GETPIVOTDATA("Payout",'Tabela LL'!$A$3,"Ativo",Tabela3[[#This Row],[PAPEL]])&gt;1,1,GETPIVOTDATA("Payout",'Tabela LL'!$A$3,"Ativo",Tabela3[[#This Row],[PAPEL]]))</f>
        <v>0.84225014371489515</v>
      </c>
      <c r="J3" s="6">
        <f>Tabela3[Patrimônio Líquido]/Tabela3[Total Ações]</f>
        <v>15.403855176377013</v>
      </c>
      <c r="K3" s="11">
        <f>MAX(Tabela3[[#This Row],[Cotação 1]],Tabela3[[#This Row],[Cotação 2]])</f>
        <v>9.36</v>
      </c>
      <c r="L3" s="9">
        <f>Tabela3[Cotação]/Tabela3[VPA]</f>
        <v>0.60764009352374815</v>
      </c>
      <c r="M3" s="39">
        <f>IF(Tabela3[[#This Row],[Lucro/Ação Ano]]&gt;0,Tabela3[[#This Row],[Cotação]]/Tabela3[[#This Row],[Lucro/Ação Ano]],0)</f>
        <v>4.327731597727742</v>
      </c>
      <c r="N3" s="6">
        <f>ROUND(Tabela3[[#This Row],[Lucro Prev]]/10%,2)</f>
        <v>18.22</v>
      </c>
      <c r="O3" s="13">
        <f>MIN(Tabela3[[#This Row],[10% Rent]],Tabela3[[#This Row],[VPA]]*2)</f>
        <v>18.22</v>
      </c>
      <c r="P3" s="19">
        <f>Tabela3[[#This Row],[P Compra]]/Tabela3[[#This Row],[Cotação]]-1</f>
        <v>0.94658119658119655</v>
      </c>
      <c r="Q3" s="6">
        <f>Tabela3[[#This Row],[Lucro/Ação Ano]]*Tabela3[[#This Row],[Payout]]</f>
        <v>1.8216151272668106</v>
      </c>
      <c r="R3" s="14" t="str">
        <f>IF(AND(Tabela3[% Yield]&gt;=10%,Tabela3[PVPA]&lt;=2,Tabela3[PL]&lt;=15,Tabela3[PL]&gt;0),"Sim","Não")</f>
        <v>Sim</v>
      </c>
      <c r="S3" s="19">
        <f>Tabela3[[#This Row],[Lucro Prev]]/Tabela3[[#This Row],[Cotação]]</f>
        <v>0.19461700077636868</v>
      </c>
      <c r="T3" s="10">
        <f>($Z$1/Tabela3[[#This Row],[Cotação]]-MOD($Z$1/Tabela3[[#This Row],[Cotação]],100))</f>
        <v>100</v>
      </c>
      <c r="U3" s="5">
        <f>Tabela3[[#This Row],[Ativos]]*Tabela3[[#This Row],[Lucro Prev]]</f>
        <v>182.16151272668105</v>
      </c>
      <c r="V3" s="5">
        <f>SUMPRODUCT(N(Tabela1[Código]=Tabela3[[#This Row],[PAPEL]]),Tabela1[Fechamento])</f>
        <v>9.36</v>
      </c>
      <c r="W3" s="5">
        <f>SUMPRODUCT(N(Tabela17[Código]=Tabela3[[#This Row],[PAPEL]]),Tabela17[Fechamento])</f>
        <v>0</v>
      </c>
    </row>
    <row r="4" spans="1:26" x14ac:dyDescent="0.2">
      <c r="A4" s="4" t="s">
        <v>12</v>
      </c>
      <c r="B4" s="14" t="s">
        <v>75</v>
      </c>
      <c r="C4" s="15">
        <v>3</v>
      </c>
      <c r="D4" s="6">
        <v>10479149000</v>
      </c>
      <c r="E4" s="6">
        <v>795212000</v>
      </c>
      <c r="F4" s="42">
        <v>327502673</v>
      </c>
      <c r="G4" s="15">
        <f>Tabela3[[#This Row],[Lucro Líquido]]/Tabela3[[#This Row],[Total Ações]]</f>
        <v>2.4281084264616064</v>
      </c>
      <c r="H4" s="15">
        <f>Tabela3[[#This Row],[Lucro/Ação]]/Tabela3[[#This Row],[Ref]]*4</f>
        <v>3.2374779019488087</v>
      </c>
      <c r="I4" s="19">
        <f>IF(GETPIVOTDATA("Payout",'Tabela LL'!$A$3,"Ativo",Tabela3[[#This Row],[PAPEL]])&gt;1,1,GETPIVOTDATA("Payout",'Tabela LL'!$A$3,"Ativo",Tabela3[[#This Row],[PAPEL]]))</f>
        <v>1</v>
      </c>
      <c r="J4" s="6">
        <f>Tabela3[Patrimônio Líquido]/Tabela3[Total Ações]</f>
        <v>31.99714037143141</v>
      </c>
      <c r="K4" s="52">
        <f>MAX(Tabela3[[#This Row],[Cotação 1]],Tabela3[[#This Row],[Cotação 2]])</f>
        <v>19.899999999999999</v>
      </c>
      <c r="L4" s="48">
        <f>Tabela3[Cotação]/Tabela3[VPA]</f>
        <v>0.62193057782650096</v>
      </c>
      <c r="M4" s="44">
        <f>IF(Tabela3[[#This Row],[Lucro/Ação Ano]]&gt;0,Tabela3[[#This Row],[Cotação]]/Tabela3[[#This Row],[Lucro/Ação Ano]],0)</f>
        <v>6.1467601023689271</v>
      </c>
      <c r="N4" s="6">
        <f>ROUND(Tabela3[[#This Row],[Lucro Prev]]/10%,2)</f>
        <v>32.369999999999997</v>
      </c>
      <c r="O4" s="17">
        <f>MIN(Tabela3[[#This Row],[10% Rent]],Tabela3[[#This Row],[VPA]]*2)</f>
        <v>32.369999999999997</v>
      </c>
      <c r="P4" s="19">
        <f>Tabela3[[#This Row],[P Compra]]/Tabela3[[#This Row],[Cotação]]-1</f>
        <v>0.62663316582914574</v>
      </c>
      <c r="Q4" s="6">
        <f>Tabela3[[#This Row],[Lucro/Ação Ano]]*Tabela3[[#This Row],[Payout]]</f>
        <v>3.2374779019488087</v>
      </c>
      <c r="R4" s="14" t="str">
        <f>IF(AND(Tabela3[% Yield]&gt;=10%,Tabela3[PVPA]&lt;=2,Tabela3[PL]&lt;=15,Tabela3[PL]&gt;0),"Sim","Não")</f>
        <v>Sim</v>
      </c>
      <c r="S4" s="46">
        <f>Tabela3[[#This Row],[Lucro Prev]]/Tabela3[[#This Row],[Cotação]]</f>
        <v>0.16268733175622155</v>
      </c>
      <c r="T4" s="14">
        <f>($Z$1/Tabela3[[#This Row],[Cotação]]-MOD($Z$1/Tabela3[[#This Row],[Cotação]],100))</f>
        <v>0</v>
      </c>
      <c r="U4" s="17">
        <f>Tabela3[[#This Row],[Ativos]]*Tabela3[[#This Row],[Lucro Prev]]</f>
        <v>0</v>
      </c>
      <c r="V4" s="5">
        <f>SUMPRODUCT(N(Tabela1[Código]=Tabela3[[#This Row],[PAPEL]]),Tabela1[Fechamento])</f>
        <v>19.899999999999999</v>
      </c>
      <c r="W4" s="5">
        <f>SUMPRODUCT(N(Tabela17[Código]=Tabela3[[#This Row],[PAPEL]]),Tabela17[Fechamento])</f>
        <v>0</v>
      </c>
    </row>
    <row r="5" spans="1:26" x14ac:dyDescent="0.2">
      <c r="A5" s="4" t="s">
        <v>12</v>
      </c>
      <c r="B5" s="14" t="s">
        <v>208</v>
      </c>
      <c r="C5" s="15">
        <v>3</v>
      </c>
      <c r="D5" s="6">
        <v>2577741000</v>
      </c>
      <c r="E5" s="6">
        <v>271448000</v>
      </c>
      <c r="F5" s="8">
        <v>167343887</v>
      </c>
      <c r="G5" s="15">
        <f>Tabela3[[#This Row],[Lucro Líquido]]/Tabela3[[#This Row],[Total Ações]]</f>
        <v>1.6220968979882724</v>
      </c>
      <c r="H5" s="15">
        <f>Tabela3[[#This Row],[Lucro/Ação]]/Tabela3[[#This Row],[Ref]]*4</f>
        <v>2.1627958639843632</v>
      </c>
      <c r="I5" s="19">
        <f>IF(GETPIVOTDATA("Payout",'Tabela LL'!$A$3,"Ativo",Tabela3[[#This Row],[PAPEL]])&gt;1,1,GETPIVOTDATA("Payout",'Tabela LL'!$A$3,"Ativo",Tabela3[[#This Row],[PAPEL]]))</f>
        <v>0.76568194912363652</v>
      </c>
      <c r="J5" s="6">
        <f>Tabela3[Patrimônio Líquido]/Tabela3[Total Ações]</f>
        <v>15.403855176377013</v>
      </c>
      <c r="K5" s="52">
        <f>MAX(Tabela3[[#This Row],[Cotação 1]],Tabela3[[#This Row],[Cotação 2]])</f>
        <v>11</v>
      </c>
      <c r="L5" s="48">
        <f>Tabela3[Cotação]/Tabela3[VPA]</f>
        <v>0.71410694751722537</v>
      </c>
      <c r="M5" s="44">
        <f>IF(Tabela3[[#This Row],[Lucro/Ação Ano]]&gt;0,Tabela3[[#This Row],[Cotação]]/Tabela3[[#This Row],[Lucro/Ação Ano]],0)</f>
        <v>5.0860093563039701</v>
      </c>
      <c r="N5" s="6">
        <f>ROUND(Tabela3[[#This Row],[Lucro Prev]]/10%,2)</f>
        <v>16.559999999999999</v>
      </c>
      <c r="O5" s="62">
        <f>MIN(Tabela3[[#This Row],[10% Rent]],Tabela3[[#This Row],[VPA]]*2)</f>
        <v>16.559999999999999</v>
      </c>
      <c r="P5" s="19">
        <f>Tabela3[[#This Row],[P Compra]]/Tabela3[[#This Row],[Cotação]]-1</f>
        <v>0.50545454545454538</v>
      </c>
      <c r="Q5" s="6">
        <f>Tabela3[[#This Row],[Lucro/Ação Ano]]*Tabela3[[#This Row],[Payout]]</f>
        <v>1.6560137526920866</v>
      </c>
      <c r="R5" s="15" t="str">
        <f>IF(AND(Tabela3[% Yield]&gt;=10%,Tabela3[PVPA]&lt;=2,Tabela3[PL]&lt;=15,Tabela3[PL]&gt;0),"Sim","Não")</f>
        <v>Sim</v>
      </c>
      <c r="S5" s="46">
        <f>Tabela3[[#This Row],[Lucro Prev]]/Tabela3[[#This Row],[Cotação]]</f>
        <v>0.15054670479018969</v>
      </c>
      <c r="T5" s="14">
        <f>($Z$1/Tabela3[[#This Row],[Cotação]]-MOD($Z$1/Tabela3[[#This Row],[Cotação]],100))</f>
        <v>0</v>
      </c>
      <c r="U5" s="17">
        <f>Tabela3[[#This Row],[Ativos]]*Tabela3[[#This Row],[Lucro Prev]]</f>
        <v>0</v>
      </c>
      <c r="V5" s="5">
        <f>SUMPRODUCT(N(Tabela1[Código]=Tabela3[[#This Row],[PAPEL]]),Tabela1[Fechamento])</f>
        <v>11</v>
      </c>
      <c r="W5" s="5">
        <f>SUMPRODUCT(N(Tabela17[Código]=Tabela3[[#This Row],[PAPEL]]),Tabela17[Fechamento])</f>
        <v>0</v>
      </c>
    </row>
    <row r="6" spans="1:26" x14ac:dyDescent="0.2">
      <c r="A6" s="25" t="s">
        <v>12</v>
      </c>
      <c r="B6" s="15" t="s">
        <v>30</v>
      </c>
      <c r="C6" s="15">
        <v>3</v>
      </c>
      <c r="D6" s="31">
        <v>13197926000</v>
      </c>
      <c r="E6" s="31">
        <v>2271426000</v>
      </c>
      <c r="F6" s="28">
        <v>962672385</v>
      </c>
      <c r="G6" s="27">
        <f>Tabela3[[#This Row],[Lucro Líquido]]/Tabela3[[#This Row],[Total Ações]]</f>
        <v>2.3595005272743959</v>
      </c>
      <c r="H6" s="27">
        <f>Tabela3[[#This Row],[Lucro/Ação]]/Tabela3[[#This Row],[Ref]]*4</f>
        <v>3.1460007030325277</v>
      </c>
      <c r="I6" s="19">
        <f>IF(GETPIVOTDATA("Payout",'Tabela LL'!$A$3,"Ativo",Tabela3[[#This Row],[PAPEL]])&gt;1,1,GETPIVOTDATA("Payout",'Tabela LL'!$A$3,"Ativo",Tabela3[[#This Row],[PAPEL]]))</f>
        <v>0.65026428573600636</v>
      </c>
      <c r="J6" s="31">
        <f>Tabela3[Patrimônio Líquido]/Tabela3[Total Ações]</f>
        <v>13.709675488406162</v>
      </c>
      <c r="K6" s="32">
        <f>MAX(Tabela3[[#This Row],[Cotação 1]],Tabela3[[#This Row],[Cotação 2]])</f>
        <v>14.01</v>
      </c>
      <c r="L6" s="33">
        <f>Tabela3[Cotação]/Tabela3[VPA]</f>
        <v>1.0219060262839783</v>
      </c>
      <c r="M6" s="38">
        <f>IF(Tabela3[[#This Row],[Lucro/Ação Ano]]&gt;0,Tabela3[[#This Row],[Cotação]]/Tabela3[[#This Row],[Lucro/Ação Ano]],0)</f>
        <v>4.453273003561419</v>
      </c>
      <c r="N6" s="31">
        <f>ROUND(Tabela3[[#This Row],[Lucro Prev]]/10%,2)</f>
        <v>20.46</v>
      </c>
      <c r="O6" s="29">
        <f>MIN(Tabela3[[#This Row],[10% Rent]],Tabela3[[#This Row],[VPA]]*2)</f>
        <v>20.46</v>
      </c>
      <c r="P6" s="54">
        <f>Tabela3[[#This Row],[P Compra]]/Tabela3[[#This Row],[Cotação]]-1</f>
        <v>0.46038543897216289</v>
      </c>
      <c r="Q6" s="6">
        <f>Tabela3[[#This Row],[Lucro/Ação Ano]]*Tabela3[[#This Row],[Payout]]</f>
        <v>2.0457319000824206</v>
      </c>
      <c r="R6" s="26" t="str">
        <f>IF(AND(Tabela3[% Yield]&gt;=10%,Tabela3[PVPA]&lt;=2,Tabela3[PL]&lt;=15,Tabela3[PL]&gt;0),"Sim","Não")</f>
        <v>Sim</v>
      </c>
      <c r="S6" s="30">
        <f>Tabela3[[#This Row],[Lucro Prev]]/Tabela3[[#This Row],[Cotação]]</f>
        <v>0.14601940757190726</v>
      </c>
      <c r="T6" s="10">
        <f>($Z$1/Tabela3[[#This Row],[Cotação]]-MOD($Z$1/Tabela3[[#This Row],[Cotação]],100))</f>
        <v>0</v>
      </c>
      <c r="U6" s="7">
        <f>Tabela3[[#This Row],[Ativos]]*Tabela3[[#This Row],[Lucro Prev]]</f>
        <v>0</v>
      </c>
      <c r="V6" s="5">
        <f>SUMPRODUCT(N(Tabela1[Código]=Tabela3[[#This Row],[PAPEL]]),Tabela1[Fechamento])</f>
        <v>14.01</v>
      </c>
      <c r="W6" s="5">
        <f>SUMPRODUCT(N(Tabela17[Código]=Tabela3[[#This Row],[PAPEL]]),Tabela17[Fechamento])</f>
        <v>0</v>
      </c>
    </row>
    <row r="7" spans="1:26" x14ac:dyDescent="0.2">
      <c r="A7" s="4" t="s">
        <v>12</v>
      </c>
      <c r="B7" s="14" t="s">
        <v>94</v>
      </c>
      <c r="C7" s="15">
        <v>3</v>
      </c>
      <c r="D7" s="6">
        <v>10479149000</v>
      </c>
      <c r="E7" s="6">
        <v>795212000</v>
      </c>
      <c r="F7" s="42">
        <v>327502673</v>
      </c>
      <c r="G7" s="15">
        <f>Tabela3[[#This Row],[Lucro Líquido]]/Tabela3[[#This Row],[Total Ações]]</f>
        <v>2.4281084264616064</v>
      </c>
      <c r="H7" s="15">
        <f>Tabela3[[#This Row],[Lucro/Ação]]/Tabela3[[#This Row],[Ref]]*4</f>
        <v>3.2374779019488087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Tabela3[Patrimônio Líquido]/Tabela3[Total Ações]</f>
        <v>31.99714037143141</v>
      </c>
      <c r="K7" s="52">
        <f>MAX(Tabela3[[#This Row],[Cotação 1]],Tabela3[[#This Row],[Cotação 2]])</f>
        <v>22.18</v>
      </c>
      <c r="L7" s="48">
        <f>Tabela3[Cotação]/Tabela3[VPA]</f>
        <v>0.693186945537276</v>
      </c>
      <c r="M7" s="44">
        <f>IF(Tabela3[[#This Row],[Lucro/Ação Ano]]&gt;0,Tabela3[[#This Row],[Cotação]]/Tabela3[[#This Row],[Lucro/Ação Ano]],0)</f>
        <v>6.851012013595116</v>
      </c>
      <c r="N7" s="6">
        <f>ROUND(Tabela3[[#This Row],[Lucro Prev]]/10%,2)</f>
        <v>32.369999999999997</v>
      </c>
      <c r="O7" s="62">
        <f>MIN(Tabela3[[#This Row],[10% Rent]],Tabela3[[#This Row],[VPA]]*2)</f>
        <v>32.369999999999997</v>
      </c>
      <c r="P7" s="19">
        <f>Tabela3[[#This Row],[P Compra]]/Tabela3[[#This Row],[Cotação]]-1</f>
        <v>0.45942290351668169</v>
      </c>
      <c r="Q7" s="6">
        <f>Tabela3[[#This Row],[Lucro/Ação Ano]]*Tabela3[[#This Row],[Payout]]</f>
        <v>3.2374779019488087</v>
      </c>
      <c r="R7" s="15" t="str">
        <f>IF(AND(Tabela3[% Yield]&gt;=10%,Tabela3[PVPA]&lt;=2,Tabela3[PL]&lt;=15,Tabela3[PL]&gt;0),"Sim","Não")</f>
        <v>Sim</v>
      </c>
      <c r="S7" s="46">
        <f>Tabela3[[#This Row],[Lucro Prev]]/Tabela3[[#This Row],[Cotação]]</f>
        <v>0.14596383687776415</v>
      </c>
      <c r="T7" s="14">
        <f>($Z$1/Tabela3[[#This Row],[Cotação]]-MOD($Z$1/Tabela3[[#This Row],[Cotação]],100))</f>
        <v>0</v>
      </c>
      <c r="U7" s="17">
        <f>Tabela3[[#This Row],[Ativos]]*Tabela3[[#This Row],[Lucro Prev]]</f>
        <v>0</v>
      </c>
      <c r="V7" s="5">
        <f>SUMPRODUCT(N(Tabela1[Código]=Tabela3[[#This Row],[PAPEL]]),Tabela1[Fechamento])</f>
        <v>22.18</v>
      </c>
      <c r="W7" s="5">
        <f>SUMPRODUCT(N(Tabela17[Código]=Tabela3[[#This Row],[PAPEL]]),Tabela17[Fechamento])</f>
        <v>0</v>
      </c>
    </row>
    <row r="8" spans="1:26" x14ac:dyDescent="0.2">
      <c r="A8" s="4" t="s">
        <v>12</v>
      </c>
      <c r="B8" s="14" t="s">
        <v>95</v>
      </c>
      <c r="C8" s="15">
        <v>3</v>
      </c>
      <c r="D8" s="6">
        <v>10479149000</v>
      </c>
      <c r="E8" s="6">
        <v>795212000</v>
      </c>
      <c r="F8" s="42">
        <v>327502673</v>
      </c>
      <c r="G8" s="15">
        <f>Tabela3[[#This Row],[Lucro Líquido]]/Tabela3[[#This Row],[Total Ações]]</f>
        <v>2.4281084264616064</v>
      </c>
      <c r="H8" s="15">
        <f>Tabela3[[#This Row],[Lucro/Ação]]/Tabela3[[#This Row],[Ref]]*4</f>
        <v>3.2374779019488087</v>
      </c>
      <c r="I8" s="19">
        <f>IF(GETPIVOTDATA("Payout",'Tabela LL'!$A$3,"Ativo",Tabela3[[#This Row],[PAPEL]])&gt;1,1,GETPIVOTDATA("Payout",'Tabela LL'!$A$3,"Ativo",Tabela3[[#This Row],[PAPEL]]))</f>
        <v>1</v>
      </c>
      <c r="J8" s="6">
        <f>Tabela3[Patrimônio Líquido]/Tabela3[Total Ações]</f>
        <v>31.99714037143141</v>
      </c>
      <c r="K8" s="52">
        <f>MAX(Tabela3[[#This Row],[Cotação 1]],Tabela3[[#This Row],[Cotação 2]])</f>
        <v>22.42</v>
      </c>
      <c r="L8" s="48">
        <f>Tabela3[Cotação]/Tabela3[VPA]</f>
        <v>0.70068761582262074</v>
      </c>
      <c r="M8" s="44">
        <f>IF(Tabela3[[#This Row],[Lucro/Ação Ano]]&gt;0,Tabela3[[#This Row],[Cotação]]/Tabela3[[#This Row],[Lucro/Ação Ano]],0)</f>
        <v>6.9251437937241889</v>
      </c>
      <c r="N8" s="6">
        <f>ROUND(Tabela3[[#This Row],[Lucro Prev]]/10%,2)</f>
        <v>32.369999999999997</v>
      </c>
      <c r="O8" s="62">
        <f>MIN(Tabela3[[#This Row],[10% Rent]],Tabela3[[#This Row],[VPA]]*2)</f>
        <v>32.369999999999997</v>
      </c>
      <c r="P8" s="19">
        <f>Tabela3[[#This Row],[P Compra]]/Tabela3[[#This Row],[Cotação]]-1</f>
        <v>0.44380017841213171</v>
      </c>
      <c r="Q8" s="6">
        <f>Tabela3[[#This Row],[Lucro/Ação Ano]]*Tabela3[[#This Row],[Payout]]</f>
        <v>3.2374779019488087</v>
      </c>
      <c r="R8" s="15" t="str">
        <f>IF(AND(Tabela3[% Yield]&gt;=10%,Tabela3[PVPA]&lt;=2,Tabela3[PL]&lt;=15,Tabela3[PL]&gt;0),"Sim","Não")</f>
        <v>Sim</v>
      </c>
      <c r="S8" s="46">
        <f>Tabela3[[#This Row],[Lucro Prev]]/Tabela3[[#This Row],[Cotação]]</f>
        <v>0.14440133371760966</v>
      </c>
      <c r="T8" s="14">
        <f>($Z$1/Tabela3[[#This Row],[Cotação]]-MOD($Z$1/Tabela3[[#This Row],[Cotação]],100))</f>
        <v>0</v>
      </c>
      <c r="U8" s="17">
        <f>Tabela3[[#This Row],[Ativos]]*Tabela3[[#This Row],[Lucro Prev]]</f>
        <v>0</v>
      </c>
      <c r="V8" s="5">
        <f>SUMPRODUCT(N(Tabela1[Código]=Tabela3[[#This Row],[PAPEL]]),Tabela1[Fechamento])</f>
        <v>22.42</v>
      </c>
      <c r="W8" s="5">
        <f>SUMPRODUCT(N(Tabela17[Código]=Tabela3[[#This Row],[PAPEL]]),Tabela17[Fechamento])</f>
        <v>0</v>
      </c>
    </row>
    <row r="9" spans="1:26" x14ac:dyDescent="0.2">
      <c r="A9" s="25" t="s">
        <v>12</v>
      </c>
      <c r="B9" s="15" t="s">
        <v>31</v>
      </c>
      <c r="C9" s="16">
        <v>3</v>
      </c>
      <c r="D9" s="31">
        <v>13197926000</v>
      </c>
      <c r="E9" s="31">
        <v>2271426000</v>
      </c>
      <c r="F9" s="28">
        <v>962672385</v>
      </c>
      <c r="G9" s="27">
        <f>Tabela3[[#This Row],[Lucro Líquido]]/Tabela3[[#This Row],[Total Ações]]</f>
        <v>2.3595005272743959</v>
      </c>
      <c r="H9" s="27">
        <f>Tabela3[[#This Row],[Lucro/Ação]]/Tabela3[[#This Row],[Ref]]*4</f>
        <v>3.1460007030325277</v>
      </c>
      <c r="I9" s="19">
        <f>IF(GETPIVOTDATA("Payout",'Tabela LL'!$A$3,"Ativo",Tabela3[[#This Row],[PAPEL]])&gt;1,1,GETPIVOTDATA("Payout",'Tabela LL'!$A$3,"Ativo",Tabela3[[#This Row],[PAPEL]]))</f>
        <v>0.65026428573600636</v>
      </c>
      <c r="J9" s="31">
        <f>Tabela3[Patrimônio Líquido]/Tabela3[Total Ações]</f>
        <v>13.709675488406162</v>
      </c>
      <c r="K9" s="32">
        <f>MAX(Tabela3[[#This Row],[Cotação 1]],Tabela3[[#This Row],[Cotação 2]])</f>
        <v>14.2</v>
      </c>
      <c r="L9" s="33">
        <f>Tabela3[Cotação]/Tabela3[VPA]</f>
        <v>1.0357648517653455</v>
      </c>
      <c r="M9" s="38">
        <f>IF(Tabela3[[#This Row],[Lucro/Ação Ano]]&gt;0,Tabela3[[#This Row],[Cotação]]/Tabela3[[#This Row],[Lucro/Ação Ano]],0)</f>
        <v>4.5136671413684617</v>
      </c>
      <c r="N9" s="31">
        <f>ROUND(Tabela3[[#This Row],[Lucro Prev]]/10%,2)</f>
        <v>20.46</v>
      </c>
      <c r="O9" s="29">
        <f>MIN(Tabela3[[#This Row],[10% Rent]],Tabela3[[#This Row],[VPA]]*2)</f>
        <v>20.46</v>
      </c>
      <c r="P9" s="54">
        <f>Tabela3[[#This Row],[P Compra]]/Tabela3[[#This Row],[Cotação]]-1</f>
        <v>0.44084507042253529</v>
      </c>
      <c r="Q9" s="6">
        <f>Tabela3[[#This Row],[Lucro/Ação Ano]]*Tabela3[[#This Row],[Payout]]</f>
        <v>2.0457319000824206</v>
      </c>
      <c r="R9" s="26" t="str">
        <f>IF(AND(Tabela3[% Yield]&gt;=10%,Tabela3[PVPA]&lt;=2,Tabela3[PL]&lt;=15,Tabela3[PL]&gt;0),"Sim","Não")</f>
        <v>Sim</v>
      </c>
      <c r="S9" s="30">
        <f>Tabela3[[#This Row],[Lucro Prev]]/Tabela3[[#This Row],[Cotação]]</f>
        <v>0.14406562676636767</v>
      </c>
      <c r="T9" s="10">
        <f>($Z$1/Tabela3[[#This Row],[Cotação]]-MOD($Z$1/Tabela3[[#This Row],[Cotação]],100))</f>
        <v>0</v>
      </c>
      <c r="U9" s="7">
        <f>Tabela3[[#This Row],[Ativos]]*Tabela3[[#This Row],[Lucro Prev]]</f>
        <v>0</v>
      </c>
      <c r="V9" s="5">
        <f>SUMPRODUCT(N(Tabela1[Código]=Tabela3[[#This Row],[PAPEL]]),Tabela1[Fechamento])</f>
        <v>14.2</v>
      </c>
      <c r="W9" s="5">
        <f>SUMPRODUCT(N(Tabela17[Código]=Tabela3[[#This Row],[PAPEL]]),Tabela17[Fechamento])</f>
        <v>0</v>
      </c>
    </row>
    <row r="10" spans="1:26" x14ac:dyDescent="0.2">
      <c r="A10" s="25" t="s">
        <v>12</v>
      </c>
      <c r="B10" s="15" t="s">
        <v>29</v>
      </c>
      <c r="C10" s="16">
        <v>3</v>
      </c>
      <c r="D10" s="31">
        <v>1813045000</v>
      </c>
      <c r="E10" s="31">
        <v>650993000</v>
      </c>
      <c r="F10" s="28">
        <v>381253493</v>
      </c>
      <c r="G10" s="27">
        <f>Tabela3[[#This Row],[Lucro Líquido]]/Tabela3[[#This Row],[Total Ações]]</f>
        <v>1.7075069788278634</v>
      </c>
      <c r="H10" s="27">
        <f>Tabela3[[#This Row],[Lucro/Ação]]/Tabela3[[#This Row],[Ref]]*4</f>
        <v>2.2766759717704845</v>
      </c>
      <c r="I10" s="53">
        <f>IF(GETPIVOTDATA("Payout",'Tabela LL'!$A$3,"Ativo",Tabela3[[#This Row],[PAPEL]])&gt;1,1,GETPIVOTDATA("Payout",'Tabela LL'!$A$3,"Ativo",Tabela3[[#This Row],[PAPEL]]))</f>
        <v>1</v>
      </c>
      <c r="J10" s="31">
        <f>Tabela3[Patrimônio Líquido]/Tabela3[Total Ações]</f>
        <v>4.7554842992612265</v>
      </c>
      <c r="K10" s="32">
        <f>MAX(Tabela3[[#This Row],[Cotação 1]],Tabela3[[#This Row],[Cotação 2]])</f>
        <v>17.8</v>
      </c>
      <c r="L10" s="33">
        <f>Tabela3[Cotação]/Tabela3[VPA]</f>
        <v>3.7430467392701234</v>
      </c>
      <c r="M10" s="38">
        <f>IF(Tabela3[[#This Row],[Lucro/Ação Ano]]&gt;0,Tabela3[[#This Row],[Cotação]]/Tabela3[[#This Row],[Lucro/Ação Ano]],0)</f>
        <v>7.8184160682987383</v>
      </c>
      <c r="N10" s="31">
        <f>ROUND(Tabela3[[#This Row],[Lucro Prev]]/10%,2)</f>
        <v>22.77</v>
      </c>
      <c r="O10" s="29">
        <f>MIN(Tabela3[[#This Row],[10% Rent]],Tabela3[[#This Row],[VPA]]*2)</f>
        <v>9.510968598522453</v>
      </c>
      <c r="P10" s="54">
        <f>Tabela3[[#This Row],[P Compra]]/Tabela3[[#This Row],[Cotação]]-1</f>
        <v>-0.46567592143132286</v>
      </c>
      <c r="Q10" s="6">
        <f>Tabela3[[#This Row],[Lucro/Ação Ano]]*Tabela3[[#This Row],[Payout]]</f>
        <v>2.2766759717704845</v>
      </c>
      <c r="R10" s="26" t="str">
        <f>IF(AND(Tabela3[% Yield]&gt;=10%,Tabela3[PVPA]&lt;=2,Tabela3[PL]&lt;=15,Tabela3[PL]&gt;0),"Sim","Não")</f>
        <v>Não</v>
      </c>
      <c r="S10" s="30">
        <f>Tabela3[[#This Row],[Lucro Prev]]/Tabela3[[#This Row],[Cotação]]</f>
        <v>0.1279031444814879</v>
      </c>
      <c r="T10" s="10">
        <f>($Z$1/Tabela3[[#This Row],[Cotação]]-MOD($Z$1/Tabela3[[#This Row],[Cotação]],100))</f>
        <v>0</v>
      </c>
      <c r="U10" s="7">
        <f>Tabela3[[#This Row],[Ativos]]*Tabela3[[#This Row],[Lucro Prev]]</f>
        <v>0</v>
      </c>
      <c r="V10" s="5">
        <f>SUMPRODUCT(N(Tabela1[Código]=Tabela3[[#This Row],[PAPEL]]),Tabela1[Fechamento])</f>
        <v>17.8</v>
      </c>
      <c r="W10" s="5">
        <f>SUMPRODUCT(N(Tabela17[Código]=Tabela3[[#This Row],[PAPEL]]),Tabela17[Fechamento])</f>
        <v>0</v>
      </c>
    </row>
    <row r="11" spans="1:26" x14ac:dyDescent="0.2">
      <c r="A11" s="25" t="s">
        <v>12</v>
      </c>
      <c r="B11" s="15" t="s">
        <v>33</v>
      </c>
      <c r="C11" s="15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Tabela3[Patrimônio Líquido]/Tabela3[Total Ações]</f>
        <v>4.7554842992612265</v>
      </c>
      <c r="K11" s="32">
        <f>MAX(Tabela3[[#This Row],[Cotação 1]],Tabela3[[#This Row],[Cotação 2]])</f>
        <v>19.09</v>
      </c>
      <c r="L11" s="33">
        <f>Tabela3[Cotação]/Tabela3[VPA]</f>
        <v>4.0143124861048678</v>
      </c>
      <c r="M11" s="38">
        <f>IF(Tabela3[[#This Row],[Lucro/Ação Ano]]&gt;0,Tabela3[[#This Row],[Cotação]]/Tabela3[[#This Row],[Lucro/Ação Ano]],0)</f>
        <v>8.3850316148215107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-0.50178268210987675</v>
      </c>
      <c r="Q11" s="6">
        <f>Tabela3[[#This Row],[Lucro/Ação Ano]]*Tabela3[[#This Row],[Payout]]</f>
        <v>2.2766759717704845</v>
      </c>
      <c r="R11" s="26" t="str">
        <f>IF(AND(Tabela3[% Yield]&gt;=10%,Tabela3[PVPA]&lt;=2,Tabela3[PL]&lt;=15,Tabela3[PL]&gt;0),"Sim","Não")</f>
        <v>Não</v>
      </c>
      <c r="S11" s="30">
        <f>Tabela3[[#This Row],[Lucro Prev]]/Tabela3[[#This Row],[Cotação]]</f>
        <v>0.11926013471820243</v>
      </c>
      <c r="T11" s="10">
        <f>($Z$1/Tabela3[[#This Row],[Cotação]]-MOD($Z$1/Tabela3[[#This Row],[Cotação]],100))</f>
        <v>0</v>
      </c>
      <c r="U11" s="7">
        <f>Tabela3[[#This Row],[Ativos]]*Tabela3[[#This Row],[Lucro Prev]]</f>
        <v>0</v>
      </c>
      <c r="V11" s="5">
        <f>SUMPRODUCT(N(Tabela1[Código]=Tabela3[[#This Row],[PAPEL]]),Tabela1[Fechamento])</f>
        <v>19.09</v>
      </c>
      <c r="W11" s="5">
        <f>SUMPRODUCT(N(Tabela17[Código]=Tabela3[[#This Row],[PAPEL]]),Tabela17[Fechamento])</f>
        <v>0</v>
      </c>
    </row>
    <row r="12" spans="1:26" x14ac:dyDescent="0.2">
      <c r="A12" s="4" t="s">
        <v>12</v>
      </c>
      <c r="B12" s="14" t="s">
        <v>28</v>
      </c>
      <c r="C12" s="15">
        <v>3</v>
      </c>
      <c r="D12" s="6">
        <v>6277330000</v>
      </c>
      <c r="E12" s="6">
        <v>451384000</v>
      </c>
      <c r="F12" s="42">
        <v>476415612</v>
      </c>
      <c r="G12" s="15">
        <f>Tabela3[[#This Row],[Lucro Líquido]]/Tabela3[[#This Row],[Total Ações]]</f>
        <v>0.94745845566454689</v>
      </c>
      <c r="H12" s="15">
        <f>Tabela3[[#This Row],[Lucro/Ação]]/Tabela3[[#This Row],[Ref]]*4</f>
        <v>1.2632779408860626</v>
      </c>
      <c r="I12" s="19">
        <f>IF(GETPIVOTDATA("Payout",'Tabela LL'!$A$3,"Ativo",Tabela3[[#This Row],[PAPEL]])&gt;1,1,GETPIVOTDATA("Payout",'Tabela LL'!$A$3,"Ativo",Tabela3[[#This Row],[PAPEL]]))</f>
        <v>1</v>
      </c>
      <c r="J12" s="6">
        <f>Tabela3[Patrimônio Líquido]/Tabela3[Total Ações]</f>
        <v>13.176163504902101</v>
      </c>
      <c r="K12" s="52">
        <f>MAX(Tabela3[[#This Row],[Cotação 1]],Tabela3[[#This Row],[Cotação 2]])</f>
        <v>11.35</v>
      </c>
      <c r="L12" s="48">
        <f>Tabela3[Cotação]/Tabela3[VPA]</f>
        <v>0.86140400396346861</v>
      </c>
      <c r="M12" s="44">
        <f>IF(Tabela3[[#This Row],[Lucro/Ação Ano]]&gt;0,Tabela3[[#This Row],[Cotação]]/Tabela3[[#This Row],[Lucro/Ação Ano]],0)</f>
        <v>8.9845628049509951</v>
      </c>
      <c r="N12" s="6">
        <f>ROUND(Tabela3[[#This Row],[Lucro Prev]]/10%,2)</f>
        <v>12.63</v>
      </c>
      <c r="O12" s="62">
        <f>MIN(Tabela3[[#This Row],[10% Rent]],Tabela3[[#This Row],[VPA]]*2)</f>
        <v>12.63</v>
      </c>
      <c r="P12" s="19">
        <f>Tabela3[[#This Row],[P Compra]]/Tabela3[[#This Row],[Cotação]]-1</f>
        <v>0.1127753303964758</v>
      </c>
      <c r="Q12" s="6">
        <f>Tabela3[[#This Row],[Lucro/Ação Ano]]*Tabela3[[#This Row],[Payout]]</f>
        <v>1.2632779408860626</v>
      </c>
      <c r="R12" s="15" t="str">
        <f>IF(AND(Tabela3[% Yield]&gt;=10%,Tabela3[PVPA]&lt;=2,Tabela3[PL]&lt;=15,Tabela3[PL]&gt;0),"Sim","Não")</f>
        <v>Sim</v>
      </c>
      <c r="S12" s="46">
        <f>Tabela3[[#This Row],[Lucro Prev]]/Tabela3[[#This Row],[Cotação]]</f>
        <v>0.11130202122344164</v>
      </c>
      <c r="T12" s="14">
        <f>($Z$1/Tabela3[[#This Row],[Cotação]]-MOD($Z$1/Tabela3[[#This Row],[Cotação]],100))</f>
        <v>0</v>
      </c>
      <c r="U12" s="17">
        <f>Tabela3[[#This Row],[Ativos]]*Tabela3[[#This Row],[Lucro Prev]]</f>
        <v>0</v>
      </c>
      <c r="V12" s="5">
        <f>SUMPRODUCT(N(Tabela1[Código]=Tabela3[[#This Row],[PAPEL]]),Tabela1[Fechamento])</f>
        <v>11.35</v>
      </c>
      <c r="W12" s="5">
        <f>SUMPRODUCT(N(Tabela17[Código]=Tabela3[[#This Row],[PAPEL]]),Tabela17[Fechamento])</f>
        <v>0</v>
      </c>
    </row>
    <row r="13" spans="1:26" x14ac:dyDescent="0.2">
      <c r="A13" s="4" t="s">
        <v>12</v>
      </c>
      <c r="B13" s="14" t="s">
        <v>72</v>
      </c>
      <c r="C13" s="15">
        <v>3</v>
      </c>
      <c r="D13" s="6">
        <v>465994000</v>
      </c>
      <c r="E13" s="6">
        <v>17904000</v>
      </c>
      <c r="F13" s="42">
        <v>9183458</v>
      </c>
      <c r="G13" s="15">
        <f>Tabela3[[#This Row],[Lucro Líquido]]/Tabela3[[#This Row],[Total Ações]]</f>
        <v>1.9495924084369962</v>
      </c>
      <c r="H13" s="15">
        <f>Tabela3[[#This Row],[Lucro/Ação]]/Tabela3[[#This Row],[Ref]]*4</f>
        <v>2.5994565445826616</v>
      </c>
      <c r="I13" s="19">
        <f>IF(GETPIVOTDATA("Payout",'Tabela LL'!$A$3,"Ativo",Tabela3[[#This Row],[PAPEL]])&gt;1,1,GETPIVOTDATA("Payout",'Tabela LL'!$A$3,"Ativo",Tabela3[[#This Row],[PAPEL]]))</f>
        <v>0.7246803815404973</v>
      </c>
      <c r="J13" s="6">
        <f>Tabela3[Patrimônio Líquido]/Tabela3[Total Ações]</f>
        <v>50.742759426786726</v>
      </c>
      <c r="K13" s="52">
        <f>MAX(Tabela3[[#This Row],[Cotação 1]],Tabela3[[#This Row],[Cotação 2]])</f>
        <v>17.079999999999998</v>
      </c>
      <c r="L13" s="48">
        <f>Tabela3[Cotação]/Tabela3[VPA]</f>
        <v>0.33659974729288356</v>
      </c>
      <c r="M13" s="44">
        <f>IF(Tabela3[[#This Row],[Lucro/Ação Ano]]&gt;0,Tabela3[[#This Row],[Cotação]]/Tabela3[[#This Row],[Lucro/Ação Ano]],0)</f>
        <v>6.5706041655495975</v>
      </c>
      <c r="N13" s="6">
        <f>ROUND(Tabela3[[#This Row],[Lucro Prev]]/10%,2)</f>
        <v>18.84</v>
      </c>
      <c r="O13" s="17">
        <f>MIN(Tabela3[[#This Row],[10% Rent]],Tabela3[[#This Row],[VPA]]*2)</f>
        <v>18.84</v>
      </c>
      <c r="P13" s="19">
        <f>Tabela3[[#This Row],[P Compra]]/Tabela3[[#This Row],[Cotação]]-1</f>
        <v>0.10304449648711955</v>
      </c>
      <c r="Q13" s="6">
        <f>Tabela3[[#This Row],[Lucro/Ação Ano]]*Tabela3[[#This Row],[Payout]]</f>
        <v>1.8837751605261059</v>
      </c>
      <c r="R13" s="14" t="str">
        <f>IF(AND(Tabela3[% Yield]&gt;=10%,Tabela3[PVPA]&lt;=2,Tabela3[PL]&lt;=15,Tabela3[PL]&gt;0),"Sim","Não")</f>
        <v>Sim</v>
      </c>
      <c r="S13" s="46">
        <f>Tabela3[[#This Row],[Lucro Prev]]/Tabela3[[#This Row],[Cotação]]</f>
        <v>0.11029128574508817</v>
      </c>
      <c r="T13" s="14">
        <f>($Z$1/Tabela3[[#This Row],[Cotação]]-MOD($Z$1/Tabela3[[#This Row],[Cotação]],100))</f>
        <v>0</v>
      </c>
      <c r="U13" s="17">
        <f>Tabela3[[#This Row],[Ativos]]*Tabela3[[#This Row],[Lucro Prev]]</f>
        <v>0</v>
      </c>
      <c r="V13" s="5">
        <f>SUMPRODUCT(N(Tabela1[Código]=Tabela3[[#This Row],[PAPEL]]),Tabela1[Fechamento])</f>
        <v>17.079999999999998</v>
      </c>
      <c r="W13" s="5">
        <f>SUMPRODUCT(N(Tabela17[Código]=Tabela3[[#This Row],[PAPEL]]),Tabela17[Fechamento])</f>
        <v>0</v>
      </c>
    </row>
    <row r="14" spans="1:26" x14ac:dyDescent="0.2">
      <c r="A14" s="4" t="s">
        <v>12</v>
      </c>
      <c r="B14" s="47" t="s">
        <v>56</v>
      </c>
      <c r="C14" s="16">
        <v>3</v>
      </c>
      <c r="D14" s="6">
        <v>3392238000</v>
      </c>
      <c r="E14" s="6">
        <v>458325000</v>
      </c>
      <c r="F14" s="42">
        <v>203934060</v>
      </c>
      <c r="G14" s="15">
        <f>Tabela3[[#This Row],[Lucro Líquido]]/Tabela3[[#This Row],[Total Ações]]</f>
        <v>2.2474176211663712</v>
      </c>
      <c r="H14" s="15">
        <f>Tabela3[[#This Row],[Lucro/Ação]]/Tabela3[[#This Row],[Ref]]*4</f>
        <v>2.9965568282218285</v>
      </c>
      <c r="I14" s="19">
        <f>IF(GETPIVOTDATA("Payout",'Tabela LL'!$A$3,"Ativo",Tabela3[[#This Row],[PAPEL]])&gt;1,1,GETPIVOTDATA("Payout",'Tabela LL'!$A$3,"Ativo",Tabela3[[#This Row],[PAPEL]]))</f>
        <v>0.79479552403967901</v>
      </c>
      <c r="J14" s="6">
        <f>Tabela3[Patrimônio Líquido]/Tabela3[Total Ações]</f>
        <v>16.633994341112025</v>
      </c>
      <c r="K14" s="43">
        <f>MAX(Tabela3[[#This Row],[Cotação 1]],Tabela3[[#This Row],[Cotação 2]])</f>
        <v>22.12</v>
      </c>
      <c r="L14" s="48">
        <f>Tabela3[Cotação]/Tabela3[VPA]</f>
        <v>1.3298068729847374</v>
      </c>
      <c r="M14" s="44">
        <f>IF(Tabela3[[#This Row],[Lucro/Ação Ano]]&gt;0,Tabela3[[#This Row],[Cotação]]/Tabela3[[#This Row],[Lucro/Ação Ano]],0)</f>
        <v>7.3818056082474222</v>
      </c>
      <c r="N14" s="6">
        <f>ROUND(Tabela3[[#This Row],[Lucro Prev]]/10%,2)</f>
        <v>23.82</v>
      </c>
      <c r="O14" s="17">
        <f>MIN(Tabela3[[#This Row],[10% Rent]],Tabela3[[#This Row],[VPA]]*2)</f>
        <v>23.82</v>
      </c>
      <c r="P14" s="19">
        <f>Tabela3[[#This Row],[P Compra]]/Tabela3[[#This Row],[Cotação]]-1</f>
        <v>7.6853526220614699E-2</v>
      </c>
      <c r="Q14" s="6">
        <f>Tabela3[[#This Row],[Lucro/Ação Ano]]*Tabela3[[#This Row],[Payout]]</f>
        <v>2.3816499546012464</v>
      </c>
      <c r="R14" s="14" t="str">
        <f>IF(AND(Tabela3[% Yield]&gt;=10%,Tabela3[PVPA]&lt;=2,Tabela3[PL]&lt;=15,Tabela3[PL]&gt;0),"Sim","Não")</f>
        <v>Sim</v>
      </c>
      <c r="S14" s="45">
        <f>Tabela3[[#This Row],[Lucro Prev]]/Tabela3[[#This Row],[Cotação]]</f>
        <v>0.10766952778486646</v>
      </c>
      <c r="T14" s="14">
        <f>($Z$1/Tabela3[[#This Row],[Cotação]]-MOD($Z$1/Tabela3[[#This Row],[Cotação]],100))</f>
        <v>0</v>
      </c>
      <c r="U14" s="17">
        <f>Tabela3[[#This Row],[Ativos]]*Tabela3[[#This Row],[Lucro Prev]]</f>
        <v>0</v>
      </c>
      <c r="V14" s="5">
        <f>SUMPRODUCT(N(Tabela1[Código]=Tabela3[[#This Row],[PAPEL]]),Tabela1[Fechamento])</f>
        <v>22.12</v>
      </c>
      <c r="W14" s="5">
        <f>SUMPRODUCT(N(Tabela17[Código]=Tabela3[[#This Row],[PAPEL]]),Tabela17[Fechamento])</f>
        <v>0</v>
      </c>
    </row>
    <row r="15" spans="1:26" x14ac:dyDescent="0.2">
      <c r="A15" s="4" t="s">
        <v>14</v>
      </c>
      <c r="B15" s="14" t="s">
        <v>273</v>
      </c>
      <c r="C15" s="15">
        <v>3</v>
      </c>
      <c r="D15" s="6">
        <v>2513911000</v>
      </c>
      <c r="E15" s="6">
        <v>303723000</v>
      </c>
      <c r="F15" s="42">
        <v>87001901</v>
      </c>
      <c r="G15" s="15">
        <f>Tabela3[[#This Row],[Lucro Líquido]]/Tabela3[[#This Row],[Total Ações]]</f>
        <v>3.4909926853207494</v>
      </c>
      <c r="H15" s="15">
        <f>Tabela3[[#This Row],[Lucro/Ação]]/Tabela3[[#This Row],[Ref]]*4</f>
        <v>4.6546569137609994</v>
      </c>
      <c r="I15" s="19">
        <f>IF(GETPIVOTDATA("Payout",'Tabela LL'!$A$3,"Ativo",Tabela3[[#This Row],[PAPEL]])&gt;1,1,GETPIVOTDATA("Payout",'Tabela LL'!$A$3,"Ativo",Tabela3[[#This Row],[PAPEL]]))</f>
        <v>0.55176083148968624</v>
      </c>
      <c r="J15" s="6">
        <f>Tabela3[Patrimônio Líquido]/Tabela3[Total Ações]</f>
        <v>28.894897365518485</v>
      </c>
      <c r="K15" s="52">
        <f>MAX(Tabela3[[#This Row],[Cotação 1]],Tabela3[[#This Row],[Cotação 2]])</f>
        <v>25</v>
      </c>
      <c r="L15" s="48">
        <f>Tabela3[Cotação]/Tabela3[VPA]</f>
        <v>0.86520466516117711</v>
      </c>
      <c r="M15" s="44">
        <f>IF(Tabela3[[#This Row],[Lucro/Ação Ano]]&gt;0,Tabela3[[#This Row],[Cotação]]/Tabela3[[#This Row],[Lucro/Ação Ano]],0)</f>
        <v>5.3709651351725087</v>
      </c>
      <c r="N15" s="6">
        <f>ROUND(Tabela3[[#This Row],[Lucro Prev]]/10%,2)</f>
        <v>25.68</v>
      </c>
      <c r="O15" s="62">
        <f>MIN(Tabela3[[#This Row],[10% Rent]],Tabela3[[#This Row],[VPA]]*2)</f>
        <v>25.68</v>
      </c>
      <c r="P15" s="19">
        <f>Tabela3[[#This Row],[P Compra]]/Tabela3[[#This Row],[Cotação]]-1</f>
        <v>2.7199999999999891E-2</v>
      </c>
      <c r="Q15" s="6">
        <f>Tabela3[[#This Row],[Lucro/Ação Ano]]*Tabela3[[#This Row],[Payout]]</f>
        <v>2.5682573690359858</v>
      </c>
      <c r="R15" s="15" t="str">
        <f>IF(AND(Tabela3[% Yield]&gt;=10%,Tabela3[PVPA]&lt;=2,Tabela3[PL]&lt;=15,Tabela3[PL]&gt;0),"Sim","Não")</f>
        <v>Sim</v>
      </c>
      <c r="S15" s="46">
        <f>Tabela3[[#This Row],[Lucro Prev]]/Tabela3[[#This Row],[Cotação]]</f>
        <v>0.10273029476143943</v>
      </c>
      <c r="T15" s="14">
        <f>($Z$1/Tabela3[[#This Row],[Cotação]]-MOD($Z$1/Tabela3[[#This Row],[Cotação]],100))</f>
        <v>0</v>
      </c>
      <c r="U15" s="17">
        <f>Tabela3[[#This Row],[Ativos]]*Tabela3[[#This Row],[Lucro Prev]]</f>
        <v>0</v>
      </c>
      <c r="V15" s="5">
        <f>SUMPRODUCT(N(Tabela1[Código]=Tabela3[[#This Row],[PAPEL]]),Tabela1[Fechamento])</f>
        <v>25</v>
      </c>
      <c r="W15" s="5">
        <f>SUMPRODUCT(N(Tabela17[Código]=Tabela3[[#This Row],[PAPEL]]),Tabela17[Fechamento])</f>
        <v>0</v>
      </c>
    </row>
    <row r="16" spans="1:26" x14ac:dyDescent="0.2">
      <c r="A16" s="4" t="s">
        <v>12</v>
      </c>
      <c r="B16" s="14" t="s">
        <v>107</v>
      </c>
      <c r="C16" s="15">
        <v>3</v>
      </c>
      <c r="D16" s="31">
        <v>12828375000</v>
      </c>
      <c r="E16" s="31">
        <v>898498000</v>
      </c>
      <c r="F16" s="42">
        <v>273655375</v>
      </c>
      <c r="G16" s="15">
        <f>Tabela3[[#This Row],[Lucro Líquido]]/Tabela3[[#This Row],[Total Ações]]</f>
        <v>3.2833193939640322</v>
      </c>
      <c r="H16" s="15">
        <f>Tabela3[[#This Row],[Lucro/Ação]]/Tabela3[[#This Row],[Ref]]*4</f>
        <v>4.3777591919520429</v>
      </c>
      <c r="I16" s="19">
        <f>IF(GETPIVOTDATA("Payout",'Tabela LL'!$A$3,"Ativo",Tabela3[[#This Row],[PAPEL]])&gt;1,1,GETPIVOTDATA("Payout",'Tabela LL'!$A$3,"Ativo",Tabela3[[#This Row],[PAPEL]]))</f>
        <v>0.67976520829611575</v>
      </c>
      <c r="J16" s="6">
        <f>Tabela3[Patrimônio Líquido]/Tabela3[Total Ações]</f>
        <v>46.877847730927996</v>
      </c>
      <c r="K16" s="52">
        <f>MAX(Tabela3[[#This Row],[Cotação 1]],Tabela3[[#This Row],[Cotação 2]])</f>
        <v>30</v>
      </c>
      <c r="L16" s="48">
        <f>Tabela3[Cotação]/Tabela3[VPA]</f>
        <v>0.63996112134233685</v>
      </c>
      <c r="M16" s="44">
        <f>IF(Tabela3[[#This Row],[Lucro/Ação Ano]]&gt;0,Tabela3[[#This Row],[Cotação]]/Tabela3[[#This Row],[Lucro/Ação Ano]],0)</f>
        <v>6.8528209717773443</v>
      </c>
      <c r="N16" s="6">
        <f>ROUND(Tabela3[[#This Row],[Lucro Prev]]/10%,2)</f>
        <v>29.76</v>
      </c>
      <c r="O16" s="62">
        <f>MIN(Tabela3[[#This Row],[10% Rent]],Tabela3[[#This Row],[VPA]]*2)</f>
        <v>29.76</v>
      </c>
      <c r="P16" s="19">
        <f>Tabela3[[#This Row],[P Compra]]/Tabela3[[#This Row],[Cotação]]-1</f>
        <v>-7.9999999999998961E-3</v>
      </c>
      <c r="Q16" s="6">
        <f>Tabela3[[#This Row],[Lucro/Ação Ano]]*Tabela3[[#This Row],[Payout]]</f>
        <v>2.975848388987516</v>
      </c>
      <c r="R16" s="15" t="str">
        <f>IF(AND(Tabela3[% Yield]&gt;=10%,Tabela3[PVPA]&lt;=2,Tabela3[PL]&lt;=15,Tabela3[PL]&gt;0),"Sim","Não")</f>
        <v>Não</v>
      </c>
      <c r="S16" s="46">
        <f>Tabela3[[#This Row],[Lucro Prev]]/Tabela3[[#This Row],[Cotação]]</f>
        <v>9.9194946299583864E-2</v>
      </c>
      <c r="T16" s="14">
        <f>($Z$1/Tabela3[[#This Row],[Cotação]]-MOD($Z$1/Tabela3[[#This Row],[Cotação]],100))</f>
        <v>0</v>
      </c>
      <c r="U16" s="17">
        <f>Tabela3[[#This Row],[Ativos]]*Tabela3[[#This Row],[Lucro Prev]]</f>
        <v>0</v>
      </c>
      <c r="V16" s="5">
        <f>SUMPRODUCT(N(Tabela1[Código]=Tabela3[[#This Row],[PAPEL]]),Tabela1[Fechamento])</f>
        <v>30</v>
      </c>
      <c r="W16" s="5">
        <f>SUMPRODUCT(N(Tabela17[Código]=Tabela3[[#This Row],[PAPEL]]),Tabela17[Fechamento])</f>
        <v>0</v>
      </c>
    </row>
    <row r="17" spans="1:23" x14ac:dyDescent="0.2">
      <c r="A17" s="4" t="s">
        <v>37</v>
      </c>
      <c r="B17" s="14" t="s">
        <v>36</v>
      </c>
      <c r="C17" s="15">
        <v>3</v>
      </c>
      <c r="D17" s="6">
        <v>12509395000</v>
      </c>
      <c r="E17" s="6">
        <v>1332834000</v>
      </c>
      <c r="F17" s="42">
        <v>683509869</v>
      </c>
      <c r="G17" s="15">
        <f>Tabela3[[#This Row],[Lucro Líquido]]/Tabela3[[#This Row],[Total Ações]]</f>
        <v>1.9499850118477222</v>
      </c>
      <c r="H17" s="15">
        <f>Tabela3[[#This Row],[Lucro/Ação]]/Tabela3[[#This Row],[Ref]]*4</f>
        <v>2.5999800157969628</v>
      </c>
      <c r="I17" s="19">
        <f>IF(GETPIVOTDATA("Payout",'Tabela LL'!$A$3,"Ativo",Tabela3[[#This Row],[PAPEL]])&gt;1,1,GETPIVOTDATA("Payout",'Tabela LL'!$A$3,"Ativo",Tabela3[[#This Row],[PAPEL]]))</f>
        <v>1</v>
      </c>
      <c r="J17" s="6">
        <f>Tabela3[Patrimônio Líquido]/Tabela3[Total Ações]</f>
        <v>18.301703555943828</v>
      </c>
      <c r="K17" s="52">
        <f>MAX(Tabela3[[#This Row],[Cotação 1]],Tabela3[[#This Row],[Cotação 2]])</f>
        <v>26.46</v>
      </c>
      <c r="L17" s="48">
        <f>Tabela3[Cotação]/Tabela3[VPA]</f>
        <v>1.4457670521827795</v>
      </c>
      <c r="M17" s="44">
        <f>IF(Tabela3[[#This Row],[Lucro/Ação Ano]]&gt;0,Tabela3[[#This Row],[Cotação]]/Tabela3[[#This Row],[Lucro/Ação Ano]],0)</f>
        <v>10.177001299715494</v>
      </c>
      <c r="N17" s="6">
        <f>ROUND(Tabela3[[#This Row],[Lucro Prev]]/10%,2)</f>
        <v>26</v>
      </c>
      <c r="O17" s="62">
        <f>MIN(Tabela3[[#This Row],[10% Rent]],Tabela3[[#This Row],[VPA]]*2)</f>
        <v>26</v>
      </c>
      <c r="P17" s="19">
        <f>Tabela3[[#This Row],[P Compra]]/Tabela3[[#This Row],[Cotação]]-1</f>
        <v>-1.7384731670445963E-2</v>
      </c>
      <c r="Q17" s="6">
        <f>Tabela3[[#This Row],[Lucro/Ação Ano]]*Tabela3[[#This Row],[Payout]]</f>
        <v>2.5999800157969628</v>
      </c>
      <c r="R17" s="15" t="str">
        <f>IF(AND(Tabela3[% Yield]&gt;=10%,Tabela3[PVPA]&lt;=2,Tabela3[PL]&lt;=15,Tabela3[PL]&gt;0),"Sim","Não")</f>
        <v>Não</v>
      </c>
      <c r="S17" s="46">
        <f>Tabela3[[#This Row],[Lucro Prev]]/Tabela3[[#This Row],[Cotação]]</f>
        <v>9.8260771572069638E-2</v>
      </c>
      <c r="T17" s="14">
        <f>($Z$1/Tabela3[[#This Row],[Cotação]]-MOD($Z$1/Tabela3[[#This Row],[Cotação]],100))</f>
        <v>0</v>
      </c>
      <c r="U17" s="17">
        <f>Tabela3[[#This Row],[Ativos]]*Tabela3[[#This Row],[Lucro Prev]]</f>
        <v>0</v>
      </c>
      <c r="V17" s="5">
        <f>SUMPRODUCT(N(Tabela1[Código]=Tabela3[[#This Row],[PAPEL]]),Tabela1[Fechamento])</f>
        <v>26.46</v>
      </c>
      <c r="W17" s="5">
        <f>SUMPRODUCT(N(Tabela17[Código]=Tabela3[[#This Row],[PAPEL]]),Tabela17[Fechamento])</f>
        <v>0</v>
      </c>
    </row>
    <row r="18" spans="1:23" x14ac:dyDescent="0.2">
      <c r="A18" s="4" t="s">
        <v>14</v>
      </c>
      <c r="B18" s="14" t="s">
        <v>24</v>
      </c>
      <c r="C18" s="15">
        <v>3</v>
      </c>
      <c r="D18" s="6">
        <v>63802635000</v>
      </c>
      <c r="E18" s="6">
        <v>12718352000</v>
      </c>
      <c r="F18" s="42">
        <v>2865417020</v>
      </c>
      <c r="G18" s="15">
        <f>Tabela3[[#This Row],[Lucro Líquido]]/Tabela3[[#This Row],[Total Ações]]</f>
        <v>4.4385692941825274</v>
      </c>
      <c r="H18" s="15">
        <f>Tabela3[[#This Row],[Lucro/Ação]]/Tabela3[[#This Row],[Ref]]*4</f>
        <v>5.9180923922433699</v>
      </c>
      <c r="I18" s="19">
        <f>IF(GETPIVOTDATA("Payout",'Tabela LL'!$A$3,"Ativo",Tabela3[[#This Row],[PAPEL]])&gt;1,1,GETPIVOTDATA("Payout",'Tabela LL'!$A$3,"Ativo",Tabela3[[#This Row],[PAPEL]]))</f>
        <v>0.40025891489587845</v>
      </c>
      <c r="J18" s="6">
        <f>Tabela3[Patrimônio Líquido]/Tabela3[Total Ações]</f>
        <v>22.266439598379993</v>
      </c>
      <c r="K18" s="52">
        <f>MAX(Tabela3[[#This Row],[Cotação 1]],Tabela3[[#This Row],[Cotação 2]])</f>
        <v>24.4</v>
      </c>
      <c r="L18" s="48">
        <f>Tabela3[Cotação]/Tabela3[VPA]</f>
        <v>1.0958195580480337</v>
      </c>
      <c r="M18" s="44">
        <f>IF(Tabela3[[#This Row],[Lucro/Ação Ano]]&gt;0,Tabela3[[#This Row],[Cotação]]/Tabela3[[#This Row],[Lucro/Ação Ano]],0)</f>
        <v>4.1229501641407627</v>
      </c>
      <c r="N18" s="6">
        <f>ROUND(Tabela3[[#This Row],[Lucro Prev]]/10%,2)</f>
        <v>23.69</v>
      </c>
      <c r="O18" s="62">
        <f>MIN(Tabela3[[#This Row],[10% Rent]],Tabela3[[#This Row],[VPA]]*2)</f>
        <v>23.69</v>
      </c>
      <c r="P18" s="19">
        <f>Tabela3[[#This Row],[P Compra]]/Tabela3[[#This Row],[Cotação]]-1</f>
        <v>-2.9098360655737565E-2</v>
      </c>
      <c r="Q18" s="6">
        <f>Tabela3[[#This Row],[Lucro/Ação Ano]]*Tabela3[[#This Row],[Payout]]</f>
        <v>2.3687692391728845</v>
      </c>
      <c r="R18" s="15" t="str">
        <f>IF(AND(Tabela3[% Yield]&gt;=10%,Tabela3[PVPA]&lt;=2,Tabela3[PL]&lt;=15,Tabela3[PL]&gt;0),"Sim","Não")</f>
        <v>Não</v>
      </c>
      <c r="S18" s="46">
        <f>Tabela3[[#This Row],[Lucro Prev]]/Tabela3[[#This Row],[Cotação]]</f>
        <v>9.7080706523478874E-2</v>
      </c>
      <c r="T18" s="14">
        <f>($Z$1/Tabela3[[#This Row],[Cotação]]-MOD($Z$1/Tabela3[[#This Row],[Cotação]],100))</f>
        <v>0</v>
      </c>
      <c r="U18" s="17">
        <f>Tabela3[[#This Row],[Ativos]]*Tabela3[[#This Row],[Lucro Prev]]</f>
        <v>0</v>
      </c>
      <c r="V18" s="5">
        <f>SUMPRODUCT(N(Tabela1[Código]=Tabela3[[#This Row],[PAPEL]]),Tabela1[Fechamento])</f>
        <v>24.4</v>
      </c>
      <c r="W18" s="5">
        <f>SUMPRODUCT(N(Tabela17[Código]=Tabela3[[#This Row],[PAPEL]]),Tabela17[Fechamento])</f>
        <v>0</v>
      </c>
    </row>
    <row r="19" spans="1:23" x14ac:dyDescent="0.2">
      <c r="A19" s="4" t="s">
        <v>12</v>
      </c>
      <c r="B19" s="14" t="s">
        <v>68</v>
      </c>
      <c r="C19" s="15">
        <v>3</v>
      </c>
      <c r="D19" s="6">
        <v>463367000</v>
      </c>
      <c r="E19" s="6">
        <v>59974000</v>
      </c>
      <c r="F19" s="42">
        <v>108480828</v>
      </c>
      <c r="G19" s="15">
        <f>Tabela3[[#This Row],[Lucro Líquido]]/Tabela3[[#This Row],[Total Ações]]</f>
        <v>0.55285344982801943</v>
      </c>
      <c r="H19" s="15">
        <f>Tabela3[[#This Row],[Lucro/Ação]]/Tabela3[[#This Row],[Ref]]*4</f>
        <v>0.73713793310402587</v>
      </c>
      <c r="I19" s="19">
        <f>IF(GETPIVOTDATA("Payout",'Tabela LL'!$A$3,"Ativo",Tabela3[[#This Row],[PAPEL]])&gt;1,1,GETPIVOTDATA("Payout",'Tabela LL'!$A$3,"Ativo",Tabela3[[#This Row],[PAPEL]]))</f>
        <v>0.74003580825491566</v>
      </c>
      <c r="J19" s="6">
        <f>Tabela3[Patrimônio Líquido]/Tabela3[Total Ações]</f>
        <v>4.2714183560619574</v>
      </c>
      <c r="K19" s="52">
        <f>MAX(Tabela3[[#This Row],[Cotação 1]],Tabela3[[#This Row],[Cotação 2]])</f>
        <v>5.98</v>
      </c>
      <c r="L19" s="48">
        <f>Tabela3[Cotação]/Tabela3[VPA]</f>
        <v>1.4000033481883694</v>
      </c>
      <c r="M19" s="44">
        <f>IF(Tabela3[[#This Row],[Lucro/Ação Ano]]&gt;0,Tabela3[[#This Row],[Cotação]]/Tabela3[[#This Row],[Lucro/Ação Ano]],0)</f>
        <v>8.1124572911595028</v>
      </c>
      <c r="N19" s="6">
        <f>ROUND(Tabela3[[#This Row],[Lucro Prev]]/10%,2)</f>
        <v>5.46</v>
      </c>
      <c r="O19" s="17">
        <f>MIN(Tabela3[[#This Row],[10% Rent]],Tabela3[[#This Row],[VPA]]*2)</f>
        <v>5.46</v>
      </c>
      <c r="P19" s="19">
        <f>Tabela3[[#This Row],[P Compra]]/Tabela3[[#This Row],[Cotação]]-1</f>
        <v>-8.6956521739130488E-2</v>
      </c>
      <c r="Q19" s="6">
        <f>Tabela3[[#This Row],[Lucro/Ação Ano]]*Tabela3[[#This Row],[Payout]]</f>
        <v>0.54550846611999571</v>
      </c>
      <c r="R19" s="14" t="str">
        <f>IF(AND(Tabela3[% Yield]&gt;=10%,Tabela3[PVPA]&lt;=2,Tabela3[PL]&lt;=15,Tabela3[PL]&gt;0),"Sim","Não")</f>
        <v>Não</v>
      </c>
      <c r="S19" s="46">
        <f>Tabela3[[#This Row],[Lucro Prev]]/Tabela3[[#This Row],[Cotação]]</f>
        <v>9.1222151525082881E-2</v>
      </c>
      <c r="T19" s="14">
        <f>($Z$1/Tabela3[[#This Row],[Cotação]]-MOD($Z$1/Tabela3[[#This Row],[Cotação]],100))</f>
        <v>100</v>
      </c>
      <c r="U19" s="17">
        <f>Tabela3[[#This Row],[Ativos]]*Tabela3[[#This Row],[Lucro Prev]]</f>
        <v>54.550846611999567</v>
      </c>
      <c r="V19" s="5">
        <f>SUMPRODUCT(N(Tabela1[Código]=Tabela3[[#This Row],[PAPEL]]),Tabela1[Fechamento])</f>
        <v>5.98</v>
      </c>
      <c r="W19" s="5">
        <f>SUMPRODUCT(N(Tabela17[Código]=Tabela3[[#This Row],[PAPEL]]),Tabela17[Fechamento])</f>
        <v>0</v>
      </c>
    </row>
    <row r="20" spans="1:23" x14ac:dyDescent="0.2">
      <c r="A20" s="4" t="s">
        <v>12</v>
      </c>
      <c r="B20" s="14" t="s">
        <v>71</v>
      </c>
      <c r="C20" s="15">
        <v>3</v>
      </c>
      <c r="D20" s="6">
        <v>884793000</v>
      </c>
      <c r="E20" s="6">
        <v>154604000</v>
      </c>
      <c r="F20" s="42">
        <v>168074028</v>
      </c>
      <c r="G20" s="15">
        <f>Tabela3[[#This Row],[Lucro Líquido]]/Tabela3[[#This Row],[Total Ações]]</f>
        <v>0.91985657653186015</v>
      </c>
      <c r="H20" s="15">
        <f>Tabela3[[#This Row],[Lucro/Ação]]/Tabela3[[#This Row],[Ref]]*4</f>
        <v>1.2264754353758136</v>
      </c>
      <c r="I20" s="19">
        <f>IF(GETPIVOTDATA("Payout",'Tabela LL'!$A$3,"Ativo",Tabela3[[#This Row],[PAPEL]])&gt;1,1,GETPIVOTDATA("Payout",'Tabela LL'!$A$3,"Ativo",Tabela3[[#This Row],[PAPEL]]))</f>
        <v>0.65697940671349686</v>
      </c>
      <c r="J20" s="6">
        <f>Tabela3[Patrimônio Líquido]/Tabela3[Total Ações]</f>
        <v>5.2643053214622784</v>
      </c>
      <c r="K20" s="52">
        <f>MAX(Tabela3[[#This Row],[Cotação 1]],Tabela3[[#This Row],[Cotação 2]])</f>
        <v>9</v>
      </c>
      <c r="L20" s="48">
        <f>Tabela3[Cotação]/Tabela3[VPA]</f>
        <v>1.7096272823134904</v>
      </c>
      <c r="M20" s="44">
        <f>IF(Tabela3[[#This Row],[Lucro/Ação Ano]]&gt;0,Tabela3[[#This Row],[Cotação]]/Tabela3[[#This Row],[Lucro/Ação Ano]],0)</f>
        <v>7.3381004954593667</v>
      </c>
      <c r="N20" s="6">
        <f>ROUND(Tabela3[[#This Row],[Lucro Prev]]/10%,2)</f>
        <v>8.06</v>
      </c>
      <c r="O20" s="17">
        <f>MIN(Tabela3[[#This Row],[10% Rent]],Tabela3[[#This Row],[VPA]]*2)</f>
        <v>8.06</v>
      </c>
      <c r="P20" s="19">
        <f>Tabela3[[#This Row],[P Compra]]/Tabela3[[#This Row],[Cotação]]-1</f>
        <v>-0.10444444444444434</v>
      </c>
      <c r="Q20" s="6">
        <f>Tabela3[[#This Row],[Lucro/Ação Ano]]*Tabela3[[#This Row],[Payout]]</f>
        <v>0.80576910388187983</v>
      </c>
      <c r="R20" s="14" t="str">
        <f>IF(AND(Tabela3[% Yield]&gt;=10%,Tabela3[PVPA]&lt;=2,Tabela3[PL]&lt;=15,Tabela3[PL]&gt;0),"Sim","Não")</f>
        <v>Não</v>
      </c>
      <c r="S20" s="46">
        <f>Tabela3[[#This Row],[Lucro Prev]]/Tabela3[[#This Row],[Cotação]]</f>
        <v>8.9529900431319975E-2</v>
      </c>
      <c r="T20" s="14">
        <f>($Z$1/Tabela3[[#This Row],[Cotação]]-MOD($Z$1/Tabela3[[#This Row],[Cotação]],100))</f>
        <v>100</v>
      </c>
      <c r="U20" s="17">
        <f>Tabela3[[#This Row],[Ativos]]*Tabela3[[#This Row],[Lucro Prev]]</f>
        <v>80.576910388187983</v>
      </c>
      <c r="V20" s="5">
        <f>SUMPRODUCT(N(Tabela1[Código]=Tabela3[[#This Row],[PAPEL]]),Tabela1[Fechamento])</f>
        <v>9</v>
      </c>
      <c r="W20" s="5">
        <f>SUMPRODUCT(N(Tabela17[Código]=Tabela3[[#This Row],[PAPEL]]),Tabela17[Fechamento])</f>
        <v>0</v>
      </c>
    </row>
    <row r="21" spans="1:23" x14ac:dyDescent="0.2">
      <c r="A21" s="4" t="s">
        <v>14</v>
      </c>
      <c r="B21" s="14" t="s">
        <v>78</v>
      </c>
      <c r="C21" s="15">
        <v>3</v>
      </c>
      <c r="D21" s="6">
        <v>1277111000</v>
      </c>
      <c r="E21" s="6">
        <v>116149000</v>
      </c>
      <c r="F21" s="42">
        <v>110842313</v>
      </c>
      <c r="G21" s="15">
        <f>Tabela3[[#This Row],[Lucro Líquido]]/Tabela3[[#This Row],[Total Ações]]</f>
        <v>1.0478760038145361</v>
      </c>
      <c r="H21" s="15">
        <f>Tabela3[[#This Row],[Lucro/Ação]]/Tabela3[[#This Row],[Ref]]*4</f>
        <v>1.397168005086048</v>
      </c>
      <c r="I21" s="19">
        <f>IF(GETPIVOTDATA("Payout",'Tabela LL'!$A$3,"Ativo",Tabela3[[#This Row],[PAPEL]])&gt;1,1,GETPIVOTDATA("Payout",'Tabela LL'!$A$3,"Ativo",Tabela3[[#This Row],[PAPEL]]))</f>
        <v>0.66880124529726692</v>
      </c>
      <c r="J21" s="6">
        <f>Tabela3[Patrimônio Líquido]/Tabela3[Total Ações]</f>
        <v>11.521872518124013</v>
      </c>
      <c r="K21" s="52">
        <f>MAX(Tabela3[[#This Row],[Cotação 1]],Tabela3[[#This Row],[Cotação 2]])</f>
        <v>10.53</v>
      </c>
      <c r="L21" s="48">
        <f>Tabela3[Cotação]/Tabela3[VPA]</f>
        <v>0.91391394787923674</v>
      </c>
      <c r="M21" s="44">
        <f>IF(Tabela3[[#This Row],[Lucro/Ação Ano]]&gt;0,Tabela3[[#This Row],[Cotação]]/Tabela3[[#This Row],[Lucro/Ação Ano]],0)</f>
        <v>7.5366741592049866</v>
      </c>
      <c r="N21" s="6">
        <f>ROUND(Tabela3[[#This Row],[Lucro Prev]]/10%,2)</f>
        <v>9.34</v>
      </c>
      <c r="O21" s="62">
        <f>MIN(Tabela3[[#This Row],[10% Rent]],Tabela3[[#This Row],[VPA]]*2)</f>
        <v>9.34</v>
      </c>
      <c r="P21" s="19">
        <f>Tabela3[[#This Row],[P Compra]]/Tabela3[[#This Row],[Cotação]]-1</f>
        <v>-0.11301044634377966</v>
      </c>
      <c r="Q21" s="6">
        <f>Tabela3[[#This Row],[Lucro/Ação Ano]]*Tabela3[[#This Row],[Payout]]</f>
        <v>0.93442770169104705</v>
      </c>
      <c r="R21" s="15" t="str">
        <f>IF(AND(Tabela3[% Yield]&gt;=10%,Tabela3[PVPA]&lt;=2,Tabela3[PL]&lt;=15,Tabela3[PL]&gt;0),"Sim","Não")</f>
        <v>Não</v>
      </c>
      <c r="S21" s="46">
        <f>Tabela3[[#This Row],[Lucro Prev]]/Tabela3[[#This Row],[Cotação]]</f>
        <v>8.8739572810165923E-2</v>
      </c>
      <c r="T21" s="14">
        <f>($Z$1/Tabela3[[#This Row],[Cotação]]-MOD($Z$1/Tabela3[[#This Row],[Cotação]],100))</f>
        <v>0</v>
      </c>
      <c r="U21" s="17">
        <f>Tabela3[[#This Row],[Ativos]]*Tabela3[[#This Row],[Lucro Prev]]</f>
        <v>0</v>
      </c>
      <c r="V21" s="5">
        <f>SUMPRODUCT(N(Tabela1[Código]=Tabela3[[#This Row],[PAPEL]]),Tabela1[Fechamento])</f>
        <v>10.53</v>
      </c>
      <c r="W21" s="5">
        <f>SUMPRODUCT(N(Tabela17[Código]=Tabela3[[#This Row],[PAPEL]]),Tabela17[Fechamento])</f>
        <v>0</v>
      </c>
    </row>
    <row r="22" spans="1:23" x14ac:dyDescent="0.2">
      <c r="A22" s="4" t="s">
        <v>12</v>
      </c>
      <c r="B22" s="14" t="s">
        <v>74</v>
      </c>
      <c r="C22" s="15">
        <v>3</v>
      </c>
      <c r="D22" s="6">
        <v>1927248000</v>
      </c>
      <c r="E22" s="6">
        <v>149553000</v>
      </c>
      <c r="F22" s="42">
        <v>38571591</v>
      </c>
      <c r="G22" s="15">
        <f>Tabela3[[#This Row],[Lucro Líquido]]/Tabela3[[#This Row],[Total Ações]]</f>
        <v>3.8772836723276467</v>
      </c>
      <c r="H22" s="15">
        <f>Tabela3[[#This Row],[Lucro/Ação]]/Tabela3[[#This Row],[Ref]]*4</f>
        <v>5.1697115631035286</v>
      </c>
      <c r="I22" s="19">
        <f>IF(GETPIVOTDATA("Payout",'Tabela LL'!$A$3,"Ativo",Tabela3[[#This Row],[PAPEL]])&gt;1,1,GETPIVOTDATA("Payout",'Tabela LL'!$A$3,"Ativo",Tabela3[[#This Row],[PAPEL]]))</f>
        <v>0.29963156324701223</v>
      </c>
      <c r="J22" s="6">
        <f>Tabela3[Patrimônio Líquido]/Tabela3[Total Ações]</f>
        <v>49.965478478707297</v>
      </c>
      <c r="K22" s="52">
        <f>MAX(Tabela3[[#This Row],[Cotação 1]],Tabela3[[#This Row],[Cotação 2]])</f>
        <v>18.399999999999999</v>
      </c>
      <c r="L22" s="48">
        <f>Tabela3[Cotação]/Tabela3[VPA]</f>
        <v>0.36825425394137129</v>
      </c>
      <c r="M22" s="44">
        <f>IF(Tabela3[[#This Row],[Lucro/Ação Ano]]&gt;0,Tabela3[[#This Row],[Cotação]]/Tabela3[[#This Row],[Lucro/Ação Ano]],0)</f>
        <v>3.5591927664440028</v>
      </c>
      <c r="N22" s="6">
        <f>ROUND(Tabela3[[#This Row],[Lucro Prev]]/10%,2)</f>
        <v>15.49</v>
      </c>
      <c r="O22" s="17">
        <f>MIN(Tabela3[[#This Row],[10% Rent]],Tabela3[[#This Row],[VPA]]*2)</f>
        <v>15.49</v>
      </c>
      <c r="P22" s="19">
        <f>Tabela3[[#This Row],[P Compra]]/Tabela3[[#This Row],[Cotação]]-1</f>
        <v>-0.15815217391304337</v>
      </c>
      <c r="Q22" s="6">
        <f>Tabela3[[#This Row],[Lucro/Ação Ano]]*Tabela3[[#This Row],[Payout]]</f>
        <v>1.5490087571888653</v>
      </c>
      <c r="R22" s="14" t="str">
        <f>IF(AND(Tabela3[% Yield]&gt;=10%,Tabela3[PVPA]&lt;=2,Tabela3[PL]&lt;=15,Tabela3[PL]&gt;0),"Sim","Não")</f>
        <v>Não</v>
      </c>
      <c r="S22" s="46">
        <f>Tabela3[[#This Row],[Lucro Prev]]/Tabela3[[#This Row],[Cotação]]</f>
        <v>8.418525854287312E-2</v>
      </c>
      <c r="T22" s="14">
        <f>($Z$1/Tabela3[[#This Row],[Cotação]]-MOD($Z$1/Tabela3[[#This Row],[Cotação]],100))</f>
        <v>0</v>
      </c>
      <c r="U22" s="17">
        <f>Tabela3[[#This Row],[Ativos]]*Tabela3[[#This Row],[Lucro Prev]]</f>
        <v>0</v>
      </c>
      <c r="V22" s="5">
        <f>SUMPRODUCT(N(Tabela1[Código]=Tabela3[[#This Row],[PAPEL]]),Tabela1[Fechamento])</f>
        <v>18.399999999999999</v>
      </c>
      <c r="W22" s="5">
        <f>SUMPRODUCT(N(Tabela17[Código]=Tabela3[[#This Row],[PAPEL]]),Tabela17[Fechamento])</f>
        <v>0</v>
      </c>
    </row>
    <row r="23" spans="1:23" x14ac:dyDescent="0.2">
      <c r="A23" s="4" t="s">
        <v>14</v>
      </c>
      <c r="B23" s="14" t="s">
        <v>272</v>
      </c>
      <c r="C23" s="15">
        <v>3</v>
      </c>
      <c r="D23" s="6">
        <v>2513911000</v>
      </c>
      <c r="E23" s="6">
        <v>303723000</v>
      </c>
      <c r="F23" s="42">
        <v>87001901</v>
      </c>
      <c r="G23" s="15">
        <f>Tabela3[[#This Row],[Lucro Líquido]]/Tabela3[[#This Row],[Total Ações]]</f>
        <v>3.4909926853207494</v>
      </c>
      <c r="H23" s="15">
        <f>Tabela3[[#This Row],[Lucro/Ação]]/Tabela3[[#This Row],[Ref]]*4</f>
        <v>4.6546569137609994</v>
      </c>
      <c r="I23" s="19">
        <f>IF(GETPIVOTDATA("Payout",'Tabela LL'!$A$3,"Ativo",Tabela3[[#This Row],[PAPEL]])&gt;1,1,GETPIVOTDATA("Payout",'Tabela LL'!$A$3,"Ativo",Tabela3[[#This Row],[PAPEL]]))</f>
        <v>0.50160075598307408</v>
      </c>
      <c r="J23" s="6">
        <f>Tabela3[Patrimônio Líquido]/Tabela3[Total Ações]</f>
        <v>28.894897365518485</v>
      </c>
      <c r="K23" s="52">
        <f>MAX(Tabela3[[#This Row],[Cotação 1]],Tabela3[[#This Row],[Cotação 2]])</f>
        <v>28.74</v>
      </c>
      <c r="L23" s="48">
        <f>Tabela3[Cotação]/Tabela3[VPA]</f>
        <v>0.99463928306928917</v>
      </c>
      <c r="M23" s="44">
        <f>IF(Tabela3[[#This Row],[Lucro/Ação Ano]]&gt;0,Tabela3[[#This Row],[Cotação]]/Tabela3[[#This Row],[Lucro/Ação Ano]],0)</f>
        <v>6.174461519394316</v>
      </c>
      <c r="N23" s="6">
        <f>ROUND(Tabela3[[#This Row],[Lucro Prev]]/10%,2)</f>
        <v>23.35</v>
      </c>
      <c r="O23" s="62">
        <f>MIN(Tabela3[[#This Row],[10% Rent]],Tabela3[[#This Row],[VPA]]*2)</f>
        <v>23.35</v>
      </c>
      <c r="P23" s="19">
        <f>Tabela3[[#This Row],[P Compra]]/Tabela3[[#This Row],[Cotação]]-1</f>
        <v>-0.18754349338900478</v>
      </c>
      <c r="Q23" s="6">
        <f>Tabela3[[#This Row],[Lucro/Ação Ano]]*Tabela3[[#This Row],[Payout]]</f>
        <v>2.3347794267843596</v>
      </c>
      <c r="R23" s="15" t="str">
        <f>IF(AND(Tabela3[% Yield]&gt;=10%,Tabela3[PVPA]&lt;=2,Tabela3[PL]&lt;=15,Tabela3[PL]&gt;0),"Sim","Não")</f>
        <v>Não</v>
      </c>
      <c r="S23" s="46">
        <f>Tabela3[[#This Row],[Lucro Prev]]/Tabela3[[#This Row],[Cotação]]</f>
        <v>8.1237975879761989E-2</v>
      </c>
      <c r="T23" s="14">
        <f>($Z$1/Tabela3[[#This Row],[Cotação]]-MOD($Z$1/Tabela3[[#This Row],[Cotação]],100))</f>
        <v>0</v>
      </c>
      <c r="U23" s="17">
        <f>Tabela3[[#This Row],[Ativos]]*Tabela3[[#This Row],[Lucro Prev]]</f>
        <v>0</v>
      </c>
      <c r="V23" s="5">
        <f>SUMPRODUCT(N(Tabela1[Código]=Tabela3[[#This Row],[PAPEL]]),Tabela1[Fechamento])</f>
        <v>28.74</v>
      </c>
      <c r="W23" s="5">
        <f>SUMPRODUCT(N(Tabela17[Código]=Tabela3[[#This Row],[PAPEL]]),Tabela17[Fechamento])</f>
        <v>0</v>
      </c>
    </row>
    <row r="24" spans="1:23" x14ac:dyDescent="0.2">
      <c r="A24" s="4" t="s">
        <v>12</v>
      </c>
      <c r="B24" s="14" t="s">
        <v>104</v>
      </c>
      <c r="C24" s="15">
        <v>3</v>
      </c>
      <c r="D24" s="6">
        <v>884793000</v>
      </c>
      <c r="E24" s="6">
        <v>154604000</v>
      </c>
      <c r="F24" s="42">
        <v>168074028</v>
      </c>
      <c r="G24" s="15">
        <f>Tabela3[[#This Row],[Lucro Líquido]]/Tabela3[[#This Row],[Total Ações]]</f>
        <v>0.91985657653186015</v>
      </c>
      <c r="H24" s="15">
        <f>Tabela3[[#This Row],[Lucro/Ação]]/Tabela3[[#This Row],[Ref]]*4</f>
        <v>1.2264754353758136</v>
      </c>
      <c r="I24" s="19">
        <f>IF(GETPIVOTDATA("Payout",'Tabela LL'!$A$3,"Ativo",Tabela3[[#This Row],[PAPEL]])&gt;1,1,GETPIVOTDATA("Payout",'Tabela LL'!$A$3,"Ativo",Tabela3[[#This Row],[PAPEL]]))</f>
        <v>0.65697940671349686</v>
      </c>
      <c r="J24" s="6">
        <f>Tabela3[Patrimônio Líquido]/Tabela3[Total Ações]</f>
        <v>5.2643053214622784</v>
      </c>
      <c r="K24" s="52">
        <f>MAX(Tabela3[[#This Row],[Cotação 1]],Tabela3[[#This Row],[Cotação 2]])</f>
        <v>10.119999999999999</v>
      </c>
      <c r="L24" s="48">
        <f>Tabela3[Cotação]/Tabela3[VPA]</f>
        <v>1.9223808996680578</v>
      </c>
      <c r="M24" s="44">
        <f>IF(Tabela3[[#This Row],[Lucro/Ação Ano]]&gt;0,Tabela3[[#This Row],[Cotação]]/Tabela3[[#This Row],[Lucro/Ação Ano]],0)</f>
        <v>8.25128633489431</v>
      </c>
      <c r="N24" s="6">
        <f>ROUND(Tabela3[[#This Row],[Lucro Prev]]/10%,2)</f>
        <v>8.06</v>
      </c>
      <c r="O24" s="62">
        <f>MIN(Tabela3[[#This Row],[10% Rent]],Tabela3[[#This Row],[VPA]]*2)</f>
        <v>8.06</v>
      </c>
      <c r="P24" s="19">
        <f>Tabela3[[#This Row],[P Compra]]/Tabela3[[#This Row],[Cotação]]-1</f>
        <v>-0.20355731225296436</v>
      </c>
      <c r="Q24" s="6">
        <f>Tabela3[[#This Row],[Lucro/Ação Ano]]*Tabela3[[#This Row],[Payout]]</f>
        <v>0.80576910388187983</v>
      </c>
      <c r="R24" s="15" t="str">
        <f>IF(AND(Tabela3[% Yield]&gt;=10%,Tabela3[PVPA]&lt;=2,Tabela3[PL]&lt;=15,Tabela3[PL]&gt;0),"Sim","Não")</f>
        <v>Não</v>
      </c>
      <c r="S24" s="46">
        <f>Tabela3[[#This Row],[Lucro Prev]]/Tabela3[[#This Row],[Cotação]]</f>
        <v>7.9621452952754926E-2</v>
      </c>
      <c r="T24" s="14">
        <f>($Z$1/Tabela3[[#This Row],[Cotação]]-MOD($Z$1/Tabela3[[#This Row],[Cotação]],100))</f>
        <v>0</v>
      </c>
      <c r="U24" s="17">
        <f>Tabela3[[#This Row],[Ativos]]*Tabela3[[#This Row],[Lucro Prev]]</f>
        <v>0</v>
      </c>
      <c r="V24" s="5">
        <f>SUMPRODUCT(N(Tabela1[Código]=Tabela3[[#This Row],[PAPEL]]),Tabela1[Fechamento])</f>
        <v>10.119999999999999</v>
      </c>
      <c r="W24" s="5">
        <f>SUMPRODUCT(N(Tabela17[Código]=Tabela3[[#This Row],[PAPEL]]),Tabela17[Fechamento])</f>
        <v>0</v>
      </c>
    </row>
    <row r="25" spans="1:23" x14ac:dyDescent="0.2">
      <c r="A25" s="4" t="s">
        <v>12</v>
      </c>
      <c r="B25" s="14" t="s">
        <v>99</v>
      </c>
      <c r="C25" s="15">
        <v>3</v>
      </c>
      <c r="D25" s="6">
        <v>465994000</v>
      </c>
      <c r="E25" s="6">
        <v>17904000</v>
      </c>
      <c r="F25" s="42">
        <v>9183458</v>
      </c>
      <c r="G25" s="15">
        <f>Tabela3[[#This Row],[Lucro Líquido]]/Tabela3[[#This Row],[Total Ações]]</f>
        <v>1.9495924084369962</v>
      </c>
      <c r="H25" s="15">
        <f>Tabela3[[#This Row],[Lucro/Ação]]/Tabela3[[#This Row],[Ref]]*4</f>
        <v>2.5994565445826616</v>
      </c>
      <c r="I25" s="19">
        <f>IF(GETPIVOTDATA("Payout",'Tabela LL'!$A$3,"Ativo",Tabela3[[#This Row],[PAPEL]])&gt;1,1,GETPIVOTDATA("Payout",'Tabela LL'!$A$3,"Ativo",Tabela3[[#This Row],[PAPEL]]))</f>
        <v>0.76106388540309444</v>
      </c>
      <c r="J25" s="6">
        <f>Tabela3[Patrimônio Líquido]/Tabela3[Total Ações]</f>
        <v>50.742759426786726</v>
      </c>
      <c r="K25" s="52">
        <f>MAX(Tabela3[[#This Row],[Cotação 1]],Tabela3[[#This Row],[Cotação 2]])</f>
        <v>25.02</v>
      </c>
      <c r="L25" s="48">
        <f>Tabela3[Cotação]/Tabela3[VPA]</f>
        <v>0.49307527384472766</v>
      </c>
      <c r="M25" s="44">
        <f>IF(Tabela3[[#This Row],[Lucro/Ação Ano]]&gt;0,Tabela3[[#This Row],[Cotação]]/Tabela3[[#This Row],[Lucro/Ação Ano]],0)</f>
        <v>9.6250887717828419</v>
      </c>
      <c r="N25" s="6">
        <f>ROUND(Tabela3[[#This Row],[Lucro Prev]]/10%,2)</f>
        <v>19.78</v>
      </c>
      <c r="O25" s="62">
        <f>MIN(Tabela3[[#This Row],[10% Rent]],Tabela3[[#This Row],[VPA]]*2)</f>
        <v>19.78</v>
      </c>
      <c r="P25" s="19">
        <f>Tabela3[[#This Row],[P Compra]]/Tabela3[[#This Row],[Cotação]]-1</f>
        <v>-0.20943245403677058</v>
      </c>
      <c r="Q25" s="6">
        <f>Tabela3[[#This Row],[Lucro/Ação Ano]]*Tabela3[[#This Row],[Payout]]</f>
        <v>1.9783524977565827</v>
      </c>
      <c r="R25" s="15" t="str">
        <f>IF(AND(Tabela3[% Yield]&gt;=10%,Tabela3[PVPA]&lt;=2,Tabela3[PL]&lt;=15,Tabela3[PL]&gt;0),"Sim","Não")</f>
        <v>Não</v>
      </c>
      <c r="S25" s="46">
        <f>Tabela3[[#This Row],[Lucro Prev]]/Tabela3[[#This Row],[Cotação]]</f>
        <v>7.9070843235674773E-2</v>
      </c>
      <c r="T25" s="14">
        <f>($Z$1/Tabela3[[#This Row],[Cotação]]-MOD($Z$1/Tabela3[[#This Row],[Cotação]],100))</f>
        <v>0</v>
      </c>
      <c r="U25" s="17">
        <f>Tabela3[[#This Row],[Ativos]]*Tabela3[[#This Row],[Lucro Prev]]</f>
        <v>0</v>
      </c>
      <c r="V25" s="5">
        <f>SUMPRODUCT(N(Tabela1[Código]=Tabela3[[#This Row],[PAPEL]]),Tabela1[Fechamento])</f>
        <v>25.02</v>
      </c>
      <c r="W25" s="5">
        <f>SUMPRODUCT(N(Tabela17[Código]=Tabela3[[#This Row],[PAPEL]]),Tabela17[Fechamento])</f>
        <v>0</v>
      </c>
    </row>
    <row r="26" spans="1:23" x14ac:dyDescent="0.2">
      <c r="A26" s="4" t="s">
        <v>12</v>
      </c>
      <c r="B26" s="14" t="s">
        <v>98</v>
      </c>
      <c r="C26" s="15">
        <v>3</v>
      </c>
      <c r="D26" s="6">
        <v>465994000</v>
      </c>
      <c r="E26" s="6">
        <v>17904000</v>
      </c>
      <c r="F26" s="42">
        <v>9183458</v>
      </c>
      <c r="G26" s="15">
        <f>Tabela3[[#This Row],[Lucro Líquido]]/Tabela3[[#This Row],[Total Ações]]</f>
        <v>1.9495924084369962</v>
      </c>
      <c r="H26" s="15">
        <f>Tabela3[[#This Row],[Lucro/Ação]]/Tabela3[[#This Row],[Ref]]*4</f>
        <v>2.5994565445826616</v>
      </c>
      <c r="I26" s="19">
        <f>IF(GETPIVOTDATA("Payout",'Tabela LL'!$A$3,"Ativo",Tabela3[[#This Row],[PAPEL]])&gt;1,1,GETPIVOTDATA("Payout",'Tabela LL'!$A$3,"Ativo",Tabela3[[#This Row],[PAPEL]]))</f>
        <v>0.47419139568365454</v>
      </c>
      <c r="J26" s="6">
        <f>Tabela3[Patrimônio Líquido]/Tabela3[Total Ações]</f>
        <v>50.742759426786726</v>
      </c>
      <c r="K26" s="52">
        <f>MAX(Tabela3[[#This Row],[Cotação 1]],Tabela3[[#This Row],[Cotação 2]])</f>
        <v>16.010000000000002</v>
      </c>
      <c r="L26" s="48">
        <f>Tabela3[Cotação]/Tabela3[VPA]</f>
        <v>0.31551299497418428</v>
      </c>
      <c r="M26" s="44">
        <f>IF(Tabela3[[#This Row],[Lucro/Ação Ano]]&gt;0,Tabela3[[#This Row],[Cotação]]/Tabela3[[#This Row],[Lucro/Ação Ano]],0)</f>
        <v>6.1589796657171583</v>
      </c>
      <c r="N26" s="6">
        <f>ROUND(Tabela3[[#This Row],[Lucro Prev]]/10%,2)</f>
        <v>12.33</v>
      </c>
      <c r="O26" s="62">
        <f>MIN(Tabela3[[#This Row],[10% Rent]],Tabela3[[#This Row],[VPA]]*2)</f>
        <v>12.33</v>
      </c>
      <c r="P26" s="19">
        <f>Tabela3[[#This Row],[P Compra]]/Tabela3[[#This Row],[Cotação]]-1</f>
        <v>-0.22985633978763276</v>
      </c>
      <c r="Q26" s="6">
        <f>Tabela3[[#This Row],[Lucro/Ação Ano]]*Tabela3[[#This Row],[Payout]]</f>
        <v>1.2326399268946622</v>
      </c>
      <c r="R26" s="15" t="str">
        <f>IF(AND(Tabela3[% Yield]&gt;=10%,Tabela3[PVPA]&lt;=2,Tabela3[PL]&lt;=15,Tabela3[PL]&gt;0),"Sim","Não")</f>
        <v>Não</v>
      </c>
      <c r="S26" s="46">
        <f>Tabela3[[#This Row],[Lucro Prev]]/Tabela3[[#This Row],[Cotação]]</f>
        <v>7.6991875508723426E-2</v>
      </c>
      <c r="T26" s="14">
        <f>($Z$1/Tabela3[[#This Row],[Cotação]]-MOD($Z$1/Tabela3[[#This Row],[Cotação]],100))</f>
        <v>0</v>
      </c>
      <c r="U26" s="17">
        <f>Tabela3[[#This Row],[Ativos]]*Tabela3[[#This Row],[Lucro Prev]]</f>
        <v>0</v>
      </c>
      <c r="V26" s="5">
        <f>SUMPRODUCT(N(Tabela1[Código]=Tabela3[[#This Row],[PAPEL]]),Tabela1[Fechamento])</f>
        <v>16.010000000000002</v>
      </c>
      <c r="W26" s="5">
        <f>SUMPRODUCT(N(Tabela17[Código]=Tabela3[[#This Row],[PAPEL]]),Tabela17[Fechamento])</f>
        <v>0</v>
      </c>
    </row>
    <row r="27" spans="1:23" x14ac:dyDescent="0.2">
      <c r="A27" s="4" t="s">
        <v>12</v>
      </c>
      <c r="B27" s="14" t="s">
        <v>216</v>
      </c>
      <c r="C27" s="15">
        <v>3</v>
      </c>
      <c r="D27" s="6">
        <v>20809000</v>
      </c>
      <c r="E27" s="6">
        <v>1860000</v>
      </c>
      <c r="F27" s="42">
        <v>166355563</v>
      </c>
      <c r="G27" s="15">
        <f>Tabela3[[#This Row],[Lucro Líquido]]/Tabela3[[#This Row],[Total Ações]]</f>
        <v>1.1180870458777505E-2</v>
      </c>
      <c r="H27" s="15">
        <f>Tabela3[[#This Row],[Lucro/Ação]]/Tabela3[[#This Row],[Ref]]*4</f>
        <v>1.4907827278370006E-2</v>
      </c>
      <c r="I27" s="19">
        <f>IF(GETPIVOTDATA("Payout",'Tabela LL'!$A$3,"Ativo",Tabela3[[#This Row],[PAPEL]])&gt;1,1,GETPIVOTDATA("Payout",'Tabela LL'!$A$3,"Ativo",Tabela3[[#This Row],[PAPEL]]))</f>
        <v>0.8237247935120684</v>
      </c>
      <c r="J27" s="6">
        <f>Tabela3[Patrimônio Líquido]/Tabela3[Total Ações]</f>
        <v>0.12508749106274253</v>
      </c>
      <c r="K27" s="52">
        <f>MAX(Tabela3[[#This Row],[Cotação 1]],Tabela3[[#This Row],[Cotação 2]])</f>
        <v>0.16</v>
      </c>
      <c r="L27" s="48">
        <f>Tabela3[Cotação]/Tabela3[VPA]</f>
        <v>1.2791047181508</v>
      </c>
      <c r="M27" s="44">
        <f>IF(Tabela3[[#This Row],[Lucro/Ação Ano]]&gt;0,Tabela3[[#This Row],[Cotação]]/Tabela3[[#This Row],[Lucro/Ação Ano]],0)</f>
        <v>10.732616967741935</v>
      </c>
      <c r="N27" s="6">
        <f>ROUND(Tabela3[[#This Row],[Lucro Prev]]/10%,2)</f>
        <v>0.12</v>
      </c>
      <c r="O27" s="62">
        <f>MIN(Tabela3[[#This Row],[10% Rent]],Tabela3[[#This Row],[VPA]]*2)</f>
        <v>0.12</v>
      </c>
      <c r="P27" s="19">
        <f>Tabela3[[#This Row],[P Compra]]/Tabela3[[#This Row],[Cotação]]-1</f>
        <v>-0.25</v>
      </c>
      <c r="Q27" s="6">
        <f>Tabela3[[#This Row],[Lucro/Ação Ano]]*Tabela3[[#This Row],[Payout]]</f>
        <v>1.2279946946588913E-2</v>
      </c>
      <c r="R27" s="15" t="str">
        <f>IF(AND(Tabela3[% Yield]&gt;=10%,Tabela3[PVPA]&lt;=2,Tabela3[PL]&lt;=15,Tabela3[PL]&gt;0),"Sim","Não")</f>
        <v>Não</v>
      </c>
      <c r="S27" s="46">
        <f>Tabela3[[#This Row],[Lucro Prev]]/Tabela3[[#This Row],[Cotação]]</f>
        <v>7.6749668416180708E-2</v>
      </c>
      <c r="T27" s="14">
        <f>($Z$1/Tabela3[[#This Row],[Cotação]]-MOD($Z$1/Tabela3[[#This Row],[Cotação]],100))</f>
        <v>6200</v>
      </c>
      <c r="U27" s="17">
        <f>Tabela3[[#This Row],[Ativos]]*Tabela3[[#This Row],[Lucro Prev]]</f>
        <v>76.135671068851266</v>
      </c>
      <c r="V27" s="5">
        <f>SUMPRODUCT(N(Tabela1[Código]=Tabela3[[#This Row],[PAPEL]]),Tabela1[Fechamento])</f>
        <v>0.16</v>
      </c>
      <c r="W27" s="5">
        <f>SUMPRODUCT(N(Tabela17[Código]=Tabela3[[#This Row],[PAPEL]]),Tabela17[Fechamento])</f>
        <v>0</v>
      </c>
    </row>
    <row r="28" spans="1:23" x14ac:dyDescent="0.2">
      <c r="A28" s="4" t="s">
        <v>12</v>
      </c>
      <c r="B28" s="14" t="s">
        <v>96</v>
      </c>
      <c r="C28" s="15">
        <v>3</v>
      </c>
      <c r="D28" s="6">
        <v>2778571000</v>
      </c>
      <c r="E28" s="6">
        <v>434008000</v>
      </c>
      <c r="F28" s="42">
        <v>188177338</v>
      </c>
      <c r="G28" s="15">
        <f>Tabela3[[#This Row],[Lucro Líquido]]/Tabela3[[#This Row],[Total Ações]]</f>
        <v>2.3063776149283184</v>
      </c>
      <c r="H28" s="15">
        <f>Tabela3[[#This Row],[Lucro/Ação]]/Tabela3[[#This Row],[Ref]]*4</f>
        <v>3.075170153237758</v>
      </c>
      <c r="I28" s="19">
        <f>IF(GETPIVOTDATA("Payout",'Tabela LL'!$A$3,"Ativo",Tabela3[[#This Row],[PAPEL]])&gt;1,1,GETPIVOTDATA("Payout",'Tabela LL'!$A$3,"Ativo",Tabela3[[#This Row],[PAPEL]]))</f>
        <v>0.76692732207874426</v>
      </c>
      <c r="J28" s="6">
        <f>Tabela3[Patrimônio Líquido]/Tabela3[Total Ações]</f>
        <v>14.765704677999006</v>
      </c>
      <c r="K28" s="52">
        <f>MAX(Tabela3[[#This Row],[Cotação 1]],Tabela3[[#This Row],[Cotação 2]])</f>
        <v>30.99</v>
      </c>
      <c r="L28" s="48">
        <f>Tabela3[Cotação]/Tabela3[VPA]</f>
        <v>2.0987823253823636</v>
      </c>
      <c r="M28" s="44">
        <f>IF(Tabela3[[#This Row],[Lucro/Ação Ano]]&gt;0,Tabela3[[#This Row],[Cotação]]/Tabela3[[#This Row],[Lucro/Ação Ano]],0)</f>
        <v>10.077491148700023</v>
      </c>
      <c r="N28" s="6">
        <f>ROUND(Tabela3[[#This Row],[Lucro Prev]]/10%,2)</f>
        <v>23.58</v>
      </c>
      <c r="O28" s="62">
        <f>MIN(Tabela3[[#This Row],[10% Rent]],Tabela3[[#This Row],[VPA]]*2)</f>
        <v>23.58</v>
      </c>
      <c r="P28" s="19">
        <f>Tabela3[[#This Row],[P Compra]]/Tabela3[[#This Row],[Cotação]]-1</f>
        <v>-0.23910939012584709</v>
      </c>
      <c r="Q28" s="6">
        <f>Tabela3[[#This Row],[Lucro/Ação Ano]]*Tabela3[[#This Row],[Payout]]</f>
        <v>2.3584320105591154</v>
      </c>
      <c r="R28" s="15" t="str">
        <f>IF(AND(Tabela3[% Yield]&gt;=10%,Tabela3[PVPA]&lt;=2,Tabela3[PL]&lt;=15,Tabela3[PL]&gt;0),"Sim","Não")</f>
        <v>Não</v>
      </c>
      <c r="S28" s="46">
        <f>Tabela3[[#This Row],[Lucro Prev]]/Tabela3[[#This Row],[Cotação]]</f>
        <v>7.6103001308780754E-2</v>
      </c>
      <c r="T28" s="14">
        <f>($Z$1/Tabela3[[#This Row],[Cotação]]-MOD($Z$1/Tabela3[[#This Row],[Cotação]],100))</f>
        <v>0</v>
      </c>
      <c r="U28" s="17">
        <f>Tabela3[[#This Row],[Ativos]]*Tabela3[[#This Row],[Lucro Prev]]</f>
        <v>0</v>
      </c>
      <c r="V28" s="5">
        <f>SUMPRODUCT(N(Tabela1[Código]=Tabela3[[#This Row],[PAPEL]]),Tabela1[Fechamento])</f>
        <v>30.99</v>
      </c>
      <c r="W28" s="5">
        <f>SUMPRODUCT(N(Tabela17[Código]=Tabela3[[#This Row],[PAPEL]]),Tabela17[Fechamento])</f>
        <v>0</v>
      </c>
    </row>
    <row r="29" spans="1:23" x14ac:dyDescent="0.2">
      <c r="A29" s="4" t="s">
        <v>12</v>
      </c>
      <c r="B29" s="14" t="s">
        <v>215</v>
      </c>
      <c r="C29" s="15">
        <v>3</v>
      </c>
      <c r="D29" s="6">
        <v>20809000</v>
      </c>
      <c r="E29" s="6">
        <v>1860000</v>
      </c>
      <c r="F29" s="42">
        <v>166355563</v>
      </c>
      <c r="G29" s="15">
        <f>Tabela3[[#This Row],[Lucro Líquido]]/Tabela3[[#This Row],[Total Ações]]</f>
        <v>1.1180870458777505E-2</v>
      </c>
      <c r="H29" s="15">
        <f>Tabela3[[#This Row],[Lucro/Ação]]/Tabela3[[#This Row],[Ref]]*4</f>
        <v>1.4907827278370006E-2</v>
      </c>
      <c r="I29" s="19">
        <f>IF(GETPIVOTDATA("Payout",'Tabela LL'!$A$3,"Ativo",Tabela3[[#This Row],[PAPEL]])&gt;1,1,GETPIVOTDATA("Payout",'Tabela LL'!$A$3,"Ativo",Tabela3[[#This Row],[PAPEL]]))</f>
        <v>0.74850005072085457</v>
      </c>
      <c r="J29" s="6">
        <f>Tabela3[Patrimônio Líquido]/Tabela3[Total Ações]</f>
        <v>0.12508749106274253</v>
      </c>
      <c r="K29" s="52">
        <f>MAX(Tabela3[[#This Row],[Cotação 1]],Tabela3[[#This Row],[Cotação 2]])</f>
        <v>0.15</v>
      </c>
      <c r="L29" s="48">
        <f>Tabela3[Cotação]/Tabela3[VPA]</f>
        <v>1.1991606732663749</v>
      </c>
      <c r="M29" s="44">
        <f>IF(Tabela3[[#This Row],[Lucro/Ação Ano]]&gt;0,Tabela3[[#This Row],[Cotação]]/Tabela3[[#This Row],[Lucro/Ação Ano]],0)</f>
        <v>10.061828407258064</v>
      </c>
      <c r="N29" s="6">
        <f>ROUND(Tabela3[[#This Row],[Lucro Prev]]/10%,2)</f>
        <v>0.11</v>
      </c>
      <c r="O29" s="62">
        <f>MIN(Tabela3[[#This Row],[10% Rent]],Tabela3[[#This Row],[VPA]]*2)</f>
        <v>0.11</v>
      </c>
      <c r="P29" s="19">
        <f>Tabela3[[#This Row],[P Compra]]/Tabela3[[#This Row],[Cotação]]-1</f>
        <v>-0.26666666666666661</v>
      </c>
      <c r="Q29" s="6">
        <f>Tabela3[[#This Row],[Lucro/Ação Ano]]*Tabela3[[#This Row],[Payout]]</f>
        <v>1.1158509473997689E-2</v>
      </c>
      <c r="R29" s="15" t="str">
        <f>IF(AND(Tabela3[% Yield]&gt;=10%,Tabela3[PVPA]&lt;=2,Tabela3[PL]&lt;=15,Tabela3[PL]&gt;0),"Sim","Não")</f>
        <v>Não</v>
      </c>
      <c r="S29" s="46">
        <f>Tabela3[[#This Row],[Lucro Prev]]/Tabela3[[#This Row],[Cotação]]</f>
        <v>7.4390063159984601E-2</v>
      </c>
      <c r="T29" s="14">
        <f>($Z$1/Tabela3[[#This Row],[Cotação]]-MOD($Z$1/Tabela3[[#This Row],[Cotação]],100))</f>
        <v>6600</v>
      </c>
      <c r="U29" s="17">
        <f>Tabela3[[#This Row],[Ativos]]*Tabela3[[#This Row],[Lucro Prev]]</f>
        <v>73.64616252838475</v>
      </c>
      <c r="V29" s="5">
        <f>SUMPRODUCT(N(Tabela1[Código]=Tabela3[[#This Row],[PAPEL]]),Tabela1[Fechamento])</f>
        <v>0.15</v>
      </c>
      <c r="W29" s="5">
        <f>SUMPRODUCT(N(Tabela17[Código]=Tabela3[[#This Row],[PAPEL]]),Tabela17[Fechamento])</f>
        <v>0</v>
      </c>
    </row>
    <row r="30" spans="1:23" x14ac:dyDescent="0.2">
      <c r="A30" s="4" t="s">
        <v>12</v>
      </c>
      <c r="B30" s="14" t="s">
        <v>97</v>
      </c>
      <c r="C30" s="15">
        <v>3</v>
      </c>
      <c r="D30" s="6">
        <v>2778571000</v>
      </c>
      <c r="E30" s="6">
        <v>434008000</v>
      </c>
      <c r="F30" s="42">
        <v>188177338</v>
      </c>
      <c r="G30" s="15">
        <f>Tabela3[[#This Row],[Lucro Líquido]]/Tabela3[[#This Row],[Total Ações]]</f>
        <v>2.3063776149283184</v>
      </c>
      <c r="H30" s="15">
        <f>Tabela3[[#This Row],[Lucro/Ação]]/Tabela3[[#This Row],[Ref]]*4</f>
        <v>3.075170153237758</v>
      </c>
      <c r="I30" s="19">
        <f>IF(GETPIVOTDATA("Payout",'Tabela LL'!$A$3,"Ativo",Tabela3[[#This Row],[PAPEL]])&gt;1,1,GETPIVOTDATA("Payout",'Tabela LL'!$A$3,"Ativo",Tabela3[[#This Row],[PAPEL]]))</f>
        <v>0.76692732207874426</v>
      </c>
      <c r="J30" s="6">
        <f>Tabela3[Patrimônio Líquido]/Tabela3[Total Ações]</f>
        <v>14.765704677999006</v>
      </c>
      <c r="K30" s="52">
        <f>MAX(Tabela3[[#This Row],[Cotação 1]],Tabela3[[#This Row],[Cotação 2]])</f>
        <v>32.01</v>
      </c>
      <c r="L30" s="48">
        <f>Tabela3[Cotação]/Tabela3[VPA]</f>
        <v>2.1678613176989177</v>
      </c>
      <c r="M30" s="44">
        <f>IF(Tabela3[[#This Row],[Lucro/Ação Ano]]&gt;0,Tabela3[[#This Row],[Cotação]]/Tabela3[[#This Row],[Lucro/Ação Ano]],0)</f>
        <v>10.409180111967981</v>
      </c>
      <c r="N30" s="6">
        <f>ROUND(Tabela3[[#This Row],[Lucro Prev]]/10%,2)</f>
        <v>23.58</v>
      </c>
      <c r="O30" s="62">
        <f>MIN(Tabela3[[#This Row],[10% Rent]],Tabela3[[#This Row],[VPA]]*2)</f>
        <v>23.58</v>
      </c>
      <c r="P30" s="19">
        <f>Tabela3[[#This Row],[P Compra]]/Tabela3[[#This Row],[Cotação]]-1</f>
        <v>-0.2633552014995314</v>
      </c>
      <c r="Q30" s="6">
        <f>Tabela3[[#This Row],[Lucro/Ação Ano]]*Tabela3[[#This Row],[Payout]]</f>
        <v>2.3584320105591154</v>
      </c>
      <c r="R30" s="15" t="str">
        <f>IF(AND(Tabela3[% Yield]&gt;=10%,Tabela3[PVPA]&lt;=2,Tabela3[PL]&lt;=15,Tabela3[PL]&gt;0),"Sim","Não")</f>
        <v>Não</v>
      </c>
      <c r="S30" s="46">
        <f>Tabela3[[#This Row],[Lucro Prev]]/Tabela3[[#This Row],[Cotação]]</f>
        <v>7.3677975962484085E-2</v>
      </c>
      <c r="T30" s="14">
        <f>($Z$1/Tabela3[[#This Row],[Cotação]]-MOD($Z$1/Tabela3[[#This Row],[Cotação]],100))</f>
        <v>0</v>
      </c>
      <c r="U30" s="17">
        <f>Tabela3[[#This Row],[Ativos]]*Tabela3[[#This Row],[Lucro Prev]]</f>
        <v>0</v>
      </c>
      <c r="V30" s="5">
        <f>SUMPRODUCT(N(Tabela1[Código]=Tabela3[[#This Row],[PAPEL]]),Tabela1[Fechamento])</f>
        <v>32.01</v>
      </c>
      <c r="W30" s="5">
        <f>SUMPRODUCT(N(Tabela17[Código]=Tabela3[[#This Row],[PAPEL]]),Tabela17[Fechamento])</f>
        <v>0</v>
      </c>
    </row>
    <row r="31" spans="1:23" x14ac:dyDescent="0.2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Tabela3[Patrimônio Líquido]/Tabela3[Total Ações]</f>
        <v>5.2643053214622784</v>
      </c>
      <c r="K31" s="52">
        <f>MAX(Tabela3[[#This Row],[Cotação 1]],Tabela3[[#This Row],[Cotação 2]])</f>
        <v>10.02</v>
      </c>
      <c r="L31" s="48">
        <f>Tabela3[Cotação]/Tabela3[VPA]</f>
        <v>1.9033850409756858</v>
      </c>
      <c r="M31" s="44">
        <f>IF(Tabela3[[#This Row],[Lucro/Ação Ano]]&gt;0,Tabela3[[#This Row],[Cotação]]/Tabela3[[#This Row],[Lucro/Ação Ano]],0)</f>
        <v>8.1697518849447608</v>
      </c>
      <c r="N31" s="6">
        <f>ROUND(Tabela3[[#This Row],[Lucro Prev]]/10%,2)</f>
        <v>7.33</v>
      </c>
      <c r="O31" s="62">
        <f>MIN(Tabela3[[#This Row],[10% Rent]],Tabela3[[#This Row],[VPA]]*2)</f>
        <v>7.33</v>
      </c>
      <c r="P31" s="19">
        <f>Tabela3[[#This Row],[P Compra]]/Tabela3[[#This Row],[Cotação]]-1</f>
        <v>-0.2684630738522954</v>
      </c>
      <c r="Q31" s="6">
        <f>Tabela3[[#This Row],[Lucro/Ação Ano]]*Tabela3[[#This Row],[Payout]]</f>
        <v>0.73251737830712094</v>
      </c>
      <c r="R31" s="15" t="str">
        <f>IF(AND(Tabela3[% Yield]&gt;=10%,Tabela3[PVPA]&lt;=2,Tabela3[PL]&lt;=15,Tabela3[PL]&gt;0),"Sim","Não")</f>
        <v>Não</v>
      </c>
      <c r="S31" s="46">
        <f>Tabela3[[#This Row],[Lucro Prev]]/Tabela3[[#This Row],[Cotação]]</f>
        <v>7.3105526777157787E-2</v>
      </c>
      <c r="T31" s="14">
        <f>($Z$1/Tabela3[[#This Row],[Cotação]]-MOD($Z$1/Tabela3[[#This Row],[Cotação]],100))</f>
        <v>0</v>
      </c>
      <c r="U31" s="17">
        <f>Tabela3[[#This Row],[Ativos]]*Tabela3[[#This Row],[Lucro Prev]]</f>
        <v>0</v>
      </c>
      <c r="V31" s="5">
        <f>SUMPRODUCT(N(Tabela1[Código]=Tabela3[[#This Row],[PAPEL]]),Tabela1[Fechamento])</f>
        <v>10.02</v>
      </c>
      <c r="W31" s="5">
        <f>SUMPRODUCT(N(Tabela17[Código]=Tabela3[[#This Row],[PAPEL]]),Tabela17[Fechamento])</f>
        <v>0</v>
      </c>
    </row>
    <row r="32" spans="1:23" x14ac:dyDescent="0.2">
      <c r="A32" s="3" t="s">
        <v>589</v>
      </c>
      <c r="B32" s="75" t="s">
        <v>590</v>
      </c>
      <c r="C32" s="16">
        <v>3</v>
      </c>
      <c r="D32" s="5">
        <v>43631075000</v>
      </c>
      <c r="E32" s="5">
        <v>2484629000</v>
      </c>
      <c r="F32" s="21">
        <v>1125601930</v>
      </c>
      <c r="G32" s="73">
        <f>Tabela3[[#This Row],[Lucro Líquido]]/Tabela3[[#This Row],[Total Ações]]</f>
        <v>2.2073780559349254</v>
      </c>
      <c r="H32" s="16">
        <f>Tabela3[[#This Row],[Lucro/Ação]]/Tabela3[[#This Row],[Ref]]*4</f>
        <v>2.9431707412465671</v>
      </c>
      <c r="I32" s="18">
        <f>IF(GETPIVOTDATA("Payout",'Tabela LL'!$A$3,"Ativo",Tabela3[[#This Row],[PAPEL]])&gt;1,1,GETPIVOTDATA("Payout",'Tabela LL'!$A$3,"Ativo",Tabela3[[#This Row],[PAPEL]]))</f>
        <v>0.98918487794984422</v>
      </c>
      <c r="J32" s="5">
        <f>Tabela3[Patrimônio Líquido]/Tabela3[Total Ações]</f>
        <v>38.762437978406808</v>
      </c>
      <c r="K32" s="59">
        <f>MAX(Tabela3[[#This Row],[Cotação 1]],Tabela3[[#This Row],[Cotação 2]])</f>
        <v>40</v>
      </c>
      <c r="L32" s="60">
        <f>Tabela3[Cotação]/Tabela3[VPA]</f>
        <v>1.0319268365494088</v>
      </c>
      <c r="M32" s="40">
        <f>IF(Tabela3[[#This Row],[Lucro/Ação Ano]]&gt;0,Tabela3[[#This Row],[Cotação]]/Tabela3[[#This Row],[Lucro/Ação Ano]],0)</f>
        <v>13.590784740900956</v>
      </c>
      <c r="N32" s="7">
        <f>ROUND(Tabela3[[#This Row],[Lucro Prev]]/10%,2)</f>
        <v>29.11</v>
      </c>
      <c r="O32" s="51">
        <f>MIN(Tabela3[[#This Row],[10% Rent]],Tabela3[[#This Row],[VPA]]*2)</f>
        <v>29.11</v>
      </c>
      <c r="P32" s="18">
        <f>Tabela3[[#This Row],[P Compra]]/Tabela3[[#This Row],[Cotação]]-1</f>
        <v>-0.27224999999999999</v>
      </c>
      <c r="Q32" s="5">
        <f>Tabela3[[#This Row],[Lucro/Ação Ano]]*Tabela3[[#This Row],[Payout]]</f>
        <v>2.9113399904655379</v>
      </c>
      <c r="R32" s="16" t="str">
        <f>IF(AND(Tabela3[% Yield]&gt;=10%,Tabela3[PVPA]&lt;=2,Tabela3[PL]&lt;=15,Tabela3[PL]&gt;0),"Sim","Não")</f>
        <v>Não</v>
      </c>
      <c r="S32" s="22">
        <f>Tabela3[[#This Row],[Lucro Prev]]/Tabela3[[#This Row],[Cotação]]</f>
        <v>7.2783499761638448E-2</v>
      </c>
      <c r="T32" s="10">
        <f>($Z$1/Tabela3[[#This Row],[Cotação]]-MOD($Z$1/Tabela3[[#This Row],[Cotação]],100))</f>
        <v>0</v>
      </c>
      <c r="U32" s="7">
        <f>Tabela3[[#This Row],[Ativos]]*Tabela3[[#This Row],[Lucro Prev]]</f>
        <v>0</v>
      </c>
      <c r="V32" s="51">
        <f>SUMPRODUCT(N(Tabela1[Código]=Tabela3[[#This Row],[PAPEL]]),Tabela1[Fechamento])</f>
        <v>0</v>
      </c>
      <c r="W32" s="61">
        <f>SUMPRODUCT(N(Tabela17[Código]=Tabela3[[#This Row],[PAPEL]]),Tabela17[Fechamento])</f>
        <v>40</v>
      </c>
    </row>
    <row r="33" spans="1:23" x14ac:dyDescent="0.2">
      <c r="A33" s="4" t="s">
        <v>14</v>
      </c>
      <c r="B33" s="14" t="s">
        <v>256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0.60740107618893502</v>
      </c>
      <c r="J33" s="6">
        <f>Tabela3[Patrimônio Líquido]/Tabela3[Total Ações]</f>
        <v>25.925011018416644</v>
      </c>
      <c r="K33" s="52">
        <f>MAX(Tabela3[[#This Row],[Cotação 1]],Tabela3[[#This Row],[Cotação 2]])</f>
        <v>50</v>
      </c>
      <c r="L33" s="48">
        <f>Tabela3[Cotação]/Tabela3[VPA]</f>
        <v>1.9286394888889704</v>
      </c>
      <c r="M33" s="44">
        <f>IF(Tabela3[[#This Row],[Lucro/Ação Ano]]&gt;0,Tabela3[[#This Row],[Cotação]]/Tabela3[[#This Row],[Lucro/Ação Ano]],0)</f>
        <v>8.3980386012619235</v>
      </c>
      <c r="N33" s="6">
        <f>ROUND(Tabela3[[#This Row],[Lucro Prev]]/10%,2)</f>
        <v>36.159999999999997</v>
      </c>
      <c r="O33" s="62">
        <f>MIN(Tabela3[[#This Row],[10% Rent]],Tabela3[[#This Row],[VPA]]*2)</f>
        <v>36.159999999999997</v>
      </c>
      <c r="P33" s="19">
        <f>Tabela3[[#This Row],[P Compra]]/Tabela3[[#This Row],[Cotação]]-1</f>
        <v>-0.27680000000000005</v>
      </c>
      <c r="Q33" s="6">
        <f>Tabela3[[#This Row],[Lucro/Ação Ano]]*Tabela3[[#This Row],[Payout]]</f>
        <v>3.6163270081758405</v>
      </c>
      <c r="R33" s="15" t="str">
        <f>IF(AND(Tabela3[% Yield]&gt;=10%,Tabela3[PVPA]&lt;=2,Tabela3[PL]&lt;=15,Tabela3[PL]&gt;0),"Sim","Não")</f>
        <v>Não</v>
      </c>
      <c r="S33" s="46">
        <f>Tabela3[[#This Row],[Lucro Prev]]/Tabela3[[#This Row],[Cotação]]</f>
        <v>7.2326540163516806E-2</v>
      </c>
      <c r="T33" s="14">
        <f>($Z$1/Tabela3[[#This Row],[Cotação]]-MOD($Z$1/Tabela3[[#This Row],[Cotação]],100))</f>
        <v>0</v>
      </c>
      <c r="U33" s="17">
        <f>Tabela3[[#This Row],[Ativos]]*Tabela3[[#This Row],[Lucro Prev]]</f>
        <v>0</v>
      </c>
      <c r="V33" s="5">
        <f>SUMPRODUCT(N(Tabela1[Código]=Tabela3[[#This Row],[PAPEL]]),Tabela1[Fechamento])</f>
        <v>50</v>
      </c>
      <c r="W33" s="5">
        <f>SUMPRODUCT(N(Tabela17[Código]=Tabela3[[#This Row],[PAPEL]]),Tabela17[Fechamento])</f>
        <v>0</v>
      </c>
    </row>
    <row r="34" spans="1:23" x14ac:dyDescent="0.2">
      <c r="A34" s="4" t="s">
        <v>14</v>
      </c>
      <c r="B34" s="14" t="s">
        <v>255</v>
      </c>
      <c r="C34" s="15">
        <v>3</v>
      </c>
      <c r="D34" s="6">
        <v>273287000</v>
      </c>
      <c r="E34" s="6">
        <v>47071000</v>
      </c>
      <c r="F34" s="42">
        <v>10541442</v>
      </c>
      <c r="G34" s="15">
        <f>Tabela3[[#This Row],[Lucro Líquido]]/Tabela3[[#This Row],[Total Ações]]</f>
        <v>4.4653283677887714</v>
      </c>
      <c r="H34" s="15">
        <f>Tabela3[[#This Row],[Lucro/Ação]]/Tabela3[[#This Row],[Ref]]*4</f>
        <v>5.9537711570516949</v>
      </c>
      <c r="I34" s="19">
        <f>IF(GETPIVOTDATA("Payout",'Tabela LL'!$A$3,"Ativo",Tabela3[[#This Row],[PAPEL]])&gt;1,1,GETPIVOTDATA("Payout",'Tabela LL'!$A$3,"Ativo",Tabela3[[#This Row],[PAPEL]]))</f>
        <v>0.55210929465239156</v>
      </c>
      <c r="J34" s="6">
        <f>Tabela3[Patrimônio Líquido]/Tabela3[Total Ações]</f>
        <v>25.925011018416644</v>
      </c>
      <c r="K34" s="52">
        <f>MAX(Tabela3[[#This Row],[Cotação 1]],Tabela3[[#This Row],[Cotação 2]])</f>
        <v>49.98</v>
      </c>
      <c r="L34" s="48">
        <f>Tabela3[Cotação]/Tabela3[VPA]</f>
        <v>1.9278680330934146</v>
      </c>
      <c r="M34" s="44">
        <f>IF(Tabela3[[#This Row],[Lucro/Ação Ano]]&gt;0,Tabela3[[#This Row],[Cotação]]/Tabela3[[#This Row],[Lucro/Ação Ano]],0)</f>
        <v>8.3946793858214175</v>
      </c>
      <c r="N34" s="6">
        <f>ROUND(Tabela3[[#This Row],[Lucro Prev]]/10%,2)</f>
        <v>32.869999999999997</v>
      </c>
      <c r="O34" s="62">
        <f>MIN(Tabela3[[#This Row],[10% Rent]],Tabela3[[#This Row],[VPA]]*2)</f>
        <v>32.869999999999997</v>
      </c>
      <c r="P34" s="19">
        <f>Tabela3[[#This Row],[P Compra]]/Tabela3[[#This Row],[Cotação]]-1</f>
        <v>-0.34233693477390958</v>
      </c>
      <c r="Q34" s="6">
        <f>Tabela3[[#This Row],[Lucro/Ação Ano]]*Tabela3[[#This Row],[Payout]]</f>
        <v>3.2871323940415644</v>
      </c>
      <c r="R34" s="15" t="str">
        <f>IF(AND(Tabela3[% Yield]&gt;=10%,Tabela3[PVPA]&lt;=2,Tabela3[PL]&lt;=15,Tabela3[PL]&gt;0),"Sim","Não")</f>
        <v>Não</v>
      </c>
      <c r="S34" s="46">
        <f>Tabela3[[#This Row],[Lucro Prev]]/Tabela3[[#This Row],[Cotação]]</f>
        <v>6.5768955463016504E-2</v>
      </c>
      <c r="T34" s="14">
        <f>($Z$1/Tabela3[[#This Row],[Cotação]]-MOD($Z$1/Tabela3[[#This Row],[Cotação]],100))</f>
        <v>0</v>
      </c>
      <c r="U34" s="17">
        <f>Tabela3[[#This Row],[Ativos]]*Tabela3[[#This Row],[Lucro Prev]]</f>
        <v>0</v>
      </c>
      <c r="V34" s="5">
        <f>SUMPRODUCT(N(Tabela1[Código]=Tabela3[[#This Row],[PAPEL]]),Tabela1[Fechamento])</f>
        <v>49.98</v>
      </c>
      <c r="W34" s="5">
        <f>SUMPRODUCT(N(Tabela17[Código]=Tabela3[[#This Row],[PAPEL]]),Tabela17[Fechamento])</f>
        <v>0</v>
      </c>
    </row>
    <row r="35" spans="1:23" x14ac:dyDescent="0.2">
      <c r="A35" s="3" t="s">
        <v>589</v>
      </c>
      <c r="B35" s="75" t="s">
        <v>591</v>
      </c>
      <c r="C35" s="16">
        <v>3</v>
      </c>
      <c r="D35" s="5">
        <v>43631075000</v>
      </c>
      <c r="E35" s="5">
        <v>2484629000</v>
      </c>
      <c r="F35" s="21">
        <v>1125601930</v>
      </c>
      <c r="G35" s="73">
        <f>Tabela3[[#This Row],[Lucro Líquido]]/Tabela3[[#This Row],[Total Ações]]</f>
        <v>2.2073780559349254</v>
      </c>
      <c r="H35" s="16">
        <f>Tabela3[[#This Row],[Lucro/Ação]]/Tabela3[[#This Row],[Ref]]*4</f>
        <v>2.9431707412465671</v>
      </c>
      <c r="I35" s="18">
        <f>IF(GETPIVOTDATA("Payout",'Tabela LL'!$A$3,"Ativo",Tabela3[[#This Row],[PAPEL]])&gt;1,1,GETPIVOTDATA("Payout",'Tabela LL'!$A$3,"Ativo",Tabela3[[#This Row],[PAPEL]]))</f>
        <v>1</v>
      </c>
      <c r="J35" s="5">
        <f>Tabela3[Patrimônio Líquido]/Tabela3[Total Ações]</f>
        <v>38.762437978406808</v>
      </c>
      <c r="K35" s="59">
        <f>MAX(Tabela3[[#This Row],[Cotação 1]],Tabela3[[#This Row],[Cotação 2]])</f>
        <v>44.83</v>
      </c>
      <c r="L35" s="60">
        <f>Tabela3[Cotação]/Tabela3[VPA]</f>
        <v>1.1565320020627499</v>
      </c>
      <c r="M35" s="40">
        <f>IF(Tabela3[[#This Row],[Lucro/Ação Ano]]&gt;0,Tabela3[[#This Row],[Cotação]]/Tabela3[[#This Row],[Lucro/Ação Ano]],0)</f>
        <v>15.231871998364745</v>
      </c>
      <c r="N35" s="7">
        <f>ROUND(Tabela3[[#This Row],[Lucro Prev]]/10%,2)</f>
        <v>29.43</v>
      </c>
      <c r="O35" s="51">
        <f>MIN(Tabela3[[#This Row],[10% Rent]],Tabela3[[#This Row],[VPA]]*2)</f>
        <v>29.43</v>
      </c>
      <c r="P35" s="18">
        <f>Tabela3[[#This Row],[P Compra]]/Tabela3[[#This Row],[Cotação]]-1</f>
        <v>-0.34351996430961407</v>
      </c>
      <c r="Q35" s="5">
        <f>Tabela3[[#This Row],[Lucro/Ação Ano]]*Tabela3[[#This Row],[Payout]]</f>
        <v>2.9431707412465671</v>
      </c>
      <c r="R35" s="16" t="str">
        <f>IF(AND(Tabela3[% Yield]&gt;=10%,Tabela3[PVPA]&lt;=2,Tabela3[PL]&lt;=15,Tabela3[PL]&gt;0),"Sim","Não")</f>
        <v>Não</v>
      </c>
      <c r="S35" s="22">
        <f>Tabela3[[#This Row],[Lucro Prev]]/Tabela3[[#This Row],[Cotação]]</f>
        <v>6.5651812207150731E-2</v>
      </c>
      <c r="T35" s="10">
        <f>($Z$1/Tabela3[[#This Row],[Cotação]]-MOD($Z$1/Tabela3[[#This Row],[Cotação]],100))</f>
        <v>0</v>
      </c>
      <c r="U35" s="7">
        <f>Tabela3[[#This Row],[Ativos]]*Tabela3[[#This Row],[Lucro Prev]]</f>
        <v>0</v>
      </c>
      <c r="V35" s="51">
        <f>SUMPRODUCT(N(Tabela1[Código]=Tabela3[[#This Row],[PAPEL]]),Tabela1[Fechamento])</f>
        <v>0</v>
      </c>
      <c r="W35" s="61">
        <f>SUMPRODUCT(N(Tabela17[Código]=Tabela3[[#This Row],[PAPEL]]),Tabela17[Fechamento])</f>
        <v>44.83</v>
      </c>
    </row>
    <row r="36" spans="1:23" x14ac:dyDescent="0.2">
      <c r="A36" s="3" t="s">
        <v>589</v>
      </c>
      <c r="B36" s="75" t="s">
        <v>582</v>
      </c>
      <c r="C36" s="16">
        <v>3</v>
      </c>
      <c r="D36" s="5">
        <v>10322490000</v>
      </c>
      <c r="E36" s="5">
        <v>310353000</v>
      </c>
      <c r="F36" s="21">
        <v>1797086404</v>
      </c>
      <c r="G36" s="73">
        <f>Tabela3[[#This Row],[Lucro Líquido]]/Tabela3[[#This Row],[Total Ações]]</f>
        <v>0.17269787324037872</v>
      </c>
      <c r="H36" s="16">
        <f>Tabela3[[#This Row],[Lucro/Ação]]/Tabela3[[#This Row],[Ref]]*4</f>
        <v>0.23026383098717162</v>
      </c>
      <c r="I36" s="18">
        <f>IF(GETPIVOTDATA("Payout",'Tabela LL'!$A$3,"Ativo",Tabela3[[#This Row],[PAPEL]])&gt;1,1,GETPIVOTDATA("Payout",'Tabela LL'!$A$3,"Ativo",Tabela3[[#This Row],[PAPEL]]))</f>
        <v>1</v>
      </c>
      <c r="J36" s="5">
        <f>Tabela3[Patrimônio Líquido]/Tabela3[Total Ações]</f>
        <v>5.7440142983798346</v>
      </c>
      <c r="K36" s="59">
        <f>MAX(Tabela3[[#This Row],[Cotação 1]],Tabela3[[#This Row],[Cotação 2]])</f>
        <v>3.59</v>
      </c>
      <c r="L36" s="60">
        <f>Tabela3[Cotação]/Tabela3[VPA]</f>
        <v>0.6249984442087132</v>
      </c>
      <c r="M36" s="40">
        <f>IF(Tabela3[[#This Row],[Lucro/Ação Ano]]&gt;0,Tabela3[[#This Row],[Cotação]]/Tabela3[[#This Row],[Lucro/Ação Ano]],0)</f>
        <v>15.590811568665357</v>
      </c>
      <c r="N36" s="7">
        <f>ROUND(Tabela3[[#This Row],[Lucro Prev]]/10%,2)</f>
        <v>2.2999999999999998</v>
      </c>
      <c r="O36" s="51">
        <f>MIN(Tabela3[[#This Row],[10% Rent]],Tabela3[[#This Row],[VPA]]*2)</f>
        <v>2.2999999999999998</v>
      </c>
      <c r="P36" s="18">
        <f>Tabela3[[#This Row],[P Compra]]/Tabela3[[#This Row],[Cotação]]-1</f>
        <v>-0.35933147632311979</v>
      </c>
      <c r="Q36" s="5">
        <f>Tabela3[[#This Row],[Lucro/Ação Ano]]*Tabela3[[#This Row],[Payout]]</f>
        <v>0.23026383098717162</v>
      </c>
      <c r="R36" s="16" t="str">
        <f>IF(AND(Tabela3[% Yield]&gt;=10%,Tabela3[PVPA]&lt;=2,Tabela3[PL]&lt;=15,Tabela3[PL]&gt;0),"Sim","Não")</f>
        <v>Não</v>
      </c>
      <c r="S36" s="22">
        <f>Tabela3[[#This Row],[Lucro Prev]]/Tabela3[[#This Row],[Cotação]]</f>
        <v>6.4140342893362567E-2</v>
      </c>
      <c r="T36" s="10">
        <f>($Z$1/Tabela3[[#This Row],[Cotação]]-MOD($Z$1/Tabela3[[#This Row],[Cotação]],100))</f>
        <v>200</v>
      </c>
      <c r="U36" s="7">
        <f>Tabela3[[#This Row],[Ativos]]*Tabela3[[#This Row],[Lucro Prev]]</f>
        <v>46.052766197434323</v>
      </c>
      <c r="V36" s="51">
        <f>SUMPRODUCT(N(Tabela1[Código]=Tabela3[[#This Row],[PAPEL]]),Tabela1[Fechamento])</f>
        <v>0</v>
      </c>
      <c r="W36" s="61">
        <f>SUMPRODUCT(N(Tabela17[Código]=Tabela3[[#This Row],[PAPEL]]),Tabela17[Fechamento])</f>
        <v>3.59</v>
      </c>
    </row>
    <row r="37" spans="1:23" x14ac:dyDescent="0.2">
      <c r="A37" s="3" t="s">
        <v>589</v>
      </c>
      <c r="B37" s="72" t="s">
        <v>581</v>
      </c>
      <c r="C37" s="16">
        <v>3</v>
      </c>
      <c r="D37" s="5">
        <v>10322490000</v>
      </c>
      <c r="E37" s="5">
        <v>310353000</v>
      </c>
      <c r="F37" s="21">
        <v>1797086404</v>
      </c>
      <c r="G37" s="73">
        <f>Tabela3[[#This Row],[Lucro Líquido]]/Tabela3[[#This Row],[Total Ações]]</f>
        <v>0.17269787324037872</v>
      </c>
      <c r="H37" s="16">
        <f>Tabela3[[#This Row],[Lucro/Ação]]/Tabela3[[#This Row],[Ref]]*4</f>
        <v>0.23026383098717162</v>
      </c>
      <c r="I37" s="18">
        <f>IF(GETPIVOTDATA("Payout",'Tabela LL'!$A$3,"Ativo",Tabela3[[#This Row],[PAPEL]])&gt;1,1,GETPIVOTDATA("Payout",'Tabela LL'!$A$3,"Ativo",Tabela3[[#This Row],[PAPEL]]))</f>
        <v>1</v>
      </c>
      <c r="J37" s="5">
        <f>Tabela3[Patrimônio Líquido]/Tabela3[Total Ações]</f>
        <v>5.7440142983798346</v>
      </c>
      <c r="K37" s="59">
        <f>MAX(Tabela3[[#This Row],[Cotação 1]],Tabela3[[#This Row],[Cotação 2]])</f>
        <v>3.61</v>
      </c>
      <c r="L37" s="60">
        <f>Tabela3[Cotação]/Tabela3[VPA]</f>
        <v>0.62848032969177003</v>
      </c>
      <c r="M37" s="40">
        <f>IF(Tabela3[[#This Row],[Lucro/Ação Ano]]&gt;0,Tabela3[[#This Row],[Cotação]]/Tabela3[[#This Row],[Lucro/Ação Ano]],0)</f>
        <v>15.677668457627281</v>
      </c>
      <c r="N37" s="7">
        <f>ROUND(Tabela3[[#This Row],[Lucro Prev]]/10%,2)</f>
        <v>2.2999999999999998</v>
      </c>
      <c r="O37" s="51">
        <f>MIN(Tabela3[[#This Row],[10% Rent]],Tabela3[[#This Row],[VPA]]*2)</f>
        <v>2.2999999999999998</v>
      </c>
      <c r="P37" s="18">
        <f>Tabela3[[#This Row],[P Compra]]/Tabela3[[#This Row],[Cotação]]-1</f>
        <v>-0.36288088642659277</v>
      </c>
      <c r="Q37" s="5">
        <f>Tabela3[[#This Row],[Lucro/Ação Ano]]*Tabela3[[#This Row],[Payout]]</f>
        <v>0.23026383098717162</v>
      </c>
      <c r="R37" s="16" t="str">
        <f>IF(AND(Tabela3[% Yield]&gt;=10%,Tabela3[PVPA]&lt;=2,Tabela3[PL]&lt;=15,Tabela3[PL]&gt;0),"Sim","Não")</f>
        <v>Não</v>
      </c>
      <c r="S37" s="22">
        <f>Tabela3[[#This Row],[Lucro Prev]]/Tabela3[[#This Row],[Cotação]]</f>
        <v>6.3784994733288539E-2</v>
      </c>
      <c r="T37" s="10">
        <f>($Z$1/Tabela3[[#This Row],[Cotação]]-MOD($Z$1/Tabela3[[#This Row],[Cotação]],100))</f>
        <v>200</v>
      </c>
      <c r="U37" s="7">
        <f>Tabela3[[#This Row],[Ativos]]*Tabela3[[#This Row],[Lucro Prev]]</f>
        <v>46.052766197434323</v>
      </c>
      <c r="V37" s="51">
        <f>SUMPRODUCT(N(Tabela1[Código]=Tabela3[[#This Row],[PAPEL]]),Tabela1[Fechamento])</f>
        <v>0</v>
      </c>
      <c r="W37" s="61">
        <f>SUMPRODUCT(N(Tabela17[Código]=Tabela3[[#This Row],[PAPEL]]),Tabela17[Fechamento])</f>
        <v>3.61</v>
      </c>
    </row>
    <row r="38" spans="1:23" x14ac:dyDescent="0.2">
      <c r="A38" s="4" t="s">
        <v>14</v>
      </c>
      <c r="B38" s="15" t="s">
        <v>81</v>
      </c>
      <c r="C38" s="16">
        <v>3</v>
      </c>
      <c r="D38" s="5">
        <v>843867000</v>
      </c>
      <c r="E38" s="5">
        <v>34502000</v>
      </c>
      <c r="F38" s="21">
        <v>73646388</v>
      </c>
      <c r="G38" s="16">
        <f>Tabela3[[#This Row],[Lucro Líquido]]/Tabela3[[#This Row],[Total Ações]]</f>
        <v>0.46848190300928266</v>
      </c>
      <c r="H38" s="16">
        <f>Tabela3[[#This Row],[Lucro/Ação]]/Tabela3[[#This Row],[Ref]]*4</f>
        <v>0.62464253734571018</v>
      </c>
      <c r="I38" s="18">
        <f>IF(GETPIVOTDATA("Payout",'Tabela LL'!$A$3,"Ativo",Tabela3[[#This Row],[PAPEL]])&gt;1,1,GETPIVOTDATA("Payout",'Tabela LL'!$A$3,"Ativo",Tabela3[[#This Row],[PAPEL]]))</f>
        <v>0.60787593639212112</v>
      </c>
      <c r="J38" s="5">
        <f>Tabela3[Patrimônio Líquido]/Tabela3[Total Ações]</f>
        <v>11.45836235716</v>
      </c>
      <c r="K38" s="59">
        <f>MAX(Tabela3[[#This Row],[Cotação 1]],Tabela3[[#This Row],[Cotação 2]])</f>
        <v>5.96</v>
      </c>
      <c r="L38" s="60">
        <f>Tabela3[Cotação]/Tabela3[VPA]</f>
        <v>0.52014413702633233</v>
      </c>
      <c r="M38" s="40">
        <f>IF(Tabela3[[#This Row],[Lucro/Ação Ano]]&gt;0,Tabela3[[#This Row],[Cotação]]/Tabela3[[#This Row],[Lucro/Ação Ano]],0)</f>
        <v>9.541457143354009</v>
      </c>
      <c r="N38" s="5">
        <f>ROUND(Tabela3[[#This Row],[Lucro Prev]]/10%,2)</f>
        <v>3.8</v>
      </c>
      <c r="O38" s="61">
        <f>MIN(Tabela3[[#This Row],[10% Rent]],Tabela3[[#This Row],[VPA]]*2)</f>
        <v>3.8</v>
      </c>
      <c r="P38" s="18">
        <f>Tabela3[[#This Row],[P Compra]]/Tabela3[[#This Row],[Cotação]]-1</f>
        <v>-0.36241610738255037</v>
      </c>
      <c r="Q38" s="5">
        <f>Tabela3[[#This Row],[Lucro/Ação Ano]]*Tabela3[[#This Row],[Payout]]</f>
        <v>0.37970516729937404</v>
      </c>
      <c r="R38" s="16" t="str">
        <f>IF(AND(Tabela3[% Yield]&gt;=10%,Tabela3[PVPA]&lt;=2,Tabela3[PL]&lt;=15,Tabela3[PL]&gt;0),"Sim","Não")</f>
        <v>Não</v>
      </c>
      <c r="S38" s="22">
        <f>Tabela3[[#This Row],[Lucro Prev]]/Tabela3[[#This Row],[Cotação]]</f>
        <v>6.3708920687814433E-2</v>
      </c>
      <c r="T38" s="10">
        <f>($Z$1/Tabela3[[#This Row],[Cotação]]-MOD($Z$1/Tabela3[[#This Row],[Cotação]],100))</f>
        <v>100</v>
      </c>
      <c r="U38" s="7">
        <f>Tabela3[[#This Row],[Ativos]]*Tabela3[[#This Row],[Lucro Prev]]</f>
        <v>37.970516729937401</v>
      </c>
      <c r="V38" s="5">
        <f>SUMPRODUCT(N(Tabela1[Código]=Tabela3[[#This Row],[PAPEL]]),Tabela1[Fechamento])</f>
        <v>5.96</v>
      </c>
      <c r="W38" s="5">
        <f>SUMPRODUCT(N(Tabela17[Código]=Tabela3[[#This Row],[PAPEL]]),Tabela17[Fechamento])</f>
        <v>0</v>
      </c>
    </row>
    <row r="39" spans="1:23" x14ac:dyDescent="0.2">
      <c r="A39" s="25" t="s">
        <v>12</v>
      </c>
      <c r="B39" s="15" t="s">
        <v>38</v>
      </c>
      <c r="C39" s="15">
        <v>3</v>
      </c>
      <c r="D39" s="31">
        <v>2745488000</v>
      </c>
      <c r="E39" s="31">
        <v>276732000</v>
      </c>
      <c r="F39" s="28">
        <v>94433283</v>
      </c>
      <c r="G39" s="27">
        <f>Tabela3[[#This Row],[Lucro Líquido]]/Tabela3[[#This Row],[Total Ações]]</f>
        <v>2.9304498499750347</v>
      </c>
      <c r="H39" s="27">
        <f>Tabela3[[#This Row],[Lucro/Ação]]/Tabela3[[#This Row],[Ref]]*4</f>
        <v>3.9072664666333794</v>
      </c>
      <c r="I39" s="53">
        <f>IF(GETPIVOTDATA("Payout",'Tabela LL'!$A$3,"Ativo",Tabela3[[#This Row],[PAPEL]])&gt;1,1,GETPIVOTDATA("Payout",'Tabela LL'!$A$3,"Ativo",Tabela3[[#This Row],[PAPEL]]))</f>
        <v>1</v>
      </c>
      <c r="J39" s="31">
        <f>Tabela3[Patrimônio Líquido]/Tabela3[Total Ações]</f>
        <v>29.073308824813388</v>
      </c>
      <c r="K39" s="32">
        <f>MAX(Tabela3[[#This Row],[Cotação 1]],Tabela3[[#This Row],[Cotação 2]])</f>
        <v>61.99</v>
      </c>
      <c r="L39" s="33">
        <f>Tabela3[Cotação]/Tabela3[VPA]</f>
        <v>2.1321962482334653</v>
      </c>
      <c r="M39" s="38">
        <f>IF(Tabela3[[#This Row],[Lucro/Ação Ano]]&gt;0,Tabela3[[#This Row],[Cotação]]/Tabela3[[#This Row],[Lucro/Ação Ano]],0)</f>
        <v>15.865311600673216</v>
      </c>
      <c r="N39" s="31">
        <f>ROUND(Tabela3[[#This Row],[Lucro Prev]]/10%,2)</f>
        <v>39.07</v>
      </c>
      <c r="O39" s="29">
        <f>MIN(Tabela3[[#This Row],[10% Rent]],Tabela3[[#This Row],[VPA]]*2)</f>
        <v>39.07</v>
      </c>
      <c r="P39" s="54">
        <f>Tabela3[[#This Row],[P Compra]]/Tabela3[[#This Row],[Cotação]]-1</f>
        <v>-0.36973705436360704</v>
      </c>
      <c r="Q39" s="6">
        <f>Tabela3[[#This Row],[Lucro/Ação Ano]]*Tabela3[[#This Row],[Payout]]</f>
        <v>3.9072664666333794</v>
      </c>
      <c r="R39" s="26" t="str">
        <f>IF(AND(Tabela3[% Yield]&gt;=10%,Tabela3[PVPA]&lt;=2,Tabela3[PL]&lt;=15,Tabela3[PL]&gt;0),"Sim","Não")</f>
        <v>Não</v>
      </c>
      <c r="S39" s="30">
        <f>Tabela3[[#This Row],[Lucro Prev]]/Tabela3[[#This Row],[Cotação]]</f>
        <v>6.3030593105878038E-2</v>
      </c>
      <c r="T39" s="10">
        <f>($Z$1/Tabela3[[#This Row],[Cotação]]-MOD($Z$1/Tabela3[[#This Row],[Cotação]],100))</f>
        <v>0</v>
      </c>
      <c r="U39" s="7">
        <f>Tabela3[[#This Row],[Ativos]]*Tabela3[[#This Row],[Lucro Prev]]</f>
        <v>0</v>
      </c>
      <c r="V39" s="5">
        <f>SUMPRODUCT(N(Tabela1[Código]=Tabela3[[#This Row],[PAPEL]]),Tabela1[Fechamento])</f>
        <v>61.99</v>
      </c>
      <c r="W39" s="5">
        <f>SUMPRODUCT(N(Tabela17[Código]=Tabela3[[#This Row],[PAPEL]]),Tabela17[Fechamento])</f>
        <v>0</v>
      </c>
    </row>
    <row r="40" spans="1:23" x14ac:dyDescent="0.2">
      <c r="A40" s="4" t="s">
        <v>12</v>
      </c>
      <c r="B40" s="14" t="s">
        <v>202</v>
      </c>
      <c r="C40" s="15">
        <v>3</v>
      </c>
      <c r="D40" s="6">
        <v>2745488000</v>
      </c>
      <c r="E40" s="6">
        <v>276732000</v>
      </c>
      <c r="F40" s="42">
        <v>94433283</v>
      </c>
      <c r="G40" s="15">
        <f>Tabela3[[#This Row],[Lucro Líquido]]/Tabela3[[#This Row],[Total Ações]]</f>
        <v>2.9304498499750347</v>
      </c>
      <c r="H40" s="15">
        <f>Tabela3[[#This Row],[Lucro/Ação]]/Tabela3[[#This Row],[Ref]]*4</f>
        <v>3.9072664666333794</v>
      </c>
      <c r="I40" s="19">
        <f>IF(GETPIVOTDATA("Payout",'Tabela LL'!$A$3,"Ativo",Tabela3[[#This Row],[PAPEL]])&gt;1,1,GETPIVOTDATA("Payout",'Tabela LL'!$A$3,"Ativo",Tabela3[[#This Row],[PAPEL]]))</f>
        <v>1</v>
      </c>
      <c r="J40" s="6">
        <f>Tabela3[Patrimônio Líquido]/Tabela3[Total Ações]</f>
        <v>29.073308824813388</v>
      </c>
      <c r="K40" s="52">
        <f>MAX(Tabela3[[#This Row],[Cotação 1]],Tabela3[[#This Row],[Cotação 2]])</f>
        <v>62.04</v>
      </c>
      <c r="L40" s="48">
        <f>Tabela3[Cotação]/Tabela3[VPA]</f>
        <v>2.1339160387224418</v>
      </c>
      <c r="M40" s="44">
        <f>IF(Tabela3[[#This Row],[Lucro/Ação Ano]]&gt;0,Tabela3[[#This Row],[Cotação]]/Tabela3[[#This Row],[Lucro/Ação Ano]],0)</f>
        <v>15.878108270781841</v>
      </c>
      <c r="N40" s="6">
        <f>ROUND(Tabela3[[#This Row],[Lucro Prev]]/10%,2)</f>
        <v>39.07</v>
      </c>
      <c r="O40" s="62">
        <f>MIN(Tabela3[[#This Row],[10% Rent]],Tabela3[[#This Row],[VPA]]*2)</f>
        <v>39.07</v>
      </c>
      <c r="P40" s="19">
        <f>Tabela3[[#This Row],[P Compra]]/Tabela3[[#This Row],[Cotação]]-1</f>
        <v>-0.37024500322372667</v>
      </c>
      <c r="Q40" s="6">
        <f>Tabela3[[#This Row],[Lucro/Ação Ano]]*Tabela3[[#This Row],[Payout]]</f>
        <v>3.9072664666333794</v>
      </c>
      <c r="R40" s="15" t="str">
        <f>IF(AND(Tabela3[% Yield]&gt;=10%,Tabela3[PVPA]&lt;=2,Tabela3[PL]&lt;=15,Tabela3[PL]&gt;0),"Sim","Não")</f>
        <v>Não</v>
      </c>
      <c r="S40" s="46">
        <f>Tabela3[[#This Row],[Lucro Prev]]/Tabela3[[#This Row],[Cotação]]</f>
        <v>6.2979794755534807E-2</v>
      </c>
      <c r="T40" s="14">
        <f>($Z$1/Tabela3[[#This Row],[Cotação]]-MOD($Z$1/Tabela3[[#This Row],[Cotação]],100))</f>
        <v>0</v>
      </c>
      <c r="U40" s="17">
        <f>Tabela3[[#This Row],[Ativos]]*Tabela3[[#This Row],[Lucro Prev]]</f>
        <v>0</v>
      </c>
      <c r="V40" s="5">
        <f>SUMPRODUCT(N(Tabela1[Código]=Tabela3[[#This Row],[PAPEL]]),Tabela1[Fechamento])</f>
        <v>62.04</v>
      </c>
      <c r="W40" s="5">
        <f>SUMPRODUCT(N(Tabela17[Código]=Tabela3[[#This Row],[PAPEL]]),Tabela17[Fechamento])</f>
        <v>0</v>
      </c>
    </row>
    <row r="41" spans="1:23" x14ac:dyDescent="0.2">
      <c r="A41" s="4" t="s">
        <v>14</v>
      </c>
      <c r="B41" s="15" t="s">
        <v>284</v>
      </c>
      <c r="C41" s="16">
        <v>3</v>
      </c>
      <c r="D41" s="5">
        <v>843867000</v>
      </c>
      <c r="E41" s="5">
        <v>34502000</v>
      </c>
      <c r="F41" s="21">
        <v>73646388</v>
      </c>
      <c r="G41" s="16">
        <f>Tabela3[[#This Row],[Lucro Líquido]]/Tabela3[[#This Row],[Total Ações]]</f>
        <v>0.46848190300928266</v>
      </c>
      <c r="H41" s="16">
        <f>Tabela3[[#This Row],[Lucro/Ação]]/Tabela3[[#This Row],[Ref]]*4</f>
        <v>0.62464253734571018</v>
      </c>
      <c r="I41" s="18">
        <f>IF(GETPIVOTDATA("Payout",'Tabela LL'!$A$3,"Ativo",Tabela3[[#This Row],[PAPEL]])&gt;1,1,GETPIVOTDATA("Payout",'Tabela LL'!$A$3,"Ativo",Tabela3[[#This Row],[PAPEL]]))</f>
        <v>0.35489823087446021</v>
      </c>
      <c r="J41" s="5">
        <f>Tabela3[Patrimônio Líquido]/Tabela3[Total Ações]</f>
        <v>11.45836235716</v>
      </c>
      <c r="K41" s="59">
        <f>MAX(Tabela3[[#This Row],[Cotação 1]],Tabela3[[#This Row],[Cotação 2]])</f>
        <v>3.6</v>
      </c>
      <c r="L41" s="60">
        <f>Tabela3[Cotação]/Tabela3[VPA]</f>
        <v>0.31418102236489875</v>
      </c>
      <c r="M41" s="40">
        <f>IF(Tabela3[[#This Row],[Lucro/Ação Ano]]&gt;0,Tabela3[[#This Row],[Cotação]]/Tabela3[[#This Row],[Lucro/Ação Ano]],0)</f>
        <v>5.7632962610863148</v>
      </c>
      <c r="N41" s="5">
        <f>ROUND(Tabela3[[#This Row],[Lucro Prev]]/10%,2)</f>
        <v>2.2200000000000002</v>
      </c>
      <c r="O41" s="61">
        <f>MIN(Tabela3[[#This Row],[10% Rent]],Tabela3[[#This Row],[VPA]]*2)</f>
        <v>2.2200000000000002</v>
      </c>
      <c r="P41" s="18">
        <f>Tabela3[[#This Row],[P Compra]]/Tabela3[[#This Row],[Cotação]]-1</f>
        <v>-0.3833333333333333</v>
      </c>
      <c r="Q41" s="5">
        <f>Tabela3[[#This Row],[Lucro/Ação Ano]]*Tabela3[[#This Row],[Payout]]</f>
        <v>0.22168453143292649</v>
      </c>
      <c r="R41" s="16" t="str">
        <f>IF(AND(Tabela3[% Yield]&gt;=10%,Tabela3[PVPA]&lt;=2,Tabela3[PL]&lt;=15,Tabela3[PL]&gt;0),"Sim","Não")</f>
        <v>Não</v>
      </c>
      <c r="S41" s="22">
        <f>Tabela3[[#This Row],[Lucro Prev]]/Tabela3[[#This Row],[Cotação]]</f>
        <v>6.1579036509146243E-2</v>
      </c>
      <c r="T41" s="10">
        <f>($Z$1/Tabela3[[#This Row],[Cotação]]-MOD($Z$1/Tabela3[[#This Row],[Cotação]],100))</f>
        <v>200</v>
      </c>
      <c r="U41" s="7">
        <f>Tabela3[[#This Row],[Ativos]]*Tabela3[[#This Row],[Lucro Prev]]</f>
        <v>44.336906286585297</v>
      </c>
      <c r="V41" s="5">
        <f>SUMPRODUCT(N(Tabela1[Código]=Tabela3[[#This Row],[PAPEL]]),Tabela1[Fechamento])</f>
        <v>3.6</v>
      </c>
      <c r="W41" s="5">
        <f>SUMPRODUCT(N(Tabela17[Código]=Tabela3[[#This Row],[PAPEL]]),Tabela17[Fechamento])</f>
        <v>0</v>
      </c>
    </row>
    <row r="42" spans="1:23" x14ac:dyDescent="0.2">
      <c r="A42" s="4" t="s">
        <v>12</v>
      </c>
      <c r="B42" s="14" t="s">
        <v>70</v>
      </c>
      <c r="C42" s="15">
        <v>3</v>
      </c>
      <c r="D42" s="6">
        <v>1476720000</v>
      </c>
      <c r="E42" s="6">
        <v>48170000</v>
      </c>
      <c r="F42" s="42">
        <v>95061053</v>
      </c>
      <c r="G42" s="15">
        <f>Tabela3[[#This Row],[Lucro Líquido]]/Tabela3[[#This Row],[Total Ações]]</f>
        <v>0.50672697681983392</v>
      </c>
      <c r="H42" s="15">
        <f>Tabela3[[#This Row],[Lucro/Ação]]/Tabela3[[#This Row],[Ref]]*4</f>
        <v>0.67563596909311185</v>
      </c>
      <c r="I42" s="19">
        <f>IF(GETPIVOTDATA("Payout",'Tabela LL'!$A$3,"Ativo",Tabela3[[#This Row],[PAPEL]])&gt;1,1,GETPIVOTDATA("Payout",'Tabela LL'!$A$3,"Ativo",Tabela3[[#This Row],[PAPEL]]))</f>
        <v>0.83226612425770607</v>
      </c>
      <c r="J42" s="6">
        <f>Tabela3[Patrimônio Líquido]/Tabela3[Total Ações]</f>
        <v>15.53443764188053</v>
      </c>
      <c r="K42" s="52">
        <f>MAX(Tabela3[[#This Row],[Cotação 1]],Tabela3[[#This Row],[Cotação 2]])</f>
        <v>9.24</v>
      </c>
      <c r="L42" s="48">
        <f>Tabela3[Cotação]/Tabela3[VPA]</f>
        <v>0.59480749886234352</v>
      </c>
      <c r="M42" s="44">
        <f>IF(Tabela3[[#This Row],[Lucro/Ação Ano]]&gt;0,Tabela3[[#This Row],[Cotação]]/Tabela3[[#This Row],[Lucro/Ação Ano]],0)</f>
        <v>13.67600368050654</v>
      </c>
      <c r="N42" s="6">
        <f>ROUND(Tabela3[[#This Row],[Lucro Prev]]/10%,2)</f>
        <v>5.62</v>
      </c>
      <c r="O42" s="17">
        <f>MIN(Tabela3[[#This Row],[10% Rent]],Tabela3[[#This Row],[VPA]]*2)</f>
        <v>5.62</v>
      </c>
      <c r="P42" s="19">
        <f>Tabela3[[#This Row],[P Compra]]/Tabela3[[#This Row],[Cotação]]-1</f>
        <v>-0.39177489177489178</v>
      </c>
      <c r="Q42" s="6">
        <f>Tabela3[[#This Row],[Lucro/Ação Ano]]*Tabela3[[#This Row],[Payout]]</f>
        <v>0.56230892940622346</v>
      </c>
      <c r="R42" s="14" t="str">
        <f>IF(AND(Tabela3[% Yield]&gt;=10%,Tabela3[PVPA]&lt;=2,Tabela3[PL]&lt;=15,Tabela3[PL]&gt;0),"Sim","Não")</f>
        <v>Não</v>
      </c>
      <c r="S42" s="46">
        <f>Tabela3[[#This Row],[Lucro Prev]]/Tabela3[[#This Row],[Cotação]]</f>
        <v>6.0855944740933275E-2</v>
      </c>
      <c r="T42" s="14">
        <f>($Z$1/Tabela3[[#This Row],[Cotação]]-MOD($Z$1/Tabela3[[#This Row],[Cotação]],100))</f>
        <v>100</v>
      </c>
      <c r="U42" s="17">
        <f>Tabela3[[#This Row],[Ativos]]*Tabela3[[#This Row],[Lucro Prev]]</f>
        <v>56.230892940622347</v>
      </c>
      <c r="V42" s="5">
        <f>SUMPRODUCT(N(Tabela1[Código]=Tabela3[[#This Row],[PAPEL]]),Tabela1[Fechamento])</f>
        <v>9.24</v>
      </c>
      <c r="W42" s="5">
        <f>SUMPRODUCT(N(Tabela17[Código]=Tabela3[[#This Row],[PAPEL]]),Tabela17[Fechamento])</f>
        <v>0</v>
      </c>
    </row>
    <row r="43" spans="1:23" x14ac:dyDescent="0.2">
      <c r="A43" s="4" t="s">
        <v>14</v>
      </c>
      <c r="B43" s="14" t="s">
        <v>23</v>
      </c>
      <c r="C43" s="15">
        <v>3</v>
      </c>
      <c r="D43" s="6">
        <v>5008604000</v>
      </c>
      <c r="E43" s="6">
        <v>602652000</v>
      </c>
      <c r="F43" s="42">
        <v>408974477</v>
      </c>
      <c r="G43" s="15">
        <f>Tabela3[[#This Row],[Lucro Líquido]]/Tabela3[[#This Row],[Total Ações]]</f>
        <v>1.4735687283487864</v>
      </c>
      <c r="H43" s="15">
        <f>Tabela3[[#This Row],[Lucro/Ação]]/Tabela3[[#This Row],[Ref]]*4</f>
        <v>1.9647583044650485</v>
      </c>
      <c r="I43" s="19">
        <f>IF(GETPIVOTDATA("Payout",'Tabela LL'!$A$3,"Ativo",Tabela3[[#This Row],[PAPEL]])&gt;1,1,GETPIVOTDATA("Payout",'Tabela LL'!$A$3,"Ativo",Tabela3[[#This Row],[PAPEL]]))</f>
        <v>0.38941510854732531</v>
      </c>
      <c r="J43" s="6">
        <f>Tabela3[Patrimônio Líquido]/Tabela3[Total Ações]</f>
        <v>12.246739788605439</v>
      </c>
      <c r="K43" s="52">
        <f>MAX(Tabela3[[#This Row],[Cotação 1]],Tabela3[[#This Row],[Cotação 2]])</f>
        <v>12.6</v>
      </c>
      <c r="L43" s="48">
        <f>Tabela3[Cotação]/Tabela3[VPA]</f>
        <v>1.0288452451421595</v>
      </c>
      <c r="M43" s="44">
        <f>IF(Tabela3[[#This Row],[Lucro/Ação Ano]]&gt;0,Tabela3[[#This Row],[Cotação]]/Tabela3[[#This Row],[Lucro/Ação Ano]],0)</f>
        <v>6.4130025415164971</v>
      </c>
      <c r="N43" s="6">
        <f>ROUND(Tabela3[[#This Row],[Lucro Prev]]/10%,2)</f>
        <v>7.65</v>
      </c>
      <c r="O43" s="62">
        <f>MIN(Tabela3[[#This Row],[10% Rent]],Tabela3[[#This Row],[VPA]]*2)</f>
        <v>7.65</v>
      </c>
      <c r="P43" s="19">
        <f>Tabela3[[#This Row],[P Compra]]/Tabela3[[#This Row],[Cotação]]-1</f>
        <v>-0.39285714285714279</v>
      </c>
      <c r="Q43" s="6">
        <f>Tabela3[[#This Row],[Lucro/Ação Ano]]*Tabela3[[#This Row],[Payout]]</f>
        <v>0.76510656840251567</v>
      </c>
      <c r="R43" s="15" t="str">
        <f>IF(AND(Tabela3[% Yield]&gt;=10%,Tabela3[PVPA]&lt;=2,Tabela3[PL]&lt;=15,Tabela3[PL]&gt;0),"Sim","Não")</f>
        <v>Não</v>
      </c>
      <c r="S43" s="46">
        <f>Tabela3[[#This Row],[Lucro Prev]]/Tabela3[[#This Row],[Cotação]]</f>
        <v>6.0722743524009179E-2</v>
      </c>
      <c r="T43" s="14">
        <f>($Z$1/Tabela3[[#This Row],[Cotação]]-MOD($Z$1/Tabela3[[#This Row],[Cotação]],100))</f>
        <v>0</v>
      </c>
      <c r="U43" s="17">
        <f>Tabela3[[#This Row],[Ativos]]*Tabela3[[#This Row],[Lucro Prev]]</f>
        <v>0</v>
      </c>
      <c r="V43" s="5">
        <f>SUMPRODUCT(N(Tabela1[Código]=Tabela3[[#This Row],[PAPEL]]),Tabela1[Fechamento])</f>
        <v>12.6</v>
      </c>
      <c r="W43" s="5">
        <f>SUMPRODUCT(N(Tabela17[Código]=Tabela3[[#This Row],[PAPEL]]),Tabela17[Fechamento])</f>
        <v>0</v>
      </c>
    </row>
    <row r="44" spans="1:23" x14ac:dyDescent="0.2">
      <c r="A44" s="4" t="s">
        <v>37</v>
      </c>
      <c r="B44" s="14" t="s">
        <v>69</v>
      </c>
      <c r="C44" s="15">
        <v>3</v>
      </c>
      <c r="D44" s="6">
        <v>3403126000</v>
      </c>
      <c r="E44" s="6">
        <v>314887000</v>
      </c>
      <c r="F44" s="42">
        <v>476620206</v>
      </c>
      <c r="G44" s="15">
        <f>Tabela3[[#This Row],[Lucro Líquido]]/Tabela3[[#This Row],[Total Ações]]</f>
        <v>0.66066649301897196</v>
      </c>
      <c r="H44" s="15">
        <f>Tabela3[[#This Row],[Lucro/Ação]]/Tabela3[[#This Row],[Ref]]*4</f>
        <v>0.88088865735862931</v>
      </c>
      <c r="I44" s="19">
        <f>IF(GETPIVOTDATA("Payout",'Tabela LL'!$A$3,"Ativo",Tabela3[[#This Row],[PAPEL]])&gt;1,1,GETPIVOTDATA("Payout",'Tabela LL'!$A$3,"Ativo",Tabela3[[#This Row],[PAPEL]]))</f>
        <v>0.46297228112835515</v>
      </c>
      <c r="J44" s="6">
        <f>Tabela3[Patrimônio Líquido]/Tabela3[Total Ações]</f>
        <v>7.1401211219316201</v>
      </c>
      <c r="K44" s="52">
        <f>MAX(Tabela3[[#This Row],[Cotação 1]],Tabela3[[#This Row],[Cotação 2]])</f>
        <v>6.78</v>
      </c>
      <c r="L44" s="48">
        <f>Tabela3[Cotação]/Tabela3[VPA]</f>
        <v>0.94956372367053121</v>
      </c>
      <c r="M44" s="44">
        <f>IF(Tabela3[[#This Row],[Lucro/Ação Ano]]&gt;0,Tabela3[[#This Row],[Cotação]]/Tabela3[[#This Row],[Lucro/Ação Ano]],0)</f>
        <v>7.6967729614433118</v>
      </c>
      <c r="N44" s="6">
        <f>ROUND(Tabela3[[#This Row],[Lucro Prev]]/10%,2)</f>
        <v>4.08</v>
      </c>
      <c r="O44" s="62">
        <f>MIN(Tabela3[[#This Row],[10% Rent]],Tabela3[[#This Row],[VPA]]*2)</f>
        <v>4.08</v>
      </c>
      <c r="P44" s="19">
        <f>Tabela3[[#This Row],[P Compra]]/Tabela3[[#This Row],[Cotação]]-1</f>
        <v>-0.39823008849557529</v>
      </c>
      <c r="Q44" s="6">
        <f>Tabela3[[#This Row],[Lucro/Ação Ano]]*Tabela3[[#This Row],[Payout]]</f>
        <v>0.40782703111741864</v>
      </c>
      <c r="R44" s="15" t="str">
        <f>IF(AND(Tabela3[% Yield]&gt;=10%,Tabela3[PVPA]&lt;=2,Tabela3[PL]&lt;=15,Tabela3[PL]&gt;0),"Sim","Não")</f>
        <v>Não</v>
      </c>
      <c r="S44" s="46">
        <f>Tabela3[[#This Row],[Lucro Prev]]/Tabela3[[#This Row],[Cotação]]</f>
        <v>6.0151479515843452E-2</v>
      </c>
      <c r="T44" s="14">
        <f>($Z$1/Tabela3[[#This Row],[Cotação]]-MOD($Z$1/Tabela3[[#This Row],[Cotação]],100))</f>
        <v>100</v>
      </c>
      <c r="U44" s="17">
        <f>Tabela3[[#This Row],[Ativos]]*Tabela3[[#This Row],[Lucro Prev]]</f>
        <v>40.782703111741867</v>
      </c>
      <c r="V44" s="5">
        <f>SUMPRODUCT(N(Tabela1[Código]=Tabela3[[#This Row],[PAPEL]]),Tabela1[Fechamento])</f>
        <v>6.78</v>
      </c>
      <c r="W44" s="5">
        <f>SUMPRODUCT(N(Tabela17[Código]=Tabela3[[#This Row],[PAPEL]]),Tabela17[Fechamento])</f>
        <v>0</v>
      </c>
    </row>
    <row r="45" spans="1:23" x14ac:dyDescent="0.2">
      <c r="A45" s="25" t="s">
        <v>12</v>
      </c>
      <c r="B45" s="15" t="s">
        <v>34</v>
      </c>
      <c r="C45" s="15">
        <v>3</v>
      </c>
      <c r="D45" s="31">
        <v>12828375000</v>
      </c>
      <c r="E45" s="31">
        <v>898498000</v>
      </c>
      <c r="F45" s="28">
        <v>273655375</v>
      </c>
      <c r="G45" s="27">
        <f>Tabela3[[#This Row],[Lucro Líquido]]/Tabela3[[#This Row],[Total Ações]]</f>
        <v>3.2833193939640322</v>
      </c>
      <c r="H45" s="27">
        <f>Tabela3[[#This Row],[Lucro/Ação]]/Tabela3[[#This Row],[Ref]]*4</f>
        <v>4.3777591919520429</v>
      </c>
      <c r="I45" s="19">
        <f>IF(GETPIVOTDATA("Payout",'Tabela LL'!$A$3,"Ativo",Tabela3[[#This Row],[PAPEL]])&gt;1,1,GETPIVOTDATA("Payout",'Tabela LL'!$A$3,"Ativo",Tabela3[[#This Row],[PAPEL]]))</f>
        <v>0.30524903922734314</v>
      </c>
      <c r="J45" s="31">
        <f>Tabela3[Patrimônio Líquido]/Tabela3[Total Ações]</f>
        <v>46.877847730927996</v>
      </c>
      <c r="K45" s="32">
        <f>MAX(Tabela3[[#This Row],[Cotação 1]],Tabela3[[#This Row],[Cotação 2]])</f>
        <v>22.3</v>
      </c>
      <c r="L45" s="33">
        <f>Tabela3[Cotação]/Tabela3[VPA]</f>
        <v>0.47570443353113706</v>
      </c>
      <c r="M45" s="38">
        <f>IF(Tabela3[[#This Row],[Lucro/Ação Ano]]&gt;0,Tabela3[[#This Row],[Cotação]]/Tabela3[[#This Row],[Lucro/Ação Ano]],0)</f>
        <v>5.0939302556878259</v>
      </c>
      <c r="N45" s="31">
        <f>ROUND(Tabela3[[#This Row],[Lucro Prev]]/10%,2)</f>
        <v>13.36</v>
      </c>
      <c r="O45" s="29">
        <f>MIN(Tabela3[[#This Row],[10% Rent]],Tabela3[[#This Row],[VPA]]*2)</f>
        <v>13.36</v>
      </c>
      <c r="P45" s="54">
        <f>Tabela3[[#This Row],[P Compra]]/Tabela3[[#This Row],[Cotação]]-1</f>
        <v>-0.40089686098654709</v>
      </c>
      <c r="Q45" s="6">
        <f>Tabela3[[#This Row],[Lucro/Ação Ano]]*Tabela3[[#This Row],[Payout]]</f>
        <v>1.3363067873120311</v>
      </c>
      <c r="R45" s="26" t="str">
        <f>IF(AND(Tabela3[% Yield]&gt;=10%,Tabela3[PVPA]&lt;=2,Tabela3[PL]&lt;=15,Tabela3[PL]&gt;0),"Sim","Não")</f>
        <v>Não</v>
      </c>
      <c r="S45" s="30">
        <f>Tabela3[[#This Row],[Lucro Prev]]/Tabela3[[#This Row],[Cotação]]</f>
        <v>5.9924071179911706E-2</v>
      </c>
      <c r="T45" s="10">
        <f>($Z$1/Tabela3[[#This Row],[Cotação]]-MOD($Z$1/Tabela3[[#This Row],[Cotação]],100))</f>
        <v>0</v>
      </c>
      <c r="U45" s="5">
        <f>Tabela3[[#This Row],[Ativos]]*Tabela3[[#This Row],[Lucro Prev]]</f>
        <v>0</v>
      </c>
      <c r="V45" s="5">
        <f>SUMPRODUCT(N(Tabela1[Código]=Tabela3[[#This Row],[PAPEL]]),Tabela1[Fechamento])</f>
        <v>22.3</v>
      </c>
      <c r="W45" s="5">
        <f>SUMPRODUCT(N(Tabela17[Código]=Tabela3[[#This Row],[PAPEL]]),Tabela17[Fechamento])</f>
        <v>0</v>
      </c>
    </row>
    <row r="46" spans="1:23" x14ac:dyDescent="0.2">
      <c r="A46" s="4" t="s">
        <v>14</v>
      </c>
      <c r="B46" s="14" t="s">
        <v>260</v>
      </c>
      <c r="C46" s="15">
        <v>3</v>
      </c>
      <c r="D46" s="6">
        <v>5008604000</v>
      </c>
      <c r="E46" s="6">
        <v>602652000</v>
      </c>
      <c r="F46" s="42">
        <v>408974477</v>
      </c>
      <c r="G46" s="15">
        <f>Tabela3[[#This Row],[Lucro Líquido]]/Tabela3[[#This Row],[Total Ações]]</f>
        <v>1.4735687283487864</v>
      </c>
      <c r="H46" s="15">
        <f>Tabela3[[#This Row],[Lucro/Ação]]/Tabela3[[#This Row],[Ref]]*4</f>
        <v>1.9647583044650485</v>
      </c>
      <c r="I46" s="19">
        <f>IF(GETPIVOTDATA("Payout",'Tabela LL'!$A$3,"Ativo",Tabela3[[#This Row],[PAPEL]])&gt;1,1,GETPIVOTDATA("Payout",'Tabela LL'!$A$3,"Ativo",Tabela3[[#This Row],[PAPEL]]))</f>
        <v>0.38934546499886002</v>
      </c>
      <c r="J46" s="6">
        <f>Tabela3[Patrimônio Líquido]/Tabela3[Total Ações]</f>
        <v>12.246739788605439</v>
      </c>
      <c r="K46" s="52">
        <f>MAX(Tabela3[[#This Row],[Cotação 1]],Tabela3[[#This Row],[Cotação 2]])</f>
        <v>13</v>
      </c>
      <c r="L46" s="48">
        <f>Tabela3[Cotação]/Tabela3[VPA]</f>
        <v>1.0615069989561963</v>
      </c>
      <c r="M46" s="44">
        <f>IF(Tabela3[[#This Row],[Lucro/Ação Ano]]&gt;0,Tabela3[[#This Row],[Cotação]]/Tabela3[[#This Row],[Lucro/Ação Ano]],0)</f>
        <v>6.6165899237868624</v>
      </c>
      <c r="N46" s="6">
        <f>ROUND(Tabela3[[#This Row],[Lucro Prev]]/10%,2)</f>
        <v>7.65</v>
      </c>
      <c r="O46" s="62">
        <f>MIN(Tabela3[[#This Row],[10% Rent]],Tabela3[[#This Row],[VPA]]*2)</f>
        <v>7.65</v>
      </c>
      <c r="P46" s="19">
        <f>Tabela3[[#This Row],[P Compra]]/Tabela3[[#This Row],[Cotação]]-1</f>
        <v>-0.41153846153846152</v>
      </c>
      <c r="Q46" s="6">
        <f>Tabela3[[#This Row],[Lucro/Ação Ano]]*Tabela3[[#This Row],[Payout]]</f>
        <v>0.76496973566231607</v>
      </c>
      <c r="R46" s="15" t="str">
        <f>IF(AND(Tabela3[% Yield]&gt;=10%,Tabela3[PVPA]&lt;=2,Tabela3[PL]&lt;=15,Tabela3[PL]&gt;0),"Sim","Não")</f>
        <v>Não</v>
      </c>
      <c r="S46" s="46">
        <f>Tabela3[[#This Row],[Lucro Prev]]/Tabela3[[#This Row],[Cotação]]</f>
        <v>5.8843825820178157E-2</v>
      </c>
      <c r="T46" s="14">
        <f>($Z$1/Tabela3[[#This Row],[Cotação]]-MOD($Z$1/Tabela3[[#This Row],[Cotação]],100))</f>
        <v>0</v>
      </c>
      <c r="U46" s="17">
        <f>Tabela3[[#This Row],[Ativos]]*Tabela3[[#This Row],[Lucro Prev]]</f>
        <v>0</v>
      </c>
      <c r="V46" s="5">
        <f>SUMPRODUCT(N(Tabela1[Código]=Tabela3[[#This Row],[PAPEL]]),Tabela1[Fechamento])</f>
        <v>13</v>
      </c>
      <c r="W46" s="5">
        <f>SUMPRODUCT(N(Tabela17[Código]=Tabela3[[#This Row],[PAPEL]]),Tabela17[Fechamento])</f>
        <v>0</v>
      </c>
    </row>
    <row r="47" spans="1:23" x14ac:dyDescent="0.2">
      <c r="A47" s="4" t="s">
        <v>14</v>
      </c>
      <c r="B47" s="14" t="s">
        <v>64</v>
      </c>
      <c r="C47" s="15">
        <v>3</v>
      </c>
      <c r="D47" s="6">
        <v>1550119000</v>
      </c>
      <c r="E47" s="6">
        <v>56710000</v>
      </c>
      <c r="F47" s="42">
        <v>2964596762</v>
      </c>
      <c r="G47" s="15">
        <f>Tabela3[[#This Row],[Lucro Líquido]]/Tabela3[[#This Row],[Total Ações]]</f>
        <v>1.9129077089641643E-2</v>
      </c>
      <c r="H47" s="15">
        <f>Tabela3[[#This Row],[Lucro/Ação]]/Tabela3[[#This Row],[Ref]]*4</f>
        <v>2.550543611952219E-2</v>
      </c>
      <c r="I47" s="19">
        <f>IF(GETPIVOTDATA("Payout",'Tabela LL'!$A$3,"Ativo",Tabela3[[#This Row],[PAPEL]])&gt;1,1,GETPIVOTDATA("Payout",'Tabela LL'!$A$3,"Ativo",Tabela3[[#This Row],[PAPEL]]))</f>
        <v>0.75262718633546799</v>
      </c>
      <c r="J47" s="6">
        <f>Tabela3[Patrimônio Líquido]/Tabela3[Total Ações]</f>
        <v>0.52287684445632543</v>
      </c>
      <c r="K47" s="52">
        <f>MAX(Tabela3[[#This Row],[Cotação 1]],Tabela3[[#This Row],[Cotação 2]])</f>
        <v>0.33</v>
      </c>
      <c r="L47" s="48">
        <f>Tabela3[Cotação]/Tabela3[VPA]</f>
        <v>0.63112375982747138</v>
      </c>
      <c r="M47" s="44">
        <f>IF(Tabela3[[#This Row],[Lucro/Ação Ano]]&gt;0,Tabela3[[#This Row],[Cotação]]/Tabela3[[#This Row],[Lucro/Ação Ano]],0)</f>
        <v>12.938418243607831</v>
      </c>
      <c r="N47" s="6">
        <f>ROUND(Tabela3[[#This Row],[Lucro Prev]]/10%,2)</f>
        <v>0.19</v>
      </c>
      <c r="O47" s="62">
        <f>MIN(Tabela3[[#This Row],[10% Rent]],Tabela3[[#This Row],[VPA]]*2)</f>
        <v>0.19</v>
      </c>
      <c r="P47" s="19">
        <f>Tabela3[[#This Row],[P Compra]]/Tabela3[[#This Row],[Cotação]]-1</f>
        <v>-0.42424242424242431</v>
      </c>
      <c r="Q47" s="6">
        <f>Tabela3[[#This Row],[Lucro/Ação Ano]]*Tabela3[[#This Row],[Payout]]</f>
        <v>1.9196084622895002E-2</v>
      </c>
      <c r="R47" s="15" t="str">
        <f>IF(AND(Tabela3[% Yield]&gt;=10%,Tabela3[PVPA]&lt;=2,Tabela3[PL]&lt;=15,Tabela3[PL]&gt;0),"Sim","Não")</f>
        <v>Não</v>
      </c>
      <c r="S47" s="46">
        <f>Tabela3[[#This Row],[Lucro Prev]]/Tabela3[[#This Row],[Cotação]]</f>
        <v>5.8169953402712124E-2</v>
      </c>
      <c r="T47" s="14">
        <f>($Z$1/Tabela3[[#This Row],[Cotação]]-MOD($Z$1/Tabela3[[#This Row],[Cotação]],100))</f>
        <v>3000</v>
      </c>
      <c r="U47" s="17">
        <f>Tabela3[[#This Row],[Ativos]]*Tabela3[[#This Row],[Lucro Prev]]</f>
        <v>57.588253868685008</v>
      </c>
      <c r="V47" s="5">
        <f>SUMPRODUCT(N(Tabela1[Código]=Tabela3[[#This Row],[PAPEL]]),Tabela1[Fechamento])</f>
        <v>0.33</v>
      </c>
      <c r="W47" s="5">
        <f>SUMPRODUCT(N(Tabela17[Código]=Tabela3[[#This Row],[PAPEL]]),Tabela17[Fechamento])</f>
        <v>0</v>
      </c>
    </row>
    <row r="48" spans="1:23" x14ac:dyDescent="0.2">
      <c r="A48" s="4" t="s">
        <v>14</v>
      </c>
      <c r="B48" s="14" t="s">
        <v>15</v>
      </c>
      <c r="C48" s="15">
        <v>3</v>
      </c>
      <c r="D48" s="6">
        <v>2365276000</v>
      </c>
      <c r="E48" s="6">
        <v>168016000</v>
      </c>
      <c r="F48" s="42">
        <v>243051520</v>
      </c>
      <c r="G48" s="15">
        <f>Tabela3[[#This Row],[Lucro Líquido]]/Tabela3[[#This Row],[Total Ações]]</f>
        <v>0.6912773061448042</v>
      </c>
      <c r="H48" s="15">
        <f>Tabela3[[#This Row],[Lucro/Ação]]/Tabela3[[#This Row],[Ref]]*4</f>
        <v>0.9217030748597389</v>
      </c>
      <c r="I48" s="19">
        <f>IF(GETPIVOTDATA("Payout",'Tabela LL'!$A$3,"Ativo",Tabela3[[#This Row],[PAPEL]])&gt;1,1,GETPIVOTDATA("Payout",'Tabela LL'!$A$3,"Ativo",Tabela3[[#This Row],[PAPEL]]))</f>
        <v>0.50462500883942174</v>
      </c>
      <c r="J48" s="6">
        <f>Tabela3[Patrimônio Líquido]/Tabela3[Total Ações]</f>
        <v>9.7315828347833406</v>
      </c>
      <c r="K48" s="52">
        <f>MAX(Tabela3[[#This Row],[Cotação 1]],Tabela3[[#This Row],[Cotação 2]])</f>
        <v>8</v>
      </c>
      <c r="L48" s="48">
        <f>Tabela3[Cotação]/Tabela3[VPA]</f>
        <v>0.82206565322609293</v>
      </c>
      <c r="M48" s="44">
        <f>IF(Tabela3[[#This Row],[Lucro/Ação Ano]]&gt;0,Tabela3[[#This Row],[Cotação]]/Tabela3[[#This Row],[Lucro/Ação Ano]],0)</f>
        <v>8.679584801447481</v>
      </c>
      <c r="N48" s="6">
        <f>ROUND(Tabela3[[#This Row],[Lucro Prev]]/10%,2)</f>
        <v>4.6500000000000004</v>
      </c>
      <c r="O48" s="62">
        <f>MIN(Tabela3[[#This Row],[10% Rent]],Tabela3[[#This Row],[VPA]]*2)</f>
        <v>4.6500000000000004</v>
      </c>
      <c r="P48" s="19">
        <f>Tabela3[[#This Row],[P Compra]]/Tabela3[[#This Row],[Cotação]]-1</f>
        <v>-0.41874999999999996</v>
      </c>
      <c r="Q48" s="6">
        <f>Tabela3[[#This Row],[Lucro/Ação Ano]]*Tabela3[[#This Row],[Payout]]</f>
        <v>0.46511442229841793</v>
      </c>
      <c r="R48" s="15" t="str">
        <f>IF(AND(Tabela3[% Yield]&gt;=10%,Tabela3[PVPA]&lt;=2,Tabela3[PL]&lt;=15,Tabela3[PL]&gt;0),"Sim","Não")</f>
        <v>Não</v>
      </c>
      <c r="S48" s="46">
        <f>Tabela3[[#This Row],[Lucro Prev]]/Tabela3[[#This Row],[Cotação]]</f>
        <v>5.8139302787302241E-2</v>
      </c>
      <c r="T48" s="14">
        <f>($Z$1/Tabela3[[#This Row],[Cotação]]-MOD($Z$1/Tabela3[[#This Row],[Cotação]],100))</f>
        <v>100</v>
      </c>
      <c r="U48" s="17">
        <f>Tabela3[[#This Row],[Ativos]]*Tabela3[[#This Row],[Lucro Prev]]</f>
        <v>46.511442229841791</v>
      </c>
      <c r="V48" s="5">
        <f>SUMPRODUCT(N(Tabela1[Código]=Tabela3[[#This Row],[PAPEL]]),Tabela1[Fechamento])</f>
        <v>8</v>
      </c>
      <c r="W48" s="5">
        <f>SUMPRODUCT(N(Tabela17[Código]=Tabela3[[#This Row],[PAPEL]]),Tabela17[Fechamento])</f>
        <v>0</v>
      </c>
    </row>
    <row r="49" spans="1:23" x14ac:dyDescent="0.2">
      <c r="A49" s="3" t="s">
        <v>560</v>
      </c>
      <c r="B49" s="75" t="s">
        <v>554</v>
      </c>
      <c r="C49" s="16">
        <v>3</v>
      </c>
      <c r="D49" s="5">
        <v>264517000</v>
      </c>
      <c r="E49" s="5">
        <v>37183000</v>
      </c>
      <c r="F49" s="21">
        <v>24948000</v>
      </c>
      <c r="G49" s="73">
        <f>Tabela3[[#This Row],[Lucro Líquido]]/Tabela3[[#This Row],[Total Ações]]</f>
        <v>1.490420073753407</v>
      </c>
      <c r="H49" s="16">
        <f>Tabela3[[#This Row],[Lucro/Ação]]/Tabela3[[#This Row],[Ref]]*4</f>
        <v>1.9872267650045428</v>
      </c>
      <c r="I49" s="18">
        <f>IF(GETPIVOTDATA("Payout",'Tabela LL'!$A$3,"Ativo",Tabela3[[#This Row],[PAPEL]])&gt;1,1,GETPIVOTDATA("Payout",'Tabela LL'!$A$3,"Ativo",Tabela3[[#This Row],[PAPEL]]))</f>
        <v>0.2032996796183045</v>
      </c>
      <c r="J49" s="5">
        <f>Tabela3[Patrimônio Líquido]/Tabela3[Total Ações]</f>
        <v>10.602733686067019</v>
      </c>
      <c r="K49" s="59">
        <f>MAX(Tabela3[[#This Row],[Cotação 1]],Tabela3[[#This Row],[Cotação 2]])</f>
        <v>7.08</v>
      </c>
      <c r="L49" s="60">
        <f>Tabela3[Cotação]/Tabela3[VPA]</f>
        <v>0.66775231837651272</v>
      </c>
      <c r="M49" s="40">
        <f>IF(Tabela3[[#This Row],[Lucro/Ação Ano]]&gt;0,Tabela3[[#This Row],[Cotação]]/Tabela3[[#This Row],[Lucro/Ação Ano]],0)</f>
        <v>3.5627539466960707</v>
      </c>
      <c r="N49" s="7">
        <f>ROUND(Tabela3[[#This Row],[Lucro Prev]]/10%,2)</f>
        <v>4.04</v>
      </c>
      <c r="O49" s="51">
        <f>MIN(Tabela3[[#This Row],[10% Rent]],Tabela3[[#This Row],[VPA]]*2)</f>
        <v>4.04</v>
      </c>
      <c r="P49" s="18">
        <f>Tabela3[[#This Row],[P Compra]]/Tabela3[[#This Row],[Cotação]]-1</f>
        <v>-0.42937853107344637</v>
      </c>
      <c r="Q49" s="5">
        <f>Tabela3[[#This Row],[Lucro/Ação Ano]]*Tabela3[[#This Row],[Payout]]</f>
        <v>0.40400256465434325</v>
      </c>
      <c r="R49" s="16" t="str">
        <f>IF(AND(Tabela3[% Yield]&gt;=10%,Tabela3[PVPA]&lt;=2,Tabela3[PL]&lt;=15,Tabela3[PL]&gt;0),"Sim","Não")</f>
        <v>Não</v>
      </c>
      <c r="S49" s="22">
        <f>Tabela3[[#This Row],[Lucro Prev]]/Tabela3[[#This Row],[Cotação]]</f>
        <v>5.7062509131969384E-2</v>
      </c>
      <c r="T49" s="10">
        <f>($Z$1/Tabela3[[#This Row],[Cotação]]-MOD($Z$1/Tabela3[[#This Row],[Cotação]],100))</f>
        <v>100</v>
      </c>
      <c r="U49" s="7">
        <f>Tabela3[[#This Row],[Ativos]]*Tabela3[[#This Row],[Lucro Prev]]</f>
        <v>40.400256465434325</v>
      </c>
      <c r="V49" s="51">
        <f>SUMPRODUCT(N(Tabela1[Código]=Tabela3[[#This Row],[PAPEL]]),Tabela1[Fechamento])</f>
        <v>0</v>
      </c>
      <c r="W49" s="61">
        <f>SUMPRODUCT(N(Tabela17[Código]=Tabela3[[#This Row],[PAPEL]]),Tabela17[Fechamento])</f>
        <v>7.08</v>
      </c>
    </row>
    <row r="50" spans="1:23" x14ac:dyDescent="0.2">
      <c r="A50" s="4" t="s">
        <v>12</v>
      </c>
      <c r="B50" s="14" t="s">
        <v>219</v>
      </c>
      <c r="C50" s="15">
        <v>3</v>
      </c>
      <c r="D50" s="6">
        <v>5308688000</v>
      </c>
      <c r="E50" s="6">
        <v>1150434000</v>
      </c>
      <c r="F50" s="42">
        <v>652742192</v>
      </c>
      <c r="G50" s="15">
        <f>Tabela3[[#This Row],[Lucro Líquido]]/Tabela3[[#This Row],[Total Ações]]</f>
        <v>1.7624630583095509</v>
      </c>
      <c r="H50" s="15">
        <f>Tabela3[[#This Row],[Lucro/Ação]]/Tabela3[[#This Row],[Ref]]*4</f>
        <v>2.3499507444127343</v>
      </c>
      <c r="I50" s="19">
        <f>IF(GETPIVOTDATA("Payout",'Tabela LL'!$A$3,"Ativo",Tabela3[[#This Row],[PAPEL]])&gt;1,1,GETPIVOTDATA("Payout",'Tabela LL'!$A$3,"Ativo",Tabela3[[#This Row],[PAPEL]]))</f>
        <v>0.85565136305393408</v>
      </c>
      <c r="J50" s="6">
        <f>Tabela3[Patrimônio Líquido]/Tabela3[Total Ações]</f>
        <v>8.1329015728770297</v>
      </c>
      <c r="K50" s="52">
        <f>MAX(Tabela3[[#This Row],[Cotação 1]],Tabela3[[#This Row],[Cotação 2]])</f>
        <v>35.94</v>
      </c>
      <c r="L50" s="48">
        <f>Tabela3[Cotação]/Tabela3[VPA]</f>
        <v>4.4190870475868991</v>
      </c>
      <c r="M50" s="44">
        <f>IF(Tabela3[[#This Row],[Lucro/Ação Ano]]&gt;0,Tabela3[[#This Row],[Cotação]]/Tabela3[[#This Row],[Lucro/Ação Ano]],0)</f>
        <v>15.293937579522163</v>
      </c>
      <c r="N50" s="6">
        <f>ROUND(Tabela3[[#This Row],[Lucro Prev]]/10%,2)</f>
        <v>20.11</v>
      </c>
      <c r="O50" s="62">
        <f>MIN(Tabela3[[#This Row],[10% Rent]],Tabela3[[#This Row],[VPA]]*2)</f>
        <v>16.265803145754059</v>
      </c>
      <c r="P50" s="19">
        <f>Tabela3[[#This Row],[P Compra]]/Tabela3[[#This Row],[Cotação]]-1</f>
        <v>-0.54741783122554089</v>
      </c>
      <c r="Q50" s="6">
        <f>Tabela3[[#This Row],[Lucro/Ação Ano]]*Tabela3[[#This Row],[Payout]]</f>
        <v>2.0107385575663632</v>
      </c>
      <c r="R50" s="15" t="str">
        <f>IF(AND(Tabela3[% Yield]&gt;=10%,Tabela3[PVPA]&lt;=2,Tabela3[PL]&lt;=15,Tabela3[PL]&gt;0),"Sim","Não")</f>
        <v>Não</v>
      </c>
      <c r="S50" s="46">
        <f>Tabela3[[#This Row],[Lucro Prev]]/Tabela3[[#This Row],[Cotação]]</f>
        <v>5.5947093977917736E-2</v>
      </c>
      <c r="T50" s="14">
        <f>($Z$1/Tabela3[[#This Row],[Cotação]]-MOD($Z$1/Tabela3[[#This Row],[Cotação]],100))</f>
        <v>0</v>
      </c>
      <c r="U50" s="17">
        <f>Tabela3[[#This Row],[Ativos]]*Tabela3[[#This Row],[Lucro Prev]]</f>
        <v>0</v>
      </c>
      <c r="V50" s="5">
        <f>SUMPRODUCT(N(Tabela1[Código]=Tabela3[[#This Row],[PAPEL]]),Tabela1[Fechamento])</f>
        <v>35.94</v>
      </c>
      <c r="W50" s="5">
        <f>SUMPRODUCT(N(Tabela17[Código]=Tabela3[[#This Row],[PAPEL]]),Tabela17[Fechamento])</f>
        <v>0</v>
      </c>
    </row>
    <row r="51" spans="1:23" x14ac:dyDescent="0.2">
      <c r="A51" s="4" t="s">
        <v>14</v>
      </c>
      <c r="B51" s="14" t="s">
        <v>246</v>
      </c>
      <c r="C51" s="15">
        <v>3</v>
      </c>
      <c r="D51" s="6">
        <v>1179411000</v>
      </c>
      <c r="E51" s="6">
        <v>46761000</v>
      </c>
      <c r="F51" s="42">
        <v>90224492</v>
      </c>
      <c r="G51" s="15">
        <f>Tabela3[[#This Row],[Lucro Líquido]]/Tabela3[[#This Row],[Total Ações]]</f>
        <v>0.51827390726677625</v>
      </c>
      <c r="H51" s="15">
        <f>Tabela3[[#This Row],[Lucro/Ação]]/Tabela3[[#This Row],[Ref]]*4</f>
        <v>0.69103187635570162</v>
      </c>
      <c r="I51" s="19">
        <f>IF(GETPIVOTDATA("Payout",'Tabela LL'!$A$3,"Ativo",Tabela3[[#This Row],[PAPEL]])&gt;1,1,GETPIVOTDATA("Payout",'Tabela LL'!$A$3,"Ativo",Tabela3[[#This Row],[PAPEL]]))</f>
        <v>0.45013216229230024</v>
      </c>
      <c r="J51" s="6">
        <f>Tabela3[Patrimônio Líquido]/Tabela3[Total Ações]</f>
        <v>13.071960549248645</v>
      </c>
      <c r="K51" s="52">
        <f>MAX(Tabela3[[#This Row],[Cotação 1]],Tabela3[[#This Row],[Cotação 2]])</f>
        <v>5.69</v>
      </c>
      <c r="L51" s="48">
        <f>Tabela3[Cotação]/Tabela3[VPA]</f>
        <v>0.43528283141330715</v>
      </c>
      <c r="M51" s="44">
        <f>IF(Tabela3[[#This Row],[Lucro/Ação Ano]]&gt;0,Tabela3[[#This Row],[Cotação]]/Tabela3[[#This Row],[Lucro/Ação Ano]],0)</f>
        <v>8.2340629928786822</v>
      </c>
      <c r="N51" s="6">
        <f>ROUND(Tabela3[[#This Row],[Lucro Prev]]/10%,2)</f>
        <v>3.11</v>
      </c>
      <c r="O51" s="62">
        <f>MIN(Tabela3[[#This Row],[10% Rent]],Tabela3[[#This Row],[VPA]]*2)</f>
        <v>3.11</v>
      </c>
      <c r="P51" s="19">
        <f>Tabela3[[#This Row],[P Compra]]/Tabela3[[#This Row],[Cotação]]-1</f>
        <v>-0.4534270650263621</v>
      </c>
      <c r="Q51" s="6">
        <f>Tabela3[[#This Row],[Lucro/Ação Ano]]*Tabela3[[#This Row],[Payout]]</f>
        <v>0.31105567271689744</v>
      </c>
      <c r="R51" s="15" t="str">
        <f>IF(AND(Tabela3[% Yield]&gt;=10%,Tabela3[PVPA]&lt;=2,Tabela3[PL]&lt;=15,Tabela3[PL]&gt;0),"Sim","Não")</f>
        <v>Não</v>
      </c>
      <c r="S51" s="46">
        <f>Tabela3[[#This Row],[Lucro Prev]]/Tabela3[[#This Row],[Cotação]]</f>
        <v>5.4667077806133113E-2</v>
      </c>
      <c r="T51" s="14">
        <f>($Z$1/Tabela3[[#This Row],[Cotação]]-MOD($Z$1/Tabela3[[#This Row],[Cotação]],100))</f>
        <v>100</v>
      </c>
      <c r="U51" s="17">
        <f>Tabela3[[#This Row],[Ativos]]*Tabela3[[#This Row],[Lucro Prev]]</f>
        <v>31.105567271689743</v>
      </c>
      <c r="V51" s="5">
        <f>SUMPRODUCT(N(Tabela1[Código]=Tabela3[[#This Row],[PAPEL]]),Tabela1[Fechamento])</f>
        <v>5.69</v>
      </c>
      <c r="W51" s="5">
        <f>SUMPRODUCT(N(Tabela17[Código]=Tabela3[[#This Row],[PAPEL]]),Tabela17[Fechamento])</f>
        <v>0</v>
      </c>
    </row>
    <row r="52" spans="1:23" x14ac:dyDescent="0.2">
      <c r="A52" s="3" t="s">
        <v>602</v>
      </c>
      <c r="B52" s="75" t="s">
        <v>600</v>
      </c>
      <c r="C52" s="16">
        <v>3</v>
      </c>
      <c r="D52" s="5">
        <v>10031194000</v>
      </c>
      <c r="E52" s="5">
        <v>852679000</v>
      </c>
      <c r="F52" s="21">
        <v>349547945</v>
      </c>
      <c r="G52" s="73">
        <f>Tabela3[[#This Row],[Lucro Líquido]]/Tabela3[[#This Row],[Total Ações]]</f>
        <v>2.439376377967263</v>
      </c>
      <c r="H52" s="16">
        <f>Tabela3[[#This Row],[Lucro/Ação]]/Tabela3[[#This Row],[Ref]]*4</f>
        <v>3.2525018372896839</v>
      </c>
      <c r="I52" s="18">
        <f>IF(GETPIVOTDATA("Payout",'Tabela LL'!$A$3,"Ativo",Tabela3[[#This Row],[PAPEL]])&gt;1,1,GETPIVOTDATA("Payout",'Tabela LL'!$A$3,"Ativo",Tabela3[[#This Row],[PAPEL]]))</f>
        <v>0.33996836443315553</v>
      </c>
      <c r="J52" s="5">
        <f>Tabela3[Patrimônio Líquido]/Tabela3[Total Ações]</f>
        <v>28.697619721380423</v>
      </c>
      <c r="K52" s="59">
        <f>MAX(Tabela3[[#This Row],[Cotação 1]],Tabela3[[#This Row],[Cotação 2]])</f>
        <v>20.3</v>
      </c>
      <c r="L52" s="60">
        <f>Tabela3[Cotação]/Tabela3[VPA]</f>
        <v>0.70737574046519291</v>
      </c>
      <c r="M52" s="40">
        <f>IF(Tabela3[[#This Row],[Lucro/Ação Ano]]&gt;0,Tabela3[[#This Row],[Cotação]]/Tabela3[[#This Row],[Lucro/Ação Ano]],0)</f>
        <v>6.2413492798872729</v>
      </c>
      <c r="N52" s="7">
        <f>ROUND(Tabela3[[#This Row],[Lucro Prev]]/10%,2)</f>
        <v>11.06</v>
      </c>
      <c r="O52" s="51">
        <f>MIN(Tabela3[[#This Row],[10% Rent]],Tabela3[[#This Row],[VPA]]*2)</f>
        <v>11.06</v>
      </c>
      <c r="P52" s="18">
        <f>Tabela3[[#This Row],[P Compra]]/Tabela3[[#This Row],[Cotação]]-1</f>
        <v>-0.45517241379310347</v>
      </c>
      <c r="Q52" s="5">
        <f>Tabela3[[#This Row],[Lucro/Ação Ano]]*Tabela3[[#This Row],[Payout]]</f>
        <v>1.1057477299392071</v>
      </c>
      <c r="R52" s="16" t="str">
        <f>IF(AND(Tabela3[% Yield]&gt;=10%,Tabela3[PVPA]&lt;=2,Tabela3[PL]&lt;=15,Tabela3[PL]&gt;0),"Sim","Não")</f>
        <v>Não</v>
      </c>
      <c r="S52" s="22">
        <f>Tabela3[[#This Row],[Lucro Prev]]/Tabela3[[#This Row],[Cotação]]</f>
        <v>5.4470331524098872E-2</v>
      </c>
      <c r="T52" s="10">
        <f>($Z$1/Tabela3[[#This Row],[Cotação]]-MOD($Z$1/Tabela3[[#This Row],[Cotação]],100))</f>
        <v>0</v>
      </c>
      <c r="U52" s="7">
        <f>Tabela3[[#This Row],[Ativos]]*Tabela3[[#This Row],[Lucro Prev]]</f>
        <v>0</v>
      </c>
      <c r="V52" s="51">
        <f>SUMPRODUCT(N(Tabela1[Código]=Tabela3[[#This Row],[PAPEL]]),Tabela1[Fechamento])</f>
        <v>0</v>
      </c>
      <c r="W52" s="61">
        <f>SUMPRODUCT(N(Tabela17[Código]=Tabela3[[#This Row],[PAPEL]]),Tabela17[Fechamento])</f>
        <v>20.3</v>
      </c>
    </row>
    <row r="53" spans="1:23" x14ac:dyDescent="0.2">
      <c r="A53" s="4" t="s">
        <v>14</v>
      </c>
      <c r="B53" s="14" t="s">
        <v>22</v>
      </c>
      <c r="C53" s="15">
        <v>3</v>
      </c>
      <c r="D53" s="6">
        <v>1864725000</v>
      </c>
      <c r="E53" s="42">
        <v>192096000</v>
      </c>
      <c r="F53" s="42">
        <v>147232649</v>
      </c>
      <c r="G53" s="15">
        <f>Tabela3[[#This Row],[Lucro Líquido]]/Tabela3[[#This Row],[Total Ações]]</f>
        <v>1.3047106148310896</v>
      </c>
      <c r="H53" s="15">
        <f>Tabela3[[#This Row],[Lucro/Ação]]/Tabela3[[#This Row],[Ref]]*4</f>
        <v>1.7396141531081195</v>
      </c>
      <c r="I53" s="19">
        <f>IF(GETPIVOTDATA("Payout",'Tabela LL'!$A$3,"Ativo",Tabela3[[#This Row],[PAPEL]])&gt;1,1,GETPIVOTDATA("Payout",'Tabela LL'!$A$3,"Ativo",Tabela3[[#This Row],[PAPEL]]))</f>
        <v>0.38903884611110762</v>
      </c>
      <c r="J53" s="6">
        <f>Tabela3[Patrimônio Líquido]/Tabela3[Total Ações]</f>
        <v>12.665159614155961</v>
      </c>
      <c r="K53" s="52">
        <f>MAX(Tabela3[[#This Row],[Cotação 1]],Tabela3[[#This Row],[Cotação 2]])</f>
        <v>12.64</v>
      </c>
      <c r="L53" s="48">
        <f>Tabela3[Cotação]/Tabela3[VPA]</f>
        <v>0.99801347831985954</v>
      </c>
      <c r="M53" s="44">
        <f>IF(Tabela3[[#This Row],[Lucro/Ação Ano]]&gt;0,Tabela3[[#This Row],[Cotação]]/Tabela3[[#This Row],[Lucro/Ação Ano]],0)</f>
        <v>7.265979054847576</v>
      </c>
      <c r="N53" s="6">
        <f>ROUND(Tabela3[[#This Row],[Lucro Prev]]/10%,2)</f>
        <v>6.77</v>
      </c>
      <c r="O53" s="62">
        <f>MIN(Tabela3[[#This Row],[10% Rent]],Tabela3[[#This Row],[VPA]]*2)</f>
        <v>6.77</v>
      </c>
      <c r="P53" s="19">
        <f>Tabela3[[#This Row],[P Compra]]/Tabela3[[#This Row],[Cotação]]-1</f>
        <v>-0.46439873417721522</v>
      </c>
      <c r="Q53" s="6">
        <f>Tabela3[[#This Row],[Lucro/Ação Ano]]*Tabela3[[#This Row],[Payout]]</f>
        <v>0.67677748280373451</v>
      </c>
      <c r="R53" s="15" t="str">
        <f>IF(AND(Tabela3[% Yield]&gt;=10%,Tabela3[PVPA]&lt;=2,Tabela3[PL]&lt;=15,Tabela3[PL]&gt;0),"Sim","Não")</f>
        <v>Não</v>
      </c>
      <c r="S53" s="46">
        <f>Tabela3[[#This Row],[Lucro Prev]]/Tabela3[[#This Row],[Cotação]]</f>
        <v>5.3542522373713174E-2</v>
      </c>
      <c r="T53" s="14">
        <f>($Z$1/Tabela3[[#This Row],[Cotação]]-MOD($Z$1/Tabela3[[#This Row],[Cotação]],100))</f>
        <v>0</v>
      </c>
      <c r="U53" s="17">
        <f>Tabela3[[#This Row],[Ativos]]*Tabela3[[#This Row],[Lucro Prev]]</f>
        <v>0</v>
      </c>
      <c r="V53" s="5">
        <f>SUMPRODUCT(N(Tabela1[Código]=Tabela3[[#This Row],[PAPEL]]),Tabela1[Fechamento])</f>
        <v>12.64</v>
      </c>
      <c r="W53" s="5">
        <f>SUMPRODUCT(N(Tabela17[Código]=Tabela3[[#This Row],[PAPEL]]),Tabela17[Fechamento])</f>
        <v>0</v>
      </c>
    </row>
    <row r="54" spans="1:23" x14ac:dyDescent="0.2">
      <c r="A54" s="4" t="s">
        <v>12</v>
      </c>
      <c r="B54" s="14" t="s">
        <v>57</v>
      </c>
      <c r="C54" s="15">
        <v>3</v>
      </c>
      <c r="D54" s="6">
        <v>4589097000</v>
      </c>
      <c r="E54" s="6">
        <v>751496000</v>
      </c>
      <c r="F54" s="42">
        <v>1033496721</v>
      </c>
      <c r="G54" s="15">
        <f>Tabela3[[#This Row],[Lucro Líquido]]/Tabela3[[#This Row],[Total Ações]]</f>
        <v>0.72713922040590584</v>
      </c>
      <c r="H54" s="15">
        <f>Tabela3[[#This Row],[Lucro/Ação]]/Tabela3[[#This Row],[Ref]]*4</f>
        <v>0.96951896054120779</v>
      </c>
      <c r="I54" s="19">
        <f>IF(GETPIVOTDATA("Payout",'Tabela LL'!$A$3,"Ativo",Tabela3[[#This Row],[PAPEL]])&gt;1,1,GETPIVOTDATA("Payout",'Tabela LL'!$A$3,"Ativo",Tabela3[[#This Row],[PAPEL]]))</f>
        <v>1</v>
      </c>
      <c r="J54" s="6">
        <f>Tabela3[Patrimônio Líquido]/Tabela3[Total Ações]</f>
        <v>4.4403595161478986</v>
      </c>
      <c r="K54" s="52">
        <f>MAX(Tabela3[[#This Row],[Cotação 1]],Tabela3[[#This Row],[Cotação 2]])</f>
        <v>18.2</v>
      </c>
      <c r="L54" s="48">
        <f>Tabela3[Cotação]/Tabela3[VPA]</f>
        <v>4.0987672132883661</v>
      </c>
      <c r="M54" s="44">
        <f>IF(Tabela3[[#This Row],[Lucro/Ação Ano]]&gt;0,Tabela3[[#This Row],[Cotação]]/Tabela3[[#This Row],[Lucro/Ação Ano]],0)</f>
        <v>18.772196048481963</v>
      </c>
      <c r="N54" s="6">
        <f>ROUND(Tabela3[[#This Row],[Lucro Prev]]/10%,2)</f>
        <v>9.6999999999999993</v>
      </c>
      <c r="O54" s="62">
        <f>MIN(Tabela3[[#This Row],[10% Rent]],Tabela3[[#This Row],[VPA]]*2)</f>
        <v>8.8807190322957972</v>
      </c>
      <c r="P54" s="19">
        <f>Tabela3[[#This Row],[P Compra]]/Tabela3[[#This Row],[Cotação]]-1</f>
        <v>-0.51204840481891223</v>
      </c>
      <c r="Q54" s="6">
        <f>Tabela3[[#This Row],[Lucro/Ação Ano]]*Tabela3[[#This Row],[Payout]]</f>
        <v>0.96951896054120779</v>
      </c>
      <c r="R54" s="15" t="str">
        <f>IF(AND(Tabela3[% Yield]&gt;=10%,Tabela3[PVPA]&lt;=2,Tabela3[PL]&lt;=15,Tabela3[PL]&gt;0),"Sim","Não")</f>
        <v>Não</v>
      </c>
      <c r="S54" s="46">
        <f>Tabela3[[#This Row],[Lucro Prev]]/Tabela3[[#This Row],[Cotação]]</f>
        <v>5.3270272557209224E-2</v>
      </c>
      <c r="T54" s="14">
        <f>($Z$1/Tabela3[[#This Row],[Cotação]]-MOD($Z$1/Tabela3[[#This Row],[Cotação]],100))</f>
        <v>0</v>
      </c>
      <c r="U54" s="17">
        <f>Tabela3[[#This Row],[Ativos]]*Tabela3[[#This Row],[Lucro Prev]]</f>
        <v>0</v>
      </c>
      <c r="V54" s="5">
        <f>SUMPRODUCT(N(Tabela1[Código]=Tabela3[[#This Row],[PAPEL]]),Tabela1[Fechamento])</f>
        <v>18.2</v>
      </c>
      <c r="W54" s="5">
        <f>SUMPRODUCT(N(Tabela17[Código]=Tabela3[[#This Row],[PAPEL]]),Tabela17[Fechamento])</f>
        <v>0</v>
      </c>
    </row>
    <row r="55" spans="1:23" x14ac:dyDescent="0.2">
      <c r="A55" s="4" t="s">
        <v>12</v>
      </c>
      <c r="B55" s="14" t="s">
        <v>67</v>
      </c>
      <c r="C55" s="15">
        <v>3</v>
      </c>
      <c r="D55" s="6">
        <v>1825587000</v>
      </c>
      <c r="E55" s="6">
        <v>190026000</v>
      </c>
      <c r="F55" s="42">
        <v>1245690889</v>
      </c>
      <c r="G55" s="15">
        <f>Tabela3[[#This Row],[Lucro Líquido]]/Tabela3[[#This Row],[Total Ações]]</f>
        <v>0.15254667243536371</v>
      </c>
      <c r="H55" s="15">
        <f>Tabela3[[#This Row],[Lucro/Ação]]/Tabela3[[#This Row],[Ref]]*4</f>
        <v>0.20339556324715161</v>
      </c>
      <c r="I55" s="45">
        <f>IF(GETPIVOTDATA("Payout",'Tabela LL'!$A$3,"Ativo",Tabela3[[#This Row],[PAPEL]])&gt;1,1,GETPIVOTDATA("Payout",'Tabela LL'!$A$3,"Ativo",Tabela3[[#This Row],[PAPEL]]))</f>
        <v>0.58097440486745289</v>
      </c>
      <c r="J55" s="6">
        <f>Tabela3[Patrimônio Líquido]/Tabela3[Total Ações]</f>
        <v>1.4655216764614227</v>
      </c>
      <c r="K55" s="52">
        <f>MAX(Tabela3[[#This Row],[Cotação 1]],Tabela3[[#This Row],[Cotação 2]])</f>
        <v>2.25</v>
      </c>
      <c r="L55" s="48">
        <f>Tabela3[Cotação]/Tabela3[VPA]</f>
        <v>1.5352894714138521</v>
      </c>
      <c r="M55" s="44">
        <f>IF(Tabela3[[#This Row],[Lucro/Ação Ano]]&gt;0,Tabela3[[#This Row],[Cotação]]/Tabela3[[#This Row],[Lucro/Ação Ano]],0)</f>
        <v>11.062188201548736</v>
      </c>
      <c r="N55" s="6">
        <f>ROUND(Tabela3[[#This Row],[Lucro Prev]]/10%,2)</f>
        <v>1.18</v>
      </c>
      <c r="O55" s="17">
        <f>MIN(Tabela3[[#This Row],[10% Rent]],Tabela3[[#This Row],[VPA]]*2)</f>
        <v>1.18</v>
      </c>
      <c r="P55" s="19">
        <f>Tabela3[[#This Row],[P Compra]]/Tabela3[[#This Row],[Cotação]]-1</f>
        <v>-0.47555555555555562</v>
      </c>
      <c r="Q55" s="6">
        <f>Tabela3[[#This Row],[Lucro/Ação Ano]]*Tabela3[[#This Row],[Payout]]</f>
        <v>0.11816761631019428</v>
      </c>
      <c r="R55" s="14" t="str">
        <f>IF(AND(Tabela3[% Yield]&gt;=10%,Tabela3[PVPA]&lt;=2,Tabela3[PL]&lt;=15,Tabela3[PL]&gt;0),"Sim","Não")</f>
        <v>Não</v>
      </c>
      <c r="S55" s="46">
        <f>Tabela3[[#This Row],[Lucro Prev]]/Tabela3[[#This Row],[Cotação]]</f>
        <v>5.2518940582308569E-2</v>
      </c>
      <c r="T55" s="14">
        <f>($Z$1/Tabela3[[#This Row],[Cotação]]-MOD($Z$1/Tabela3[[#This Row],[Cotação]],100))</f>
        <v>400</v>
      </c>
      <c r="U55" s="17">
        <f>Tabela3[[#This Row],[Ativos]]*Tabela3[[#This Row],[Lucro Prev]]</f>
        <v>47.267046524077713</v>
      </c>
      <c r="V55" s="5">
        <f>SUMPRODUCT(N(Tabela1[Código]=Tabela3[[#This Row],[PAPEL]]),Tabela1[Fechamento])</f>
        <v>2.25</v>
      </c>
      <c r="W55" s="5">
        <f>SUMPRODUCT(N(Tabela17[Código]=Tabela3[[#This Row],[PAPEL]]),Tabela17[Fechamento])</f>
        <v>0</v>
      </c>
    </row>
    <row r="56" spans="1:23" x14ac:dyDescent="0.2">
      <c r="A56" s="4" t="s">
        <v>14</v>
      </c>
      <c r="B56" s="14" t="s">
        <v>61</v>
      </c>
      <c r="C56" s="15">
        <v>3</v>
      </c>
      <c r="D56" s="6">
        <v>901919000</v>
      </c>
      <c r="E56" s="6">
        <v>77892000</v>
      </c>
      <c r="F56" s="42">
        <v>1579564303</v>
      </c>
      <c r="G56" s="15">
        <f>Tabela3[[#This Row],[Lucro Líquido]]/Tabela3[[#This Row],[Total Ações]]</f>
        <v>4.931233242740609E-2</v>
      </c>
      <c r="H56" s="15">
        <f>Tabela3[[#This Row],[Lucro/Ação]]/Tabela3[[#This Row],[Ref]]*4</f>
        <v>6.5749776569874782E-2</v>
      </c>
      <c r="I56" s="19">
        <f>IF(GETPIVOTDATA("Payout",'Tabela LL'!$A$3,"Ativo",Tabela3[[#This Row],[PAPEL]])&gt;1,1,GETPIVOTDATA("Payout",'Tabela LL'!$A$3,"Ativo",Tabela3[[#This Row],[PAPEL]]))</f>
        <v>0.36351567797691797</v>
      </c>
      <c r="J56" s="6">
        <f>Tabela3[Patrimônio Líquido]/Tabela3[Total Ações]</f>
        <v>0.57099226558046623</v>
      </c>
      <c r="K56" s="52">
        <f>MAX(Tabela3[[#This Row],[Cotação 1]],Tabela3[[#This Row],[Cotação 2]])</f>
        <v>0.46</v>
      </c>
      <c r="L56" s="48">
        <f>Tabela3[Cotação]/Tabela3[VPA]</f>
        <v>0.80561511552589538</v>
      </c>
      <c r="M56" s="44">
        <f>IF(Tabela3[[#This Row],[Lucro/Ação Ano]]&gt;0,Tabela3[[#This Row],[Cotação]]/Tabela3[[#This Row],[Lucro/Ação Ano]],0)</f>
        <v>6.99622149302881</v>
      </c>
      <c r="N56" s="6">
        <f>ROUND(Tabela3[[#This Row],[Lucro Prev]]/10%,2)</f>
        <v>0.24</v>
      </c>
      <c r="O56" s="62">
        <f>MIN(Tabela3[[#This Row],[10% Rent]],Tabela3[[#This Row],[VPA]]*2)</f>
        <v>0.24</v>
      </c>
      <c r="P56" s="19">
        <f>Tabela3[[#This Row],[P Compra]]/Tabela3[[#This Row],[Cotação]]-1</f>
        <v>-0.47826086956521741</v>
      </c>
      <c r="Q56" s="6">
        <f>Tabela3[[#This Row],[Lucro/Ação Ano]]*Tabela3[[#This Row],[Payout]]</f>
        <v>2.3901074606628908E-2</v>
      </c>
      <c r="R56" s="15" t="str">
        <f>IF(AND(Tabela3[% Yield]&gt;=10%,Tabela3[PVPA]&lt;=2,Tabela3[PL]&lt;=15,Tabela3[PL]&gt;0),"Sim","Não")</f>
        <v>Não</v>
      </c>
      <c r="S56" s="46">
        <f>Tabela3[[#This Row],[Lucro Prev]]/Tabela3[[#This Row],[Cotação]]</f>
        <v>5.1958857840497627E-2</v>
      </c>
      <c r="T56" s="14">
        <f>($Z$1/Tabela3[[#This Row],[Cotação]]-MOD($Z$1/Tabela3[[#This Row],[Cotação]],100))</f>
        <v>2100</v>
      </c>
      <c r="U56" s="17">
        <f>Tabela3[[#This Row],[Ativos]]*Tabela3[[#This Row],[Lucro Prev]]</f>
        <v>50.19225667392071</v>
      </c>
      <c r="V56" s="5">
        <f>SUMPRODUCT(N(Tabela1[Código]=Tabela3[[#This Row],[PAPEL]]),Tabela1[Fechamento])</f>
        <v>0.46</v>
      </c>
      <c r="W56" s="5">
        <f>SUMPRODUCT(N(Tabela17[Código]=Tabela3[[#This Row],[PAPEL]]),Tabela17[Fechamento])</f>
        <v>0</v>
      </c>
    </row>
    <row r="57" spans="1:23" x14ac:dyDescent="0.2">
      <c r="A57" s="4" t="s">
        <v>14</v>
      </c>
      <c r="B57" s="14" t="s">
        <v>277</v>
      </c>
      <c r="C57" s="15">
        <v>3</v>
      </c>
      <c r="D57" s="5">
        <v>1002748000</v>
      </c>
      <c r="E57" s="5">
        <v>143437000</v>
      </c>
      <c r="F57" s="21">
        <v>36304650</v>
      </c>
      <c r="G57" s="15">
        <f>Tabela3[[#This Row],[Lucro Líquido]]/Tabela3[[#This Row],[Total Ações]]</f>
        <v>3.9509263964808916</v>
      </c>
      <c r="H57" s="15">
        <f>Tabela3[[#This Row],[Lucro/Ação]]/Tabela3[[#This Row],[Ref]]*4</f>
        <v>5.2679018619745221</v>
      </c>
      <c r="I57" s="19">
        <f>IF(GETPIVOTDATA("Payout",'Tabela LL'!$A$3,"Ativo",Tabela3[[#This Row],[PAPEL]])&gt;1,1,GETPIVOTDATA("Payout",'Tabela LL'!$A$3,"Ativo",Tabela3[[#This Row],[PAPEL]]))</f>
        <v>0.28664546825986631</v>
      </c>
      <c r="J57" s="6">
        <f>Tabela3[Patrimônio Líquido]/Tabela3[Total Ações]</f>
        <v>27.620373698685981</v>
      </c>
      <c r="K57" s="52">
        <f>MAX(Tabela3[[#This Row],[Cotação 1]],Tabela3[[#This Row],[Cotação 2]])</f>
        <v>29.99</v>
      </c>
      <c r="L57" s="48">
        <f>Tabela3[Cotação]/Tabela3[VPA]</f>
        <v>1.0857926951736627</v>
      </c>
      <c r="M57" s="44">
        <f>IF(Tabela3[[#This Row],[Lucro/Ação Ano]]&gt;0,Tabela3[[#This Row],[Cotação]]/Tabela3[[#This Row],[Lucro/Ação Ano]],0)</f>
        <v>5.6929686212413806</v>
      </c>
      <c r="N57" s="6">
        <f>ROUND(Tabela3[[#This Row],[Lucro Prev]]/10%,2)</f>
        <v>15.1</v>
      </c>
      <c r="O57" s="62">
        <f>MIN(Tabela3[[#This Row],[10% Rent]],Tabela3[[#This Row],[VPA]]*2)</f>
        <v>15.1</v>
      </c>
      <c r="P57" s="19">
        <f>Tabela3[[#This Row],[P Compra]]/Tabela3[[#This Row],[Cotação]]-1</f>
        <v>-0.49649883294431474</v>
      </c>
      <c r="Q57" s="6">
        <f>Tabela3[[#This Row],[Lucro/Ação Ano]]*Tabela3[[#This Row],[Payout]]</f>
        <v>1.5100201959727084</v>
      </c>
      <c r="R57" s="15" t="str">
        <f>IF(AND(Tabela3[% Yield]&gt;=10%,Tabela3[PVPA]&lt;=2,Tabela3[PL]&lt;=15,Tabela3[PL]&gt;0),"Sim","Não")</f>
        <v>Não</v>
      </c>
      <c r="S57" s="46">
        <f>Tabela3[[#This Row],[Lucro Prev]]/Tabela3[[#This Row],[Cotação]]</f>
        <v>5.0350790129133328E-2</v>
      </c>
      <c r="T57" s="14">
        <f>($Z$1/Tabela3[[#This Row],[Cotação]]-MOD($Z$1/Tabela3[[#This Row],[Cotação]],100))</f>
        <v>0</v>
      </c>
      <c r="U57" s="17">
        <f>Tabela3[[#This Row],[Ativos]]*Tabela3[[#This Row],[Lucro Prev]]</f>
        <v>0</v>
      </c>
      <c r="V57" s="5">
        <f>SUMPRODUCT(N(Tabela1[Código]=Tabela3[[#This Row],[PAPEL]]),Tabela1[Fechamento])</f>
        <v>29.99</v>
      </c>
      <c r="W57" s="5">
        <f>SUMPRODUCT(N(Tabela17[Código]=Tabela3[[#This Row],[PAPEL]]),Tabela17[Fechamento])</f>
        <v>0</v>
      </c>
    </row>
    <row r="58" spans="1:23" x14ac:dyDescent="0.2">
      <c r="A58" s="4" t="s">
        <v>14</v>
      </c>
      <c r="B58" s="15" t="s">
        <v>286</v>
      </c>
      <c r="C58" s="16">
        <v>3</v>
      </c>
      <c r="D58" s="5">
        <v>843867000</v>
      </c>
      <c r="E58" s="5">
        <v>34502000</v>
      </c>
      <c r="F58" s="21">
        <v>73646388</v>
      </c>
      <c r="G58" s="16">
        <f>Tabela3[[#This Row],[Lucro Líquido]]/Tabela3[[#This Row],[Total Ações]]</f>
        <v>0.46848190300928266</v>
      </c>
      <c r="H58" s="16">
        <f>Tabela3[[#This Row],[Lucro/Ação]]/Tabela3[[#This Row],[Ref]]*4</f>
        <v>0.62464253734571018</v>
      </c>
      <c r="I58" s="18">
        <f>IF(GETPIVOTDATA("Payout",'Tabela LL'!$A$3,"Ativo",Tabela3[[#This Row],[PAPEL]])&gt;1,1,GETPIVOTDATA("Payout",'Tabela LL'!$A$3,"Ativo",Tabela3[[#This Row],[PAPEL]]))</f>
        <v>0.3043021650591613</v>
      </c>
      <c r="J58" s="5">
        <f>Tabela3[Patrimônio Líquido]/Tabela3[Total Ações]</f>
        <v>11.45836235716</v>
      </c>
      <c r="K58" s="59">
        <f>MAX(Tabela3[[#This Row],[Cotação 1]],Tabela3[[#This Row],[Cotação 2]])</f>
        <v>3.82</v>
      </c>
      <c r="L58" s="60">
        <f>Tabela3[Cotação]/Tabela3[VPA]</f>
        <v>0.33338097373164255</v>
      </c>
      <c r="M58" s="40">
        <f>IF(Tabela3[[#This Row],[Lucro/Ação Ano]]&gt;0,Tabela3[[#This Row],[Cotação]]/Tabela3[[#This Row],[Lucro/Ação Ano]],0)</f>
        <v>6.1154976992638108</v>
      </c>
      <c r="N58" s="5">
        <f>ROUND(Tabela3[[#This Row],[Lucro Prev]]/10%,2)</f>
        <v>1.9</v>
      </c>
      <c r="O58" s="61">
        <f>MIN(Tabela3[[#This Row],[10% Rent]],Tabela3[[#This Row],[VPA]]*2)</f>
        <v>1.9</v>
      </c>
      <c r="P58" s="18">
        <f>Tabela3[[#This Row],[P Compra]]/Tabela3[[#This Row],[Cotação]]-1</f>
        <v>-0.50261780104712039</v>
      </c>
      <c r="Q58" s="5">
        <f>Tabela3[[#This Row],[Lucro/Ação Ano]]*Tabela3[[#This Row],[Payout]]</f>
        <v>0.19008007650234762</v>
      </c>
      <c r="R58" s="16" t="str">
        <f>IF(AND(Tabela3[% Yield]&gt;=10%,Tabela3[PVPA]&lt;=2,Tabela3[PL]&lt;=15,Tabela3[PL]&gt;0),"Sim","Não")</f>
        <v>Não</v>
      </c>
      <c r="S58" s="22">
        <f>Tabela3[[#This Row],[Lucro Prev]]/Tabela3[[#This Row],[Cotação]]</f>
        <v>4.9759182330457494E-2</v>
      </c>
      <c r="T58" s="10">
        <f>($Z$1/Tabela3[[#This Row],[Cotação]]-MOD($Z$1/Tabela3[[#This Row],[Cotação]],100))</f>
        <v>200</v>
      </c>
      <c r="U58" s="7">
        <f>Tabela3[[#This Row],[Ativos]]*Tabela3[[#This Row],[Lucro Prev]]</f>
        <v>38.016015300469526</v>
      </c>
      <c r="V58" s="5">
        <f>SUMPRODUCT(N(Tabela1[Código]=Tabela3[[#This Row],[PAPEL]]),Tabela1[Fechamento])</f>
        <v>3.82</v>
      </c>
      <c r="W58" s="5">
        <f>SUMPRODUCT(N(Tabela17[Código]=Tabela3[[#This Row],[PAPEL]]),Tabela17[Fechamento])</f>
        <v>0</v>
      </c>
    </row>
    <row r="59" spans="1:23" x14ac:dyDescent="0.2">
      <c r="A59" s="4" t="s">
        <v>12</v>
      </c>
      <c r="B59" s="14" t="s">
        <v>108</v>
      </c>
      <c r="C59" s="15">
        <v>3</v>
      </c>
      <c r="D59" s="6">
        <v>13116477000</v>
      </c>
      <c r="E59" s="6">
        <v>923222000</v>
      </c>
      <c r="F59" s="42">
        <v>273655375</v>
      </c>
      <c r="G59" s="15">
        <f>Tabela3[[#This Row],[Lucro Líquido]]/Tabela3[[#This Row],[Total Ações]]</f>
        <v>3.3736666053060351</v>
      </c>
      <c r="H59" s="15">
        <f>Tabela3[[#This Row],[Lucro/Ação]]/Tabela3[[#This Row],[Ref]]*4</f>
        <v>4.4982221404080471</v>
      </c>
      <c r="I59" s="19">
        <f>IF(GETPIVOTDATA("Payout",'Tabela LL'!$A$3,"Ativo",Tabela3[[#This Row],[PAPEL]])&gt;1,1,GETPIVOTDATA("Payout",'Tabela LL'!$A$3,"Ativo",Tabela3[[#This Row],[PAPEL]]))</f>
        <v>0.33582916423156933</v>
      </c>
      <c r="J59" s="6">
        <f>Tabela3[Patrimônio Líquido]/Tabela3[Total Ações]</f>
        <v>47.930639038242902</v>
      </c>
      <c r="K59" s="52">
        <f>MAX(Tabela3[[#This Row],[Cotação 1]],Tabela3[[#This Row],[Cotação 2]])</f>
        <v>30.53</v>
      </c>
      <c r="L59" s="48">
        <f>Tabela3[Cotação]/Tabela3[VPA]</f>
        <v>0.63696208964876777</v>
      </c>
      <c r="M59" s="44">
        <f>IF(Tabela3[[#This Row],[Lucro/Ação Ano]]&gt;0,Tabela3[[#This Row],[Cotação]]/Tabela3[[#This Row],[Lucro/Ação Ano]],0)</f>
        <v>6.7871259015301844</v>
      </c>
      <c r="N59" s="6">
        <f>ROUND(Tabela3[[#This Row],[Lucro Prev]]/10%,2)</f>
        <v>15.11</v>
      </c>
      <c r="O59" s="62">
        <f>MIN(Tabela3[[#This Row],[10% Rent]],Tabela3[[#This Row],[VPA]]*2)</f>
        <v>15.11</v>
      </c>
      <c r="P59" s="19">
        <f>Tabela3[[#This Row],[P Compra]]/Tabela3[[#This Row],[Cotação]]-1</f>
        <v>-0.50507697346871927</v>
      </c>
      <c r="Q59" s="6">
        <f>Tabela3[[#This Row],[Lucro/Ação Ano]]*Tabela3[[#This Row],[Payout]]</f>
        <v>1.5106341819411755</v>
      </c>
      <c r="R59" s="15" t="str">
        <f>IF(AND(Tabela3[% Yield]&gt;=10%,Tabela3[PVPA]&lt;=2,Tabela3[PL]&lt;=15,Tabela3[PL]&gt;0),"Sim","Não")</f>
        <v>Não</v>
      </c>
      <c r="S59" s="46">
        <f>Tabela3[[#This Row],[Lucro Prev]]/Tabela3[[#This Row],[Cotação]]</f>
        <v>4.9480320404231101E-2</v>
      </c>
      <c r="T59" s="14">
        <f>($Z$1/Tabela3[[#This Row],[Cotação]]-MOD($Z$1/Tabela3[[#This Row],[Cotação]],100))</f>
        <v>0</v>
      </c>
      <c r="U59" s="17">
        <f>Tabela3[[#This Row],[Ativos]]*Tabela3[[#This Row],[Lucro Prev]]</f>
        <v>0</v>
      </c>
      <c r="V59" s="5">
        <f>SUMPRODUCT(N(Tabela1[Código]=Tabela3[[#This Row],[PAPEL]]),Tabela1[Fechamento])</f>
        <v>30.53</v>
      </c>
      <c r="W59" s="5">
        <f>SUMPRODUCT(N(Tabela17[Código]=Tabela3[[#This Row],[PAPEL]]),Tabela17[Fechamento])</f>
        <v>0</v>
      </c>
    </row>
    <row r="60" spans="1:23" x14ac:dyDescent="0.2">
      <c r="A60" s="4" t="s">
        <v>14</v>
      </c>
      <c r="B60" s="14" t="s">
        <v>261</v>
      </c>
      <c r="C60" s="15">
        <v>3</v>
      </c>
      <c r="D60" s="6">
        <v>5008604000</v>
      </c>
      <c r="E60" s="6">
        <v>602652000</v>
      </c>
      <c r="F60" s="42">
        <v>408974477</v>
      </c>
      <c r="G60" s="15">
        <f>Tabela3[[#This Row],[Lucro Líquido]]/Tabela3[[#This Row],[Total Ações]]</f>
        <v>1.4735687283487864</v>
      </c>
      <c r="H60" s="15">
        <f>Tabela3[[#This Row],[Lucro/Ação]]/Tabela3[[#This Row],[Ref]]*4</f>
        <v>1.9647583044650485</v>
      </c>
      <c r="I60" s="19">
        <f>IF(GETPIVOTDATA("Payout",'Tabela LL'!$A$3,"Ativo",Tabela3[[#This Row],[PAPEL]])&gt;1,1,GETPIVOTDATA("Payout",'Tabela LL'!$A$3,"Ativo",Tabela3[[#This Row],[PAPEL]]))</f>
        <v>0.39260782255861065</v>
      </c>
      <c r="J60" s="6">
        <f>Tabela3[Patrimônio Líquido]/Tabela3[Total Ações]</f>
        <v>12.246739788605439</v>
      </c>
      <c r="K60" s="52">
        <f>MAX(Tabela3[[#This Row],[Cotação 1]],Tabela3[[#This Row],[Cotação 2]])</f>
        <v>15.72</v>
      </c>
      <c r="L60" s="48">
        <f>Tabela3[Cotação]/Tabela3[VPA]</f>
        <v>1.2836069248916466</v>
      </c>
      <c r="M60" s="44">
        <f>IF(Tabela3[[#This Row],[Lucro/Ação Ano]]&gt;0,Tabela3[[#This Row],[Cotação]]/Tabela3[[#This Row],[Lucro/Ação Ano]],0)</f>
        <v>8.0009841232253454</v>
      </c>
      <c r="N60" s="6">
        <f>ROUND(Tabela3[[#This Row],[Lucro Prev]]/10%,2)</f>
        <v>7.71</v>
      </c>
      <c r="O60" s="62">
        <f>MIN(Tabela3[[#This Row],[10% Rent]],Tabela3[[#This Row],[VPA]]*2)</f>
        <v>7.71</v>
      </c>
      <c r="P60" s="19">
        <f>Tabela3[[#This Row],[P Compra]]/Tabela3[[#This Row],[Cotação]]-1</f>
        <v>-0.50954198473282442</v>
      </c>
      <c r="Q60" s="6">
        <f>Tabela3[[#This Row],[Lucro/Ação Ano]]*Tabela3[[#This Row],[Payout]]</f>
        <v>0.77137947976997046</v>
      </c>
      <c r="R60" s="15" t="str">
        <f>IF(AND(Tabela3[% Yield]&gt;=10%,Tabela3[PVPA]&lt;=2,Tabela3[PL]&lt;=15,Tabela3[PL]&gt;0),"Sim","Não")</f>
        <v>Não</v>
      </c>
      <c r="S60" s="46">
        <f>Tabela3[[#This Row],[Lucro Prev]]/Tabela3[[#This Row],[Cotação]]</f>
        <v>4.9069941461194047E-2</v>
      </c>
      <c r="T60" s="14">
        <f>($Z$1/Tabela3[[#This Row],[Cotação]]-MOD($Z$1/Tabela3[[#This Row],[Cotação]],100))</f>
        <v>0</v>
      </c>
      <c r="U60" s="17">
        <f>Tabela3[[#This Row],[Ativos]]*Tabela3[[#This Row],[Lucro Prev]]</f>
        <v>0</v>
      </c>
      <c r="V60" s="5">
        <f>SUMPRODUCT(N(Tabela1[Código]=Tabela3[[#This Row],[PAPEL]]),Tabela1[Fechamento])</f>
        <v>15.72</v>
      </c>
      <c r="W60" s="5">
        <f>SUMPRODUCT(N(Tabela17[Código]=Tabela3[[#This Row],[PAPEL]]),Tabela17[Fechamento])</f>
        <v>0</v>
      </c>
    </row>
    <row r="61" spans="1:23" x14ac:dyDescent="0.2">
      <c r="A61" s="3" t="s">
        <v>602</v>
      </c>
      <c r="B61" s="79" t="s">
        <v>601</v>
      </c>
      <c r="C61" s="16">
        <v>3</v>
      </c>
      <c r="D61" s="5">
        <v>10031194000</v>
      </c>
      <c r="E61" s="5">
        <v>852679000</v>
      </c>
      <c r="F61" s="21">
        <v>349547945</v>
      </c>
      <c r="G61" s="73">
        <f>Tabela3[[#This Row],[Lucro Líquido]]/Tabela3[[#This Row],[Total Ações]]</f>
        <v>2.439376377967263</v>
      </c>
      <c r="H61" s="16">
        <f>Tabela3[[#This Row],[Lucro/Ação]]/Tabela3[[#This Row],[Ref]]*4</f>
        <v>3.2525018372896839</v>
      </c>
      <c r="I61" s="18">
        <f>IF(GETPIVOTDATA("Payout",'Tabela LL'!$A$3,"Ativo",Tabela3[[#This Row],[PAPEL]])&gt;1,1,GETPIVOTDATA("Payout",'Tabela LL'!$A$3,"Ativo",Tabela3[[#This Row],[PAPEL]]))</f>
        <v>0.37396520131393723</v>
      </c>
      <c r="J61" s="5">
        <f>Tabela3[Patrimônio Líquido]/Tabela3[Total Ações]</f>
        <v>28.697619721380423</v>
      </c>
      <c r="K61" s="59">
        <f>MAX(Tabela3[[#This Row],[Cotação 1]],Tabela3[[#This Row],[Cotação 2]])</f>
        <v>25.08</v>
      </c>
      <c r="L61" s="60">
        <f>Tabela3[Cotação]/Tabela3[VPA]</f>
        <v>0.8739400773826127</v>
      </c>
      <c r="M61" s="40">
        <f>IF(Tabela3[[#This Row],[Lucro/Ação Ano]]&gt;0,Tabela3[[#This Row],[Cotação]]/Tabela3[[#This Row],[Lucro/Ação Ano]],0)</f>
        <v>7.7109871891415169</v>
      </c>
      <c r="N61" s="7">
        <f>ROUND(Tabela3[[#This Row],[Lucro Prev]]/10%,2)</f>
        <v>12.16</v>
      </c>
      <c r="O61" s="51">
        <f>MIN(Tabela3[[#This Row],[10% Rent]],Tabela3[[#This Row],[VPA]]*2)</f>
        <v>12.16</v>
      </c>
      <c r="P61" s="18">
        <f>Tabela3[[#This Row],[P Compra]]/Tabela3[[#This Row],[Cotação]]-1</f>
        <v>-0.51515151515151514</v>
      </c>
      <c r="Q61" s="5">
        <f>Tabela3[[#This Row],[Lucro/Ação Ano]]*Tabela3[[#This Row],[Payout]]</f>
        <v>1.2163225043559873</v>
      </c>
      <c r="R61" s="16" t="str">
        <f>IF(AND(Tabela3[% Yield]&gt;=10%,Tabela3[PVPA]&lt;=2,Tabela3[PL]&lt;=15,Tabela3[PL]&gt;0),"Sim","Não")</f>
        <v>Não</v>
      </c>
      <c r="S61" s="22">
        <f>Tabela3[[#This Row],[Lucro Prev]]/Tabela3[[#This Row],[Cotação]]</f>
        <v>4.8497707510206836E-2</v>
      </c>
      <c r="T61" s="10">
        <f>($Z$1/Tabela3[[#This Row],[Cotação]]-MOD($Z$1/Tabela3[[#This Row],[Cotação]],100))</f>
        <v>0</v>
      </c>
      <c r="U61" s="7">
        <f>Tabela3[[#This Row],[Ativos]]*Tabela3[[#This Row],[Lucro Prev]]</f>
        <v>0</v>
      </c>
      <c r="V61" s="51">
        <f>SUMPRODUCT(N(Tabela1[Código]=Tabela3[[#This Row],[PAPEL]]),Tabela1[Fechamento])</f>
        <v>0</v>
      </c>
      <c r="W61" s="61">
        <f>SUMPRODUCT(N(Tabela17[Código]=Tabela3[[#This Row],[PAPEL]]),Tabela17[Fechamento])</f>
        <v>25.08</v>
      </c>
    </row>
    <row r="62" spans="1:23" x14ac:dyDescent="0.2">
      <c r="A62" s="4" t="s">
        <v>14</v>
      </c>
      <c r="B62" s="10" t="s">
        <v>283</v>
      </c>
      <c r="C62" s="16">
        <v>3</v>
      </c>
      <c r="D62" s="5">
        <v>843867000</v>
      </c>
      <c r="E62" s="5">
        <v>34502000</v>
      </c>
      <c r="F62" s="21">
        <v>73646388</v>
      </c>
      <c r="G62" s="16">
        <f>Tabela3[[#This Row],[Lucro Líquido]]/Tabela3[[#This Row],[Total Ações]]</f>
        <v>0.46848190300928266</v>
      </c>
      <c r="H62" s="16">
        <f>Tabela3[[#This Row],[Lucro/Ação]]/Tabela3[[#This Row],[Ref]]*4</f>
        <v>0.62464253734571018</v>
      </c>
      <c r="I62" s="18">
        <f>IF(GETPIVOTDATA("Payout",'Tabela LL'!$A$3,"Ativo",Tabela3[[#This Row],[PAPEL]])&gt;1,1,GETPIVOTDATA("Payout",'Tabela LL'!$A$3,"Ativo",Tabela3[[#This Row],[PAPEL]]))</f>
        <v>0.25370503766276303</v>
      </c>
      <c r="J62" s="5">
        <f>Tabela3[Patrimônio Líquido]/Tabela3[Total Ações]</f>
        <v>11.45836235716</v>
      </c>
      <c r="K62" s="59">
        <f>MAX(Tabela3[[#This Row],[Cotação 1]],Tabela3[[#This Row],[Cotação 2]])</f>
        <v>3.27</v>
      </c>
      <c r="L62" s="60">
        <f>Tabela3[Cotação]/Tabela3[VPA]</f>
        <v>0.28538109531478301</v>
      </c>
      <c r="M62" s="40">
        <f>IF(Tabela3[[#This Row],[Lucro/Ação Ano]]&gt;0,Tabela3[[#This Row],[Cotação]]/Tabela3[[#This Row],[Lucro/Ação Ano]],0)</f>
        <v>5.2349941038200694</v>
      </c>
      <c r="N62" s="5">
        <f>ROUND(Tabela3[[#This Row],[Lucro Prev]]/10%,2)</f>
        <v>1.58</v>
      </c>
      <c r="O62" s="61">
        <f>MIN(Tabela3[[#This Row],[10% Rent]],Tabela3[[#This Row],[VPA]]*2)</f>
        <v>1.58</v>
      </c>
      <c r="P62" s="18">
        <f>Tabela3[[#This Row],[P Compra]]/Tabela3[[#This Row],[Cotação]]-1</f>
        <v>-0.51681957186544336</v>
      </c>
      <c r="Q62" s="5">
        <f>Tabela3[[#This Row],[Lucro/Ação Ano]]*Tabela3[[#This Row],[Payout]]</f>
        <v>0.15847495846305726</v>
      </c>
      <c r="R62" s="16" t="str">
        <f>IF(AND(Tabela3[% Yield]&gt;=10%,Tabela3[PVPA]&lt;=2,Tabela3[PL]&lt;=15,Tabela3[PL]&gt;0),"Sim","Não")</f>
        <v>Não</v>
      </c>
      <c r="S62" s="22">
        <f>Tabela3[[#This Row],[Lucro Prev]]/Tabela3[[#This Row],[Cotação]]</f>
        <v>4.8463290049864605E-2</v>
      </c>
      <c r="T62" s="10">
        <f>($Z$1/Tabela3[[#This Row],[Cotação]]-MOD($Z$1/Tabela3[[#This Row],[Cotação]],100))</f>
        <v>300</v>
      </c>
      <c r="U62" s="7">
        <f>Tabela3[[#This Row],[Ativos]]*Tabela3[[#This Row],[Lucro Prev]]</f>
        <v>47.542487538917179</v>
      </c>
      <c r="V62" s="5">
        <f>SUMPRODUCT(N(Tabela1[Código]=Tabela3[[#This Row],[PAPEL]]),Tabela1[Fechamento])</f>
        <v>3.27</v>
      </c>
      <c r="W62" s="5">
        <f>SUMPRODUCT(N(Tabela17[Código]=Tabela3[[#This Row],[PAPEL]]),Tabela17[Fechamento])</f>
        <v>0</v>
      </c>
    </row>
    <row r="63" spans="1:23" x14ac:dyDescent="0.2">
      <c r="A63" s="4" t="s">
        <v>14</v>
      </c>
      <c r="B63" s="14" t="s">
        <v>60</v>
      </c>
      <c r="C63" s="15">
        <v>3</v>
      </c>
      <c r="D63" s="6">
        <v>901919000</v>
      </c>
      <c r="E63" s="6">
        <v>77892000</v>
      </c>
      <c r="F63" s="42">
        <v>1579564303</v>
      </c>
      <c r="G63" s="15">
        <f>Tabela3[[#This Row],[Lucro Líquido]]/Tabela3[[#This Row],[Total Ações]]</f>
        <v>4.931233242740609E-2</v>
      </c>
      <c r="H63" s="15">
        <f>Tabela3[[#This Row],[Lucro/Ação]]/Tabela3[[#This Row],[Ref]]*4</f>
        <v>6.5749776569874782E-2</v>
      </c>
      <c r="I63" s="19">
        <f>IF(GETPIVOTDATA("Payout",'Tabela LL'!$A$3,"Ativo",Tabela3[[#This Row],[PAPEL]])&gt;1,1,GETPIVOTDATA("Payout",'Tabela LL'!$A$3,"Ativo",Tabela3[[#This Row],[PAPEL]]))</f>
        <v>0.36351567797691797</v>
      </c>
      <c r="J63" s="6">
        <f>Tabela3[Patrimônio Líquido]/Tabela3[Total Ações]</f>
        <v>0.57099226558046623</v>
      </c>
      <c r="K63" s="52">
        <f>MAX(Tabela3[[#This Row],[Cotação 1]],Tabela3[[#This Row],[Cotação 2]])</f>
        <v>0.5</v>
      </c>
      <c r="L63" s="48">
        <f>Tabela3[Cotação]/Tabela3[VPA]</f>
        <v>0.8756686038324949</v>
      </c>
      <c r="M63" s="44">
        <f>IF(Tabela3[[#This Row],[Lucro/Ação Ano]]&gt;0,Tabela3[[#This Row],[Cotação]]/Tabela3[[#This Row],[Lucro/Ação Ano]],0)</f>
        <v>7.6045885793791408</v>
      </c>
      <c r="N63" s="6">
        <f>ROUND(Tabela3[[#This Row],[Lucro Prev]]/10%,2)</f>
        <v>0.24</v>
      </c>
      <c r="O63" s="62">
        <f>MIN(Tabela3[[#This Row],[10% Rent]],Tabela3[[#This Row],[VPA]]*2)</f>
        <v>0.24</v>
      </c>
      <c r="P63" s="19">
        <f>Tabela3[[#This Row],[P Compra]]/Tabela3[[#This Row],[Cotação]]-1</f>
        <v>-0.52</v>
      </c>
      <c r="Q63" s="6">
        <f>Tabela3[[#This Row],[Lucro/Ação Ano]]*Tabela3[[#This Row],[Payout]]</f>
        <v>2.3901074606628908E-2</v>
      </c>
      <c r="R63" s="15" t="str">
        <f>IF(AND(Tabela3[% Yield]&gt;=10%,Tabela3[PVPA]&lt;=2,Tabela3[PL]&lt;=15,Tabela3[PL]&gt;0),"Sim","Não")</f>
        <v>Não</v>
      </c>
      <c r="S63" s="46">
        <f>Tabela3[[#This Row],[Lucro Prev]]/Tabela3[[#This Row],[Cotação]]</f>
        <v>4.7802149213257816E-2</v>
      </c>
      <c r="T63" s="14">
        <f>($Z$1/Tabela3[[#This Row],[Cotação]]-MOD($Z$1/Tabela3[[#This Row],[Cotação]],100))</f>
        <v>2000</v>
      </c>
      <c r="U63" s="17">
        <f>Tabela3[[#This Row],[Ativos]]*Tabela3[[#This Row],[Lucro Prev]]</f>
        <v>47.802149213257813</v>
      </c>
      <c r="V63" s="5">
        <f>SUMPRODUCT(N(Tabela1[Código]=Tabela3[[#This Row],[PAPEL]]),Tabela1[Fechamento])</f>
        <v>0.5</v>
      </c>
      <c r="W63" s="5">
        <f>SUMPRODUCT(N(Tabela17[Código]=Tabela3[[#This Row],[PAPEL]]),Tabela17[Fechamento])</f>
        <v>0</v>
      </c>
    </row>
    <row r="64" spans="1:23" x14ac:dyDescent="0.2">
      <c r="A64" s="3" t="s">
        <v>602</v>
      </c>
      <c r="B64" s="75" t="s">
        <v>616</v>
      </c>
      <c r="C64" s="16">
        <v>3</v>
      </c>
      <c r="D64" s="5">
        <v>500173000</v>
      </c>
      <c r="E64" s="5">
        <v>5129000</v>
      </c>
      <c r="F64" s="21">
        <v>9133687</v>
      </c>
      <c r="G64" s="73">
        <f>Tabela3[[#This Row],[Lucro Líquido]]/Tabela3[[#This Row],[Total Ações]]</f>
        <v>0.56154759846708124</v>
      </c>
      <c r="H64" s="16">
        <f>Tabela3[[#This Row],[Lucro/Ação]]/Tabela3[[#This Row],[Ref]]*4</f>
        <v>0.74873013128944166</v>
      </c>
      <c r="I64" s="18">
        <f>IF(GETPIVOTDATA("Payout",'Tabela LL'!$A$3,"Ativo",Tabela3[[#This Row],[PAPEL]])&gt;1,1,GETPIVOTDATA("Payout",'Tabela LL'!$A$3,"Ativo",Tabela3[[#This Row],[PAPEL]]))</f>
        <v>1</v>
      </c>
      <c r="J64" s="5">
        <f>Tabela3[Patrimônio Líquido]/Tabela3[Total Ações]</f>
        <v>54.761346650043954</v>
      </c>
      <c r="K64" s="59">
        <f>MAX(Tabela3[[#This Row],[Cotação 1]],Tabela3[[#This Row],[Cotação 2]])</f>
        <v>15.8</v>
      </c>
      <c r="L64" s="60">
        <f>Tabela3[Cotação]/Tabela3[VPA]</f>
        <v>0.28852467966083734</v>
      </c>
      <c r="M64" s="40">
        <f>IF(Tabela3[[#This Row],[Lucro/Ação Ano]]&gt;0,Tabela3[[#This Row],[Cotação]]/Tabela3[[#This Row],[Lucro/Ação Ano]],0)</f>
        <v>21.102396363813611</v>
      </c>
      <c r="N64" s="7">
        <f>ROUND(Tabela3[[#This Row],[Lucro Prev]]/10%,2)</f>
        <v>7.49</v>
      </c>
      <c r="O64" s="51">
        <f>MIN(Tabela3[[#This Row],[10% Rent]],Tabela3[[#This Row],[VPA]]*2)</f>
        <v>7.49</v>
      </c>
      <c r="P64" s="18">
        <f>Tabela3[[#This Row],[P Compra]]/Tabela3[[#This Row],[Cotação]]-1</f>
        <v>-0.52594936708860762</v>
      </c>
      <c r="Q64" s="5">
        <f>Tabela3[[#This Row],[Lucro/Ação Ano]]*Tabela3[[#This Row],[Payout]]</f>
        <v>0.74873013128944166</v>
      </c>
      <c r="R64" s="16" t="str">
        <f>IF(AND(Tabela3[% Yield]&gt;=10%,Tabela3[PVPA]&lt;=2,Tabela3[PL]&lt;=15,Tabela3[PL]&gt;0),"Sim","Não")</f>
        <v>Não</v>
      </c>
      <c r="S64" s="22">
        <f>Tabela3[[#This Row],[Lucro Prev]]/Tabela3[[#This Row],[Cotação]]</f>
        <v>4.7387982993002634E-2</v>
      </c>
      <c r="T64" s="10">
        <f>($Z$1/Tabela3[[#This Row],[Cotação]]-MOD($Z$1/Tabela3[[#This Row],[Cotação]],100))</f>
        <v>0</v>
      </c>
      <c r="U64" s="7">
        <f>Tabela3[[#This Row],[Ativos]]*Tabela3[[#This Row],[Lucro Prev]]</f>
        <v>0</v>
      </c>
      <c r="V64" s="51">
        <f>SUMPRODUCT(N(Tabela1[Código]=Tabela3[[#This Row],[PAPEL]]),Tabela1[Fechamento])</f>
        <v>0</v>
      </c>
      <c r="W64" s="61">
        <f>SUMPRODUCT(N(Tabela17[Código]=Tabela3[[#This Row],[PAPEL]]),Tabela17[Fechamento])</f>
        <v>15.8</v>
      </c>
    </row>
    <row r="65" spans="1:23" x14ac:dyDescent="0.2">
      <c r="A65" s="4" t="s">
        <v>12</v>
      </c>
      <c r="B65" s="14" t="s">
        <v>73</v>
      </c>
      <c r="C65" s="15">
        <v>3</v>
      </c>
      <c r="D65" s="6">
        <v>3707916000</v>
      </c>
      <c r="E65" s="6">
        <v>63180000</v>
      </c>
      <c r="F65" s="42">
        <v>74612388</v>
      </c>
      <c r="G65" s="15">
        <f>Tabela3[[#This Row],[Lucro Líquido]]/Tabela3[[#This Row],[Total Ações]]</f>
        <v>0.84677627527482435</v>
      </c>
      <c r="H65" s="15">
        <f>Tabela3[[#This Row],[Lucro/Ação]]/Tabela3[[#This Row],[Ref]]*4</f>
        <v>1.1290350336997659</v>
      </c>
      <c r="I65" s="45">
        <f>IF(GETPIVOTDATA("Payout",'Tabela LL'!$A$3,"Ativo",Tabela3[[#This Row],[PAPEL]])&gt;1,1,GETPIVOTDATA("Payout",'Tabela LL'!$A$3,"Ativo",Tabela3[[#This Row],[PAPEL]]))</f>
        <v>0.74283278628036531</v>
      </c>
      <c r="J65" s="6">
        <f>Tabela3[Patrimônio Líquido]/Tabela3[Total Ações]</f>
        <v>49.69571540854583</v>
      </c>
      <c r="K65" s="52">
        <f>MAX(Tabela3[[#This Row],[Cotação 1]],Tabela3[[#This Row],[Cotação 2]])</f>
        <v>18</v>
      </c>
      <c r="L65" s="48">
        <f>Tabela3[Cotação]/Tabela3[VPA]</f>
        <v>0.36220426352700547</v>
      </c>
      <c r="M65" s="44">
        <f>IF(Tabela3[[#This Row],[Lucro/Ação Ano]]&gt;0,Tabela3[[#This Row],[Cotação]]/Tabela3[[#This Row],[Lucro/Ação Ano]],0)</f>
        <v>15.942817948717947</v>
      </c>
      <c r="N65" s="6">
        <f>ROUND(Tabela3[[#This Row],[Lucro Prev]]/10%,2)</f>
        <v>8.39</v>
      </c>
      <c r="O65" s="17">
        <f>MIN(Tabela3[[#This Row],[10% Rent]],Tabela3[[#This Row],[VPA]]*2)</f>
        <v>8.39</v>
      </c>
      <c r="P65" s="19">
        <f>Tabela3[[#This Row],[P Compra]]/Tabela3[[#This Row],[Cotação]]-1</f>
        <v>-0.53388888888888886</v>
      </c>
      <c r="Q65" s="6">
        <f>Tabela3[[#This Row],[Lucro/Ação Ano]]*Tabela3[[#This Row],[Payout]]</f>
        <v>0.83868423989134322</v>
      </c>
      <c r="R65" s="14" t="str">
        <f>IF(AND(Tabela3[% Yield]&gt;=10%,Tabela3[PVPA]&lt;=2,Tabela3[PL]&lt;=15,Tabela3[PL]&gt;0),"Sim","Não")</f>
        <v>Não</v>
      </c>
      <c r="S65" s="46">
        <f>Tabela3[[#This Row],[Lucro Prev]]/Tabela3[[#This Row],[Cotação]]</f>
        <v>4.6593568882852404E-2</v>
      </c>
      <c r="T65" s="14">
        <f>($Z$1/Tabela3[[#This Row],[Cotação]]-MOD($Z$1/Tabela3[[#This Row],[Cotação]],100))</f>
        <v>0</v>
      </c>
      <c r="U65" s="17">
        <f>Tabela3[[#This Row],[Ativos]]*Tabela3[[#This Row],[Lucro Prev]]</f>
        <v>0</v>
      </c>
      <c r="V65" s="5">
        <f>SUMPRODUCT(N(Tabela1[Código]=Tabela3[[#This Row],[PAPEL]]),Tabela1[Fechamento])</f>
        <v>18</v>
      </c>
      <c r="W65" s="5">
        <f>SUMPRODUCT(N(Tabela17[Código]=Tabela3[[#This Row],[PAPEL]]),Tabela17[Fechamento])</f>
        <v>0</v>
      </c>
    </row>
    <row r="66" spans="1:23" x14ac:dyDescent="0.2">
      <c r="A66" s="25" t="s">
        <v>12</v>
      </c>
      <c r="B66" s="15" t="s">
        <v>32</v>
      </c>
      <c r="C66" s="16">
        <v>3</v>
      </c>
      <c r="D66" s="31">
        <v>6763474000</v>
      </c>
      <c r="E66" s="31">
        <v>636489000</v>
      </c>
      <c r="F66" s="28">
        <v>962274260</v>
      </c>
      <c r="G66" s="27">
        <f>Tabela3[[#This Row],[Lucro Líquido]]/Tabela3[[#This Row],[Total Ações]]</f>
        <v>0.6614424041644843</v>
      </c>
      <c r="H66" s="27">
        <f>Tabela3[[#This Row],[Lucro/Ação]]/Tabela3[[#This Row],[Ref]]*4</f>
        <v>0.88192320555264569</v>
      </c>
      <c r="I66" s="53">
        <f>IF(GETPIVOTDATA("Payout",'Tabela LL'!$A$3,"Ativo",Tabela3[[#This Row],[PAPEL]])&gt;1,1,GETPIVOTDATA("Payout",'Tabela LL'!$A$3,"Ativo",Tabela3[[#This Row],[PAPEL]]))</f>
        <v>1</v>
      </c>
      <c r="J66" s="31">
        <f>Tabela3[Patrimônio Líquido]/Tabela3[Total Ações]</f>
        <v>7.0286344352596526</v>
      </c>
      <c r="K66" s="32">
        <f>MAX(Tabela3[[#This Row],[Cotação 1]],Tabela3[[#This Row],[Cotação 2]])</f>
        <v>19.09</v>
      </c>
      <c r="L66" s="33">
        <f>Tabela3[Cotação]/Tabela3[VPA]</f>
        <v>2.7160325630585702</v>
      </c>
      <c r="M66" s="38">
        <f>IF(Tabela3[[#This Row],[Lucro/Ação Ano]]&gt;0,Tabela3[[#This Row],[Cotação]]/Tabela3[[#This Row],[Lucro/Ação Ano]],0)</f>
        <v>21.645875604370225</v>
      </c>
      <c r="N66" s="31">
        <f>ROUND(Tabela3[[#This Row],[Lucro Prev]]/10%,2)</f>
        <v>8.82</v>
      </c>
      <c r="O66" s="29">
        <f>MIN(Tabela3[[#This Row],[10% Rent]],Tabela3[[#This Row],[VPA]]*2)</f>
        <v>8.82</v>
      </c>
      <c r="P66" s="54">
        <f>Tabela3[[#This Row],[P Compra]]/Tabela3[[#This Row],[Cotação]]-1</f>
        <v>-0.537977998952331</v>
      </c>
      <c r="Q66" s="6">
        <f>Tabela3[[#This Row],[Lucro/Ação Ano]]*Tabela3[[#This Row],[Payout]]</f>
        <v>0.88192320555264569</v>
      </c>
      <c r="R66" s="26" t="str">
        <f>IF(AND(Tabela3[% Yield]&gt;=10%,Tabela3[PVPA]&lt;=2,Tabela3[PL]&lt;=15,Tabela3[PL]&gt;0),"Sim","Não")</f>
        <v>Não</v>
      </c>
      <c r="S66" s="30">
        <f>Tabela3[[#This Row],[Lucro Prev]]/Tabela3[[#This Row],[Cotação]]</f>
        <v>4.6198177346917009E-2</v>
      </c>
      <c r="T66" s="10">
        <f>($Z$1/Tabela3[[#This Row],[Cotação]]-MOD($Z$1/Tabela3[[#This Row],[Cotação]],100))</f>
        <v>0</v>
      </c>
      <c r="U66" s="7">
        <f>Tabela3[[#This Row],[Ativos]]*Tabela3[[#This Row],[Lucro Prev]]</f>
        <v>0</v>
      </c>
      <c r="V66" s="5">
        <f>SUMPRODUCT(N(Tabela1[Código]=Tabela3[[#This Row],[PAPEL]]),Tabela1[Fechamento])</f>
        <v>19.09</v>
      </c>
      <c r="W66" s="5">
        <f>SUMPRODUCT(N(Tabela17[Código]=Tabela3[[#This Row],[PAPEL]]),Tabela17[Fechamento])</f>
        <v>0</v>
      </c>
    </row>
    <row r="67" spans="1:23" x14ac:dyDescent="0.2">
      <c r="A67" s="4" t="s">
        <v>37</v>
      </c>
      <c r="B67" s="14" t="s">
        <v>225</v>
      </c>
      <c r="C67" s="15">
        <v>3</v>
      </c>
      <c r="D67" s="6">
        <v>3403126000</v>
      </c>
      <c r="E67" s="6">
        <v>314887000</v>
      </c>
      <c r="F67" s="42">
        <v>476620206</v>
      </c>
      <c r="G67" s="15">
        <f>Tabela3[[#This Row],[Lucro Líquido]]/Tabela3[[#This Row],[Total Ações]]</f>
        <v>0.66066649301897196</v>
      </c>
      <c r="H67" s="15">
        <f>Tabela3[[#This Row],[Lucro/Ação]]/Tabela3[[#This Row],[Ref]]*4</f>
        <v>0.88088865735862931</v>
      </c>
      <c r="I67" s="19">
        <f>IF(GETPIVOTDATA("Payout",'Tabela LL'!$A$3,"Ativo",Tabela3[[#This Row],[PAPEL]])&gt;1,1,GETPIVOTDATA("Payout",'Tabela LL'!$A$3,"Ativo",Tabela3[[#This Row],[PAPEL]]))</f>
        <v>0.42096174698699207</v>
      </c>
      <c r="J67" s="6">
        <f>Tabela3[Patrimônio Líquido]/Tabela3[Total Ações]</f>
        <v>7.1401211219316201</v>
      </c>
      <c r="K67" s="52">
        <f>MAX(Tabela3[[#This Row],[Cotação 1]],Tabela3[[#This Row],[Cotação 2]])</f>
        <v>8.19</v>
      </c>
      <c r="L67" s="48">
        <f>Tabela3[Cotação]/Tabela3[VPA]</f>
        <v>1.1470393653188273</v>
      </c>
      <c r="M67" s="44">
        <f>IF(Tabela3[[#This Row],[Lucro/Ação Ano]]&gt;0,Tabela3[[#This Row],[Cotação]]/Tabela3[[#This Row],[Lucro/Ação Ano]],0)</f>
        <v>9.2974292852832914</v>
      </c>
      <c r="N67" s="6">
        <f>ROUND(Tabela3[[#This Row],[Lucro Prev]]/10%,2)</f>
        <v>3.71</v>
      </c>
      <c r="O67" s="62">
        <f>MIN(Tabela3[[#This Row],[10% Rent]],Tabela3[[#This Row],[VPA]]*2)</f>
        <v>3.71</v>
      </c>
      <c r="P67" s="19">
        <f>Tabela3[[#This Row],[P Compra]]/Tabela3[[#This Row],[Cotação]]-1</f>
        <v>-0.54700854700854706</v>
      </c>
      <c r="Q67" s="6">
        <f>Tabela3[[#This Row],[Lucro/Ação Ano]]*Tabela3[[#This Row],[Payout]]</f>
        <v>0.37082042810271448</v>
      </c>
      <c r="R67" s="15" t="str">
        <f>IF(AND(Tabela3[% Yield]&gt;=10%,Tabela3[PVPA]&lt;=2,Tabela3[PL]&lt;=15,Tabela3[PL]&gt;0),"Sim","Não")</f>
        <v>Não</v>
      </c>
      <c r="S67" s="46">
        <f>Tabela3[[#This Row],[Lucro Prev]]/Tabela3[[#This Row],[Cotação]]</f>
        <v>4.5277219548560989E-2</v>
      </c>
      <c r="T67" s="14">
        <f>($Z$1/Tabela3[[#This Row],[Cotação]]-MOD($Z$1/Tabela3[[#This Row],[Cotação]],100))</f>
        <v>100</v>
      </c>
      <c r="U67" s="17">
        <f>Tabela3[[#This Row],[Ativos]]*Tabela3[[#This Row],[Lucro Prev]]</f>
        <v>37.082042810271446</v>
      </c>
      <c r="V67" s="5">
        <f>SUMPRODUCT(N(Tabela1[Código]=Tabela3[[#This Row],[PAPEL]]),Tabela1[Fechamento])</f>
        <v>8.19</v>
      </c>
      <c r="W67" s="5">
        <f>SUMPRODUCT(N(Tabela17[Código]=Tabela3[[#This Row],[PAPEL]]),Tabela17[Fechamento])</f>
        <v>0</v>
      </c>
    </row>
    <row r="68" spans="1:23" x14ac:dyDescent="0.2">
      <c r="A68" s="4" t="s">
        <v>14</v>
      </c>
      <c r="B68" s="15" t="s">
        <v>16</v>
      </c>
      <c r="C68" s="15">
        <v>3</v>
      </c>
      <c r="D68" s="6">
        <v>32199000000</v>
      </c>
      <c r="E68" s="5">
        <v>3922000000</v>
      </c>
      <c r="F68" s="21">
        <v>5470667261</v>
      </c>
      <c r="G68" s="15">
        <f>Tabela3[[#This Row],[Lucro Líquido]]/Tabela3[[#This Row],[Total Ações]]</f>
        <v>0.71691437495379418</v>
      </c>
      <c r="H68" s="15">
        <f>Tabela3[[#This Row],[Lucro/Ação]]/Tabela3[[#This Row],[Ref]]*4</f>
        <v>0.9558858332717256</v>
      </c>
      <c r="I68" s="19">
        <f>IF(GETPIVOTDATA("Payout",'Tabela LL'!$A$3,"Ativo",Tabela3[[#This Row],[PAPEL]])&gt;1,1,GETPIVOTDATA("Payout",'Tabela LL'!$A$3,"Ativo",Tabela3[[#This Row],[PAPEL]]))</f>
        <v>0.41787587719990676</v>
      </c>
      <c r="J68" s="6">
        <f>Tabela3[Patrimônio Líquido]/Tabela3[Total Ações]</f>
        <v>5.8857536866744562</v>
      </c>
      <c r="K68" s="52">
        <f>MAX(Tabela3[[#This Row],[Cotação 1]],Tabela3[[#This Row],[Cotação 2]])</f>
        <v>8.9</v>
      </c>
      <c r="L68" s="48">
        <f>Tabela3[Cotação]/Tabela3[VPA]</f>
        <v>1.5121257996490576</v>
      </c>
      <c r="M68" s="44">
        <f>IF(Tabela3[[#This Row],[Lucro/Ação Ano]]&gt;0,Tabela3[[#This Row],[Cotação]]/Tabela3[[#This Row],[Lucro/Ação Ano]],0)</f>
        <v>9.3107353307432437</v>
      </c>
      <c r="N68" s="6">
        <f>ROUND(Tabela3[[#This Row],[Lucro Prev]]/10%,2)</f>
        <v>3.99</v>
      </c>
      <c r="O68" s="62">
        <f>MIN(Tabela3[[#This Row],[10% Rent]],Tabela3[[#This Row],[VPA]]*2)</f>
        <v>3.99</v>
      </c>
      <c r="P68" s="19">
        <f>Tabela3[[#This Row],[P Compra]]/Tabela3[[#This Row],[Cotação]]-1</f>
        <v>-0.55168539325842691</v>
      </c>
      <c r="Q68" s="6">
        <f>Tabela3[[#This Row],[Lucro/Ação Ano]]*Tabela3[[#This Row],[Payout]]</f>
        <v>0.39944163108138614</v>
      </c>
      <c r="R68" s="15" t="str">
        <f>IF(AND(Tabela3[% Yield]&gt;=10%,Tabela3[PVPA]&lt;=2,Tabela3[PL]&lt;=15,Tabela3[PL]&gt;0),"Sim","Não")</f>
        <v>Não</v>
      </c>
      <c r="S68" s="46">
        <f>Tabela3[[#This Row],[Lucro Prev]]/Tabela3[[#This Row],[Cotação]]</f>
        <v>4.4881082143975966E-2</v>
      </c>
      <c r="T68" s="14">
        <f>($Z$1/Tabela3[[#This Row],[Cotação]]-MOD($Z$1/Tabela3[[#This Row],[Cotação]],100))</f>
        <v>100</v>
      </c>
      <c r="U68" s="17">
        <f>Tabela3[[#This Row],[Ativos]]*Tabela3[[#This Row],[Lucro Prev]]</f>
        <v>39.944163108138611</v>
      </c>
      <c r="V68" s="5">
        <f>SUMPRODUCT(N(Tabela1[Código]=Tabela3[[#This Row],[PAPEL]]),Tabela1[Fechamento])</f>
        <v>8.9</v>
      </c>
      <c r="W68" s="5">
        <f>SUMPRODUCT(N(Tabela17[Código]=Tabela3[[#This Row],[PAPEL]]),Tabela17[Fechamento])</f>
        <v>0</v>
      </c>
    </row>
    <row r="69" spans="1:23" x14ac:dyDescent="0.2">
      <c r="A69" s="4" t="s">
        <v>14</v>
      </c>
      <c r="B69" s="14" t="s">
        <v>298</v>
      </c>
      <c r="C69" s="15">
        <v>3</v>
      </c>
      <c r="D69" s="6">
        <v>80340000000</v>
      </c>
      <c r="E69" s="6">
        <v>11516000000</v>
      </c>
      <c r="F69" s="42">
        <v>5028029710</v>
      </c>
      <c r="G69" s="15">
        <f>Tabela3[[#This Row],[Lucro Líquido]]/Tabela3[[#This Row],[Total Ações]]</f>
        <v>2.2903603725921502</v>
      </c>
      <c r="H69" s="15">
        <f>Tabela3[[#This Row],[Lucro/Ação]]/Tabela3[[#This Row],[Ref]]*4</f>
        <v>3.0538138301228668</v>
      </c>
      <c r="I69" s="19">
        <f>IF(GETPIVOTDATA("Payout",'Tabela LL'!$A$3,"Ativo",Tabela3[[#This Row],[PAPEL]])&gt;1,1,GETPIVOTDATA("Payout",'Tabela LL'!$A$3,"Ativo",Tabela3[[#This Row],[PAPEL]]))</f>
        <v>0.43273605067700688</v>
      </c>
      <c r="J69" s="6">
        <f>Tabela3[Patrimônio Líquido]/Tabela3[Total Ações]</f>
        <v>15.978425871314114</v>
      </c>
      <c r="K69" s="52">
        <f>MAX(Tabela3[[#This Row],[Cotação 1]],Tabela3[[#This Row],[Cotação 2]])</f>
        <v>29.45</v>
      </c>
      <c r="L69" s="48">
        <f>Tabela3[Cotação]/Tabela3[VPA]</f>
        <v>1.8431102185648494</v>
      </c>
      <c r="M69" s="44">
        <f>IF(Tabela3[[#This Row],[Lucro/Ação Ano]]&gt;0,Tabela3[[#This Row],[Cotação]]/Tabela3[[#This Row],[Lucro/Ação Ano]],0)</f>
        <v>9.6436789006273873</v>
      </c>
      <c r="N69" s="6">
        <f>ROUND(Tabela3[[#This Row],[Lucro Prev]]/10%,2)</f>
        <v>13.21</v>
      </c>
      <c r="O69" s="62">
        <f>MIN(Tabela3[[#This Row],[10% Rent]],Tabela3[[#This Row],[VPA]]*2)</f>
        <v>13.21</v>
      </c>
      <c r="P69" s="19">
        <f>Tabela3[[#This Row],[P Compra]]/Tabela3[[#This Row],[Cotação]]-1</f>
        <v>-0.5514431239388794</v>
      </c>
      <c r="Q69" s="6">
        <f>Tabela3[[#This Row],[Lucro/Ação Ano]]*Tabela3[[#This Row],[Payout]]</f>
        <v>1.3214953363501933</v>
      </c>
      <c r="R69" s="15" t="str">
        <f>IF(AND(Tabela3[% Yield]&gt;=10%,Tabela3[PVPA]&lt;=2,Tabela3[PL]&lt;=15,Tabela3[PL]&gt;0),"Sim","Não")</f>
        <v>Não</v>
      </c>
      <c r="S69" s="46">
        <f>Tabela3[[#This Row],[Lucro Prev]]/Tabela3[[#This Row],[Cotação]]</f>
        <v>4.4872507176577023E-2</v>
      </c>
      <c r="T69" s="14">
        <f>($Z$1/Tabela3[[#This Row],[Cotação]]-MOD($Z$1/Tabela3[[#This Row],[Cotação]],100))</f>
        <v>0</v>
      </c>
      <c r="U69" s="17">
        <f>Tabela3[[#This Row],[Ativos]]*Tabela3[[#This Row],[Lucro Prev]]</f>
        <v>0</v>
      </c>
      <c r="V69" s="5">
        <f>SUMPRODUCT(N(Tabela1[Código]=Tabela3[[#This Row],[PAPEL]]),Tabela1[Fechamento])</f>
        <v>29.45</v>
      </c>
      <c r="W69" s="5">
        <f>SUMPRODUCT(N(Tabela17[Código]=Tabela3[[#This Row],[PAPEL]]),Tabela17[Fechamento])</f>
        <v>0</v>
      </c>
    </row>
    <row r="70" spans="1:23" x14ac:dyDescent="0.2">
      <c r="A70" s="4" t="s">
        <v>14</v>
      </c>
      <c r="B70" s="14" t="s">
        <v>80</v>
      </c>
      <c r="C70" s="15">
        <v>3</v>
      </c>
      <c r="D70" s="6">
        <v>727021000</v>
      </c>
      <c r="E70" s="6">
        <v>31097000</v>
      </c>
      <c r="F70" s="42">
        <v>84682269</v>
      </c>
      <c r="G70" s="15">
        <f>Tabela3[[#This Row],[Lucro Líquido]]/Tabela3[[#This Row],[Total Ações]]</f>
        <v>0.36721973049635692</v>
      </c>
      <c r="H70" s="15">
        <f>Tabela3[[#This Row],[Lucro/Ação]]/Tabela3[[#This Row],[Ref]]*4</f>
        <v>0.4896263073284759</v>
      </c>
      <c r="I70" s="19">
        <f>IF(GETPIVOTDATA("Payout",'Tabela LL'!$A$3,"Ativo",Tabela3[[#This Row],[PAPEL]])&gt;1,1,GETPIVOTDATA("Payout",'Tabela LL'!$A$3,"Ativo",Tabela3[[#This Row],[PAPEL]]))</f>
        <v>0.63014566270033845</v>
      </c>
      <c r="J70" s="6">
        <f>Tabela3[Patrimônio Líquido]/Tabela3[Total Ações]</f>
        <v>8.5852801133611578</v>
      </c>
      <c r="K70" s="52">
        <f>MAX(Tabela3[[#This Row],[Cotação 1]],Tabela3[[#This Row],[Cotação 2]])</f>
        <v>6.89</v>
      </c>
      <c r="L70" s="48">
        <f>Tabela3[Cotação]/Tabela3[VPA]</f>
        <v>0.80253642385845791</v>
      </c>
      <c r="M70" s="44">
        <f>IF(Tabela3[[#This Row],[Lucro/Ação Ano]]&gt;0,Tabela3[[#This Row],[Cotação]]/Tabela3[[#This Row],[Lucro/Ação Ano]],0)</f>
        <v>14.071956299884233</v>
      </c>
      <c r="N70" s="6">
        <f>ROUND(Tabela3[[#This Row],[Lucro Prev]]/10%,2)</f>
        <v>3.09</v>
      </c>
      <c r="O70" s="62">
        <f>MIN(Tabela3[[#This Row],[10% Rent]],Tabela3[[#This Row],[VPA]]*2)</f>
        <v>3.09</v>
      </c>
      <c r="P70" s="19">
        <f>Tabela3[[#This Row],[P Compra]]/Tabela3[[#This Row],[Cotação]]-1</f>
        <v>-0.55152394775036284</v>
      </c>
      <c r="Q70" s="6">
        <f>Tabela3[[#This Row],[Lucro/Ação Ano]]*Tabela3[[#This Row],[Payout]]</f>
        <v>0.30853589390702202</v>
      </c>
      <c r="R70" s="15" t="str">
        <f>IF(AND(Tabela3[% Yield]&gt;=10%,Tabela3[PVPA]&lt;=2,Tabela3[PL]&lt;=15,Tabela3[PL]&gt;0),"Sim","Não")</f>
        <v>Não</v>
      </c>
      <c r="S70" s="46">
        <f>Tabela3[[#This Row],[Lucro Prev]]/Tabela3[[#This Row],[Cotação]]</f>
        <v>4.478024585007577E-2</v>
      </c>
      <c r="T70" s="14">
        <f>($Z$1/Tabela3[[#This Row],[Cotação]]-MOD($Z$1/Tabela3[[#This Row],[Cotação]],100))</f>
        <v>100</v>
      </c>
      <c r="U70" s="17">
        <f>Tabela3[[#This Row],[Ativos]]*Tabela3[[#This Row],[Lucro Prev]]</f>
        <v>30.853589390702201</v>
      </c>
      <c r="V70" s="5">
        <f>SUMPRODUCT(N(Tabela1[Código]=Tabela3[[#This Row],[PAPEL]]),Tabela1[Fechamento])</f>
        <v>6.89</v>
      </c>
      <c r="W70" s="5">
        <f>SUMPRODUCT(N(Tabela17[Código]=Tabela3[[#This Row],[PAPEL]]),Tabela17[Fechamento])</f>
        <v>0</v>
      </c>
    </row>
    <row r="71" spans="1:23" x14ac:dyDescent="0.2">
      <c r="A71" s="4" t="s">
        <v>14</v>
      </c>
      <c r="B71" s="15" t="s">
        <v>87</v>
      </c>
      <c r="C71" s="15">
        <v>3</v>
      </c>
      <c r="D71" s="6">
        <v>1279731000</v>
      </c>
      <c r="E71" s="6">
        <v>103137000</v>
      </c>
      <c r="F71" s="42">
        <v>87289932</v>
      </c>
      <c r="G71" s="15">
        <f>Tabela3[[#This Row],[Lucro Líquido]]/Tabela3[[#This Row],[Total Ações]]</f>
        <v>1.181545198133503</v>
      </c>
      <c r="H71" s="15">
        <f>Tabela3[[#This Row],[Lucro/Ação]]/Tabela3[[#This Row],[Ref]]*4</f>
        <v>1.5753935975113373</v>
      </c>
      <c r="I71" s="19">
        <f>IF(GETPIVOTDATA("Payout",'Tabela LL'!$A$3,"Ativo",Tabela3[[#This Row],[PAPEL]])&gt;1,1,GETPIVOTDATA("Payout",'Tabela LL'!$A$3,"Ativo",Tabela3[[#This Row],[PAPEL]]))</f>
        <v>0.32355722757326899</v>
      </c>
      <c r="J71" s="6">
        <f>Tabela3[Patrimônio Líquido]/Tabela3[Total Ações]</f>
        <v>14.660694202396675</v>
      </c>
      <c r="K71" s="52">
        <f>MAX(Tabela3[[#This Row],[Cotação 1]],Tabela3[[#This Row],[Cotação 2]])</f>
        <v>11.6</v>
      </c>
      <c r="L71" s="48">
        <f>Tabela3[Cotação]/Tabela3[VPA]</f>
        <v>0.79123129095098887</v>
      </c>
      <c r="M71" s="44">
        <f>IF(Tabela3[[#This Row],[Lucro/Ação Ano]]&gt;0,Tabela3[[#This Row],[Cotação]]/Tabela3[[#This Row],[Lucro/Ação Ano]],0)</f>
        <v>7.3632392681578862</v>
      </c>
      <c r="N71" s="6">
        <f>ROUND(Tabela3[[#This Row],[Lucro Prev]]/10%,2)</f>
        <v>5.0999999999999996</v>
      </c>
      <c r="O71" s="62">
        <f>MIN(Tabela3[[#This Row],[10% Rent]],Tabela3[[#This Row],[VPA]]*2)</f>
        <v>5.0999999999999996</v>
      </c>
      <c r="P71" s="19">
        <f>Tabela3[[#This Row],[P Compra]]/Tabela3[[#This Row],[Cotação]]-1</f>
        <v>-0.56034482758620685</v>
      </c>
      <c r="Q71" s="6">
        <f>Tabela3[[#This Row],[Lucro/Ação Ano]]*Tabela3[[#This Row],[Payout]]</f>
        <v>0.50972998474744668</v>
      </c>
      <c r="R71" s="15" t="str">
        <f>IF(AND(Tabela3[% Yield]&gt;=10%,Tabela3[PVPA]&lt;=2,Tabela3[PL]&lt;=15,Tabela3[PL]&gt;0),"Sim","Não")</f>
        <v>Não</v>
      </c>
      <c r="S71" s="46">
        <f>Tabela3[[#This Row],[Lucro Prev]]/Tabela3[[#This Row],[Cotação]]</f>
        <v>4.3942240064435062E-2</v>
      </c>
      <c r="T71" s="14">
        <f>($Z$1/Tabela3[[#This Row],[Cotação]]-MOD($Z$1/Tabela3[[#This Row],[Cotação]],100))</f>
        <v>0</v>
      </c>
      <c r="U71" s="17">
        <f>Tabela3[[#This Row],[Ativos]]*Tabela3[[#This Row],[Lucro Prev]]</f>
        <v>0</v>
      </c>
      <c r="V71" s="5">
        <f>SUMPRODUCT(N(Tabela1[Código]=Tabela3[[#This Row],[PAPEL]]),Tabela1[Fechamento])</f>
        <v>11.6</v>
      </c>
      <c r="W71" s="5">
        <f>SUMPRODUCT(N(Tabela17[Código]=Tabela3[[#This Row],[PAPEL]]),Tabela17[Fechamento])</f>
        <v>0</v>
      </c>
    </row>
    <row r="72" spans="1:23" x14ac:dyDescent="0.2">
      <c r="A72" s="4" t="s">
        <v>12</v>
      </c>
      <c r="B72" s="14" t="s">
        <v>100</v>
      </c>
      <c r="C72" s="15">
        <v>3</v>
      </c>
      <c r="D72" s="6">
        <v>3707916000</v>
      </c>
      <c r="E72" s="6">
        <v>63180000</v>
      </c>
      <c r="F72" s="42">
        <v>74612388</v>
      </c>
      <c r="G72" s="15">
        <f>Tabela3[[#This Row],[Lucro Líquido]]/Tabela3[[#This Row],[Total Ações]]</f>
        <v>0.84677627527482435</v>
      </c>
      <c r="H72" s="15">
        <f>Tabela3[[#This Row],[Lucro/Ação]]/Tabela3[[#This Row],[Ref]]*4</f>
        <v>1.1290350336997659</v>
      </c>
      <c r="I72" s="19">
        <f>IF(GETPIVOTDATA("Payout",'Tabela LL'!$A$3,"Ativo",Tabela3[[#This Row],[PAPEL]])&gt;1,1,GETPIVOTDATA("Payout",'Tabela LL'!$A$3,"Ativo",Tabela3[[#This Row],[PAPEL]]))</f>
        <v>0.81719301958088741</v>
      </c>
      <c r="J72" s="6">
        <f>Tabela3[Patrimônio Líquido]/Tabela3[Total Ações]</f>
        <v>49.69571540854583</v>
      </c>
      <c r="K72" s="52">
        <f>MAX(Tabela3[[#This Row],[Cotação 1]],Tabela3[[#This Row],[Cotação 2]])</f>
        <v>21.51</v>
      </c>
      <c r="L72" s="48">
        <f>Tabela3[Cotação]/Tabela3[VPA]</f>
        <v>0.43283409491477154</v>
      </c>
      <c r="M72" s="44">
        <f>IF(Tabela3[[#This Row],[Lucro/Ação Ano]]&gt;0,Tabela3[[#This Row],[Cotação]]/Tabela3[[#This Row],[Lucro/Ação Ano]],0)</f>
        <v>19.05166744871795</v>
      </c>
      <c r="N72" s="6">
        <f>ROUND(Tabela3[[#This Row],[Lucro Prev]]/10%,2)</f>
        <v>9.23</v>
      </c>
      <c r="O72" s="62">
        <f>MIN(Tabela3[[#This Row],[10% Rent]],Tabela3[[#This Row],[VPA]]*2)</f>
        <v>9.23</v>
      </c>
      <c r="P72" s="19">
        <f>Tabela3[[#This Row],[P Compra]]/Tabela3[[#This Row],[Cotação]]-1</f>
        <v>-0.57089725708972572</v>
      </c>
      <c r="Q72" s="6">
        <f>Tabela3[[#This Row],[Lucro/Ação Ano]]*Tabela3[[#This Row],[Payout]]</f>
        <v>0.92263954840172069</v>
      </c>
      <c r="R72" s="15" t="str">
        <f>IF(AND(Tabela3[% Yield]&gt;=10%,Tabela3[PVPA]&lt;=2,Tabela3[PL]&lt;=15,Tabela3[PL]&gt;0),"Sim","Não")</f>
        <v>Não</v>
      </c>
      <c r="S72" s="46">
        <f>Tabela3[[#This Row],[Lucro Prev]]/Tabela3[[#This Row],[Cotação]]</f>
        <v>4.2893516894547679E-2</v>
      </c>
      <c r="T72" s="14">
        <f>($Z$1/Tabela3[[#This Row],[Cotação]]-MOD($Z$1/Tabela3[[#This Row],[Cotação]],100))</f>
        <v>0</v>
      </c>
      <c r="U72" s="17">
        <f>Tabela3[[#This Row],[Ativos]]*Tabela3[[#This Row],[Lucro Prev]]</f>
        <v>0</v>
      </c>
      <c r="V72" s="5">
        <f>SUMPRODUCT(N(Tabela1[Código]=Tabela3[[#This Row],[PAPEL]]),Tabela1[Fechamento])</f>
        <v>21.51</v>
      </c>
      <c r="W72" s="5">
        <f>SUMPRODUCT(N(Tabela17[Código]=Tabela3[[#This Row],[PAPEL]]),Tabela17[Fechamento])</f>
        <v>0</v>
      </c>
    </row>
    <row r="73" spans="1:23" x14ac:dyDescent="0.2">
      <c r="A73" s="4" t="s">
        <v>14</v>
      </c>
      <c r="B73" s="15" t="s">
        <v>285</v>
      </c>
      <c r="C73" s="16">
        <v>3</v>
      </c>
      <c r="D73" s="5">
        <v>843867000</v>
      </c>
      <c r="E73" s="5">
        <v>34502000</v>
      </c>
      <c r="F73" s="21">
        <v>73646388</v>
      </c>
      <c r="G73" s="16">
        <f>Tabela3[[#This Row],[Lucro Líquido]]/Tabela3[[#This Row],[Total Ações]]</f>
        <v>0.46848190300928266</v>
      </c>
      <c r="H73" s="16">
        <f>Tabela3[[#This Row],[Lucro/Ação]]/Tabela3[[#This Row],[Ref]]*4</f>
        <v>0.62464253734571018</v>
      </c>
      <c r="I73" s="18">
        <f>IF(GETPIVOTDATA("Payout",'Tabela LL'!$A$3,"Ativo",Tabela3[[#This Row],[PAPEL]])&gt;1,1,GETPIVOTDATA("Payout",'Tabela LL'!$A$3,"Ativo",Tabela3[[#This Row],[PAPEL]]))</f>
        <v>0.25370503766276303</v>
      </c>
      <c r="J73" s="5">
        <f>Tabela3[Patrimônio Líquido]/Tabela3[Total Ações]</f>
        <v>11.45836235716</v>
      </c>
      <c r="K73" s="59">
        <f>MAX(Tabela3[[#This Row],[Cotação 1]],Tabela3[[#This Row],[Cotação 2]])</f>
        <v>3.71</v>
      </c>
      <c r="L73" s="60">
        <f>Tabela3[Cotação]/Tabela3[VPA]</f>
        <v>0.32378099804827065</v>
      </c>
      <c r="M73" s="40">
        <f>IF(Tabela3[[#This Row],[Lucro/Ação Ano]]&gt;0,Tabela3[[#This Row],[Cotação]]/Tabela3[[#This Row],[Lucro/Ação Ano]],0)</f>
        <v>5.9393969801750632</v>
      </c>
      <c r="N73" s="5">
        <f>ROUND(Tabela3[[#This Row],[Lucro Prev]]/10%,2)</f>
        <v>1.58</v>
      </c>
      <c r="O73" s="61">
        <f>MIN(Tabela3[[#This Row],[10% Rent]],Tabela3[[#This Row],[VPA]]*2)</f>
        <v>1.58</v>
      </c>
      <c r="P73" s="18">
        <f>Tabela3[[#This Row],[P Compra]]/Tabela3[[#This Row],[Cotação]]-1</f>
        <v>-0.57412398921832875</v>
      </c>
      <c r="Q73" s="5">
        <f>Tabela3[[#This Row],[Lucro/Ação Ano]]*Tabela3[[#This Row],[Payout]]</f>
        <v>0.15847495846305726</v>
      </c>
      <c r="R73" s="16" t="str">
        <f>IF(AND(Tabela3[% Yield]&gt;=10%,Tabela3[PVPA]&lt;=2,Tabela3[PL]&lt;=15,Tabela3[PL]&gt;0),"Sim","Não")</f>
        <v>Não</v>
      </c>
      <c r="S73" s="22">
        <f>Tabela3[[#This Row],[Lucro Prev]]/Tabela3[[#This Row],[Cotação]]</f>
        <v>4.2715622227239153E-2</v>
      </c>
      <c r="T73" s="10">
        <f>($Z$1/Tabela3[[#This Row],[Cotação]]-MOD($Z$1/Tabela3[[#This Row],[Cotação]],100))</f>
        <v>200</v>
      </c>
      <c r="U73" s="7">
        <f>Tabela3[[#This Row],[Ativos]]*Tabela3[[#This Row],[Lucro Prev]]</f>
        <v>31.694991692611453</v>
      </c>
      <c r="V73" s="5">
        <f>SUMPRODUCT(N(Tabela1[Código]=Tabela3[[#This Row],[PAPEL]]),Tabela1[Fechamento])</f>
        <v>3.71</v>
      </c>
      <c r="W73" s="5">
        <f>SUMPRODUCT(N(Tabela17[Código]=Tabela3[[#This Row],[PAPEL]]),Tabela17[Fechamento])</f>
        <v>0</v>
      </c>
    </row>
    <row r="74" spans="1:23" x14ac:dyDescent="0.2">
      <c r="A74" s="4" t="s">
        <v>14</v>
      </c>
      <c r="B74" s="14" t="s">
        <v>85</v>
      </c>
      <c r="C74" s="15">
        <v>3</v>
      </c>
      <c r="D74" s="6">
        <v>80340000000</v>
      </c>
      <c r="E74" s="6">
        <v>11516000000</v>
      </c>
      <c r="F74" s="42">
        <v>5028029710</v>
      </c>
      <c r="G74" s="15">
        <f>Tabela3[[#This Row],[Lucro Líquido]]/Tabela3[[#This Row],[Total Ações]]</f>
        <v>2.2903603725921502</v>
      </c>
      <c r="H74" s="15">
        <f>Tabela3[[#This Row],[Lucro/Ação]]/Tabela3[[#This Row],[Ref]]*4</f>
        <v>3.0538138301228668</v>
      </c>
      <c r="I74" s="19">
        <f>IF(GETPIVOTDATA("Payout",'Tabela LL'!$A$3,"Ativo",Tabela3[[#This Row],[PAPEL]])&gt;1,1,GETPIVOTDATA("Payout",'Tabela LL'!$A$3,"Ativo",Tabela3[[#This Row],[PAPEL]]))</f>
        <v>0.43273605067700688</v>
      </c>
      <c r="J74" s="6">
        <f>Tabela3[Patrimônio Líquido]/Tabela3[Total Ações]</f>
        <v>15.978425871314114</v>
      </c>
      <c r="K74" s="52">
        <f>MAX(Tabela3[[#This Row],[Cotação 1]],Tabela3[[#This Row],[Cotação 2]])</f>
        <v>31.35</v>
      </c>
      <c r="L74" s="48">
        <f>Tabela3[Cotação]/Tabela3[VPA]</f>
        <v>1.9620205552464527</v>
      </c>
      <c r="M74" s="44">
        <f>IF(Tabela3[[#This Row],[Lucro/Ação Ano]]&gt;0,Tabela3[[#This Row],[Cotação]]/Tabela3[[#This Row],[Lucro/Ação Ano]],0)</f>
        <v>10.265851732925929</v>
      </c>
      <c r="N74" s="6">
        <f>ROUND(Tabela3[[#This Row],[Lucro Prev]]/10%,2)</f>
        <v>13.21</v>
      </c>
      <c r="O74" s="62">
        <f>MIN(Tabela3[[#This Row],[10% Rent]],Tabela3[[#This Row],[VPA]]*2)</f>
        <v>13.21</v>
      </c>
      <c r="P74" s="19">
        <f>Tabela3[[#This Row],[P Compra]]/Tabela3[[#This Row],[Cotação]]-1</f>
        <v>-0.57862838915470494</v>
      </c>
      <c r="Q74" s="6">
        <f>Tabela3[[#This Row],[Lucro/Ação Ano]]*Tabela3[[#This Row],[Payout]]</f>
        <v>1.3214953363501933</v>
      </c>
      <c r="R74" s="15" t="str">
        <f>IF(AND(Tabela3[% Yield]&gt;=10%,Tabela3[PVPA]&lt;=2,Tabela3[PL]&lt;=15,Tabela3[PL]&gt;0),"Sim","Não")</f>
        <v>Não</v>
      </c>
      <c r="S74" s="46">
        <f>Tabela3[[#This Row],[Lucro Prev]]/Tabela3[[#This Row],[Cotação]]</f>
        <v>4.2152961287087502E-2</v>
      </c>
      <c r="T74" s="14">
        <f>($Z$1/Tabela3[[#This Row],[Cotação]]-MOD($Z$1/Tabela3[[#This Row],[Cotação]],100))</f>
        <v>0</v>
      </c>
      <c r="U74" s="17">
        <f>Tabela3[[#This Row],[Ativos]]*Tabela3[[#This Row],[Lucro Prev]]</f>
        <v>0</v>
      </c>
      <c r="V74" s="5">
        <f>SUMPRODUCT(N(Tabela1[Código]=Tabela3[[#This Row],[PAPEL]]),Tabela1[Fechamento])</f>
        <v>31.35</v>
      </c>
      <c r="W74" s="5">
        <f>SUMPRODUCT(N(Tabela17[Código]=Tabela3[[#This Row],[PAPEL]]),Tabela17[Fechamento])</f>
        <v>0</v>
      </c>
    </row>
    <row r="75" spans="1:23" x14ac:dyDescent="0.2">
      <c r="A75" s="4" t="s">
        <v>14</v>
      </c>
      <c r="B75" s="14" t="s">
        <v>250</v>
      </c>
      <c r="C75" s="15">
        <v>3</v>
      </c>
      <c r="D75" s="6">
        <v>67033392000</v>
      </c>
      <c r="E75" s="6">
        <v>8931828000</v>
      </c>
      <c r="F75" s="42">
        <v>4207274039</v>
      </c>
      <c r="G75" s="15">
        <f>Tabela3[[#This Row],[Lucro Líquido]]/Tabela3[[#This Row],[Total Ações]]</f>
        <v>2.1229489491782543</v>
      </c>
      <c r="H75" s="15">
        <f>Tabela3[[#This Row],[Lucro/Ação]]/Tabela3[[#This Row],[Ref]]*4</f>
        <v>2.8305985989043392</v>
      </c>
      <c r="I75" s="19">
        <f>IF(GETPIVOTDATA("Payout",'Tabela LL'!$A$3,"Ativo",Tabela3[[#This Row],[PAPEL]])&gt;1,1,GETPIVOTDATA("Payout",'Tabela LL'!$A$3,"Ativo",Tabela3[[#This Row],[PAPEL]]))</f>
        <v>0.41507496875695749</v>
      </c>
      <c r="J75" s="6">
        <f>Tabela3[Patrimônio Líquido]/Tabela3[Total Ações]</f>
        <v>15.932737297029679</v>
      </c>
      <c r="K75" s="52">
        <f>MAX(Tabela3[[#This Row],[Cotação 1]],Tabela3[[#This Row],[Cotação 2]])</f>
        <v>29.09</v>
      </c>
      <c r="L75" s="48">
        <f>Tabela3[Cotação]/Tabela3[VPA]</f>
        <v>1.8258005173676726</v>
      </c>
      <c r="M75" s="44">
        <f>IF(Tabela3[[#This Row],[Lucro/Ação Ano]]&gt;0,Tabela3[[#This Row],[Cotação]]/Tabela3[[#This Row],[Lucro/Ação Ano]],0)</f>
        <v>10.276978166830183</v>
      </c>
      <c r="N75" s="6">
        <f>ROUND(Tabela3[[#This Row],[Lucro Prev]]/10%,2)</f>
        <v>11.75</v>
      </c>
      <c r="O75" s="62">
        <f>MIN(Tabela3[[#This Row],[10% Rent]],Tabela3[[#This Row],[VPA]]*2)</f>
        <v>11.75</v>
      </c>
      <c r="P75" s="19">
        <f>Tabela3[[#This Row],[P Compra]]/Tabela3[[#This Row],[Cotação]]-1</f>
        <v>-0.59608112753523546</v>
      </c>
      <c r="Q75" s="6">
        <f>Tabela3[[#This Row],[Lucro/Ação Ano]]*Tabela3[[#This Row],[Payout]]</f>
        <v>1.1749106250037062</v>
      </c>
      <c r="R75" s="15" t="str">
        <f>IF(AND(Tabela3[% Yield]&gt;=10%,Tabela3[PVPA]&lt;=2,Tabela3[PL]&lt;=15,Tabela3[PL]&gt;0),"Sim","Não")</f>
        <v>Não</v>
      </c>
      <c r="S75" s="46">
        <f>Tabela3[[#This Row],[Lucro Prev]]/Tabela3[[#This Row],[Cotação]]</f>
        <v>4.038881488496756E-2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29.09</v>
      </c>
      <c r="W75" s="5">
        <f>SUMPRODUCT(N(Tabela17[Código]=Tabela3[[#This Row],[PAPEL]]),Tabela17[Fechamento])</f>
        <v>0</v>
      </c>
    </row>
    <row r="76" spans="1:23" x14ac:dyDescent="0.2">
      <c r="A76" s="4" t="s">
        <v>12</v>
      </c>
      <c r="B76" s="14" t="s">
        <v>102</v>
      </c>
      <c r="C76" s="15">
        <v>3</v>
      </c>
      <c r="D76" s="6">
        <v>1380983000</v>
      </c>
      <c r="E76" s="6">
        <v>154788000</v>
      </c>
      <c r="F76" s="42">
        <v>164183899</v>
      </c>
      <c r="G76" s="15">
        <f>Tabela3[[#This Row],[Lucro Líquido]]/Tabela3[[#This Row],[Total Ações]]</f>
        <v>0.94277210458986604</v>
      </c>
      <c r="H76" s="15">
        <f>Tabela3[[#This Row],[Lucro/Ação]]/Tabela3[[#This Row],[Ref]]*4</f>
        <v>1.2570294727864881</v>
      </c>
      <c r="I76" s="19">
        <f>IF(GETPIVOTDATA("Payout",'Tabela LL'!$A$3,"Ativo",Tabela3[[#This Row],[PAPEL]])&gt;1,1,GETPIVOTDATA("Payout",'Tabela LL'!$A$3,"Ativo",Tabela3[[#This Row],[PAPEL]]))</f>
        <v>0.49000251641148956</v>
      </c>
      <c r="J76" s="6">
        <f>Tabela3[Patrimônio Líquido]/Tabela3[Total Ações]</f>
        <v>8.4111962769260344</v>
      </c>
      <c r="K76" s="52">
        <f>MAX(Tabela3[[#This Row],[Cotação 1]],Tabela3[[#This Row],[Cotação 2]])</f>
        <v>15.5</v>
      </c>
      <c r="L76" s="48">
        <f>Tabela3[Cotação]/Tabela3[VPA]</f>
        <v>1.8427818695088931</v>
      </c>
      <c r="M76" s="44">
        <f>IF(Tabela3[[#This Row],[Lucro/Ação Ano]]&gt;0,Tabela3[[#This Row],[Cotação]]/Tabela3[[#This Row],[Lucro/Ação Ano]],0)</f>
        <v>12.330657582467632</v>
      </c>
      <c r="N76" s="6">
        <f>ROUND(Tabela3[[#This Row],[Lucro Prev]]/10%,2)</f>
        <v>6.16</v>
      </c>
      <c r="O76" s="62">
        <f>MIN(Tabela3[[#This Row],[10% Rent]],Tabela3[[#This Row],[VPA]]*2)</f>
        <v>6.16</v>
      </c>
      <c r="P76" s="19">
        <f>Tabela3[[#This Row],[P Compra]]/Tabela3[[#This Row],[Cotação]]-1</f>
        <v>-0.60258064516129028</v>
      </c>
      <c r="Q76" s="6">
        <f>Tabela3[[#This Row],[Lucro/Ação Ano]]*Tabela3[[#This Row],[Payout]]</f>
        <v>0.61594760486878719</v>
      </c>
      <c r="R76" s="15" t="str">
        <f>IF(AND(Tabela3[% Yield]&gt;=10%,Tabela3[PVPA]&lt;=2,Tabela3[PL]&lt;=15,Tabela3[PL]&gt;0),"Sim","Não")</f>
        <v>Não</v>
      </c>
      <c r="S76" s="46">
        <f>Tabela3[[#This Row],[Lucro Prev]]/Tabela3[[#This Row],[Cotação]]</f>
        <v>3.9738555152824977E-2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15.5</v>
      </c>
      <c r="W76" s="5">
        <f>SUMPRODUCT(N(Tabela17[Código]=Tabela3[[#This Row],[PAPEL]]),Tabela17[Fechamento])</f>
        <v>0</v>
      </c>
    </row>
    <row r="77" spans="1:23" x14ac:dyDescent="0.2">
      <c r="A77" s="4" t="s">
        <v>489</v>
      </c>
      <c r="B77" s="72" t="s">
        <v>490</v>
      </c>
      <c r="C77" s="15">
        <v>3</v>
      </c>
      <c r="D77" s="6">
        <v>2384232000</v>
      </c>
      <c r="E77" s="6">
        <v>171061000</v>
      </c>
      <c r="F77" s="42">
        <v>265806905</v>
      </c>
      <c r="G77" s="74">
        <f>Tabela3[[#This Row],[Lucro Líquido]]/Tabela3[[#This Row],[Total Ações]]</f>
        <v>0.64355363529777376</v>
      </c>
      <c r="H77" s="15">
        <f>Tabela3[[#This Row],[Lucro/Ação]]/Tabela3[[#This Row],[Ref]]*4</f>
        <v>0.85807151373036505</v>
      </c>
      <c r="I77" s="19">
        <f>IF(GETPIVOTDATA("Payout",'Tabela LL'!$A$3,"Ativo",Tabela3[[#This Row],[PAPEL]])&gt;1,1,GETPIVOTDATA("Payout",'Tabela LL'!$A$3,"Ativo",Tabela3[[#This Row],[PAPEL]]))</f>
        <v>0.45238397622744686</v>
      </c>
      <c r="J77" s="6">
        <f>Tabela3[Patrimônio Líquido]/Tabela3[Total Ações]</f>
        <v>8.9697895545640538</v>
      </c>
      <c r="K77" s="52">
        <f>MAX(Tabela3[[#This Row],[Cotação 1]],Tabela3[[#This Row],[Cotação 2]])</f>
        <v>9.7799999999999994</v>
      </c>
      <c r="L77" s="48">
        <f>Tabela3[Cotação]/Tabela3[VPA]</f>
        <v>1.0903265835287841</v>
      </c>
      <c r="M77" s="44">
        <f>IF(Tabela3[[#This Row],[Lucro/Ação Ano]]&gt;0,Tabela3[[#This Row],[Cotação]]/Tabela3[[#This Row],[Lucro/Ação Ano]],0)</f>
        <v>11.397651411923231</v>
      </c>
      <c r="N77" s="13">
        <f>ROUND(Tabela3[[#This Row],[Lucro Prev]]/10%,2)</f>
        <v>3.88</v>
      </c>
      <c r="O77" s="13">
        <f>MIN(Tabela3[[#This Row],[10% Rent]],Tabela3[[#This Row],[VPA]]*2)</f>
        <v>3.88</v>
      </c>
      <c r="P77" s="19">
        <f>Tabela3[[#This Row],[P Compra]]/Tabela3[[#This Row],[Cotação]]-1</f>
        <v>-0.60327198364008172</v>
      </c>
      <c r="Q77" s="6">
        <f>Tabela3[[#This Row],[Lucro/Ação Ano]]*Tabela3[[#This Row],[Payout]]</f>
        <v>0.38817780326884682</v>
      </c>
      <c r="R77" s="15" t="str">
        <f>IF(AND(Tabela3[% Yield]&gt;=10%,Tabela3[PVPA]&lt;=2,Tabela3[PL]&lt;=15,Tabela3[PL]&gt;0),"Sim","Não")</f>
        <v>Não</v>
      </c>
      <c r="S77" s="46">
        <f>Tabela3[[#This Row],[Lucro Prev]]/Tabela3[[#This Row],[Cotação]]</f>
        <v>3.9690981929329947E-2</v>
      </c>
      <c r="T77" s="14">
        <f>($Z$1/Tabela3[[#This Row],[Cotação]]-MOD($Z$1/Tabela3[[#This Row],[Cotação]],100))</f>
        <v>100</v>
      </c>
      <c r="U77" s="17">
        <f>Tabela3[[#This Row],[Ativos]]*Tabela3[[#This Row],[Lucro Prev]]</f>
        <v>38.81778032688468</v>
      </c>
      <c r="V77" s="13">
        <f>SUMPRODUCT(N(Tabela1[Código]=Tabela3[[#This Row],[PAPEL]]),Tabela1[Fechamento])</f>
        <v>0</v>
      </c>
      <c r="W77" s="13">
        <f>SUMPRODUCT(N(Tabela17[Código]=Tabela3[[#This Row],[PAPEL]]),Tabela17[Fechamento])</f>
        <v>9.7799999999999994</v>
      </c>
    </row>
    <row r="78" spans="1:23" x14ac:dyDescent="0.2">
      <c r="A78" s="4" t="s">
        <v>489</v>
      </c>
      <c r="B78" s="14" t="s">
        <v>21</v>
      </c>
      <c r="C78" s="15">
        <v>3</v>
      </c>
      <c r="D78" s="6">
        <v>341312244000</v>
      </c>
      <c r="E78" s="6">
        <v>17288839000</v>
      </c>
      <c r="F78" s="42">
        <v>13044496930</v>
      </c>
      <c r="G78" s="74">
        <f>Tabela3[[#This Row],[Lucro Líquido]]/Tabela3[[#This Row],[Total Ações]]</f>
        <v>1.3253741476406633</v>
      </c>
      <c r="H78" s="15">
        <f>Tabela3[[#This Row],[Lucro/Ação]]/Tabela3[[#This Row],[Ref]]*4</f>
        <v>1.7671655301875511</v>
      </c>
      <c r="I78" s="19">
        <f>IF(GETPIVOTDATA("Payout",'Tabela LL'!$A$3,"Ativo",Tabela3[[#This Row],[PAPEL]])&gt;1,1,GETPIVOTDATA("Payout",'Tabela LL'!$A$3,"Ativo",Tabela3[[#This Row],[PAPEL]]))</f>
        <v>0.38236062761569822</v>
      </c>
      <c r="J78" s="6">
        <f>Tabela3[Patrimônio Líquido]/Tabela3[Total Ações]</f>
        <v>26.165228588849843</v>
      </c>
      <c r="K78" s="52">
        <f>MAX(Tabela3[[#This Row],[Cotação 1]],Tabela3[[#This Row],[Cotação 2]])</f>
        <v>17.079999999999998</v>
      </c>
      <c r="L78" s="48">
        <f>Tabela3[Cotação]/Tabela3[VPA]</f>
        <v>0.65277472894995225</v>
      </c>
      <c r="M78" s="44">
        <f>IF(Tabela3[[#This Row],[Lucro/Ação Ano]]&gt;0,Tabela3[[#This Row],[Cotação]]/Tabela3[[#This Row],[Lucro/Ação Ano]],0)</f>
        <v>9.6651953131902033</v>
      </c>
      <c r="N78" s="13">
        <f>ROUND(Tabela3[[#This Row],[Lucro Prev]]/10%,2)</f>
        <v>6.76</v>
      </c>
      <c r="O78" s="13">
        <f>MIN(Tabela3[[#This Row],[10% Rent]],Tabela3[[#This Row],[VPA]]*2)</f>
        <v>6.76</v>
      </c>
      <c r="P78" s="19">
        <f>Tabela3[[#This Row],[P Compra]]/Tabela3[[#This Row],[Cotação]]-1</f>
        <v>-0.60421545667447307</v>
      </c>
      <c r="Q78" s="6">
        <f>Tabela3[[#This Row],[Lucro/Ação Ano]]*Tabela3[[#This Row],[Payout]]</f>
        <v>0.67569452122334017</v>
      </c>
      <c r="R78" s="15" t="str">
        <f>IF(AND(Tabela3[% Yield]&gt;=10%,Tabela3[PVPA]&lt;=2,Tabela3[PL]&lt;=15,Tabela3[PL]&gt;0),"Sim","Não")</f>
        <v>Não</v>
      </c>
      <c r="S78" s="46">
        <f>Tabela3[[#This Row],[Lucro Prev]]/Tabela3[[#This Row],[Cotação]]</f>
        <v>3.9560569158275188E-2</v>
      </c>
      <c r="T78" s="14">
        <f>($Z$1/Tabela3[[#This Row],[Cotação]]-MOD($Z$1/Tabela3[[#This Row],[Cotação]],100))</f>
        <v>0</v>
      </c>
      <c r="U78" s="17">
        <f>Tabela3[[#This Row],[Ativos]]*Tabela3[[#This Row],[Lucro Prev]]</f>
        <v>0</v>
      </c>
      <c r="V78" s="13">
        <f>SUMPRODUCT(N(Tabela1[Código]=Tabela3[[#This Row],[PAPEL]]),Tabela1[Fechamento])</f>
        <v>0</v>
      </c>
      <c r="W78" s="13">
        <f>SUMPRODUCT(N(Tabela17[Código]=Tabela3[[#This Row],[PAPEL]]),Tabela17[Fechamento])</f>
        <v>17.079999999999998</v>
      </c>
    </row>
    <row r="79" spans="1:23" x14ac:dyDescent="0.2">
      <c r="A79" s="4" t="s">
        <v>19</v>
      </c>
      <c r="B79" s="14" t="s">
        <v>229</v>
      </c>
      <c r="C79" s="15">
        <v>3</v>
      </c>
      <c r="D79" s="6">
        <v>460223000</v>
      </c>
      <c r="E79" s="6">
        <v>24584000</v>
      </c>
      <c r="F79" s="42">
        <v>166720235</v>
      </c>
      <c r="G79" s="15">
        <f>Tabela3[[#This Row],[Lucro Líquido]]/Tabela3[[#This Row],[Total Ações]]</f>
        <v>0.14745660597227445</v>
      </c>
      <c r="H79" s="15">
        <f>Tabela3[[#This Row],[Lucro/Ação]]/Tabela3[[#This Row],[Ref]]*4</f>
        <v>0.19660880796303259</v>
      </c>
      <c r="I79" s="19">
        <f>IF(GETPIVOTDATA("Payout",'Tabela LL'!$A$3,"Ativo",Tabela3[[#This Row],[PAPEL]])&gt;1,1,GETPIVOTDATA("Payout",'Tabela LL'!$A$3,"Ativo",Tabela3[[#This Row],[PAPEL]]))</f>
        <v>0.63120967245066673</v>
      </c>
      <c r="J79" s="6">
        <f>Tabela3[Patrimônio Líquido]/Tabela3[Total Ações]</f>
        <v>2.760450763520097</v>
      </c>
      <c r="K79" s="52">
        <f>MAX(Tabela3[[#This Row],[Cotação 1]],Tabela3[[#This Row],[Cotação 2]])</f>
        <v>3.25</v>
      </c>
      <c r="L79" s="48">
        <f>Tabela3[Cotação]/Tabela3[VPA]</f>
        <v>1.1773439479339365</v>
      </c>
      <c r="M79" s="44">
        <f>IF(Tabela3[[#This Row],[Lucro/Ação Ano]]&gt;0,Tabela3[[#This Row],[Cotação]]/Tabela3[[#This Row],[Lucro/Ação Ano]],0)</f>
        <v>16.530286886287829</v>
      </c>
      <c r="N79" s="6">
        <f>ROUND(Tabela3[[#This Row],[Lucro Prev]]/10%,2)</f>
        <v>1.24</v>
      </c>
      <c r="O79" s="62">
        <f>MIN(Tabela3[[#This Row],[10% Rent]],Tabela3[[#This Row],[VPA]]*2)</f>
        <v>1.24</v>
      </c>
      <c r="P79" s="19">
        <f>Tabela3[[#This Row],[P Compra]]/Tabela3[[#This Row],[Cotação]]-1</f>
        <v>-0.6184615384615384</v>
      </c>
      <c r="Q79" s="6">
        <f>Tabela3[[#This Row],[Lucro/Ação Ano]]*Tabela3[[#This Row],[Payout]]</f>
        <v>0.12410138127526184</v>
      </c>
      <c r="R79" s="15" t="str">
        <f>IF(AND(Tabela3[% Yield]&gt;=10%,Tabela3[PVPA]&lt;=2,Tabela3[PL]&lt;=15,Tabela3[PL]&gt;0),"Sim","Não")</f>
        <v>Não</v>
      </c>
      <c r="S79" s="46">
        <f>Tabela3[[#This Row],[Lucro Prev]]/Tabela3[[#This Row],[Cotação]]</f>
        <v>3.8185040392388257E-2</v>
      </c>
      <c r="T79" s="14">
        <f>($Z$1/Tabela3[[#This Row],[Cotação]]-MOD($Z$1/Tabela3[[#This Row],[Cotação]],100))</f>
        <v>300</v>
      </c>
      <c r="U79" s="17">
        <f>Tabela3[[#This Row],[Ativos]]*Tabela3[[#This Row],[Lucro Prev]]</f>
        <v>37.230414382578552</v>
      </c>
      <c r="V79" s="5">
        <f>SUMPRODUCT(N(Tabela1[Código]=Tabela3[[#This Row],[PAPEL]]),Tabela1[Fechamento])</f>
        <v>3.25</v>
      </c>
      <c r="W79" s="5">
        <f>SUMPRODUCT(N(Tabela17[Código]=Tabela3[[#This Row],[PAPEL]]),Tabela17[Fechamento])</f>
        <v>0</v>
      </c>
    </row>
    <row r="80" spans="1:23" x14ac:dyDescent="0.2">
      <c r="A80" s="3" t="s">
        <v>40</v>
      </c>
      <c r="B80" s="14" t="s">
        <v>519</v>
      </c>
      <c r="C80" s="16">
        <v>3</v>
      </c>
      <c r="D80" s="5">
        <v>509526000</v>
      </c>
      <c r="E80" s="5">
        <v>33359000</v>
      </c>
      <c r="F80" s="21">
        <v>31485170</v>
      </c>
      <c r="G80" s="73">
        <f>Tabela3[[#This Row],[Lucro Líquido]]/Tabela3[[#This Row],[Total Ações]]</f>
        <v>1.0595146858028717</v>
      </c>
      <c r="H80" s="16">
        <f>Tabela3[[#This Row],[Lucro/Ação]]/Tabela3[[#This Row],[Ref]]*4</f>
        <v>1.4126862477371622</v>
      </c>
      <c r="I80" s="18">
        <f>IF(GETPIVOTDATA("Payout",'Tabela LL'!$A$3,"Ativo",Tabela3[[#This Row],[PAPEL]])&gt;1,1,GETPIVOTDATA("Payout",'Tabela LL'!$A$3,"Ativo",Tabela3[[#This Row],[PAPEL]]))</f>
        <v>0.27024411411752097</v>
      </c>
      <c r="J80" s="5">
        <f>Tabela3[Patrimônio Líquido]/Tabela3[Total Ações]</f>
        <v>16.183047447417309</v>
      </c>
      <c r="K80" s="59">
        <f>MAX(Tabela3[[#This Row],[Cotação 1]],Tabela3[[#This Row],[Cotação 2]])</f>
        <v>10</v>
      </c>
      <c r="L80" s="60">
        <f>Tabela3[Cotação]/Tabela3[VPA]</f>
        <v>0.61793058646663757</v>
      </c>
      <c r="M80" s="40">
        <f>IF(Tabela3[[#This Row],[Lucro/Ação Ano]]&gt;0,Tabela3[[#This Row],[Cotação]]/Tabela3[[#This Row],[Lucro/Ação Ano]],0)</f>
        <v>7.0787126412662245</v>
      </c>
      <c r="N80" s="51">
        <f>ROUND(Tabela3[[#This Row],[Lucro Prev]]/10%,2)</f>
        <v>3.82</v>
      </c>
      <c r="O80" s="51">
        <f>MIN(Tabela3[[#This Row],[10% Rent]],Tabela3[[#This Row],[VPA]]*2)</f>
        <v>3.82</v>
      </c>
      <c r="P80" s="18">
        <f>Tabela3[[#This Row],[P Compra]]/Tabela3[[#This Row],[Cotação]]-1</f>
        <v>-0.61799999999999999</v>
      </c>
      <c r="Q80" s="5">
        <f>Tabela3[[#This Row],[Lucro/Ação Ano]]*Tabela3[[#This Row],[Payout]]</f>
        <v>0.38177014354573419</v>
      </c>
      <c r="R80" s="16" t="str">
        <f>IF(AND(Tabela3[% Yield]&gt;=10%,Tabela3[PVPA]&lt;=2,Tabela3[PL]&lt;=15,Tabela3[PL]&gt;0),"Sim","Não")</f>
        <v>Não</v>
      </c>
      <c r="S80" s="22">
        <f>Tabela3[[#This Row],[Lucro Prev]]/Tabela3[[#This Row],[Cotação]]</f>
        <v>3.8177014354573421E-2</v>
      </c>
      <c r="T80" s="10">
        <f>($Z$1/Tabela3[[#This Row],[Cotação]]-MOD($Z$1/Tabela3[[#This Row],[Cotação]],100))</f>
        <v>100</v>
      </c>
      <c r="U80" s="7">
        <f>Tabela3[[#This Row],[Ativos]]*Tabela3[[#This Row],[Lucro Prev]]</f>
        <v>38.177014354573416</v>
      </c>
      <c r="V80" s="51">
        <f>SUMPRODUCT(N(Tabela1[Código]=Tabela3[[#This Row],[PAPEL]]),Tabela1[Fechamento])</f>
        <v>0</v>
      </c>
      <c r="W80" s="51">
        <f>SUMPRODUCT(N(Tabela17[Código]=Tabela3[[#This Row],[PAPEL]]),Tabela17[Fechamento])</f>
        <v>10</v>
      </c>
    </row>
    <row r="81" spans="1:23" x14ac:dyDescent="0.2">
      <c r="A81" s="3" t="s">
        <v>12</v>
      </c>
      <c r="B81" s="10" t="s">
        <v>86</v>
      </c>
      <c r="C81" s="16">
        <v>3</v>
      </c>
      <c r="D81" s="5">
        <v>1597704000</v>
      </c>
      <c r="E81" s="5">
        <v>150604000</v>
      </c>
      <c r="F81" s="21">
        <v>77855299</v>
      </c>
      <c r="G81" s="16">
        <f>Tabela3[[#This Row],[Lucro Líquido]]/Tabela3[[#This Row],[Total Ações]]</f>
        <v>1.9344091145292499</v>
      </c>
      <c r="H81" s="16">
        <f>Tabela3[[#This Row],[Lucro/Ação]]/Tabela3[[#This Row],[Ref]]*4</f>
        <v>2.5792121527056664</v>
      </c>
      <c r="I81" s="18">
        <f>IF(GETPIVOTDATA("Payout",'Tabela LL'!$A$3,"Ativo",Tabela3[[#This Row],[PAPEL]])&gt;1,1,GETPIVOTDATA("Payout",'Tabela LL'!$A$3,"Ativo",Tabela3[[#This Row],[PAPEL]]))</f>
        <v>0.61566379005177641</v>
      </c>
      <c r="J81" s="5">
        <f>Tabela3[Patrimônio Líquido]/Tabela3[Total Ações]</f>
        <v>20.52145480810497</v>
      </c>
      <c r="K81" s="59">
        <f>MAX(Tabela3[[#This Row],[Cotação 1]],Tabela3[[#This Row],[Cotação 2]])</f>
        <v>42</v>
      </c>
      <c r="L81" s="60">
        <f>Tabela3[Cotação]/Tabela3[VPA]</f>
        <v>2.0466385250334227</v>
      </c>
      <c r="M81" s="40">
        <f>IF(Tabela3[[#This Row],[Lucro/Ação Ano]]&gt;0,Tabela3[[#This Row],[Cotação]]/Tabela3[[#This Row],[Lucro/Ação Ano]],0)</f>
        <v>16.284042379352474</v>
      </c>
      <c r="N81" s="5">
        <f>ROUND(Tabela3[[#This Row],[Lucro Prev]]/10%,2)</f>
        <v>15.88</v>
      </c>
      <c r="O81" s="61">
        <f>MIN(Tabela3[[#This Row],[10% Rent]],Tabela3[[#This Row],[VPA]]*2)</f>
        <v>15.88</v>
      </c>
      <c r="P81" s="18">
        <f>Tabela3[[#This Row],[P Compra]]/Tabela3[[#This Row],[Cotação]]-1</f>
        <v>-0.62190476190476196</v>
      </c>
      <c r="Q81" s="5">
        <f>Tabela3[[#This Row],[Lucro/Ação Ano]]*Tabela3[[#This Row],[Payout]]</f>
        <v>1.5879275292823716</v>
      </c>
      <c r="R81" s="10" t="str">
        <f>IF(AND(Tabela3[% Yield]&gt;=10%,Tabela3[PVPA]&lt;=2,Tabela3[PL]&lt;=15,Tabela3[PL]&gt;0),"Sim","Não")</f>
        <v>Não</v>
      </c>
      <c r="S81" s="22">
        <f>Tabela3[[#This Row],[Lucro Prev]]/Tabela3[[#This Row],[Cotação]]</f>
        <v>3.7807798316246942E-2</v>
      </c>
      <c r="T81" s="10">
        <f>($Z$1/Tabela3[[#This Row],[Cotação]]-MOD($Z$1/Tabela3[[#This Row],[Cotação]],100))</f>
        <v>0</v>
      </c>
      <c r="U81" s="7">
        <f>Tabela3[[#This Row],[Ativos]]*Tabela3[[#This Row],[Lucro Prev]]</f>
        <v>0</v>
      </c>
      <c r="V81" s="5">
        <f>SUMPRODUCT(N(Tabela1[Código]=Tabela3[[#This Row],[PAPEL]]),Tabela1[Fechamento])</f>
        <v>42</v>
      </c>
      <c r="W81" s="5">
        <f>SUMPRODUCT(N(Tabela17[Código]=Tabela3[[#This Row],[PAPEL]]),Tabela17[Fechamento])</f>
        <v>0</v>
      </c>
    </row>
    <row r="82" spans="1:23" x14ac:dyDescent="0.2">
      <c r="A82" s="4" t="s">
        <v>12</v>
      </c>
      <c r="B82" s="14" t="s">
        <v>212</v>
      </c>
      <c r="C82" s="15">
        <v>3</v>
      </c>
      <c r="D82" s="6">
        <v>1825587000</v>
      </c>
      <c r="E82" s="6">
        <v>190026000</v>
      </c>
      <c r="F82" s="42">
        <v>1245690889</v>
      </c>
      <c r="G82" s="15">
        <f>Tabela3[[#This Row],[Lucro Líquido]]/Tabela3[[#This Row],[Total Ações]]</f>
        <v>0.15254667243536371</v>
      </c>
      <c r="H82" s="15">
        <f>Tabela3[[#This Row],[Lucro/Ação]]/Tabela3[[#This Row],[Ref]]*4</f>
        <v>0.20339556324715161</v>
      </c>
      <c r="I82" s="19">
        <f>IF(GETPIVOTDATA("Payout",'Tabela LL'!$A$3,"Ativo",Tabela3[[#This Row],[PAPEL]])&gt;1,1,GETPIVOTDATA("Payout",'Tabela LL'!$A$3,"Ativo",Tabela3[[#This Row],[PAPEL]]))</f>
        <v>0.58097440486745289</v>
      </c>
      <c r="J82" s="6">
        <f>Tabela3[Patrimônio Líquido]/Tabela3[Total Ações]</f>
        <v>1.4655216764614227</v>
      </c>
      <c r="K82" s="52">
        <f>MAX(Tabela3[[#This Row],[Cotação 1]],Tabela3[[#This Row],[Cotação 2]])</f>
        <v>3.15</v>
      </c>
      <c r="L82" s="48">
        <f>Tabela3[Cotação]/Tabela3[VPA]</f>
        <v>2.1494052599793929</v>
      </c>
      <c r="M82" s="44">
        <f>IF(Tabela3[[#This Row],[Lucro/Ação Ano]]&gt;0,Tabela3[[#This Row],[Cotação]]/Tabela3[[#This Row],[Lucro/Ação Ano]],0)</f>
        <v>15.487063482168228</v>
      </c>
      <c r="N82" s="6">
        <f>ROUND(Tabela3[[#This Row],[Lucro Prev]]/10%,2)</f>
        <v>1.18</v>
      </c>
      <c r="O82" s="62">
        <f>MIN(Tabela3[[#This Row],[10% Rent]],Tabela3[[#This Row],[VPA]]*2)</f>
        <v>1.18</v>
      </c>
      <c r="P82" s="19">
        <f>Tabela3[[#This Row],[P Compra]]/Tabela3[[#This Row],[Cotação]]-1</f>
        <v>-0.6253968253968254</v>
      </c>
      <c r="Q82" s="6">
        <f>Tabela3[[#This Row],[Lucro/Ação Ano]]*Tabela3[[#This Row],[Payout]]</f>
        <v>0.11816761631019428</v>
      </c>
      <c r="R82" s="15" t="str">
        <f>IF(AND(Tabela3[% Yield]&gt;=10%,Tabela3[PVPA]&lt;=2,Tabela3[PL]&lt;=15,Tabela3[PL]&gt;0),"Sim","Não")</f>
        <v>Não</v>
      </c>
      <c r="S82" s="46">
        <f>Tabela3[[#This Row],[Lucro Prev]]/Tabela3[[#This Row],[Cotação]]</f>
        <v>3.7513528987363265E-2</v>
      </c>
      <c r="T82" s="14">
        <f>($Z$1/Tabela3[[#This Row],[Cotação]]-MOD($Z$1/Tabela3[[#This Row],[Cotação]],100))</f>
        <v>300</v>
      </c>
      <c r="U82" s="17">
        <f>Tabela3[[#This Row],[Ativos]]*Tabela3[[#This Row],[Lucro Prev]]</f>
        <v>35.450284893058281</v>
      </c>
      <c r="V82" s="5">
        <f>SUMPRODUCT(N(Tabela1[Código]=Tabela3[[#This Row],[PAPEL]]),Tabela1[Fechamento])</f>
        <v>3.15</v>
      </c>
      <c r="W82" s="5">
        <f>SUMPRODUCT(N(Tabela17[Código]=Tabela3[[#This Row],[PAPEL]]),Tabela17[Fechamento])</f>
        <v>0</v>
      </c>
    </row>
    <row r="83" spans="1:23" x14ac:dyDescent="0.2">
      <c r="A83" s="4" t="s">
        <v>12</v>
      </c>
      <c r="B83" s="14" t="s">
        <v>210</v>
      </c>
      <c r="C83" s="15">
        <v>3</v>
      </c>
      <c r="D83" s="6">
        <v>672379000</v>
      </c>
      <c r="E83" s="6">
        <v>25747000</v>
      </c>
      <c r="F83" s="42">
        <v>36947084</v>
      </c>
      <c r="G83" s="15">
        <f>Tabela3[[#This Row],[Lucro Líquido]]/Tabela3[[#This Row],[Total Ações]]</f>
        <v>0.69686148979984452</v>
      </c>
      <c r="H83" s="15">
        <f>Tabela3[[#This Row],[Lucro/Ação]]/Tabela3[[#This Row],[Ref]]*4</f>
        <v>0.92914865306645933</v>
      </c>
      <c r="I83" s="19">
        <f>IF(GETPIVOTDATA("Payout",'Tabela LL'!$A$3,"Ativo",Tabela3[[#This Row],[PAPEL]])&gt;1,1,GETPIVOTDATA("Payout",'Tabela LL'!$A$3,"Ativo",Tabela3[[#This Row],[PAPEL]]))</f>
        <v>0.23175290878610291</v>
      </c>
      <c r="J83" s="6">
        <f>Tabela3[Patrimônio Líquido]/Tabela3[Total Ações]</f>
        <v>18.198432114426133</v>
      </c>
      <c r="K83" s="52">
        <f>MAX(Tabela3[[#This Row],[Cotação 1]],Tabela3[[#This Row],[Cotação 2]])</f>
        <v>5.75</v>
      </c>
      <c r="L83" s="48">
        <f>Tabela3[Cotação]/Tabela3[VPA]</f>
        <v>0.31596128522752798</v>
      </c>
      <c r="M83" s="44">
        <f>IF(Tabela3[[#This Row],[Lucro/Ação Ano]]&gt;0,Tabela3[[#This Row],[Cotação]]/Tabela3[[#This Row],[Lucro/Ação Ano]],0)</f>
        <v>6.1884607818386614</v>
      </c>
      <c r="N83" s="6">
        <f>ROUND(Tabela3[[#This Row],[Lucro Prev]]/10%,2)</f>
        <v>2.15</v>
      </c>
      <c r="O83" s="62">
        <f>MIN(Tabela3[[#This Row],[10% Rent]],Tabela3[[#This Row],[VPA]]*2)</f>
        <v>2.15</v>
      </c>
      <c r="P83" s="19">
        <f>Tabela3[[#This Row],[P Compra]]/Tabela3[[#This Row],[Cotação]]-1</f>
        <v>-0.62608695652173907</v>
      </c>
      <c r="Q83" s="6">
        <f>Tabela3[[#This Row],[Lucro/Ação Ano]]*Tabela3[[#This Row],[Payout]]</f>
        <v>0.21533290304284153</v>
      </c>
      <c r="R83" s="15" t="str">
        <f>IF(AND(Tabela3[% Yield]&gt;=10%,Tabela3[PVPA]&lt;=2,Tabela3[PL]&lt;=15,Tabela3[PL]&gt;0),"Sim","Não")</f>
        <v>Não</v>
      </c>
      <c r="S83" s="46">
        <f>Tabela3[[#This Row],[Lucro Prev]]/Tabela3[[#This Row],[Cotação]]</f>
        <v>3.7449200529189833E-2</v>
      </c>
      <c r="T83" s="14">
        <f>($Z$1/Tabela3[[#This Row],[Cotação]]-MOD($Z$1/Tabela3[[#This Row],[Cotação]],100))</f>
        <v>100</v>
      </c>
      <c r="U83" s="17">
        <f>Tabela3[[#This Row],[Ativos]]*Tabela3[[#This Row],[Lucro Prev]]</f>
        <v>21.533290304284154</v>
      </c>
      <c r="V83" s="5">
        <f>SUMPRODUCT(N(Tabela1[Código]=Tabela3[[#This Row],[PAPEL]]),Tabela1[Fechamento])</f>
        <v>5.75</v>
      </c>
      <c r="W83" s="5">
        <f>SUMPRODUCT(N(Tabela17[Código]=Tabela3[[#This Row],[PAPEL]]),Tabela17[Fechamento])</f>
        <v>0</v>
      </c>
    </row>
    <row r="84" spans="1:23" x14ac:dyDescent="0.2">
      <c r="A84" s="4" t="s">
        <v>12</v>
      </c>
      <c r="B84" s="14" t="s">
        <v>101</v>
      </c>
      <c r="C84" s="15">
        <v>3</v>
      </c>
      <c r="D84" s="5">
        <v>1597704000</v>
      </c>
      <c r="E84" s="5">
        <v>150604000</v>
      </c>
      <c r="F84" s="21">
        <v>77855299</v>
      </c>
      <c r="G84" s="15">
        <f>Tabela3[[#This Row],[Lucro Líquido]]/Tabela3[[#This Row],[Total Ações]]</f>
        <v>1.9344091145292499</v>
      </c>
      <c r="H84" s="15">
        <f>Tabela3[[#This Row],[Lucro/Ação]]/Tabela3[[#This Row],[Ref]]*4</f>
        <v>2.5792121527056664</v>
      </c>
      <c r="I84" s="19">
        <f>IF(GETPIVOTDATA("Payout",'Tabela LL'!$A$3,"Ativo",Tabela3[[#This Row],[PAPEL]])&gt;1,1,GETPIVOTDATA("Payout",'Tabela LL'!$A$3,"Ativo",Tabela3[[#This Row],[PAPEL]]))</f>
        <v>0.61566379005177641</v>
      </c>
      <c r="J84" s="6">
        <f>Tabela3[Patrimônio Líquido]/Tabela3[Total Ações]</f>
        <v>20.52145480810497</v>
      </c>
      <c r="K84" s="52">
        <f>MAX(Tabela3[[#This Row],[Cotação 1]],Tabela3[[#This Row],[Cotação 2]])</f>
        <v>44.6</v>
      </c>
      <c r="L84" s="48">
        <f>Tabela3[Cotação]/Tabela3[VPA]</f>
        <v>2.1733351956307301</v>
      </c>
      <c r="M84" s="44">
        <f>IF(Tabela3[[#This Row],[Lucro/Ação Ano]]&gt;0,Tabela3[[#This Row],[Cotação]]/Tabela3[[#This Row],[Lucro/Ação Ano]],0)</f>
        <v>17.292102145693345</v>
      </c>
      <c r="N84" s="6">
        <f>ROUND(Tabela3[[#This Row],[Lucro Prev]]/10%,2)</f>
        <v>15.88</v>
      </c>
      <c r="O84" s="62">
        <f>MIN(Tabela3[[#This Row],[10% Rent]],Tabela3[[#This Row],[VPA]]*2)</f>
        <v>15.88</v>
      </c>
      <c r="P84" s="19">
        <f>Tabela3[[#This Row],[P Compra]]/Tabela3[[#This Row],[Cotação]]-1</f>
        <v>-0.64394618834080719</v>
      </c>
      <c r="Q84" s="6">
        <f>Tabela3[[#This Row],[Lucro/Ação Ano]]*Tabela3[[#This Row],[Payout]]</f>
        <v>1.5879275292823716</v>
      </c>
      <c r="R84" s="15" t="str">
        <f>IF(AND(Tabela3[% Yield]&gt;=10%,Tabela3[PVPA]&lt;=2,Tabela3[PL]&lt;=15,Tabela3[PL]&gt;0),"Sim","Não")</f>
        <v>Não</v>
      </c>
      <c r="S84" s="46">
        <f>Tabela3[[#This Row],[Lucro Prev]]/Tabela3[[#This Row],[Cotação]]</f>
        <v>3.5603756261936584E-2</v>
      </c>
      <c r="T84" s="14">
        <f>($Z$1/Tabela3[[#This Row],[Cotação]]-MOD($Z$1/Tabela3[[#This Row],[Cotação]],100))</f>
        <v>0</v>
      </c>
      <c r="U84" s="17">
        <f>Tabela3[[#This Row],[Ativos]]*Tabela3[[#This Row],[Lucro Prev]]</f>
        <v>0</v>
      </c>
      <c r="V84" s="5">
        <f>SUMPRODUCT(N(Tabela1[Código]=Tabela3[[#This Row],[PAPEL]]),Tabela1[Fechamento])</f>
        <v>44.6</v>
      </c>
      <c r="W84" s="5">
        <f>SUMPRODUCT(N(Tabela17[Código]=Tabela3[[#This Row],[PAPEL]]),Tabela17[Fechamento])</f>
        <v>0</v>
      </c>
    </row>
    <row r="85" spans="1:23" x14ac:dyDescent="0.2">
      <c r="A85" s="4" t="s">
        <v>19</v>
      </c>
      <c r="B85" s="14" t="s">
        <v>228</v>
      </c>
      <c r="C85" s="15">
        <v>3</v>
      </c>
      <c r="D85" s="6">
        <v>460223000</v>
      </c>
      <c r="E85" s="6">
        <v>24584000</v>
      </c>
      <c r="F85" s="42">
        <v>166720235</v>
      </c>
      <c r="G85" s="15">
        <f>Tabela3[[#This Row],[Lucro Líquido]]/Tabela3[[#This Row],[Total Ações]]</f>
        <v>0.14745660597227445</v>
      </c>
      <c r="H85" s="15">
        <f>Tabela3[[#This Row],[Lucro/Ação]]/Tabela3[[#This Row],[Ref]]*4</f>
        <v>0.19660880796303259</v>
      </c>
      <c r="I85" s="19">
        <f>IF(GETPIVOTDATA("Payout",'Tabela LL'!$A$3,"Ativo",Tabela3[[#This Row],[PAPEL]])&gt;1,1,GETPIVOTDATA("Payout",'Tabela LL'!$A$3,"Ativo",Tabela3[[#This Row],[PAPEL]]))</f>
        <v>0.5857126326415365</v>
      </c>
      <c r="J85" s="6">
        <f>Tabela3[Patrimônio Líquido]/Tabela3[Total Ações]</f>
        <v>2.760450763520097</v>
      </c>
      <c r="K85" s="52">
        <f>MAX(Tabela3[[#This Row],[Cotação 1]],Tabela3[[#This Row],[Cotação 2]])</f>
        <v>3.3</v>
      </c>
      <c r="L85" s="48">
        <f>Tabela3[Cotação]/Tabela3[VPA]</f>
        <v>1.1954569317483046</v>
      </c>
      <c r="M85" s="44">
        <f>IF(Tabela3[[#This Row],[Lucro/Ação Ano]]&gt;0,Tabela3[[#This Row],[Cotação]]/Tabela3[[#This Row],[Lucro/Ação Ano]],0)</f>
        <v>16.78459899223072</v>
      </c>
      <c r="N85" s="6">
        <f>ROUND(Tabela3[[#This Row],[Lucro Prev]]/10%,2)</f>
        <v>1.1499999999999999</v>
      </c>
      <c r="O85" s="62">
        <f>MIN(Tabela3[[#This Row],[10% Rent]],Tabela3[[#This Row],[VPA]]*2)</f>
        <v>1.1499999999999999</v>
      </c>
      <c r="P85" s="19">
        <f>Tabela3[[#This Row],[P Compra]]/Tabela3[[#This Row],[Cotação]]-1</f>
        <v>-0.6515151515151516</v>
      </c>
      <c r="Q85" s="6">
        <f>Tabela3[[#This Row],[Lucro/Ação Ano]]*Tabela3[[#This Row],[Payout]]</f>
        <v>0.1151562625125421</v>
      </c>
      <c r="R85" s="15" t="str">
        <f>IF(AND(Tabela3[% Yield]&gt;=10%,Tabela3[PVPA]&lt;=2,Tabela3[PL]&lt;=15,Tabela3[PL]&gt;0),"Sim","Não")</f>
        <v>Não</v>
      </c>
      <c r="S85" s="46">
        <f>Tabela3[[#This Row],[Lucro Prev]]/Tabela3[[#This Row],[Cotação]]</f>
        <v>3.4895837125012763E-2</v>
      </c>
      <c r="T85" s="14">
        <f>($Z$1/Tabela3[[#This Row],[Cotação]]-MOD($Z$1/Tabela3[[#This Row],[Cotação]],100))</f>
        <v>300</v>
      </c>
      <c r="U85" s="17">
        <f>Tabela3[[#This Row],[Ativos]]*Tabela3[[#This Row],[Lucro Prev]]</f>
        <v>34.546878753762627</v>
      </c>
      <c r="V85" s="5">
        <f>SUMPRODUCT(N(Tabela1[Código]=Tabela3[[#This Row],[PAPEL]]),Tabela1[Fechamento])</f>
        <v>3.3</v>
      </c>
      <c r="W85" s="5">
        <f>SUMPRODUCT(N(Tabela17[Código]=Tabela3[[#This Row],[PAPEL]]),Tabela17[Fechamento])</f>
        <v>0</v>
      </c>
    </row>
    <row r="86" spans="1:23" x14ac:dyDescent="0.2">
      <c r="A86" s="25" t="s">
        <v>12</v>
      </c>
      <c r="B86" s="15" t="s">
        <v>35</v>
      </c>
      <c r="C86" s="16">
        <v>3</v>
      </c>
      <c r="D86" s="31">
        <v>2881205000</v>
      </c>
      <c r="E86" s="31">
        <v>130778000</v>
      </c>
      <c r="F86" s="28">
        <v>198447352</v>
      </c>
      <c r="G86" s="27">
        <f>Tabela3[[#This Row],[Lucro Líquido]]/Tabela3[[#This Row],[Total Ações]]</f>
        <v>0.65900602190952895</v>
      </c>
      <c r="H86" s="27">
        <f>Tabela3[[#This Row],[Lucro/Ação]]/Tabela3[[#This Row],[Ref]]*4</f>
        <v>0.87867469587937197</v>
      </c>
      <c r="I86" s="53">
        <f>IF(GETPIVOTDATA("Payout",'Tabela LL'!$A$3,"Ativo",Tabela3[[#This Row],[PAPEL]])&gt;1,1,GETPIVOTDATA("Payout",'Tabela LL'!$A$3,"Ativo",Tabela3[[#This Row],[PAPEL]]))</f>
        <v>0.90036243172799468</v>
      </c>
      <c r="J86" s="31">
        <f>Tabela3[Patrimônio Líquido]/Tabela3[Total Ações]</f>
        <v>14.518737443269083</v>
      </c>
      <c r="K86" s="32">
        <f>MAX(Tabela3[[#This Row],[Cotação 1]],Tabela3[[#This Row],[Cotação 2]])</f>
        <v>23.15</v>
      </c>
      <c r="L86" s="33">
        <f>Tabela3[Cotação]/Tabela3[VPA]</f>
        <v>1.5944912627876184</v>
      </c>
      <c r="M86" s="38">
        <f>IF(Tabela3[[#This Row],[Lucro/Ação Ano]]&gt;0,Tabela3[[#This Row],[Cotação]]/Tabela3[[#This Row],[Lucro/Ação Ano]],0)</f>
        <v>26.34649672804294</v>
      </c>
      <c r="N86" s="31">
        <f>ROUND(Tabela3[[#This Row],[Lucro Prev]]/10%,2)</f>
        <v>7.91</v>
      </c>
      <c r="O86" s="29">
        <f>MIN(Tabela3[[#This Row],[10% Rent]],Tabela3[[#This Row],[VPA]]*2)</f>
        <v>7.91</v>
      </c>
      <c r="P86" s="54">
        <f>Tabela3[[#This Row],[P Compra]]/Tabela3[[#This Row],[Cotação]]-1</f>
        <v>-0.65831533477321813</v>
      </c>
      <c r="Q86" s="6">
        <f>Tabela3[[#This Row],[Lucro/Ação Ano]]*Tabela3[[#This Row],[Payout]]</f>
        <v>0.79112568587980758</v>
      </c>
      <c r="R86" s="26" t="str">
        <f>IF(AND(Tabela3[% Yield]&gt;=10%,Tabela3[PVPA]&lt;=2,Tabela3[PL]&lt;=15,Tabela3[PL]&gt;0),"Sim","Não")</f>
        <v>Não</v>
      </c>
      <c r="S86" s="30">
        <f>Tabela3[[#This Row],[Lucro Prev]]/Tabela3[[#This Row],[Cotação]]</f>
        <v>3.4173895718350222E-2</v>
      </c>
      <c r="T86" s="10">
        <f>($Z$1/Tabela3[[#This Row],[Cotação]]-MOD($Z$1/Tabela3[[#This Row],[Cotação]],100))</f>
        <v>0</v>
      </c>
      <c r="U86" s="7">
        <f>Tabela3[[#This Row],[Ativos]]*Tabela3[[#This Row],[Lucro Prev]]</f>
        <v>0</v>
      </c>
      <c r="V86" s="5">
        <f>SUMPRODUCT(N(Tabela1[Código]=Tabela3[[#This Row],[PAPEL]]),Tabela1[Fechamento])</f>
        <v>23.15</v>
      </c>
      <c r="W86" s="5">
        <f>SUMPRODUCT(N(Tabela17[Código]=Tabela3[[#This Row],[PAPEL]]),Tabela17[Fechamento])</f>
        <v>0</v>
      </c>
    </row>
    <row r="87" spans="1:23" x14ac:dyDescent="0.2">
      <c r="A87" s="4" t="s">
        <v>489</v>
      </c>
      <c r="B87" s="14" t="s">
        <v>20</v>
      </c>
      <c r="C87" s="15">
        <v>3</v>
      </c>
      <c r="D87" s="6">
        <v>341312244000</v>
      </c>
      <c r="E87" s="6">
        <v>17288839000</v>
      </c>
      <c r="F87" s="42">
        <v>13044496930</v>
      </c>
      <c r="G87" s="74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0.30588500522710332</v>
      </c>
      <c r="J87" s="6">
        <f>Tabela3[Patrimônio Líquido]/Tabela3[Total Ações]</f>
        <v>26.165228588849843</v>
      </c>
      <c r="K87" s="52">
        <f>MAX(Tabela3[[#This Row],[Cotação 1]],Tabela3[[#This Row],[Cotação 2]])</f>
        <v>15.99</v>
      </c>
      <c r="L87" s="48">
        <f>Tabela3[Cotação]/Tabela3[VPA]</f>
        <v>0.6111163885193055</v>
      </c>
      <c r="M87" s="44">
        <f>IF(Tabela3[[#This Row],[Lucro/Ação Ano]]&gt;0,Tabela3[[#This Row],[Cotação]]/Tabela3[[#This Row],[Lucro/Ação Ano]],0)</f>
        <v>9.0483883523367314</v>
      </c>
      <c r="N87" s="13">
        <f>ROUND(Tabela3[[#This Row],[Lucro Prev]]/10%,2)</f>
        <v>5.41</v>
      </c>
      <c r="O87" s="13">
        <f>MIN(Tabela3[[#This Row],[10% Rent]],Tabela3[[#This Row],[VPA]]*2)</f>
        <v>5.41</v>
      </c>
      <c r="P87" s="19">
        <f>Tabela3[[#This Row],[P Compra]]/Tabela3[[#This Row],[Cotação]]-1</f>
        <v>-0.66166353971232017</v>
      </c>
      <c r="Q87" s="6">
        <f>Tabela3[[#This Row],[Lucro/Ação Ano]]*Tabela3[[#This Row],[Payout]]</f>
        <v>0.54054943743857586</v>
      </c>
      <c r="R87" s="15" t="str">
        <f>IF(AND(Tabela3[% Yield]&gt;=10%,Tabela3[PVPA]&lt;=2,Tabela3[PL]&lt;=15,Tabela3[PL]&gt;0),"Sim","Não")</f>
        <v>Não</v>
      </c>
      <c r="S87" s="46">
        <f>Tabela3[[#This Row],[Lucro Prev]]/Tabela3[[#This Row],[Cotação]]</f>
        <v>3.3805468257571976E-2</v>
      </c>
      <c r="T87" s="14">
        <f>($Z$1/Tabela3[[#This Row],[Cotação]]-MOD($Z$1/Tabela3[[#This Row],[Cotação]],100))</f>
        <v>0</v>
      </c>
      <c r="U87" s="17">
        <f>Tabela3[[#This Row],[Ativos]]*Tabela3[[#This Row],[Lucro Prev]]</f>
        <v>0</v>
      </c>
      <c r="V87" s="13">
        <f>SUMPRODUCT(N(Tabela1[Código]=Tabela3[[#This Row],[PAPEL]]),Tabela1[Fechamento])</f>
        <v>0</v>
      </c>
      <c r="W87" s="13">
        <f>SUMPRODUCT(N(Tabela17[Código]=Tabela3[[#This Row],[PAPEL]]),Tabela17[Fechamento])</f>
        <v>15.99</v>
      </c>
    </row>
    <row r="88" spans="1:23" x14ac:dyDescent="0.2">
      <c r="A88" s="4" t="s">
        <v>14</v>
      </c>
      <c r="B88" s="14" t="s">
        <v>249</v>
      </c>
      <c r="C88" s="15">
        <v>3</v>
      </c>
      <c r="D88" s="6">
        <v>67033392000</v>
      </c>
      <c r="E88" s="6">
        <v>8931828000</v>
      </c>
      <c r="F88" s="42">
        <v>4207274039</v>
      </c>
      <c r="G88" s="15">
        <f>Tabela3[[#This Row],[Lucro Líquido]]/Tabela3[[#This Row],[Total Ações]]</f>
        <v>2.1229489491782543</v>
      </c>
      <c r="H88" s="15">
        <f>Tabela3[[#This Row],[Lucro/Ação]]/Tabela3[[#This Row],[Ref]]*4</f>
        <v>2.8305985989043392</v>
      </c>
      <c r="I88" s="19">
        <f>IF(GETPIVOTDATA("Payout",'Tabela LL'!$A$3,"Ativo",Tabela3[[#This Row],[PAPEL]])&gt;1,1,GETPIVOTDATA("Payout",'Tabela LL'!$A$3,"Ativo",Tabela3[[#This Row],[PAPEL]]))</f>
        <v>0.37734094800257278</v>
      </c>
      <c r="J88" s="6">
        <f>Tabela3[Patrimônio Líquido]/Tabela3[Total Ações]</f>
        <v>15.932737297029679</v>
      </c>
      <c r="K88" s="52">
        <f>MAX(Tabela3[[#This Row],[Cotação 1]],Tabela3[[#This Row],[Cotação 2]])</f>
        <v>31.95</v>
      </c>
      <c r="L88" s="48">
        <f>Tabela3[Cotação]/Tabela3[VPA]</f>
        <v>2.0053051402508468</v>
      </c>
      <c r="M88" s="44">
        <f>IF(Tabela3[[#This Row],[Lucro/Ação Ano]]&gt;0,Tabela3[[#This Row],[Cotação]]/Tabela3[[#This Row],[Lucro/Ação Ano]],0)</f>
        <v>11.287365157450132</v>
      </c>
      <c r="N88" s="6">
        <f>ROUND(Tabela3[[#This Row],[Lucro Prev]]/10%,2)</f>
        <v>10.68</v>
      </c>
      <c r="O88" s="62">
        <f>MIN(Tabela3[[#This Row],[10% Rent]],Tabela3[[#This Row],[VPA]]*2)</f>
        <v>10.68</v>
      </c>
      <c r="P88" s="19">
        <f>Tabela3[[#This Row],[P Compra]]/Tabela3[[#This Row],[Cotação]]-1</f>
        <v>-0.66572769953051636</v>
      </c>
      <c r="Q88" s="6">
        <f>Tabela3[[#This Row],[Lucro/Ação Ano]]*Tabela3[[#This Row],[Payout]]</f>
        <v>1.0681007587253177</v>
      </c>
      <c r="R88" s="15" t="str">
        <f>IF(AND(Tabela3[% Yield]&gt;=10%,Tabela3[PVPA]&lt;=2,Tabela3[PL]&lt;=15,Tabela3[PL]&gt;0),"Sim","Não")</f>
        <v>Não</v>
      </c>
      <c r="S88" s="46">
        <f>Tabela3[[#This Row],[Lucro Prev]]/Tabela3[[#This Row],[Cotação]]</f>
        <v>3.3430383684673486E-2</v>
      </c>
      <c r="T88" s="14">
        <f>($Z$1/Tabela3[[#This Row],[Cotação]]-MOD($Z$1/Tabela3[[#This Row],[Cotação]],100))</f>
        <v>0</v>
      </c>
      <c r="U88" s="17">
        <f>Tabela3[[#This Row],[Ativos]]*Tabela3[[#This Row],[Lucro Prev]]</f>
        <v>0</v>
      </c>
      <c r="V88" s="5">
        <f>SUMPRODUCT(N(Tabela1[Código]=Tabela3[[#This Row],[PAPEL]]),Tabela1[Fechamento])</f>
        <v>31.95</v>
      </c>
      <c r="W88" s="5">
        <f>SUMPRODUCT(N(Tabela17[Código]=Tabela3[[#This Row],[PAPEL]]),Tabela17[Fechamento])</f>
        <v>0</v>
      </c>
    </row>
    <row r="89" spans="1:23" x14ac:dyDescent="0.2">
      <c r="A89" s="4" t="s">
        <v>37</v>
      </c>
      <c r="B89" s="14" t="s">
        <v>223</v>
      </c>
      <c r="C89" s="15">
        <v>3</v>
      </c>
      <c r="D89" s="6">
        <v>5136809000</v>
      </c>
      <c r="E89" s="6">
        <v>318427000</v>
      </c>
      <c r="F89" s="42">
        <v>119684430</v>
      </c>
      <c r="G89" s="15">
        <f>Tabela3[[#This Row],[Lucro Líquido]]/Tabela3[[#This Row],[Total Ações]]</f>
        <v>2.6605549276543323</v>
      </c>
      <c r="H89" s="15">
        <f>Tabela3[[#This Row],[Lucro/Ação]]/Tabela3[[#This Row],[Ref]]*4</f>
        <v>3.5474065702057764</v>
      </c>
      <c r="I89" s="19">
        <f>IF(GETPIVOTDATA("Payout",'Tabela LL'!$A$3,"Ativo",Tabela3[[#This Row],[PAPEL]])&gt;1,1,GETPIVOTDATA("Payout",'Tabela LL'!$A$3,"Ativo",Tabela3[[#This Row],[PAPEL]]))</f>
        <v>0.33954720063196125</v>
      </c>
      <c r="J89" s="6">
        <f>Tabela3[Patrimônio Líquido]/Tabela3[Total Ações]</f>
        <v>42.919609509775</v>
      </c>
      <c r="K89" s="52">
        <f>MAX(Tabela3[[#This Row],[Cotação 1]],Tabela3[[#This Row],[Cotação 2]])</f>
        <v>37.200000000000003</v>
      </c>
      <c r="L89" s="48">
        <f>Tabela3[Cotação]/Tabela3[VPA]</f>
        <v>0.86673668341571586</v>
      </c>
      <c r="M89" s="44">
        <f>IF(Tabela3[[#This Row],[Lucro/Ação Ano]]&gt;0,Tabela3[[#This Row],[Cotação]]/Tabela3[[#This Row],[Lucro/Ação Ano]],0)</f>
        <v>10.486534109858775</v>
      </c>
      <c r="N89" s="6">
        <f>ROUND(Tabela3[[#This Row],[Lucro Prev]]/10%,2)</f>
        <v>12.05</v>
      </c>
      <c r="O89" s="62">
        <f>MIN(Tabela3[[#This Row],[10% Rent]],Tabela3[[#This Row],[VPA]]*2)</f>
        <v>12.05</v>
      </c>
      <c r="P89" s="19">
        <f>Tabela3[[#This Row],[P Compra]]/Tabela3[[#This Row],[Cotação]]-1</f>
        <v>-0.67607526881720426</v>
      </c>
      <c r="Q89" s="6">
        <f>Tabela3[[#This Row],[Lucro/Ação Ano]]*Tabela3[[#This Row],[Payout]]</f>
        <v>1.2045119704167984</v>
      </c>
      <c r="R89" s="15" t="str">
        <f>IF(AND(Tabela3[% Yield]&gt;=10%,Tabela3[PVPA]&lt;=2,Tabela3[PL]&lt;=15,Tabela3[PL]&gt;0),"Sim","Não")</f>
        <v>Não</v>
      </c>
      <c r="S89" s="46">
        <f>Tabela3[[#This Row],[Lucro Prev]]/Tabela3[[#This Row],[Cotação]]</f>
        <v>3.2379354043462316E-2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5">
        <f>SUMPRODUCT(N(Tabela1[Código]=Tabela3[[#This Row],[PAPEL]]),Tabela1[Fechamento])</f>
        <v>37.200000000000003</v>
      </c>
      <c r="W89" s="5">
        <f>SUMPRODUCT(N(Tabela17[Código]=Tabela3[[#This Row],[PAPEL]]),Tabela17[Fechamento])</f>
        <v>0</v>
      </c>
    </row>
    <row r="90" spans="1:23" x14ac:dyDescent="0.2">
      <c r="A90" s="4" t="s">
        <v>14</v>
      </c>
      <c r="B90" s="15" t="s">
        <v>300</v>
      </c>
      <c r="C90" s="16">
        <v>3</v>
      </c>
      <c r="D90" s="6">
        <v>32199000000</v>
      </c>
      <c r="E90" s="5">
        <v>3922000000</v>
      </c>
      <c r="F90" s="21">
        <v>5470667261</v>
      </c>
      <c r="G90" s="16">
        <f>Tabela3[[#This Row],[Lucro Líquido]]/Tabela3[[#This Row],[Total Ações]]</f>
        <v>0.71691437495379418</v>
      </c>
      <c r="H90" s="16">
        <f>Tabela3[[#This Row],[Lucro/Ação]]/Tabela3[[#This Row],[Ref]]*4</f>
        <v>0.9558858332717256</v>
      </c>
      <c r="I90" s="18">
        <f>IF(GETPIVOTDATA("Payout",'Tabela LL'!$A$3,"Ativo",Tabela3[[#This Row],[PAPEL]])&gt;1,1,GETPIVOTDATA("Payout",'Tabela LL'!$A$3,"Ativo",Tabela3[[#This Row],[PAPEL]]))</f>
        <v>0.41787587719990676</v>
      </c>
      <c r="J90" s="5">
        <f>Tabela3[Patrimônio Líquido]/Tabela3[Total Ações]</f>
        <v>5.8857536866744562</v>
      </c>
      <c r="K90" s="59">
        <f>MAX(Tabela3[[#This Row],[Cotação 1]],Tabela3[[#This Row],[Cotação 2]])</f>
        <v>12.7</v>
      </c>
      <c r="L90" s="60">
        <f>Tabela3[Cotação]/Tabela3[VPA]</f>
        <v>2.1577525455666322</v>
      </c>
      <c r="M90" s="40">
        <f>IF(Tabela3[[#This Row],[Lucro/Ação Ano]]&gt;0,Tabela3[[#This Row],[Cotação]]/Tabela3[[#This Row],[Lucro/Ação Ano]],0)</f>
        <v>13.286105471959457</v>
      </c>
      <c r="N90" s="5">
        <f>ROUND(Tabela3[[#This Row],[Lucro Prev]]/10%,2)</f>
        <v>3.99</v>
      </c>
      <c r="O90" s="61">
        <f>MIN(Tabela3[[#This Row],[10% Rent]],Tabela3[[#This Row],[VPA]]*2)</f>
        <v>3.99</v>
      </c>
      <c r="P90" s="18">
        <f>Tabela3[[#This Row],[P Compra]]/Tabela3[[#This Row],[Cotação]]-1</f>
        <v>-0.68582677165354333</v>
      </c>
      <c r="Q90" s="5">
        <f>Tabela3[[#This Row],[Lucro/Ação Ano]]*Tabela3[[#This Row],[Payout]]</f>
        <v>0.39944163108138614</v>
      </c>
      <c r="R90" s="16" t="str">
        <f>IF(AND(Tabela3[% Yield]&gt;=10%,Tabela3[PVPA]&lt;=2,Tabela3[PL]&lt;=15,Tabela3[PL]&gt;0),"Sim","Não")</f>
        <v>Não</v>
      </c>
      <c r="S90" s="22">
        <f>Tabela3[[#This Row],[Lucro Prev]]/Tabela3[[#This Row],[Cotação]]</f>
        <v>3.1452096935542219E-2</v>
      </c>
      <c r="T90" s="10">
        <f>($Z$1/Tabela3[[#This Row],[Cotação]]-MOD($Z$1/Tabela3[[#This Row],[Cotação]],100))</f>
        <v>0</v>
      </c>
      <c r="U90" s="7">
        <f>Tabela3[[#This Row],[Ativos]]*Tabela3[[#This Row],[Lucro Prev]]</f>
        <v>0</v>
      </c>
      <c r="V90" s="5">
        <f>SUMPRODUCT(N(Tabela1[Código]=Tabela3[[#This Row],[PAPEL]]),Tabela1[Fechamento])</f>
        <v>12.7</v>
      </c>
      <c r="W90" s="5">
        <f>SUMPRODUCT(N(Tabela17[Código]=Tabela3[[#This Row],[PAPEL]]),Tabela17[Fechamento])</f>
        <v>0</v>
      </c>
    </row>
    <row r="91" spans="1:23" x14ac:dyDescent="0.2">
      <c r="A91" s="4" t="s">
        <v>40</v>
      </c>
      <c r="B91" s="14" t="s">
        <v>520</v>
      </c>
      <c r="C91" s="15">
        <v>3</v>
      </c>
      <c r="D91" s="5">
        <v>509526000</v>
      </c>
      <c r="E91" s="5">
        <v>33359000</v>
      </c>
      <c r="F91" s="21">
        <v>31485170</v>
      </c>
      <c r="G91" s="74">
        <f>Tabela3[[#This Row],[Lucro Líquido]]/Tabela3[[#This Row],[Total Ações]]</f>
        <v>1.0595146858028717</v>
      </c>
      <c r="H91" s="15">
        <f>Tabela3[[#This Row],[Lucro/Ação]]/Tabela3[[#This Row],[Ref]]*4</f>
        <v>1.4126862477371622</v>
      </c>
      <c r="I91" s="19">
        <f>IF(GETPIVOTDATA("Payout",'Tabela LL'!$A$3,"Ativo",Tabela3[[#This Row],[PAPEL]])&gt;1,1,GETPIVOTDATA("Payout",'Tabela LL'!$A$3,"Ativo",Tabela3[[#This Row],[PAPEL]]))</f>
        <v>0.23695478536753822</v>
      </c>
      <c r="J91" s="6">
        <f>Tabela3[Patrimônio Líquido]/Tabela3[Total Ações]</f>
        <v>16.183047447417309</v>
      </c>
      <c r="K91" s="52">
        <f>MAX(Tabela3[[#This Row],[Cotação 1]],Tabela3[[#This Row],[Cotação 2]])</f>
        <v>10.91</v>
      </c>
      <c r="L91" s="48">
        <f>Tabela3[Cotação]/Tabela3[VPA]</f>
        <v>0.67416226983510164</v>
      </c>
      <c r="M91" s="44">
        <f>IF(Tabela3[[#This Row],[Lucro/Ação Ano]]&gt;0,Tabela3[[#This Row],[Cotação]]/Tabela3[[#This Row],[Lucro/Ação Ano]],0)</f>
        <v>7.7228754916214513</v>
      </c>
      <c r="N91" s="13">
        <f>ROUND(Tabela3[[#This Row],[Lucro Prev]]/10%,2)</f>
        <v>3.35</v>
      </c>
      <c r="O91" s="13">
        <f>MIN(Tabela3[[#This Row],[10% Rent]],Tabela3[[#This Row],[VPA]]*2)</f>
        <v>3.35</v>
      </c>
      <c r="P91" s="19">
        <f>Tabela3[[#This Row],[P Compra]]/Tabela3[[#This Row],[Cotação]]-1</f>
        <v>-0.69294225481209892</v>
      </c>
      <c r="Q91" s="6">
        <f>Tabela3[[#This Row],[Lucro/Ação Ano]]*Tabela3[[#This Row],[Payout]]</f>
        <v>0.33474276662423219</v>
      </c>
      <c r="R91" s="15" t="str">
        <f>IF(AND(Tabela3[% Yield]&gt;=10%,Tabela3[PVPA]&lt;=2,Tabela3[PL]&lt;=15,Tabela3[PL]&gt;0),"Sim","Não")</f>
        <v>Não</v>
      </c>
      <c r="S91" s="46">
        <f>Tabela3[[#This Row],[Lucro Prev]]/Tabela3[[#This Row],[Cotação]]</f>
        <v>3.0682196757491492E-2</v>
      </c>
      <c r="T91" s="14">
        <f>($Z$1/Tabela3[[#This Row],[Cotação]]-MOD($Z$1/Tabela3[[#This Row],[Cotação]],100))</f>
        <v>0</v>
      </c>
      <c r="U91" s="17">
        <f>Tabela3[[#This Row],[Ativos]]*Tabela3[[#This Row],[Lucro Prev]]</f>
        <v>0</v>
      </c>
      <c r="V91" s="13">
        <f>SUMPRODUCT(N(Tabela1[Código]=Tabela3[[#This Row],[PAPEL]]),Tabela1[Fechamento])</f>
        <v>0</v>
      </c>
      <c r="W91" s="13">
        <f>SUMPRODUCT(N(Tabela17[Código]=Tabela3[[#This Row],[PAPEL]]),Tabela17[Fechamento])</f>
        <v>10.91</v>
      </c>
    </row>
    <row r="92" spans="1:23" x14ac:dyDescent="0.2">
      <c r="A92" s="3" t="s">
        <v>560</v>
      </c>
      <c r="B92" s="75" t="s">
        <v>555</v>
      </c>
      <c r="C92" s="16">
        <v>3</v>
      </c>
      <c r="D92" s="5">
        <v>264517000</v>
      </c>
      <c r="E92" s="5">
        <v>37183000</v>
      </c>
      <c r="F92" s="21">
        <v>24948000</v>
      </c>
      <c r="G92" s="73">
        <f>Tabela3[[#This Row],[Lucro Líquido]]/Tabela3[[#This Row],[Total Ações]]</f>
        <v>1.490420073753407</v>
      </c>
      <c r="H92" s="16">
        <f>Tabela3[[#This Row],[Lucro/Ação]]/Tabela3[[#This Row],[Ref]]*4</f>
        <v>1.9872267650045428</v>
      </c>
      <c r="I92" s="18">
        <f>IF(GETPIVOTDATA("Payout",'Tabela LL'!$A$3,"Ativo",Tabela3[[#This Row],[PAPEL]])&gt;1,1,GETPIVOTDATA("Payout",'Tabela LL'!$A$3,"Ativo",Tabela3[[#This Row],[PAPEL]]))</f>
        <v>0.22362663562799309</v>
      </c>
      <c r="J92" s="5">
        <f>Tabela3[Patrimônio Líquido]/Tabela3[Total Ações]</f>
        <v>10.602733686067019</v>
      </c>
      <c r="K92" s="59">
        <f>MAX(Tabela3[[#This Row],[Cotação 1]],Tabela3[[#This Row],[Cotação 2]])</f>
        <v>15.09</v>
      </c>
      <c r="L92" s="60">
        <f>Tabela3[Cotação]/Tabela3[VPA]</f>
        <v>1.423217865014347</v>
      </c>
      <c r="M92" s="40">
        <f>IF(Tabela3[[#This Row],[Lucro/Ação Ano]]&gt;0,Tabela3[[#This Row],[Cotação]]/Tabela3[[#This Row],[Lucro/Ação Ano]],0)</f>
        <v>7.5934967592717104</v>
      </c>
      <c r="N92" s="7">
        <f>ROUND(Tabela3[[#This Row],[Lucro Prev]]/10%,2)</f>
        <v>4.4400000000000004</v>
      </c>
      <c r="O92" s="51">
        <f>MIN(Tabela3[[#This Row],[10% Rent]],Tabela3[[#This Row],[VPA]]*2)</f>
        <v>4.4400000000000004</v>
      </c>
      <c r="P92" s="18">
        <f>Tabela3[[#This Row],[P Compra]]/Tabela3[[#This Row],[Cotação]]-1</f>
        <v>-0.70576540755467199</v>
      </c>
      <c r="Q92" s="5">
        <f>Tabela3[[#This Row],[Lucro/Ação Ano]]*Tabela3[[#This Row],[Payout]]</f>
        <v>0.44439683568786637</v>
      </c>
      <c r="R92" s="16" t="str">
        <f>IF(AND(Tabela3[% Yield]&gt;=10%,Tabela3[PVPA]&lt;=2,Tabela3[PL]&lt;=15,Tabela3[PL]&gt;0),"Sim","Não")</f>
        <v>Não</v>
      </c>
      <c r="S92" s="22">
        <f>Tabela3[[#This Row],[Lucro Prev]]/Tabela3[[#This Row],[Cotação]]</f>
        <v>2.944975716950738E-2</v>
      </c>
      <c r="T92" s="10">
        <f>($Z$1/Tabela3[[#This Row],[Cotação]]-MOD($Z$1/Tabela3[[#This Row],[Cotação]],100))</f>
        <v>0</v>
      </c>
      <c r="U92" s="7">
        <f>Tabela3[[#This Row],[Ativos]]*Tabela3[[#This Row],[Lucro Prev]]</f>
        <v>0</v>
      </c>
      <c r="V92" s="51">
        <f>SUMPRODUCT(N(Tabela1[Código]=Tabela3[[#This Row],[PAPEL]]),Tabela1[Fechamento])</f>
        <v>0</v>
      </c>
      <c r="W92" s="61">
        <f>SUMPRODUCT(N(Tabela17[Código]=Tabela3[[#This Row],[PAPEL]]),Tabela17[Fechamento])</f>
        <v>15.09</v>
      </c>
    </row>
    <row r="93" spans="1:23" x14ac:dyDescent="0.2">
      <c r="A93" s="4" t="s">
        <v>26</v>
      </c>
      <c r="B93" s="14" t="s">
        <v>303</v>
      </c>
      <c r="C93" s="15">
        <v>3</v>
      </c>
      <c r="D93" s="6">
        <v>5318159000</v>
      </c>
      <c r="E93" s="6">
        <v>472452000</v>
      </c>
      <c r="F93" s="42">
        <v>323293030</v>
      </c>
      <c r="G93" s="15">
        <f>Tabela3[[#This Row],[Lucro Líquido]]/Tabela3[[#This Row],[Total Ações]]</f>
        <v>1.4613739120821752</v>
      </c>
      <c r="H93" s="15">
        <f>Tabela3[[#This Row],[Lucro/Ação]]/Tabela3[[#This Row],[Ref]]*4</f>
        <v>1.9484985494429001</v>
      </c>
      <c r="I93" s="19">
        <f>IF(GETPIVOTDATA("Payout",'Tabela LL'!$A$3,"Ativo",Tabela3[[#This Row],[PAPEL]])&gt;1,1,GETPIVOTDATA("Payout",'Tabela LL'!$A$3,"Ativo",Tabela3[[#This Row],[PAPEL]]))</f>
        <v>0.43307716407622709</v>
      </c>
      <c r="J93" s="6">
        <f>Tabela3[Patrimônio Líquido]/Tabela3[Total Ações]</f>
        <v>16.449964912636688</v>
      </c>
      <c r="K93" s="52">
        <f>MAX(Tabela3[[#This Row],[Cotação 1]],Tabela3[[#This Row],[Cotação 2]])</f>
        <v>29.75</v>
      </c>
      <c r="L93" s="48">
        <f>Tabela3[Cotação]/Tabela3[VPA]</f>
        <v>1.8085144958057855</v>
      </c>
      <c r="M93" s="44">
        <f>IF(Tabela3[[#This Row],[Lucro/Ação Ano]]&gt;0,Tabela3[[#This Row],[Cotação]]/Tabela3[[#This Row],[Lucro/Ação Ano]],0)</f>
        <v>15.268166357375987</v>
      </c>
      <c r="N93" s="6">
        <f>ROUND(Tabela3[[#This Row],[Lucro Prev]]/10%,2)</f>
        <v>8.44</v>
      </c>
      <c r="O93" s="62">
        <f>MIN(Tabela3[[#This Row],[10% Rent]],Tabela3[[#This Row],[VPA]]*2)</f>
        <v>8.44</v>
      </c>
      <c r="P93" s="19">
        <f>Tabela3[[#This Row],[P Compra]]/Tabela3[[#This Row],[Cotação]]-1</f>
        <v>-0.7163025210084033</v>
      </c>
      <c r="Q93" s="6">
        <f>Tabela3[[#This Row],[Lucro/Ação Ano]]*Tabela3[[#This Row],[Payout]]</f>
        <v>0.84385022599937332</v>
      </c>
      <c r="R93" s="15" t="str">
        <f>IF(AND(Tabela3[% Yield]&gt;=10%,Tabela3[PVPA]&lt;=2,Tabela3[PL]&lt;=15,Tabela3[PL]&gt;0),"Sim","Não")</f>
        <v>Não</v>
      </c>
      <c r="S93" s="46">
        <f>Tabela3[[#This Row],[Lucro Prev]]/Tabela3[[#This Row],[Cotação]]</f>
        <v>2.8364713478970533E-2</v>
      </c>
      <c r="T93" s="14">
        <f>($Z$1/Tabela3[[#This Row],[Cotação]]-MOD($Z$1/Tabela3[[#This Row],[Cotação]],100))</f>
        <v>0</v>
      </c>
      <c r="U93" s="17">
        <f>Tabela3[[#This Row],[Ativos]]*Tabela3[[#This Row],[Lucro Prev]]</f>
        <v>0</v>
      </c>
      <c r="V93" s="5">
        <f>SUMPRODUCT(N(Tabela1[Código]=Tabela3[[#This Row],[PAPEL]]),Tabela1[Fechamento])</f>
        <v>29.75</v>
      </c>
      <c r="W93" s="5">
        <f>SUMPRODUCT(N(Tabela17[Código]=Tabela3[[#This Row],[PAPEL]]),Tabela17[Fechamento])</f>
        <v>0</v>
      </c>
    </row>
    <row r="94" spans="1:23" x14ac:dyDescent="0.2">
      <c r="A94" s="4" t="s">
        <v>14</v>
      </c>
      <c r="B94" s="15" t="s">
        <v>276</v>
      </c>
      <c r="C94" s="16">
        <v>3</v>
      </c>
      <c r="D94" s="5">
        <v>1002748000</v>
      </c>
      <c r="E94" s="5">
        <v>143437000</v>
      </c>
      <c r="F94" s="21">
        <v>36304650</v>
      </c>
      <c r="G94" s="16">
        <f>Tabela3[[#This Row],[Lucro Líquido]]/Tabela3[[#This Row],[Total Ações]]</f>
        <v>3.9509263964808916</v>
      </c>
      <c r="H94" s="16">
        <f>Tabela3[[#This Row],[Lucro/Ação]]/Tabela3[[#This Row],[Ref]]*4</f>
        <v>5.2679018619745221</v>
      </c>
      <c r="I94" s="18">
        <f>IF(GETPIVOTDATA("Payout",'Tabela LL'!$A$3,"Ativo",Tabela3[[#This Row],[PAPEL]])&gt;1,1,GETPIVOTDATA("Payout",'Tabela LL'!$A$3,"Ativo",Tabela3[[#This Row],[PAPEL]]))</f>
        <v>0.14691424979139903</v>
      </c>
      <c r="J94" s="5">
        <f>Tabela3[Patrimônio Líquido]/Tabela3[Total Ações]</f>
        <v>27.620373698685981</v>
      </c>
      <c r="K94" s="59">
        <f>MAX(Tabela3[[#This Row],[Cotação 1]],Tabela3[[#This Row],[Cotação 2]])</f>
        <v>29.02</v>
      </c>
      <c r="L94" s="60">
        <f>Tabela3[Cotação]/Tabela3[VPA]</f>
        <v>1.0506736916952215</v>
      </c>
      <c r="M94" s="40">
        <f>IF(Tabela3[[#This Row],[Lucro/Ação Ano]]&gt;0,Tabela3[[#This Row],[Cotação]]/Tabela3[[#This Row],[Lucro/Ação Ano]],0)</f>
        <v>5.5088345911445442</v>
      </c>
      <c r="N94" s="5">
        <f>ROUND(Tabela3[[#This Row],[Lucro Prev]]/10%,2)</f>
        <v>7.74</v>
      </c>
      <c r="O94" s="61">
        <f>MIN(Tabela3[[#This Row],[10% Rent]],Tabela3[[#This Row],[VPA]]*2)</f>
        <v>7.74</v>
      </c>
      <c r="P94" s="18">
        <f>Tabela3[[#This Row],[P Compra]]/Tabela3[[#This Row],[Cotação]]-1</f>
        <v>-0.7332873880082702</v>
      </c>
      <c r="Q94" s="5">
        <f>Tabela3[[#This Row],[Lucro/Ação Ano]]*Tabela3[[#This Row],[Payout]]</f>
        <v>0.77392985002670101</v>
      </c>
      <c r="R94" s="16" t="str">
        <f>IF(AND(Tabela3[% Yield]&gt;=10%,Tabela3[PVPA]&lt;=2,Tabela3[PL]&lt;=15,Tabela3[PL]&gt;0),"Sim","Não")</f>
        <v>Não</v>
      </c>
      <c r="S94" s="22">
        <f>Tabela3[[#This Row],[Lucro Prev]]/Tabela3[[#This Row],[Cotação]]</f>
        <v>2.6668843901678188E-2</v>
      </c>
      <c r="T94" s="10">
        <f>($Z$1/Tabela3[[#This Row],[Cotação]]-MOD($Z$1/Tabela3[[#This Row],[Cotação]],100))</f>
        <v>0</v>
      </c>
      <c r="U94" s="7">
        <f>Tabela3[[#This Row],[Ativos]]*Tabela3[[#This Row],[Lucro Prev]]</f>
        <v>0</v>
      </c>
      <c r="V94" s="5">
        <f>SUMPRODUCT(N(Tabela1[Código]=Tabela3[[#This Row],[PAPEL]]),Tabela1[Fechamento])</f>
        <v>29.02</v>
      </c>
      <c r="W94" s="5">
        <f>SUMPRODUCT(N(Tabela17[Código]=Tabela3[[#This Row],[PAPEL]]),Tabela17[Fechamento])</f>
        <v>0</v>
      </c>
    </row>
    <row r="95" spans="1:23" x14ac:dyDescent="0.2">
      <c r="A95" s="3" t="s">
        <v>602</v>
      </c>
      <c r="B95" s="75" t="s">
        <v>620</v>
      </c>
      <c r="C95" s="16">
        <v>3</v>
      </c>
      <c r="D95" s="5">
        <v>1185190000</v>
      </c>
      <c r="E95" s="5">
        <v>90444000</v>
      </c>
      <c r="F95" s="21">
        <v>12251221</v>
      </c>
      <c r="G95" s="73">
        <f>Tabela3[[#This Row],[Lucro Líquido]]/Tabela3[[#This Row],[Total Ações]]</f>
        <v>7.3824478392806725</v>
      </c>
      <c r="H95" s="16">
        <f>Tabela3[[#This Row],[Lucro/Ação]]/Tabela3[[#This Row],[Ref]]*4</f>
        <v>9.8432637857075633</v>
      </c>
      <c r="I95" s="18">
        <f>IF(GETPIVOTDATA("Payout",'Tabela LL'!$A$3,"Ativo",Tabela3[[#This Row],[PAPEL]])&gt;1,1,GETPIVOTDATA("Payout",'Tabela LL'!$A$3,"Ativo",Tabela3[[#This Row],[PAPEL]]))</f>
        <v>0.42680662187286622</v>
      </c>
      <c r="J95" s="5">
        <f>Tabela3[Patrimônio Líquido]/Tabela3[Total Ações]</f>
        <v>96.740561614226039</v>
      </c>
      <c r="K95" s="59">
        <f>MAX(Tabela3[[#This Row],[Cotação 1]],Tabela3[[#This Row],[Cotação 2]])</f>
        <v>158.99</v>
      </c>
      <c r="L95" s="60">
        <f>Tabela3[Cotação]/Tabela3[VPA]</f>
        <v>1.6434678210160398</v>
      </c>
      <c r="M95" s="40">
        <f>IF(Tabela3[[#This Row],[Lucro/Ação Ano]]&gt;0,Tabela3[[#This Row],[Cotação]]/Tabela3[[#This Row],[Lucro/Ação Ano]],0)</f>
        <v>16.152162886344037</v>
      </c>
      <c r="N95" s="7">
        <f>ROUND(Tabela3[[#This Row],[Lucro Prev]]/10%,2)</f>
        <v>42.01</v>
      </c>
      <c r="O95" s="51">
        <f>MIN(Tabela3[[#This Row],[10% Rent]],Tabela3[[#This Row],[VPA]]*2)</f>
        <v>42.01</v>
      </c>
      <c r="P95" s="18">
        <f>Tabela3[[#This Row],[P Compra]]/Tabela3[[#This Row],[Cotação]]-1</f>
        <v>-0.73576954525441862</v>
      </c>
      <c r="Q95" s="5">
        <f>Tabela3[[#This Row],[Lucro/Ação Ano]]*Tabela3[[#This Row],[Payout]]</f>
        <v>4.2011701645813657</v>
      </c>
      <c r="R95" s="16" t="str">
        <f>IF(AND(Tabela3[% Yield]&gt;=10%,Tabela3[PVPA]&lt;=2,Tabela3[PL]&lt;=15,Tabela3[PL]&gt;0),"Sim","Não")</f>
        <v>Não</v>
      </c>
      <c r="S95" s="22">
        <f>Tabela3[[#This Row],[Lucro Prev]]/Tabela3[[#This Row],[Cotação]]</f>
        <v>2.6424115759364524E-2</v>
      </c>
      <c r="T95" s="10">
        <f>($Z$1/Tabela3[[#This Row],[Cotação]]-MOD($Z$1/Tabela3[[#This Row],[Cotação]],100))</f>
        <v>0</v>
      </c>
      <c r="U95" s="7">
        <f>Tabela3[[#This Row],[Ativos]]*Tabela3[[#This Row],[Lucro Prev]]</f>
        <v>0</v>
      </c>
      <c r="V95" s="51">
        <f>SUMPRODUCT(N(Tabela1[Código]=Tabela3[[#This Row],[PAPEL]]),Tabela1[Fechamento])</f>
        <v>0</v>
      </c>
      <c r="W95" s="61">
        <f>SUMPRODUCT(N(Tabela17[Código]=Tabela3[[#This Row],[PAPEL]]),Tabela17[Fechamento])</f>
        <v>158.99</v>
      </c>
    </row>
    <row r="96" spans="1:23" x14ac:dyDescent="0.2">
      <c r="A96" s="3" t="s">
        <v>576</v>
      </c>
      <c r="B96" s="75" t="s">
        <v>574</v>
      </c>
      <c r="C96" s="16">
        <v>3</v>
      </c>
      <c r="D96" s="5">
        <v>1326579000</v>
      </c>
      <c r="E96" s="5">
        <v>106731000</v>
      </c>
      <c r="F96" s="21">
        <v>149714346</v>
      </c>
      <c r="G96" s="73">
        <f>Tabela3[[#This Row],[Lucro Líquido]]/Tabela3[[#This Row],[Total Ações]]</f>
        <v>0.71289761369962501</v>
      </c>
      <c r="H96" s="16">
        <f>Tabela3[[#This Row],[Lucro/Ação]]/Tabela3[[#This Row],[Ref]]*4</f>
        <v>0.95053015159950005</v>
      </c>
      <c r="I96" s="18">
        <f>IF(GETPIVOTDATA("Payout",'Tabela LL'!$A$3,"Ativo",Tabela3[[#This Row],[PAPEL]])&gt;1,1,GETPIVOTDATA("Payout",'Tabela LL'!$A$3,"Ativo",Tabela3[[#This Row],[PAPEL]]))</f>
        <v>0.23785571475872622</v>
      </c>
      <c r="J96" s="5">
        <f>Tabela3[Patrimônio Líquido]/Tabela3[Total Ações]</f>
        <v>8.8607340274525193</v>
      </c>
      <c r="K96" s="59">
        <f>MAX(Tabela3[[#This Row],[Cotação 1]],Tabela3[[#This Row],[Cotação 2]])</f>
        <v>8.8699999999999992</v>
      </c>
      <c r="L96" s="60">
        <f>Tabela3[Cotação]/Tabela3[VPA]</f>
        <v>1.0010457341929881</v>
      </c>
      <c r="M96" s="40">
        <f>IF(Tabela3[[#This Row],[Lucro/Ação Ano]]&gt;0,Tabela3[[#This Row],[Cotação]]/Tabela3[[#This Row],[Lucro/Ação Ano]],0)</f>
        <v>9.3316345463361152</v>
      </c>
      <c r="N96" s="7">
        <f>ROUND(Tabela3[[#This Row],[Lucro Prev]]/10%,2)</f>
        <v>2.2599999999999998</v>
      </c>
      <c r="O96" s="51">
        <f>MIN(Tabela3[[#This Row],[10% Rent]],Tabela3[[#This Row],[VPA]]*2)</f>
        <v>2.2599999999999998</v>
      </c>
      <c r="P96" s="18">
        <f>Tabela3[[#This Row],[P Compra]]/Tabela3[[#This Row],[Cotação]]-1</f>
        <v>-0.74520856820744075</v>
      </c>
      <c r="Q96" s="5">
        <f>Tabela3[[#This Row],[Lucro/Ação Ano]]*Tabela3[[#This Row],[Payout]]</f>
        <v>0.22608902860841948</v>
      </c>
      <c r="R96" s="16" t="str">
        <f>IF(AND(Tabela3[% Yield]&gt;=10%,Tabela3[PVPA]&lt;=2,Tabela3[PL]&lt;=15,Tabela3[PL]&gt;0),"Sim","Não")</f>
        <v>Não</v>
      </c>
      <c r="S96" s="22">
        <f>Tabela3[[#This Row],[Lucro Prev]]/Tabela3[[#This Row],[Cotação]]</f>
        <v>2.5489180226428355E-2</v>
      </c>
      <c r="T96" s="10">
        <f>($Z$1/Tabela3[[#This Row],[Cotação]]-MOD($Z$1/Tabela3[[#This Row],[Cotação]],100))</f>
        <v>100</v>
      </c>
      <c r="U96" s="7">
        <f>Tabela3[[#This Row],[Ativos]]*Tabela3[[#This Row],[Lucro Prev]]</f>
        <v>22.608902860841948</v>
      </c>
      <c r="V96" s="51">
        <f>SUMPRODUCT(N(Tabela1[Código]=Tabela3[[#This Row],[PAPEL]]),Tabela1[Fechamento])</f>
        <v>0</v>
      </c>
      <c r="W96" s="61">
        <f>SUMPRODUCT(N(Tabela17[Código]=Tabela3[[#This Row],[PAPEL]]),Tabela17[Fechamento])</f>
        <v>8.8699999999999992</v>
      </c>
    </row>
    <row r="97" spans="1:23" x14ac:dyDescent="0.2">
      <c r="A97" s="4" t="s">
        <v>14</v>
      </c>
      <c r="B97" s="14" t="s">
        <v>79</v>
      </c>
      <c r="C97" s="15">
        <v>3</v>
      </c>
      <c r="D97" s="6">
        <v>699911000</v>
      </c>
      <c r="E97" s="6">
        <v>6746000</v>
      </c>
      <c r="F97" s="42">
        <v>137747421</v>
      </c>
      <c r="G97" s="15">
        <f>Tabela3[[#This Row],[Lucro Líquido]]/Tabela3[[#This Row],[Total Ações]]</f>
        <v>4.8973693670823791E-2</v>
      </c>
      <c r="H97" s="15">
        <f>Tabela3[[#This Row],[Lucro/Ação]]/Tabela3[[#This Row],[Ref]]*4</f>
        <v>6.5298258227765055E-2</v>
      </c>
      <c r="I97" s="19">
        <f>IF(GETPIVOTDATA("Payout",'Tabela LL'!$A$3,"Ativo",Tabela3[[#This Row],[PAPEL]])&gt;1,1,GETPIVOTDATA("Payout",'Tabela LL'!$A$3,"Ativo",Tabela3[[#This Row],[PAPEL]]))</f>
        <v>1</v>
      </c>
      <c r="J97" s="6">
        <f>Tabela3[Patrimônio Líquido]/Tabela3[Total Ações]</f>
        <v>5.0811187238126223</v>
      </c>
      <c r="K97" s="52">
        <f>MAX(Tabela3[[#This Row],[Cotação 1]],Tabela3[[#This Row],[Cotação 2]])</f>
        <v>2.65</v>
      </c>
      <c r="L97" s="48">
        <f>Tabela3[Cotação]/Tabela3[VPA]</f>
        <v>0.52153868941908321</v>
      </c>
      <c r="M97" s="44">
        <f>IF(Tabela3[[#This Row],[Lucro/Ação Ano]]&gt;0,Tabela3[[#This Row],[Cotação]]/Tabela3[[#This Row],[Lucro/Ação Ano]],0)</f>
        <v>40.583012042321371</v>
      </c>
      <c r="N97" s="6">
        <f>ROUND(Tabela3[[#This Row],[Lucro Prev]]/10%,2)</f>
        <v>0.65</v>
      </c>
      <c r="O97" s="62">
        <f>MIN(Tabela3[[#This Row],[10% Rent]],Tabela3[[#This Row],[VPA]]*2)</f>
        <v>0.65</v>
      </c>
      <c r="P97" s="19">
        <f>Tabela3[[#This Row],[P Compra]]/Tabela3[[#This Row],[Cotação]]-1</f>
        <v>-0.75471698113207542</v>
      </c>
      <c r="Q97" s="6">
        <f>Tabela3[[#This Row],[Lucro/Ação Ano]]*Tabela3[[#This Row],[Payout]]</f>
        <v>6.5298258227765055E-2</v>
      </c>
      <c r="R97" s="15" t="str">
        <f>IF(AND(Tabela3[% Yield]&gt;=10%,Tabela3[PVPA]&lt;=2,Tabela3[PL]&lt;=15,Tabela3[PL]&gt;0),"Sim","Não")</f>
        <v>Não</v>
      </c>
      <c r="S97" s="46">
        <f>Tabela3[[#This Row],[Lucro Prev]]/Tabela3[[#This Row],[Cotação]]</f>
        <v>2.4640852161420777E-2</v>
      </c>
      <c r="T97" s="14">
        <f>($Z$1/Tabela3[[#This Row],[Cotação]]-MOD($Z$1/Tabela3[[#This Row],[Cotação]],100))</f>
        <v>300</v>
      </c>
      <c r="U97" s="17">
        <f>Tabela3[[#This Row],[Ativos]]*Tabela3[[#This Row],[Lucro Prev]]</f>
        <v>19.589477468329516</v>
      </c>
      <c r="V97" s="5">
        <f>SUMPRODUCT(N(Tabela1[Código]=Tabela3[[#This Row],[PAPEL]]),Tabela1[Fechamento])</f>
        <v>2.65</v>
      </c>
      <c r="W97" s="5">
        <f>SUMPRODUCT(N(Tabela17[Código]=Tabela3[[#This Row],[PAPEL]]),Tabela17[Fechamento])</f>
        <v>0</v>
      </c>
    </row>
    <row r="98" spans="1:23" x14ac:dyDescent="0.2">
      <c r="A98" s="3" t="s">
        <v>602</v>
      </c>
      <c r="B98" s="75" t="s">
        <v>624</v>
      </c>
      <c r="C98" s="16">
        <v>3</v>
      </c>
      <c r="D98" s="5">
        <v>6332530000</v>
      </c>
      <c r="E98" s="5">
        <v>852330000</v>
      </c>
      <c r="F98" s="21">
        <v>544383996</v>
      </c>
      <c r="G98" s="73">
        <f>Tabela3[[#This Row],[Lucro Líquido]]/Tabela3[[#This Row],[Total Ações]]</f>
        <v>1.5656779153368057</v>
      </c>
      <c r="H98" s="16">
        <f>Tabela3[[#This Row],[Lucro/Ação]]/Tabela3[[#This Row],[Ref]]*4</f>
        <v>2.0875705537824074</v>
      </c>
      <c r="I98" s="18">
        <f>IF(GETPIVOTDATA("Payout",'Tabela LL'!$A$3,"Ativo",Tabela3[[#This Row],[PAPEL]])&gt;1,1,GETPIVOTDATA("Payout",'Tabela LL'!$A$3,"Ativo",Tabela3[[#This Row],[PAPEL]]))</f>
        <v>0.60454237373323505</v>
      </c>
      <c r="J98" s="5">
        <f>Tabela3[Patrimônio Líquido]/Tabela3[Total Ações]</f>
        <v>11.632469077948427</v>
      </c>
      <c r="K98" s="59">
        <f>MAX(Tabela3[[#This Row],[Cotação 1]],Tabela3[[#This Row],[Cotação 2]])</f>
        <v>55.95</v>
      </c>
      <c r="L98" s="60">
        <f>Tabela3[Cotação]/Tabela3[VPA]</f>
        <v>4.8098129146170647</v>
      </c>
      <c r="M98" s="40">
        <f>IF(Tabela3[[#This Row],[Lucro/Ação Ano]]&gt;0,Tabela3[[#This Row],[Cotação]]/Tabela3[[#This Row],[Lucro/Ação Ano]],0)</f>
        <v>26.801489366970543</v>
      </c>
      <c r="N98" s="7">
        <f>ROUND(Tabela3[[#This Row],[Lucro Prev]]/10%,2)</f>
        <v>12.62</v>
      </c>
      <c r="O98" s="51">
        <f>MIN(Tabela3[[#This Row],[10% Rent]],Tabela3[[#This Row],[VPA]]*2)</f>
        <v>12.62</v>
      </c>
      <c r="P98" s="18">
        <f>Tabela3[[#This Row],[P Compra]]/Tabela3[[#This Row],[Cotação]]-1</f>
        <v>-0.77444146559428062</v>
      </c>
      <c r="Q98" s="5">
        <f>Tabela3[[#This Row],[Lucro/Ação Ano]]*Tabela3[[#This Row],[Payout]]</f>
        <v>1.2620248579192206</v>
      </c>
      <c r="R98" s="16" t="str">
        <f>IF(AND(Tabela3[% Yield]&gt;=10%,Tabela3[PVPA]&lt;=2,Tabela3[PL]&lt;=15,Tabela3[PL]&gt;0),"Sim","Não")</f>
        <v>Não</v>
      </c>
      <c r="S98" s="22">
        <f>Tabela3[[#This Row],[Lucro Prev]]/Tabela3[[#This Row],[Cotação]]</f>
        <v>2.2556297728672396E-2</v>
      </c>
      <c r="T98" s="10">
        <f>($Z$1/Tabela3[[#This Row],[Cotação]]-MOD($Z$1/Tabela3[[#This Row],[Cotação]],100))</f>
        <v>0</v>
      </c>
      <c r="U98" s="7">
        <f>Tabela3[[#This Row],[Ativos]]*Tabela3[[#This Row],[Lucro Prev]]</f>
        <v>0</v>
      </c>
      <c r="V98" s="51">
        <f>SUMPRODUCT(N(Tabela1[Código]=Tabela3[[#This Row],[PAPEL]]),Tabela1[Fechamento])</f>
        <v>0</v>
      </c>
      <c r="W98" s="61">
        <f>SUMPRODUCT(N(Tabela17[Código]=Tabela3[[#This Row],[PAPEL]]),Tabela17[Fechamento])</f>
        <v>55.95</v>
      </c>
    </row>
    <row r="99" spans="1:23" x14ac:dyDescent="0.2">
      <c r="A99" s="3" t="s">
        <v>602</v>
      </c>
      <c r="B99" s="75" t="s">
        <v>630</v>
      </c>
      <c r="C99" s="16">
        <v>3</v>
      </c>
      <c r="D99" s="5">
        <v>43741000</v>
      </c>
      <c r="E99" s="5">
        <v>2583000</v>
      </c>
      <c r="F99" s="21">
        <v>5996334</v>
      </c>
      <c r="G99" s="73">
        <f>Tabela3[[#This Row],[Lucro Líquido]]/Tabela3[[#This Row],[Total Ações]]</f>
        <v>0.43076319631294718</v>
      </c>
      <c r="H99" s="16">
        <f>Tabela3[[#This Row],[Lucro/Ação]]/Tabela3[[#This Row],[Ref]]*4</f>
        <v>0.57435092841726287</v>
      </c>
      <c r="I99" s="18">
        <f>IF(GETPIVOTDATA("Payout",'Tabela LL'!$A$3,"Ativo",Tabela3[[#This Row],[PAPEL]])&gt;1,1,GETPIVOTDATA("Payout",'Tabela LL'!$A$3,"Ativo",Tabela3[[#This Row],[PAPEL]]))</f>
        <v>0.19103666588090965</v>
      </c>
      <c r="J99" s="5">
        <f>Tabela3[Patrimônio Líquido]/Tabela3[Total Ações]</f>
        <v>7.2946236817362076</v>
      </c>
      <c r="K99" s="59">
        <f>MAX(Tabela3[[#This Row],[Cotação 1]],Tabela3[[#This Row],[Cotação 2]])</f>
        <v>5.2</v>
      </c>
      <c r="L99" s="60">
        <f>Tabela3[Cotação]/Tabela3[VPA]</f>
        <v>0.71285377106147552</v>
      </c>
      <c r="M99" s="40">
        <f>IF(Tabela3[[#This Row],[Lucro/Ação Ano]]&gt;0,Tabela3[[#This Row],[Cotação]]/Tabela3[[#This Row],[Lucro/Ação Ano]],0)</f>
        <v>9.0536982578397236</v>
      </c>
      <c r="N99" s="7">
        <f>ROUND(Tabela3[[#This Row],[Lucro Prev]]/10%,2)</f>
        <v>1.1000000000000001</v>
      </c>
      <c r="O99" s="51">
        <f>MIN(Tabela3[[#This Row],[10% Rent]],Tabela3[[#This Row],[VPA]]*2)</f>
        <v>1.1000000000000001</v>
      </c>
      <c r="P99" s="18">
        <f>Tabela3[[#This Row],[P Compra]]/Tabela3[[#This Row],[Cotação]]-1</f>
        <v>-0.78846153846153844</v>
      </c>
      <c r="Q99" s="5">
        <f>Tabela3[[#This Row],[Lucro/Ação Ano]]*Tabela3[[#This Row],[Payout]]</f>
        <v>0.1097220864104389</v>
      </c>
      <c r="R99" s="16" t="str">
        <f>IF(AND(Tabela3[% Yield]&gt;=10%,Tabela3[PVPA]&lt;=2,Tabela3[PL]&lt;=15,Tabela3[PL]&gt;0),"Sim","Não")</f>
        <v>Não</v>
      </c>
      <c r="S99" s="22">
        <f>Tabela3[[#This Row],[Lucro Prev]]/Tabela3[[#This Row],[Cotação]]</f>
        <v>2.1100401232776712E-2</v>
      </c>
      <c r="T99" s="10">
        <f>($Z$1/Tabela3[[#This Row],[Cotação]]-MOD($Z$1/Tabela3[[#This Row],[Cotação]],100))</f>
        <v>100</v>
      </c>
      <c r="U99" s="7">
        <f>Tabela3[[#This Row],[Ativos]]*Tabela3[[#This Row],[Lucro Prev]]</f>
        <v>10.97220864104389</v>
      </c>
      <c r="V99" s="51">
        <f>SUMPRODUCT(N(Tabela1[Código]=Tabela3[[#This Row],[PAPEL]]),Tabela1[Fechamento])</f>
        <v>0</v>
      </c>
      <c r="W99" s="61">
        <f>SUMPRODUCT(N(Tabela17[Código]=Tabela3[[#This Row],[PAPEL]]),Tabela17[Fechamento])</f>
        <v>5.2</v>
      </c>
    </row>
    <row r="100" spans="1:23" x14ac:dyDescent="0.2">
      <c r="A100" s="4" t="s">
        <v>40</v>
      </c>
      <c r="B100" s="15" t="s">
        <v>528</v>
      </c>
      <c r="C100" s="15">
        <v>3</v>
      </c>
      <c r="D100" s="5">
        <v>8048177000</v>
      </c>
      <c r="E100" s="5">
        <v>485601000</v>
      </c>
      <c r="F100" s="21">
        <v>797265348</v>
      </c>
      <c r="G100" s="74">
        <f>Tabela3[[#This Row],[Lucro Líquido]]/Tabela3[[#This Row],[Total Ações]]</f>
        <v>0.60908328854147065</v>
      </c>
      <c r="H100" s="15">
        <f>Tabela3[[#This Row],[Lucro/Ação]]/Tabela3[[#This Row],[Ref]]*4</f>
        <v>0.81211105138862749</v>
      </c>
      <c r="I100" s="19">
        <f>IF(GETPIVOTDATA("Payout",'Tabela LL'!$A$3,"Ativo",Tabela3[[#This Row],[PAPEL]])&gt;1,1,GETPIVOTDATA("Payout",'Tabela LL'!$A$3,"Ativo",Tabela3[[#This Row],[PAPEL]]))</f>
        <v>0.25322752895727813</v>
      </c>
      <c r="J100" s="6">
        <f>Tabela3[Patrimônio Líquido]/Tabela3[Total Ações]</f>
        <v>10.094728210864121</v>
      </c>
      <c r="K100" s="52">
        <f>MAX(Tabela3[[#This Row],[Cotação 1]],Tabela3[[#This Row],[Cotação 2]])</f>
        <v>10.1</v>
      </c>
      <c r="L100" s="48">
        <f>Tabela3[Cotação]/Tabela3[VPA]</f>
        <v>1.0005222319041938</v>
      </c>
      <c r="M100" s="44">
        <f>IF(Tabela3[[#This Row],[Lucro/Ação Ano]]&gt;0,Tabela3[[#This Row],[Cotação]]/Tabela3[[#This Row],[Lucro/Ação Ano]],0)</f>
        <v>12.436722764368277</v>
      </c>
      <c r="N100" s="13">
        <f>ROUND(Tabela3[[#This Row],[Lucro Prev]]/10%,2)</f>
        <v>2.06</v>
      </c>
      <c r="O100" s="13">
        <f>MIN(Tabela3[[#This Row],[10% Rent]],Tabela3[[#This Row],[VPA]]*2)</f>
        <v>2.06</v>
      </c>
      <c r="P100" s="19">
        <f>Tabela3[[#This Row],[P Compra]]/Tabela3[[#This Row],[Cotação]]-1</f>
        <v>-0.79603960396039608</v>
      </c>
      <c r="Q100" s="6">
        <f>Tabela3[[#This Row],[Lucro/Ação Ano]]*Tabela3[[#This Row],[Payout]]</f>
        <v>0.20564887478203925</v>
      </c>
      <c r="R100" s="15" t="str">
        <f>IF(AND(Tabela3[% Yield]&gt;=10%,Tabela3[PVPA]&lt;=2,Tabela3[PL]&lt;=15,Tabela3[PL]&gt;0),"Sim","Não")</f>
        <v>Não</v>
      </c>
      <c r="S100" s="46">
        <f>Tabela3[[#This Row],[Lucro Prev]]/Tabela3[[#This Row],[Cotação]]</f>
        <v>2.0361274730894975E-2</v>
      </c>
      <c r="T100" s="14">
        <f>($Z$1/Tabela3[[#This Row],[Cotação]]-MOD($Z$1/Tabela3[[#This Row],[Cotação]],100))</f>
        <v>0</v>
      </c>
      <c r="U100" s="17">
        <f>Tabela3[[#This Row],[Ativos]]*Tabela3[[#This Row],[Lucro Prev]]</f>
        <v>0</v>
      </c>
      <c r="V100" s="13">
        <f>SUMPRODUCT(N(Tabela1[Código]=Tabela3[[#This Row],[PAPEL]]),Tabela1[Fechamento])</f>
        <v>0</v>
      </c>
      <c r="W100" s="13">
        <f>SUMPRODUCT(N(Tabela17[Código]=Tabela3[[#This Row],[PAPEL]]),Tabela17[Fechamento])</f>
        <v>10.1</v>
      </c>
    </row>
    <row r="101" spans="1:23" x14ac:dyDescent="0.2">
      <c r="A101" s="4" t="s">
        <v>14</v>
      </c>
      <c r="B101" s="14" t="s">
        <v>63</v>
      </c>
      <c r="C101" s="15">
        <v>3</v>
      </c>
      <c r="D101" s="6">
        <v>56483000</v>
      </c>
      <c r="E101" s="6">
        <v>1359000</v>
      </c>
      <c r="F101" s="42">
        <v>182520000</v>
      </c>
      <c r="G101" s="15">
        <f>Tabela3[[#This Row],[Lucro Líquido]]/Tabela3[[#This Row],[Total Ações]]</f>
        <v>7.4457593688362919E-3</v>
      </c>
      <c r="H101" s="15">
        <f>Tabela3[[#This Row],[Lucro/Ação]]/Tabela3[[#This Row],[Ref]]*4</f>
        <v>9.9276791584483898E-3</v>
      </c>
      <c r="I101" s="19">
        <f>IF(GETPIVOTDATA("Payout",'Tabela LL'!$A$3,"Ativo",Tabela3[[#This Row],[PAPEL]])&gt;1,1,GETPIVOTDATA("Payout",'Tabela LL'!$A$3,"Ativo",Tabela3[[#This Row],[PAPEL]]))</f>
        <v>0.49690562667042543</v>
      </c>
      <c r="J101" s="6">
        <f>Tabela3[Patrimônio Líquido]/Tabela3[Total Ações]</f>
        <v>0.30946197676966908</v>
      </c>
      <c r="K101" s="52">
        <f>MAX(Tabela3[[#This Row],[Cotação 1]],Tabela3[[#This Row],[Cotação 2]])</f>
        <v>0.26</v>
      </c>
      <c r="L101" s="48">
        <f>Tabela3[Cotação]/Tabela3[VPA]</f>
        <v>0.84016783811058193</v>
      </c>
      <c r="M101" s="44">
        <f>IF(Tabela3[[#This Row],[Lucro/Ação Ano]]&gt;0,Tabela3[[#This Row],[Cotação]]/Tabela3[[#This Row],[Lucro/Ação Ano]],0)</f>
        <v>26.189403973509933</v>
      </c>
      <c r="N101" s="6">
        <f>ROUND(Tabela3[[#This Row],[Lucro Prev]]/10%,2)</f>
        <v>0.05</v>
      </c>
      <c r="O101" s="62">
        <f>MIN(Tabela3[[#This Row],[10% Rent]],Tabela3[[#This Row],[VPA]]*2)</f>
        <v>0.05</v>
      </c>
      <c r="P101" s="19">
        <f>Tabela3[[#This Row],[P Compra]]/Tabela3[[#This Row],[Cotação]]-1</f>
        <v>-0.80769230769230771</v>
      </c>
      <c r="Q101" s="6">
        <f>Tabela3[[#This Row],[Lucro/Ação Ano]]*Tabela3[[#This Row],[Payout]]</f>
        <v>4.9331196336117192E-3</v>
      </c>
      <c r="R101" s="15" t="str">
        <f>IF(AND(Tabela3[% Yield]&gt;=10%,Tabela3[PVPA]&lt;=2,Tabela3[PL]&lt;=15,Tabela3[PL]&gt;0),"Sim","Não")</f>
        <v>Não</v>
      </c>
      <c r="S101" s="46">
        <f>Tabela3[[#This Row],[Lucro Prev]]/Tabela3[[#This Row],[Cotação]]</f>
        <v>1.8973537052352767E-2</v>
      </c>
      <c r="T101" s="14">
        <f>($Z$1/Tabela3[[#This Row],[Cotação]]-MOD($Z$1/Tabela3[[#This Row],[Cotação]],100))</f>
        <v>3800</v>
      </c>
      <c r="U101" s="17">
        <f>Tabela3[[#This Row],[Ativos]]*Tabela3[[#This Row],[Lucro Prev]]</f>
        <v>18.745854607724532</v>
      </c>
      <c r="V101" s="5">
        <f>SUMPRODUCT(N(Tabela1[Código]=Tabela3[[#This Row],[PAPEL]]),Tabela1[Fechamento])</f>
        <v>0.26</v>
      </c>
      <c r="W101" s="5">
        <f>SUMPRODUCT(N(Tabela17[Código]=Tabela3[[#This Row],[PAPEL]]),Tabela17[Fechamento])</f>
        <v>0</v>
      </c>
    </row>
    <row r="102" spans="1:23" x14ac:dyDescent="0.2">
      <c r="A102" s="4" t="s">
        <v>40</v>
      </c>
      <c r="B102" s="72" t="s">
        <v>526</v>
      </c>
      <c r="C102" s="16">
        <v>3</v>
      </c>
      <c r="D102" s="5">
        <v>8048177000</v>
      </c>
      <c r="E102" s="5">
        <v>485601000</v>
      </c>
      <c r="F102" s="21">
        <v>797265348</v>
      </c>
      <c r="G102" s="73">
        <f>Tabela3[[#This Row],[Lucro Líquido]]/Tabela3[[#This Row],[Total Ações]]</f>
        <v>0.60908328854147065</v>
      </c>
      <c r="H102" s="16">
        <f>Tabela3[[#This Row],[Lucro/Ação]]/Tabela3[[#This Row],[Ref]]*4</f>
        <v>0.81211105138862749</v>
      </c>
      <c r="I102" s="18">
        <f>IF(GETPIVOTDATA("Payout",'Tabela LL'!$A$3,"Ativo",Tabela3[[#This Row],[PAPEL]])&gt;1,1,GETPIVOTDATA("Payout",'Tabela LL'!$A$3,"Ativo",Tabela3[[#This Row],[PAPEL]]))</f>
        <v>0.35050699967240423</v>
      </c>
      <c r="J102" s="5">
        <f>Tabela3[Patrimônio Líquido]/Tabela3[Total Ações]</f>
        <v>10.094728210864121</v>
      </c>
      <c r="K102" s="59">
        <f>MAX(Tabela3[[#This Row],[Cotação 1]],Tabela3[[#This Row],[Cotação 2]])</f>
        <v>16.5</v>
      </c>
      <c r="L102" s="60">
        <f>Tabela3[Cotação]/Tabela3[VPA]</f>
        <v>1.6345165174672474</v>
      </c>
      <c r="M102" s="40">
        <f>IF(Tabela3[[#This Row],[Lucro/Ação Ano]]&gt;0,Tabela3[[#This Row],[Cotação]]/Tabela3[[#This Row],[Lucro/Ação Ano]],0)</f>
        <v>20.317418377433327</v>
      </c>
      <c r="N102" s="51">
        <f>ROUND(Tabela3[[#This Row],[Lucro Prev]]/10%,2)</f>
        <v>2.85</v>
      </c>
      <c r="O102" s="51">
        <f>MIN(Tabela3[[#This Row],[10% Rent]],Tabela3[[#This Row],[VPA]]*2)</f>
        <v>2.85</v>
      </c>
      <c r="P102" s="18">
        <f>Tabela3[[#This Row],[P Compra]]/Tabela3[[#This Row],[Cotação]]-1</f>
        <v>-0.82727272727272727</v>
      </c>
      <c r="Q102" s="5">
        <f>Tabela3[[#This Row],[Lucro/Ação Ano]]*Tabela3[[#This Row],[Payout]]</f>
        <v>0.28465060802302949</v>
      </c>
      <c r="R102" s="16" t="str">
        <f>IF(AND(Tabela3[% Yield]&gt;=10%,Tabela3[PVPA]&lt;=2,Tabela3[PL]&lt;=15,Tabela3[PL]&gt;0),"Sim","Não")</f>
        <v>Não</v>
      </c>
      <c r="S102" s="22">
        <f>Tabela3[[#This Row],[Lucro Prev]]/Tabela3[[#This Row],[Cotação]]</f>
        <v>1.7251552001395727E-2</v>
      </c>
      <c r="T102" s="10">
        <f>($Z$1/Tabela3[[#This Row],[Cotação]]-MOD($Z$1/Tabela3[[#This Row],[Cotação]],100))</f>
        <v>0</v>
      </c>
      <c r="U102" s="7">
        <f>Tabela3[[#This Row],[Ativos]]*Tabela3[[#This Row],[Lucro Prev]]</f>
        <v>0</v>
      </c>
      <c r="V102" s="51">
        <f>SUMPRODUCT(N(Tabela1[Código]=Tabela3[[#This Row],[PAPEL]]),Tabela1[Fechamento])</f>
        <v>0</v>
      </c>
      <c r="W102" s="51">
        <f>SUMPRODUCT(N(Tabela17[Código]=Tabela3[[#This Row],[PAPEL]]),Tabela17[Fechamento])</f>
        <v>16.5</v>
      </c>
    </row>
    <row r="103" spans="1:23" x14ac:dyDescent="0.2">
      <c r="A103" s="4" t="s">
        <v>26</v>
      </c>
      <c r="B103" s="72" t="s">
        <v>58</v>
      </c>
      <c r="C103" s="15">
        <v>3</v>
      </c>
      <c r="D103" s="6">
        <v>3411209000</v>
      </c>
      <c r="E103" s="6">
        <v>191254000</v>
      </c>
      <c r="F103" s="42">
        <v>1022205493</v>
      </c>
      <c r="G103" s="74">
        <f>Tabela3[[#This Row],[Lucro Líquido]]/Tabela3[[#This Row],[Total Ações]]</f>
        <v>0.18709936633064053</v>
      </c>
      <c r="H103" s="15">
        <f>Tabela3[[#This Row],[Lucro/Ação]]/Tabela3[[#This Row],[Ref]]*4</f>
        <v>0.24946582177418739</v>
      </c>
      <c r="I103" s="19">
        <f>IF(GETPIVOTDATA("Payout",'Tabela LL'!$A$3,"Ativo",Tabela3[[#This Row],[PAPEL]])&gt;1,1,GETPIVOTDATA("Payout",'Tabela LL'!$A$3,"Ativo",Tabela3[[#This Row],[PAPEL]]))</f>
        <v>1</v>
      </c>
      <c r="J103" s="6">
        <f>Tabela3[Patrimônio Líquido]/Tabela3[Total Ações]</f>
        <v>3.3371068961766968</v>
      </c>
      <c r="K103" s="52">
        <f>MAX(Tabela3[[#This Row],[Cotação 1]],Tabela3[[#This Row],[Cotação 2]])</f>
        <v>14.79</v>
      </c>
      <c r="L103" s="48">
        <f>Tabela3[Cotação]/Tabela3[VPA]</f>
        <v>4.4319826904390789</v>
      </c>
      <c r="M103" s="44">
        <f>IF(Tabela3[[#This Row],[Lucro/Ação Ano]]&gt;0,Tabela3[[#This Row],[Cotação]]/Tabela3[[#This Row],[Lucro/Ação Ano]],0)</f>
        <v>59.286678611179369</v>
      </c>
      <c r="N103" s="13">
        <f>ROUND(Tabela3[[#This Row],[Lucro Prev]]/10%,2)</f>
        <v>2.4900000000000002</v>
      </c>
      <c r="O103" s="13">
        <f>MIN(Tabela3[[#This Row],[10% Rent]],Tabela3[[#This Row],[VPA]]*2)</f>
        <v>2.4900000000000002</v>
      </c>
      <c r="P103" s="19">
        <f>Tabela3[[#This Row],[P Compra]]/Tabela3[[#This Row],[Cotação]]-1</f>
        <v>-0.83164300202839758</v>
      </c>
      <c r="Q103" s="6">
        <f>Tabela3[[#This Row],[Lucro/Ação Ano]]*Tabela3[[#This Row],[Payout]]</f>
        <v>0.24946582177418739</v>
      </c>
      <c r="R103" s="15" t="str">
        <f>IF(AND(Tabela3[% Yield]&gt;=10%,Tabela3[PVPA]&lt;=2,Tabela3[PL]&lt;=15,Tabela3[PL]&gt;0),"Sim","Não")</f>
        <v>Não</v>
      </c>
      <c r="S103" s="46">
        <f>Tabela3[[#This Row],[Lucro Prev]]/Tabela3[[#This Row],[Cotação]]</f>
        <v>1.686719552225743E-2</v>
      </c>
      <c r="T103" s="14">
        <f>($Z$1/Tabela3[[#This Row],[Cotação]]-MOD($Z$1/Tabela3[[#This Row],[Cotação]],100))</f>
        <v>0</v>
      </c>
      <c r="U103" s="17">
        <f>Tabela3[[#This Row],[Ativos]]*Tabela3[[#This Row],[Lucro Prev]]</f>
        <v>0</v>
      </c>
      <c r="V103" s="13">
        <f>SUMPRODUCT(N(Tabela1[Código]=Tabela3[[#This Row],[PAPEL]]),Tabela1[Fechamento])</f>
        <v>0</v>
      </c>
      <c r="W103" s="13">
        <f>SUMPRODUCT(N(Tabela17[Código]=Tabela3[[#This Row],[PAPEL]]),Tabela17[Fechamento])</f>
        <v>14.79</v>
      </c>
    </row>
    <row r="104" spans="1:23" x14ac:dyDescent="0.2">
      <c r="A104" s="4" t="s">
        <v>14</v>
      </c>
      <c r="B104" s="14" t="s">
        <v>245</v>
      </c>
      <c r="C104" s="15">
        <v>3</v>
      </c>
      <c r="D104" s="6">
        <v>1179411000</v>
      </c>
      <c r="E104" s="6">
        <v>46761000</v>
      </c>
      <c r="F104" s="42">
        <v>90224492</v>
      </c>
      <c r="G104" s="15">
        <f>Tabela3[[#This Row],[Lucro Líquido]]/Tabela3[[#This Row],[Total Ações]]</f>
        <v>0.51827390726677625</v>
      </c>
      <c r="H104" s="15">
        <f>Tabela3[[#This Row],[Lucro/Ação]]/Tabela3[[#This Row],[Ref]]*4</f>
        <v>0.69103187635570162</v>
      </c>
      <c r="I104" s="19">
        <f>IF(GETPIVOTDATA("Payout",'Tabela LL'!$A$3,"Ativo",Tabela3[[#This Row],[PAPEL]])&gt;1,1,GETPIVOTDATA("Payout",'Tabela LL'!$A$3,"Ativo",Tabela3[[#This Row],[PAPEL]]))</f>
        <v>0.16455420283136202</v>
      </c>
      <c r="J104" s="6">
        <f>Tabela3[Patrimônio Líquido]/Tabela3[Total Ações]</f>
        <v>13.071960549248645</v>
      </c>
      <c r="K104" s="52">
        <f>MAX(Tabela3[[#This Row],[Cotação 1]],Tabela3[[#This Row],[Cotação 2]])</f>
        <v>6.8</v>
      </c>
      <c r="L104" s="48">
        <f>Tabela3[Cotação]/Tabela3[VPA]</f>
        <v>0.52019740836739692</v>
      </c>
      <c r="M104" s="44">
        <f>IF(Tabela3[[#This Row],[Lucro/Ação Ano]]&gt;0,Tabela3[[#This Row],[Cotação]]/Tabela3[[#This Row],[Lucro/Ação Ano]],0)</f>
        <v>9.8403564765509728</v>
      </c>
      <c r="N104" s="6">
        <f>ROUND(Tabela3[[#This Row],[Lucro Prev]]/10%,2)</f>
        <v>1.1399999999999999</v>
      </c>
      <c r="O104" s="62">
        <f>MIN(Tabela3[[#This Row],[10% Rent]],Tabela3[[#This Row],[VPA]]*2)</f>
        <v>1.1399999999999999</v>
      </c>
      <c r="P104" s="19">
        <f>Tabela3[[#This Row],[P Compra]]/Tabela3[[#This Row],[Cotação]]-1</f>
        <v>-0.83235294117647063</v>
      </c>
      <c r="Q104" s="6">
        <f>Tabela3[[#This Row],[Lucro/Ação Ano]]*Tabela3[[#This Row],[Payout]]</f>
        <v>0.11371219954477281</v>
      </c>
      <c r="R104" s="15" t="str">
        <f>IF(AND(Tabela3[% Yield]&gt;=10%,Tabela3[PVPA]&lt;=2,Tabela3[PL]&lt;=15,Tabela3[PL]&gt;0),"Sim","Não")</f>
        <v>Não</v>
      </c>
      <c r="S104" s="46">
        <f>Tabela3[[#This Row],[Lucro Prev]]/Tabela3[[#This Row],[Cotação]]</f>
        <v>1.6722382285996002E-2</v>
      </c>
      <c r="T104" s="14">
        <f>($Z$1/Tabela3[[#This Row],[Cotação]]-MOD($Z$1/Tabela3[[#This Row],[Cotação]],100))</f>
        <v>100</v>
      </c>
      <c r="U104" s="17">
        <f>Tabela3[[#This Row],[Ativos]]*Tabela3[[#This Row],[Lucro Prev]]</f>
        <v>11.371219954477281</v>
      </c>
      <c r="V104" s="5">
        <f>SUMPRODUCT(N(Tabela1[Código]=Tabela3[[#This Row],[PAPEL]]),Tabela1[Fechamento])</f>
        <v>6.8</v>
      </c>
      <c r="W104" s="5">
        <f>SUMPRODUCT(N(Tabela17[Código]=Tabela3[[#This Row],[PAPEL]]),Tabela17[Fechamento])</f>
        <v>0</v>
      </c>
    </row>
    <row r="105" spans="1:23" x14ac:dyDescent="0.2">
      <c r="A105" s="4" t="s">
        <v>12</v>
      </c>
      <c r="B105" s="14" t="s">
        <v>92</v>
      </c>
      <c r="C105" s="15">
        <v>3</v>
      </c>
      <c r="D105" s="6">
        <v>1825587000</v>
      </c>
      <c r="E105" s="6">
        <v>190026000</v>
      </c>
      <c r="F105" s="42">
        <v>1245690889</v>
      </c>
      <c r="G105" s="15">
        <f>Tabela3[[#This Row],[Lucro Líquido]]/Tabela3[[#This Row],[Total Ações]]</f>
        <v>0.15254667243536371</v>
      </c>
      <c r="H105" s="15">
        <f>Tabela3[[#This Row],[Lucro/Ação]]/Tabela3[[#This Row],[Ref]]*4</f>
        <v>0.20339556324715161</v>
      </c>
      <c r="I105" s="19">
        <f>IF(GETPIVOTDATA("Payout",'Tabela LL'!$A$3,"Ativo",Tabela3[[#This Row],[PAPEL]])&gt;1,1,GETPIVOTDATA("Payout",'Tabela LL'!$A$3,"Ativo",Tabela3[[#This Row],[PAPEL]]))</f>
        <v>1</v>
      </c>
      <c r="J105" s="6">
        <f>Tabela3[Patrimônio Líquido]/Tabela3[Total Ações]</f>
        <v>1.4655216764614227</v>
      </c>
      <c r="K105" s="52">
        <f>MAX(Tabela3[[#This Row],[Cotação 1]],Tabela3[[#This Row],[Cotação 2]])</f>
        <v>12.5</v>
      </c>
      <c r="L105" s="48">
        <f>Tabela3[Cotação]/Tabela3[VPA]</f>
        <v>8.5293859522991777</v>
      </c>
      <c r="M105" s="44">
        <f>IF(Tabela3[[#This Row],[Lucro/Ação Ano]]&gt;0,Tabela3[[#This Row],[Cotação]]/Tabela3[[#This Row],[Lucro/Ação Ano]],0)</f>
        <v>61.456601119715195</v>
      </c>
      <c r="N105" s="6">
        <f>ROUND(Tabela3[[#This Row],[Lucro Prev]]/10%,2)</f>
        <v>2.0299999999999998</v>
      </c>
      <c r="O105" s="62">
        <f>MIN(Tabela3[[#This Row],[10% Rent]],Tabela3[[#This Row],[VPA]]*2)</f>
        <v>2.0299999999999998</v>
      </c>
      <c r="P105" s="19">
        <f>Tabela3[[#This Row],[P Compra]]/Tabela3[[#This Row],[Cotação]]-1</f>
        <v>-0.83760000000000001</v>
      </c>
      <c r="Q105" s="6">
        <f>Tabela3[[#This Row],[Lucro/Ação Ano]]*Tabela3[[#This Row],[Payout]]</f>
        <v>0.20339556324715161</v>
      </c>
      <c r="R105" s="14" t="str">
        <f>IF(AND(Tabela3[% Yield]&gt;=10%,Tabela3[PVPA]&lt;=2,Tabela3[PL]&lt;=15,Tabela3[PL]&gt;0),"Sim","Não")</f>
        <v>Não</v>
      </c>
      <c r="S105" s="46">
        <f>Tabela3[[#This Row],[Lucro Prev]]/Tabela3[[#This Row],[Cotação]]</f>
        <v>1.6271645059772129E-2</v>
      </c>
      <c r="T105" s="14">
        <f>($Z$1/Tabela3[[#This Row],[Cotação]]-MOD($Z$1/Tabela3[[#This Row],[Cotação]],100))</f>
        <v>0</v>
      </c>
      <c r="U105" s="17">
        <f>Tabela3[[#This Row],[Ativos]]*Tabela3[[#This Row],[Lucro Prev]]</f>
        <v>0</v>
      </c>
      <c r="V105" s="5">
        <f>SUMPRODUCT(N(Tabela1[Código]=Tabela3[[#This Row],[PAPEL]]),Tabela1[Fechamento])</f>
        <v>12.5</v>
      </c>
      <c r="W105" s="5">
        <f>SUMPRODUCT(N(Tabela17[Código]=Tabela3[[#This Row],[PAPEL]]),Tabela17[Fechamento])</f>
        <v>0</v>
      </c>
    </row>
    <row r="106" spans="1:23" x14ac:dyDescent="0.2">
      <c r="A106" s="3" t="s">
        <v>578</v>
      </c>
      <c r="B106" s="75" t="s">
        <v>577</v>
      </c>
      <c r="C106" s="16">
        <v>3</v>
      </c>
      <c r="D106" s="5">
        <v>14444342000</v>
      </c>
      <c r="E106" s="5">
        <v>1006640000</v>
      </c>
      <c r="F106" s="21">
        <v>2417632647</v>
      </c>
      <c r="G106" s="73">
        <f>Tabela3[[#This Row],[Lucro Líquido]]/Tabela3[[#This Row],[Total Ações]]</f>
        <v>0.41637425820218088</v>
      </c>
      <c r="H106" s="16">
        <f>Tabela3[[#This Row],[Lucro/Ação]]/Tabela3[[#This Row],[Ref]]*4</f>
        <v>0.5551656776029078</v>
      </c>
      <c r="I106" s="18">
        <f>IF(GETPIVOTDATA("Payout",'Tabela LL'!$A$3,"Ativo",Tabela3[[#This Row],[PAPEL]])&gt;1,1,GETPIVOTDATA("Payout",'Tabela LL'!$A$3,"Ativo",Tabela3[[#This Row],[PAPEL]]))</f>
        <v>0.31662042253674527</v>
      </c>
      <c r="J106" s="5">
        <f>Tabela3[Patrimônio Líquido]/Tabela3[Total Ações]</f>
        <v>5.974580967842134</v>
      </c>
      <c r="K106" s="59">
        <f>MAX(Tabela3[[#This Row],[Cotação 1]],Tabela3[[#This Row],[Cotação 2]])</f>
        <v>12.33</v>
      </c>
      <c r="L106" s="60">
        <f>Tabela3[Cotação]/Tabela3[VPA]</f>
        <v>2.0637430585283845</v>
      </c>
      <c r="M106" s="40">
        <f>IF(Tabela3[[#This Row],[Lucro/Ação Ano]]&gt;0,Tabela3[[#This Row],[Cotação]]/Tabela3[[#This Row],[Lucro/Ação Ano]],0)</f>
        <v>22.209586250429648</v>
      </c>
      <c r="N106" s="7">
        <f>ROUND(Tabela3[[#This Row],[Lucro Prev]]/10%,2)</f>
        <v>1.76</v>
      </c>
      <c r="O106" s="51">
        <f>MIN(Tabela3[[#This Row],[10% Rent]],Tabela3[[#This Row],[VPA]]*2)</f>
        <v>1.76</v>
      </c>
      <c r="P106" s="18">
        <f>Tabela3[[#This Row],[P Compra]]/Tabela3[[#This Row],[Cotação]]-1</f>
        <v>-0.85725871857258718</v>
      </c>
      <c r="Q106" s="5">
        <f>Tabela3[[#This Row],[Lucro/Ação Ano]]*Tabela3[[#This Row],[Payout]]</f>
        <v>0.17577679142053118</v>
      </c>
      <c r="R106" s="16" t="str">
        <f>IF(AND(Tabela3[% Yield]&gt;=10%,Tabela3[PVPA]&lt;=2,Tabela3[PL]&lt;=15,Tabela3[PL]&gt;0),"Sim","Não")</f>
        <v>Não</v>
      </c>
      <c r="S106" s="22">
        <f>Tabela3[[#This Row],[Lucro Prev]]/Tabela3[[#This Row],[Cotação]]</f>
        <v>1.4256025257139593E-2</v>
      </c>
      <c r="T106" s="10">
        <f>($Z$1/Tabela3[[#This Row],[Cotação]]-MOD($Z$1/Tabela3[[#This Row],[Cotação]],100))</f>
        <v>0</v>
      </c>
      <c r="U106" s="7">
        <f>Tabela3[[#This Row],[Ativos]]*Tabela3[[#This Row],[Lucro Prev]]</f>
        <v>0</v>
      </c>
      <c r="V106" s="51">
        <f>SUMPRODUCT(N(Tabela1[Código]=Tabela3[[#This Row],[PAPEL]]),Tabela1[Fechamento])</f>
        <v>0</v>
      </c>
      <c r="W106" s="61">
        <f>SUMPRODUCT(N(Tabela17[Código]=Tabela3[[#This Row],[PAPEL]]),Tabela17[Fechamento])</f>
        <v>12.33</v>
      </c>
    </row>
    <row r="107" spans="1:23" x14ac:dyDescent="0.2">
      <c r="A107" s="3" t="s">
        <v>333</v>
      </c>
      <c r="B107" s="15" t="s">
        <v>83</v>
      </c>
      <c r="C107" s="16">
        <v>3</v>
      </c>
      <c r="D107" s="5">
        <v>1206918000</v>
      </c>
      <c r="E107" s="5">
        <v>49929000</v>
      </c>
      <c r="F107" s="21">
        <v>88320000</v>
      </c>
      <c r="G107" s="16">
        <f>Tabela3[[#This Row],[Lucro Líquido]]/Tabela3[[#This Row],[Total Ações]]</f>
        <v>0.56531929347826082</v>
      </c>
      <c r="H107" s="16">
        <f>Tabela3[[#This Row],[Lucro/Ação]]/Tabela3[[#This Row],[Ref]]*4</f>
        <v>0.75375905797101439</v>
      </c>
      <c r="I107" s="18">
        <f>IF(GETPIVOTDATA("Payout",'Tabela LL'!$A$3,"Ativo",Tabela3[[#This Row],[PAPEL]])&gt;1,1,GETPIVOTDATA("Payout",'Tabela LL'!$A$3,"Ativo",Tabela3[[#This Row],[PAPEL]]))</f>
        <v>0.24741229164584114</v>
      </c>
      <c r="J107" s="5">
        <f>Tabela3[Patrimônio Líquido]/Tabela3[Total Ações]</f>
        <v>13.665285326086957</v>
      </c>
      <c r="K107" s="59">
        <f>MAX(Tabela3[[#This Row],[Cotação 1]],Tabela3[[#This Row],[Cotação 2]])</f>
        <v>13.19</v>
      </c>
      <c r="L107" s="60">
        <f>Tabela3[Cotação]/Tabela3[VPA]</f>
        <v>0.9652195095275734</v>
      </c>
      <c r="M107" s="40">
        <f>IF(Tabela3[[#This Row],[Lucro/Ação Ano]]&gt;0,Tabela3[[#This Row],[Cotação]]/Tabela3[[#This Row],[Lucro/Ação Ano]],0)</f>
        <v>17.498960523944003</v>
      </c>
      <c r="N107" s="5">
        <f>ROUND(Tabela3[[#This Row],[Lucro Prev]]/10%,2)</f>
        <v>1.86</v>
      </c>
      <c r="O107" s="61">
        <f>MIN(Tabela3[[#This Row],[10% Rent]],Tabela3[[#This Row],[VPA]]*2)</f>
        <v>1.86</v>
      </c>
      <c r="P107" s="18">
        <f>Tabela3[[#This Row],[P Compra]]/Tabela3[[#This Row],[Cotação]]-1</f>
        <v>-0.85898407884761185</v>
      </c>
      <c r="Q107" s="5">
        <f>Tabela3[[#This Row],[Lucro/Ação Ano]]*Tabela3[[#This Row],[Payout]]</f>
        <v>0.1864892558814191</v>
      </c>
      <c r="R107" s="16" t="str">
        <f>IF(AND(Tabela3[% Yield]&gt;=10%,Tabela3[PVPA]&lt;=2,Tabela3[PL]&lt;=15,Tabela3[PL]&gt;0),"Sim","Não")</f>
        <v>Não</v>
      </c>
      <c r="S107" s="22">
        <f>Tabela3[[#This Row],[Lucro Prev]]/Tabela3[[#This Row],[Cotação]]</f>
        <v>1.4138685055452547E-2</v>
      </c>
      <c r="T107" s="10">
        <f>($Z$1/Tabela3[[#This Row],[Cotação]]-MOD($Z$1/Tabela3[[#This Row],[Cotação]],100))</f>
        <v>0</v>
      </c>
      <c r="U107" s="7">
        <f>Tabela3[[#This Row],[Ativos]]*Tabela3[[#This Row],[Lucro Prev]]</f>
        <v>0</v>
      </c>
      <c r="V107" s="5">
        <f>SUMPRODUCT(N(Tabela1[Código]=Tabela3[[#This Row],[PAPEL]]),Tabela1[Fechamento])</f>
        <v>13.19</v>
      </c>
      <c r="W107" s="5">
        <f>SUMPRODUCT(N(Tabela17[Código]=Tabela3[[#This Row],[PAPEL]]),Tabela17[Fechamento])</f>
        <v>0</v>
      </c>
    </row>
    <row r="108" spans="1:23" x14ac:dyDescent="0.2">
      <c r="A108" s="4" t="s">
        <v>19</v>
      </c>
      <c r="B108" s="14" t="s">
        <v>233</v>
      </c>
      <c r="C108" s="15">
        <v>3</v>
      </c>
      <c r="D108" s="6">
        <v>5466325000</v>
      </c>
      <c r="E108" s="6">
        <v>268577000</v>
      </c>
      <c r="F108" s="42">
        <v>917683296</v>
      </c>
      <c r="G108" s="15">
        <f>Tabela3[[#This Row],[Lucro Líquido]]/Tabela3[[#This Row],[Total Ações]]</f>
        <v>0.29266850684835827</v>
      </c>
      <c r="H108" s="15">
        <f>Tabela3[[#This Row],[Lucro/Ação]]/Tabela3[[#This Row],[Ref]]*4</f>
        <v>0.390224675797811</v>
      </c>
      <c r="I108" s="19">
        <f>IF(GETPIVOTDATA("Payout",'Tabela LL'!$A$3,"Ativo",Tabela3[[#This Row],[PAPEL]])&gt;1,1,GETPIVOTDATA("Payout",'Tabela LL'!$A$3,"Ativo",Tabela3[[#This Row],[PAPEL]]))</f>
        <v>0.39457960469026815</v>
      </c>
      <c r="J108" s="6">
        <f>Tabela3[Patrimônio Líquido]/Tabela3[Total Ações]</f>
        <v>5.9566574043862728</v>
      </c>
      <c r="K108" s="52">
        <f>MAX(Tabela3[[#This Row],[Cotação 1]],Tabela3[[#This Row],[Cotação 2]])</f>
        <v>11</v>
      </c>
      <c r="L108" s="48">
        <f>Tabela3[Cotação]/Tabela3[VPA]</f>
        <v>1.8466732687866163</v>
      </c>
      <c r="M108" s="44">
        <f>IF(Tabela3[[#This Row],[Lucro/Ação Ano]]&gt;0,Tabela3[[#This Row],[Cotação]]/Tabela3[[#This Row],[Lucro/Ação Ano]],0)</f>
        <v>28.188888817731975</v>
      </c>
      <c r="N108" s="6">
        <f>ROUND(Tabela3[[#This Row],[Lucro Prev]]/10%,2)</f>
        <v>1.54</v>
      </c>
      <c r="O108" s="62">
        <f>MIN(Tabela3[[#This Row],[10% Rent]],Tabela3[[#This Row],[VPA]]*2)</f>
        <v>1.54</v>
      </c>
      <c r="P108" s="19">
        <f>Tabela3[[#This Row],[P Compra]]/Tabela3[[#This Row],[Cotação]]-1</f>
        <v>-0.86</v>
      </c>
      <c r="Q108" s="6">
        <f>Tabela3[[#This Row],[Lucro/Ação Ano]]*Tabela3[[#This Row],[Payout]]</f>
        <v>0.15397469831668831</v>
      </c>
      <c r="R108" s="15" t="str">
        <f>IF(AND(Tabela3[% Yield]&gt;=10%,Tabela3[PVPA]&lt;=2,Tabela3[PL]&lt;=15,Tabela3[PL]&gt;0),"Sim","Não")</f>
        <v>Não</v>
      </c>
      <c r="S108" s="46">
        <f>Tabela3[[#This Row],[Lucro Prev]]/Tabela3[[#This Row],[Cotação]]</f>
        <v>1.3997699846971664E-2</v>
      </c>
      <c r="T108" s="14">
        <f>($Z$1/Tabela3[[#This Row],[Cotação]]-MOD($Z$1/Tabela3[[#This Row],[Cotação]],100))</f>
        <v>0</v>
      </c>
      <c r="U108" s="17">
        <f>Tabela3[[#This Row],[Ativos]]*Tabela3[[#This Row],[Lucro Prev]]</f>
        <v>0</v>
      </c>
      <c r="V108" s="5">
        <f>SUMPRODUCT(N(Tabela1[Código]=Tabela3[[#This Row],[PAPEL]]),Tabela1[Fechamento])</f>
        <v>11</v>
      </c>
      <c r="W108" s="5">
        <f>SUMPRODUCT(N(Tabela17[Código]=Tabela3[[#This Row],[PAPEL]]),Tabela17[Fechamento])</f>
        <v>0</v>
      </c>
    </row>
    <row r="109" spans="1:23" x14ac:dyDescent="0.2">
      <c r="A109" s="4" t="s">
        <v>19</v>
      </c>
      <c r="B109" s="14" t="s">
        <v>55</v>
      </c>
      <c r="C109" s="15">
        <v>3</v>
      </c>
      <c r="D109" s="6">
        <v>5466325000</v>
      </c>
      <c r="E109" s="6">
        <v>268577000</v>
      </c>
      <c r="F109" s="42">
        <v>917683296</v>
      </c>
      <c r="G109" s="15">
        <f>Tabela3[[#This Row],[Lucro Líquido]]/Tabela3[[#This Row],[Total Ações]]</f>
        <v>0.29266850684835827</v>
      </c>
      <c r="H109" s="15">
        <f>Tabela3[[#This Row],[Lucro/Ação]]/Tabela3[[#This Row],[Ref]]*4</f>
        <v>0.390224675797811</v>
      </c>
      <c r="I109" s="19">
        <f>IF(GETPIVOTDATA("Payout",'Tabela LL'!$A$3,"Ativo",Tabela3[[#This Row],[PAPEL]])&gt;1,1,GETPIVOTDATA("Payout",'Tabela LL'!$A$3,"Ativo",Tabela3[[#This Row],[PAPEL]]))</f>
        <v>0.43406605496565737</v>
      </c>
      <c r="J109" s="6">
        <f>Tabela3[Patrimônio Líquido]/Tabela3[Total Ações]</f>
        <v>5.9566574043862728</v>
      </c>
      <c r="K109" s="52">
        <f>MAX(Tabela3[[#This Row],[Cotação 1]],Tabela3[[#This Row],[Cotação 2]])</f>
        <v>12.26</v>
      </c>
      <c r="L109" s="48">
        <f>Tabela3[Cotação]/Tabela3[VPA]</f>
        <v>2.0582012977567197</v>
      </c>
      <c r="M109" s="44">
        <f>IF(Tabela3[[#This Row],[Lucro/Ação Ano]]&gt;0,Tabela3[[#This Row],[Cotação]]/Tabela3[[#This Row],[Lucro/Ação Ano]],0)</f>
        <v>31.417797900490363</v>
      </c>
      <c r="N109" s="6">
        <f>ROUND(Tabela3[[#This Row],[Lucro Prev]]/10%,2)</f>
        <v>1.69</v>
      </c>
      <c r="O109" s="62">
        <f>MIN(Tabela3[[#This Row],[10% Rent]],Tabela3[[#This Row],[VPA]]*2)</f>
        <v>1.69</v>
      </c>
      <c r="P109" s="19">
        <f>Tabela3[[#This Row],[P Compra]]/Tabela3[[#This Row],[Cotação]]-1</f>
        <v>-0.86215334420880918</v>
      </c>
      <c r="Q109" s="6">
        <f>Tabela3[[#This Row],[Lucro/Ação Ano]]*Tabela3[[#This Row],[Payout]]</f>
        <v>0.16938328557380847</v>
      </c>
      <c r="R109" s="15" t="str">
        <f>IF(AND(Tabela3[% Yield]&gt;=10%,Tabela3[PVPA]&lt;=2,Tabela3[PL]&lt;=15,Tabela3[PL]&gt;0),"Sim","Não")</f>
        <v>Não</v>
      </c>
      <c r="S109" s="46">
        <f>Tabela3[[#This Row],[Lucro Prev]]/Tabela3[[#This Row],[Cotação]]</f>
        <v>1.3815928676493351E-2</v>
      </c>
      <c r="T109" s="14">
        <f>($Z$1/Tabela3[[#This Row],[Cotação]]-MOD($Z$1/Tabela3[[#This Row],[Cotação]],100))</f>
        <v>0</v>
      </c>
      <c r="U109" s="17">
        <f>Tabela3[[#This Row],[Ativos]]*Tabela3[[#This Row],[Lucro Prev]]</f>
        <v>0</v>
      </c>
      <c r="V109" s="5">
        <f>SUMPRODUCT(N(Tabela1[Código]=Tabela3[[#This Row],[PAPEL]]),Tabela1[Fechamento])</f>
        <v>12.26</v>
      </c>
      <c r="W109" s="5">
        <f>SUMPRODUCT(N(Tabela17[Código]=Tabela3[[#This Row],[PAPEL]]),Tabela17[Fechamento])</f>
        <v>0</v>
      </c>
    </row>
    <row r="110" spans="1:23" x14ac:dyDescent="0.2">
      <c r="A110" s="4" t="s">
        <v>40</v>
      </c>
      <c r="B110" s="14" t="s">
        <v>527</v>
      </c>
      <c r="C110" s="16">
        <v>3</v>
      </c>
      <c r="D110" s="5">
        <v>8048177000</v>
      </c>
      <c r="E110" s="5">
        <v>485601000</v>
      </c>
      <c r="F110" s="21">
        <v>797265348</v>
      </c>
      <c r="G110" s="73">
        <f>Tabela3[[#This Row],[Lucro Líquido]]/Tabela3[[#This Row],[Total Ações]]</f>
        <v>0.60908328854147065</v>
      </c>
      <c r="H110" s="16">
        <f>Tabela3[[#This Row],[Lucro/Ação]]/Tabela3[[#This Row],[Ref]]*4</f>
        <v>0.81211105138862749</v>
      </c>
      <c r="I110" s="18">
        <f>IF(GETPIVOTDATA("Payout",'Tabela LL'!$A$3,"Ativo",Tabela3[[#This Row],[PAPEL]])&gt;1,1,GETPIVOTDATA("Payout",'Tabela LL'!$A$3,"Ativo",Tabela3[[#This Row],[PAPEL]]))</f>
        <v>0.35050699967240423</v>
      </c>
      <c r="J110" s="5">
        <f>Tabela3[Patrimônio Líquido]/Tabela3[Total Ações]</f>
        <v>10.094728210864121</v>
      </c>
      <c r="K110" s="59">
        <f>MAX(Tabela3[[#This Row],[Cotação 1]],Tabela3[[#This Row],[Cotação 2]])</f>
        <v>21</v>
      </c>
      <c r="L110" s="60">
        <f>Tabela3[Cotação]/Tabela3[VPA]</f>
        <v>2.0802937495037694</v>
      </c>
      <c r="M110" s="40">
        <f>IF(Tabela3[[#This Row],[Lucro/Ação Ano]]&gt;0,Tabela3[[#This Row],[Cotação]]/Tabela3[[#This Row],[Lucro/Ação Ano]],0)</f>
        <v>25.858532480369686</v>
      </c>
      <c r="N110" s="51">
        <f>ROUND(Tabela3[[#This Row],[Lucro Prev]]/10%,2)</f>
        <v>2.85</v>
      </c>
      <c r="O110" s="51">
        <f>MIN(Tabela3[[#This Row],[10% Rent]],Tabela3[[#This Row],[VPA]]*2)</f>
        <v>2.85</v>
      </c>
      <c r="P110" s="18">
        <f>Tabela3[[#This Row],[P Compra]]/Tabela3[[#This Row],[Cotação]]-1</f>
        <v>-0.86428571428571432</v>
      </c>
      <c r="Q110" s="5">
        <f>Tabela3[[#This Row],[Lucro/Ação Ano]]*Tabela3[[#This Row],[Payout]]</f>
        <v>0.28465060802302949</v>
      </c>
      <c r="R110" s="16" t="str">
        <f>IF(AND(Tabela3[% Yield]&gt;=10%,Tabela3[PVPA]&lt;=2,Tabela3[PL]&lt;=15,Tabela3[PL]&gt;0),"Sim","Não")</f>
        <v>Não</v>
      </c>
      <c r="S110" s="22">
        <f>Tabela3[[#This Row],[Lucro Prev]]/Tabela3[[#This Row],[Cotação]]</f>
        <v>1.3554790858239499E-2</v>
      </c>
      <c r="T110" s="10">
        <f>($Z$1/Tabela3[[#This Row],[Cotação]]-MOD($Z$1/Tabela3[[#This Row],[Cotação]],100))</f>
        <v>0</v>
      </c>
      <c r="U110" s="7">
        <f>Tabela3[[#This Row],[Ativos]]*Tabela3[[#This Row],[Lucro Prev]]</f>
        <v>0</v>
      </c>
      <c r="V110" s="51">
        <f>SUMPRODUCT(N(Tabela1[Código]=Tabela3[[#This Row],[PAPEL]]),Tabela1[Fechamento])</f>
        <v>0</v>
      </c>
      <c r="W110" s="51">
        <f>SUMPRODUCT(N(Tabela17[Código]=Tabela3[[#This Row],[PAPEL]]),Tabela17[Fechamento])</f>
        <v>21</v>
      </c>
    </row>
    <row r="111" spans="1:23" x14ac:dyDescent="0.2">
      <c r="A111" s="3" t="s">
        <v>539</v>
      </c>
      <c r="B111" s="75" t="s">
        <v>548</v>
      </c>
      <c r="C111" s="16">
        <v>3</v>
      </c>
      <c r="D111" s="5">
        <v>2075419000</v>
      </c>
      <c r="E111" s="5">
        <v>95615000</v>
      </c>
      <c r="F111" s="21">
        <v>113000000</v>
      </c>
      <c r="G111" s="73">
        <f>Tabela3[[#This Row],[Lucro Líquido]]/Tabela3[[#This Row],[Total Ações]]</f>
        <v>0.84615044247787607</v>
      </c>
      <c r="H111" s="16">
        <f>Tabela3[[#This Row],[Lucro/Ação]]/Tabela3[[#This Row],[Ref]]*4</f>
        <v>1.1282005899705014</v>
      </c>
      <c r="I111" s="18">
        <f>IF(GETPIVOTDATA("Payout",'Tabela LL'!$A$3,"Ativo",Tabela3[[#This Row],[PAPEL]])&gt;1,1,GETPIVOTDATA("Payout",'Tabela LL'!$A$3,"Ativo",Tabela3[[#This Row],[PAPEL]]))</f>
        <v>0.3337402763144719</v>
      </c>
      <c r="J111" s="5">
        <f>Tabela3[Patrimônio Líquido]/Tabela3[Total Ações]</f>
        <v>18.36653982300885</v>
      </c>
      <c r="K111" s="59">
        <f>MAX(Tabela3[[#This Row],[Cotação 1]],Tabela3[[#This Row],[Cotação 2]])</f>
        <v>28.7</v>
      </c>
      <c r="L111" s="60">
        <f>Tabela3[Cotação]/Tabela3[VPA]</f>
        <v>1.5626242219041071</v>
      </c>
      <c r="M111" s="40">
        <f>IF(Tabela3[[#This Row],[Lucro/Ação Ano]]&gt;0,Tabela3[[#This Row],[Cotação]]/Tabela3[[#This Row],[Lucro/Ação Ano]],0)</f>
        <v>25.438738691627883</v>
      </c>
      <c r="N111" s="7">
        <f>ROUND(Tabela3[[#This Row],[Lucro Prev]]/10%,2)</f>
        <v>3.77</v>
      </c>
      <c r="O111" s="51">
        <f>MIN(Tabela3[[#This Row],[10% Rent]],Tabela3[[#This Row],[VPA]]*2)</f>
        <v>3.77</v>
      </c>
      <c r="P111" s="18">
        <f>Tabela3[[#This Row],[P Compra]]/Tabela3[[#This Row],[Cotação]]-1</f>
        <v>-0.86864111498257834</v>
      </c>
      <c r="Q111" s="5">
        <f>Tabela3[[#This Row],[Lucro/Ação Ano]]*Tabela3[[#This Row],[Payout]]</f>
        <v>0.37652597663490533</v>
      </c>
      <c r="R111" s="16" t="str">
        <f>IF(AND(Tabela3[% Yield]&gt;=10%,Tabela3[PVPA]&lt;=2,Tabela3[PL]&lt;=15,Tabela3[PL]&gt;0),"Sim","Não")</f>
        <v>Não</v>
      </c>
      <c r="S111" s="22">
        <f>Tabela3[[#This Row],[Lucro Prev]]/Tabela3[[#This Row],[Cotação]]</f>
        <v>1.3119372008184855E-2</v>
      </c>
      <c r="T111" s="10">
        <f>($Z$1/Tabela3[[#This Row],[Cotação]]-MOD($Z$1/Tabela3[[#This Row],[Cotação]],100))</f>
        <v>0</v>
      </c>
      <c r="U111" s="7">
        <f>Tabela3[[#This Row],[Ativos]]*Tabela3[[#This Row],[Lucro Prev]]</f>
        <v>0</v>
      </c>
      <c r="V111" s="51">
        <f>SUMPRODUCT(N(Tabela1[Código]=Tabela3[[#This Row],[PAPEL]]),Tabela1[Fechamento])</f>
        <v>0</v>
      </c>
      <c r="W111" s="61">
        <f>SUMPRODUCT(N(Tabela17[Código]=Tabela3[[#This Row],[PAPEL]]),Tabela17[Fechamento])</f>
        <v>28.7</v>
      </c>
    </row>
    <row r="112" spans="1:23" x14ac:dyDescent="0.2">
      <c r="A112" s="4" t="s">
        <v>14</v>
      </c>
      <c r="B112" s="14" t="s">
        <v>10</v>
      </c>
      <c r="C112" s="15">
        <v>3</v>
      </c>
      <c r="D112" s="6">
        <v>1922945000</v>
      </c>
      <c r="E112" s="6">
        <v>22434000</v>
      </c>
      <c r="F112" s="42">
        <v>252903569</v>
      </c>
      <c r="G112" s="15">
        <f>Tabela3[[#This Row],[Lucro Líquido]]/Tabela3[[#This Row],[Total Ações]]</f>
        <v>8.8705746971882396E-2</v>
      </c>
      <c r="H112" s="15">
        <f>Tabela3[[#This Row],[Lucro/Ação]]/Tabela3[[#This Row],[Ref]]*4</f>
        <v>0.11827432929584319</v>
      </c>
      <c r="I112" s="19">
        <f>IF(GETPIVOTDATA("Payout",'Tabela LL'!$A$3,"Ativo",Tabela3[[#This Row],[PAPEL]])&gt;1,1,GETPIVOTDATA("Payout",'Tabela LL'!$A$3,"Ativo",Tabela3[[#This Row],[PAPEL]]))</f>
        <v>0.69029873873004899</v>
      </c>
      <c r="J112" s="6">
        <f>Tabela3[Patrimônio Líquido]/Tabela3[Total Ações]</f>
        <v>7.60347118707526</v>
      </c>
      <c r="K112" s="52">
        <f>MAX(Tabela3[[#This Row],[Cotação 1]],Tabela3[[#This Row],[Cotação 2]])</f>
        <v>7.4</v>
      </c>
      <c r="L112" s="48">
        <f>Tabela3[Cotação]/Tabela3[VPA]</f>
        <v>0.97323969775526609</v>
      </c>
      <c r="M112" s="44">
        <f>IF(Tabela3[[#This Row],[Lucro/Ação Ano]]&gt;0,Tabela3[[#This Row],[Cotação]]/Tabela3[[#This Row],[Lucro/Ação Ano]],0)</f>
        <v>62.56640848488901</v>
      </c>
      <c r="N112" s="6">
        <f>ROUND(Tabela3[[#This Row],[Lucro Prev]]/10%,2)</f>
        <v>0.82</v>
      </c>
      <c r="O112" s="62">
        <f>MIN(Tabela3[[#This Row],[10% Rent]],Tabela3[[#This Row],[VPA]]*2)</f>
        <v>0.82</v>
      </c>
      <c r="P112" s="19">
        <f>Tabela3[[#This Row],[P Compra]]/Tabela3[[#This Row],[Cotação]]-1</f>
        <v>-0.88918918918918921</v>
      </c>
      <c r="Q112" s="6">
        <f>Tabela3[[#This Row],[Lucro/Ação Ano]]*Tabela3[[#This Row],[Payout]]</f>
        <v>8.1644620337063045E-2</v>
      </c>
      <c r="R112" s="15" t="str">
        <f>IF(AND(Tabela3[% Yield]&gt;=10%,Tabela3[PVPA]&lt;=2,Tabela3[PL]&lt;=15,Tabela3[PL]&gt;0),"Sim","Não")</f>
        <v>Não</v>
      </c>
      <c r="S112" s="46">
        <f>Tabela3[[#This Row],[Lucro Prev]]/Tabela3[[#This Row],[Cotação]]</f>
        <v>1.1033056802305817E-2</v>
      </c>
      <c r="T112" s="14">
        <f>($Z$1/Tabela3[[#This Row],[Cotação]]-MOD($Z$1/Tabela3[[#This Row],[Cotação]],100))</f>
        <v>100</v>
      </c>
      <c r="U112" s="17">
        <f>Tabela3[[#This Row],[Ativos]]*Tabela3[[#This Row],[Lucro Prev]]</f>
        <v>8.1644620337063039</v>
      </c>
      <c r="V112" s="5">
        <f>SUMPRODUCT(N(Tabela1[Código]=Tabela3[[#This Row],[PAPEL]]),Tabela1[Fechamento])</f>
        <v>7.4</v>
      </c>
      <c r="W112" s="5">
        <f>SUMPRODUCT(N(Tabela17[Código]=Tabela3[[#This Row],[PAPEL]]),Tabela17[Fechamento])</f>
        <v>0</v>
      </c>
    </row>
    <row r="113" spans="1:23" x14ac:dyDescent="0.2">
      <c r="A113" s="4" t="s">
        <v>26</v>
      </c>
      <c r="B113" s="72" t="s">
        <v>25</v>
      </c>
      <c r="C113" s="15">
        <v>3</v>
      </c>
      <c r="D113" s="6">
        <v>6389579000</v>
      </c>
      <c r="E113" s="6">
        <v>1570142000</v>
      </c>
      <c r="F113" s="42">
        <v>2000000000</v>
      </c>
      <c r="G113" s="74">
        <f>Tabela3[[#This Row],[Lucro Líquido]]/Tabela3[[#This Row],[Total Ações]]</f>
        <v>0.78507099999999996</v>
      </c>
      <c r="H113" s="15">
        <f>Tabela3[[#This Row],[Lucro/Ação]]/Tabela3[[#This Row],[Ref]]*4</f>
        <v>1.0467613333333332</v>
      </c>
      <c r="I113" s="19">
        <f>IF(GETPIVOTDATA("Payout",'Tabela LL'!$A$3,"Ativo",Tabela3[[#This Row],[PAPEL]])&gt;1,1,GETPIVOTDATA("Payout",'Tabela LL'!$A$3,"Ativo",Tabela3[[#This Row],[PAPEL]]))</f>
        <v>0.25</v>
      </c>
      <c r="J113" s="6">
        <f>Tabela3[Patrimônio Líquido]/Tabela3[Total Ações]</f>
        <v>3.1947895000000002</v>
      </c>
      <c r="K113" s="52">
        <f>MAX(Tabela3[[#This Row],[Cotação 1]],Tabela3[[#This Row],[Cotação 2]])</f>
        <v>24.5</v>
      </c>
      <c r="L113" s="48">
        <f>Tabela3[Cotação]/Tabela3[VPA]</f>
        <v>7.6687368604410393</v>
      </c>
      <c r="M113" s="44">
        <f>IF(Tabela3[[#This Row],[Lucro/Ação Ano]]&gt;0,Tabela3[[#This Row],[Cotação]]/Tabela3[[#This Row],[Lucro/Ação Ano]],0)</f>
        <v>23.405526379142781</v>
      </c>
      <c r="N113" s="13">
        <f>ROUND(Tabela3[[#This Row],[Lucro Prev]]/10%,2)</f>
        <v>2.62</v>
      </c>
      <c r="O113" s="13">
        <f>MIN(Tabela3[[#This Row],[10% Rent]],Tabela3[[#This Row],[VPA]]*2)</f>
        <v>2.62</v>
      </c>
      <c r="P113" s="19">
        <f>Tabela3[[#This Row],[P Compra]]/Tabela3[[#This Row],[Cotação]]-1</f>
        <v>-0.89306122448979597</v>
      </c>
      <c r="Q113" s="6">
        <f>Tabela3[[#This Row],[Lucro/Ação Ano]]*Tabela3[[#This Row],[Payout]]</f>
        <v>0.2616903333333333</v>
      </c>
      <c r="R113" s="15" t="str">
        <f>IF(AND(Tabela3[% Yield]&gt;=10%,Tabela3[PVPA]&lt;=2,Tabela3[PL]&lt;=15,Tabela3[PL]&gt;0),"Sim","Não")</f>
        <v>Não</v>
      </c>
      <c r="S113" s="46">
        <f>Tabela3[[#This Row],[Lucro Prev]]/Tabela3[[#This Row],[Cotação]]</f>
        <v>1.0681238095238094E-2</v>
      </c>
      <c r="T113" s="14">
        <f>($Z$1/Tabela3[[#This Row],[Cotação]]-MOD($Z$1/Tabela3[[#This Row],[Cotação]],100))</f>
        <v>0</v>
      </c>
      <c r="U113" s="17">
        <f>Tabela3[[#This Row],[Ativos]]*Tabela3[[#This Row],[Lucro Prev]]</f>
        <v>0</v>
      </c>
      <c r="V113" s="13">
        <f>SUMPRODUCT(N(Tabela1[Código]=Tabela3[[#This Row],[PAPEL]]),Tabela1[Fechamento])</f>
        <v>0</v>
      </c>
      <c r="W113" s="13">
        <f>SUMPRODUCT(N(Tabela17[Código]=Tabela3[[#This Row],[PAPEL]]),Tabela17[Fechamento])</f>
        <v>24.5</v>
      </c>
    </row>
    <row r="114" spans="1:23" x14ac:dyDescent="0.2">
      <c r="A114" s="3" t="s">
        <v>562</v>
      </c>
      <c r="B114" s="75" t="s">
        <v>561</v>
      </c>
      <c r="C114" s="16">
        <v>3</v>
      </c>
      <c r="D114" s="5">
        <v>14822624000</v>
      </c>
      <c r="E114" s="5">
        <v>853987000</v>
      </c>
      <c r="F114" s="21">
        <v>872473246</v>
      </c>
      <c r="G114" s="73">
        <f>Tabela3[[#This Row],[Lucro Líquido]]/Tabela3[[#This Row],[Total Ações]]</f>
        <v>0.97881167579091588</v>
      </c>
      <c r="H114" s="16">
        <f>Tabela3[[#This Row],[Lucro/Ação]]/Tabela3[[#This Row],[Ref]]*4</f>
        <v>1.3050822343878878</v>
      </c>
      <c r="I114" s="18">
        <f>IF(GETPIVOTDATA("Payout",'Tabela LL'!$A$3,"Ativo",Tabela3[[#This Row],[PAPEL]])&gt;1,1,GETPIVOTDATA("Payout",'Tabela LL'!$A$3,"Ativo",Tabela3[[#This Row],[PAPEL]]))</f>
        <v>0.37734950584130339</v>
      </c>
      <c r="J114" s="5">
        <f>Tabela3[Patrimônio Líquido]/Tabela3[Total Ações]</f>
        <v>16.989201752554369</v>
      </c>
      <c r="K114" s="59">
        <f>MAX(Tabela3[[#This Row],[Cotação 1]],Tabela3[[#This Row],[Cotação 2]])</f>
        <v>49.25</v>
      </c>
      <c r="L114" s="60">
        <f>Tabela3[Cotação]/Tabela3[VPA]</f>
        <v>2.8989001789089439</v>
      </c>
      <c r="M114" s="40">
        <f>IF(Tabela3[[#This Row],[Lucro/Ação Ano]]&gt;0,Tabela3[[#This Row],[Cotação]]/Tabela3[[#This Row],[Lucro/Ação Ano]],0)</f>
        <v>37.737085604493977</v>
      </c>
      <c r="N114" s="7">
        <f>ROUND(Tabela3[[#This Row],[Lucro Prev]]/10%,2)</f>
        <v>4.92</v>
      </c>
      <c r="O114" s="51">
        <f>MIN(Tabela3[[#This Row],[10% Rent]],Tabela3[[#This Row],[VPA]]*2)</f>
        <v>4.92</v>
      </c>
      <c r="P114" s="18">
        <f>Tabela3[[#This Row],[P Compra]]/Tabela3[[#This Row],[Cotação]]-1</f>
        <v>-0.90010152284263956</v>
      </c>
      <c r="Q114" s="5">
        <f>Tabela3[[#This Row],[Lucro/Ação Ano]]*Tabela3[[#This Row],[Payout]]</f>
        <v>0.49247213622853359</v>
      </c>
      <c r="R114" s="16" t="str">
        <f>IF(AND(Tabela3[% Yield]&gt;=10%,Tabela3[PVPA]&lt;=2,Tabela3[PL]&lt;=15,Tabela3[PL]&gt;0),"Sim","Não")</f>
        <v>Não</v>
      </c>
      <c r="S114" s="22">
        <f>Tabela3[[#This Row],[Lucro Prev]]/Tabela3[[#This Row],[Cotação]]</f>
        <v>9.9994342381428142E-3</v>
      </c>
      <c r="T114" s="10">
        <f>($Z$1/Tabela3[[#This Row],[Cotação]]-MOD($Z$1/Tabela3[[#This Row],[Cotação]],100))</f>
        <v>0</v>
      </c>
      <c r="U114" s="7">
        <f>Tabela3[[#This Row],[Ativos]]*Tabela3[[#This Row],[Lucro Prev]]</f>
        <v>0</v>
      </c>
      <c r="V114" s="51">
        <f>SUMPRODUCT(N(Tabela1[Código]=Tabela3[[#This Row],[PAPEL]]),Tabela1[Fechamento])</f>
        <v>0</v>
      </c>
      <c r="W114" s="61">
        <f>SUMPRODUCT(N(Tabela17[Código]=Tabela3[[#This Row],[PAPEL]]),Tabela17[Fechamento])</f>
        <v>49.25</v>
      </c>
    </row>
    <row r="115" spans="1:23" x14ac:dyDescent="0.2">
      <c r="A115" s="3" t="s">
        <v>562</v>
      </c>
      <c r="B115" s="75" t="s">
        <v>568</v>
      </c>
      <c r="C115" s="16">
        <v>3</v>
      </c>
      <c r="D115" s="5">
        <v>21913989000</v>
      </c>
      <c r="E115" s="5">
        <v>786184000</v>
      </c>
      <c r="F115" s="21">
        <v>2943644008</v>
      </c>
      <c r="G115" s="73">
        <f>Tabela3[[#This Row],[Lucro Líquido]]/Tabela3[[#This Row],[Total Ações]]</f>
        <v>0.26707849110265103</v>
      </c>
      <c r="H115" s="16">
        <f>Tabela3[[#This Row],[Lucro/Ação]]/Tabela3[[#This Row],[Ref]]*4</f>
        <v>0.3561046548035347</v>
      </c>
      <c r="I115" s="18">
        <f>IF(GETPIVOTDATA("Payout",'Tabela LL'!$A$3,"Ativo",Tabela3[[#This Row],[PAPEL]])&gt;1,1,GETPIVOTDATA("Payout",'Tabela LL'!$A$3,"Ativo",Tabela3[[#This Row],[PAPEL]]))</f>
        <v>0.23749999886663223</v>
      </c>
      <c r="J115" s="5">
        <f>Tabela3[Patrimônio Líquido]/Tabela3[Total Ações]</f>
        <v>7.4445105931437077</v>
      </c>
      <c r="K115" s="59">
        <f>MAX(Tabela3[[#This Row],[Cotação 1]],Tabela3[[#This Row],[Cotação 2]])</f>
        <v>8.77</v>
      </c>
      <c r="L115" s="60">
        <f>Tabela3[Cotação]/Tabela3[VPA]</f>
        <v>1.1780492337638755</v>
      </c>
      <c r="M115" s="40">
        <f>IF(Tabela3[[#This Row],[Lucro/Ação Ano]]&gt;0,Tabela3[[#This Row],[Cotação]]/Tabela3[[#This Row],[Lucro/Ação Ano]],0)</f>
        <v>24.627591584947034</v>
      </c>
      <c r="N115" s="7">
        <f>ROUND(Tabela3[[#This Row],[Lucro Prev]]/10%,2)</f>
        <v>0.85</v>
      </c>
      <c r="O115" s="51">
        <f>MIN(Tabela3[[#This Row],[10% Rent]],Tabela3[[#This Row],[VPA]]*2)</f>
        <v>0.85</v>
      </c>
      <c r="P115" s="18">
        <f>Tabela3[[#This Row],[P Compra]]/Tabela3[[#This Row],[Cotação]]-1</f>
        <v>-0.90307867730900804</v>
      </c>
      <c r="Q115" s="5">
        <f>Tabela3[[#This Row],[Lucro/Ação Ano]]*Tabela3[[#This Row],[Payout]]</f>
        <v>8.4574855112241956E-2</v>
      </c>
      <c r="R115" s="16" t="str">
        <f>IF(AND(Tabela3[% Yield]&gt;=10%,Tabela3[PVPA]&lt;=2,Tabela3[PL]&lt;=15,Tabela3[PL]&gt;0),"Sim","Não")</f>
        <v>Não</v>
      </c>
      <c r="S115" s="22">
        <f>Tabela3[[#This Row],[Lucro Prev]]/Tabela3[[#This Row],[Cotação]]</f>
        <v>9.6436550869147038E-3</v>
      </c>
      <c r="T115" s="10">
        <f>($Z$1/Tabela3[[#This Row],[Cotação]]-MOD($Z$1/Tabela3[[#This Row],[Cotação]],100))</f>
        <v>100</v>
      </c>
      <c r="U115" s="7">
        <f>Tabela3[[#This Row],[Ativos]]*Tabela3[[#This Row],[Lucro Prev]]</f>
        <v>8.4574855112241956</v>
      </c>
      <c r="V115" s="51">
        <f>SUMPRODUCT(N(Tabela1[Código]=Tabela3[[#This Row],[PAPEL]]),Tabela1[Fechamento])</f>
        <v>0</v>
      </c>
      <c r="W115" s="61">
        <f>SUMPRODUCT(N(Tabela17[Código]=Tabela3[[#This Row],[PAPEL]]),Tabela17[Fechamento])</f>
        <v>8.77</v>
      </c>
    </row>
    <row r="116" spans="1:23" x14ac:dyDescent="0.2">
      <c r="A116" s="3" t="s">
        <v>333</v>
      </c>
      <c r="B116" s="14" t="s">
        <v>330</v>
      </c>
      <c r="C116" s="16">
        <v>3</v>
      </c>
      <c r="D116" s="5">
        <v>1206918000</v>
      </c>
      <c r="E116" s="5">
        <v>49929000</v>
      </c>
      <c r="F116" s="21">
        <v>88320000</v>
      </c>
      <c r="G116" s="16">
        <f>Tabela3[[#This Row],[Lucro Líquido]]/Tabela3[[#This Row],[Total Ações]]</f>
        <v>0.56531929347826082</v>
      </c>
      <c r="H116" s="16">
        <f>Tabela3[[#This Row],[Lucro/Ação]]/Tabela3[[#This Row],[Ref]]*4</f>
        <v>0.75375905797101439</v>
      </c>
      <c r="I116" s="18">
        <f>IF(GETPIVOTDATA("Payout",'Tabela LL'!$A$3,"Ativo",Tabela3[[#This Row],[PAPEL]])&gt;1,1,GETPIVOTDATA("Payout",'Tabela LL'!$A$3,"Ativo",Tabela3[[#This Row],[PAPEL]]))</f>
        <v>0.22491646614074809</v>
      </c>
      <c r="J116" s="5">
        <f>Tabela3[Patrimônio Líquido]/Tabela3[Total Ações]</f>
        <v>13.665285326086957</v>
      </c>
      <c r="K116" s="59">
        <f>MAX(Tabela3[[#This Row],[Cotação 1]],Tabela3[[#This Row],[Cotação 2]])</f>
        <v>19</v>
      </c>
      <c r="L116" s="60">
        <f>Tabela3[Cotação]/Tabela3[VPA]</f>
        <v>1.3903844337394917</v>
      </c>
      <c r="M116" s="40">
        <f>IF(Tabela3[[#This Row],[Lucro/Ação Ano]]&gt;0,Tabela3[[#This Row],[Cotação]]/Tabela3[[#This Row],[Lucro/Ação Ano]],0)</f>
        <v>25.206993931382566</v>
      </c>
      <c r="N116" s="5">
        <f>ROUND(Tabela3[[#This Row],[Lucro Prev]]/10%,2)</f>
        <v>1.7</v>
      </c>
      <c r="O116" s="61">
        <f>MIN(Tabela3[[#This Row],[10% Rent]],Tabela3[[#This Row],[VPA]]*2)</f>
        <v>1.7</v>
      </c>
      <c r="P116" s="18">
        <f>Tabela3[[#This Row],[P Compra]]/Tabela3[[#This Row],[Cotação]]-1</f>
        <v>-0.91052631578947363</v>
      </c>
      <c r="Q116" s="5">
        <f>Tabela3[[#This Row],[Lucro/Ação Ano]]*Tabela3[[#This Row],[Payout]]</f>
        <v>0.16953282364041983</v>
      </c>
      <c r="R116" s="16" t="str">
        <f>IF(AND(Tabela3[% Yield]&gt;=10%,Tabela3[PVPA]&lt;=2,Tabela3[PL]&lt;=15,Tabela3[PL]&gt;0),"Sim","Não")</f>
        <v>Não</v>
      </c>
      <c r="S116" s="22">
        <f>Tabela3[[#This Row],[Lucro Prev]]/Tabela3[[#This Row],[Cotação]]</f>
        <v>8.922780191601044E-3</v>
      </c>
      <c r="T116" s="10">
        <f>($Z$1/Tabela3[[#This Row],[Cotação]]-MOD($Z$1/Tabela3[[#This Row],[Cotação]],100))</f>
        <v>0</v>
      </c>
      <c r="U116" s="7">
        <f>Tabela3[[#This Row],[Ativos]]*Tabela3[[#This Row],[Lucro Prev]]</f>
        <v>0</v>
      </c>
      <c r="V116" s="5">
        <f>SUMPRODUCT(N(Tabela1[Código]=Tabela3[[#This Row],[PAPEL]]),Tabela1[Fechamento])</f>
        <v>19</v>
      </c>
      <c r="W116" s="5">
        <f>SUMPRODUCT(N(Tabela17[Código]=Tabela3[[#This Row],[PAPEL]]),Tabela17[Fechamento])</f>
        <v>0</v>
      </c>
    </row>
    <row r="117" spans="1:23" x14ac:dyDescent="0.2">
      <c r="A117" s="4" t="s">
        <v>14</v>
      </c>
      <c r="B117" s="14" t="s">
        <v>287</v>
      </c>
      <c r="C117" s="15">
        <v>3</v>
      </c>
      <c r="D117" s="5">
        <v>843867000</v>
      </c>
      <c r="E117" s="5">
        <v>34502000</v>
      </c>
      <c r="F117" s="21">
        <v>73646388</v>
      </c>
      <c r="G117" s="15">
        <f>Tabela3[[#This Row],[Lucro Líquido]]/Tabela3[[#This Row],[Total Ações]]</f>
        <v>0.46848190300928266</v>
      </c>
      <c r="H117" s="15">
        <f>Tabela3[[#This Row],[Lucro/Ação]]/Tabela3[[#This Row],[Ref]]*4</f>
        <v>0.62464253734571018</v>
      </c>
      <c r="I117" s="19">
        <f>IF(GETPIVOTDATA("Payout",'Tabela LL'!$A$3,"Ativo",Tabela3[[#This Row],[PAPEL]])&gt;1,1,GETPIVOTDATA("Payout",'Tabela LL'!$A$3,"Ativo",Tabela3[[#This Row],[PAPEL]]))</f>
        <v>5.4484299057845742E-2</v>
      </c>
      <c r="J117" s="6">
        <f>Tabela3[Patrimônio Líquido]/Tabela3[Total Ações]</f>
        <v>11.45836235716</v>
      </c>
      <c r="K117" s="52">
        <f>MAX(Tabela3[[#This Row],[Cotação 1]],Tabela3[[#This Row],[Cotação 2]])</f>
        <v>4</v>
      </c>
      <c r="L117" s="48">
        <f>Tabela3[Cotação]/Tabela3[VPA]</f>
        <v>0.34909002484988749</v>
      </c>
      <c r="M117" s="44">
        <f>IF(Tabela3[[#This Row],[Lucro/Ação Ano]]&gt;0,Tabela3[[#This Row],[Cotação]]/Tabela3[[#This Row],[Lucro/Ação Ano]],0)</f>
        <v>6.4036625123181272</v>
      </c>
      <c r="N117" s="6">
        <f>ROUND(Tabela3[[#This Row],[Lucro Prev]]/10%,2)</f>
        <v>0.34</v>
      </c>
      <c r="O117" s="62">
        <f>MIN(Tabela3[[#This Row],[10% Rent]],Tabela3[[#This Row],[VPA]]*2)</f>
        <v>0.34</v>
      </c>
      <c r="P117" s="19">
        <f>Tabela3[[#This Row],[P Compra]]/Tabela3[[#This Row],[Cotação]]-1</f>
        <v>-0.91500000000000004</v>
      </c>
      <c r="Q117" s="6">
        <f>Tabela3[[#This Row],[Lucro/Ação Ano]]*Tabela3[[#This Row],[Payout]]</f>
        <v>3.4033210808995254E-2</v>
      </c>
      <c r="R117" s="15" t="str">
        <f>IF(AND(Tabela3[% Yield]&gt;=10%,Tabela3[PVPA]&lt;=2,Tabela3[PL]&lt;=15,Tabela3[PL]&gt;0),"Sim","Não")</f>
        <v>Não</v>
      </c>
      <c r="S117" s="46">
        <f>Tabela3[[#This Row],[Lucro Prev]]/Tabela3[[#This Row],[Cotação]]</f>
        <v>8.5083027022488135E-3</v>
      </c>
      <c r="T117" s="14">
        <f>($Z$1/Tabela3[[#This Row],[Cotação]]-MOD($Z$1/Tabela3[[#This Row],[Cotação]],100))</f>
        <v>200</v>
      </c>
      <c r="U117" s="17">
        <f>Tabela3[[#This Row],[Ativos]]*Tabela3[[#This Row],[Lucro Prev]]</f>
        <v>6.8066421617990507</v>
      </c>
      <c r="V117" s="5">
        <f>SUMPRODUCT(N(Tabela1[Código]=Tabela3[[#This Row],[PAPEL]]),Tabela1[Fechamento])</f>
        <v>4</v>
      </c>
      <c r="W117" s="5">
        <f>SUMPRODUCT(N(Tabela17[Código]=Tabela3[[#This Row],[PAPEL]]),Tabela17[Fechamento])</f>
        <v>0</v>
      </c>
    </row>
    <row r="118" spans="1:23" x14ac:dyDescent="0.2">
      <c r="A118" s="4" t="s">
        <v>14</v>
      </c>
      <c r="B118" s="14" t="s">
        <v>266</v>
      </c>
      <c r="C118" s="15">
        <v>3</v>
      </c>
      <c r="D118" s="6">
        <v>1922945000</v>
      </c>
      <c r="E118" s="6">
        <v>22434000</v>
      </c>
      <c r="F118" s="42">
        <v>252903569</v>
      </c>
      <c r="G118" s="15">
        <f>Tabela3[[#This Row],[Lucro Líquido]]/Tabela3[[#This Row],[Total Ações]]</f>
        <v>8.8705746971882396E-2</v>
      </c>
      <c r="H118" s="15">
        <f>Tabela3[[#This Row],[Lucro/Ação]]/Tabela3[[#This Row],[Ref]]*4</f>
        <v>0.11827432929584319</v>
      </c>
      <c r="I118" s="19">
        <f>IF(GETPIVOTDATA("Payout",'Tabela LL'!$A$3,"Ativo",Tabela3[[#This Row],[PAPEL]])&gt;1,1,GETPIVOTDATA("Payout",'Tabela LL'!$A$3,"Ativo",Tabela3[[#This Row],[PAPEL]]))</f>
        <v>0.69029873873004899</v>
      </c>
      <c r="J118" s="6">
        <f>Tabela3[Patrimônio Líquido]/Tabela3[Total Ações]</f>
        <v>7.60347118707526</v>
      </c>
      <c r="K118" s="52">
        <f>MAX(Tabela3[[#This Row],[Cotação 1]],Tabela3[[#This Row],[Cotação 2]])</f>
        <v>9.65</v>
      </c>
      <c r="L118" s="48">
        <f>Tabela3[Cotação]/Tabela3[VPA]</f>
        <v>1.269157173424097</v>
      </c>
      <c r="M118" s="44">
        <f>IF(Tabela3[[#This Row],[Lucro/Ação Ano]]&gt;0,Tabela3[[#This Row],[Cotação]]/Tabela3[[#This Row],[Lucro/Ação Ano]],0)</f>
        <v>81.589978632321476</v>
      </c>
      <c r="N118" s="6">
        <f>ROUND(Tabela3[[#This Row],[Lucro Prev]]/10%,2)</f>
        <v>0.82</v>
      </c>
      <c r="O118" s="62">
        <f>MIN(Tabela3[[#This Row],[10% Rent]],Tabela3[[#This Row],[VPA]]*2)</f>
        <v>0.82</v>
      </c>
      <c r="P118" s="19">
        <f>Tabela3[[#This Row],[P Compra]]/Tabela3[[#This Row],[Cotação]]-1</f>
        <v>-0.91502590673575135</v>
      </c>
      <c r="Q118" s="6">
        <f>Tabela3[[#This Row],[Lucro/Ação Ano]]*Tabela3[[#This Row],[Payout]]</f>
        <v>8.1644620337063045E-2</v>
      </c>
      <c r="R118" s="15" t="str">
        <f>IF(AND(Tabela3[% Yield]&gt;=10%,Tabela3[PVPA]&lt;=2,Tabela3[PL]&lt;=15,Tabela3[PL]&gt;0),"Sim","Não")</f>
        <v>Não</v>
      </c>
      <c r="S118" s="46">
        <f>Tabela3[[#This Row],[Lucro Prev]]/Tabela3[[#This Row],[Cotação]]</f>
        <v>8.4605824183485012E-3</v>
      </c>
      <c r="T118" s="14">
        <f>($Z$1/Tabela3[[#This Row],[Cotação]]-MOD($Z$1/Tabela3[[#This Row],[Cotação]],100))</f>
        <v>100</v>
      </c>
      <c r="U118" s="17">
        <f>Tabela3[[#This Row],[Ativos]]*Tabela3[[#This Row],[Lucro Prev]]</f>
        <v>8.1644620337063039</v>
      </c>
      <c r="V118" s="5">
        <f>SUMPRODUCT(N(Tabela1[Código]=Tabela3[[#This Row],[PAPEL]]),Tabela1[Fechamento])</f>
        <v>9.65</v>
      </c>
      <c r="W118" s="5">
        <f>SUMPRODUCT(N(Tabela17[Código]=Tabela3[[#This Row],[PAPEL]]),Tabela17[Fechamento])</f>
        <v>0</v>
      </c>
    </row>
    <row r="119" spans="1:23" x14ac:dyDescent="0.2">
      <c r="A119" s="4" t="s">
        <v>14</v>
      </c>
      <c r="B119" s="15" t="s">
        <v>282</v>
      </c>
      <c r="C119" s="16">
        <v>3</v>
      </c>
      <c r="D119" s="5">
        <v>843867000</v>
      </c>
      <c r="E119" s="5">
        <v>34502000</v>
      </c>
      <c r="F119" s="21">
        <v>73646388</v>
      </c>
      <c r="G119" s="16">
        <f>Tabela3[[#This Row],[Lucro Líquido]]/Tabela3[[#This Row],[Total Ações]]</f>
        <v>0.46848190300928266</v>
      </c>
      <c r="H119" s="16">
        <f>Tabela3[[#This Row],[Lucro/Ação]]/Tabela3[[#This Row],[Ref]]*4</f>
        <v>0.62464253734571018</v>
      </c>
      <c r="I119" s="18">
        <f>IF(GETPIVOTDATA("Payout",'Tabela LL'!$A$3,"Ativo",Tabela3[[#This Row],[PAPEL]])&gt;1,1,GETPIVOTDATA("Payout",'Tabela LL'!$A$3,"Ativo",Tabela3[[#This Row],[PAPEL]]))</f>
        <v>4.7361278676921532E-2</v>
      </c>
      <c r="J119" s="5">
        <f>Tabela3[Patrimônio Líquido]/Tabela3[Total Ações]</f>
        <v>11.45836235716</v>
      </c>
      <c r="K119" s="59">
        <f>MAX(Tabela3[[#This Row],[Cotação 1]],Tabela3[[#This Row],[Cotação 2]])</f>
        <v>4.2</v>
      </c>
      <c r="L119" s="60">
        <f>Tabela3[Cotação]/Tabela3[VPA]</f>
        <v>0.36654452609238186</v>
      </c>
      <c r="M119" s="40">
        <f>IF(Tabela3[[#This Row],[Lucro/Ação Ano]]&gt;0,Tabela3[[#This Row],[Cotação]]/Tabela3[[#This Row],[Lucro/Ação Ano]],0)</f>
        <v>6.7238456379340334</v>
      </c>
      <c r="N119" s="5">
        <f>ROUND(Tabela3[[#This Row],[Lucro Prev]]/10%,2)</f>
        <v>0.3</v>
      </c>
      <c r="O119" s="61">
        <f>MIN(Tabela3[[#This Row],[10% Rent]],Tabela3[[#This Row],[VPA]]*2)</f>
        <v>0.3</v>
      </c>
      <c r="P119" s="18">
        <f>Tabela3[[#This Row],[P Compra]]/Tabela3[[#This Row],[Cotação]]-1</f>
        <v>-0.9285714285714286</v>
      </c>
      <c r="Q119" s="5">
        <f>Tabela3[[#This Row],[Lucro/Ação Ano]]*Tabela3[[#This Row],[Payout]]</f>
        <v>2.9583869284689545E-2</v>
      </c>
      <c r="R119" s="16" t="str">
        <f>IF(AND(Tabela3[% Yield]&gt;=10%,Tabela3[PVPA]&lt;=2,Tabela3[PL]&lt;=15,Tabela3[PL]&gt;0),"Sim","Não")</f>
        <v>Não</v>
      </c>
      <c r="S119" s="22">
        <f>Tabela3[[#This Row],[Lucro Prev]]/Tabela3[[#This Row],[Cotação]]</f>
        <v>7.043778401116558E-3</v>
      </c>
      <c r="T119" s="10">
        <f>($Z$1/Tabela3[[#This Row],[Cotação]]-MOD($Z$1/Tabela3[[#This Row],[Cotação]],100))</f>
        <v>200</v>
      </c>
      <c r="U119" s="7">
        <f>Tabela3[[#This Row],[Ativos]]*Tabela3[[#This Row],[Lucro Prev]]</f>
        <v>5.9167738569379091</v>
      </c>
      <c r="V119" s="5">
        <f>SUMPRODUCT(N(Tabela1[Código]=Tabela3[[#This Row],[PAPEL]]),Tabela1[Fechamento])</f>
        <v>4.2</v>
      </c>
      <c r="W119" s="5">
        <f>SUMPRODUCT(N(Tabela17[Código]=Tabela3[[#This Row],[PAPEL]]),Tabela17[Fechamento])</f>
        <v>0</v>
      </c>
    </row>
    <row r="120" spans="1:23" x14ac:dyDescent="0.2">
      <c r="A120" s="4" t="s">
        <v>14</v>
      </c>
      <c r="B120" s="14" t="s">
        <v>240</v>
      </c>
      <c r="C120" s="15">
        <v>3</v>
      </c>
      <c r="D120" s="6">
        <v>727021000</v>
      </c>
      <c r="E120" s="6">
        <v>31097000</v>
      </c>
      <c r="F120" s="42">
        <v>84682269</v>
      </c>
      <c r="G120" s="15">
        <f>Tabela3[[#This Row],[Lucro Líquido]]/Tabela3[[#This Row],[Total Ações]]</f>
        <v>0.36721973049635692</v>
      </c>
      <c r="H120" s="15">
        <f>Tabela3[[#This Row],[Lucro/Ação]]/Tabela3[[#This Row],[Ref]]*4</f>
        <v>0.4896263073284759</v>
      </c>
      <c r="I120" s="19">
        <f>IF(GETPIVOTDATA("Payout",'Tabela LL'!$A$3,"Ativo",Tabela3[[#This Row],[PAPEL]])&gt;1,1,GETPIVOTDATA("Payout",'Tabela LL'!$A$3,"Ativo",Tabela3[[#This Row],[PAPEL]]))</f>
        <v>2.9204663914363771E-2</v>
      </c>
      <c r="J120" s="6">
        <f>Tabela3[Patrimônio Líquido]/Tabela3[Total Ações]</f>
        <v>8.5852801133611578</v>
      </c>
      <c r="K120" s="52">
        <f>MAX(Tabela3[[#This Row],[Cotação 1]],Tabela3[[#This Row],[Cotação 2]])</f>
        <v>2.83</v>
      </c>
      <c r="L120" s="48">
        <f>Tabela3[Cotação]/Tabela3[VPA]</f>
        <v>0.32963397380543341</v>
      </c>
      <c r="M120" s="44">
        <f>IF(Tabela3[[#This Row],[Lucro/Ação Ano]]&gt;0,Tabela3[[#This Row],[Cotação]]/Tabela3[[#This Row],[Lucro/Ação Ano]],0)</f>
        <v>5.7799181899379359</v>
      </c>
      <c r="N120" s="6">
        <f>ROUND(Tabela3[[#This Row],[Lucro Prev]]/10%,2)</f>
        <v>0.14000000000000001</v>
      </c>
      <c r="O120" s="62">
        <f>MIN(Tabela3[[#This Row],[10% Rent]],Tabela3[[#This Row],[VPA]]*2)</f>
        <v>0.14000000000000001</v>
      </c>
      <c r="P120" s="19">
        <f>Tabela3[[#This Row],[P Compra]]/Tabela3[[#This Row],[Cotação]]-1</f>
        <v>-0.95053003533568903</v>
      </c>
      <c r="Q120" s="6">
        <f>Tabela3[[#This Row],[Lucro/Ação Ano]]*Tabela3[[#This Row],[Payout]]</f>
        <v>1.4299371749159125E-2</v>
      </c>
      <c r="R120" s="15" t="str">
        <f>IF(AND(Tabela3[% Yield]&gt;=10%,Tabela3[PVPA]&lt;=2,Tabela3[PL]&lt;=15,Tabela3[PL]&gt;0),"Sim","Não")</f>
        <v>Não</v>
      </c>
      <c r="S120" s="46">
        <f>Tabela3[[#This Row],[Lucro Prev]]/Tabela3[[#This Row],[Cotação]]</f>
        <v>5.0527815368053442E-3</v>
      </c>
      <c r="T120" s="14">
        <f>($Z$1/Tabela3[[#This Row],[Cotação]]-MOD($Z$1/Tabela3[[#This Row],[Cotação]],100))</f>
        <v>300</v>
      </c>
      <c r="U120" s="17">
        <f>Tabela3[[#This Row],[Ativos]]*Tabela3[[#This Row],[Lucro Prev]]</f>
        <v>4.289811524747738</v>
      </c>
      <c r="V120" s="5">
        <f>SUMPRODUCT(N(Tabela1[Código]=Tabela3[[#This Row],[PAPEL]]),Tabela1[Fechamento])</f>
        <v>2.83</v>
      </c>
      <c r="W120" s="5">
        <f>SUMPRODUCT(N(Tabela17[Código]=Tabela3[[#This Row],[PAPEL]]),Tabela17[Fechamento])</f>
        <v>0</v>
      </c>
    </row>
    <row r="121" spans="1:23" x14ac:dyDescent="0.2">
      <c r="A121" s="4" t="s">
        <v>12</v>
      </c>
      <c r="B121" s="14" t="s">
        <v>205</v>
      </c>
      <c r="C121" s="15">
        <v>3</v>
      </c>
      <c r="D121" s="6">
        <v>143016000</v>
      </c>
      <c r="E121" s="6">
        <v>5000000</v>
      </c>
      <c r="F121" s="42">
        <v>11764889</v>
      </c>
      <c r="G121" s="15">
        <f>Tabela3[[#This Row],[Lucro Líquido]]/Tabela3[[#This Row],[Total Ações]]</f>
        <v>0.4249933849779628</v>
      </c>
      <c r="H121" s="15">
        <f>Tabela3[[#This Row],[Lucro/Ação]]/Tabela3[[#This Row],[Ref]]*4</f>
        <v>0.56665784663728369</v>
      </c>
      <c r="I121" s="19">
        <f>IF(GETPIVOTDATA("Payout",'Tabela LL'!$A$3,"Ativo",Tabela3[[#This Row],[PAPEL]])&gt;1,1,GETPIVOTDATA("Payout",'Tabela LL'!$A$3,"Ativo",Tabela3[[#This Row],[PAPEL]]))</f>
        <v>0.43168732302801038</v>
      </c>
      <c r="J121" s="6">
        <f>Tabela3[Patrimônio Líquido]/Tabela3[Total Ações]</f>
        <v>12.156170789201665</v>
      </c>
      <c r="K121" s="52">
        <f>MAX(Tabela3[[#This Row],[Cotação 1]],Tabela3[[#This Row],[Cotação 2]])</f>
        <v>49.45</v>
      </c>
      <c r="L121" s="48">
        <f>Tabela3[Cotação]/Tabela3[VPA]</f>
        <v>4.0678928305224593</v>
      </c>
      <c r="M121" s="44">
        <f>IF(Tabela3[[#This Row],[Lucro/Ação Ano]]&gt;0,Tabela3[[#This Row],[Cotação]]/Tabela3[[#This Row],[Lucro/Ação Ano]],0)</f>
        <v>87.266064157500011</v>
      </c>
      <c r="N121" s="6">
        <f>ROUND(Tabela3[[#This Row],[Lucro Prev]]/10%,2)</f>
        <v>2.4500000000000002</v>
      </c>
      <c r="O121" s="62">
        <f>MIN(Tabela3[[#This Row],[10% Rent]],Tabela3[[#This Row],[VPA]]*2)</f>
        <v>2.4500000000000002</v>
      </c>
      <c r="P121" s="19">
        <f>Tabela3[[#This Row],[P Compra]]/Tabela3[[#This Row],[Cotação]]-1</f>
        <v>-0.95045500505561176</v>
      </c>
      <c r="Q121" s="6">
        <f>Tabela3[[#This Row],[Lucro/Ação Ano]]*Tabela3[[#This Row],[Payout]]</f>
        <v>0.24461900888766586</v>
      </c>
      <c r="R121" s="15" t="str">
        <f>IF(AND(Tabela3[% Yield]&gt;=10%,Tabela3[PVPA]&lt;=2,Tabela3[PL]&lt;=15,Tabela3[PL]&gt;0),"Sim","Não")</f>
        <v>Não</v>
      </c>
      <c r="S121" s="46">
        <f>Tabela3[[#This Row],[Lucro Prev]]/Tabela3[[#This Row],[Cotação]]</f>
        <v>4.9467949218941522E-3</v>
      </c>
      <c r="T121" s="14">
        <f>($Z$1/Tabela3[[#This Row],[Cotação]]-MOD($Z$1/Tabela3[[#This Row],[Cotação]],100))</f>
        <v>0</v>
      </c>
      <c r="U121" s="17">
        <f>Tabela3[[#This Row],[Ativos]]*Tabela3[[#This Row],[Lucro Prev]]</f>
        <v>0</v>
      </c>
      <c r="V121" s="5">
        <f>SUMPRODUCT(N(Tabela1[Código]=Tabela3[[#This Row],[PAPEL]]),Tabela1[Fechamento])</f>
        <v>49.45</v>
      </c>
      <c r="W121" s="5">
        <f>SUMPRODUCT(N(Tabela17[Código]=Tabela3[[#This Row],[PAPEL]]),Tabela17[Fechamento])</f>
        <v>0</v>
      </c>
    </row>
    <row r="122" spans="1:23" x14ac:dyDescent="0.2">
      <c r="A122" s="4" t="s">
        <v>14</v>
      </c>
      <c r="B122" s="14" t="s">
        <v>239</v>
      </c>
      <c r="C122" s="15">
        <v>3</v>
      </c>
      <c r="D122" s="6">
        <v>727021000</v>
      </c>
      <c r="E122" s="6">
        <v>31097000</v>
      </c>
      <c r="F122" s="42">
        <v>84682269</v>
      </c>
      <c r="G122" s="15">
        <f>Tabela3[[#This Row],[Lucro Líquido]]/Tabela3[[#This Row],[Total Ações]]</f>
        <v>0.36721973049635692</v>
      </c>
      <c r="H122" s="15">
        <f>Tabela3[[#This Row],[Lucro/Ação]]/Tabela3[[#This Row],[Ref]]*4</f>
        <v>0.4896263073284759</v>
      </c>
      <c r="I122" s="19">
        <f>IF(GETPIVOTDATA("Payout",'Tabela LL'!$A$3,"Ativo",Tabela3[[#This Row],[PAPEL]])&gt;1,1,GETPIVOTDATA("Payout",'Tabela LL'!$A$3,"Ativo",Tabela3[[#This Row],[PAPEL]]))</f>
        <v>2.6538214988206538E-2</v>
      </c>
      <c r="J122" s="6">
        <f>Tabela3[Patrimônio Líquido]/Tabela3[Total Ações]</f>
        <v>8.5852801133611578</v>
      </c>
      <c r="K122" s="52">
        <f>MAX(Tabela3[[#This Row],[Cotação 1]],Tabela3[[#This Row],[Cotação 2]])</f>
        <v>3.08</v>
      </c>
      <c r="L122" s="48">
        <f>Tabela3[Cotação]/Tabela3[VPA]</f>
        <v>0.35875358279884623</v>
      </c>
      <c r="M122" s="44">
        <f>IF(Tabela3[[#This Row],[Lucro/Ação Ano]]&gt;0,Tabela3[[#This Row],[Cotação]]/Tabela3[[#This Row],[Lucro/Ação Ano]],0)</f>
        <v>6.2905116696144328</v>
      </c>
      <c r="N122" s="6">
        <f>ROUND(Tabela3[[#This Row],[Lucro Prev]]/10%,2)</f>
        <v>0.13</v>
      </c>
      <c r="O122" s="62">
        <f>MIN(Tabela3[[#This Row],[10% Rent]],Tabela3[[#This Row],[VPA]]*2)</f>
        <v>0.13</v>
      </c>
      <c r="P122" s="19">
        <f>Tabela3[[#This Row],[P Compra]]/Tabela3[[#This Row],[Cotação]]-1</f>
        <v>-0.95779220779220775</v>
      </c>
      <c r="Q122" s="6">
        <f>Tabela3[[#This Row],[Lucro/Ação Ano]]*Tabela3[[#This Row],[Payout]]</f>
        <v>1.299380820776478E-2</v>
      </c>
      <c r="R122" s="15" t="str">
        <f>IF(AND(Tabela3[% Yield]&gt;=10%,Tabela3[PVPA]&lt;=2,Tabela3[PL]&lt;=15,Tabela3[PL]&gt;0),"Sim","Não")</f>
        <v>Não</v>
      </c>
      <c r="S122" s="46">
        <f>Tabela3[[#This Row],[Lucro Prev]]/Tabela3[[#This Row],[Cotação]]</f>
        <v>4.2187688986249283E-3</v>
      </c>
      <c r="T122" s="14">
        <f>($Z$1/Tabela3[[#This Row],[Cotação]]-MOD($Z$1/Tabela3[[#This Row],[Cotação]],100))</f>
        <v>300</v>
      </c>
      <c r="U122" s="17">
        <f>Tabela3[[#This Row],[Ativos]]*Tabela3[[#This Row],[Lucro Prev]]</f>
        <v>3.8981424623294338</v>
      </c>
      <c r="V122" s="5">
        <f>SUMPRODUCT(N(Tabela1[Código]=Tabela3[[#This Row],[PAPEL]]),Tabela1[Fechamento])</f>
        <v>3.08</v>
      </c>
      <c r="W122" s="5">
        <f>SUMPRODUCT(N(Tabela17[Código]=Tabela3[[#This Row],[PAPEL]]),Tabela17[Fechamento])</f>
        <v>0</v>
      </c>
    </row>
    <row r="123" spans="1:23" x14ac:dyDescent="0.2">
      <c r="A123" s="4" t="s">
        <v>26</v>
      </c>
      <c r="B123" s="72" t="s">
        <v>499</v>
      </c>
      <c r="C123" s="15">
        <v>3</v>
      </c>
      <c r="D123" s="6">
        <v>168049000</v>
      </c>
      <c r="E123" s="6">
        <v>901000</v>
      </c>
      <c r="F123" s="42">
        <v>7680000</v>
      </c>
      <c r="G123" s="74">
        <f>Tabela3[[#This Row],[Lucro Líquido]]/Tabela3[[#This Row],[Total Ações]]</f>
        <v>0.11731770833333334</v>
      </c>
      <c r="H123" s="15">
        <f>Tabela3[[#This Row],[Lucro/Ação]]/Tabela3[[#This Row],[Ref]]*4</f>
        <v>0.15642361111111111</v>
      </c>
      <c r="I123" s="19">
        <f>IF(GETPIVOTDATA("Payout",'Tabela LL'!$A$3,"Ativo",Tabela3[[#This Row],[PAPEL]])&gt;1,1,GETPIVOTDATA("Payout",'Tabela LL'!$A$3,"Ativo",Tabela3[[#This Row],[PAPEL]]))</f>
        <v>0.80406042099383901</v>
      </c>
      <c r="J123" s="6">
        <f>Tabela3[Patrimônio Líquido]/Tabela3[Total Ações]</f>
        <v>21.881380208333333</v>
      </c>
      <c r="K123" s="52">
        <f>MAX(Tabela3[[#This Row],[Cotação 1]],Tabela3[[#This Row],[Cotação 2]])</f>
        <v>30.05</v>
      </c>
      <c r="L123" s="48">
        <f>Tabela3[Cotação]/Tabela3[VPA]</f>
        <v>1.3733137358746557</v>
      </c>
      <c r="M123" s="44">
        <f>IF(Tabela3[[#This Row],[Lucro/Ação Ano]]&gt;0,Tabela3[[#This Row],[Cotação]]/Tabela3[[#This Row],[Lucro/Ação Ano]],0)</f>
        <v>192.10654827968924</v>
      </c>
      <c r="N123" s="13">
        <f>ROUND(Tabela3[[#This Row],[Lucro Prev]]/10%,2)</f>
        <v>1.26</v>
      </c>
      <c r="O123" s="13">
        <f>MIN(Tabela3[[#This Row],[10% Rent]],Tabela3[[#This Row],[VPA]]*2)</f>
        <v>1.26</v>
      </c>
      <c r="P123" s="19">
        <f>Tabela3[[#This Row],[P Compra]]/Tabela3[[#This Row],[Cotação]]-1</f>
        <v>-0.95806988352745426</v>
      </c>
      <c r="Q123" s="6">
        <f>Tabela3[[#This Row],[Lucro/Ação Ano]]*Tabela3[[#This Row],[Payout]]</f>
        <v>0.12577403460337655</v>
      </c>
      <c r="R123" s="15" t="str">
        <f>IF(AND(Tabela3[% Yield]&gt;=10%,Tabela3[PVPA]&lt;=2,Tabela3[PL]&lt;=15,Tabela3[PL]&gt;0),"Sim","Não")</f>
        <v>Não</v>
      </c>
      <c r="S123" s="46">
        <f>Tabela3[[#This Row],[Lucro Prev]]/Tabela3[[#This Row],[Cotação]]</f>
        <v>4.185492000112364E-3</v>
      </c>
      <c r="T123" s="14">
        <f>($Z$1/Tabela3[[#This Row],[Cotação]]-MOD($Z$1/Tabela3[[#This Row],[Cotação]],100))</f>
        <v>0</v>
      </c>
      <c r="U123" s="17">
        <f>Tabela3[[#This Row],[Ativos]]*Tabela3[[#This Row],[Lucro Prev]]</f>
        <v>0</v>
      </c>
      <c r="V123" s="13">
        <f>SUMPRODUCT(N(Tabela1[Código]=Tabela3[[#This Row],[PAPEL]]),Tabela1[Fechamento])</f>
        <v>0</v>
      </c>
      <c r="W123" s="13">
        <f>SUMPRODUCT(N(Tabela17[Código]=Tabela3[[#This Row],[PAPEL]]),Tabela17[Fechamento])</f>
        <v>30.05</v>
      </c>
    </row>
    <row r="124" spans="1:23" x14ac:dyDescent="0.2">
      <c r="A124" s="4" t="s">
        <v>518</v>
      </c>
      <c r="B124" s="15" t="s">
        <v>82</v>
      </c>
      <c r="C124" s="15">
        <v>3</v>
      </c>
      <c r="D124" s="6">
        <v>3566000000</v>
      </c>
      <c r="E124" s="6">
        <v>22000000</v>
      </c>
      <c r="F124" s="42">
        <v>817720079</v>
      </c>
      <c r="G124" s="74">
        <f>Tabela3[[#This Row],[Lucro Líquido]]/Tabela3[[#This Row],[Total Ações]]</f>
        <v>2.6904072145206549E-2</v>
      </c>
      <c r="H124" s="15">
        <f>Tabela3[[#This Row],[Lucro/Ação]]/Tabela3[[#This Row],[Ref]]*4</f>
        <v>3.5872096193608732E-2</v>
      </c>
      <c r="I124" s="19">
        <f>IF(GETPIVOTDATA("Payout",'Tabela LL'!$A$3,"Ativo",Tabela3[[#This Row],[PAPEL]])&gt;1,1,GETPIVOTDATA("Payout",'Tabela LL'!$A$3,"Ativo",Tabela3[[#This Row],[PAPEL]]))</f>
        <v>0.27744555988769093</v>
      </c>
      <c r="J124" s="6">
        <f>Tabela3[Patrimônio Líquido]/Tabela3[Total Ações]</f>
        <v>4.3609055122639342</v>
      </c>
      <c r="K124" s="52">
        <f>MAX(Tabela3[[#This Row],[Cotação 1]],Tabela3[[#This Row],[Cotação 2]])</f>
        <v>2.4900000000000002</v>
      </c>
      <c r="L124" s="48">
        <f>Tabela3[Cotação]/Tabela3[VPA]</f>
        <v>0.57098233222378025</v>
      </c>
      <c r="M124" s="44">
        <f>IF(Tabela3[[#This Row],[Lucro/Ação Ano]]&gt;0,Tabela3[[#This Row],[Cotação]]/Tabela3[[#This Row],[Lucro/Ação Ano]],0)</f>
        <v>69.413283978750016</v>
      </c>
      <c r="N124" s="13">
        <f>ROUND(Tabela3[[#This Row],[Lucro Prev]]/10%,2)</f>
        <v>0.1</v>
      </c>
      <c r="O124" s="13">
        <f>MIN(Tabela3[[#This Row],[10% Rent]],Tabela3[[#This Row],[VPA]]*2)</f>
        <v>0.1</v>
      </c>
      <c r="P124" s="19">
        <f>Tabela3[[#This Row],[P Compra]]/Tabela3[[#This Row],[Cotação]]-1</f>
        <v>-0.95983935742971882</v>
      </c>
      <c r="Q124" s="6">
        <f>Tabela3[[#This Row],[Lucro/Ação Ano]]*Tabela3[[#This Row],[Payout]]</f>
        <v>9.9525538127808819E-3</v>
      </c>
      <c r="R124" s="15" t="str">
        <f>IF(AND(Tabela3[% Yield]&gt;=10%,Tabela3[PVPA]&lt;=2,Tabela3[PL]&lt;=15,Tabela3[PL]&gt;0),"Sim","Não")</f>
        <v>Não</v>
      </c>
      <c r="S124" s="46">
        <f>Tabela3[[#This Row],[Lucro Prev]]/Tabela3[[#This Row],[Cotação]]</f>
        <v>3.997009563365816E-3</v>
      </c>
      <c r="T124" s="14">
        <f>($Z$1/Tabela3[[#This Row],[Cotação]]-MOD($Z$1/Tabela3[[#This Row],[Cotação]],100))</f>
        <v>400</v>
      </c>
      <c r="U124" s="17">
        <f>Tabela3[[#This Row],[Ativos]]*Tabela3[[#This Row],[Lucro Prev]]</f>
        <v>3.9810215251123529</v>
      </c>
      <c r="V124" s="13">
        <f>SUMPRODUCT(N(Tabela1[Código]=Tabela3[[#This Row],[PAPEL]]),Tabela1[Fechamento])</f>
        <v>0</v>
      </c>
      <c r="W124" s="13">
        <f>SUMPRODUCT(N(Tabela17[Código]=Tabela3[[#This Row],[PAPEL]]),Tabela17[Fechamento])</f>
        <v>2.4900000000000002</v>
      </c>
    </row>
    <row r="125" spans="1:23" x14ac:dyDescent="0.2">
      <c r="A125" s="4" t="s">
        <v>26</v>
      </c>
      <c r="B125" s="72" t="s">
        <v>498</v>
      </c>
      <c r="C125" s="15">
        <v>3</v>
      </c>
      <c r="D125" s="6">
        <v>168049000</v>
      </c>
      <c r="E125" s="6">
        <v>901000</v>
      </c>
      <c r="F125" s="42">
        <v>7680000</v>
      </c>
      <c r="G125" s="74">
        <f>Tabela3[[#This Row],[Lucro Líquido]]/Tabela3[[#This Row],[Total Ações]]</f>
        <v>0.11731770833333334</v>
      </c>
      <c r="H125" s="15">
        <f>Tabela3[[#This Row],[Lucro/Ação]]/Tabela3[[#This Row],[Ref]]*4</f>
        <v>0.15642361111111111</v>
      </c>
      <c r="I125" s="19">
        <f>IF(GETPIVOTDATA("Payout",'Tabela LL'!$A$3,"Ativo",Tabela3[[#This Row],[PAPEL]])&gt;1,1,GETPIVOTDATA("Payout",'Tabela LL'!$A$3,"Ativo",Tabela3[[#This Row],[PAPEL]]))</f>
        <v>0.72895763504872801</v>
      </c>
      <c r="J125" s="6">
        <f>Tabela3[Patrimônio Líquido]/Tabela3[Total Ações]</f>
        <v>21.881380208333333</v>
      </c>
      <c r="K125" s="52">
        <f>MAX(Tabela3[[#This Row],[Cotação 1]],Tabela3[[#This Row],[Cotação 2]])</f>
        <v>30.01</v>
      </c>
      <c r="L125" s="48">
        <f>Tabela3[Cotação]/Tabela3[VPA]</f>
        <v>1.3714856976239074</v>
      </c>
      <c r="M125" s="44">
        <f>IF(Tabela3[[#This Row],[Lucro/Ação Ano]]&gt;0,Tabela3[[#This Row],[Cotação]]/Tabela3[[#This Row],[Lucro/Ação Ano]],0)</f>
        <v>191.85083240843508</v>
      </c>
      <c r="N125" s="13">
        <f>ROUND(Tabela3[[#This Row],[Lucro Prev]]/10%,2)</f>
        <v>1.1399999999999999</v>
      </c>
      <c r="O125" s="13">
        <f>MIN(Tabela3[[#This Row],[10% Rent]],Tabela3[[#This Row],[VPA]]*2)</f>
        <v>1.1399999999999999</v>
      </c>
      <c r="P125" s="19">
        <f>Tabela3[[#This Row],[P Compra]]/Tabela3[[#This Row],[Cotação]]-1</f>
        <v>-0.96201266244585137</v>
      </c>
      <c r="Q125" s="6">
        <f>Tabela3[[#This Row],[Lucro/Ação Ano]]*Tabela3[[#This Row],[Payout]]</f>
        <v>0.11402618562133748</v>
      </c>
      <c r="R125" s="15" t="str">
        <f>IF(AND(Tabela3[% Yield]&gt;=10%,Tabela3[PVPA]&lt;=2,Tabela3[PL]&lt;=15,Tabela3[PL]&gt;0),"Sim","Não")</f>
        <v>Não</v>
      </c>
      <c r="S125" s="46">
        <f>Tabela3[[#This Row],[Lucro Prev]]/Tabela3[[#This Row],[Cotação]]</f>
        <v>3.7996063186050474E-3</v>
      </c>
      <c r="T125" s="14">
        <f>($Z$1/Tabela3[[#This Row],[Cotação]]-MOD($Z$1/Tabela3[[#This Row],[Cotação]],100))</f>
        <v>0</v>
      </c>
      <c r="U125" s="17">
        <f>Tabela3[[#This Row],[Ativos]]*Tabela3[[#This Row],[Lucro Prev]]</f>
        <v>0</v>
      </c>
      <c r="V125" s="13">
        <f>SUMPRODUCT(N(Tabela1[Código]=Tabela3[[#This Row],[PAPEL]]),Tabela1[Fechamento])</f>
        <v>0</v>
      </c>
      <c r="W125" s="13">
        <f>SUMPRODUCT(N(Tabela17[Código]=Tabela3[[#This Row],[PAPEL]]),Tabela17[Fechamento])</f>
        <v>30.01</v>
      </c>
    </row>
    <row r="126" spans="1:23" x14ac:dyDescent="0.2">
      <c r="A126" s="4" t="s">
        <v>14</v>
      </c>
      <c r="B126" s="14" t="s">
        <v>270</v>
      </c>
      <c r="C126" s="15">
        <v>3</v>
      </c>
      <c r="D126" s="6">
        <v>56483000</v>
      </c>
      <c r="E126" s="6">
        <v>1359000</v>
      </c>
      <c r="F126" s="42">
        <v>182520000</v>
      </c>
      <c r="G126" s="15">
        <f>Tabela3[[#This Row],[Lucro Líquido]]/Tabela3[[#This Row],[Total Ações]]</f>
        <v>7.4457593688362919E-3</v>
      </c>
      <c r="H126" s="15">
        <f>Tabela3[[#This Row],[Lucro/Ação]]/Tabela3[[#This Row],[Ref]]*4</f>
        <v>9.9276791584483898E-3</v>
      </c>
      <c r="I126" s="19">
        <f>IF(GETPIVOTDATA("Payout",'Tabela LL'!$A$3,"Ativo",Tabela3[[#This Row],[PAPEL]])&gt;1,1,GETPIVOTDATA("Payout",'Tabela LL'!$A$3,"Ativo",Tabela3[[#This Row],[PAPEL]]))</f>
        <v>0.29293027940656419</v>
      </c>
      <c r="J126" s="6">
        <f>Tabela3[Patrimônio Líquido]/Tabela3[Total Ações]</f>
        <v>0.30946197676966908</v>
      </c>
      <c r="K126" s="52">
        <f>MAX(Tabela3[[#This Row],[Cotação 1]],Tabela3[[#This Row],[Cotação 2]])</f>
        <v>1.1000000000000001</v>
      </c>
      <c r="L126" s="48">
        <f>Tabela3[Cotação]/Tabela3[VPA]</f>
        <v>3.5545562381601545</v>
      </c>
      <c r="M126" s="44">
        <f>IF(Tabela3[[#This Row],[Lucro/Ação Ano]]&gt;0,Tabela3[[#This Row],[Cotação]]/Tabela3[[#This Row],[Lucro/Ação Ano]],0)</f>
        <v>110.80132450331126</v>
      </c>
      <c r="N126" s="6">
        <f>ROUND(Tabela3[[#This Row],[Lucro Prev]]/10%,2)</f>
        <v>0.03</v>
      </c>
      <c r="O126" s="62">
        <f>MIN(Tabela3[[#This Row],[10% Rent]],Tabela3[[#This Row],[VPA]]*2)</f>
        <v>0.03</v>
      </c>
      <c r="P126" s="19">
        <f>Tabela3[[#This Row],[P Compra]]/Tabela3[[#This Row],[Cotação]]-1</f>
        <v>-0.97272727272727277</v>
      </c>
      <c r="Q126" s="6">
        <f>Tabela3[[#This Row],[Lucro/Ação Ano]]*Tabela3[[#This Row],[Payout]]</f>
        <v>2.9081178297430108E-3</v>
      </c>
      <c r="R126" s="15" t="str">
        <f>IF(AND(Tabela3[% Yield]&gt;=10%,Tabela3[PVPA]&lt;=2,Tabela3[PL]&lt;=15,Tabela3[PL]&gt;0),"Sim","Não")</f>
        <v>Não</v>
      </c>
      <c r="S126" s="46">
        <f>Tabela3[[#This Row],[Lucro Prev]]/Tabela3[[#This Row],[Cotação]]</f>
        <v>2.6437434815845553E-3</v>
      </c>
      <c r="T126" s="14">
        <f>($Z$1/Tabela3[[#This Row],[Cotação]]-MOD($Z$1/Tabela3[[#This Row],[Cotação]],100))</f>
        <v>900</v>
      </c>
      <c r="U126" s="17">
        <f>Tabela3[[#This Row],[Ativos]]*Tabela3[[#This Row],[Lucro Prev]]</f>
        <v>2.6173060467687099</v>
      </c>
      <c r="V126" s="5">
        <f>SUMPRODUCT(N(Tabela1[Código]=Tabela3[[#This Row],[PAPEL]]),Tabela1[Fechamento])</f>
        <v>1.1000000000000001</v>
      </c>
      <c r="W126" s="5">
        <f>SUMPRODUCT(N(Tabela17[Código]=Tabela3[[#This Row],[PAPEL]]),Tabela17[Fechamento])</f>
        <v>0</v>
      </c>
    </row>
    <row r="127" spans="1:23" x14ac:dyDescent="0.2">
      <c r="A127" s="4" t="s">
        <v>37</v>
      </c>
      <c r="B127" s="14" t="s">
        <v>221</v>
      </c>
      <c r="C127" s="15">
        <v>3</v>
      </c>
      <c r="D127" s="6">
        <v>1255450000</v>
      </c>
      <c r="E127" s="6">
        <v>19870000</v>
      </c>
      <c r="F127" s="42">
        <v>715094432</v>
      </c>
      <c r="G127" s="15">
        <f>Tabela3[[#This Row],[Lucro Líquido]]/Tabela3[[#This Row],[Total Ações]]</f>
        <v>2.7786539946097637E-2</v>
      </c>
      <c r="H127" s="15">
        <f>Tabela3[[#This Row],[Lucro/Ação]]/Tabela3[[#This Row],[Ref]]*4</f>
        <v>3.7048719928130185E-2</v>
      </c>
      <c r="I127" s="19">
        <f>IF(GETPIVOTDATA("Payout",'Tabela LL'!$A$3,"Ativo",Tabela3[[#This Row],[PAPEL]])&gt;1,1,GETPIVOTDATA("Payout",'Tabela LL'!$A$3,"Ativo",Tabela3[[#This Row],[PAPEL]]))</f>
        <v>0.26641697668818037</v>
      </c>
      <c r="J127" s="6">
        <f>Tabela3[Patrimônio Líquido]/Tabela3[Total Ações]</f>
        <v>1.7556422534136022</v>
      </c>
      <c r="K127" s="52">
        <f>MAX(Tabela3[[#This Row],[Cotação 1]],Tabela3[[#This Row],[Cotação 2]])</f>
        <v>4.12</v>
      </c>
      <c r="L127" s="48">
        <f>Tabela3[Cotação]/Tabela3[VPA]</f>
        <v>2.3467195506312479</v>
      </c>
      <c r="M127" s="44">
        <f>IF(Tabela3[[#This Row],[Lucro/Ação Ano]]&gt;0,Tabela3[[#This Row],[Cotação]]/Tabela3[[#This Row],[Lucro/Ação Ano]],0)</f>
        <v>111.20492173527931</v>
      </c>
      <c r="N127" s="6">
        <f>ROUND(Tabela3[[#This Row],[Lucro Prev]]/10%,2)</f>
        <v>0.1</v>
      </c>
      <c r="O127" s="62">
        <f>MIN(Tabela3[[#This Row],[10% Rent]],Tabela3[[#This Row],[VPA]]*2)</f>
        <v>0.1</v>
      </c>
      <c r="P127" s="19">
        <f>Tabela3[[#This Row],[P Compra]]/Tabela3[[#This Row],[Cotação]]-1</f>
        <v>-0.97572815533980584</v>
      </c>
      <c r="Q127" s="6">
        <f>Tabela3[[#This Row],[Lucro/Ação Ano]]*Tabela3[[#This Row],[Payout]]</f>
        <v>9.8704079534195823E-3</v>
      </c>
      <c r="R127" s="15" t="str">
        <f>IF(AND(Tabela3[% Yield]&gt;=10%,Tabela3[PVPA]&lt;=2,Tabela3[PL]&lt;=15,Tabela3[PL]&gt;0),"Sim","Não")</f>
        <v>Não</v>
      </c>
      <c r="S127" s="46">
        <f>Tabela3[[#This Row],[Lucro Prev]]/Tabela3[[#This Row],[Cotação]]</f>
        <v>2.3957300857814518E-3</v>
      </c>
      <c r="T127" s="14">
        <f>($Z$1/Tabela3[[#This Row],[Cotação]]-MOD($Z$1/Tabela3[[#This Row],[Cotação]],100))</f>
        <v>200</v>
      </c>
      <c r="U127" s="17">
        <f>Tabela3[[#This Row],[Ativos]]*Tabela3[[#This Row],[Lucro Prev]]</f>
        <v>1.9740815906839164</v>
      </c>
      <c r="V127" s="5">
        <f>SUMPRODUCT(N(Tabela1[Código]=Tabela3[[#This Row],[PAPEL]]),Tabela1[Fechamento])</f>
        <v>4.12</v>
      </c>
      <c r="W127" s="5">
        <f>SUMPRODUCT(N(Tabela17[Código]=Tabela3[[#This Row],[PAPEL]]),Tabela17[Fechamento])</f>
        <v>0</v>
      </c>
    </row>
    <row r="128" spans="1:23" x14ac:dyDescent="0.2">
      <c r="A128" s="3" t="s">
        <v>539</v>
      </c>
      <c r="B128" s="75" t="s">
        <v>540</v>
      </c>
      <c r="C128" s="16">
        <v>3</v>
      </c>
      <c r="D128" s="5">
        <v>9543805000</v>
      </c>
      <c r="E128" s="5">
        <v>10847000</v>
      </c>
      <c r="F128" s="21">
        <v>407214353</v>
      </c>
      <c r="G128" s="73">
        <f>Tabela3[[#This Row],[Lucro Líquido]]/Tabela3[[#This Row],[Total Ações]]</f>
        <v>2.6637076812466874E-2</v>
      </c>
      <c r="H128" s="16">
        <f>Tabela3[[#This Row],[Lucro/Ação]]/Tabela3[[#This Row],[Ref]]*4</f>
        <v>3.5516102416622501E-2</v>
      </c>
      <c r="I128" s="18">
        <f>IF(GETPIVOTDATA("Payout",'Tabela LL'!$A$3,"Ativo",Tabela3[[#This Row],[PAPEL]])&gt;1,1,GETPIVOTDATA("Payout",'Tabela LL'!$A$3,"Ativo",Tabela3[[#This Row],[PAPEL]]))</f>
        <v>0.27635601621607192</v>
      </c>
      <c r="J128" s="5">
        <f>Tabela3[Patrimônio Líquido]/Tabela3[Total Ações]</f>
        <v>23.436808967290993</v>
      </c>
      <c r="K128" s="59">
        <f>MAX(Tabela3[[#This Row],[Cotação 1]],Tabela3[[#This Row],[Cotação 2]])</f>
        <v>39.58</v>
      </c>
      <c r="L128" s="60">
        <f>Tabela3[Cotação]/Tabela3[VPA]</f>
        <v>1.6887964592466003</v>
      </c>
      <c r="M128" s="40">
        <f>IF(Tabela3[[#This Row],[Lucro/Ação Ano]]&gt;0,Tabela3[[#This Row],[Cotação]]/Tabela3[[#This Row],[Lucro/Ação Ano]],0)</f>
        <v>1114.4240867341198</v>
      </c>
      <c r="N128" s="7">
        <f>ROUND(Tabela3[[#This Row],[Lucro Prev]]/10%,2)</f>
        <v>0.1</v>
      </c>
      <c r="O128" s="51">
        <f>MIN(Tabela3[[#This Row],[10% Rent]],Tabela3[[#This Row],[VPA]]*2)</f>
        <v>0.1</v>
      </c>
      <c r="P128" s="18">
        <f>Tabela3[[#This Row],[P Compra]]/Tabela3[[#This Row],[Cotação]]-1</f>
        <v>-0.99747347145022736</v>
      </c>
      <c r="Q128" s="5">
        <f>Tabela3[[#This Row],[Lucro/Ação Ano]]*Tabela3[[#This Row],[Payout]]</f>
        <v>9.815088575379799E-3</v>
      </c>
      <c r="R128" s="16" t="str">
        <f>IF(AND(Tabela3[% Yield]&gt;=10%,Tabela3[PVPA]&lt;=2,Tabela3[PL]&lt;=15,Tabela3[PL]&gt;0),"Sim","Não")</f>
        <v>Não</v>
      </c>
      <c r="S128" s="22">
        <f>Tabela3[[#This Row],[Lucro Prev]]/Tabela3[[#This Row],[Cotação]]</f>
        <v>2.4798101504244064E-4</v>
      </c>
      <c r="T128" s="10">
        <f>($Z$1/Tabela3[[#This Row],[Cotação]]-MOD($Z$1/Tabela3[[#This Row],[Cotação]],100))</f>
        <v>0</v>
      </c>
      <c r="U128" s="7">
        <f>Tabela3[[#This Row],[Ativos]]*Tabela3[[#This Row],[Lucro Prev]]</f>
        <v>0</v>
      </c>
      <c r="V128" s="51">
        <f>SUMPRODUCT(N(Tabela1[Código]=Tabela3[[#This Row],[PAPEL]]),Tabela1[Fechamento])</f>
        <v>0</v>
      </c>
      <c r="W128" s="61">
        <f>SUMPRODUCT(N(Tabela17[Código]=Tabela3[[#This Row],[PAPEL]]),Tabela17[Fechamento])</f>
        <v>39.58</v>
      </c>
    </row>
    <row r="129" spans="1:23" x14ac:dyDescent="0.2">
      <c r="A129" s="4" t="s">
        <v>12</v>
      </c>
      <c r="B129" s="14" t="s">
        <v>192</v>
      </c>
      <c r="C129" s="15">
        <v>3</v>
      </c>
      <c r="D129" s="6">
        <v>4953037000</v>
      </c>
      <c r="E129" s="6">
        <v>-126863000</v>
      </c>
      <c r="F129" s="42">
        <v>152661565</v>
      </c>
      <c r="G129" s="15">
        <f>Tabela3[[#This Row],[Lucro Líquido]]/Tabela3[[#This Row],[Total Ações]]</f>
        <v>-0.83100811916869843</v>
      </c>
      <c r="H129" s="15">
        <f>Tabela3[[#This Row],[Lucro/Ação]]/Tabela3[[#This Row],[Ref]]*4</f>
        <v>-1.1080108255582646</v>
      </c>
      <c r="I129" s="19">
        <f>IF(GETPIVOTDATA("Payout",'Tabela LL'!$A$3,"Ativo",Tabela3[[#This Row],[PAPEL]])&gt;1,1,GETPIVOTDATA("Payout",'Tabela LL'!$A$3,"Ativo",Tabela3[[#This Row],[PAPEL]]))</f>
        <v>0.70044394399833187</v>
      </c>
      <c r="J129" s="6">
        <f>Tabela3[Patrimônio Líquido]/Tabela3[Total Ações]</f>
        <v>32.444557999913073</v>
      </c>
      <c r="K129" s="52">
        <f>MAX(Tabela3[[#This Row],[Cotação 1]],Tabela3[[#This Row],[Cotação 2]])</f>
        <v>44</v>
      </c>
      <c r="L129" s="48">
        <f>Tabela3[Cotação]/Tabela3[VPA]</f>
        <v>1.3561596370065478</v>
      </c>
      <c r="M129" s="44">
        <f>IF(Tabela3[[#This Row],[Lucro/Ação Ano]]&gt;0,Tabela3[[#This Row],[Cotação]]/Tabela3[[#This Row],[Lucro/Ação Ano]],0)</f>
        <v>0</v>
      </c>
      <c r="N129" s="6">
        <f>ROUND(Tabela3[[#This Row],[Lucro Prev]]/10%,2)</f>
        <v>-7.76</v>
      </c>
      <c r="O129" s="62">
        <f>MIN(Tabela3[[#This Row],[10% Rent]],Tabela3[[#This Row],[VPA]]*2)</f>
        <v>-7.76</v>
      </c>
      <c r="P129" s="19">
        <f>Tabela3[[#This Row],[P Compra]]/Tabela3[[#This Row],[Cotação]]-1</f>
        <v>-1.1763636363636363</v>
      </c>
      <c r="Q129" s="6">
        <f>Tabela3[[#This Row],[Lucro/Ação Ano]]*Tabela3[[#This Row],[Payout]]</f>
        <v>-0.77609947264687851</v>
      </c>
      <c r="R129" s="15" t="str">
        <f>IF(AND(Tabela3[% Yield]&gt;=10%,Tabela3[PVPA]&lt;=2,Tabela3[PL]&lt;=15,Tabela3[PL]&gt;0),"Sim","Não")</f>
        <v>Não</v>
      </c>
      <c r="S129" s="46">
        <f>Tabela3[[#This Row],[Lucro Prev]]/Tabela3[[#This Row],[Cotação]]</f>
        <v>-1.7638624378338148E-2</v>
      </c>
      <c r="T129" s="14">
        <f>($Z$1/Tabela3[[#This Row],[Cotação]]-MOD($Z$1/Tabela3[[#This Row],[Cotação]],100))</f>
        <v>0</v>
      </c>
      <c r="U129" s="17">
        <f>Tabela3[[#This Row],[Ativos]]*Tabela3[[#This Row],[Lucro Prev]]</f>
        <v>0</v>
      </c>
      <c r="V129" s="5">
        <f>SUMPRODUCT(N(Tabela1[Código]=Tabela3[[#This Row],[PAPEL]]),Tabela1[Fechamento])</f>
        <v>44</v>
      </c>
      <c r="W129" s="5">
        <f>SUMPRODUCT(N(Tabela17[Código]=Tabela3[[#This Row],[PAPEL]]),Tabela17[Fechamento])</f>
        <v>0</v>
      </c>
    </row>
    <row r="130" spans="1:23" x14ac:dyDescent="0.2">
      <c r="A130" s="4" t="s">
        <v>19</v>
      </c>
      <c r="B130" s="14" t="s">
        <v>18</v>
      </c>
      <c r="C130" s="15">
        <v>3</v>
      </c>
      <c r="D130" s="6">
        <v>10702169000</v>
      </c>
      <c r="E130" s="6">
        <v>-162427000</v>
      </c>
      <c r="F130" s="42">
        <v>1107677313</v>
      </c>
      <c r="G130" s="15">
        <f>Tabela3[[#This Row],[Lucro Líquido]]/Tabela3[[#This Row],[Total Ações]]</f>
        <v>-0.14663747112422804</v>
      </c>
      <c r="H130" s="15">
        <f>Tabela3[[#This Row],[Lucro/Ação]]/Tabela3[[#This Row],[Ref]]*4</f>
        <v>-0.19551662816563739</v>
      </c>
      <c r="I130" s="19">
        <f>IF(GETPIVOTDATA("Payout",'Tabela LL'!$A$3,"Ativo",Tabela3[[#This Row],[PAPEL]])&gt;1,1,GETPIVOTDATA("Payout",'Tabela LL'!$A$3,"Ativo",Tabela3[[#This Row],[PAPEL]]))</f>
        <v>1</v>
      </c>
      <c r="J130" s="6">
        <f>Tabela3[Patrimônio Líquido]/Tabela3[Total Ações]</f>
        <v>9.6618111379518705</v>
      </c>
      <c r="K130" s="52">
        <f>MAX(Tabela3[[#This Row],[Cotação 1]],Tabela3[[#This Row],[Cotação 2]])</f>
        <v>9.24</v>
      </c>
      <c r="L130" s="48">
        <f>Tabela3[Cotação]/Tabela3[VPA]</f>
        <v>0.95634243601647484</v>
      </c>
      <c r="M130" s="44">
        <f>IF(Tabela3[[#This Row],[Lucro/Ação Ano]]&gt;0,Tabela3[[#This Row],[Cotação]]/Tabela3[[#This Row],[Lucro/Ação Ano]],0)</f>
        <v>0</v>
      </c>
      <c r="N130" s="6">
        <f>ROUND(Tabela3[[#This Row],[Lucro Prev]]/10%,2)</f>
        <v>-1.96</v>
      </c>
      <c r="O130" s="62">
        <f>MIN(Tabela3[[#This Row],[10% Rent]],Tabela3[[#This Row],[VPA]]*2)</f>
        <v>-1.96</v>
      </c>
      <c r="P130" s="19">
        <f>Tabela3[[#This Row],[P Compra]]/Tabela3[[#This Row],[Cotação]]-1</f>
        <v>-1.2121212121212122</v>
      </c>
      <c r="Q130" s="6">
        <f>Tabela3[[#This Row],[Lucro/Ação Ano]]*Tabela3[[#This Row],[Payout]]</f>
        <v>-0.19551662816563739</v>
      </c>
      <c r="R130" s="15" t="str">
        <f>IF(AND(Tabela3[% Yield]&gt;=10%,Tabela3[PVPA]&lt;=2,Tabela3[PL]&lt;=15,Tabela3[PL]&gt;0),"Sim","Não")</f>
        <v>Não</v>
      </c>
      <c r="S130" s="46">
        <f>Tabela3[[#This Row],[Lucro Prev]]/Tabela3[[#This Row],[Cotação]]</f>
        <v>-2.1159808243034348E-2</v>
      </c>
      <c r="T130" s="14">
        <f>($Z$1/Tabela3[[#This Row],[Cotação]]-MOD($Z$1/Tabela3[[#This Row],[Cotação]],100))</f>
        <v>100</v>
      </c>
      <c r="U130" s="17">
        <f>Tabela3[[#This Row],[Ativos]]*Tabela3[[#This Row],[Lucro Prev]]</f>
        <v>-19.551662816563738</v>
      </c>
      <c r="V130" s="5">
        <f>SUMPRODUCT(N(Tabela1[Código]=Tabela3[[#This Row],[PAPEL]]),Tabela1[Fechamento])</f>
        <v>9.24</v>
      </c>
      <c r="W130" s="5">
        <f>SUMPRODUCT(N(Tabela17[Código]=Tabela3[[#This Row],[PAPEL]]),Tabela17[Fechamento])</f>
        <v>0</v>
      </c>
    </row>
    <row r="131" spans="1:23" x14ac:dyDescent="0.2">
      <c r="A131" s="4" t="s">
        <v>12</v>
      </c>
      <c r="B131" s="14" t="s">
        <v>193</v>
      </c>
      <c r="C131" s="15">
        <v>3</v>
      </c>
      <c r="D131" s="6">
        <v>4953037000</v>
      </c>
      <c r="E131" s="6">
        <v>-126863000</v>
      </c>
      <c r="F131" s="42">
        <v>152661565</v>
      </c>
      <c r="G131" s="15">
        <f>Tabela3[[#This Row],[Lucro Líquido]]/Tabela3[[#This Row],[Total Ações]]</f>
        <v>-0.83100811916869843</v>
      </c>
      <c r="H131" s="15">
        <f>Tabela3[[#This Row],[Lucro/Ação]]/Tabela3[[#This Row],[Ref]]*4</f>
        <v>-1.1080108255582646</v>
      </c>
      <c r="I131" s="19">
        <f>IF(GETPIVOTDATA("Payout",'Tabela LL'!$A$3,"Ativo",Tabela3[[#This Row],[PAPEL]])&gt;1,1,GETPIVOTDATA("Payout",'Tabela LL'!$A$3,"Ativo",Tabela3[[#This Row],[PAPEL]]))</f>
        <v>0.70044394399833187</v>
      </c>
      <c r="J131" s="6">
        <f>Tabela3[Patrimônio Líquido]/Tabela3[Total Ações]</f>
        <v>32.444557999913073</v>
      </c>
      <c r="K131" s="52">
        <f>MAX(Tabela3[[#This Row],[Cotação 1]],Tabela3[[#This Row],[Cotação 2]])</f>
        <v>26.92</v>
      </c>
      <c r="L131" s="48">
        <f>Tabela3[Cotação]/Tabela3[VPA]</f>
        <v>0.82972312336855158</v>
      </c>
      <c r="M131" s="44">
        <f>IF(Tabela3[[#This Row],[Lucro/Ação Ano]]&gt;0,Tabela3[[#This Row],[Cotação]]/Tabela3[[#This Row],[Lucro/Ação Ano]],0)</f>
        <v>0</v>
      </c>
      <c r="N131" s="6">
        <f>ROUND(Tabela3[[#This Row],[Lucro Prev]]/10%,2)</f>
        <v>-7.76</v>
      </c>
      <c r="O131" s="62">
        <f>MIN(Tabela3[[#This Row],[10% Rent]],Tabela3[[#This Row],[VPA]]*2)</f>
        <v>-7.76</v>
      </c>
      <c r="P131" s="19">
        <f>Tabela3[[#This Row],[P Compra]]/Tabela3[[#This Row],[Cotação]]-1</f>
        <v>-1.2882615156017829</v>
      </c>
      <c r="Q131" s="6">
        <f>Tabela3[[#This Row],[Lucro/Ação Ano]]*Tabela3[[#This Row],[Payout]]</f>
        <v>-0.77609947264687851</v>
      </c>
      <c r="R131" s="15" t="str">
        <f>IF(AND(Tabela3[% Yield]&gt;=10%,Tabela3[PVPA]&lt;=2,Tabela3[PL]&lt;=15,Tabela3[PL]&gt;0),"Sim","Não")</f>
        <v>Não</v>
      </c>
      <c r="S131" s="46">
        <f>Tabela3[[#This Row],[Lucro Prev]]/Tabela3[[#This Row],[Cotação]]</f>
        <v>-2.8829846680790434E-2</v>
      </c>
      <c r="T131" s="14">
        <f>($Z$1/Tabela3[[#This Row],[Cotação]]-MOD($Z$1/Tabela3[[#This Row],[Cotação]],100))</f>
        <v>0</v>
      </c>
      <c r="U131" s="17">
        <f>Tabela3[[#This Row],[Ativos]]*Tabela3[[#This Row],[Lucro Prev]]</f>
        <v>0</v>
      </c>
      <c r="V131" s="5">
        <f>SUMPRODUCT(N(Tabela1[Código]=Tabela3[[#This Row],[PAPEL]]),Tabela1[Fechamento])</f>
        <v>26.92</v>
      </c>
      <c r="W131" s="5">
        <f>SUMPRODUCT(N(Tabela17[Código]=Tabela3[[#This Row],[PAPEL]]),Tabela17[Fechamento])</f>
        <v>0</v>
      </c>
    </row>
    <row r="132" spans="1:23" x14ac:dyDescent="0.2">
      <c r="A132" s="4" t="s">
        <v>12</v>
      </c>
      <c r="B132" s="14" t="s">
        <v>106</v>
      </c>
      <c r="C132" s="15">
        <v>3</v>
      </c>
      <c r="D132" s="6">
        <v>1791505000</v>
      </c>
      <c r="E132" s="6">
        <v>-38094000</v>
      </c>
      <c r="F132" s="42">
        <v>387229828</v>
      </c>
      <c r="G132" s="15">
        <f>Tabela3[[#This Row],[Lucro Líquido]]/Tabela3[[#This Row],[Total Ações]]</f>
        <v>-9.8375686079637439E-2</v>
      </c>
      <c r="H132" s="15">
        <f>Tabela3[[#This Row],[Lucro/Ação]]/Tabela3[[#This Row],[Ref]]*4</f>
        <v>-0.1311675814395166</v>
      </c>
      <c r="I132" s="19">
        <f>IF(GETPIVOTDATA("Payout",'Tabela LL'!$A$3,"Ativo",Tabela3[[#This Row],[PAPEL]])&gt;1,1,GETPIVOTDATA("Payout",'Tabela LL'!$A$3,"Ativo",Tabela3[[#This Row],[PAPEL]]))</f>
        <v>0.43917014853198871</v>
      </c>
      <c r="J132" s="6">
        <f>Tabela3[Patrimônio Líquido]/Tabela3[Total Ações]</f>
        <v>4.6264643642069849</v>
      </c>
      <c r="K132" s="52">
        <f>MAX(Tabela3[[#This Row],[Cotação 1]],Tabela3[[#This Row],[Cotação 2]])</f>
        <v>1.7</v>
      </c>
      <c r="L132" s="48">
        <f>Tabela3[Cotação]/Tabela3[VPA]</f>
        <v>0.36745122542220088</v>
      </c>
      <c r="M132" s="44">
        <f>IF(Tabela3[[#This Row],[Lucro/Ação Ano]]&gt;0,Tabela3[[#This Row],[Cotação]]/Tabela3[[#This Row],[Lucro/Ação Ano]],0)</f>
        <v>0</v>
      </c>
      <c r="N132" s="6">
        <f>ROUND(Tabela3[[#This Row],[Lucro Prev]]/10%,2)</f>
        <v>-0.57999999999999996</v>
      </c>
      <c r="O132" s="62">
        <f>MIN(Tabela3[[#This Row],[10% Rent]],Tabela3[[#This Row],[VPA]]*2)</f>
        <v>-0.57999999999999996</v>
      </c>
      <c r="P132" s="19">
        <f>Tabela3[[#This Row],[P Compra]]/Tabela3[[#This Row],[Cotação]]-1</f>
        <v>-1.3411764705882354</v>
      </c>
      <c r="Q132" s="6">
        <f>Tabela3[[#This Row],[Lucro/Ação Ano]]*Tabela3[[#This Row],[Payout]]</f>
        <v>-5.760488622337423E-2</v>
      </c>
      <c r="R132" s="15" t="str">
        <f>IF(AND(Tabela3[% Yield]&gt;=10%,Tabela3[PVPA]&lt;=2,Tabela3[PL]&lt;=15,Tabela3[PL]&gt;0),"Sim","Não")</f>
        <v>Não</v>
      </c>
      <c r="S132" s="46">
        <f>Tabela3[[#This Row],[Lucro Prev]]/Tabela3[[#This Row],[Cotação]]</f>
        <v>-3.3885227190220135E-2</v>
      </c>
      <c r="T132" s="14">
        <f>($Z$1/Tabela3[[#This Row],[Cotação]]-MOD($Z$1/Tabela3[[#This Row],[Cotação]],100))</f>
        <v>500</v>
      </c>
      <c r="U132" s="17">
        <f>Tabela3[[#This Row],[Ativos]]*Tabela3[[#This Row],[Lucro Prev]]</f>
        <v>-28.802443111687115</v>
      </c>
      <c r="V132" s="5">
        <f>SUMPRODUCT(N(Tabela1[Código]=Tabela3[[#This Row],[PAPEL]]),Tabela1[Fechamento])</f>
        <v>1.7</v>
      </c>
      <c r="W132" s="5">
        <f>SUMPRODUCT(N(Tabela17[Código]=Tabela3[[#This Row],[PAPEL]]),Tabela17[Fechamento])</f>
        <v>0</v>
      </c>
    </row>
    <row r="133" spans="1:23" x14ac:dyDescent="0.2">
      <c r="A133" s="4" t="s">
        <v>19</v>
      </c>
      <c r="B133" s="14" t="s">
        <v>236</v>
      </c>
      <c r="C133" s="15">
        <v>3</v>
      </c>
      <c r="D133" s="6">
        <v>10702169000</v>
      </c>
      <c r="E133" s="6">
        <v>-162427000</v>
      </c>
      <c r="F133" s="42">
        <v>1107677313</v>
      </c>
      <c r="G133" s="15">
        <f>Tabela3[[#This Row],[Lucro Líquido]]/Tabela3[[#This Row],[Total Ações]]</f>
        <v>-0.14663747112422804</v>
      </c>
      <c r="H133" s="15">
        <f>Tabela3[[#This Row],[Lucro/Ação]]/Tabela3[[#This Row],[Ref]]*4</f>
        <v>-0.19551662816563739</v>
      </c>
      <c r="I133" s="19">
        <f>IF(GETPIVOTDATA("Payout",'Tabela LL'!$A$3,"Ativo",Tabela3[[#This Row],[PAPEL]])&gt;1,1,GETPIVOTDATA("Payout",'Tabela LL'!$A$3,"Ativo",Tabela3[[#This Row],[PAPEL]]))</f>
        <v>1</v>
      </c>
      <c r="J133" s="6">
        <f>Tabela3[Patrimônio Líquido]/Tabela3[Total Ações]</f>
        <v>9.6618111379518705</v>
      </c>
      <c r="K133" s="52">
        <f>MAX(Tabela3[[#This Row],[Cotação 1]],Tabela3[[#This Row],[Cotação 2]])</f>
        <v>5.7</v>
      </c>
      <c r="L133" s="48">
        <f>Tabela3[Cotação]/Tabela3[VPA]</f>
        <v>0.5899515027374358</v>
      </c>
      <c r="M133" s="44">
        <f>IF(Tabela3[[#This Row],[Lucro/Ação Ano]]&gt;0,Tabela3[[#This Row],[Cotação]]/Tabela3[[#This Row],[Lucro/Ação Ano]],0)</f>
        <v>0</v>
      </c>
      <c r="N133" s="6">
        <f>ROUND(Tabela3[[#This Row],[Lucro Prev]]/10%,2)</f>
        <v>-1.96</v>
      </c>
      <c r="O133" s="62">
        <f>MIN(Tabela3[[#This Row],[10% Rent]],Tabela3[[#This Row],[VPA]]*2)</f>
        <v>-1.96</v>
      </c>
      <c r="P133" s="19">
        <f>Tabela3[[#This Row],[P Compra]]/Tabela3[[#This Row],[Cotação]]-1</f>
        <v>-1.343859649122807</v>
      </c>
      <c r="Q133" s="6">
        <f>Tabela3[[#This Row],[Lucro/Ação Ano]]*Tabela3[[#This Row],[Payout]]</f>
        <v>-0.19551662816563739</v>
      </c>
      <c r="R133" s="15" t="str">
        <f>IF(AND(Tabela3[% Yield]&gt;=10%,Tabela3[PVPA]&lt;=2,Tabela3[PL]&lt;=15,Tabela3[PL]&gt;0),"Sim","Não")</f>
        <v>Não</v>
      </c>
      <c r="S133" s="46">
        <f>Tabela3[[#This Row],[Lucro Prev]]/Tabela3[[#This Row],[Cotação]]</f>
        <v>-3.4301162836076732E-2</v>
      </c>
      <c r="T133" s="14">
        <f>($Z$1/Tabela3[[#This Row],[Cotação]]-MOD($Z$1/Tabela3[[#This Row],[Cotação]],100))</f>
        <v>100</v>
      </c>
      <c r="U133" s="17">
        <f>Tabela3[[#This Row],[Ativos]]*Tabela3[[#This Row],[Lucro Prev]]</f>
        <v>-19.551662816563738</v>
      </c>
      <c r="V133" s="5">
        <f>SUMPRODUCT(N(Tabela1[Código]=Tabela3[[#This Row],[PAPEL]]),Tabela1[Fechamento])</f>
        <v>5.7</v>
      </c>
      <c r="W133" s="5">
        <f>SUMPRODUCT(N(Tabela17[Código]=Tabela3[[#This Row],[PAPEL]]),Tabela17[Fechamento])</f>
        <v>0</v>
      </c>
    </row>
    <row r="134" spans="1:23" x14ac:dyDescent="0.2">
      <c r="A134" s="4" t="s">
        <v>12</v>
      </c>
      <c r="B134" s="14" t="s">
        <v>105</v>
      </c>
      <c r="C134" s="15">
        <v>3</v>
      </c>
      <c r="D134" s="6">
        <v>1791505000</v>
      </c>
      <c r="E134" s="6">
        <v>-38094000</v>
      </c>
      <c r="F134" s="42">
        <v>387229828</v>
      </c>
      <c r="G134" s="15">
        <f>Tabela3[[#This Row],[Lucro Líquido]]/Tabela3[[#This Row],[Total Ações]]</f>
        <v>-9.8375686079637439E-2</v>
      </c>
      <c r="H134" s="15">
        <f>Tabela3[[#This Row],[Lucro/Ação]]/Tabela3[[#This Row],[Ref]]*4</f>
        <v>-0.1311675814395166</v>
      </c>
      <c r="I134" s="19">
        <f>IF(GETPIVOTDATA("Payout",'Tabela LL'!$A$3,"Ativo",Tabela3[[#This Row],[PAPEL]])&gt;1,1,GETPIVOTDATA("Payout",'Tabela LL'!$A$3,"Ativo",Tabela3[[#This Row],[PAPEL]]))</f>
        <v>0.43917014853198871</v>
      </c>
      <c r="J134" s="6">
        <f>Tabela3[Patrimônio Líquido]/Tabela3[Total Ações]</f>
        <v>4.6264643642069849</v>
      </c>
      <c r="K134" s="52">
        <f>MAX(Tabela3[[#This Row],[Cotação 1]],Tabela3[[#This Row],[Cotação 2]])</f>
        <v>1.6</v>
      </c>
      <c r="L134" s="48">
        <f>Tabela3[Cotação]/Tabela3[VPA]</f>
        <v>0.34583644745618908</v>
      </c>
      <c r="M134" s="44">
        <f>IF(Tabela3[[#This Row],[Lucro/Ação Ano]]&gt;0,Tabela3[[#This Row],[Cotação]]/Tabela3[[#This Row],[Lucro/Ação Ano]],0)</f>
        <v>0</v>
      </c>
      <c r="N134" s="6">
        <f>ROUND(Tabela3[[#This Row],[Lucro Prev]]/10%,2)</f>
        <v>-0.57999999999999996</v>
      </c>
      <c r="O134" s="62">
        <f>MIN(Tabela3[[#This Row],[10% Rent]],Tabela3[[#This Row],[VPA]]*2)</f>
        <v>-0.57999999999999996</v>
      </c>
      <c r="P134" s="19">
        <f>Tabela3[[#This Row],[P Compra]]/Tabela3[[#This Row],[Cotação]]-1</f>
        <v>-1.3624999999999998</v>
      </c>
      <c r="Q134" s="6">
        <f>Tabela3[[#This Row],[Lucro/Ação Ano]]*Tabela3[[#This Row],[Payout]]</f>
        <v>-5.760488622337423E-2</v>
      </c>
      <c r="R134" s="15" t="str">
        <f>IF(AND(Tabela3[% Yield]&gt;=10%,Tabela3[PVPA]&lt;=2,Tabela3[PL]&lt;=15,Tabela3[PL]&gt;0),"Sim","Não")</f>
        <v>Não</v>
      </c>
      <c r="S134" s="46">
        <f>Tabela3[[#This Row],[Lucro Prev]]/Tabela3[[#This Row],[Cotação]]</f>
        <v>-3.6003053889608894E-2</v>
      </c>
      <c r="T134" s="14">
        <f>($Z$1/Tabela3[[#This Row],[Cotação]]-MOD($Z$1/Tabela3[[#This Row],[Cotação]],100))</f>
        <v>600</v>
      </c>
      <c r="U134" s="17">
        <f>Tabela3[[#This Row],[Ativos]]*Tabela3[[#This Row],[Lucro Prev]]</f>
        <v>-34.562931734024538</v>
      </c>
      <c r="V134" s="5">
        <f>SUMPRODUCT(N(Tabela1[Código]=Tabela3[[#This Row],[PAPEL]]),Tabela1[Fechamento])</f>
        <v>1.6</v>
      </c>
      <c r="W134" s="5">
        <f>SUMPRODUCT(N(Tabela17[Código]=Tabela3[[#This Row],[PAPEL]]),Tabela17[Fechamento])</f>
        <v>0</v>
      </c>
    </row>
    <row r="135" spans="1:23" x14ac:dyDescent="0.2">
      <c r="A135" s="4" t="s">
        <v>12</v>
      </c>
      <c r="B135" s="15" t="s">
        <v>27</v>
      </c>
      <c r="C135" s="15">
        <v>3</v>
      </c>
      <c r="D135" s="6">
        <v>65493746000</v>
      </c>
      <c r="E135" s="6">
        <v>-787071000</v>
      </c>
      <c r="F135" s="8">
        <v>1352634100</v>
      </c>
      <c r="G135" s="41">
        <f>Tabela3[[#This Row],[Lucro Líquido]]/Tabela3[[#This Row],[Total Ações]]</f>
        <v>-0.58188019953067871</v>
      </c>
      <c r="H135" s="41">
        <f>Tabela3[[#This Row],[Lucro/Ação]]/Tabela3[[#This Row],[Ref]]*4</f>
        <v>-0.77584026604090495</v>
      </c>
      <c r="I135" s="55">
        <f>IF(GETPIVOTDATA("Payout",'Tabela LL'!$A$3,"Ativo",Tabela3[[#This Row],[PAPEL]])&gt;1,1,GETPIVOTDATA("Payout",'Tabela LL'!$A$3,"Ativo",Tabela3[[#This Row],[PAPEL]]))</f>
        <v>1</v>
      </c>
      <c r="J135" s="31">
        <f>Tabela3[Patrimônio Líquido]/Tabela3[Total Ações]</f>
        <v>48.419410689113931</v>
      </c>
      <c r="K135" s="32">
        <f>MAX(Tabela3[[#This Row],[Cotação 1]],Tabela3[[#This Row],[Cotação 2]])</f>
        <v>9.93</v>
      </c>
      <c r="L135" s="33">
        <f>Tabela3[Cotação]/Tabela3[VPA]</f>
        <v>0.20508304125709956</v>
      </c>
      <c r="M135" s="38">
        <f>IF(Tabela3[[#This Row],[Lucro/Ação Ano]]&gt;0,Tabela3[[#This Row],[Cotação]]/Tabela3[[#This Row],[Lucro/Ação Ano]],0)</f>
        <v>0</v>
      </c>
      <c r="N135" s="31">
        <f>ROUND(Tabela3[[#This Row],[Lucro Prev]]/10%,2)</f>
        <v>-7.76</v>
      </c>
      <c r="O135" s="29">
        <f>MIN(Tabela3[[#This Row],[10% Rent]],Tabela3[[#This Row],[VPA]]*2)</f>
        <v>-7.76</v>
      </c>
      <c r="P135" s="54">
        <f>Tabela3[[#This Row],[P Compra]]/Tabela3[[#This Row],[Cotação]]-1</f>
        <v>-1.7814702920443102</v>
      </c>
      <c r="Q135" s="6">
        <f>Tabela3[[#This Row],[Lucro/Ação Ano]]*Tabela3[[#This Row],[Payout]]</f>
        <v>-0.77584026604090495</v>
      </c>
      <c r="R135" s="26" t="str">
        <f>IF(AND(Tabela3[% Yield]&gt;=10%,Tabela3[PVPA]&lt;=2,Tabela3[PL]&lt;=15,Tabela3[PL]&gt;0),"Sim","Não")</f>
        <v>Não</v>
      </c>
      <c r="S135" s="30">
        <f>Tabela3[[#This Row],[Lucro Prev]]/Tabela3[[#This Row],[Cotação]]</f>
        <v>-7.8130943206536255E-2</v>
      </c>
      <c r="T135" s="10">
        <f>($Z$1/Tabela3[[#This Row],[Cotação]]-MOD($Z$1/Tabela3[[#This Row],[Cotação]],100))</f>
        <v>100</v>
      </c>
      <c r="U135" s="5">
        <f>Tabela3[[#This Row],[Ativos]]*Tabela3[[#This Row],[Lucro Prev]]</f>
        <v>-77.584026604090496</v>
      </c>
      <c r="V135" s="5">
        <f>SUMPRODUCT(N(Tabela1[Código]=Tabela3[[#This Row],[PAPEL]]),Tabela1[Fechamento])</f>
        <v>9.93</v>
      </c>
      <c r="W135" s="5">
        <f>SUMPRODUCT(N(Tabela17[Código]=Tabela3[[#This Row],[PAPEL]]),Tabela17[Fechamento])</f>
        <v>0</v>
      </c>
    </row>
    <row r="136" spans="1:23" x14ac:dyDescent="0.2">
      <c r="A136" s="4" t="s">
        <v>12</v>
      </c>
      <c r="B136" s="15" t="s">
        <v>2</v>
      </c>
      <c r="C136" s="15">
        <v>3</v>
      </c>
      <c r="D136" s="6">
        <v>65493746000</v>
      </c>
      <c r="E136" s="6">
        <v>-787071000</v>
      </c>
      <c r="F136" s="8">
        <v>1352634100</v>
      </c>
      <c r="G136" s="41">
        <f>Tabela3[[#This Row],[Lucro Líquido]]/Tabela3[[#This Row],[Total Ações]]</f>
        <v>-0.58188019953067871</v>
      </c>
      <c r="H136" s="41">
        <f>Tabela3[[#This Row],[Lucro/Ação]]/Tabela3[[#This Row],[Ref]]*4</f>
        <v>-0.77584026604090495</v>
      </c>
      <c r="I136" s="55">
        <f>IF(GETPIVOTDATA("Payout",'Tabela LL'!$A$3,"Ativo",Tabela3[[#This Row],[PAPEL]])&gt;1,1,GETPIVOTDATA("Payout",'Tabela LL'!$A$3,"Ativo",Tabela3[[#This Row],[PAPEL]]))</f>
        <v>1</v>
      </c>
      <c r="J136" s="6">
        <f>Tabela3[Patrimônio Líquido]/Tabela3[Total Ações]</f>
        <v>48.419410689113931</v>
      </c>
      <c r="K136" s="11">
        <f>MAX(Tabela3[[#This Row],[Cotação 1]],Tabela3[[#This Row],[Cotação 2]])</f>
        <v>5.87</v>
      </c>
      <c r="L136" s="9">
        <f>Tabela3[Cotação]/Tabela3[VPA]</f>
        <v>0.12123237182066209</v>
      </c>
      <c r="M136" s="39">
        <f>IF(Tabela3[[#This Row],[Lucro/Ação Ano]]&gt;0,Tabela3[[#This Row],[Cotação]]/Tabela3[[#This Row],[Lucro/Ação Ano]],0)</f>
        <v>0</v>
      </c>
      <c r="N136" s="6">
        <f>ROUND(Tabela3[[#This Row],[Lucro Prev]]/10%,2)</f>
        <v>-7.76</v>
      </c>
      <c r="O136" s="13">
        <f>MIN(Tabela3[[#This Row],[10% Rent]],Tabela3[[#This Row],[VPA]]*2)</f>
        <v>-7.76</v>
      </c>
      <c r="P136" s="19">
        <f>Tabela3[[#This Row],[P Compra]]/Tabela3[[#This Row],[Cotação]]-1</f>
        <v>-2.3219761499148213</v>
      </c>
      <c r="Q136" s="6">
        <f>Tabela3[[#This Row],[Lucro/Ação Ano]]*Tabela3[[#This Row],[Payout]]</f>
        <v>-0.77584026604090495</v>
      </c>
      <c r="R136" s="14" t="str">
        <f>IF(AND(Tabela3[% Yield]&gt;=10%,Tabela3[PVPA]&lt;=2,Tabela3[PL]&lt;=15,Tabela3[PL]&gt;0),"Sim","Não")</f>
        <v>Não</v>
      </c>
      <c r="S136" s="19">
        <f>Tabela3[[#This Row],[Lucro Prev]]/Tabela3[[#This Row],[Cotação]]</f>
        <v>-0.13217040307340799</v>
      </c>
      <c r="T136" s="10">
        <f>($Z$1/Tabela3[[#This Row],[Cotação]]-MOD($Z$1/Tabela3[[#This Row],[Cotação]],100))</f>
        <v>100</v>
      </c>
      <c r="U136" s="5">
        <f>Tabela3[[#This Row],[Ativos]]*Tabela3[[#This Row],[Lucro Prev]]</f>
        <v>-77.584026604090496</v>
      </c>
      <c r="V136" s="5">
        <f>SUMPRODUCT(N(Tabela1[Código]=Tabela3[[#This Row],[PAPEL]]),Tabela1[Fechamento])</f>
        <v>5.87</v>
      </c>
      <c r="W136" s="5">
        <f>SUMPRODUCT(N(Tabela17[Código]=Tabela3[[#This Row],[PAPEL]]),Tabela17[Fechamento])</f>
        <v>0</v>
      </c>
    </row>
  </sheetData>
  <hyperlinks>
    <hyperlink ref="B2" r:id="rId1"/>
    <hyperlink ref="B77" r:id="rId2"/>
    <hyperlink ref="B103" r:id="rId3"/>
    <hyperlink ref="B125" r:id="rId4"/>
    <hyperlink ref="B123" r:id="rId5"/>
    <hyperlink ref="B113" r:id="rId6"/>
    <hyperlink ref="B102" r:id="rId7"/>
    <hyperlink ref="B128" r:id="rId8"/>
    <hyperlink ref="B111" r:id="rId9"/>
    <hyperlink ref="B49" r:id="rId10"/>
    <hyperlink ref="B92" r:id="rId11"/>
    <hyperlink ref="B114" r:id="rId12"/>
    <hyperlink ref="B115" r:id="rId13"/>
    <hyperlink ref="B96" r:id="rId14"/>
    <hyperlink ref="B106" r:id="rId15"/>
    <hyperlink ref="B37" r:id="rId16"/>
    <hyperlink ref="B36" r:id="rId17"/>
    <hyperlink ref="B32" r:id="rId18"/>
    <hyperlink ref="B35" r:id="rId19"/>
    <hyperlink ref="B52" r:id="rId20"/>
    <hyperlink ref="B61" r:id="rId21"/>
    <hyperlink ref="B64" r:id="rId22"/>
    <hyperlink ref="B95" r:id="rId23"/>
    <hyperlink ref="B98" r:id="rId24"/>
    <hyperlink ref="B99" r:id="rId25"/>
  </hyperlinks>
  <pageMargins left="0.7" right="0.7" top="0.75" bottom="0.75" header="0.3" footer="0.3"/>
  <pageSetup paperSize="9" orientation="portrait" r:id="rId26"/>
  <tableParts count="1"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O1" workbookViewId="0">
      <selection activeCell="N1" sqref="B1:N1048576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371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361</v>
      </c>
      <c r="E7" s="3" t="s">
        <v>396</v>
      </c>
      <c r="F7" s="3" t="s">
        <v>396</v>
      </c>
      <c r="G7" s="3" t="s">
        <v>393</v>
      </c>
      <c r="H7" s="20">
        <v>41638</v>
      </c>
      <c r="J7" s="3">
        <f>IF($A7="",0,VALUE(CONCATENATE(LEFT(D7,LEN(D7)-3),",",RIGHT(D7,2))))</f>
        <v>12.51</v>
      </c>
      <c r="K7" s="3">
        <f t="shared" ref="K7:M22" si="0">IF($A7="",0,VALUE(CONCATENATE(LEFT(E7,LEN(E7)-3),",",RIGHT(E7,2))))</f>
        <v>12.64</v>
      </c>
      <c r="L7" s="3">
        <f t="shared" si="0"/>
        <v>12.64</v>
      </c>
      <c r="M7" s="3">
        <f t="shared" si="0"/>
        <v>12.36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41638</v>
      </c>
      <c r="S7" s="5">
        <f t="shared" ref="S7:S38" si="3">J7</f>
        <v>12.51</v>
      </c>
      <c r="T7" s="5">
        <f t="shared" ref="T7:T38" si="4">K7</f>
        <v>12.64</v>
      </c>
      <c r="U7" s="5">
        <f t="shared" ref="U7:U38" si="5">L7</f>
        <v>12.64</v>
      </c>
      <c r="V7" s="5">
        <f t="shared" ref="V7:V38" si="6">M7</f>
        <v>12.36</v>
      </c>
    </row>
    <row r="8" spans="1:22" x14ac:dyDescent="0.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112</v>
      </c>
      <c r="E8" s="3" t="s">
        <v>112</v>
      </c>
      <c r="F8" s="3" t="s">
        <v>112</v>
      </c>
      <c r="G8" s="3" t="s">
        <v>112</v>
      </c>
      <c r="H8" s="20">
        <v>41638</v>
      </c>
      <c r="J8" s="3">
        <f t="shared" ref="J8:M71" si="7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14" t="s">
        <v>70</v>
      </c>
      <c r="Q8" s="10" t="str">
        <f t="shared" si="1"/>
        <v>AES ELPA    -ON</v>
      </c>
      <c r="R8" s="20">
        <f t="shared" si="2"/>
        <v>41638</v>
      </c>
      <c r="S8" s="5">
        <f t="shared" si="3"/>
        <v>9.24</v>
      </c>
      <c r="T8" s="5">
        <f t="shared" si="4"/>
        <v>9.24</v>
      </c>
      <c r="U8" s="5">
        <f t="shared" si="5"/>
        <v>9.24</v>
      </c>
      <c r="V8" s="5">
        <f t="shared" si="6"/>
        <v>9.24</v>
      </c>
    </row>
    <row r="9" spans="1:22" x14ac:dyDescent="0.2">
      <c r="A9" s="36" t="str">
        <f>IF(Tabela1[[#This Row],[Código]]="IBOV","^BVSP",IF(Tabela1[[#This Row],[Código]]="","",CONCATENATE(LEFT(Tabela1[[#This Row],[Código]],6),".SA")))</f>
        <v>BAZA3.SA</v>
      </c>
      <c r="C9" s="3" t="s">
        <v>113</v>
      </c>
      <c r="D9" s="3" t="s">
        <v>114</v>
      </c>
      <c r="E9" s="3" t="s">
        <v>409</v>
      </c>
      <c r="F9" s="3" t="s">
        <v>409</v>
      </c>
      <c r="G9" s="3" t="s">
        <v>114</v>
      </c>
      <c r="H9" s="20">
        <v>41638</v>
      </c>
      <c r="J9" s="3">
        <f t="shared" si="7"/>
        <v>0.32</v>
      </c>
      <c r="K9" s="3">
        <f t="shared" si="0"/>
        <v>0.33</v>
      </c>
      <c r="L9" s="3">
        <f t="shared" si="0"/>
        <v>0.33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41638</v>
      </c>
      <c r="S9" s="5">
        <f t="shared" si="3"/>
        <v>0.32</v>
      </c>
      <c r="T9" s="5">
        <f t="shared" si="4"/>
        <v>0.33</v>
      </c>
      <c r="U9" s="5">
        <f t="shared" si="5"/>
        <v>0.33</v>
      </c>
      <c r="V9" s="5">
        <f t="shared" si="6"/>
        <v>0.32</v>
      </c>
    </row>
    <row r="10" spans="1:22" x14ac:dyDescent="0.2">
      <c r="A10" s="36" t="str">
        <f>IF(Tabela1[[#This Row],[Código]]="IBOV","^BVSP",IF(Tabela1[[#This Row],[Código]]="","",CONCATENATE(LEFT(Tabela1[[#This Row],[Código]],6),".SA")))</f>
        <v>BBAS3.SA</v>
      </c>
      <c r="C10" s="3" t="s">
        <v>115</v>
      </c>
      <c r="D10" s="3" t="s">
        <v>327</v>
      </c>
      <c r="E10" s="3" t="s">
        <v>410</v>
      </c>
      <c r="F10" s="3" t="s">
        <v>372</v>
      </c>
      <c r="G10" s="3" t="s">
        <v>373</v>
      </c>
      <c r="H10" s="20">
        <v>41638</v>
      </c>
      <c r="J10" s="3">
        <f t="shared" si="7"/>
        <v>24.28</v>
      </c>
      <c r="K10" s="3">
        <f t="shared" si="0"/>
        <v>24.4</v>
      </c>
      <c r="L10" s="3">
        <f t="shared" si="0"/>
        <v>24.57</v>
      </c>
      <c r="M10" s="3">
        <f t="shared" si="0"/>
        <v>24.21</v>
      </c>
      <c r="P10" s="15" t="s">
        <v>24</v>
      </c>
      <c r="Q10" s="10" t="str">
        <f t="shared" si="1"/>
        <v xml:space="preserve">BRASIL      -ON  </v>
      </c>
      <c r="R10" s="20">
        <f t="shared" si="2"/>
        <v>41638</v>
      </c>
      <c r="S10" s="5">
        <f t="shared" si="3"/>
        <v>24.28</v>
      </c>
      <c r="T10" s="5">
        <f t="shared" si="4"/>
        <v>24.4</v>
      </c>
      <c r="U10" s="5">
        <f t="shared" si="5"/>
        <v>24.57</v>
      </c>
      <c r="V10" s="5">
        <f t="shared" si="6"/>
        <v>24.21</v>
      </c>
    </row>
    <row r="11" spans="1:22" x14ac:dyDescent="0.2">
      <c r="A11" s="36" t="str">
        <f>IF(Tabela1[[#This Row],[Código]]="IBOV","^BVSP",IF(Tabela1[[#This Row],[Código]]="","",CONCATENATE(LEFT(Tabela1[[#This Row],[Código]],6),".SA")))</f>
        <v>BBDC3.SA</v>
      </c>
      <c r="C11" s="3" t="s">
        <v>251</v>
      </c>
      <c r="D11" s="3" t="s">
        <v>344</v>
      </c>
      <c r="E11" s="3" t="s">
        <v>411</v>
      </c>
      <c r="F11" s="3" t="s">
        <v>412</v>
      </c>
      <c r="G11" s="3" t="s">
        <v>362</v>
      </c>
      <c r="H11" s="20">
        <v>41638</v>
      </c>
      <c r="J11" s="3">
        <f t="shared" si="7"/>
        <v>31.54</v>
      </c>
      <c r="K11" s="3">
        <f t="shared" si="0"/>
        <v>31.95</v>
      </c>
      <c r="L11" s="3">
        <f t="shared" si="0"/>
        <v>32.1</v>
      </c>
      <c r="M11" s="3">
        <f t="shared" si="0"/>
        <v>31.48</v>
      </c>
      <c r="P11" s="14" t="s">
        <v>249</v>
      </c>
      <c r="Q11" s="10" t="str">
        <f t="shared" si="1"/>
        <v xml:space="preserve">BRADESCO    -ON  </v>
      </c>
      <c r="R11" s="20">
        <f t="shared" si="2"/>
        <v>41638</v>
      </c>
      <c r="S11" s="5">
        <f t="shared" si="3"/>
        <v>31.54</v>
      </c>
      <c r="T11" s="5">
        <f t="shared" si="4"/>
        <v>31.95</v>
      </c>
      <c r="U11" s="5">
        <f t="shared" si="5"/>
        <v>32.1</v>
      </c>
      <c r="V11" s="5">
        <f t="shared" si="6"/>
        <v>31.48</v>
      </c>
    </row>
    <row r="12" spans="1:22" x14ac:dyDescent="0.2">
      <c r="A12" s="36" t="str">
        <f>IF(Tabela1[[#This Row],[Código]]="IBOV","^BVSP",IF(Tabela1[[#This Row],[Código]]="","",CONCATENATE(LEFT(Tabela1[[#This Row],[Código]],6),".SA")))</f>
        <v>BBDC4.SA</v>
      </c>
      <c r="C12" s="3" t="s">
        <v>252</v>
      </c>
      <c r="D12" s="3" t="s">
        <v>345</v>
      </c>
      <c r="E12" s="3" t="s">
        <v>413</v>
      </c>
      <c r="F12" s="3" t="s">
        <v>385</v>
      </c>
      <c r="G12" s="3" t="s">
        <v>326</v>
      </c>
      <c r="H12" s="20">
        <v>41638</v>
      </c>
      <c r="J12" s="3">
        <f t="shared" si="7"/>
        <v>28.89</v>
      </c>
      <c r="K12" s="3">
        <f t="shared" si="0"/>
        <v>29.09</v>
      </c>
      <c r="L12" s="3">
        <f t="shared" si="0"/>
        <v>29.23</v>
      </c>
      <c r="M12" s="3">
        <f t="shared" si="0"/>
        <v>28.8</v>
      </c>
      <c r="P12" s="14" t="s">
        <v>250</v>
      </c>
      <c r="Q12" s="10" t="str">
        <f t="shared" si="1"/>
        <v xml:space="preserve">BRADESCO    -PN  </v>
      </c>
      <c r="R12" s="57">
        <f t="shared" si="2"/>
        <v>41638</v>
      </c>
      <c r="S12" s="5">
        <f t="shared" si="3"/>
        <v>28.89</v>
      </c>
      <c r="T12" s="5">
        <f t="shared" si="4"/>
        <v>29.09</v>
      </c>
      <c r="U12" s="5">
        <f t="shared" si="5"/>
        <v>29.23</v>
      </c>
      <c r="V12" s="5">
        <f t="shared" si="6"/>
        <v>28.8</v>
      </c>
    </row>
    <row r="13" spans="1:22" x14ac:dyDescent="0.2">
      <c r="A13" s="36" t="str">
        <f>IF(Tabela1[[#This Row],[Código]]="IBOV","^BVSP",IF(Tabela1[[#This Row],[Código]]="","",CONCATENATE(LEFT(Tabela1[[#This Row],[Código]],6),".SA")))</f>
        <v>BEES3.SA</v>
      </c>
      <c r="C13" s="3" t="s">
        <v>116</v>
      </c>
      <c r="D13" s="3" t="s">
        <v>244</v>
      </c>
      <c r="E13" s="3" t="s">
        <v>414</v>
      </c>
      <c r="F13" s="3" t="s">
        <v>414</v>
      </c>
      <c r="G13" s="3" t="s">
        <v>244</v>
      </c>
      <c r="H13" s="20">
        <v>41638</v>
      </c>
      <c r="J13" s="3">
        <f t="shared" si="7"/>
        <v>0.48</v>
      </c>
      <c r="K13" s="3">
        <f t="shared" si="0"/>
        <v>0.5</v>
      </c>
      <c r="L13" s="3">
        <f t="shared" si="0"/>
        <v>0.5</v>
      </c>
      <c r="M13" s="3">
        <f t="shared" si="0"/>
        <v>0.48</v>
      </c>
      <c r="P13" s="15" t="s">
        <v>60</v>
      </c>
      <c r="Q13" s="10" t="str">
        <f t="shared" si="1"/>
        <v>BANESTES    -ON</v>
      </c>
      <c r="R13" s="57">
        <f t="shared" si="2"/>
        <v>41638</v>
      </c>
      <c r="S13" s="5">
        <f t="shared" si="3"/>
        <v>0.48</v>
      </c>
      <c r="T13" s="5">
        <f t="shared" si="4"/>
        <v>0.5</v>
      </c>
      <c r="U13" s="5">
        <f t="shared" si="5"/>
        <v>0.5</v>
      </c>
      <c r="V13" s="5">
        <f t="shared" si="6"/>
        <v>0.48</v>
      </c>
    </row>
    <row r="14" spans="1:22" x14ac:dyDescent="0.2">
      <c r="A14" s="36" t="str">
        <f>IF(Tabela1[[#This Row],[Código]]="IBOV","^BVSP",IF(Tabela1[[#This Row],[Código]]="","",CONCATENATE(LEFT(Tabela1[[#This Row],[Código]],6),".SA")))</f>
        <v>BEES4.SA</v>
      </c>
      <c r="C14" s="3" t="s">
        <v>117</v>
      </c>
      <c r="D14" s="3" t="s">
        <v>118</v>
      </c>
      <c r="E14" s="3" t="s">
        <v>118</v>
      </c>
      <c r="F14" s="3" t="s">
        <v>118</v>
      </c>
      <c r="G14" s="3" t="s">
        <v>118</v>
      </c>
      <c r="H14" s="20">
        <v>41638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>BANESTES    -PN</v>
      </c>
      <c r="R14" s="20">
        <f t="shared" si="2"/>
        <v>41638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 x14ac:dyDescent="0.2">
      <c r="A15" s="36" t="str">
        <f>IF(Tabela1[[#This Row],[Código]]="IBOV","^BVSP",IF(Tabela1[[#This Row],[Código]]="","",CONCATENATE(LEFT(Tabela1[[#This Row],[Código]],6),".SA")))</f>
        <v>BGIP3.SA</v>
      </c>
      <c r="C15" s="3" t="s">
        <v>257</v>
      </c>
      <c r="D15" s="3" t="s">
        <v>258</v>
      </c>
      <c r="E15" s="3" t="s">
        <v>258</v>
      </c>
      <c r="F15" s="3" t="s">
        <v>258</v>
      </c>
      <c r="G15" s="3" t="s">
        <v>258</v>
      </c>
      <c r="H15" s="20">
        <v>41596</v>
      </c>
      <c r="J15" s="3">
        <f t="shared" si="7"/>
        <v>49.98</v>
      </c>
      <c r="K15" s="3">
        <f t="shared" si="0"/>
        <v>49.98</v>
      </c>
      <c r="L15" s="3">
        <f t="shared" si="0"/>
        <v>49.98</v>
      </c>
      <c r="M15" s="3">
        <f t="shared" si="0"/>
        <v>49.98</v>
      </c>
      <c r="P15" s="10" t="s">
        <v>255</v>
      </c>
      <c r="Q15" s="10" t="str">
        <f t="shared" si="1"/>
        <v>BANESE      -ON</v>
      </c>
      <c r="R15" s="57">
        <f t="shared" si="2"/>
        <v>41596</v>
      </c>
      <c r="S15" s="5">
        <f t="shared" si="3"/>
        <v>49.98</v>
      </c>
      <c r="T15" s="5">
        <f t="shared" si="4"/>
        <v>49.98</v>
      </c>
      <c r="U15" s="5">
        <f t="shared" si="5"/>
        <v>49.98</v>
      </c>
      <c r="V15" s="5">
        <f t="shared" si="6"/>
        <v>49.98</v>
      </c>
    </row>
    <row r="16" spans="1:22" x14ac:dyDescent="0.2">
      <c r="A16" s="36" t="str">
        <f>IF(Tabela1[[#This Row],[Código]]="IBOV","^BVSP",IF(Tabela1[[#This Row],[Código]]="","",CONCATENATE(LEFT(Tabela1[[#This Row],[Código]],6),".SA")))</f>
        <v>BGIP4.SA</v>
      </c>
      <c r="C16" s="3" t="s">
        <v>259</v>
      </c>
      <c r="D16" s="3" t="s">
        <v>415</v>
      </c>
      <c r="E16" s="3" t="s">
        <v>416</v>
      </c>
      <c r="F16" s="3" t="s">
        <v>416</v>
      </c>
      <c r="G16" s="3" t="s">
        <v>415</v>
      </c>
      <c r="H16" s="20">
        <v>41638</v>
      </c>
      <c r="J16" s="3">
        <f t="shared" si="7"/>
        <v>47.77</v>
      </c>
      <c r="K16" s="3">
        <f t="shared" si="0"/>
        <v>50</v>
      </c>
      <c r="L16" s="3">
        <f t="shared" si="0"/>
        <v>50</v>
      </c>
      <c r="M16" s="3">
        <f t="shared" si="0"/>
        <v>47.77</v>
      </c>
      <c r="P16" s="15" t="s">
        <v>256</v>
      </c>
      <c r="Q16" s="10" t="str">
        <f t="shared" si="1"/>
        <v>BANESE      -PN</v>
      </c>
      <c r="R16" s="57">
        <f t="shared" si="2"/>
        <v>41638</v>
      </c>
      <c r="S16" s="5">
        <f t="shared" si="3"/>
        <v>47.77</v>
      </c>
      <c r="T16" s="5">
        <f t="shared" si="4"/>
        <v>50</v>
      </c>
      <c r="U16" s="5">
        <f t="shared" si="5"/>
        <v>50</v>
      </c>
      <c r="V16" s="5">
        <f t="shared" si="6"/>
        <v>47.77</v>
      </c>
    </row>
    <row r="17" spans="1:22" x14ac:dyDescent="0.2">
      <c r="A17" s="36" t="str">
        <f>IF(Tabela1[[#This Row],[Código]]="IBOV","^BVSP",IF(Tabela1[[#This Row],[Código]]="","",CONCATENATE(LEFT(Tabela1[[#This Row],[Código]],6),".SA")))</f>
        <v>BICB3.SA</v>
      </c>
      <c r="C17" s="3" t="s">
        <v>267</v>
      </c>
      <c r="D17" s="3" t="s">
        <v>268</v>
      </c>
      <c r="E17" s="3" t="s">
        <v>269</v>
      </c>
      <c r="F17" s="3" t="s">
        <v>268</v>
      </c>
      <c r="G17" s="3" t="s">
        <v>269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266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 x14ac:dyDescent="0.2">
      <c r="A18" s="36" t="str">
        <f>IF(Tabela1[[#This Row],[Código]]="IBOV","^BVSP",IF(Tabela1[[#This Row],[Código]]="","",CONCATENATE(LEFT(Tabela1[[#This Row],[Código]],6),".SA")))</f>
        <v>BICB4.SA</v>
      </c>
      <c r="C18" s="3" t="s">
        <v>120</v>
      </c>
      <c r="D18" s="3" t="s">
        <v>365</v>
      </c>
      <c r="E18" s="3" t="s">
        <v>394</v>
      </c>
      <c r="F18" s="3" t="s">
        <v>394</v>
      </c>
      <c r="G18" s="3" t="s">
        <v>365</v>
      </c>
      <c r="H18" s="20">
        <v>41638</v>
      </c>
      <c r="J18" s="3">
        <f t="shared" si="7"/>
        <v>7.32</v>
      </c>
      <c r="K18" s="3">
        <f t="shared" si="0"/>
        <v>7.4</v>
      </c>
      <c r="L18" s="3">
        <f t="shared" si="0"/>
        <v>7.4</v>
      </c>
      <c r="M18" s="3">
        <f t="shared" si="0"/>
        <v>7.32</v>
      </c>
      <c r="P18" s="14" t="s">
        <v>10</v>
      </c>
      <c r="Q18" s="10" t="str">
        <f t="shared" si="1"/>
        <v xml:space="preserve">BICBANCO    -PN  </v>
      </c>
      <c r="R18" s="57">
        <f t="shared" si="2"/>
        <v>41638</v>
      </c>
      <c r="S18" s="5">
        <f t="shared" si="3"/>
        <v>7.32</v>
      </c>
      <c r="T18" s="5">
        <f t="shared" si="4"/>
        <v>7.4</v>
      </c>
      <c r="U18" s="5">
        <f t="shared" si="5"/>
        <v>7.4</v>
      </c>
      <c r="V18" s="5">
        <f t="shared" si="6"/>
        <v>7.32</v>
      </c>
    </row>
    <row r="19" spans="1:22" x14ac:dyDescent="0.2">
      <c r="A19" s="36" t="str">
        <f>IF(Tabela1[[#This Row],[Código]]="IBOV","^BVSP",IF(Tabela1[[#This Row],[Código]]="","",CONCATENATE(LEFT(Tabela1[[#This Row],[Código]],6),".SA")))</f>
        <v>BMIN3.SA</v>
      </c>
      <c r="C19" s="3" t="s">
        <v>271</v>
      </c>
      <c r="D19" s="3" t="s">
        <v>194</v>
      </c>
      <c r="E19" s="3" t="s">
        <v>194</v>
      </c>
      <c r="F19" s="3" t="s">
        <v>194</v>
      </c>
      <c r="G19" s="3" t="s">
        <v>194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270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 x14ac:dyDescent="0.2">
      <c r="A20" s="36" t="str">
        <f>IF(Tabela1[[#This Row],[Código]]="IBOV","^BVSP",IF(Tabela1[[#This Row],[Código]]="","",CONCATENATE(LEFT(Tabela1[[#This Row],[Código]],6),".SA")))</f>
        <v>BMIN4.SA</v>
      </c>
      <c r="C20" s="3" t="s">
        <v>121</v>
      </c>
      <c r="D20" s="3" t="s">
        <v>122</v>
      </c>
      <c r="E20" s="3" t="s">
        <v>122</v>
      </c>
      <c r="F20" s="3" t="s">
        <v>122</v>
      </c>
      <c r="G20" s="3" t="s">
        <v>122</v>
      </c>
      <c r="H20" s="20">
        <v>41625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41625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 x14ac:dyDescent="0.2">
      <c r="A21" s="36" t="str">
        <f>IF(Tabela1[[#This Row],[Código]]="IBOV","^BVSP",IF(Tabela1[[#This Row],[Código]]="","",CONCATENATE(LEFT(Tabela1[[#This Row],[Código]],6),".SA")))</f>
        <v>BNBR3.SA</v>
      </c>
      <c r="C21" s="3" t="s">
        <v>274</v>
      </c>
      <c r="D21" s="3" t="s">
        <v>254</v>
      </c>
      <c r="E21" s="3" t="s">
        <v>254</v>
      </c>
      <c r="F21" s="3" t="s">
        <v>254</v>
      </c>
      <c r="G21" s="3" t="s">
        <v>254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272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 x14ac:dyDescent="0.2">
      <c r="A22" s="36" t="str">
        <f>IF(Tabela1[[#This Row],[Código]]="IBOV","^BVSP",IF(Tabela1[[#This Row],[Código]]="","",CONCATENATE(LEFT(Tabela1[[#This Row],[Código]],6),".SA")))</f>
        <v>BNBR4.SA</v>
      </c>
      <c r="C22" s="3" t="s">
        <v>275</v>
      </c>
      <c r="D22" s="3" t="s">
        <v>395</v>
      </c>
      <c r="E22" s="3" t="s">
        <v>395</v>
      </c>
      <c r="F22" s="3" t="s">
        <v>395</v>
      </c>
      <c r="G22" s="3" t="s">
        <v>395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273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 x14ac:dyDescent="0.2">
      <c r="A23" s="36" t="str">
        <f>IF(Tabela1[[#This Row],[Código]]="IBOV","^BVSP",IF(Tabela1[[#This Row],[Código]]="","",CONCATENATE(LEFT(Tabela1[[#This Row],[Código]],6),".SA")))</f>
        <v>BRGE11.SA</v>
      </c>
      <c r="C23" s="3" t="s">
        <v>296</v>
      </c>
      <c r="D23" s="3" t="s">
        <v>197</v>
      </c>
      <c r="E23" s="3" t="s">
        <v>197</v>
      </c>
      <c r="F23" s="3" t="s">
        <v>197</v>
      </c>
      <c r="G23" s="3" t="s">
        <v>197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286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 x14ac:dyDescent="0.2">
      <c r="A24" s="36" t="str">
        <f>IF(Tabela1[[#This Row],[Código]]="IBOV","^BVSP",IF(Tabela1[[#This Row],[Código]]="","",CONCATENATE(LEFT(Tabela1[[#This Row],[Código]],6),".SA")))</f>
        <v>BRGE12.SA</v>
      </c>
      <c r="C24" s="3" t="s">
        <v>297</v>
      </c>
      <c r="D24" s="3" t="s">
        <v>237</v>
      </c>
      <c r="E24" s="3" t="s">
        <v>237</v>
      </c>
      <c r="F24" s="3" t="s">
        <v>237</v>
      </c>
      <c r="G24" s="3" t="s">
        <v>237</v>
      </c>
      <c r="H24" s="20">
        <v>41624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287</v>
      </c>
      <c r="Q24" s="10" t="str">
        <f t="shared" si="1"/>
        <v>ALFA CONSORC-PNF</v>
      </c>
      <c r="R24" s="57">
        <f t="shared" si="2"/>
        <v>41624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 x14ac:dyDescent="0.2">
      <c r="A25" s="36" t="str">
        <f>IF(Tabela1[[#This Row],[Código]]="IBOV","^BVSP",IF(Tabela1[[#This Row],[Código]]="","",CONCATENATE(LEFT(Tabela1[[#This Row],[Código]],6),".SA")))</f>
        <v>BRGE3.SA</v>
      </c>
      <c r="C25" s="3" t="s">
        <v>288</v>
      </c>
      <c r="D25" s="3" t="s">
        <v>289</v>
      </c>
      <c r="E25" s="3" t="s">
        <v>289</v>
      </c>
      <c r="F25" s="3" t="s">
        <v>289</v>
      </c>
      <c r="G25" s="3" t="s">
        <v>289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282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 x14ac:dyDescent="0.2">
      <c r="A26" s="36" t="str">
        <f>IF(Tabela1[[#This Row],[Código]]="IBOV","^BVSP",IF(Tabela1[[#This Row],[Código]]="","",CONCATENATE(LEFT(Tabela1[[#This Row],[Código]],6),".SA")))</f>
        <v>BRGE5.SA</v>
      </c>
      <c r="C26" s="3" t="s">
        <v>290</v>
      </c>
      <c r="D26" s="3" t="s">
        <v>291</v>
      </c>
      <c r="E26" s="3" t="s">
        <v>291</v>
      </c>
      <c r="F26" s="3" t="s">
        <v>291</v>
      </c>
      <c r="G26" s="3" t="s">
        <v>291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283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 x14ac:dyDescent="0.2">
      <c r="A27" s="36" t="str">
        <f>IF(Tabela1[[#This Row],[Código]]="IBOV","^BVSP",IF(Tabela1[[#This Row],[Código]]="","",CONCATENATE(LEFT(Tabela1[[#This Row],[Código]],6),".SA")))</f>
        <v>BRGE6.SA</v>
      </c>
      <c r="C27" s="3" t="s">
        <v>123</v>
      </c>
      <c r="D27" s="3" t="s">
        <v>124</v>
      </c>
      <c r="E27" s="3" t="s">
        <v>124</v>
      </c>
      <c r="F27" s="3" t="s">
        <v>124</v>
      </c>
      <c r="G27" s="3" t="s">
        <v>124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 x14ac:dyDescent="0.2">
      <c r="A28" s="36" t="str">
        <f>IF(Tabela1[[#This Row],[Código]]="IBOV","^BVSP",IF(Tabela1[[#This Row],[Código]]="","",CONCATENATE(LEFT(Tabela1[[#This Row],[Código]],6),".SA")))</f>
        <v>BRGE7.SA</v>
      </c>
      <c r="C28" s="3" t="s">
        <v>292</v>
      </c>
      <c r="D28" s="3" t="s">
        <v>293</v>
      </c>
      <c r="E28" s="3" t="s">
        <v>293</v>
      </c>
      <c r="F28" s="3" t="s">
        <v>293</v>
      </c>
      <c r="G28" s="3" t="s">
        <v>293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284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 x14ac:dyDescent="0.2">
      <c r="A29" s="36" t="str">
        <f>IF(Tabela1[[#This Row],[Código]]="IBOV","^BVSP",IF(Tabela1[[#This Row],[Código]]="","",CONCATENATE(LEFT(Tabela1[[#This Row],[Código]],6),".SA")))</f>
        <v>BRGE8.SA</v>
      </c>
      <c r="C29" s="3" t="s">
        <v>294</v>
      </c>
      <c r="D29" s="3" t="s">
        <v>295</v>
      </c>
      <c r="E29" s="3" t="s">
        <v>295</v>
      </c>
      <c r="F29" s="3" t="s">
        <v>295</v>
      </c>
      <c r="G29" s="3" t="s">
        <v>295</v>
      </c>
      <c r="H29" s="20">
        <v>41533</v>
      </c>
      <c r="J29" s="3">
        <f>IF($A29="",0,VALUE(CONCATENATE(LEFT(D29,LEN(D29)-3),",",RIGHT(D29,2))))</f>
        <v>3.71</v>
      </c>
      <c r="K29" s="3">
        <f t="shared" si="7"/>
        <v>3.71</v>
      </c>
      <c r="L29" s="3">
        <f t="shared" si="7"/>
        <v>3.71</v>
      </c>
      <c r="M29" s="3">
        <f t="shared" si="7"/>
        <v>3.71</v>
      </c>
      <c r="P29" s="15" t="s">
        <v>285</v>
      </c>
      <c r="Q29" s="10" t="str">
        <f t="shared" si="1"/>
        <v>ALFA CONSORC-PND</v>
      </c>
      <c r="R29" s="20">
        <f t="shared" si="2"/>
        <v>41533</v>
      </c>
      <c r="S29" s="5">
        <f t="shared" si="3"/>
        <v>3.71</v>
      </c>
      <c r="T29" s="5">
        <f t="shared" si="4"/>
        <v>3.71</v>
      </c>
      <c r="U29" s="5">
        <f t="shared" si="5"/>
        <v>3.71</v>
      </c>
      <c r="V29" s="5">
        <f t="shared" si="6"/>
        <v>3.71</v>
      </c>
    </row>
    <row r="30" spans="1:22" x14ac:dyDescent="0.2">
      <c r="A30" s="36" t="str">
        <f>IF(Tabela1[[#This Row],[Código]]="IBOV","^BVSP",IF(Tabela1[[#This Row],[Código]]="","",CONCATENATE(LEFT(Tabela1[[#This Row],[Código]],6),".SA")))</f>
        <v>BRIV3.SA</v>
      </c>
      <c r="C30" s="3" t="s">
        <v>247</v>
      </c>
      <c r="D30" s="3" t="s">
        <v>235</v>
      </c>
      <c r="E30" s="3" t="s">
        <v>325</v>
      </c>
      <c r="F30" s="3" t="s">
        <v>325</v>
      </c>
      <c r="G30" s="3" t="s">
        <v>235</v>
      </c>
      <c r="H30" s="20">
        <v>41635</v>
      </c>
      <c r="J30" s="3">
        <f t="shared" si="7"/>
        <v>6.79</v>
      </c>
      <c r="K30" s="3">
        <f t="shared" si="7"/>
        <v>6.8</v>
      </c>
      <c r="L30" s="3">
        <f t="shared" si="7"/>
        <v>6.8</v>
      </c>
      <c r="M30" s="3">
        <f t="shared" si="7"/>
        <v>6.79</v>
      </c>
      <c r="P30" s="14" t="s">
        <v>245</v>
      </c>
      <c r="Q30" s="10" t="str">
        <f t="shared" si="1"/>
        <v>ALFA INVEST -ON</v>
      </c>
      <c r="R30" s="20">
        <f t="shared" si="2"/>
        <v>41635</v>
      </c>
      <c r="S30" s="5">
        <f t="shared" si="3"/>
        <v>6.79</v>
      </c>
      <c r="T30" s="5">
        <f t="shared" si="4"/>
        <v>6.8</v>
      </c>
      <c r="U30" s="5">
        <f t="shared" si="5"/>
        <v>6.8</v>
      </c>
      <c r="V30" s="5">
        <f t="shared" si="6"/>
        <v>6.79</v>
      </c>
    </row>
    <row r="31" spans="1:22" x14ac:dyDescent="0.2">
      <c r="A31" s="36" t="str">
        <f>IF(Tabela1[[#This Row],[Código]]="IBOV","^BVSP",IF(Tabela1[[#This Row],[Código]]="","",CONCATENATE(LEFT(Tabela1[[#This Row],[Código]],6),".SA")))</f>
        <v>BRIV4.SA</v>
      </c>
      <c r="C31" s="3" t="s">
        <v>248</v>
      </c>
      <c r="D31" s="3" t="s">
        <v>390</v>
      </c>
      <c r="E31" s="3" t="s">
        <v>417</v>
      </c>
      <c r="F31" s="3" t="s">
        <v>417</v>
      </c>
      <c r="G31" s="3" t="s">
        <v>390</v>
      </c>
      <c r="H31" s="20">
        <v>41638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246</v>
      </c>
      <c r="Q31" s="10" t="str">
        <f t="shared" si="1"/>
        <v>ALFA INVEST -PN</v>
      </c>
      <c r="R31" s="20">
        <f t="shared" si="2"/>
        <v>41638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 x14ac:dyDescent="0.2">
      <c r="A32" s="36" t="str">
        <f>IF(Tabela1[[#This Row],[Código]]="IBOV","^BVSP",IF(Tabela1[[#This Row],[Código]]="","",CONCATENATE(LEFT(Tabela1[[#This Row],[Código]],6),".SA")))</f>
        <v>BRSR3.SA</v>
      </c>
      <c r="C32" s="3" t="s">
        <v>262</v>
      </c>
      <c r="D32" s="3" t="s">
        <v>263</v>
      </c>
      <c r="E32" s="3" t="s">
        <v>263</v>
      </c>
      <c r="F32" s="3" t="s">
        <v>263</v>
      </c>
      <c r="G32" s="3" t="s">
        <v>263</v>
      </c>
      <c r="H32" s="20">
        <v>41621</v>
      </c>
      <c r="J32" s="3">
        <f t="shared" si="7"/>
        <v>13</v>
      </c>
      <c r="K32" s="3">
        <f t="shared" si="7"/>
        <v>13</v>
      </c>
      <c r="L32" s="3">
        <f t="shared" si="7"/>
        <v>13</v>
      </c>
      <c r="M32" s="3">
        <f t="shared" si="7"/>
        <v>13</v>
      </c>
      <c r="P32" s="15" t="s">
        <v>260</v>
      </c>
      <c r="Q32" s="10" t="str">
        <f t="shared" si="1"/>
        <v xml:space="preserve">BANRISUL    -ON  </v>
      </c>
      <c r="R32" s="20">
        <f t="shared" si="2"/>
        <v>41621</v>
      </c>
      <c r="S32" s="5">
        <f t="shared" si="3"/>
        <v>13</v>
      </c>
      <c r="T32" s="5">
        <f t="shared" si="4"/>
        <v>13</v>
      </c>
      <c r="U32" s="5">
        <f t="shared" si="5"/>
        <v>13</v>
      </c>
      <c r="V32" s="5">
        <f t="shared" si="6"/>
        <v>13</v>
      </c>
    </row>
    <row r="33" spans="1:22" x14ac:dyDescent="0.2">
      <c r="A33" s="36" t="str">
        <f>IF(Tabela1[[#This Row],[Código]]="IBOV","^BVSP",IF(Tabela1[[#This Row],[Código]]="","",CONCATENATE(LEFT(Tabela1[[#This Row],[Código]],6),".SA")))</f>
        <v>BRSR5.SA</v>
      </c>
      <c r="C33" s="3" t="s">
        <v>264</v>
      </c>
      <c r="D33" s="3" t="s">
        <v>265</v>
      </c>
      <c r="E33" s="3" t="s">
        <v>265</v>
      </c>
      <c r="F33" s="3" t="s">
        <v>265</v>
      </c>
      <c r="G33" s="3" t="s">
        <v>265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261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 x14ac:dyDescent="0.2">
      <c r="A34" s="36" t="str">
        <f>IF(Tabela1[[#This Row],[Código]]="IBOV","^BVSP",IF(Tabela1[[#This Row],[Código]]="","",CONCATENATE(LEFT(Tabela1[[#This Row],[Código]],6),".SA")))</f>
        <v>BRSR6.SA</v>
      </c>
      <c r="C34" s="3" t="s">
        <v>125</v>
      </c>
      <c r="D34" s="3" t="s">
        <v>346</v>
      </c>
      <c r="E34" s="3" t="s">
        <v>418</v>
      </c>
      <c r="F34" s="3" t="s">
        <v>346</v>
      </c>
      <c r="G34" s="3" t="s">
        <v>374</v>
      </c>
      <c r="H34" s="20">
        <v>41638</v>
      </c>
      <c r="J34" s="3">
        <f t="shared" si="7"/>
        <v>12.73</v>
      </c>
      <c r="K34" s="3">
        <f t="shared" si="7"/>
        <v>12.6</v>
      </c>
      <c r="L34" s="3">
        <f t="shared" si="7"/>
        <v>12.73</v>
      </c>
      <c r="M34" s="3">
        <f t="shared" si="7"/>
        <v>12.59</v>
      </c>
      <c r="P34" s="10" t="s">
        <v>23</v>
      </c>
      <c r="Q34" s="10" t="str">
        <f t="shared" si="1"/>
        <v xml:space="preserve">BANRISUL    -PNB </v>
      </c>
      <c r="R34" s="20">
        <f t="shared" si="2"/>
        <v>41638</v>
      </c>
      <c r="S34" s="5">
        <f t="shared" si="3"/>
        <v>12.73</v>
      </c>
      <c r="T34" s="5">
        <f t="shared" si="4"/>
        <v>12.6</v>
      </c>
      <c r="U34" s="5">
        <f t="shared" si="5"/>
        <v>12.73</v>
      </c>
      <c r="V34" s="5">
        <f t="shared" si="6"/>
        <v>12.59</v>
      </c>
    </row>
    <row r="35" spans="1:22" x14ac:dyDescent="0.2">
      <c r="A35" s="36" t="str">
        <f>IF(Tabela1[[#This Row],[Código]]="IBOV","^BVSP",IF(Tabela1[[#This Row],[Código]]="","",CONCATENATE(LEFT(Tabela1[[#This Row],[Código]],6),".SA")))</f>
        <v>BSLI3.SA</v>
      </c>
      <c r="C35" s="3" t="s">
        <v>278</v>
      </c>
      <c r="D35" s="3" t="s">
        <v>279</v>
      </c>
      <c r="E35" s="3" t="s">
        <v>279</v>
      </c>
      <c r="F35" s="3" t="s">
        <v>279</v>
      </c>
      <c r="G35" s="3" t="s">
        <v>279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276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 x14ac:dyDescent="0.2">
      <c r="A36" s="36" t="str">
        <f>IF(Tabela1[[#This Row],[Código]]="IBOV","^BVSP",IF(Tabela1[[#This Row],[Código]]="","",CONCATENATE(LEFT(Tabela1[[#This Row],[Código]],6),".SA")))</f>
        <v>BSLI4.SA</v>
      </c>
      <c r="C36" s="3" t="s">
        <v>280</v>
      </c>
      <c r="D36" s="3" t="s">
        <v>281</v>
      </c>
      <c r="E36" s="3" t="s">
        <v>281</v>
      </c>
      <c r="F36" s="3" t="s">
        <v>281</v>
      </c>
      <c r="G36" s="3" t="s">
        <v>281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277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 x14ac:dyDescent="0.2">
      <c r="A37" s="36" t="str">
        <f>IF(Tabela1[[#This Row],[Código]]="IBOV","^BVSP",IF(Tabela1[[#This Row],[Código]]="","",CONCATENATE(LEFT(Tabela1[[#This Row],[Código]],6),".SA")))</f>
        <v>CASN3.SA</v>
      </c>
      <c r="C37" s="3" t="s">
        <v>222</v>
      </c>
      <c r="D37" s="3" t="s">
        <v>196</v>
      </c>
      <c r="E37" s="3" t="s">
        <v>196</v>
      </c>
      <c r="F37" s="3" t="s">
        <v>196</v>
      </c>
      <c r="G37" s="3" t="s">
        <v>196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221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 x14ac:dyDescent="0.2">
      <c r="A38" s="36" t="str">
        <f>IF(Tabela1[[#This Row],[Código]]="IBOV","^BVSP",IF(Tabela1[[#This Row],[Código]]="","",CONCATENATE(LEFT(Tabela1[[#This Row],[Código]],6),".SA")))</f>
        <v>CEBR3.SA</v>
      </c>
      <c r="C38" s="3" t="s">
        <v>126</v>
      </c>
      <c r="D38" s="3" t="s">
        <v>375</v>
      </c>
      <c r="E38" s="3" t="s">
        <v>375</v>
      </c>
      <c r="F38" s="3" t="s">
        <v>375</v>
      </c>
      <c r="G38" s="3" t="s">
        <v>375</v>
      </c>
      <c r="H38" s="20">
        <v>41638</v>
      </c>
      <c r="J38" s="3">
        <f t="shared" si="7"/>
        <v>16.010000000000002</v>
      </c>
      <c r="K38" s="3">
        <f t="shared" si="7"/>
        <v>16.010000000000002</v>
      </c>
      <c r="L38" s="3">
        <f t="shared" si="7"/>
        <v>16.010000000000002</v>
      </c>
      <c r="M38" s="3">
        <f t="shared" si="7"/>
        <v>16.010000000000002</v>
      </c>
      <c r="P38" s="14" t="s">
        <v>98</v>
      </c>
      <c r="Q38" s="10" t="str">
        <f t="shared" si="1"/>
        <v>CEB         -ON</v>
      </c>
      <c r="R38" s="57">
        <f t="shared" si="2"/>
        <v>41638</v>
      </c>
      <c r="S38" s="5">
        <f t="shared" si="3"/>
        <v>16.010000000000002</v>
      </c>
      <c r="T38" s="5">
        <f t="shared" si="4"/>
        <v>16.010000000000002</v>
      </c>
      <c r="U38" s="5">
        <f t="shared" si="5"/>
        <v>16.010000000000002</v>
      </c>
      <c r="V38" s="5">
        <f t="shared" si="6"/>
        <v>16.010000000000002</v>
      </c>
    </row>
    <row r="39" spans="1:22" x14ac:dyDescent="0.2">
      <c r="A39" s="36" t="str">
        <f>IF(Tabela1[[#This Row],[Código]]="IBOV","^BVSP",IF(Tabela1[[#This Row],[Código]]="","",CONCATENATE(LEFT(Tabela1[[#This Row],[Código]],6),".SA")))</f>
        <v>CEBR5.SA</v>
      </c>
      <c r="C39" s="3" t="s">
        <v>127</v>
      </c>
      <c r="D39" s="3" t="s">
        <v>376</v>
      </c>
      <c r="E39" s="3" t="s">
        <v>419</v>
      </c>
      <c r="F39" s="3" t="s">
        <v>376</v>
      </c>
      <c r="G39" s="3" t="s">
        <v>395</v>
      </c>
      <c r="H39" s="20">
        <v>41638</v>
      </c>
      <c r="J39" s="3">
        <f t="shared" si="7"/>
        <v>25.53</v>
      </c>
      <c r="K39" s="3">
        <f t="shared" si="7"/>
        <v>25.02</v>
      </c>
      <c r="L39" s="3">
        <f t="shared" si="7"/>
        <v>25.53</v>
      </c>
      <c r="M39" s="3">
        <f t="shared" si="7"/>
        <v>25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41638</v>
      </c>
      <c r="S39" s="5">
        <f t="shared" ref="S39:S70" si="10">J39</f>
        <v>25.53</v>
      </c>
      <c r="T39" s="5">
        <f t="shared" ref="T39:T70" si="11">K39</f>
        <v>25.02</v>
      </c>
      <c r="U39" s="5">
        <f t="shared" ref="U39:U70" si="12">L39</f>
        <v>25.53</v>
      </c>
      <c r="V39" s="5">
        <f t="shared" ref="V39:V70" si="13">M39</f>
        <v>25</v>
      </c>
    </row>
    <row r="40" spans="1:22" x14ac:dyDescent="0.2">
      <c r="A40" s="36" t="str">
        <f>IF(Tabela1[[#This Row],[Código]]="IBOV","^BVSP",IF(Tabela1[[#This Row],[Código]]="","",CONCATENATE(LEFT(Tabela1[[#This Row],[Código]],6),".SA")))</f>
        <v>CEBR6.SA</v>
      </c>
      <c r="C40" s="3" t="s">
        <v>128</v>
      </c>
      <c r="D40" s="3" t="s">
        <v>129</v>
      </c>
      <c r="E40" s="3" t="s">
        <v>129</v>
      </c>
      <c r="F40" s="3" t="s">
        <v>129</v>
      </c>
      <c r="G40" s="3" t="s">
        <v>129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 x14ac:dyDescent="0.2">
      <c r="A41" s="36" t="str">
        <f>IF(Tabela1[[#This Row],[Código]]="IBOV","^BVSP",IF(Tabela1[[#This Row],[Código]]="","",CONCATENATE(LEFT(Tabela1[[#This Row],[Código]],6),".SA")))</f>
        <v>CEEB3.SA</v>
      </c>
      <c r="C41" s="3" t="s">
        <v>130</v>
      </c>
      <c r="D41" s="3" t="s">
        <v>253</v>
      </c>
      <c r="E41" s="3" t="s">
        <v>253</v>
      </c>
      <c r="F41" s="3" t="s">
        <v>253</v>
      </c>
      <c r="G41" s="3" t="s">
        <v>253</v>
      </c>
      <c r="H41" s="20">
        <v>41635</v>
      </c>
      <c r="J41" s="3">
        <f t="shared" si="7"/>
        <v>30.99</v>
      </c>
      <c r="K41" s="3">
        <f t="shared" si="7"/>
        <v>30.99</v>
      </c>
      <c r="L41" s="3">
        <f t="shared" si="7"/>
        <v>30.99</v>
      </c>
      <c r="M41" s="3">
        <f t="shared" si="7"/>
        <v>30.99</v>
      </c>
      <c r="P41" s="14" t="s">
        <v>96</v>
      </c>
      <c r="Q41" s="10" t="str">
        <f t="shared" si="8"/>
        <v>COELBA      -ON</v>
      </c>
      <c r="R41" s="50">
        <f t="shared" si="9"/>
        <v>41635</v>
      </c>
      <c r="S41" s="6">
        <f t="shared" si="10"/>
        <v>30.99</v>
      </c>
      <c r="T41" s="6">
        <f t="shared" si="11"/>
        <v>30.99</v>
      </c>
      <c r="U41" s="6">
        <f t="shared" si="12"/>
        <v>30.99</v>
      </c>
      <c r="V41" s="6">
        <f t="shared" si="13"/>
        <v>30.99</v>
      </c>
    </row>
    <row r="42" spans="1:22" x14ac:dyDescent="0.2">
      <c r="A42" s="36" t="str">
        <f>IF(Tabela1[[#This Row],[Código]]="IBOV","^BVSP",IF(Tabela1[[#This Row],[Código]]="","",CONCATENATE(LEFT(Tabela1[[#This Row],[Código]],6),".SA")))</f>
        <v>CEEB5.SA</v>
      </c>
      <c r="C42" s="3" t="s">
        <v>131</v>
      </c>
      <c r="D42" s="3" t="s">
        <v>132</v>
      </c>
      <c r="E42" s="3" t="s">
        <v>132</v>
      </c>
      <c r="F42" s="3" t="s">
        <v>132</v>
      </c>
      <c r="G42" s="3" t="s">
        <v>132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>COELBA      -PNA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 x14ac:dyDescent="0.2">
      <c r="A43" s="36" t="str">
        <f>IF(Tabela1[[#This Row],[Código]]="IBOV","^BVSP",IF(Tabela1[[#This Row],[Código]]="","",CONCATENATE(LEFT(Tabela1[[#This Row],[Código]],6),".SA")))</f>
        <v>CEPE5.SA</v>
      </c>
      <c r="C43" s="3" t="s">
        <v>133</v>
      </c>
      <c r="D43" s="3" t="s">
        <v>134</v>
      </c>
      <c r="E43" s="3" t="s">
        <v>135</v>
      </c>
      <c r="F43" s="3" t="s">
        <v>135</v>
      </c>
      <c r="G43" s="3" t="s">
        <v>134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 x14ac:dyDescent="0.2">
      <c r="A44" s="36" t="str">
        <f>IF(Tabela1[[#This Row],[Código]]="IBOV","^BVSP",IF(Tabela1[[#This Row],[Código]]="","",CONCATENATE(LEFT(Tabela1[[#This Row],[Código]],6),".SA")))</f>
        <v>CEPE6.SA</v>
      </c>
      <c r="C44" s="3" t="s">
        <v>136</v>
      </c>
      <c r="D44" s="3" t="s">
        <v>137</v>
      </c>
      <c r="E44" s="3" t="s">
        <v>137</v>
      </c>
      <c r="F44" s="3" t="s">
        <v>137</v>
      </c>
      <c r="G44" s="3" t="s">
        <v>137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 x14ac:dyDescent="0.2">
      <c r="A45" s="36" t="str">
        <f>IF(Tabela1[[#This Row],[Código]]="IBOV","^BVSP",IF(Tabela1[[#This Row],[Código]]="","",CONCATENATE(LEFT(Tabela1[[#This Row],[Código]],6),".SA")))</f>
        <v>CESP3.SA</v>
      </c>
      <c r="C45" s="3" t="s">
        <v>138</v>
      </c>
      <c r="D45" s="3" t="s">
        <v>350</v>
      </c>
      <c r="E45" s="3" t="s">
        <v>420</v>
      </c>
      <c r="F45" s="3" t="s">
        <v>420</v>
      </c>
      <c r="G45" s="3" t="s">
        <v>421</v>
      </c>
      <c r="H45" s="20">
        <v>41638</v>
      </c>
      <c r="J45" s="3">
        <f t="shared" si="7"/>
        <v>19.5</v>
      </c>
      <c r="K45" s="3">
        <f t="shared" si="7"/>
        <v>19.899999999999999</v>
      </c>
      <c r="L45" s="3">
        <f t="shared" si="7"/>
        <v>19.899999999999999</v>
      </c>
      <c r="M45" s="3">
        <f t="shared" si="7"/>
        <v>19.27</v>
      </c>
      <c r="P45" s="14" t="s">
        <v>75</v>
      </c>
      <c r="Q45" s="10" t="str">
        <f t="shared" si="8"/>
        <v xml:space="preserve">CESP        -ON  </v>
      </c>
      <c r="R45" s="50">
        <f t="shared" si="9"/>
        <v>41638</v>
      </c>
      <c r="S45" s="6">
        <f t="shared" si="10"/>
        <v>19.5</v>
      </c>
      <c r="T45" s="6">
        <f t="shared" si="11"/>
        <v>19.899999999999999</v>
      </c>
      <c r="U45" s="6">
        <f t="shared" si="12"/>
        <v>19.899999999999999</v>
      </c>
      <c r="V45" s="6">
        <f t="shared" si="13"/>
        <v>19.27</v>
      </c>
    </row>
    <row r="46" spans="1:22" x14ac:dyDescent="0.2">
      <c r="A46" s="36" t="str">
        <f>IF(Tabela1[[#This Row],[Código]]="IBOV","^BVSP",IF(Tabela1[[#This Row],[Código]]="","",CONCATENATE(LEFT(Tabela1[[#This Row],[Código]],6),".SA")))</f>
        <v>CESP5.SA</v>
      </c>
      <c r="C46" s="3" t="s">
        <v>139</v>
      </c>
      <c r="D46" s="3" t="s">
        <v>305</v>
      </c>
      <c r="E46" s="3" t="s">
        <v>305</v>
      </c>
      <c r="F46" s="3" t="s">
        <v>305</v>
      </c>
      <c r="G46" s="3" t="s">
        <v>305</v>
      </c>
      <c r="H46" s="20">
        <v>41635</v>
      </c>
      <c r="J46" s="3">
        <f t="shared" si="7"/>
        <v>22.18</v>
      </c>
      <c r="K46" s="3">
        <f t="shared" si="7"/>
        <v>22.18</v>
      </c>
      <c r="L46" s="3">
        <f t="shared" si="7"/>
        <v>22.18</v>
      </c>
      <c r="M46" s="3">
        <f t="shared" si="7"/>
        <v>22.18</v>
      </c>
      <c r="P46" s="14" t="s">
        <v>94</v>
      </c>
      <c r="Q46" s="10" t="str">
        <f t="shared" si="8"/>
        <v xml:space="preserve">CESP        -PNA </v>
      </c>
      <c r="R46" s="50">
        <f t="shared" si="9"/>
        <v>41635</v>
      </c>
      <c r="S46" s="6">
        <f t="shared" si="10"/>
        <v>22.18</v>
      </c>
      <c r="T46" s="6">
        <f t="shared" si="11"/>
        <v>22.18</v>
      </c>
      <c r="U46" s="6">
        <f t="shared" si="12"/>
        <v>22.18</v>
      </c>
      <c r="V46" s="6">
        <f t="shared" si="13"/>
        <v>22.18</v>
      </c>
    </row>
    <row r="47" spans="1:22" x14ac:dyDescent="0.2">
      <c r="A47" s="36" t="str">
        <f>IF(Tabela1[[#This Row],[Código]]="IBOV","^BVSP",IF(Tabela1[[#This Row],[Código]]="","",CONCATENATE(LEFT(Tabela1[[#This Row],[Código]],6),".SA")))</f>
        <v>CESP6.SA</v>
      </c>
      <c r="C47" s="3" t="s">
        <v>140</v>
      </c>
      <c r="D47" s="3" t="s">
        <v>334</v>
      </c>
      <c r="E47" s="3" t="s">
        <v>422</v>
      </c>
      <c r="F47" s="3" t="s">
        <v>377</v>
      </c>
      <c r="G47" s="3" t="s">
        <v>423</v>
      </c>
      <c r="H47" s="20">
        <v>41638</v>
      </c>
      <c r="J47" s="3">
        <f t="shared" si="7"/>
        <v>22.37</v>
      </c>
      <c r="K47" s="3">
        <f t="shared" si="7"/>
        <v>22.42</v>
      </c>
      <c r="L47" s="3">
        <f t="shared" si="7"/>
        <v>22.75</v>
      </c>
      <c r="M47" s="3">
        <f t="shared" si="7"/>
        <v>22.33</v>
      </c>
      <c r="P47" s="14" t="s">
        <v>95</v>
      </c>
      <c r="Q47" s="10" t="str">
        <f t="shared" si="8"/>
        <v xml:space="preserve">CESP        -PNB </v>
      </c>
      <c r="R47" s="20">
        <f t="shared" si="9"/>
        <v>41638</v>
      </c>
      <c r="S47" s="5">
        <f t="shared" si="10"/>
        <v>22.37</v>
      </c>
      <c r="T47" s="5">
        <f t="shared" si="11"/>
        <v>22.42</v>
      </c>
      <c r="U47" s="5">
        <f t="shared" si="12"/>
        <v>22.75</v>
      </c>
      <c r="V47" s="5">
        <f t="shared" si="13"/>
        <v>22.33</v>
      </c>
    </row>
    <row r="48" spans="1:22" x14ac:dyDescent="0.2">
      <c r="A48" s="36" t="str">
        <f>IF(Tabela1[[#This Row],[Código]]="IBOV","^BVSP",IF(Tabela1[[#This Row],[Código]]="","",CONCATENATE(LEFT(Tabela1[[#This Row],[Código]],6),".SA")))</f>
        <v>CLSC4.SA</v>
      </c>
      <c r="C48" s="3" t="s">
        <v>141</v>
      </c>
      <c r="D48" s="3" t="s">
        <v>351</v>
      </c>
      <c r="E48" s="3" t="s">
        <v>424</v>
      </c>
      <c r="F48" s="3" t="s">
        <v>425</v>
      </c>
      <c r="G48" s="3" t="s">
        <v>424</v>
      </c>
      <c r="H48" s="20">
        <v>41638</v>
      </c>
      <c r="J48" s="3">
        <f t="shared" si="7"/>
        <v>18.47</v>
      </c>
      <c r="K48" s="3">
        <f t="shared" si="7"/>
        <v>18.399999999999999</v>
      </c>
      <c r="L48" s="3">
        <f t="shared" si="7"/>
        <v>18.829999999999998</v>
      </c>
      <c r="M48" s="3">
        <f t="shared" si="7"/>
        <v>18.399999999999999</v>
      </c>
      <c r="P48" s="14" t="s">
        <v>74</v>
      </c>
      <c r="Q48" s="10" t="str">
        <f t="shared" si="8"/>
        <v xml:space="preserve">CELESC      -PN  </v>
      </c>
      <c r="R48" s="20">
        <f t="shared" si="9"/>
        <v>41638</v>
      </c>
      <c r="S48" s="5">
        <f t="shared" si="10"/>
        <v>18.47</v>
      </c>
      <c r="T48" s="5">
        <f t="shared" si="11"/>
        <v>18.399999999999999</v>
      </c>
      <c r="U48" s="5">
        <f t="shared" si="12"/>
        <v>18.829999999999998</v>
      </c>
      <c r="V48" s="5">
        <f t="shared" si="13"/>
        <v>18.399999999999999</v>
      </c>
    </row>
    <row r="49" spans="1:22" x14ac:dyDescent="0.2">
      <c r="A49" s="36" t="str">
        <f>IF(Tabela1[[#This Row],[Código]]="IBOV","^BVSP",IF(Tabela1[[#This Row],[Código]]="","",CONCATENATE(LEFT(Tabela1[[#This Row],[Código]],6),".SA")))</f>
        <v>CMIG3.SA</v>
      </c>
      <c r="C49" s="3" t="s">
        <v>142</v>
      </c>
      <c r="D49" s="3" t="s">
        <v>335</v>
      </c>
      <c r="E49" s="3" t="s">
        <v>426</v>
      </c>
      <c r="F49" s="3" t="s">
        <v>352</v>
      </c>
      <c r="G49" s="3" t="s">
        <v>427</v>
      </c>
      <c r="H49" s="20">
        <v>41638</v>
      </c>
      <c r="J49" s="3">
        <f t="shared" si="7"/>
        <v>14.56</v>
      </c>
      <c r="K49" s="3">
        <f t="shared" si="7"/>
        <v>14.2</v>
      </c>
      <c r="L49" s="3">
        <f t="shared" si="7"/>
        <v>14.74</v>
      </c>
      <c r="M49" s="3">
        <f t="shared" si="7"/>
        <v>14.11</v>
      </c>
      <c r="P49" s="27" t="s">
        <v>31</v>
      </c>
      <c r="Q49" s="10" t="str">
        <f t="shared" si="8"/>
        <v xml:space="preserve">CEMIG       -ON  </v>
      </c>
      <c r="R49" s="20">
        <f t="shared" si="9"/>
        <v>41638</v>
      </c>
      <c r="S49" s="5">
        <f t="shared" si="10"/>
        <v>14.56</v>
      </c>
      <c r="T49" s="5">
        <f t="shared" si="11"/>
        <v>14.2</v>
      </c>
      <c r="U49" s="5">
        <f t="shared" si="12"/>
        <v>14.74</v>
      </c>
      <c r="V49" s="5">
        <f t="shared" si="13"/>
        <v>14.11</v>
      </c>
    </row>
    <row r="50" spans="1:22" x14ac:dyDescent="0.2">
      <c r="A50" s="36" t="str">
        <f>IF(Tabela1[[#This Row],[Código]]="IBOV","^BVSP",IF(Tabela1[[#This Row],[Código]]="","",CONCATENATE(LEFT(Tabela1[[#This Row],[Código]],6),".SA")))</f>
        <v>CMIG4.SA</v>
      </c>
      <c r="C50" s="3" t="s">
        <v>143</v>
      </c>
      <c r="D50" s="3" t="s">
        <v>306</v>
      </c>
      <c r="E50" s="3" t="s">
        <v>428</v>
      </c>
      <c r="F50" s="3" t="s">
        <v>306</v>
      </c>
      <c r="G50" s="3" t="s">
        <v>429</v>
      </c>
      <c r="H50" s="20">
        <v>41638</v>
      </c>
      <c r="J50" s="3">
        <f t="shared" si="7"/>
        <v>14.38</v>
      </c>
      <c r="K50" s="3">
        <f t="shared" si="7"/>
        <v>14.01</v>
      </c>
      <c r="L50" s="3">
        <f t="shared" si="7"/>
        <v>14.38</v>
      </c>
      <c r="M50" s="3">
        <f t="shared" si="7"/>
        <v>14</v>
      </c>
      <c r="P50" s="27" t="s">
        <v>30</v>
      </c>
      <c r="Q50" s="10" t="str">
        <f t="shared" si="8"/>
        <v xml:space="preserve">CEMIG       -PN  </v>
      </c>
      <c r="R50" s="50">
        <f t="shared" si="9"/>
        <v>41638</v>
      </c>
      <c r="S50" s="6">
        <f t="shared" si="10"/>
        <v>14.38</v>
      </c>
      <c r="T50" s="6">
        <f t="shared" si="11"/>
        <v>14.01</v>
      </c>
      <c r="U50" s="6">
        <f t="shared" si="12"/>
        <v>14.38</v>
      </c>
      <c r="V50" s="6">
        <f t="shared" si="13"/>
        <v>14</v>
      </c>
    </row>
    <row r="51" spans="1:22" x14ac:dyDescent="0.2">
      <c r="A51" s="36" t="str">
        <f>IF(Tabela1[[#This Row],[Código]]="IBOV","^BVSP",IF(Tabela1[[#This Row],[Código]]="","",CONCATENATE(LEFT(Tabela1[[#This Row],[Código]],6),".SA")))</f>
        <v>COCE3.SA</v>
      </c>
      <c r="C51" s="3" t="s">
        <v>144</v>
      </c>
      <c r="D51" s="3" t="s">
        <v>430</v>
      </c>
      <c r="E51" s="3" t="s">
        <v>430</v>
      </c>
      <c r="F51" s="3" t="s">
        <v>431</v>
      </c>
      <c r="G51" s="3" t="s">
        <v>430</v>
      </c>
      <c r="H51" s="20">
        <v>41638</v>
      </c>
      <c r="J51" s="3">
        <f t="shared" si="7"/>
        <v>44.6</v>
      </c>
      <c r="K51" s="3">
        <f t="shared" si="7"/>
        <v>44.6</v>
      </c>
      <c r="L51" s="3">
        <f t="shared" si="7"/>
        <v>44.7</v>
      </c>
      <c r="M51" s="3">
        <f t="shared" si="7"/>
        <v>44.6</v>
      </c>
      <c r="P51" s="14" t="s">
        <v>101</v>
      </c>
      <c r="Q51" s="10" t="str">
        <f t="shared" si="8"/>
        <v>COELCE      -ON</v>
      </c>
      <c r="R51" s="50">
        <f t="shared" si="9"/>
        <v>41638</v>
      </c>
      <c r="S51" s="6">
        <f t="shared" si="10"/>
        <v>44.6</v>
      </c>
      <c r="T51" s="6">
        <f t="shared" si="11"/>
        <v>44.6</v>
      </c>
      <c r="U51" s="6">
        <f t="shared" si="12"/>
        <v>44.7</v>
      </c>
      <c r="V51" s="6">
        <f t="shared" si="13"/>
        <v>44.6</v>
      </c>
    </row>
    <row r="52" spans="1:22" x14ac:dyDescent="0.2">
      <c r="A52" s="36" t="str">
        <f>IF(Tabela1[[#This Row],[Código]]="IBOV","^BVSP",IF(Tabela1[[#This Row],[Código]]="","",CONCATENATE(LEFT(Tabela1[[#This Row],[Código]],6),".SA")))</f>
        <v>COCE5.SA</v>
      </c>
      <c r="C52" s="3" t="s">
        <v>146</v>
      </c>
      <c r="D52" s="3" t="s">
        <v>353</v>
      </c>
      <c r="E52" s="3" t="s">
        <v>432</v>
      </c>
      <c r="F52" s="3" t="s">
        <v>354</v>
      </c>
      <c r="G52" s="3" t="s">
        <v>353</v>
      </c>
      <c r="H52" s="20">
        <v>41638</v>
      </c>
      <c r="J52" s="3">
        <f t="shared" si="7"/>
        <v>41.77</v>
      </c>
      <c r="K52" s="3">
        <f t="shared" si="7"/>
        <v>42</v>
      </c>
      <c r="L52" s="3">
        <f t="shared" si="7"/>
        <v>42.12</v>
      </c>
      <c r="M52" s="3">
        <f t="shared" si="7"/>
        <v>41.77</v>
      </c>
      <c r="P52" s="10" t="s">
        <v>86</v>
      </c>
      <c r="Q52" s="10" t="str">
        <f t="shared" si="8"/>
        <v>COELCE      -PNA</v>
      </c>
      <c r="R52" s="57">
        <f t="shared" si="9"/>
        <v>41638</v>
      </c>
      <c r="S52" s="5">
        <f t="shared" si="10"/>
        <v>41.77</v>
      </c>
      <c r="T52" s="5">
        <f t="shared" si="11"/>
        <v>42</v>
      </c>
      <c r="U52" s="5">
        <f t="shared" si="12"/>
        <v>42.12</v>
      </c>
      <c r="V52" s="5">
        <f t="shared" si="13"/>
        <v>41.77</v>
      </c>
    </row>
    <row r="53" spans="1:22" x14ac:dyDescent="0.2">
      <c r="A53" s="36" t="str">
        <f>IF(Tabela1[[#This Row],[Código]]="IBOV","^BVSP",IF(Tabela1[[#This Row],[Código]]="","",CONCATENATE(LEFT(Tabela1[[#This Row],[Código]],6),".SA")))</f>
        <v>CPFE3.SA</v>
      </c>
      <c r="C53" s="3" t="s">
        <v>147</v>
      </c>
      <c r="D53" s="3" t="s">
        <v>307</v>
      </c>
      <c r="E53" s="3" t="s">
        <v>433</v>
      </c>
      <c r="F53" s="3" t="s">
        <v>433</v>
      </c>
      <c r="G53" s="3" t="s">
        <v>434</v>
      </c>
      <c r="H53" s="20">
        <v>41638</v>
      </c>
      <c r="J53" s="3">
        <f t="shared" si="7"/>
        <v>18.88</v>
      </c>
      <c r="K53" s="3">
        <f t="shared" si="7"/>
        <v>19.09</v>
      </c>
      <c r="L53" s="3">
        <f t="shared" si="7"/>
        <v>19.09</v>
      </c>
      <c r="M53" s="3">
        <f t="shared" si="7"/>
        <v>18.739999999999998</v>
      </c>
      <c r="P53" s="27" t="s">
        <v>32</v>
      </c>
      <c r="Q53" s="10" t="str">
        <f t="shared" si="8"/>
        <v xml:space="preserve">CPFL ENERGIA-ON  </v>
      </c>
      <c r="R53" s="57">
        <f t="shared" si="9"/>
        <v>41638</v>
      </c>
      <c r="S53" s="5">
        <f t="shared" si="10"/>
        <v>18.88</v>
      </c>
      <c r="T53" s="5">
        <f t="shared" si="11"/>
        <v>19.09</v>
      </c>
      <c r="U53" s="5">
        <f t="shared" si="12"/>
        <v>19.09</v>
      </c>
      <c r="V53" s="5">
        <f t="shared" si="13"/>
        <v>18.739999999999998</v>
      </c>
    </row>
    <row r="54" spans="1:22" x14ac:dyDescent="0.2">
      <c r="A54" s="36" t="str">
        <f>IF(Tabela1[[#This Row],[Código]]="IBOV","^BVSP",IF(Tabela1[[#This Row],[Código]]="","",CONCATENATE(LEFT(Tabela1[[#This Row],[Código]],6),".SA")))</f>
        <v>CPLE3.SA</v>
      </c>
      <c r="C54" s="3" t="s">
        <v>148</v>
      </c>
      <c r="D54" s="3" t="s">
        <v>379</v>
      </c>
      <c r="E54" s="3" t="s">
        <v>435</v>
      </c>
      <c r="F54" s="3" t="s">
        <v>436</v>
      </c>
      <c r="G54" s="3" t="s">
        <v>397</v>
      </c>
      <c r="H54" s="20">
        <v>41638</v>
      </c>
      <c r="J54" s="3">
        <f t="shared" si="7"/>
        <v>22.46</v>
      </c>
      <c r="K54" s="3">
        <f t="shared" si="7"/>
        <v>22.3</v>
      </c>
      <c r="L54" s="3">
        <f t="shared" si="7"/>
        <v>22.89</v>
      </c>
      <c r="M54" s="3">
        <f t="shared" si="7"/>
        <v>22.09</v>
      </c>
      <c r="P54" s="27" t="s">
        <v>34</v>
      </c>
      <c r="Q54" s="10" t="str">
        <f t="shared" si="8"/>
        <v xml:space="preserve">COPEL       -ON  </v>
      </c>
      <c r="R54" s="57">
        <f t="shared" si="9"/>
        <v>41638</v>
      </c>
      <c r="S54" s="5">
        <f t="shared" si="10"/>
        <v>22.46</v>
      </c>
      <c r="T54" s="5">
        <f t="shared" si="11"/>
        <v>22.3</v>
      </c>
      <c r="U54" s="5">
        <f t="shared" si="12"/>
        <v>22.89</v>
      </c>
      <c r="V54" s="5">
        <f t="shared" si="13"/>
        <v>22.09</v>
      </c>
    </row>
    <row r="55" spans="1:22" x14ac:dyDescent="0.2">
      <c r="A55" s="36" t="str">
        <f>IF(Tabela1[[#This Row],[Código]]="IBOV","^BVSP",IF(Tabela1[[#This Row],[Código]]="","",CONCATENATE(LEFT(Tabela1[[#This Row],[Código]],6),".SA")))</f>
        <v>CPLE5.SA</v>
      </c>
      <c r="C55" s="3" t="s">
        <v>149</v>
      </c>
      <c r="D55" s="3" t="s">
        <v>150</v>
      </c>
      <c r="E55" s="3" t="s">
        <v>150</v>
      </c>
      <c r="F55" s="3" t="s">
        <v>150</v>
      </c>
      <c r="G55" s="3" t="s">
        <v>150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 x14ac:dyDescent="0.2">
      <c r="A56" s="36" t="str">
        <f>IF(Tabela1[[#This Row],[Código]]="IBOV","^BVSP",IF(Tabela1[[#This Row],[Código]]="","",CONCATENATE(LEFT(Tabela1[[#This Row],[Código]],6),".SA")))</f>
        <v>CPLE6.SA</v>
      </c>
      <c r="C56" s="3" t="s">
        <v>151</v>
      </c>
      <c r="D56" s="3" t="s">
        <v>309</v>
      </c>
      <c r="E56" s="3" t="s">
        <v>437</v>
      </c>
      <c r="F56" s="3" t="s">
        <v>355</v>
      </c>
      <c r="G56" s="3" t="s">
        <v>437</v>
      </c>
      <c r="H56" s="20">
        <v>41638</v>
      </c>
      <c r="J56" s="3">
        <f t="shared" si="7"/>
        <v>30.69</v>
      </c>
      <c r="K56" s="3">
        <f t="shared" si="7"/>
        <v>30.53</v>
      </c>
      <c r="L56" s="3">
        <f t="shared" si="7"/>
        <v>31.09</v>
      </c>
      <c r="M56" s="3">
        <f t="shared" si="7"/>
        <v>30.53</v>
      </c>
      <c r="P56" s="14" t="s">
        <v>108</v>
      </c>
      <c r="Q56" s="10" t="str">
        <f t="shared" si="8"/>
        <v xml:space="preserve">COPEL       -PNB </v>
      </c>
      <c r="R56" s="57">
        <f t="shared" si="9"/>
        <v>41638</v>
      </c>
      <c r="S56" s="5">
        <f t="shared" si="10"/>
        <v>30.69</v>
      </c>
      <c r="T56" s="5">
        <f t="shared" si="11"/>
        <v>30.53</v>
      </c>
      <c r="U56" s="5">
        <f t="shared" si="12"/>
        <v>31.09</v>
      </c>
      <c r="V56" s="5">
        <f t="shared" si="13"/>
        <v>30.53</v>
      </c>
    </row>
    <row r="57" spans="1:22" x14ac:dyDescent="0.2">
      <c r="A57" s="36" t="str">
        <f>IF(Tabela1[[#This Row],[Código]]="IBOV","^BVSP",IF(Tabela1[[#This Row],[Código]]="","",CONCATENATE(LEFT(Tabela1[[#This Row],[Código]],6),".SA")))</f>
        <v>CSMG3.SA</v>
      </c>
      <c r="C57" s="3" t="s">
        <v>224</v>
      </c>
      <c r="D57" s="3" t="s">
        <v>356</v>
      </c>
      <c r="E57" s="3" t="s">
        <v>438</v>
      </c>
      <c r="F57" s="3" t="s">
        <v>439</v>
      </c>
      <c r="G57" s="3" t="s">
        <v>356</v>
      </c>
      <c r="H57" s="20">
        <v>41638</v>
      </c>
      <c r="J57" s="3">
        <f t="shared" si="7"/>
        <v>36.68</v>
      </c>
      <c r="K57" s="3">
        <f t="shared" si="7"/>
        <v>37.200000000000003</v>
      </c>
      <c r="L57" s="3">
        <f t="shared" si="7"/>
        <v>38.130000000000003</v>
      </c>
      <c r="M57" s="3">
        <f t="shared" si="7"/>
        <v>36.68</v>
      </c>
      <c r="P57" s="14" t="s">
        <v>223</v>
      </c>
      <c r="Q57" s="10" t="str">
        <f t="shared" si="8"/>
        <v xml:space="preserve">COPASA      -ON  </v>
      </c>
      <c r="R57" s="20">
        <f t="shared" si="9"/>
        <v>41638</v>
      </c>
      <c r="S57" s="5">
        <f t="shared" si="10"/>
        <v>36.68</v>
      </c>
      <c r="T57" s="5">
        <f t="shared" si="11"/>
        <v>37.200000000000003</v>
      </c>
      <c r="U57" s="5">
        <f t="shared" si="12"/>
        <v>38.130000000000003</v>
      </c>
      <c r="V57" s="5">
        <f t="shared" si="13"/>
        <v>36.68</v>
      </c>
    </row>
    <row r="58" spans="1:22" x14ac:dyDescent="0.2">
      <c r="A58" s="36" t="str">
        <f>IF(Tabela1[[#This Row],[Código]]="IBOV","^BVSP",IF(Tabela1[[#This Row],[Código]]="","",CONCATENATE(LEFT(Tabela1[[#This Row],[Código]],6),".SA")))</f>
        <v>CSRN3.SA</v>
      </c>
      <c r="C58" s="3" t="s">
        <v>152</v>
      </c>
      <c r="D58" s="3" t="s">
        <v>153</v>
      </c>
      <c r="E58" s="3" t="s">
        <v>153</v>
      </c>
      <c r="F58" s="3" t="s">
        <v>153</v>
      </c>
      <c r="G58" s="3" t="s">
        <v>153</v>
      </c>
      <c r="H58" s="20">
        <v>41606</v>
      </c>
      <c r="J58" s="3">
        <f t="shared" si="7"/>
        <v>10.02</v>
      </c>
      <c r="K58" s="3">
        <f t="shared" si="7"/>
        <v>10.02</v>
      </c>
      <c r="L58" s="3">
        <f t="shared" si="7"/>
        <v>10.02</v>
      </c>
      <c r="M58" s="3">
        <f t="shared" si="7"/>
        <v>10.02</v>
      </c>
      <c r="P58" s="14" t="s">
        <v>103</v>
      </c>
      <c r="Q58" s="10" t="str">
        <f t="shared" si="8"/>
        <v>COSERN      -ON</v>
      </c>
      <c r="R58" s="57">
        <f t="shared" si="9"/>
        <v>41606</v>
      </c>
      <c r="S58" s="5">
        <f t="shared" si="10"/>
        <v>10.02</v>
      </c>
      <c r="T58" s="5">
        <f t="shared" si="11"/>
        <v>10.02</v>
      </c>
      <c r="U58" s="5">
        <f t="shared" si="12"/>
        <v>10.02</v>
      </c>
      <c r="V58" s="5">
        <f t="shared" si="13"/>
        <v>10.02</v>
      </c>
    </row>
    <row r="59" spans="1:22" x14ac:dyDescent="0.2">
      <c r="A59" s="36" t="str">
        <f>IF(Tabela1[[#This Row],[Código]]="IBOV","^BVSP",IF(Tabela1[[#This Row],[Código]]="","",CONCATENATE(LEFT(Tabela1[[#This Row],[Código]],6),".SA")))</f>
        <v>CSRN5.SA</v>
      </c>
      <c r="C59" s="3" t="s">
        <v>154</v>
      </c>
      <c r="D59" s="3" t="s">
        <v>155</v>
      </c>
      <c r="E59" s="3" t="s">
        <v>155</v>
      </c>
      <c r="F59" s="3" t="s">
        <v>155</v>
      </c>
      <c r="G59" s="3" t="s">
        <v>155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>COSERN      -PNA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 x14ac:dyDescent="0.2">
      <c r="A60" s="36" t="str">
        <f>IF(Tabela1[[#This Row],[Código]]="IBOV","^BVSP",IF(Tabela1[[#This Row],[Código]]="","",CONCATENATE(LEFT(Tabela1[[#This Row],[Código]],6),".SA")))</f>
        <v>CSRN6.SA</v>
      </c>
      <c r="C60" s="3" t="s">
        <v>156</v>
      </c>
      <c r="D60" s="3" t="s">
        <v>119</v>
      </c>
      <c r="E60" s="3" t="s">
        <v>119</v>
      </c>
      <c r="F60" s="3" t="s">
        <v>119</v>
      </c>
      <c r="G60" s="3" t="s">
        <v>119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>COSERN      -PNB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 x14ac:dyDescent="0.2">
      <c r="A61" s="36" t="str">
        <f>IF(Tabela1[[#This Row],[Código]]="IBOV","^BVSP",IF(Tabela1[[#This Row],[Código]]="","",CONCATENATE(LEFT(Tabela1[[#This Row],[Código]],6),".SA")))</f>
        <v>DAYC4.SA</v>
      </c>
      <c r="C61" s="3" t="s">
        <v>157</v>
      </c>
      <c r="D61" s="3" t="s">
        <v>363</v>
      </c>
      <c r="E61" s="3" t="s">
        <v>440</v>
      </c>
      <c r="F61" s="3" t="s">
        <v>441</v>
      </c>
      <c r="G61" s="3" t="s">
        <v>364</v>
      </c>
      <c r="H61" s="20">
        <v>41638</v>
      </c>
      <c r="J61" s="3">
        <f t="shared" si="7"/>
        <v>7.96</v>
      </c>
      <c r="K61" s="3">
        <f t="shared" si="7"/>
        <v>8</v>
      </c>
      <c r="L61" s="3">
        <f t="shared" si="7"/>
        <v>8.0299999999999994</v>
      </c>
      <c r="M61" s="3">
        <f t="shared" si="7"/>
        <v>7.88</v>
      </c>
      <c r="P61" s="10" t="s">
        <v>15</v>
      </c>
      <c r="Q61" s="10" t="str">
        <f t="shared" si="8"/>
        <v xml:space="preserve">DAYCOVAL    -PN  </v>
      </c>
      <c r="R61" s="57">
        <f t="shared" si="9"/>
        <v>41638</v>
      </c>
      <c r="S61" s="5">
        <f t="shared" si="10"/>
        <v>7.96</v>
      </c>
      <c r="T61" s="5">
        <f t="shared" si="11"/>
        <v>8</v>
      </c>
      <c r="U61" s="5">
        <f t="shared" si="12"/>
        <v>8.0299999999999994</v>
      </c>
      <c r="V61" s="5">
        <f t="shared" si="13"/>
        <v>7.88</v>
      </c>
    </row>
    <row r="62" spans="1:22" x14ac:dyDescent="0.2">
      <c r="A62" s="36" t="str">
        <f>IF(Tabela1[[#This Row],[Código]]="IBOV","^BVSP",IF(Tabela1[[#This Row],[Código]]="","",CONCATENATE(LEFT(Tabela1[[#This Row],[Código]],6),".SA")))</f>
        <v>EEEL3.SA</v>
      </c>
      <c r="C62" s="3" t="s">
        <v>158</v>
      </c>
      <c r="D62" s="3" t="s">
        <v>159</v>
      </c>
      <c r="E62" s="3" t="s">
        <v>160</v>
      </c>
      <c r="F62" s="3" t="s">
        <v>160</v>
      </c>
      <c r="G62" s="3" t="s">
        <v>159</v>
      </c>
      <c r="H62" s="20">
        <v>41628</v>
      </c>
      <c r="J62" s="3">
        <f t="shared" si="7"/>
        <v>1.55</v>
      </c>
      <c r="K62" s="3">
        <f t="shared" si="7"/>
        <v>1.6</v>
      </c>
      <c r="L62" s="3">
        <f t="shared" si="7"/>
        <v>1.6</v>
      </c>
      <c r="M62" s="3">
        <f t="shared" si="7"/>
        <v>1.55</v>
      </c>
      <c r="P62" s="14" t="s">
        <v>105</v>
      </c>
      <c r="Q62" s="10" t="str">
        <f t="shared" si="8"/>
        <v xml:space="preserve">CEEE-GT     -ON  </v>
      </c>
      <c r="R62" s="57">
        <f t="shared" si="9"/>
        <v>41628</v>
      </c>
      <c r="S62" s="5">
        <f t="shared" si="10"/>
        <v>1.55</v>
      </c>
      <c r="T62" s="5">
        <f t="shared" si="11"/>
        <v>1.6</v>
      </c>
      <c r="U62" s="5">
        <f t="shared" si="12"/>
        <v>1.6</v>
      </c>
      <c r="V62" s="5">
        <f t="shared" si="13"/>
        <v>1.55</v>
      </c>
    </row>
    <row r="63" spans="1:22" x14ac:dyDescent="0.2">
      <c r="A63" s="36" t="str">
        <f>IF(Tabela1[[#This Row],[Código]]="IBOV","^BVSP",IF(Tabela1[[#This Row],[Código]]="","",CONCATENATE(LEFT(Tabela1[[#This Row],[Código]],6),".SA")))</f>
        <v>EEEL4.SA</v>
      </c>
      <c r="C63" s="3" t="s">
        <v>161</v>
      </c>
      <c r="D63" s="3" t="s">
        <v>162</v>
      </c>
      <c r="E63" s="3" t="s">
        <v>442</v>
      </c>
      <c r="F63" s="3" t="s">
        <v>162</v>
      </c>
      <c r="G63" s="3" t="s">
        <v>391</v>
      </c>
      <c r="H63" s="20">
        <v>41638</v>
      </c>
      <c r="J63" s="3">
        <f t="shared" si="7"/>
        <v>2</v>
      </c>
      <c r="K63" s="3">
        <f t="shared" si="7"/>
        <v>1.7</v>
      </c>
      <c r="L63" s="3">
        <f t="shared" si="7"/>
        <v>2</v>
      </c>
      <c r="M63" s="3">
        <f t="shared" si="7"/>
        <v>1.63</v>
      </c>
      <c r="P63" s="14" t="s">
        <v>106</v>
      </c>
      <c r="Q63" s="10" t="str">
        <f t="shared" si="8"/>
        <v xml:space="preserve">CEEE-GT     -PN  </v>
      </c>
      <c r="R63" s="57">
        <f t="shared" si="9"/>
        <v>41638</v>
      </c>
      <c r="S63" s="5">
        <f t="shared" si="10"/>
        <v>2</v>
      </c>
      <c r="T63" s="5">
        <f t="shared" si="11"/>
        <v>1.7</v>
      </c>
      <c r="U63" s="5">
        <f t="shared" si="12"/>
        <v>2</v>
      </c>
      <c r="V63" s="5">
        <f t="shared" si="13"/>
        <v>1.63</v>
      </c>
    </row>
    <row r="64" spans="1:22" x14ac:dyDescent="0.2">
      <c r="A64" s="36" t="str">
        <f>IF(Tabela1[[#This Row],[Código]]="IBOV","^BVSP",IF(Tabela1[[#This Row],[Código]]="","",CONCATENATE(LEFT(Tabela1[[#This Row],[Código]],6),".SA")))</f>
        <v>ELET3.SA</v>
      </c>
      <c r="C64" s="3" t="s">
        <v>163</v>
      </c>
      <c r="D64" s="3" t="s">
        <v>336</v>
      </c>
      <c r="E64" s="3" t="s">
        <v>443</v>
      </c>
      <c r="F64" s="3" t="s">
        <v>398</v>
      </c>
      <c r="G64" s="3" t="s">
        <v>443</v>
      </c>
      <c r="H64" s="20">
        <v>41638</v>
      </c>
      <c r="J64" s="3">
        <f t="shared" si="7"/>
        <v>5.99</v>
      </c>
      <c r="K64" s="3">
        <f t="shared" si="7"/>
        <v>5.87</v>
      </c>
      <c r="L64" s="3">
        <f t="shared" si="7"/>
        <v>6.07</v>
      </c>
      <c r="M64" s="3">
        <f t="shared" si="7"/>
        <v>5.87</v>
      </c>
      <c r="P64" s="15" t="s">
        <v>2</v>
      </c>
      <c r="Q64" s="10" t="str">
        <f t="shared" si="8"/>
        <v xml:space="preserve">ELETROBRAS  -ON  </v>
      </c>
      <c r="R64" s="57">
        <f t="shared" si="9"/>
        <v>41638</v>
      </c>
      <c r="S64" s="5">
        <f t="shared" si="10"/>
        <v>5.99</v>
      </c>
      <c r="T64" s="5">
        <f t="shared" si="11"/>
        <v>5.87</v>
      </c>
      <c r="U64" s="5">
        <f t="shared" si="12"/>
        <v>6.07</v>
      </c>
      <c r="V64" s="5">
        <f t="shared" si="13"/>
        <v>5.87</v>
      </c>
    </row>
    <row r="65" spans="1:22" x14ac:dyDescent="0.2">
      <c r="A65" s="36" t="str">
        <f>IF(Tabela1[[#This Row],[Código]]="IBOV","^BVSP",IF(Tabela1[[#This Row],[Código]]="","",CONCATENATE(LEFT(Tabela1[[#This Row],[Código]],6),".SA")))</f>
        <v>ELET6.SA</v>
      </c>
      <c r="C65" s="3" t="s">
        <v>164</v>
      </c>
      <c r="D65" s="3" t="s">
        <v>311</v>
      </c>
      <c r="E65" s="3" t="s">
        <v>444</v>
      </c>
      <c r="F65" s="3" t="s">
        <v>310</v>
      </c>
      <c r="G65" s="3" t="s">
        <v>444</v>
      </c>
      <c r="H65" s="20">
        <v>41638</v>
      </c>
      <c r="J65" s="3">
        <f t="shared" si="7"/>
        <v>10.11</v>
      </c>
      <c r="K65" s="3">
        <f t="shared" si="7"/>
        <v>9.93</v>
      </c>
      <c r="L65" s="3">
        <f t="shared" si="7"/>
        <v>10.220000000000001</v>
      </c>
      <c r="M65" s="3">
        <f t="shared" si="7"/>
        <v>9.93</v>
      </c>
      <c r="P65" s="27" t="s">
        <v>27</v>
      </c>
      <c r="Q65" s="10" t="str">
        <f t="shared" si="8"/>
        <v xml:space="preserve">ELETROBRAS  -PNB </v>
      </c>
      <c r="R65" s="57">
        <f t="shared" si="9"/>
        <v>41638</v>
      </c>
      <c r="S65" s="5">
        <f t="shared" si="10"/>
        <v>10.11</v>
      </c>
      <c r="T65" s="5">
        <f t="shared" si="11"/>
        <v>9.93</v>
      </c>
      <c r="U65" s="5">
        <f t="shared" si="12"/>
        <v>10.220000000000001</v>
      </c>
      <c r="V65" s="5">
        <f t="shared" si="13"/>
        <v>9.93</v>
      </c>
    </row>
    <row r="66" spans="1:22" x14ac:dyDescent="0.2">
      <c r="A66" s="36" t="str">
        <f>IF(Tabela1[[#This Row],[Código]]="IBOV","^BVSP",IF(Tabela1[[#This Row],[Código]]="","",CONCATENATE(LEFT(Tabela1[[#This Row],[Código]],6),".SA")))</f>
        <v>ELPL3.SA</v>
      </c>
      <c r="C66" s="3" t="s">
        <v>209</v>
      </c>
      <c r="D66" s="3" t="s">
        <v>166</v>
      </c>
      <c r="E66" s="3" t="s">
        <v>166</v>
      </c>
      <c r="F66" s="3" t="s">
        <v>166</v>
      </c>
      <c r="G66" s="3" t="s">
        <v>166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208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 x14ac:dyDescent="0.2">
      <c r="A67" s="36" t="str">
        <f>IF(Tabela1[[#This Row],[Código]]="IBOV","^BVSP",IF(Tabela1[[#This Row],[Código]]="","",CONCATENATE(LEFT(Tabela1[[#This Row],[Código]],6),".SA")))</f>
        <v>ELPL4.SA</v>
      </c>
      <c r="C67" s="3" t="s">
        <v>165</v>
      </c>
      <c r="D67" s="3" t="s">
        <v>338</v>
      </c>
      <c r="E67" s="3" t="s">
        <v>445</v>
      </c>
      <c r="F67" s="3" t="s">
        <v>338</v>
      </c>
      <c r="G67" s="3" t="s">
        <v>445</v>
      </c>
      <c r="H67" s="20">
        <v>41638</v>
      </c>
      <c r="J67" s="3">
        <f t="shared" si="7"/>
        <v>9.86</v>
      </c>
      <c r="K67" s="3">
        <f t="shared" si="7"/>
        <v>9.36</v>
      </c>
      <c r="L67" s="3">
        <f t="shared" si="7"/>
        <v>9.86</v>
      </c>
      <c r="M67" s="3">
        <f t="shared" si="7"/>
        <v>9.36</v>
      </c>
      <c r="P67" s="47" t="s">
        <v>1</v>
      </c>
      <c r="Q67" s="10" t="str">
        <f t="shared" si="8"/>
        <v xml:space="preserve">ELETROPAULO -PN  </v>
      </c>
      <c r="R67" s="57">
        <f t="shared" si="9"/>
        <v>41638</v>
      </c>
      <c r="S67" s="5">
        <f t="shared" si="10"/>
        <v>9.86</v>
      </c>
      <c r="T67" s="5">
        <f t="shared" si="11"/>
        <v>9.36</v>
      </c>
      <c r="U67" s="5">
        <f t="shared" si="12"/>
        <v>9.86</v>
      </c>
      <c r="V67" s="5">
        <f t="shared" si="13"/>
        <v>9.36</v>
      </c>
    </row>
    <row r="68" spans="1:22" x14ac:dyDescent="0.2">
      <c r="A68" s="36" t="str">
        <f>IF(Tabela1[[#This Row],[Código]]="IBOV","^BVSP",IF(Tabela1[[#This Row],[Código]]="","",CONCATENATE(LEFT(Tabela1[[#This Row],[Código]],6),".SA")))</f>
        <v>EMAE4.SA</v>
      </c>
      <c r="C68" s="3" t="s">
        <v>211</v>
      </c>
      <c r="D68" s="3" t="s">
        <v>446</v>
      </c>
      <c r="E68" s="3" t="s">
        <v>446</v>
      </c>
      <c r="F68" s="3" t="s">
        <v>446</v>
      </c>
      <c r="G68" s="3" t="s">
        <v>446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210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 x14ac:dyDescent="0.2">
      <c r="A69" s="36" t="str">
        <f>IF(Tabela1[[#This Row],[Código]]="IBOV","^BVSP",IF(Tabela1[[#This Row],[Código]]="","",CONCATENATE(LEFT(Tabela1[[#This Row],[Código]],6),".SA")))</f>
        <v>ENBR3.SA</v>
      </c>
      <c r="C69" s="3" t="s">
        <v>167</v>
      </c>
      <c r="D69" s="3" t="s">
        <v>339</v>
      </c>
      <c r="E69" s="3" t="s">
        <v>447</v>
      </c>
      <c r="F69" s="3" t="s">
        <v>380</v>
      </c>
      <c r="G69" s="3" t="s">
        <v>195</v>
      </c>
      <c r="H69" s="20">
        <v>41638</v>
      </c>
      <c r="J69" s="3">
        <f t="shared" si="7"/>
        <v>11.42</v>
      </c>
      <c r="K69" s="3">
        <f t="shared" si="7"/>
        <v>11.35</v>
      </c>
      <c r="L69" s="3">
        <f t="shared" si="7"/>
        <v>11.48</v>
      </c>
      <c r="M69" s="3">
        <f t="shared" si="7"/>
        <v>11.3</v>
      </c>
      <c r="P69" s="14" t="s">
        <v>28</v>
      </c>
      <c r="Q69" s="10" t="str">
        <f t="shared" si="8"/>
        <v xml:space="preserve">ENERGIAS BR -ON  </v>
      </c>
      <c r="R69" s="57">
        <f t="shared" si="9"/>
        <v>41638</v>
      </c>
      <c r="S69" s="5">
        <f t="shared" si="10"/>
        <v>11.42</v>
      </c>
      <c r="T69" s="5">
        <f t="shared" si="11"/>
        <v>11.35</v>
      </c>
      <c r="U69" s="5">
        <f t="shared" si="12"/>
        <v>11.48</v>
      </c>
      <c r="V69" s="5">
        <f t="shared" si="13"/>
        <v>11.3</v>
      </c>
    </row>
    <row r="70" spans="1:22" x14ac:dyDescent="0.2">
      <c r="A70" s="36" t="str">
        <f>IF(Tabela1[[#This Row],[Código]]="IBOV","^BVSP",IF(Tabela1[[#This Row],[Código]]="","",CONCATENATE(LEFT(Tabela1[[#This Row],[Código]],6),".SA")))</f>
        <v>ENGI11.SA</v>
      </c>
      <c r="C70" s="3" t="s">
        <v>168</v>
      </c>
      <c r="D70" s="3" t="s">
        <v>400</v>
      </c>
      <c r="E70" s="3" t="s">
        <v>400</v>
      </c>
      <c r="F70" s="3" t="s">
        <v>400</v>
      </c>
      <c r="G70" s="3" t="s">
        <v>400</v>
      </c>
      <c r="H70" s="20">
        <v>41638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92</v>
      </c>
      <c r="Q70" s="10" t="str">
        <f t="shared" si="8"/>
        <v>ENERGISA    -UNT</v>
      </c>
      <c r="R70" s="57">
        <f t="shared" si="9"/>
        <v>41638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 x14ac:dyDescent="0.2">
      <c r="A71" s="36" t="str">
        <f>IF(Tabela1[[#This Row],[Código]]="IBOV","^BVSP",IF(Tabela1[[#This Row],[Código]]="","",CONCATENATE(LEFT(Tabela1[[#This Row],[Código]],6),".SA")))</f>
        <v>ENGI3.SA</v>
      </c>
      <c r="C71" s="3" t="s">
        <v>213</v>
      </c>
      <c r="D71" s="3" t="s">
        <v>214</v>
      </c>
      <c r="E71" s="3" t="s">
        <v>214</v>
      </c>
      <c r="F71" s="3" t="s">
        <v>214</v>
      </c>
      <c r="G71" s="3" t="s">
        <v>214</v>
      </c>
      <c r="H71" s="20">
        <v>41628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212</v>
      </c>
      <c r="Q71" s="10" t="str">
        <f t="shared" ref="Q71:Q102" si="14">IF(A71="","",C71)</f>
        <v>ENERGISA    -ON</v>
      </c>
      <c r="R71" s="57">
        <f t="shared" ref="R71:R102" si="15">IF(A71="","",H71)</f>
        <v>41628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 x14ac:dyDescent="0.2">
      <c r="A72" s="36" t="str">
        <f>IF(Tabela1[[#This Row],[Código]]="IBOV","^BVSP",IF(Tabela1[[#This Row],[Código]]="","",CONCATENATE(LEFT(Tabela1[[#This Row],[Código]],6),".SA")))</f>
        <v>ENGI4.SA</v>
      </c>
      <c r="C72" s="3" t="s">
        <v>169</v>
      </c>
      <c r="D72" s="3" t="s">
        <v>312</v>
      </c>
      <c r="E72" s="3" t="s">
        <v>448</v>
      </c>
      <c r="F72" s="3" t="s">
        <v>312</v>
      </c>
      <c r="G72" s="3" t="s">
        <v>448</v>
      </c>
      <c r="H72" s="20">
        <v>41638</v>
      </c>
      <c r="J72" s="3">
        <f t="shared" ref="J72:M135" si="20">IF($A72="",0,VALUE(CONCATENATE(LEFT(D72,LEN(D72)-3),",",RIGHT(D72,2))))</f>
        <v>2.29</v>
      </c>
      <c r="K72" s="3">
        <f t="shared" si="20"/>
        <v>2.25</v>
      </c>
      <c r="L72" s="3">
        <f t="shared" si="20"/>
        <v>2.29</v>
      </c>
      <c r="M72" s="3">
        <f t="shared" si="20"/>
        <v>2.25</v>
      </c>
      <c r="P72" s="14" t="s">
        <v>67</v>
      </c>
      <c r="Q72" s="10" t="str">
        <f t="shared" si="14"/>
        <v>ENERGISA    -PN</v>
      </c>
      <c r="R72" s="50">
        <f t="shared" si="15"/>
        <v>41638</v>
      </c>
      <c r="S72" s="6">
        <f t="shared" si="16"/>
        <v>2.29</v>
      </c>
      <c r="T72" s="6">
        <f t="shared" si="17"/>
        <v>2.25</v>
      </c>
      <c r="U72" s="5">
        <f t="shared" si="18"/>
        <v>2.29</v>
      </c>
      <c r="V72" s="5">
        <f t="shared" si="19"/>
        <v>2.25</v>
      </c>
    </row>
    <row r="73" spans="1:22" x14ac:dyDescent="0.2">
      <c r="A73" s="36" t="str">
        <f>IF(Tabela1[[#This Row],[Código]]="IBOV","^BVSP",IF(Tabela1[[#This Row],[Código]]="","",CONCATENATE(LEFT(Tabela1[[#This Row],[Código]],6),".SA")))</f>
        <v>ENMA3B.SA</v>
      </c>
      <c r="C73" s="3" t="s">
        <v>170</v>
      </c>
      <c r="D73" s="3" t="s">
        <v>381</v>
      </c>
      <c r="E73" s="3" t="s">
        <v>449</v>
      </c>
      <c r="F73" s="3" t="s">
        <v>449</v>
      </c>
      <c r="G73" s="3" t="s">
        <v>401</v>
      </c>
      <c r="H73" s="20">
        <v>41638</v>
      </c>
      <c r="J73" s="3">
        <f t="shared" si="20"/>
        <v>15.2</v>
      </c>
      <c r="K73" s="3">
        <f t="shared" si="20"/>
        <v>15.5</v>
      </c>
      <c r="L73" s="3">
        <f t="shared" si="20"/>
        <v>15.5</v>
      </c>
      <c r="M73" s="3">
        <f t="shared" si="20"/>
        <v>15.1</v>
      </c>
      <c r="P73" s="14" t="s">
        <v>102</v>
      </c>
      <c r="Q73" s="10" t="str">
        <f t="shared" si="14"/>
        <v xml:space="preserve">CEMAR       -ON  </v>
      </c>
      <c r="R73" s="57">
        <f t="shared" si="15"/>
        <v>41638</v>
      </c>
      <c r="S73" s="5">
        <f t="shared" si="16"/>
        <v>15.2</v>
      </c>
      <c r="T73" s="5">
        <f t="shared" si="17"/>
        <v>15.5</v>
      </c>
      <c r="U73" s="5">
        <f t="shared" si="18"/>
        <v>15.5</v>
      </c>
      <c r="V73" s="5">
        <f t="shared" si="19"/>
        <v>15.1</v>
      </c>
    </row>
    <row r="74" spans="1:22" x14ac:dyDescent="0.2">
      <c r="A74" s="36" t="str">
        <f>IF(Tabela1[[#This Row],[Código]]="IBOV","^BVSP",IF(Tabela1[[#This Row],[Código]]="","",CONCATENATE(LEFT(Tabela1[[#This Row],[Código]],6),".SA")))</f>
        <v>EQTL3.SA</v>
      </c>
      <c r="C74" s="3" t="s">
        <v>171</v>
      </c>
      <c r="D74" s="3" t="s">
        <v>313</v>
      </c>
      <c r="E74" s="3" t="s">
        <v>450</v>
      </c>
      <c r="F74" s="3" t="s">
        <v>392</v>
      </c>
      <c r="G74" s="3" t="s">
        <v>357</v>
      </c>
      <c r="H74" s="20">
        <v>41638</v>
      </c>
      <c r="J74" s="3">
        <f t="shared" si="20"/>
        <v>22.99</v>
      </c>
      <c r="K74" s="3">
        <f t="shared" si="20"/>
        <v>23.15</v>
      </c>
      <c r="L74" s="3">
        <f t="shared" si="20"/>
        <v>23.42</v>
      </c>
      <c r="M74" s="3">
        <f t="shared" si="20"/>
        <v>22.97</v>
      </c>
      <c r="P74" s="27" t="s">
        <v>35</v>
      </c>
      <c r="Q74" s="10" t="str">
        <f t="shared" si="14"/>
        <v xml:space="preserve">EQUATORIAL  -ON  </v>
      </c>
      <c r="R74" s="57">
        <f t="shared" si="15"/>
        <v>41638</v>
      </c>
      <c r="S74" s="5">
        <f t="shared" si="16"/>
        <v>22.99</v>
      </c>
      <c r="T74" s="5">
        <f t="shared" si="17"/>
        <v>23.15</v>
      </c>
      <c r="U74" s="5">
        <f t="shared" si="18"/>
        <v>23.42</v>
      </c>
      <c r="V74" s="5">
        <f t="shared" si="19"/>
        <v>22.97</v>
      </c>
    </row>
    <row r="75" spans="1:22" x14ac:dyDescent="0.2">
      <c r="A75" s="36" t="str">
        <f>IF(Tabela1[[#This Row],[Código]]="IBOV","^BVSP",IF(Tabela1[[#This Row],[Código]]="","",CONCATENATE(LEFT(Tabela1[[#This Row],[Código]],6),".SA")))</f>
        <v>FESA3.SA</v>
      </c>
      <c r="C75" s="3" t="s">
        <v>332</v>
      </c>
      <c r="D75" s="3" t="s">
        <v>317</v>
      </c>
      <c r="E75" s="3" t="s">
        <v>317</v>
      </c>
      <c r="F75" s="3" t="s">
        <v>317</v>
      </c>
      <c r="G75" s="3" t="s">
        <v>317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330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 x14ac:dyDescent="0.2">
      <c r="A76" s="36" t="str">
        <f>IF(Tabela1[[#This Row],[Código]]="IBOV","^BVSP",IF(Tabela1[[#This Row],[Código]]="","",CONCATENATE(LEFT(Tabela1[[#This Row],[Código]],6),".SA")))</f>
        <v>FESA4.SA</v>
      </c>
      <c r="C76" s="3" t="s">
        <v>331</v>
      </c>
      <c r="D76" s="3" t="s">
        <v>369</v>
      </c>
      <c r="E76" s="3" t="s">
        <v>369</v>
      </c>
      <c r="F76" s="3" t="s">
        <v>451</v>
      </c>
      <c r="G76" s="3" t="s">
        <v>452</v>
      </c>
      <c r="H76" s="20">
        <v>41638</v>
      </c>
      <c r="J76" s="3">
        <f t="shared" si="20"/>
        <v>13.19</v>
      </c>
      <c r="K76" s="3">
        <f t="shared" si="20"/>
        <v>13.19</v>
      </c>
      <c r="L76" s="3">
        <f t="shared" si="20"/>
        <v>13.3</v>
      </c>
      <c r="M76" s="3">
        <f t="shared" si="20"/>
        <v>13.13</v>
      </c>
      <c r="P76" s="15" t="s">
        <v>83</v>
      </c>
      <c r="Q76" s="10" t="str">
        <f t="shared" si="14"/>
        <v xml:space="preserve">FERBASA     -PN  </v>
      </c>
      <c r="R76" s="57">
        <f t="shared" si="15"/>
        <v>41638</v>
      </c>
      <c r="S76" s="5">
        <f t="shared" si="16"/>
        <v>13.19</v>
      </c>
      <c r="T76" s="5">
        <f t="shared" si="17"/>
        <v>13.19</v>
      </c>
      <c r="U76" s="5">
        <f t="shared" si="18"/>
        <v>13.3</v>
      </c>
      <c r="V76" s="5">
        <f t="shared" si="19"/>
        <v>13.13</v>
      </c>
    </row>
    <row r="77" spans="1:22" x14ac:dyDescent="0.2">
      <c r="A77" s="36" t="str">
        <f>IF(Tabela1[[#This Row],[Código]]="IBOV","^BVSP",IF(Tabela1[[#This Row],[Código]]="","",CONCATENATE(LEFT(Tabela1[[#This Row],[Código]],6),".SA")))</f>
        <v>GEPA3.SA</v>
      </c>
      <c r="C77" s="3" t="s">
        <v>203</v>
      </c>
      <c r="D77" s="3" t="s">
        <v>204</v>
      </c>
      <c r="E77" s="3" t="s">
        <v>204</v>
      </c>
      <c r="F77" s="3" t="s">
        <v>204</v>
      </c>
      <c r="G77" s="3" t="s">
        <v>204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202</v>
      </c>
      <c r="Q77" s="10" t="str">
        <f t="shared" si="14"/>
        <v xml:space="preserve">GER PARANAP -ON  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 x14ac:dyDescent="0.2">
      <c r="A78" s="36" t="str">
        <f>IF(Tabela1[[#This Row],[Código]]="IBOV","^BVSP",IF(Tabela1[[#This Row],[Código]]="","",CONCATENATE(LEFT(Tabela1[[#This Row],[Código]],6),".SA")))</f>
        <v>GEPA4.SA</v>
      </c>
      <c r="C78" s="3" t="s">
        <v>172</v>
      </c>
      <c r="D78" s="3" t="s">
        <v>314</v>
      </c>
      <c r="E78" s="3" t="s">
        <v>315</v>
      </c>
      <c r="F78" s="3" t="s">
        <v>315</v>
      </c>
      <c r="G78" s="3" t="s">
        <v>314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 xml:space="preserve">GER PARANAP -PN  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 x14ac:dyDescent="0.2">
      <c r="A79" s="36" t="str">
        <f>IF(Tabela1[[#This Row],[Código]]="IBOV","^BVSP",IF(Tabela1[[#This Row],[Código]]="","",CONCATENATE(LEFT(Tabela1[[#This Row],[Código]],6),".SA")))</f>
        <v>GETI3.SA</v>
      </c>
      <c r="C79" s="3" t="s">
        <v>173</v>
      </c>
      <c r="D79" s="3" t="s">
        <v>316</v>
      </c>
      <c r="E79" s="3" t="s">
        <v>453</v>
      </c>
      <c r="F79" s="3" t="s">
        <v>402</v>
      </c>
      <c r="G79" s="3" t="s">
        <v>358</v>
      </c>
      <c r="H79" s="20">
        <v>41638</v>
      </c>
      <c r="J79" s="3">
        <f t="shared" si="20"/>
        <v>17.75</v>
      </c>
      <c r="K79" s="3">
        <f t="shared" si="20"/>
        <v>17.8</v>
      </c>
      <c r="L79" s="3">
        <f t="shared" si="20"/>
        <v>17.989999999999998</v>
      </c>
      <c r="M79" s="3">
        <f t="shared" si="20"/>
        <v>17.690000000000001</v>
      </c>
      <c r="P79" s="27" t="s">
        <v>29</v>
      </c>
      <c r="Q79" s="10" t="str">
        <f t="shared" si="14"/>
        <v>AES TIETE   -ON</v>
      </c>
      <c r="R79" s="57">
        <f t="shared" si="15"/>
        <v>41638</v>
      </c>
      <c r="S79" s="5">
        <f t="shared" si="16"/>
        <v>17.75</v>
      </c>
      <c r="T79" s="5">
        <f t="shared" si="17"/>
        <v>17.8</v>
      </c>
      <c r="U79" s="5">
        <f t="shared" si="18"/>
        <v>17.989999999999998</v>
      </c>
      <c r="V79" s="5">
        <f t="shared" si="19"/>
        <v>17.690000000000001</v>
      </c>
    </row>
    <row r="80" spans="1:22" x14ac:dyDescent="0.2">
      <c r="A80" s="36" t="str">
        <f>IF(Tabela1[[#This Row],[Código]]="IBOV","^BVSP",IF(Tabela1[[#This Row],[Código]]="","",CONCATENATE(LEFT(Tabela1[[#This Row],[Código]],6),".SA")))</f>
        <v>GETI4.SA</v>
      </c>
      <c r="C80" s="3" t="s">
        <v>174</v>
      </c>
      <c r="D80" s="3" t="s">
        <v>340</v>
      </c>
      <c r="E80" s="3" t="s">
        <v>433</v>
      </c>
      <c r="F80" s="3" t="s">
        <v>454</v>
      </c>
      <c r="G80" s="3" t="s">
        <v>318</v>
      </c>
      <c r="H80" s="20">
        <v>41638</v>
      </c>
      <c r="J80" s="3">
        <f t="shared" si="20"/>
        <v>19.149999999999999</v>
      </c>
      <c r="K80" s="3">
        <f t="shared" si="20"/>
        <v>19.09</v>
      </c>
      <c r="L80" s="3">
        <f t="shared" si="20"/>
        <v>19.420000000000002</v>
      </c>
      <c r="M80" s="3">
        <f t="shared" si="20"/>
        <v>19.010000000000002</v>
      </c>
      <c r="P80" s="27" t="s">
        <v>33</v>
      </c>
      <c r="Q80" s="10" t="str">
        <f t="shared" si="14"/>
        <v>AES TIETE   -PN</v>
      </c>
      <c r="R80" s="57">
        <f t="shared" si="15"/>
        <v>41638</v>
      </c>
      <c r="S80" s="5">
        <f t="shared" si="16"/>
        <v>19.149999999999999</v>
      </c>
      <c r="T80" s="5">
        <f t="shared" si="17"/>
        <v>19.09</v>
      </c>
      <c r="U80" s="5">
        <f t="shared" si="18"/>
        <v>19.420000000000002</v>
      </c>
      <c r="V80" s="5">
        <f t="shared" si="19"/>
        <v>19.010000000000002</v>
      </c>
    </row>
    <row r="81" spans="1:22" x14ac:dyDescent="0.2">
      <c r="A81" s="36" t="str">
        <f>IF(Tabela1[[#This Row],[Código]]="IBOV","^BVSP",IF(Tabela1[[#This Row],[Código]]="","",CONCATENATE(LEFT(Tabela1[[#This Row],[Código]],6),".SA")))</f>
        <v>GTDP3B.SA</v>
      </c>
      <c r="C81" s="3" t="s">
        <v>217</v>
      </c>
      <c r="D81" s="3" t="s">
        <v>382</v>
      </c>
      <c r="E81" s="3" t="s">
        <v>382</v>
      </c>
      <c r="F81" s="3" t="s">
        <v>382</v>
      </c>
      <c r="G81" s="3" t="s">
        <v>382</v>
      </c>
      <c r="H81" s="20">
        <v>41638</v>
      </c>
      <c r="J81" s="3">
        <f t="shared" si="20"/>
        <v>0.15</v>
      </c>
      <c r="K81" s="3">
        <f t="shared" si="20"/>
        <v>0.15</v>
      </c>
      <c r="L81" s="3">
        <f t="shared" si="20"/>
        <v>0.15</v>
      </c>
      <c r="M81" s="3">
        <f t="shared" si="20"/>
        <v>0.15</v>
      </c>
      <c r="P81" s="14" t="s">
        <v>215</v>
      </c>
      <c r="Q81" s="10" t="str">
        <f t="shared" si="14"/>
        <v xml:space="preserve">GTD PART    -ON  </v>
      </c>
      <c r="R81" s="57">
        <f t="shared" si="15"/>
        <v>41638</v>
      </c>
      <c r="S81" s="5">
        <f t="shared" si="16"/>
        <v>0.15</v>
      </c>
      <c r="T81" s="5">
        <f t="shared" si="17"/>
        <v>0.15</v>
      </c>
      <c r="U81" s="5">
        <f t="shared" si="18"/>
        <v>0.15</v>
      </c>
      <c r="V81" s="5">
        <f t="shared" si="19"/>
        <v>0.15</v>
      </c>
    </row>
    <row r="82" spans="1:22" x14ac:dyDescent="0.2">
      <c r="A82" s="36" t="str">
        <f>IF(Tabela1[[#This Row],[Código]]="IBOV","^BVSP",IF(Tabela1[[#This Row],[Código]]="","",CONCATENATE(LEFT(Tabela1[[#This Row],[Código]],6),".SA")))</f>
        <v>GTDP4B.SA</v>
      </c>
      <c r="C82" s="3" t="s">
        <v>218</v>
      </c>
      <c r="D82" s="3" t="s">
        <v>383</v>
      </c>
      <c r="E82" s="3" t="s">
        <v>383</v>
      </c>
      <c r="F82" s="3" t="s">
        <v>383</v>
      </c>
      <c r="G82" s="3" t="s">
        <v>383</v>
      </c>
      <c r="H82" s="20">
        <v>41638</v>
      </c>
      <c r="J82" s="3">
        <f t="shared" si="20"/>
        <v>0.16</v>
      </c>
      <c r="K82" s="3">
        <f t="shared" si="20"/>
        <v>0.16</v>
      </c>
      <c r="L82" s="3">
        <f t="shared" si="20"/>
        <v>0.16</v>
      </c>
      <c r="M82" s="3">
        <f t="shared" si="20"/>
        <v>0.16</v>
      </c>
      <c r="P82" s="14" t="s">
        <v>216</v>
      </c>
      <c r="Q82" s="10" t="str">
        <f t="shared" si="14"/>
        <v xml:space="preserve">GTD PART    -PN  </v>
      </c>
      <c r="R82" s="57">
        <f t="shared" si="15"/>
        <v>41638</v>
      </c>
      <c r="S82" s="5">
        <f t="shared" si="16"/>
        <v>0.16</v>
      </c>
      <c r="T82" s="5">
        <f t="shared" si="17"/>
        <v>0.16</v>
      </c>
      <c r="U82" s="5">
        <f t="shared" si="18"/>
        <v>0.16</v>
      </c>
      <c r="V82" s="5">
        <f t="shared" si="19"/>
        <v>0.16</v>
      </c>
    </row>
    <row r="83" spans="1:22" x14ac:dyDescent="0.2">
      <c r="A83" s="36" t="str">
        <f>IF(Tabela1[[#This Row],[Código]]="IBOV","^BVSP",IF(Tabela1[[#This Row],[Código]]="","",CONCATENATE(LEFT(Tabela1[[#This Row],[Código]],6),".SA")))</f>
        <v>ITSA3.SA</v>
      </c>
      <c r="C83" s="3" t="s">
        <v>301</v>
      </c>
      <c r="D83" s="3" t="s">
        <v>348</v>
      </c>
      <c r="E83" s="3" t="s">
        <v>455</v>
      </c>
      <c r="F83" s="3" t="s">
        <v>455</v>
      </c>
      <c r="G83" s="3" t="s">
        <v>348</v>
      </c>
      <c r="H83" s="20">
        <v>41638</v>
      </c>
      <c r="J83" s="3">
        <f t="shared" si="20"/>
        <v>11.64</v>
      </c>
      <c r="K83" s="3">
        <f t="shared" si="20"/>
        <v>12.7</v>
      </c>
      <c r="L83" s="3">
        <f t="shared" si="20"/>
        <v>12.7</v>
      </c>
      <c r="M83" s="3">
        <f t="shared" si="20"/>
        <v>11.64</v>
      </c>
      <c r="P83" s="15" t="s">
        <v>300</v>
      </c>
      <c r="Q83" s="10" t="str">
        <f t="shared" si="14"/>
        <v xml:space="preserve">ITAUSA      -ON  </v>
      </c>
      <c r="R83" s="57">
        <f t="shared" si="15"/>
        <v>41638</v>
      </c>
      <c r="S83" s="5">
        <f t="shared" si="16"/>
        <v>11.64</v>
      </c>
      <c r="T83" s="5">
        <f t="shared" si="17"/>
        <v>12.7</v>
      </c>
      <c r="U83" s="5">
        <f t="shared" si="18"/>
        <v>12.7</v>
      </c>
      <c r="V83" s="5">
        <f t="shared" si="19"/>
        <v>11.64</v>
      </c>
    </row>
    <row r="84" spans="1:22" x14ac:dyDescent="0.2">
      <c r="A84" s="36" t="str">
        <f>IF(Tabela1[[#This Row],[Código]]="IBOV","^BVSP",IF(Tabela1[[#This Row],[Código]]="","",CONCATENATE(LEFT(Tabela1[[#This Row],[Código]],6),".SA")))</f>
        <v>ITSA4.SA</v>
      </c>
      <c r="C84" s="3" t="s">
        <v>175</v>
      </c>
      <c r="D84" s="3" t="s">
        <v>349</v>
      </c>
      <c r="E84" s="3" t="s">
        <v>456</v>
      </c>
      <c r="F84" s="3" t="s">
        <v>119</v>
      </c>
      <c r="G84" s="3" t="s">
        <v>367</v>
      </c>
      <c r="H84" s="49">
        <v>41638</v>
      </c>
      <c r="J84" s="3">
        <f t="shared" si="20"/>
        <v>8.8699999999999992</v>
      </c>
      <c r="K84" s="3">
        <f t="shared" si="20"/>
        <v>8.9</v>
      </c>
      <c r="L84" s="3">
        <f t="shared" si="20"/>
        <v>9</v>
      </c>
      <c r="M84" s="3">
        <f t="shared" si="20"/>
        <v>8.86</v>
      </c>
      <c r="P84" s="15" t="s">
        <v>16</v>
      </c>
      <c r="Q84" s="10" t="str">
        <f t="shared" si="14"/>
        <v xml:space="preserve">ITAUSA      -PN  </v>
      </c>
      <c r="R84" s="57">
        <f t="shared" si="15"/>
        <v>41638</v>
      </c>
      <c r="S84" s="5">
        <f t="shared" si="16"/>
        <v>8.8699999999999992</v>
      </c>
      <c r="T84" s="5">
        <f t="shared" si="17"/>
        <v>8.9</v>
      </c>
      <c r="U84" s="5">
        <f t="shared" si="18"/>
        <v>9</v>
      </c>
      <c r="V84" s="5">
        <f t="shared" si="19"/>
        <v>8.86</v>
      </c>
    </row>
    <row r="85" spans="1:22" x14ac:dyDescent="0.2">
      <c r="A85" s="36" t="str">
        <f>IF(Tabela1[[#This Row],[Código]]="IBOV","^BVSP",IF(Tabela1[[#This Row],[Código]]="","",CONCATENATE(LEFT(Tabela1[[#This Row],[Código]],6),".SA")))</f>
        <v>ITUB3.SA</v>
      </c>
      <c r="C85" s="3" t="s">
        <v>299</v>
      </c>
      <c r="D85" s="3" t="s">
        <v>384</v>
      </c>
      <c r="E85" s="3" t="s">
        <v>457</v>
      </c>
      <c r="F85" s="3" t="s">
        <v>458</v>
      </c>
      <c r="G85" s="3" t="s">
        <v>385</v>
      </c>
      <c r="H85" s="49">
        <v>41638</v>
      </c>
      <c r="J85" s="3">
        <f t="shared" si="20"/>
        <v>29.26</v>
      </c>
      <c r="K85" s="3">
        <f t="shared" si="20"/>
        <v>29.45</v>
      </c>
      <c r="L85" s="3">
        <f t="shared" si="20"/>
        <v>29.6</v>
      </c>
      <c r="M85" s="3">
        <f t="shared" si="20"/>
        <v>29.23</v>
      </c>
      <c r="P85" s="10" t="s">
        <v>298</v>
      </c>
      <c r="Q85" s="10" t="str">
        <f t="shared" si="14"/>
        <v xml:space="preserve">ITAUUNIBANCO-ON  </v>
      </c>
      <c r="R85" s="57">
        <f t="shared" si="15"/>
        <v>41638</v>
      </c>
      <c r="S85" s="5">
        <f t="shared" si="16"/>
        <v>29.26</v>
      </c>
      <c r="T85" s="5">
        <f t="shared" si="17"/>
        <v>29.45</v>
      </c>
      <c r="U85" s="5">
        <f t="shared" si="18"/>
        <v>29.6</v>
      </c>
      <c r="V85" s="5">
        <f t="shared" si="19"/>
        <v>29.23</v>
      </c>
    </row>
    <row r="86" spans="1:22" x14ac:dyDescent="0.2">
      <c r="A86" s="36" t="str">
        <f>IF(Tabela1[[#This Row],[Código]]="IBOV","^BVSP",IF(Tabela1[[#This Row],[Código]]="","",CONCATENATE(LEFT(Tabela1[[#This Row],[Código]],6),".SA")))</f>
        <v>ITUB4.SA</v>
      </c>
      <c r="C86" s="3" t="s">
        <v>176</v>
      </c>
      <c r="D86" s="3" t="s">
        <v>347</v>
      </c>
      <c r="E86" s="3" t="s">
        <v>459</v>
      </c>
      <c r="F86" s="3" t="s">
        <v>403</v>
      </c>
      <c r="G86" s="3" t="s">
        <v>459</v>
      </c>
      <c r="H86" s="49">
        <v>41638</v>
      </c>
      <c r="J86" s="3">
        <f t="shared" si="20"/>
        <v>31.65</v>
      </c>
      <c r="K86" s="3">
        <f t="shared" si="20"/>
        <v>31.35</v>
      </c>
      <c r="L86" s="3">
        <f t="shared" si="20"/>
        <v>32.07</v>
      </c>
      <c r="M86" s="3">
        <f t="shared" si="20"/>
        <v>31.35</v>
      </c>
      <c r="P86" s="10" t="s">
        <v>85</v>
      </c>
      <c r="Q86" s="10" t="str">
        <f t="shared" si="14"/>
        <v xml:space="preserve">ITAUUNIBANCO-PN  </v>
      </c>
      <c r="R86" s="57">
        <f t="shared" si="15"/>
        <v>41638</v>
      </c>
      <c r="S86" s="5">
        <f t="shared" si="16"/>
        <v>31.65</v>
      </c>
      <c r="T86" s="5">
        <f t="shared" si="17"/>
        <v>31.35</v>
      </c>
      <c r="U86" s="5">
        <f t="shared" si="18"/>
        <v>32.07</v>
      </c>
      <c r="V86" s="5">
        <f t="shared" si="19"/>
        <v>31.35</v>
      </c>
    </row>
    <row r="87" spans="1:22" x14ac:dyDescent="0.2">
      <c r="A87" s="36" t="str">
        <f>IF(Tabela1[[#This Row],[Código]]="IBOV","^BVSP",IF(Tabela1[[#This Row],[Código]]="","",CONCATENATE(LEFT(Tabela1[[#This Row],[Código]],6),".SA")))</f>
        <v>KLBN3.SA</v>
      </c>
      <c r="C87" s="3" t="s">
        <v>234</v>
      </c>
      <c r="D87" s="3" t="s">
        <v>166</v>
      </c>
      <c r="E87" s="3" t="s">
        <v>166</v>
      </c>
      <c r="F87" s="3" t="s">
        <v>166</v>
      </c>
      <c r="G87" s="3" t="s">
        <v>166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233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 x14ac:dyDescent="0.2">
      <c r="A88" s="36" t="str">
        <f>IF(Tabela1[[#This Row],[Código]]="IBOV","^BVSP",IF(Tabela1[[#This Row],[Código]]="","",CONCATENATE(LEFT(Tabela1[[#This Row],[Código]],6),".SA")))</f>
        <v>KLBN4.SA</v>
      </c>
      <c r="C88" s="3" t="s">
        <v>177</v>
      </c>
      <c r="D88" s="3" t="s">
        <v>323</v>
      </c>
      <c r="E88" s="3" t="s">
        <v>460</v>
      </c>
      <c r="F88" s="3" t="s">
        <v>461</v>
      </c>
      <c r="G88" s="3" t="s">
        <v>359</v>
      </c>
      <c r="H88" s="49">
        <v>41638</v>
      </c>
      <c r="J88" s="3">
        <f t="shared" si="20"/>
        <v>12.15</v>
      </c>
      <c r="K88" s="3">
        <f t="shared" si="20"/>
        <v>12.26</v>
      </c>
      <c r="L88" s="3">
        <f t="shared" si="20"/>
        <v>12.33</v>
      </c>
      <c r="M88" s="3">
        <f t="shared" si="20"/>
        <v>12.11</v>
      </c>
      <c r="P88" s="15" t="s">
        <v>55</v>
      </c>
      <c r="Q88" s="10" t="str">
        <f t="shared" si="14"/>
        <v xml:space="preserve">KLABIN S/A  -PN  </v>
      </c>
      <c r="R88" s="57">
        <f t="shared" si="15"/>
        <v>41638</v>
      </c>
      <c r="S88" s="5">
        <f t="shared" si="16"/>
        <v>12.15</v>
      </c>
      <c r="T88" s="5">
        <f t="shared" si="17"/>
        <v>12.26</v>
      </c>
      <c r="U88" s="5">
        <f t="shared" si="18"/>
        <v>12.33</v>
      </c>
      <c r="V88" s="5">
        <f t="shared" si="19"/>
        <v>12.11</v>
      </c>
    </row>
    <row r="89" spans="1:22" x14ac:dyDescent="0.2">
      <c r="A89" s="36" t="str">
        <f>IF(Tabela1[[#This Row],[Código]]="IBOV","^BVSP",IF(Tabela1[[#This Row],[Código]]="","",CONCATENATE(LEFT(Tabela1[[#This Row],[Código]],6),".SA")))</f>
        <v>LIGT3.SA</v>
      </c>
      <c r="C89" s="3" t="s">
        <v>178</v>
      </c>
      <c r="D89" s="3" t="s">
        <v>319</v>
      </c>
      <c r="E89" s="3" t="s">
        <v>462</v>
      </c>
      <c r="F89" s="3" t="s">
        <v>308</v>
      </c>
      <c r="G89" s="3" t="s">
        <v>319</v>
      </c>
      <c r="H89" s="49">
        <v>41638</v>
      </c>
      <c r="J89" s="3">
        <f t="shared" si="20"/>
        <v>21.91</v>
      </c>
      <c r="K89" s="3">
        <f t="shared" si="20"/>
        <v>22.12</v>
      </c>
      <c r="L89" s="3">
        <f t="shared" si="20"/>
        <v>22.5</v>
      </c>
      <c r="M89" s="3">
        <f t="shared" si="20"/>
        <v>21.91</v>
      </c>
      <c r="P89" s="47" t="s">
        <v>56</v>
      </c>
      <c r="Q89" s="10" t="str">
        <f t="shared" si="14"/>
        <v xml:space="preserve">LIGHT S/A   -ON  </v>
      </c>
      <c r="R89" s="57">
        <f t="shared" si="15"/>
        <v>41638</v>
      </c>
      <c r="S89" s="5">
        <f t="shared" si="16"/>
        <v>21.91</v>
      </c>
      <c r="T89" s="5">
        <f t="shared" si="17"/>
        <v>22.12</v>
      </c>
      <c r="U89" s="5">
        <f t="shared" si="18"/>
        <v>22.5</v>
      </c>
      <c r="V89" s="5">
        <f t="shared" si="19"/>
        <v>21.91</v>
      </c>
    </row>
    <row r="90" spans="1:22" x14ac:dyDescent="0.2">
      <c r="A90" s="36" t="str">
        <f>IF(Tabela1[[#This Row],[Código]]="IBOV","^BVSP",IF(Tabela1[[#This Row],[Código]]="","",CONCATENATE(LEFT(Tabela1[[#This Row],[Código]],6),".SA")))</f>
        <v>LIPR3.SA</v>
      </c>
      <c r="C90" s="3" t="s">
        <v>206</v>
      </c>
      <c r="D90" s="3" t="s">
        <v>320</v>
      </c>
      <c r="E90" s="3" t="s">
        <v>207</v>
      </c>
      <c r="F90" s="3" t="s">
        <v>320</v>
      </c>
      <c r="G90" s="3" t="s">
        <v>207</v>
      </c>
      <c r="H90" s="49">
        <v>41635</v>
      </c>
      <c r="J90" s="3">
        <f t="shared" si="20"/>
        <v>51</v>
      </c>
      <c r="K90" s="3">
        <f t="shared" si="20"/>
        <v>49.45</v>
      </c>
      <c r="L90" s="3">
        <f t="shared" si="20"/>
        <v>51</v>
      </c>
      <c r="M90" s="3">
        <f t="shared" si="20"/>
        <v>49.45</v>
      </c>
      <c r="P90" s="14" t="s">
        <v>205</v>
      </c>
      <c r="Q90" s="10" t="str">
        <f t="shared" si="14"/>
        <v>ELETROPAR   -ON</v>
      </c>
      <c r="R90" s="57">
        <f t="shared" si="15"/>
        <v>41635</v>
      </c>
      <c r="S90" s="5">
        <f t="shared" si="16"/>
        <v>51</v>
      </c>
      <c r="T90" s="5">
        <f t="shared" si="17"/>
        <v>49.45</v>
      </c>
      <c r="U90" s="5">
        <f t="shared" si="18"/>
        <v>51</v>
      </c>
      <c r="V90" s="5">
        <f t="shared" si="19"/>
        <v>49.45</v>
      </c>
    </row>
    <row r="91" spans="1:22" x14ac:dyDescent="0.2">
      <c r="A91" s="36" t="str">
        <f>IF(Tabela1[[#This Row],[Código]]="IBOV","^BVSP",IF(Tabela1[[#This Row],[Código]]="","",CONCATENATE(LEFT(Tabela1[[#This Row],[Código]],6),".SA")))</f>
        <v>PINE4.SA</v>
      </c>
      <c r="C91" s="3" t="s">
        <v>179</v>
      </c>
      <c r="D91" s="3" t="s">
        <v>366</v>
      </c>
      <c r="E91" s="3" t="s">
        <v>463</v>
      </c>
      <c r="F91" s="3" t="s">
        <v>464</v>
      </c>
      <c r="G91" s="3" t="s">
        <v>366</v>
      </c>
      <c r="H91" s="49">
        <v>41638</v>
      </c>
      <c r="J91" s="3">
        <f t="shared" si="20"/>
        <v>10.27</v>
      </c>
      <c r="K91" s="3">
        <f t="shared" si="20"/>
        <v>10.53</v>
      </c>
      <c r="L91" s="3">
        <f t="shared" si="20"/>
        <v>10.59</v>
      </c>
      <c r="M91" s="3">
        <f t="shared" si="20"/>
        <v>10.27</v>
      </c>
      <c r="P91" s="10" t="s">
        <v>78</v>
      </c>
      <c r="Q91" s="10" t="str">
        <f t="shared" si="14"/>
        <v xml:space="preserve">PINE        -PN  </v>
      </c>
      <c r="R91" s="57">
        <f t="shared" si="15"/>
        <v>41638</v>
      </c>
      <c r="S91" s="5">
        <f t="shared" si="16"/>
        <v>10.27</v>
      </c>
      <c r="T91" s="5">
        <f t="shared" si="17"/>
        <v>10.53</v>
      </c>
      <c r="U91" s="5">
        <f t="shared" si="18"/>
        <v>10.59</v>
      </c>
      <c r="V91" s="5">
        <f t="shared" si="19"/>
        <v>10.27</v>
      </c>
    </row>
    <row r="92" spans="1:22" x14ac:dyDescent="0.2">
      <c r="A92" s="36" t="str">
        <f>IF(Tabela1[[#This Row],[Código]]="IBOV","^BVSP",IF(Tabela1[[#This Row],[Código]]="","",CONCATENATE(LEFT(Tabela1[[#This Row],[Código]],6),".SA")))</f>
        <v>PRBC4.SA</v>
      </c>
      <c r="C92" s="3" t="s">
        <v>180</v>
      </c>
      <c r="D92" s="3" t="s">
        <v>368</v>
      </c>
      <c r="E92" s="3" t="s">
        <v>465</v>
      </c>
      <c r="F92" s="3" t="s">
        <v>302</v>
      </c>
      <c r="G92" s="3" t="s">
        <v>465</v>
      </c>
      <c r="H92" s="49">
        <v>41638</v>
      </c>
      <c r="J92" s="3">
        <f t="shared" si="20"/>
        <v>11.66</v>
      </c>
      <c r="K92" s="3">
        <f t="shared" si="20"/>
        <v>11.6</v>
      </c>
      <c r="L92" s="3">
        <f t="shared" si="20"/>
        <v>11.99</v>
      </c>
      <c r="M92" s="3">
        <f t="shared" si="20"/>
        <v>11.6</v>
      </c>
      <c r="P92" s="16" t="s">
        <v>87</v>
      </c>
      <c r="Q92" s="10" t="str">
        <f t="shared" si="14"/>
        <v xml:space="preserve">PARANA      -PN  </v>
      </c>
      <c r="R92" s="57">
        <f t="shared" si="15"/>
        <v>41638</v>
      </c>
      <c r="S92" s="5">
        <f t="shared" si="16"/>
        <v>11.66</v>
      </c>
      <c r="T92" s="5">
        <f t="shared" si="17"/>
        <v>11.6</v>
      </c>
      <c r="U92" s="5">
        <f t="shared" si="18"/>
        <v>11.99</v>
      </c>
      <c r="V92" s="5">
        <f t="shared" si="19"/>
        <v>11.6</v>
      </c>
    </row>
    <row r="93" spans="1:22" x14ac:dyDescent="0.2">
      <c r="A93" s="36" t="str">
        <f>IF(Tabela1[[#This Row],[Código]]="IBOV","^BVSP",IF(Tabela1[[#This Row],[Código]]="","",CONCATENATE(LEFT(Tabela1[[#This Row],[Código]],6),".SA")))</f>
        <v>PSSA3.SA</v>
      </c>
      <c r="C93" s="3" t="s">
        <v>304</v>
      </c>
      <c r="D93" s="3" t="s">
        <v>329</v>
      </c>
      <c r="E93" s="3" t="s">
        <v>466</v>
      </c>
      <c r="F93" s="3" t="s">
        <v>404</v>
      </c>
      <c r="G93" s="3" t="s">
        <v>466</v>
      </c>
      <c r="H93" s="49">
        <v>41638</v>
      </c>
      <c r="J93" s="3">
        <f t="shared" si="20"/>
        <v>29.9</v>
      </c>
      <c r="K93" s="3">
        <f t="shared" si="20"/>
        <v>29.75</v>
      </c>
      <c r="L93" s="3">
        <f t="shared" si="20"/>
        <v>30.24</v>
      </c>
      <c r="M93" s="3">
        <f t="shared" si="20"/>
        <v>29.75</v>
      </c>
      <c r="P93" s="16" t="s">
        <v>303</v>
      </c>
      <c r="Q93" s="10" t="str">
        <f t="shared" si="14"/>
        <v xml:space="preserve">PORTO SEGURO-ON  </v>
      </c>
      <c r="R93" s="57">
        <f t="shared" si="15"/>
        <v>41638</v>
      </c>
      <c r="S93" s="5">
        <f t="shared" si="16"/>
        <v>29.9</v>
      </c>
      <c r="T93" s="5">
        <f t="shared" si="17"/>
        <v>29.75</v>
      </c>
      <c r="U93" s="5">
        <f t="shared" si="18"/>
        <v>30.24</v>
      </c>
      <c r="V93" s="5">
        <f t="shared" si="19"/>
        <v>29.75</v>
      </c>
    </row>
    <row r="94" spans="1:22" x14ac:dyDescent="0.2">
      <c r="A94" s="36" t="str">
        <f>IF(Tabela1[[#This Row],[Código]]="IBOV","^BVSP",IF(Tabela1[[#This Row],[Código]]="","",CONCATENATE(LEFT(Tabela1[[#This Row],[Código]],6),".SA")))</f>
        <v>RANI3.SA</v>
      </c>
      <c r="C94" s="3" t="s">
        <v>230</v>
      </c>
      <c r="D94" s="3" t="s">
        <v>386</v>
      </c>
      <c r="E94" s="3" t="s">
        <v>467</v>
      </c>
      <c r="F94" s="3" t="s">
        <v>467</v>
      </c>
      <c r="G94" s="3" t="s">
        <v>386</v>
      </c>
      <c r="H94" s="49">
        <v>41638</v>
      </c>
      <c r="J94" s="3">
        <f t="shared" si="20"/>
        <v>3.21</v>
      </c>
      <c r="K94" s="3">
        <f t="shared" si="20"/>
        <v>3.3</v>
      </c>
      <c r="L94" s="3">
        <f t="shared" si="20"/>
        <v>3.3</v>
      </c>
      <c r="M94" s="3">
        <f t="shared" si="20"/>
        <v>3.21</v>
      </c>
      <c r="P94" s="14" t="s">
        <v>228</v>
      </c>
      <c r="Q94" s="10" t="str">
        <f t="shared" si="14"/>
        <v>CELUL IRANI -ON</v>
      </c>
      <c r="R94" s="57">
        <f t="shared" si="15"/>
        <v>41638</v>
      </c>
      <c r="S94" s="5">
        <f t="shared" si="16"/>
        <v>3.21</v>
      </c>
      <c r="T94" s="5">
        <f t="shared" si="17"/>
        <v>3.3</v>
      </c>
      <c r="U94" s="5">
        <f t="shared" si="18"/>
        <v>3.3</v>
      </c>
      <c r="V94" s="5">
        <f t="shared" si="19"/>
        <v>3.21</v>
      </c>
    </row>
    <row r="95" spans="1:22" x14ac:dyDescent="0.2">
      <c r="A95" s="36" t="str">
        <f>IF(Tabela1[[#This Row],[Código]]="IBOV","^BVSP",IF(Tabela1[[#This Row],[Código]]="","",CONCATENATE(LEFT(Tabela1[[#This Row],[Código]],6),".SA")))</f>
        <v>RANI4.SA</v>
      </c>
      <c r="C95" s="3" t="s">
        <v>231</v>
      </c>
      <c r="D95" s="3" t="s">
        <v>232</v>
      </c>
      <c r="E95" s="3" t="s">
        <v>232</v>
      </c>
      <c r="F95" s="3" t="s">
        <v>232</v>
      </c>
      <c r="G95" s="3" t="s">
        <v>232</v>
      </c>
      <c r="H95" s="49">
        <v>41614</v>
      </c>
      <c r="J95" s="3">
        <f t="shared" si="20"/>
        <v>3.25</v>
      </c>
      <c r="K95" s="3">
        <f t="shared" si="20"/>
        <v>3.25</v>
      </c>
      <c r="L95" s="3">
        <f t="shared" si="20"/>
        <v>3.25</v>
      </c>
      <c r="M95" s="3">
        <f t="shared" si="20"/>
        <v>3.25</v>
      </c>
      <c r="P95" s="14" t="s">
        <v>229</v>
      </c>
      <c r="Q95" s="10" t="str">
        <f t="shared" si="14"/>
        <v>CELUL IRANI -PN</v>
      </c>
      <c r="R95" s="57">
        <f t="shared" si="15"/>
        <v>41614</v>
      </c>
      <c r="S95" s="5">
        <f t="shared" si="16"/>
        <v>3.25</v>
      </c>
      <c r="T95" s="5">
        <f t="shared" si="17"/>
        <v>3.25</v>
      </c>
      <c r="U95" s="5">
        <f t="shared" si="18"/>
        <v>3.25</v>
      </c>
      <c r="V95" s="5">
        <f t="shared" si="19"/>
        <v>3.25</v>
      </c>
    </row>
    <row r="96" spans="1:22" x14ac:dyDescent="0.2">
      <c r="A96" s="36" t="str">
        <f>IF(Tabela1[[#This Row],[Código]]="IBOV","^BVSP",IF(Tabela1[[#This Row],[Código]]="","",CONCATENATE(LEFT(Tabela1[[#This Row],[Código]],6),".SA")))</f>
        <v>RDTR3.SA</v>
      </c>
      <c r="C96" s="3" t="s">
        <v>181</v>
      </c>
      <c r="D96" s="3" t="s">
        <v>182</v>
      </c>
      <c r="E96" s="3" t="s">
        <v>337</v>
      </c>
      <c r="F96" s="3" t="s">
        <v>405</v>
      </c>
      <c r="G96" s="3" t="s">
        <v>337</v>
      </c>
      <c r="H96" s="57">
        <v>41638</v>
      </c>
      <c r="J96" s="3">
        <f t="shared" si="20"/>
        <v>6</v>
      </c>
      <c r="K96" s="3">
        <f t="shared" si="20"/>
        <v>5.98</v>
      </c>
      <c r="L96" s="3">
        <f t="shared" si="20"/>
        <v>6.05</v>
      </c>
      <c r="M96" s="3">
        <f t="shared" si="20"/>
        <v>5.98</v>
      </c>
      <c r="P96" s="14" t="s">
        <v>68</v>
      </c>
      <c r="Q96" s="10" t="str">
        <f t="shared" si="14"/>
        <v>REDENTOR    -ON</v>
      </c>
      <c r="R96" s="57">
        <f t="shared" si="15"/>
        <v>41638</v>
      </c>
      <c r="S96" s="5">
        <f t="shared" si="16"/>
        <v>6</v>
      </c>
      <c r="T96" s="5">
        <f t="shared" si="17"/>
        <v>5.98</v>
      </c>
      <c r="U96" s="5">
        <f t="shared" si="18"/>
        <v>6.05</v>
      </c>
      <c r="V96" s="5">
        <f t="shared" si="19"/>
        <v>5.98</v>
      </c>
    </row>
    <row r="97" spans="1:22" x14ac:dyDescent="0.2">
      <c r="A97" s="36" t="str">
        <f>IF(Tabela1[[#This Row],[Código]]="IBOV","^BVSP",IF(Tabela1[[#This Row],[Código]]="","",CONCATENATE(LEFT(Tabela1[[#This Row],[Código]],6),".SA")))</f>
        <v>RPAD3.SA</v>
      </c>
      <c r="C97" s="3" t="s">
        <v>241</v>
      </c>
      <c r="D97" s="3" t="s">
        <v>242</v>
      </c>
      <c r="E97" s="3" t="s">
        <v>242</v>
      </c>
      <c r="F97" s="3" t="s">
        <v>242</v>
      </c>
      <c r="G97" s="3" t="s">
        <v>242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239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 x14ac:dyDescent="0.2">
      <c r="A98" s="36" t="str">
        <f>IF(Tabela1[[#This Row],[Código]]="IBOV","^BVSP",IF(Tabela1[[#This Row],[Código]]="","",CONCATENATE(LEFT(Tabela1[[#This Row],[Código]],6),".SA")))</f>
        <v>RPAD5.SA</v>
      </c>
      <c r="C98" s="3" t="s">
        <v>183</v>
      </c>
      <c r="D98" s="3" t="s">
        <v>468</v>
      </c>
      <c r="E98" s="3" t="s">
        <v>468</v>
      </c>
      <c r="F98" s="3" t="s">
        <v>468</v>
      </c>
      <c r="G98" s="3" t="s">
        <v>468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 x14ac:dyDescent="0.2">
      <c r="A99" s="36" t="str">
        <f>IF(Tabela1[[#This Row],[Código]]="IBOV","^BVSP",IF(Tabela1[[#This Row],[Código]]="","",CONCATENATE(LEFT(Tabela1[[#This Row],[Código]],6),".SA")))</f>
        <v>RPAD6.SA</v>
      </c>
      <c r="C99" s="3" t="s">
        <v>243</v>
      </c>
      <c r="D99" s="3" t="s">
        <v>387</v>
      </c>
      <c r="E99" s="3" t="s">
        <v>387</v>
      </c>
      <c r="F99" s="3" t="s">
        <v>469</v>
      </c>
      <c r="G99" s="3" t="s">
        <v>387</v>
      </c>
      <c r="H99" s="57">
        <v>41638</v>
      </c>
      <c r="J99" s="3">
        <f t="shared" si="20"/>
        <v>2.83</v>
      </c>
      <c r="K99" s="3">
        <f t="shared" si="20"/>
        <v>2.83</v>
      </c>
      <c r="L99" s="3">
        <f t="shared" si="20"/>
        <v>2.84</v>
      </c>
      <c r="M99" s="3">
        <f t="shared" si="20"/>
        <v>2.83</v>
      </c>
      <c r="P99" s="15" t="s">
        <v>240</v>
      </c>
      <c r="Q99" s="10" t="str">
        <f t="shared" si="14"/>
        <v>ALFA HOLDING-PNB</v>
      </c>
      <c r="R99" s="57">
        <f t="shared" si="15"/>
        <v>41638</v>
      </c>
      <c r="S99" s="5">
        <f t="shared" si="16"/>
        <v>2.83</v>
      </c>
      <c r="T99" s="5">
        <f t="shared" si="17"/>
        <v>2.83</v>
      </c>
      <c r="U99" s="5">
        <f t="shared" si="18"/>
        <v>2.84</v>
      </c>
      <c r="V99" s="5">
        <f t="shared" si="19"/>
        <v>2.83</v>
      </c>
    </row>
    <row r="100" spans="1:22" x14ac:dyDescent="0.2">
      <c r="A100" s="36" t="str">
        <f>IF(Tabela1[[#This Row],[Código]]="IBOV","^BVSP",IF(Tabela1[[#This Row],[Código]]="","",CONCATENATE(LEFT(Tabela1[[#This Row],[Código]],6),".SA")))</f>
        <v>SAPR3.SA</v>
      </c>
      <c r="C100" s="3" t="s">
        <v>226</v>
      </c>
      <c r="D100" s="3" t="s">
        <v>227</v>
      </c>
      <c r="E100" s="3" t="s">
        <v>227</v>
      </c>
      <c r="F100" s="3" t="s">
        <v>227</v>
      </c>
      <c r="G100" s="3" t="s">
        <v>227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225</v>
      </c>
      <c r="Q100" s="10" t="str">
        <f t="shared" si="14"/>
        <v>SANEPAR     -ON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 x14ac:dyDescent="0.2">
      <c r="A101" s="36" t="str">
        <f>IF(Tabela1[[#This Row],[Código]]="IBOV","^BVSP",IF(Tabela1[[#This Row],[Código]]="","",CONCATENATE(LEFT(Tabela1[[#This Row],[Código]],6),".SA")))</f>
        <v>SAPR4.SA</v>
      </c>
      <c r="C101" s="3" t="s">
        <v>184</v>
      </c>
      <c r="D101" s="3" t="s">
        <v>470</v>
      </c>
      <c r="E101" s="3" t="s">
        <v>470</v>
      </c>
      <c r="F101" s="3" t="s">
        <v>470</v>
      </c>
      <c r="G101" s="3" t="s">
        <v>470</v>
      </c>
      <c r="H101" s="57">
        <v>41638</v>
      </c>
      <c r="J101" s="3">
        <f t="shared" si="20"/>
        <v>6.78</v>
      </c>
      <c r="K101" s="3">
        <f t="shared" si="20"/>
        <v>6.78</v>
      </c>
      <c r="L101" s="3">
        <f t="shared" si="20"/>
        <v>6.78</v>
      </c>
      <c r="M101" s="3">
        <f t="shared" si="20"/>
        <v>6.78</v>
      </c>
      <c r="P101" s="14" t="s">
        <v>69</v>
      </c>
      <c r="Q101" s="10" t="str">
        <f t="shared" si="14"/>
        <v>SANEPAR     -PN</v>
      </c>
      <c r="R101" s="57">
        <f t="shared" si="15"/>
        <v>41638</v>
      </c>
      <c r="S101" s="5">
        <f t="shared" si="16"/>
        <v>6.78</v>
      </c>
      <c r="T101" s="5">
        <f t="shared" si="17"/>
        <v>6.78</v>
      </c>
      <c r="U101" s="5">
        <f t="shared" si="18"/>
        <v>6.78</v>
      </c>
      <c r="V101" s="5">
        <f t="shared" si="19"/>
        <v>6.78</v>
      </c>
    </row>
    <row r="102" spans="1:22" x14ac:dyDescent="0.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185</v>
      </c>
      <c r="D102" s="3" t="s">
        <v>341</v>
      </c>
      <c r="E102" s="3" t="s">
        <v>471</v>
      </c>
      <c r="F102" s="3" t="s">
        <v>388</v>
      </c>
      <c r="G102" s="3" t="s">
        <v>471</v>
      </c>
      <c r="H102" s="57">
        <v>41638</v>
      </c>
      <c r="J102" s="3">
        <f t="shared" si="20"/>
        <v>26.78</v>
      </c>
      <c r="K102" s="3">
        <f t="shared" si="20"/>
        <v>26.46</v>
      </c>
      <c r="L102" s="3">
        <f t="shared" si="20"/>
        <v>26.93</v>
      </c>
      <c r="M102" s="3">
        <f t="shared" si="20"/>
        <v>26.46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41638</v>
      </c>
      <c r="S102" s="5">
        <f t="shared" si="16"/>
        <v>26.78</v>
      </c>
      <c r="T102" s="5">
        <f t="shared" si="17"/>
        <v>26.46</v>
      </c>
      <c r="U102" s="5">
        <f t="shared" si="18"/>
        <v>26.93</v>
      </c>
      <c r="V102" s="5">
        <f t="shared" si="19"/>
        <v>26.46</v>
      </c>
    </row>
    <row r="103" spans="1:22" x14ac:dyDescent="0.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186</v>
      </c>
      <c r="D103" s="3" t="s">
        <v>328</v>
      </c>
      <c r="E103" s="3" t="s">
        <v>472</v>
      </c>
      <c r="F103" s="3" t="s">
        <v>472</v>
      </c>
      <c r="G103" s="3" t="s">
        <v>328</v>
      </c>
      <c r="H103" s="57">
        <v>41638</v>
      </c>
      <c r="J103" s="3">
        <f t="shared" si="20"/>
        <v>2.5499999999999998</v>
      </c>
      <c r="K103" s="3">
        <f t="shared" si="20"/>
        <v>2.65</v>
      </c>
      <c r="L103" s="3">
        <f t="shared" si="20"/>
        <v>2.65</v>
      </c>
      <c r="M103" s="3">
        <f t="shared" si="20"/>
        <v>2.5499999999999998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41638</v>
      </c>
      <c r="S103" s="5">
        <f t="shared" ref="S103:S112" si="23">J103</f>
        <v>2.5499999999999998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2.5499999999999998</v>
      </c>
    </row>
    <row r="104" spans="1:22" x14ac:dyDescent="0.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187</v>
      </c>
      <c r="D104" s="3" t="s">
        <v>324</v>
      </c>
      <c r="E104" s="3" t="s">
        <v>112</v>
      </c>
      <c r="F104" s="3" t="s">
        <v>360</v>
      </c>
      <c r="G104" s="3" t="s">
        <v>406</v>
      </c>
      <c r="H104" s="57">
        <v>41638</v>
      </c>
      <c r="J104" s="3">
        <f t="shared" si="20"/>
        <v>9.23</v>
      </c>
      <c r="K104" s="3">
        <f t="shared" si="20"/>
        <v>9.24</v>
      </c>
      <c r="L104" s="3">
        <f t="shared" si="20"/>
        <v>9.2799999999999994</v>
      </c>
      <c r="M104" s="3">
        <f t="shared" si="20"/>
        <v>9.1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41638</v>
      </c>
      <c r="S104" s="5">
        <f t="shared" si="23"/>
        <v>9.23</v>
      </c>
      <c r="T104" s="5">
        <f t="shared" si="24"/>
        <v>9.24</v>
      </c>
      <c r="U104" s="5">
        <f t="shared" si="25"/>
        <v>9.2799999999999994</v>
      </c>
      <c r="V104" s="5">
        <f t="shared" si="26"/>
        <v>9.1</v>
      </c>
    </row>
    <row r="105" spans="1:22" x14ac:dyDescent="0.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238</v>
      </c>
      <c r="D105" s="3" t="s">
        <v>201</v>
      </c>
      <c r="E105" s="3" t="s">
        <v>201</v>
      </c>
      <c r="F105" s="3" t="s">
        <v>201</v>
      </c>
      <c r="G105" s="3" t="s">
        <v>201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236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 x14ac:dyDescent="0.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188</v>
      </c>
      <c r="D106" s="3" t="s">
        <v>321</v>
      </c>
      <c r="E106" s="3" t="s">
        <v>473</v>
      </c>
      <c r="F106" s="3" t="s">
        <v>389</v>
      </c>
      <c r="G106" s="3" t="s">
        <v>407</v>
      </c>
      <c r="H106" s="57">
        <v>41638</v>
      </c>
      <c r="J106" s="3">
        <f t="shared" si="20"/>
        <v>18.420000000000002</v>
      </c>
      <c r="K106" s="3">
        <f t="shared" si="20"/>
        <v>18.2</v>
      </c>
      <c r="L106" s="3">
        <f t="shared" si="20"/>
        <v>18.489999999999998</v>
      </c>
      <c r="M106" s="3">
        <f t="shared" si="20"/>
        <v>18.100000000000001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41638</v>
      </c>
      <c r="S106" s="5">
        <f t="shared" si="23"/>
        <v>18.420000000000002</v>
      </c>
      <c r="T106" s="5">
        <f t="shared" si="24"/>
        <v>18.2</v>
      </c>
      <c r="U106" s="5">
        <f t="shared" si="25"/>
        <v>18.489999999999998</v>
      </c>
      <c r="V106" s="5">
        <f t="shared" si="26"/>
        <v>18.100000000000001</v>
      </c>
    </row>
    <row r="107" spans="1:22" x14ac:dyDescent="0.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220</v>
      </c>
      <c r="D107" s="3" t="s">
        <v>342</v>
      </c>
      <c r="E107" s="3" t="s">
        <v>474</v>
      </c>
      <c r="F107" s="3" t="s">
        <v>475</v>
      </c>
      <c r="G107" s="3" t="s">
        <v>474</v>
      </c>
      <c r="H107" s="57">
        <v>41638</v>
      </c>
      <c r="J107" s="3">
        <f t="shared" si="20"/>
        <v>35.97</v>
      </c>
      <c r="K107" s="3">
        <f t="shared" si="20"/>
        <v>35.94</v>
      </c>
      <c r="L107" s="3">
        <f t="shared" si="20"/>
        <v>36.42</v>
      </c>
      <c r="M107" s="3">
        <f t="shared" si="20"/>
        <v>35.94</v>
      </c>
      <c r="P107" s="14" t="s">
        <v>219</v>
      </c>
      <c r="Q107" s="10" t="str">
        <f t="shared" si="21"/>
        <v xml:space="preserve">TRACTEBEL   -ON  </v>
      </c>
      <c r="R107" s="57">
        <f t="shared" si="22"/>
        <v>41638</v>
      </c>
      <c r="S107" s="5">
        <f t="shared" si="23"/>
        <v>35.97</v>
      </c>
      <c r="T107" s="5">
        <f t="shared" si="24"/>
        <v>35.94</v>
      </c>
      <c r="U107" s="5">
        <f t="shared" si="25"/>
        <v>36.42</v>
      </c>
      <c r="V107" s="5">
        <f t="shared" si="26"/>
        <v>35.94</v>
      </c>
    </row>
    <row r="108" spans="1:22" x14ac:dyDescent="0.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199</v>
      </c>
      <c r="D108" s="3" t="s">
        <v>145</v>
      </c>
      <c r="E108" s="3" t="s">
        <v>145</v>
      </c>
      <c r="F108" s="3" t="s">
        <v>145</v>
      </c>
      <c r="G108" s="3" t="s">
        <v>145</v>
      </c>
      <c r="H108" s="57">
        <v>41607</v>
      </c>
      <c r="J108" s="3">
        <f t="shared" si="20"/>
        <v>44</v>
      </c>
      <c r="K108" s="3">
        <f t="shared" si="20"/>
        <v>44</v>
      </c>
      <c r="L108" s="3">
        <f t="shared" si="20"/>
        <v>44</v>
      </c>
      <c r="M108" s="3">
        <f t="shared" si="20"/>
        <v>44</v>
      </c>
      <c r="P108" s="14" t="s">
        <v>192</v>
      </c>
      <c r="Q108" s="10" t="str">
        <f t="shared" si="21"/>
        <v xml:space="preserve">TRAN PAULIST-ON  </v>
      </c>
      <c r="R108" s="57">
        <f t="shared" si="22"/>
        <v>41607</v>
      </c>
      <c r="S108" s="5">
        <f t="shared" si="23"/>
        <v>44</v>
      </c>
      <c r="T108" s="5">
        <f t="shared" si="24"/>
        <v>44</v>
      </c>
      <c r="U108" s="5">
        <f t="shared" si="25"/>
        <v>44</v>
      </c>
      <c r="V108" s="5">
        <f t="shared" si="26"/>
        <v>44</v>
      </c>
    </row>
    <row r="109" spans="1:22" x14ac:dyDescent="0.2">
      <c r="A109" s="36" t="str">
        <f>IF(Tabela1[[#This Row],[Código]]="IBOV","^BVSP",IF(Tabela1[[#This Row],[Código]]="","",CONCATENATE(LEFT(Tabela1[[#This Row],[Código]],6),".SA")))</f>
        <v>TRPL4.SA</v>
      </c>
      <c r="C109" s="3" t="s">
        <v>200</v>
      </c>
      <c r="D109" s="3" t="s">
        <v>343</v>
      </c>
      <c r="E109" s="3" t="s">
        <v>476</v>
      </c>
      <c r="F109" s="3" t="s">
        <v>408</v>
      </c>
      <c r="G109" s="3" t="s">
        <v>477</v>
      </c>
      <c r="H109" s="57">
        <v>41638</v>
      </c>
      <c r="J109" s="3">
        <f t="shared" si="20"/>
        <v>26.69</v>
      </c>
      <c r="K109" s="3">
        <f t="shared" si="20"/>
        <v>26.92</v>
      </c>
      <c r="L109" s="3">
        <f t="shared" si="20"/>
        <v>27.05</v>
      </c>
      <c r="M109" s="3">
        <f t="shared" si="20"/>
        <v>26.44</v>
      </c>
      <c r="P109" s="14" t="s">
        <v>193</v>
      </c>
      <c r="Q109" s="10" t="str">
        <f t="shared" si="21"/>
        <v xml:space="preserve">TRAN PAULIST-PN  </v>
      </c>
      <c r="R109" s="57">
        <f t="shared" si="22"/>
        <v>41638</v>
      </c>
      <c r="S109" s="5">
        <f t="shared" si="23"/>
        <v>26.69</v>
      </c>
      <c r="T109" s="5">
        <f t="shared" si="24"/>
        <v>26.92</v>
      </c>
      <c r="U109" s="5">
        <f t="shared" si="25"/>
        <v>27.05</v>
      </c>
      <c r="V109" s="5">
        <f t="shared" si="26"/>
        <v>26.44</v>
      </c>
    </row>
    <row r="110" spans="1:22" x14ac:dyDescent="0.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189</v>
      </c>
      <c r="D110" s="3" t="s">
        <v>198</v>
      </c>
      <c r="E110" s="3" t="s">
        <v>478</v>
      </c>
      <c r="F110" s="3" t="s">
        <v>478</v>
      </c>
      <c r="G110" s="3" t="s">
        <v>198</v>
      </c>
      <c r="H110" s="57">
        <v>41638</v>
      </c>
      <c r="J110" s="3">
        <f t="shared" si="20"/>
        <v>0.64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77</v>
      </c>
      <c r="Q110" s="10" t="str">
        <f t="shared" si="21"/>
        <v>UNIPAR      -PNA</v>
      </c>
      <c r="R110" s="57">
        <f t="shared" si="22"/>
        <v>41638</v>
      </c>
      <c r="S110" s="5">
        <f t="shared" si="23"/>
        <v>0.64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 x14ac:dyDescent="0.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190</v>
      </c>
      <c r="D111" s="3" t="s">
        <v>191</v>
      </c>
      <c r="E111" s="3" t="s">
        <v>191</v>
      </c>
      <c r="F111" s="3" t="s">
        <v>191</v>
      </c>
      <c r="G111" s="3" t="s">
        <v>322</v>
      </c>
      <c r="H111" s="57">
        <v>41638</v>
      </c>
      <c r="J111" s="3">
        <f t="shared" si="20"/>
        <v>0.53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41638</v>
      </c>
      <c r="S111" s="5">
        <f t="shared" si="23"/>
        <v>0.53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 x14ac:dyDescent="0.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 x14ac:dyDescent="0.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 x14ac:dyDescent="0.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 x14ac:dyDescent="0.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 x14ac:dyDescent="0.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 x14ac:dyDescent="0.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 x14ac:dyDescent="0.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 x14ac:dyDescent="0.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 x14ac:dyDescent="0.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 x14ac:dyDescent="0.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 x14ac:dyDescent="0.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 x14ac:dyDescent="0.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 x14ac:dyDescent="0.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 x14ac:dyDescent="0.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 x14ac:dyDescent="0.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 x14ac:dyDescent="0.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 x14ac:dyDescent="0.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 x14ac:dyDescent="0.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 x14ac:dyDescent="0.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 x14ac:dyDescent="0.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 x14ac:dyDescent="0.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 x14ac:dyDescent="0.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 x14ac:dyDescent="0.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 x14ac:dyDescent="0.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 x14ac:dyDescent="0.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 x14ac:dyDescent="0.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 x14ac:dyDescent="0.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 x14ac:dyDescent="0.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 x14ac:dyDescent="0.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 x14ac:dyDescent="0.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 x14ac:dyDescent="0.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 x14ac:dyDescent="0.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 x14ac:dyDescent="0.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 x14ac:dyDescent="0.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 x14ac:dyDescent="0.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 x14ac:dyDescent="0.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 x14ac:dyDescent="0.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 x14ac:dyDescent="0.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 x14ac:dyDescent="0.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 x14ac:dyDescent="0.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 x14ac:dyDescent="0.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 x14ac:dyDescent="0.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 x14ac:dyDescent="0.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 x14ac:dyDescent="0.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 x14ac:dyDescent="0.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 x14ac:dyDescent="0.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 x14ac:dyDescent="0.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 x14ac:dyDescent="0.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 x14ac:dyDescent="0.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 x14ac:dyDescent="0.2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 x14ac:dyDescent="0.2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 x14ac:dyDescent="0.2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 x14ac:dyDescent="0.2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 x14ac:dyDescent="0.2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 x14ac:dyDescent="0.2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 x14ac:dyDescent="0.2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 x14ac:dyDescent="0.2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 x14ac:dyDescent="0.2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 x14ac:dyDescent="0.2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 x14ac:dyDescent="0.2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 x14ac:dyDescent="0.2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 x14ac:dyDescent="0.2">
      <c r="A173" s="36"/>
    </row>
    <row r="174" spans="1:13" x14ac:dyDescent="0.2">
      <c r="A174" s="36"/>
    </row>
    <row r="175" spans="1:13" x14ac:dyDescent="0.2">
      <c r="A175" s="36"/>
    </row>
    <row r="176" spans="1:13" x14ac:dyDescent="0.2">
      <c r="A176" s="36"/>
    </row>
    <row r="177" spans="1:1" x14ac:dyDescent="0.2">
      <c r="A177" s="36"/>
    </row>
    <row r="178" spans="1:1" x14ac:dyDescent="0.2">
      <c r="A178" s="36"/>
    </row>
    <row r="179" spans="1:1" x14ac:dyDescent="0.2">
      <c r="A179" s="36"/>
    </row>
    <row r="180" spans="1:1" x14ac:dyDescent="0.2">
      <c r="A180" s="36"/>
    </row>
    <row r="181" spans="1:1" x14ac:dyDescent="0.2">
      <c r="A181" s="36"/>
    </row>
    <row r="182" spans="1:1" x14ac:dyDescent="0.2">
      <c r="A182" s="36"/>
    </row>
    <row r="183" spans="1:1" x14ac:dyDescent="0.2">
      <c r="A183" s="36"/>
    </row>
    <row r="184" spans="1:1" x14ac:dyDescent="0.2">
      <c r="A184" s="36"/>
    </row>
    <row r="185" spans="1:1" x14ac:dyDescent="0.2">
      <c r="A185" s="36"/>
    </row>
    <row r="186" spans="1:1" x14ac:dyDescent="0.2">
      <c r="A186" s="36"/>
    </row>
    <row r="187" spans="1:1" x14ac:dyDescent="0.2">
      <c r="A187" s="36"/>
    </row>
    <row r="188" spans="1:1" x14ac:dyDescent="0.2">
      <c r="A188" s="36"/>
    </row>
    <row r="189" spans="1:1" x14ac:dyDescent="0.2">
      <c r="A189" s="36"/>
    </row>
    <row r="190" spans="1:1" x14ac:dyDescent="0.2">
      <c r="A190" s="36"/>
    </row>
    <row r="191" spans="1:1" x14ac:dyDescent="0.2">
      <c r="A191" s="36"/>
    </row>
    <row r="192" spans="1:1" x14ac:dyDescent="0.2">
      <c r="A192" s="36"/>
    </row>
    <row r="193" spans="1:1" x14ac:dyDescent="0.2">
      <c r="A193" s="36"/>
    </row>
    <row r="194" spans="1:1" x14ac:dyDescent="0.2">
      <c r="A194" s="36"/>
    </row>
    <row r="195" spans="1:1" x14ac:dyDescent="0.2">
      <c r="A195" s="36"/>
    </row>
    <row r="196" spans="1:1" x14ac:dyDescent="0.2">
      <c r="A196" s="36"/>
    </row>
    <row r="197" spans="1:1" x14ac:dyDescent="0.2">
      <c r="A197" s="36"/>
    </row>
    <row r="198" spans="1:1" x14ac:dyDescent="0.2">
      <c r="A198" s="36"/>
    </row>
    <row r="199" spans="1:1" x14ac:dyDescent="0.2">
      <c r="A199" s="36"/>
    </row>
    <row r="200" spans="1:1" x14ac:dyDescent="0.2">
      <c r="A200" s="36"/>
    </row>
    <row r="201" spans="1:1" x14ac:dyDescent="0.2">
      <c r="A201" s="36"/>
    </row>
    <row r="202" spans="1:1" x14ac:dyDescent="0.2">
      <c r="A202" s="36"/>
    </row>
    <row r="203" spans="1:1" x14ac:dyDescent="0.2">
      <c r="A203" s="36"/>
    </row>
    <row r="204" spans="1:1" x14ac:dyDescent="0.2">
      <c r="A204" s="36"/>
    </row>
    <row r="205" spans="1:1" x14ac:dyDescent="0.2">
      <c r="A205" s="36"/>
    </row>
    <row r="206" spans="1:1" x14ac:dyDescent="0.2">
      <c r="A206" s="36"/>
    </row>
    <row r="207" spans="1:1" x14ac:dyDescent="0.2">
      <c r="A207" s="36"/>
    </row>
    <row r="208" spans="1:1" x14ac:dyDescent="0.2">
      <c r="A208" s="36"/>
    </row>
    <row r="209" spans="1:1" x14ac:dyDescent="0.2">
      <c r="A209" s="36"/>
    </row>
    <row r="210" spans="1:1" x14ac:dyDescent="0.2">
      <c r="A210" s="36"/>
    </row>
    <row r="211" spans="1:1" x14ac:dyDescent="0.2">
      <c r="A211" s="36"/>
    </row>
    <row r="212" spans="1:1" x14ac:dyDescent="0.2">
      <c r="A212" s="36"/>
    </row>
    <row r="213" spans="1:1" x14ac:dyDescent="0.2">
      <c r="A213" s="36"/>
    </row>
    <row r="214" spans="1:1" x14ac:dyDescent="0.2">
      <c r="A214" s="36"/>
    </row>
    <row r="215" spans="1:1" x14ac:dyDescent="0.2">
      <c r="A215" s="36"/>
    </row>
    <row r="216" spans="1:1" x14ac:dyDescent="0.2">
      <c r="A216" s="36"/>
    </row>
    <row r="217" spans="1:1" x14ac:dyDescent="0.2">
      <c r="A217" s="36"/>
    </row>
    <row r="218" spans="1:1" x14ac:dyDescent="0.2">
      <c r="A218" s="36"/>
    </row>
    <row r="219" spans="1:1" x14ac:dyDescent="0.2">
      <c r="A219" s="36"/>
    </row>
    <row r="220" spans="1:1" x14ac:dyDescent="0.2">
      <c r="A220" s="36"/>
    </row>
    <row r="221" spans="1:1" x14ac:dyDescent="0.2">
      <c r="A221" s="36"/>
    </row>
    <row r="222" spans="1:1" x14ac:dyDescent="0.2">
      <c r="A222" s="36"/>
    </row>
    <row r="223" spans="1:1" x14ac:dyDescent="0.2">
      <c r="A223" s="36"/>
    </row>
    <row r="224" spans="1:1" x14ac:dyDescent="0.2">
      <c r="A224" s="36"/>
    </row>
    <row r="225" spans="1:1" x14ac:dyDescent="0.2">
      <c r="A225" s="36"/>
    </row>
    <row r="226" spans="1:1" x14ac:dyDescent="0.2">
      <c r="A226" s="36"/>
    </row>
    <row r="227" spans="1:1" x14ac:dyDescent="0.2">
      <c r="A227" s="36"/>
    </row>
    <row r="228" spans="1:1" x14ac:dyDescent="0.2">
      <c r="A228" s="36"/>
    </row>
    <row r="229" spans="1:1" x14ac:dyDescent="0.2">
      <c r="A229" s="36"/>
    </row>
    <row r="230" spans="1:1" x14ac:dyDescent="0.2">
      <c r="A230" s="36"/>
    </row>
    <row r="231" spans="1:1" x14ac:dyDescent="0.2">
      <c r="A231" s="36"/>
    </row>
    <row r="232" spans="1:1" x14ac:dyDescent="0.2">
      <c r="A232" s="36"/>
    </row>
    <row r="233" spans="1:1" x14ac:dyDescent="0.2">
      <c r="A233" s="36"/>
    </row>
    <row r="234" spans="1:1" x14ac:dyDescent="0.2">
      <c r="A234" s="36"/>
    </row>
    <row r="235" spans="1:1" x14ac:dyDescent="0.2">
      <c r="A235" s="36"/>
    </row>
    <row r="236" spans="1:1" x14ac:dyDescent="0.2">
      <c r="A236" s="36"/>
    </row>
    <row r="237" spans="1:1" x14ac:dyDescent="0.2">
      <c r="A237" s="36"/>
    </row>
    <row r="238" spans="1:1" x14ac:dyDescent="0.2">
      <c r="A238" s="36"/>
    </row>
    <row r="239" spans="1:1" x14ac:dyDescent="0.2">
      <c r="A239" s="36"/>
    </row>
    <row r="240" spans="1:1" x14ac:dyDescent="0.2">
      <c r="A240" s="36"/>
    </row>
    <row r="241" spans="1:1" x14ac:dyDescent="0.2">
      <c r="A241" s="36"/>
    </row>
    <row r="242" spans="1:1" x14ac:dyDescent="0.2">
      <c r="A242" s="36"/>
    </row>
    <row r="243" spans="1:1" x14ac:dyDescent="0.2">
      <c r="A243" s="36"/>
    </row>
    <row r="244" spans="1:1" x14ac:dyDescent="0.2">
      <c r="A244" s="36"/>
    </row>
    <row r="245" spans="1:1" x14ac:dyDescent="0.2">
      <c r="A245" s="36"/>
    </row>
    <row r="246" spans="1:1" x14ac:dyDescent="0.2">
      <c r="A246" s="36"/>
    </row>
    <row r="247" spans="1:1" x14ac:dyDescent="0.2">
      <c r="A247" s="36"/>
    </row>
    <row r="248" spans="1:1" x14ac:dyDescent="0.2">
      <c r="A248" s="36"/>
    </row>
    <row r="249" spans="1:1" x14ac:dyDescent="0.2">
      <c r="A249" s="36"/>
    </row>
    <row r="250" spans="1:1" x14ac:dyDescent="0.2">
      <c r="A250" s="36"/>
    </row>
    <row r="251" spans="1:1" x14ac:dyDescent="0.2">
      <c r="A251" s="36"/>
    </row>
    <row r="252" spans="1:1" x14ac:dyDescent="0.2">
      <c r="A252" s="36"/>
    </row>
    <row r="253" spans="1:1" x14ac:dyDescent="0.2">
      <c r="A253" s="36"/>
    </row>
    <row r="254" spans="1:1" x14ac:dyDescent="0.2">
      <c r="A254" s="36"/>
    </row>
    <row r="255" spans="1:1" x14ac:dyDescent="0.2">
      <c r="A255" s="36"/>
    </row>
    <row r="256" spans="1:1" x14ac:dyDescent="0.2">
      <c r="A256" s="36"/>
    </row>
    <row r="257" spans="1:1" x14ac:dyDescent="0.2">
      <c r="A257" s="36"/>
    </row>
    <row r="258" spans="1:1" x14ac:dyDescent="0.2">
      <c r="A258" s="36"/>
    </row>
    <row r="259" spans="1:1" x14ac:dyDescent="0.2">
      <c r="A259" s="36"/>
    </row>
    <row r="260" spans="1:1" x14ac:dyDescent="0.2">
      <c r="A260" s="36"/>
    </row>
    <row r="261" spans="1:1" x14ac:dyDescent="0.2">
      <c r="A261" s="36"/>
    </row>
    <row r="262" spans="1:1" x14ac:dyDescent="0.2">
      <c r="A262" s="36"/>
    </row>
    <row r="263" spans="1:1" x14ac:dyDescent="0.2">
      <c r="A263" s="36"/>
    </row>
    <row r="264" spans="1:1" x14ac:dyDescent="0.2">
      <c r="A264" s="36"/>
    </row>
    <row r="265" spans="1:1" x14ac:dyDescent="0.2">
      <c r="A265" s="36"/>
    </row>
    <row r="266" spans="1:1" x14ac:dyDescent="0.2">
      <c r="A266" s="36"/>
    </row>
    <row r="267" spans="1:1" x14ac:dyDescent="0.2">
      <c r="A267" s="36"/>
    </row>
    <row r="268" spans="1:1" x14ac:dyDescent="0.2">
      <c r="A268" s="36"/>
    </row>
    <row r="269" spans="1:1" x14ac:dyDescent="0.2">
      <c r="A269" s="36"/>
    </row>
    <row r="270" spans="1:1" x14ac:dyDescent="0.2">
      <c r="A270" s="36"/>
    </row>
    <row r="271" spans="1:1" x14ac:dyDescent="0.2">
      <c r="A271" s="36"/>
    </row>
    <row r="272" spans="1:1" x14ac:dyDescent="0.2">
      <c r="A272" s="36"/>
    </row>
    <row r="273" spans="1:1" x14ac:dyDescent="0.2">
      <c r="A273" s="36"/>
    </row>
    <row r="274" spans="1:1" x14ac:dyDescent="0.2">
      <c r="A274" s="36"/>
    </row>
    <row r="275" spans="1:1" x14ac:dyDescent="0.2">
      <c r="A275" s="36"/>
    </row>
    <row r="276" spans="1:1" x14ac:dyDescent="0.2">
      <c r="A276" s="36"/>
    </row>
    <row r="277" spans="1:1" x14ac:dyDescent="0.2">
      <c r="A277" s="36"/>
    </row>
    <row r="278" spans="1:1" x14ac:dyDescent="0.2">
      <c r="A278" s="36"/>
    </row>
    <row r="279" spans="1:1" x14ac:dyDescent="0.2">
      <c r="A279" s="36"/>
    </row>
    <row r="280" spans="1:1" x14ac:dyDescent="0.2">
      <c r="A280" s="36"/>
    </row>
    <row r="281" spans="1:1" x14ac:dyDescent="0.2">
      <c r="A281" s="36"/>
    </row>
    <row r="282" spans="1:1" x14ac:dyDescent="0.2">
      <c r="A282" s="36"/>
    </row>
    <row r="283" spans="1:1" x14ac:dyDescent="0.2">
      <c r="A283" s="36"/>
    </row>
    <row r="284" spans="1:1" x14ac:dyDescent="0.2">
      <c r="A284" s="36"/>
    </row>
    <row r="285" spans="1:1" x14ac:dyDescent="0.2">
      <c r="A285" s="36"/>
    </row>
    <row r="286" spans="1:1" x14ac:dyDescent="0.2">
      <c r="A286" s="36"/>
    </row>
    <row r="287" spans="1:1" x14ac:dyDescent="0.2">
      <c r="A287" s="36"/>
    </row>
    <row r="288" spans="1:1" x14ac:dyDescent="0.2">
      <c r="A288" s="36"/>
    </row>
    <row r="289" spans="1:1" x14ac:dyDescent="0.2">
      <c r="A289" s="36"/>
    </row>
    <row r="290" spans="1:1" x14ac:dyDescent="0.2">
      <c r="A290" s="36"/>
    </row>
    <row r="291" spans="1:1" x14ac:dyDescent="0.2">
      <c r="A291" s="36"/>
    </row>
    <row r="292" spans="1:1" x14ac:dyDescent="0.2">
      <c r="A292" s="36"/>
    </row>
    <row r="293" spans="1:1" x14ac:dyDescent="0.2">
      <c r="A293" s="36"/>
    </row>
    <row r="294" spans="1:1" x14ac:dyDescent="0.2">
      <c r="A294" s="36"/>
    </row>
    <row r="295" spans="1:1" x14ac:dyDescent="0.2">
      <c r="A295" s="36"/>
    </row>
    <row r="296" spans="1:1" x14ac:dyDescent="0.2">
      <c r="A296" s="36"/>
    </row>
    <row r="297" spans="1:1" x14ac:dyDescent="0.2">
      <c r="A297" s="36"/>
    </row>
    <row r="298" spans="1:1" x14ac:dyDescent="0.2">
      <c r="A298" s="36"/>
    </row>
    <row r="299" spans="1:1" x14ac:dyDescent="0.2">
      <c r="A299" s="36"/>
    </row>
    <row r="300" spans="1:1" x14ac:dyDescent="0.2">
      <c r="A300" s="36"/>
    </row>
    <row r="301" spans="1:1" x14ac:dyDescent="0.2">
      <c r="A301" s="36"/>
    </row>
    <row r="302" spans="1:1" x14ac:dyDescent="0.2">
      <c r="A302" s="36"/>
    </row>
    <row r="303" spans="1:1" x14ac:dyDescent="0.2">
      <c r="A303" s="36"/>
    </row>
    <row r="304" spans="1:1" x14ac:dyDescent="0.2">
      <c r="A304" s="36"/>
    </row>
    <row r="305" spans="1:1" x14ac:dyDescent="0.2">
      <c r="A305" s="36"/>
    </row>
    <row r="306" spans="1:1" x14ac:dyDescent="0.2">
      <c r="A306" s="36"/>
    </row>
    <row r="307" spans="1:1" x14ac:dyDescent="0.2">
      <c r="A307" s="36"/>
    </row>
    <row r="308" spans="1:1" x14ac:dyDescent="0.2">
      <c r="A308" s="36"/>
    </row>
    <row r="309" spans="1:1" x14ac:dyDescent="0.2">
      <c r="A309" s="36"/>
    </row>
    <row r="310" spans="1:1" x14ac:dyDescent="0.2">
      <c r="A310" s="36"/>
    </row>
    <row r="311" spans="1:1" x14ac:dyDescent="0.2">
      <c r="A311" s="36"/>
    </row>
    <row r="312" spans="1:1" x14ac:dyDescent="0.2">
      <c r="A312" s="36"/>
    </row>
    <row r="313" spans="1:1" x14ac:dyDescent="0.2">
      <c r="A313" s="36"/>
    </row>
    <row r="314" spans="1:1" x14ac:dyDescent="0.2">
      <c r="A314" s="36"/>
    </row>
    <row r="315" spans="1:1" x14ac:dyDescent="0.2">
      <c r="A315" s="36"/>
    </row>
    <row r="316" spans="1:1" x14ac:dyDescent="0.2">
      <c r="A316" s="36"/>
    </row>
    <row r="317" spans="1:1" x14ac:dyDescent="0.2">
      <c r="A317" s="36"/>
    </row>
    <row r="318" spans="1:1" x14ac:dyDescent="0.2">
      <c r="A318" s="36"/>
    </row>
    <row r="319" spans="1:1" x14ac:dyDescent="0.2">
      <c r="A319" s="36"/>
    </row>
    <row r="320" spans="1:1" x14ac:dyDescent="0.2">
      <c r="A320" s="36"/>
    </row>
    <row r="321" spans="1:1" x14ac:dyDescent="0.2">
      <c r="A321" s="36"/>
    </row>
    <row r="322" spans="1:1" x14ac:dyDescent="0.2">
      <c r="A322" s="36"/>
    </row>
    <row r="323" spans="1:1" x14ac:dyDescent="0.2">
      <c r="A323" s="36"/>
    </row>
    <row r="324" spans="1:1" x14ac:dyDescent="0.2">
      <c r="A324" s="36"/>
    </row>
    <row r="325" spans="1:1" x14ac:dyDescent="0.2">
      <c r="A325" s="36"/>
    </row>
    <row r="326" spans="1:1" x14ac:dyDescent="0.2">
      <c r="A326" s="36"/>
    </row>
    <row r="327" spans="1:1" x14ac:dyDescent="0.2">
      <c r="A327" s="36"/>
    </row>
    <row r="328" spans="1:1" x14ac:dyDescent="0.2">
      <c r="A328" s="36"/>
    </row>
    <row r="329" spans="1:1" x14ac:dyDescent="0.2">
      <c r="A329" s="36"/>
    </row>
    <row r="330" spans="1:1" x14ac:dyDescent="0.2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631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6" t="str">
        <f>IF(Tabela17[[#This Row],[Código]]="IBOV","^BVSP",IF(Tabela17[[#This Row],[Código]]="","",CONCATENATE(LEFT(Tabela17[[#This Row],[Código]],6),".SA")))</f>
        <v>PETR3.SA</v>
      </c>
      <c r="C7" s="3" t="s">
        <v>484</v>
      </c>
      <c r="D7" s="3" t="s">
        <v>485</v>
      </c>
      <c r="E7" s="3" t="s">
        <v>486</v>
      </c>
      <c r="F7" s="3" t="s">
        <v>487</v>
      </c>
      <c r="G7" s="3" t="s">
        <v>488</v>
      </c>
      <c r="H7" s="57">
        <v>41638</v>
      </c>
      <c r="J7" s="3">
        <f>IF($A7="",0,VALUE(CONCATENATE(LEFT(D7,LEN(D7)-3),",",RIGHT(D7,2))))</f>
        <v>16</v>
      </c>
      <c r="K7" s="3">
        <f t="shared" ref="K7:M22" si="0">IF($A7="",0,VALUE(CONCATENATE(LEFT(E7,LEN(E7)-3),",",RIGHT(E7,2))))</f>
        <v>15.99</v>
      </c>
      <c r="L7" s="3">
        <f t="shared" si="0"/>
        <v>16.3</v>
      </c>
      <c r="M7" s="3">
        <f t="shared" si="0"/>
        <v>15.91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41638</v>
      </c>
      <c r="S7" s="5">
        <f t="shared" ref="S7:V38" si="3">J7</f>
        <v>16</v>
      </c>
      <c r="T7" s="5">
        <f t="shared" si="3"/>
        <v>15.99</v>
      </c>
      <c r="U7" s="5">
        <f t="shared" si="3"/>
        <v>16.3</v>
      </c>
      <c r="V7" s="5">
        <f t="shared" si="3"/>
        <v>15.91</v>
      </c>
    </row>
    <row r="8" spans="1:22" x14ac:dyDescent="0.2">
      <c r="A8" s="36" t="str">
        <f>IF(Tabela17[[#This Row],[Código]]="IBOV","^BVSP",IF(Tabela17[[#This Row],[Código]]="","",CONCATENATE(LEFT(Tabela17[[#This Row],[Código]],6),".SA")))</f>
        <v>PETR4.SA</v>
      </c>
      <c r="C8" s="3" t="s">
        <v>479</v>
      </c>
      <c r="D8" s="3" t="s">
        <v>480</v>
      </c>
      <c r="E8" s="3" t="s">
        <v>129</v>
      </c>
      <c r="F8" s="3" t="s">
        <v>481</v>
      </c>
      <c r="G8" s="3" t="s">
        <v>480</v>
      </c>
      <c r="H8" s="57">
        <v>41638</v>
      </c>
      <c r="J8" s="3">
        <f t="shared" ref="J8:M71" si="4">IF($A8="",0,VALUE(CONCATENATE(LEFT(D8,LEN(D8)-3),",",RIGHT(D8,2))))</f>
        <v>16.95</v>
      </c>
      <c r="K8" s="3">
        <f t="shared" si="0"/>
        <v>17.079999999999998</v>
      </c>
      <c r="L8" s="3">
        <f t="shared" si="0"/>
        <v>17.25</v>
      </c>
      <c r="M8" s="3">
        <f t="shared" si="0"/>
        <v>16.95</v>
      </c>
      <c r="P8" s="14" t="s">
        <v>21</v>
      </c>
      <c r="Q8" s="10" t="str">
        <f t="shared" si="1"/>
        <v>PETROBRAS   -PN</v>
      </c>
      <c r="R8" s="57">
        <f t="shared" si="2"/>
        <v>41638</v>
      </c>
      <c r="S8" s="5">
        <f t="shared" si="3"/>
        <v>16.95</v>
      </c>
      <c r="T8" s="5">
        <f t="shared" si="3"/>
        <v>17.079999999999998</v>
      </c>
      <c r="U8" s="5">
        <f t="shared" si="3"/>
        <v>17.25</v>
      </c>
      <c r="V8" s="5">
        <f t="shared" si="3"/>
        <v>16.95</v>
      </c>
    </row>
    <row r="9" spans="1:22" x14ac:dyDescent="0.2">
      <c r="A9" s="36" t="str">
        <f>IF(Tabela17[[#This Row],[Código]]="IBOV","^BVSP",IF(Tabela17[[#This Row],[Código]]="","",CONCATENATE(LEFT(Tabela17[[#This Row],[Código]],6),".SA")))</f>
        <v>QGEP3.SA</v>
      </c>
      <c r="C9" s="3" t="s">
        <v>491</v>
      </c>
      <c r="D9" s="3" t="s">
        <v>492</v>
      </c>
      <c r="E9" s="3" t="s">
        <v>399</v>
      </c>
      <c r="F9" s="3" t="s">
        <v>493</v>
      </c>
      <c r="G9" s="3" t="s">
        <v>492</v>
      </c>
      <c r="H9" s="57">
        <v>41638</v>
      </c>
      <c r="J9" s="3">
        <f t="shared" si="4"/>
        <v>9.3699999999999992</v>
      </c>
      <c r="K9" s="3">
        <f t="shared" si="0"/>
        <v>9.7799999999999994</v>
      </c>
      <c r="L9" s="3">
        <f t="shared" si="0"/>
        <v>9.7899999999999991</v>
      </c>
      <c r="M9" s="3">
        <f t="shared" si="0"/>
        <v>9.3699999999999992</v>
      </c>
      <c r="P9" s="15" t="s">
        <v>490</v>
      </c>
      <c r="Q9" s="10" t="str">
        <f t="shared" si="1"/>
        <v xml:space="preserve">QGEP PART   -ON  </v>
      </c>
      <c r="R9" s="57">
        <f t="shared" si="2"/>
        <v>41638</v>
      </c>
      <c r="S9" s="5">
        <f t="shared" si="3"/>
        <v>9.3699999999999992</v>
      </c>
      <c r="T9" s="5">
        <f t="shared" si="3"/>
        <v>9.7799999999999994</v>
      </c>
      <c r="U9" s="5">
        <f t="shared" si="3"/>
        <v>9.7899999999999991</v>
      </c>
      <c r="V9" s="5">
        <f t="shared" si="3"/>
        <v>9.3699999999999992</v>
      </c>
    </row>
    <row r="10" spans="1:22" x14ac:dyDescent="0.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494</v>
      </c>
      <c r="D10" s="3" t="s">
        <v>495</v>
      </c>
      <c r="E10" s="3" t="s">
        <v>496</v>
      </c>
      <c r="F10" s="3" t="s">
        <v>497</v>
      </c>
      <c r="G10" s="3" t="s">
        <v>378</v>
      </c>
      <c r="H10" s="57">
        <v>41638</v>
      </c>
      <c r="J10" s="3">
        <f t="shared" si="4"/>
        <v>14.58</v>
      </c>
      <c r="K10" s="3">
        <f t="shared" si="0"/>
        <v>14.79</v>
      </c>
      <c r="L10" s="3">
        <f t="shared" si="0"/>
        <v>14.86</v>
      </c>
      <c r="M10" s="3">
        <f t="shared" si="0"/>
        <v>14.48</v>
      </c>
      <c r="P10" s="14" t="s">
        <v>58</v>
      </c>
      <c r="Q10" s="10" t="str">
        <f t="shared" si="1"/>
        <v xml:space="preserve">SUL AMERICA -UNT </v>
      </c>
      <c r="R10" s="57">
        <f t="shared" si="2"/>
        <v>41638</v>
      </c>
      <c r="S10" s="5">
        <f t="shared" si="3"/>
        <v>14.58</v>
      </c>
      <c r="T10" s="5">
        <f t="shared" si="3"/>
        <v>14.79</v>
      </c>
      <c r="U10" s="5">
        <f t="shared" si="3"/>
        <v>14.86</v>
      </c>
      <c r="V10" s="5">
        <f t="shared" si="3"/>
        <v>14.48</v>
      </c>
    </row>
    <row r="11" spans="1:22" x14ac:dyDescent="0.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500</v>
      </c>
      <c r="D11" s="3" t="s">
        <v>501</v>
      </c>
      <c r="E11" s="3" t="s">
        <v>501</v>
      </c>
      <c r="F11" s="3" t="s">
        <v>501</v>
      </c>
      <c r="G11" s="3" t="s">
        <v>501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498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 x14ac:dyDescent="0.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502</v>
      </c>
      <c r="D12" s="3" t="s">
        <v>503</v>
      </c>
      <c r="E12" s="3" t="s">
        <v>503</v>
      </c>
      <c r="F12" s="3" t="s">
        <v>503</v>
      </c>
      <c r="G12" s="3" t="s">
        <v>503</v>
      </c>
      <c r="H12" s="57">
        <v>41628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499</v>
      </c>
      <c r="Q12" s="10" t="str">
        <f t="shared" si="1"/>
        <v>SEG AL BAHIA-PN</v>
      </c>
      <c r="R12" s="57">
        <f t="shared" si="2"/>
        <v>41628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 x14ac:dyDescent="0.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504</v>
      </c>
      <c r="D13" s="3" t="s">
        <v>505</v>
      </c>
      <c r="E13" s="3" t="s">
        <v>506</v>
      </c>
      <c r="F13" s="3" t="s">
        <v>506</v>
      </c>
      <c r="G13" s="3" t="s">
        <v>507</v>
      </c>
      <c r="H13" s="57">
        <v>41638</v>
      </c>
      <c r="J13" s="3">
        <f t="shared" si="4"/>
        <v>24.06</v>
      </c>
      <c r="K13" s="3">
        <f t="shared" si="0"/>
        <v>24.5</v>
      </c>
      <c r="L13" s="3">
        <f t="shared" si="0"/>
        <v>24.5</v>
      </c>
      <c r="M13" s="3">
        <f t="shared" si="0"/>
        <v>24.05</v>
      </c>
      <c r="P13" s="15" t="s">
        <v>25</v>
      </c>
      <c r="Q13" s="10" t="str">
        <f t="shared" si="1"/>
        <v xml:space="preserve">BBSEGURIDADE-ON  </v>
      </c>
      <c r="R13" s="57">
        <f t="shared" si="2"/>
        <v>41638</v>
      </c>
      <c r="S13" s="5">
        <f t="shared" si="3"/>
        <v>24.06</v>
      </c>
      <c r="T13" s="5">
        <f t="shared" si="3"/>
        <v>24.5</v>
      </c>
      <c r="U13" s="5">
        <f t="shared" si="3"/>
        <v>24.5</v>
      </c>
      <c r="V13" s="5">
        <f t="shared" si="3"/>
        <v>24.05</v>
      </c>
    </row>
    <row r="14" spans="1:22" x14ac:dyDescent="0.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510</v>
      </c>
      <c r="D14" s="3" t="s">
        <v>511</v>
      </c>
      <c r="E14" s="3" t="s">
        <v>511</v>
      </c>
      <c r="F14" s="3" t="s">
        <v>511</v>
      </c>
      <c r="G14" s="3" t="s">
        <v>511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508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 x14ac:dyDescent="0.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512</v>
      </c>
      <c r="D15" s="3" t="s">
        <v>513</v>
      </c>
      <c r="E15" s="3" t="s">
        <v>513</v>
      </c>
      <c r="F15" s="3" t="s">
        <v>513</v>
      </c>
      <c r="G15" s="3" t="s">
        <v>513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509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 x14ac:dyDescent="0.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514</v>
      </c>
      <c r="D16" s="3" t="s">
        <v>515</v>
      </c>
      <c r="E16" s="3" t="s">
        <v>516</v>
      </c>
      <c r="F16" s="3" t="s">
        <v>515</v>
      </c>
      <c r="G16" s="3" t="s">
        <v>517</v>
      </c>
      <c r="H16" s="57">
        <v>41638</v>
      </c>
      <c r="J16" s="3">
        <f t="shared" si="4"/>
        <v>2.5299999999999998</v>
      </c>
      <c r="K16" s="3">
        <f t="shared" si="0"/>
        <v>2.4900000000000002</v>
      </c>
      <c r="L16" s="3">
        <f t="shared" si="0"/>
        <v>2.5299999999999998</v>
      </c>
      <c r="M16" s="3">
        <f t="shared" si="0"/>
        <v>2.4700000000000002</v>
      </c>
      <c r="P16" s="15" t="s">
        <v>82</v>
      </c>
      <c r="Q16" s="10" t="str">
        <f t="shared" si="1"/>
        <v xml:space="preserve">TEREOS      -ON  </v>
      </c>
      <c r="R16" s="57">
        <f t="shared" si="2"/>
        <v>41638</v>
      </c>
      <c r="S16" s="5">
        <f t="shared" si="3"/>
        <v>2.5299999999999998</v>
      </c>
      <c r="T16" s="5">
        <f t="shared" si="3"/>
        <v>2.4900000000000002</v>
      </c>
      <c r="U16" s="5">
        <f t="shared" si="3"/>
        <v>2.5299999999999998</v>
      </c>
      <c r="V16" s="5">
        <f t="shared" si="3"/>
        <v>2.4700000000000002</v>
      </c>
    </row>
    <row r="17" spans="1:22" x14ac:dyDescent="0.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521</v>
      </c>
      <c r="D17" s="3" t="s">
        <v>522</v>
      </c>
      <c r="E17" s="3" t="s">
        <v>522</v>
      </c>
      <c r="F17" s="3" t="s">
        <v>522</v>
      </c>
      <c r="G17" s="3" t="s">
        <v>522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519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 x14ac:dyDescent="0.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523</v>
      </c>
      <c r="D18" s="3" t="s">
        <v>524</v>
      </c>
      <c r="E18" s="3" t="s">
        <v>525</v>
      </c>
      <c r="F18" s="3" t="s">
        <v>525</v>
      </c>
      <c r="G18" s="3" t="s">
        <v>524</v>
      </c>
      <c r="H18" s="57">
        <v>41631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520</v>
      </c>
      <c r="Q18" s="10" t="str">
        <f t="shared" si="1"/>
        <v xml:space="preserve">ELEKEIROZ   -PN  </v>
      </c>
      <c r="R18" s="57">
        <f t="shared" si="2"/>
        <v>41631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 x14ac:dyDescent="0.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529</v>
      </c>
      <c r="D19" s="3" t="s">
        <v>530</v>
      </c>
      <c r="E19" s="3" t="s">
        <v>531</v>
      </c>
      <c r="F19" s="3" t="s">
        <v>531</v>
      </c>
      <c r="G19" s="3" t="s">
        <v>530</v>
      </c>
      <c r="H19" s="57">
        <v>41638</v>
      </c>
      <c r="J19" s="3">
        <f t="shared" si="4"/>
        <v>16.2</v>
      </c>
      <c r="K19" s="3">
        <f t="shared" si="0"/>
        <v>16.5</v>
      </c>
      <c r="L19" s="3">
        <f t="shared" si="0"/>
        <v>16.5</v>
      </c>
      <c r="M19" s="3">
        <f t="shared" si="0"/>
        <v>16.2</v>
      </c>
      <c r="P19" s="14" t="s">
        <v>526</v>
      </c>
      <c r="Q19" s="10" t="str">
        <f t="shared" si="1"/>
        <v xml:space="preserve">BRASKEM     -ON  </v>
      </c>
      <c r="R19" s="57">
        <f t="shared" si="2"/>
        <v>41638</v>
      </c>
      <c r="S19" s="5">
        <f t="shared" si="3"/>
        <v>16.2</v>
      </c>
      <c r="T19" s="5">
        <f t="shared" si="3"/>
        <v>16.5</v>
      </c>
      <c r="U19" s="5">
        <f t="shared" si="3"/>
        <v>16.5</v>
      </c>
      <c r="V19" s="5">
        <f t="shared" si="3"/>
        <v>16.2</v>
      </c>
    </row>
    <row r="20" spans="1:22" x14ac:dyDescent="0.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532</v>
      </c>
      <c r="D20" s="3" t="s">
        <v>533</v>
      </c>
      <c r="E20" s="3" t="s">
        <v>534</v>
      </c>
      <c r="F20" s="3" t="s">
        <v>535</v>
      </c>
      <c r="G20" s="3" t="s">
        <v>536</v>
      </c>
      <c r="H20" s="57">
        <v>41638</v>
      </c>
      <c r="J20" s="3">
        <f t="shared" si="4"/>
        <v>20.7</v>
      </c>
      <c r="K20" s="3">
        <f t="shared" si="0"/>
        <v>21</v>
      </c>
      <c r="L20" s="3">
        <f t="shared" si="0"/>
        <v>21.17</v>
      </c>
      <c r="M20" s="3">
        <f t="shared" si="0"/>
        <v>20.61</v>
      </c>
      <c r="P20" s="14" t="s">
        <v>527</v>
      </c>
      <c r="Q20" s="10" t="str">
        <f t="shared" si="1"/>
        <v xml:space="preserve">BRASKEM     -PNA </v>
      </c>
      <c r="R20" s="57">
        <f t="shared" si="2"/>
        <v>41638</v>
      </c>
      <c r="S20" s="5">
        <f t="shared" si="3"/>
        <v>20.7</v>
      </c>
      <c r="T20" s="5">
        <f t="shared" si="3"/>
        <v>21</v>
      </c>
      <c r="U20" s="5">
        <f t="shared" si="3"/>
        <v>21.17</v>
      </c>
      <c r="V20" s="5">
        <f t="shared" si="3"/>
        <v>20.61</v>
      </c>
    </row>
    <row r="21" spans="1:22" x14ac:dyDescent="0.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537</v>
      </c>
      <c r="D21" s="3" t="s">
        <v>538</v>
      </c>
      <c r="E21" s="3" t="s">
        <v>538</v>
      </c>
      <c r="F21" s="3" t="s">
        <v>538</v>
      </c>
      <c r="G21" s="3" t="s">
        <v>538</v>
      </c>
      <c r="H21" s="57">
        <v>41516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528</v>
      </c>
      <c r="Q21" s="10" t="str">
        <f t="shared" si="1"/>
        <v xml:space="preserve">BRASKEM     -PNB </v>
      </c>
      <c r="R21" s="57">
        <f t="shared" si="2"/>
        <v>41516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 x14ac:dyDescent="0.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541</v>
      </c>
      <c r="D22" s="3" t="s">
        <v>542</v>
      </c>
      <c r="E22" s="3" t="s">
        <v>543</v>
      </c>
      <c r="F22" s="3" t="s">
        <v>544</v>
      </c>
      <c r="G22" s="3" t="s">
        <v>545</v>
      </c>
      <c r="H22" s="57">
        <v>41638</v>
      </c>
      <c r="J22" s="3">
        <f t="shared" si="4"/>
        <v>39.270000000000003</v>
      </c>
      <c r="K22" s="3">
        <f t="shared" si="0"/>
        <v>39.58</v>
      </c>
      <c r="L22" s="3">
        <f t="shared" si="0"/>
        <v>39.9</v>
      </c>
      <c r="M22" s="3">
        <f t="shared" si="0"/>
        <v>39.18</v>
      </c>
      <c r="P22" s="14" t="s">
        <v>540</v>
      </c>
      <c r="Q22" s="10" t="str">
        <f t="shared" si="1"/>
        <v xml:space="preserve">COSAN       -ON  </v>
      </c>
      <c r="R22" s="57">
        <f t="shared" si="2"/>
        <v>41638</v>
      </c>
      <c r="S22" s="5">
        <f t="shared" si="3"/>
        <v>39.270000000000003</v>
      </c>
      <c r="T22" s="5">
        <f t="shared" si="3"/>
        <v>39.58</v>
      </c>
      <c r="U22" s="5">
        <f t="shared" si="3"/>
        <v>39.9</v>
      </c>
      <c r="V22" s="5">
        <f t="shared" si="3"/>
        <v>39.18</v>
      </c>
    </row>
    <row r="23" spans="1:22" x14ac:dyDescent="0.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549</v>
      </c>
      <c r="D23" s="3" t="s">
        <v>550</v>
      </c>
      <c r="E23" s="3" t="s">
        <v>551</v>
      </c>
      <c r="F23" s="3" t="s">
        <v>552</v>
      </c>
      <c r="G23" s="3" t="s">
        <v>553</v>
      </c>
      <c r="H23" s="57">
        <v>41638</v>
      </c>
      <c r="J23" s="3">
        <f t="shared" si="4"/>
        <v>28.66</v>
      </c>
      <c r="K23" s="3">
        <f t="shared" si="4"/>
        <v>28.7</v>
      </c>
      <c r="L23" s="3">
        <f t="shared" si="4"/>
        <v>28.92</v>
      </c>
      <c r="M23" s="3">
        <f t="shared" si="4"/>
        <v>28.4</v>
      </c>
      <c r="P23" s="15" t="s">
        <v>548</v>
      </c>
      <c r="Q23" s="10" t="str">
        <f t="shared" si="1"/>
        <v xml:space="preserve">SAO MARTINHO-ON  </v>
      </c>
      <c r="R23" s="57">
        <f t="shared" si="2"/>
        <v>41638</v>
      </c>
      <c r="S23" s="5">
        <f t="shared" si="3"/>
        <v>28.66</v>
      </c>
      <c r="T23" s="5">
        <f t="shared" si="3"/>
        <v>28.7</v>
      </c>
      <c r="U23" s="5">
        <f t="shared" si="3"/>
        <v>28.92</v>
      </c>
      <c r="V23" s="5">
        <f t="shared" si="3"/>
        <v>28.4</v>
      </c>
    </row>
    <row r="24" spans="1:22" x14ac:dyDescent="0.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556</v>
      </c>
      <c r="D24" s="3" t="s">
        <v>557</v>
      </c>
      <c r="E24" s="3" t="s">
        <v>557</v>
      </c>
      <c r="F24" s="3" t="s">
        <v>557</v>
      </c>
      <c r="G24" s="3" t="s">
        <v>557</v>
      </c>
      <c r="H24" s="57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554</v>
      </c>
      <c r="Q24" s="10" t="str">
        <f t="shared" si="1"/>
        <v>CACIQUE     -ON</v>
      </c>
      <c r="R24" s="57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 x14ac:dyDescent="0.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558</v>
      </c>
      <c r="D25" s="3" t="s">
        <v>559</v>
      </c>
      <c r="E25" s="3" t="s">
        <v>559</v>
      </c>
      <c r="F25" s="3" t="s">
        <v>559</v>
      </c>
      <c r="G25" s="3" t="s">
        <v>559</v>
      </c>
      <c r="H25" s="57">
        <v>41631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555</v>
      </c>
      <c r="Q25" s="10" t="str">
        <f t="shared" si="1"/>
        <v>CACIQUE     -PN</v>
      </c>
      <c r="R25" s="57">
        <f t="shared" si="2"/>
        <v>41631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 x14ac:dyDescent="0.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563</v>
      </c>
      <c r="D26" s="3" t="s">
        <v>564</v>
      </c>
      <c r="E26" s="3" t="s">
        <v>565</v>
      </c>
      <c r="F26" s="3" t="s">
        <v>566</v>
      </c>
      <c r="G26" s="3" t="s">
        <v>567</v>
      </c>
      <c r="H26" s="57">
        <v>41638</v>
      </c>
      <c r="J26" s="3">
        <f t="shared" si="4"/>
        <v>48.3</v>
      </c>
      <c r="K26" s="3">
        <f t="shared" si="4"/>
        <v>49.25</v>
      </c>
      <c r="L26" s="3">
        <f t="shared" si="4"/>
        <v>49.29</v>
      </c>
      <c r="M26" s="3">
        <f t="shared" si="4"/>
        <v>48.12</v>
      </c>
      <c r="P26" s="10" t="s">
        <v>561</v>
      </c>
      <c r="Q26" s="10" t="str">
        <f t="shared" si="1"/>
        <v xml:space="preserve">BRF SA      -ON  </v>
      </c>
      <c r="R26" s="57">
        <f t="shared" si="2"/>
        <v>41638</v>
      </c>
      <c r="S26" s="5">
        <f t="shared" si="3"/>
        <v>48.3</v>
      </c>
      <c r="T26" s="5">
        <f t="shared" si="3"/>
        <v>49.25</v>
      </c>
      <c r="U26" s="5">
        <f t="shared" si="3"/>
        <v>49.29</v>
      </c>
      <c r="V26" s="5">
        <f t="shared" si="3"/>
        <v>48.12</v>
      </c>
    </row>
    <row r="27" spans="1:22" x14ac:dyDescent="0.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569</v>
      </c>
      <c r="D27" s="3" t="s">
        <v>570</v>
      </c>
      <c r="E27" s="3" t="s">
        <v>571</v>
      </c>
      <c r="F27" s="3" t="s">
        <v>572</v>
      </c>
      <c r="G27" s="3" t="s">
        <v>573</v>
      </c>
      <c r="H27" s="57">
        <v>41638</v>
      </c>
      <c r="J27" s="3">
        <f t="shared" si="4"/>
        <v>8.81</v>
      </c>
      <c r="K27" s="3">
        <f t="shared" si="4"/>
        <v>8.77</v>
      </c>
      <c r="L27" s="3">
        <f t="shared" si="4"/>
        <v>8.98</v>
      </c>
      <c r="M27" s="3">
        <f t="shared" si="4"/>
        <v>8.6999999999999993</v>
      </c>
      <c r="P27" s="47" t="s">
        <v>568</v>
      </c>
      <c r="Q27" s="10" t="str">
        <f t="shared" si="1"/>
        <v xml:space="preserve">JBS         -ON  </v>
      </c>
      <c r="R27" s="57">
        <f t="shared" si="2"/>
        <v>41638</v>
      </c>
      <c r="S27" s="5">
        <f t="shared" si="3"/>
        <v>8.81</v>
      </c>
      <c r="T27" s="5">
        <f t="shared" si="3"/>
        <v>8.77</v>
      </c>
      <c r="U27" s="5">
        <f t="shared" si="3"/>
        <v>8.98</v>
      </c>
      <c r="V27" s="5">
        <f t="shared" si="3"/>
        <v>8.6999999999999993</v>
      </c>
    </row>
    <row r="28" spans="1:22" x14ac:dyDescent="0.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575</v>
      </c>
      <c r="D28" s="3" t="s">
        <v>349</v>
      </c>
      <c r="E28" s="3" t="s">
        <v>349</v>
      </c>
      <c r="F28" s="3" t="s">
        <v>349</v>
      </c>
      <c r="G28" s="3" t="s">
        <v>349</v>
      </c>
      <c r="H28" s="57">
        <v>41634</v>
      </c>
      <c r="J28" s="3">
        <f t="shared" si="4"/>
        <v>8.8699999999999992</v>
      </c>
      <c r="K28" s="3">
        <f t="shared" si="4"/>
        <v>8.8699999999999992</v>
      </c>
      <c r="L28" s="3">
        <f t="shared" si="4"/>
        <v>8.8699999999999992</v>
      </c>
      <c r="M28" s="3">
        <f t="shared" si="4"/>
        <v>8.8699999999999992</v>
      </c>
      <c r="P28" s="47" t="s">
        <v>574</v>
      </c>
      <c r="Q28" s="10" t="str">
        <f t="shared" si="1"/>
        <v xml:space="preserve">VIGOR FOOD  -ON  </v>
      </c>
      <c r="R28" s="57">
        <f t="shared" si="2"/>
        <v>41634</v>
      </c>
      <c r="S28" s="5">
        <f t="shared" si="3"/>
        <v>8.8699999999999992</v>
      </c>
      <c r="T28" s="5">
        <f t="shared" si="3"/>
        <v>8.8699999999999992</v>
      </c>
      <c r="U28" s="5">
        <f t="shared" si="3"/>
        <v>8.8699999999999992</v>
      </c>
      <c r="V28" s="5">
        <f t="shared" si="3"/>
        <v>8.8699999999999992</v>
      </c>
    </row>
    <row r="29" spans="1:22" x14ac:dyDescent="0.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579</v>
      </c>
      <c r="D29" s="3" t="s">
        <v>580</v>
      </c>
      <c r="E29" s="3" t="s">
        <v>461</v>
      </c>
      <c r="F29" s="3" t="s">
        <v>461</v>
      </c>
      <c r="G29" s="3" t="s">
        <v>359</v>
      </c>
      <c r="H29" s="57">
        <v>41638</v>
      </c>
      <c r="J29" s="3">
        <f>IF($A29="",0,VALUE(CONCATENATE(LEFT(D29,LEN(D29)-3),",",RIGHT(D29,2))))</f>
        <v>12.16</v>
      </c>
      <c r="K29" s="3">
        <f t="shared" si="4"/>
        <v>12.33</v>
      </c>
      <c r="L29" s="3">
        <f t="shared" si="4"/>
        <v>12.33</v>
      </c>
      <c r="M29" s="3">
        <f t="shared" si="4"/>
        <v>12.11</v>
      </c>
      <c r="P29" s="15" t="s">
        <v>577</v>
      </c>
      <c r="Q29" s="10" t="str">
        <f t="shared" si="1"/>
        <v xml:space="preserve">TIM PART S/A-ON  </v>
      </c>
      <c r="R29" s="57">
        <f t="shared" si="2"/>
        <v>41638</v>
      </c>
      <c r="S29" s="5">
        <f t="shared" si="3"/>
        <v>12.16</v>
      </c>
      <c r="T29" s="5">
        <f t="shared" si="3"/>
        <v>12.33</v>
      </c>
      <c r="U29" s="5">
        <f t="shared" si="3"/>
        <v>12.33</v>
      </c>
      <c r="V29" s="5">
        <f t="shared" si="3"/>
        <v>12.11</v>
      </c>
    </row>
    <row r="30" spans="1:22" x14ac:dyDescent="0.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583</v>
      </c>
      <c r="D30" s="3" t="s">
        <v>584</v>
      </c>
      <c r="E30" s="3" t="s">
        <v>585</v>
      </c>
      <c r="F30" s="3" t="s">
        <v>586</v>
      </c>
      <c r="G30" s="3" t="s">
        <v>585</v>
      </c>
      <c r="H30" s="57">
        <v>41638</v>
      </c>
      <c r="J30" s="3">
        <f t="shared" si="4"/>
        <v>3.69</v>
      </c>
      <c r="K30" s="3">
        <f t="shared" si="4"/>
        <v>3.61</v>
      </c>
      <c r="L30" s="3">
        <f t="shared" si="4"/>
        <v>3.72</v>
      </c>
      <c r="M30" s="3">
        <f t="shared" si="4"/>
        <v>3.61</v>
      </c>
      <c r="P30" s="14" t="s">
        <v>581</v>
      </c>
      <c r="Q30" s="10" t="str">
        <f t="shared" si="1"/>
        <v xml:space="preserve">OI          -ON  </v>
      </c>
      <c r="R30" s="57">
        <f t="shared" si="2"/>
        <v>41638</v>
      </c>
      <c r="S30" s="5">
        <f t="shared" si="3"/>
        <v>3.69</v>
      </c>
      <c r="T30" s="5">
        <f t="shared" si="3"/>
        <v>3.61</v>
      </c>
      <c r="U30" s="5">
        <f t="shared" si="3"/>
        <v>3.72</v>
      </c>
      <c r="V30" s="5">
        <f t="shared" si="3"/>
        <v>3.61</v>
      </c>
    </row>
    <row r="31" spans="1:22" x14ac:dyDescent="0.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587</v>
      </c>
      <c r="D31" s="3" t="s">
        <v>585</v>
      </c>
      <c r="E31" s="3" t="s">
        <v>588</v>
      </c>
      <c r="F31" s="3" t="s">
        <v>295</v>
      </c>
      <c r="G31" s="3" t="s">
        <v>588</v>
      </c>
      <c r="H31" s="57">
        <v>41638</v>
      </c>
      <c r="J31" s="3">
        <f t="shared" si="4"/>
        <v>3.61</v>
      </c>
      <c r="K31" s="3">
        <f t="shared" si="4"/>
        <v>3.59</v>
      </c>
      <c r="L31" s="3">
        <f t="shared" si="4"/>
        <v>3.71</v>
      </c>
      <c r="M31" s="3">
        <f t="shared" si="4"/>
        <v>3.59</v>
      </c>
      <c r="P31" s="10" t="s">
        <v>582</v>
      </c>
      <c r="Q31" s="10" t="str">
        <f t="shared" si="1"/>
        <v xml:space="preserve">OI          -PN  </v>
      </c>
      <c r="R31" s="57">
        <f t="shared" si="2"/>
        <v>41638</v>
      </c>
      <c r="S31" s="5">
        <f t="shared" si="3"/>
        <v>3.61</v>
      </c>
      <c r="T31" s="5">
        <f t="shared" si="3"/>
        <v>3.59</v>
      </c>
      <c r="U31" s="5">
        <f t="shared" si="3"/>
        <v>3.71</v>
      </c>
      <c r="V31" s="5">
        <f t="shared" si="3"/>
        <v>3.59</v>
      </c>
    </row>
    <row r="32" spans="1:22" x14ac:dyDescent="0.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592</v>
      </c>
      <c r="D32" s="3" t="s">
        <v>593</v>
      </c>
      <c r="E32" s="3" t="s">
        <v>594</v>
      </c>
      <c r="F32" s="3" t="s">
        <v>594</v>
      </c>
      <c r="G32" s="3" t="s">
        <v>595</v>
      </c>
      <c r="H32" s="57">
        <v>41638</v>
      </c>
      <c r="J32" s="3">
        <f t="shared" si="4"/>
        <v>39.479999999999997</v>
      </c>
      <c r="K32" s="3">
        <f t="shared" si="4"/>
        <v>40</v>
      </c>
      <c r="L32" s="3">
        <f t="shared" si="4"/>
        <v>40</v>
      </c>
      <c r="M32" s="3">
        <f t="shared" si="4"/>
        <v>39.25</v>
      </c>
      <c r="P32" s="15" t="s">
        <v>590</v>
      </c>
      <c r="Q32" s="10" t="str">
        <f t="shared" si="1"/>
        <v>TELEF BRASIL-ON</v>
      </c>
      <c r="R32" s="57">
        <f t="shared" si="2"/>
        <v>41638</v>
      </c>
      <c r="S32" s="5">
        <f t="shared" si="3"/>
        <v>39.479999999999997</v>
      </c>
      <c r="T32" s="5">
        <f t="shared" si="3"/>
        <v>40</v>
      </c>
      <c r="U32" s="5">
        <f t="shared" si="3"/>
        <v>40</v>
      </c>
      <c r="V32" s="5">
        <f t="shared" si="3"/>
        <v>39.25</v>
      </c>
    </row>
    <row r="33" spans="1:22" x14ac:dyDescent="0.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596</v>
      </c>
      <c r="D33" s="3" t="s">
        <v>597</v>
      </c>
      <c r="E33" s="3" t="s">
        <v>598</v>
      </c>
      <c r="F33" s="3" t="s">
        <v>599</v>
      </c>
      <c r="G33" s="3" t="s">
        <v>597</v>
      </c>
      <c r="H33" s="57">
        <v>41638</v>
      </c>
      <c r="J33" s="3">
        <f t="shared" si="4"/>
        <v>44.18</v>
      </c>
      <c r="K33" s="3">
        <f t="shared" si="4"/>
        <v>44.83</v>
      </c>
      <c r="L33" s="3">
        <f t="shared" si="4"/>
        <v>45.5</v>
      </c>
      <c r="M33" s="3">
        <f t="shared" si="4"/>
        <v>44.18</v>
      </c>
      <c r="P33" s="15" t="s">
        <v>591</v>
      </c>
      <c r="Q33" s="10" t="str">
        <f t="shared" si="1"/>
        <v>TELEF BRASIL-PN</v>
      </c>
      <c r="R33" s="57">
        <f t="shared" si="2"/>
        <v>41638</v>
      </c>
      <c r="S33" s="5">
        <f t="shared" si="3"/>
        <v>44.18</v>
      </c>
      <c r="T33" s="5">
        <f t="shared" si="3"/>
        <v>44.83</v>
      </c>
      <c r="U33" s="5">
        <f t="shared" si="3"/>
        <v>45.5</v>
      </c>
      <c r="V33" s="5">
        <f t="shared" si="3"/>
        <v>44.18</v>
      </c>
    </row>
    <row r="34" spans="1:22" x14ac:dyDescent="0.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603</v>
      </c>
      <c r="D34" s="3" t="s">
        <v>604</v>
      </c>
      <c r="E34" s="3" t="s">
        <v>605</v>
      </c>
      <c r="F34" s="3" t="s">
        <v>605</v>
      </c>
      <c r="G34" s="3" t="s">
        <v>606</v>
      </c>
      <c r="H34" s="57">
        <v>41638</v>
      </c>
      <c r="J34" s="3">
        <f t="shared" si="4"/>
        <v>20.28</v>
      </c>
      <c r="K34" s="3">
        <f t="shared" si="4"/>
        <v>20.3</v>
      </c>
      <c r="L34" s="3">
        <f t="shared" si="4"/>
        <v>20.3</v>
      </c>
      <c r="M34" s="3">
        <f t="shared" si="4"/>
        <v>20.100000000000001</v>
      </c>
      <c r="P34" s="10" t="s">
        <v>600</v>
      </c>
      <c r="Q34" s="10" t="str">
        <f t="shared" si="1"/>
        <v xml:space="preserve">BRADESPAR   -ON  </v>
      </c>
      <c r="R34" s="57">
        <f t="shared" si="2"/>
        <v>41638</v>
      </c>
      <c r="S34" s="5">
        <f t="shared" si="3"/>
        <v>20.28</v>
      </c>
      <c r="T34" s="5">
        <f t="shared" si="3"/>
        <v>20.3</v>
      </c>
      <c r="U34" s="5">
        <f t="shared" si="3"/>
        <v>20.3</v>
      </c>
      <c r="V34" s="5">
        <f t="shared" si="3"/>
        <v>20.100000000000001</v>
      </c>
    </row>
    <row r="35" spans="1:22" x14ac:dyDescent="0.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607</v>
      </c>
      <c r="D35" s="3" t="s">
        <v>608</v>
      </c>
      <c r="E35" s="3" t="s">
        <v>609</v>
      </c>
      <c r="F35" s="3" t="s">
        <v>610</v>
      </c>
      <c r="G35" s="3" t="s">
        <v>611</v>
      </c>
      <c r="H35" s="57">
        <v>41638</v>
      </c>
      <c r="J35" s="3">
        <f t="shared" si="4"/>
        <v>24.79</v>
      </c>
      <c r="K35" s="3">
        <f t="shared" si="4"/>
        <v>25.08</v>
      </c>
      <c r="L35" s="3">
        <f t="shared" si="4"/>
        <v>25.2</v>
      </c>
      <c r="M35" s="3">
        <f t="shared" si="4"/>
        <v>24.67</v>
      </c>
      <c r="P35" s="10" t="s">
        <v>601</v>
      </c>
      <c r="Q35" s="10" t="str">
        <f t="shared" si="1"/>
        <v xml:space="preserve">BRADESPAR   -PN  </v>
      </c>
      <c r="R35" s="57">
        <f t="shared" si="2"/>
        <v>41638</v>
      </c>
      <c r="S35" s="5">
        <f t="shared" si="3"/>
        <v>24.79</v>
      </c>
      <c r="T35" s="5">
        <f t="shared" si="3"/>
        <v>25.08</v>
      </c>
      <c r="U35" s="5">
        <f t="shared" si="3"/>
        <v>25.2</v>
      </c>
      <c r="V35" s="5">
        <f t="shared" si="3"/>
        <v>24.67</v>
      </c>
    </row>
    <row r="36" spans="1:22" x14ac:dyDescent="0.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617</v>
      </c>
      <c r="D36" s="3" t="s">
        <v>618</v>
      </c>
      <c r="E36" s="3" t="s">
        <v>619</v>
      </c>
      <c r="F36" s="3" t="s">
        <v>619</v>
      </c>
      <c r="G36" s="3" t="s">
        <v>618</v>
      </c>
      <c r="H36" s="57">
        <v>41626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616</v>
      </c>
      <c r="Q36" s="10" t="str">
        <f t="shared" si="1"/>
        <v>HABITASUL   -PNA</v>
      </c>
      <c r="R36" s="57">
        <f t="shared" si="2"/>
        <v>41626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 x14ac:dyDescent="0.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621</v>
      </c>
      <c r="D37" s="3" t="s">
        <v>622</v>
      </c>
      <c r="E37" s="3" t="s">
        <v>623</v>
      </c>
      <c r="F37" s="3" t="s">
        <v>622</v>
      </c>
      <c r="G37" s="3" t="s">
        <v>623</v>
      </c>
      <c r="H37" s="57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620</v>
      </c>
      <c r="Q37" s="10" t="str">
        <f t="shared" si="1"/>
        <v xml:space="preserve">MONT ARANHA -ON  </v>
      </c>
      <c r="R37" s="57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 x14ac:dyDescent="0.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625</v>
      </c>
      <c r="D38" s="3" t="s">
        <v>626</v>
      </c>
      <c r="E38" s="3" t="s">
        <v>627</v>
      </c>
      <c r="F38" s="3" t="s">
        <v>628</v>
      </c>
      <c r="G38" s="3" t="s">
        <v>629</v>
      </c>
      <c r="H38" s="57">
        <v>41638</v>
      </c>
      <c r="J38" s="3">
        <f t="shared" si="4"/>
        <v>55.75</v>
      </c>
      <c r="K38" s="3">
        <f t="shared" si="4"/>
        <v>55.95</v>
      </c>
      <c r="L38" s="3">
        <f t="shared" si="4"/>
        <v>56.35</v>
      </c>
      <c r="M38" s="3">
        <f t="shared" si="4"/>
        <v>55.6</v>
      </c>
      <c r="P38" s="14" t="s">
        <v>624</v>
      </c>
      <c r="Q38" s="10" t="str">
        <f t="shared" si="1"/>
        <v xml:space="preserve">ULTRAPAR    -ON  </v>
      </c>
      <c r="R38" s="57">
        <f t="shared" si="2"/>
        <v>41638</v>
      </c>
      <c r="S38" s="5">
        <f t="shared" si="3"/>
        <v>55.75</v>
      </c>
      <c r="T38" s="5">
        <f t="shared" si="3"/>
        <v>55.95</v>
      </c>
      <c r="U38" s="5">
        <f t="shared" si="3"/>
        <v>56.35</v>
      </c>
      <c r="V38" s="5">
        <f t="shared" si="3"/>
        <v>55.6</v>
      </c>
    </row>
    <row r="39" spans="1:22" x14ac:dyDescent="0.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632</v>
      </c>
      <c r="D39" s="3" t="s">
        <v>633</v>
      </c>
      <c r="E39" s="3" t="s">
        <v>633</v>
      </c>
      <c r="F39" s="3" t="s">
        <v>633</v>
      </c>
      <c r="G39" s="3" t="s">
        <v>633</v>
      </c>
      <c r="H39" s="57">
        <v>41638</v>
      </c>
      <c r="J39" s="3">
        <f t="shared" si="4"/>
        <v>5.2</v>
      </c>
      <c r="K39" s="3">
        <f t="shared" si="4"/>
        <v>5.2</v>
      </c>
      <c r="L39" s="3">
        <f t="shared" si="4"/>
        <v>5.2</v>
      </c>
      <c r="M39" s="3">
        <f t="shared" si="4"/>
        <v>5.2</v>
      </c>
      <c r="P39" s="14" t="s">
        <v>630</v>
      </c>
      <c r="Q39" s="10" t="str">
        <f t="shared" si="1"/>
        <v>BAHEMA      -ON</v>
      </c>
      <c r="R39" s="57">
        <f t="shared" si="2"/>
        <v>41638</v>
      </c>
      <c r="S39" s="5">
        <f t="shared" ref="S39:V70" si="5">J39</f>
        <v>5.2</v>
      </c>
      <c r="T39" s="5">
        <f t="shared" si="5"/>
        <v>5.2</v>
      </c>
      <c r="U39" s="5">
        <f t="shared" si="5"/>
        <v>5.2</v>
      </c>
      <c r="V39" s="5">
        <f t="shared" si="5"/>
        <v>5.2</v>
      </c>
    </row>
    <row r="40" spans="1:22" x14ac:dyDescent="0.2">
      <c r="A40" s="36" t="str">
        <f>IF(Tabela17[[#This Row],[Código]]="IBOV","^BVSP",IF(Tabela17[[#This Row],[Código]]="","",CONCATENATE(LEFT(Tabela17[[#This Row],[Código]],6),".SA")))</f>
        <v/>
      </c>
      <c r="C40" s="3" t="s">
        <v>109</v>
      </c>
      <c r="H40" s="57"/>
      <c r="J40" s="3">
        <f t="shared" si="4"/>
        <v>0</v>
      </c>
      <c r="K40" s="3">
        <f t="shared" si="4"/>
        <v>0</v>
      </c>
      <c r="L40" s="3">
        <f t="shared" si="4"/>
        <v>0</v>
      </c>
      <c r="M40" s="3">
        <f t="shared" si="4"/>
        <v>0</v>
      </c>
      <c r="P40" s="14"/>
      <c r="Q40" s="10" t="str">
        <f t="shared" si="1"/>
        <v/>
      </c>
      <c r="R40" s="57" t="str">
        <f t="shared" si="2"/>
        <v/>
      </c>
      <c r="S40" s="5">
        <f t="shared" si="5"/>
        <v>0</v>
      </c>
      <c r="T40" s="5">
        <f t="shared" si="5"/>
        <v>0</v>
      </c>
      <c r="U40" s="5">
        <f t="shared" si="5"/>
        <v>0</v>
      </c>
      <c r="V40" s="5">
        <f t="shared" si="5"/>
        <v>0</v>
      </c>
    </row>
    <row r="41" spans="1:22" x14ac:dyDescent="0.2">
      <c r="A41" s="36" t="str">
        <f>IF(Tabela17[[#This Row],[Código]]="IBOV","^BVSP",IF(Tabela17[[#This Row],[Código]]="","",CONCATENATE(LEFT(Tabela17[[#This Row],[Código]],6),".SA")))</f>
        <v/>
      </c>
      <c r="H41" s="57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0" t="str">
        <f t="shared" si="2"/>
        <v/>
      </c>
      <c r="S41" s="6">
        <f t="shared" si="5"/>
        <v>0</v>
      </c>
      <c r="T41" s="6">
        <f t="shared" si="5"/>
        <v>0</v>
      </c>
      <c r="U41" s="6">
        <f t="shared" si="5"/>
        <v>0</v>
      </c>
      <c r="V41" s="6">
        <f t="shared" si="5"/>
        <v>0</v>
      </c>
    </row>
    <row r="42" spans="1:22" x14ac:dyDescent="0.2">
      <c r="A42" s="36" t="str">
        <f>IF(Tabela17[[#This Row],[Código]]="IBOV","^BVSP",IF(Tabela17[[#This Row],[Código]]="","",CONCATENATE(LEFT(Tabela17[[#This Row],[Código]],6),".SA")))</f>
        <v/>
      </c>
      <c r="H42" s="57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7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 x14ac:dyDescent="0.2">
      <c r="A43" s="36" t="str">
        <f>IF(Tabela17[[#This Row],[Código]]="IBOV","^BVSP",IF(Tabela17[[#This Row],[Código]]="","",CONCATENATE(LEFT(Tabela17[[#This Row],[Código]],6),".SA")))</f>
        <v/>
      </c>
      <c r="H43" s="57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7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 x14ac:dyDescent="0.2">
      <c r="A44" s="36" t="str">
        <f>IF(Tabela17[[#This Row],[Código]]="IBOV","^BVSP",IF(Tabela17[[#This Row],[Código]]="","",CONCATENATE(LEFT(Tabela17[[#This Row],[Código]],6),".SA")))</f>
        <v/>
      </c>
      <c r="H44" s="57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7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 x14ac:dyDescent="0.2">
      <c r="A45" s="36" t="str">
        <f>IF(Tabela17[[#This Row],[Código]]="IBOV","^BVSP",IF(Tabela17[[#This Row],[Código]]="","",CONCATENATE(LEFT(Tabela17[[#This Row],[Código]],6),".SA")))</f>
        <v/>
      </c>
      <c r="H45" s="57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0" t="str">
        <f t="shared" si="2"/>
        <v/>
      </c>
      <c r="S45" s="6">
        <f t="shared" si="5"/>
        <v>0</v>
      </c>
      <c r="T45" s="6">
        <f t="shared" si="5"/>
        <v>0</v>
      </c>
      <c r="U45" s="6">
        <f t="shared" si="5"/>
        <v>0</v>
      </c>
      <c r="V45" s="6">
        <f t="shared" si="5"/>
        <v>0</v>
      </c>
    </row>
    <row r="46" spans="1:22" x14ac:dyDescent="0.2">
      <c r="A46" s="36" t="str">
        <f>IF(Tabela17[[#This Row],[Código]]="IBOV","^BVSP",IF(Tabela17[[#This Row],[Código]]="","",CONCATENATE(LEFT(Tabela17[[#This Row],[Código]],6),".SA")))</f>
        <v/>
      </c>
      <c r="H46" s="57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50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 x14ac:dyDescent="0.2">
      <c r="A47" s="36" t="str">
        <f>IF(Tabela17[[#This Row],[Código]]="IBOV","^BVSP",IF(Tabela17[[#This Row],[Código]]="","",CONCATENATE(LEFT(Tabela17[[#This Row],[Código]],6),".SA")))</f>
        <v/>
      </c>
      <c r="H47" s="57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7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 x14ac:dyDescent="0.2">
      <c r="A48" s="36" t="str">
        <f>IF(Tabela17[[#This Row],[Código]]="IBOV","^BVSP",IF(Tabela17[[#This Row],[Código]]="","",CONCATENATE(LEFT(Tabela17[[#This Row],[Código]],6),".SA")))</f>
        <v/>
      </c>
      <c r="H48" s="57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7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 x14ac:dyDescent="0.2">
      <c r="A49" s="36" t="str">
        <f>IF(Tabela17[[#This Row],[Código]]="IBOV","^BVSP",IF(Tabela17[[#This Row],[Código]]="","",CONCATENATE(LEFT(Tabela17[[#This Row],[Código]],6),".SA")))</f>
        <v/>
      </c>
      <c r="H49" s="57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27"/>
      <c r="Q49" s="10" t="str">
        <f t="shared" si="1"/>
        <v/>
      </c>
      <c r="R49" s="57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 x14ac:dyDescent="0.2">
      <c r="A50" s="36" t="str">
        <f>IF(Tabela17[[#This Row],[Código]]="IBOV","^BVSP",IF(Tabela17[[#This Row],[Código]]="","",CONCATENATE(LEFT(Tabela17[[#This Row],[Código]],6),".SA")))</f>
        <v/>
      </c>
      <c r="H50" s="57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27"/>
      <c r="Q50" s="10" t="str">
        <f t="shared" si="1"/>
        <v/>
      </c>
      <c r="R50" s="50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 x14ac:dyDescent="0.2">
      <c r="A51" s="36" t="str">
        <f>IF(Tabela17[[#This Row],[Código]]="IBOV","^BVSP",IF(Tabela17[[#This Row],[Código]]="","",CONCATENATE(LEFT(Tabela17[[#This Row],[Código]],6),".SA")))</f>
        <v/>
      </c>
      <c r="H51" s="57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0" t="str">
        <f t="shared" si="2"/>
        <v/>
      </c>
      <c r="S51" s="6">
        <f t="shared" si="5"/>
        <v>0</v>
      </c>
      <c r="T51" s="6">
        <f t="shared" si="5"/>
        <v>0</v>
      </c>
      <c r="U51" s="6">
        <f t="shared" si="5"/>
        <v>0</v>
      </c>
      <c r="V51" s="6">
        <f t="shared" si="5"/>
        <v>0</v>
      </c>
    </row>
    <row r="52" spans="1:22" x14ac:dyDescent="0.2">
      <c r="A52" s="36" t="str">
        <f>IF(Tabela17[[#This Row],[Código]]="IBOV","^BVSP",IF(Tabela17[[#This Row],[Código]]="","",CONCATENATE(LEFT(Tabela17[[#This Row],[Código]],6),".SA")))</f>
        <v/>
      </c>
      <c r="H52" s="57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0"/>
      <c r="Q52" s="10" t="str">
        <f t="shared" si="1"/>
        <v/>
      </c>
      <c r="R52" s="57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 x14ac:dyDescent="0.2">
      <c r="A53" s="36" t="str">
        <f>IF(Tabela17[[#This Row],[Código]]="IBOV","^BVSP",IF(Tabela17[[#This Row],[Código]]="","",CONCATENATE(LEFT(Tabela17[[#This Row],[Código]],6),".SA")))</f>
        <v/>
      </c>
      <c r="H53" s="57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27"/>
      <c r="Q53" s="10" t="str">
        <f t="shared" si="1"/>
        <v/>
      </c>
      <c r="R53" s="57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 x14ac:dyDescent="0.2">
      <c r="A54" s="36" t="str">
        <f>IF(Tabela17[[#This Row],[Código]]="IBOV","^BVSP",IF(Tabela17[[#This Row],[Código]]="","",CONCATENATE(LEFT(Tabela17[[#This Row],[Código]],6),".SA")))</f>
        <v/>
      </c>
      <c r="H54" s="57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27"/>
      <c r="Q54" s="10" t="str">
        <f t="shared" si="1"/>
        <v/>
      </c>
      <c r="R54" s="57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 x14ac:dyDescent="0.2">
      <c r="A55" s="36" t="str">
        <f>IF(Tabela17[[#This Row],[Código]]="IBOV","^BVSP",IF(Tabela17[[#This Row],[Código]]="","",CONCATENATE(LEFT(Tabela17[[#This Row],[Código]],6),".SA")))</f>
        <v/>
      </c>
      <c r="H55" s="57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14"/>
      <c r="Q55" s="10" t="str">
        <f t="shared" si="1"/>
        <v/>
      </c>
      <c r="R55" s="57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 x14ac:dyDescent="0.2">
      <c r="A56" s="36" t="str">
        <f>IF(Tabela17[[#This Row],[Código]]="IBOV","^BVSP",IF(Tabela17[[#This Row],[Código]]="","",CONCATENATE(LEFT(Tabela17[[#This Row],[Código]],6),".SA")))</f>
        <v/>
      </c>
      <c r="H56" s="57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4"/>
      <c r="Q56" s="10" t="str">
        <f t="shared" si="1"/>
        <v/>
      </c>
      <c r="R56" s="57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 x14ac:dyDescent="0.2">
      <c r="A57" s="36" t="str">
        <f>IF(Tabela17[[#This Row],[Código]]="IBOV","^BVSP",IF(Tabela17[[#This Row],[Código]]="","",CONCATENATE(LEFT(Tabela17[[#This Row],[Código]],6),".SA")))</f>
        <v/>
      </c>
      <c r="H57" s="57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4"/>
      <c r="Q57" s="10" t="str">
        <f t="shared" si="1"/>
        <v/>
      </c>
      <c r="R57" s="57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 x14ac:dyDescent="0.2">
      <c r="A58" s="36" t="str">
        <f>IF(Tabela17[[#This Row],[Código]]="IBOV","^BVSP",IF(Tabela17[[#This Row],[Código]]="","",CONCATENATE(LEFT(Tabela17[[#This Row],[Código]],6),".SA")))</f>
        <v/>
      </c>
      <c r="H58" s="57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7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 x14ac:dyDescent="0.2">
      <c r="A59" s="36" t="str">
        <f>IF(Tabela17[[#This Row],[Código]]="IBOV","^BVSP",IF(Tabela17[[#This Row],[Código]]="","",CONCATENATE(LEFT(Tabela17[[#This Row],[Código]],6),".SA")))</f>
        <v/>
      </c>
      <c r="H59" s="57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57" t="str">
        <f t="shared" si="2"/>
        <v/>
      </c>
      <c r="S59" s="5">
        <f t="shared" si="5"/>
        <v>0</v>
      </c>
      <c r="T59" s="5">
        <f t="shared" si="5"/>
        <v>0</v>
      </c>
      <c r="U59" s="5">
        <f t="shared" si="5"/>
        <v>0</v>
      </c>
      <c r="V59" s="5">
        <f t="shared" si="5"/>
        <v>0</v>
      </c>
    </row>
    <row r="60" spans="1:22" x14ac:dyDescent="0.2">
      <c r="A60" s="36" t="str">
        <f>IF(Tabela17[[#This Row],[Código]]="IBOV","^BVSP",IF(Tabela17[[#This Row],[Código]]="","",CONCATENATE(LEFT(Tabela17[[#This Row],[Código]],6),".SA")))</f>
        <v/>
      </c>
      <c r="H60" s="57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7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 x14ac:dyDescent="0.2">
      <c r="A61" s="36" t="str">
        <f>IF(Tabela17[[#This Row],[Código]]="IBOV","^BVSP",IF(Tabela17[[#This Row],[Código]]="","",CONCATENATE(LEFT(Tabela17[[#This Row],[Código]],6),".SA")))</f>
        <v/>
      </c>
      <c r="H61" s="57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0"/>
      <c r="Q61" s="10" t="str">
        <f t="shared" si="1"/>
        <v/>
      </c>
      <c r="R61" s="57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 x14ac:dyDescent="0.2">
      <c r="A62" s="36" t="str">
        <f>IF(Tabela17[[#This Row],[Código]]="IBOV","^BVSP",IF(Tabela17[[#This Row],[Código]]="","",CONCATENATE(LEFT(Tabela17[[#This Row],[Código]],6),".SA")))</f>
        <v/>
      </c>
      <c r="H62" s="57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7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 x14ac:dyDescent="0.2">
      <c r="A63" s="36" t="str">
        <f>IF(Tabela17[[#This Row],[Código]]="IBOV","^BVSP",IF(Tabela17[[#This Row],[Código]]="","",CONCATENATE(LEFT(Tabela17[[#This Row],[Código]],6),".SA")))</f>
        <v/>
      </c>
      <c r="H63" s="57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P63" s="14"/>
      <c r="Q63" s="10" t="str">
        <f t="shared" si="1"/>
        <v/>
      </c>
      <c r="R63" s="57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 x14ac:dyDescent="0.2">
      <c r="A64" s="36" t="str">
        <f>IF(Tabela17[[#This Row],[Código]]="IBOV","^BVSP",IF(Tabela17[[#This Row],[Código]]="","",CONCATENATE(LEFT(Tabela17[[#This Row],[Código]],6),".SA")))</f>
        <v/>
      </c>
      <c r="H64" s="57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5"/>
      <c r="Q64" s="10" t="str">
        <f t="shared" si="1"/>
        <v/>
      </c>
      <c r="R64" s="57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 x14ac:dyDescent="0.2">
      <c r="A65" s="36" t="str">
        <f>IF(Tabela17[[#This Row],[Código]]="IBOV","^BVSP",IF(Tabela17[[#This Row],[Código]]="","",CONCATENATE(LEFT(Tabela17[[#This Row],[Código]],6),".SA")))</f>
        <v/>
      </c>
      <c r="H65" s="57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27"/>
      <c r="Q65" s="10" t="str">
        <f t="shared" si="1"/>
        <v/>
      </c>
      <c r="R65" s="57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 x14ac:dyDescent="0.2">
      <c r="A66" s="36" t="str">
        <f>IF(Tabela17[[#This Row],[Código]]="IBOV","^BVSP",IF(Tabela17[[#This Row],[Código]]="","",CONCATENATE(LEFT(Tabela17[[#This Row],[Código]],6),".SA")))</f>
        <v/>
      </c>
      <c r="H66" s="57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4"/>
      <c r="Q66" s="10" t="str">
        <f t="shared" si="1"/>
        <v/>
      </c>
      <c r="R66" s="57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 x14ac:dyDescent="0.2">
      <c r="A67" s="36" t="str">
        <f>IF(Tabela17[[#This Row],[Código]]="IBOV","^BVSP",IF(Tabela17[[#This Row],[Código]]="","",CONCATENATE(LEFT(Tabela17[[#This Row],[Código]],6),".SA")))</f>
        <v/>
      </c>
      <c r="H67" s="57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47"/>
      <c r="Q67" s="10" t="str">
        <f t="shared" si="1"/>
        <v/>
      </c>
      <c r="R67" s="57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 x14ac:dyDescent="0.2">
      <c r="A68" s="36" t="str">
        <f>IF(Tabela17[[#This Row],[Código]]="IBOV","^BVSP",IF(Tabela17[[#This Row],[Código]]="","",CONCATENATE(LEFT(Tabela17[[#This Row],[Código]],6),".SA")))</f>
        <v/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 x14ac:dyDescent="0.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 x14ac:dyDescent="0.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 x14ac:dyDescent="0.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 x14ac:dyDescent="0.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 x14ac:dyDescent="0.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 x14ac:dyDescent="0.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 x14ac:dyDescent="0.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 x14ac:dyDescent="0.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 x14ac:dyDescent="0.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 x14ac:dyDescent="0.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 x14ac:dyDescent="0.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 x14ac:dyDescent="0.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 x14ac:dyDescent="0.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 x14ac:dyDescent="0.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 x14ac:dyDescent="0.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 x14ac:dyDescent="0.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 x14ac:dyDescent="0.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 x14ac:dyDescent="0.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 x14ac:dyDescent="0.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 x14ac:dyDescent="0.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 x14ac:dyDescent="0.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 x14ac:dyDescent="0.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 x14ac:dyDescent="0.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 x14ac:dyDescent="0.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 x14ac:dyDescent="0.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 x14ac:dyDescent="0.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 x14ac:dyDescent="0.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 x14ac:dyDescent="0.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 x14ac:dyDescent="0.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 x14ac:dyDescent="0.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 x14ac:dyDescent="0.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 x14ac:dyDescent="0.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 x14ac:dyDescent="0.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 x14ac:dyDescent="0.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 x14ac:dyDescent="0.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 x14ac:dyDescent="0.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 x14ac:dyDescent="0.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 x14ac:dyDescent="0.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 x14ac:dyDescent="0.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 x14ac:dyDescent="0.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 x14ac:dyDescent="0.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 x14ac:dyDescent="0.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 x14ac:dyDescent="0.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 x14ac:dyDescent="0.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 x14ac:dyDescent="0.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 x14ac:dyDescent="0.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 x14ac:dyDescent="0.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 x14ac:dyDescent="0.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 x14ac:dyDescent="0.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 x14ac:dyDescent="0.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 x14ac:dyDescent="0.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 x14ac:dyDescent="0.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 x14ac:dyDescent="0.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 x14ac:dyDescent="0.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 x14ac:dyDescent="0.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 x14ac:dyDescent="0.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 x14ac:dyDescent="0.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 x14ac:dyDescent="0.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 x14ac:dyDescent="0.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 x14ac:dyDescent="0.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 x14ac:dyDescent="0.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 x14ac:dyDescent="0.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 x14ac:dyDescent="0.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 x14ac:dyDescent="0.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 x14ac:dyDescent="0.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 x14ac:dyDescent="0.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 x14ac:dyDescent="0.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 x14ac:dyDescent="0.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 x14ac:dyDescent="0.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 x14ac:dyDescent="0.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 x14ac:dyDescent="0.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 x14ac:dyDescent="0.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 x14ac:dyDescent="0.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 x14ac:dyDescent="0.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 x14ac:dyDescent="0.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 x14ac:dyDescent="0.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 x14ac:dyDescent="0.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 x14ac:dyDescent="0.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 x14ac:dyDescent="0.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 x14ac:dyDescent="0.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 x14ac:dyDescent="0.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 x14ac:dyDescent="0.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 x14ac:dyDescent="0.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 x14ac:dyDescent="0.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 x14ac:dyDescent="0.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 x14ac:dyDescent="0.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 x14ac:dyDescent="0.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 x14ac:dyDescent="0.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 x14ac:dyDescent="0.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 x14ac:dyDescent="0.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 x14ac:dyDescent="0.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 x14ac:dyDescent="0.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 x14ac:dyDescent="0.2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 x14ac:dyDescent="0.2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 x14ac:dyDescent="0.2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 x14ac:dyDescent="0.2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 x14ac:dyDescent="0.2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 x14ac:dyDescent="0.2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 x14ac:dyDescent="0.2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 x14ac:dyDescent="0.2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 x14ac:dyDescent="0.2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 x14ac:dyDescent="0.2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 x14ac:dyDescent="0.2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 x14ac:dyDescent="0.2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 x14ac:dyDescent="0.2">
      <c r="A173" s="36"/>
    </row>
    <row r="174" spans="1:13" x14ac:dyDescent="0.2">
      <c r="A174" s="36"/>
    </row>
    <row r="175" spans="1:13" x14ac:dyDescent="0.2">
      <c r="A175" s="36"/>
    </row>
    <row r="176" spans="1:13" x14ac:dyDescent="0.2">
      <c r="A176" s="36"/>
    </row>
    <row r="177" spans="1:1" x14ac:dyDescent="0.2">
      <c r="A177" s="36"/>
    </row>
    <row r="178" spans="1:1" x14ac:dyDescent="0.2">
      <c r="A178" s="36"/>
    </row>
    <row r="179" spans="1:1" x14ac:dyDescent="0.2">
      <c r="A179" s="36"/>
    </row>
    <row r="180" spans="1:1" x14ac:dyDescent="0.2">
      <c r="A180" s="36"/>
    </row>
    <row r="181" spans="1:1" x14ac:dyDescent="0.2">
      <c r="A181" s="36"/>
    </row>
    <row r="182" spans="1:1" x14ac:dyDescent="0.2">
      <c r="A182" s="36"/>
    </row>
    <row r="183" spans="1:1" x14ac:dyDescent="0.2">
      <c r="A183" s="36"/>
    </row>
    <row r="184" spans="1:1" x14ac:dyDescent="0.2">
      <c r="A184" s="36"/>
    </row>
    <row r="185" spans="1:1" x14ac:dyDescent="0.2">
      <c r="A185" s="36"/>
    </row>
    <row r="186" spans="1:1" x14ac:dyDescent="0.2">
      <c r="A186" s="36"/>
    </row>
    <row r="187" spans="1:1" x14ac:dyDescent="0.2">
      <c r="A187" s="36"/>
    </row>
    <row r="188" spans="1:1" x14ac:dyDescent="0.2">
      <c r="A188" s="36"/>
    </row>
    <row r="189" spans="1:1" x14ac:dyDescent="0.2">
      <c r="A189" s="36"/>
    </row>
    <row r="190" spans="1:1" x14ac:dyDescent="0.2">
      <c r="A190" s="36"/>
    </row>
    <row r="191" spans="1:1" x14ac:dyDescent="0.2">
      <c r="A191" s="36"/>
    </row>
    <row r="192" spans="1:1" x14ac:dyDescent="0.2">
      <c r="A192" s="36"/>
    </row>
    <row r="193" spans="1:1" x14ac:dyDescent="0.2">
      <c r="A193" s="36"/>
    </row>
    <row r="194" spans="1:1" x14ac:dyDescent="0.2">
      <c r="A194" s="36"/>
    </row>
    <row r="195" spans="1:1" x14ac:dyDescent="0.2">
      <c r="A195" s="36"/>
    </row>
    <row r="196" spans="1:1" x14ac:dyDescent="0.2">
      <c r="A196" s="36"/>
    </row>
    <row r="197" spans="1:1" x14ac:dyDescent="0.2">
      <c r="A197" s="36"/>
    </row>
    <row r="198" spans="1:1" x14ac:dyDescent="0.2">
      <c r="A198" s="36"/>
    </row>
    <row r="199" spans="1:1" x14ac:dyDescent="0.2">
      <c r="A199" s="36"/>
    </row>
    <row r="200" spans="1:1" x14ac:dyDescent="0.2">
      <c r="A200" s="36"/>
    </row>
    <row r="201" spans="1:1" x14ac:dyDescent="0.2">
      <c r="A201" s="36"/>
    </row>
    <row r="202" spans="1:1" x14ac:dyDescent="0.2">
      <c r="A202" s="36"/>
    </row>
    <row r="203" spans="1:1" x14ac:dyDescent="0.2">
      <c r="A203" s="36"/>
    </row>
    <row r="204" spans="1:1" x14ac:dyDescent="0.2">
      <c r="A204" s="36"/>
    </row>
    <row r="205" spans="1:1" x14ac:dyDescent="0.2">
      <c r="A205" s="36"/>
    </row>
    <row r="206" spans="1:1" x14ac:dyDescent="0.2">
      <c r="A206" s="36"/>
    </row>
    <row r="207" spans="1:1" x14ac:dyDescent="0.2">
      <c r="A207" s="36"/>
    </row>
    <row r="208" spans="1:1" x14ac:dyDescent="0.2">
      <c r="A208" s="36"/>
    </row>
    <row r="209" spans="1:1" x14ac:dyDescent="0.2">
      <c r="A209" s="36"/>
    </row>
    <row r="210" spans="1:1" x14ac:dyDescent="0.2">
      <c r="A210" s="36"/>
    </row>
    <row r="211" spans="1:1" x14ac:dyDescent="0.2">
      <c r="A211" s="36"/>
    </row>
    <row r="212" spans="1:1" x14ac:dyDescent="0.2">
      <c r="A212" s="36"/>
    </row>
    <row r="213" spans="1:1" x14ac:dyDescent="0.2">
      <c r="A213" s="36"/>
    </row>
    <row r="214" spans="1:1" x14ac:dyDescent="0.2">
      <c r="A214" s="36"/>
    </row>
    <row r="215" spans="1:1" x14ac:dyDescent="0.2">
      <c r="A215" s="36"/>
    </row>
    <row r="216" spans="1:1" x14ac:dyDescent="0.2">
      <c r="A216" s="36"/>
    </row>
    <row r="217" spans="1:1" x14ac:dyDescent="0.2">
      <c r="A217" s="36"/>
    </row>
    <row r="218" spans="1:1" x14ac:dyDescent="0.2">
      <c r="A218" s="36"/>
    </row>
    <row r="219" spans="1:1" x14ac:dyDescent="0.2">
      <c r="A219" s="36"/>
    </row>
    <row r="220" spans="1:1" x14ac:dyDescent="0.2">
      <c r="A220" s="36"/>
    </row>
    <row r="221" spans="1:1" x14ac:dyDescent="0.2">
      <c r="A221" s="36"/>
    </row>
    <row r="222" spans="1:1" x14ac:dyDescent="0.2">
      <c r="A222" s="36"/>
    </row>
    <row r="223" spans="1:1" x14ac:dyDescent="0.2">
      <c r="A223" s="36"/>
    </row>
    <row r="224" spans="1:1" x14ac:dyDescent="0.2">
      <c r="A224" s="36"/>
    </row>
    <row r="225" spans="1:1" x14ac:dyDescent="0.2">
      <c r="A225" s="36"/>
    </row>
    <row r="226" spans="1:1" x14ac:dyDescent="0.2">
      <c r="A226" s="36"/>
    </row>
    <row r="227" spans="1:1" x14ac:dyDescent="0.2">
      <c r="A227" s="36"/>
    </row>
    <row r="228" spans="1:1" x14ac:dyDescent="0.2">
      <c r="A228" s="36"/>
    </row>
    <row r="229" spans="1:1" x14ac:dyDescent="0.2">
      <c r="A229" s="36"/>
    </row>
    <row r="230" spans="1:1" x14ac:dyDescent="0.2">
      <c r="A230" s="36"/>
    </row>
    <row r="231" spans="1:1" x14ac:dyDescent="0.2">
      <c r="A231" s="36"/>
    </row>
    <row r="232" spans="1:1" x14ac:dyDescent="0.2">
      <c r="A232" s="36"/>
    </row>
    <row r="233" spans="1:1" x14ac:dyDescent="0.2">
      <c r="A233" s="36"/>
    </row>
    <row r="234" spans="1:1" x14ac:dyDescent="0.2">
      <c r="A234" s="36"/>
    </row>
    <row r="235" spans="1:1" x14ac:dyDescent="0.2">
      <c r="A235" s="36"/>
    </row>
    <row r="236" spans="1:1" x14ac:dyDescent="0.2">
      <c r="A236" s="36"/>
    </row>
    <row r="237" spans="1:1" x14ac:dyDescent="0.2">
      <c r="A237" s="36"/>
    </row>
    <row r="238" spans="1:1" x14ac:dyDescent="0.2">
      <c r="A238" s="36"/>
    </row>
    <row r="239" spans="1:1" x14ac:dyDescent="0.2">
      <c r="A239" s="36"/>
    </row>
    <row r="240" spans="1:1" x14ac:dyDescent="0.2">
      <c r="A240" s="36"/>
    </row>
    <row r="241" spans="1:1" x14ac:dyDescent="0.2">
      <c r="A241" s="36"/>
    </row>
    <row r="242" spans="1:1" x14ac:dyDescent="0.2">
      <c r="A242" s="36"/>
    </row>
    <row r="243" spans="1:1" x14ac:dyDescent="0.2">
      <c r="A243" s="36"/>
    </row>
    <row r="244" spans="1:1" x14ac:dyDescent="0.2">
      <c r="A244" s="36"/>
    </row>
    <row r="245" spans="1:1" x14ac:dyDescent="0.2">
      <c r="A245" s="36"/>
    </row>
    <row r="246" spans="1:1" x14ac:dyDescent="0.2">
      <c r="A246" s="36"/>
    </row>
    <row r="247" spans="1:1" x14ac:dyDescent="0.2">
      <c r="A247" s="36"/>
    </row>
    <row r="248" spans="1:1" x14ac:dyDescent="0.2">
      <c r="A248" s="36"/>
    </row>
    <row r="249" spans="1:1" x14ac:dyDescent="0.2">
      <c r="A249" s="36"/>
    </row>
    <row r="250" spans="1:1" x14ac:dyDescent="0.2">
      <c r="A250" s="36"/>
    </row>
    <row r="251" spans="1:1" x14ac:dyDescent="0.2">
      <c r="A251" s="36"/>
    </row>
    <row r="252" spans="1:1" x14ac:dyDescent="0.2">
      <c r="A252" s="36"/>
    </row>
    <row r="253" spans="1:1" x14ac:dyDescent="0.2">
      <c r="A253" s="36"/>
    </row>
    <row r="254" spans="1:1" x14ac:dyDescent="0.2">
      <c r="A254" s="36"/>
    </row>
    <row r="255" spans="1:1" x14ac:dyDescent="0.2">
      <c r="A255" s="36"/>
    </row>
    <row r="256" spans="1:1" x14ac:dyDescent="0.2">
      <c r="A256" s="36"/>
    </row>
    <row r="257" spans="1:1" x14ac:dyDescent="0.2">
      <c r="A257" s="36"/>
    </row>
    <row r="258" spans="1:1" x14ac:dyDescent="0.2">
      <c r="A258" s="36"/>
    </row>
    <row r="259" spans="1:1" x14ac:dyDescent="0.2">
      <c r="A259" s="36"/>
    </row>
    <row r="260" spans="1:1" x14ac:dyDescent="0.2">
      <c r="A260" s="36"/>
    </row>
    <row r="261" spans="1:1" x14ac:dyDescent="0.2">
      <c r="A261" s="36"/>
    </row>
    <row r="262" spans="1:1" x14ac:dyDescent="0.2">
      <c r="A262" s="36"/>
    </row>
    <row r="263" spans="1:1" x14ac:dyDescent="0.2">
      <c r="A263" s="36"/>
    </row>
    <row r="264" spans="1:1" x14ac:dyDescent="0.2">
      <c r="A264" s="36"/>
    </row>
    <row r="265" spans="1:1" x14ac:dyDescent="0.2">
      <c r="A265" s="36"/>
    </row>
    <row r="266" spans="1:1" x14ac:dyDescent="0.2">
      <c r="A266" s="36"/>
    </row>
    <row r="267" spans="1:1" x14ac:dyDescent="0.2">
      <c r="A267" s="36"/>
    </row>
    <row r="268" spans="1:1" x14ac:dyDescent="0.2">
      <c r="A268" s="36"/>
    </row>
    <row r="269" spans="1:1" x14ac:dyDescent="0.2">
      <c r="A269" s="36"/>
    </row>
    <row r="270" spans="1:1" x14ac:dyDescent="0.2">
      <c r="A270" s="36"/>
    </row>
    <row r="271" spans="1:1" x14ac:dyDescent="0.2">
      <c r="A271" s="36"/>
    </row>
    <row r="272" spans="1:1" x14ac:dyDescent="0.2">
      <c r="A272" s="36"/>
    </row>
    <row r="273" spans="1:1" x14ac:dyDescent="0.2">
      <c r="A273" s="36"/>
    </row>
    <row r="274" spans="1:1" x14ac:dyDescent="0.2">
      <c r="A274" s="36"/>
    </row>
    <row r="275" spans="1:1" x14ac:dyDescent="0.2">
      <c r="A275" s="36"/>
    </row>
    <row r="276" spans="1:1" x14ac:dyDescent="0.2">
      <c r="A276" s="36"/>
    </row>
    <row r="277" spans="1:1" x14ac:dyDescent="0.2">
      <c r="A277" s="36"/>
    </row>
    <row r="278" spans="1:1" x14ac:dyDescent="0.2">
      <c r="A278" s="36"/>
    </row>
    <row r="279" spans="1:1" x14ac:dyDescent="0.2">
      <c r="A279" s="36"/>
    </row>
    <row r="280" spans="1:1" x14ac:dyDescent="0.2">
      <c r="A280" s="36"/>
    </row>
    <row r="281" spans="1:1" x14ac:dyDescent="0.2">
      <c r="A281" s="36"/>
    </row>
    <row r="282" spans="1:1" x14ac:dyDescent="0.2">
      <c r="A282" s="36"/>
    </row>
    <row r="283" spans="1:1" x14ac:dyDescent="0.2">
      <c r="A283" s="36"/>
    </row>
    <row r="284" spans="1:1" x14ac:dyDescent="0.2">
      <c r="A284" s="36"/>
    </row>
    <row r="285" spans="1:1" x14ac:dyDescent="0.2">
      <c r="A285" s="36"/>
    </row>
    <row r="286" spans="1:1" x14ac:dyDescent="0.2">
      <c r="A286" s="36"/>
    </row>
    <row r="287" spans="1:1" x14ac:dyDescent="0.2">
      <c r="A287" s="36"/>
    </row>
    <row r="288" spans="1:1" x14ac:dyDescent="0.2">
      <c r="A288" s="36"/>
    </row>
    <row r="289" spans="1:1" x14ac:dyDescent="0.2">
      <c r="A289" s="36"/>
    </row>
    <row r="290" spans="1:1" x14ac:dyDescent="0.2">
      <c r="A290" s="36"/>
    </row>
    <row r="291" spans="1:1" x14ac:dyDescent="0.2">
      <c r="A291" s="36"/>
    </row>
    <row r="292" spans="1:1" x14ac:dyDescent="0.2">
      <c r="A292" s="36"/>
    </row>
    <row r="293" spans="1:1" x14ac:dyDescent="0.2">
      <c r="A293" s="36"/>
    </row>
    <row r="294" spans="1:1" x14ac:dyDescent="0.2">
      <c r="A294" s="36"/>
    </row>
    <row r="295" spans="1:1" x14ac:dyDescent="0.2">
      <c r="A295" s="36"/>
    </row>
    <row r="296" spans="1:1" x14ac:dyDescent="0.2">
      <c r="A296" s="36"/>
    </row>
    <row r="297" spans="1:1" x14ac:dyDescent="0.2">
      <c r="A297" s="36"/>
    </row>
    <row r="298" spans="1:1" x14ac:dyDescent="0.2">
      <c r="A298" s="36"/>
    </row>
    <row r="299" spans="1:1" x14ac:dyDescent="0.2">
      <c r="A299" s="36"/>
    </row>
    <row r="300" spans="1:1" x14ac:dyDescent="0.2">
      <c r="A300" s="36"/>
    </row>
    <row r="301" spans="1:1" x14ac:dyDescent="0.2">
      <c r="A301" s="36"/>
    </row>
    <row r="302" spans="1:1" x14ac:dyDescent="0.2">
      <c r="A302" s="36"/>
    </row>
    <row r="303" spans="1:1" x14ac:dyDescent="0.2">
      <c r="A303" s="36"/>
    </row>
    <row r="304" spans="1:1" x14ac:dyDescent="0.2">
      <c r="A304" s="36"/>
    </row>
    <row r="305" spans="1:1" x14ac:dyDescent="0.2">
      <c r="A305" s="36"/>
    </row>
    <row r="306" spans="1:1" x14ac:dyDescent="0.2">
      <c r="A306" s="36"/>
    </row>
    <row r="307" spans="1:1" x14ac:dyDescent="0.2">
      <c r="A307" s="36"/>
    </row>
    <row r="308" spans="1:1" x14ac:dyDescent="0.2">
      <c r="A308" s="36"/>
    </row>
    <row r="309" spans="1:1" x14ac:dyDescent="0.2">
      <c r="A309" s="36"/>
    </row>
    <row r="310" spans="1:1" x14ac:dyDescent="0.2">
      <c r="A310" s="36"/>
    </row>
    <row r="311" spans="1:1" x14ac:dyDescent="0.2">
      <c r="A311" s="36"/>
    </row>
    <row r="312" spans="1:1" x14ac:dyDescent="0.2">
      <c r="A312" s="36"/>
    </row>
    <row r="313" spans="1:1" x14ac:dyDescent="0.2">
      <c r="A313" s="36"/>
    </row>
    <row r="314" spans="1:1" x14ac:dyDescent="0.2">
      <c r="A314" s="36"/>
    </row>
    <row r="315" spans="1:1" x14ac:dyDescent="0.2">
      <c r="A315" s="36"/>
    </row>
    <row r="316" spans="1:1" x14ac:dyDescent="0.2">
      <c r="A316" s="36"/>
    </row>
    <row r="317" spans="1:1" x14ac:dyDescent="0.2">
      <c r="A317" s="36"/>
    </row>
    <row r="318" spans="1:1" x14ac:dyDescent="0.2">
      <c r="A318" s="36"/>
    </row>
    <row r="319" spans="1:1" x14ac:dyDescent="0.2">
      <c r="A319" s="36"/>
    </row>
    <row r="320" spans="1:1" x14ac:dyDescent="0.2">
      <c r="A320" s="36"/>
    </row>
    <row r="321" spans="1:1" x14ac:dyDescent="0.2">
      <c r="A321" s="36"/>
    </row>
    <row r="322" spans="1:1" x14ac:dyDescent="0.2">
      <c r="A322" s="36"/>
    </row>
    <row r="323" spans="1:1" x14ac:dyDescent="0.2">
      <c r="A323" s="36"/>
    </row>
    <row r="324" spans="1:1" x14ac:dyDescent="0.2">
      <c r="A324" s="36"/>
    </row>
    <row r="325" spans="1:1" x14ac:dyDescent="0.2">
      <c r="A325" s="36"/>
    </row>
    <row r="326" spans="1:1" x14ac:dyDescent="0.2">
      <c r="A326" s="36"/>
    </row>
    <row r="327" spans="1:1" x14ac:dyDescent="0.2">
      <c r="A327" s="36"/>
    </row>
    <row r="328" spans="1:1" x14ac:dyDescent="0.2">
      <c r="A328" s="36"/>
    </row>
    <row r="329" spans="1:1" x14ac:dyDescent="0.2">
      <c r="A329" s="36"/>
    </row>
    <row r="330" spans="1:1" x14ac:dyDescent="0.2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142"/>
  <sheetViews>
    <sheetView topLeftCell="A3" workbookViewId="0">
      <selection activeCell="B27" sqref="B27"/>
    </sheetView>
  </sheetViews>
  <sheetFormatPr defaultRowHeight="15" x14ac:dyDescent="0.25"/>
  <cols>
    <col min="1" max="1" width="13.140625" bestFit="1" customWidth="1"/>
    <col min="2" max="2" width="16.42578125" bestFit="1" customWidth="1"/>
    <col min="3" max="3" width="13.42578125" bestFit="1" customWidth="1"/>
    <col min="4" max="4" width="13.28515625" bestFit="1" customWidth="1"/>
    <col min="5" max="5" width="7.5703125" customWidth="1"/>
    <col min="6" max="6" width="14.7109375" bestFit="1" customWidth="1"/>
  </cols>
  <sheetData>
    <row r="3" spans="1:5" x14ac:dyDescent="0.25">
      <c r="B3" s="1" t="s">
        <v>11</v>
      </c>
    </row>
    <row r="4" spans="1:5" x14ac:dyDescent="0.25">
      <c r="A4" s="1" t="s">
        <v>546</v>
      </c>
      <c r="B4" t="s">
        <v>615</v>
      </c>
      <c r="C4" t="s">
        <v>613</v>
      </c>
      <c r="D4" t="s">
        <v>612</v>
      </c>
      <c r="E4" t="s">
        <v>614</v>
      </c>
    </row>
    <row r="5" spans="1:5" x14ac:dyDescent="0.25">
      <c r="A5" s="2" t="s">
        <v>1</v>
      </c>
      <c r="B5" s="24">
        <v>5.5609335842499998</v>
      </c>
      <c r="C5" s="56">
        <v>0.84225014371489515</v>
      </c>
      <c r="D5" s="24">
        <v>9.36</v>
      </c>
      <c r="E5" s="56">
        <v>0.59411683592414533</v>
      </c>
    </row>
    <row r="6" spans="1:5" x14ac:dyDescent="0.25">
      <c r="A6" s="2" t="s">
        <v>208</v>
      </c>
      <c r="B6" s="24">
        <v>5.0553941675000003</v>
      </c>
      <c r="C6" s="56">
        <v>0.76568194912363652</v>
      </c>
      <c r="D6" s="24">
        <v>11</v>
      </c>
      <c r="E6" s="56">
        <v>0.45958128795454545</v>
      </c>
    </row>
    <row r="7" spans="1:5" x14ac:dyDescent="0.25">
      <c r="A7" s="2" t="s">
        <v>591</v>
      </c>
      <c r="B7" s="24">
        <v>4.3963364348085001</v>
      </c>
      <c r="C7" s="56">
        <v>1.0881050527302918</v>
      </c>
      <c r="D7" s="24">
        <v>44.83</v>
      </c>
      <c r="E7" s="56">
        <v>9.8066839946654022E-2</v>
      </c>
    </row>
    <row r="8" spans="1:5" x14ac:dyDescent="0.25">
      <c r="A8" s="2" t="s">
        <v>620</v>
      </c>
      <c r="B8" s="24">
        <v>4.2426323562500006</v>
      </c>
      <c r="C8" s="56">
        <v>0.42680662187286622</v>
      </c>
      <c r="D8" s="24">
        <v>158.99</v>
      </c>
      <c r="E8" s="56">
        <v>2.668490066199132E-2</v>
      </c>
    </row>
    <row r="9" spans="1:5" x14ac:dyDescent="0.25">
      <c r="A9" s="2" t="s">
        <v>256</v>
      </c>
      <c r="B9" s="24">
        <v>4.05448410175</v>
      </c>
      <c r="C9" s="56">
        <v>0.60740107618893502</v>
      </c>
      <c r="D9" s="24">
        <v>50</v>
      </c>
      <c r="E9" s="56">
        <v>8.1089682034999999E-2</v>
      </c>
    </row>
    <row r="10" spans="1:5" x14ac:dyDescent="0.25">
      <c r="A10" s="2" t="s">
        <v>590</v>
      </c>
      <c r="B10" s="24">
        <v>3.9966626680077502</v>
      </c>
      <c r="C10" s="56">
        <v>0.98918487794984422</v>
      </c>
      <c r="D10" s="24">
        <v>40</v>
      </c>
      <c r="E10" s="56">
        <v>9.9916566700193749E-2</v>
      </c>
    </row>
    <row r="11" spans="1:5" x14ac:dyDescent="0.25">
      <c r="A11" s="2" t="s">
        <v>193</v>
      </c>
      <c r="B11" s="24">
        <v>3.9568386666666666</v>
      </c>
      <c r="C11" s="56">
        <v>0.70044394399833187</v>
      </c>
      <c r="D11" s="24">
        <v>26.92</v>
      </c>
      <c r="E11" s="56">
        <v>0.14698509162951956</v>
      </c>
    </row>
    <row r="12" spans="1:5" x14ac:dyDescent="0.25">
      <c r="A12" s="2" t="s">
        <v>192</v>
      </c>
      <c r="B12" s="24">
        <v>3.9568386666666666</v>
      </c>
      <c r="C12" s="56">
        <v>0.70044394399833187</v>
      </c>
      <c r="D12" s="24">
        <v>44</v>
      </c>
      <c r="E12" s="56">
        <v>8.9928151515151503E-2</v>
      </c>
    </row>
    <row r="13" spans="1:5" x14ac:dyDescent="0.25">
      <c r="A13" s="2" t="s">
        <v>255</v>
      </c>
      <c r="B13" s="24">
        <v>3.68562190425</v>
      </c>
      <c r="C13" s="56">
        <v>0.55210929465239156</v>
      </c>
      <c r="D13" s="24">
        <v>49.98</v>
      </c>
      <c r="E13" s="56">
        <v>7.3741934858943578E-2</v>
      </c>
    </row>
    <row r="14" spans="1:5" x14ac:dyDescent="0.25">
      <c r="A14" s="2" t="s">
        <v>86</v>
      </c>
      <c r="B14" s="24">
        <v>3.522149125166667</v>
      </c>
      <c r="C14" s="56">
        <v>0.61566379005177641</v>
      </c>
      <c r="D14" s="24">
        <v>42</v>
      </c>
      <c r="E14" s="56">
        <v>8.3860693456349208E-2</v>
      </c>
    </row>
    <row r="15" spans="1:5" x14ac:dyDescent="0.25">
      <c r="A15" s="2" t="s">
        <v>101</v>
      </c>
      <c r="B15" s="24">
        <v>3.522149125166667</v>
      </c>
      <c r="C15" s="56">
        <v>0.61566379005177641</v>
      </c>
      <c r="D15" s="24">
        <v>44.6</v>
      </c>
      <c r="E15" s="56">
        <v>7.8971953479073251E-2</v>
      </c>
    </row>
    <row r="16" spans="1:5" x14ac:dyDescent="0.25">
      <c r="A16" s="2" t="s">
        <v>96</v>
      </c>
      <c r="B16" s="24">
        <v>3.4130306894500002</v>
      </c>
      <c r="C16" s="56">
        <v>0.76692732207874426</v>
      </c>
      <c r="D16" s="24">
        <v>30.99</v>
      </c>
      <c r="E16" s="56">
        <v>0.11013329104388513</v>
      </c>
    </row>
    <row r="17" spans="1:5" x14ac:dyDescent="0.25">
      <c r="A17" s="2" t="s">
        <v>97</v>
      </c>
      <c r="B17" s="24">
        <v>3.4130306894500002</v>
      </c>
      <c r="C17" s="56">
        <v>0.76692732207874426</v>
      </c>
      <c r="D17" s="24">
        <v>32.01</v>
      </c>
      <c r="E17" s="56">
        <v>0.106623889079975</v>
      </c>
    </row>
    <row r="18" spans="1:5" x14ac:dyDescent="0.25">
      <c r="A18" s="2" t="s">
        <v>38</v>
      </c>
      <c r="B18" s="24">
        <v>3.1120916689999998</v>
      </c>
      <c r="C18" s="56">
        <v>1.4411167513828902</v>
      </c>
      <c r="D18" s="24">
        <v>61.99</v>
      </c>
      <c r="E18" s="56">
        <v>5.0203124197451196E-2</v>
      </c>
    </row>
    <row r="19" spans="1:5" x14ac:dyDescent="0.25">
      <c r="A19" s="2" t="s">
        <v>100</v>
      </c>
      <c r="B19" s="24">
        <v>3.0840112499999996</v>
      </c>
      <c r="C19" s="56">
        <v>0.81719301958088741</v>
      </c>
      <c r="D19" s="24">
        <v>21.51</v>
      </c>
      <c r="E19" s="56">
        <v>0.14337569735006972</v>
      </c>
    </row>
    <row r="20" spans="1:5" x14ac:dyDescent="0.25">
      <c r="A20" s="2" t="s">
        <v>202</v>
      </c>
      <c r="B20" s="24">
        <v>2.93737958</v>
      </c>
      <c r="C20" s="56">
        <v>1.2793462988233146</v>
      </c>
      <c r="D20" s="24">
        <v>62.04</v>
      </c>
      <c r="E20" s="56">
        <v>4.7346543842682137E-2</v>
      </c>
    </row>
    <row r="21" spans="1:5" x14ac:dyDescent="0.25">
      <c r="A21" s="2" t="s">
        <v>73</v>
      </c>
      <c r="B21" s="24">
        <v>2.8036235325000001</v>
      </c>
      <c r="C21" s="56">
        <v>0.74283278628036531</v>
      </c>
      <c r="D21" s="24">
        <v>18</v>
      </c>
      <c r="E21" s="56">
        <v>0.15575686291666668</v>
      </c>
    </row>
    <row r="22" spans="1:5" x14ac:dyDescent="0.25">
      <c r="A22" s="2" t="s">
        <v>70</v>
      </c>
      <c r="B22" s="24">
        <v>2.48368460875</v>
      </c>
      <c r="C22" s="56">
        <v>0.83226612425770607</v>
      </c>
      <c r="D22" s="24">
        <v>9.24</v>
      </c>
      <c r="E22" s="56">
        <v>0.35839604743867243</v>
      </c>
    </row>
    <row r="23" spans="1:5" x14ac:dyDescent="0.25">
      <c r="A23" s="2" t="s">
        <v>273</v>
      </c>
      <c r="B23" s="24">
        <v>2.4424743662752499</v>
      </c>
      <c r="C23" s="56">
        <v>0.55176083148968624</v>
      </c>
      <c r="D23" s="24">
        <v>25</v>
      </c>
      <c r="E23" s="56">
        <v>9.769897465100999E-2</v>
      </c>
    </row>
    <row r="24" spans="1:5" x14ac:dyDescent="0.25">
      <c r="A24" s="2" t="s">
        <v>33</v>
      </c>
      <c r="B24" s="24">
        <v>2.4367890512500003</v>
      </c>
      <c r="C24" s="56">
        <v>1.1397628762293932</v>
      </c>
      <c r="D24" s="24">
        <v>19.09</v>
      </c>
      <c r="E24" s="56">
        <v>0.12764740970403352</v>
      </c>
    </row>
    <row r="25" spans="1:5" x14ac:dyDescent="0.25">
      <c r="A25" s="2" t="s">
        <v>107</v>
      </c>
      <c r="B25" s="24">
        <v>2.30125</v>
      </c>
      <c r="C25" s="56">
        <v>0.67976520829611575</v>
      </c>
      <c r="D25" s="24">
        <v>30</v>
      </c>
      <c r="E25" s="56">
        <v>7.6708333333333323E-2</v>
      </c>
    </row>
    <row r="26" spans="1:5" x14ac:dyDescent="0.25">
      <c r="A26" s="2" t="s">
        <v>36</v>
      </c>
      <c r="B26" s="24">
        <v>2.2949999999999999</v>
      </c>
      <c r="C26" s="56">
        <v>1.0319469633494387</v>
      </c>
      <c r="D26" s="24">
        <v>26.459999999999997</v>
      </c>
      <c r="E26" s="56">
        <v>8.673469387755102E-2</v>
      </c>
    </row>
    <row r="27" spans="1:5" x14ac:dyDescent="0.25">
      <c r="A27" s="2" t="s">
        <v>499</v>
      </c>
      <c r="B27" s="24">
        <v>2.2866666666666666</v>
      </c>
      <c r="C27" s="56">
        <v>0.80406042099383901</v>
      </c>
      <c r="D27" s="24">
        <v>30.05</v>
      </c>
      <c r="E27" s="56">
        <v>7.6095396561286749E-2</v>
      </c>
    </row>
    <row r="28" spans="1:5" x14ac:dyDescent="0.25">
      <c r="A28" s="2" t="s">
        <v>272</v>
      </c>
      <c r="B28" s="24">
        <v>2.2204312423449997</v>
      </c>
      <c r="C28" s="56">
        <v>0.50160075598307408</v>
      </c>
      <c r="D28" s="24">
        <v>28.74</v>
      </c>
      <c r="E28" s="56">
        <v>7.7259263825504521E-2</v>
      </c>
    </row>
    <row r="29" spans="1:5" x14ac:dyDescent="0.25">
      <c r="A29" s="2" t="s">
        <v>29</v>
      </c>
      <c r="B29" s="24">
        <v>2.2152627737499997</v>
      </c>
      <c r="C29" s="56">
        <v>1.036148069258843</v>
      </c>
      <c r="D29" s="24">
        <v>17.8</v>
      </c>
      <c r="E29" s="56">
        <v>0.12445296481741573</v>
      </c>
    </row>
    <row r="30" spans="1:5" x14ac:dyDescent="0.25">
      <c r="A30" s="2" t="s">
        <v>498</v>
      </c>
      <c r="B30" s="24">
        <v>2.0733333333333333</v>
      </c>
      <c r="C30" s="56">
        <v>0.72895763504872801</v>
      </c>
      <c r="D30" s="24">
        <v>30.01</v>
      </c>
      <c r="E30" s="56">
        <v>6.9088081750527594E-2</v>
      </c>
    </row>
    <row r="31" spans="1:5" x14ac:dyDescent="0.25">
      <c r="A31" s="2" t="s">
        <v>72</v>
      </c>
      <c r="B31" s="24">
        <v>2.0418667500000001</v>
      </c>
      <c r="C31" s="56">
        <v>0.7246803815404973</v>
      </c>
      <c r="D31" s="24">
        <v>17.079999999999998</v>
      </c>
      <c r="E31" s="56">
        <v>0.23909446721311478</v>
      </c>
    </row>
    <row r="32" spans="1:5" x14ac:dyDescent="0.25">
      <c r="A32" s="2" t="s">
        <v>32</v>
      </c>
      <c r="B32" s="24">
        <v>1.97007257325</v>
      </c>
      <c r="C32" s="56">
        <v>1.230827463809369</v>
      </c>
      <c r="D32" s="24">
        <v>19.09</v>
      </c>
      <c r="E32" s="56">
        <v>0.1031991918936616</v>
      </c>
    </row>
    <row r="33" spans="1:5" x14ac:dyDescent="0.25">
      <c r="A33" s="2" t="s">
        <v>219</v>
      </c>
      <c r="B33" s="24">
        <v>1.8588783672666667</v>
      </c>
      <c r="C33" s="56">
        <v>0.85565136305393408</v>
      </c>
      <c r="D33" s="24">
        <v>35.94</v>
      </c>
      <c r="E33" s="56">
        <v>5.1721713056946762E-2</v>
      </c>
    </row>
    <row r="34" spans="1:5" x14ac:dyDescent="0.25">
      <c r="A34" s="2" t="s">
        <v>94</v>
      </c>
      <c r="B34" s="24">
        <v>1.8230299609333331</v>
      </c>
      <c r="C34" s="56">
        <v>5.3177960130440907</v>
      </c>
      <c r="D34" s="24">
        <v>22.179999999999996</v>
      </c>
      <c r="E34" s="56">
        <v>8.2192514018635407E-2</v>
      </c>
    </row>
    <row r="35" spans="1:5" x14ac:dyDescent="0.25">
      <c r="A35" s="2" t="s">
        <v>28</v>
      </c>
      <c r="B35" s="24">
        <v>1.8019270000000001</v>
      </c>
      <c r="C35" s="56">
        <v>1.6072307401235155</v>
      </c>
      <c r="D35" s="24">
        <v>11.35</v>
      </c>
      <c r="E35" s="56">
        <v>0.15876008810572687</v>
      </c>
    </row>
    <row r="36" spans="1:5" x14ac:dyDescent="0.25">
      <c r="A36" s="2" t="s">
        <v>581</v>
      </c>
      <c r="B36" s="24">
        <v>1.6633333333333333</v>
      </c>
      <c r="C36" s="56">
        <v>5.1889142659306664</v>
      </c>
      <c r="D36" s="24">
        <v>3.61</v>
      </c>
      <c r="E36" s="56">
        <v>0.69113573407202222</v>
      </c>
    </row>
    <row r="37" spans="1:5" x14ac:dyDescent="0.25">
      <c r="A37" s="2" t="s">
        <v>582</v>
      </c>
      <c r="B37" s="24">
        <v>1.6633333333333333</v>
      </c>
      <c r="C37" s="56">
        <v>5.1889142659306664</v>
      </c>
      <c r="D37" s="24">
        <v>3.59</v>
      </c>
      <c r="E37" s="56">
        <v>0.69498607242339849</v>
      </c>
    </row>
    <row r="38" spans="1:5" x14ac:dyDescent="0.25">
      <c r="A38" s="2" t="s">
        <v>27</v>
      </c>
      <c r="B38" s="24">
        <v>1.6525109946179999</v>
      </c>
      <c r="C38" s="56">
        <v>3.7191222820393564</v>
      </c>
      <c r="D38" s="24">
        <v>9.93</v>
      </c>
      <c r="E38" s="56">
        <v>0.16641601154259819</v>
      </c>
    </row>
    <row r="39" spans="1:5" x14ac:dyDescent="0.25">
      <c r="A39" s="2" t="s">
        <v>31</v>
      </c>
      <c r="B39" s="24">
        <v>1.644651375</v>
      </c>
      <c r="C39" s="56">
        <v>0.65026428573600636</v>
      </c>
      <c r="D39" s="24">
        <v>14.2</v>
      </c>
      <c r="E39" s="56">
        <v>0.11582051936619718</v>
      </c>
    </row>
    <row r="40" spans="1:5" x14ac:dyDescent="0.25">
      <c r="A40" s="2" t="s">
        <v>30</v>
      </c>
      <c r="B40" s="24">
        <v>1.644651375</v>
      </c>
      <c r="C40" s="56">
        <v>0.65026428573600636</v>
      </c>
      <c r="D40" s="24">
        <v>14.01</v>
      </c>
      <c r="E40" s="56">
        <v>0.11739124732334047</v>
      </c>
    </row>
    <row r="41" spans="1:5" x14ac:dyDescent="0.25">
      <c r="A41" s="2" t="s">
        <v>56</v>
      </c>
      <c r="B41" s="24">
        <v>1.6266666666666667</v>
      </c>
      <c r="C41" s="56">
        <v>0.79479552403967901</v>
      </c>
      <c r="D41" s="24">
        <v>22.12</v>
      </c>
      <c r="E41" s="56">
        <v>7.3538276069921638E-2</v>
      </c>
    </row>
    <row r="42" spans="1:5" x14ac:dyDescent="0.25">
      <c r="A42" s="2" t="s">
        <v>24</v>
      </c>
      <c r="B42" s="24">
        <v>1.6226054845</v>
      </c>
      <c r="C42" s="56">
        <v>0.40025891489587845</v>
      </c>
      <c r="D42" s="24">
        <v>24.4</v>
      </c>
      <c r="E42" s="56">
        <v>6.6500224774590166E-2</v>
      </c>
    </row>
    <row r="43" spans="1:5" x14ac:dyDescent="0.25">
      <c r="A43" s="2" t="s">
        <v>223</v>
      </c>
      <c r="B43" s="24">
        <v>1.5341</v>
      </c>
      <c r="C43" s="56">
        <v>0.33954720063196125</v>
      </c>
      <c r="D43" s="24">
        <v>37.200000000000003</v>
      </c>
      <c r="E43" s="56">
        <v>4.1239247311827959E-2</v>
      </c>
    </row>
    <row r="44" spans="1:5" x14ac:dyDescent="0.25">
      <c r="A44" s="2" t="s">
        <v>57</v>
      </c>
      <c r="B44" s="24">
        <v>1.5274999999999999</v>
      </c>
      <c r="C44" s="56">
        <v>3.6038092899769296</v>
      </c>
      <c r="D44" s="24">
        <v>18.2</v>
      </c>
      <c r="E44" s="56">
        <v>8.3928571428571436E-2</v>
      </c>
    </row>
    <row r="45" spans="1:5" x14ac:dyDescent="0.25">
      <c r="A45" s="2" t="s">
        <v>74</v>
      </c>
      <c r="B45" s="24">
        <v>1.45517012</v>
      </c>
      <c r="C45" s="56">
        <v>0.29963156324701223</v>
      </c>
      <c r="D45" s="24">
        <v>18.399999999999999</v>
      </c>
      <c r="E45" s="56">
        <v>9.8856665760869558E-2</v>
      </c>
    </row>
    <row r="46" spans="1:5" x14ac:dyDescent="0.25">
      <c r="A46" s="2" t="s">
        <v>277</v>
      </c>
      <c r="B46" s="24">
        <v>1.4017908450000001</v>
      </c>
      <c r="C46" s="56">
        <v>0.28664546825986631</v>
      </c>
      <c r="D46" s="24">
        <v>29.99</v>
      </c>
      <c r="E46" s="56">
        <v>4.6741942147382462E-2</v>
      </c>
    </row>
    <row r="47" spans="1:5" x14ac:dyDescent="0.25">
      <c r="A47" s="2" t="s">
        <v>98</v>
      </c>
      <c r="B47" s="24">
        <v>1.3360865</v>
      </c>
      <c r="C47" s="56">
        <v>0.47419139568365454</v>
      </c>
      <c r="D47" s="24">
        <v>16.010000000000002</v>
      </c>
      <c r="E47" s="56">
        <v>0.16690649594003748</v>
      </c>
    </row>
    <row r="48" spans="1:5" x14ac:dyDescent="0.25">
      <c r="A48" s="2" t="s">
        <v>601</v>
      </c>
      <c r="B48" s="24">
        <v>1.3106371727500001</v>
      </c>
      <c r="C48" s="56">
        <v>0.37396520131393723</v>
      </c>
      <c r="D48" s="24">
        <v>25.08</v>
      </c>
      <c r="E48" s="56">
        <v>5.2258260476475277E-2</v>
      </c>
    </row>
    <row r="49" spans="1:5" x14ac:dyDescent="0.25">
      <c r="A49" s="2" t="s">
        <v>600</v>
      </c>
      <c r="B49" s="24">
        <v>1.19148833725</v>
      </c>
      <c r="C49" s="56">
        <v>0.33996836443315553</v>
      </c>
      <c r="D49" s="24">
        <v>20.3</v>
      </c>
      <c r="E49" s="56">
        <v>5.8694006761083738E-2</v>
      </c>
    </row>
    <row r="50" spans="1:5" x14ac:dyDescent="0.25">
      <c r="A50" s="2" t="s">
        <v>75</v>
      </c>
      <c r="B50" s="24">
        <v>1.1870487333333333</v>
      </c>
      <c r="C50" s="56">
        <v>3.3879538155207976</v>
      </c>
      <c r="D50" s="24">
        <v>19.899999999999999</v>
      </c>
      <c r="E50" s="56">
        <v>5.9650690117252936E-2</v>
      </c>
    </row>
    <row r="51" spans="1:5" x14ac:dyDescent="0.25">
      <c r="A51" s="2" t="s">
        <v>630</v>
      </c>
      <c r="B51" s="24">
        <v>1.1713</v>
      </c>
      <c r="C51" s="56">
        <v>0.19103666588090965</v>
      </c>
      <c r="D51" s="24">
        <v>5.2</v>
      </c>
      <c r="E51" s="56">
        <v>0.22524999999999998</v>
      </c>
    </row>
    <row r="52" spans="1:5" x14ac:dyDescent="0.25">
      <c r="A52" s="2" t="s">
        <v>108</v>
      </c>
      <c r="B52" s="24">
        <v>1.1699200000000001</v>
      </c>
      <c r="C52" s="56">
        <v>0.33582916423156933</v>
      </c>
      <c r="D52" s="24">
        <v>30.53</v>
      </c>
      <c r="E52" s="56">
        <v>3.8320340648542416E-2</v>
      </c>
    </row>
    <row r="53" spans="1:5" x14ac:dyDescent="0.25">
      <c r="A53" s="2" t="s">
        <v>99</v>
      </c>
      <c r="B53" s="24">
        <v>1.1498299999999999</v>
      </c>
      <c r="C53" s="56">
        <v>0.76106388540309444</v>
      </c>
      <c r="D53" s="24">
        <v>25.02</v>
      </c>
      <c r="E53" s="56">
        <v>0.18382573940847322</v>
      </c>
    </row>
    <row r="54" spans="1:5" x14ac:dyDescent="0.25">
      <c r="A54" s="2" t="s">
        <v>95</v>
      </c>
      <c r="B54" s="24">
        <v>1.0913750666666666</v>
      </c>
      <c r="C54" s="56">
        <v>3.0993823198719794</v>
      </c>
      <c r="D54" s="24">
        <v>22.42</v>
      </c>
      <c r="E54" s="56">
        <v>4.8678638120725537E-2</v>
      </c>
    </row>
    <row r="55" spans="1:5" x14ac:dyDescent="0.25">
      <c r="A55" s="2" t="s">
        <v>58</v>
      </c>
      <c r="B55" s="24">
        <v>1.0648325905</v>
      </c>
      <c r="C55" s="56">
        <v>2.3414519788923673</v>
      </c>
      <c r="D55" s="24">
        <v>14.79</v>
      </c>
      <c r="E55" s="56">
        <v>7.1996794489519955E-2</v>
      </c>
    </row>
    <row r="56" spans="1:5" x14ac:dyDescent="0.25">
      <c r="A56" s="2" t="s">
        <v>34</v>
      </c>
      <c r="B56" s="24">
        <v>1.06338</v>
      </c>
      <c r="C56" s="56">
        <v>0.30524903922734314</v>
      </c>
      <c r="D56" s="24">
        <v>22.3</v>
      </c>
      <c r="E56" s="56">
        <v>4.7685201793721974E-2</v>
      </c>
    </row>
    <row r="57" spans="1:5" x14ac:dyDescent="0.25">
      <c r="A57" s="2" t="s">
        <v>250</v>
      </c>
      <c r="B57" s="24">
        <v>0.99430674249999995</v>
      </c>
      <c r="C57" s="56">
        <v>0.41507496875695749</v>
      </c>
      <c r="D57" s="24">
        <v>29.09</v>
      </c>
      <c r="E57" s="56">
        <v>3.4180362409762806E-2</v>
      </c>
    </row>
    <row r="58" spans="1:5" x14ac:dyDescent="0.25">
      <c r="A58" s="2" t="s">
        <v>624</v>
      </c>
      <c r="B58" s="24">
        <v>0.98333333333333339</v>
      </c>
      <c r="C58" s="56">
        <v>0.60454237373323505</v>
      </c>
      <c r="D58" s="24">
        <v>55.95000000000001</v>
      </c>
      <c r="E58" s="56">
        <v>1.7575215966636876E-2</v>
      </c>
    </row>
    <row r="59" spans="1:5" x14ac:dyDescent="0.25">
      <c r="A59" s="2" t="s">
        <v>21</v>
      </c>
      <c r="B59" s="24">
        <v>0.96500000000000008</v>
      </c>
      <c r="C59" s="56">
        <v>0.38236062761569822</v>
      </c>
      <c r="D59" s="24">
        <v>17.079999999999998</v>
      </c>
      <c r="E59" s="56">
        <v>5.6498829039812654E-2</v>
      </c>
    </row>
    <row r="60" spans="1:5" x14ac:dyDescent="0.25">
      <c r="A60" s="2" t="s">
        <v>71</v>
      </c>
      <c r="B60" s="24">
        <v>0.95066520975000013</v>
      </c>
      <c r="C60" s="56">
        <v>0.65697940671349686</v>
      </c>
      <c r="D60" s="24">
        <v>9</v>
      </c>
      <c r="E60" s="56">
        <v>0.10562946775000001</v>
      </c>
    </row>
    <row r="61" spans="1:5" x14ac:dyDescent="0.25">
      <c r="A61" s="2" t="s">
        <v>104</v>
      </c>
      <c r="B61" s="24">
        <v>0.95066520975000013</v>
      </c>
      <c r="C61" s="56">
        <v>0.65697940671349686</v>
      </c>
      <c r="D61" s="24">
        <v>10.119999999999999</v>
      </c>
      <c r="E61" s="56">
        <v>9.3939249975296457E-2</v>
      </c>
    </row>
    <row r="62" spans="1:5" x14ac:dyDescent="0.25">
      <c r="A62" s="2" t="s">
        <v>298</v>
      </c>
      <c r="B62" s="24">
        <v>0.94446666666666668</v>
      </c>
      <c r="C62" s="56">
        <v>0.43273605067700688</v>
      </c>
      <c r="D62" s="24">
        <v>29.45</v>
      </c>
      <c r="E62" s="56">
        <v>3.2070175438596492E-2</v>
      </c>
    </row>
    <row r="63" spans="1:5" x14ac:dyDescent="0.25">
      <c r="A63" s="2" t="s">
        <v>85</v>
      </c>
      <c r="B63" s="24">
        <v>0.94446666666666668</v>
      </c>
      <c r="C63" s="56">
        <v>0.43273605067700688</v>
      </c>
      <c r="D63" s="24">
        <v>31.350000000000005</v>
      </c>
      <c r="E63" s="56">
        <v>3.0126528442317915E-2</v>
      </c>
    </row>
    <row r="64" spans="1:5" x14ac:dyDescent="0.25">
      <c r="A64" s="2" t="s">
        <v>616</v>
      </c>
      <c r="B64" s="24">
        <v>0.92388413999999985</v>
      </c>
      <c r="C64" s="56">
        <v>6.7345118256579717</v>
      </c>
      <c r="D64" s="24">
        <v>15.800000000000002</v>
      </c>
      <c r="E64" s="56">
        <v>5.8473679746835448E-2</v>
      </c>
    </row>
    <row r="65" spans="1:5" x14ac:dyDescent="0.25">
      <c r="A65" s="2" t="s">
        <v>249</v>
      </c>
      <c r="B65" s="24">
        <v>0.90391535675000001</v>
      </c>
      <c r="C65" s="56">
        <v>0.37734094800257278</v>
      </c>
      <c r="D65" s="24">
        <v>31.95</v>
      </c>
      <c r="E65" s="56">
        <v>2.8291560461658843E-2</v>
      </c>
    </row>
    <row r="66" spans="1:5" x14ac:dyDescent="0.25">
      <c r="A66" s="2" t="s">
        <v>2</v>
      </c>
      <c r="B66" s="24">
        <v>0.88496643744399994</v>
      </c>
      <c r="C66" s="56">
        <v>1.1348239525562784</v>
      </c>
      <c r="D66" s="24">
        <v>5.87</v>
      </c>
      <c r="E66" s="56">
        <v>0.15076089223918226</v>
      </c>
    </row>
    <row r="67" spans="1:5" x14ac:dyDescent="0.25">
      <c r="A67" s="2" t="s">
        <v>103</v>
      </c>
      <c r="B67" s="24">
        <v>0.86424111299999984</v>
      </c>
      <c r="C67" s="56">
        <v>0.59725401518756449</v>
      </c>
      <c r="D67" s="24">
        <v>10.02</v>
      </c>
      <c r="E67" s="56">
        <v>8.6251608083832337E-2</v>
      </c>
    </row>
    <row r="68" spans="1:5" x14ac:dyDescent="0.25">
      <c r="A68" s="2" t="s">
        <v>102</v>
      </c>
      <c r="B68" s="24">
        <v>0.85</v>
      </c>
      <c r="C68" s="56">
        <v>0.49000251641148956</v>
      </c>
      <c r="D68" s="24">
        <v>15.5</v>
      </c>
      <c r="E68" s="56">
        <v>5.4838709677419356E-2</v>
      </c>
    </row>
    <row r="69" spans="1:5" x14ac:dyDescent="0.25">
      <c r="A69" s="2" t="s">
        <v>20</v>
      </c>
      <c r="B69" s="24">
        <v>0.84250000000000003</v>
      </c>
      <c r="C69" s="56">
        <v>0.30588500522710332</v>
      </c>
      <c r="D69" s="24">
        <v>15.99</v>
      </c>
      <c r="E69" s="56">
        <v>5.2689180737961229E-2</v>
      </c>
    </row>
    <row r="70" spans="1:5" x14ac:dyDescent="0.25">
      <c r="A70" s="2" t="s">
        <v>261</v>
      </c>
      <c r="B70" s="24">
        <v>0.82486649999999995</v>
      </c>
      <c r="C70" s="56">
        <v>0.39260782255861065</v>
      </c>
      <c r="D70" s="24">
        <v>15.72</v>
      </c>
      <c r="E70" s="56">
        <v>5.2472423664122136E-2</v>
      </c>
    </row>
    <row r="71" spans="1:5" x14ac:dyDescent="0.25">
      <c r="A71" s="2" t="s">
        <v>23</v>
      </c>
      <c r="B71" s="24">
        <v>0.81929699999999994</v>
      </c>
      <c r="C71" s="56">
        <v>0.38941510854732531</v>
      </c>
      <c r="D71" s="24">
        <v>12.6</v>
      </c>
      <c r="E71" s="56">
        <v>6.5023571428571431E-2</v>
      </c>
    </row>
    <row r="72" spans="1:5" x14ac:dyDescent="0.25">
      <c r="A72" s="2" t="s">
        <v>260</v>
      </c>
      <c r="B72" s="24">
        <v>0.81914299999999995</v>
      </c>
      <c r="C72" s="56">
        <v>0.38934546499886002</v>
      </c>
      <c r="D72" s="24">
        <v>13</v>
      </c>
      <c r="E72" s="56">
        <v>6.3010999999999998E-2</v>
      </c>
    </row>
    <row r="73" spans="1:5" x14ac:dyDescent="0.25">
      <c r="A73" s="2" t="s">
        <v>35</v>
      </c>
      <c r="B73" s="24">
        <v>0.81</v>
      </c>
      <c r="C73" s="56">
        <v>0.90036243172799468</v>
      </c>
      <c r="D73" s="24">
        <v>23.149999999999995</v>
      </c>
      <c r="E73" s="56">
        <v>3.498920086393089E-2</v>
      </c>
    </row>
    <row r="74" spans="1:5" x14ac:dyDescent="0.25">
      <c r="A74" s="2" t="s">
        <v>205</v>
      </c>
      <c r="B74" s="24">
        <v>0.79288999999999987</v>
      </c>
      <c r="C74" s="56">
        <v>0.43168732302801038</v>
      </c>
      <c r="D74" s="24">
        <v>49.45</v>
      </c>
      <c r="E74" s="56">
        <v>1.6034175935288171E-2</v>
      </c>
    </row>
    <row r="75" spans="1:5" x14ac:dyDescent="0.25">
      <c r="A75" s="2" t="s">
        <v>78</v>
      </c>
      <c r="B75" s="24">
        <v>0.78970099999999999</v>
      </c>
      <c r="C75" s="56">
        <v>0.66880124529726692</v>
      </c>
      <c r="D75" s="24">
        <v>10.53</v>
      </c>
      <c r="E75" s="56">
        <v>7.499534662867996E-2</v>
      </c>
    </row>
    <row r="76" spans="1:5" x14ac:dyDescent="0.25">
      <c r="A76" s="2" t="s">
        <v>87</v>
      </c>
      <c r="B76" s="24">
        <v>0.77666666666666673</v>
      </c>
      <c r="C76" s="56">
        <v>0.32355722757326899</v>
      </c>
      <c r="D76" s="24">
        <v>11.6</v>
      </c>
      <c r="E76" s="56">
        <v>6.6954022988505751E-2</v>
      </c>
    </row>
    <row r="77" spans="1:5" x14ac:dyDescent="0.25">
      <c r="A77" s="2" t="s">
        <v>303</v>
      </c>
      <c r="B77" s="24">
        <v>0.75250000000000006</v>
      </c>
      <c r="C77" s="56">
        <v>0.43307716407622709</v>
      </c>
      <c r="D77" s="24">
        <v>29.75</v>
      </c>
      <c r="E77" s="56">
        <v>2.5294117647058821E-2</v>
      </c>
    </row>
    <row r="78" spans="1:5" x14ac:dyDescent="0.25">
      <c r="A78" s="2" t="s">
        <v>276</v>
      </c>
      <c r="B78" s="24">
        <v>0.66907336049999999</v>
      </c>
      <c r="C78" s="56">
        <v>0.14691424979139903</v>
      </c>
      <c r="D78" s="24">
        <v>29.02</v>
      </c>
      <c r="E78" s="56">
        <v>2.3055594779462441E-2</v>
      </c>
    </row>
    <row r="79" spans="1:5" x14ac:dyDescent="0.25">
      <c r="A79" s="2" t="s">
        <v>540</v>
      </c>
      <c r="B79" s="24">
        <v>0.61709946266666671</v>
      </c>
      <c r="C79" s="56">
        <v>0.27635601621607192</v>
      </c>
      <c r="D79" s="24">
        <v>39.58</v>
      </c>
      <c r="E79" s="56">
        <v>1.5591194104766719E-2</v>
      </c>
    </row>
    <row r="80" spans="1:5" x14ac:dyDescent="0.25">
      <c r="A80" s="2" t="s">
        <v>15</v>
      </c>
      <c r="B80" s="24">
        <v>0.59754261800000008</v>
      </c>
      <c r="C80" s="56">
        <v>0.50462500883942174</v>
      </c>
      <c r="D80" s="24">
        <v>8</v>
      </c>
      <c r="E80" s="56">
        <v>7.469282725000001E-2</v>
      </c>
    </row>
    <row r="81" spans="1:5" x14ac:dyDescent="0.25">
      <c r="A81" s="2" t="s">
        <v>22</v>
      </c>
      <c r="B81" s="24">
        <v>0.5675</v>
      </c>
      <c r="C81" s="56">
        <v>0.38903884611110762</v>
      </c>
      <c r="D81" s="24">
        <v>12.64</v>
      </c>
      <c r="E81" s="56">
        <v>4.4897151898734174E-2</v>
      </c>
    </row>
    <row r="82" spans="1:5" x14ac:dyDescent="0.25">
      <c r="A82" s="2" t="s">
        <v>79</v>
      </c>
      <c r="B82" s="24">
        <v>0.52320635333333332</v>
      </c>
      <c r="C82" s="56">
        <v>1.9284904159098553</v>
      </c>
      <c r="D82" s="24">
        <v>2.65</v>
      </c>
      <c r="E82" s="56">
        <v>0.19743635974842766</v>
      </c>
    </row>
    <row r="83" spans="1:5" x14ac:dyDescent="0.25">
      <c r="A83" s="2" t="s">
        <v>10</v>
      </c>
      <c r="B83" s="24">
        <v>0.5174796593333334</v>
      </c>
      <c r="C83" s="56">
        <v>0.69029873873004899</v>
      </c>
      <c r="D83" s="24">
        <v>7.4000000000000012</v>
      </c>
      <c r="E83" s="56">
        <v>6.9929683693693692E-2</v>
      </c>
    </row>
    <row r="84" spans="1:5" x14ac:dyDescent="0.25">
      <c r="A84" s="2" t="s">
        <v>266</v>
      </c>
      <c r="B84" s="24">
        <v>0.5174796593333334</v>
      </c>
      <c r="C84" s="56">
        <v>0.69029873873004899</v>
      </c>
      <c r="D84" s="24">
        <v>9.65</v>
      </c>
      <c r="E84" s="56">
        <v>5.3624835164075992E-2</v>
      </c>
    </row>
    <row r="85" spans="1:5" x14ac:dyDescent="0.25">
      <c r="A85" s="2" t="s">
        <v>561</v>
      </c>
      <c r="B85" s="24">
        <v>0.44846664133333336</v>
      </c>
      <c r="C85" s="56">
        <v>0.37734950584130339</v>
      </c>
      <c r="D85" s="24">
        <v>49.25</v>
      </c>
      <c r="E85" s="56">
        <v>9.1059216514382414E-3</v>
      </c>
    </row>
    <row r="86" spans="1:5" x14ac:dyDescent="0.25">
      <c r="A86" s="2" t="s">
        <v>81</v>
      </c>
      <c r="B86" s="24">
        <v>0.44583999999999996</v>
      </c>
      <c r="C86" s="56">
        <v>0.60787593639212112</v>
      </c>
      <c r="D86" s="24">
        <v>5.96</v>
      </c>
      <c r="E86" s="56">
        <v>7.4805369127516785E-2</v>
      </c>
    </row>
    <row r="87" spans="1:5" x14ac:dyDescent="0.25">
      <c r="A87" s="2" t="s">
        <v>18</v>
      </c>
      <c r="B87" s="24">
        <v>0.41694999999999999</v>
      </c>
      <c r="C87" s="56">
        <v>1.3752569187945951</v>
      </c>
      <c r="D87" s="24">
        <v>9.24</v>
      </c>
      <c r="E87" s="56">
        <v>6.0165945165945166E-2</v>
      </c>
    </row>
    <row r="88" spans="1:5" x14ac:dyDescent="0.25">
      <c r="A88" s="2" t="s">
        <v>236</v>
      </c>
      <c r="B88" s="24">
        <v>0.40475249999999996</v>
      </c>
      <c r="C88" s="56">
        <v>1.3670338527475838</v>
      </c>
      <c r="D88" s="24">
        <v>5.7</v>
      </c>
      <c r="E88" s="56">
        <v>9.4678947368421043E-2</v>
      </c>
    </row>
    <row r="89" spans="1:5" x14ac:dyDescent="0.25">
      <c r="A89" s="2" t="s">
        <v>246</v>
      </c>
      <c r="B89" s="24">
        <v>0.36027500000000001</v>
      </c>
      <c r="C89" s="56">
        <v>0.45013216229230024</v>
      </c>
      <c r="D89" s="24">
        <v>5.69</v>
      </c>
      <c r="E89" s="56">
        <v>6.3317223198594022E-2</v>
      </c>
    </row>
    <row r="90" spans="1:5" x14ac:dyDescent="0.25">
      <c r="A90" s="2" t="s">
        <v>68</v>
      </c>
      <c r="B90" s="24">
        <v>0.34582848500000002</v>
      </c>
      <c r="C90" s="56">
        <v>0.74003580825491566</v>
      </c>
      <c r="D90" s="24">
        <v>5.98</v>
      </c>
      <c r="E90" s="56">
        <v>5.783085033444816E-2</v>
      </c>
    </row>
    <row r="91" spans="1:5" x14ac:dyDescent="0.25">
      <c r="A91" s="2" t="s">
        <v>80</v>
      </c>
      <c r="B91" s="24">
        <v>0.34202500000000002</v>
      </c>
      <c r="C91" s="56">
        <v>0.63014566270033845</v>
      </c>
      <c r="D91" s="24">
        <v>6.89</v>
      </c>
      <c r="E91" s="56">
        <v>4.9640783744557326E-2</v>
      </c>
    </row>
    <row r="92" spans="1:5" x14ac:dyDescent="0.25">
      <c r="A92" s="2" t="s">
        <v>548</v>
      </c>
      <c r="B92" s="24">
        <v>0.31374225</v>
      </c>
      <c r="C92" s="56">
        <v>0.3337402763144719</v>
      </c>
      <c r="D92" s="24">
        <v>28.7</v>
      </c>
      <c r="E92" s="56">
        <v>1.0931785714285713E-2</v>
      </c>
    </row>
    <row r="93" spans="1:5" x14ac:dyDescent="0.25">
      <c r="A93" s="2" t="s">
        <v>300</v>
      </c>
      <c r="B93" s="24">
        <v>0.30764999999999998</v>
      </c>
      <c r="C93" s="56">
        <v>0.41787587719990676</v>
      </c>
      <c r="D93" s="24">
        <v>12.7</v>
      </c>
      <c r="E93" s="56">
        <v>2.4224409448818898E-2</v>
      </c>
    </row>
    <row r="94" spans="1:5" x14ac:dyDescent="0.25">
      <c r="A94" s="2" t="s">
        <v>16</v>
      </c>
      <c r="B94" s="24">
        <v>0.30764999999999998</v>
      </c>
      <c r="C94" s="56">
        <v>0.41787587719990676</v>
      </c>
      <c r="D94" s="24">
        <v>8.9</v>
      </c>
      <c r="E94" s="56">
        <v>3.456741573033708E-2</v>
      </c>
    </row>
    <row r="95" spans="1:5" x14ac:dyDescent="0.25">
      <c r="A95" s="2" t="s">
        <v>83</v>
      </c>
      <c r="B95" s="24">
        <v>0.286269987</v>
      </c>
      <c r="C95" s="56">
        <v>0.24741229164584114</v>
      </c>
      <c r="D95" s="24">
        <v>13.19</v>
      </c>
      <c r="E95" s="56">
        <v>2.1703562319939348E-2</v>
      </c>
    </row>
    <row r="96" spans="1:5" x14ac:dyDescent="0.25">
      <c r="A96" s="2" t="s">
        <v>92</v>
      </c>
      <c r="B96" s="24">
        <v>0.27324999999999999</v>
      </c>
      <c r="C96" s="56">
        <v>1.2629191615984803</v>
      </c>
      <c r="D96" s="24">
        <v>12.5</v>
      </c>
      <c r="E96" s="56">
        <v>2.1860000000000004E-2</v>
      </c>
    </row>
    <row r="97" spans="1:5" x14ac:dyDescent="0.25">
      <c r="A97" s="2" t="s">
        <v>284</v>
      </c>
      <c r="B97" s="24">
        <v>0.26026749999999998</v>
      </c>
      <c r="C97" s="56">
        <v>0.35489823087446021</v>
      </c>
      <c r="D97" s="24">
        <v>3.6</v>
      </c>
      <c r="E97" s="56">
        <v>7.2296527777777786E-2</v>
      </c>
    </row>
    <row r="98" spans="1:5" x14ac:dyDescent="0.25">
      <c r="A98" s="2" t="s">
        <v>330</v>
      </c>
      <c r="B98" s="24">
        <v>0.26023951633333336</v>
      </c>
      <c r="C98" s="56">
        <v>0.22491646614074809</v>
      </c>
      <c r="D98" s="24">
        <v>19</v>
      </c>
      <c r="E98" s="56">
        <v>1.3696816649122806E-2</v>
      </c>
    </row>
    <row r="99" spans="1:5" x14ac:dyDescent="0.25">
      <c r="A99" s="2" t="s">
        <v>25</v>
      </c>
      <c r="B99" s="24">
        <v>0.25</v>
      </c>
      <c r="C99" s="56">
        <v>0.25</v>
      </c>
      <c r="D99" s="24">
        <v>24.5</v>
      </c>
      <c r="E99" s="56">
        <v>1.020408163265306E-2</v>
      </c>
    </row>
    <row r="100" spans="1:5" x14ac:dyDescent="0.25">
      <c r="A100" s="58">
        <v>2012</v>
      </c>
      <c r="B100" s="24">
        <v>0.25</v>
      </c>
      <c r="C100" s="56">
        <v>0.25</v>
      </c>
      <c r="D100" s="24">
        <v>24.5</v>
      </c>
      <c r="E100" s="56">
        <v>1.020408163265306E-2</v>
      </c>
    </row>
    <row r="101" spans="1:5" x14ac:dyDescent="0.25">
      <c r="A101" s="2" t="s">
        <v>69</v>
      </c>
      <c r="B101" s="24">
        <v>0.22805</v>
      </c>
      <c r="C101" s="56">
        <v>0.46297228112835515</v>
      </c>
      <c r="D101" s="24">
        <v>6.78</v>
      </c>
      <c r="E101" s="56">
        <v>3.3635693215339227E-2</v>
      </c>
    </row>
    <row r="102" spans="1:5" x14ac:dyDescent="0.25">
      <c r="A102" s="2" t="s">
        <v>286</v>
      </c>
      <c r="B102" s="24">
        <v>0.2231525</v>
      </c>
      <c r="C102" s="56">
        <v>0.3043021650591613</v>
      </c>
      <c r="D102" s="24">
        <v>3.82</v>
      </c>
      <c r="E102" s="56">
        <v>5.8416884816753931E-2</v>
      </c>
    </row>
    <row r="103" spans="1:5" x14ac:dyDescent="0.25">
      <c r="A103" s="2" t="s">
        <v>577</v>
      </c>
      <c r="B103" s="24">
        <v>0.21000000000000002</v>
      </c>
      <c r="C103" s="56">
        <v>0.31662042253674527</v>
      </c>
      <c r="D103" s="24">
        <v>12.33</v>
      </c>
      <c r="E103" s="56">
        <v>1.7031630170316302E-2</v>
      </c>
    </row>
    <row r="104" spans="1:5" x14ac:dyDescent="0.25">
      <c r="A104" s="2" t="s">
        <v>527</v>
      </c>
      <c r="B104" s="24">
        <v>0.208311785</v>
      </c>
      <c r="C104" s="56">
        <v>0.35050699967240423</v>
      </c>
      <c r="D104" s="24">
        <v>21</v>
      </c>
      <c r="E104" s="56">
        <v>3.9678435238095236E-2</v>
      </c>
    </row>
    <row r="105" spans="1:5" x14ac:dyDescent="0.25">
      <c r="A105" s="2" t="s">
        <v>526</v>
      </c>
      <c r="B105" s="24">
        <v>0.208311785</v>
      </c>
      <c r="C105" s="56">
        <v>0.35050699967240423</v>
      </c>
      <c r="D105" s="24">
        <v>16.5</v>
      </c>
      <c r="E105" s="56">
        <v>5.0499826666666664E-2</v>
      </c>
    </row>
    <row r="106" spans="1:5" x14ac:dyDescent="0.25">
      <c r="A106" s="2" t="s">
        <v>225</v>
      </c>
      <c r="B106" s="24">
        <v>0.20735000000000001</v>
      </c>
      <c r="C106" s="56">
        <v>0.42096174698699207</v>
      </c>
      <c r="D106" s="24">
        <v>8.19</v>
      </c>
      <c r="E106" s="56">
        <v>2.5317460317460318E-2</v>
      </c>
    </row>
    <row r="107" spans="1:5" x14ac:dyDescent="0.25">
      <c r="A107" s="2" t="s">
        <v>285</v>
      </c>
      <c r="B107" s="24">
        <v>0.18603750000000002</v>
      </c>
      <c r="C107" s="56">
        <v>0.25370503766276303</v>
      </c>
      <c r="D107" s="24">
        <v>3.71</v>
      </c>
      <c r="E107" s="56">
        <v>5.0144878706199457E-2</v>
      </c>
    </row>
    <row r="108" spans="1:5" x14ac:dyDescent="0.25">
      <c r="A108" s="2" t="s">
        <v>283</v>
      </c>
      <c r="B108" s="24">
        <v>0.18603750000000002</v>
      </c>
      <c r="C108" s="56">
        <v>0.25370503766276303</v>
      </c>
      <c r="D108" s="24">
        <v>3.27</v>
      </c>
      <c r="E108" s="56">
        <v>5.6892201834862384E-2</v>
      </c>
    </row>
    <row r="109" spans="1:5" x14ac:dyDescent="0.25">
      <c r="A109" s="2" t="s">
        <v>55</v>
      </c>
      <c r="B109" s="24">
        <v>0.17460000000000001</v>
      </c>
      <c r="C109" s="56">
        <v>0.43406605496565737</v>
      </c>
      <c r="D109" s="24">
        <v>12.26</v>
      </c>
      <c r="E109" s="56">
        <v>1.4241435562805875E-2</v>
      </c>
    </row>
    <row r="110" spans="1:5" x14ac:dyDescent="0.25">
      <c r="A110" s="2" t="s">
        <v>233</v>
      </c>
      <c r="B110" s="24">
        <v>0.15873333333333331</v>
      </c>
      <c r="C110" s="56">
        <v>0.39457960469026815</v>
      </c>
      <c r="D110" s="24">
        <v>11</v>
      </c>
      <c r="E110" s="56">
        <v>1.4430303030303029E-2</v>
      </c>
    </row>
    <row r="111" spans="1:5" x14ac:dyDescent="0.25">
      <c r="A111" s="2" t="s">
        <v>528</v>
      </c>
      <c r="B111" s="24">
        <v>0.15049707600000001</v>
      </c>
      <c r="C111" s="56">
        <v>0.25322752895727813</v>
      </c>
      <c r="D111" s="24">
        <v>10.1</v>
      </c>
      <c r="E111" s="56">
        <v>5.9602802376237628E-2</v>
      </c>
    </row>
    <row r="112" spans="1:5" x14ac:dyDescent="0.25">
      <c r="A112" s="2" t="s">
        <v>245</v>
      </c>
      <c r="B112" s="24">
        <v>0.13652500000000001</v>
      </c>
      <c r="C112" s="56">
        <v>0.16455420283136202</v>
      </c>
      <c r="D112" s="24">
        <v>6.8</v>
      </c>
      <c r="E112" s="56">
        <v>2.0077205882352941E-2</v>
      </c>
    </row>
    <row r="113" spans="1:5" x14ac:dyDescent="0.25">
      <c r="A113" s="2" t="s">
        <v>520</v>
      </c>
      <c r="B113" s="24">
        <v>0.11705875</v>
      </c>
      <c r="C113" s="56">
        <v>0.23695478536753822</v>
      </c>
      <c r="D113" s="24">
        <v>10.91</v>
      </c>
      <c r="E113" s="56">
        <v>1.0729491292392302E-2</v>
      </c>
    </row>
    <row r="114" spans="1:5" x14ac:dyDescent="0.25">
      <c r="A114" s="2" t="s">
        <v>519</v>
      </c>
      <c r="B114" s="24">
        <v>0.11655875</v>
      </c>
      <c r="C114" s="56">
        <v>0.27024411411752097</v>
      </c>
      <c r="D114" s="24">
        <v>10</v>
      </c>
      <c r="E114" s="56">
        <v>1.5541166666666668E-2</v>
      </c>
    </row>
    <row r="115" spans="1:5" x14ac:dyDescent="0.25">
      <c r="A115" s="2" t="s">
        <v>67</v>
      </c>
      <c r="B115" s="24">
        <v>0.11424999999999999</v>
      </c>
      <c r="C115" s="56">
        <v>0.58097440486745289</v>
      </c>
      <c r="D115" s="24">
        <v>2.25</v>
      </c>
      <c r="E115" s="56">
        <v>5.0777777777777783E-2</v>
      </c>
    </row>
    <row r="116" spans="1:5" x14ac:dyDescent="0.25">
      <c r="A116" s="2" t="s">
        <v>212</v>
      </c>
      <c r="B116" s="24">
        <v>0.11424999999999999</v>
      </c>
      <c r="C116" s="56">
        <v>0.58097440486745289</v>
      </c>
      <c r="D116" s="24">
        <v>3.15</v>
      </c>
      <c r="E116" s="56">
        <v>3.6269841269841271E-2</v>
      </c>
    </row>
    <row r="117" spans="1:5" x14ac:dyDescent="0.25">
      <c r="A117" s="2" t="s">
        <v>210</v>
      </c>
      <c r="B117" s="24">
        <v>9.0543612039999999E-2</v>
      </c>
      <c r="C117" s="56">
        <v>0.23175290878610291</v>
      </c>
      <c r="D117" s="24">
        <v>5.75</v>
      </c>
      <c r="E117" s="56">
        <v>3.936678784347826E-2</v>
      </c>
    </row>
    <row r="118" spans="1:5" x14ac:dyDescent="0.25">
      <c r="A118" s="2" t="s">
        <v>229</v>
      </c>
      <c r="B118" s="24">
        <v>6.4696666666666666E-2</v>
      </c>
      <c r="C118" s="56">
        <v>0.63120967245066673</v>
      </c>
      <c r="D118" s="24">
        <v>3.25</v>
      </c>
      <c r="E118" s="56">
        <v>1.9906666666666666E-2</v>
      </c>
    </row>
    <row r="119" spans="1:5" x14ac:dyDescent="0.25">
      <c r="A119" s="2" t="s">
        <v>555</v>
      </c>
      <c r="B119" s="24">
        <v>6.4000000000000001E-2</v>
      </c>
      <c r="C119" s="56">
        <v>0.22362663562799309</v>
      </c>
      <c r="D119" s="24">
        <v>15.09</v>
      </c>
      <c r="E119" s="56">
        <v>5.6549591340843827E-3</v>
      </c>
    </row>
    <row r="120" spans="1:5" x14ac:dyDescent="0.25">
      <c r="A120" s="2" t="s">
        <v>228</v>
      </c>
      <c r="B120" s="24">
        <v>6.0693333333333328E-2</v>
      </c>
      <c r="C120" s="56">
        <v>0.5857126326415365</v>
      </c>
      <c r="D120" s="24">
        <v>3.2999999999999994</v>
      </c>
      <c r="E120" s="56">
        <v>1.8391919191919192E-2</v>
      </c>
    </row>
    <row r="121" spans="1:5" x14ac:dyDescent="0.25">
      <c r="A121" s="2" t="s">
        <v>490</v>
      </c>
      <c r="B121" s="24">
        <v>6.0580666666666672E-2</v>
      </c>
      <c r="C121" s="56">
        <v>0.45238397622744686</v>
      </c>
      <c r="D121" s="24">
        <v>9.7799999999999994</v>
      </c>
      <c r="E121" s="56">
        <v>6.1943421949556925E-3</v>
      </c>
    </row>
    <row r="122" spans="1:5" x14ac:dyDescent="0.25">
      <c r="A122" s="2" t="s">
        <v>554</v>
      </c>
      <c r="B122" s="24">
        <v>5.8182499999999998E-2</v>
      </c>
      <c r="C122" s="56">
        <v>0.2032996796183045</v>
      </c>
      <c r="D122" s="24">
        <v>7.08</v>
      </c>
      <c r="E122" s="56">
        <v>1.0957156308851225E-2</v>
      </c>
    </row>
    <row r="123" spans="1:5" x14ac:dyDescent="0.25">
      <c r="A123" s="2" t="s">
        <v>105</v>
      </c>
      <c r="B123" s="24">
        <v>0.05</v>
      </c>
      <c r="C123" s="56">
        <v>0.43917014853198871</v>
      </c>
      <c r="D123" s="24">
        <v>1.6</v>
      </c>
      <c r="E123" s="56">
        <v>6.25E-2</v>
      </c>
    </row>
    <row r="124" spans="1:5" x14ac:dyDescent="0.25">
      <c r="A124" s="2" t="s">
        <v>106</v>
      </c>
      <c r="B124" s="24">
        <v>0.05</v>
      </c>
      <c r="C124" s="56">
        <v>0.43917014853198871</v>
      </c>
      <c r="D124" s="24">
        <v>1.7</v>
      </c>
      <c r="E124" s="56">
        <v>5.8823529411764712E-2</v>
      </c>
    </row>
    <row r="125" spans="1:5" x14ac:dyDescent="0.25">
      <c r="A125" s="2" t="s">
        <v>287</v>
      </c>
      <c r="B125" s="24">
        <v>3.7802500000000003E-2</v>
      </c>
      <c r="C125" s="56">
        <v>5.4484299057845742E-2</v>
      </c>
      <c r="D125" s="24">
        <v>4</v>
      </c>
      <c r="E125" s="56">
        <v>9.4506250000000007E-3</v>
      </c>
    </row>
    <row r="126" spans="1:5" x14ac:dyDescent="0.25">
      <c r="A126" s="2" t="s">
        <v>77</v>
      </c>
      <c r="B126" s="24">
        <v>3.6500000000000005E-2</v>
      </c>
      <c r="C126" s="56" t="e">
        <v>#DIV/0!</v>
      </c>
      <c r="D126" s="24">
        <v>0.67</v>
      </c>
      <c r="E126" s="56">
        <v>0.108955223880597</v>
      </c>
    </row>
    <row r="127" spans="1:5" x14ac:dyDescent="0.25">
      <c r="A127" s="2" t="s">
        <v>82</v>
      </c>
      <c r="B127" s="24">
        <v>3.3100000000000004E-2</v>
      </c>
      <c r="C127" s="56">
        <v>0.27744555988769093</v>
      </c>
      <c r="D127" s="24">
        <v>2.4900000000000002</v>
      </c>
      <c r="E127" s="56">
        <v>2.6586345381526103E-2</v>
      </c>
    </row>
    <row r="128" spans="1:5" x14ac:dyDescent="0.25">
      <c r="A128" s="2" t="s">
        <v>282</v>
      </c>
      <c r="B128" s="24">
        <v>3.2697500000000004E-2</v>
      </c>
      <c r="C128" s="56">
        <v>4.7361278676921532E-2</v>
      </c>
      <c r="D128" s="24">
        <v>4.2</v>
      </c>
      <c r="E128" s="56">
        <v>7.7851190476190468E-3</v>
      </c>
    </row>
    <row r="129" spans="1:5" x14ac:dyDescent="0.25">
      <c r="A129" s="2" t="s">
        <v>64</v>
      </c>
      <c r="B129" s="24">
        <v>3.0225333333333337E-2</v>
      </c>
      <c r="C129" s="56">
        <v>0.75262718633546799</v>
      </c>
      <c r="D129" s="24">
        <v>0.33</v>
      </c>
      <c r="E129" s="56">
        <v>9.1591919191919183E-2</v>
      </c>
    </row>
    <row r="130" spans="1:5" x14ac:dyDescent="0.25">
      <c r="A130" s="2" t="s">
        <v>60</v>
      </c>
      <c r="B130" s="24">
        <v>2.4738618169999997E-2</v>
      </c>
      <c r="C130" s="56">
        <v>0.36351567797691797</v>
      </c>
      <c r="D130" s="24">
        <v>0.5</v>
      </c>
      <c r="E130" s="56">
        <v>4.9477236339999994E-2</v>
      </c>
    </row>
    <row r="131" spans="1:5" x14ac:dyDescent="0.25">
      <c r="A131" s="2" t="s">
        <v>61</v>
      </c>
      <c r="B131" s="24">
        <v>2.4738618169999997E-2</v>
      </c>
      <c r="C131" s="56">
        <v>0.36351567797691797</v>
      </c>
      <c r="D131" s="24">
        <v>0.46</v>
      </c>
      <c r="E131" s="56">
        <v>5.3779604717391301E-2</v>
      </c>
    </row>
    <row r="132" spans="1:5" x14ac:dyDescent="0.25">
      <c r="A132" s="2" t="s">
        <v>568</v>
      </c>
      <c r="B132" s="24">
        <v>1.9335241333333333E-2</v>
      </c>
      <c r="C132" s="56">
        <v>0.23749999886663223</v>
      </c>
      <c r="D132" s="24">
        <v>8.77</v>
      </c>
      <c r="E132" s="56">
        <v>6.6141076396807304E-3</v>
      </c>
    </row>
    <row r="133" spans="1:5" x14ac:dyDescent="0.25">
      <c r="A133" s="2" t="s">
        <v>574</v>
      </c>
      <c r="B133" s="24">
        <v>1.6233333333333332E-2</v>
      </c>
      <c r="C133" s="56">
        <v>0.23785571475872622</v>
      </c>
      <c r="D133" s="24">
        <v>8.8699999999999992</v>
      </c>
      <c r="E133" s="56">
        <v>5.490417136414882E-3</v>
      </c>
    </row>
    <row r="134" spans="1:5" x14ac:dyDescent="0.25">
      <c r="A134" s="2" t="s">
        <v>216</v>
      </c>
      <c r="B134" s="24">
        <v>1.210196285E-2</v>
      </c>
      <c r="C134" s="56">
        <v>0.8237247935120684</v>
      </c>
      <c r="D134" s="24">
        <v>0.16</v>
      </c>
      <c r="E134" s="56">
        <v>7.5637267812500006E-2</v>
      </c>
    </row>
    <row r="135" spans="1:5" x14ac:dyDescent="0.25">
      <c r="A135" s="2" t="s">
        <v>63</v>
      </c>
      <c r="B135" s="24">
        <v>1.1270833333333334E-2</v>
      </c>
      <c r="C135" s="56">
        <v>0.49690562667042543</v>
      </c>
      <c r="D135" s="24">
        <v>0.26</v>
      </c>
      <c r="E135" s="56">
        <v>4.334935897435898E-2</v>
      </c>
    </row>
    <row r="136" spans="1:5" x14ac:dyDescent="0.25">
      <c r="A136" s="2" t="s">
        <v>215</v>
      </c>
      <c r="B136" s="24">
        <v>1.0995352599999999E-2</v>
      </c>
      <c r="C136" s="56">
        <v>0.74850005072085457</v>
      </c>
      <c r="D136" s="24">
        <v>0.15</v>
      </c>
      <c r="E136" s="56">
        <v>7.3302350666666669E-2</v>
      </c>
    </row>
    <row r="137" spans="1:5" x14ac:dyDescent="0.25">
      <c r="A137" s="2" t="s">
        <v>240</v>
      </c>
      <c r="B137" s="24">
        <v>1.0652499999999999E-2</v>
      </c>
      <c r="C137" s="56">
        <v>2.9204663914363771E-2</v>
      </c>
      <c r="D137" s="24">
        <v>2.83</v>
      </c>
      <c r="E137" s="56">
        <v>5.0188457008244992E-3</v>
      </c>
    </row>
    <row r="138" spans="1:5" x14ac:dyDescent="0.25">
      <c r="A138" s="2" t="s">
        <v>239</v>
      </c>
      <c r="B138" s="24">
        <v>9.6800000000000011E-3</v>
      </c>
      <c r="C138" s="56">
        <v>2.6538214988206538E-2</v>
      </c>
      <c r="D138" s="24">
        <v>3.08</v>
      </c>
      <c r="E138" s="56">
        <v>4.1904761904761906E-3</v>
      </c>
    </row>
    <row r="139" spans="1:5" x14ac:dyDescent="0.25">
      <c r="A139" s="2" t="s">
        <v>270</v>
      </c>
      <c r="B139" s="24">
        <v>7.3033333333333327E-3</v>
      </c>
      <c r="C139" s="56">
        <v>0.29293027940656419</v>
      </c>
      <c r="D139" s="24">
        <v>1.1000000000000001</v>
      </c>
      <c r="E139" s="56">
        <v>6.639393939393938E-3</v>
      </c>
    </row>
    <row r="140" spans="1:5" x14ac:dyDescent="0.25">
      <c r="A140" s="2" t="s">
        <v>221</v>
      </c>
      <c r="B140" s="24">
        <v>5.56801E-3</v>
      </c>
      <c r="C140" s="56">
        <v>0.26641697668818037</v>
      </c>
      <c r="D140" s="24">
        <v>4.12</v>
      </c>
      <c r="E140" s="56">
        <v>1.8019449838187701E-3</v>
      </c>
    </row>
    <row r="141" spans="1:5" x14ac:dyDescent="0.25">
      <c r="A141" s="2" t="s">
        <v>39</v>
      </c>
      <c r="B141" s="24">
        <v>5.1699999999999992E-3</v>
      </c>
      <c r="C141" s="56">
        <v>0.20588880617740807</v>
      </c>
      <c r="D141" s="24">
        <v>0.53</v>
      </c>
      <c r="E141" s="56">
        <v>1.950943396226415E-2</v>
      </c>
    </row>
    <row r="142" spans="1:5" x14ac:dyDescent="0.25">
      <c r="A142" s="2" t="s">
        <v>547</v>
      </c>
      <c r="B142" s="24">
        <v>1.1647602694860362</v>
      </c>
      <c r="C142" s="56" t="e">
        <v>#DIV/0!</v>
      </c>
      <c r="D142" s="24">
        <v>18.118744939271263</v>
      </c>
      <c r="E142" s="56">
        <v>7.9535545754408243E-2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495"/>
  <sheetViews>
    <sheetView topLeftCell="A464" workbookViewId="0">
      <selection activeCell="F496" sqref="F496"/>
    </sheetView>
  </sheetViews>
  <sheetFormatPr defaultRowHeight="11.25" x14ac:dyDescent="0.2"/>
  <cols>
    <col min="1" max="1" width="6.7109375" style="3" bestFit="1" customWidth="1"/>
    <col min="2" max="2" width="9.140625" style="3"/>
    <col min="3" max="3" width="16.85546875" style="63" bestFit="1" customWidth="1"/>
    <col min="4" max="4" width="12.5703125" style="64" bestFit="1" customWidth="1"/>
    <col min="5" max="5" width="13.7109375" style="3" bestFit="1" customWidth="1"/>
    <col min="6" max="7" width="15.7109375" style="3" bestFit="1" customWidth="1"/>
    <col min="8" max="8" width="9.140625" style="5"/>
    <col min="9" max="9" width="9.140625" style="18"/>
    <col min="10" max="10" width="0" style="3" hidden="1" customWidth="1"/>
    <col min="11" max="11" width="18.85546875" style="3" hidden="1" customWidth="1"/>
    <col min="12" max="12" width="18.85546875" style="3" bestFit="1" customWidth="1"/>
    <col min="13" max="13" width="12.5703125" style="3" bestFit="1" customWidth="1"/>
    <col min="14" max="14" width="14" style="3" bestFit="1" customWidth="1"/>
    <col min="15" max="16384" width="9.140625" style="3"/>
  </cols>
  <sheetData>
    <row r="1" spans="1:13" x14ac:dyDescent="0.2">
      <c r="A1" s="3" t="s">
        <v>0</v>
      </c>
      <c r="B1" s="3" t="s">
        <v>88</v>
      </c>
      <c r="C1" s="5" t="s">
        <v>53</v>
      </c>
      <c r="D1" s="63" t="s">
        <v>4</v>
      </c>
      <c r="E1" s="64" t="s">
        <v>90</v>
      </c>
      <c r="F1" s="64" t="s">
        <v>91</v>
      </c>
      <c r="G1" s="18" t="s">
        <v>76</v>
      </c>
      <c r="H1" s="5" t="s">
        <v>6</v>
      </c>
      <c r="I1" s="18" t="s">
        <v>93</v>
      </c>
      <c r="J1" s="18" t="s">
        <v>482</v>
      </c>
      <c r="K1" s="18" t="s">
        <v>483</v>
      </c>
    </row>
    <row r="2" spans="1:13" x14ac:dyDescent="0.2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7">
        <f>(Tabela2[[#This Row],[Lucro Líquido]])/Tabela2[[#This Row],[Total Ações]]</f>
        <v>1.5391887372073296</v>
      </c>
      <c r="F2" s="67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12.64</v>
      </c>
      <c r="I2" s="19">
        <f>IF(Tabela2[[#This Row],[Dividendo / Ação]]&gt;0,Tabela2[[#This Row],[Dividendo / Ação]]/Tabela2[[#This Row],[Cotação]],"")</f>
        <v>4.9050632911392403E-2</v>
      </c>
      <c r="J2" s="6">
        <f>SUMPRODUCT(N(Tabela1[Código]=Tabela2[[#This Row],[Ativo]]),Tabela1[Fechamento])</f>
        <v>12.64</v>
      </c>
      <c r="K2" s="6">
        <f>SUMPRODUCT(N(Tabela17[Código]=Tabela2[[#This Row],[Ativo]]),Tabela17[Fechamento])</f>
        <v>0</v>
      </c>
    </row>
    <row r="3" spans="1:13" x14ac:dyDescent="0.2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7">
        <f>(Tabela2[[#This Row],[Lucro Líquido]])/Tabela2[[#This Row],[Total Ações]]</f>
        <v>1.7612899975738399</v>
      </c>
      <c r="F3" s="67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12.64</v>
      </c>
      <c r="I3" s="19">
        <f>IF(Tabela2[[#This Row],[Dividendo / Ação]]&gt;0,Tabela2[[#This Row],[Dividendo / Ação]]/Tabela2[[#This Row],[Cotação]],"")</f>
        <v>4.7468354430379743E-2</v>
      </c>
      <c r="J3" s="62">
        <f>SUMPRODUCT(N(Tabela1[Código]=Tabela2[[#This Row],[Ativo]]),Tabela1[Fechamento])</f>
        <v>12.64</v>
      </c>
      <c r="K3" s="62">
        <f>SUMPRODUCT(N(Tabela17[Código]=Tabela2[[#This Row],[Ativo]]),Tabela17[Fechamento])</f>
        <v>0</v>
      </c>
    </row>
    <row r="4" spans="1:13" x14ac:dyDescent="0.2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7">
        <f>(Tabela2[[#This Row],[Lucro Líquido]])/Tabela2[[#This Row],[Total Ações]]</f>
        <v>1.5039999993479707</v>
      </c>
      <c r="F4" s="67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12.64</v>
      </c>
      <c r="I4" s="19">
        <f>IF(Tabela2[[#This Row],[Dividendo / Ação]]&gt;0,Tabela2[[#This Row],[Dividendo / Ação]]/Tabela2[[#This Row],[Cotação]],"")</f>
        <v>4.2721518987341771E-2</v>
      </c>
      <c r="J4" s="62">
        <f>SUMPRODUCT(N(Tabela1[Código]=Tabela2[[#This Row],[Ativo]]),Tabela1[Fechamento])</f>
        <v>12.64</v>
      </c>
      <c r="K4" s="62">
        <f>SUMPRODUCT(N(Tabela17[Código]=Tabela2[[#This Row],[Ativo]]),Tabela17[Fechamento])</f>
        <v>0</v>
      </c>
    </row>
    <row r="5" spans="1:13" x14ac:dyDescent="0.2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7">
        <f>(Tabela2[[#This Row],[Lucro Líquido]])/Tabela2[[#This Row],[Total Ações]]</f>
        <v>1.1242300001000458</v>
      </c>
      <c r="F5" s="67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12.64</v>
      </c>
      <c r="I5" s="19">
        <f>IF(Tabela2[[#This Row],[Dividendo / Ação]]&gt;0,Tabela2[[#This Row],[Dividendo / Ação]]/Tabela2[[#This Row],[Cotação]],"")</f>
        <v>4.0348101265822785E-2</v>
      </c>
      <c r="J5" s="62">
        <f>SUMPRODUCT(N(Tabela1[Código]=Tabela2[[#This Row],[Ativo]]),Tabela1[Fechamento])</f>
        <v>12.64</v>
      </c>
      <c r="K5" s="62">
        <f>SUMPRODUCT(N(Tabela17[Código]=Tabela2[[#This Row],[Ativo]]),Tabela17[Fechamento])</f>
        <v>0</v>
      </c>
      <c r="M5" s="3">
        <v>0</v>
      </c>
    </row>
    <row r="6" spans="1:13" x14ac:dyDescent="0.2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7">
        <f>(Tabela2[[#This Row],[Lucro Líquido]])/Tabela2[[#This Row],[Total Ações]]</f>
        <v>-0.32269153572283699</v>
      </c>
      <c r="F6" s="67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9.24</v>
      </c>
      <c r="I6" s="19" t="str">
        <f>IF(Tabela2[[#This Row],[Dividendo / Ação]]&gt;0,Tabela2[[#This Row],[Dividendo / Ação]]/Tabela2[[#This Row],[Cotação]],"")</f>
        <v/>
      </c>
      <c r="J6" s="62">
        <f>SUMPRODUCT(N(Tabela1[Código]=Tabela2[[#This Row],[Ativo]]),Tabela1[Fechamento])</f>
        <v>9.24</v>
      </c>
      <c r="K6" s="62">
        <f>SUMPRODUCT(N(Tabela17[Código]=Tabela2[[#This Row],[Ativo]]),Tabela17[Fechamento])</f>
        <v>0</v>
      </c>
      <c r="M6" s="3">
        <v>0.2341796592</v>
      </c>
    </row>
    <row r="7" spans="1:13" x14ac:dyDescent="0.2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5">
        <f>(Tabela2[[#This Row],[Lucro Líquido]])/Tabela2[[#This Row],[Total Ações]]</f>
        <v>4.5958358992720187</v>
      </c>
      <c r="F7" s="65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9.24</v>
      </c>
      <c r="I7" s="18">
        <f>IF(Tabela2[[#This Row],[Dividendo / Ação]]&gt;0,Tabela2[[#This Row],[Dividendo / Ação]]/Tabela2[[#This Row],[Cotação]],"")</f>
        <v>0.34879371948051946</v>
      </c>
      <c r="J7" s="61">
        <f>SUMPRODUCT(N(Tabela1[Código]=Tabela2[[#This Row],[Ativo]]),Tabela1[Fechamento])</f>
        <v>9.24</v>
      </c>
      <c r="K7" s="61">
        <f>SUMPRODUCT(N(Tabela17[Código]=Tabela2[[#This Row],[Ativo]]),Tabela17[Fechamento])</f>
        <v>0</v>
      </c>
      <c r="M7" s="3">
        <v>2.9647335659</v>
      </c>
    </row>
    <row r="8" spans="1:13" x14ac:dyDescent="0.2">
      <c r="A8" s="4" t="s">
        <v>70</v>
      </c>
      <c r="B8" s="4">
        <v>2010</v>
      </c>
      <c r="C8" s="5">
        <v>376137000</v>
      </c>
      <c r="D8" s="63">
        <f>SUMPRODUCT(N(Tabela3[PAPEL]=Tabela2[[#This Row],[Ativo]]),Tabela3[Total Ações])</f>
        <v>95061053</v>
      </c>
      <c r="E8" s="64">
        <f>(Tabela2[[#This Row],[Lucro Líquido]])/Tabela2[[#This Row],[Total Ações]]</f>
        <v>3.9567939564061003</v>
      </c>
      <c r="F8" s="64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9.24</v>
      </c>
      <c r="I8" s="18">
        <f>IF(Tabela2[[#This Row],[Dividendo / Ação]]&gt;0,Tabela2[[#This Row],[Dividendo / Ação]]/Tabela2[[#This Row],[Cotação]],"")</f>
        <v>0.38019169285714283</v>
      </c>
      <c r="J8" s="61">
        <f>SUMPRODUCT(N(Tabela1[Código]=Tabela2[[#This Row],[Ativo]]),Tabela1[Fechamento])</f>
        <v>9.24</v>
      </c>
      <c r="K8" s="61">
        <f>SUMPRODUCT(N(Tabela17[Código]=Tabela2[[#This Row],[Ativo]]),Tabela17[Fechamento])</f>
        <v>0</v>
      </c>
      <c r="M8" s="3">
        <f>SUM(M5:M7)</f>
        <v>3.1989132251000001</v>
      </c>
    </row>
    <row r="9" spans="1:13" x14ac:dyDescent="0.2">
      <c r="A9" s="4" t="s">
        <v>70</v>
      </c>
      <c r="B9" s="4">
        <v>2009</v>
      </c>
      <c r="C9" s="5">
        <v>335010000</v>
      </c>
      <c r="D9" s="63">
        <f>SUMPRODUCT(N(Tabela3[PAPEL]=Tabela2[[#This Row],[Ativo]]),Tabela3[Total Ações])</f>
        <v>95061053</v>
      </c>
      <c r="E9" s="64">
        <f>(Tabela2[[#This Row],[Lucro Líquido]])/Tabela2[[#This Row],[Total Ações]]</f>
        <v>3.5241562072744976</v>
      </c>
      <c r="F9" s="64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9.24</v>
      </c>
      <c r="I9" s="18">
        <f>IF(Tabela2[[#This Row],[Dividendo / Ação]]&gt;0,Tabela2[[#This Row],[Dividendo / Ação]]/Tabela2[[#This Row],[Cotação]],"")</f>
        <v>0.34620272997835499</v>
      </c>
      <c r="J9" s="61">
        <f>SUMPRODUCT(N(Tabela1[Código]=Tabela2[[#This Row],[Ativo]]),Tabela1[Fechamento])</f>
        <v>9.24</v>
      </c>
      <c r="K9" s="61">
        <f>SUMPRODUCT(N(Tabela17[Código]=Tabela2[[#This Row],[Ativo]]),Tabela17[Fechamento])</f>
        <v>0</v>
      </c>
    </row>
    <row r="10" spans="1:13" x14ac:dyDescent="0.2">
      <c r="A10" s="4" t="s">
        <v>64</v>
      </c>
      <c r="B10" s="4">
        <v>2012</v>
      </c>
      <c r="C10" s="6">
        <v>165948458.28999999</v>
      </c>
      <c r="D10" s="8">
        <f>SUMPRODUCT(N(Tabela3[PAPEL]=Tabela2[[#This Row],[Ativo]]),Tabela3[Total Ações])</f>
        <v>2964596762</v>
      </c>
      <c r="E10" s="67">
        <f>(Tabela2[[#This Row],[Lucro Líquido]])/Tabela2[[#This Row],[Total Ações]]</f>
        <v>5.5976738697524085E-2</v>
      </c>
      <c r="F10" s="67">
        <v>2.6766000000000002E-2</v>
      </c>
      <c r="G10" s="46">
        <f>IF(AND(Tabela2[[#This Row],[Dividendo / Ação]]&gt;0,Tabela2[[#This Row],[Lucro por ação]]&gt;0),Tabela2[[#This Row],[Dividendo / Ação]]/Tabela2[[#This Row],[Lucro por ação]],"")</f>
        <v>0.47816290521376681</v>
      </c>
      <c r="H10" s="6">
        <f>MAX(Tabela2[[#This Row],[Cotação 1]],Tabela2[[#This Row],[Cotação 2]])</f>
        <v>0.33</v>
      </c>
      <c r="I10" s="19">
        <f>IF(Tabela2[[#This Row],[Dividendo / Ação]]&gt;0,Tabela2[[#This Row],[Dividendo / Ação]]/Tabela2[[#This Row],[Cotação]],"")</f>
        <v>8.1109090909090908E-2</v>
      </c>
      <c r="J10" s="62">
        <f>SUMPRODUCT(N(Tabela1[Código]=Tabela2[[#This Row],[Ativo]]),Tabela1[Fechamento])</f>
        <v>0.33</v>
      </c>
      <c r="K10" s="62">
        <f>SUMPRODUCT(N(Tabela17[Código]=Tabela2[[#This Row],[Ativo]]),Tabela17[Fechamento])</f>
        <v>0</v>
      </c>
    </row>
    <row r="11" spans="1:13" x14ac:dyDescent="0.2">
      <c r="A11" s="4" t="s">
        <v>64</v>
      </c>
      <c r="B11" s="4">
        <v>2011</v>
      </c>
      <c r="C11" s="6">
        <v>78567508.840000004</v>
      </c>
      <c r="D11" s="8">
        <f>SUMPRODUCT(N(Tabela3[PAPEL]=Tabela2[[#This Row],[Ativo]]),Tabela3[Total Ações])</f>
        <v>2964596762</v>
      </c>
      <c r="E11" s="67">
        <f>(Tabela2[[#This Row],[Lucro Líquido]])/Tabela2[[#This Row],[Total Ações]]</f>
        <v>2.6501920884173184E-2</v>
      </c>
      <c r="F11" s="67">
        <v>2.648E-2</v>
      </c>
      <c r="G11" s="46">
        <f>IF(AND(Tabela2[[#This Row],[Dividendo / Ação]]&gt;0,Tabela2[[#This Row],[Lucro por ação]]&gt;0),Tabela2[[#This Row],[Dividendo / Ação]]/Tabela2[[#This Row],[Lucro por ação]],"")</f>
        <v>0.99917285678011836</v>
      </c>
      <c r="H11" s="6">
        <f>MAX(Tabela2[[#This Row],[Cotação 1]],Tabela2[[#This Row],[Cotação 2]])</f>
        <v>0.33</v>
      </c>
      <c r="I11" s="19">
        <f>IF(Tabela2[[#This Row],[Dividendo / Ação]]&gt;0,Tabela2[[#This Row],[Dividendo / Ação]]/Tabela2[[#This Row],[Cotação]],"")</f>
        <v>8.024242424242424E-2</v>
      </c>
      <c r="J11" s="62">
        <f>SUMPRODUCT(N(Tabela1[Código]=Tabela2[[#This Row],[Ativo]]),Tabela1[Fechamento])</f>
        <v>0.33</v>
      </c>
      <c r="K11" s="62">
        <f>SUMPRODUCT(N(Tabela17[Código]=Tabela2[[#This Row],[Ativo]]),Tabela17[Fechamento])</f>
        <v>0</v>
      </c>
    </row>
    <row r="12" spans="1:13" x14ac:dyDescent="0.2">
      <c r="A12" s="4" t="s">
        <v>64</v>
      </c>
      <c r="B12" s="4">
        <v>2010</v>
      </c>
      <c r="C12" s="6">
        <v>142163159.71000001</v>
      </c>
      <c r="D12" s="8">
        <f>SUMPRODUCT(N(Tabela3[PAPEL]=Tabela2[[#This Row],[Ativo]]),Tabela3[Total Ações])</f>
        <v>2964596762</v>
      </c>
      <c r="E12" s="67">
        <f>(Tabela2[[#This Row],[Lucro Líquido]])/Tabela2[[#This Row],[Total Ações]]</f>
        <v>4.7953624429547294E-2</v>
      </c>
      <c r="F12" s="67">
        <v>3.7429999999999998E-2</v>
      </c>
      <c r="G12" s="46">
        <f>IF(AND(Tabela2[[#This Row],[Dividendo / Ação]]&gt;0,Tabela2[[#This Row],[Lucro por ação]]&gt;0),Tabela2[[#This Row],[Dividendo / Ação]]/Tabela2[[#This Row],[Lucro por ação]],"")</f>
        <v>0.78054579701251903</v>
      </c>
      <c r="H12" s="6">
        <f>MAX(Tabela2[[#This Row],[Cotação 1]],Tabela2[[#This Row],[Cotação 2]])</f>
        <v>0.33</v>
      </c>
      <c r="I12" s="19">
        <f>IF(Tabela2[[#This Row],[Dividendo / Ação]]&gt;0,Tabela2[[#This Row],[Dividendo / Ação]]/Tabela2[[#This Row],[Cotação]],"")</f>
        <v>0.11342424242424241</v>
      </c>
      <c r="J12" s="62">
        <f>SUMPRODUCT(N(Tabela1[Código]=Tabela2[[#This Row],[Ativo]]),Tabela1[Fechamento])</f>
        <v>0.33</v>
      </c>
      <c r="K12" s="62">
        <f>SUMPRODUCT(N(Tabela17[Código]=Tabela2[[#This Row],[Ativo]]),Tabela17[Fechamento])</f>
        <v>0</v>
      </c>
    </row>
    <row r="13" spans="1:13" x14ac:dyDescent="0.2">
      <c r="A13" s="4" t="s">
        <v>24</v>
      </c>
      <c r="B13" s="4">
        <v>2012</v>
      </c>
      <c r="C13" s="6">
        <v>12309870442.799999</v>
      </c>
      <c r="D13" s="8">
        <f>SUMPRODUCT(N(Tabela3[PAPEL]=Tabela2[[#This Row],[Ativo]]),Tabela3[Total Ações])</f>
        <v>2865417020</v>
      </c>
      <c r="E13" s="67">
        <f>(Tabela2[[#This Row],[Lucro Líquido]])/Tabela2[[#This Row],[Total Ações]]</f>
        <v>4.2960135843682536</v>
      </c>
      <c r="F13" s="67">
        <v>1.722</v>
      </c>
      <c r="G13" s="46">
        <f>IF(AND(Tabela2[[#This Row],[Dividendo / Ação]]&gt;0,Tabela2[[#This Row],[Lucro por ação]]&gt;0),Tabela2[[#This Row],[Dividendo / Ação]]/Tabela2[[#This Row],[Lucro por ação]],"")</f>
        <v>0.40083672134226433</v>
      </c>
      <c r="H13" s="6">
        <f>MAX(Tabela2[[#This Row],[Cotação 1]],Tabela2[[#This Row],[Cotação 2]])</f>
        <v>24.4</v>
      </c>
      <c r="I13" s="19">
        <f>IF(Tabela2[[#This Row],[Dividendo / Ação]]&gt;0,Tabela2[[#This Row],[Dividendo / Ação]]/Tabela2[[#This Row],[Cotação]],"")</f>
        <v>7.0573770491803287E-2</v>
      </c>
      <c r="J13" s="62">
        <f>SUMPRODUCT(N(Tabela1[Código]=Tabela2[[#This Row],[Ativo]]),Tabela1[Fechamento])</f>
        <v>24.4</v>
      </c>
      <c r="K13" s="62">
        <f>SUMPRODUCT(N(Tabela17[Código]=Tabela2[[#This Row],[Ativo]]),Tabela17[Fechamento])</f>
        <v>0</v>
      </c>
    </row>
    <row r="14" spans="1:13" x14ac:dyDescent="0.2">
      <c r="A14" s="4" t="s">
        <v>24</v>
      </c>
      <c r="B14" s="4">
        <v>2011</v>
      </c>
      <c r="C14" s="6">
        <v>12247330314.43</v>
      </c>
      <c r="D14" s="8">
        <f>SUMPRODUCT(N(Tabela3[PAPEL]=Tabela2[[#This Row],[Ativo]]),Tabela3[Total Ações])</f>
        <v>2865417020</v>
      </c>
      <c r="E14" s="67">
        <f>(Tabela2[[#This Row],[Lucro Líquido]])/Tabela2[[#This Row],[Total Ações]]</f>
        <v>4.2741877461277875</v>
      </c>
      <c r="F14" s="67">
        <v>1.7096750979999999</v>
      </c>
      <c r="G14" s="46">
        <f>IF(AND(Tabela2[[#This Row],[Dividendo / Ação]]&gt;0,Tabela2[[#This Row],[Lucro por ação]]&gt;0),Tabela2[[#This Row],[Dividendo / Ação]]/Tabela2[[#This Row],[Lucro por ação]],"")</f>
        <v>0.39999999989445595</v>
      </c>
      <c r="H14" s="6">
        <f>MAX(Tabela2[[#This Row],[Cotação 1]],Tabela2[[#This Row],[Cotação 2]])</f>
        <v>24.4</v>
      </c>
      <c r="I14" s="19">
        <f>IF(Tabela2[[#This Row],[Dividendo / Ação]]&gt;0,Tabela2[[#This Row],[Dividendo / Ação]]/Tabela2[[#This Row],[Cotação]],"")</f>
        <v>7.0068651557377057E-2</v>
      </c>
      <c r="J14" s="62">
        <f>SUMPRODUCT(N(Tabela1[Código]=Tabela2[[#This Row],[Ativo]]),Tabela1[Fechamento])</f>
        <v>24.4</v>
      </c>
      <c r="K14" s="62">
        <f>SUMPRODUCT(N(Tabela17[Código]=Tabela2[[#This Row],[Ativo]]),Tabela17[Fechamento])</f>
        <v>0</v>
      </c>
    </row>
    <row r="15" spans="1:13" x14ac:dyDescent="0.2">
      <c r="A15" s="4" t="s">
        <v>24</v>
      </c>
      <c r="B15" s="4">
        <v>2010</v>
      </c>
      <c r="C15" s="6">
        <v>11758093384.549999</v>
      </c>
      <c r="D15" s="8">
        <f>SUMPRODUCT(N(Tabela3[PAPEL]=Tabela2[[#This Row],[Ativo]]),Tabela3[Total Ações])</f>
        <v>2865417020</v>
      </c>
      <c r="E15" s="67">
        <f>(Tabela2[[#This Row],[Lucro Líquido]])/Tabela2[[#This Row],[Total Ações]]</f>
        <v>4.1034492719492537</v>
      </c>
      <c r="F15" s="67">
        <v>1.6421960419999999</v>
      </c>
      <c r="G15" s="46">
        <f>IF(AND(Tabela2[[#This Row],[Dividendo / Ação]]&gt;0,Tabela2[[#This Row],[Lucro por ação]]&gt;0),Tabela2[[#This Row],[Dividendo / Ação]]/Tabela2[[#This Row],[Lucro por ação]],"")</f>
        <v>0.40019893829951275</v>
      </c>
      <c r="H15" s="6">
        <f>MAX(Tabela2[[#This Row],[Cotação 1]],Tabela2[[#This Row],[Cotação 2]])</f>
        <v>24.4</v>
      </c>
      <c r="I15" s="19">
        <f>IF(Tabela2[[#This Row],[Dividendo / Ação]]&gt;0,Tabela2[[#This Row],[Dividendo / Ação]]/Tabela2[[#This Row],[Cotação]],"")</f>
        <v>6.7303116475409833E-2</v>
      </c>
      <c r="J15" s="62">
        <f>SUMPRODUCT(N(Tabela1[Código]=Tabela2[[#This Row],[Ativo]]),Tabela1[Fechamento])</f>
        <v>24.4</v>
      </c>
      <c r="K15" s="62">
        <f>SUMPRODUCT(N(Tabela17[Código]=Tabela2[[#This Row],[Ativo]]),Tabela17[Fechamento])</f>
        <v>0</v>
      </c>
    </row>
    <row r="16" spans="1:13" x14ac:dyDescent="0.2">
      <c r="A16" s="4" t="s">
        <v>24</v>
      </c>
      <c r="B16" s="4">
        <v>2009</v>
      </c>
      <c r="C16" s="6">
        <v>10147521914.51</v>
      </c>
      <c r="D16" s="8">
        <f>SUMPRODUCT(N(Tabela3[PAPEL]=Tabela2[[#This Row],[Ativo]]),Tabela3[Total Ações])</f>
        <v>2865417020</v>
      </c>
      <c r="E16" s="67">
        <f>(Tabela2[[#This Row],[Lucro Líquido]])/Tabela2[[#This Row],[Total Ações]]</f>
        <v>3.5413769945814031</v>
      </c>
      <c r="F16" s="67">
        <v>1.4165507980000001</v>
      </c>
      <c r="G16" s="46">
        <f>IF(AND(Tabela2[[#This Row],[Dividendo / Ação]]&gt;0,Tabela2[[#This Row],[Lucro por ação]]&gt;0),Tabela2[[#This Row],[Dividendo / Ação]]/Tabela2[[#This Row],[Lucro por ação]],"")</f>
        <v>0.4000000000472807</v>
      </c>
      <c r="H16" s="6">
        <f>MAX(Tabela2[[#This Row],[Cotação 1]],Tabela2[[#This Row],[Cotação 2]])</f>
        <v>24.4</v>
      </c>
      <c r="I16" s="19">
        <f>IF(Tabela2[[#This Row],[Dividendo / Ação]]&gt;0,Tabela2[[#This Row],[Dividendo / Ação]]/Tabela2[[#This Row],[Cotação]],"")</f>
        <v>5.8055360573770497E-2</v>
      </c>
      <c r="J16" s="62">
        <f>SUMPRODUCT(N(Tabela1[Código]=Tabela2[[#This Row],[Ativo]]),Tabela1[Fechamento])</f>
        <v>24.4</v>
      </c>
      <c r="K16" s="62">
        <f>SUMPRODUCT(N(Tabela17[Código]=Tabela2[[#This Row],[Ativo]]),Tabela17[Fechamento])</f>
        <v>0</v>
      </c>
    </row>
    <row r="17" spans="1:11" x14ac:dyDescent="0.2">
      <c r="A17" s="4" t="s">
        <v>249</v>
      </c>
      <c r="B17" s="4">
        <v>2012</v>
      </c>
      <c r="C17" s="6">
        <v>11381244459.27</v>
      </c>
      <c r="D17" s="8">
        <f>SUMPRODUCT(N(Tabela3[PAPEL]=Tabela2[[#This Row],[Ativo]]),Tabela3[Total Ações])</f>
        <v>4207274039</v>
      </c>
      <c r="E17" s="67">
        <f>(Tabela2[[#This Row],[Lucro Líquido]])/Tabela2[[#This Row],[Total Ações]]</f>
        <v>2.705135047959732</v>
      </c>
      <c r="F17" s="67">
        <v>0.97174542699999999</v>
      </c>
      <c r="G17" s="46">
        <f>IF(AND(Tabela2[[#This Row],[Dividendo / Ação]]&gt;0,Tabela2[[#This Row],[Lucro por ação]]&gt;0),Tabela2[[#This Row],[Dividendo / Ação]]/Tabela2[[#This Row],[Lucro por ação]],"")</f>
        <v>0.35922251930930776</v>
      </c>
      <c r="H17" s="6">
        <f>MAX(Tabela2[[#This Row],[Cotação 1]],Tabela2[[#This Row],[Cotação 2]])</f>
        <v>31.95</v>
      </c>
      <c r="I17" s="19">
        <f>IF(Tabela2[[#This Row],[Dividendo / Ação]]&gt;0,Tabela2[[#This Row],[Dividendo / Ação]]/Tabela2[[#This Row],[Cotação]],"")</f>
        <v>3.0414567355242568E-2</v>
      </c>
      <c r="J17" s="62">
        <f>SUMPRODUCT(N(Tabela1[Código]=Tabela2[[#This Row],[Ativo]]),Tabela1[Fechamento])</f>
        <v>31.95</v>
      </c>
      <c r="K17" s="62">
        <f>SUMPRODUCT(N(Tabela17[Código]=Tabela2[[#This Row],[Ativo]]),Tabela17[Fechamento])</f>
        <v>0</v>
      </c>
    </row>
    <row r="18" spans="1:11" x14ac:dyDescent="0.2">
      <c r="A18" s="4" t="s">
        <v>249</v>
      </c>
      <c r="B18" s="3">
        <v>2011</v>
      </c>
      <c r="C18" s="5">
        <v>11037515599</v>
      </c>
      <c r="D18" s="63">
        <f>SUMPRODUCT(N(Tabela3[PAPEL]=Tabela2[[#This Row],[Ativo]]),Tabela3[Total Ações])</f>
        <v>4207274039</v>
      </c>
      <c r="E18" s="66">
        <f>(Tabela2[[#This Row],[Lucro Líquido]])/Tabela2[[#This Row],[Total Ações]]</f>
        <v>2.6234363382765142</v>
      </c>
      <c r="F18" s="66">
        <v>0.933388</v>
      </c>
      <c r="G18" s="22">
        <f>IF(AND(Tabela2[[#This Row],[Dividendo / Ação]]&gt;0,Tabela2[[#This Row],[Lucro por ação]]&gt;0),Tabela2[[#This Row],[Dividendo / Ação]]/Tabela2[[#This Row],[Lucro por ação]],"")</f>
        <v>0.35578831717075171</v>
      </c>
      <c r="H18" s="5">
        <f>MAX(Tabela2[[#This Row],[Cotação 1]],Tabela2[[#This Row],[Cotação 2]])</f>
        <v>31.95</v>
      </c>
      <c r="I18" s="18">
        <f>IF(Tabela2[[#This Row],[Dividendo / Ação]]&gt;0,Tabela2[[#This Row],[Dividendo / Ação]]/Tabela2[[#This Row],[Cotação]],"")</f>
        <v>2.9214021909233178E-2</v>
      </c>
      <c r="J18" s="61">
        <f>SUMPRODUCT(N(Tabela1[Código]=Tabela2[[#This Row],[Ativo]]),Tabela1[Fechamento])</f>
        <v>31.95</v>
      </c>
      <c r="K18" s="61">
        <f>SUMPRODUCT(N(Tabela17[Código]=Tabela2[[#This Row],[Ativo]]),Tabela17[Fechamento])</f>
        <v>0</v>
      </c>
    </row>
    <row r="19" spans="1:11" x14ac:dyDescent="0.2">
      <c r="A19" s="4" t="s">
        <v>249</v>
      </c>
      <c r="B19" s="3">
        <v>2010</v>
      </c>
      <c r="C19" s="5">
        <v>10159097403</v>
      </c>
      <c r="D19" s="63">
        <f>SUMPRODUCT(N(Tabela3[PAPEL]=Tabela2[[#This Row],[Ativo]]),Tabela3[Total Ações])</f>
        <v>4207274039</v>
      </c>
      <c r="E19" s="66">
        <f>(Tabela2[[#This Row],[Lucro Líquido]])/Tabela2[[#This Row],[Total Ações]]</f>
        <v>2.4146507474503967</v>
      </c>
      <c r="F19" s="66">
        <v>0.87638400000000005</v>
      </c>
      <c r="G19" s="22">
        <f>IF(AND(Tabela2[[#This Row],[Dividendo / Ação]]&gt;0,Tabela2[[#This Row],[Lucro por ação]]&gt;0),Tabela2[[#This Row],[Dividendo / Ação]]/Tabela2[[#This Row],[Lucro por ação]],"")</f>
        <v>0.36294441377303294</v>
      </c>
      <c r="H19" s="5">
        <f>MAX(Tabela2[[#This Row],[Cotação 1]],Tabela2[[#This Row],[Cotação 2]])</f>
        <v>31.95</v>
      </c>
      <c r="I19" s="18">
        <f>IF(Tabela2[[#This Row],[Dividendo / Ação]]&gt;0,Tabela2[[#This Row],[Dividendo / Ação]]/Tabela2[[#This Row],[Cotação]],"")</f>
        <v>2.742985915492958E-2</v>
      </c>
      <c r="J19" s="61">
        <f>SUMPRODUCT(N(Tabela1[Código]=Tabela2[[#This Row],[Ativo]]),Tabela1[Fechamento])</f>
        <v>31.95</v>
      </c>
      <c r="K19" s="61">
        <f>SUMPRODUCT(N(Tabela17[Código]=Tabela2[[#This Row],[Ativo]]),Tabela17[Fechamento])</f>
        <v>0</v>
      </c>
    </row>
    <row r="20" spans="1:11" x14ac:dyDescent="0.2">
      <c r="A20" s="4" t="s">
        <v>249</v>
      </c>
      <c r="B20" s="3">
        <v>2009</v>
      </c>
      <c r="C20" s="5">
        <v>8134916341</v>
      </c>
      <c r="D20" s="63">
        <f>SUMPRODUCT(N(Tabela3[PAPEL]=Tabela2[[#This Row],[Ativo]]),Tabela3[Total Ações])</f>
        <v>4207274039</v>
      </c>
      <c r="E20" s="66">
        <f>(Tabela2[[#This Row],[Lucro Líquido]])/Tabela2[[#This Row],[Total Ações]]</f>
        <v>1.933536124719258</v>
      </c>
      <c r="F20" s="66">
        <v>0.834144</v>
      </c>
      <c r="G20" s="22">
        <f>IF(AND(Tabela2[[#This Row],[Dividendo / Ação]]&gt;0,Tabela2[[#This Row],[Lucro por ação]]&gt;0),Tabela2[[#This Row],[Dividendo / Ação]]/Tabela2[[#This Row],[Lucro por ação]],"")</f>
        <v>0.43140854175719862</v>
      </c>
      <c r="H20" s="5">
        <f>MAX(Tabela2[[#This Row],[Cotação 1]],Tabela2[[#This Row],[Cotação 2]])</f>
        <v>31.95</v>
      </c>
      <c r="I20" s="18">
        <f>IF(Tabela2[[#This Row],[Dividendo / Ação]]&gt;0,Tabela2[[#This Row],[Dividendo / Ação]]/Tabela2[[#This Row],[Cotação]],"")</f>
        <v>2.6107793427230047E-2</v>
      </c>
      <c r="J20" s="61">
        <f>SUMPRODUCT(N(Tabela1[Código]=Tabela2[[#This Row],[Ativo]]),Tabela1[Fechamento])</f>
        <v>31.95</v>
      </c>
      <c r="K20" s="61">
        <f>SUMPRODUCT(N(Tabela17[Código]=Tabela2[[#This Row],[Ativo]]),Tabela17[Fechamento])</f>
        <v>0</v>
      </c>
    </row>
    <row r="21" spans="1:11" x14ac:dyDescent="0.2">
      <c r="A21" s="4" t="s">
        <v>250</v>
      </c>
      <c r="B21" s="4">
        <v>2012</v>
      </c>
      <c r="C21" s="6">
        <v>11381244459.27</v>
      </c>
      <c r="D21" s="8">
        <f>SUMPRODUCT(N(Tabela3[PAPEL]=Tabela2[[#This Row],[Ativo]]),Tabela3[Total Ações])</f>
        <v>4207274039</v>
      </c>
      <c r="E21" s="67">
        <f>(Tabela2[[#This Row],[Lucro Líquido]])/Tabela2[[#This Row],[Total Ações]]</f>
        <v>2.705135047959732</v>
      </c>
      <c r="F21" s="67">
        <v>1.0689199700000001</v>
      </c>
      <c r="G21" s="46">
        <f>IF(AND(Tabela2[[#This Row],[Dividendo / Ação]]&gt;0,Tabela2[[#This Row],[Lucro por ação]]&gt;0),Tabela2[[#This Row],[Dividendo / Ação]]/Tabela2[[#This Row],[Lucro por ação]],"")</f>
        <v>0.39514477135113873</v>
      </c>
      <c r="H21" s="6">
        <f>MAX(Tabela2[[#This Row],[Cotação 1]],Tabela2[[#This Row],[Cotação 2]])</f>
        <v>29.09</v>
      </c>
      <c r="I21" s="19">
        <f>IF(Tabela2[[#This Row],[Dividendo / Ação]]&gt;0,Tabela2[[#This Row],[Dividendo / Ação]]/Tabela2[[#This Row],[Cotação]],"")</f>
        <v>3.6745272258508078E-2</v>
      </c>
      <c r="J21" s="62">
        <f>SUMPRODUCT(N(Tabela1[Código]=Tabela2[[#This Row],[Ativo]]),Tabela1[Fechamento])</f>
        <v>29.09</v>
      </c>
      <c r="K21" s="62">
        <f>SUMPRODUCT(N(Tabela17[Código]=Tabela2[[#This Row],[Ativo]]),Tabela17[Fechamento])</f>
        <v>0</v>
      </c>
    </row>
    <row r="22" spans="1:11" x14ac:dyDescent="0.2">
      <c r="A22" s="4" t="s">
        <v>250</v>
      </c>
      <c r="B22" s="4">
        <v>2011</v>
      </c>
      <c r="C22" s="5">
        <v>11037515599</v>
      </c>
      <c r="D22" s="8">
        <f>SUMPRODUCT(N(Tabela3[PAPEL]=Tabela2[[#This Row],[Ativo]]),Tabela3[Total Ações])</f>
        <v>4207274039</v>
      </c>
      <c r="E22" s="67">
        <f>(Tabela2[[#This Row],[Lucro Líquido]])/Tabela2[[#This Row],[Total Ações]]</f>
        <v>2.6234363382765142</v>
      </c>
      <c r="F22" s="67">
        <v>1.0267269999999999</v>
      </c>
      <c r="G22" s="46">
        <f>IF(AND(Tabela2[[#This Row],[Dividendo / Ação]]&gt;0,Tabela2[[#This Row],[Lucro por ação]]&gt;0),Tabela2[[#This Row],[Dividendo / Ação]]/Tabela2[[#This Row],[Lucro por ação]],"")</f>
        <v>0.3913672251237153</v>
      </c>
      <c r="H22" s="6">
        <f>MAX(Tabela2[[#This Row],[Cotação 1]],Tabela2[[#This Row],[Cotação 2]])</f>
        <v>29.09</v>
      </c>
      <c r="I22" s="19">
        <f>IF(Tabela2[[#This Row],[Dividendo / Ação]]&gt;0,Tabela2[[#This Row],[Dividendo / Ação]]/Tabela2[[#This Row],[Cotação]],"")</f>
        <v>3.5294843588862153E-2</v>
      </c>
      <c r="J22" s="62">
        <f>SUMPRODUCT(N(Tabela1[Código]=Tabela2[[#This Row],[Ativo]]),Tabela1[Fechamento])</f>
        <v>29.09</v>
      </c>
      <c r="K22" s="62">
        <f>SUMPRODUCT(N(Tabela17[Código]=Tabela2[[#This Row],[Ativo]]),Tabela17[Fechamento])</f>
        <v>0</v>
      </c>
    </row>
    <row r="23" spans="1:11" x14ac:dyDescent="0.2">
      <c r="A23" s="4" t="s">
        <v>250</v>
      </c>
      <c r="B23" s="4">
        <v>2010</v>
      </c>
      <c r="C23" s="5">
        <v>10159097403</v>
      </c>
      <c r="D23" s="8">
        <f>SUMPRODUCT(N(Tabela3[PAPEL]=Tabela2[[#This Row],[Ativo]]),Tabela3[Total Ações])</f>
        <v>4207274039</v>
      </c>
      <c r="E23" s="67">
        <f>(Tabela2[[#This Row],[Lucro Líquido]])/Tabela2[[#This Row],[Total Ações]]</f>
        <v>2.4146507474503967</v>
      </c>
      <c r="F23" s="67">
        <v>0.96402200000000005</v>
      </c>
      <c r="G23" s="46">
        <f>IF(AND(Tabela2[[#This Row],[Dividendo / Ação]]&gt;0,Tabela2[[#This Row],[Lucro por ação]]&gt;0),Tabela2[[#This Row],[Dividendo / Ação]]/Tabela2[[#This Row],[Lucro por ação]],"")</f>
        <v>0.39923868949490948</v>
      </c>
      <c r="H23" s="6">
        <f>MAX(Tabela2[[#This Row],[Cotação 1]],Tabela2[[#This Row],[Cotação 2]])</f>
        <v>29.09</v>
      </c>
      <c r="I23" s="19">
        <f>IF(Tabela2[[#This Row],[Dividendo / Ação]]&gt;0,Tabela2[[#This Row],[Dividendo / Ação]]/Tabela2[[#This Row],[Cotação]],"")</f>
        <v>3.3139291852870401E-2</v>
      </c>
      <c r="J23" s="62">
        <f>SUMPRODUCT(N(Tabela1[Código]=Tabela2[[#This Row],[Ativo]]),Tabela1[Fechamento])</f>
        <v>29.09</v>
      </c>
      <c r="K23" s="62">
        <f>SUMPRODUCT(N(Tabela17[Código]=Tabela2[[#This Row],[Ativo]]),Tabela17[Fechamento])</f>
        <v>0</v>
      </c>
    </row>
    <row r="24" spans="1:11" x14ac:dyDescent="0.2">
      <c r="A24" s="4" t="s">
        <v>250</v>
      </c>
      <c r="B24" s="4">
        <v>2009</v>
      </c>
      <c r="C24" s="5">
        <v>8134916341</v>
      </c>
      <c r="D24" s="8">
        <f>SUMPRODUCT(N(Tabela3[PAPEL]=Tabela2[[#This Row],[Ativo]]),Tabela3[Total Ações])</f>
        <v>4207274039</v>
      </c>
      <c r="E24" s="67">
        <f>(Tabela2[[#This Row],[Lucro Líquido]])/Tabela2[[#This Row],[Total Ações]]</f>
        <v>1.933536124719258</v>
      </c>
      <c r="F24" s="67">
        <v>0.91755799999999998</v>
      </c>
      <c r="G24" s="46">
        <f>IF(AND(Tabela2[[#This Row],[Dividendo / Ação]]&gt;0,Tabela2[[#This Row],[Lucro por ação]]&gt;0),Tabela2[[#This Row],[Dividendo / Ação]]/Tabela2[[#This Row],[Lucro por ação]],"")</f>
        <v>0.47454918905806631</v>
      </c>
      <c r="H24" s="6">
        <f>MAX(Tabela2[[#This Row],[Cotação 1]],Tabela2[[#This Row],[Cotação 2]])</f>
        <v>29.09</v>
      </c>
      <c r="I24" s="19">
        <f>IF(Tabela2[[#This Row],[Dividendo / Ação]]&gt;0,Tabela2[[#This Row],[Dividendo / Ação]]/Tabela2[[#This Row],[Cotação]],"")</f>
        <v>3.1542041938810585E-2</v>
      </c>
      <c r="J24" s="62">
        <f>SUMPRODUCT(N(Tabela1[Código]=Tabela2[[#This Row],[Ativo]]),Tabela1[Fechamento])</f>
        <v>29.09</v>
      </c>
      <c r="K24" s="62">
        <f>SUMPRODUCT(N(Tabela17[Código]=Tabela2[[#This Row],[Ativo]]),Tabela17[Fechamento])</f>
        <v>0</v>
      </c>
    </row>
    <row r="25" spans="1:11" x14ac:dyDescent="0.2">
      <c r="A25" s="4" t="s">
        <v>60</v>
      </c>
      <c r="B25" s="4">
        <v>2012</v>
      </c>
      <c r="C25" s="6">
        <v>81395000</v>
      </c>
      <c r="D25" s="8">
        <f>SUMPRODUCT(N(Tabela3[PAPEL]=Tabela2[[#This Row],[Ativo]]),Tabela3[Total Ações])</f>
        <v>1579564303</v>
      </c>
      <c r="E25" s="67">
        <f>(Tabela2[[#This Row],[Lucro Líquido]])/Tabela2[[#This Row],[Total Ações]]</f>
        <v>5.153003258266213E-2</v>
      </c>
      <c r="F25" s="67">
        <v>2.0200094799999999E-2</v>
      </c>
      <c r="G25" s="46">
        <f>IF(AND(Tabela2[[#This Row],[Dividendo / Ação]]&gt;0,Tabela2[[#This Row],[Lucro por ação]]&gt;0),Tabela2[[#This Row],[Dividendo / Ação]]/Tabela2[[#This Row],[Lucro por ação]],"")</f>
        <v>0.39200624931870415</v>
      </c>
      <c r="H25" s="6">
        <f>MAX(Tabela2[[#This Row],[Cotação 1]],Tabela2[[#This Row],[Cotação 2]])</f>
        <v>0.5</v>
      </c>
      <c r="I25" s="19">
        <f>IF(Tabela2[[#This Row],[Dividendo / Ação]]&gt;0,Tabela2[[#This Row],[Dividendo / Ação]]/Tabela2[[#This Row],[Cotação]],"")</f>
        <v>4.0400189599999997E-2</v>
      </c>
      <c r="J25" s="62">
        <f>SUMPRODUCT(N(Tabela1[Código]=Tabela2[[#This Row],[Ativo]]),Tabela1[Fechamento])</f>
        <v>0.5</v>
      </c>
      <c r="K25" s="62">
        <f>SUMPRODUCT(N(Tabela17[Código]=Tabela2[[#This Row],[Ativo]]),Tabela17[Fechamento])</f>
        <v>0</v>
      </c>
    </row>
    <row r="26" spans="1:11" x14ac:dyDescent="0.2">
      <c r="A26" s="4" t="s">
        <v>60</v>
      </c>
      <c r="B26" s="3">
        <v>2011</v>
      </c>
      <c r="C26" s="5">
        <v>87892000</v>
      </c>
      <c r="D26" s="63">
        <f>SUMPRODUCT(N(Tabela3[PAPEL]=Tabela2[[#This Row],[Ativo]]),Tabela3[Total Ações])</f>
        <v>1579564303</v>
      </c>
      <c r="E26" s="66">
        <f>(Tabela2[[#This Row],[Lucro Líquido]])/Tabela2[[#This Row],[Total Ações]]</f>
        <v>5.5643192134103327E-2</v>
      </c>
      <c r="F26" s="66">
        <v>3.1132696000000001E-2</v>
      </c>
      <c r="G26" s="22">
        <f>IF(AND(Tabela2[[#This Row],[Dividendo / Ação]]&gt;0,Tabela2[[#This Row],[Lucro por ação]]&gt;0),Tabela2[[#This Row],[Dividendo / Ação]]/Tabela2[[#This Row],[Lucro por ação]],"")</f>
        <v>0.55950593066207266</v>
      </c>
      <c r="H26" s="5">
        <f>MAX(Tabela2[[#This Row],[Cotação 1]],Tabela2[[#This Row],[Cotação 2]])</f>
        <v>0.5</v>
      </c>
      <c r="I26" s="18">
        <f>IF(Tabela2[[#This Row],[Dividendo / Ação]]&gt;0,Tabela2[[#This Row],[Dividendo / Ação]]/Tabela2[[#This Row],[Cotação]],"")</f>
        <v>6.2265392000000003E-2</v>
      </c>
      <c r="J26" s="61">
        <f>SUMPRODUCT(N(Tabela1[Código]=Tabela2[[#This Row],[Ativo]]),Tabela1[Fechamento])</f>
        <v>0.5</v>
      </c>
      <c r="K26" s="61">
        <f>SUMPRODUCT(N(Tabela17[Código]=Tabela2[[#This Row],[Ativo]]),Tabela17[Fechamento])</f>
        <v>0</v>
      </c>
    </row>
    <row r="27" spans="1:11" x14ac:dyDescent="0.2">
      <c r="A27" s="4" t="s">
        <v>60</v>
      </c>
      <c r="B27" s="3">
        <v>2010</v>
      </c>
      <c r="C27" s="5">
        <v>167023000</v>
      </c>
      <c r="D27" s="63">
        <f>SUMPRODUCT(N(Tabela3[PAPEL]=Tabela2[[#This Row],[Ativo]]),Tabela3[Total Ações])</f>
        <v>1579564303</v>
      </c>
      <c r="E27" s="66">
        <f>(Tabela2[[#This Row],[Lucro Líquido]])/Tabela2[[#This Row],[Total Ações]]</f>
        <v>0.1057399180791692</v>
      </c>
      <c r="F27" s="66">
        <v>2.6446688999999999E-2</v>
      </c>
      <c r="G27" s="22">
        <f>IF(AND(Tabela2[[#This Row],[Dividendo / Ação]]&gt;0,Tabela2[[#This Row],[Lucro por ação]]&gt;0),Tabela2[[#This Row],[Dividendo / Ação]]/Tabela2[[#This Row],[Lucro por ação]],"")</f>
        <v>0.25011073850273774</v>
      </c>
      <c r="H27" s="5">
        <f>MAX(Tabela2[[#This Row],[Cotação 1]],Tabela2[[#This Row],[Cotação 2]])</f>
        <v>0.5</v>
      </c>
      <c r="I27" s="18">
        <f>IF(Tabela2[[#This Row],[Dividendo / Ação]]&gt;0,Tabela2[[#This Row],[Dividendo / Ação]]/Tabela2[[#This Row],[Cotação]],"")</f>
        <v>5.2893377999999998E-2</v>
      </c>
      <c r="J27" s="61">
        <f>SUMPRODUCT(N(Tabela1[Código]=Tabela2[[#This Row],[Ativo]]),Tabela1[Fechamento])</f>
        <v>0.5</v>
      </c>
      <c r="K27" s="61">
        <f>SUMPRODUCT(N(Tabela17[Código]=Tabela2[[#This Row],[Ativo]]),Tabela17[Fechamento])</f>
        <v>0</v>
      </c>
    </row>
    <row r="28" spans="1:11" x14ac:dyDescent="0.2">
      <c r="A28" s="4" t="s">
        <v>60</v>
      </c>
      <c r="B28" s="3">
        <v>2009</v>
      </c>
      <c r="C28" s="5">
        <v>132496000</v>
      </c>
      <c r="D28" s="63">
        <f>SUMPRODUCT(N(Tabela3[PAPEL]=Tabela2[[#This Row],[Ativo]]),Tabela3[Total Ações])</f>
        <v>1579564303</v>
      </c>
      <c r="E28" s="66">
        <f>(Tabela2[[#This Row],[Lucro Líquido]])/Tabela2[[#This Row],[Total Ações]]</f>
        <v>8.3881358769855668E-2</v>
      </c>
      <c r="F28" s="66">
        <v>2.117499288E-2</v>
      </c>
      <c r="G28" s="22">
        <f>IF(AND(Tabela2[[#This Row],[Dividendo / Ação]]&gt;0,Tabela2[[#This Row],[Lucro por ação]]&gt;0),Tabela2[[#This Row],[Dividendo / Ação]]/Tabela2[[#This Row],[Lucro por ação]],"")</f>
        <v>0.2524397934241574</v>
      </c>
      <c r="H28" s="5">
        <f>MAX(Tabela2[[#This Row],[Cotação 1]],Tabela2[[#This Row],[Cotação 2]])</f>
        <v>0.5</v>
      </c>
      <c r="I28" s="18">
        <f>IF(Tabela2[[#This Row],[Dividendo / Ação]]&gt;0,Tabela2[[#This Row],[Dividendo / Ação]]/Tabela2[[#This Row],[Cotação]],"")</f>
        <v>4.234998576E-2</v>
      </c>
      <c r="J28" s="61">
        <f>SUMPRODUCT(N(Tabela1[Código]=Tabela2[[#This Row],[Ativo]]),Tabela1[Fechamento])</f>
        <v>0.5</v>
      </c>
      <c r="K28" s="61">
        <f>SUMPRODUCT(N(Tabela17[Código]=Tabela2[[#This Row],[Ativo]]),Tabela17[Fechamento])</f>
        <v>0</v>
      </c>
    </row>
    <row r="29" spans="1:11" x14ac:dyDescent="0.2">
      <c r="A29" s="4" t="s">
        <v>61</v>
      </c>
      <c r="B29" s="4">
        <v>2012</v>
      </c>
      <c r="C29" s="6">
        <v>81395000</v>
      </c>
      <c r="D29" s="8">
        <f>SUMPRODUCT(N(Tabela3[PAPEL]=Tabela2[[#This Row],[Ativo]]),Tabela3[Total Ações])</f>
        <v>1579564303</v>
      </c>
      <c r="E29" s="67">
        <f>(Tabela2[[#This Row],[Lucro Líquido]])/Tabela2[[#This Row],[Total Ações]]</f>
        <v>5.153003258266213E-2</v>
      </c>
      <c r="F29" s="67">
        <v>2.0200094799999999E-2</v>
      </c>
      <c r="G29" s="46">
        <f>IF(AND(Tabela2[[#This Row],[Dividendo / Ação]]&gt;0,Tabela2[[#This Row],[Lucro por ação]]&gt;0),Tabela2[[#This Row],[Dividendo / Ação]]/Tabela2[[#This Row],[Lucro por ação]],"")</f>
        <v>0.39200624931870415</v>
      </c>
      <c r="H29" s="6">
        <f>MAX(Tabela2[[#This Row],[Cotação 1]],Tabela2[[#This Row],[Cotação 2]])</f>
        <v>0.46</v>
      </c>
      <c r="I29" s="19">
        <f>IF(Tabela2[[#This Row],[Dividendo / Ação]]&gt;0,Tabela2[[#This Row],[Dividendo / Ação]]/Tabela2[[#This Row],[Cotação]],"")</f>
        <v>4.3913249565217388E-2</v>
      </c>
      <c r="J29" s="62">
        <f>SUMPRODUCT(N(Tabela1[Código]=Tabela2[[#This Row],[Ativo]]),Tabela1[Fechamento])</f>
        <v>0.46</v>
      </c>
      <c r="K29" s="62">
        <f>SUMPRODUCT(N(Tabela17[Código]=Tabela2[[#This Row],[Ativo]]),Tabela17[Fechamento])</f>
        <v>0</v>
      </c>
    </row>
    <row r="30" spans="1:11" x14ac:dyDescent="0.2">
      <c r="A30" s="4" t="s">
        <v>61</v>
      </c>
      <c r="B30" s="4">
        <v>2011</v>
      </c>
      <c r="C30" s="5">
        <v>87892000</v>
      </c>
      <c r="D30" s="8">
        <f>SUMPRODUCT(N(Tabela3[PAPEL]=Tabela2[[#This Row],[Ativo]]),Tabela3[Total Ações])</f>
        <v>1579564303</v>
      </c>
      <c r="E30" s="67">
        <f>(Tabela2[[#This Row],[Lucro Líquido]])/Tabela2[[#This Row],[Total Ações]]</f>
        <v>5.5643192134103327E-2</v>
      </c>
      <c r="F30" s="66">
        <v>3.1132696000000001E-2</v>
      </c>
      <c r="G30" s="46">
        <f>IF(AND(Tabela2[[#This Row],[Dividendo / Ação]]&gt;0,Tabela2[[#This Row],[Lucro por ação]]&gt;0),Tabela2[[#This Row],[Dividendo / Ação]]/Tabela2[[#This Row],[Lucro por ação]],"")</f>
        <v>0.55950593066207266</v>
      </c>
      <c r="H30" s="6">
        <f>MAX(Tabela2[[#This Row],[Cotação 1]],Tabela2[[#This Row],[Cotação 2]])</f>
        <v>0.46</v>
      </c>
      <c r="I30" s="19">
        <f>IF(Tabela2[[#This Row],[Dividendo / Ação]]&gt;0,Tabela2[[#This Row],[Dividendo / Ação]]/Tabela2[[#This Row],[Cotação]],"")</f>
        <v>6.7679773913043473E-2</v>
      </c>
      <c r="J30" s="62">
        <f>SUMPRODUCT(N(Tabela1[Código]=Tabela2[[#This Row],[Ativo]]),Tabela1[Fechamento])</f>
        <v>0.46</v>
      </c>
      <c r="K30" s="62">
        <f>SUMPRODUCT(N(Tabela17[Código]=Tabela2[[#This Row],[Ativo]]),Tabela17[Fechamento])</f>
        <v>0</v>
      </c>
    </row>
    <row r="31" spans="1:11" x14ac:dyDescent="0.2">
      <c r="A31" s="4" t="s">
        <v>61</v>
      </c>
      <c r="B31" s="4">
        <v>2010</v>
      </c>
      <c r="C31" s="5">
        <v>167023000</v>
      </c>
      <c r="D31" s="8">
        <f>SUMPRODUCT(N(Tabela3[PAPEL]=Tabela2[[#This Row],[Ativo]]),Tabela3[Total Ações])</f>
        <v>1579564303</v>
      </c>
      <c r="E31" s="67">
        <f>(Tabela2[[#This Row],[Lucro Líquido]])/Tabela2[[#This Row],[Total Ações]]</f>
        <v>0.1057399180791692</v>
      </c>
      <c r="F31" s="66">
        <v>2.6446688999999999E-2</v>
      </c>
      <c r="G31" s="46">
        <f>IF(AND(Tabela2[[#This Row],[Dividendo / Ação]]&gt;0,Tabela2[[#This Row],[Lucro por ação]]&gt;0),Tabela2[[#This Row],[Dividendo / Ação]]/Tabela2[[#This Row],[Lucro por ação]],"")</f>
        <v>0.25011073850273774</v>
      </c>
      <c r="H31" s="6">
        <f>MAX(Tabela2[[#This Row],[Cotação 1]],Tabela2[[#This Row],[Cotação 2]])</f>
        <v>0.46</v>
      </c>
      <c r="I31" s="19">
        <f>IF(Tabela2[[#This Row],[Dividendo / Ação]]&gt;0,Tabela2[[#This Row],[Dividendo / Ação]]/Tabela2[[#This Row],[Cotação]],"")</f>
        <v>5.7492802173913039E-2</v>
      </c>
      <c r="J31" s="62">
        <f>SUMPRODUCT(N(Tabela1[Código]=Tabela2[[#This Row],[Ativo]]),Tabela1[Fechamento])</f>
        <v>0.46</v>
      </c>
      <c r="K31" s="62">
        <f>SUMPRODUCT(N(Tabela17[Código]=Tabela2[[#This Row],[Ativo]]),Tabela17[Fechamento])</f>
        <v>0</v>
      </c>
    </row>
    <row r="32" spans="1:11" x14ac:dyDescent="0.2">
      <c r="A32" s="4" t="s">
        <v>61</v>
      </c>
      <c r="B32" s="4">
        <v>2009</v>
      </c>
      <c r="C32" s="5">
        <v>132496000</v>
      </c>
      <c r="D32" s="8">
        <f>SUMPRODUCT(N(Tabela3[PAPEL]=Tabela2[[#This Row],[Ativo]]),Tabela3[Total Ações])</f>
        <v>1579564303</v>
      </c>
      <c r="E32" s="67">
        <f>(Tabela2[[#This Row],[Lucro Líquido]])/Tabela2[[#This Row],[Total Ações]]</f>
        <v>8.3881358769855668E-2</v>
      </c>
      <c r="F32" s="66">
        <v>2.117499288E-2</v>
      </c>
      <c r="G32" s="46">
        <f>IF(AND(Tabela2[[#This Row],[Dividendo / Ação]]&gt;0,Tabela2[[#This Row],[Lucro por ação]]&gt;0),Tabela2[[#This Row],[Dividendo / Ação]]/Tabela2[[#This Row],[Lucro por ação]],"")</f>
        <v>0.2524397934241574</v>
      </c>
      <c r="H32" s="6">
        <f>MAX(Tabela2[[#This Row],[Cotação 1]],Tabela2[[#This Row],[Cotação 2]])</f>
        <v>0.46</v>
      </c>
      <c r="I32" s="19">
        <f>IF(Tabela2[[#This Row],[Dividendo / Ação]]&gt;0,Tabela2[[#This Row],[Dividendo / Ação]]/Tabela2[[#This Row],[Cotação]],"")</f>
        <v>4.6032593217391303E-2</v>
      </c>
      <c r="J32" s="62">
        <f>SUMPRODUCT(N(Tabela1[Código]=Tabela2[[#This Row],[Ativo]]),Tabela1[Fechamento])</f>
        <v>0.46</v>
      </c>
      <c r="K32" s="62">
        <f>SUMPRODUCT(N(Tabela17[Código]=Tabela2[[#This Row],[Ativo]]),Tabela17[Fechamento])</f>
        <v>0</v>
      </c>
    </row>
    <row r="33" spans="1:11" x14ac:dyDescent="0.2">
      <c r="A33" s="14" t="s">
        <v>255</v>
      </c>
      <c r="B33" s="3">
        <v>2012</v>
      </c>
      <c r="C33" s="5">
        <v>87990976.469999999</v>
      </c>
      <c r="D33" s="63">
        <f>SUMPRODUCT(N(Tabela3[PAPEL]=Tabela2[[#This Row],[Ativo]]),Tabela3[Total Ações])</f>
        <v>10541442</v>
      </c>
      <c r="E33" s="66">
        <f>(Tabela2[[#This Row],[Lucro Líquido]])/Tabela2[[#This Row],[Total Ações]]</f>
        <v>8.3471479964505804</v>
      </c>
      <c r="F33" s="66">
        <v>4.946395323</v>
      </c>
      <c r="G33" s="22">
        <f>IF(AND(Tabela2[[#This Row],[Dividendo / Ação]]&gt;0,Tabela2[[#This Row],[Lucro por ação]]&gt;0),Tabela2[[#This Row],[Dividendo / Ação]]/Tabela2[[#This Row],[Lucro por ação]],"")</f>
        <v>0.5925850751781726</v>
      </c>
      <c r="H33" s="5">
        <f>MAX(Tabela2[[#This Row],[Cotação 1]],Tabela2[[#This Row],[Cotação 2]])</f>
        <v>49.98</v>
      </c>
      <c r="I33" s="18">
        <f>IF(Tabela2[[#This Row],[Dividendo / Ação]]&gt;0,Tabela2[[#This Row],[Dividendo / Ação]]/Tabela2[[#This Row],[Cotação]],"")</f>
        <v>9.8967493457382955E-2</v>
      </c>
      <c r="J33" s="61">
        <f>SUMPRODUCT(N(Tabela1[Código]=Tabela2[[#This Row],[Ativo]]),Tabela1[Fechamento])</f>
        <v>49.98</v>
      </c>
      <c r="K33" s="61">
        <f>SUMPRODUCT(N(Tabela17[Código]=Tabela2[[#This Row],[Ativo]]),Tabela17[Fechamento])</f>
        <v>0</v>
      </c>
    </row>
    <row r="34" spans="1:11" x14ac:dyDescent="0.2">
      <c r="A34" s="14" t="s">
        <v>255</v>
      </c>
      <c r="B34" s="3">
        <v>2011</v>
      </c>
      <c r="C34" s="5">
        <v>90962523.890000001</v>
      </c>
      <c r="D34" s="63">
        <f>SUMPRODUCT(N(Tabela3[PAPEL]=Tabela2[[#This Row],[Ativo]]),Tabela3[Total Ações])</f>
        <v>10541442</v>
      </c>
      <c r="E34" s="66">
        <f>(Tabela2[[#This Row],[Lucro Líquido]])/Tabela2[[#This Row],[Total Ações]]</f>
        <v>8.6290399254675023</v>
      </c>
      <c r="F34" s="66">
        <v>5.5438895290000003</v>
      </c>
      <c r="G34" s="22">
        <f>IF(AND(Tabela2[[#This Row],[Dividendo / Ação]]&gt;0,Tabela2[[#This Row],[Lucro por ação]]&gt;0),Tabela2[[#This Row],[Dividendo / Ação]]/Tabela2[[#This Row],[Lucro por ação]],"")</f>
        <v>0.64246886987252461</v>
      </c>
      <c r="H34" s="5">
        <f>MAX(Tabela2[[#This Row],[Cotação 1]],Tabela2[[#This Row],[Cotação 2]])</f>
        <v>49.98</v>
      </c>
      <c r="I34" s="18">
        <f>IF(Tabela2[[#This Row],[Dividendo / Ação]]&gt;0,Tabela2[[#This Row],[Dividendo / Ação]]/Tabela2[[#This Row],[Cotação]],"")</f>
        <v>0.11092215944377752</v>
      </c>
      <c r="J34" s="61">
        <f>SUMPRODUCT(N(Tabela1[Código]=Tabela2[[#This Row],[Ativo]]),Tabela1[Fechamento])</f>
        <v>49.98</v>
      </c>
      <c r="K34" s="61">
        <f>SUMPRODUCT(N(Tabela17[Código]=Tabela2[[#This Row],[Ativo]]),Tabela17[Fechamento])</f>
        <v>0</v>
      </c>
    </row>
    <row r="35" spans="1:11" x14ac:dyDescent="0.2">
      <c r="A35" s="14" t="s">
        <v>255</v>
      </c>
      <c r="B35" s="3">
        <v>2010</v>
      </c>
      <c r="C35" s="5">
        <v>54465018.079999998</v>
      </c>
      <c r="D35" s="63">
        <f>SUMPRODUCT(N(Tabela3[PAPEL]=Tabela2[[#This Row],[Ativo]]),Tabela3[Total Ações])</f>
        <v>10541442</v>
      </c>
      <c r="E35" s="66">
        <f>(Tabela2[[#This Row],[Lucro Líquido]])/Tabela2[[#This Row],[Total Ações]]</f>
        <v>5.1667521464330965</v>
      </c>
      <c r="F35" s="66">
        <v>2.2723217359999999</v>
      </c>
      <c r="G35" s="22">
        <f>IF(AND(Tabela2[[#This Row],[Dividendo / Ação]]&gt;0,Tabela2[[#This Row],[Lucro por ação]]&gt;0),Tabela2[[#This Row],[Dividendo / Ação]]/Tabela2[[#This Row],[Lucro por ação]],"")</f>
        <v>0.43979693076020943</v>
      </c>
      <c r="H35" s="5">
        <f>MAX(Tabela2[[#This Row],[Cotação 1]],Tabela2[[#This Row],[Cotação 2]])</f>
        <v>49.98</v>
      </c>
      <c r="I35" s="18">
        <f>IF(Tabela2[[#This Row],[Dividendo / Ação]]&gt;0,Tabela2[[#This Row],[Dividendo / Ação]]/Tabela2[[#This Row],[Cotação]],"")</f>
        <v>4.5464620568227289E-2</v>
      </c>
      <c r="J35" s="61">
        <f>SUMPRODUCT(N(Tabela1[Código]=Tabela2[[#This Row],[Ativo]]),Tabela1[Fechamento])</f>
        <v>49.98</v>
      </c>
      <c r="K35" s="61">
        <f>SUMPRODUCT(N(Tabela17[Código]=Tabela2[[#This Row],[Ativo]]),Tabela17[Fechamento])</f>
        <v>0</v>
      </c>
    </row>
    <row r="36" spans="1:11" x14ac:dyDescent="0.2">
      <c r="A36" s="14" t="s">
        <v>255</v>
      </c>
      <c r="B36" s="3">
        <v>2009</v>
      </c>
      <c r="C36" s="5">
        <v>39114199.380000003</v>
      </c>
      <c r="D36" s="63">
        <f>SUMPRODUCT(N(Tabela3[PAPEL]=Tabela2[[#This Row],[Ativo]]),Tabela3[Total Ações])</f>
        <v>10541442</v>
      </c>
      <c r="E36" s="66">
        <f>(Tabela2[[#This Row],[Lucro Líquido]])/Tabela2[[#This Row],[Total Ações]]</f>
        <v>3.7105169653259966</v>
      </c>
      <c r="F36" s="66">
        <v>1.979881029</v>
      </c>
      <c r="G36" s="22">
        <f>IF(AND(Tabela2[[#This Row],[Dividendo / Ação]]&gt;0,Tabela2[[#This Row],[Lucro por ação]]&gt;0),Tabela2[[#This Row],[Dividendo / Ação]]/Tabela2[[#This Row],[Lucro por ação]],"")</f>
        <v>0.53358630279865937</v>
      </c>
      <c r="H36" s="5">
        <f>MAX(Tabela2[[#This Row],[Cotação 1]],Tabela2[[#This Row],[Cotação 2]])</f>
        <v>49.98</v>
      </c>
      <c r="I36" s="18">
        <f>IF(Tabela2[[#This Row],[Dividendo / Ação]]&gt;0,Tabela2[[#This Row],[Dividendo / Ação]]/Tabela2[[#This Row],[Cotação]],"")</f>
        <v>3.9613465966386555E-2</v>
      </c>
      <c r="J36" s="61">
        <f>SUMPRODUCT(N(Tabela1[Código]=Tabela2[[#This Row],[Ativo]]),Tabela1[Fechamento])</f>
        <v>49.98</v>
      </c>
      <c r="K36" s="61">
        <f>SUMPRODUCT(N(Tabela17[Código]=Tabela2[[#This Row],[Ativo]]),Tabela17[Fechamento])</f>
        <v>0</v>
      </c>
    </row>
    <row r="37" spans="1:11" x14ac:dyDescent="0.2">
      <c r="A37" s="14" t="s">
        <v>256</v>
      </c>
      <c r="B37" s="4">
        <v>2012</v>
      </c>
      <c r="C37" s="5">
        <v>87990976.469999999</v>
      </c>
      <c r="D37" s="8">
        <f>SUMPRODUCT(N(Tabela3[PAPEL]=Tabela2[[#This Row],[Ativo]]),Tabela3[Total Ações])</f>
        <v>10541442</v>
      </c>
      <c r="E37" s="67">
        <f>(Tabela2[[#This Row],[Lucro Líquido]])/Tabela2[[#This Row],[Total Ações]]</f>
        <v>8.3471479964505804</v>
      </c>
      <c r="F37" s="67">
        <v>5.4410348859999997</v>
      </c>
      <c r="G37" s="46">
        <f>IF(AND(Tabela2[[#This Row],[Dividendo / Ação]]&gt;0,Tabela2[[#This Row],[Lucro por ação]]&gt;0),Tabela2[[#This Row],[Dividendo / Ação]]/Tabela2[[#This Row],[Lucro por ação]],"")</f>
        <v>0.65184358637389272</v>
      </c>
      <c r="H37" s="6">
        <f>MAX(Tabela2[[#This Row],[Cotação 1]],Tabela2[[#This Row],[Cotação 2]])</f>
        <v>50</v>
      </c>
      <c r="I37" s="19">
        <f>IF(Tabela2[[#This Row],[Dividendo / Ação]]&gt;0,Tabela2[[#This Row],[Dividendo / Ação]]/Tabela2[[#This Row],[Cotação]],"")</f>
        <v>0.10882069772</v>
      </c>
      <c r="J37" s="62">
        <f>SUMPRODUCT(N(Tabela1[Código]=Tabela2[[#This Row],[Ativo]]),Tabela1[Fechamento])</f>
        <v>50</v>
      </c>
      <c r="K37" s="62">
        <f>SUMPRODUCT(N(Tabela17[Código]=Tabela2[[#This Row],[Ativo]]),Tabela17[Fechamento])</f>
        <v>0</v>
      </c>
    </row>
    <row r="38" spans="1:11" x14ac:dyDescent="0.2">
      <c r="A38" s="14" t="s">
        <v>256</v>
      </c>
      <c r="B38" s="4">
        <v>2011</v>
      </c>
      <c r="C38" s="5">
        <v>90962523.890000001</v>
      </c>
      <c r="D38" s="8">
        <f>SUMPRODUCT(N(Tabela3[PAPEL]=Tabela2[[#This Row],[Ativo]]),Tabela3[Total Ações])</f>
        <v>10541442</v>
      </c>
      <c r="E38" s="67">
        <f>(Tabela2[[#This Row],[Lucro Líquido]])/Tabela2[[#This Row],[Total Ações]]</f>
        <v>8.6290399254675023</v>
      </c>
      <c r="F38" s="67">
        <v>6.0982784810000004</v>
      </c>
      <c r="G38" s="46">
        <f>IF(AND(Tabela2[[#This Row],[Dividendo / Ação]]&gt;0,Tabela2[[#This Row],[Lucro por ação]]&gt;0),Tabela2[[#This Row],[Dividendo / Ação]]/Tabela2[[#This Row],[Lucro por ação]],"")</f>
        <v>0.70671575675547815</v>
      </c>
      <c r="H38" s="6">
        <f>MAX(Tabela2[[#This Row],[Cotação 1]],Tabela2[[#This Row],[Cotação 2]])</f>
        <v>50</v>
      </c>
      <c r="I38" s="19">
        <f>IF(Tabela2[[#This Row],[Dividendo / Ação]]&gt;0,Tabela2[[#This Row],[Dividendo / Ação]]/Tabela2[[#This Row],[Cotação]],"")</f>
        <v>0.12196556962000001</v>
      </c>
      <c r="J38" s="62">
        <f>SUMPRODUCT(N(Tabela1[Código]=Tabela2[[#This Row],[Ativo]]),Tabela1[Fechamento])</f>
        <v>50</v>
      </c>
      <c r="K38" s="62">
        <f>SUMPRODUCT(N(Tabela17[Código]=Tabela2[[#This Row],[Ativo]]),Tabela17[Fechamento])</f>
        <v>0</v>
      </c>
    </row>
    <row r="39" spans="1:11" x14ac:dyDescent="0.2">
      <c r="A39" s="14" t="s">
        <v>256</v>
      </c>
      <c r="B39" s="4">
        <v>2010</v>
      </c>
      <c r="C39" s="5">
        <v>54465018.079999998</v>
      </c>
      <c r="D39" s="8">
        <f>SUMPRODUCT(N(Tabela3[PAPEL]=Tabela2[[#This Row],[Ativo]]),Tabela3[Total Ações])</f>
        <v>10541442</v>
      </c>
      <c r="E39" s="67">
        <f>(Tabela2[[#This Row],[Lucro Líquido]])/Tabela2[[#This Row],[Total Ações]]</f>
        <v>5.1667521464330965</v>
      </c>
      <c r="F39" s="67">
        <v>2.4995539089999999</v>
      </c>
      <c r="G39" s="46">
        <f>IF(AND(Tabela2[[#This Row],[Dividendo / Ação]]&gt;0,Tabela2[[#This Row],[Lucro por ação]]&gt;0),Tabela2[[#This Row],[Dividendo / Ação]]/Tabela2[[#This Row],[Lucro por ação]],"")</f>
        <v>0.48377662372010322</v>
      </c>
      <c r="H39" s="6">
        <f>MAX(Tabela2[[#This Row],[Cotação 1]],Tabela2[[#This Row],[Cotação 2]])</f>
        <v>50</v>
      </c>
      <c r="I39" s="19">
        <f>IF(Tabela2[[#This Row],[Dividendo / Ação]]&gt;0,Tabela2[[#This Row],[Dividendo / Ação]]/Tabela2[[#This Row],[Cotação]],"")</f>
        <v>4.9991078179999995E-2</v>
      </c>
      <c r="J39" s="62">
        <f>SUMPRODUCT(N(Tabela1[Código]=Tabela2[[#This Row],[Ativo]]),Tabela1[Fechamento])</f>
        <v>50</v>
      </c>
      <c r="K39" s="62">
        <f>SUMPRODUCT(N(Tabela17[Código]=Tabela2[[#This Row],[Ativo]]),Tabela17[Fechamento])</f>
        <v>0</v>
      </c>
    </row>
    <row r="40" spans="1:11" x14ac:dyDescent="0.2">
      <c r="A40" s="14" t="s">
        <v>256</v>
      </c>
      <c r="B40" s="4">
        <v>2009</v>
      </c>
      <c r="C40" s="5">
        <v>39114199.380000003</v>
      </c>
      <c r="D40" s="8">
        <f>SUMPRODUCT(N(Tabela3[PAPEL]=Tabela2[[#This Row],[Ativo]]),Tabela3[Total Ações])</f>
        <v>10541442</v>
      </c>
      <c r="E40" s="67">
        <f>(Tabela2[[#This Row],[Lucro Líquido]])/Tabela2[[#This Row],[Total Ações]]</f>
        <v>3.7105169653259966</v>
      </c>
      <c r="F40" s="67">
        <v>2.1790691309999999</v>
      </c>
      <c r="G40" s="46">
        <f>IF(AND(Tabela2[[#This Row],[Dividendo / Ação]]&gt;0,Tabela2[[#This Row],[Lucro por ação]]&gt;0),Tabela2[[#This Row],[Dividendo / Ação]]/Tabela2[[#This Row],[Lucro por ação]],"")</f>
        <v>0.58726833790626598</v>
      </c>
      <c r="H40" s="6">
        <f>MAX(Tabela2[[#This Row],[Cotação 1]],Tabela2[[#This Row],[Cotação 2]])</f>
        <v>50</v>
      </c>
      <c r="I40" s="19">
        <f>IF(Tabela2[[#This Row],[Dividendo / Ação]]&gt;0,Tabela2[[#This Row],[Dividendo / Ação]]/Tabela2[[#This Row],[Cotação]],"")</f>
        <v>4.3581382619999998E-2</v>
      </c>
      <c r="J40" s="62">
        <f>SUMPRODUCT(N(Tabela1[Código]=Tabela2[[#This Row],[Ativo]]),Tabela1[Fechamento])</f>
        <v>50</v>
      </c>
      <c r="K40" s="62">
        <f>SUMPRODUCT(N(Tabela17[Código]=Tabela2[[#This Row],[Ativo]]),Tabela17[Fechamento])</f>
        <v>0</v>
      </c>
    </row>
    <row r="41" spans="1:11" x14ac:dyDescent="0.2">
      <c r="A41" s="4" t="s">
        <v>266</v>
      </c>
      <c r="B41" s="4">
        <v>2012</v>
      </c>
      <c r="C41" s="6">
        <v>108819511.64</v>
      </c>
      <c r="D41" s="8">
        <f>SUMPRODUCT(N(Tabela3[PAPEL]=Tabela2[[#This Row],[Ativo]]),Tabela3[Total Ações])</f>
        <v>252903569</v>
      </c>
      <c r="E41" s="67">
        <f>(Tabela2[[#This Row],[Lucro Líquido]])/Tabela2[[#This Row],[Total Ações]]</f>
        <v>0.43028064835257424</v>
      </c>
      <c r="F41" s="67">
        <v>0.48572491200000001</v>
      </c>
      <c r="G41" s="46">
        <f>IF(AND(Tabela2[[#This Row],[Dividendo / Ação]]&gt;0,Tabela2[[#This Row],[Lucro por ação]]&gt;0),Tabela2[[#This Row],[Dividendo / Ação]]/Tabela2[[#This Row],[Lucro por ação]],"")</f>
        <v>1.1288560474650824</v>
      </c>
      <c r="H41" s="6">
        <f>MAX(Tabela2[[#This Row],[Cotação 1]],Tabela2[[#This Row],[Cotação 2]])</f>
        <v>9.65</v>
      </c>
      <c r="I41" s="19">
        <f>IF(Tabela2[[#This Row],[Dividendo / Ação]]&gt;0,Tabela2[[#This Row],[Dividendo / Ação]]/Tabela2[[#This Row],[Cotação]],"")</f>
        <v>5.0334187772020728E-2</v>
      </c>
      <c r="J41" s="62">
        <f>SUMPRODUCT(N(Tabela1[Código]=Tabela2[[#This Row],[Ativo]]),Tabela1[Fechamento])</f>
        <v>9.65</v>
      </c>
      <c r="K41" s="62">
        <f>SUMPRODUCT(N(Tabela17[Código]=Tabela2[[#This Row],[Ativo]]),Tabela17[Fechamento])</f>
        <v>0</v>
      </c>
    </row>
    <row r="42" spans="1:11" x14ac:dyDescent="0.2">
      <c r="A42" s="4" t="s">
        <v>266</v>
      </c>
      <c r="B42" s="3">
        <v>2011</v>
      </c>
      <c r="C42" s="5">
        <v>232542541</v>
      </c>
      <c r="D42" s="63">
        <f>SUMPRODUCT(N(Tabela3[PAPEL]=Tabela2[[#This Row],[Ativo]]),Tabela3[Total Ações])</f>
        <v>252903569</v>
      </c>
      <c r="E42" s="67">
        <f>(Tabela2[[#This Row],[Lucro Líquido]])/Tabela2[[#This Row],[Total Ações]]</f>
        <v>0.91949094241528873</v>
      </c>
      <c r="F42" s="66">
        <v>0.46371743599999998</v>
      </c>
      <c r="G42" s="22">
        <f>IF(AND(Tabela2[[#This Row],[Dividendo / Ação]]&gt;0,Tabela2[[#This Row],[Lucro por ação]]&gt;0),Tabela2[[#This Row],[Dividendo / Ação]]/Tabela2[[#This Row],[Lucro por ação]],"")</f>
        <v>0.50431974325045792</v>
      </c>
      <c r="H42" s="5">
        <f>MAX(Tabela2[[#This Row],[Cotação 1]],Tabela2[[#This Row],[Cotação 2]])</f>
        <v>9.65</v>
      </c>
      <c r="I42" s="18">
        <f>IF(Tabela2[[#This Row],[Dividendo / Ação]]&gt;0,Tabela2[[#This Row],[Dividendo / Ação]]/Tabela2[[#This Row],[Cotação]],"")</f>
        <v>4.8053620310880826E-2</v>
      </c>
      <c r="J42" s="61">
        <f>SUMPRODUCT(N(Tabela1[Código]=Tabela2[[#This Row],[Ativo]]),Tabela1[Fechamento])</f>
        <v>9.65</v>
      </c>
      <c r="K42" s="61">
        <f>SUMPRODUCT(N(Tabela17[Código]=Tabela2[[#This Row],[Ativo]]),Tabela17[Fechamento])</f>
        <v>0</v>
      </c>
    </row>
    <row r="43" spans="1:11" x14ac:dyDescent="0.2">
      <c r="A43" s="4" t="s">
        <v>266</v>
      </c>
      <c r="B43" s="3">
        <v>2010</v>
      </c>
      <c r="C43" s="5">
        <v>348395895.98000002</v>
      </c>
      <c r="D43" s="63">
        <f>SUMPRODUCT(N(Tabela3[PAPEL]=Tabela2[[#This Row],[Ativo]]),Tabela3[Total Ações])</f>
        <v>252903569</v>
      </c>
      <c r="E43" s="67">
        <f>(Tabela2[[#This Row],[Lucro Líquido]])/Tabela2[[#This Row],[Total Ações]]</f>
        <v>1.3775839437837274</v>
      </c>
      <c r="F43" s="66">
        <v>0.60299663000000003</v>
      </c>
      <c r="G43" s="22">
        <f>IF(AND(Tabela2[[#This Row],[Dividendo / Ação]]&gt;0,Tabela2[[#This Row],[Lucro por ação]]&gt;0),Tabela2[[#This Row],[Dividendo / Ação]]/Tabela2[[#This Row],[Lucro por ação]],"")</f>
        <v>0.43772042547460682</v>
      </c>
      <c r="H43" s="5">
        <f>MAX(Tabela2[[#This Row],[Cotação 1]],Tabela2[[#This Row],[Cotação 2]])</f>
        <v>9.65</v>
      </c>
      <c r="I43" s="18">
        <f>IF(Tabela2[[#This Row],[Dividendo / Ação]]&gt;0,Tabela2[[#This Row],[Dividendo / Ação]]/Tabela2[[#This Row],[Cotação]],"")</f>
        <v>6.2486697409326428E-2</v>
      </c>
      <c r="J43" s="61">
        <f>SUMPRODUCT(N(Tabela1[Código]=Tabela2[[#This Row],[Ativo]]),Tabela1[Fechamento])</f>
        <v>9.65</v>
      </c>
      <c r="K43" s="61">
        <f>SUMPRODUCT(N(Tabela17[Código]=Tabela2[[#This Row],[Ativo]]),Tabela17[Fechamento])</f>
        <v>0</v>
      </c>
    </row>
    <row r="44" spans="1:11" x14ac:dyDescent="0.2">
      <c r="A44" s="4" t="s">
        <v>10</v>
      </c>
      <c r="B44" s="4">
        <v>2012</v>
      </c>
      <c r="C44" s="6">
        <v>108819511.64</v>
      </c>
      <c r="D44" s="8">
        <f>SUMPRODUCT(N(Tabela3[PAPEL]=Tabela2[[#This Row],[Ativo]]),Tabela3[Total Ações])</f>
        <v>252903569</v>
      </c>
      <c r="E44" s="67">
        <f>(Tabela2[[#This Row],[Lucro Líquido]])/Tabela2[[#This Row],[Total Ações]]</f>
        <v>0.43028064835257424</v>
      </c>
      <c r="F44" s="67">
        <v>0.48572491200000001</v>
      </c>
      <c r="G44" s="46">
        <f>IF(AND(Tabela2[[#This Row],[Dividendo / Ação]]&gt;0,Tabela2[[#This Row],[Lucro por ação]]&gt;0),Tabela2[[#This Row],[Dividendo / Ação]]/Tabela2[[#This Row],[Lucro por ação]],"")</f>
        <v>1.1288560474650824</v>
      </c>
      <c r="H44" s="6">
        <f>MAX(Tabela2[[#This Row],[Cotação 1]],Tabela2[[#This Row],[Cotação 2]])</f>
        <v>7.4</v>
      </c>
      <c r="I44" s="19">
        <f>IF(Tabela2[[#This Row],[Dividendo / Ação]]&gt;0,Tabela2[[#This Row],[Dividendo / Ação]]/Tabela2[[#This Row],[Cotação]],"")</f>
        <v>6.5638501621621617E-2</v>
      </c>
      <c r="J44" s="62">
        <f>SUMPRODUCT(N(Tabela1[Código]=Tabela2[[#This Row],[Ativo]]),Tabela1[Fechamento])</f>
        <v>7.4</v>
      </c>
      <c r="K44" s="62">
        <f>SUMPRODUCT(N(Tabela17[Código]=Tabela2[[#This Row],[Ativo]]),Tabela17[Fechamento])</f>
        <v>0</v>
      </c>
    </row>
    <row r="45" spans="1:11" x14ac:dyDescent="0.2">
      <c r="A45" s="4" t="s">
        <v>10</v>
      </c>
      <c r="B45" s="4">
        <v>2011</v>
      </c>
      <c r="C45" s="5">
        <v>232542541</v>
      </c>
      <c r="D45" s="8">
        <f>SUMPRODUCT(N(Tabela3[PAPEL]=Tabela2[[#This Row],[Ativo]]),Tabela3[Total Ações])</f>
        <v>252903569</v>
      </c>
      <c r="E45" s="67">
        <f>(Tabela2[[#This Row],[Lucro Líquido]])/Tabela2[[#This Row],[Total Ações]]</f>
        <v>0.91949094241528873</v>
      </c>
      <c r="F45" s="66">
        <v>0.46371743599999998</v>
      </c>
      <c r="G45" s="46">
        <f>IF(AND(Tabela2[[#This Row],[Dividendo / Ação]]&gt;0,Tabela2[[#This Row],[Lucro por ação]]&gt;0),Tabela2[[#This Row],[Dividendo / Ação]]/Tabela2[[#This Row],[Lucro por ação]],"")</f>
        <v>0.50431974325045792</v>
      </c>
      <c r="H45" s="6">
        <f>MAX(Tabela2[[#This Row],[Cotação 1]],Tabela2[[#This Row],[Cotação 2]])</f>
        <v>7.4</v>
      </c>
      <c r="I45" s="19">
        <f>IF(Tabela2[[#This Row],[Dividendo / Ação]]&gt;0,Tabela2[[#This Row],[Dividendo / Ação]]/Tabela2[[#This Row],[Cotação]],"")</f>
        <v>6.2664518378378373E-2</v>
      </c>
      <c r="J45" s="62">
        <f>SUMPRODUCT(N(Tabela1[Código]=Tabela2[[#This Row],[Ativo]]),Tabela1[Fechamento])</f>
        <v>7.4</v>
      </c>
      <c r="K45" s="62">
        <f>SUMPRODUCT(N(Tabela17[Código]=Tabela2[[#This Row],[Ativo]]),Tabela17[Fechamento])</f>
        <v>0</v>
      </c>
    </row>
    <row r="46" spans="1:11" x14ac:dyDescent="0.2">
      <c r="A46" s="4" t="s">
        <v>10</v>
      </c>
      <c r="B46" s="4">
        <v>2010</v>
      </c>
      <c r="C46" s="5">
        <v>348395895.98000002</v>
      </c>
      <c r="D46" s="8">
        <f>SUMPRODUCT(N(Tabela3[PAPEL]=Tabela2[[#This Row],[Ativo]]),Tabela3[Total Ações])</f>
        <v>252903569</v>
      </c>
      <c r="E46" s="67">
        <f>(Tabela2[[#This Row],[Lucro Líquido]])/Tabela2[[#This Row],[Total Ações]]</f>
        <v>1.3775839437837274</v>
      </c>
      <c r="F46" s="66">
        <v>0.60299663000000003</v>
      </c>
      <c r="G46" s="46">
        <f>IF(AND(Tabela2[[#This Row],[Dividendo / Ação]]&gt;0,Tabela2[[#This Row],[Lucro por ação]]&gt;0),Tabela2[[#This Row],[Dividendo / Ação]]/Tabela2[[#This Row],[Lucro por ação]],"")</f>
        <v>0.43772042547460682</v>
      </c>
      <c r="H46" s="6">
        <f>MAX(Tabela2[[#This Row],[Cotação 1]],Tabela2[[#This Row],[Cotação 2]])</f>
        <v>7.4</v>
      </c>
      <c r="I46" s="19">
        <f>IF(Tabela2[[#This Row],[Dividendo / Ação]]&gt;0,Tabela2[[#This Row],[Dividendo / Ação]]/Tabela2[[#This Row],[Cotação]],"")</f>
        <v>8.1486031081081087E-2</v>
      </c>
      <c r="J46" s="62">
        <f>SUMPRODUCT(N(Tabela1[Código]=Tabela2[[#This Row],[Ativo]]),Tabela1[Fechamento])</f>
        <v>7.4</v>
      </c>
      <c r="K46" s="62">
        <f>SUMPRODUCT(N(Tabela17[Código]=Tabela2[[#This Row],[Ativo]]),Tabela17[Fechamento])</f>
        <v>0</v>
      </c>
    </row>
    <row r="47" spans="1:11" x14ac:dyDescent="0.2">
      <c r="A47" s="4" t="s">
        <v>270</v>
      </c>
      <c r="B47" s="4">
        <v>2012</v>
      </c>
      <c r="C47" s="6">
        <v>5431000</v>
      </c>
      <c r="D47" s="8">
        <f>SUMPRODUCT(N(Tabela3[PAPEL]=Tabela2[[#This Row],[Ativo]]),Tabela3[Total Ações])</f>
        <v>182520000</v>
      </c>
      <c r="E47" s="67">
        <f>(Tabela2[[#This Row],[Lucro Líquido]])/Tabela2[[#This Row],[Total Ações]]</f>
        <v>2.9755643217181677E-2</v>
      </c>
      <c r="F47" s="67">
        <v>8.9999999999999993E-3</v>
      </c>
      <c r="G47" s="46">
        <f>IF(AND(Tabela2[[#This Row],[Dividendo / Ação]]&gt;0,Tabela2[[#This Row],[Lucro por ação]]&gt;0),Tabela2[[#This Row],[Dividendo / Ação]]/Tabela2[[#This Row],[Lucro por ação]],"")</f>
        <v>0.30246363468974408</v>
      </c>
      <c r="H47" s="6">
        <f>MAX(Tabela2[[#This Row],[Cotação 1]],Tabela2[[#This Row],[Cotação 2]])</f>
        <v>1.1000000000000001</v>
      </c>
      <c r="I47" s="19">
        <f>IF(Tabela2[[#This Row],[Dividendo / Ação]]&gt;0,Tabela2[[#This Row],[Dividendo / Ação]]/Tabela2[[#This Row],[Cotação]],"")</f>
        <v>8.1818181818181807E-3</v>
      </c>
      <c r="J47" s="62">
        <f>SUMPRODUCT(N(Tabela1[Código]=Tabela2[[#This Row],[Ativo]]),Tabela1[Fechamento])</f>
        <v>1.1000000000000001</v>
      </c>
      <c r="K47" s="62">
        <f>SUMPRODUCT(N(Tabela17[Código]=Tabela2[[#This Row],[Ativo]]),Tabela17[Fechamento])</f>
        <v>0</v>
      </c>
    </row>
    <row r="48" spans="1:11" x14ac:dyDescent="0.2">
      <c r="A48" s="4" t="s">
        <v>270</v>
      </c>
      <c r="B48" s="3">
        <v>2011</v>
      </c>
      <c r="C48" s="5">
        <v>5361000</v>
      </c>
      <c r="D48" s="63">
        <f>SUMPRODUCT(N(Tabela3[PAPEL]=Tabela2[[#This Row],[Ativo]]),Tabela3[Total Ações])</f>
        <v>182520000</v>
      </c>
      <c r="E48" s="66">
        <f>(Tabela2[[#This Row],[Lucro Líquido]])/Tabela2[[#This Row],[Total Ações]]</f>
        <v>2.9372123602892833E-2</v>
      </c>
      <c r="F48" s="66">
        <v>8.9999999999999993E-3</v>
      </c>
      <c r="G48" s="22">
        <f>IF(AND(Tabela2[[#This Row],[Dividendo / Ação]]&gt;0,Tabela2[[#This Row],[Lucro por ação]]&gt;0),Tabela2[[#This Row],[Dividendo / Ação]]/Tabela2[[#This Row],[Lucro por ação]],"")</f>
        <v>0.30641298265249017</v>
      </c>
      <c r="H48" s="5">
        <f>MAX(Tabela2[[#This Row],[Cotação 1]],Tabela2[[#This Row],[Cotação 2]])</f>
        <v>1.1000000000000001</v>
      </c>
      <c r="I48" s="18">
        <f>IF(Tabela2[[#This Row],[Dividendo / Ação]]&gt;0,Tabela2[[#This Row],[Dividendo / Ação]]/Tabela2[[#This Row],[Cotação]],"")</f>
        <v>8.1818181818181807E-3</v>
      </c>
      <c r="J48" s="61">
        <f>SUMPRODUCT(N(Tabela1[Código]=Tabela2[[#This Row],[Ativo]]),Tabela1[Fechamento])</f>
        <v>1.1000000000000001</v>
      </c>
      <c r="K48" s="61">
        <f>SUMPRODUCT(N(Tabela17[Código]=Tabela2[[#This Row],[Ativo]]),Tabela17[Fechamento])</f>
        <v>0</v>
      </c>
    </row>
    <row r="49" spans="1:11" x14ac:dyDescent="0.2">
      <c r="A49" s="4" t="s">
        <v>270</v>
      </c>
      <c r="B49" s="3">
        <v>2010</v>
      </c>
      <c r="C49" s="5">
        <v>2644000</v>
      </c>
      <c r="D49" s="63">
        <f>SUMPRODUCT(N(Tabela3[PAPEL]=Tabela2[[#This Row],[Ativo]]),Tabela3[Total Ações])</f>
        <v>182520000</v>
      </c>
      <c r="E49" s="66">
        <f>(Tabela2[[#This Row],[Lucro Líquido]])/Tabela2[[#This Row],[Total Ações]]</f>
        <v>1.4486083716852947E-2</v>
      </c>
      <c r="F49" s="66">
        <v>3.9100000000000003E-3</v>
      </c>
      <c r="G49" s="22">
        <f>IF(AND(Tabela2[[#This Row],[Dividendo / Ação]]&gt;0,Tabela2[[#This Row],[Lucro por ação]]&gt;0),Tabela2[[#This Row],[Dividendo / Ação]]/Tabela2[[#This Row],[Lucro por ação]],"")</f>
        <v>0.26991422087745842</v>
      </c>
      <c r="H49" s="5">
        <f>MAX(Tabela2[[#This Row],[Cotação 1]],Tabela2[[#This Row],[Cotação 2]])</f>
        <v>1.1000000000000001</v>
      </c>
      <c r="I49" s="18">
        <f>IF(Tabela2[[#This Row],[Dividendo / Ação]]&gt;0,Tabela2[[#This Row],[Dividendo / Ação]]/Tabela2[[#This Row],[Cotação]],"")</f>
        <v>3.5545454545454543E-3</v>
      </c>
      <c r="J49" s="61">
        <f>SUMPRODUCT(N(Tabela1[Código]=Tabela2[[#This Row],[Ativo]]),Tabela1[Fechamento])</f>
        <v>1.1000000000000001</v>
      </c>
      <c r="K49" s="61">
        <f>SUMPRODUCT(N(Tabela17[Código]=Tabela2[[#This Row],[Ativo]]),Tabela17[Fechamento])</f>
        <v>0</v>
      </c>
    </row>
    <row r="50" spans="1:11" x14ac:dyDescent="0.2">
      <c r="A50" s="4" t="s">
        <v>63</v>
      </c>
      <c r="B50" s="4">
        <v>2012</v>
      </c>
      <c r="C50" s="6">
        <v>5431000</v>
      </c>
      <c r="D50" s="8">
        <f>SUMPRODUCT(N(Tabela3[PAPEL]=Tabela2[[#This Row],[Ativo]]),Tabela3[Total Ações])</f>
        <v>182520000</v>
      </c>
      <c r="E50" s="67">
        <f>(Tabela2[[#This Row],[Lucro Líquido]])/Tabela2[[#This Row],[Total Ações]]</f>
        <v>2.9755643217181677E-2</v>
      </c>
      <c r="F50" s="67">
        <v>1.2352500000000001E-2</v>
      </c>
      <c r="G50" s="46">
        <f>IF(AND(Tabela2[[#This Row],[Dividendo / Ação]]&gt;0,Tabela2[[#This Row],[Lucro por ação]]&gt;0),Tabela2[[#This Row],[Dividendo / Ação]]/Tabela2[[#This Row],[Lucro por ação]],"")</f>
        <v>0.41513133861167378</v>
      </c>
      <c r="H50" s="6">
        <f>MAX(Tabela2[[#This Row],[Cotação 1]],Tabela2[[#This Row],[Cotação 2]])</f>
        <v>0.26</v>
      </c>
      <c r="I50" s="19">
        <f>IF(Tabela2[[#This Row],[Dividendo / Ação]]&gt;0,Tabela2[[#This Row],[Dividendo / Ação]]/Tabela2[[#This Row],[Cotação]],"")</f>
        <v>4.7509615384615386E-2</v>
      </c>
      <c r="J50" s="62">
        <f>SUMPRODUCT(N(Tabela1[Código]=Tabela2[[#This Row],[Ativo]]),Tabela1[Fechamento])</f>
        <v>0.26</v>
      </c>
      <c r="K50" s="62">
        <f>SUMPRODUCT(N(Tabela17[Código]=Tabela2[[#This Row],[Ativo]]),Tabela17[Fechamento])</f>
        <v>0</v>
      </c>
    </row>
    <row r="51" spans="1:11" x14ac:dyDescent="0.2">
      <c r="A51" s="4" t="s">
        <v>63</v>
      </c>
      <c r="B51" s="4">
        <v>2011</v>
      </c>
      <c r="C51" s="5">
        <v>5361000</v>
      </c>
      <c r="D51" s="8">
        <f>SUMPRODUCT(N(Tabela3[PAPEL]=Tabela2[[#This Row],[Ativo]]),Tabela3[Total Ações])</f>
        <v>182520000</v>
      </c>
      <c r="E51" s="67">
        <f>(Tabela2[[#This Row],[Lucro Líquido]])/Tabela2[[#This Row],[Total Ações]]</f>
        <v>2.9372123602892833E-2</v>
      </c>
      <c r="F51" s="67">
        <v>1.1599999999999999E-2</v>
      </c>
      <c r="G51" s="46">
        <f>IF(AND(Tabela2[[#This Row],[Dividendo / Ação]]&gt;0,Tabela2[[#This Row],[Lucro por ação]]&gt;0),Tabela2[[#This Row],[Dividendo / Ação]]/Tabela2[[#This Row],[Lucro por ação]],"")</f>
        <v>0.39493228875209846</v>
      </c>
      <c r="H51" s="6">
        <f>MAX(Tabela2[[#This Row],[Cotação 1]],Tabela2[[#This Row],[Cotação 2]])</f>
        <v>0.26</v>
      </c>
      <c r="I51" s="19">
        <f>IF(Tabela2[[#This Row],[Dividendo / Ação]]&gt;0,Tabela2[[#This Row],[Dividendo / Ação]]/Tabela2[[#This Row],[Cotação]],"")</f>
        <v>4.4615384615384612E-2</v>
      </c>
      <c r="J51" s="62">
        <f>SUMPRODUCT(N(Tabela1[Código]=Tabela2[[#This Row],[Ativo]]),Tabela1[Fechamento])</f>
        <v>0.26</v>
      </c>
      <c r="K51" s="62">
        <f>SUMPRODUCT(N(Tabela17[Código]=Tabela2[[#This Row],[Ativo]]),Tabela17[Fechamento])</f>
        <v>0</v>
      </c>
    </row>
    <row r="52" spans="1:11" x14ac:dyDescent="0.2">
      <c r="A52" s="4" t="s">
        <v>63</v>
      </c>
      <c r="B52" s="4">
        <v>2010</v>
      </c>
      <c r="C52" s="5">
        <v>2644000</v>
      </c>
      <c r="D52" s="8">
        <f>SUMPRODUCT(N(Tabela3[PAPEL]=Tabela2[[#This Row],[Ativo]]),Tabela3[Total Ações])</f>
        <v>182520000</v>
      </c>
      <c r="E52" s="67">
        <f>(Tabela2[[#This Row],[Lucro Líquido]])/Tabela2[[#This Row],[Total Ações]]</f>
        <v>1.4486083716852947E-2</v>
      </c>
      <c r="F52" s="67">
        <v>9.8600000000000007E-3</v>
      </c>
      <c r="G52" s="46">
        <f>IF(AND(Tabela2[[#This Row],[Dividendo / Ação]]&gt;0,Tabela2[[#This Row],[Lucro por ação]]&gt;0),Tabela2[[#This Row],[Dividendo / Ação]]/Tabela2[[#This Row],[Lucro por ação]],"")</f>
        <v>0.68065325264750387</v>
      </c>
      <c r="H52" s="6">
        <f>MAX(Tabela2[[#This Row],[Cotação 1]],Tabela2[[#This Row],[Cotação 2]])</f>
        <v>0.26</v>
      </c>
      <c r="I52" s="19">
        <f>IF(Tabela2[[#This Row],[Dividendo / Ação]]&gt;0,Tabela2[[#This Row],[Dividendo / Ação]]/Tabela2[[#This Row],[Cotação]],"")</f>
        <v>3.7923076923076927E-2</v>
      </c>
      <c r="J52" s="62">
        <f>SUMPRODUCT(N(Tabela1[Código]=Tabela2[[#This Row],[Ativo]]),Tabela1[Fechamento])</f>
        <v>0.26</v>
      </c>
      <c r="K52" s="62">
        <f>SUMPRODUCT(N(Tabela17[Código]=Tabela2[[#This Row],[Ativo]]),Tabela17[Fechamento])</f>
        <v>0</v>
      </c>
    </row>
    <row r="53" spans="1:11" x14ac:dyDescent="0.2">
      <c r="A53" s="14" t="s">
        <v>272</v>
      </c>
      <c r="B53" s="3">
        <v>2012</v>
      </c>
      <c r="C53" s="5">
        <v>508363303.81999999</v>
      </c>
      <c r="D53" s="63">
        <f>SUMPRODUCT(N(Tabela3[PAPEL]=Tabela2[[#This Row],[Ativo]]),Tabela3[Total Ações])</f>
        <v>87001901</v>
      </c>
      <c r="E53" s="66">
        <f>(Tabela2[[#This Row],[Lucro Líquido]])/Tabela2[[#This Row],[Total Ações]]</f>
        <v>5.8431286900271298</v>
      </c>
      <c r="F53" s="66">
        <v>2.09879358938</v>
      </c>
      <c r="G53" s="22">
        <f>IF(AND(Tabela2[[#This Row],[Dividendo / Ação]]&gt;0,Tabela2[[#This Row],[Lucro por ação]]&gt;0),Tabela2[[#This Row],[Dividendo / Ação]]/Tabela2[[#This Row],[Lucro por ação]],"")</f>
        <v>0.35919003340832723</v>
      </c>
      <c r="H53" s="5">
        <f>MAX(Tabela2[[#This Row],[Cotação 1]],Tabela2[[#This Row],[Cotação 2]])</f>
        <v>28.74</v>
      </c>
      <c r="I53" s="18">
        <f>IF(Tabela2[[#This Row],[Dividendo / Ação]]&gt;0,Tabela2[[#This Row],[Dividendo / Ação]]/Tabela2[[#This Row],[Cotação]],"")</f>
        <v>7.3026916819067506E-2</v>
      </c>
      <c r="J53" s="61">
        <f>SUMPRODUCT(N(Tabela1[Código]=Tabela2[[#This Row],[Ativo]]),Tabela1[Fechamento])</f>
        <v>28.74</v>
      </c>
      <c r="K53" s="61">
        <f>SUMPRODUCT(N(Tabela17[Código]=Tabela2[[#This Row],[Ativo]]),Tabela17[Fechamento])</f>
        <v>0</v>
      </c>
    </row>
    <row r="54" spans="1:11" x14ac:dyDescent="0.2">
      <c r="A54" s="14" t="s">
        <v>272</v>
      </c>
      <c r="B54" s="4">
        <v>2011</v>
      </c>
      <c r="C54" s="6">
        <v>314799260.60000002</v>
      </c>
      <c r="D54" s="8">
        <f>SUMPRODUCT(N(Tabela3[PAPEL]=Tabela2[[#This Row],[Ativo]]),Tabela3[Total Ações])</f>
        <v>87001901</v>
      </c>
      <c r="E54" s="67">
        <f>(Tabela2[[#This Row],[Lucro Líquido]])/Tabela2[[#This Row],[Total Ações]]</f>
        <v>3.6183032437417664</v>
      </c>
      <c r="F54" s="67">
        <v>1.8628371749999999</v>
      </c>
      <c r="G54" s="46">
        <f>IF(AND(Tabela2[[#This Row],[Dividendo / Ação]]&gt;0,Tabela2[[#This Row],[Lucro por ação]]&gt;0),Tabela2[[#This Row],[Dividendo / Ação]]/Tabela2[[#This Row],[Lucro por ação]],"")</f>
        <v>0.51483721775447411</v>
      </c>
      <c r="H54" s="6">
        <f>MAX(Tabela2[[#This Row],[Cotação 1]],Tabela2[[#This Row],[Cotação 2]])</f>
        <v>28.74</v>
      </c>
      <c r="I54" s="19">
        <f>IF(Tabela2[[#This Row],[Dividendo / Ação]]&gt;0,Tabela2[[#This Row],[Dividendo / Ação]]/Tabela2[[#This Row],[Cotação]],"")</f>
        <v>6.4816881524008357E-2</v>
      </c>
      <c r="J54" s="62">
        <f>SUMPRODUCT(N(Tabela1[Código]=Tabela2[[#This Row],[Ativo]]),Tabela1[Fechamento])</f>
        <v>28.74</v>
      </c>
      <c r="K54" s="62">
        <f>SUMPRODUCT(N(Tabela17[Código]=Tabela2[[#This Row],[Ativo]]),Tabela17[Fechamento])</f>
        <v>0</v>
      </c>
    </row>
    <row r="55" spans="1:11" x14ac:dyDescent="0.2">
      <c r="A55" s="14" t="s">
        <v>272</v>
      </c>
      <c r="B55" s="4">
        <v>2010</v>
      </c>
      <c r="C55" s="6">
        <v>313589945.75999999</v>
      </c>
      <c r="D55" s="8">
        <f>SUMPRODUCT(N(Tabela3[PAPEL]=Tabela2[[#This Row],[Ativo]]),Tabela3[Total Ações])</f>
        <v>87001901</v>
      </c>
      <c r="E55" s="67">
        <f>(Tabela2[[#This Row],[Lucro Líquido]])/Tabela2[[#This Row],[Total Ações]]</f>
        <v>3.6044033768871326</v>
      </c>
      <c r="F55" s="67">
        <v>2.2732746009999998</v>
      </c>
      <c r="G55" s="46">
        <f>IF(AND(Tabela2[[#This Row],[Dividendo / Ação]]&gt;0,Tabela2[[#This Row],[Lucro por ação]]&gt;0),Tabela2[[#This Row],[Dividendo / Ação]]/Tabela2[[#This Row],[Lucro por ação]],"")</f>
        <v>0.63069372744935825</v>
      </c>
      <c r="H55" s="6">
        <f>MAX(Tabela2[[#This Row],[Cotação 1]],Tabela2[[#This Row],[Cotação 2]])</f>
        <v>28.74</v>
      </c>
      <c r="I55" s="19">
        <f>IF(Tabela2[[#This Row],[Dividendo / Ação]]&gt;0,Tabela2[[#This Row],[Dividendo / Ação]]/Tabela2[[#This Row],[Cotação]],"")</f>
        <v>7.9097933228949202E-2</v>
      </c>
      <c r="J55" s="62">
        <f>SUMPRODUCT(N(Tabela1[Código]=Tabela2[[#This Row],[Ativo]]),Tabela1[Fechamento])</f>
        <v>28.74</v>
      </c>
      <c r="K55" s="62">
        <f>SUMPRODUCT(N(Tabela17[Código]=Tabela2[[#This Row],[Ativo]]),Tabela17[Fechamento])</f>
        <v>0</v>
      </c>
    </row>
    <row r="56" spans="1:11" x14ac:dyDescent="0.2">
      <c r="A56" s="14" t="s">
        <v>272</v>
      </c>
      <c r="B56" s="3">
        <v>2009</v>
      </c>
      <c r="C56" s="5">
        <v>459012514.60000002</v>
      </c>
      <c r="D56" s="63">
        <f>SUMPRODUCT(N(Tabela3[PAPEL]=Tabela2[[#This Row],[Ativo]]),Tabela3[Total Ações])</f>
        <v>87001901</v>
      </c>
      <c r="E56" s="66">
        <f>(Tabela2[[#This Row],[Lucro Líquido]])/Tabela2[[#This Row],[Total Ações]]</f>
        <v>5.2758906337000617</v>
      </c>
      <c r="F56" s="66">
        <v>2.646819604</v>
      </c>
      <c r="G56" s="22">
        <f>IF(AND(Tabela2[[#This Row],[Dividendo / Ação]]&gt;0,Tabela2[[#This Row],[Lucro por ação]]&gt;0),Tabela2[[#This Row],[Dividendo / Ação]]/Tabela2[[#This Row],[Lucro por ação]],"")</f>
        <v>0.50168204532013683</v>
      </c>
      <c r="H56" s="5">
        <f>MAX(Tabela2[[#This Row],[Cotação 1]],Tabela2[[#This Row],[Cotação 2]])</f>
        <v>28.74</v>
      </c>
      <c r="I56" s="18">
        <f>IF(Tabela2[[#This Row],[Dividendo / Ação]]&gt;0,Tabela2[[#This Row],[Dividendo / Ação]]/Tabela2[[#This Row],[Cotação]],"")</f>
        <v>9.2095323729993045E-2</v>
      </c>
      <c r="J56" s="61">
        <f>SUMPRODUCT(N(Tabela1[Código]=Tabela2[[#This Row],[Ativo]]),Tabela1[Fechamento])</f>
        <v>28.74</v>
      </c>
      <c r="K56" s="61">
        <f>SUMPRODUCT(N(Tabela17[Código]=Tabela2[[#This Row],[Ativo]]),Tabela17[Fechamento])</f>
        <v>0</v>
      </c>
    </row>
    <row r="57" spans="1:11" x14ac:dyDescent="0.2">
      <c r="A57" s="14" t="s">
        <v>273</v>
      </c>
      <c r="B57" s="4">
        <v>2012</v>
      </c>
      <c r="C57" s="5">
        <v>508363303.81999999</v>
      </c>
      <c r="D57" s="8">
        <f>SUMPRODUCT(N(Tabela3[PAPEL]=Tabela2[[#This Row],[Ativo]]),Tabela3[Total Ações])</f>
        <v>87001901</v>
      </c>
      <c r="E57" s="67">
        <f>(Tabela2[[#This Row],[Lucro Líquido]])/Tabela2[[#This Row],[Total Ações]]</f>
        <v>5.8431286900271298</v>
      </c>
      <c r="F57" s="67">
        <v>2.308672948101</v>
      </c>
      <c r="G57" s="46">
        <f>IF(AND(Tabela2[[#This Row],[Dividendo / Ação]]&gt;0,Tabela2[[#This Row],[Lucro por ação]]&gt;0),Tabela2[[#This Row],[Dividendo / Ação]]/Tabela2[[#This Row],[Lucro por ação]],"")</f>
        <v>0.3951090367120223</v>
      </c>
      <c r="H57" s="6">
        <f>MAX(Tabela2[[#This Row],[Cotação 1]],Tabela2[[#This Row],[Cotação 2]])</f>
        <v>25</v>
      </c>
      <c r="I57" s="19">
        <f>IF(Tabela2[[#This Row],[Dividendo / Ação]]&gt;0,Tabela2[[#This Row],[Dividendo / Ação]]/Tabela2[[#This Row],[Cotação]],"")</f>
        <v>9.2346917924039998E-2</v>
      </c>
      <c r="J57" s="62">
        <f>SUMPRODUCT(N(Tabela1[Código]=Tabela2[[#This Row],[Ativo]]),Tabela1[Fechamento])</f>
        <v>25</v>
      </c>
      <c r="K57" s="62">
        <f>SUMPRODUCT(N(Tabela17[Código]=Tabela2[[#This Row],[Ativo]]),Tabela17[Fechamento])</f>
        <v>0</v>
      </c>
    </row>
    <row r="58" spans="1:11" x14ac:dyDescent="0.2">
      <c r="A58" s="14" t="s">
        <v>273</v>
      </c>
      <c r="B58" s="4">
        <v>2011</v>
      </c>
      <c r="C58" s="6">
        <v>314799260.60000002</v>
      </c>
      <c r="D58" s="8">
        <f>SUMPRODUCT(N(Tabela3[PAPEL]=Tabela2[[#This Row],[Ativo]]),Tabela3[Total Ações])</f>
        <v>87001901</v>
      </c>
      <c r="E58" s="67">
        <f>(Tabela2[[#This Row],[Lucro Líquido]])/Tabela2[[#This Row],[Total Ações]]</f>
        <v>3.6183032437417664</v>
      </c>
      <c r="F58" s="67">
        <v>2.0491208919999999</v>
      </c>
      <c r="G58" s="46">
        <f>IF(AND(Tabela2[[#This Row],[Dividendo / Ação]]&gt;0,Tabela2[[#This Row],[Lucro por ação]]&gt;0),Tabela2[[#This Row],[Dividendo / Ação]]/Tabela2[[#This Row],[Lucro por ação]],"")</f>
        <v>0.56632093939173522</v>
      </c>
      <c r="H58" s="6">
        <f>MAX(Tabela2[[#This Row],[Cotação 1]],Tabela2[[#This Row],[Cotação 2]])</f>
        <v>25</v>
      </c>
      <c r="I58" s="19">
        <f>IF(Tabela2[[#This Row],[Dividendo / Ação]]&gt;0,Tabela2[[#This Row],[Dividendo / Ação]]/Tabela2[[#This Row],[Cotação]],"")</f>
        <v>8.1964835680000001E-2</v>
      </c>
      <c r="J58" s="62">
        <f>SUMPRODUCT(N(Tabela1[Código]=Tabela2[[#This Row],[Ativo]]),Tabela1[Fechamento])</f>
        <v>25</v>
      </c>
      <c r="K58" s="62">
        <f>SUMPRODUCT(N(Tabela17[Código]=Tabela2[[#This Row],[Ativo]]),Tabela17[Fechamento])</f>
        <v>0</v>
      </c>
    </row>
    <row r="59" spans="1:11" x14ac:dyDescent="0.2">
      <c r="A59" s="14" t="s">
        <v>273</v>
      </c>
      <c r="B59" s="4">
        <v>2010</v>
      </c>
      <c r="C59" s="6">
        <v>313589945.75999999</v>
      </c>
      <c r="D59" s="8">
        <f>SUMPRODUCT(N(Tabela3[PAPEL]=Tabela2[[#This Row],[Ativo]]),Tabela3[Total Ações])</f>
        <v>87001901</v>
      </c>
      <c r="E59" s="67">
        <f>(Tabela2[[#This Row],[Lucro Líquido]])/Tabela2[[#This Row],[Total Ações]]</f>
        <v>3.6044033768871326</v>
      </c>
      <c r="F59" s="67">
        <v>2.5006020599999998</v>
      </c>
      <c r="G59" s="46">
        <f>IF(AND(Tabela2[[#This Row],[Dividendo / Ação]]&gt;0,Tabela2[[#This Row],[Lucro por ação]]&gt;0),Tabela2[[#This Row],[Dividendo / Ação]]/Tabela2[[#This Row],[Lucro por ação]],"")</f>
        <v>0.69376309988911189</v>
      </c>
      <c r="H59" s="6">
        <f>MAX(Tabela2[[#This Row],[Cotação 1]],Tabela2[[#This Row],[Cotação 2]])</f>
        <v>25</v>
      </c>
      <c r="I59" s="19">
        <f>IF(Tabela2[[#This Row],[Dividendo / Ação]]&gt;0,Tabela2[[#This Row],[Dividendo / Ação]]/Tabela2[[#This Row],[Cotação]],"")</f>
        <v>0.10002408239999999</v>
      </c>
      <c r="J59" s="62">
        <f>SUMPRODUCT(N(Tabela1[Código]=Tabela2[[#This Row],[Ativo]]),Tabela1[Fechamento])</f>
        <v>25</v>
      </c>
      <c r="K59" s="62">
        <f>SUMPRODUCT(N(Tabela17[Código]=Tabela2[[#This Row],[Ativo]]),Tabela17[Fechamento])</f>
        <v>0</v>
      </c>
    </row>
    <row r="60" spans="1:11" x14ac:dyDescent="0.2">
      <c r="A60" s="14" t="s">
        <v>273</v>
      </c>
      <c r="B60" s="4">
        <v>2009</v>
      </c>
      <c r="C60" s="5">
        <v>459012514.60000002</v>
      </c>
      <c r="D60" s="8">
        <f>SUMPRODUCT(N(Tabela3[PAPEL]=Tabela2[[#This Row],[Ativo]]),Tabela3[Total Ações])</f>
        <v>87001901</v>
      </c>
      <c r="E60" s="67">
        <f>(Tabela2[[#This Row],[Lucro Líquido]])/Tabela2[[#This Row],[Total Ações]]</f>
        <v>5.2758906337000617</v>
      </c>
      <c r="F60" s="67">
        <v>2.911501565</v>
      </c>
      <c r="G60" s="46">
        <f>IF(AND(Tabela2[[#This Row],[Dividendo / Ação]]&gt;0,Tabela2[[#This Row],[Lucro por ação]]&gt;0),Tabela2[[#This Row],[Dividendo / Ação]]/Tabela2[[#This Row],[Lucro por ação]],"")</f>
        <v>0.55185024996587539</v>
      </c>
      <c r="H60" s="6">
        <f>MAX(Tabela2[[#This Row],[Cotação 1]],Tabela2[[#This Row],[Cotação 2]])</f>
        <v>25</v>
      </c>
      <c r="I60" s="19">
        <f>IF(Tabela2[[#This Row],[Dividendo / Ação]]&gt;0,Tabela2[[#This Row],[Dividendo / Ação]]/Tabela2[[#This Row],[Cotação]],"")</f>
        <v>0.1164600626</v>
      </c>
      <c r="J60" s="62">
        <f>SUMPRODUCT(N(Tabela1[Código]=Tabela2[[#This Row],[Ativo]]),Tabela1[Fechamento])</f>
        <v>25</v>
      </c>
      <c r="K60" s="62">
        <f>SUMPRODUCT(N(Tabela17[Código]=Tabela2[[#This Row],[Ativo]]),Tabela17[Fechamento])</f>
        <v>0</v>
      </c>
    </row>
    <row r="61" spans="1:11" x14ac:dyDescent="0.2">
      <c r="A61" s="15" t="s">
        <v>286</v>
      </c>
      <c r="B61" s="3">
        <v>2012</v>
      </c>
      <c r="C61" s="5">
        <v>63154000</v>
      </c>
      <c r="D61" s="63">
        <f>SUMPRODUCT(N(Tabela3[PAPEL]=Tabela2[[#This Row],[Ativo]]),Tabela3[Total Ações])</f>
        <v>73646388</v>
      </c>
      <c r="E61" s="66">
        <f>(Tabela2[[#This Row],[Lucro Líquido]])/Tabela2[[#This Row],[Total Ações]]</f>
        <v>0.85753017513907126</v>
      </c>
      <c r="F61" s="66">
        <v>0.24782000000000001</v>
      </c>
      <c r="G61" s="22">
        <f>IF(AND(Tabela2[[#This Row],[Dividendo / Ação]]&gt;0,Tabela2[[#This Row],[Lucro por ação]]&gt;0),Tabela2[[#This Row],[Dividendo / Ação]]/Tabela2[[#This Row],[Lucro por ação]],"")</f>
        <v>0.28899274589353013</v>
      </c>
      <c r="H61" s="5">
        <f>MAX(Tabela2[[#This Row],[Cotação 1]],Tabela2[[#This Row],[Cotação 2]])</f>
        <v>3.82</v>
      </c>
      <c r="I61" s="18">
        <f>IF(Tabela2[[#This Row],[Dividendo / Ação]]&gt;0,Tabela2[[#This Row],[Dividendo / Ação]]/Tabela2[[#This Row],[Cotação]],"")</f>
        <v>6.4874345549738227E-2</v>
      </c>
      <c r="J61" s="61">
        <f>SUMPRODUCT(N(Tabela1[Código]=Tabela2[[#This Row],[Ativo]]),Tabela1[Fechamento])</f>
        <v>3.82</v>
      </c>
      <c r="K61" s="61">
        <f>SUMPRODUCT(N(Tabela17[Código]=Tabela2[[#This Row],[Ativo]]),Tabela17[Fechamento])</f>
        <v>0</v>
      </c>
    </row>
    <row r="62" spans="1:11" x14ac:dyDescent="0.2">
      <c r="A62" s="15" t="s">
        <v>286</v>
      </c>
      <c r="B62" s="3">
        <v>2011</v>
      </c>
      <c r="C62" s="5">
        <v>56638000</v>
      </c>
      <c r="D62" s="63">
        <f>SUMPRODUCT(N(Tabela3[PAPEL]=Tabela2[[#This Row],[Ativo]]),Tabela3[Total Ações])</f>
        <v>73646388</v>
      </c>
      <c r="E62" s="66">
        <f>(Tabela2[[#This Row],[Lucro Líquido]])/Tabela2[[#This Row],[Total Ações]]</f>
        <v>0.76905333089791184</v>
      </c>
      <c r="F62" s="66">
        <v>0.22899</v>
      </c>
      <c r="G62" s="22">
        <f>IF(AND(Tabela2[[#This Row],[Dividendo / Ação]]&gt;0,Tabela2[[#This Row],[Lucro por ação]]&gt;0),Tabela2[[#This Row],[Dividendo / Ação]]/Tabela2[[#This Row],[Lucro por ação]],"")</f>
        <v>0.29775568325364593</v>
      </c>
      <c r="H62" s="5">
        <f>MAX(Tabela2[[#This Row],[Cotação 1]],Tabela2[[#This Row],[Cotação 2]])</f>
        <v>3.82</v>
      </c>
      <c r="I62" s="18">
        <f>IF(Tabela2[[#This Row],[Dividendo / Ação]]&gt;0,Tabela2[[#This Row],[Dividendo / Ação]]/Tabela2[[#This Row],[Cotação]],"")</f>
        <v>5.9945026178010473E-2</v>
      </c>
      <c r="J62" s="61">
        <f>SUMPRODUCT(N(Tabela1[Código]=Tabela2[[#This Row],[Ativo]]),Tabela1[Fechamento])</f>
        <v>3.82</v>
      </c>
      <c r="K62" s="61">
        <f>SUMPRODUCT(N(Tabela17[Código]=Tabela2[[#This Row],[Ativo]]),Tabela17[Fechamento])</f>
        <v>0</v>
      </c>
    </row>
    <row r="63" spans="1:11" x14ac:dyDescent="0.2">
      <c r="A63" s="15" t="s">
        <v>286</v>
      </c>
      <c r="B63" s="3">
        <v>2010</v>
      </c>
      <c r="C63" s="5">
        <v>50724000</v>
      </c>
      <c r="D63" s="63">
        <f>SUMPRODUCT(N(Tabela3[PAPEL]=Tabela2[[#This Row],[Ativo]]),Tabela3[Total Ações])</f>
        <v>73646388</v>
      </c>
      <c r="E63" s="66">
        <f>(Tabela2[[#This Row],[Lucro Líquido]])/Tabela2[[#This Row],[Total Ações]]</f>
        <v>0.6887506825181976</v>
      </c>
      <c r="F63" s="66">
        <v>0.22311</v>
      </c>
      <c r="G63" s="22">
        <f>IF(AND(Tabela2[[#This Row],[Dividendo / Ação]]&gt;0,Tabela2[[#This Row],[Lucro por ação]]&gt;0),Tabela2[[#This Row],[Dividendo / Ação]]/Tabela2[[#This Row],[Lucro por ação]],"")</f>
        <v>0.32393434324343506</v>
      </c>
      <c r="H63" s="5">
        <f>MAX(Tabela2[[#This Row],[Cotação 1]],Tabela2[[#This Row],[Cotação 2]])</f>
        <v>3.82</v>
      </c>
      <c r="I63" s="18">
        <f>IF(Tabela2[[#This Row],[Dividendo / Ação]]&gt;0,Tabela2[[#This Row],[Dividendo / Ação]]/Tabela2[[#This Row],[Cotação]],"")</f>
        <v>5.8405759162303665E-2</v>
      </c>
      <c r="J63" s="61">
        <f>SUMPRODUCT(N(Tabela1[Código]=Tabela2[[#This Row],[Ativo]]),Tabela1[Fechamento])</f>
        <v>3.82</v>
      </c>
      <c r="K63" s="61">
        <f>SUMPRODUCT(N(Tabela17[Código]=Tabela2[[#This Row],[Ativo]]),Tabela17[Fechamento])</f>
        <v>0</v>
      </c>
    </row>
    <row r="64" spans="1:11" x14ac:dyDescent="0.2">
      <c r="A64" s="15" t="s">
        <v>286</v>
      </c>
      <c r="B64" s="3">
        <v>2009</v>
      </c>
      <c r="C64" s="5">
        <v>46296000</v>
      </c>
      <c r="D64" s="63">
        <f>SUMPRODUCT(N(Tabela3[PAPEL]=Tabela2[[#This Row],[Ativo]]),Tabela3[Total Ações])</f>
        <v>73646388</v>
      </c>
      <c r="E64" s="66">
        <f>(Tabela2[[#This Row],[Lucro Líquido]])/Tabela2[[#This Row],[Total Ações]]</f>
        <v>0.62862553422171907</v>
      </c>
      <c r="F64" s="66">
        <v>0.19269</v>
      </c>
      <c r="G64" s="22">
        <f>IF(AND(Tabela2[[#This Row],[Dividendo / Ação]]&gt;0,Tabela2[[#This Row],[Lucro por ação]]&gt;0),Tabela2[[#This Row],[Dividendo / Ação]]/Tabela2[[#This Row],[Lucro por ação]],"")</f>
        <v>0.30652588784603418</v>
      </c>
      <c r="H64" s="5">
        <f>MAX(Tabela2[[#This Row],[Cotação 1]],Tabela2[[#This Row],[Cotação 2]])</f>
        <v>3.82</v>
      </c>
      <c r="I64" s="18">
        <f>IF(Tabela2[[#This Row],[Dividendo / Ação]]&gt;0,Tabela2[[#This Row],[Dividendo / Ação]]/Tabela2[[#This Row],[Cotação]],"")</f>
        <v>5.0442408376963351E-2</v>
      </c>
      <c r="J64" s="61">
        <f>SUMPRODUCT(N(Tabela1[Código]=Tabela2[[#This Row],[Ativo]]),Tabela1[Fechamento])</f>
        <v>3.82</v>
      </c>
      <c r="K64" s="61">
        <f>SUMPRODUCT(N(Tabela17[Código]=Tabela2[[#This Row],[Ativo]]),Tabela17[Fechamento])</f>
        <v>0</v>
      </c>
    </row>
    <row r="65" spans="1:14" x14ac:dyDescent="0.2">
      <c r="A65" s="14" t="s">
        <v>287</v>
      </c>
      <c r="B65" s="3">
        <v>2012</v>
      </c>
      <c r="C65" s="5">
        <v>63154000</v>
      </c>
      <c r="D65" s="8">
        <f>SUMPRODUCT(N(Tabela3[PAPEL]=Tabela2[[#This Row],[Ativo]]),Tabela3[Total Ações])</f>
        <v>73646388</v>
      </c>
      <c r="E65" s="67">
        <f>(Tabela2[[#This Row],[Lucro Líquido]])/Tabela2[[#This Row],[Total Ações]]</f>
        <v>0.85753017513907126</v>
      </c>
      <c r="F65" s="67">
        <v>3.3640000000000003E-2</v>
      </c>
      <c r="G65" s="46">
        <f>IF(AND(Tabela2[[#This Row],[Dividendo / Ação]]&gt;0,Tabela2[[#This Row],[Lucro por ação]]&gt;0),Tabela2[[#This Row],[Dividendo / Ação]]/Tabela2[[#This Row],[Lucro por ação]],"")</f>
        <v>3.9228940246381863E-2</v>
      </c>
      <c r="H65" s="6">
        <f>MAX(Tabela2[[#This Row],[Cotação 1]],Tabela2[[#This Row],[Cotação 2]])</f>
        <v>4</v>
      </c>
      <c r="I65" s="19">
        <f>IF(Tabela2[[#This Row],[Dividendo / Ação]]&gt;0,Tabela2[[#This Row],[Dividendo / Ação]]/Tabela2[[#This Row],[Cotação]],"")</f>
        <v>8.4100000000000008E-3</v>
      </c>
      <c r="J65" s="62">
        <f>SUMPRODUCT(N(Tabela1[Código]=Tabela2[[#This Row],[Ativo]]),Tabela1[Fechamento])</f>
        <v>4</v>
      </c>
      <c r="K65" s="62">
        <f>SUMPRODUCT(N(Tabela17[Código]=Tabela2[[#This Row],[Ativo]]),Tabela17[Fechamento])</f>
        <v>0</v>
      </c>
    </row>
    <row r="66" spans="1:14" x14ac:dyDescent="0.2">
      <c r="A66" s="14" t="s">
        <v>287</v>
      </c>
      <c r="B66" s="3">
        <v>2011</v>
      </c>
      <c r="C66" s="5">
        <v>56638000</v>
      </c>
      <c r="D66" s="8">
        <f>SUMPRODUCT(N(Tabela3[PAPEL]=Tabela2[[#This Row],[Ativo]]),Tabela3[Total Ações])</f>
        <v>73646388</v>
      </c>
      <c r="E66" s="67">
        <f>(Tabela2[[#This Row],[Lucro Líquido]])/Tabela2[[#This Row],[Total Ações]]</f>
        <v>0.76905333089791184</v>
      </c>
      <c r="F66" s="67">
        <v>1.0189999999999999E-2</v>
      </c>
      <c r="G66" s="46">
        <f>IF(AND(Tabela2[[#This Row],[Dividendo / Ação]]&gt;0,Tabela2[[#This Row],[Lucro por ação]]&gt;0),Tabela2[[#This Row],[Dividendo / Ação]]/Tabela2[[#This Row],[Lucro por ação]],"")</f>
        <v>1.3250056388290545E-2</v>
      </c>
      <c r="H66" s="6">
        <f>MAX(Tabela2[[#This Row],[Cotação 1]],Tabela2[[#This Row],[Cotação 2]])</f>
        <v>4</v>
      </c>
      <c r="I66" s="19">
        <f>IF(Tabela2[[#This Row],[Dividendo / Ação]]&gt;0,Tabela2[[#This Row],[Dividendo / Ação]]/Tabela2[[#This Row],[Cotação]],"")</f>
        <v>2.5474999999999999E-3</v>
      </c>
      <c r="J66" s="62">
        <f>SUMPRODUCT(N(Tabela1[Código]=Tabela2[[#This Row],[Ativo]]),Tabela1[Fechamento])</f>
        <v>4</v>
      </c>
      <c r="K66" s="62">
        <f>SUMPRODUCT(N(Tabela17[Código]=Tabela2[[#This Row],[Ativo]]),Tabela17[Fechamento])</f>
        <v>0</v>
      </c>
    </row>
    <row r="67" spans="1:14" x14ac:dyDescent="0.2">
      <c r="A67" s="14" t="s">
        <v>287</v>
      </c>
      <c r="B67" s="3">
        <v>2010</v>
      </c>
      <c r="C67" s="5">
        <v>50724000</v>
      </c>
      <c r="D67" s="8">
        <f>SUMPRODUCT(N(Tabela3[PAPEL]=Tabela2[[#This Row],[Ativo]]),Tabela3[Total Ações])</f>
        <v>73646388</v>
      </c>
      <c r="E67" s="67">
        <f>(Tabela2[[#This Row],[Lucro Líquido]])/Tabela2[[#This Row],[Total Ações]]</f>
        <v>0.6887506825181976</v>
      </c>
      <c r="F67" s="67">
        <v>3.8589999999999999E-2</v>
      </c>
      <c r="G67" s="46">
        <f>IF(AND(Tabela2[[#This Row],[Dividendo / Ação]]&gt;0,Tabela2[[#This Row],[Lucro por ação]]&gt;0),Tabela2[[#This Row],[Dividendo / Ação]]/Tabela2[[#This Row],[Lucro por ação]],"")</f>
        <v>5.6028982590489711E-2</v>
      </c>
      <c r="H67" s="6">
        <f>MAX(Tabela2[[#This Row],[Cotação 1]],Tabela2[[#This Row],[Cotação 2]])</f>
        <v>4</v>
      </c>
      <c r="I67" s="19">
        <f>IF(Tabela2[[#This Row],[Dividendo / Ação]]&gt;0,Tabela2[[#This Row],[Dividendo / Ação]]/Tabela2[[#This Row],[Cotação]],"")</f>
        <v>9.6474999999999998E-3</v>
      </c>
      <c r="J67" s="62">
        <f>SUMPRODUCT(N(Tabela1[Código]=Tabela2[[#This Row],[Ativo]]),Tabela1[Fechamento])</f>
        <v>4</v>
      </c>
      <c r="K67" s="62">
        <f>SUMPRODUCT(N(Tabela17[Código]=Tabela2[[#This Row],[Ativo]]),Tabela17[Fechamento])</f>
        <v>0</v>
      </c>
    </row>
    <row r="68" spans="1:14" x14ac:dyDescent="0.2">
      <c r="A68" s="14" t="s">
        <v>287</v>
      </c>
      <c r="B68" s="3">
        <v>2009</v>
      </c>
      <c r="C68" s="5">
        <v>46296000</v>
      </c>
      <c r="D68" s="8">
        <f>SUMPRODUCT(N(Tabela3[PAPEL]=Tabela2[[#This Row],[Ativo]]),Tabela3[Total Ações])</f>
        <v>73646388</v>
      </c>
      <c r="E68" s="67">
        <f>(Tabela2[[#This Row],[Lucro Líquido]])/Tabela2[[#This Row],[Total Ações]]</f>
        <v>0.62862553422171907</v>
      </c>
      <c r="F68" s="66">
        <v>6.8790000000000004E-2</v>
      </c>
      <c r="G68" s="46">
        <f>IF(AND(Tabela2[[#This Row],[Dividendo / Ação]]&gt;0,Tabela2[[#This Row],[Lucro por ação]]&gt;0),Tabela2[[#This Row],[Dividendo / Ação]]/Tabela2[[#This Row],[Lucro por ação]],"")</f>
        <v>0.10942921700622084</v>
      </c>
      <c r="H68" s="6">
        <f>MAX(Tabela2[[#This Row],[Cotação 1]],Tabela2[[#This Row],[Cotação 2]])</f>
        <v>4</v>
      </c>
      <c r="I68" s="19">
        <f>IF(Tabela2[[#This Row],[Dividendo / Ação]]&gt;0,Tabela2[[#This Row],[Dividendo / Ação]]/Tabela2[[#This Row],[Cotação]],"")</f>
        <v>1.7197500000000001E-2</v>
      </c>
      <c r="J68" s="62">
        <f>SUMPRODUCT(N(Tabela1[Código]=Tabela2[[#This Row],[Ativo]]),Tabela1[Fechamento])</f>
        <v>4</v>
      </c>
      <c r="K68" s="62">
        <f>SUMPRODUCT(N(Tabela17[Código]=Tabela2[[#This Row],[Ativo]]),Tabela17[Fechamento])</f>
        <v>0</v>
      </c>
      <c r="N68" s="3">
        <v>0.51486764249999994</v>
      </c>
    </row>
    <row r="69" spans="1:14" x14ac:dyDescent="0.2">
      <c r="A69" s="15" t="s">
        <v>282</v>
      </c>
      <c r="B69" s="3">
        <v>2012</v>
      </c>
      <c r="C69" s="5">
        <v>63154000</v>
      </c>
      <c r="D69" s="63">
        <f>SUMPRODUCT(N(Tabela3[PAPEL]=Tabela2[[#This Row],[Ativo]]),Tabela3[Total Ações])</f>
        <v>73646388</v>
      </c>
      <c r="E69" s="66">
        <f>(Tabela2[[#This Row],[Lucro Líquido]])/Tabela2[[#This Row],[Total Ações]]</f>
        <v>0.85753017513907126</v>
      </c>
      <c r="F69" s="66">
        <v>3.058E-2</v>
      </c>
      <c r="G69" s="22">
        <f>IF(AND(Tabela2[[#This Row],[Dividendo / Ação]]&gt;0,Tabela2[[#This Row],[Lucro por ação]]&gt;0),Tabela2[[#This Row],[Dividendo / Ação]]/Tabela2[[#This Row],[Lucro por ação]],"")</f>
        <v>3.5660552697216331E-2</v>
      </c>
      <c r="H69" s="5">
        <f>MAX(Tabela2[[#This Row],[Cotação 1]],Tabela2[[#This Row],[Cotação 2]])</f>
        <v>4.2</v>
      </c>
      <c r="I69" s="18">
        <f>IF(Tabela2[[#This Row],[Dividendo / Ação]]&gt;0,Tabela2[[#This Row],[Dividendo / Ação]]/Tabela2[[#This Row],[Cotação]],"")</f>
        <v>7.2809523809523801E-3</v>
      </c>
      <c r="J69" s="61">
        <f>SUMPRODUCT(N(Tabela1[Código]=Tabela2[[#This Row],[Ativo]]),Tabela1[Fechamento])</f>
        <v>4.2</v>
      </c>
      <c r="K69" s="61">
        <f>SUMPRODUCT(N(Tabela17[Código]=Tabela2[[#This Row],[Ativo]]),Tabela17[Fechamento])</f>
        <v>0</v>
      </c>
      <c r="N69" s="3">
        <v>3.1891227100000002E-2</v>
      </c>
    </row>
    <row r="70" spans="1:14" x14ac:dyDescent="0.2">
      <c r="A70" s="15" t="s">
        <v>282</v>
      </c>
      <c r="B70" s="3">
        <v>2011</v>
      </c>
      <c r="C70" s="5">
        <v>56638000</v>
      </c>
      <c r="D70" s="63">
        <f>SUMPRODUCT(N(Tabela3[PAPEL]=Tabela2[[#This Row],[Ativo]]),Tabela3[Total Ações])</f>
        <v>73646388</v>
      </c>
      <c r="E70" s="66">
        <f>(Tabela2[[#This Row],[Lucro Líquido]])/Tabela2[[#This Row],[Total Ações]]</f>
        <v>0.76905333089791184</v>
      </c>
      <c r="F70" s="66">
        <v>2.5999999999999999E-3</v>
      </c>
      <c r="G70" s="22">
        <f>IF(AND(Tabela2[[#This Row],[Dividendo / Ação]]&gt;0,Tabela2[[#This Row],[Lucro por ação]]&gt;0),Tabela2[[#This Row],[Dividendo / Ação]]/Tabela2[[#This Row],[Lucro por ação]],"")</f>
        <v>3.380779843921042E-3</v>
      </c>
      <c r="H70" s="5">
        <f>MAX(Tabela2[[#This Row],[Cotação 1]],Tabela2[[#This Row],[Cotação 2]])</f>
        <v>4.2</v>
      </c>
      <c r="I70" s="18">
        <f>IF(Tabela2[[#This Row],[Dividendo / Ação]]&gt;0,Tabela2[[#This Row],[Dividendo / Ação]]/Tabela2[[#This Row],[Cotação]],"")</f>
        <v>6.19047619047619E-4</v>
      </c>
      <c r="J70" s="61">
        <f>SUMPRODUCT(N(Tabela1[Código]=Tabela2[[#This Row],[Ativo]]),Tabela1[Fechamento])</f>
        <v>4.2</v>
      </c>
      <c r="K70" s="61">
        <f>SUMPRODUCT(N(Tabela17[Código]=Tabela2[[#This Row],[Ativo]]),Tabela17[Fechamento])</f>
        <v>0</v>
      </c>
      <c r="N70" s="3">
        <v>7.8275895100000006E-2</v>
      </c>
    </row>
    <row r="71" spans="1:14" x14ac:dyDescent="0.2">
      <c r="A71" s="15" t="s">
        <v>282</v>
      </c>
      <c r="B71" s="3">
        <v>2010</v>
      </c>
      <c r="C71" s="5">
        <v>50724000</v>
      </c>
      <c r="D71" s="63">
        <f>SUMPRODUCT(N(Tabela3[PAPEL]=Tabela2[[#This Row],[Ativo]]),Tabela3[Total Ações])</f>
        <v>73646388</v>
      </c>
      <c r="E71" s="66">
        <f>(Tabela2[[#This Row],[Lucro Líquido]])/Tabela2[[#This Row],[Total Ações]]</f>
        <v>0.6887506825181976</v>
      </c>
      <c r="F71" s="66">
        <v>3.508E-2</v>
      </c>
      <c r="G71" s="22">
        <f>IF(AND(Tabela2[[#This Row],[Dividendo / Ação]]&gt;0,Tabela2[[#This Row],[Lucro por ação]]&gt;0),Tabela2[[#This Row],[Dividendo / Ação]]/Tabela2[[#This Row],[Lucro por ação]],"")</f>
        <v>5.0932798892831796E-2</v>
      </c>
      <c r="H71" s="5">
        <f>MAX(Tabela2[[#This Row],[Cotação 1]],Tabela2[[#This Row],[Cotação 2]])</f>
        <v>4.2</v>
      </c>
      <c r="I71" s="18">
        <f>IF(Tabela2[[#This Row],[Dividendo / Ação]]&gt;0,Tabela2[[#This Row],[Dividendo / Ação]]/Tabela2[[#This Row],[Cotação]],"")</f>
        <v>8.3523809523809514E-3</v>
      </c>
      <c r="J71" s="61">
        <f>SUMPRODUCT(N(Tabela1[Código]=Tabela2[[#This Row],[Ativo]]),Tabela1[Fechamento])</f>
        <v>4.2</v>
      </c>
      <c r="K71" s="61">
        <f>SUMPRODUCT(N(Tabela17[Código]=Tabela2[[#This Row],[Ativo]]),Tabela17[Fechamento])</f>
        <v>0</v>
      </c>
      <c r="N71" s="3">
        <v>7.8275895100000006E-2</v>
      </c>
    </row>
    <row r="72" spans="1:14" x14ac:dyDescent="0.2">
      <c r="A72" s="15" t="s">
        <v>282</v>
      </c>
      <c r="B72" s="3">
        <v>2009</v>
      </c>
      <c r="C72" s="5">
        <v>46296000</v>
      </c>
      <c r="D72" s="63">
        <f>SUMPRODUCT(N(Tabela3[PAPEL]=Tabela2[[#This Row],[Ativo]]),Tabela3[Total Ações])</f>
        <v>73646388</v>
      </c>
      <c r="E72" s="66">
        <f>(Tabela2[[#This Row],[Lucro Líquido]])/Tabela2[[#This Row],[Total Ações]]</f>
        <v>0.62862553422171907</v>
      </c>
      <c r="F72" s="66">
        <v>6.2530000000000002E-2</v>
      </c>
      <c r="G72" s="22">
        <f>IF(AND(Tabela2[[#This Row],[Dividendo / Ação]]&gt;0,Tabela2[[#This Row],[Lucro por ação]]&gt;0),Tabela2[[#This Row],[Dividendo / Ação]]/Tabela2[[#This Row],[Lucro por ação]],"")</f>
        <v>9.9470983273716951E-2</v>
      </c>
      <c r="H72" s="5">
        <f>MAX(Tabela2[[#This Row],[Cotação 1]],Tabela2[[#This Row],[Cotação 2]])</f>
        <v>4.2</v>
      </c>
      <c r="I72" s="18">
        <f>IF(Tabela2[[#This Row],[Dividendo / Ação]]&gt;0,Tabela2[[#This Row],[Dividendo / Ação]]/Tabela2[[#This Row],[Cotação]],"")</f>
        <v>1.4888095238095238E-2</v>
      </c>
      <c r="J72" s="61">
        <f>SUMPRODUCT(N(Tabela1[Código]=Tabela2[[#This Row],[Ativo]]),Tabela1[Fechamento])</f>
        <v>4.2</v>
      </c>
      <c r="K72" s="61">
        <f>SUMPRODUCT(N(Tabela17[Código]=Tabela2[[#This Row],[Ativo]]),Tabela17[Fechamento])</f>
        <v>0</v>
      </c>
      <c r="N72" s="3">
        <f>SUM(N68:N71)</f>
        <v>0.70331065979999996</v>
      </c>
    </row>
    <row r="73" spans="1:14" x14ac:dyDescent="0.2">
      <c r="A73" s="10" t="s">
        <v>283</v>
      </c>
      <c r="B73" s="3">
        <v>2012</v>
      </c>
      <c r="C73" s="5">
        <v>63154000</v>
      </c>
      <c r="D73" s="63">
        <f>SUMPRODUCT(N(Tabela3[PAPEL]=Tabela2[[#This Row],[Ativo]]),Tabela3[Total Ações])</f>
        <v>73646388</v>
      </c>
      <c r="E73" s="66">
        <f>(Tabela2[[#This Row],[Lucro Líquido]])/Tabela2[[#This Row],[Total Ações]]</f>
        <v>0.85753017513907126</v>
      </c>
      <c r="F73" s="66">
        <v>0.20652000000000001</v>
      </c>
      <c r="G73" s="22">
        <f>IF(AND(Tabela2[[#This Row],[Dividendo / Ação]]&gt;0,Tabela2[[#This Row],[Lucro por ação]]&gt;0),Tabela2[[#This Row],[Dividendo / Ação]]/Tabela2[[#This Row],[Lucro por ação]],"")</f>
        <v>0.24083117537701496</v>
      </c>
      <c r="H73" s="5">
        <f>MAX(Tabela2[[#This Row],[Cotação 1]],Tabela2[[#This Row],[Cotação 2]])</f>
        <v>3.27</v>
      </c>
      <c r="I73" s="18">
        <f>IF(Tabela2[[#This Row],[Dividendo / Ação]]&gt;0,Tabela2[[#This Row],[Dividendo / Ação]]/Tabela2[[#This Row],[Cotação]],"")</f>
        <v>6.3155963302752291E-2</v>
      </c>
      <c r="J73" s="61">
        <f>SUMPRODUCT(N(Tabela1[Código]=Tabela2[[#This Row],[Ativo]]),Tabela1[Fechamento])</f>
        <v>3.27</v>
      </c>
      <c r="K73" s="61">
        <f>SUMPRODUCT(N(Tabela17[Código]=Tabela2[[#This Row],[Ativo]]),Tabela17[Fechamento])</f>
        <v>0</v>
      </c>
    </row>
    <row r="74" spans="1:14" x14ac:dyDescent="0.2">
      <c r="A74" s="10" t="s">
        <v>283</v>
      </c>
      <c r="B74" s="3">
        <v>2011</v>
      </c>
      <c r="C74" s="5">
        <v>56638000</v>
      </c>
      <c r="D74" s="63">
        <f>SUMPRODUCT(N(Tabela3[PAPEL]=Tabela2[[#This Row],[Ativo]]),Tabela3[Total Ações])</f>
        <v>73646388</v>
      </c>
      <c r="E74" s="66">
        <f>(Tabela2[[#This Row],[Lucro Líquido]])/Tabela2[[#This Row],[Total Ações]]</f>
        <v>0.76905333089791184</v>
      </c>
      <c r="F74" s="66">
        <v>0.19086</v>
      </c>
      <c r="G74" s="22">
        <f>IF(AND(Tabela2[[#This Row],[Dividendo / Ação]]&gt;0,Tabela2[[#This Row],[Lucro por ação]]&gt;0),Tabela2[[#This Row],[Dividendo / Ação]]/Tabela2[[#This Row],[Lucro por ação]],"")</f>
        <v>0.24817524654260389</v>
      </c>
      <c r="H74" s="5">
        <f>MAX(Tabela2[[#This Row],[Cotação 1]],Tabela2[[#This Row],[Cotação 2]])</f>
        <v>3.27</v>
      </c>
      <c r="I74" s="18">
        <f>IF(Tabela2[[#This Row],[Dividendo / Ação]]&gt;0,Tabela2[[#This Row],[Dividendo / Ação]]/Tabela2[[#This Row],[Cotação]],"")</f>
        <v>5.8366972477064218E-2</v>
      </c>
      <c r="J74" s="61">
        <f>SUMPRODUCT(N(Tabela1[Código]=Tabela2[[#This Row],[Ativo]]),Tabela1[Fechamento])</f>
        <v>3.27</v>
      </c>
      <c r="K74" s="61">
        <f>SUMPRODUCT(N(Tabela17[Código]=Tabela2[[#This Row],[Ativo]]),Tabela17[Fechamento])</f>
        <v>0</v>
      </c>
    </row>
    <row r="75" spans="1:14" x14ac:dyDescent="0.2">
      <c r="A75" s="10" t="s">
        <v>283</v>
      </c>
      <c r="B75" s="3">
        <v>2010</v>
      </c>
      <c r="C75" s="5">
        <v>50724000</v>
      </c>
      <c r="D75" s="63">
        <f>SUMPRODUCT(N(Tabela3[PAPEL]=Tabela2[[#This Row],[Ativo]]),Tabela3[Total Ações])</f>
        <v>73646388</v>
      </c>
      <c r="E75" s="66">
        <f>(Tabela2[[#This Row],[Lucro Líquido]])/Tabela2[[#This Row],[Total Ações]]</f>
        <v>0.6887506825181976</v>
      </c>
      <c r="F75" s="66">
        <v>0.18592</v>
      </c>
      <c r="G75" s="22">
        <f>IF(AND(Tabela2[[#This Row],[Dividendo / Ação]]&gt;0,Tabela2[[#This Row],[Lucro por ação]]&gt;0),Tabela2[[#This Row],[Dividendo / Ação]]/Tabela2[[#This Row],[Lucro por ação]],"")</f>
        <v>0.26993802651525906</v>
      </c>
      <c r="H75" s="5">
        <f>MAX(Tabela2[[#This Row],[Cotação 1]],Tabela2[[#This Row],[Cotação 2]])</f>
        <v>3.27</v>
      </c>
      <c r="I75" s="18">
        <f>IF(Tabela2[[#This Row],[Dividendo / Ação]]&gt;0,Tabela2[[#This Row],[Dividendo / Ação]]/Tabela2[[#This Row],[Cotação]],"")</f>
        <v>5.6856269113149845E-2</v>
      </c>
      <c r="J75" s="61">
        <f>SUMPRODUCT(N(Tabela1[Código]=Tabela2[[#This Row],[Ativo]]),Tabela1[Fechamento])</f>
        <v>3.27</v>
      </c>
      <c r="K75" s="61">
        <f>SUMPRODUCT(N(Tabela17[Código]=Tabela2[[#This Row],[Ativo]]),Tabela17[Fechamento])</f>
        <v>0</v>
      </c>
    </row>
    <row r="76" spans="1:14" x14ac:dyDescent="0.2">
      <c r="A76" s="10" t="s">
        <v>283</v>
      </c>
      <c r="B76" s="3">
        <v>2009</v>
      </c>
      <c r="C76" s="5">
        <v>46296000</v>
      </c>
      <c r="D76" s="63">
        <f>SUMPRODUCT(N(Tabela3[PAPEL]=Tabela2[[#This Row],[Ativo]]),Tabela3[Total Ações])</f>
        <v>73646388</v>
      </c>
      <c r="E76" s="66">
        <f>(Tabela2[[#This Row],[Lucro Líquido]])/Tabela2[[#This Row],[Total Ações]]</f>
        <v>0.62862553422171907</v>
      </c>
      <c r="F76" s="66">
        <v>0.16084999999999999</v>
      </c>
      <c r="G76" s="22">
        <f>IF(AND(Tabela2[[#This Row],[Dividendo / Ação]]&gt;0,Tabela2[[#This Row],[Lucro por ação]]&gt;0),Tabela2[[#This Row],[Dividendo / Ação]]/Tabela2[[#This Row],[Lucro por ação]],"")</f>
        <v>0.25587570221617417</v>
      </c>
      <c r="H76" s="5">
        <f>MAX(Tabela2[[#This Row],[Cotação 1]],Tabela2[[#This Row],[Cotação 2]])</f>
        <v>3.27</v>
      </c>
      <c r="I76" s="18">
        <f>IF(Tabela2[[#This Row],[Dividendo / Ação]]&gt;0,Tabela2[[#This Row],[Dividendo / Ação]]/Tabela2[[#This Row],[Cotação]],"")</f>
        <v>4.9189602446483176E-2</v>
      </c>
      <c r="J76" s="61">
        <f>SUMPRODUCT(N(Tabela1[Código]=Tabela2[[#This Row],[Ativo]]),Tabela1[Fechamento])</f>
        <v>3.27</v>
      </c>
      <c r="K76" s="61">
        <f>SUMPRODUCT(N(Tabela17[Código]=Tabela2[[#This Row],[Ativo]]),Tabela17[Fechamento])</f>
        <v>0</v>
      </c>
    </row>
    <row r="77" spans="1:14" x14ac:dyDescent="0.2">
      <c r="A77" s="15" t="s">
        <v>81</v>
      </c>
      <c r="B77" s="3">
        <v>2012</v>
      </c>
      <c r="C77" s="5">
        <v>63154000</v>
      </c>
      <c r="D77" s="63">
        <f>SUMPRODUCT(N(Tabela3[PAPEL]=Tabela2[[#This Row],[Ativo]]),Tabela3[Total Ações])</f>
        <v>73646388</v>
      </c>
      <c r="E77" s="66">
        <f>(Tabela2[[#This Row],[Lucro Líquido]])/Tabela2[[#This Row],[Total Ações]]</f>
        <v>0.85753017513907126</v>
      </c>
      <c r="F77" s="66">
        <v>0.49564999999999998</v>
      </c>
      <c r="G77" s="22">
        <f>IF(AND(Tabela2[[#This Row],[Dividendo / Ação]]&gt;0,Tabela2[[#This Row],[Lucro por ação]]&gt;0),Tabela2[[#This Row],[Dividendo / Ação]]/Tabela2[[#This Row],[Lucro por ação]],"")</f>
        <v>0.57799715318427969</v>
      </c>
      <c r="H77" s="5">
        <f>MAX(Tabela2[[#This Row],[Cotação 1]],Tabela2[[#This Row],[Cotação 2]])</f>
        <v>5.96</v>
      </c>
      <c r="I77" s="18">
        <f>IF(Tabela2[[#This Row],[Dividendo / Ação]]&gt;0,Tabela2[[#This Row],[Dividendo / Ação]]/Tabela2[[#This Row],[Cotação]],"")</f>
        <v>8.3162751677852351E-2</v>
      </c>
      <c r="J77" s="61">
        <f>SUMPRODUCT(N(Tabela1[Código]=Tabela2[[#This Row],[Ativo]]),Tabela1[Fechamento])</f>
        <v>5.96</v>
      </c>
      <c r="K77" s="61">
        <f>SUMPRODUCT(N(Tabela17[Código]=Tabela2[[#This Row],[Ativo]]),Tabela17[Fechamento])</f>
        <v>0</v>
      </c>
    </row>
    <row r="78" spans="1:14" x14ac:dyDescent="0.2">
      <c r="A78" s="15" t="s">
        <v>81</v>
      </c>
      <c r="B78" s="3">
        <v>2011</v>
      </c>
      <c r="C78" s="5">
        <v>56638000</v>
      </c>
      <c r="D78" s="63">
        <f>SUMPRODUCT(N(Tabela3[PAPEL]=Tabela2[[#This Row],[Ativo]]),Tabela3[Total Ações])</f>
        <v>73646388</v>
      </c>
      <c r="E78" s="66">
        <f>(Tabela2[[#This Row],[Lucro Líquido]])/Tabela2[[#This Row],[Total Ações]]</f>
        <v>0.76905333089791184</v>
      </c>
      <c r="F78" s="66">
        <v>0.45779999999999998</v>
      </c>
      <c r="G78" s="22">
        <f>IF(AND(Tabela2[[#This Row],[Dividendo / Ação]]&gt;0,Tabela2[[#This Row],[Lucro por ação]]&gt;0),Tabela2[[#This Row],[Dividendo / Ação]]/Tabela2[[#This Row],[Lucro por ação]],"")</f>
        <v>0.59527731251809735</v>
      </c>
      <c r="H78" s="5">
        <f>MAX(Tabela2[[#This Row],[Cotação 1]],Tabela2[[#This Row],[Cotação 2]])</f>
        <v>5.96</v>
      </c>
      <c r="I78" s="18">
        <f>IF(Tabela2[[#This Row],[Dividendo / Ação]]&gt;0,Tabela2[[#This Row],[Dividendo / Ação]]/Tabela2[[#This Row],[Cotação]],"")</f>
        <v>7.6812080536912755E-2</v>
      </c>
      <c r="J78" s="61">
        <f>SUMPRODUCT(N(Tabela1[Código]=Tabela2[[#This Row],[Ativo]]),Tabela1[Fechamento])</f>
        <v>5.96</v>
      </c>
      <c r="K78" s="61">
        <f>SUMPRODUCT(N(Tabela17[Código]=Tabela2[[#This Row],[Ativo]]),Tabela17[Fechamento])</f>
        <v>0</v>
      </c>
    </row>
    <row r="79" spans="1:14" x14ac:dyDescent="0.2">
      <c r="A79" s="15" t="s">
        <v>81</v>
      </c>
      <c r="B79" s="3">
        <v>2010</v>
      </c>
      <c r="C79" s="5">
        <v>50724000</v>
      </c>
      <c r="D79" s="63">
        <f>SUMPRODUCT(N(Tabela3[PAPEL]=Tabela2[[#This Row],[Ativo]]),Tabela3[Total Ações])</f>
        <v>73646388</v>
      </c>
      <c r="E79" s="66">
        <f>(Tabela2[[#This Row],[Lucro Líquido]])/Tabela2[[#This Row],[Total Ações]]</f>
        <v>0.6887506825181976</v>
      </c>
      <c r="F79" s="66">
        <v>0.44624000000000003</v>
      </c>
      <c r="G79" s="22">
        <f>IF(AND(Tabela2[[#This Row],[Dividendo / Ação]]&gt;0,Tabela2[[#This Row],[Lucro por ação]]&gt;0),Tabela2[[#This Row],[Dividendo / Ação]]/Tabela2[[#This Row],[Lucro por ação]],"")</f>
        <v>0.64789772457061756</v>
      </c>
      <c r="H79" s="5">
        <f>MAX(Tabela2[[#This Row],[Cotação 1]],Tabela2[[#This Row],[Cotação 2]])</f>
        <v>5.96</v>
      </c>
      <c r="I79" s="18">
        <f>IF(Tabela2[[#This Row],[Dividendo / Ação]]&gt;0,Tabela2[[#This Row],[Dividendo / Ação]]/Tabela2[[#This Row],[Cotação]],"")</f>
        <v>7.4872483221476521E-2</v>
      </c>
      <c r="J79" s="61">
        <f>SUMPRODUCT(N(Tabela1[Código]=Tabela2[[#This Row],[Ativo]]),Tabela1[Fechamento])</f>
        <v>5.96</v>
      </c>
      <c r="K79" s="61">
        <f>SUMPRODUCT(N(Tabela17[Código]=Tabela2[[#This Row],[Ativo]]),Tabela17[Fechamento])</f>
        <v>0</v>
      </c>
    </row>
    <row r="80" spans="1:14" x14ac:dyDescent="0.2">
      <c r="A80" s="15" t="s">
        <v>81</v>
      </c>
      <c r="B80" s="3">
        <v>2009</v>
      </c>
      <c r="C80" s="5">
        <v>46296000</v>
      </c>
      <c r="D80" s="63">
        <f>SUMPRODUCT(N(Tabela3[PAPEL]=Tabela2[[#This Row],[Ativo]]),Tabela3[Total Ações])</f>
        <v>73646388</v>
      </c>
      <c r="E80" s="66">
        <f>(Tabela2[[#This Row],[Lucro Líquido]])/Tabela2[[#This Row],[Total Ações]]</f>
        <v>0.62862553422171907</v>
      </c>
      <c r="F80" s="66">
        <v>0.38367000000000001</v>
      </c>
      <c r="G80" s="22">
        <f>IF(AND(Tabela2[[#This Row],[Dividendo / Ação]]&gt;0,Tabela2[[#This Row],[Lucro por ação]]&gt;0),Tabela2[[#This Row],[Dividendo / Ação]]/Tabela2[[#This Row],[Lucro por ação]],"")</f>
        <v>0.61033155529548988</v>
      </c>
      <c r="H80" s="5">
        <f>MAX(Tabela2[[#This Row],[Cotação 1]],Tabela2[[#This Row],[Cotação 2]])</f>
        <v>5.96</v>
      </c>
      <c r="I80" s="18">
        <f>IF(Tabela2[[#This Row],[Dividendo / Ação]]&gt;0,Tabela2[[#This Row],[Dividendo / Ação]]/Tabela2[[#This Row],[Cotação]],"")</f>
        <v>6.43741610738255E-2</v>
      </c>
      <c r="J80" s="61">
        <f>SUMPRODUCT(N(Tabela1[Código]=Tabela2[[#This Row],[Ativo]]),Tabela1[Fechamento])</f>
        <v>5.96</v>
      </c>
      <c r="K80" s="61">
        <f>SUMPRODUCT(N(Tabela17[Código]=Tabela2[[#This Row],[Ativo]]),Tabela17[Fechamento])</f>
        <v>0</v>
      </c>
    </row>
    <row r="81" spans="1:11" x14ac:dyDescent="0.2">
      <c r="A81" s="15" t="s">
        <v>284</v>
      </c>
      <c r="B81" s="3">
        <v>2012</v>
      </c>
      <c r="C81" s="5">
        <v>63154000</v>
      </c>
      <c r="D81" s="63">
        <f>SUMPRODUCT(N(Tabela3[PAPEL]=Tabela2[[#This Row],[Ativo]]),Tabela3[Total Ações])</f>
        <v>73646388</v>
      </c>
      <c r="E81" s="66">
        <f>(Tabela2[[#This Row],[Lucro Líquido]])/Tabela2[[#This Row],[Total Ações]]</f>
        <v>0.85753017513907126</v>
      </c>
      <c r="F81" s="66">
        <v>0.28913</v>
      </c>
      <c r="G81" s="22">
        <f>IF(AND(Tabela2[[#This Row],[Dividendo / Ação]]&gt;0,Tabela2[[#This Row],[Lucro por ação]]&gt;0),Tabela2[[#This Row],[Dividendo / Ação]]/Tabela2[[#This Row],[Lucro por ação]],"")</f>
        <v>0.33716597780726482</v>
      </c>
      <c r="H81" s="5">
        <f>MAX(Tabela2[[#This Row],[Cotação 1]],Tabela2[[#This Row],[Cotação 2]])</f>
        <v>3.6</v>
      </c>
      <c r="I81" s="18">
        <f>IF(Tabela2[[#This Row],[Dividendo / Ação]]&gt;0,Tabela2[[#This Row],[Dividendo / Ação]]/Tabela2[[#This Row],[Cotação]],"")</f>
        <v>8.0313888888888893E-2</v>
      </c>
      <c r="J81" s="61">
        <f>SUMPRODUCT(N(Tabela1[Código]=Tabela2[[#This Row],[Ativo]]),Tabela1[Fechamento])</f>
        <v>3.6</v>
      </c>
      <c r="K81" s="61">
        <f>SUMPRODUCT(N(Tabela17[Código]=Tabela2[[#This Row],[Ativo]]),Tabela17[Fechamento])</f>
        <v>0</v>
      </c>
    </row>
    <row r="82" spans="1:11" x14ac:dyDescent="0.2">
      <c r="A82" s="15" t="s">
        <v>284</v>
      </c>
      <c r="B82" s="3">
        <v>2011</v>
      </c>
      <c r="C82" s="5">
        <v>56638000</v>
      </c>
      <c r="D82" s="63">
        <f>SUMPRODUCT(N(Tabela3[PAPEL]=Tabela2[[#This Row],[Ativo]]),Tabela3[Total Ações])</f>
        <v>73646388</v>
      </c>
      <c r="E82" s="66">
        <f>(Tabela2[[#This Row],[Lucro Líquido]])/Tabela2[[#This Row],[Total Ações]]</f>
        <v>0.76905333089791184</v>
      </c>
      <c r="F82" s="66">
        <v>0.26712000000000002</v>
      </c>
      <c r="G82" s="22">
        <f>IF(AND(Tabela2[[#This Row],[Dividendo / Ação]]&gt;0,Tabela2[[#This Row],[Lucro por ação]]&gt;0),Tabela2[[#This Row],[Dividendo / Ação]]/Tabela2[[#This Row],[Lucro por ação]],"")</f>
        <v>0.34733611996468805</v>
      </c>
      <c r="H82" s="5">
        <f>MAX(Tabela2[[#This Row],[Cotação 1]],Tabela2[[#This Row],[Cotação 2]])</f>
        <v>3.6</v>
      </c>
      <c r="I82" s="18">
        <f>IF(Tabela2[[#This Row],[Dividendo / Ação]]&gt;0,Tabela2[[#This Row],[Dividendo / Ação]]/Tabela2[[#This Row],[Cotação]],"")</f>
        <v>7.4200000000000002E-2</v>
      </c>
      <c r="J82" s="61">
        <f>SUMPRODUCT(N(Tabela1[Código]=Tabela2[[#This Row],[Ativo]]),Tabela1[Fechamento])</f>
        <v>3.6</v>
      </c>
      <c r="K82" s="61">
        <f>SUMPRODUCT(N(Tabela17[Código]=Tabela2[[#This Row],[Ativo]]),Tabela17[Fechamento])</f>
        <v>0</v>
      </c>
    </row>
    <row r="83" spans="1:11" x14ac:dyDescent="0.2">
      <c r="A83" s="15" t="s">
        <v>284</v>
      </c>
      <c r="B83" s="3">
        <v>2010</v>
      </c>
      <c r="C83" s="5">
        <v>50724000</v>
      </c>
      <c r="D83" s="63">
        <f>SUMPRODUCT(N(Tabela3[PAPEL]=Tabela2[[#This Row],[Ativo]]),Tabela3[Total Ações])</f>
        <v>73646388</v>
      </c>
      <c r="E83" s="66">
        <f>(Tabela2[[#This Row],[Lucro Líquido]])/Tabela2[[#This Row],[Total Ações]]</f>
        <v>0.6887506825181976</v>
      </c>
      <c r="F83" s="66">
        <v>0.26029999999999998</v>
      </c>
      <c r="G83" s="22">
        <f>IF(AND(Tabela2[[#This Row],[Dividendo / Ação]]&gt;0,Tabela2[[#This Row],[Lucro por ação]]&gt;0),Tabela2[[#This Row],[Dividendo / Ação]]/Tabela2[[#This Row],[Lucro por ação]],"")</f>
        <v>0.37793065997161107</v>
      </c>
      <c r="H83" s="5">
        <f>MAX(Tabela2[[#This Row],[Cotação 1]],Tabela2[[#This Row],[Cotação 2]])</f>
        <v>3.6</v>
      </c>
      <c r="I83" s="18">
        <f>IF(Tabela2[[#This Row],[Dividendo / Ação]]&gt;0,Tabela2[[#This Row],[Dividendo / Ação]]/Tabela2[[#This Row],[Cotação]],"")</f>
        <v>7.2305555555555553E-2</v>
      </c>
      <c r="J83" s="61">
        <f>SUMPRODUCT(N(Tabela1[Código]=Tabela2[[#This Row],[Ativo]]),Tabela1[Fechamento])</f>
        <v>3.6</v>
      </c>
      <c r="K83" s="61">
        <f>SUMPRODUCT(N(Tabela17[Código]=Tabela2[[#This Row],[Ativo]]),Tabela17[Fechamento])</f>
        <v>0</v>
      </c>
    </row>
    <row r="84" spans="1:11" x14ac:dyDescent="0.2">
      <c r="A84" s="15" t="s">
        <v>284</v>
      </c>
      <c r="B84" s="3">
        <v>2009</v>
      </c>
      <c r="C84" s="5">
        <v>46296000</v>
      </c>
      <c r="D84" s="63">
        <f>SUMPRODUCT(N(Tabela3[PAPEL]=Tabela2[[#This Row],[Ativo]]),Tabela3[Total Ações])</f>
        <v>73646388</v>
      </c>
      <c r="E84" s="66">
        <f>(Tabela2[[#This Row],[Lucro Líquido]])/Tabela2[[#This Row],[Total Ações]]</f>
        <v>0.62862553422171907</v>
      </c>
      <c r="F84" s="66">
        <v>0.22452</v>
      </c>
      <c r="G84" s="22">
        <f>IF(AND(Tabela2[[#This Row],[Dividendo / Ação]]&gt;0,Tabela2[[#This Row],[Lucro por ação]]&gt;0),Tabela2[[#This Row],[Dividendo / Ação]]/Tabela2[[#This Row],[Lucro por ação]],"")</f>
        <v>0.35716016575427684</v>
      </c>
      <c r="H84" s="5">
        <f>MAX(Tabela2[[#This Row],[Cotação 1]],Tabela2[[#This Row],[Cotação 2]])</f>
        <v>3.6</v>
      </c>
      <c r="I84" s="18">
        <f>IF(Tabela2[[#This Row],[Dividendo / Ação]]&gt;0,Tabela2[[#This Row],[Dividendo / Ação]]/Tabela2[[#This Row],[Cotação]],"")</f>
        <v>6.2366666666666667E-2</v>
      </c>
      <c r="J84" s="61">
        <f>SUMPRODUCT(N(Tabela1[Código]=Tabela2[[#This Row],[Ativo]]),Tabela1[Fechamento])</f>
        <v>3.6</v>
      </c>
      <c r="K84" s="61">
        <f>SUMPRODUCT(N(Tabela17[Código]=Tabela2[[#This Row],[Ativo]]),Tabela17[Fechamento])</f>
        <v>0</v>
      </c>
    </row>
    <row r="85" spans="1:11" x14ac:dyDescent="0.2">
      <c r="A85" s="15" t="s">
        <v>285</v>
      </c>
      <c r="B85" s="3">
        <v>2012</v>
      </c>
      <c r="C85" s="5">
        <v>63154000</v>
      </c>
      <c r="D85" s="63">
        <f>SUMPRODUCT(N(Tabela3[PAPEL]=Tabela2[[#This Row],[Ativo]]),Tabela3[Total Ações])</f>
        <v>73646388</v>
      </c>
      <c r="E85" s="66">
        <f>(Tabela2[[#This Row],[Lucro Líquido]])/Tabela2[[#This Row],[Total Ações]]</f>
        <v>0.85753017513907126</v>
      </c>
      <c r="F85" s="66">
        <v>0.20652000000000001</v>
      </c>
      <c r="G85" s="22">
        <f>IF(AND(Tabela2[[#This Row],[Dividendo / Ação]]&gt;0,Tabela2[[#This Row],[Lucro por ação]]&gt;0),Tabela2[[#This Row],[Dividendo / Ação]]/Tabela2[[#This Row],[Lucro por ação]],"")</f>
        <v>0.24083117537701496</v>
      </c>
      <c r="H85" s="5">
        <f>MAX(Tabela2[[#This Row],[Cotação 1]],Tabela2[[#This Row],[Cotação 2]])</f>
        <v>3.71</v>
      </c>
      <c r="I85" s="18">
        <f>IF(Tabela2[[#This Row],[Dividendo / Ação]]&gt;0,Tabela2[[#This Row],[Dividendo / Ação]]/Tabela2[[#This Row],[Cotação]],"")</f>
        <v>5.5665768194070084E-2</v>
      </c>
      <c r="J85" s="61">
        <f>SUMPRODUCT(N(Tabela1[Código]=Tabela2[[#This Row],[Ativo]]),Tabela1[Fechamento])</f>
        <v>3.71</v>
      </c>
      <c r="K85" s="61">
        <f>SUMPRODUCT(N(Tabela17[Código]=Tabela2[[#This Row],[Ativo]]),Tabela17[Fechamento])</f>
        <v>0</v>
      </c>
    </row>
    <row r="86" spans="1:11" x14ac:dyDescent="0.2">
      <c r="A86" s="15" t="s">
        <v>285</v>
      </c>
      <c r="B86" s="3">
        <v>2011</v>
      </c>
      <c r="C86" s="5">
        <v>56638000</v>
      </c>
      <c r="D86" s="63">
        <f>SUMPRODUCT(N(Tabela3[PAPEL]=Tabela2[[#This Row],[Ativo]]),Tabela3[Total Ações])</f>
        <v>73646388</v>
      </c>
      <c r="E86" s="66">
        <f>(Tabela2[[#This Row],[Lucro Líquido]])/Tabela2[[#This Row],[Total Ações]]</f>
        <v>0.76905333089791184</v>
      </c>
      <c r="F86" s="66">
        <v>0.19086</v>
      </c>
      <c r="G86" s="22">
        <f>IF(AND(Tabela2[[#This Row],[Dividendo / Ação]]&gt;0,Tabela2[[#This Row],[Lucro por ação]]&gt;0),Tabela2[[#This Row],[Dividendo / Ação]]/Tabela2[[#This Row],[Lucro por ação]],"")</f>
        <v>0.24817524654260389</v>
      </c>
      <c r="H86" s="5">
        <f>MAX(Tabela2[[#This Row],[Cotação 1]],Tabela2[[#This Row],[Cotação 2]])</f>
        <v>3.71</v>
      </c>
      <c r="I86" s="18">
        <f>IF(Tabela2[[#This Row],[Dividendo / Ação]]&gt;0,Tabela2[[#This Row],[Dividendo / Ação]]/Tabela2[[#This Row],[Cotação]],"")</f>
        <v>5.1444743935309976E-2</v>
      </c>
      <c r="J86" s="61">
        <f>SUMPRODUCT(N(Tabela1[Código]=Tabela2[[#This Row],[Ativo]]),Tabela1[Fechamento])</f>
        <v>3.71</v>
      </c>
      <c r="K86" s="61">
        <f>SUMPRODUCT(N(Tabela17[Código]=Tabela2[[#This Row],[Ativo]]),Tabela17[Fechamento])</f>
        <v>0</v>
      </c>
    </row>
    <row r="87" spans="1:11" x14ac:dyDescent="0.2">
      <c r="A87" s="15" t="s">
        <v>285</v>
      </c>
      <c r="B87" s="3">
        <v>2010</v>
      </c>
      <c r="C87" s="5">
        <v>50724000</v>
      </c>
      <c r="D87" s="63">
        <f>SUMPRODUCT(N(Tabela3[PAPEL]=Tabela2[[#This Row],[Ativo]]),Tabela3[Total Ações])</f>
        <v>73646388</v>
      </c>
      <c r="E87" s="66">
        <f>(Tabela2[[#This Row],[Lucro Líquido]])/Tabela2[[#This Row],[Total Ações]]</f>
        <v>0.6887506825181976</v>
      </c>
      <c r="F87" s="66">
        <v>0.18592</v>
      </c>
      <c r="G87" s="22">
        <f>IF(AND(Tabela2[[#This Row],[Dividendo / Ação]]&gt;0,Tabela2[[#This Row],[Lucro por ação]]&gt;0),Tabela2[[#This Row],[Dividendo / Ação]]/Tabela2[[#This Row],[Lucro por ação]],"")</f>
        <v>0.26993802651525906</v>
      </c>
      <c r="H87" s="5">
        <f>MAX(Tabela2[[#This Row],[Cotação 1]],Tabela2[[#This Row],[Cotação 2]])</f>
        <v>3.71</v>
      </c>
      <c r="I87" s="18">
        <f>IF(Tabela2[[#This Row],[Dividendo / Ação]]&gt;0,Tabela2[[#This Row],[Dividendo / Ação]]/Tabela2[[#This Row],[Cotação]],"")</f>
        <v>5.0113207547169809E-2</v>
      </c>
      <c r="J87" s="61">
        <f>SUMPRODUCT(N(Tabela1[Código]=Tabela2[[#This Row],[Ativo]]),Tabela1[Fechamento])</f>
        <v>3.71</v>
      </c>
      <c r="K87" s="61">
        <f>SUMPRODUCT(N(Tabela17[Código]=Tabela2[[#This Row],[Ativo]]),Tabela17[Fechamento])</f>
        <v>0</v>
      </c>
    </row>
    <row r="88" spans="1:11" x14ac:dyDescent="0.2">
      <c r="A88" s="15" t="s">
        <v>285</v>
      </c>
      <c r="B88" s="3">
        <v>2009</v>
      </c>
      <c r="C88" s="5">
        <v>46296000</v>
      </c>
      <c r="D88" s="63">
        <f>SUMPRODUCT(N(Tabela3[PAPEL]=Tabela2[[#This Row],[Ativo]]),Tabela3[Total Ações])</f>
        <v>73646388</v>
      </c>
      <c r="E88" s="66">
        <f>(Tabela2[[#This Row],[Lucro Líquido]])/Tabela2[[#This Row],[Total Ações]]</f>
        <v>0.62862553422171907</v>
      </c>
      <c r="F88" s="66">
        <v>0.16084999999999999</v>
      </c>
      <c r="G88" s="22">
        <f>IF(AND(Tabela2[[#This Row],[Dividendo / Ação]]&gt;0,Tabela2[[#This Row],[Lucro por ação]]&gt;0),Tabela2[[#This Row],[Dividendo / Ação]]/Tabela2[[#This Row],[Lucro por ação]],"")</f>
        <v>0.25587570221617417</v>
      </c>
      <c r="H88" s="5">
        <f>MAX(Tabela2[[#This Row],[Cotação 1]],Tabela2[[#This Row],[Cotação 2]])</f>
        <v>3.71</v>
      </c>
      <c r="I88" s="18">
        <f>IF(Tabela2[[#This Row],[Dividendo / Ação]]&gt;0,Tabela2[[#This Row],[Dividendo / Ação]]/Tabela2[[#This Row],[Cotação]],"")</f>
        <v>4.3355795148247979E-2</v>
      </c>
      <c r="J88" s="61">
        <f>SUMPRODUCT(N(Tabela1[Código]=Tabela2[[#This Row],[Ativo]]),Tabela1[Fechamento])</f>
        <v>3.71</v>
      </c>
      <c r="K88" s="61">
        <f>SUMPRODUCT(N(Tabela17[Código]=Tabela2[[#This Row],[Ativo]]),Tabela17[Fechamento])</f>
        <v>0</v>
      </c>
    </row>
    <row r="89" spans="1:11" x14ac:dyDescent="0.2">
      <c r="A89" s="4" t="s">
        <v>245</v>
      </c>
      <c r="B89" s="4">
        <v>2012</v>
      </c>
      <c r="C89" s="6">
        <v>66187000</v>
      </c>
      <c r="D89" s="8">
        <f>SUMPRODUCT(N(Tabela3[PAPEL]=Tabela2[[#This Row],[Ativo]]),Tabela3[Total Ações])</f>
        <v>90224492</v>
      </c>
      <c r="E89" s="67">
        <f>(Tabela2[[#This Row],[Lucro Líquido]])/Tabela2[[#This Row],[Total Ações]]</f>
        <v>0.73358129852368692</v>
      </c>
      <c r="F89" s="67">
        <v>7.9699999999999993E-2</v>
      </c>
      <c r="G89" s="46">
        <f>IF(AND(Tabela2[[#This Row],[Dividendo / Ação]]&gt;0,Tabela2[[#This Row],[Lucro por ação]]&gt;0),Tabela2[[#This Row],[Dividendo / Ação]]/Tabela2[[#This Row],[Lucro por ação]],"")</f>
        <v>0.10864508154773594</v>
      </c>
      <c r="H89" s="6">
        <f>MAX(Tabela2[[#This Row],[Cotação 1]],Tabela2[[#This Row],[Cotação 2]])</f>
        <v>6.8</v>
      </c>
      <c r="I89" s="19">
        <f>IF(Tabela2[[#This Row],[Dividendo / Ação]]&gt;0,Tabela2[[#This Row],[Dividendo / Ação]]/Tabela2[[#This Row],[Cotação]],"")</f>
        <v>1.1720588235294116E-2</v>
      </c>
      <c r="J89" s="62">
        <f>SUMPRODUCT(N(Tabela1[Código]=Tabela2[[#This Row],[Ativo]]),Tabela1[Fechamento])</f>
        <v>6.8</v>
      </c>
      <c r="K89" s="62">
        <f>SUMPRODUCT(N(Tabela17[Código]=Tabela2[[#This Row],[Ativo]]),Tabela17[Fechamento])</f>
        <v>0</v>
      </c>
    </row>
    <row r="90" spans="1:11" x14ac:dyDescent="0.2">
      <c r="A90" s="4" t="s">
        <v>245</v>
      </c>
      <c r="B90" s="3">
        <v>2011</v>
      </c>
      <c r="C90" s="5">
        <v>67513447</v>
      </c>
      <c r="D90" s="63">
        <f>SUMPRODUCT(N(Tabela3[PAPEL]=Tabela2[[#This Row],[Ativo]]),Tabela3[Total Ações])</f>
        <v>90224492</v>
      </c>
      <c r="E90" s="66">
        <f>(Tabela2[[#This Row],[Lucro Líquido]])/Tabela2[[#This Row],[Total Ações]]</f>
        <v>0.74828292743393887</v>
      </c>
      <c r="F90" s="66">
        <v>9.9199999999999997E-2</v>
      </c>
      <c r="G90" s="22">
        <f>IF(AND(Tabela2[[#This Row],[Dividendo / Ação]]&gt;0,Tabela2[[#This Row],[Lucro por ação]]&gt;0),Tabela2[[#This Row],[Dividendo / Ação]]/Tabela2[[#This Row],[Lucro por ação]],"")</f>
        <v>0.13257017681825667</v>
      </c>
      <c r="H90" s="5">
        <f>MAX(Tabela2[[#This Row],[Cotação 1]],Tabela2[[#This Row],[Cotação 2]])</f>
        <v>6.8</v>
      </c>
      <c r="I90" s="18">
        <f>IF(Tabela2[[#This Row],[Dividendo / Ação]]&gt;0,Tabela2[[#This Row],[Dividendo / Ação]]/Tabela2[[#This Row],[Cotação]],"")</f>
        <v>1.4588235294117647E-2</v>
      </c>
      <c r="J90" s="61">
        <f>SUMPRODUCT(N(Tabela1[Código]=Tabela2[[#This Row],[Ativo]]),Tabela1[Fechamento])</f>
        <v>6.8</v>
      </c>
      <c r="K90" s="61">
        <f>SUMPRODUCT(N(Tabela17[Código]=Tabela2[[#This Row],[Ativo]]),Tabela17[Fechamento])</f>
        <v>0</v>
      </c>
    </row>
    <row r="91" spans="1:11" x14ac:dyDescent="0.2">
      <c r="A91" s="4" t="s">
        <v>245</v>
      </c>
      <c r="B91" s="3">
        <v>2010</v>
      </c>
      <c r="C91" s="5">
        <v>82086317</v>
      </c>
      <c r="D91" s="63">
        <f>SUMPRODUCT(N(Tabela3[PAPEL]=Tabela2[[#This Row],[Ativo]]),Tabela3[Total Ações])</f>
        <v>90224492</v>
      </c>
      <c r="E91" s="66">
        <f>(Tabela2[[#This Row],[Lucro Líquido]])/Tabela2[[#This Row],[Total Ações]]</f>
        <v>0.90980082215370084</v>
      </c>
      <c r="F91" s="66">
        <v>0.1905</v>
      </c>
      <c r="G91" s="22">
        <f>IF(AND(Tabela2[[#This Row],[Dividendo / Ação]]&gt;0,Tabela2[[#This Row],[Lucro por ação]]&gt;0),Tabela2[[#This Row],[Dividendo / Ação]]/Tabela2[[#This Row],[Lucro por ação]],"")</f>
        <v>0.20938648917577821</v>
      </c>
      <c r="H91" s="5">
        <f>MAX(Tabela2[[#This Row],[Cotação 1]],Tabela2[[#This Row],[Cotação 2]])</f>
        <v>6.8</v>
      </c>
      <c r="I91" s="18">
        <f>IF(Tabela2[[#This Row],[Dividendo / Ação]]&gt;0,Tabela2[[#This Row],[Dividendo / Ação]]/Tabela2[[#This Row],[Cotação]],"")</f>
        <v>2.8014705882352942E-2</v>
      </c>
      <c r="J91" s="61">
        <f>SUMPRODUCT(N(Tabela1[Código]=Tabela2[[#This Row],[Ativo]]),Tabela1[Fechamento])</f>
        <v>6.8</v>
      </c>
      <c r="K91" s="61">
        <f>SUMPRODUCT(N(Tabela17[Código]=Tabela2[[#This Row],[Ativo]]),Tabela17[Fechamento])</f>
        <v>0</v>
      </c>
    </row>
    <row r="92" spans="1:11" x14ac:dyDescent="0.2">
      <c r="A92" s="4" t="s">
        <v>245</v>
      </c>
      <c r="B92" s="3">
        <v>2009</v>
      </c>
      <c r="C92" s="5">
        <v>76789552</v>
      </c>
      <c r="D92" s="63">
        <f>SUMPRODUCT(N(Tabela3[PAPEL]=Tabela2[[#This Row],[Ativo]]),Tabela3[Total Ações])</f>
        <v>90224492</v>
      </c>
      <c r="E92" s="66">
        <f>(Tabela2[[#This Row],[Lucro Líquido]])/Tabela2[[#This Row],[Total Ações]]</f>
        <v>0.85109431261746538</v>
      </c>
      <c r="F92" s="66">
        <v>0.1767</v>
      </c>
      <c r="G92" s="22">
        <f>IF(AND(Tabela2[[#This Row],[Dividendo / Ação]]&gt;0,Tabela2[[#This Row],[Lucro por ação]]&gt;0),Tabela2[[#This Row],[Dividendo / Ação]]/Tabela2[[#This Row],[Lucro por ação]],"")</f>
        <v>0.20761506378367722</v>
      </c>
      <c r="H92" s="5">
        <f>MAX(Tabela2[[#This Row],[Cotação 1]],Tabela2[[#This Row],[Cotação 2]])</f>
        <v>6.8</v>
      </c>
      <c r="I92" s="18">
        <f>IF(Tabela2[[#This Row],[Dividendo / Ação]]&gt;0,Tabela2[[#This Row],[Dividendo / Ação]]/Tabela2[[#This Row],[Cotação]],"")</f>
        <v>2.5985294117647058E-2</v>
      </c>
      <c r="J92" s="61">
        <f>SUMPRODUCT(N(Tabela1[Código]=Tabela2[[#This Row],[Ativo]]),Tabela1[Fechamento])</f>
        <v>6.8</v>
      </c>
      <c r="K92" s="61">
        <f>SUMPRODUCT(N(Tabela17[Código]=Tabela2[[#This Row],[Ativo]]),Tabela17[Fechamento])</f>
        <v>0</v>
      </c>
    </row>
    <row r="93" spans="1:11" x14ac:dyDescent="0.2">
      <c r="A93" s="4" t="s">
        <v>246</v>
      </c>
      <c r="B93" s="4">
        <v>2012</v>
      </c>
      <c r="C93" s="6">
        <v>66187000</v>
      </c>
      <c r="D93" s="8">
        <f>SUMPRODUCT(N(Tabela3[PAPEL]=Tabela2[[#This Row],[Ativo]]),Tabela3[Total Ações])</f>
        <v>90224492</v>
      </c>
      <c r="E93" s="67">
        <f>(Tabela2[[#This Row],[Lucro Líquido]])/Tabela2[[#This Row],[Total Ações]]</f>
        <v>0.73358129852368692</v>
      </c>
      <c r="F93" s="67">
        <v>0.39119999999999999</v>
      </c>
      <c r="G93" s="46">
        <f>IF(AND(Tabela2[[#This Row],[Dividendo / Ação]]&gt;0,Tabela2[[#This Row],[Lucro por ação]]&gt;0),Tabela2[[#This Row],[Dividendo / Ação]]/Tabela2[[#This Row],[Lucro por ação]],"")</f>
        <v>0.53327422712012928</v>
      </c>
      <c r="H93" s="6">
        <f>MAX(Tabela2[[#This Row],[Cotação 1]],Tabela2[[#This Row],[Cotação 2]])</f>
        <v>5.69</v>
      </c>
      <c r="I93" s="19">
        <f>IF(Tabela2[[#This Row],[Dividendo / Ação]]&gt;0,Tabela2[[#This Row],[Dividendo / Ação]]/Tabela2[[#This Row],[Cotação]],"")</f>
        <v>6.8752196836555354E-2</v>
      </c>
      <c r="J93" s="62">
        <f>SUMPRODUCT(N(Tabela1[Código]=Tabela2[[#This Row],[Ativo]]),Tabela1[Fechamento])</f>
        <v>5.69</v>
      </c>
      <c r="K93" s="62">
        <f>SUMPRODUCT(N(Tabela17[Código]=Tabela2[[#This Row],[Ativo]]),Tabela17[Fechamento])</f>
        <v>0</v>
      </c>
    </row>
    <row r="94" spans="1:11" x14ac:dyDescent="0.2">
      <c r="A94" s="4" t="s">
        <v>246</v>
      </c>
      <c r="B94" s="4">
        <v>2011</v>
      </c>
      <c r="C94" s="5">
        <v>67513447</v>
      </c>
      <c r="D94" s="8">
        <f>SUMPRODUCT(N(Tabela3[PAPEL]=Tabela2[[#This Row],[Ativo]]),Tabela3[Total Ações])</f>
        <v>90224492</v>
      </c>
      <c r="E94" s="67">
        <f>(Tabela2[[#This Row],[Lucro Líquido]])/Tabela2[[#This Row],[Total Ações]]</f>
        <v>0.74828292743393887</v>
      </c>
      <c r="F94" s="67">
        <v>0.37240000000000001</v>
      </c>
      <c r="G94" s="46">
        <f>IF(AND(Tabela2[[#This Row],[Dividendo / Ação]]&gt;0,Tabela2[[#This Row],[Lucro por ação]]&gt;0),Tabela2[[#This Row],[Dividendo / Ação]]/Tabela2[[#This Row],[Lucro por ação]],"")</f>
        <v>0.49767272023305226</v>
      </c>
      <c r="H94" s="6">
        <f>MAX(Tabela2[[#This Row],[Cotação 1]],Tabela2[[#This Row],[Cotação 2]])</f>
        <v>5.69</v>
      </c>
      <c r="I94" s="19">
        <f>IF(Tabela2[[#This Row],[Dividendo / Ação]]&gt;0,Tabela2[[#This Row],[Dividendo / Ação]]/Tabela2[[#This Row],[Cotação]],"")</f>
        <v>6.5448154657293492E-2</v>
      </c>
      <c r="J94" s="62">
        <f>SUMPRODUCT(N(Tabela1[Código]=Tabela2[[#This Row],[Ativo]]),Tabela1[Fechamento])</f>
        <v>5.69</v>
      </c>
      <c r="K94" s="62">
        <f>SUMPRODUCT(N(Tabela17[Código]=Tabela2[[#This Row],[Ativo]]),Tabela17[Fechamento])</f>
        <v>0</v>
      </c>
    </row>
    <row r="95" spans="1:11" x14ac:dyDescent="0.2">
      <c r="A95" s="4" t="s">
        <v>246</v>
      </c>
      <c r="B95" s="4">
        <v>2010</v>
      </c>
      <c r="C95" s="5">
        <v>82086317</v>
      </c>
      <c r="D95" s="8">
        <f>SUMPRODUCT(N(Tabela3[PAPEL]=Tabela2[[#This Row],[Ativo]]),Tabela3[Total Ações])</f>
        <v>90224492</v>
      </c>
      <c r="E95" s="67">
        <f>(Tabela2[[#This Row],[Lucro Líquido]])/Tabela2[[#This Row],[Total Ações]]</f>
        <v>0.90980082215370084</v>
      </c>
      <c r="F95" s="67">
        <v>0.34889999999999999</v>
      </c>
      <c r="G95" s="46">
        <f>IF(AND(Tabela2[[#This Row],[Dividendo / Ação]]&gt;0,Tabela2[[#This Row],[Lucro por ação]]&gt;0),Tabela2[[#This Row],[Dividendo / Ação]]/Tabela2[[#This Row],[Lucro por ação]],"")</f>
        <v>0.3834905305691812</v>
      </c>
      <c r="H95" s="6">
        <f>MAX(Tabela2[[#This Row],[Cotação 1]],Tabela2[[#This Row],[Cotação 2]])</f>
        <v>5.69</v>
      </c>
      <c r="I95" s="19">
        <f>IF(Tabela2[[#This Row],[Dividendo / Ação]]&gt;0,Tabela2[[#This Row],[Dividendo / Ação]]/Tabela2[[#This Row],[Cotação]],"")</f>
        <v>6.1318101933216164E-2</v>
      </c>
      <c r="J95" s="62">
        <f>SUMPRODUCT(N(Tabela1[Código]=Tabela2[[#This Row],[Ativo]]),Tabela1[Fechamento])</f>
        <v>5.69</v>
      </c>
      <c r="K95" s="62">
        <f>SUMPRODUCT(N(Tabela17[Código]=Tabela2[[#This Row],[Ativo]]),Tabela17[Fechamento])</f>
        <v>0</v>
      </c>
    </row>
    <row r="96" spans="1:11" x14ac:dyDescent="0.2">
      <c r="A96" s="4" t="s">
        <v>246</v>
      </c>
      <c r="B96" s="4">
        <v>2009</v>
      </c>
      <c r="C96" s="5">
        <v>76789552</v>
      </c>
      <c r="D96" s="8">
        <f>SUMPRODUCT(N(Tabela3[PAPEL]=Tabela2[[#This Row],[Ativo]]),Tabela3[Total Ações])</f>
        <v>90224492</v>
      </c>
      <c r="E96" s="67">
        <f>(Tabela2[[#This Row],[Lucro Líquido]])/Tabela2[[#This Row],[Total Ações]]</f>
        <v>0.85109431261746538</v>
      </c>
      <c r="F96" s="67">
        <v>0.3286</v>
      </c>
      <c r="G96" s="46">
        <f>IF(AND(Tabela2[[#This Row],[Dividendo / Ação]]&gt;0,Tabela2[[#This Row],[Lucro por ação]]&gt;0),Tabela2[[#This Row],[Dividendo / Ação]]/Tabela2[[#This Row],[Lucro por ação]],"")</f>
        <v>0.38609117124683834</v>
      </c>
      <c r="H96" s="6">
        <f>MAX(Tabela2[[#This Row],[Cotação 1]],Tabela2[[#This Row],[Cotação 2]])</f>
        <v>5.69</v>
      </c>
      <c r="I96" s="19">
        <f>IF(Tabela2[[#This Row],[Dividendo / Ação]]&gt;0,Tabela2[[#This Row],[Dividendo / Ação]]/Tabela2[[#This Row],[Cotação]],"")</f>
        <v>5.7750439367311071E-2</v>
      </c>
      <c r="J96" s="62">
        <f>SUMPRODUCT(N(Tabela1[Código]=Tabela2[[#This Row],[Ativo]]),Tabela1[Fechamento])</f>
        <v>5.69</v>
      </c>
      <c r="K96" s="62">
        <f>SUMPRODUCT(N(Tabela17[Código]=Tabela2[[#This Row],[Ativo]]),Tabela17[Fechamento])</f>
        <v>0</v>
      </c>
    </row>
    <row r="97" spans="1:11" x14ac:dyDescent="0.2">
      <c r="A97" s="14" t="s">
        <v>260</v>
      </c>
      <c r="B97" s="3">
        <v>2012</v>
      </c>
      <c r="C97" s="5">
        <v>818590368.54999995</v>
      </c>
      <c r="D97" s="63">
        <f>SUMPRODUCT(N(Tabela3[PAPEL]=Tabela2[[#This Row],[Ativo]]),Tabela3[Total Ações])</f>
        <v>408974477</v>
      </c>
      <c r="E97" s="66">
        <f>(Tabela2[[#This Row],[Lucro Líquido]])/Tabela2[[#This Row],[Total Ações]]</f>
        <v>2.0015683486038176</v>
      </c>
      <c r="F97" s="66">
        <v>0.79800700000000002</v>
      </c>
      <c r="G97" s="22">
        <f>IF(AND(Tabela2[[#This Row],[Dividendo / Ação]]&gt;0,Tabela2[[#This Row],[Lucro por ação]]&gt;0),Tabela2[[#This Row],[Dividendo / Ação]]/Tabela2[[#This Row],[Lucro por ação]],"")</f>
        <v>0.39869085687563216</v>
      </c>
      <c r="H97" s="5">
        <f>MAX(Tabela2[[#This Row],[Cotação 1]],Tabela2[[#This Row],[Cotação 2]])</f>
        <v>13</v>
      </c>
      <c r="I97" s="18">
        <f>IF(Tabela2[[#This Row],[Dividendo / Ação]]&gt;0,Tabela2[[#This Row],[Dividendo / Ação]]/Tabela2[[#This Row],[Cotação]],"")</f>
        <v>6.1385153846153846E-2</v>
      </c>
      <c r="J97" s="61">
        <f>SUMPRODUCT(N(Tabela1[Código]=Tabela2[[#This Row],[Ativo]]),Tabela1[Fechamento])</f>
        <v>13</v>
      </c>
      <c r="K97" s="61">
        <f>SUMPRODUCT(N(Tabela17[Código]=Tabela2[[#This Row],[Ativo]]),Tabela17[Fechamento])</f>
        <v>0</v>
      </c>
    </row>
    <row r="98" spans="1:11" x14ac:dyDescent="0.2">
      <c r="A98" s="14" t="s">
        <v>260</v>
      </c>
      <c r="B98" s="3">
        <v>2011</v>
      </c>
      <c r="C98" s="5">
        <v>904348943.24000001</v>
      </c>
      <c r="D98" s="63">
        <f>SUMPRODUCT(N(Tabela3[PAPEL]=Tabela2[[#This Row],[Ativo]]),Tabela3[Total Ações])</f>
        <v>408974477</v>
      </c>
      <c r="E98" s="66">
        <f>(Tabela2[[#This Row],[Lucro Líquido]])/Tabela2[[#This Row],[Total Ações]]</f>
        <v>2.2112601008106432</v>
      </c>
      <c r="F98" s="66">
        <v>0.840279</v>
      </c>
      <c r="G98" s="22">
        <f>IF(AND(Tabela2[[#This Row],[Dividendo / Ação]]&gt;0,Tabela2[[#This Row],[Lucro por ação]]&gt;0),Tabela2[[#This Row],[Dividendo / Ação]]/Tabela2[[#This Row],[Lucro por ação]],"")</f>
        <v>0.38000007312208794</v>
      </c>
      <c r="H98" s="5">
        <f>MAX(Tabela2[[#This Row],[Cotação 1]],Tabela2[[#This Row],[Cotação 2]])</f>
        <v>13</v>
      </c>
      <c r="I98" s="18">
        <f>IF(Tabela2[[#This Row],[Dividendo / Ação]]&gt;0,Tabela2[[#This Row],[Dividendo / Ação]]/Tabela2[[#This Row],[Cotação]],"")</f>
        <v>6.4636846153846156E-2</v>
      </c>
      <c r="J98" s="61">
        <f>SUMPRODUCT(N(Tabela1[Código]=Tabela2[[#This Row],[Ativo]]),Tabela1[Fechamento])</f>
        <v>13</v>
      </c>
      <c r="K98" s="61">
        <f>SUMPRODUCT(N(Tabela17[Código]=Tabela2[[#This Row],[Ativo]]),Tabela17[Fechamento])</f>
        <v>0</v>
      </c>
    </row>
    <row r="99" spans="1:11" x14ac:dyDescent="0.2">
      <c r="A99" s="14" t="s">
        <v>261</v>
      </c>
      <c r="B99" s="3">
        <v>2012</v>
      </c>
      <c r="C99" s="5">
        <v>818590368.54999995</v>
      </c>
      <c r="D99" s="63">
        <f>SUMPRODUCT(N(Tabela3[PAPEL]=Tabela2[[#This Row],[Ativo]]),Tabela3[Total Ações])</f>
        <v>408974477</v>
      </c>
      <c r="E99" s="66">
        <f>(Tabela2[[#This Row],[Lucro Líquido]])/Tabela2[[#This Row],[Total Ações]]</f>
        <v>2.0015683486038176</v>
      </c>
      <c r="F99" s="66">
        <v>0.82645999999999997</v>
      </c>
      <c r="G99" s="22">
        <f>IF(AND(Tabela2[[#This Row],[Dividendo / Ação]]&gt;0,Tabela2[[#This Row],[Lucro por ação]]&gt;0),Tabela2[[#This Row],[Dividendo / Ação]]/Tabela2[[#This Row],[Lucro por ação]],"")</f>
        <v>0.41290620956136337</v>
      </c>
      <c r="H99" s="5">
        <f>MAX(Tabela2[[#This Row],[Cotação 1]],Tabela2[[#This Row],[Cotação 2]])</f>
        <v>15.72</v>
      </c>
      <c r="I99" s="18">
        <f>IF(Tabela2[[#This Row],[Dividendo / Ação]]&gt;0,Tabela2[[#This Row],[Dividendo / Ação]]/Tabela2[[#This Row],[Cotação]],"")</f>
        <v>5.2573791348600504E-2</v>
      </c>
      <c r="J99" s="61">
        <f>SUMPRODUCT(N(Tabela1[Código]=Tabela2[[#This Row],[Ativo]]),Tabela1[Fechamento])</f>
        <v>15.72</v>
      </c>
      <c r="K99" s="61">
        <f>SUMPRODUCT(N(Tabela17[Código]=Tabela2[[#This Row],[Ativo]]),Tabela17[Fechamento])</f>
        <v>0</v>
      </c>
    </row>
    <row r="100" spans="1:11" x14ac:dyDescent="0.2">
      <c r="A100" s="14" t="s">
        <v>261</v>
      </c>
      <c r="B100" s="3">
        <v>2011</v>
      </c>
      <c r="C100" s="5">
        <v>904348943.24000001</v>
      </c>
      <c r="D100" s="63">
        <f>SUMPRODUCT(N(Tabela3[PAPEL]=Tabela2[[#This Row],[Ativo]]),Tabela3[Total Ações])</f>
        <v>408974477</v>
      </c>
      <c r="E100" s="66">
        <f>(Tabela2[[#This Row],[Lucro Líquido]])/Tabela2[[#This Row],[Total Ações]]</f>
        <v>2.2112601008106432</v>
      </c>
      <c r="F100" s="66">
        <v>0.82327300000000003</v>
      </c>
      <c r="G100" s="22">
        <f>IF(AND(Tabela2[[#This Row],[Dividendo / Ação]]&gt;0,Tabela2[[#This Row],[Lucro por ação]]&gt;0),Tabela2[[#This Row],[Dividendo / Ação]]/Tabela2[[#This Row],[Lucro por ação]],"")</f>
        <v>0.37230943555585794</v>
      </c>
      <c r="H100" s="5">
        <f>MAX(Tabela2[[#This Row],[Cotação 1]],Tabela2[[#This Row],[Cotação 2]])</f>
        <v>15.72</v>
      </c>
      <c r="I100" s="18">
        <f>IF(Tabela2[[#This Row],[Dividendo / Ação]]&gt;0,Tabela2[[#This Row],[Dividendo / Ação]]/Tabela2[[#This Row],[Cotação]],"")</f>
        <v>5.2371055979643769E-2</v>
      </c>
      <c r="J100" s="61">
        <f>SUMPRODUCT(N(Tabela1[Código]=Tabela2[[#This Row],[Ativo]]),Tabela1[Fechamento])</f>
        <v>15.72</v>
      </c>
      <c r="K100" s="61">
        <f>SUMPRODUCT(N(Tabela17[Código]=Tabela2[[#This Row],[Ativo]]),Tabela17[Fechamento])</f>
        <v>0</v>
      </c>
    </row>
    <row r="101" spans="1:11" x14ac:dyDescent="0.2">
      <c r="A101" s="14" t="s">
        <v>23</v>
      </c>
      <c r="B101" s="4">
        <v>2012</v>
      </c>
      <c r="C101" s="5">
        <v>818590368.54999995</v>
      </c>
      <c r="D101" s="8">
        <f>SUMPRODUCT(N(Tabela3[PAPEL]=Tabela2[[#This Row],[Ativo]]),Tabela3[Total Ações])</f>
        <v>408974477</v>
      </c>
      <c r="E101" s="67">
        <f>(Tabela2[[#This Row],[Lucro Líquido]])/Tabela2[[#This Row],[Total Ações]]</f>
        <v>2.0015683486038176</v>
      </c>
      <c r="F101" s="67">
        <v>0.79800700000000002</v>
      </c>
      <c r="G101" s="46">
        <f>IF(AND(Tabela2[[#This Row],[Dividendo / Ação]]&gt;0,Tabela2[[#This Row],[Lucro por ação]]&gt;0),Tabela2[[#This Row],[Dividendo / Ação]]/Tabela2[[#This Row],[Lucro por ação]],"")</f>
        <v>0.39869085687563216</v>
      </c>
      <c r="H101" s="6">
        <f>MAX(Tabela2[[#This Row],[Cotação 1]],Tabela2[[#This Row],[Cotação 2]])</f>
        <v>12.6</v>
      </c>
      <c r="I101" s="19">
        <f>IF(Tabela2[[#This Row],[Dividendo / Ação]]&gt;0,Tabela2[[#This Row],[Dividendo / Ação]]/Tabela2[[#This Row],[Cotação]],"")</f>
        <v>6.3333888888888898E-2</v>
      </c>
      <c r="J101" s="62">
        <f>SUMPRODUCT(N(Tabela1[Código]=Tabela2[[#This Row],[Ativo]]),Tabela1[Fechamento])</f>
        <v>12.6</v>
      </c>
      <c r="K101" s="62">
        <f>SUMPRODUCT(N(Tabela17[Código]=Tabela2[[#This Row],[Ativo]]),Tabela17[Fechamento])</f>
        <v>0</v>
      </c>
    </row>
    <row r="102" spans="1:11" x14ac:dyDescent="0.2">
      <c r="A102" s="14" t="s">
        <v>23</v>
      </c>
      <c r="B102" s="4">
        <v>2011</v>
      </c>
      <c r="C102" s="5">
        <v>904348943.24000001</v>
      </c>
      <c r="D102" s="8">
        <f>SUMPRODUCT(N(Tabela3[PAPEL]=Tabela2[[#This Row],[Ativo]]),Tabela3[Total Ações])</f>
        <v>408974477</v>
      </c>
      <c r="E102" s="67">
        <f>(Tabela2[[#This Row],[Lucro Líquido]])/Tabela2[[#This Row],[Total Ações]]</f>
        <v>2.2112601008106432</v>
      </c>
      <c r="F102" s="67">
        <v>0.84058699999999997</v>
      </c>
      <c r="G102" s="46">
        <f>IF(AND(Tabela2[[#This Row],[Dividendo / Ação]]&gt;0,Tabela2[[#This Row],[Lucro por ação]]&gt;0),Tabela2[[#This Row],[Dividendo / Ação]]/Tabela2[[#This Row],[Lucro por ação]],"")</f>
        <v>0.3801393602190184</v>
      </c>
      <c r="H102" s="6">
        <f>MAX(Tabela2[[#This Row],[Cotação 1]],Tabela2[[#This Row],[Cotação 2]])</f>
        <v>12.6</v>
      </c>
      <c r="I102" s="19">
        <f>IF(Tabela2[[#This Row],[Dividendo / Ação]]&gt;0,Tabela2[[#This Row],[Dividendo / Ação]]/Tabela2[[#This Row],[Cotação]],"")</f>
        <v>6.6713253968253963E-2</v>
      </c>
      <c r="J102" s="62">
        <f>SUMPRODUCT(N(Tabela1[Código]=Tabela2[[#This Row],[Ativo]]),Tabela1[Fechamento])</f>
        <v>12.6</v>
      </c>
      <c r="K102" s="62">
        <f>SUMPRODUCT(N(Tabela17[Código]=Tabela2[[#This Row],[Ativo]]),Tabela17[Fechamento])</f>
        <v>0</v>
      </c>
    </row>
    <row r="103" spans="1:11" x14ac:dyDescent="0.2">
      <c r="A103" s="15" t="s">
        <v>276</v>
      </c>
      <c r="B103" s="3">
        <v>2012</v>
      </c>
      <c r="C103" s="5">
        <v>215388793.88999999</v>
      </c>
      <c r="D103" s="63">
        <f>SUMPRODUCT(N(Tabela3[PAPEL]=Tabela2[[#This Row],[Ativo]]),Tabela3[Total Ações])</f>
        <v>36304650</v>
      </c>
      <c r="E103" s="66">
        <f>(Tabela2[[#This Row],[Lucro Líquido]])/Tabela2[[#This Row],[Total Ações]]</f>
        <v>5.9328156004809296</v>
      </c>
      <c r="F103" s="66">
        <v>1.375</v>
      </c>
      <c r="G103" s="22">
        <f>IF(AND(Tabela2[[#This Row],[Dividendo / Ação]]&gt;0,Tabela2[[#This Row],[Lucro por ação]]&gt;0),Tabela2[[#This Row],[Dividendo / Ação]]/Tabela2[[#This Row],[Lucro por ação]],"")</f>
        <v>0.23176179618468826</v>
      </c>
      <c r="H103" s="5">
        <f>MAX(Tabela2[[#This Row],[Cotação 1]],Tabela2[[#This Row],[Cotação 2]])</f>
        <v>29.02</v>
      </c>
      <c r="I103" s="18">
        <f>IF(Tabela2[[#This Row],[Dividendo / Ação]]&gt;0,Tabela2[[#This Row],[Dividendo / Ação]]/Tabela2[[#This Row],[Cotação]],"")</f>
        <v>4.7381116471399039E-2</v>
      </c>
      <c r="J103" s="61">
        <f>SUMPRODUCT(N(Tabela1[Código]=Tabela2[[#This Row],[Ativo]]),Tabela1[Fechamento])</f>
        <v>29.02</v>
      </c>
      <c r="K103" s="61">
        <f>SUMPRODUCT(N(Tabela17[Código]=Tabela2[[#This Row],[Ativo]]),Tabela17[Fechamento])</f>
        <v>0</v>
      </c>
    </row>
    <row r="104" spans="1:11" x14ac:dyDescent="0.2">
      <c r="A104" s="15" t="s">
        <v>276</v>
      </c>
      <c r="B104" s="3">
        <v>2011</v>
      </c>
      <c r="C104" s="5">
        <v>96039575.989999995</v>
      </c>
      <c r="D104" s="63">
        <f>SUMPRODUCT(N(Tabela3[PAPEL]=Tabela2[[#This Row],[Ativo]]),Tabela3[Total Ações])</f>
        <v>36304650</v>
      </c>
      <c r="E104" s="66">
        <f>(Tabela2[[#This Row],[Lucro Líquido]])/Tabela2[[#This Row],[Total Ações]]</f>
        <v>2.6453794759073559</v>
      </c>
      <c r="F104" s="66">
        <v>0.59060447900000002</v>
      </c>
      <c r="G104" s="22">
        <f>IF(AND(Tabela2[[#This Row],[Dividendo / Ação]]&gt;0,Tabela2[[#This Row],[Lucro por ação]]&gt;0),Tabela2[[#This Row],[Dividendo / Ação]]/Tabela2[[#This Row],[Lucro por ação]],"")</f>
        <v>0.22325888757318069</v>
      </c>
      <c r="H104" s="5">
        <f>MAX(Tabela2[[#This Row],[Cotação 1]],Tabela2[[#This Row],[Cotação 2]])</f>
        <v>29.02</v>
      </c>
      <c r="I104" s="18">
        <f>IF(Tabela2[[#This Row],[Dividendo / Ação]]&gt;0,Tabela2[[#This Row],[Dividendo / Ação]]/Tabela2[[#This Row],[Cotação]],"")</f>
        <v>2.0351636078566507E-2</v>
      </c>
      <c r="J104" s="61">
        <f>SUMPRODUCT(N(Tabela1[Código]=Tabela2[[#This Row],[Ativo]]),Tabela1[Fechamento])</f>
        <v>29.02</v>
      </c>
      <c r="K104" s="61">
        <f>SUMPRODUCT(N(Tabela17[Código]=Tabela2[[#This Row],[Ativo]]),Tabela17[Fechamento])</f>
        <v>0</v>
      </c>
    </row>
    <row r="105" spans="1:11" x14ac:dyDescent="0.2">
      <c r="A105" s="15" t="s">
        <v>276</v>
      </c>
      <c r="B105" s="3">
        <v>2010</v>
      </c>
      <c r="C105" s="6">
        <v>196040834.49000001</v>
      </c>
      <c r="D105" s="63">
        <f>SUMPRODUCT(N(Tabela3[PAPEL]=Tabela2[[#This Row],[Ativo]]),Tabela3[Total Ações])</f>
        <v>36304650</v>
      </c>
      <c r="E105" s="66">
        <f>(Tabela2[[#This Row],[Lucro Líquido]])/Tabela2[[#This Row],[Total Ações]]</f>
        <v>5.3998822324412989</v>
      </c>
      <c r="F105" s="66">
        <v>0.52209249599999996</v>
      </c>
      <c r="G105" s="22">
        <f>IF(AND(Tabela2[[#This Row],[Dividendo / Ação]]&gt;0,Tabela2[[#This Row],[Lucro por ação]]&gt;0),Tabela2[[#This Row],[Dividendo / Ação]]/Tabela2[[#This Row],[Lucro por ação]],"")</f>
        <v>9.6685904159795125E-2</v>
      </c>
      <c r="H105" s="5">
        <f>MAX(Tabela2[[#This Row],[Cotação 1]],Tabela2[[#This Row],[Cotação 2]])</f>
        <v>29.02</v>
      </c>
      <c r="I105" s="18">
        <f>IF(Tabela2[[#This Row],[Dividendo / Ação]]&gt;0,Tabela2[[#This Row],[Dividendo / Ação]]/Tabela2[[#This Row],[Cotação]],"")</f>
        <v>1.7990782081323223E-2</v>
      </c>
      <c r="J105" s="61">
        <f>SUMPRODUCT(N(Tabela1[Código]=Tabela2[[#This Row],[Ativo]]),Tabela1[Fechamento])</f>
        <v>29.02</v>
      </c>
      <c r="K105" s="61">
        <f>SUMPRODUCT(N(Tabela17[Código]=Tabela2[[#This Row],[Ativo]]),Tabela17[Fechamento])</f>
        <v>0</v>
      </c>
    </row>
    <row r="106" spans="1:11" x14ac:dyDescent="0.2">
      <c r="A106" s="15" t="s">
        <v>276</v>
      </c>
      <c r="B106" s="3">
        <v>2009</v>
      </c>
      <c r="C106" s="5">
        <v>190454809.5</v>
      </c>
      <c r="D106" s="63">
        <f>SUMPRODUCT(N(Tabela3[PAPEL]=Tabela2[[#This Row],[Ativo]]),Tabela3[Total Ações])</f>
        <v>36304650</v>
      </c>
      <c r="E106" s="66">
        <f>(Tabela2[[#This Row],[Lucro Líquido]])/Tabela2[[#This Row],[Total Ações]]</f>
        <v>5.2460169565055716</v>
      </c>
      <c r="F106" s="66">
        <v>0.18859646699999999</v>
      </c>
      <c r="G106" s="22">
        <f>IF(AND(Tabela2[[#This Row],[Dividendo / Ação]]&gt;0,Tabela2[[#This Row],[Lucro por ação]]&gt;0),Tabela2[[#This Row],[Dividendo / Ação]]/Tabela2[[#This Row],[Lucro por ação]],"")</f>
        <v>3.5950411247932017E-2</v>
      </c>
      <c r="H106" s="5">
        <f>MAX(Tabela2[[#This Row],[Cotação 1]],Tabela2[[#This Row],[Cotação 2]])</f>
        <v>29.02</v>
      </c>
      <c r="I106" s="18">
        <f>IF(Tabela2[[#This Row],[Dividendo / Ação]]&gt;0,Tabela2[[#This Row],[Dividendo / Ação]]/Tabela2[[#This Row],[Cotação]],"")</f>
        <v>6.4988444865609922E-3</v>
      </c>
      <c r="J106" s="61">
        <f>SUMPRODUCT(N(Tabela1[Código]=Tabela2[[#This Row],[Ativo]]),Tabela1[Fechamento])</f>
        <v>29.02</v>
      </c>
      <c r="K106" s="61">
        <f>SUMPRODUCT(N(Tabela17[Código]=Tabela2[[#This Row],[Ativo]]),Tabela17[Fechamento])</f>
        <v>0</v>
      </c>
    </row>
    <row r="107" spans="1:11" x14ac:dyDescent="0.2">
      <c r="A107" s="14" t="s">
        <v>277</v>
      </c>
      <c r="B107" s="4">
        <v>2012</v>
      </c>
      <c r="C107" s="5">
        <v>215388793.88999999</v>
      </c>
      <c r="D107" s="8">
        <f>SUMPRODUCT(N(Tabela3[PAPEL]=Tabela2[[#This Row],[Ativo]]),Tabela3[Total Ações])</f>
        <v>36304650</v>
      </c>
      <c r="E107" s="67">
        <f>(Tabela2[[#This Row],[Lucro Líquido]])/Tabela2[[#This Row],[Total Ações]]</f>
        <v>5.9328156004809296</v>
      </c>
      <c r="F107" s="67">
        <v>1.5129999999999999</v>
      </c>
      <c r="G107" s="46">
        <f>IF(AND(Tabela2[[#This Row],[Dividendo / Ação]]&gt;0,Tabela2[[#This Row],[Lucro por ação]]&gt;0),Tabela2[[#This Row],[Dividendo / Ação]]/Tabela2[[#This Row],[Lucro por ação]],"")</f>
        <v>0.2550222528199515</v>
      </c>
      <c r="H107" s="6">
        <f>MAX(Tabela2[[#This Row],[Cotação 1]],Tabela2[[#This Row],[Cotação 2]])</f>
        <v>29.99</v>
      </c>
      <c r="I107" s="19">
        <f>IF(Tabela2[[#This Row],[Dividendo / Ação]]&gt;0,Tabela2[[#This Row],[Dividendo / Ação]]/Tabela2[[#This Row],[Cotação]],"")</f>
        <v>5.0450150050016671E-2</v>
      </c>
      <c r="J107" s="62">
        <f>SUMPRODUCT(N(Tabela1[Código]=Tabela2[[#This Row],[Ativo]]),Tabela1[Fechamento])</f>
        <v>29.99</v>
      </c>
      <c r="K107" s="62">
        <f>SUMPRODUCT(N(Tabela17[Código]=Tabela2[[#This Row],[Ativo]]),Tabela17[Fechamento])</f>
        <v>0</v>
      </c>
    </row>
    <row r="108" spans="1:11" x14ac:dyDescent="0.2">
      <c r="A108" s="14" t="s">
        <v>277</v>
      </c>
      <c r="B108" s="4">
        <v>2011</v>
      </c>
      <c r="C108" s="5">
        <v>96039575.989999995</v>
      </c>
      <c r="D108" s="8">
        <f>SUMPRODUCT(N(Tabela3[PAPEL]=Tabela2[[#This Row],[Ativo]]),Tabela3[Total Ações])</f>
        <v>36304650</v>
      </c>
      <c r="E108" s="67">
        <f>(Tabela2[[#This Row],[Lucro Líquido]])/Tabela2[[#This Row],[Total Ações]]</f>
        <v>2.6453794759073559</v>
      </c>
      <c r="F108" s="67">
        <v>0.649664927</v>
      </c>
      <c r="G108" s="46">
        <f>IF(AND(Tabela2[[#This Row],[Dividendo / Ação]]&gt;0,Tabela2[[#This Row],[Lucro por ação]]&gt;0),Tabela2[[#This Row],[Dividendo / Ação]]/Tabela2[[#This Row],[Lucro por ação]],"")</f>
        <v>0.24558477636830051</v>
      </c>
      <c r="H108" s="6">
        <f>MAX(Tabela2[[#This Row],[Cotação 1]],Tabela2[[#This Row],[Cotação 2]])</f>
        <v>29.99</v>
      </c>
      <c r="I108" s="19">
        <f>IF(Tabela2[[#This Row],[Dividendo / Ação]]&gt;0,Tabela2[[#This Row],[Dividendo / Ação]]/Tabela2[[#This Row],[Cotação]],"")</f>
        <v>2.1662718472824277E-2</v>
      </c>
      <c r="J108" s="62">
        <f>SUMPRODUCT(N(Tabela1[Código]=Tabela2[[#This Row],[Ativo]]),Tabela1[Fechamento])</f>
        <v>29.99</v>
      </c>
      <c r="K108" s="62">
        <f>SUMPRODUCT(N(Tabela17[Código]=Tabela2[[#This Row],[Ativo]]),Tabela17[Fechamento])</f>
        <v>0</v>
      </c>
    </row>
    <row r="109" spans="1:11" x14ac:dyDescent="0.2">
      <c r="A109" s="14" t="s">
        <v>277</v>
      </c>
      <c r="B109" s="4">
        <v>2010</v>
      </c>
      <c r="C109" s="6">
        <v>196040834.49000001</v>
      </c>
      <c r="D109" s="8">
        <f>SUMPRODUCT(N(Tabela3[PAPEL]=Tabela2[[#This Row],[Ativo]]),Tabela3[Total Ações])</f>
        <v>36304650</v>
      </c>
      <c r="E109" s="67">
        <f>(Tabela2[[#This Row],[Lucro Líquido]])/Tabela2[[#This Row],[Total Ações]]</f>
        <v>5.3998822324412989</v>
      </c>
      <c r="F109" s="67">
        <v>1.954906128</v>
      </c>
      <c r="G109" s="46">
        <f>IF(AND(Tabela2[[#This Row],[Dividendo / Ação]]&gt;0,Tabela2[[#This Row],[Lucro por ação]]&gt;0),Tabela2[[#This Row],[Dividendo / Ação]]/Tabela2[[#This Row],[Lucro por ação]],"")</f>
        <v>0.3620275487223325</v>
      </c>
      <c r="H109" s="6">
        <f>MAX(Tabela2[[#This Row],[Cotação 1]],Tabela2[[#This Row],[Cotação 2]])</f>
        <v>29.99</v>
      </c>
      <c r="I109" s="19">
        <f>IF(Tabela2[[#This Row],[Dividendo / Ação]]&gt;0,Tabela2[[#This Row],[Dividendo / Ação]]/Tabela2[[#This Row],[Cotação]],"")</f>
        <v>6.5185266022007332E-2</v>
      </c>
      <c r="J109" s="62">
        <f>SUMPRODUCT(N(Tabela1[Código]=Tabela2[[#This Row],[Ativo]]),Tabela1[Fechamento])</f>
        <v>29.99</v>
      </c>
      <c r="K109" s="62">
        <f>SUMPRODUCT(N(Tabela17[Código]=Tabela2[[#This Row],[Ativo]]),Tabela17[Fechamento])</f>
        <v>0</v>
      </c>
    </row>
    <row r="110" spans="1:11" x14ac:dyDescent="0.2">
      <c r="A110" s="14" t="s">
        <v>277</v>
      </c>
      <c r="B110" s="4">
        <v>2009</v>
      </c>
      <c r="C110" s="5">
        <v>190454809.5</v>
      </c>
      <c r="D110" s="8">
        <f>SUMPRODUCT(N(Tabela3[PAPEL]=Tabela2[[#This Row],[Ativo]]),Tabela3[Total Ações])</f>
        <v>36304650</v>
      </c>
      <c r="E110" s="67">
        <f>(Tabela2[[#This Row],[Lucro Líquido]])/Tabela2[[#This Row],[Total Ações]]</f>
        <v>5.2460169565055716</v>
      </c>
      <c r="F110" s="67">
        <v>1.4895923250000001</v>
      </c>
      <c r="G110" s="46">
        <f>IF(AND(Tabela2[[#This Row],[Dividendo / Ação]]&gt;0,Tabela2[[#This Row],[Lucro por ação]]&gt;0),Tabela2[[#This Row],[Dividendo / Ação]]/Tabela2[[#This Row],[Lucro por ação]],"")</f>
        <v>0.28394729512888067</v>
      </c>
      <c r="H110" s="6">
        <f>MAX(Tabela2[[#This Row],[Cotação 1]],Tabela2[[#This Row],[Cotação 2]])</f>
        <v>29.99</v>
      </c>
      <c r="I110" s="19">
        <f>IF(Tabela2[[#This Row],[Dividendo / Ação]]&gt;0,Tabela2[[#This Row],[Dividendo / Ação]]/Tabela2[[#This Row],[Cotação]],"")</f>
        <v>4.9669634044681568E-2</v>
      </c>
      <c r="J110" s="62">
        <f>SUMPRODUCT(N(Tabela1[Código]=Tabela2[[#This Row],[Ativo]]),Tabela1[Fechamento])</f>
        <v>29.99</v>
      </c>
      <c r="K110" s="62">
        <f>SUMPRODUCT(N(Tabela17[Código]=Tabela2[[#This Row],[Ativo]]),Tabela17[Fechamento])</f>
        <v>0</v>
      </c>
    </row>
    <row r="111" spans="1:11" x14ac:dyDescent="0.2">
      <c r="A111" s="4" t="s">
        <v>221</v>
      </c>
      <c r="B111" s="4">
        <v>2012</v>
      </c>
      <c r="C111" s="6">
        <v>21418024.760000002</v>
      </c>
      <c r="D111" s="8">
        <f>SUMPRODUCT(N(Tabela3[PAPEL]=Tabela2[[#This Row],[Ativo]]),Tabela3[Total Ações])</f>
        <v>715094432</v>
      </c>
      <c r="E111" s="67">
        <f>(Tabela2[[#This Row],[Lucro Líquido]])/Tabela2[[#This Row],[Total Ações]]</f>
        <v>2.995132363161793E-2</v>
      </c>
      <c r="F111" s="67">
        <v>7.6962999999999997E-3</v>
      </c>
      <c r="G111" s="46">
        <f>IF(AND(Tabela2[[#This Row],[Dividendo / Ação]]&gt;0,Tabela2[[#This Row],[Lucro por ação]]&gt;0),Tabela2[[#This Row],[Dividendo / Ação]]/Tabela2[[#This Row],[Lucro por ação]],"")</f>
        <v>0.25696026308084252</v>
      </c>
      <c r="H111" s="6">
        <f>MAX(Tabela2[[#This Row],[Cotação 1]],Tabela2[[#This Row],[Cotação 2]])</f>
        <v>4.12</v>
      </c>
      <c r="I111" s="19">
        <f>IF(Tabela2[[#This Row],[Dividendo / Ação]]&gt;0,Tabela2[[#This Row],[Dividendo / Ação]]/Tabela2[[#This Row],[Cotação]],"")</f>
        <v>1.8680339805825241E-3</v>
      </c>
      <c r="J111" s="62">
        <f>SUMPRODUCT(N(Tabela1[Código]=Tabela2[[#This Row],[Ativo]]),Tabela1[Fechamento])</f>
        <v>4.12</v>
      </c>
      <c r="K111" s="62">
        <f>SUMPRODUCT(N(Tabela17[Código]=Tabela2[[#This Row],[Ativo]]),Tabela17[Fechamento])</f>
        <v>0</v>
      </c>
    </row>
    <row r="112" spans="1:11" x14ac:dyDescent="0.2">
      <c r="A112" s="4" t="s">
        <v>221</v>
      </c>
      <c r="B112" s="4">
        <v>2011</v>
      </c>
      <c r="C112" s="6">
        <v>7903625</v>
      </c>
      <c r="D112" s="8">
        <f>SUMPRODUCT(N(Tabela3[PAPEL]=Tabela2[[#This Row],[Ativo]]),Tabela3[Total Ações])</f>
        <v>715094432</v>
      </c>
      <c r="E112" s="67">
        <f>(Tabela2[[#This Row],[Lucro Líquido]])/Tabela2[[#This Row],[Total Ações]]</f>
        <v>1.1052561237115044E-2</v>
      </c>
      <c r="F112" s="67">
        <v>3.2377399999999998E-3</v>
      </c>
      <c r="G112" s="46">
        <f>IF(AND(Tabela2[[#This Row],[Dividendo / Ação]]&gt;0,Tabela2[[#This Row],[Lucro por ação]]&gt;0),Tabela2[[#This Row],[Dividendo / Ação]]/Tabela2[[#This Row],[Lucro por ação]],"")</f>
        <v>0.29294024530056523</v>
      </c>
      <c r="H112" s="6">
        <f>MAX(Tabela2[[#This Row],[Cotação 1]],Tabela2[[#This Row],[Cotação 2]])</f>
        <v>4.12</v>
      </c>
      <c r="I112" s="19">
        <f>IF(Tabela2[[#This Row],[Dividendo / Ação]]&gt;0,Tabela2[[#This Row],[Dividendo / Ação]]/Tabela2[[#This Row],[Cotação]],"")</f>
        <v>7.8585922330097078E-4</v>
      </c>
      <c r="J112" s="62">
        <f>SUMPRODUCT(N(Tabela1[Código]=Tabela2[[#This Row],[Ativo]]),Tabela1[Fechamento])</f>
        <v>4.12</v>
      </c>
      <c r="K112" s="62">
        <f>SUMPRODUCT(N(Tabela17[Código]=Tabela2[[#This Row],[Ativo]]),Tabela17[Fechamento])</f>
        <v>0</v>
      </c>
    </row>
    <row r="113" spans="1:11" x14ac:dyDescent="0.2">
      <c r="A113" s="4" t="s">
        <v>221</v>
      </c>
      <c r="B113" s="4">
        <v>2010</v>
      </c>
      <c r="C113" s="6">
        <v>-11477601</v>
      </c>
      <c r="D113" s="8">
        <f>SUMPRODUCT(N(Tabela3[PAPEL]=Tabela2[[#This Row],[Ativo]]),Tabela3[Total Ações])</f>
        <v>715094432</v>
      </c>
      <c r="E113" s="67">
        <f>(Tabela2[[#This Row],[Lucro Líquido]])/Tabela2[[#This Row],[Total Ações]]</f>
        <v>-1.6050468981976356E-2</v>
      </c>
      <c r="F113" s="67">
        <v>0</v>
      </c>
      <c r="G113" s="46" t="str">
        <f>IF(AND(Tabela2[[#This Row],[Dividendo / Ação]]&gt;0,Tabela2[[#This Row],[Lucro por ação]]&gt;0),Tabela2[[#This Row],[Dividendo / Ação]]/Tabela2[[#This Row],[Lucro por ação]],"")</f>
        <v/>
      </c>
      <c r="H113" s="6">
        <f>MAX(Tabela2[[#This Row],[Cotação 1]],Tabela2[[#This Row],[Cotação 2]])</f>
        <v>4.12</v>
      </c>
      <c r="I113" s="19" t="str">
        <f>IF(Tabela2[[#This Row],[Dividendo / Ação]]&gt;0,Tabela2[[#This Row],[Dividendo / Ação]]/Tabela2[[#This Row],[Cotação]],"")</f>
        <v/>
      </c>
      <c r="J113" s="62">
        <f>SUMPRODUCT(N(Tabela1[Código]=Tabela2[[#This Row],[Ativo]]),Tabela1[Fechamento])</f>
        <v>4.12</v>
      </c>
      <c r="K113" s="62">
        <f>SUMPRODUCT(N(Tabela17[Código]=Tabela2[[#This Row],[Ativo]]),Tabela17[Fechamento])</f>
        <v>0</v>
      </c>
    </row>
    <row r="114" spans="1:11" x14ac:dyDescent="0.2">
      <c r="A114" s="4" t="s">
        <v>221</v>
      </c>
      <c r="B114" s="4">
        <v>2009</v>
      </c>
      <c r="C114" s="6">
        <v>32515448</v>
      </c>
      <c r="D114" s="8">
        <f>SUMPRODUCT(N(Tabela3[PAPEL]=Tabela2[[#This Row],[Ativo]]),Tabela3[Total Ações])</f>
        <v>715094432</v>
      </c>
      <c r="E114" s="67">
        <f>(Tabela2[[#This Row],[Lucro Líquido]])/Tabela2[[#This Row],[Total Ações]]</f>
        <v>4.5470145682801236E-2</v>
      </c>
      <c r="F114" s="67">
        <v>1.1338000000000001E-2</v>
      </c>
      <c r="G114" s="46">
        <f>IF(AND(Tabela2[[#This Row],[Dividendo / Ação]]&gt;0,Tabela2[[#This Row],[Lucro por ação]]&gt;0),Tabela2[[#This Row],[Dividendo / Ação]]/Tabela2[[#This Row],[Lucro por ação]],"")</f>
        <v>0.24935042168313351</v>
      </c>
      <c r="H114" s="6">
        <f>MAX(Tabela2[[#This Row],[Cotação 1]],Tabela2[[#This Row],[Cotação 2]])</f>
        <v>4.12</v>
      </c>
      <c r="I114" s="19">
        <f>IF(Tabela2[[#This Row],[Dividendo / Ação]]&gt;0,Tabela2[[#This Row],[Dividendo / Ação]]/Tabela2[[#This Row],[Cotação]],"")</f>
        <v>2.7519417475728157E-3</v>
      </c>
      <c r="J114" s="62">
        <f>SUMPRODUCT(N(Tabela1[Código]=Tabela2[[#This Row],[Ativo]]),Tabela1[Fechamento])</f>
        <v>4.12</v>
      </c>
      <c r="K114" s="62">
        <f>SUMPRODUCT(N(Tabela17[Código]=Tabela2[[#This Row],[Ativo]]),Tabela17[Fechamento])</f>
        <v>0</v>
      </c>
    </row>
    <row r="115" spans="1:11" x14ac:dyDescent="0.2">
      <c r="A115" s="4" t="s">
        <v>98</v>
      </c>
      <c r="B115" s="4">
        <v>2012</v>
      </c>
      <c r="C115" s="6">
        <v>55498182.030000001</v>
      </c>
      <c r="D115" s="8">
        <f>SUMPRODUCT(N(Tabela3[PAPEL]=Tabela2[[#This Row],[Ativo]]),Tabela3[Total Ações])</f>
        <v>9183458</v>
      </c>
      <c r="E115" s="67">
        <f>(Tabela2[[#This Row],[Lucro Líquido]])/Tabela2[[#This Row],[Total Ações]]</f>
        <v>6.0432771653118031</v>
      </c>
      <c r="F115" s="67">
        <v>2.4664000000000001</v>
      </c>
      <c r="G115" s="46">
        <f>IF(AND(Tabela2[[#This Row],[Dividendo / Ação]]&gt;0,Tabela2[[#This Row],[Lucro por ação]]&gt;0),Tabela2[[#This Row],[Dividendo / Ação]]/Tabela2[[#This Row],[Lucro por ação]],"")</f>
        <v>0.40812293272879302</v>
      </c>
      <c r="H115" s="6">
        <f>MAX(Tabela2[[#This Row],[Cotação 1]],Tabela2[[#This Row],[Cotação 2]])</f>
        <v>16.010000000000002</v>
      </c>
      <c r="I115" s="19">
        <f>IF(Tabela2[[#This Row],[Dividendo / Ação]]&gt;0,Tabela2[[#This Row],[Dividendo / Ação]]/Tabela2[[#This Row],[Cotação]],"")</f>
        <v>0.15405371642723298</v>
      </c>
      <c r="J115" s="62">
        <f>SUMPRODUCT(N(Tabela1[Código]=Tabela2[[#This Row],[Ativo]]),Tabela1[Fechamento])</f>
        <v>16.010000000000002</v>
      </c>
      <c r="K115" s="62">
        <f>SUMPRODUCT(N(Tabela17[Código]=Tabela2[[#This Row],[Ativo]]),Tabela17[Fechamento])</f>
        <v>0</v>
      </c>
    </row>
    <row r="116" spans="1:11" x14ac:dyDescent="0.2">
      <c r="A116" s="4" t="s">
        <v>98</v>
      </c>
      <c r="B116" s="3">
        <v>2011</v>
      </c>
      <c r="C116" s="5">
        <v>26190000</v>
      </c>
      <c r="D116" s="63">
        <f>SUMPRODUCT(N(Tabela3[PAPEL]=Tabela2[[#This Row],[Ativo]]),Tabela3[Total Ações])</f>
        <v>9183458</v>
      </c>
      <c r="E116" s="66">
        <f>(Tabela2[[#This Row],[Lucro Líquido]])/Tabela2[[#This Row],[Total Ações]]</f>
        <v>2.8518669111352173</v>
      </c>
      <c r="F116" s="66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">
        <f>MAX(Tabela2[[#This Row],[Cotação 1]],Tabela2[[#This Row],[Cotação 2]])</f>
        <v>16.010000000000002</v>
      </c>
      <c r="I116" s="18" t="str">
        <f>IF(Tabela2[[#This Row],[Dividendo / Ação]]&gt;0,Tabela2[[#This Row],[Dividendo / Ação]]/Tabela2[[#This Row],[Cotação]],"")</f>
        <v/>
      </c>
      <c r="J116" s="61">
        <f>SUMPRODUCT(N(Tabela1[Código]=Tabela2[[#This Row],[Ativo]]),Tabela1[Fechamento])</f>
        <v>16.010000000000002</v>
      </c>
      <c r="K116" s="61">
        <f>SUMPRODUCT(N(Tabela17[Código]=Tabela2[[#This Row],[Ativo]]),Tabela17[Fechamento])</f>
        <v>0</v>
      </c>
    </row>
    <row r="117" spans="1:11" x14ac:dyDescent="0.2">
      <c r="A117" s="4" t="s">
        <v>98</v>
      </c>
      <c r="B117" s="3">
        <v>2010</v>
      </c>
      <c r="C117" s="5">
        <v>2049000</v>
      </c>
      <c r="D117" s="63">
        <f>SUMPRODUCT(N(Tabela3[PAPEL]=Tabela2[[#This Row],[Ativo]]),Tabela3[Total Ações])</f>
        <v>9183458</v>
      </c>
      <c r="E117" s="66">
        <f>(Tabela2[[#This Row],[Lucro Líquido]])/Tabela2[[#This Row],[Total Ações]]</f>
        <v>0.22311856819076212</v>
      </c>
      <c r="F117" s="66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">
        <f>MAX(Tabela2[[#This Row],[Cotação 1]],Tabela2[[#This Row],[Cotação 2]])</f>
        <v>16.010000000000002</v>
      </c>
      <c r="I117" s="18" t="str">
        <f>IF(Tabela2[[#This Row],[Dividendo / Ação]]&gt;0,Tabela2[[#This Row],[Dividendo / Ação]]/Tabela2[[#This Row],[Cotação]],"")</f>
        <v/>
      </c>
      <c r="J117" s="61">
        <f>SUMPRODUCT(N(Tabela1[Código]=Tabela2[[#This Row],[Ativo]]),Tabela1[Fechamento])</f>
        <v>16.010000000000002</v>
      </c>
      <c r="K117" s="61">
        <f>SUMPRODUCT(N(Tabela17[Código]=Tabela2[[#This Row],[Ativo]]),Tabela17[Fechamento])</f>
        <v>0</v>
      </c>
    </row>
    <row r="118" spans="1:11" x14ac:dyDescent="0.2">
      <c r="A118" s="4" t="s">
        <v>98</v>
      </c>
      <c r="B118" s="3">
        <v>2009</v>
      </c>
      <c r="C118" s="5">
        <v>48919970.259999998</v>
      </c>
      <c r="D118" s="63">
        <f>SUMPRODUCT(N(Tabela3[PAPEL]=Tabela2[[#This Row],[Ativo]]),Tabela3[Total Ações])</f>
        <v>9183458</v>
      </c>
      <c r="E118" s="66">
        <f>(Tabela2[[#This Row],[Lucro Líquido]])/Tabela2[[#This Row],[Total Ações]]</f>
        <v>5.3269661885533743</v>
      </c>
      <c r="F118" s="66">
        <v>2.8779460000000001</v>
      </c>
      <c r="G118" s="22">
        <f>IF(AND(Tabela2[[#This Row],[Dividendo / Ação]]&gt;0,Tabela2[[#This Row],[Lucro por ação]]&gt;0),Tabela2[[#This Row],[Dividendo / Ação]]/Tabela2[[#This Row],[Lucro por ação]],"")</f>
        <v>0.540259858638516</v>
      </c>
      <c r="H118" s="5">
        <f>MAX(Tabela2[[#This Row],[Cotação 1]],Tabela2[[#This Row],[Cotação 2]])</f>
        <v>16.010000000000002</v>
      </c>
      <c r="I118" s="18">
        <f>IF(Tabela2[[#This Row],[Dividendo / Ação]]&gt;0,Tabela2[[#This Row],[Dividendo / Ação]]/Tabela2[[#This Row],[Cotação]],"")</f>
        <v>0.17975927545284195</v>
      </c>
      <c r="J118" s="61">
        <f>SUMPRODUCT(N(Tabela1[Código]=Tabela2[[#This Row],[Ativo]]),Tabela1[Fechamento])</f>
        <v>16.010000000000002</v>
      </c>
      <c r="K118" s="61">
        <f>SUMPRODUCT(N(Tabela17[Código]=Tabela2[[#This Row],[Ativo]]),Tabela17[Fechamento])</f>
        <v>0</v>
      </c>
    </row>
    <row r="119" spans="1:11" x14ac:dyDescent="0.2">
      <c r="A119" s="4" t="s">
        <v>99</v>
      </c>
      <c r="B119" s="4">
        <v>2012</v>
      </c>
      <c r="C119" s="6">
        <v>55498182.030000001</v>
      </c>
      <c r="D119" s="8">
        <f>SUMPRODUCT(N(Tabela3[PAPEL]=Tabela2[[#This Row],[Ativo]]),Tabela3[Total Ações])</f>
        <v>9183458</v>
      </c>
      <c r="E119" s="67">
        <f>(Tabela2[[#This Row],[Lucro Líquido]])/Tabela2[[#This Row],[Total Ações]]</f>
        <v>6.0432771653118031</v>
      </c>
      <c r="F119" s="67">
        <v>4.5993199999999996</v>
      </c>
      <c r="G119" s="46">
        <f>IF(AND(Tabela2[[#This Row],[Dividendo / Ação]]&gt;0,Tabela2[[#This Row],[Lucro por ação]]&gt;0),Tabela2[[#This Row],[Dividendo / Ação]]/Tabela2[[#This Row],[Lucro por ação]],"")</f>
        <v>0.76106388540309444</v>
      </c>
      <c r="H119" s="6">
        <f>MAX(Tabela2[[#This Row],[Cotação 1]],Tabela2[[#This Row],[Cotação 2]])</f>
        <v>25.02</v>
      </c>
      <c r="I119" s="19">
        <f>IF(Tabela2[[#This Row],[Dividendo / Ação]]&gt;0,Tabela2[[#This Row],[Dividendo / Ação]]/Tabela2[[#This Row],[Cotação]],"")</f>
        <v>0.18382573940847322</v>
      </c>
      <c r="J119" s="62">
        <f>SUMPRODUCT(N(Tabela1[Código]=Tabela2[[#This Row],[Ativo]]),Tabela1[Fechamento])</f>
        <v>25.02</v>
      </c>
      <c r="K119" s="62">
        <f>SUMPRODUCT(N(Tabela17[Código]=Tabela2[[#This Row],[Ativo]]),Tabela17[Fechamento])</f>
        <v>0</v>
      </c>
    </row>
    <row r="120" spans="1:11" x14ac:dyDescent="0.2">
      <c r="A120" s="4" t="s">
        <v>99</v>
      </c>
      <c r="B120" s="3">
        <v>2011</v>
      </c>
      <c r="C120" s="5">
        <v>26190000</v>
      </c>
      <c r="D120" s="63">
        <f>SUMPRODUCT(N(Tabela3[PAPEL]=Tabela2[[#This Row],[Ativo]]),Tabela3[Total Ações])</f>
        <v>9183458</v>
      </c>
      <c r="E120" s="66">
        <f>(Tabela2[[#This Row],[Lucro Líquido]])/Tabela2[[#This Row],[Total Ações]]</f>
        <v>2.8518669111352173</v>
      </c>
      <c r="F120" s="66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">
        <f>MAX(Tabela2[[#This Row],[Cotação 1]],Tabela2[[#This Row],[Cotação 2]])</f>
        <v>25.02</v>
      </c>
      <c r="I120" s="18" t="str">
        <f>IF(Tabela2[[#This Row],[Dividendo / Ação]]&gt;0,Tabela2[[#This Row],[Dividendo / Ação]]/Tabela2[[#This Row],[Cotação]],"")</f>
        <v/>
      </c>
      <c r="J120" s="61">
        <f>SUMPRODUCT(N(Tabela1[Código]=Tabela2[[#This Row],[Ativo]]),Tabela1[Fechamento])</f>
        <v>25.02</v>
      </c>
      <c r="K120" s="61">
        <f>SUMPRODUCT(N(Tabela17[Código]=Tabela2[[#This Row],[Ativo]]),Tabela17[Fechamento])</f>
        <v>0</v>
      </c>
    </row>
    <row r="121" spans="1:11" x14ac:dyDescent="0.2">
      <c r="A121" s="4" t="s">
        <v>99</v>
      </c>
      <c r="B121" s="3">
        <v>2010</v>
      </c>
      <c r="C121" s="5">
        <v>2049000</v>
      </c>
      <c r="D121" s="63">
        <f>SUMPRODUCT(N(Tabela3[PAPEL]=Tabela2[[#This Row],[Ativo]]),Tabela3[Total Ações])</f>
        <v>9183458</v>
      </c>
      <c r="E121" s="66">
        <f>(Tabela2[[#This Row],[Lucro Líquido]])/Tabela2[[#This Row],[Total Ações]]</f>
        <v>0.22311856819076212</v>
      </c>
      <c r="F121" s="66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">
        <f>MAX(Tabela2[[#This Row],[Cotação 1]],Tabela2[[#This Row],[Cotação 2]])</f>
        <v>25.02</v>
      </c>
      <c r="I121" s="18" t="str">
        <f>IF(Tabela2[[#This Row],[Dividendo / Ação]]&gt;0,Tabela2[[#This Row],[Dividendo / Ação]]/Tabela2[[#This Row],[Cotação]],"")</f>
        <v/>
      </c>
      <c r="J121" s="61">
        <f>SUMPRODUCT(N(Tabela1[Código]=Tabela2[[#This Row],[Ativo]]),Tabela1[Fechamento])</f>
        <v>25.02</v>
      </c>
      <c r="K121" s="61">
        <f>SUMPRODUCT(N(Tabela17[Código]=Tabela2[[#This Row],[Ativo]]),Tabela17[Fechamento])</f>
        <v>0</v>
      </c>
    </row>
    <row r="122" spans="1:11" x14ac:dyDescent="0.2">
      <c r="A122" s="4" t="s">
        <v>99</v>
      </c>
      <c r="B122" s="3">
        <v>2009</v>
      </c>
      <c r="C122" s="5">
        <v>48919970.259999998</v>
      </c>
      <c r="D122" s="63">
        <f>SUMPRODUCT(N(Tabela3[PAPEL]=Tabela2[[#This Row],[Ativo]]),Tabela3[Total Ações])</f>
        <v>9183458</v>
      </c>
      <c r="E122" s="66">
        <f>(Tabela2[[#This Row],[Lucro Líquido]])/Tabela2[[#This Row],[Total Ações]]</f>
        <v>5.3269661885533743</v>
      </c>
      <c r="F122" s="66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5">
        <f>MAX(Tabela2[[#This Row],[Cotação 1]],Tabela2[[#This Row],[Cotação 2]])</f>
        <v>25.02</v>
      </c>
      <c r="I122" s="18" t="str">
        <f>IF(Tabela2[[#This Row],[Dividendo / Ação]]&gt;0,Tabela2[[#This Row],[Dividendo / Ação]]/Tabela2[[#This Row],[Cotação]],"")</f>
        <v/>
      </c>
      <c r="J122" s="61">
        <f>SUMPRODUCT(N(Tabela1[Código]=Tabela2[[#This Row],[Ativo]]),Tabela1[Fechamento])</f>
        <v>25.02</v>
      </c>
      <c r="K122" s="61">
        <f>SUMPRODUCT(N(Tabela17[Código]=Tabela2[[#This Row],[Ativo]]),Tabela17[Fechamento])</f>
        <v>0</v>
      </c>
    </row>
    <row r="123" spans="1:11" x14ac:dyDescent="0.2">
      <c r="A123" s="4" t="s">
        <v>72</v>
      </c>
      <c r="B123" s="4">
        <v>2012</v>
      </c>
      <c r="C123" s="6">
        <v>55498182.030000001</v>
      </c>
      <c r="D123" s="8">
        <f>SUMPRODUCT(N(Tabela3[PAPEL]=Tabela2[[#This Row],[Ativo]]),Tabela3[Total Ações])</f>
        <v>9183458</v>
      </c>
      <c r="E123" s="67">
        <f>(Tabela2[[#This Row],[Lucro Líquido]])/Tabela2[[#This Row],[Total Ações]]</f>
        <v>6.0432771653118031</v>
      </c>
      <c r="F123" s="67">
        <v>3.7692600000000001</v>
      </c>
      <c r="G123" s="46">
        <f>IF(AND(Tabela2[[#This Row],[Dividendo / Ação]]&gt;0,Tabela2[[#This Row],[Lucro por ação]]&gt;0),Tabela2[[#This Row],[Dividendo / Ação]]/Tabela2[[#This Row],[Lucro por ação]],"")</f>
        <v>0.62371125746729261</v>
      </c>
      <c r="H123" s="6">
        <f>MAX(Tabela2[[#This Row],[Cotação 1]],Tabela2[[#This Row],[Cotação 2]])</f>
        <v>17.079999999999998</v>
      </c>
      <c r="I123" s="19">
        <f>IF(Tabela2[[#This Row],[Dividendo / Ação]]&gt;0,Tabela2[[#This Row],[Dividendo / Ação]]/Tabela2[[#This Row],[Cotação]],"")</f>
        <v>0.22068266978922718</v>
      </c>
      <c r="J123" s="62">
        <f>SUMPRODUCT(N(Tabela1[Código]=Tabela2[[#This Row],[Ativo]]),Tabela1[Fechamento])</f>
        <v>17.079999999999998</v>
      </c>
      <c r="K123" s="62">
        <f>SUMPRODUCT(N(Tabela17[Código]=Tabela2[[#This Row],[Ativo]]),Tabela17[Fechamento])</f>
        <v>0</v>
      </c>
    </row>
    <row r="124" spans="1:11" x14ac:dyDescent="0.2">
      <c r="A124" s="4" t="s">
        <v>72</v>
      </c>
      <c r="B124" s="4">
        <v>2011</v>
      </c>
      <c r="C124" s="5">
        <v>26190000</v>
      </c>
      <c r="D124" s="8">
        <f>SUMPRODUCT(N(Tabela3[PAPEL]=Tabela2[[#This Row],[Ativo]]),Tabela3[Total Ações])</f>
        <v>9183458</v>
      </c>
      <c r="E124" s="67">
        <f>(Tabela2[[#This Row],[Lucro Líquido]])/Tabela2[[#This Row],[Total Ações]]</f>
        <v>2.8518669111352173</v>
      </c>
      <c r="F124" s="67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6">
        <f>MAX(Tabela2[[#This Row],[Cotação 1]],Tabela2[[#This Row],[Cotação 2]])</f>
        <v>17.079999999999998</v>
      </c>
      <c r="I124" s="19" t="str">
        <f>IF(Tabela2[[#This Row],[Dividendo / Ação]]&gt;0,Tabela2[[#This Row],[Dividendo / Ação]]/Tabela2[[#This Row],[Cotação]],"")</f>
        <v/>
      </c>
      <c r="J124" s="62">
        <f>SUMPRODUCT(N(Tabela1[Código]=Tabela2[[#This Row],[Ativo]]),Tabela1[Fechamento])</f>
        <v>17.079999999999998</v>
      </c>
      <c r="K124" s="62">
        <f>SUMPRODUCT(N(Tabela17[Código]=Tabela2[[#This Row],[Ativo]]),Tabela17[Fechamento])</f>
        <v>0</v>
      </c>
    </row>
    <row r="125" spans="1:11" x14ac:dyDescent="0.2">
      <c r="A125" s="4" t="s">
        <v>72</v>
      </c>
      <c r="B125" s="4">
        <v>2010</v>
      </c>
      <c r="C125" s="5">
        <v>2049000</v>
      </c>
      <c r="D125" s="8">
        <f>SUMPRODUCT(N(Tabela3[PAPEL]=Tabela2[[#This Row],[Ativo]]),Tabela3[Total Ações])</f>
        <v>9183458</v>
      </c>
      <c r="E125" s="67">
        <f>(Tabela2[[#This Row],[Lucro Líquido]])/Tabela2[[#This Row],[Total Ações]]</f>
        <v>0.22311856819076212</v>
      </c>
      <c r="F125" s="67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6">
        <f>MAX(Tabela2[[#This Row],[Cotação 1]],Tabela2[[#This Row],[Cotação 2]])</f>
        <v>17.079999999999998</v>
      </c>
      <c r="I125" s="19" t="str">
        <f>IF(Tabela2[[#This Row],[Dividendo / Ação]]&gt;0,Tabela2[[#This Row],[Dividendo / Ação]]/Tabela2[[#This Row],[Cotação]],"")</f>
        <v/>
      </c>
      <c r="J125" s="62">
        <f>SUMPRODUCT(N(Tabela1[Código]=Tabela2[[#This Row],[Ativo]]),Tabela1[Fechamento])</f>
        <v>17.079999999999998</v>
      </c>
      <c r="K125" s="62">
        <f>SUMPRODUCT(N(Tabela17[Código]=Tabela2[[#This Row],[Ativo]]),Tabela17[Fechamento])</f>
        <v>0</v>
      </c>
    </row>
    <row r="126" spans="1:11" x14ac:dyDescent="0.2">
      <c r="A126" s="4" t="s">
        <v>72</v>
      </c>
      <c r="B126" s="4">
        <v>2009</v>
      </c>
      <c r="C126" s="5">
        <v>48919970.259999998</v>
      </c>
      <c r="D126" s="8">
        <f>SUMPRODUCT(N(Tabela3[PAPEL]=Tabela2[[#This Row],[Ativo]]),Tabela3[Total Ações])</f>
        <v>9183458</v>
      </c>
      <c r="E126" s="67">
        <f>(Tabela2[[#This Row],[Lucro Líquido]])/Tabela2[[#This Row],[Total Ações]]</f>
        <v>5.3269661885533743</v>
      </c>
      <c r="F126" s="67">
        <v>4.3982070000000002</v>
      </c>
      <c r="G126" s="46">
        <f>IF(AND(Tabela2[[#This Row],[Dividendo / Ação]]&gt;0,Tabela2[[#This Row],[Lucro por ação]]&gt;0),Tabela2[[#This Row],[Dividendo / Ação]]/Tabela2[[#This Row],[Lucro por ação]],"")</f>
        <v>0.82564950561370198</v>
      </c>
      <c r="H126" s="6">
        <f>MAX(Tabela2[[#This Row],[Cotação 1]],Tabela2[[#This Row],[Cotação 2]])</f>
        <v>17.079999999999998</v>
      </c>
      <c r="I126" s="19">
        <f>IF(Tabela2[[#This Row],[Dividendo / Ação]]&gt;0,Tabela2[[#This Row],[Dividendo / Ação]]/Tabela2[[#This Row],[Cotação]],"")</f>
        <v>0.25750626463700238</v>
      </c>
      <c r="J126" s="62">
        <f>SUMPRODUCT(N(Tabela1[Código]=Tabela2[[#This Row],[Ativo]]),Tabela1[Fechamento])</f>
        <v>17.079999999999998</v>
      </c>
      <c r="K126" s="62">
        <f>SUMPRODUCT(N(Tabela17[Código]=Tabela2[[#This Row],[Ativo]]),Tabela17[Fechamento])</f>
        <v>0</v>
      </c>
    </row>
    <row r="127" spans="1:11" x14ac:dyDescent="0.2">
      <c r="A127" s="4" t="s">
        <v>96</v>
      </c>
      <c r="B127" s="4">
        <v>2012</v>
      </c>
      <c r="C127" s="6">
        <v>805497405.55999994</v>
      </c>
      <c r="D127" s="8">
        <f>SUMPRODUCT(N(Tabela3[PAPEL]=Tabela2[[#This Row],[Ativo]]),Tabela3[Total Ações])</f>
        <v>188177338</v>
      </c>
      <c r="E127" s="67">
        <f>(Tabela2[[#This Row],[Lucro Líquido]])/Tabela2[[#This Row],[Total Ações]]</f>
        <v>4.2805229052607805</v>
      </c>
      <c r="F127" s="67">
        <v>2.3192654978</v>
      </c>
      <c r="G127" s="46">
        <f>IF(AND(Tabela2[[#This Row],[Dividendo / Ação]]&gt;0,Tabela2[[#This Row],[Lucro por ação]]&gt;0),Tabela2[[#This Row],[Dividendo / Ação]]/Tabela2[[#This Row],[Lucro por ação]],"")</f>
        <v>0.54181826592952298</v>
      </c>
      <c r="H127" s="6">
        <f>MAX(Tabela2[[#This Row],[Cotação 1]],Tabela2[[#This Row],[Cotação 2]])</f>
        <v>30.99</v>
      </c>
      <c r="I127" s="19">
        <f>IF(Tabela2[[#This Row],[Dividendo / Ação]]&gt;0,Tabela2[[#This Row],[Dividendo / Ação]]/Tabela2[[#This Row],[Cotação]],"")</f>
        <v>7.4839157721845767E-2</v>
      </c>
      <c r="J127" s="62">
        <f>SUMPRODUCT(N(Tabela1[Código]=Tabela2[[#This Row],[Ativo]]),Tabela1[Fechamento])</f>
        <v>30.99</v>
      </c>
      <c r="K127" s="62">
        <f>SUMPRODUCT(N(Tabela17[Código]=Tabela2[[#This Row],[Ativo]]),Tabela17[Fechamento])</f>
        <v>0</v>
      </c>
    </row>
    <row r="128" spans="1:11" x14ac:dyDescent="0.2">
      <c r="A128" s="4" t="s">
        <v>96</v>
      </c>
      <c r="B128" s="3">
        <v>2011</v>
      </c>
      <c r="C128" s="5">
        <v>750490000</v>
      </c>
      <c r="D128" s="63">
        <f>SUMPRODUCT(N(Tabela3[PAPEL]=Tabela2[[#This Row],[Ativo]]),Tabela3[Total Ações])</f>
        <v>188177338</v>
      </c>
      <c r="E128" s="66">
        <f>(Tabela2[[#This Row],[Lucro Líquido]])/Tabela2[[#This Row],[Total Ações]]</f>
        <v>3.988206061242082</v>
      </c>
      <c r="F128" s="66">
        <v>4.4176596381</v>
      </c>
      <c r="G128" s="22">
        <f>IF(AND(Tabela2[[#This Row],[Dividendo / Ação]]&gt;0,Tabela2[[#This Row],[Lucro por ação]]&gt;0),Tabela2[[#This Row],[Dividendo / Ação]]/Tabela2[[#This Row],[Lucro por ação]],"")</f>
        <v>1.1076808896690182</v>
      </c>
      <c r="H128" s="5">
        <f>MAX(Tabela2[[#This Row],[Cotação 1]],Tabela2[[#This Row],[Cotação 2]])</f>
        <v>30.99</v>
      </c>
      <c r="I128" s="18">
        <f>IF(Tabela2[[#This Row],[Dividendo / Ação]]&gt;0,Tabela2[[#This Row],[Dividendo / Ação]]/Tabela2[[#This Row],[Cotação]],"")</f>
        <v>0.14255113385285575</v>
      </c>
      <c r="J128" s="61">
        <f>SUMPRODUCT(N(Tabela1[Código]=Tabela2[[#This Row],[Ativo]]),Tabela1[Fechamento])</f>
        <v>30.99</v>
      </c>
      <c r="K128" s="61">
        <f>SUMPRODUCT(N(Tabela17[Código]=Tabela2[[#This Row],[Ativo]]),Tabela17[Fechamento])</f>
        <v>0</v>
      </c>
    </row>
    <row r="129" spans="1:11" x14ac:dyDescent="0.2">
      <c r="A129" s="4" t="s">
        <v>96</v>
      </c>
      <c r="B129" s="3">
        <v>2010</v>
      </c>
      <c r="C129" s="5">
        <v>945719000</v>
      </c>
      <c r="D129" s="63">
        <f>SUMPRODUCT(N(Tabela3[PAPEL]=Tabela2[[#This Row],[Ativo]]),Tabela3[Total Ações])</f>
        <v>188177338</v>
      </c>
      <c r="E129" s="66">
        <f>(Tabela2[[#This Row],[Lucro Líquido]])/Tabela2[[#This Row],[Total Ações]]</f>
        <v>5.0256795534008454</v>
      </c>
      <c r="F129" s="66">
        <v>3.6718683019</v>
      </c>
      <c r="G129" s="22">
        <f>IF(AND(Tabela2[[#This Row],[Dividendo / Ação]]&gt;0,Tabela2[[#This Row],[Lucro por ação]]&gt;0),Tabela2[[#This Row],[Dividendo / Ação]]/Tabela2[[#This Row],[Lucro por ação]],"")</f>
        <v>0.73062125487393448</v>
      </c>
      <c r="H129" s="5">
        <f>MAX(Tabela2[[#This Row],[Cotação 1]],Tabela2[[#This Row],[Cotação 2]])</f>
        <v>30.99</v>
      </c>
      <c r="I129" s="18">
        <f>IF(Tabela2[[#This Row],[Dividendo / Ação]]&gt;0,Tabela2[[#This Row],[Dividendo / Ação]]/Tabela2[[#This Row],[Cotação]],"")</f>
        <v>0.11848558573410778</v>
      </c>
      <c r="J129" s="61">
        <f>SUMPRODUCT(N(Tabela1[Código]=Tabela2[[#This Row],[Ativo]]),Tabela1[Fechamento])</f>
        <v>30.99</v>
      </c>
      <c r="K129" s="61">
        <f>SUMPRODUCT(N(Tabela17[Código]=Tabela2[[#This Row],[Ativo]]),Tabela17[Fechamento])</f>
        <v>0</v>
      </c>
    </row>
    <row r="130" spans="1:11" x14ac:dyDescent="0.2">
      <c r="A130" s="4" t="s">
        <v>96</v>
      </c>
      <c r="B130" s="3">
        <v>2009</v>
      </c>
      <c r="C130" s="5">
        <v>887625000</v>
      </c>
      <c r="D130" s="63">
        <f>SUMPRODUCT(N(Tabela3[PAPEL]=Tabela2[[#This Row],[Ativo]]),Tabela3[Total Ações])</f>
        <v>188177338</v>
      </c>
      <c r="E130" s="66">
        <f>(Tabela2[[#This Row],[Lucro Líquido]])/Tabela2[[#This Row],[Total Ações]]</f>
        <v>4.7169601261975549</v>
      </c>
      <c r="F130" s="66">
        <v>3.24332932</v>
      </c>
      <c r="G130" s="22">
        <f>IF(AND(Tabela2[[#This Row],[Dividendo / Ação]]&gt;0,Tabela2[[#This Row],[Lucro por ação]]&gt;0),Tabela2[[#This Row],[Dividendo / Ação]]/Tabela2[[#This Row],[Lucro por ação]],"")</f>
        <v>0.68758887784250122</v>
      </c>
      <c r="H130" s="5">
        <f>MAX(Tabela2[[#This Row],[Cotação 1]],Tabela2[[#This Row],[Cotação 2]])</f>
        <v>30.99</v>
      </c>
      <c r="I130" s="18">
        <f>IF(Tabela2[[#This Row],[Dividendo / Ação]]&gt;0,Tabela2[[#This Row],[Dividendo / Ação]]/Tabela2[[#This Row],[Cotação]],"")</f>
        <v>0.1046572868667312</v>
      </c>
      <c r="J130" s="61">
        <f>SUMPRODUCT(N(Tabela1[Código]=Tabela2[[#This Row],[Ativo]]),Tabela1[Fechamento])</f>
        <v>30.99</v>
      </c>
      <c r="K130" s="61">
        <f>SUMPRODUCT(N(Tabela17[Código]=Tabela2[[#This Row],[Ativo]]),Tabela17[Fechamento])</f>
        <v>0</v>
      </c>
    </row>
    <row r="131" spans="1:11" x14ac:dyDescent="0.2">
      <c r="A131" s="4" t="s">
        <v>97</v>
      </c>
      <c r="B131" s="4">
        <v>2012</v>
      </c>
      <c r="C131" s="6">
        <v>805497405.55999994</v>
      </c>
      <c r="D131" s="8">
        <f>SUMPRODUCT(N(Tabela3[PAPEL]=Tabela2[[#This Row],[Ativo]]),Tabela3[Total Ações])</f>
        <v>188177338</v>
      </c>
      <c r="E131" s="67">
        <f>(Tabela2[[#This Row],[Lucro Líquido]])/Tabela2[[#This Row],[Total Ações]]</f>
        <v>4.2805229052607805</v>
      </c>
      <c r="F131" s="67">
        <v>2.3192654978</v>
      </c>
      <c r="G131" s="46">
        <f>IF(AND(Tabela2[[#This Row],[Dividendo / Ação]]&gt;0,Tabela2[[#This Row],[Lucro por ação]]&gt;0),Tabela2[[#This Row],[Dividendo / Ação]]/Tabela2[[#This Row],[Lucro por ação]],"")</f>
        <v>0.54181826592952298</v>
      </c>
      <c r="H131" s="6">
        <f>MAX(Tabela2[[#This Row],[Cotação 1]],Tabela2[[#This Row],[Cotação 2]])</f>
        <v>32.01</v>
      </c>
      <c r="I131" s="19">
        <f>IF(Tabela2[[#This Row],[Dividendo / Ação]]&gt;0,Tabela2[[#This Row],[Dividendo / Ação]]/Tabela2[[#This Row],[Cotação]],"")</f>
        <v>7.2454404804748518E-2</v>
      </c>
      <c r="J131" s="62">
        <f>SUMPRODUCT(N(Tabela1[Código]=Tabela2[[#This Row],[Ativo]]),Tabela1[Fechamento])</f>
        <v>32.01</v>
      </c>
      <c r="K131" s="62">
        <f>SUMPRODUCT(N(Tabela17[Código]=Tabela2[[#This Row],[Ativo]]),Tabela17[Fechamento])</f>
        <v>0</v>
      </c>
    </row>
    <row r="132" spans="1:11" x14ac:dyDescent="0.2">
      <c r="A132" s="4" t="s">
        <v>97</v>
      </c>
      <c r="B132" s="3">
        <v>2011</v>
      </c>
      <c r="C132" s="5">
        <v>750490000</v>
      </c>
      <c r="D132" s="63">
        <f>SUMPRODUCT(N(Tabela3[PAPEL]=Tabela2[[#This Row],[Ativo]]),Tabela3[Total Ações])</f>
        <v>188177338</v>
      </c>
      <c r="E132" s="66">
        <f>(Tabela2[[#This Row],[Lucro Líquido]])/Tabela2[[#This Row],[Total Ações]]</f>
        <v>3.988206061242082</v>
      </c>
      <c r="F132" s="66">
        <v>4.4176596381</v>
      </c>
      <c r="G132" s="22">
        <f>IF(AND(Tabela2[[#This Row],[Dividendo / Ação]]&gt;0,Tabela2[[#This Row],[Lucro por ação]]&gt;0),Tabela2[[#This Row],[Dividendo / Ação]]/Tabela2[[#This Row],[Lucro por ação]],"")</f>
        <v>1.1076808896690182</v>
      </c>
      <c r="H132" s="5">
        <f>MAX(Tabela2[[#This Row],[Cotação 1]],Tabela2[[#This Row],[Cotação 2]])</f>
        <v>32.01</v>
      </c>
      <c r="I132" s="18">
        <f>IF(Tabela2[[#This Row],[Dividendo / Ação]]&gt;0,Tabela2[[#This Row],[Dividendo / Ação]]/Tabela2[[#This Row],[Cotação]],"")</f>
        <v>0.13800873596063731</v>
      </c>
      <c r="J132" s="61">
        <f>SUMPRODUCT(N(Tabela1[Código]=Tabela2[[#This Row],[Ativo]]),Tabela1[Fechamento])</f>
        <v>32.01</v>
      </c>
      <c r="K132" s="61">
        <f>SUMPRODUCT(N(Tabela17[Código]=Tabela2[[#This Row],[Ativo]]),Tabela17[Fechamento])</f>
        <v>0</v>
      </c>
    </row>
    <row r="133" spans="1:11" x14ac:dyDescent="0.2">
      <c r="A133" s="4" t="s">
        <v>97</v>
      </c>
      <c r="B133" s="3">
        <v>2010</v>
      </c>
      <c r="C133" s="5">
        <v>945719000</v>
      </c>
      <c r="D133" s="63">
        <f>SUMPRODUCT(N(Tabela3[PAPEL]=Tabela2[[#This Row],[Ativo]]),Tabela3[Total Ações])</f>
        <v>188177338</v>
      </c>
      <c r="E133" s="66">
        <f>(Tabela2[[#This Row],[Lucro Líquido]])/Tabela2[[#This Row],[Total Ações]]</f>
        <v>5.0256795534008454</v>
      </c>
      <c r="F133" s="66">
        <v>3.6718683019</v>
      </c>
      <c r="G133" s="22">
        <f>IF(AND(Tabela2[[#This Row],[Dividendo / Ação]]&gt;0,Tabela2[[#This Row],[Lucro por ação]]&gt;0),Tabela2[[#This Row],[Dividendo / Ação]]/Tabela2[[#This Row],[Lucro por ação]],"")</f>
        <v>0.73062125487393448</v>
      </c>
      <c r="H133" s="5">
        <f>MAX(Tabela2[[#This Row],[Cotação 1]],Tabela2[[#This Row],[Cotação 2]])</f>
        <v>32.01</v>
      </c>
      <c r="I133" s="18">
        <f>IF(Tabela2[[#This Row],[Dividendo / Ação]]&gt;0,Tabela2[[#This Row],[Dividendo / Ação]]/Tabela2[[#This Row],[Cotação]],"")</f>
        <v>0.11471003754764136</v>
      </c>
      <c r="J133" s="61">
        <f>SUMPRODUCT(N(Tabela1[Código]=Tabela2[[#This Row],[Ativo]]),Tabela1[Fechamento])</f>
        <v>32.01</v>
      </c>
      <c r="K133" s="61">
        <f>SUMPRODUCT(N(Tabela17[Código]=Tabela2[[#This Row],[Ativo]]),Tabela17[Fechamento])</f>
        <v>0</v>
      </c>
    </row>
    <row r="134" spans="1:11" x14ac:dyDescent="0.2">
      <c r="A134" s="4" t="s">
        <v>97</v>
      </c>
      <c r="B134" s="3">
        <v>2009</v>
      </c>
      <c r="C134" s="5">
        <v>887625000</v>
      </c>
      <c r="D134" s="63">
        <f>SUMPRODUCT(N(Tabela3[PAPEL]=Tabela2[[#This Row],[Ativo]]),Tabela3[Total Ações])</f>
        <v>188177338</v>
      </c>
      <c r="E134" s="66">
        <f>(Tabela2[[#This Row],[Lucro Líquido]])/Tabela2[[#This Row],[Total Ações]]</f>
        <v>4.7169601261975549</v>
      </c>
      <c r="F134" s="66">
        <v>3.24332932</v>
      </c>
      <c r="G134" s="22">
        <f>IF(AND(Tabela2[[#This Row],[Dividendo / Ação]]&gt;0,Tabela2[[#This Row],[Lucro por ação]]&gt;0),Tabela2[[#This Row],[Dividendo / Ação]]/Tabela2[[#This Row],[Lucro por ação]],"")</f>
        <v>0.68758887784250122</v>
      </c>
      <c r="H134" s="5">
        <f>MAX(Tabela2[[#This Row],[Cotação 1]],Tabela2[[#This Row],[Cotação 2]])</f>
        <v>32.01</v>
      </c>
      <c r="I134" s="18">
        <f>IF(Tabela2[[#This Row],[Dividendo / Ação]]&gt;0,Tabela2[[#This Row],[Dividendo / Ação]]/Tabela2[[#This Row],[Cotação]],"")</f>
        <v>0.10132237800687285</v>
      </c>
      <c r="J134" s="61">
        <f>SUMPRODUCT(N(Tabela1[Código]=Tabela2[[#This Row],[Ativo]]),Tabela1[Fechamento])</f>
        <v>32.01</v>
      </c>
      <c r="K134" s="61">
        <f>SUMPRODUCT(N(Tabela17[Código]=Tabela2[[#This Row],[Ativo]]),Tabela17[Fechamento])</f>
        <v>0</v>
      </c>
    </row>
    <row r="135" spans="1:11" x14ac:dyDescent="0.2">
      <c r="A135" s="4" t="s">
        <v>73</v>
      </c>
      <c r="B135" s="4">
        <v>2012</v>
      </c>
      <c r="C135" s="6">
        <v>15128479.970000001</v>
      </c>
      <c r="D135" s="8">
        <f>SUMPRODUCT(N(Tabela3[PAPEL]=Tabela2[[#This Row],[Ativo]]),Tabela3[Total Ações])</f>
        <v>74612388</v>
      </c>
      <c r="E135" s="67">
        <f>(Tabela2[[#This Row],[Lucro Líquido]])/Tabela2[[#This Row],[Total Ações]]</f>
        <v>0.20276096738788202</v>
      </c>
      <c r="F135" s="67">
        <v>0.20233950000000001</v>
      </c>
      <c r="G135" s="46">
        <f>IF(AND(Tabela2[[#This Row],[Dividendo / Ação]]&gt;0,Tabela2[[#This Row],[Lucro por ação]]&gt;0),Tabela2[[#This Row],[Dividendo / Ação]]/Tabela2[[#This Row],[Lucro por ação]],"")</f>
        <v>0.99792135836935647</v>
      </c>
      <c r="H135" s="6">
        <f>MAX(Tabela2[[#This Row],[Cotação 1]],Tabela2[[#This Row],[Cotação 2]])</f>
        <v>18</v>
      </c>
      <c r="I135" s="19">
        <f>IF(Tabela2[[#This Row],[Dividendo / Ação]]&gt;0,Tabela2[[#This Row],[Dividendo / Ação]]/Tabela2[[#This Row],[Cotação]],"")</f>
        <v>1.1241083333333334E-2</v>
      </c>
      <c r="J135" s="62">
        <f>SUMPRODUCT(N(Tabela1[Código]=Tabela2[[#This Row],[Ativo]]),Tabela1[Fechamento])</f>
        <v>18</v>
      </c>
      <c r="K135" s="62">
        <f>SUMPRODUCT(N(Tabela17[Código]=Tabela2[[#This Row],[Ativo]]),Tabela17[Fechamento])</f>
        <v>0</v>
      </c>
    </row>
    <row r="136" spans="1:11" x14ac:dyDescent="0.2">
      <c r="A136" s="4" t="s">
        <v>73</v>
      </c>
      <c r="B136" s="3">
        <v>2011</v>
      </c>
      <c r="C136" s="5">
        <v>283416000</v>
      </c>
      <c r="D136" s="63">
        <f>SUMPRODUCT(N(Tabela3[PAPEL]=Tabela2[[#This Row],[Ativo]]),Tabela3[Total Ações])</f>
        <v>74612388</v>
      </c>
      <c r="E136" s="66">
        <f>(Tabela2[[#This Row],[Lucro Líquido]])/Tabela2[[#This Row],[Total Ações]]</f>
        <v>3.7985113142337705</v>
      </c>
      <c r="F136" s="66">
        <v>3.2507519999999999</v>
      </c>
      <c r="G136" s="22">
        <f>IF(AND(Tabela2[[#This Row],[Dividendo / Ação]]&gt;0,Tabela2[[#This Row],[Lucro por ação]]&gt;0),Tabela2[[#This Row],[Dividendo / Ação]]/Tabela2[[#This Row],[Lucro por ação]],"")</f>
        <v>0.85579631889440255</v>
      </c>
      <c r="H136" s="5">
        <f>MAX(Tabela2[[#This Row],[Cotação 1]],Tabela2[[#This Row],[Cotação 2]])</f>
        <v>18</v>
      </c>
      <c r="I136" s="18">
        <f>IF(Tabela2[[#This Row],[Dividendo / Ação]]&gt;0,Tabela2[[#This Row],[Dividendo / Ação]]/Tabela2[[#This Row],[Cotação]],"")</f>
        <v>0.18059733333333333</v>
      </c>
      <c r="J136" s="61">
        <f>SUMPRODUCT(N(Tabela1[Código]=Tabela2[[#This Row],[Ativo]]),Tabela1[Fechamento])</f>
        <v>18</v>
      </c>
      <c r="K136" s="61">
        <f>SUMPRODUCT(N(Tabela17[Código]=Tabela2[[#This Row],[Ativo]]),Tabela17[Fechamento])</f>
        <v>0</v>
      </c>
    </row>
    <row r="137" spans="1:11" x14ac:dyDescent="0.2">
      <c r="A137" s="4" t="s">
        <v>73</v>
      </c>
      <c r="B137" s="3">
        <v>2010</v>
      </c>
      <c r="C137" s="5">
        <v>448291000</v>
      </c>
      <c r="D137" s="63">
        <f>SUMPRODUCT(N(Tabela3[PAPEL]=Tabela2[[#This Row],[Ativo]]),Tabela3[Total Ações])</f>
        <v>74612388</v>
      </c>
      <c r="E137" s="66">
        <f>(Tabela2[[#This Row],[Lucro Líquido]])/Tabela2[[#This Row],[Total Ações]]</f>
        <v>6.0082650082182063</v>
      </c>
      <c r="F137" s="66">
        <v>3.3315596300000001</v>
      </c>
      <c r="G137" s="22">
        <f>IF(AND(Tabela2[[#This Row],[Dividendo / Ação]]&gt;0,Tabela2[[#This Row],[Lucro por ação]]&gt;0),Tabela2[[#This Row],[Dividendo / Ação]]/Tabela2[[#This Row],[Lucro por ação]],"")</f>
        <v>0.55449611916968322</v>
      </c>
      <c r="H137" s="5">
        <f>MAX(Tabela2[[#This Row],[Cotação 1]],Tabela2[[#This Row],[Cotação 2]])</f>
        <v>18</v>
      </c>
      <c r="I137" s="18">
        <f>IF(Tabela2[[#This Row],[Dividendo / Ação]]&gt;0,Tabela2[[#This Row],[Dividendo / Ação]]/Tabela2[[#This Row],[Cotação]],"")</f>
        <v>0.18508664611111111</v>
      </c>
      <c r="J137" s="61">
        <f>SUMPRODUCT(N(Tabela1[Código]=Tabela2[[#This Row],[Ativo]]),Tabela1[Fechamento])</f>
        <v>18</v>
      </c>
      <c r="K137" s="61">
        <f>SUMPRODUCT(N(Tabela17[Código]=Tabela2[[#This Row],[Ativo]]),Tabela17[Fechamento])</f>
        <v>0</v>
      </c>
    </row>
    <row r="138" spans="1:11" x14ac:dyDescent="0.2">
      <c r="A138" s="4" t="s">
        <v>73</v>
      </c>
      <c r="B138" s="3">
        <v>2010</v>
      </c>
      <c r="C138" s="5">
        <v>586949000</v>
      </c>
      <c r="D138" s="63">
        <f>SUMPRODUCT(N(Tabela3[PAPEL]=Tabela2[[#This Row],[Ativo]]),Tabela3[Total Ações])</f>
        <v>74612388</v>
      </c>
      <c r="E138" s="66">
        <f>(Tabela2[[#This Row],[Lucro Líquido]])/Tabela2[[#This Row],[Total Ações]]</f>
        <v>7.866642734983901</v>
      </c>
      <c r="F138" s="66">
        <v>4.429843</v>
      </c>
      <c r="G138" s="22">
        <f>IF(AND(Tabela2[[#This Row],[Dividendo / Ação]]&gt;0,Tabela2[[#This Row],[Lucro por ação]]&gt;0),Tabela2[[#This Row],[Dividendo / Ação]]/Tabela2[[#This Row],[Lucro por ação]],"")</f>
        <v>0.56311734868801888</v>
      </c>
      <c r="H138" s="5">
        <f>MAX(Tabela2[[#This Row],[Cotação 1]],Tabela2[[#This Row],[Cotação 2]])</f>
        <v>18</v>
      </c>
      <c r="I138" s="18">
        <f>IF(Tabela2[[#This Row],[Dividendo / Ação]]&gt;0,Tabela2[[#This Row],[Dividendo / Ação]]/Tabela2[[#This Row],[Cotação]],"")</f>
        <v>0.24610238888888888</v>
      </c>
      <c r="J138" s="61">
        <f>SUMPRODUCT(N(Tabela1[Código]=Tabela2[[#This Row],[Ativo]]),Tabela1[Fechamento])</f>
        <v>18</v>
      </c>
      <c r="K138" s="61">
        <f>SUMPRODUCT(N(Tabela17[Código]=Tabela2[[#This Row],[Ativo]]),Tabela17[Fechamento])</f>
        <v>0</v>
      </c>
    </row>
    <row r="139" spans="1:11" x14ac:dyDescent="0.2">
      <c r="A139" s="4" t="s">
        <v>100</v>
      </c>
      <c r="B139" s="4">
        <v>2012</v>
      </c>
      <c r="C139" s="6">
        <v>15128479.970000001</v>
      </c>
      <c r="D139" s="8">
        <f>SUMPRODUCT(N(Tabela3[PAPEL]=Tabela2[[#This Row],[Ativo]]),Tabela3[Total Ações])</f>
        <v>74612388</v>
      </c>
      <c r="E139" s="67">
        <f>(Tabela2[[#This Row],[Lucro Líquido]])/Tabela2[[#This Row],[Total Ações]]</f>
        <v>0.20276096738788202</v>
      </c>
      <c r="F139" s="67">
        <v>0.22263450000000001</v>
      </c>
      <c r="G139" s="46">
        <f>IF(AND(Tabela2[[#This Row],[Dividendo / Ação]]&gt;0,Tabela2[[#This Row],[Lucro por ação]]&gt;0),Tabela2[[#This Row],[Dividendo / Ação]]/Tabela2[[#This Row],[Lucro por ação]],"")</f>
        <v>1.0980145876602565</v>
      </c>
      <c r="H139" s="6">
        <f>MAX(Tabela2[[#This Row],[Cotação 1]],Tabela2[[#This Row],[Cotação 2]])</f>
        <v>21.51</v>
      </c>
      <c r="I139" s="19">
        <f>IF(Tabela2[[#This Row],[Dividendo / Ação]]&gt;0,Tabela2[[#This Row],[Dividendo / Ação]]/Tabela2[[#This Row],[Cotação]],"")</f>
        <v>1.0350278940027893E-2</v>
      </c>
      <c r="J139" s="62">
        <f>SUMPRODUCT(N(Tabela1[Código]=Tabela2[[#This Row],[Ativo]]),Tabela1[Fechamento])</f>
        <v>21.51</v>
      </c>
      <c r="K139" s="62">
        <f>SUMPRODUCT(N(Tabela17[Código]=Tabela2[[#This Row],[Ativo]]),Tabela17[Fechamento])</f>
        <v>0</v>
      </c>
    </row>
    <row r="140" spans="1:11" x14ac:dyDescent="0.2">
      <c r="A140" s="4" t="s">
        <v>100</v>
      </c>
      <c r="B140" s="4">
        <v>2011</v>
      </c>
      <c r="C140" s="5">
        <v>283416000</v>
      </c>
      <c r="D140" s="8">
        <f>SUMPRODUCT(N(Tabela3[PAPEL]=Tabela2[[#This Row],[Ativo]]),Tabela3[Total Ações])</f>
        <v>74612388</v>
      </c>
      <c r="E140" s="67">
        <f>(Tabela2[[#This Row],[Lucro Líquido]])/Tabela2[[#This Row],[Total Ações]]</f>
        <v>3.7985113142337705</v>
      </c>
      <c r="F140" s="67">
        <v>3.5758272</v>
      </c>
      <c r="G140" s="46">
        <f>IF(AND(Tabela2[[#This Row],[Dividendo / Ação]]&gt;0,Tabela2[[#This Row],[Lucro por ação]]&gt;0),Tabela2[[#This Row],[Dividendo / Ação]]/Tabela2[[#This Row],[Lucro por ação]],"")</f>
        <v>0.94137595078384284</v>
      </c>
      <c r="H140" s="6">
        <f>MAX(Tabela2[[#This Row],[Cotação 1]],Tabela2[[#This Row],[Cotação 2]])</f>
        <v>21.51</v>
      </c>
      <c r="I140" s="19">
        <f>IF(Tabela2[[#This Row],[Dividendo / Ação]]&gt;0,Tabela2[[#This Row],[Dividendo / Ação]]/Tabela2[[#This Row],[Cotação]],"")</f>
        <v>0.1662402231520223</v>
      </c>
      <c r="J140" s="62">
        <f>SUMPRODUCT(N(Tabela1[Código]=Tabela2[[#This Row],[Ativo]]),Tabela1[Fechamento])</f>
        <v>21.51</v>
      </c>
      <c r="K140" s="62">
        <f>SUMPRODUCT(N(Tabela17[Código]=Tabela2[[#This Row],[Ativo]]),Tabela17[Fechamento])</f>
        <v>0</v>
      </c>
    </row>
    <row r="141" spans="1:11" x14ac:dyDescent="0.2">
      <c r="A141" s="4" t="s">
        <v>100</v>
      </c>
      <c r="B141" s="4">
        <v>2010</v>
      </c>
      <c r="C141" s="5">
        <v>448291000</v>
      </c>
      <c r="D141" s="8">
        <f>SUMPRODUCT(N(Tabela3[PAPEL]=Tabela2[[#This Row],[Ativo]]),Tabela3[Total Ações])</f>
        <v>74612388</v>
      </c>
      <c r="E141" s="67">
        <f>(Tabela2[[#This Row],[Lucro Líquido]])/Tabela2[[#This Row],[Total Ações]]</f>
        <v>6.0082650082182063</v>
      </c>
      <c r="F141" s="67">
        <v>3.6647560000000001</v>
      </c>
      <c r="G141" s="46">
        <f>IF(AND(Tabela2[[#This Row],[Dividendo / Ação]]&gt;0,Tabela2[[#This Row],[Lucro por ação]]&gt;0),Tabela2[[#This Row],[Dividendo / Ação]]/Tabela2[[#This Row],[Lucro por ação]],"")</f>
        <v>0.60995245632262973</v>
      </c>
      <c r="H141" s="6">
        <f>MAX(Tabela2[[#This Row],[Cotação 1]],Tabela2[[#This Row],[Cotação 2]])</f>
        <v>21.51</v>
      </c>
      <c r="I141" s="19">
        <f>IF(Tabela2[[#This Row],[Dividendo / Ação]]&gt;0,Tabela2[[#This Row],[Dividendo / Ação]]/Tabela2[[#This Row],[Cotação]],"")</f>
        <v>0.17037452347745233</v>
      </c>
      <c r="J141" s="62">
        <f>SUMPRODUCT(N(Tabela1[Código]=Tabela2[[#This Row],[Ativo]]),Tabela1[Fechamento])</f>
        <v>21.51</v>
      </c>
      <c r="K141" s="62">
        <f>SUMPRODUCT(N(Tabela17[Código]=Tabela2[[#This Row],[Ativo]]),Tabela17[Fechamento])</f>
        <v>0</v>
      </c>
    </row>
    <row r="142" spans="1:11" x14ac:dyDescent="0.2">
      <c r="A142" s="4" t="s">
        <v>100</v>
      </c>
      <c r="B142" s="4">
        <v>2010</v>
      </c>
      <c r="C142" s="5">
        <v>586949000</v>
      </c>
      <c r="D142" s="8">
        <f>SUMPRODUCT(N(Tabela3[PAPEL]=Tabela2[[#This Row],[Ativo]]),Tabela3[Total Ações])</f>
        <v>74612388</v>
      </c>
      <c r="E142" s="67">
        <f>(Tabela2[[#This Row],[Lucro Líquido]])/Tabela2[[#This Row],[Total Ações]]</f>
        <v>7.866642734983901</v>
      </c>
      <c r="F142" s="67">
        <v>4.8728273</v>
      </c>
      <c r="G142" s="46">
        <f>IF(AND(Tabela2[[#This Row],[Dividendo / Ação]]&gt;0,Tabela2[[#This Row],[Lucro por ação]]&gt;0),Tabela2[[#This Row],[Dividendo / Ação]]/Tabela2[[#This Row],[Lucro por ação]],"")</f>
        <v>0.6194290835568208</v>
      </c>
      <c r="H142" s="6">
        <f>MAX(Tabela2[[#This Row],[Cotação 1]],Tabela2[[#This Row],[Cotação 2]])</f>
        <v>21.51</v>
      </c>
      <c r="I142" s="19">
        <f>IF(Tabela2[[#This Row],[Dividendo / Ação]]&gt;0,Tabela2[[#This Row],[Dividendo / Ação]]/Tabela2[[#This Row],[Cotação]],"")</f>
        <v>0.22653776383077637</v>
      </c>
      <c r="J142" s="62">
        <f>SUMPRODUCT(N(Tabela1[Código]=Tabela2[[#This Row],[Ativo]]),Tabela1[Fechamento])</f>
        <v>21.51</v>
      </c>
      <c r="K142" s="62">
        <f>SUMPRODUCT(N(Tabela17[Código]=Tabela2[[#This Row],[Ativo]]),Tabela17[Fechamento])</f>
        <v>0</v>
      </c>
    </row>
    <row r="143" spans="1:11" x14ac:dyDescent="0.2">
      <c r="A143" s="4" t="s">
        <v>75</v>
      </c>
      <c r="B143" s="4">
        <v>2012</v>
      </c>
      <c r="C143" s="6">
        <v>147982000</v>
      </c>
      <c r="D143" s="8">
        <f>SUMPRODUCT(N(Tabela3[PAPEL]=Tabela2[[#This Row],[Ativo]]),Tabela3[Total Ações])</f>
        <v>327502673</v>
      </c>
      <c r="E143" s="67">
        <f>(Tabela2[[#This Row],[Lucro Líquido]])/Tabela2[[#This Row],[Total Ações]]</f>
        <v>0.4518497471927504</v>
      </c>
      <c r="F143" s="67">
        <v>1.1599999999999999</v>
      </c>
      <c r="G143" s="46">
        <f>IF(AND(Tabela2[[#This Row],[Dividendo / Ação]]&gt;0,Tabela2[[#This Row],[Lucro por ação]]&gt;0),Tabela2[[#This Row],[Dividendo / Ação]]/Tabela2[[#This Row],[Lucro por ação]],"")</f>
        <v>2.5672250725088186</v>
      </c>
      <c r="H143" s="6">
        <f>MAX(Tabela2[[#This Row],[Cotação 1]],Tabela2[[#This Row],[Cotação 2]])</f>
        <v>19.899999999999999</v>
      </c>
      <c r="I143" s="19">
        <f>IF(Tabela2[[#This Row],[Dividendo / Ação]]&gt;0,Tabela2[[#This Row],[Dividendo / Ação]]/Tabela2[[#This Row],[Cotação]],"")</f>
        <v>5.8291457286432161E-2</v>
      </c>
      <c r="J143" s="62">
        <f>SUMPRODUCT(N(Tabela1[Código]=Tabela2[[#This Row],[Ativo]]),Tabela1[Fechamento])</f>
        <v>19.899999999999999</v>
      </c>
      <c r="K143" s="62">
        <f>SUMPRODUCT(N(Tabela17[Código]=Tabela2[[#This Row],[Ativo]]),Tabela17[Fechamento])</f>
        <v>0</v>
      </c>
    </row>
    <row r="144" spans="1:11" x14ac:dyDescent="0.2">
      <c r="A144" s="4" t="s">
        <v>75</v>
      </c>
      <c r="B144" s="3">
        <v>2011</v>
      </c>
      <c r="C144" s="5">
        <v>108581000</v>
      </c>
      <c r="D144" s="63">
        <f>SUMPRODUCT(N(Tabela3[PAPEL]=Tabela2[[#This Row],[Ativo]]),Tabela3[Total Ações])</f>
        <v>327502673</v>
      </c>
      <c r="E144" s="66">
        <f>(Tabela2[[#This Row],[Lucro Líquido]])/Tabela2[[#This Row],[Total Ações]]</f>
        <v>0.33154233217510259</v>
      </c>
      <c r="F144" s="66">
        <v>1.6978355000000001</v>
      </c>
      <c r="G144" s="22">
        <f>IF(AND(Tabela2[[#This Row],[Dividendo / Ação]]&gt;0,Tabela2[[#This Row],[Lucro por ação]]&gt;0),Tabela2[[#This Row],[Dividendo / Ação]]/Tabela2[[#This Row],[Lucro por ação]],"")</f>
        <v>5.121021767752107</v>
      </c>
      <c r="H144" s="5">
        <f>MAX(Tabela2[[#This Row],[Cotação 1]],Tabela2[[#This Row],[Cotação 2]])</f>
        <v>19.899999999999999</v>
      </c>
      <c r="I144" s="18">
        <f>IF(Tabela2[[#This Row],[Dividendo / Ação]]&gt;0,Tabela2[[#This Row],[Dividendo / Ação]]/Tabela2[[#This Row],[Cotação]],"")</f>
        <v>8.5318366834170864E-2</v>
      </c>
      <c r="J144" s="61">
        <f>SUMPRODUCT(N(Tabela1[Código]=Tabela2[[#This Row],[Ativo]]),Tabela1[Fechamento])</f>
        <v>19.899999999999999</v>
      </c>
      <c r="K144" s="61">
        <f>SUMPRODUCT(N(Tabela17[Código]=Tabela2[[#This Row],[Ativo]]),Tabela17[Fechamento])</f>
        <v>0</v>
      </c>
    </row>
    <row r="145" spans="1:14" x14ac:dyDescent="0.2">
      <c r="A145" s="4" t="s">
        <v>75</v>
      </c>
      <c r="B145" s="3">
        <v>2010</v>
      </c>
      <c r="C145" s="5">
        <v>93042000</v>
      </c>
      <c r="D145" s="63">
        <f>SUMPRODUCT(N(Tabela3[PAPEL]=Tabela2[[#This Row],[Ativo]]),Tabela3[Total Ações])</f>
        <v>327502673</v>
      </c>
      <c r="E145" s="66">
        <f>(Tabela2[[#This Row],[Lucro Líquido]])/Tabela2[[#This Row],[Total Ações]]</f>
        <v>0.28409539118479193</v>
      </c>
      <c r="F145" s="66">
        <v>0.70331069999999996</v>
      </c>
      <c r="G145" s="22">
        <f>IF(AND(Tabela2[[#This Row],[Dividendo / Ação]]&gt;0,Tabela2[[#This Row],[Lucro por ação]]&gt;0),Tabela2[[#This Row],[Dividendo / Ação]]/Tabela2[[#This Row],[Lucro por ação]],"")</f>
        <v>2.475614606301467</v>
      </c>
      <c r="H145" s="5">
        <f>MAX(Tabela2[[#This Row],[Cotação 1]],Tabela2[[#This Row],[Cotação 2]])</f>
        <v>19.899999999999999</v>
      </c>
      <c r="I145" s="18">
        <f>IF(Tabela2[[#This Row],[Dividendo / Ação]]&gt;0,Tabela2[[#This Row],[Dividendo / Ação]]/Tabela2[[#This Row],[Cotação]],"")</f>
        <v>3.5342246231155776E-2</v>
      </c>
      <c r="J145" s="61">
        <f>SUMPRODUCT(N(Tabela1[Código]=Tabela2[[#This Row],[Ativo]]),Tabela1[Fechamento])</f>
        <v>19.899999999999999</v>
      </c>
      <c r="K145" s="61">
        <f>SUMPRODUCT(N(Tabela17[Código]=Tabela2[[#This Row],[Ativo]]),Tabela17[Fechamento])</f>
        <v>0</v>
      </c>
    </row>
    <row r="146" spans="1:14" x14ac:dyDescent="0.2">
      <c r="A146" s="4" t="s">
        <v>94</v>
      </c>
      <c r="B146" s="4">
        <v>2012</v>
      </c>
      <c r="C146" s="6">
        <v>147982000</v>
      </c>
      <c r="D146" s="8">
        <f>SUMPRODUCT(N(Tabela3[PAPEL]=Tabela2[[#This Row],[Ativo]]),Tabela3[Total Ações])</f>
        <v>327502673</v>
      </c>
      <c r="E146" s="67">
        <f>(Tabela2[[#This Row],[Lucro Líquido]])/Tabela2[[#This Row],[Total Ações]]</f>
        <v>0.4518497471927504</v>
      </c>
      <c r="F146" s="67">
        <v>1.82</v>
      </c>
      <c r="G146" s="46">
        <f>IF(AND(Tabela2[[#This Row],[Dividendo / Ação]]&gt;0,Tabela2[[#This Row],[Lucro por ação]]&gt;0),Tabela2[[#This Row],[Dividendo / Ação]]/Tabela2[[#This Row],[Lucro por ação]],"")</f>
        <v>4.027887613763836</v>
      </c>
      <c r="H146" s="6">
        <f>MAX(Tabela2[[#This Row],[Cotação 1]],Tabela2[[#This Row],[Cotação 2]])</f>
        <v>22.18</v>
      </c>
      <c r="I146" s="19">
        <f>IF(Tabela2[[#This Row],[Dividendo / Ação]]&gt;0,Tabela2[[#This Row],[Dividendo / Ação]]/Tabela2[[#This Row],[Cotação]],"")</f>
        <v>8.2055906221821462E-2</v>
      </c>
      <c r="J146" s="62">
        <f>SUMPRODUCT(N(Tabela1[Código]=Tabela2[[#This Row],[Ativo]]),Tabela1[Fechamento])</f>
        <v>22.18</v>
      </c>
      <c r="K146" s="62">
        <f>SUMPRODUCT(N(Tabela17[Código]=Tabela2[[#This Row],[Ativo]]),Tabela17[Fechamento])</f>
        <v>0</v>
      </c>
    </row>
    <row r="147" spans="1:14" x14ac:dyDescent="0.2">
      <c r="A147" s="4" t="s">
        <v>94</v>
      </c>
      <c r="B147" s="3">
        <v>2011</v>
      </c>
      <c r="C147" s="5">
        <v>108581000</v>
      </c>
      <c r="D147" s="63">
        <f>SUMPRODUCT(N(Tabela3[PAPEL]=Tabela2[[#This Row],[Ativo]]),Tabela3[Total Ações])</f>
        <v>327502673</v>
      </c>
      <c r="E147" s="66">
        <f>(Tabela2[[#This Row],[Lucro Líquido]])/Tabela2[[#This Row],[Total Ações]]</f>
        <v>0.33154233217510259</v>
      </c>
      <c r="F147" s="66">
        <v>1.8245449413999999</v>
      </c>
      <c r="G147" s="22">
        <f>IF(AND(Tabela2[[#This Row],[Dividendo / Ação]]&gt;0,Tabela2[[#This Row],[Lucro por ação]]&gt;0),Tabela2[[#This Row],[Dividendo / Ação]]/Tabela2[[#This Row],[Lucro por ação]],"")</f>
        <v>5.5032035560284793</v>
      </c>
      <c r="H147" s="5">
        <f>MAX(Tabela2[[#This Row],[Cotação 1]],Tabela2[[#This Row],[Cotação 2]])</f>
        <v>22.18</v>
      </c>
      <c r="I147" s="18">
        <f>IF(Tabela2[[#This Row],[Dividendo / Ação]]&gt;0,Tabela2[[#This Row],[Dividendo / Ação]]/Tabela2[[#This Row],[Cotação]],"")</f>
        <v>8.2260817917042373E-2</v>
      </c>
      <c r="J147" s="61">
        <f>SUMPRODUCT(N(Tabela1[Código]=Tabela2[[#This Row],[Ativo]]),Tabela1[Fechamento])</f>
        <v>22.18</v>
      </c>
      <c r="K147" s="61">
        <f>SUMPRODUCT(N(Tabela17[Código]=Tabela2[[#This Row],[Ativo]]),Tabela17[Fechamento])</f>
        <v>0</v>
      </c>
    </row>
    <row r="148" spans="1:14" x14ac:dyDescent="0.2">
      <c r="A148" s="4" t="s">
        <v>94</v>
      </c>
      <c r="B148" s="3">
        <v>2010</v>
      </c>
      <c r="C148" s="5">
        <v>93042000</v>
      </c>
      <c r="D148" s="63">
        <f>SUMPRODUCT(N(Tabela3[PAPEL]=Tabela2[[#This Row],[Ativo]]),Tabela3[Total Ações])</f>
        <v>327502673</v>
      </c>
      <c r="E148" s="66">
        <f>(Tabela2[[#This Row],[Lucro Líquido]])/Tabela2[[#This Row],[Total Ações]]</f>
        <v>0.28409539118479193</v>
      </c>
      <c r="F148" s="66">
        <v>1.8245449413999999</v>
      </c>
      <c r="G148" s="22">
        <f>IF(AND(Tabela2[[#This Row],[Dividendo / Ação]]&gt;0,Tabela2[[#This Row],[Lucro por ação]]&gt;0),Tabela2[[#This Row],[Dividendo / Ação]]/Tabela2[[#This Row],[Lucro por ação]],"")</f>
        <v>6.4222968693399576</v>
      </c>
      <c r="H148" s="5">
        <f>MAX(Tabela2[[#This Row],[Cotação 1]],Tabela2[[#This Row],[Cotação 2]])</f>
        <v>22.18</v>
      </c>
      <c r="I148" s="18">
        <f>IF(Tabela2[[#This Row],[Dividendo / Ação]]&gt;0,Tabela2[[#This Row],[Dividendo / Ação]]/Tabela2[[#This Row],[Cotação]],"")</f>
        <v>8.2260817917042373E-2</v>
      </c>
      <c r="J148" s="61">
        <f>SUMPRODUCT(N(Tabela1[Código]=Tabela2[[#This Row],[Ativo]]),Tabela1[Fechamento])</f>
        <v>22.18</v>
      </c>
      <c r="K148" s="61">
        <f>SUMPRODUCT(N(Tabela17[Código]=Tabela2[[#This Row],[Ativo]]),Tabela17[Fechamento])</f>
        <v>0</v>
      </c>
    </row>
    <row r="149" spans="1:14" x14ac:dyDescent="0.2">
      <c r="A149" s="4" t="s">
        <v>95</v>
      </c>
      <c r="B149" s="4">
        <v>2012</v>
      </c>
      <c r="C149" s="6">
        <v>147982000</v>
      </c>
      <c r="D149" s="8">
        <f>SUMPRODUCT(N(Tabela3[PAPEL]=Tabela2[[#This Row],[Ativo]]),Tabela3[Total Ações])</f>
        <v>327502673</v>
      </c>
      <c r="E149" s="67">
        <f>(Tabela2[[#This Row],[Lucro Líquido]])/Tabela2[[#This Row],[Total Ações]]</f>
        <v>0.4518497471927504</v>
      </c>
      <c r="F149" s="67">
        <v>1.1599999999999999</v>
      </c>
      <c r="G149" s="46">
        <f>IF(AND(Tabela2[[#This Row],[Dividendo / Ação]]&gt;0,Tabela2[[#This Row],[Lucro por ação]]&gt;0),Tabela2[[#This Row],[Dividendo / Ação]]/Tabela2[[#This Row],[Lucro por ação]],"")</f>
        <v>2.5672250725088186</v>
      </c>
      <c r="H149" s="6">
        <f>MAX(Tabela2[[#This Row],[Cotação 1]],Tabela2[[#This Row],[Cotação 2]])</f>
        <v>22.42</v>
      </c>
      <c r="I149" s="19">
        <f>IF(Tabela2[[#This Row],[Dividendo / Ação]]&gt;0,Tabela2[[#This Row],[Dividendo / Ação]]/Tabela2[[#This Row],[Cotação]],"")</f>
        <v>5.1739518287243526E-2</v>
      </c>
      <c r="J149" s="62">
        <f>SUMPRODUCT(N(Tabela1[Código]=Tabela2[[#This Row],[Ativo]]),Tabela1[Fechamento])</f>
        <v>22.42</v>
      </c>
      <c r="K149" s="62">
        <f>SUMPRODUCT(N(Tabela17[Código]=Tabela2[[#This Row],[Ativo]]),Tabela17[Fechamento])</f>
        <v>0</v>
      </c>
    </row>
    <row r="150" spans="1:14" x14ac:dyDescent="0.2">
      <c r="A150" s="4" t="s">
        <v>95</v>
      </c>
      <c r="B150" s="4">
        <v>2011</v>
      </c>
      <c r="C150" s="5">
        <v>108581000</v>
      </c>
      <c r="D150" s="8">
        <f>SUMPRODUCT(N(Tabela3[PAPEL]=Tabela2[[#This Row],[Ativo]]),Tabela3[Total Ações])</f>
        <v>327502673</v>
      </c>
      <c r="E150" s="67">
        <f>(Tabela2[[#This Row],[Lucro Líquido]])/Tabela2[[#This Row],[Total Ações]]</f>
        <v>0.33154233217510259</v>
      </c>
      <c r="F150" s="67">
        <v>1.4108145000000001</v>
      </c>
      <c r="G150" s="46">
        <f>IF(AND(Tabela2[[#This Row],[Dividendo / Ação]]&gt;0,Tabela2[[#This Row],[Lucro por ação]]&gt;0),Tabela2[[#This Row],[Dividendo / Ação]]/Tabela2[[#This Row],[Lucro por ação]],"")</f>
        <v>4.2553072808056518</v>
      </c>
      <c r="H150" s="6">
        <f>MAX(Tabela2[[#This Row],[Cotação 1]],Tabela2[[#This Row],[Cotação 2]])</f>
        <v>22.42</v>
      </c>
      <c r="I150" s="19">
        <f>IF(Tabela2[[#This Row],[Dividendo / Ação]]&gt;0,Tabela2[[#This Row],[Dividendo / Ação]]/Tabela2[[#This Row],[Cotação]],"")</f>
        <v>6.2926605709188219E-2</v>
      </c>
      <c r="J150" s="62">
        <f>SUMPRODUCT(N(Tabela1[Código]=Tabela2[[#This Row],[Ativo]]),Tabela1[Fechamento])</f>
        <v>22.42</v>
      </c>
      <c r="K150" s="62">
        <f>SUMPRODUCT(N(Tabela17[Código]=Tabela2[[#This Row],[Ativo]]),Tabela17[Fechamento])</f>
        <v>0</v>
      </c>
    </row>
    <row r="151" spans="1:14" x14ac:dyDescent="0.2">
      <c r="A151" s="4" t="s">
        <v>95</v>
      </c>
      <c r="B151" s="4">
        <v>2010</v>
      </c>
      <c r="C151" s="5">
        <v>93042000</v>
      </c>
      <c r="D151" s="8">
        <f>SUMPRODUCT(N(Tabela3[PAPEL]=Tabela2[[#This Row],[Ativo]]),Tabela3[Total Ações])</f>
        <v>327502673</v>
      </c>
      <c r="E151" s="67">
        <f>(Tabela2[[#This Row],[Lucro Líquido]])/Tabela2[[#This Row],[Total Ações]]</f>
        <v>0.28409539118479193</v>
      </c>
      <c r="F151" s="67">
        <v>0.70331069999999996</v>
      </c>
      <c r="G151" s="46">
        <f>IF(AND(Tabela2[[#This Row],[Dividendo / Ação]]&gt;0,Tabela2[[#This Row],[Lucro por ação]]&gt;0),Tabela2[[#This Row],[Dividendo / Ação]]/Tabela2[[#This Row],[Lucro por ação]],"")</f>
        <v>2.475614606301467</v>
      </c>
      <c r="H151" s="6">
        <f>MAX(Tabela2[[#This Row],[Cotação 1]],Tabela2[[#This Row],[Cotação 2]])</f>
        <v>22.42</v>
      </c>
      <c r="I151" s="19">
        <f>IF(Tabela2[[#This Row],[Dividendo / Ação]]&gt;0,Tabela2[[#This Row],[Dividendo / Ação]]/Tabela2[[#This Row],[Cotação]],"")</f>
        <v>3.1369790365744867E-2</v>
      </c>
      <c r="J151" s="62">
        <f>SUMPRODUCT(N(Tabela1[Código]=Tabela2[[#This Row],[Ativo]]),Tabela1[Fechamento])</f>
        <v>22.42</v>
      </c>
      <c r="K151" s="62">
        <f>SUMPRODUCT(N(Tabela17[Código]=Tabela2[[#This Row],[Ativo]]),Tabela17[Fechamento])</f>
        <v>0</v>
      </c>
    </row>
    <row r="152" spans="1:14" x14ac:dyDescent="0.2">
      <c r="A152" s="4" t="s">
        <v>74</v>
      </c>
      <c r="B152" s="4">
        <v>2012</v>
      </c>
      <c r="C152" s="6">
        <v>-258366398.66</v>
      </c>
      <c r="D152" s="8">
        <f>SUMPRODUCT(N(Tabela3[PAPEL]=Tabela2[[#This Row],[Ativo]]),Tabela3[Total Ações])</f>
        <v>38571591</v>
      </c>
      <c r="E152" s="67">
        <f>(Tabela2[[#This Row],[Lucro Líquido]])/Tabela2[[#This Row],[Total Ações]]</f>
        <v>-6.6983599058695811</v>
      </c>
      <c r="F152" s="67">
        <v>0</v>
      </c>
      <c r="G152" s="46" t="str">
        <f>IF(AND(Tabela2[[#This Row],[Dividendo / Ação]]&gt;0,Tabela2[[#This Row],[Lucro por ação]]&gt;0),Tabela2[[#This Row],[Dividendo / Ação]]/Tabela2[[#This Row],[Lucro por ação]],"")</f>
        <v/>
      </c>
      <c r="H152" s="6">
        <f>MAX(Tabela2[[#This Row],[Cotação 1]],Tabela2[[#This Row],[Cotação 2]])</f>
        <v>18.399999999999999</v>
      </c>
      <c r="I152" s="19" t="str">
        <f>IF(Tabela2[[#This Row],[Dividendo / Ação]]&gt;0,Tabela2[[#This Row],[Dividendo / Ação]]/Tabela2[[#This Row],[Cotação]],"")</f>
        <v/>
      </c>
      <c r="J152" s="62">
        <f>SUMPRODUCT(N(Tabela1[Código]=Tabela2[[#This Row],[Ativo]]),Tabela1[Fechamento])</f>
        <v>18.399999999999999</v>
      </c>
      <c r="K152" s="62">
        <f>SUMPRODUCT(N(Tabela17[Código]=Tabela2[[#This Row],[Ativo]]),Tabela17[Fechamento])</f>
        <v>0</v>
      </c>
    </row>
    <row r="153" spans="1:14" x14ac:dyDescent="0.2">
      <c r="A153" s="4" t="s">
        <v>74</v>
      </c>
      <c r="B153" s="4">
        <v>2011</v>
      </c>
      <c r="C153" s="6">
        <v>323886563.73000002</v>
      </c>
      <c r="D153" s="8">
        <f>SUMPRODUCT(N(Tabela3[PAPEL]=Tabela2[[#This Row],[Ativo]]),Tabela3[Total Ações])</f>
        <v>38571591</v>
      </c>
      <c r="E153" s="67">
        <f>(Tabela2[[#This Row],[Lucro Líquido]])/Tabela2[[#This Row],[Total Ações]]</f>
        <v>8.3970236988668692</v>
      </c>
      <c r="F153" s="67">
        <v>2.2201449599999998</v>
      </c>
      <c r="G153" s="46">
        <f>IF(AND(Tabela2[[#This Row],[Dividendo / Ação]]&gt;0,Tabela2[[#This Row],[Lucro por ação]]&gt;0),Tabela2[[#This Row],[Dividendo / Ação]]/Tabela2[[#This Row],[Lucro por ação]],"")</f>
        <v>0.26439665286398989</v>
      </c>
      <c r="H153" s="6">
        <f>MAX(Tabela2[[#This Row],[Cotação 1]],Tabela2[[#This Row],[Cotação 2]])</f>
        <v>18.399999999999999</v>
      </c>
      <c r="I153" s="19">
        <f>IF(Tabela2[[#This Row],[Dividendo / Ação]]&gt;0,Tabela2[[#This Row],[Dividendo / Ação]]/Tabela2[[#This Row],[Cotação]],"")</f>
        <v>0.12066005217391304</v>
      </c>
      <c r="J153" s="62">
        <f>SUMPRODUCT(N(Tabela1[Código]=Tabela2[[#This Row],[Ativo]]),Tabela1[Fechamento])</f>
        <v>18.399999999999999</v>
      </c>
      <c r="K153" s="62">
        <f>SUMPRODUCT(N(Tabela17[Código]=Tabela2[[#This Row],[Ativo]]),Tabela17[Fechamento])</f>
        <v>0</v>
      </c>
    </row>
    <row r="154" spans="1:14" x14ac:dyDescent="0.2">
      <c r="A154" s="4" t="s">
        <v>74</v>
      </c>
      <c r="B154" s="4">
        <v>2010</v>
      </c>
      <c r="C154" s="6">
        <v>259841000</v>
      </c>
      <c r="D154" s="8">
        <f>SUMPRODUCT(N(Tabela3[PAPEL]=Tabela2[[#This Row],[Ativo]]),Tabela3[Total Ações])</f>
        <v>38571591</v>
      </c>
      <c r="E154" s="67">
        <f>(Tabela2[[#This Row],[Lucro Líquido]])/Tabela2[[#This Row],[Total Ações]]</f>
        <v>6.7365901499888867</v>
      </c>
      <c r="F154" s="67">
        <v>2.09736089</v>
      </c>
      <c r="G154" s="46">
        <f>IF(AND(Tabela2[[#This Row],[Dividendo / Ação]]&gt;0,Tabela2[[#This Row],[Lucro por ação]]&gt;0),Tabela2[[#This Row],[Dividendo / Ação]]/Tabela2[[#This Row],[Lucro por ação]],"")</f>
        <v>0.31133865105382136</v>
      </c>
      <c r="H154" s="6">
        <f>MAX(Tabela2[[#This Row],[Cotação 1]],Tabela2[[#This Row],[Cotação 2]])</f>
        <v>18.399999999999999</v>
      </c>
      <c r="I154" s="19">
        <f>IF(Tabela2[[#This Row],[Dividendo / Ação]]&gt;0,Tabela2[[#This Row],[Dividendo / Ação]]/Tabela2[[#This Row],[Cotação]],"")</f>
        <v>0.11398700489130435</v>
      </c>
      <c r="J154" s="62">
        <f>SUMPRODUCT(N(Tabela1[Código]=Tabela2[[#This Row],[Ativo]]),Tabela1[Fechamento])</f>
        <v>18.399999999999999</v>
      </c>
      <c r="K154" s="62">
        <f>SUMPRODUCT(N(Tabela17[Código]=Tabela2[[#This Row],[Ativo]]),Tabela17[Fechamento])</f>
        <v>0</v>
      </c>
    </row>
    <row r="155" spans="1:14" x14ac:dyDescent="0.2">
      <c r="A155" s="4" t="s">
        <v>74</v>
      </c>
      <c r="B155" s="4">
        <v>2009</v>
      </c>
      <c r="C155" s="6">
        <v>120919000</v>
      </c>
      <c r="D155" s="8">
        <f>SUMPRODUCT(N(Tabela3[PAPEL]=Tabela2[[#This Row],[Ativo]]),Tabela3[Total Ações])</f>
        <v>38571591</v>
      </c>
      <c r="E155" s="67">
        <f>(Tabela2[[#This Row],[Lucro Líquido]])/Tabela2[[#This Row],[Total Ações]]</f>
        <v>3.1349238355244409</v>
      </c>
      <c r="F155" s="67">
        <v>0.97620123000000003</v>
      </c>
      <c r="G155" s="46">
        <f>IF(AND(Tabela2[[#This Row],[Dividendo / Ação]]&gt;0,Tabela2[[#This Row],[Lucro por ação]]&gt;0),Tabela2[[#This Row],[Dividendo / Ação]]/Tabela2[[#This Row],[Lucro por ação]],"")</f>
        <v>0.31139551747249755</v>
      </c>
      <c r="H155" s="6">
        <f>MAX(Tabela2[[#This Row],[Cotação 1]],Tabela2[[#This Row],[Cotação 2]])</f>
        <v>18.399999999999999</v>
      </c>
      <c r="I155" s="19">
        <f>IF(Tabela2[[#This Row],[Dividendo / Ação]]&gt;0,Tabela2[[#This Row],[Dividendo / Ação]]/Tabela2[[#This Row],[Cotação]],"")</f>
        <v>5.3054414673913051E-2</v>
      </c>
      <c r="J155" s="62">
        <f>SUMPRODUCT(N(Tabela1[Código]=Tabela2[[#This Row],[Ativo]]),Tabela1[Fechamento])</f>
        <v>18.399999999999999</v>
      </c>
      <c r="K155" s="62">
        <f>SUMPRODUCT(N(Tabela17[Código]=Tabela2[[#This Row],[Ativo]]),Tabela17[Fechamento])</f>
        <v>0</v>
      </c>
    </row>
    <row r="156" spans="1:14" x14ac:dyDescent="0.2">
      <c r="A156" s="4" t="s">
        <v>74</v>
      </c>
      <c r="B156" s="4">
        <v>2008</v>
      </c>
      <c r="C156" s="6">
        <v>245522000</v>
      </c>
      <c r="D156" s="8">
        <f>SUMPRODUCT(N(Tabela3[PAPEL]=Tabela2[[#This Row],[Ativo]]),Tabela3[Total Ações])</f>
        <v>38571591</v>
      </c>
      <c r="E156" s="67">
        <f>(Tabela2[[#This Row],[Lucro Líquido]])/Tabela2[[#This Row],[Total Ações]]</f>
        <v>6.3653583799537854</v>
      </c>
      <c r="F156" s="67">
        <v>1.9821435199999999</v>
      </c>
      <c r="G156" s="46">
        <f>IF(AND(Tabela2[[#This Row],[Dividendo / Ação]]&gt;0,Tabela2[[#This Row],[Lucro por ação]]&gt;0),Tabela2[[#This Row],[Dividendo / Ação]]/Tabela2[[#This Row],[Lucro por ação]],"")</f>
        <v>0.31139543159773997</v>
      </c>
      <c r="H156" s="6">
        <f>MAX(Tabela2[[#This Row],[Cotação 1]],Tabela2[[#This Row],[Cotação 2]])</f>
        <v>18.399999999999999</v>
      </c>
      <c r="I156" s="19">
        <f>IF(Tabela2[[#This Row],[Dividendo / Ação]]&gt;0,Tabela2[[#This Row],[Dividendo / Ação]]/Tabela2[[#This Row],[Cotação]],"")</f>
        <v>0.10772519130434784</v>
      </c>
      <c r="J156" s="62">
        <f>SUMPRODUCT(N(Tabela1[Código]=Tabela2[[#This Row],[Ativo]]),Tabela1[Fechamento])</f>
        <v>18.399999999999999</v>
      </c>
      <c r="K156" s="62">
        <f>SUMPRODUCT(N(Tabela17[Código]=Tabela2[[#This Row],[Ativo]]),Tabela17[Fechamento])</f>
        <v>0</v>
      </c>
    </row>
    <row r="157" spans="1:14" x14ac:dyDescent="0.2">
      <c r="A157" s="4" t="s">
        <v>31</v>
      </c>
      <c r="B157" s="4">
        <v>2012</v>
      </c>
      <c r="C157" s="6">
        <v>4271685000</v>
      </c>
      <c r="D157" s="8">
        <f>SUMPRODUCT(N(Tabela3[PAPEL]=Tabela2[[#This Row],[Ativo]]),Tabela3[Total Ações])</f>
        <v>962672385</v>
      </c>
      <c r="E157" s="67">
        <f>(Tabela2[[#This Row],[Lucro Líquido]])/Tabela2[[#This Row],[Total Ações]]</f>
        <v>4.4373195560190499</v>
      </c>
      <c r="F157" s="67">
        <v>1.4286055</v>
      </c>
      <c r="G157" s="46">
        <f>IF(AND(Tabela2[[#This Row],[Dividendo / Ação]]&gt;0,Tabela2[[#This Row],[Lucro por ação]]&gt;0),Tabela2[[#This Row],[Dividendo / Ação]]/Tabela2[[#This Row],[Lucro por ação]],"")</f>
        <v>0.32195235929360838</v>
      </c>
      <c r="H157" s="6">
        <f>MAX(Tabela2[[#This Row],[Cotação 1]],Tabela2[[#This Row],[Cotação 2]])</f>
        <v>14.2</v>
      </c>
      <c r="I157" s="19">
        <f>IF(Tabela2[[#This Row],[Dividendo / Ação]]&gt;0,Tabela2[[#This Row],[Dividendo / Ação]]/Tabela2[[#This Row],[Cotação]],"")</f>
        <v>0.10060602112676056</v>
      </c>
      <c r="J157" s="62">
        <f>SUMPRODUCT(N(Tabela1[Código]=Tabela2[[#This Row],[Ativo]]),Tabela1[Fechamento])</f>
        <v>14.2</v>
      </c>
      <c r="K157" s="62">
        <f>SUMPRODUCT(N(Tabela17[Código]=Tabela2[[#This Row],[Ativo]]),Tabela17[Fechamento])</f>
        <v>0</v>
      </c>
    </row>
    <row r="158" spans="1:14" x14ac:dyDescent="0.2">
      <c r="A158" s="4" t="s">
        <v>31</v>
      </c>
      <c r="B158" s="3">
        <v>2011</v>
      </c>
      <c r="C158" s="5">
        <v>2415450000</v>
      </c>
      <c r="D158" s="63">
        <f>SUMPRODUCT(N(Tabela3[PAPEL]=Tabela2[[#This Row],[Ativo]]),Tabela3[Total Ações])</f>
        <v>962672385</v>
      </c>
      <c r="E158" s="66">
        <f>(Tabela2[[#This Row],[Lucro Líquido]])/Tabela2[[#This Row],[Total Ações]]</f>
        <v>2.5091090568677732</v>
      </c>
      <c r="F158" s="66">
        <v>1.9</v>
      </c>
      <c r="G158" s="22">
        <f>IF(AND(Tabela2[[#This Row],[Dividendo / Ação]]&gt;0,Tabela2[[#This Row],[Lucro por ação]]&gt;0),Tabela2[[#This Row],[Dividendo / Ação]]/Tabela2[[#This Row],[Lucro por ação]],"")</f>
        <v>0.75724089983232934</v>
      </c>
      <c r="H158" s="5">
        <f>MAX(Tabela2[[#This Row],[Cotação 1]],Tabela2[[#This Row],[Cotação 2]])</f>
        <v>14.2</v>
      </c>
      <c r="I158" s="18">
        <f>IF(Tabela2[[#This Row],[Dividendo / Ação]]&gt;0,Tabela2[[#This Row],[Dividendo / Ação]]/Tabela2[[#This Row],[Cotação]],"")</f>
        <v>0.13380281690140844</v>
      </c>
      <c r="J158" s="61">
        <f>SUMPRODUCT(N(Tabela1[Código]=Tabela2[[#This Row],[Ativo]]),Tabela1[Fechamento])</f>
        <v>14.2</v>
      </c>
      <c r="K158" s="61">
        <f>SUMPRODUCT(N(Tabela17[Código]=Tabela2[[#This Row],[Ativo]]),Tabela17[Fechamento])</f>
        <v>0</v>
      </c>
      <c r="N158" s="68"/>
    </row>
    <row r="159" spans="1:14" x14ac:dyDescent="0.2">
      <c r="A159" s="4" t="s">
        <v>31</v>
      </c>
      <c r="B159" s="3">
        <v>2010</v>
      </c>
      <c r="C159" s="5">
        <v>2257976000</v>
      </c>
      <c r="D159" s="63">
        <f>SUMPRODUCT(N(Tabela3[PAPEL]=Tabela2[[#This Row],[Ativo]]),Tabela3[Total Ações])</f>
        <v>962672385</v>
      </c>
      <c r="E159" s="66">
        <f>(Tabela2[[#This Row],[Lucro Líquido]])/Tabela2[[#This Row],[Total Ações]]</f>
        <v>2.3455290036184011</v>
      </c>
      <c r="F159" s="66">
        <v>1.75</v>
      </c>
      <c r="G159" s="22">
        <f>IF(AND(Tabela2[[#This Row],[Dividendo / Ação]]&gt;0,Tabela2[[#This Row],[Lucro por ação]]&gt;0),Tabela2[[#This Row],[Dividendo / Ação]]/Tabela2[[#This Row],[Lucro por ação]],"")</f>
        <v>0.74610034550854398</v>
      </c>
      <c r="H159" s="5">
        <f>MAX(Tabela2[[#This Row],[Cotação 1]],Tabela2[[#This Row],[Cotação 2]])</f>
        <v>14.2</v>
      </c>
      <c r="I159" s="18">
        <f>IF(Tabela2[[#This Row],[Dividendo / Ação]]&gt;0,Tabela2[[#This Row],[Dividendo / Ação]]/Tabela2[[#This Row],[Cotação]],"")</f>
        <v>0.12323943661971831</v>
      </c>
      <c r="J159" s="61">
        <f>SUMPRODUCT(N(Tabela1[Código]=Tabela2[[#This Row],[Ativo]]),Tabela1[Fechamento])</f>
        <v>14.2</v>
      </c>
      <c r="K159" s="61">
        <f>SUMPRODUCT(N(Tabela17[Código]=Tabela2[[#This Row],[Ativo]]),Tabela17[Fechamento])</f>
        <v>0</v>
      </c>
    </row>
    <row r="160" spans="1:14" x14ac:dyDescent="0.2">
      <c r="A160" s="4" t="s">
        <v>31</v>
      </c>
      <c r="B160" s="3">
        <v>2009</v>
      </c>
      <c r="C160" s="5">
        <v>1861403000</v>
      </c>
      <c r="D160" s="63">
        <f>SUMPRODUCT(N(Tabela3[PAPEL]=Tabela2[[#This Row],[Ativo]]),Tabela3[Total Ações])</f>
        <v>962672385</v>
      </c>
      <c r="E160" s="66">
        <f>(Tabela2[[#This Row],[Lucro Líquido]])/Tabela2[[#This Row],[Total Ações]]</f>
        <v>1.9335788883151561</v>
      </c>
      <c r="F160" s="66">
        <v>1.5</v>
      </c>
      <c r="G160" s="22">
        <f>IF(AND(Tabela2[[#This Row],[Dividendo / Ação]]&gt;0,Tabela2[[#This Row],[Lucro por ação]]&gt;0),Tabela2[[#This Row],[Dividendo / Ação]]/Tabela2[[#This Row],[Lucro por ação]],"")</f>
        <v>0.77576353830954392</v>
      </c>
      <c r="H160" s="5">
        <f>MAX(Tabela2[[#This Row],[Cotação 1]],Tabela2[[#This Row],[Cotação 2]])</f>
        <v>14.2</v>
      </c>
      <c r="I160" s="18">
        <f>IF(Tabela2[[#This Row],[Dividendo / Ação]]&gt;0,Tabela2[[#This Row],[Dividendo / Ação]]/Tabela2[[#This Row],[Cotação]],"")</f>
        <v>0.10563380281690142</v>
      </c>
      <c r="J160" s="61">
        <f>SUMPRODUCT(N(Tabela1[Código]=Tabela2[[#This Row],[Ativo]]),Tabela1[Fechamento])</f>
        <v>14.2</v>
      </c>
      <c r="K160" s="61">
        <f>SUMPRODUCT(N(Tabela17[Código]=Tabela2[[#This Row],[Ativo]]),Tabela17[Fechamento])</f>
        <v>0</v>
      </c>
    </row>
    <row r="161" spans="1:13" x14ac:dyDescent="0.2">
      <c r="A161" s="4" t="s">
        <v>30</v>
      </c>
      <c r="B161" s="4">
        <v>2012</v>
      </c>
      <c r="C161" s="6">
        <v>4271685000</v>
      </c>
      <c r="D161" s="8">
        <f>SUMPRODUCT(N(Tabela3[PAPEL]=Tabela2[[#This Row],[Ativo]]),Tabela3[Total Ações])</f>
        <v>962672385</v>
      </c>
      <c r="E161" s="67">
        <f>(Tabela2[[#This Row],[Lucro Líquido]])/Tabela2[[#This Row],[Total Ações]]</f>
        <v>4.4373195560190499</v>
      </c>
      <c r="F161" s="67">
        <v>1.4286055</v>
      </c>
      <c r="G161" s="46">
        <f>IF(AND(Tabela2[[#This Row],[Dividendo / Ação]]&gt;0,Tabela2[[#This Row],[Lucro por ação]]&gt;0),Tabela2[[#This Row],[Dividendo / Ação]]/Tabela2[[#This Row],[Lucro por ação]],"")</f>
        <v>0.32195235929360838</v>
      </c>
      <c r="H161" s="6">
        <f>MAX(Tabela2[[#This Row],[Cotação 1]],Tabela2[[#This Row],[Cotação 2]])</f>
        <v>14.01</v>
      </c>
      <c r="I161" s="19">
        <f>IF(Tabela2[[#This Row],[Dividendo / Ação]]&gt;0,Tabela2[[#This Row],[Dividendo / Ação]]/Tabela2[[#This Row],[Cotação]],"")</f>
        <v>0.10197041399000714</v>
      </c>
      <c r="J161" s="62">
        <f>SUMPRODUCT(N(Tabela1[Código]=Tabela2[[#This Row],[Ativo]]),Tabela1[Fechamento])</f>
        <v>14.01</v>
      </c>
      <c r="K161" s="62">
        <f>SUMPRODUCT(N(Tabela17[Código]=Tabela2[[#This Row],[Ativo]]),Tabela17[Fechamento])</f>
        <v>0</v>
      </c>
    </row>
    <row r="162" spans="1:13" x14ac:dyDescent="0.2">
      <c r="A162" s="4" t="s">
        <v>30</v>
      </c>
      <c r="B162" s="4">
        <v>2011</v>
      </c>
      <c r="C162" s="5">
        <v>2415450000</v>
      </c>
      <c r="D162" s="8">
        <f>SUMPRODUCT(N(Tabela3[PAPEL]=Tabela2[[#This Row],[Ativo]]),Tabela3[Total Ações])</f>
        <v>962672385</v>
      </c>
      <c r="E162" s="67">
        <f>(Tabela2[[#This Row],[Lucro Líquido]])/Tabela2[[#This Row],[Total Ações]]</f>
        <v>2.5091090568677732</v>
      </c>
      <c r="F162" s="67">
        <v>1.9</v>
      </c>
      <c r="G162" s="46">
        <f>IF(AND(Tabela2[[#This Row],[Dividendo / Ação]]&gt;0,Tabela2[[#This Row],[Lucro por ação]]&gt;0),Tabela2[[#This Row],[Dividendo / Ação]]/Tabela2[[#This Row],[Lucro por ação]],"")</f>
        <v>0.75724089983232934</v>
      </c>
      <c r="H162" s="6">
        <f>MAX(Tabela2[[#This Row],[Cotação 1]],Tabela2[[#This Row],[Cotação 2]])</f>
        <v>14.01</v>
      </c>
      <c r="I162" s="19">
        <f>IF(Tabela2[[#This Row],[Dividendo / Ação]]&gt;0,Tabela2[[#This Row],[Dividendo / Ação]]/Tabela2[[#This Row],[Cotação]],"")</f>
        <v>0.13561741613133477</v>
      </c>
      <c r="J162" s="62">
        <f>SUMPRODUCT(N(Tabela1[Código]=Tabela2[[#This Row],[Ativo]]),Tabela1[Fechamento])</f>
        <v>14.01</v>
      </c>
      <c r="K162" s="62">
        <f>SUMPRODUCT(N(Tabela17[Código]=Tabela2[[#This Row],[Ativo]]),Tabela17[Fechamento])</f>
        <v>0</v>
      </c>
    </row>
    <row r="163" spans="1:13" x14ac:dyDescent="0.2">
      <c r="A163" s="4" t="s">
        <v>30</v>
      </c>
      <c r="B163" s="4">
        <v>2010</v>
      </c>
      <c r="C163" s="5">
        <v>2257976000</v>
      </c>
      <c r="D163" s="8">
        <f>SUMPRODUCT(N(Tabela3[PAPEL]=Tabela2[[#This Row],[Ativo]]),Tabela3[Total Ações])</f>
        <v>962672385</v>
      </c>
      <c r="E163" s="67">
        <f>(Tabela2[[#This Row],[Lucro Líquido]])/Tabela2[[#This Row],[Total Ações]]</f>
        <v>2.3455290036184011</v>
      </c>
      <c r="F163" s="67">
        <v>1.75</v>
      </c>
      <c r="G163" s="46">
        <f>IF(AND(Tabela2[[#This Row],[Dividendo / Ação]]&gt;0,Tabela2[[#This Row],[Lucro por ação]]&gt;0),Tabela2[[#This Row],[Dividendo / Ação]]/Tabela2[[#This Row],[Lucro por ação]],"")</f>
        <v>0.74610034550854398</v>
      </c>
      <c r="H163" s="6">
        <f>MAX(Tabela2[[#This Row],[Cotação 1]],Tabela2[[#This Row],[Cotação 2]])</f>
        <v>14.01</v>
      </c>
      <c r="I163" s="19">
        <f>IF(Tabela2[[#This Row],[Dividendo / Ação]]&gt;0,Tabela2[[#This Row],[Dividendo / Ação]]/Tabela2[[#This Row],[Cotação]],"")</f>
        <v>0.12491077801570308</v>
      </c>
      <c r="J163" s="62">
        <f>SUMPRODUCT(N(Tabela1[Código]=Tabela2[[#This Row],[Ativo]]),Tabela1[Fechamento])</f>
        <v>14.01</v>
      </c>
      <c r="K163" s="62">
        <f>SUMPRODUCT(N(Tabela17[Código]=Tabela2[[#This Row],[Ativo]]),Tabela17[Fechamento])</f>
        <v>0</v>
      </c>
    </row>
    <row r="164" spans="1:13" x14ac:dyDescent="0.2">
      <c r="A164" s="4" t="s">
        <v>30</v>
      </c>
      <c r="B164" s="4">
        <v>2009</v>
      </c>
      <c r="C164" s="5">
        <v>1861403000</v>
      </c>
      <c r="D164" s="8">
        <f>SUMPRODUCT(N(Tabela3[PAPEL]=Tabela2[[#This Row],[Ativo]]),Tabela3[Total Ações])</f>
        <v>962672385</v>
      </c>
      <c r="E164" s="67">
        <f>(Tabela2[[#This Row],[Lucro Líquido]])/Tabela2[[#This Row],[Total Ações]]</f>
        <v>1.9335788883151561</v>
      </c>
      <c r="F164" s="67">
        <v>1.5</v>
      </c>
      <c r="G164" s="46">
        <f>IF(AND(Tabela2[[#This Row],[Dividendo / Ação]]&gt;0,Tabela2[[#This Row],[Lucro por ação]]&gt;0),Tabela2[[#This Row],[Dividendo / Ação]]/Tabela2[[#This Row],[Lucro por ação]],"")</f>
        <v>0.77576353830954392</v>
      </c>
      <c r="H164" s="6">
        <f>MAX(Tabela2[[#This Row],[Cotação 1]],Tabela2[[#This Row],[Cotação 2]])</f>
        <v>14.01</v>
      </c>
      <c r="I164" s="19">
        <f>IF(Tabela2[[#This Row],[Dividendo / Ação]]&gt;0,Tabela2[[#This Row],[Dividendo / Ação]]/Tabela2[[#This Row],[Cotação]],"")</f>
        <v>0.10706638115631692</v>
      </c>
      <c r="J164" s="62">
        <f>SUMPRODUCT(N(Tabela1[Código]=Tabela2[[#This Row],[Ativo]]),Tabela1[Fechamento])</f>
        <v>14.01</v>
      </c>
      <c r="K164" s="62">
        <f>SUMPRODUCT(N(Tabela17[Código]=Tabela2[[#This Row],[Ativo]]),Tabela17[Fechamento])</f>
        <v>0</v>
      </c>
    </row>
    <row r="165" spans="1:13" x14ac:dyDescent="0.2">
      <c r="A165" s="4" t="s">
        <v>101</v>
      </c>
      <c r="B165" s="4">
        <v>2012</v>
      </c>
      <c r="C165" s="6">
        <v>400000153.68000001</v>
      </c>
      <c r="D165" s="8">
        <f>SUMPRODUCT(N(Tabela3[PAPEL]=Tabela2[[#This Row],[Ativo]]),Tabela3[Total Ações])</f>
        <v>77855299</v>
      </c>
      <c r="E165" s="67">
        <f>(Tabela2[[#This Row],[Lucro Líquido]])/Tabela2[[#This Row],[Total Ações]]</f>
        <v>5.1377383276120998</v>
      </c>
      <c r="F165" s="67">
        <v>2.7486247275000002</v>
      </c>
      <c r="G165" s="46">
        <f>IF(AND(Tabela2[[#This Row],[Dividendo / Ação]]&gt;0,Tabela2[[#This Row],[Lucro por ação]]&gt;0),Tabela2[[#This Row],[Dividendo / Ação]]/Tabela2[[#This Row],[Lucro por ação]],"")</f>
        <v>0.53498729445364657</v>
      </c>
      <c r="H165" s="6">
        <f>MAX(Tabela2[[#This Row],[Cotação 1]],Tabela2[[#This Row],[Cotação 2]])</f>
        <v>44.6</v>
      </c>
      <c r="I165" s="19">
        <f>IF(Tabela2[[#This Row],[Dividendo / Ação]]&gt;0,Tabela2[[#This Row],[Dividendo / Ação]]/Tabela2[[#This Row],[Cotação]],"")</f>
        <v>6.1628357118834083E-2</v>
      </c>
      <c r="J165" s="62">
        <f>SUMPRODUCT(N(Tabela1[Código]=Tabela2[[#This Row],[Ativo]]),Tabela1[Fechamento])</f>
        <v>44.6</v>
      </c>
      <c r="K165" s="62">
        <f>SUMPRODUCT(N(Tabela17[Código]=Tabela2[[#This Row],[Ativo]]),Tabela17[Fechamento])</f>
        <v>0</v>
      </c>
    </row>
    <row r="166" spans="1:13" x14ac:dyDescent="0.2">
      <c r="A166" s="4" t="s">
        <v>101</v>
      </c>
      <c r="B166" s="3">
        <v>2011</v>
      </c>
      <c r="C166" s="5">
        <v>471181647.69999999</v>
      </c>
      <c r="D166" s="63">
        <f>SUMPRODUCT(N(Tabela3[PAPEL]=Tabela2[[#This Row],[Ativo]]),Tabela3[Total Ações])</f>
        <v>77855299</v>
      </c>
      <c r="E166" s="66">
        <f>(Tabela2[[#This Row],[Lucro Líquido]])/Tabela2[[#This Row],[Total Ações]]</f>
        <v>6.0520177014540781</v>
      </c>
      <c r="F166" s="66">
        <v>3.5452297189999999</v>
      </c>
      <c r="G166" s="22">
        <f>IF(AND(Tabela2[[#This Row],[Dividendo / Ação]]&gt;0,Tabela2[[#This Row],[Lucro por ação]]&gt;0),Tabela2[[#This Row],[Dividendo / Ação]]/Tabela2[[#This Row],[Lucro por ação]],"")</f>
        <v>0.58579301877260059</v>
      </c>
      <c r="H166" s="5">
        <f>MAX(Tabela2[[#This Row],[Cotação 1]],Tabela2[[#This Row],[Cotação 2]])</f>
        <v>44.6</v>
      </c>
      <c r="I166" s="18">
        <f>IF(Tabela2[[#This Row],[Dividendo / Ação]]&gt;0,Tabela2[[#This Row],[Dividendo / Ação]]/Tabela2[[#This Row],[Cotação]],"")</f>
        <v>7.9489455582959639E-2</v>
      </c>
      <c r="J166" s="61">
        <f>SUMPRODUCT(N(Tabela1[Código]=Tabela2[[#This Row],[Ativo]]),Tabela1[Fechamento])</f>
        <v>44.6</v>
      </c>
      <c r="K166" s="61">
        <f>SUMPRODUCT(N(Tabela17[Código]=Tabela2[[#This Row],[Ativo]]),Tabela17[Fechamento])</f>
        <v>0</v>
      </c>
    </row>
    <row r="167" spans="1:13" x14ac:dyDescent="0.2">
      <c r="A167" s="4" t="s">
        <v>101</v>
      </c>
      <c r="B167" s="3">
        <v>2010</v>
      </c>
      <c r="C167" s="5">
        <v>458054165.95999998</v>
      </c>
      <c r="D167" s="63">
        <f>SUMPRODUCT(N(Tabela3[PAPEL]=Tabela2[[#This Row],[Ativo]]),Tabela3[Total Ações])</f>
        <v>77855299</v>
      </c>
      <c r="E167" s="66">
        <f>(Tabela2[[#This Row],[Lucro Líquido]])/Tabela2[[#This Row],[Total Ações]]</f>
        <v>5.8834038510339548</v>
      </c>
      <c r="F167" s="66">
        <v>4.272592929</v>
      </c>
      <c r="G167" s="22">
        <f>IF(AND(Tabela2[[#This Row],[Dividendo / Ação]]&gt;0,Tabela2[[#This Row],[Lucro por ação]]&gt;0),Tabela2[[#This Row],[Dividendo / Ação]]/Tabela2[[#This Row],[Lucro por ação]],"")</f>
        <v>0.72621105692908205</v>
      </c>
      <c r="H167" s="5">
        <f>MAX(Tabela2[[#This Row],[Cotação 1]],Tabela2[[#This Row],[Cotação 2]])</f>
        <v>44.6</v>
      </c>
      <c r="I167" s="18">
        <f>IF(Tabela2[[#This Row],[Dividendo / Ação]]&gt;0,Tabela2[[#This Row],[Dividendo / Ação]]/Tabela2[[#This Row],[Cotação]],"")</f>
        <v>9.5798047735426009E-2</v>
      </c>
      <c r="J167" s="61">
        <f>SUMPRODUCT(N(Tabela1[Código]=Tabela2[[#This Row],[Ativo]]),Tabela1[Fechamento])</f>
        <v>44.6</v>
      </c>
      <c r="K167" s="61">
        <f>SUMPRODUCT(N(Tabela17[Código]=Tabela2[[#This Row],[Ativo]]),Tabela17[Fechamento])</f>
        <v>0</v>
      </c>
    </row>
    <row r="168" spans="1:13" x14ac:dyDescent="0.2">
      <c r="A168" s="4" t="s">
        <v>86</v>
      </c>
      <c r="B168" s="4">
        <v>2012</v>
      </c>
      <c r="C168" s="6">
        <v>400000153.68000001</v>
      </c>
      <c r="D168" s="8">
        <f>SUMPRODUCT(N(Tabela3[PAPEL]=Tabela2[[#This Row],[Ativo]]),Tabela3[Total Ações])</f>
        <v>77855299</v>
      </c>
      <c r="E168" s="67">
        <f>(Tabela2[[#This Row],[Lucro Líquido]])/Tabela2[[#This Row],[Total Ações]]</f>
        <v>5.1377383276120998</v>
      </c>
      <c r="F168" s="67">
        <v>2.7486247275000002</v>
      </c>
      <c r="G168" s="46">
        <f>IF(AND(Tabela2[[#This Row],[Dividendo / Ação]]&gt;0,Tabela2[[#This Row],[Lucro por ação]]&gt;0),Tabela2[[#This Row],[Dividendo / Ação]]/Tabela2[[#This Row],[Lucro por ação]],"")</f>
        <v>0.53498729445364657</v>
      </c>
      <c r="H168" s="6">
        <f>MAX(Tabela2[[#This Row],[Cotação 1]],Tabela2[[#This Row],[Cotação 2]])</f>
        <v>42</v>
      </c>
      <c r="I168" s="19">
        <f>IF(Tabela2[[#This Row],[Dividendo / Ação]]&gt;0,Tabela2[[#This Row],[Dividendo / Ação]]/Tabela2[[#This Row],[Cotação]],"")</f>
        <v>6.5443445892857152E-2</v>
      </c>
      <c r="J168" s="62">
        <f>SUMPRODUCT(N(Tabela1[Código]=Tabela2[[#This Row],[Ativo]]),Tabela1[Fechamento])</f>
        <v>42</v>
      </c>
      <c r="K168" s="62">
        <f>SUMPRODUCT(N(Tabela17[Código]=Tabela2[[#This Row],[Ativo]]),Tabela17[Fechamento])</f>
        <v>0</v>
      </c>
    </row>
    <row r="169" spans="1:13" x14ac:dyDescent="0.2">
      <c r="A169" s="4" t="s">
        <v>86</v>
      </c>
      <c r="B169" s="4">
        <v>2011</v>
      </c>
      <c r="C169" s="5">
        <v>471181647.69999999</v>
      </c>
      <c r="D169" s="8">
        <f>SUMPRODUCT(N(Tabela3[PAPEL]=Tabela2[[#This Row],[Ativo]]),Tabela3[Total Ações])</f>
        <v>77855299</v>
      </c>
      <c r="E169" s="67">
        <f>(Tabela2[[#This Row],[Lucro Líquido]])/Tabela2[[#This Row],[Total Ações]]</f>
        <v>6.0520177014540781</v>
      </c>
      <c r="F169" s="66">
        <v>3.5452297189999999</v>
      </c>
      <c r="G169" s="46">
        <f>IF(AND(Tabela2[[#This Row],[Dividendo / Ação]]&gt;0,Tabela2[[#This Row],[Lucro por ação]]&gt;0),Tabela2[[#This Row],[Dividendo / Ação]]/Tabela2[[#This Row],[Lucro por ação]],"")</f>
        <v>0.58579301877260059</v>
      </c>
      <c r="H169" s="6">
        <f>MAX(Tabela2[[#This Row],[Cotação 1]],Tabela2[[#This Row],[Cotação 2]])</f>
        <v>42</v>
      </c>
      <c r="I169" s="19">
        <f>IF(Tabela2[[#This Row],[Dividendo / Ação]]&gt;0,Tabela2[[#This Row],[Dividendo / Ação]]/Tabela2[[#This Row],[Cotação]],"")</f>
        <v>8.4410231404761907E-2</v>
      </c>
      <c r="J169" s="62">
        <f>SUMPRODUCT(N(Tabela1[Código]=Tabela2[[#This Row],[Ativo]]),Tabela1[Fechamento])</f>
        <v>42</v>
      </c>
      <c r="K169" s="62">
        <f>SUMPRODUCT(N(Tabela17[Código]=Tabela2[[#This Row],[Ativo]]),Tabela17[Fechamento])</f>
        <v>0</v>
      </c>
      <c r="M169" s="68"/>
    </row>
    <row r="170" spans="1:13" x14ac:dyDescent="0.2">
      <c r="A170" s="4" t="s">
        <v>86</v>
      </c>
      <c r="B170" s="4">
        <v>2010</v>
      </c>
      <c r="C170" s="5">
        <v>458054165.95999998</v>
      </c>
      <c r="D170" s="8">
        <f>SUMPRODUCT(N(Tabela3[PAPEL]=Tabela2[[#This Row],[Ativo]]),Tabela3[Total Ações])</f>
        <v>77855299</v>
      </c>
      <c r="E170" s="67">
        <f>(Tabela2[[#This Row],[Lucro Líquido]])/Tabela2[[#This Row],[Total Ações]]</f>
        <v>5.8834038510339548</v>
      </c>
      <c r="F170" s="66">
        <v>4.272592929</v>
      </c>
      <c r="G170" s="46">
        <f>IF(AND(Tabela2[[#This Row],[Dividendo / Ação]]&gt;0,Tabela2[[#This Row],[Lucro por ação]]&gt;0),Tabela2[[#This Row],[Dividendo / Ação]]/Tabela2[[#This Row],[Lucro por ação]],"")</f>
        <v>0.72621105692908205</v>
      </c>
      <c r="H170" s="6">
        <f>MAX(Tabela2[[#This Row],[Cotação 1]],Tabela2[[#This Row],[Cotação 2]])</f>
        <v>42</v>
      </c>
      <c r="I170" s="19">
        <f>IF(Tabela2[[#This Row],[Dividendo / Ação]]&gt;0,Tabela2[[#This Row],[Dividendo / Ação]]/Tabela2[[#This Row],[Cotação]],"")</f>
        <v>0.10172840307142857</v>
      </c>
      <c r="J170" s="62">
        <f>SUMPRODUCT(N(Tabela1[Código]=Tabela2[[#This Row],[Ativo]]),Tabela1[Fechamento])</f>
        <v>42</v>
      </c>
      <c r="K170" s="62">
        <f>SUMPRODUCT(N(Tabela17[Código]=Tabela2[[#This Row],[Ativo]]),Tabela17[Fechamento])</f>
        <v>0</v>
      </c>
    </row>
    <row r="171" spans="1:13" x14ac:dyDescent="0.2">
      <c r="A171" s="4" t="s">
        <v>32</v>
      </c>
      <c r="B171" s="4">
        <v>2012</v>
      </c>
      <c r="C171" s="6">
        <v>1225923257.8099999</v>
      </c>
      <c r="D171" s="8">
        <f>SUMPRODUCT(N(Tabela3[PAPEL]=Tabela2[[#This Row],[Ativo]]),Tabela3[Total Ações])</f>
        <v>962274260</v>
      </c>
      <c r="E171" s="67">
        <f>(Tabela2[[#This Row],[Lucro Líquido]])/Tabela2[[#This Row],[Total Ações]]</f>
        <v>1.2739852958448665</v>
      </c>
      <c r="F171" s="67">
        <v>1.139118233</v>
      </c>
      <c r="G171" s="46">
        <f>IF(AND(Tabela2[[#This Row],[Dividendo / Ação]]&gt;0,Tabela2[[#This Row],[Lucro por ação]]&gt;0),Tabela2[[#This Row],[Dividendo / Ação]]/Tabela2[[#This Row],[Lucro por ação]],"")</f>
        <v>0.89413766133350314</v>
      </c>
      <c r="H171" s="6">
        <f>MAX(Tabela2[[#This Row],[Cotação 1]],Tabela2[[#This Row],[Cotação 2]])</f>
        <v>19.09</v>
      </c>
      <c r="I171" s="19">
        <f>IF(Tabela2[[#This Row],[Dividendo / Ação]]&gt;0,Tabela2[[#This Row],[Dividendo / Ação]]/Tabela2[[#This Row],[Cotação]],"")</f>
        <v>5.9670939392352018E-2</v>
      </c>
      <c r="J171" s="62">
        <f>SUMPRODUCT(N(Tabela1[Código]=Tabela2[[#This Row],[Ativo]]),Tabela1[Fechamento])</f>
        <v>19.09</v>
      </c>
      <c r="K171" s="62">
        <f>SUMPRODUCT(N(Tabela17[Código]=Tabela2[[#This Row],[Ativo]]),Tabela17[Fechamento])</f>
        <v>0</v>
      </c>
    </row>
    <row r="172" spans="1:13" x14ac:dyDescent="0.2">
      <c r="A172" s="4" t="s">
        <v>32</v>
      </c>
      <c r="B172" s="4">
        <v>2011</v>
      </c>
      <c r="C172" s="6">
        <v>1572292596.6700001</v>
      </c>
      <c r="D172" s="8">
        <f>SUMPRODUCT(N(Tabela3[PAPEL]=Tabela2[[#This Row],[Ativo]]),Tabela3[Total Ações])</f>
        <v>962274260</v>
      </c>
      <c r="E172" s="67">
        <f>(Tabela2[[#This Row],[Lucro Líquido]])/Tabela2[[#This Row],[Total Ações]]</f>
        <v>1.6339339645954991</v>
      </c>
      <c r="F172" s="67">
        <v>1.5653283019999999</v>
      </c>
      <c r="G172" s="46">
        <f>IF(AND(Tabela2[[#This Row],[Dividendo / Ação]]&gt;0,Tabela2[[#This Row],[Lucro por ação]]&gt;0),Tabela2[[#This Row],[Dividendo / Ação]]/Tabela2[[#This Row],[Lucro por ação]],"")</f>
        <v>0.9580119735056225</v>
      </c>
      <c r="H172" s="6">
        <f>MAX(Tabela2[[#This Row],[Cotação 1]],Tabela2[[#This Row],[Cotação 2]])</f>
        <v>19.09</v>
      </c>
      <c r="I172" s="19">
        <f>IF(Tabela2[[#This Row],[Dividendo / Ação]]&gt;0,Tabela2[[#This Row],[Dividendo / Ação]]/Tabela2[[#This Row],[Cotação]],"")</f>
        <v>8.1997291880565745E-2</v>
      </c>
      <c r="J172" s="62">
        <f>SUMPRODUCT(N(Tabela1[Código]=Tabela2[[#This Row],[Ativo]]),Tabela1[Fechamento])</f>
        <v>19.09</v>
      </c>
      <c r="K172" s="62">
        <f>SUMPRODUCT(N(Tabela17[Código]=Tabela2[[#This Row],[Ativo]]),Tabela17[Fechamento])</f>
        <v>0</v>
      </c>
    </row>
    <row r="173" spans="1:13" x14ac:dyDescent="0.2">
      <c r="A173" s="4" t="s">
        <v>32</v>
      </c>
      <c r="B173" s="4">
        <v>2010</v>
      </c>
      <c r="C173" s="6">
        <v>1595150826.9300001</v>
      </c>
      <c r="D173" s="8">
        <f>SUMPRODUCT(N(Tabela3[PAPEL]=Tabela2[[#This Row],[Ativo]]),Tabela3[Total Ações])</f>
        <v>962274260</v>
      </c>
      <c r="E173" s="67">
        <f>(Tabela2[[#This Row],[Lucro Líquido]])/Tabela2[[#This Row],[Total Ações]]</f>
        <v>1.6576883464907397</v>
      </c>
      <c r="F173" s="67">
        <v>2.6197703689999998</v>
      </c>
      <c r="G173" s="46">
        <f>IF(AND(Tabela2[[#This Row],[Dividendo / Ação]]&gt;0,Tabela2[[#This Row],[Lucro por ação]]&gt;0),Tabela2[[#This Row],[Dividendo / Ação]]/Tabela2[[#This Row],[Lucro por ação]],"")</f>
        <v>1.580375692780823</v>
      </c>
      <c r="H173" s="6">
        <f>MAX(Tabela2[[#This Row],[Cotação 1]],Tabela2[[#This Row],[Cotação 2]])</f>
        <v>19.09</v>
      </c>
      <c r="I173" s="19">
        <f>IF(Tabela2[[#This Row],[Dividendo / Ação]]&gt;0,Tabela2[[#This Row],[Dividendo / Ação]]/Tabela2[[#This Row],[Cotação]],"")</f>
        <v>0.13723260183342062</v>
      </c>
      <c r="J173" s="62">
        <f>SUMPRODUCT(N(Tabela1[Código]=Tabela2[[#This Row],[Ativo]]),Tabela1[Fechamento])</f>
        <v>19.09</v>
      </c>
      <c r="K173" s="62">
        <f>SUMPRODUCT(N(Tabela17[Código]=Tabela2[[#This Row],[Ativo]]),Tabela17[Fechamento])</f>
        <v>0</v>
      </c>
    </row>
    <row r="174" spans="1:13" x14ac:dyDescent="0.2">
      <c r="A174" s="4" t="s">
        <v>32</v>
      </c>
      <c r="B174" s="4">
        <v>2009</v>
      </c>
      <c r="C174" s="6">
        <v>1649898817.26</v>
      </c>
      <c r="D174" s="8">
        <f>SUMPRODUCT(N(Tabela3[PAPEL]=Tabela2[[#This Row],[Ativo]]),Tabela3[Total Ações])</f>
        <v>962274260</v>
      </c>
      <c r="E174" s="67">
        <f>(Tabela2[[#This Row],[Lucro Líquido]])/Tabela2[[#This Row],[Total Ações]]</f>
        <v>1.7145827191304068</v>
      </c>
      <c r="F174" s="67">
        <v>2.5560733889999998</v>
      </c>
      <c r="G174" s="46">
        <f>IF(AND(Tabela2[[#This Row],[Dividendo / Ação]]&gt;0,Tabela2[[#This Row],[Lucro por ação]]&gt;0),Tabela2[[#This Row],[Dividendo / Ação]]/Tabela2[[#This Row],[Lucro por ação]],"")</f>
        <v>1.4907845276175278</v>
      </c>
      <c r="H174" s="6">
        <f>MAX(Tabela2[[#This Row],[Cotação 1]],Tabela2[[#This Row],[Cotação 2]])</f>
        <v>19.09</v>
      </c>
      <c r="I174" s="19">
        <f>IF(Tabela2[[#This Row],[Dividendo / Ação]]&gt;0,Tabela2[[#This Row],[Dividendo / Ação]]/Tabela2[[#This Row],[Cotação]],"")</f>
        <v>0.133895934468308</v>
      </c>
      <c r="J174" s="62">
        <f>SUMPRODUCT(N(Tabela1[Código]=Tabela2[[#This Row],[Ativo]]),Tabela1[Fechamento])</f>
        <v>19.09</v>
      </c>
      <c r="K174" s="62">
        <f>SUMPRODUCT(N(Tabela17[Código]=Tabela2[[#This Row],[Ativo]]),Tabela17[Fechamento])</f>
        <v>0</v>
      </c>
    </row>
    <row r="175" spans="1:13" x14ac:dyDescent="0.2">
      <c r="A175" s="4" t="s">
        <v>34</v>
      </c>
      <c r="B175" s="4">
        <v>2012</v>
      </c>
      <c r="C175" s="6">
        <v>700688167.34000003</v>
      </c>
      <c r="D175" s="8">
        <f>SUMPRODUCT(N(Tabela3[PAPEL]=Tabela2[[#This Row],[Ativo]]),Tabela3[Total Ações])</f>
        <v>273655375</v>
      </c>
      <c r="E175" s="67">
        <f>(Tabela2[[#This Row],[Lucro Líquido]])/Tabela2[[#This Row],[Total Ações]]</f>
        <v>2.5604765385660708</v>
      </c>
      <c r="F175" s="67">
        <v>0.93527000000000005</v>
      </c>
      <c r="G175" s="46">
        <f>IF(AND(Tabela2[[#This Row],[Dividendo / Ação]]&gt;0,Tabela2[[#This Row],[Lucro por ação]]&gt;0),Tabela2[[#This Row],[Dividendo / Ação]]/Tabela2[[#This Row],[Lucro por ação]],"")</f>
        <v>0.36527184917061339</v>
      </c>
      <c r="H175" s="6">
        <f>MAX(Tabela2[[#This Row],[Cotação 1]],Tabela2[[#This Row],[Cotação 2]])</f>
        <v>22.3</v>
      </c>
      <c r="I175" s="19">
        <f>IF(Tabela2[[#This Row],[Dividendo / Ação]]&gt;0,Tabela2[[#This Row],[Dividendo / Ação]]/Tabela2[[#This Row],[Cotação]],"")</f>
        <v>4.1940358744394619E-2</v>
      </c>
      <c r="J175" s="62">
        <f>SUMPRODUCT(N(Tabela1[Código]=Tabela2[[#This Row],[Ativo]]),Tabela1[Fechamento])</f>
        <v>22.3</v>
      </c>
      <c r="K175" s="62">
        <f>SUMPRODUCT(N(Tabela17[Código]=Tabela2[[#This Row],[Ativo]]),Tabela17[Fechamento])</f>
        <v>0</v>
      </c>
    </row>
    <row r="176" spans="1:13" x14ac:dyDescent="0.2">
      <c r="A176" s="4" t="s">
        <v>34</v>
      </c>
      <c r="B176" s="3">
        <v>2011</v>
      </c>
      <c r="C176" s="5">
        <v>1203117000</v>
      </c>
      <c r="D176" s="63">
        <f>SUMPRODUCT(N(Tabela3[PAPEL]=Tabela2[[#This Row],[Ativo]]),Tabela3[Total Ações])</f>
        <v>273655375</v>
      </c>
      <c r="E176" s="66">
        <f>(Tabela2[[#This Row],[Lucro Líquido]])/Tabela2[[#This Row],[Total Ações]]</f>
        <v>4.396467637443628</v>
      </c>
      <c r="F176" s="66">
        <v>1.4683299999999999</v>
      </c>
      <c r="G176" s="22">
        <f>IF(AND(Tabela2[[#This Row],[Dividendo / Ação]]&gt;0,Tabela2[[#This Row],[Lucro por ação]]&gt;0),Tabela2[[#This Row],[Dividendo / Ação]]/Tabela2[[#This Row],[Lucro por ação]],"")</f>
        <v>0.33397948559761848</v>
      </c>
      <c r="H176" s="5">
        <f>MAX(Tabela2[[#This Row],[Cotação 1]],Tabela2[[#This Row],[Cotação 2]])</f>
        <v>22.3</v>
      </c>
      <c r="I176" s="18">
        <f>IF(Tabela2[[#This Row],[Dividendo / Ação]]&gt;0,Tabela2[[#This Row],[Dividendo / Ação]]/Tabela2[[#This Row],[Cotação]],"")</f>
        <v>6.5844394618834068E-2</v>
      </c>
      <c r="J176" s="61">
        <f>SUMPRODUCT(N(Tabela1[Código]=Tabela2[[#This Row],[Ativo]]),Tabela1[Fechamento])</f>
        <v>22.3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 x14ac:dyDescent="0.2">
      <c r="A177" s="4" t="s">
        <v>34</v>
      </c>
      <c r="B177" s="3">
        <v>2010</v>
      </c>
      <c r="C177" s="5">
        <v>1041534000</v>
      </c>
      <c r="D177" s="63">
        <f>SUMPRODUCT(N(Tabela3[PAPEL]=Tabela2[[#This Row],[Ativo]]),Tabela3[Total Ações])</f>
        <v>273655375</v>
      </c>
      <c r="E177" s="66">
        <f>(Tabela2[[#This Row],[Lucro Líquido]])/Tabela2[[#This Row],[Total Ações]]</f>
        <v>3.8060060029882474</v>
      </c>
      <c r="F177" s="66">
        <v>0.98026999999999997</v>
      </c>
      <c r="G177" s="22">
        <f>IF(AND(Tabela2[[#This Row],[Dividendo / Ação]]&gt;0,Tabela2[[#This Row],[Lucro por ação]]&gt;0),Tabela2[[#This Row],[Dividendo / Ação]]/Tabela2[[#This Row],[Lucro por ação]],"")</f>
        <v>0.25755871095062666</v>
      </c>
      <c r="H177" s="5">
        <f>MAX(Tabela2[[#This Row],[Cotação 1]],Tabela2[[#This Row],[Cotação 2]])</f>
        <v>22.3</v>
      </c>
      <c r="I177" s="18">
        <f>IF(Tabela2[[#This Row],[Dividendo / Ação]]&gt;0,Tabela2[[#This Row],[Dividendo / Ação]]/Tabela2[[#This Row],[Cotação]],"")</f>
        <v>4.3958295964125559E-2</v>
      </c>
      <c r="J177" s="61">
        <f>SUMPRODUCT(N(Tabela1[Código]=Tabela2[[#This Row],[Ativo]]),Tabela1[Fechamento])</f>
        <v>22.3</v>
      </c>
      <c r="K177" s="61">
        <f>SUMPRODUCT(N(Tabela17[Código]=Tabela2[[#This Row],[Ativo]]),Tabela17[Fechamento])</f>
        <v>0</v>
      </c>
      <c r="M177" s="3">
        <v>2.648E-2</v>
      </c>
    </row>
    <row r="178" spans="1:13" x14ac:dyDescent="0.2">
      <c r="A178" s="4" t="s">
        <v>34</v>
      </c>
      <c r="B178" s="3">
        <v>2009</v>
      </c>
      <c r="C178" s="5">
        <v>900821000</v>
      </c>
      <c r="D178" s="63">
        <f>SUMPRODUCT(N(Tabela3[PAPEL]=Tabela2[[#This Row],[Ativo]]),Tabela3[Total Ações])</f>
        <v>273655375</v>
      </c>
      <c r="E178" s="66">
        <f>(Tabela2[[#This Row],[Lucro Líquido]])/Tabela2[[#This Row],[Total Ações]]</f>
        <v>3.2918081729620696</v>
      </c>
      <c r="F178" s="66">
        <v>0.86965000000000003</v>
      </c>
      <c r="G178" s="22">
        <f>IF(AND(Tabela2[[#This Row],[Dividendo / Ação]]&gt;0,Tabela2[[#This Row],[Lucro por ação]]&gt;0),Tabela2[[#This Row],[Dividendo / Ação]]/Tabela2[[#This Row],[Lucro por ação]],"")</f>
        <v>0.26418611119051399</v>
      </c>
      <c r="H178" s="5">
        <f>MAX(Tabela2[[#This Row],[Cotação 1]],Tabela2[[#This Row],[Cotação 2]])</f>
        <v>22.3</v>
      </c>
      <c r="I178" s="18">
        <f>IF(Tabela2[[#This Row],[Dividendo / Ação]]&gt;0,Tabela2[[#This Row],[Dividendo / Ação]]/Tabela2[[#This Row],[Cotação]],"")</f>
        <v>3.8997757847533635E-2</v>
      </c>
      <c r="J178" s="61">
        <f>SUMPRODUCT(N(Tabela1[Código]=Tabela2[[#This Row],[Ativo]]),Tabela1[Fechamento])</f>
        <v>22.3</v>
      </c>
      <c r="K178" s="61">
        <f>SUMPRODUCT(N(Tabela17[Código]=Tabela2[[#This Row],[Ativo]]),Tabela17[Fechamento])</f>
        <v>0</v>
      </c>
      <c r="M178" s="3">
        <f>SUM(M176:M177)</f>
        <v>6.6379999999999995E-2</v>
      </c>
    </row>
    <row r="179" spans="1:13" x14ac:dyDescent="0.2">
      <c r="A179" s="4" t="s">
        <v>107</v>
      </c>
      <c r="B179" s="4">
        <v>2012</v>
      </c>
      <c r="C179" s="6">
        <v>700688167.34000003</v>
      </c>
      <c r="D179" s="8">
        <f>SUMPRODUCT(N(Tabela3[PAPEL]=Tabela2[[#This Row],[Ativo]]),Tabela3[Total Ações])</f>
        <v>273655375</v>
      </c>
      <c r="E179" s="67">
        <f>(Tabela2[[#This Row],[Lucro Líquido]])/Tabela2[[#This Row],[Total Ações]]</f>
        <v>2.5604765385660708</v>
      </c>
      <c r="F179" s="67">
        <v>2.5250699999999999</v>
      </c>
      <c r="G179" s="46">
        <f>IF(AND(Tabela2[[#This Row],[Dividendo / Ação]]&gt;0,Tabela2[[#This Row],[Lucro por ação]]&gt;0),Tabela2[[#This Row],[Dividendo / Ação]]/Tabela2[[#This Row],[Lucro por ação]],"")</f>
        <v>0.98617189494503266</v>
      </c>
      <c r="H179" s="6">
        <f>MAX(Tabela2[[#This Row],[Cotação 1]],Tabela2[[#This Row],[Cotação 2]])</f>
        <v>30</v>
      </c>
      <c r="I179" s="19">
        <f>IF(Tabela2[[#This Row],[Dividendo / Ação]]&gt;0,Tabela2[[#This Row],[Dividendo / Ação]]/Tabela2[[#This Row],[Cotação]],"")</f>
        <v>8.4168999999999994E-2</v>
      </c>
      <c r="J179" s="62">
        <f>SUMPRODUCT(N(Tabela1[Código]=Tabela2[[#This Row],[Ativo]]),Tabela1[Fechamento])</f>
        <v>30</v>
      </c>
      <c r="K179" s="62">
        <f>SUMPRODUCT(N(Tabela17[Código]=Tabela2[[#This Row],[Ativo]]),Tabela17[Fechamento])</f>
        <v>0</v>
      </c>
    </row>
    <row r="180" spans="1:13" x14ac:dyDescent="0.2">
      <c r="A180" s="4" t="s">
        <v>107</v>
      </c>
      <c r="B180" s="3">
        <v>2011</v>
      </c>
      <c r="C180" s="5">
        <v>1203117000</v>
      </c>
      <c r="D180" s="63">
        <f>SUMPRODUCT(N(Tabela3[PAPEL]=Tabela2[[#This Row],[Ativo]]),Tabela3[Total Ações])</f>
        <v>273655375</v>
      </c>
      <c r="E180" s="66">
        <f>(Tabela2[[#This Row],[Lucro Líquido]])/Tabela2[[#This Row],[Total Ações]]</f>
        <v>4.396467637443628</v>
      </c>
      <c r="F180" s="66">
        <v>2.5250699999999999</v>
      </c>
      <c r="G180" s="22">
        <f>IF(AND(Tabela2[[#This Row],[Dividendo / Ação]]&gt;0,Tabela2[[#This Row],[Lucro por ação]]&gt;0),Tabela2[[#This Row],[Dividendo / Ação]]/Tabela2[[#This Row],[Lucro por ação]],"")</f>
        <v>0.57434063166861571</v>
      </c>
      <c r="H180" s="5">
        <f>MAX(Tabela2[[#This Row],[Cotação 1]],Tabela2[[#This Row],[Cotação 2]])</f>
        <v>30</v>
      </c>
      <c r="I180" s="18">
        <f>IF(Tabela2[[#This Row],[Dividendo / Ação]]&gt;0,Tabela2[[#This Row],[Dividendo / Ação]]/Tabela2[[#This Row],[Cotação]],"")</f>
        <v>8.4168999999999994E-2</v>
      </c>
      <c r="J180" s="61">
        <f>SUMPRODUCT(N(Tabela1[Código]=Tabela2[[#This Row],[Ativo]]),Tabela1[Fechamento])</f>
        <v>30</v>
      </c>
      <c r="K180" s="61">
        <f>SUMPRODUCT(N(Tabela17[Código]=Tabela2[[#This Row],[Ativo]]),Tabela17[Fechamento])</f>
        <v>0</v>
      </c>
    </row>
    <row r="181" spans="1:13" x14ac:dyDescent="0.2">
      <c r="A181" s="4" t="s">
        <v>107</v>
      </c>
      <c r="B181" s="3">
        <v>2010</v>
      </c>
      <c r="C181" s="5">
        <v>1041534000</v>
      </c>
      <c r="D181" s="63">
        <f>SUMPRODUCT(N(Tabela3[PAPEL]=Tabela2[[#This Row],[Ativo]]),Tabela3[Total Ações])</f>
        <v>273655375</v>
      </c>
      <c r="E181" s="66">
        <f>(Tabela2[[#This Row],[Lucro Líquido]])/Tabela2[[#This Row],[Total Ações]]</f>
        <v>3.8060060029882474</v>
      </c>
      <c r="F181" s="66">
        <v>2.5250699999999999</v>
      </c>
      <c r="G181" s="22">
        <f>IF(AND(Tabela2[[#This Row],[Dividendo / Ação]]&gt;0,Tabela2[[#This Row],[Lucro por ação]]&gt;0),Tabela2[[#This Row],[Dividendo / Ação]]/Tabela2[[#This Row],[Lucro por ação]],"")</f>
        <v>0.66344351480724584</v>
      </c>
      <c r="H181" s="5">
        <f>MAX(Tabela2[[#This Row],[Cotação 1]],Tabela2[[#This Row],[Cotação 2]])</f>
        <v>30</v>
      </c>
      <c r="I181" s="18">
        <f>IF(Tabela2[[#This Row],[Dividendo / Ação]]&gt;0,Tabela2[[#This Row],[Dividendo / Ação]]/Tabela2[[#This Row],[Cotação]],"")</f>
        <v>8.4168999999999994E-2</v>
      </c>
      <c r="J181" s="61">
        <f>SUMPRODUCT(N(Tabela1[Código]=Tabela2[[#This Row],[Ativo]]),Tabela1[Fechamento])</f>
        <v>30</v>
      </c>
      <c r="K181" s="61">
        <f>SUMPRODUCT(N(Tabela17[Código]=Tabela2[[#This Row],[Ativo]]),Tabela17[Fechamento])</f>
        <v>0</v>
      </c>
    </row>
    <row r="182" spans="1:13" x14ac:dyDescent="0.2">
      <c r="A182" s="4" t="s">
        <v>107</v>
      </c>
      <c r="B182" s="3">
        <v>2009</v>
      </c>
      <c r="C182" s="5">
        <v>900821000</v>
      </c>
      <c r="D182" s="63">
        <f>SUMPRODUCT(N(Tabela3[PAPEL]=Tabela2[[#This Row],[Ativo]]),Tabela3[Total Ações])</f>
        <v>273655375</v>
      </c>
      <c r="E182" s="66">
        <f>(Tabela2[[#This Row],[Lucro Líquido]])/Tabela2[[#This Row],[Total Ações]]</f>
        <v>3.2918081729620696</v>
      </c>
      <c r="F182" s="66">
        <v>1.6297900000000001</v>
      </c>
      <c r="G182" s="22">
        <f>IF(AND(Tabela2[[#This Row],[Dividendo / Ação]]&gt;0,Tabela2[[#This Row],[Lucro por ação]]&gt;0),Tabela2[[#This Row],[Dividendo / Ação]]/Tabela2[[#This Row],[Lucro por ação]],"")</f>
        <v>0.49510479176356903</v>
      </c>
      <c r="H182" s="5">
        <f>MAX(Tabela2[[#This Row],[Cotação 1]],Tabela2[[#This Row],[Cotação 2]])</f>
        <v>30</v>
      </c>
      <c r="I182" s="18">
        <f>IF(Tabela2[[#This Row],[Dividendo / Ação]]&gt;0,Tabela2[[#This Row],[Dividendo / Ação]]/Tabela2[[#This Row],[Cotação]],"")</f>
        <v>5.4326333333333338E-2</v>
      </c>
      <c r="J182" s="61">
        <f>SUMPRODUCT(N(Tabela1[Código]=Tabela2[[#This Row],[Ativo]]),Tabela1[Fechamento])</f>
        <v>30</v>
      </c>
      <c r="K182" s="61">
        <f>SUMPRODUCT(N(Tabela17[Código]=Tabela2[[#This Row],[Ativo]]),Tabela17[Fechamento])</f>
        <v>0</v>
      </c>
    </row>
    <row r="183" spans="1:13" x14ac:dyDescent="0.2">
      <c r="A183" s="4" t="s">
        <v>108</v>
      </c>
      <c r="B183" s="4">
        <v>2012</v>
      </c>
      <c r="C183" s="6">
        <v>700688167.34000003</v>
      </c>
      <c r="D183" s="8">
        <f>SUMPRODUCT(N(Tabela3[PAPEL]=Tabela2[[#This Row],[Ativo]]),Tabela3[Total Ações])</f>
        <v>273655375</v>
      </c>
      <c r="E183" s="67">
        <f>(Tabela2[[#This Row],[Lucro Líquido]])/Tabela2[[#This Row],[Total Ações]]</f>
        <v>2.5604765385660708</v>
      </c>
      <c r="F183" s="67">
        <v>1.0288900000000001</v>
      </c>
      <c r="G183" s="46">
        <f>IF(AND(Tabela2[[#This Row],[Dividendo / Ação]]&gt;0,Tabela2[[#This Row],[Lucro por ação]]&gt;0),Tabela2[[#This Row],[Dividendo / Ação]]/Tabela2[[#This Row],[Lucro por ação]],"")</f>
        <v>0.40183535545152993</v>
      </c>
      <c r="H183" s="6">
        <f>MAX(Tabela2[[#This Row],[Cotação 1]],Tabela2[[#This Row],[Cotação 2]])</f>
        <v>30.53</v>
      </c>
      <c r="I183" s="19">
        <f>IF(Tabela2[[#This Row],[Dividendo / Ação]]&gt;0,Tabela2[[#This Row],[Dividendo / Ação]]/Tabela2[[#This Row],[Cotação]],"")</f>
        <v>3.3700949885358662E-2</v>
      </c>
      <c r="J183" s="62">
        <f>SUMPRODUCT(N(Tabela1[Código]=Tabela2[[#This Row],[Ativo]]),Tabela1[Fechamento])</f>
        <v>30.53</v>
      </c>
      <c r="K183" s="62">
        <f>SUMPRODUCT(N(Tabela17[Código]=Tabela2[[#This Row],[Ativo]]),Tabela17[Fechamento])</f>
        <v>0</v>
      </c>
    </row>
    <row r="184" spans="1:13" x14ac:dyDescent="0.2">
      <c r="A184" s="4" t="s">
        <v>108</v>
      </c>
      <c r="B184" s="4">
        <v>2011</v>
      </c>
      <c r="C184" s="5">
        <v>1203117000</v>
      </c>
      <c r="D184" s="8">
        <f>SUMPRODUCT(N(Tabela3[PAPEL]=Tabela2[[#This Row],[Ativo]]),Tabela3[Total Ações])</f>
        <v>273655375</v>
      </c>
      <c r="E184" s="67">
        <f>(Tabela2[[#This Row],[Lucro Líquido]])/Tabela2[[#This Row],[Total Ações]]</f>
        <v>4.396467637443628</v>
      </c>
      <c r="F184" s="67">
        <v>1.6154599999999999</v>
      </c>
      <c r="G184" s="46">
        <f>IF(AND(Tabela2[[#This Row],[Dividendo / Ação]]&gt;0,Tabela2[[#This Row],[Lucro por ação]]&gt;0),Tabela2[[#This Row],[Dividendo / Ação]]/Tabela2[[#This Row],[Lucro por ação]],"")</f>
        <v>0.3674449883905721</v>
      </c>
      <c r="H184" s="6">
        <f>MAX(Tabela2[[#This Row],[Cotação 1]],Tabela2[[#This Row],[Cotação 2]])</f>
        <v>30.53</v>
      </c>
      <c r="I184" s="19">
        <f>IF(Tabela2[[#This Row],[Dividendo / Ação]]&gt;0,Tabela2[[#This Row],[Dividendo / Ação]]/Tabela2[[#This Row],[Cotação]],"")</f>
        <v>5.291385522436947E-2</v>
      </c>
      <c r="J184" s="62">
        <f>SUMPRODUCT(N(Tabela1[Código]=Tabela2[[#This Row],[Ativo]]),Tabela1[Fechamento])</f>
        <v>30.53</v>
      </c>
      <c r="K184" s="62">
        <f>SUMPRODUCT(N(Tabela17[Código]=Tabela2[[#This Row],[Ativo]]),Tabela17[Fechamento])</f>
        <v>0</v>
      </c>
    </row>
    <row r="185" spans="1:13" x14ac:dyDescent="0.2">
      <c r="A185" s="4" t="s">
        <v>108</v>
      </c>
      <c r="B185" s="4">
        <v>2010</v>
      </c>
      <c r="C185" s="5">
        <v>1041534000</v>
      </c>
      <c r="D185" s="8">
        <f>SUMPRODUCT(N(Tabela3[PAPEL]=Tabela2[[#This Row],[Ativo]]),Tabela3[Total Ações])</f>
        <v>273655375</v>
      </c>
      <c r="E185" s="67">
        <f>(Tabela2[[#This Row],[Lucro Líquido]])/Tabela2[[#This Row],[Total Ações]]</f>
        <v>3.8060060029882474</v>
      </c>
      <c r="F185" s="67">
        <v>1.0785400000000001</v>
      </c>
      <c r="G185" s="46">
        <f>IF(AND(Tabela2[[#This Row],[Dividendo / Ação]]&gt;0,Tabela2[[#This Row],[Lucro por ação]]&gt;0),Tabela2[[#This Row],[Dividendo / Ação]]/Tabela2[[#This Row],[Lucro por ação]],"")</f>
        <v>0.28337842850305417</v>
      </c>
      <c r="H185" s="6">
        <f>MAX(Tabela2[[#This Row],[Cotação 1]],Tabela2[[#This Row],[Cotação 2]])</f>
        <v>30.53</v>
      </c>
      <c r="I185" s="19">
        <f>IF(Tabela2[[#This Row],[Dividendo / Ação]]&gt;0,Tabela2[[#This Row],[Dividendo / Ação]]/Tabela2[[#This Row],[Cotação]],"")</f>
        <v>3.5327219128725842E-2</v>
      </c>
      <c r="J185" s="62">
        <f>SUMPRODUCT(N(Tabela1[Código]=Tabela2[[#This Row],[Ativo]]),Tabela1[Fechamento])</f>
        <v>30.53</v>
      </c>
      <c r="K185" s="62">
        <f>SUMPRODUCT(N(Tabela17[Código]=Tabela2[[#This Row],[Ativo]]),Tabela17[Fechamento])</f>
        <v>0</v>
      </c>
    </row>
    <row r="186" spans="1:13" x14ac:dyDescent="0.2">
      <c r="A186" s="4" t="s">
        <v>108</v>
      </c>
      <c r="B186" s="4">
        <v>2009</v>
      </c>
      <c r="C186" s="5">
        <v>900821000</v>
      </c>
      <c r="D186" s="8">
        <f>SUMPRODUCT(N(Tabela3[PAPEL]=Tabela2[[#This Row],[Ativo]]),Tabela3[Total Ações])</f>
        <v>273655375</v>
      </c>
      <c r="E186" s="67">
        <f>(Tabela2[[#This Row],[Lucro Líquido]])/Tabela2[[#This Row],[Total Ações]]</f>
        <v>3.2918081729620696</v>
      </c>
      <c r="F186" s="67">
        <v>0.95679000000000003</v>
      </c>
      <c r="G186" s="46">
        <f>IF(AND(Tabela2[[#This Row],[Dividendo / Ação]]&gt;0,Tabela2[[#This Row],[Lucro por ação]]&gt;0),Tabela2[[#This Row],[Dividendo / Ação]]/Tabela2[[#This Row],[Lucro por ação]],"")</f>
        <v>0.29065788458112102</v>
      </c>
      <c r="H186" s="6">
        <f>MAX(Tabela2[[#This Row],[Cotação 1]],Tabela2[[#This Row],[Cotação 2]])</f>
        <v>30.53</v>
      </c>
      <c r="I186" s="19">
        <f>IF(Tabela2[[#This Row],[Dividendo / Ação]]&gt;0,Tabela2[[#This Row],[Dividendo / Ação]]/Tabela2[[#This Row],[Cotação]],"")</f>
        <v>3.1339338355715687E-2</v>
      </c>
      <c r="J186" s="62">
        <f>SUMPRODUCT(N(Tabela1[Código]=Tabela2[[#This Row],[Ativo]]),Tabela1[Fechamento])</f>
        <v>30.53</v>
      </c>
      <c r="K186" s="62">
        <f>SUMPRODUCT(N(Tabela17[Código]=Tabela2[[#This Row],[Ativo]]),Tabela17[Fechamento])</f>
        <v>0</v>
      </c>
    </row>
    <row r="187" spans="1:13" x14ac:dyDescent="0.2">
      <c r="A187" s="15" t="s">
        <v>223</v>
      </c>
      <c r="B187" s="4">
        <v>2012</v>
      </c>
      <c r="C187" s="6">
        <v>486927674.55000001</v>
      </c>
      <c r="D187" s="8">
        <f>SUMPRODUCT(N(Tabela3[PAPEL]=Tabela2[[#This Row],[Ativo]]),Tabela3[Total Ações])</f>
        <v>119684430</v>
      </c>
      <c r="E187" s="67">
        <f>(Tabela2[[#This Row],[Lucro Líquido]])/Tabela2[[#This Row],[Total Ações]]</f>
        <v>4.0684295739220211</v>
      </c>
      <c r="F187" s="67">
        <v>1.3564000000000001</v>
      </c>
      <c r="G187" s="46">
        <f>IF(AND(Tabela2[[#This Row],[Dividendo / Ação]]&gt;0,Tabela2[[#This Row],[Lucro por ação]]&gt;0),Tabela2[[#This Row],[Dividendo / Ação]]/Tabela2[[#This Row],[Lucro por ação]],"")</f>
        <v>0.33339645564822007</v>
      </c>
      <c r="H187" s="6">
        <f>MAX(Tabela2[[#This Row],[Cotação 1]],Tabela2[[#This Row],[Cotação 2]])</f>
        <v>37.200000000000003</v>
      </c>
      <c r="I187" s="19">
        <f>IF(Tabela2[[#This Row],[Dividendo / Ação]]&gt;0,Tabela2[[#This Row],[Dividendo / Ação]]/Tabela2[[#This Row],[Cotação]],"")</f>
        <v>3.6462365591397851E-2</v>
      </c>
      <c r="J187" s="62">
        <f>SUMPRODUCT(N(Tabela1[Código]=Tabela2[[#This Row],[Ativo]]),Tabela1[Fechamento])</f>
        <v>37.200000000000003</v>
      </c>
      <c r="K187" s="62">
        <f>SUMPRODUCT(N(Tabela17[Código]=Tabela2[[#This Row],[Ativo]]),Tabela17[Fechamento])</f>
        <v>0</v>
      </c>
    </row>
    <row r="188" spans="1:13" x14ac:dyDescent="0.2">
      <c r="A188" s="15" t="s">
        <v>223</v>
      </c>
      <c r="B188" s="4">
        <v>2011</v>
      </c>
      <c r="C188" s="6">
        <v>470437900</v>
      </c>
      <c r="D188" s="8">
        <f>SUMPRODUCT(N(Tabela3[PAPEL]=Tabela2[[#This Row],[Ativo]]),Tabela3[Total Ações])</f>
        <v>119684430</v>
      </c>
      <c r="E188" s="67">
        <f>(Tabela2[[#This Row],[Lucro Líquido]])/Tabela2[[#This Row],[Total Ações]]</f>
        <v>3.9306524666575258</v>
      </c>
      <c r="F188" s="67">
        <v>1.33</v>
      </c>
      <c r="G188" s="46">
        <f>IF(AND(Tabela2[[#This Row],[Dividendo / Ação]]&gt;0,Tabela2[[#This Row],[Lucro por ação]]&gt;0),Tabela2[[#This Row],[Dividendo / Ação]]/Tabela2[[#This Row],[Lucro por ação]],"")</f>
        <v>0.33836621560465263</v>
      </c>
      <c r="H188" s="6">
        <f>MAX(Tabela2[[#This Row],[Cotação 1]],Tabela2[[#This Row],[Cotação 2]])</f>
        <v>37.200000000000003</v>
      </c>
      <c r="I188" s="19">
        <f>IF(Tabela2[[#This Row],[Dividendo / Ação]]&gt;0,Tabela2[[#This Row],[Dividendo / Ação]]/Tabela2[[#This Row],[Cotação]],"")</f>
        <v>3.575268817204301E-2</v>
      </c>
      <c r="J188" s="62">
        <f>SUMPRODUCT(N(Tabela1[Código]=Tabela2[[#This Row],[Ativo]]),Tabela1[Fechamento])</f>
        <v>37.200000000000003</v>
      </c>
      <c r="K188" s="62">
        <f>SUMPRODUCT(N(Tabela17[Código]=Tabela2[[#This Row],[Ativo]]),Tabela17[Fechamento])</f>
        <v>0</v>
      </c>
    </row>
    <row r="189" spans="1:13" x14ac:dyDescent="0.2">
      <c r="A189" s="15" t="s">
        <v>223</v>
      </c>
      <c r="B189" s="4">
        <v>2010</v>
      </c>
      <c r="C189" s="6">
        <v>677124500</v>
      </c>
      <c r="D189" s="8">
        <f>SUMPRODUCT(N(Tabela3[PAPEL]=Tabela2[[#This Row],[Ativo]]),Tabela3[Total Ações])</f>
        <v>119684430</v>
      </c>
      <c r="E189" s="67">
        <f>(Tabela2[[#This Row],[Lucro Líquido]])/Tabela2[[#This Row],[Total Ações]]</f>
        <v>5.6575821934398656</v>
      </c>
      <c r="F189" s="67">
        <v>1.95</v>
      </c>
      <c r="G189" s="46">
        <f>IF(AND(Tabela2[[#This Row],[Dividendo / Ação]]&gt;0,Tabela2[[#This Row],[Lucro por ação]]&gt;0),Tabela2[[#This Row],[Dividendo / Ação]]/Tabela2[[#This Row],[Lucro por ação]],"")</f>
        <v>0.34467020245169089</v>
      </c>
      <c r="H189" s="6">
        <f>MAX(Tabela2[[#This Row],[Cotação 1]],Tabela2[[#This Row],[Cotação 2]])</f>
        <v>37.200000000000003</v>
      </c>
      <c r="I189" s="19">
        <f>IF(Tabela2[[#This Row],[Dividendo / Ação]]&gt;0,Tabela2[[#This Row],[Dividendo / Ação]]/Tabela2[[#This Row],[Cotação]],"")</f>
        <v>5.2419354838709672E-2</v>
      </c>
      <c r="J189" s="62">
        <f>SUMPRODUCT(N(Tabela1[Código]=Tabela2[[#This Row],[Ativo]]),Tabela1[Fechamento])</f>
        <v>37.200000000000003</v>
      </c>
      <c r="K189" s="62">
        <f>SUMPRODUCT(N(Tabela17[Código]=Tabela2[[#This Row],[Ativo]]),Tabela17[Fechamento])</f>
        <v>0</v>
      </c>
    </row>
    <row r="190" spans="1:13" x14ac:dyDescent="0.2">
      <c r="A190" s="15" t="s">
        <v>223</v>
      </c>
      <c r="B190" s="4">
        <v>2009</v>
      </c>
      <c r="C190" s="6">
        <v>525306600</v>
      </c>
      <c r="D190" s="8">
        <f>SUMPRODUCT(N(Tabela3[PAPEL]=Tabela2[[#This Row],[Ativo]]),Tabela3[Total Ações])</f>
        <v>119684430</v>
      </c>
      <c r="E190" s="67">
        <f>(Tabela2[[#This Row],[Lucro Líquido]])/Tabela2[[#This Row],[Total Ações]]</f>
        <v>4.3890972284364809</v>
      </c>
      <c r="F190" s="67">
        <v>1.5</v>
      </c>
      <c r="G190" s="46">
        <f>IF(AND(Tabela2[[#This Row],[Dividendo / Ação]]&gt;0,Tabela2[[#This Row],[Lucro por ação]]&gt;0),Tabela2[[#This Row],[Dividendo / Ação]]/Tabela2[[#This Row],[Lucro por ação]],"")</f>
        <v>0.34175592882328149</v>
      </c>
      <c r="H190" s="6">
        <f>MAX(Tabela2[[#This Row],[Cotação 1]],Tabela2[[#This Row],[Cotação 2]])</f>
        <v>37.200000000000003</v>
      </c>
      <c r="I190" s="19">
        <f>IF(Tabela2[[#This Row],[Dividendo / Ação]]&gt;0,Tabela2[[#This Row],[Dividendo / Ação]]/Tabela2[[#This Row],[Cotação]],"")</f>
        <v>4.0322580645161289E-2</v>
      </c>
      <c r="J190" s="62">
        <f>SUMPRODUCT(N(Tabela1[Código]=Tabela2[[#This Row],[Ativo]]),Tabela1[Fechamento])</f>
        <v>37.200000000000003</v>
      </c>
      <c r="K190" s="62">
        <f>SUMPRODUCT(N(Tabela17[Código]=Tabela2[[#This Row],[Ativo]]),Tabela17[Fechamento])</f>
        <v>0</v>
      </c>
    </row>
    <row r="191" spans="1:13" x14ac:dyDescent="0.2">
      <c r="A191" s="4" t="s">
        <v>103</v>
      </c>
      <c r="B191" s="4">
        <v>2012</v>
      </c>
      <c r="C191" s="6">
        <v>245872000</v>
      </c>
      <c r="D191" s="8">
        <f>SUMPRODUCT(N(Tabela3[PAPEL]=Tabela2[[#This Row],[Ativo]]),Tabela3[Total Ações])</f>
        <v>168074028</v>
      </c>
      <c r="E191" s="67">
        <f>(Tabela2[[#This Row],[Lucro Líquido]])/Tabela2[[#This Row],[Total Ações]]</f>
        <v>1.4628792022524741</v>
      </c>
      <c r="F191" s="67">
        <v>0.210547822</v>
      </c>
      <c r="G191" s="46">
        <f>IF(AND(Tabela2[[#This Row],[Dividendo / Ação]]&gt;0,Tabela2[[#This Row],[Lucro por ação]]&gt;0),Tabela2[[#This Row],[Dividendo / Ação]]/Tabela2[[#This Row],[Lucro por ação]],"")</f>
        <v>0.14392700482432735</v>
      </c>
      <c r="H191" s="6">
        <f>MAX(Tabela2[[#This Row],[Cotação 1]],Tabela2[[#This Row],[Cotação 2]])</f>
        <v>10.02</v>
      </c>
      <c r="I191" s="19">
        <f>IF(Tabela2[[#This Row],[Dividendo / Ação]]&gt;0,Tabela2[[#This Row],[Dividendo / Ação]]/Tabela2[[#This Row],[Cotação]],"")</f>
        <v>2.1012756686626746E-2</v>
      </c>
      <c r="J191" s="62">
        <f>SUMPRODUCT(N(Tabela1[Código]=Tabela2[[#This Row],[Ativo]]),Tabela1[Fechamento])</f>
        <v>10.02</v>
      </c>
      <c r="K191" s="62">
        <f>SUMPRODUCT(N(Tabela17[Código]=Tabela2[[#This Row],[Ativo]]),Tabela17[Fechamento])</f>
        <v>0</v>
      </c>
    </row>
    <row r="192" spans="1:13" x14ac:dyDescent="0.2">
      <c r="A192" s="4" t="s">
        <v>103</v>
      </c>
      <c r="B192" s="3">
        <v>2011</v>
      </c>
      <c r="C192" s="5">
        <v>232128000</v>
      </c>
      <c r="D192" s="63">
        <f>SUMPRODUCT(N(Tabela3[PAPEL]=Tabela2[[#This Row],[Ativo]]),Tabela3[Total Ações])</f>
        <v>168074028</v>
      </c>
      <c r="E192" s="66">
        <f>(Tabela2[[#This Row],[Lucro Líquido]])/Tabela2[[#This Row],[Total Ações]]</f>
        <v>1.3811057113476213</v>
      </c>
      <c r="F192" s="66">
        <v>1.158632954</v>
      </c>
      <c r="G192" s="22">
        <f>IF(AND(Tabela2[[#This Row],[Dividendo / Ação]]&gt;0,Tabela2[[#This Row],[Lucro por ação]]&gt;0),Tabela2[[#This Row],[Dividendo / Ação]]/Tabela2[[#This Row],[Lucro por ação]],"")</f>
        <v>0.83891692321615097</v>
      </c>
      <c r="H192" s="5">
        <f>MAX(Tabela2[[#This Row],[Cotação 1]],Tabela2[[#This Row],[Cotação 2]])</f>
        <v>10.02</v>
      </c>
      <c r="I192" s="18">
        <f>IF(Tabela2[[#This Row],[Dividendo / Ação]]&gt;0,Tabela2[[#This Row],[Dividendo / Ação]]/Tabela2[[#This Row],[Cotação]],"")</f>
        <v>0.11563203133732536</v>
      </c>
      <c r="J192" s="61">
        <f>SUMPRODUCT(N(Tabela1[Código]=Tabela2[[#This Row],[Ativo]]),Tabela1[Fechamento])</f>
        <v>10.02</v>
      </c>
      <c r="K192" s="61">
        <f>SUMPRODUCT(N(Tabela17[Código]=Tabela2[[#This Row],[Ativo]]),Tabela17[Fechamento])</f>
        <v>0</v>
      </c>
    </row>
    <row r="193" spans="1:13" x14ac:dyDescent="0.2">
      <c r="A193" s="4" t="s">
        <v>103</v>
      </c>
      <c r="B193" s="3">
        <v>2010</v>
      </c>
      <c r="C193" s="5">
        <v>253664000</v>
      </c>
      <c r="D193" s="63">
        <f>SUMPRODUCT(N(Tabela3[PAPEL]=Tabela2[[#This Row],[Ativo]]),Tabela3[Total Ações])</f>
        <v>168074028</v>
      </c>
      <c r="E193" s="66">
        <f>(Tabela2[[#This Row],[Lucro Líquido]])/Tabela2[[#This Row],[Total Ações]]</f>
        <v>1.5092397261996957</v>
      </c>
      <c r="F193" s="66">
        <v>1.1372260759999999</v>
      </c>
      <c r="G193" s="22">
        <f>IF(AND(Tabela2[[#This Row],[Dividendo / Ação]]&gt;0,Tabela2[[#This Row],[Lucro por ação]]&gt;0),Tabela2[[#This Row],[Dividendo / Ação]]/Tabela2[[#This Row],[Lucro por ação]],"")</f>
        <v>0.75350923796815517</v>
      </c>
      <c r="H193" s="5">
        <f>MAX(Tabela2[[#This Row],[Cotação 1]],Tabela2[[#This Row],[Cotação 2]])</f>
        <v>10.02</v>
      </c>
      <c r="I193" s="18">
        <f>IF(Tabela2[[#This Row],[Dividendo / Ação]]&gt;0,Tabela2[[#This Row],[Dividendo / Ação]]/Tabela2[[#This Row],[Cotação]],"")</f>
        <v>0.11349561636726546</v>
      </c>
      <c r="J193" s="61">
        <f>SUMPRODUCT(N(Tabela1[Código]=Tabela2[[#This Row],[Ativo]]),Tabela1[Fechamento])</f>
        <v>10.02</v>
      </c>
      <c r="K193" s="61">
        <f>SUMPRODUCT(N(Tabela17[Código]=Tabela2[[#This Row],[Ativo]]),Tabela17[Fechamento])</f>
        <v>0</v>
      </c>
    </row>
    <row r="194" spans="1:13" x14ac:dyDescent="0.2">
      <c r="A194" s="4" t="s">
        <v>103</v>
      </c>
      <c r="B194" s="3">
        <v>2009</v>
      </c>
      <c r="C194" s="5">
        <v>244788000</v>
      </c>
      <c r="D194" s="63">
        <f>SUMPRODUCT(N(Tabela3[PAPEL]=Tabela2[[#This Row],[Ativo]]),Tabela3[Total Ações])</f>
        <v>168074028</v>
      </c>
      <c r="E194" s="66">
        <f>(Tabela2[[#This Row],[Lucro Líquido]])/Tabela2[[#This Row],[Total Ações]]</f>
        <v>1.4564296632433893</v>
      </c>
      <c r="F194" s="66">
        <v>0.9505576</v>
      </c>
      <c r="G194" s="22">
        <f>IF(AND(Tabela2[[#This Row],[Dividendo / Ação]]&gt;0,Tabela2[[#This Row],[Lucro por ação]]&gt;0),Tabela2[[#This Row],[Dividendo / Ação]]/Tabela2[[#This Row],[Lucro por ação]],"")</f>
        <v>0.65266289474162464</v>
      </c>
      <c r="H194" s="5">
        <f>MAX(Tabela2[[#This Row],[Cotação 1]],Tabela2[[#This Row],[Cotação 2]])</f>
        <v>10.02</v>
      </c>
      <c r="I194" s="18">
        <f>IF(Tabela2[[#This Row],[Dividendo / Ação]]&gt;0,Tabela2[[#This Row],[Dividendo / Ação]]/Tabela2[[#This Row],[Cotação]],"")</f>
        <v>9.486602794411178E-2</v>
      </c>
      <c r="J194" s="61">
        <f>SUMPRODUCT(N(Tabela1[Código]=Tabela2[[#This Row],[Ativo]]),Tabela1[Fechamento])</f>
        <v>10.02</v>
      </c>
      <c r="K194" s="61">
        <f>SUMPRODUCT(N(Tabela17[Código]=Tabela2[[#This Row],[Ativo]]),Tabela17[Fechamento])</f>
        <v>0</v>
      </c>
    </row>
    <row r="195" spans="1:13" x14ac:dyDescent="0.2">
      <c r="A195" s="4" t="s">
        <v>104</v>
      </c>
      <c r="B195" s="4">
        <v>2012</v>
      </c>
      <c r="C195" s="6">
        <v>245872000</v>
      </c>
      <c r="D195" s="8">
        <f>SUMPRODUCT(N(Tabela3[PAPEL]=Tabela2[[#This Row],[Ativo]]),Tabela3[Total Ações])</f>
        <v>168074028</v>
      </c>
      <c r="E195" s="67">
        <f>(Tabela2[[#This Row],[Lucro Líquido]])/Tabela2[[#This Row],[Total Ações]]</f>
        <v>1.4628792022524741</v>
      </c>
      <c r="F195" s="67">
        <v>0.23160260399999999</v>
      </c>
      <c r="G195" s="46">
        <f>IF(AND(Tabela2[[#This Row],[Dividendo / Ação]]&gt;0,Tabela2[[#This Row],[Lucro por ação]]&gt;0),Tabela2[[#This Row],[Dividendo / Ação]]/Tabela2[[#This Row],[Lucro por ação]],"")</f>
        <v>0.1583197051700434</v>
      </c>
      <c r="H195" s="6">
        <f>MAX(Tabela2[[#This Row],[Cotação 1]],Tabela2[[#This Row],[Cotação 2]])</f>
        <v>10.119999999999999</v>
      </c>
      <c r="I195" s="19">
        <f>IF(Tabela2[[#This Row],[Dividendo / Ação]]&gt;0,Tabela2[[#This Row],[Dividendo / Ação]]/Tabela2[[#This Row],[Cotação]],"")</f>
        <v>2.2885632806324111E-2</v>
      </c>
      <c r="J195" s="62">
        <f>SUMPRODUCT(N(Tabela1[Código]=Tabela2[[#This Row],[Ativo]]),Tabela1[Fechamento])</f>
        <v>10.119999999999999</v>
      </c>
      <c r="K195" s="62">
        <f>SUMPRODUCT(N(Tabela17[Código]=Tabela2[[#This Row],[Ativo]]),Tabela17[Fechamento])</f>
        <v>0</v>
      </c>
    </row>
    <row r="196" spans="1:13" x14ac:dyDescent="0.2">
      <c r="A196" s="4" t="s">
        <v>104</v>
      </c>
      <c r="B196" s="3">
        <v>2011</v>
      </c>
      <c r="C196" s="5">
        <v>232128000</v>
      </c>
      <c r="D196" s="63">
        <f>SUMPRODUCT(N(Tabela3[PAPEL]=Tabela2[[#This Row],[Ativo]]),Tabela3[Total Ações])</f>
        <v>168074028</v>
      </c>
      <c r="E196" s="66">
        <f>(Tabela2[[#This Row],[Lucro Líquido]])/Tabela2[[#This Row],[Total Ações]]</f>
        <v>1.3811057113476213</v>
      </c>
      <c r="F196" s="66">
        <v>1.2744962500000001</v>
      </c>
      <c r="G196" s="22">
        <f>IF(AND(Tabela2[[#This Row],[Dividendo / Ação]]&gt;0,Tabela2[[#This Row],[Lucro por ação]]&gt;0),Tabela2[[#This Row],[Dividendo / Ação]]/Tabela2[[#This Row],[Lucro por ação]],"")</f>
        <v>0.92280861597220065</v>
      </c>
      <c r="H196" s="5">
        <f>MAX(Tabela2[[#This Row],[Cotação 1]],Tabela2[[#This Row],[Cotação 2]])</f>
        <v>10.119999999999999</v>
      </c>
      <c r="I196" s="18">
        <f>IF(Tabela2[[#This Row],[Dividendo / Ação]]&gt;0,Tabela2[[#This Row],[Dividendo / Ação]]/Tabela2[[#This Row],[Cotação]],"")</f>
        <v>0.12593836462450594</v>
      </c>
      <c r="J196" s="61">
        <f>SUMPRODUCT(N(Tabela1[Código]=Tabela2[[#This Row],[Ativo]]),Tabela1[Fechamento])</f>
        <v>10.119999999999999</v>
      </c>
      <c r="K196" s="61">
        <f>SUMPRODUCT(N(Tabela17[Código]=Tabela2[[#This Row],[Ativo]]),Tabela17[Fechamento])</f>
        <v>0</v>
      </c>
    </row>
    <row r="197" spans="1:13" x14ac:dyDescent="0.2">
      <c r="A197" s="4" t="s">
        <v>104</v>
      </c>
      <c r="B197" s="3">
        <v>2010</v>
      </c>
      <c r="C197" s="5">
        <v>253664000</v>
      </c>
      <c r="D197" s="63">
        <f>SUMPRODUCT(N(Tabela3[PAPEL]=Tabela2[[#This Row],[Ativo]]),Tabela3[Total Ações])</f>
        <v>168074028</v>
      </c>
      <c r="E197" s="66">
        <f>(Tabela2[[#This Row],[Lucro Líquido]])/Tabela2[[#This Row],[Total Ações]]</f>
        <v>1.5092397261996957</v>
      </c>
      <c r="F197" s="66">
        <v>1.250948685</v>
      </c>
      <c r="G197" s="22">
        <f>IF(AND(Tabela2[[#This Row],[Dividendo / Ação]]&gt;0,Tabela2[[#This Row],[Lucro por ação]]&gt;0),Tabela2[[#This Row],[Dividendo / Ação]]/Tabela2[[#This Row],[Lucro por ação]],"")</f>
        <v>0.82886016269259011</v>
      </c>
      <c r="H197" s="5">
        <f>MAX(Tabela2[[#This Row],[Cotação 1]],Tabela2[[#This Row],[Cotação 2]])</f>
        <v>10.119999999999999</v>
      </c>
      <c r="I197" s="18">
        <f>IF(Tabela2[[#This Row],[Dividendo / Ação]]&gt;0,Tabela2[[#This Row],[Dividendo / Ação]]/Tabela2[[#This Row],[Cotação]],"")</f>
        <v>0.12361153013833993</v>
      </c>
      <c r="J197" s="61">
        <f>SUMPRODUCT(N(Tabela1[Código]=Tabela2[[#This Row],[Ativo]]),Tabela1[Fechamento])</f>
        <v>10.119999999999999</v>
      </c>
      <c r="K197" s="61">
        <f>SUMPRODUCT(N(Tabela17[Código]=Tabela2[[#This Row],[Ativo]]),Tabela17[Fechamento])</f>
        <v>0</v>
      </c>
    </row>
    <row r="198" spans="1:13" x14ac:dyDescent="0.2">
      <c r="A198" s="4" t="s">
        <v>104</v>
      </c>
      <c r="B198" s="3">
        <v>2009</v>
      </c>
      <c r="C198" s="5">
        <v>244788000</v>
      </c>
      <c r="D198" s="63">
        <f>SUMPRODUCT(N(Tabela3[PAPEL]=Tabela2[[#This Row],[Ativo]]),Tabela3[Total Ações])</f>
        <v>168074028</v>
      </c>
      <c r="E198" s="66">
        <f>(Tabela2[[#This Row],[Lucro Líquido]])/Tabela2[[#This Row],[Total Ações]]</f>
        <v>1.4564296632433893</v>
      </c>
      <c r="F198" s="66">
        <v>1.0456133000000001</v>
      </c>
      <c r="G198" s="22">
        <f>IF(AND(Tabela2[[#This Row],[Dividendo / Ação]]&gt;0,Tabela2[[#This Row],[Lucro por ação]]&gt;0),Tabela2[[#This Row],[Dividendo / Ação]]/Tabela2[[#This Row],[Lucro por ação]],"")</f>
        <v>0.717929143019153</v>
      </c>
      <c r="H198" s="5">
        <f>MAX(Tabela2[[#This Row],[Cotação 1]],Tabela2[[#This Row],[Cotação 2]])</f>
        <v>10.119999999999999</v>
      </c>
      <c r="I198" s="18">
        <f>IF(Tabela2[[#This Row],[Dividendo / Ação]]&gt;0,Tabela2[[#This Row],[Dividendo / Ação]]/Tabela2[[#This Row],[Cotação]],"")</f>
        <v>0.10332147233201583</v>
      </c>
      <c r="J198" s="61">
        <f>SUMPRODUCT(N(Tabela1[Código]=Tabela2[[#This Row],[Ativo]]),Tabela1[Fechamento])</f>
        <v>10.119999999999999</v>
      </c>
      <c r="K198" s="61">
        <f>SUMPRODUCT(N(Tabela17[Código]=Tabela2[[#This Row],[Ativo]]),Tabela17[Fechamento])</f>
        <v>0</v>
      </c>
    </row>
    <row r="199" spans="1:13" x14ac:dyDescent="0.2">
      <c r="A199" s="4" t="s">
        <v>71</v>
      </c>
      <c r="B199" s="4">
        <v>2012</v>
      </c>
      <c r="C199" s="6">
        <v>245872000</v>
      </c>
      <c r="D199" s="8">
        <f>SUMPRODUCT(N(Tabela3[PAPEL]=Tabela2[[#This Row],[Ativo]]),Tabela3[Total Ações])</f>
        <v>168074028</v>
      </c>
      <c r="E199" s="67">
        <f>(Tabela2[[#This Row],[Lucro Líquido]])/Tabela2[[#This Row],[Total Ações]]</f>
        <v>1.4628792022524741</v>
      </c>
      <c r="F199" s="67">
        <v>0.23160260399999999</v>
      </c>
      <c r="G199" s="46">
        <f>IF(AND(Tabela2[[#This Row],[Dividendo / Ação]]&gt;0,Tabela2[[#This Row],[Lucro por ação]]&gt;0),Tabela2[[#This Row],[Dividendo / Ação]]/Tabela2[[#This Row],[Lucro por ação]],"")</f>
        <v>0.1583197051700434</v>
      </c>
      <c r="H199" s="6">
        <f>MAX(Tabela2[[#This Row],[Cotação 1]],Tabela2[[#This Row],[Cotação 2]])</f>
        <v>9</v>
      </c>
      <c r="I199" s="19">
        <f>IF(Tabela2[[#This Row],[Dividendo / Ação]]&gt;0,Tabela2[[#This Row],[Dividendo / Ação]]/Tabela2[[#This Row],[Cotação]],"")</f>
        <v>2.5733622666666664E-2</v>
      </c>
      <c r="J199" s="62">
        <f>SUMPRODUCT(N(Tabela1[Código]=Tabela2[[#This Row],[Ativo]]),Tabela1[Fechamento])</f>
        <v>9</v>
      </c>
      <c r="K199" s="62">
        <f>SUMPRODUCT(N(Tabela17[Código]=Tabela2[[#This Row],[Ativo]]),Tabela17[Fechamento])</f>
        <v>0</v>
      </c>
    </row>
    <row r="200" spans="1:13" x14ac:dyDescent="0.2">
      <c r="A200" s="4" t="s">
        <v>71</v>
      </c>
      <c r="B200" s="4">
        <v>2011</v>
      </c>
      <c r="C200" s="5">
        <v>232128000</v>
      </c>
      <c r="D200" s="8">
        <f>SUMPRODUCT(N(Tabela3[PAPEL]=Tabela2[[#This Row],[Ativo]]),Tabela3[Total Ações])</f>
        <v>168074028</v>
      </c>
      <c r="E200" s="67">
        <f>(Tabela2[[#This Row],[Lucro Líquido]])/Tabela2[[#This Row],[Total Ações]]</f>
        <v>1.3811057113476213</v>
      </c>
      <c r="F200" s="66">
        <v>1.2744962500000001</v>
      </c>
      <c r="G200" s="46">
        <f>IF(AND(Tabela2[[#This Row],[Dividendo / Ação]]&gt;0,Tabela2[[#This Row],[Lucro por ação]]&gt;0),Tabela2[[#This Row],[Dividendo / Ação]]/Tabela2[[#This Row],[Lucro por ação]],"")</f>
        <v>0.92280861597220065</v>
      </c>
      <c r="H200" s="6">
        <f>MAX(Tabela2[[#This Row],[Cotação 1]],Tabela2[[#This Row],[Cotação 2]])</f>
        <v>9</v>
      </c>
      <c r="I200" s="19">
        <f>IF(Tabela2[[#This Row],[Dividendo / Ação]]&gt;0,Tabela2[[#This Row],[Dividendo / Ação]]/Tabela2[[#This Row],[Cotação]],"")</f>
        <v>0.14161069444444446</v>
      </c>
      <c r="J200" s="62">
        <f>SUMPRODUCT(N(Tabela1[Código]=Tabela2[[#This Row],[Ativo]]),Tabela1[Fechamento])</f>
        <v>9</v>
      </c>
      <c r="K200" s="62">
        <f>SUMPRODUCT(N(Tabela17[Código]=Tabela2[[#This Row],[Ativo]]),Tabela17[Fechamento])</f>
        <v>0</v>
      </c>
    </row>
    <row r="201" spans="1:13" x14ac:dyDescent="0.2">
      <c r="A201" s="4" t="s">
        <v>71</v>
      </c>
      <c r="B201" s="4">
        <v>2010</v>
      </c>
      <c r="C201" s="5">
        <v>253664000</v>
      </c>
      <c r="D201" s="8">
        <f>SUMPRODUCT(N(Tabela3[PAPEL]=Tabela2[[#This Row],[Ativo]]),Tabela3[Total Ações])</f>
        <v>168074028</v>
      </c>
      <c r="E201" s="67">
        <f>(Tabela2[[#This Row],[Lucro Líquido]])/Tabela2[[#This Row],[Total Ações]]</f>
        <v>1.5092397261996957</v>
      </c>
      <c r="F201" s="66">
        <v>1.250948685</v>
      </c>
      <c r="G201" s="46">
        <f>IF(AND(Tabela2[[#This Row],[Dividendo / Ação]]&gt;0,Tabela2[[#This Row],[Lucro por ação]]&gt;0),Tabela2[[#This Row],[Dividendo / Ação]]/Tabela2[[#This Row],[Lucro por ação]],"")</f>
        <v>0.82886016269259011</v>
      </c>
      <c r="H201" s="6">
        <f>MAX(Tabela2[[#This Row],[Cotação 1]],Tabela2[[#This Row],[Cotação 2]])</f>
        <v>9</v>
      </c>
      <c r="I201" s="19">
        <f>IF(Tabela2[[#This Row],[Dividendo / Ação]]&gt;0,Tabela2[[#This Row],[Dividendo / Ação]]/Tabela2[[#This Row],[Cotação]],"")</f>
        <v>0.13899429833333332</v>
      </c>
      <c r="J201" s="62">
        <f>SUMPRODUCT(N(Tabela1[Código]=Tabela2[[#This Row],[Ativo]]),Tabela1[Fechamento])</f>
        <v>9</v>
      </c>
      <c r="K201" s="62">
        <f>SUMPRODUCT(N(Tabela17[Código]=Tabela2[[#This Row],[Ativo]]),Tabela17[Fechamento])</f>
        <v>0</v>
      </c>
    </row>
    <row r="202" spans="1:13" x14ac:dyDescent="0.2">
      <c r="A202" s="4" t="s">
        <v>71</v>
      </c>
      <c r="B202" s="4">
        <v>2009</v>
      </c>
      <c r="C202" s="5">
        <v>244788000</v>
      </c>
      <c r="D202" s="8">
        <f>SUMPRODUCT(N(Tabela3[PAPEL]=Tabela2[[#This Row],[Ativo]]),Tabela3[Total Ações])</f>
        <v>168074028</v>
      </c>
      <c r="E202" s="67">
        <f>(Tabela2[[#This Row],[Lucro Líquido]])/Tabela2[[#This Row],[Total Ações]]</f>
        <v>1.4564296632433893</v>
      </c>
      <c r="F202" s="66">
        <v>1.0456133000000001</v>
      </c>
      <c r="G202" s="46">
        <f>IF(AND(Tabela2[[#This Row],[Dividendo / Ação]]&gt;0,Tabela2[[#This Row],[Lucro por ação]]&gt;0),Tabela2[[#This Row],[Dividendo / Ação]]/Tabela2[[#This Row],[Lucro por ação]],"")</f>
        <v>0.717929143019153</v>
      </c>
      <c r="H202" s="6">
        <f>MAX(Tabela2[[#This Row],[Cotação 1]],Tabela2[[#This Row],[Cotação 2]])</f>
        <v>9</v>
      </c>
      <c r="I202" s="19">
        <f>IF(Tabela2[[#This Row],[Dividendo / Ação]]&gt;0,Tabela2[[#This Row],[Dividendo / Ação]]/Tabela2[[#This Row],[Cotação]],"")</f>
        <v>0.11617925555555557</v>
      </c>
      <c r="J202" s="62">
        <f>SUMPRODUCT(N(Tabela1[Código]=Tabela2[[#This Row],[Ativo]]),Tabela1[Fechamento])</f>
        <v>9</v>
      </c>
      <c r="K202" s="62">
        <f>SUMPRODUCT(N(Tabela17[Código]=Tabela2[[#This Row],[Ativo]]),Tabela17[Fechamento])</f>
        <v>0</v>
      </c>
    </row>
    <row r="203" spans="1:13" x14ac:dyDescent="0.2">
      <c r="A203" s="4" t="s">
        <v>15</v>
      </c>
      <c r="B203" s="4">
        <v>2012</v>
      </c>
      <c r="C203" s="6">
        <v>357464258.91000003</v>
      </c>
      <c r="D203" s="8">
        <f>SUMPRODUCT(N(Tabela3[PAPEL]=Tabela2[[#This Row],[Ativo]]),Tabela3[Total Ações])</f>
        <v>243051520</v>
      </c>
      <c r="E203" s="67">
        <f>(Tabela2[[#This Row],[Lucro Líquido]])/Tabela2[[#This Row],[Total Ações]]</f>
        <v>1.4707345130365777</v>
      </c>
      <c r="F203" s="67">
        <v>0.74467047200000003</v>
      </c>
      <c r="G203" s="46">
        <f>IF(AND(Tabela2[[#This Row],[Dividendo / Ação]]&gt;0,Tabela2[[#This Row],[Lucro por ação]]&gt;0),Tabela2[[#This Row],[Dividendo / Ação]]/Tabela2[[#This Row],[Lucro por ação]],"")</f>
        <v>0.50632555733155615</v>
      </c>
      <c r="H203" s="6">
        <f>MAX(Tabela2[[#This Row],[Cotação 1]],Tabela2[[#This Row],[Cotação 2]])</f>
        <v>8</v>
      </c>
      <c r="I203" s="19">
        <f>IF(Tabela2[[#This Row],[Dividendo / Ação]]&gt;0,Tabela2[[#This Row],[Dividendo / Ação]]/Tabela2[[#This Row],[Cotação]],"")</f>
        <v>9.3083809000000003E-2</v>
      </c>
      <c r="J203" s="62">
        <f>SUMPRODUCT(N(Tabela1[Código]=Tabela2[[#This Row],[Ativo]]),Tabela1[Fechamento])</f>
        <v>8</v>
      </c>
      <c r="K203" s="62">
        <f>SUMPRODUCT(N(Tabela17[Código]=Tabela2[[#This Row],[Ativo]]),Tabela17[Fechamento])</f>
        <v>0</v>
      </c>
    </row>
    <row r="204" spans="1:13" x14ac:dyDescent="0.2">
      <c r="A204" s="4" t="s">
        <v>15</v>
      </c>
      <c r="B204" s="4">
        <v>2011</v>
      </c>
      <c r="C204" s="6">
        <v>305060417.76999998</v>
      </c>
      <c r="D204" s="8">
        <f>SUMPRODUCT(N(Tabela3[PAPEL]=Tabela2[[#This Row],[Ativo]]),Tabela3[Total Ações])</f>
        <v>243051520</v>
      </c>
      <c r="E204" s="67">
        <f>(Tabela2[[#This Row],[Lucro Líquido]])/Tabela2[[#This Row],[Total Ações]]</f>
        <v>1.2551265582293005</v>
      </c>
      <c r="F204" s="67">
        <v>0.63549999999999995</v>
      </c>
      <c r="G204" s="46">
        <f>IF(AND(Tabela2[[#This Row],[Dividendo / Ação]]&gt;0,Tabela2[[#This Row],[Lucro por ação]]&gt;0),Tabela2[[#This Row],[Dividendo / Ação]]/Tabela2[[#This Row],[Lucro por ação]],"")</f>
        <v>0.50632344271046792</v>
      </c>
      <c r="H204" s="6">
        <f>MAX(Tabela2[[#This Row],[Cotação 1]],Tabela2[[#This Row],[Cotação 2]])</f>
        <v>8</v>
      </c>
      <c r="I204" s="19">
        <f>IF(Tabela2[[#This Row],[Dividendo / Ação]]&gt;0,Tabela2[[#This Row],[Dividendo / Ação]]/Tabela2[[#This Row],[Cotação]],"")</f>
        <v>7.9437499999999994E-2</v>
      </c>
      <c r="J204" s="62">
        <f>SUMPRODUCT(N(Tabela1[Código]=Tabela2[[#This Row],[Ativo]]),Tabela1[Fechamento])</f>
        <v>8</v>
      </c>
      <c r="K204" s="62">
        <f>SUMPRODUCT(N(Tabela17[Código]=Tabela2[[#This Row],[Ativo]]),Tabela17[Fechamento])</f>
        <v>0</v>
      </c>
    </row>
    <row r="205" spans="1:13" x14ac:dyDescent="0.2">
      <c r="A205" s="4" t="s">
        <v>15</v>
      </c>
      <c r="B205" s="4">
        <v>2010</v>
      </c>
      <c r="C205" s="6">
        <v>276916946.19</v>
      </c>
      <c r="D205" s="8">
        <f>SUMPRODUCT(N(Tabela3[PAPEL]=Tabela2[[#This Row],[Ativo]]),Tabela3[Total Ações])</f>
        <v>243051520</v>
      </c>
      <c r="E205" s="67">
        <f>(Tabela2[[#This Row],[Lucro Líquido]])/Tabela2[[#This Row],[Total Ações]]</f>
        <v>1.1393343526096853</v>
      </c>
      <c r="F205" s="67">
        <v>0.57389999999999997</v>
      </c>
      <c r="G205" s="46">
        <f>IF(AND(Tabela2[[#This Row],[Dividendo / Ação]]&gt;0,Tabela2[[#This Row],[Lucro por ação]]&gt;0),Tabela2[[#This Row],[Dividendo / Ação]]/Tabela2[[#This Row],[Lucro por ação]],"")</f>
        <v>0.50371517253514031</v>
      </c>
      <c r="H205" s="6">
        <f>MAX(Tabela2[[#This Row],[Cotação 1]],Tabela2[[#This Row],[Cotação 2]])</f>
        <v>8</v>
      </c>
      <c r="I205" s="19">
        <f>IF(Tabela2[[#This Row],[Dividendo / Ação]]&gt;0,Tabela2[[#This Row],[Dividendo / Ação]]/Tabela2[[#This Row],[Cotação]],"")</f>
        <v>7.1737499999999996E-2</v>
      </c>
      <c r="J205" s="62">
        <f>SUMPRODUCT(N(Tabela1[Código]=Tabela2[[#This Row],[Ativo]]),Tabela1[Fechamento])</f>
        <v>8</v>
      </c>
      <c r="K205" s="62">
        <f>SUMPRODUCT(N(Tabela17[Código]=Tabela2[[#This Row],[Ativo]]),Tabela17[Fechamento])</f>
        <v>0</v>
      </c>
    </row>
    <row r="206" spans="1:13" x14ac:dyDescent="0.2">
      <c r="A206" s="4" t="s">
        <v>15</v>
      </c>
      <c r="B206" s="4">
        <v>2009</v>
      </c>
      <c r="C206" s="6">
        <v>211087826.47999999</v>
      </c>
      <c r="D206" s="8">
        <f>SUMPRODUCT(N(Tabela3[PAPEL]=Tabela2[[#This Row],[Ativo]]),Tabela3[Total Ações])</f>
        <v>243051520</v>
      </c>
      <c r="E206" s="67">
        <f>(Tabela2[[#This Row],[Lucro Líquido]])/Tabela2[[#This Row],[Total Ações]]</f>
        <v>0.8684900488587769</v>
      </c>
      <c r="F206" s="67">
        <v>0.43609999999999999</v>
      </c>
      <c r="G206" s="46">
        <f>IF(AND(Tabela2[[#This Row],[Dividendo / Ação]]&gt;0,Tabela2[[#This Row],[Lucro por ação]]&gt;0),Tabela2[[#This Row],[Dividendo / Ação]]/Tabela2[[#This Row],[Lucro por ação]],"")</f>
        <v>0.50213586278052236</v>
      </c>
      <c r="H206" s="6">
        <f>MAX(Tabela2[[#This Row],[Cotação 1]],Tabela2[[#This Row],[Cotação 2]])</f>
        <v>8</v>
      </c>
      <c r="I206" s="19">
        <f>IF(Tabela2[[#This Row],[Dividendo / Ação]]&gt;0,Tabela2[[#This Row],[Dividendo / Ação]]/Tabela2[[#This Row],[Cotação]],"")</f>
        <v>5.4512499999999998E-2</v>
      </c>
      <c r="J206" s="62">
        <f>SUMPRODUCT(N(Tabela1[Código]=Tabela2[[#This Row],[Ativo]]),Tabela1[Fechamento])</f>
        <v>8</v>
      </c>
      <c r="K206" s="62">
        <f>SUMPRODUCT(N(Tabela17[Código]=Tabela2[[#This Row],[Ativo]]),Tabela17[Fechamento])</f>
        <v>0</v>
      </c>
      <c r="M206" s="68"/>
    </row>
    <row r="207" spans="1:13" x14ac:dyDescent="0.2">
      <c r="A207" s="4" t="s">
        <v>105</v>
      </c>
      <c r="B207" s="4">
        <v>2012</v>
      </c>
      <c r="C207" s="6">
        <v>-130200000</v>
      </c>
      <c r="D207" s="8">
        <f>SUMPRODUCT(N(Tabela3[PAPEL]=Tabela2[[#This Row],[Ativo]]),Tabela3[Total Ações])</f>
        <v>387229828</v>
      </c>
      <c r="E207" s="67">
        <f>(Tabela2[[#This Row],[Lucro Líquido]])/Tabela2[[#This Row],[Total Ações]]</f>
        <v>-0.33623442871761416</v>
      </c>
      <c r="F207" s="67">
        <v>0</v>
      </c>
      <c r="G207" s="46" t="str">
        <f>IF(AND(Tabela2[[#This Row],[Dividendo / Ação]]&gt;0,Tabela2[[#This Row],[Lucro por ação]]&gt;0),Tabela2[[#This Row],[Dividendo / Ação]]/Tabela2[[#This Row],[Lucro por ação]],"")</f>
        <v/>
      </c>
      <c r="H207" s="6">
        <f>MAX(Tabela2[[#This Row],[Cotação 1]],Tabela2[[#This Row],[Cotação 2]])</f>
        <v>1.6</v>
      </c>
      <c r="I207" s="19" t="str">
        <f>IF(Tabela2[[#This Row],[Dividendo / Ação]]&gt;0,Tabela2[[#This Row],[Dividendo / Ação]]/Tabela2[[#This Row],[Cotação]],"")</f>
        <v/>
      </c>
      <c r="J207" s="62">
        <f>SUMPRODUCT(N(Tabela1[Código]=Tabela2[[#This Row],[Ativo]]),Tabela1[Fechamento])</f>
        <v>1.6</v>
      </c>
      <c r="K207" s="62">
        <f>SUMPRODUCT(N(Tabela17[Código]=Tabela2[[#This Row],[Ativo]]),Tabela17[Fechamento])</f>
        <v>0</v>
      </c>
    </row>
    <row r="208" spans="1:13" x14ac:dyDescent="0.2">
      <c r="A208" s="4" t="s">
        <v>105</v>
      </c>
      <c r="B208" s="3">
        <v>2011</v>
      </c>
      <c r="C208" s="5">
        <v>88173075.810000002</v>
      </c>
      <c r="D208" s="63">
        <f>SUMPRODUCT(N(Tabela3[PAPEL]=Tabela2[[#This Row],[Ativo]]),Tabela3[Total Ações])</f>
        <v>387229828</v>
      </c>
      <c r="E208" s="66">
        <f>(Tabela2[[#This Row],[Lucro Líquido]])/Tabela2[[#This Row],[Total Ações]]</f>
        <v>0.22770217951805097</v>
      </c>
      <c r="F208" s="66">
        <v>0.1</v>
      </c>
      <c r="G208" s="22">
        <f>IF(AND(Tabela2[[#This Row],[Dividendo / Ação]]&gt;0,Tabela2[[#This Row],[Lucro por ação]]&gt;0),Tabela2[[#This Row],[Dividendo / Ação]]/Tabela2[[#This Row],[Lucro por ação]],"")</f>
        <v>0.43917014853198871</v>
      </c>
      <c r="H208" s="5">
        <f>MAX(Tabela2[[#This Row],[Cotação 1]],Tabela2[[#This Row],[Cotação 2]])</f>
        <v>1.6</v>
      </c>
      <c r="I208" s="18">
        <f>IF(Tabela2[[#This Row],[Dividendo / Ação]]&gt;0,Tabela2[[#This Row],[Dividendo / Ação]]/Tabela2[[#This Row],[Cotação]],"")</f>
        <v>6.25E-2</v>
      </c>
      <c r="J208" s="61">
        <f>SUMPRODUCT(N(Tabela1[Código]=Tabela2[[#This Row],[Ativo]]),Tabela1[Fechamento])</f>
        <v>1.6</v>
      </c>
      <c r="K208" s="61">
        <f>SUMPRODUCT(N(Tabela17[Código]=Tabela2[[#This Row],[Ativo]]),Tabela17[Fechamento])</f>
        <v>0</v>
      </c>
    </row>
    <row r="209" spans="1:14" x14ac:dyDescent="0.2">
      <c r="A209" s="4" t="s">
        <v>106</v>
      </c>
      <c r="B209" s="4">
        <v>2012</v>
      </c>
      <c r="C209" s="6">
        <v>-130200000</v>
      </c>
      <c r="D209" s="8">
        <f>SUMPRODUCT(N(Tabela3[PAPEL]=Tabela2[[#This Row],[Ativo]]),Tabela3[Total Ações])</f>
        <v>387229828</v>
      </c>
      <c r="E209" s="67">
        <f>(Tabela2[[#This Row],[Lucro Líquido]])/Tabela2[[#This Row],[Total Ações]]</f>
        <v>-0.33623442871761416</v>
      </c>
      <c r="F209" s="67">
        <v>0</v>
      </c>
      <c r="G209" s="46" t="str">
        <f>IF(AND(Tabela2[[#This Row],[Dividendo / Ação]]&gt;0,Tabela2[[#This Row],[Lucro por ação]]&gt;0),Tabela2[[#This Row],[Dividendo / Ação]]/Tabela2[[#This Row],[Lucro por ação]],"")</f>
        <v/>
      </c>
      <c r="H209" s="6">
        <f>MAX(Tabela2[[#This Row],[Cotação 1]],Tabela2[[#This Row],[Cotação 2]])</f>
        <v>1.7</v>
      </c>
      <c r="I209" s="19" t="str">
        <f>IF(Tabela2[[#This Row],[Dividendo / Ação]]&gt;0,Tabela2[[#This Row],[Dividendo / Ação]]/Tabela2[[#This Row],[Cotação]],"")</f>
        <v/>
      </c>
      <c r="J209" s="62">
        <f>SUMPRODUCT(N(Tabela1[Código]=Tabela2[[#This Row],[Ativo]]),Tabela1[Fechamento])</f>
        <v>1.7</v>
      </c>
      <c r="K209" s="62">
        <f>SUMPRODUCT(N(Tabela17[Código]=Tabela2[[#This Row],[Ativo]]),Tabela17[Fechamento])</f>
        <v>0</v>
      </c>
    </row>
    <row r="210" spans="1:14" x14ac:dyDescent="0.2">
      <c r="A210" s="4" t="s">
        <v>106</v>
      </c>
      <c r="B210" s="4">
        <v>2011</v>
      </c>
      <c r="C210" s="5">
        <v>88173075.810000002</v>
      </c>
      <c r="D210" s="8">
        <f>SUMPRODUCT(N(Tabela3[PAPEL]=Tabela2[[#This Row],[Ativo]]),Tabela3[Total Ações])</f>
        <v>387229828</v>
      </c>
      <c r="E210" s="67">
        <f>(Tabela2[[#This Row],[Lucro Líquido]])/Tabela2[[#This Row],[Total Ações]]</f>
        <v>0.22770217951805097</v>
      </c>
      <c r="F210" s="67">
        <v>0.1</v>
      </c>
      <c r="G210" s="46">
        <f>IF(AND(Tabela2[[#This Row],[Dividendo / Ação]]&gt;0,Tabela2[[#This Row],[Lucro por ação]]&gt;0),Tabela2[[#This Row],[Dividendo / Ação]]/Tabela2[[#This Row],[Lucro por ação]],"")</f>
        <v>0.43917014853198871</v>
      </c>
      <c r="H210" s="6">
        <f>MAX(Tabela2[[#This Row],[Cotação 1]],Tabela2[[#This Row],[Cotação 2]])</f>
        <v>1.7</v>
      </c>
      <c r="I210" s="19">
        <f>IF(Tabela2[[#This Row],[Dividendo / Ação]]&gt;0,Tabela2[[#This Row],[Dividendo / Ação]]/Tabela2[[#This Row],[Cotação]],"")</f>
        <v>5.8823529411764712E-2</v>
      </c>
      <c r="J210" s="62">
        <f>SUMPRODUCT(N(Tabela1[Código]=Tabela2[[#This Row],[Ativo]]),Tabela1[Fechamento])</f>
        <v>1.7</v>
      </c>
      <c r="K210" s="62">
        <f>SUMPRODUCT(N(Tabela17[Código]=Tabela2[[#This Row],[Ativo]]),Tabela17[Fechamento])</f>
        <v>0</v>
      </c>
    </row>
    <row r="211" spans="1:14" x14ac:dyDescent="0.2">
      <c r="A211" s="4" t="s">
        <v>2</v>
      </c>
      <c r="B211" s="4">
        <v>2012</v>
      </c>
      <c r="C211" s="6">
        <v>-6878916000</v>
      </c>
      <c r="D211" s="8">
        <f>SUMPRODUCT(N(Tabela3[PAPEL]=Tabela2[[#This Row],[Ativo]]),Tabela3[Total Ações])</f>
        <v>1352634100</v>
      </c>
      <c r="E211" s="67">
        <f>(Tabela2[[#This Row],[Lucro Líquido]])/Tabela2[[#This Row],[Total Ações]]</f>
        <v>-5.0855704436255156</v>
      </c>
      <c r="F211" s="67">
        <v>0.40852810099999998</v>
      </c>
      <c r="G211" s="46" t="str">
        <f>IF(AND(Tabela2[[#This Row],[Dividendo / Ação]]&gt;0,Tabela2[[#This Row],[Lucro por ação]]&gt;0),Tabela2[[#This Row],[Dividendo / Ação]]/Tabela2[[#This Row],[Lucro por ação]],"")</f>
        <v/>
      </c>
      <c r="H211" s="6">
        <f>MAX(Tabela2[[#This Row],[Cotação 1]],Tabela2[[#This Row],[Cotação 2]])</f>
        <v>5.87</v>
      </c>
      <c r="I211" s="19">
        <f>IF(Tabela2[[#This Row],[Dividendo / Ação]]&gt;0,Tabela2[[#This Row],[Dividendo / Ação]]/Tabela2[[#This Row],[Cotação]],"")</f>
        <v>6.9595928620102207E-2</v>
      </c>
      <c r="J211" s="62">
        <f>SUMPRODUCT(N(Tabela1[Código]=Tabela2[[#This Row],[Ativo]]),Tabela1[Fechamento])</f>
        <v>5.87</v>
      </c>
      <c r="K211" s="62">
        <f>SUMPRODUCT(N(Tabela17[Código]=Tabela2[[#This Row],[Ativo]]),Tabela17[Fechamento])</f>
        <v>0</v>
      </c>
    </row>
    <row r="212" spans="1:14" x14ac:dyDescent="0.2">
      <c r="A212" s="4" t="s">
        <v>2</v>
      </c>
      <c r="B212" s="3">
        <v>2011</v>
      </c>
      <c r="C212" s="5">
        <v>3732565000</v>
      </c>
      <c r="D212" s="63">
        <f>SUMPRODUCT(N(Tabela3[PAPEL]=Tabela2[[#This Row],[Ativo]]),Tabela3[Total Ações])</f>
        <v>1352634100</v>
      </c>
      <c r="E212" s="66">
        <f>(Tabela2[[#This Row],[Lucro Líquido]])/Tabela2[[#This Row],[Total Ações]]</f>
        <v>2.7594787089871531</v>
      </c>
      <c r="F212" s="66">
        <v>1.2317791624600001</v>
      </c>
      <c r="G212" s="22">
        <f>IF(AND(Tabela2[[#This Row],[Dividendo / Ação]]&gt;0,Tabela2[[#This Row],[Lucro por ação]]&gt;0),Tabela2[[#This Row],[Dividendo / Ação]]/Tabela2[[#This Row],[Lucro por ação]],"")</f>
        <v>0.44638110757959637</v>
      </c>
      <c r="H212" s="5">
        <f>MAX(Tabela2[[#This Row],[Cotação 1]],Tabela2[[#This Row],[Cotação 2]])</f>
        <v>5.87</v>
      </c>
      <c r="I212" s="18">
        <f>IF(Tabela2[[#This Row],[Dividendo / Ação]]&gt;0,Tabela2[[#This Row],[Dividendo / Ação]]/Tabela2[[#This Row],[Cotação]],"")</f>
        <v>0.20984312818739354</v>
      </c>
      <c r="J212" s="61">
        <f>SUMPRODUCT(N(Tabela1[Código]=Tabela2[[#This Row],[Ativo]]),Tabela1[Fechamento])</f>
        <v>5.87</v>
      </c>
      <c r="K212" s="61">
        <f>SUMPRODUCT(N(Tabela17[Código]=Tabela2[[#This Row],[Ativo]]),Tabela17[Fechamento])</f>
        <v>0</v>
      </c>
    </row>
    <row r="213" spans="1:14" x14ac:dyDescent="0.2">
      <c r="A213" s="4" t="s">
        <v>2</v>
      </c>
      <c r="B213" s="3">
        <v>2010</v>
      </c>
      <c r="C213" s="5">
        <v>2247913000</v>
      </c>
      <c r="D213" s="63">
        <f>SUMPRODUCT(N(Tabela3[PAPEL]=Tabela2[[#This Row],[Ativo]]),Tabela3[Total Ações])</f>
        <v>1352634100</v>
      </c>
      <c r="E213" s="66">
        <f>(Tabela2[[#This Row],[Lucro Líquido]])/Tabela2[[#This Row],[Total Ações]]</f>
        <v>1.6618781087952759</v>
      </c>
      <c r="F213" s="66">
        <v>0.83224516954000005</v>
      </c>
      <c r="G213" s="22">
        <f>IF(AND(Tabela2[[#This Row],[Dividendo / Ação]]&gt;0,Tabela2[[#This Row],[Lucro por ação]]&gt;0),Tabela2[[#This Row],[Dividendo / Ação]]/Tabela2[[#This Row],[Lucro por ação]],"")</f>
        <v>0.50078592716003034</v>
      </c>
      <c r="H213" s="5">
        <f>MAX(Tabela2[[#This Row],[Cotação 1]],Tabela2[[#This Row],[Cotação 2]])</f>
        <v>5.87</v>
      </c>
      <c r="I213" s="18">
        <f>IF(Tabela2[[#This Row],[Dividendo / Ação]]&gt;0,Tabela2[[#This Row],[Dividendo / Ação]]/Tabela2[[#This Row],[Cotação]],"")</f>
        <v>0.14177941559454857</v>
      </c>
      <c r="J213" s="61">
        <f>SUMPRODUCT(N(Tabela1[Código]=Tabela2[[#This Row],[Ativo]]),Tabela1[Fechamento])</f>
        <v>5.87</v>
      </c>
      <c r="K213" s="61">
        <f>SUMPRODUCT(N(Tabela17[Código]=Tabela2[[#This Row],[Ativo]]),Tabela17[Fechamento])</f>
        <v>0</v>
      </c>
    </row>
    <row r="214" spans="1:14" x14ac:dyDescent="0.2">
      <c r="A214" s="4" t="s">
        <v>2</v>
      </c>
      <c r="B214" s="3">
        <v>2009</v>
      </c>
      <c r="C214" s="5">
        <v>170526000</v>
      </c>
      <c r="D214" s="63">
        <f>SUMPRODUCT(N(Tabela3[PAPEL]=Tabela2[[#This Row],[Ativo]]),Tabela3[Total Ações])</f>
        <v>1352634100</v>
      </c>
      <c r="E214" s="66">
        <f>(Tabela2[[#This Row],[Lucro Líquido]])/Tabela2[[#This Row],[Total Ações]]</f>
        <v>0.12606957047733752</v>
      </c>
      <c r="F214" s="66">
        <v>0.41</v>
      </c>
      <c r="G214" s="22">
        <f>IF(AND(Tabela2[[#This Row],[Dividendo / Ação]]&gt;0,Tabela2[[#This Row],[Lucro por ação]]&gt;0),Tabela2[[#This Row],[Dividendo / Ação]]/Tabela2[[#This Row],[Lucro por ação]],"")</f>
        <v>3.2521725777887238</v>
      </c>
      <c r="H214" s="5">
        <f>MAX(Tabela2[[#This Row],[Cotação 1]],Tabela2[[#This Row],[Cotação 2]])</f>
        <v>5.87</v>
      </c>
      <c r="I214" s="18">
        <f>IF(Tabela2[[#This Row],[Dividendo / Ação]]&gt;0,Tabela2[[#This Row],[Dividendo / Ação]]/Tabela2[[#This Row],[Cotação]],"")</f>
        <v>6.9846678023850084E-2</v>
      </c>
      <c r="J214" s="61">
        <f>SUMPRODUCT(N(Tabela1[Código]=Tabela2[[#This Row],[Ativo]]),Tabela1[Fechamento])</f>
        <v>5.87</v>
      </c>
      <c r="K214" s="61">
        <f>SUMPRODUCT(N(Tabela17[Código]=Tabela2[[#This Row],[Ativo]]),Tabela17[Fechamento])</f>
        <v>0</v>
      </c>
    </row>
    <row r="215" spans="1:14" x14ac:dyDescent="0.2">
      <c r="A215" s="4" t="s">
        <v>2</v>
      </c>
      <c r="B215" s="3">
        <v>2008</v>
      </c>
      <c r="C215" s="5">
        <v>6136497000</v>
      </c>
      <c r="D215" s="63">
        <f>SUMPRODUCT(N(Tabela3[PAPEL]=Tabela2[[#This Row],[Ativo]]),Tabela3[Total Ações])</f>
        <v>1352634100</v>
      </c>
      <c r="E215" s="66">
        <f>(Tabela2[[#This Row],[Lucro Líquido]])/Tabela2[[#This Row],[Total Ações]]</f>
        <v>4.5367013887939098</v>
      </c>
      <c r="F215" s="66">
        <v>1.54227975422</v>
      </c>
      <c r="G215" s="22">
        <f>IF(AND(Tabela2[[#This Row],[Dividendo / Ação]]&gt;0,Tabela2[[#This Row],[Lucro por ação]]&gt;0),Tabela2[[#This Row],[Dividendo / Ação]]/Tabela2[[#This Row],[Lucro por ação]],"")</f>
        <v>0.33995619769676261</v>
      </c>
      <c r="H215" s="5">
        <f>MAX(Tabela2[[#This Row],[Cotação 1]],Tabela2[[#This Row],[Cotação 2]])</f>
        <v>5.87</v>
      </c>
      <c r="I215" s="18">
        <f>IF(Tabela2[[#This Row],[Dividendo / Ação]]&gt;0,Tabela2[[#This Row],[Dividendo / Ação]]/Tabela2[[#This Row],[Cotação]],"")</f>
        <v>0.262739310770017</v>
      </c>
      <c r="J215" s="61">
        <f>SUMPRODUCT(N(Tabela1[Código]=Tabela2[[#This Row],[Ativo]]),Tabela1[Fechamento])</f>
        <v>5.87</v>
      </c>
      <c r="K215" s="61">
        <f>SUMPRODUCT(N(Tabela17[Código]=Tabela2[[#This Row],[Ativo]]),Tabela17[Fechamento])</f>
        <v>0</v>
      </c>
      <c r="N215" s="69"/>
    </row>
    <row r="216" spans="1:14" x14ac:dyDescent="0.2">
      <c r="A216" s="4" t="s">
        <v>27</v>
      </c>
      <c r="B216" s="4">
        <v>2012</v>
      </c>
      <c r="C216" s="6">
        <v>-6878916000</v>
      </c>
      <c r="D216" s="8">
        <f>SUMPRODUCT(N(Tabela3[PAPEL]=Tabela2[[#This Row],[Ativo]]),Tabela3[Total Ações])</f>
        <v>1352634100</v>
      </c>
      <c r="E216" s="67">
        <f>(Tabela2[[#This Row],[Lucro Líquido]])/Tabela2[[#This Row],[Total Ações]]</f>
        <v>-5.0855704436255156</v>
      </c>
      <c r="F216" s="67">
        <v>1.671821523</v>
      </c>
      <c r="G216" s="46" t="str">
        <f>IF(AND(Tabela2[[#This Row],[Dividendo / Ação]]&gt;0,Tabela2[[#This Row],[Lucro por ação]]&gt;0),Tabela2[[#This Row],[Dividendo / Ação]]/Tabela2[[#This Row],[Lucro por ação]],"")</f>
        <v/>
      </c>
      <c r="H216" s="6">
        <f>MAX(Tabela2[[#This Row],[Cotação 1]],Tabela2[[#This Row],[Cotação 2]])</f>
        <v>9.93</v>
      </c>
      <c r="I216" s="19">
        <f>IF(Tabela2[[#This Row],[Dividendo / Ação]]&gt;0,Tabela2[[#This Row],[Dividendo / Ação]]/Tabela2[[#This Row],[Cotação]],"")</f>
        <v>0.16836067703927493</v>
      </c>
      <c r="J216" s="62">
        <f>SUMPRODUCT(N(Tabela1[Código]=Tabela2[[#This Row],[Ativo]]),Tabela1[Fechamento])</f>
        <v>9.93</v>
      </c>
      <c r="K216" s="62">
        <f>SUMPRODUCT(N(Tabela17[Código]=Tabela2[[#This Row],[Ativo]]),Tabela17[Fechamento])</f>
        <v>0</v>
      </c>
      <c r="M216" s="69"/>
    </row>
    <row r="217" spans="1:14" x14ac:dyDescent="0.2">
      <c r="A217" s="4" t="s">
        <v>27</v>
      </c>
      <c r="B217" s="4">
        <v>2011</v>
      </c>
      <c r="C217" s="5">
        <v>3732565000</v>
      </c>
      <c r="D217" s="8">
        <f>SUMPRODUCT(N(Tabela3[PAPEL]=Tabela2[[#This Row],[Ativo]]),Tabela3[Total Ações])</f>
        <v>1352634100</v>
      </c>
      <c r="E217" s="67">
        <f>(Tabela2[[#This Row],[Lucro Líquido]])/Tabela2[[#This Row],[Total Ações]]</f>
        <v>2.7594787089871531</v>
      </c>
      <c r="F217" s="67">
        <v>1.6336924400499999</v>
      </c>
      <c r="G217" s="46">
        <f>IF(AND(Tabela2[[#This Row],[Dividendo / Ação]]&gt;0,Tabela2[[#This Row],[Lucro por ação]]&gt;0),Tabela2[[#This Row],[Dividendo / Ação]]/Tabela2[[#This Row],[Lucro por ação]],"")</f>
        <v>0.59202936943464768</v>
      </c>
      <c r="H217" s="6">
        <f>MAX(Tabela2[[#This Row],[Cotação 1]],Tabela2[[#This Row],[Cotação 2]])</f>
        <v>9.93</v>
      </c>
      <c r="I217" s="19">
        <f>IF(Tabela2[[#This Row],[Dividendo / Ação]]&gt;0,Tabela2[[#This Row],[Dividendo / Ação]]/Tabela2[[#This Row],[Cotação]],"")</f>
        <v>0.16452089023665659</v>
      </c>
      <c r="J217" s="62">
        <f>SUMPRODUCT(N(Tabela1[Código]=Tabela2[[#This Row],[Ativo]]),Tabela1[Fechamento])</f>
        <v>9.93</v>
      </c>
      <c r="K217" s="62">
        <f>SUMPRODUCT(N(Tabela17[Código]=Tabela2[[#This Row],[Ativo]]),Tabela17[Fechamento])</f>
        <v>0</v>
      </c>
      <c r="M217" s="70"/>
    </row>
    <row r="218" spans="1:14" x14ac:dyDescent="0.2">
      <c r="A218" s="4" t="s">
        <v>27</v>
      </c>
      <c r="B218" s="4">
        <v>2010</v>
      </c>
      <c r="C218" s="5">
        <v>2247913000</v>
      </c>
      <c r="D218" s="8">
        <f>SUMPRODUCT(N(Tabela3[PAPEL]=Tabela2[[#This Row],[Ativo]]),Tabela3[Total Ações])</f>
        <v>1352634100</v>
      </c>
      <c r="E218" s="67">
        <f>(Tabela2[[#This Row],[Lucro Líquido]])/Tabela2[[#This Row],[Total Ações]]</f>
        <v>1.6618781087952759</v>
      </c>
      <c r="F218" s="67">
        <v>1.6305332803199999</v>
      </c>
      <c r="G218" s="46">
        <f>IF(AND(Tabela2[[#This Row],[Dividendo / Ação]]&gt;0,Tabela2[[#This Row],[Lucro por ação]]&gt;0),Tabela2[[#This Row],[Dividendo / Ação]]/Tabela2[[#This Row],[Lucro por ação]],"")</f>
        <v>0.98113891246933971</v>
      </c>
      <c r="H218" s="6">
        <f>MAX(Tabela2[[#This Row],[Cotação 1]],Tabela2[[#This Row],[Cotação 2]])</f>
        <v>9.93</v>
      </c>
      <c r="I218" s="19">
        <f>IF(Tabela2[[#This Row],[Dividendo / Ação]]&gt;0,Tabela2[[#This Row],[Dividendo / Ação]]/Tabela2[[#This Row],[Cotação]],"")</f>
        <v>0.16420274726283987</v>
      </c>
      <c r="J218" s="62">
        <f>SUMPRODUCT(N(Tabela1[Código]=Tabela2[[#This Row],[Ativo]]),Tabela1[Fechamento])</f>
        <v>9.93</v>
      </c>
      <c r="K218" s="62">
        <f>SUMPRODUCT(N(Tabela17[Código]=Tabela2[[#This Row],[Ativo]]),Tabela17[Fechamento])</f>
        <v>0</v>
      </c>
    </row>
    <row r="219" spans="1:14" x14ac:dyDescent="0.2">
      <c r="A219" s="4" t="s">
        <v>27</v>
      </c>
      <c r="B219" s="4">
        <v>2009</v>
      </c>
      <c r="C219" s="5">
        <v>170526000</v>
      </c>
      <c r="D219" s="8">
        <f>SUMPRODUCT(N(Tabela3[PAPEL]=Tabela2[[#This Row],[Ativo]]),Tabela3[Total Ações])</f>
        <v>1352634100</v>
      </c>
      <c r="E219" s="67">
        <f>(Tabela2[[#This Row],[Lucro Líquido]])/Tabela2[[#This Row],[Total Ações]]</f>
        <v>0.12606957047733752</v>
      </c>
      <c r="F219" s="67">
        <v>1.63</v>
      </c>
      <c r="G219" s="46">
        <f>IF(AND(Tabela2[[#This Row],[Dividendo / Ação]]&gt;0,Tabela2[[#This Row],[Lucro por ação]]&gt;0),Tabela2[[#This Row],[Dividendo / Ação]]/Tabela2[[#This Row],[Lucro por ação]],"")</f>
        <v>12.929369028769806</v>
      </c>
      <c r="H219" s="6">
        <f>MAX(Tabela2[[#This Row],[Cotação 1]],Tabela2[[#This Row],[Cotação 2]])</f>
        <v>9.93</v>
      </c>
      <c r="I219" s="19">
        <f>IF(Tabela2[[#This Row],[Dividendo / Ação]]&gt;0,Tabela2[[#This Row],[Dividendo / Ação]]/Tabela2[[#This Row],[Cotação]],"")</f>
        <v>0.16414904330312186</v>
      </c>
      <c r="J219" s="62">
        <f>SUMPRODUCT(N(Tabela1[Código]=Tabela2[[#This Row],[Ativo]]),Tabela1[Fechamento])</f>
        <v>9.93</v>
      </c>
      <c r="K219" s="62">
        <f>SUMPRODUCT(N(Tabela17[Código]=Tabela2[[#This Row],[Ativo]]),Tabela17[Fechamento])</f>
        <v>0</v>
      </c>
      <c r="M219" s="70"/>
    </row>
    <row r="220" spans="1:14" x14ac:dyDescent="0.2">
      <c r="A220" s="4" t="s">
        <v>27</v>
      </c>
      <c r="B220" s="4">
        <v>2008</v>
      </c>
      <c r="C220" s="5">
        <v>6136497000</v>
      </c>
      <c r="D220" s="8">
        <f>SUMPRODUCT(N(Tabela3[PAPEL]=Tabela2[[#This Row],[Ativo]]),Tabela3[Total Ações])</f>
        <v>1352634100</v>
      </c>
      <c r="E220" s="67">
        <f>(Tabela2[[#This Row],[Lucro Líquido]])/Tabela2[[#This Row],[Total Ações]]</f>
        <v>4.5367013887939098</v>
      </c>
      <c r="F220" s="67">
        <v>1.69650772972</v>
      </c>
      <c r="G220" s="46">
        <f>IF(AND(Tabela2[[#This Row],[Dividendo / Ação]]&gt;0,Tabela2[[#This Row],[Lucro por ação]]&gt;0),Tabela2[[#This Row],[Dividendo / Ação]]/Tabela2[[#This Row],[Lucro por ação]],"")</f>
        <v>0.37395181748363199</v>
      </c>
      <c r="H220" s="6">
        <f>MAX(Tabela2[[#This Row],[Cotação 1]],Tabela2[[#This Row],[Cotação 2]])</f>
        <v>9.93</v>
      </c>
      <c r="I220" s="19">
        <f>IF(Tabela2[[#This Row],[Dividendo / Ação]]&gt;0,Tabela2[[#This Row],[Dividendo / Ação]]/Tabela2[[#This Row],[Cotação]],"")</f>
        <v>0.17084669987109768</v>
      </c>
      <c r="J220" s="62">
        <f>SUMPRODUCT(N(Tabela1[Código]=Tabela2[[#This Row],[Ativo]]),Tabela1[Fechamento])</f>
        <v>9.93</v>
      </c>
      <c r="K220" s="62">
        <f>SUMPRODUCT(N(Tabela17[Código]=Tabela2[[#This Row],[Ativo]]),Tabela17[Fechamento])</f>
        <v>0</v>
      </c>
    </row>
    <row r="221" spans="1:14" x14ac:dyDescent="0.2">
      <c r="A221" s="4" t="s">
        <v>208</v>
      </c>
      <c r="B221" s="4">
        <v>2012</v>
      </c>
      <c r="C221" s="6">
        <v>107945984.63</v>
      </c>
      <c r="D221" s="8">
        <f>SUMPRODUCT(N(Tabela3[PAPEL]=Tabela2[[#This Row],[Ativo]]),Tabela3[Total Ações])</f>
        <v>167343887</v>
      </c>
      <c r="E221" s="67">
        <f>(Tabela2[[#This Row],[Lucro Líquido]])/Tabela2[[#This Row],[Total Ações]]</f>
        <v>0.64505484224828602</v>
      </c>
      <c r="F221" s="67">
        <v>0.30919236900000002</v>
      </c>
      <c r="G221" s="46">
        <f>IF(AND(Tabela2[[#This Row],[Dividendo / Ação]]&gt;0,Tabela2[[#This Row],[Lucro por ação]]&gt;0),Tabela2[[#This Row],[Dividendo / Ação]]/Tabela2[[#This Row],[Lucro por ação]],"")</f>
        <v>0.47932725831858769</v>
      </c>
      <c r="H221" s="6">
        <f>MAX(Tabela2[[#This Row],[Cotação 1]],Tabela2[[#This Row],[Cotação 2]])</f>
        <v>11</v>
      </c>
      <c r="I221" s="19">
        <f>IF(Tabela2[[#This Row],[Dividendo / Ação]]&gt;0,Tabela2[[#This Row],[Dividendo / Ação]]/Tabela2[[#This Row],[Cotação]],"")</f>
        <v>2.8108397181818182E-2</v>
      </c>
      <c r="J221" s="62">
        <f>SUMPRODUCT(N(Tabela1[Código]=Tabela2[[#This Row],[Ativo]]),Tabela1[Fechamento])</f>
        <v>11</v>
      </c>
      <c r="K221" s="62">
        <f>SUMPRODUCT(N(Tabela17[Código]=Tabela2[[#This Row],[Ativo]]),Tabela17[Fechamento])</f>
        <v>0</v>
      </c>
      <c r="M221" s="68"/>
    </row>
    <row r="222" spans="1:14" x14ac:dyDescent="0.2">
      <c r="A222" s="4" t="s">
        <v>208</v>
      </c>
      <c r="B222" s="3">
        <v>2011</v>
      </c>
      <c r="C222" s="5">
        <v>1573104991</v>
      </c>
      <c r="D222" s="63">
        <f>SUMPRODUCT(N(Tabela3[PAPEL]=Tabela2[[#This Row],[Ativo]]),Tabela3[Total Ações])</f>
        <v>167343887</v>
      </c>
      <c r="E222" s="66">
        <f>(Tabela2[[#This Row],[Lucro Líquido]])/Tabela2[[#This Row],[Total Ações]]</f>
        <v>9.4004329599443324</v>
      </c>
      <c r="F222" s="66">
        <v>5.1351776620000003</v>
      </c>
      <c r="G222" s="22">
        <f>IF(AND(Tabela2[[#This Row],[Dividendo / Ação]]&gt;0,Tabela2[[#This Row],[Lucro por ação]]&gt;0),Tabela2[[#This Row],[Dividendo / Ação]]/Tabela2[[#This Row],[Lucro por ação]],"")</f>
        <v>0.54627033498150812</v>
      </c>
      <c r="H222" s="5">
        <f>MAX(Tabela2[[#This Row],[Cotação 1]],Tabela2[[#This Row],[Cotação 2]])</f>
        <v>11</v>
      </c>
      <c r="I222" s="18">
        <f>IF(Tabela2[[#This Row],[Dividendo / Ação]]&gt;0,Tabela2[[#This Row],[Dividendo / Ação]]/Tabela2[[#This Row],[Cotação]],"")</f>
        <v>0.46683433290909093</v>
      </c>
      <c r="J222" s="61">
        <f>SUMPRODUCT(N(Tabela1[Código]=Tabela2[[#This Row],[Ativo]]),Tabela1[Fechamento])</f>
        <v>11</v>
      </c>
      <c r="K222" s="61">
        <f>SUMPRODUCT(N(Tabela17[Código]=Tabela2[[#This Row],[Ativo]]),Tabela17[Fechamento])</f>
        <v>0</v>
      </c>
    </row>
    <row r="223" spans="1:14" x14ac:dyDescent="0.2">
      <c r="A223" s="4" t="s">
        <v>208</v>
      </c>
      <c r="B223" s="3">
        <v>2010</v>
      </c>
      <c r="C223" s="5">
        <v>1347688144.1600001</v>
      </c>
      <c r="D223" s="63">
        <f>SUMPRODUCT(N(Tabela3[PAPEL]=Tabela2[[#This Row],[Ativo]]),Tabela3[Total Ações])</f>
        <v>167343887</v>
      </c>
      <c r="E223" s="66">
        <f>(Tabela2[[#This Row],[Lucro Líquido]])/Tabela2[[#This Row],[Total Ações]]</f>
        <v>8.0534052860861305</v>
      </c>
      <c r="F223" s="66">
        <v>8.6908053330000001</v>
      </c>
      <c r="G223" s="22">
        <f>IF(AND(Tabela2[[#This Row],[Dividendo / Ação]]&gt;0,Tabela2[[#This Row],[Lucro por ação]]&gt;0),Tabela2[[#This Row],[Dividendo / Ação]]/Tabela2[[#This Row],[Lucro por ação]],"")</f>
        <v>1.0791466496806148</v>
      </c>
      <c r="H223" s="5">
        <f>MAX(Tabela2[[#This Row],[Cotação 1]],Tabela2[[#This Row],[Cotação 2]])</f>
        <v>11</v>
      </c>
      <c r="I223" s="18">
        <f>IF(Tabela2[[#This Row],[Dividendo / Ação]]&gt;0,Tabela2[[#This Row],[Dividendo / Ação]]/Tabela2[[#This Row],[Cotação]],"")</f>
        <v>0.79007321209090908</v>
      </c>
      <c r="J223" s="61">
        <f>SUMPRODUCT(N(Tabela1[Código]=Tabela2[[#This Row],[Ativo]]),Tabela1[Fechamento])</f>
        <v>11</v>
      </c>
      <c r="K223" s="61">
        <f>SUMPRODUCT(N(Tabela17[Código]=Tabela2[[#This Row],[Ativo]]),Tabela17[Fechamento])</f>
        <v>0</v>
      </c>
    </row>
    <row r="224" spans="1:14" x14ac:dyDescent="0.2">
      <c r="A224" s="4" t="s">
        <v>208</v>
      </c>
      <c r="B224" s="3">
        <v>2009</v>
      </c>
      <c r="C224" s="5">
        <v>1063193672.4299999</v>
      </c>
      <c r="D224" s="63">
        <f>SUMPRODUCT(N(Tabela3[PAPEL]=Tabela2[[#This Row],[Ativo]]),Tabela3[Total Ações])</f>
        <v>167343887</v>
      </c>
      <c r="E224" s="66">
        <f>(Tabela2[[#This Row],[Lucro Líquido]])/Tabela2[[#This Row],[Total Ações]]</f>
        <v>6.3533463426124426</v>
      </c>
      <c r="F224" s="66">
        <v>6.086401306</v>
      </c>
      <c r="G224" s="22">
        <f>IF(AND(Tabela2[[#This Row],[Dividendo / Ação]]&gt;0,Tabela2[[#This Row],[Lucro por ação]]&gt;0),Tabela2[[#This Row],[Dividendo / Ação]]/Tabela2[[#This Row],[Lucro por ação]],"")</f>
        <v>0.95798355351383579</v>
      </c>
      <c r="H224" s="5">
        <f>MAX(Tabela2[[#This Row],[Cotação 1]],Tabela2[[#This Row],[Cotação 2]])</f>
        <v>11</v>
      </c>
      <c r="I224" s="18">
        <f>IF(Tabela2[[#This Row],[Dividendo / Ação]]&gt;0,Tabela2[[#This Row],[Dividendo / Ação]]/Tabela2[[#This Row],[Cotação]],"")</f>
        <v>0.55330920963636365</v>
      </c>
      <c r="J224" s="61">
        <f>SUMPRODUCT(N(Tabela1[Código]=Tabela2[[#This Row],[Ativo]]),Tabela1[Fechamento])</f>
        <v>11</v>
      </c>
      <c r="K224" s="61">
        <f>SUMPRODUCT(N(Tabela17[Código]=Tabela2[[#This Row],[Ativo]]),Tabela17[Fechamento])</f>
        <v>0</v>
      </c>
    </row>
    <row r="225" spans="1:13" x14ac:dyDescent="0.2">
      <c r="A225" s="4" t="s">
        <v>1</v>
      </c>
      <c r="B225" s="4">
        <v>2012</v>
      </c>
      <c r="C225" s="6">
        <v>107945984.63</v>
      </c>
      <c r="D225" s="8">
        <f>SUMPRODUCT(N(Tabela3[PAPEL]=Tabela2[[#This Row],[Ativo]]),Tabela3[Total Ações])</f>
        <v>167343887</v>
      </c>
      <c r="E225" s="67">
        <f>(Tabela2[[#This Row],[Lucro Líquido]])/Tabela2[[#This Row],[Total Ações]]</f>
        <v>0.64505484224828602</v>
      </c>
      <c r="F225" s="67">
        <v>0.34011160499999998</v>
      </c>
      <c r="G225" s="46">
        <f>IF(AND(Tabela2[[#This Row],[Dividendo / Ação]]&gt;0,Tabela2[[#This Row],[Lucro por ação]]&gt;0),Tabela2[[#This Row],[Dividendo / Ação]]/Tabela2[[#This Row],[Lucro por ação]],"")</f>
        <v>0.52725998275521624</v>
      </c>
      <c r="H225" s="6">
        <f>MAX(Tabela2[[#This Row],[Cotação 1]],Tabela2[[#This Row],[Cotação 2]])</f>
        <v>9.36</v>
      </c>
      <c r="I225" s="19">
        <f>IF(Tabela2[[#This Row],[Dividendo / Ação]]&gt;0,Tabela2[[#This Row],[Dividendo / Ação]]/Tabela2[[#This Row],[Cotação]],"")</f>
        <v>3.6336709935897438E-2</v>
      </c>
      <c r="J225" s="62">
        <f>SUMPRODUCT(N(Tabela1[Código]=Tabela2[[#This Row],[Ativo]]),Tabela1[Fechamento])</f>
        <v>9.36</v>
      </c>
      <c r="K225" s="62">
        <f>SUMPRODUCT(N(Tabela17[Código]=Tabela2[[#This Row],[Ativo]]),Tabela17[Fechamento])</f>
        <v>0</v>
      </c>
    </row>
    <row r="226" spans="1:13" x14ac:dyDescent="0.2">
      <c r="A226" s="4" t="s">
        <v>1</v>
      </c>
      <c r="B226" s="4">
        <v>2011</v>
      </c>
      <c r="C226" s="5">
        <v>1573104991</v>
      </c>
      <c r="D226" s="8">
        <f>SUMPRODUCT(N(Tabela3[PAPEL]=Tabela2[[#This Row],[Ativo]]),Tabela3[Total Ações])</f>
        <v>167343887</v>
      </c>
      <c r="E226" s="67">
        <f>(Tabela2[[#This Row],[Lucro Líquido]])/Tabela2[[#This Row],[Total Ações]]</f>
        <v>9.4004329599443324</v>
      </c>
      <c r="F226" s="67">
        <v>5.648695429</v>
      </c>
      <c r="G226" s="46">
        <f>IF(AND(Tabela2[[#This Row],[Dividendo / Ação]]&gt;0,Tabela2[[#This Row],[Lucro por ação]]&gt;0),Tabela2[[#This Row],[Dividendo / Ação]]/Tabela2[[#This Row],[Lucro por ação]],"")</f>
        <v>0.60089736856476139</v>
      </c>
      <c r="H226" s="6">
        <f>MAX(Tabela2[[#This Row],[Cotação 1]],Tabela2[[#This Row],[Cotação 2]])</f>
        <v>9.36</v>
      </c>
      <c r="I226" s="19">
        <f>IF(Tabela2[[#This Row],[Dividendo / Ação]]&gt;0,Tabela2[[#This Row],[Dividendo / Ação]]/Tabela2[[#This Row],[Cotação]],"")</f>
        <v>0.6034931013888889</v>
      </c>
      <c r="J226" s="62">
        <f>SUMPRODUCT(N(Tabela1[Código]=Tabela2[[#This Row],[Ativo]]),Tabela1[Fechamento])</f>
        <v>9.36</v>
      </c>
      <c r="K226" s="62">
        <f>SUMPRODUCT(N(Tabela17[Código]=Tabela2[[#This Row],[Ativo]]),Tabela17[Fechamento])</f>
        <v>0</v>
      </c>
    </row>
    <row r="227" spans="1:13" x14ac:dyDescent="0.2">
      <c r="A227" s="4" t="s">
        <v>1</v>
      </c>
      <c r="B227" s="4">
        <v>2010</v>
      </c>
      <c r="C227" s="5">
        <v>1347688144.1600001</v>
      </c>
      <c r="D227" s="8">
        <f>SUMPRODUCT(N(Tabela3[PAPEL]=Tabela2[[#This Row],[Ativo]]),Tabela3[Total Ações])</f>
        <v>167343887</v>
      </c>
      <c r="E227" s="67">
        <f>(Tabela2[[#This Row],[Lucro Líquido]])/Tabela2[[#This Row],[Total Ações]]</f>
        <v>8.0534052860861305</v>
      </c>
      <c r="F227" s="67">
        <v>9.5598858660000001</v>
      </c>
      <c r="G227" s="46">
        <f>IF(AND(Tabela2[[#This Row],[Dividendo / Ação]]&gt;0,Tabela2[[#This Row],[Lucro por ação]]&gt;0),Tabela2[[#This Row],[Dividendo / Ação]]/Tabela2[[#This Row],[Lucro por ação]],"")</f>
        <v>1.1870613146114248</v>
      </c>
      <c r="H227" s="6">
        <f>MAX(Tabela2[[#This Row],[Cotação 1]],Tabela2[[#This Row],[Cotação 2]])</f>
        <v>9.36</v>
      </c>
      <c r="I227" s="19">
        <f>IF(Tabela2[[#This Row],[Dividendo / Ação]]&gt;0,Tabela2[[#This Row],[Dividendo / Ação]]/Tabela2[[#This Row],[Cotação]],"")</f>
        <v>1.0213553275641027</v>
      </c>
      <c r="J227" s="62">
        <f>SUMPRODUCT(N(Tabela1[Código]=Tabela2[[#This Row],[Ativo]]),Tabela1[Fechamento])</f>
        <v>9.36</v>
      </c>
      <c r="K227" s="62">
        <f>SUMPRODUCT(N(Tabela17[Código]=Tabela2[[#This Row],[Ativo]]),Tabela17[Fechamento])</f>
        <v>0</v>
      </c>
    </row>
    <row r="228" spans="1:13" x14ac:dyDescent="0.2">
      <c r="A228" s="4" t="s">
        <v>1</v>
      </c>
      <c r="B228" s="4">
        <v>2009</v>
      </c>
      <c r="C228" s="5">
        <v>1063193672.4299999</v>
      </c>
      <c r="D228" s="8">
        <f>SUMPRODUCT(N(Tabela3[PAPEL]=Tabela2[[#This Row],[Ativo]]),Tabela3[Total Ações])</f>
        <v>167343887</v>
      </c>
      <c r="E228" s="67">
        <f>(Tabela2[[#This Row],[Lucro Líquido]])/Tabela2[[#This Row],[Total Ações]]</f>
        <v>6.3533463426124426</v>
      </c>
      <c r="F228" s="67">
        <v>6.6950414370000004</v>
      </c>
      <c r="G228" s="46">
        <f>IF(AND(Tabela2[[#This Row],[Dividendo / Ação]]&gt;0,Tabela2[[#This Row],[Lucro por ação]]&gt;0),Tabela2[[#This Row],[Dividendo / Ação]]/Tabela2[[#This Row],[Lucro por ação]],"")</f>
        <v>1.0537819089281784</v>
      </c>
      <c r="H228" s="6">
        <f>MAX(Tabela2[[#This Row],[Cotação 1]],Tabela2[[#This Row],[Cotação 2]])</f>
        <v>9.36</v>
      </c>
      <c r="I228" s="19">
        <f>IF(Tabela2[[#This Row],[Dividendo / Ação]]&gt;0,Tabela2[[#This Row],[Dividendo / Ação]]/Tabela2[[#This Row],[Cotação]],"")</f>
        <v>0.71528220480769245</v>
      </c>
      <c r="J228" s="62">
        <f>SUMPRODUCT(N(Tabela1[Código]=Tabela2[[#This Row],[Ativo]]),Tabela1[Fechamento])</f>
        <v>9.36</v>
      </c>
      <c r="K228" s="62">
        <f>SUMPRODUCT(N(Tabela17[Código]=Tabela2[[#This Row],[Ativo]]),Tabela17[Fechamento])</f>
        <v>0</v>
      </c>
    </row>
    <row r="229" spans="1:13" x14ac:dyDescent="0.2">
      <c r="A229" s="4" t="s">
        <v>210</v>
      </c>
      <c r="B229" s="4">
        <v>2012</v>
      </c>
      <c r="C229" s="6"/>
      <c r="D229" s="8">
        <f>SUMPRODUCT(N(Tabela3[PAPEL]=Tabela2[[#This Row],[Ativo]]),Tabela3[Total Ações])</f>
        <v>36947084</v>
      </c>
      <c r="E229" s="67">
        <f>(Tabela2[[#This Row],[Lucro Líquido]])/Tabela2[[#This Row],[Total Ações]]</f>
        <v>0</v>
      </c>
      <c r="F229" s="67">
        <v>0</v>
      </c>
      <c r="G229" s="46" t="str">
        <f>IF(AND(Tabela2[[#This Row],[Dividendo / Ação]]&gt;0,Tabela2[[#This Row],[Lucro por ação]]&gt;0),Tabela2[[#This Row],[Dividendo / Ação]]/Tabela2[[#This Row],[Lucro por ação]],"")</f>
        <v/>
      </c>
      <c r="H229" s="6">
        <f>MAX(Tabela2[[#This Row],[Cotação 1]],Tabela2[[#This Row],[Cotação 2]])</f>
        <v>5.75</v>
      </c>
      <c r="I229" s="19" t="str">
        <f>IF(Tabela2[[#This Row],[Dividendo / Ação]]&gt;0,Tabela2[[#This Row],[Dividendo / Ação]]/Tabela2[[#This Row],[Cotação]],"")</f>
        <v/>
      </c>
      <c r="J229" s="62">
        <f>SUMPRODUCT(N(Tabela1[Código]=Tabela2[[#This Row],[Ativo]]),Tabela1[Fechamento])</f>
        <v>5.75</v>
      </c>
      <c r="K229" s="62">
        <f>SUMPRODUCT(N(Tabela17[Código]=Tabela2[[#This Row],[Ativo]]),Tabela17[Fechamento])</f>
        <v>0</v>
      </c>
      <c r="M229" s="68"/>
    </row>
    <row r="230" spans="1:13" x14ac:dyDescent="0.2">
      <c r="A230" s="4" t="s">
        <v>210</v>
      </c>
      <c r="B230" s="4">
        <v>2011</v>
      </c>
      <c r="C230" s="6"/>
      <c r="D230" s="8">
        <f>SUMPRODUCT(N(Tabela3[PAPEL]=Tabela2[[#This Row],[Ativo]]),Tabela3[Total Ações])</f>
        <v>36947084</v>
      </c>
      <c r="E230" s="67">
        <f>(Tabela2[[#This Row],[Lucro Líquido]])/Tabela2[[#This Row],[Total Ações]]</f>
        <v>0</v>
      </c>
      <c r="F230" s="67">
        <v>0</v>
      </c>
      <c r="G230" s="46" t="str">
        <f>IF(AND(Tabela2[[#This Row],[Dividendo / Ação]]&gt;0,Tabela2[[#This Row],[Lucro por ação]]&gt;0),Tabela2[[#This Row],[Dividendo / Ação]]/Tabela2[[#This Row],[Lucro por ação]],"")</f>
        <v/>
      </c>
      <c r="H230" s="6">
        <f>MAX(Tabela2[[#This Row],[Cotação 1]],Tabela2[[#This Row],[Cotação 2]])</f>
        <v>5.75</v>
      </c>
      <c r="I230" s="19" t="str">
        <f>IF(Tabela2[[#This Row],[Dividendo / Ação]]&gt;0,Tabela2[[#This Row],[Dividendo / Ação]]/Tabela2[[#This Row],[Cotação]],"")</f>
        <v/>
      </c>
      <c r="J230" s="62">
        <f>SUMPRODUCT(N(Tabela1[Código]=Tabela2[[#This Row],[Ativo]]),Tabela1[Fechamento])</f>
        <v>5.75</v>
      </c>
      <c r="K230" s="62">
        <f>SUMPRODUCT(N(Tabela17[Código]=Tabela2[[#This Row],[Ativo]]),Tabela17[Fechamento])</f>
        <v>0</v>
      </c>
    </row>
    <row r="231" spans="1:13" x14ac:dyDescent="0.2">
      <c r="A231" s="4" t="s">
        <v>210</v>
      </c>
      <c r="B231" s="4">
        <v>2010</v>
      </c>
      <c r="C231" s="6">
        <v>13974263.699999999</v>
      </c>
      <c r="D231" s="8">
        <f>SUMPRODUCT(N(Tabela3[PAPEL]=Tabela2[[#This Row],[Ativo]]),Tabela3[Total Ações])</f>
        <v>36947084</v>
      </c>
      <c r="E231" s="67">
        <f>(Tabela2[[#This Row],[Lucro Líquido]])/Tabela2[[#This Row],[Total Ações]]</f>
        <v>0.37822372396154452</v>
      </c>
      <c r="F231" s="67">
        <v>8.7654448199999999E-2</v>
      </c>
      <c r="G231" s="46">
        <f>IF(AND(Tabela2[[#This Row],[Dividendo / Ação]]&gt;0,Tabela2[[#This Row],[Lucro por ação]]&gt;0),Tabela2[[#This Row],[Dividendo / Ação]]/Tabela2[[#This Row],[Lucro por ação]],"")</f>
        <v>0.23175290878610291</v>
      </c>
      <c r="H231" s="6">
        <f>MAX(Tabela2[[#This Row],[Cotação 1]],Tabela2[[#This Row],[Cotação 2]])</f>
        <v>5.75</v>
      </c>
      <c r="I231" s="19">
        <f>IF(Tabela2[[#This Row],[Dividendo / Ação]]&gt;0,Tabela2[[#This Row],[Dividendo / Ação]]/Tabela2[[#This Row],[Cotação]],"")</f>
        <v>1.5244251860869565E-2</v>
      </c>
      <c r="J231" s="62">
        <f>SUMPRODUCT(N(Tabela1[Código]=Tabela2[[#This Row],[Ativo]]),Tabela1[Fechamento])</f>
        <v>5.75</v>
      </c>
      <c r="K231" s="62">
        <f>SUMPRODUCT(N(Tabela17[Código]=Tabela2[[#This Row],[Ativo]]),Tabela17[Fechamento])</f>
        <v>0</v>
      </c>
    </row>
    <row r="232" spans="1:13" x14ac:dyDescent="0.2">
      <c r="A232" s="4" t="s">
        <v>210</v>
      </c>
      <c r="B232" s="4">
        <v>2009</v>
      </c>
      <c r="C232" s="6">
        <v>-7526000</v>
      </c>
      <c r="D232" s="8">
        <f>SUMPRODUCT(N(Tabela3[PAPEL]=Tabela2[[#This Row],[Ativo]]),Tabela3[Total Ações])</f>
        <v>36947084</v>
      </c>
      <c r="E232" s="67">
        <f>(Tabela2[[#This Row],[Lucro Líquido]])/Tabela2[[#This Row],[Total Ações]]</f>
        <v>-0.20369672475370451</v>
      </c>
      <c r="F232" s="67">
        <v>0</v>
      </c>
      <c r="G232" s="46" t="str">
        <f>IF(AND(Tabela2[[#This Row],[Dividendo / Ação]]&gt;0,Tabela2[[#This Row],[Lucro por ação]]&gt;0),Tabela2[[#This Row],[Dividendo / Ação]]/Tabela2[[#This Row],[Lucro por ação]],"")</f>
        <v/>
      </c>
      <c r="H232" s="6">
        <f>MAX(Tabela2[[#This Row],[Cotação 1]],Tabela2[[#This Row],[Cotação 2]])</f>
        <v>5.75</v>
      </c>
      <c r="I232" s="19" t="str">
        <f>IF(Tabela2[[#This Row],[Dividendo / Ação]]&gt;0,Tabela2[[#This Row],[Dividendo / Ação]]/Tabela2[[#This Row],[Cotação]],"")</f>
        <v/>
      </c>
      <c r="J232" s="62">
        <f>SUMPRODUCT(N(Tabela1[Código]=Tabela2[[#This Row],[Ativo]]),Tabela1[Fechamento])</f>
        <v>5.75</v>
      </c>
      <c r="K232" s="62">
        <f>SUMPRODUCT(N(Tabela17[Código]=Tabela2[[#This Row],[Ativo]]),Tabela17[Fechamento])</f>
        <v>0</v>
      </c>
    </row>
    <row r="233" spans="1:13" x14ac:dyDescent="0.2">
      <c r="A233" s="4" t="s">
        <v>210</v>
      </c>
      <c r="B233" s="4">
        <v>2008</v>
      </c>
      <c r="C233" s="6">
        <v>-170585000</v>
      </c>
      <c r="D233" s="8">
        <f>SUMPRODUCT(N(Tabela3[PAPEL]=Tabela2[[#This Row],[Ativo]]),Tabela3[Total Ações])</f>
        <v>36947084</v>
      </c>
      <c r="E233" s="67">
        <f>(Tabela2[[#This Row],[Lucro Líquido]])/Tabela2[[#This Row],[Total Ações]]</f>
        <v>-4.6170084762304926</v>
      </c>
      <c r="F233" s="67">
        <v>0.36506361199999998</v>
      </c>
      <c r="G233" s="46" t="str">
        <f>IF(AND(Tabela2[[#This Row],[Dividendo / Ação]]&gt;0,Tabela2[[#This Row],[Lucro por ação]]&gt;0),Tabela2[[#This Row],[Dividendo / Ação]]/Tabela2[[#This Row],[Lucro por ação]],"")</f>
        <v/>
      </c>
      <c r="H233" s="6">
        <f>MAX(Tabela2[[#This Row],[Cotação 1]],Tabela2[[#This Row],[Cotação 2]])</f>
        <v>5.75</v>
      </c>
      <c r="I233" s="19">
        <f>IF(Tabela2[[#This Row],[Dividendo / Ação]]&gt;0,Tabela2[[#This Row],[Dividendo / Ação]]/Tabela2[[#This Row],[Cotação]],"")</f>
        <v>6.3489323826086949E-2</v>
      </c>
      <c r="J233" s="62">
        <f>SUMPRODUCT(N(Tabela1[Código]=Tabela2[[#This Row],[Ativo]]),Tabela1[Fechamento])</f>
        <v>5.75</v>
      </c>
      <c r="K233" s="62">
        <f>SUMPRODUCT(N(Tabela17[Código]=Tabela2[[#This Row],[Ativo]]),Tabela17[Fechamento])</f>
        <v>0</v>
      </c>
    </row>
    <row r="234" spans="1:13" x14ac:dyDescent="0.2">
      <c r="A234" s="4" t="s">
        <v>28</v>
      </c>
      <c r="B234" s="4">
        <v>2012</v>
      </c>
      <c r="C234" s="6">
        <v>341644899.63</v>
      </c>
      <c r="D234" s="8">
        <f>SUMPRODUCT(N(Tabela3[PAPEL]=Tabela2[[#This Row],[Ativo]]),Tabela3[Total Ações])</f>
        <v>476415612</v>
      </c>
      <c r="E234" s="67">
        <f>(Tabela2[[#This Row],[Lucro Líquido]])/Tabela2[[#This Row],[Total Ações]]</f>
        <v>0.71711524774717084</v>
      </c>
      <c r="F234" s="67">
        <v>0.77853000000000006</v>
      </c>
      <c r="G234" s="46">
        <f>IF(AND(Tabela2[[#This Row],[Dividendo / Ação]]&gt;0,Tabela2[[#This Row],[Lucro por ação]]&gt;0),Tabela2[[#This Row],[Dividendo / Ação]]/Tabela2[[#This Row],[Lucro por ação]],"")</f>
        <v>1.0856413978726078</v>
      </c>
      <c r="H234" s="6">
        <f>MAX(Tabela2[[#This Row],[Cotação 1]],Tabela2[[#This Row],[Cotação 2]])</f>
        <v>11.35</v>
      </c>
      <c r="I234" s="19">
        <f>IF(Tabela2[[#This Row],[Dividendo / Ação]]&gt;0,Tabela2[[#This Row],[Dividendo / Ação]]/Tabela2[[#This Row],[Cotação]],"")</f>
        <v>6.8592951541850231E-2</v>
      </c>
      <c r="J234" s="62">
        <f>SUMPRODUCT(N(Tabela1[Código]=Tabela2[[#This Row],[Ativo]]),Tabela1[Fechamento])</f>
        <v>11.35</v>
      </c>
      <c r="K234" s="62">
        <f>SUMPRODUCT(N(Tabela17[Código]=Tabela2[[#This Row],[Ativo]]),Tabela17[Fechamento])</f>
        <v>0</v>
      </c>
    </row>
    <row r="235" spans="1:13" x14ac:dyDescent="0.2">
      <c r="A235" s="4" t="s">
        <v>28</v>
      </c>
      <c r="B235" s="4">
        <v>2011</v>
      </c>
      <c r="C235" s="6">
        <v>491579920.89999998</v>
      </c>
      <c r="D235" s="8">
        <f>SUMPRODUCT(N(Tabela3[PAPEL]=Tabela2[[#This Row],[Ativo]]),Tabela3[Total Ações])</f>
        <v>476415612</v>
      </c>
      <c r="E235" s="67">
        <f>(Tabela2[[#This Row],[Lucro Líquido]])/Tabela2[[#This Row],[Total Ações]]</f>
        <v>1.0318299999371137</v>
      </c>
      <c r="F235" s="67">
        <v>2.3355890000000001</v>
      </c>
      <c r="G235" s="46">
        <f>IF(AND(Tabela2[[#This Row],[Dividendo / Ação]]&gt;0,Tabela2[[#This Row],[Lucro por ação]]&gt;0),Tabela2[[#This Row],[Dividendo / Ação]]/Tabela2[[#This Row],[Lucro por ação]],"")</f>
        <v>2.2635405058414135</v>
      </c>
      <c r="H235" s="6">
        <f>MAX(Tabela2[[#This Row],[Cotação 1]],Tabela2[[#This Row],[Cotação 2]])</f>
        <v>11.35</v>
      </c>
      <c r="I235" s="19">
        <f>IF(Tabela2[[#This Row],[Dividendo / Ação]]&gt;0,Tabela2[[#This Row],[Dividendo / Ação]]/Tabela2[[#This Row],[Cotação]],"")</f>
        <v>0.2057787665198238</v>
      </c>
      <c r="J235" s="62">
        <f>SUMPRODUCT(N(Tabela1[Código]=Tabela2[[#This Row],[Ativo]]),Tabela1[Fechamento])</f>
        <v>11.35</v>
      </c>
      <c r="K235" s="62">
        <f>SUMPRODUCT(N(Tabela17[Código]=Tabela2[[#This Row],[Ativo]]),Tabela17[Fechamento])</f>
        <v>0</v>
      </c>
    </row>
    <row r="236" spans="1:13" x14ac:dyDescent="0.2">
      <c r="A236" s="4" t="s">
        <v>28</v>
      </c>
      <c r="B236" s="4">
        <v>2010</v>
      </c>
      <c r="C236" s="6">
        <v>588911630.5</v>
      </c>
      <c r="D236" s="8">
        <f>SUMPRODUCT(N(Tabela3[PAPEL]=Tabela2[[#This Row],[Ativo]]),Tabela3[Total Ações])</f>
        <v>476415612</v>
      </c>
      <c r="E236" s="67">
        <f>(Tabela2[[#This Row],[Lucro Líquido]])/Tabela2[[#This Row],[Total Ações]]</f>
        <v>1.2361300000806859</v>
      </c>
      <c r="F236" s="67">
        <v>2.22437</v>
      </c>
      <c r="G236" s="46">
        <f>IF(AND(Tabela2[[#This Row],[Dividendo / Ação]]&gt;0,Tabela2[[#This Row],[Lucro por ação]]&gt;0),Tabela2[[#This Row],[Dividendo / Ação]]/Tabela2[[#This Row],[Lucro por ação]],"")</f>
        <v>1.7994628395515107</v>
      </c>
      <c r="H236" s="6">
        <f>MAX(Tabela2[[#This Row],[Cotação 1]],Tabela2[[#This Row],[Cotação 2]])</f>
        <v>11.35</v>
      </c>
      <c r="I236" s="19">
        <f>IF(Tabela2[[#This Row],[Dividendo / Ação]]&gt;0,Tabela2[[#This Row],[Dividendo / Ação]]/Tabela2[[#This Row],[Cotação]],"")</f>
        <v>0.19597973568281937</v>
      </c>
      <c r="J236" s="62">
        <f>SUMPRODUCT(N(Tabela1[Código]=Tabela2[[#This Row],[Ativo]]),Tabela1[Fechamento])</f>
        <v>11.35</v>
      </c>
      <c r="K236" s="62">
        <f>SUMPRODUCT(N(Tabela17[Código]=Tabela2[[#This Row],[Ativo]]),Tabela17[Fechamento])</f>
        <v>0</v>
      </c>
    </row>
    <row r="237" spans="1:13" x14ac:dyDescent="0.2">
      <c r="A237" s="4" t="s">
        <v>28</v>
      </c>
      <c r="B237" s="4">
        <v>2009</v>
      </c>
      <c r="C237" s="6">
        <v>695571557.70000005</v>
      </c>
      <c r="D237" s="8">
        <f>SUMPRODUCT(N(Tabela3[PAPEL]=Tabela2[[#This Row],[Ativo]]),Tabela3[Total Ações])</f>
        <v>476415612</v>
      </c>
      <c r="E237" s="67">
        <f>(Tabela2[[#This Row],[Lucro Líquido]])/Tabela2[[#This Row],[Total Ações]]</f>
        <v>1.4600100000501244</v>
      </c>
      <c r="F237" s="67">
        <v>1.869219</v>
      </c>
      <c r="G237" s="46">
        <f>IF(AND(Tabela2[[#This Row],[Dividendo / Ação]]&gt;0,Tabela2[[#This Row],[Lucro por ação]]&gt;0),Tabela2[[#This Row],[Dividendo / Ação]]/Tabela2[[#This Row],[Lucro por ação]],"")</f>
        <v>1.2802782172285305</v>
      </c>
      <c r="H237" s="6">
        <f>MAX(Tabela2[[#This Row],[Cotação 1]],Tabela2[[#This Row],[Cotação 2]])</f>
        <v>11.35</v>
      </c>
      <c r="I237" s="19">
        <f>IF(Tabela2[[#This Row],[Dividendo / Ação]]&gt;0,Tabela2[[#This Row],[Dividendo / Ação]]/Tabela2[[#This Row],[Cotação]],"")</f>
        <v>0.1646888986784141</v>
      </c>
      <c r="J237" s="62">
        <f>SUMPRODUCT(N(Tabela1[Código]=Tabela2[[#This Row],[Ativo]]),Tabela1[Fechamento])</f>
        <v>11.35</v>
      </c>
      <c r="K237" s="62">
        <f>SUMPRODUCT(N(Tabela17[Código]=Tabela2[[#This Row],[Ativo]]),Tabela17[Fechamento])</f>
        <v>0</v>
      </c>
    </row>
    <row r="238" spans="1:13" x14ac:dyDescent="0.2">
      <c r="A238" s="4" t="s">
        <v>92</v>
      </c>
      <c r="B238" s="4">
        <v>2012</v>
      </c>
      <c r="C238" s="6">
        <v>290441196.88</v>
      </c>
      <c r="D238" s="8">
        <f>SUMPRODUCT(N(Tabela3[PAPEL]=Tabela2[[#This Row],[Ativo]]),Tabela3[Total Ações])</f>
        <v>1245690889</v>
      </c>
      <c r="E238" s="65">
        <f>(Tabela2[[#This Row],[Lucro Líquido]])/Tabela2[[#This Row],[Total Ações]]</f>
        <v>0.23315671603984894</v>
      </c>
      <c r="F238" s="65">
        <v>0.79500000000000004</v>
      </c>
      <c r="G238" s="19">
        <f>IF(AND(Tabela2[[#This Row],[Dividendo / Ação]]&gt;0,Tabela2[[#This Row],[Lucro por ação]]&gt;0),Tabela2[[#This Row],[Dividendo / Ação]]/Tabela2[[#This Row],[Lucro por ação]],"")</f>
        <v>3.4097237836551368</v>
      </c>
      <c r="H238" s="6">
        <f>MAX(Tabela2[[#This Row],[Cotação 1]],Tabela2[[#This Row],[Cotação 2]])</f>
        <v>12.5</v>
      </c>
      <c r="I238" s="18">
        <f>IF(Tabela2[[#This Row],[Dividendo / Ação]]&gt;0,Tabela2[[#This Row],[Dividendo / Ação]]/Tabela2[[#This Row],[Cotação]],"")</f>
        <v>6.3600000000000004E-2</v>
      </c>
      <c r="J238" s="61">
        <f>SUMPRODUCT(N(Tabela1[Código]=Tabela2[[#This Row],[Ativo]]),Tabela1[Fechamento])</f>
        <v>12.5</v>
      </c>
      <c r="K238" s="61">
        <f>SUMPRODUCT(N(Tabela17[Código]=Tabela2[[#This Row],[Ativo]]),Tabela17[Fechamento])</f>
        <v>0</v>
      </c>
    </row>
    <row r="239" spans="1:13" x14ac:dyDescent="0.2">
      <c r="A239" s="4" t="s">
        <v>92</v>
      </c>
      <c r="B239" s="4">
        <v>2011</v>
      </c>
      <c r="C239" s="5">
        <v>212054242.16999999</v>
      </c>
      <c r="D239" s="8">
        <f>SUMPRODUCT(N(Tabela3[PAPEL]=Tabela2[[#This Row],[Ativo]]),Tabela3[Total Ações])</f>
        <v>1245690889</v>
      </c>
      <c r="E239" s="65">
        <f>(Tabela2[[#This Row],[Lucro Líquido]])/Tabela2[[#This Row],[Total Ações]]</f>
        <v>0.17023022648919767</v>
      </c>
      <c r="F239" s="65">
        <v>9.6000000000000002E-2</v>
      </c>
      <c r="G239" s="19">
        <f>IF(AND(Tabela2[[#This Row],[Dividendo / Ação]]&gt;0,Tabela2[[#This Row],[Lucro por ação]]&gt;0),Tabela2[[#This Row],[Dividendo / Ação]]/Tabela2[[#This Row],[Lucro por ação]],"")</f>
        <v>0.56394215046228524</v>
      </c>
      <c r="H239" s="6">
        <f>MAX(Tabela2[[#This Row],[Cotação 1]],Tabela2[[#This Row],[Cotação 2]])</f>
        <v>12.5</v>
      </c>
      <c r="I239" s="18">
        <f>IF(Tabela2[[#This Row],[Dividendo / Ação]]&gt;0,Tabela2[[#This Row],[Dividendo / Ação]]/Tabela2[[#This Row],[Cotação]],"")</f>
        <v>7.6800000000000002E-3</v>
      </c>
      <c r="J239" s="61">
        <f>SUMPRODUCT(N(Tabela1[Código]=Tabela2[[#This Row],[Ativo]]),Tabela1[Fechamento])</f>
        <v>12.5</v>
      </c>
      <c r="K239" s="61">
        <f>SUMPRODUCT(N(Tabela17[Código]=Tabela2[[#This Row],[Ativo]]),Tabela17[Fechamento])</f>
        <v>0</v>
      </c>
    </row>
    <row r="240" spans="1:13" x14ac:dyDescent="0.2">
      <c r="A240" s="4" t="s">
        <v>92</v>
      </c>
      <c r="B240" s="4">
        <v>2010</v>
      </c>
      <c r="C240" s="5">
        <v>194647783.53</v>
      </c>
      <c r="D240" s="8">
        <f>SUMPRODUCT(N(Tabela3[PAPEL]=Tabela2[[#This Row],[Ativo]]),Tabela3[Total Ações])</f>
        <v>1245690889</v>
      </c>
      <c r="E240" s="65">
        <f>(Tabela2[[#This Row],[Lucro Líquido]])/Tabela2[[#This Row],[Total Ações]]</f>
        <v>0.15625688944892011</v>
      </c>
      <c r="F240" s="65">
        <v>8.8999999999999996E-2</v>
      </c>
      <c r="G240" s="19">
        <f>IF(AND(Tabela2[[#This Row],[Dividendo / Ação]]&gt;0,Tabela2[[#This Row],[Lucro por ação]]&gt;0),Tabela2[[#This Row],[Dividendo / Ação]]/Tabela2[[#This Row],[Lucro por ação]],"")</f>
        <v>0.56957488603466555</v>
      </c>
      <c r="H240" s="6">
        <f>MAX(Tabela2[[#This Row],[Cotação 1]],Tabela2[[#This Row],[Cotação 2]])</f>
        <v>12.5</v>
      </c>
      <c r="I240" s="18">
        <f>IF(Tabela2[[#This Row],[Dividendo / Ação]]&gt;0,Tabela2[[#This Row],[Dividendo / Ação]]/Tabela2[[#This Row],[Cotação]],"")</f>
        <v>7.1199999999999996E-3</v>
      </c>
      <c r="J240" s="61">
        <f>SUMPRODUCT(N(Tabela1[Código]=Tabela2[[#This Row],[Ativo]]),Tabela1[Fechamento])</f>
        <v>12.5</v>
      </c>
      <c r="K240" s="61">
        <f>SUMPRODUCT(N(Tabela17[Código]=Tabela2[[#This Row],[Ativo]]),Tabela17[Fechamento])</f>
        <v>0</v>
      </c>
    </row>
    <row r="241" spans="1:13" x14ac:dyDescent="0.2">
      <c r="A241" s="4" t="s">
        <v>92</v>
      </c>
      <c r="B241" s="4">
        <v>2009</v>
      </c>
      <c r="C241" s="5">
        <v>276855137.25</v>
      </c>
      <c r="D241" s="8">
        <f>SUMPRODUCT(N(Tabela3[PAPEL]=Tabela2[[#This Row],[Ativo]]),Tabela3[Total Ações])</f>
        <v>1245690889</v>
      </c>
      <c r="E241" s="65">
        <f>(Tabela2[[#This Row],[Lucro Líquido]])/Tabela2[[#This Row],[Total Ações]]</f>
        <v>0.22225027066887379</v>
      </c>
      <c r="F241" s="65">
        <v>0.113</v>
      </c>
      <c r="G241" s="19">
        <f>IF(AND(Tabela2[[#This Row],[Dividendo / Ação]]&gt;0,Tabela2[[#This Row],[Lucro por ação]]&gt;0),Tabela2[[#This Row],[Dividendo / Ação]]/Tabela2[[#This Row],[Lucro por ação]],"")</f>
        <v>0.50843582624183359</v>
      </c>
      <c r="H241" s="6">
        <f>MAX(Tabela2[[#This Row],[Cotação 1]],Tabela2[[#This Row],[Cotação 2]])</f>
        <v>12.5</v>
      </c>
      <c r="I241" s="18">
        <f>IF(Tabela2[[#This Row],[Dividendo / Ação]]&gt;0,Tabela2[[#This Row],[Dividendo / Ação]]/Tabela2[[#This Row],[Cotação]],"")</f>
        <v>9.0399999999999994E-3</v>
      </c>
      <c r="J241" s="61">
        <f>SUMPRODUCT(N(Tabela1[Código]=Tabela2[[#This Row],[Ativo]]),Tabela1[Fechamento])</f>
        <v>12.5</v>
      </c>
      <c r="K241" s="61">
        <f>SUMPRODUCT(N(Tabela17[Código]=Tabela2[[#This Row],[Ativo]]),Tabela17[Fechamento])</f>
        <v>0</v>
      </c>
    </row>
    <row r="242" spans="1:13" x14ac:dyDescent="0.2">
      <c r="A242" s="4" t="s">
        <v>212</v>
      </c>
      <c r="B242" s="3">
        <v>2012</v>
      </c>
      <c r="C242" s="6">
        <v>290441196.88</v>
      </c>
      <c r="D242" s="63">
        <f>SUMPRODUCT(N(Tabela3[PAPEL]=Tabela2[[#This Row],[Ativo]]),Tabela3[Total Ações])</f>
        <v>1245690889</v>
      </c>
      <c r="E242" s="64">
        <f>(Tabela2[[#This Row],[Lucro Líquido]])/Tabela2[[#This Row],[Total Ações]]</f>
        <v>0.23315671603984894</v>
      </c>
      <c r="F242" s="64">
        <v>0.159</v>
      </c>
      <c r="G242" s="18">
        <f>IF(AND(Tabela2[[#This Row],[Dividendo / Ação]]&gt;0,Tabela2[[#This Row],[Lucro por ação]]&gt;0),Tabela2[[#This Row],[Dividendo / Ação]]/Tabela2[[#This Row],[Lucro por ação]],"")</f>
        <v>0.68194475673102728</v>
      </c>
      <c r="H242" s="5">
        <f>MAX(Tabela2[[#This Row],[Cotação 1]],Tabela2[[#This Row],[Cotação 2]])</f>
        <v>3.15</v>
      </c>
      <c r="I242" s="18">
        <f>IF(Tabela2[[#This Row],[Dividendo / Ação]]&gt;0,Tabela2[[#This Row],[Dividendo / Ação]]/Tabela2[[#This Row],[Cotação]],"")</f>
        <v>5.047619047619048E-2</v>
      </c>
      <c r="J242" s="61">
        <f>SUMPRODUCT(N(Tabela1[Código]=Tabela2[[#This Row],[Ativo]]),Tabela1[Fechamento])</f>
        <v>3.15</v>
      </c>
      <c r="K242" s="61">
        <f>SUMPRODUCT(N(Tabela17[Código]=Tabela2[[#This Row],[Ativo]]),Tabela17[Fechamento])</f>
        <v>0</v>
      </c>
    </row>
    <row r="243" spans="1:13" x14ac:dyDescent="0.2">
      <c r="A243" s="4" t="s">
        <v>212</v>
      </c>
      <c r="B243" s="3">
        <v>2011</v>
      </c>
      <c r="C243" s="5">
        <v>212054242.16999999</v>
      </c>
      <c r="D243" s="63">
        <f>SUMPRODUCT(N(Tabela3[PAPEL]=Tabela2[[#This Row],[Ativo]]),Tabela3[Total Ações])</f>
        <v>1245690889</v>
      </c>
      <c r="E243" s="64">
        <f>(Tabela2[[#This Row],[Lucro Líquido]])/Tabela2[[#This Row],[Total Ações]]</f>
        <v>0.17023022648919767</v>
      </c>
      <c r="F243" s="65">
        <v>9.6000000000000002E-2</v>
      </c>
      <c r="G243" s="18">
        <f>IF(AND(Tabela2[[#This Row],[Dividendo / Ação]]&gt;0,Tabela2[[#This Row],[Lucro por ação]]&gt;0),Tabela2[[#This Row],[Dividendo / Ação]]/Tabela2[[#This Row],[Lucro por ação]],"")</f>
        <v>0.56394215046228524</v>
      </c>
      <c r="H243" s="5">
        <f>MAX(Tabela2[[#This Row],[Cotação 1]],Tabela2[[#This Row],[Cotação 2]])</f>
        <v>3.15</v>
      </c>
      <c r="I243" s="18">
        <f>IF(Tabela2[[#This Row],[Dividendo / Ação]]&gt;0,Tabela2[[#This Row],[Dividendo / Ação]]/Tabela2[[#This Row],[Cotação]],"")</f>
        <v>3.0476190476190476E-2</v>
      </c>
      <c r="J243" s="61">
        <f>SUMPRODUCT(N(Tabela1[Código]=Tabela2[[#This Row],[Ativo]]),Tabela1[Fechamento])</f>
        <v>3.15</v>
      </c>
      <c r="K243" s="61">
        <f>SUMPRODUCT(N(Tabela17[Código]=Tabela2[[#This Row],[Ativo]]),Tabela17[Fechamento])</f>
        <v>0</v>
      </c>
    </row>
    <row r="244" spans="1:13" x14ac:dyDescent="0.2">
      <c r="A244" s="4" t="s">
        <v>212</v>
      </c>
      <c r="B244" s="4">
        <v>2010</v>
      </c>
      <c r="C244" s="5">
        <v>194647783.53</v>
      </c>
      <c r="D244" s="63">
        <f>SUMPRODUCT(N(Tabela3[PAPEL]=Tabela2[[#This Row],[Ativo]]),Tabela3[Total Ações])</f>
        <v>1245690889</v>
      </c>
      <c r="E244" s="64">
        <f>(Tabela2[[#This Row],[Lucro Líquido]])/Tabela2[[#This Row],[Total Ações]]</f>
        <v>0.15625688944892011</v>
      </c>
      <c r="F244" s="65">
        <v>8.8999999999999996E-2</v>
      </c>
      <c r="G244" s="18">
        <f>IF(AND(Tabela2[[#This Row],[Dividendo / Ação]]&gt;0,Tabela2[[#This Row],[Lucro por ação]]&gt;0),Tabela2[[#This Row],[Dividendo / Ação]]/Tabela2[[#This Row],[Lucro por ação]],"")</f>
        <v>0.56957488603466555</v>
      </c>
      <c r="H244" s="5">
        <f>MAX(Tabela2[[#This Row],[Cotação 1]],Tabela2[[#This Row],[Cotação 2]])</f>
        <v>3.15</v>
      </c>
      <c r="I244" s="18">
        <f>IF(Tabela2[[#This Row],[Dividendo / Ação]]&gt;0,Tabela2[[#This Row],[Dividendo / Ação]]/Tabela2[[#This Row],[Cotação]],"")</f>
        <v>2.8253968253968254E-2</v>
      </c>
      <c r="J244" s="61">
        <f>SUMPRODUCT(N(Tabela1[Código]=Tabela2[[#This Row],[Ativo]]),Tabela1[Fechamento])</f>
        <v>3.15</v>
      </c>
      <c r="K244" s="61">
        <f>SUMPRODUCT(N(Tabela17[Código]=Tabela2[[#This Row],[Ativo]]),Tabela17[Fechamento])</f>
        <v>0</v>
      </c>
    </row>
    <row r="245" spans="1:13" x14ac:dyDescent="0.2">
      <c r="A245" s="4" t="s">
        <v>212</v>
      </c>
      <c r="B245" s="4">
        <v>2009</v>
      </c>
      <c r="C245" s="5">
        <v>276855137.25</v>
      </c>
      <c r="D245" s="63">
        <f>SUMPRODUCT(N(Tabela3[PAPEL]=Tabela2[[#This Row],[Ativo]]),Tabela3[Total Ações])</f>
        <v>1245690889</v>
      </c>
      <c r="E245" s="64">
        <f>(Tabela2[[#This Row],[Lucro Líquido]])/Tabela2[[#This Row],[Total Ações]]</f>
        <v>0.22225027066887379</v>
      </c>
      <c r="F245" s="65">
        <v>0.113</v>
      </c>
      <c r="G245" s="18">
        <f>IF(AND(Tabela2[[#This Row],[Dividendo / Ação]]&gt;0,Tabela2[[#This Row],[Lucro por ação]]&gt;0),Tabela2[[#This Row],[Dividendo / Ação]]/Tabela2[[#This Row],[Lucro por ação]],"")</f>
        <v>0.50843582624183359</v>
      </c>
      <c r="H245" s="5">
        <f>MAX(Tabela2[[#This Row],[Cotação 1]],Tabela2[[#This Row],[Cotação 2]])</f>
        <v>3.15</v>
      </c>
      <c r="I245" s="18">
        <f>IF(Tabela2[[#This Row],[Dividendo / Ação]]&gt;0,Tabela2[[#This Row],[Dividendo / Ação]]/Tabela2[[#This Row],[Cotação]],"")</f>
        <v>3.5873015873015876E-2</v>
      </c>
      <c r="J245" s="61">
        <f>SUMPRODUCT(N(Tabela1[Código]=Tabela2[[#This Row],[Ativo]]),Tabela1[Fechamento])</f>
        <v>3.15</v>
      </c>
      <c r="K245" s="61">
        <f>SUMPRODUCT(N(Tabela17[Código]=Tabela2[[#This Row],[Ativo]]),Tabela17[Fechamento])</f>
        <v>0</v>
      </c>
    </row>
    <row r="246" spans="1:13" x14ac:dyDescent="0.2">
      <c r="A246" s="4" t="s">
        <v>67</v>
      </c>
      <c r="B246" s="4">
        <v>2012</v>
      </c>
      <c r="C246" s="6">
        <v>290441196.88</v>
      </c>
      <c r="D246" s="8">
        <f>SUMPRODUCT(N(Tabela3[PAPEL]=Tabela2[[#This Row],[Ativo]]),Tabela3[Total Ações])</f>
        <v>1245690889</v>
      </c>
      <c r="E246" s="65">
        <f>(Tabela2[[#This Row],[Lucro Líquido]])/Tabela2[[#This Row],[Total Ações]]</f>
        <v>0.23315671603984894</v>
      </c>
      <c r="F246" s="65">
        <v>0.159</v>
      </c>
      <c r="G246" s="19">
        <f>IF(AND(Tabela2[[#This Row],[Dividendo / Ação]]&gt;0,Tabela2[[#This Row],[Lucro por ação]]&gt;0),Tabela2[[#This Row],[Dividendo / Ação]]/Tabela2[[#This Row],[Lucro por ação]],"")</f>
        <v>0.68194475673102728</v>
      </c>
      <c r="H246" s="6">
        <f>MAX(Tabela2[[#This Row],[Cotação 1]],Tabela2[[#This Row],[Cotação 2]])</f>
        <v>2.25</v>
      </c>
      <c r="I246" s="18">
        <f>IF(Tabela2[[#This Row],[Dividendo / Ação]]&gt;0,Tabela2[[#This Row],[Dividendo / Ação]]/Tabela2[[#This Row],[Cotação]],"")</f>
        <v>7.0666666666666669E-2</v>
      </c>
      <c r="J246" s="61">
        <f>SUMPRODUCT(N(Tabela1[Código]=Tabela2[[#This Row],[Ativo]]),Tabela1[Fechamento])</f>
        <v>2.25</v>
      </c>
      <c r="K246" s="61">
        <f>SUMPRODUCT(N(Tabela17[Código]=Tabela2[[#This Row],[Ativo]]),Tabela17[Fechamento])</f>
        <v>0</v>
      </c>
      <c r="M246" s="5"/>
    </row>
    <row r="247" spans="1:13" x14ac:dyDescent="0.2">
      <c r="A247" s="4" t="s">
        <v>67</v>
      </c>
      <c r="B247" s="3">
        <v>2011</v>
      </c>
      <c r="C247" s="5">
        <v>212054242.16999999</v>
      </c>
      <c r="D247" s="63">
        <f>SUMPRODUCT(N(Tabela3[PAPEL]=Tabela2[[#This Row],[Ativo]]),Tabela3[Total Ações])</f>
        <v>1245690889</v>
      </c>
      <c r="E247" s="64">
        <f>(Tabela2[[#This Row],[Lucro Líquido]])/Tabela2[[#This Row],[Total Ações]]</f>
        <v>0.17023022648919767</v>
      </c>
      <c r="F247" s="65">
        <v>9.6000000000000002E-2</v>
      </c>
      <c r="G247" s="18">
        <f>IF(AND(Tabela2[[#This Row],[Dividendo / Ação]]&gt;0,Tabela2[[#This Row],[Lucro por ação]]&gt;0),Tabela2[[#This Row],[Dividendo / Ação]]/Tabela2[[#This Row],[Lucro por ação]],"")</f>
        <v>0.56394215046228524</v>
      </c>
      <c r="H247" s="5">
        <f>MAX(Tabela2[[#This Row],[Cotação 1]],Tabela2[[#This Row],[Cotação 2]])</f>
        <v>2.25</v>
      </c>
      <c r="I247" s="18">
        <f>IF(Tabela2[[#This Row],[Dividendo / Ação]]&gt;0,Tabela2[[#This Row],[Dividendo / Ação]]/Tabela2[[#This Row],[Cotação]],"")</f>
        <v>4.2666666666666665E-2</v>
      </c>
      <c r="J247" s="61">
        <f>SUMPRODUCT(N(Tabela1[Código]=Tabela2[[#This Row],[Ativo]]),Tabela1[Fechamento])</f>
        <v>2.25</v>
      </c>
      <c r="K247" s="61">
        <f>SUMPRODUCT(N(Tabela17[Código]=Tabela2[[#This Row],[Ativo]]),Tabela17[Fechamento])</f>
        <v>0</v>
      </c>
    </row>
    <row r="248" spans="1:13" x14ac:dyDescent="0.2">
      <c r="A248" s="4" t="s">
        <v>67</v>
      </c>
      <c r="B248" s="4">
        <v>2010</v>
      </c>
      <c r="C248" s="5">
        <v>194647783.53</v>
      </c>
      <c r="D248" s="63">
        <f>SUMPRODUCT(N(Tabela3[PAPEL]=Tabela2[[#This Row],[Ativo]]),Tabela3[Total Ações])</f>
        <v>1245690889</v>
      </c>
      <c r="E248" s="64">
        <f>(Tabela2[[#This Row],[Lucro Líquido]])/Tabela2[[#This Row],[Total Ações]]</f>
        <v>0.15625688944892011</v>
      </c>
      <c r="F248" s="65">
        <v>8.8999999999999996E-2</v>
      </c>
      <c r="G248" s="18">
        <f>IF(AND(Tabela2[[#This Row],[Dividendo / Ação]]&gt;0,Tabela2[[#This Row],[Lucro por ação]]&gt;0),Tabela2[[#This Row],[Dividendo / Ação]]/Tabela2[[#This Row],[Lucro por ação]],"")</f>
        <v>0.56957488603466555</v>
      </c>
      <c r="H248" s="5">
        <f>MAX(Tabela2[[#This Row],[Cotação 1]],Tabela2[[#This Row],[Cotação 2]])</f>
        <v>2.25</v>
      </c>
      <c r="I248" s="18">
        <f>IF(Tabela2[[#This Row],[Dividendo / Ação]]&gt;0,Tabela2[[#This Row],[Dividendo / Ação]]/Tabela2[[#This Row],[Cotação]],"")</f>
        <v>3.9555555555555552E-2</v>
      </c>
      <c r="J248" s="61">
        <f>SUMPRODUCT(N(Tabela1[Código]=Tabela2[[#This Row],[Ativo]]),Tabela1[Fechamento])</f>
        <v>2.25</v>
      </c>
      <c r="K248" s="61">
        <f>SUMPRODUCT(N(Tabela17[Código]=Tabela2[[#This Row],[Ativo]]),Tabela17[Fechamento])</f>
        <v>0</v>
      </c>
    </row>
    <row r="249" spans="1:13" x14ac:dyDescent="0.2">
      <c r="A249" s="4" t="s">
        <v>67</v>
      </c>
      <c r="B249" s="4">
        <v>2009</v>
      </c>
      <c r="C249" s="5">
        <v>276855137.25</v>
      </c>
      <c r="D249" s="63">
        <f>SUMPRODUCT(N(Tabela3[PAPEL]=Tabela2[[#This Row],[Ativo]]),Tabela3[Total Ações])</f>
        <v>1245690889</v>
      </c>
      <c r="E249" s="64">
        <f>(Tabela2[[#This Row],[Lucro Líquido]])/Tabela2[[#This Row],[Total Ações]]</f>
        <v>0.22225027066887379</v>
      </c>
      <c r="F249" s="65">
        <v>0.113</v>
      </c>
      <c r="G249" s="18">
        <f>IF(AND(Tabela2[[#This Row],[Dividendo / Ação]]&gt;0,Tabela2[[#This Row],[Lucro por ação]]&gt;0),Tabela2[[#This Row],[Dividendo / Ação]]/Tabela2[[#This Row],[Lucro por ação]],"")</f>
        <v>0.50843582624183359</v>
      </c>
      <c r="H249" s="5">
        <f>MAX(Tabela2[[#This Row],[Cotação 1]],Tabela2[[#This Row],[Cotação 2]])</f>
        <v>2.25</v>
      </c>
      <c r="I249" s="18">
        <f>IF(Tabela2[[#This Row],[Dividendo / Ação]]&gt;0,Tabela2[[#This Row],[Dividendo / Ação]]/Tabela2[[#This Row],[Cotação]],"")</f>
        <v>5.0222222222222224E-2</v>
      </c>
      <c r="J249" s="61">
        <f>SUMPRODUCT(N(Tabela1[Código]=Tabela2[[#This Row],[Ativo]]),Tabela1[Fechamento])</f>
        <v>2.25</v>
      </c>
      <c r="K249" s="61">
        <f>SUMPRODUCT(N(Tabela17[Código]=Tabela2[[#This Row],[Ativo]]),Tabela17[Fechamento])</f>
        <v>0</v>
      </c>
    </row>
    <row r="250" spans="1:13" x14ac:dyDescent="0.2">
      <c r="A250" s="4" t="s">
        <v>102</v>
      </c>
      <c r="B250" s="4">
        <v>2012</v>
      </c>
      <c r="C250" s="6">
        <v>384946993.33999997</v>
      </c>
      <c r="D250" s="8">
        <f>SUMPRODUCT(N(Tabela3[PAPEL]=Tabela2[[#This Row],[Ativo]]),Tabela3[Total Ações])</f>
        <v>164183899</v>
      </c>
      <c r="E250" s="67">
        <f>(Tabela2[[#This Row],[Lucro Líquido]])/Tabela2[[#This Row],[Total Ações]]</f>
        <v>2.3446086716456889</v>
      </c>
      <c r="F250" s="67">
        <v>0.46</v>
      </c>
      <c r="G250" s="46">
        <f>IF(AND(Tabela2[[#This Row],[Dividendo / Ação]]&gt;0,Tabela2[[#This Row],[Lucro por ação]]&gt;0),Tabela2[[#This Row],[Dividendo / Ação]]/Tabela2[[#This Row],[Lucro por ação]],"")</f>
        <v>0.19619478745556479</v>
      </c>
      <c r="H250" s="6">
        <f>MAX(Tabela2[[#This Row],[Cotação 1]],Tabela2[[#This Row],[Cotação 2]])</f>
        <v>15.5</v>
      </c>
      <c r="I250" s="19">
        <f>IF(Tabela2[[#This Row],[Dividendo / Ação]]&gt;0,Tabela2[[#This Row],[Dividendo / Ação]]/Tabela2[[#This Row],[Cotação]],"")</f>
        <v>2.9677419354838711E-2</v>
      </c>
      <c r="J250" s="62">
        <f>SUMPRODUCT(N(Tabela1[Código]=Tabela2[[#This Row],[Ativo]]),Tabela1[Fechamento])</f>
        <v>15.5</v>
      </c>
      <c r="K250" s="62">
        <f>SUMPRODUCT(N(Tabela17[Código]=Tabela2[[#This Row],[Ativo]]),Tabela17[Fechamento])</f>
        <v>0</v>
      </c>
    </row>
    <row r="251" spans="1:13" x14ac:dyDescent="0.2">
      <c r="A251" s="4" t="s">
        <v>102</v>
      </c>
      <c r="B251" s="4">
        <v>2011</v>
      </c>
      <c r="C251" s="6">
        <v>247502000</v>
      </c>
      <c r="D251" s="8">
        <f>SUMPRODUCT(N(Tabela3[PAPEL]=Tabela2[[#This Row],[Ativo]]),Tabela3[Total Ações])</f>
        <v>164183899</v>
      </c>
      <c r="E251" s="67">
        <f>(Tabela2[[#This Row],[Lucro Líquido]])/Tabela2[[#This Row],[Total Ações]]</f>
        <v>1.5074681592255279</v>
      </c>
      <c r="F251" s="67">
        <v>0.56999999999999995</v>
      </c>
      <c r="G251" s="46">
        <f>IF(AND(Tabela2[[#This Row],[Dividendo / Ação]]&gt;0,Tabela2[[#This Row],[Lucro por ação]]&gt;0),Tabela2[[#This Row],[Dividendo / Ação]]/Tabela2[[#This Row],[Lucro por ação]],"")</f>
        <v>0.37811743917220869</v>
      </c>
      <c r="H251" s="6">
        <f>MAX(Tabela2[[#This Row],[Cotação 1]],Tabela2[[#This Row],[Cotação 2]])</f>
        <v>15.5</v>
      </c>
      <c r="I251" s="19">
        <f>IF(Tabela2[[#This Row],[Dividendo / Ação]]&gt;0,Tabela2[[#This Row],[Dividendo / Ação]]/Tabela2[[#This Row],[Cotação]],"")</f>
        <v>3.6774193548387096E-2</v>
      </c>
      <c r="J251" s="62">
        <f>SUMPRODUCT(N(Tabela1[Código]=Tabela2[[#This Row],[Ativo]]),Tabela1[Fechamento])</f>
        <v>15.5</v>
      </c>
      <c r="K251" s="62">
        <f>SUMPRODUCT(N(Tabela17[Código]=Tabela2[[#This Row],[Ativo]]),Tabela17[Fechamento])</f>
        <v>0</v>
      </c>
    </row>
    <row r="252" spans="1:13" x14ac:dyDescent="0.2">
      <c r="A252" s="4" t="s">
        <v>102</v>
      </c>
      <c r="B252" s="4">
        <v>2010</v>
      </c>
      <c r="C252" s="6">
        <v>278621000</v>
      </c>
      <c r="D252" s="8">
        <f>SUMPRODUCT(N(Tabela3[PAPEL]=Tabela2[[#This Row],[Ativo]]),Tabela3[Total Ações])</f>
        <v>164183899</v>
      </c>
      <c r="E252" s="67">
        <f>(Tabela2[[#This Row],[Lucro Líquido]])/Tabela2[[#This Row],[Total Ações]]</f>
        <v>1.6970056241629394</v>
      </c>
      <c r="F252" s="67">
        <v>1.52</v>
      </c>
      <c r="G252" s="46">
        <f>IF(AND(Tabela2[[#This Row],[Dividendo / Ação]]&gt;0,Tabela2[[#This Row],[Lucro por ação]]&gt;0),Tabela2[[#This Row],[Dividendo / Ação]]/Tabela2[[#This Row],[Lucro por ação]],"")</f>
        <v>0.89569532260669515</v>
      </c>
      <c r="H252" s="6">
        <f>MAX(Tabela2[[#This Row],[Cotação 1]],Tabela2[[#This Row],[Cotação 2]])</f>
        <v>15.5</v>
      </c>
      <c r="I252" s="19">
        <f>IF(Tabela2[[#This Row],[Dividendo / Ação]]&gt;0,Tabela2[[#This Row],[Dividendo / Ação]]/Tabela2[[#This Row],[Cotação]],"")</f>
        <v>9.8064516129032261E-2</v>
      </c>
      <c r="J252" s="62">
        <f>SUMPRODUCT(N(Tabela1[Código]=Tabela2[[#This Row],[Ativo]]),Tabela1[Fechamento])</f>
        <v>15.5</v>
      </c>
      <c r="K252" s="62">
        <f>SUMPRODUCT(N(Tabela17[Código]=Tabela2[[#This Row],[Ativo]]),Tabela17[Fechamento])</f>
        <v>0</v>
      </c>
    </row>
    <row r="253" spans="1:13" x14ac:dyDescent="0.2">
      <c r="A253" s="4" t="s">
        <v>35</v>
      </c>
      <c r="B253" s="4">
        <v>2012</v>
      </c>
      <c r="C253" s="6">
        <v>140995000</v>
      </c>
      <c r="D253" s="8">
        <f>SUMPRODUCT(N(Tabela3[PAPEL]=Tabela2[[#This Row],[Ativo]]),Tabela3[Total Ações])</f>
        <v>198447352</v>
      </c>
      <c r="E253" s="67">
        <f>(Tabela2[[#This Row],[Lucro Líquido]])/Tabela2[[#This Row],[Total Ações]]</f>
        <v>0.7104907098987141</v>
      </c>
      <c r="F253" s="67">
        <v>0.17</v>
      </c>
      <c r="G253" s="46">
        <f>IF(AND(Tabela2[[#This Row],[Dividendo / Ação]]&gt;0,Tabela2[[#This Row],[Lucro por ação]]&gt;0),Tabela2[[#This Row],[Dividendo / Ação]]/Tabela2[[#This Row],[Lucro por ação]],"")</f>
        <v>0.23927124961878082</v>
      </c>
      <c r="H253" s="6">
        <f>MAX(Tabela2[[#This Row],[Cotação 1]],Tabela2[[#This Row],[Cotação 2]])</f>
        <v>23.15</v>
      </c>
      <c r="I253" s="19">
        <f>IF(Tabela2[[#This Row],[Dividendo / Ação]]&gt;0,Tabela2[[#This Row],[Dividendo / Ação]]/Tabela2[[#This Row],[Cotação]],"")</f>
        <v>7.3434125269978409E-3</v>
      </c>
      <c r="J253" s="62">
        <f>SUMPRODUCT(N(Tabela1[Código]=Tabela2[[#This Row],[Ativo]]),Tabela1[Fechamento])</f>
        <v>23.15</v>
      </c>
      <c r="K253" s="62">
        <f>SUMPRODUCT(N(Tabela17[Código]=Tabela2[[#This Row],[Ativo]]),Tabela17[Fechamento])</f>
        <v>0</v>
      </c>
    </row>
    <row r="254" spans="1:13" x14ac:dyDescent="0.2">
      <c r="A254" s="4" t="s">
        <v>35</v>
      </c>
      <c r="B254" s="4">
        <v>2011</v>
      </c>
      <c r="C254" s="6">
        <v>159996000</v>
      </c>
      <c r="D254" s="8">
        <f>SUMPRODUCT(N(Tabela3[PAPEL]=Tabela2[[#This Row],[Ativo]]),Tabela3[Total Ações])</f>
        <v>198447352</v>
      </c>
      <c r="E254" s="67">
        <f>(Tabela2[[#This Row],[Lucro Líquido]])/Tabela2[[#This Row],[Total Ações]]</f>
        <v>0.80623902706446793</v>
      </c>
      <c r="F254" s="67">
        <v>0.46</v>
      </c>
      <c r="G254" s="46">
        <f>IF(AND(Tabela2[[#This Row],[Dividendo / Ação]]&gt;0,Tabela2[[#This Row],[Lucro por ação]]&gt;0),Tabela2[[#This Row],[Dividendo / Ação]]/Tabela2[[#This Row],[Lucro por ação]],"")</f>
        <v>0.57055040076001906</v>
      </c>
      <c r="H254" s="6">
        <f>MAX(Tabela2[[#This Row],[Cotação 1]],Tabela2[[#This Row],[Cotação 2]])</f>
        <v>23.15</v>
      </c>
      <c r="I254" s="19">
        <f>IF(Tabela2[[#This Row],[Dividendo / Ação]]&gt;0,Tabela2[[#This Row],[Dividendo / Ação]]/Tabela2[[#This Row],[Cotação]],"")</f>
        <v>1.9870410367170629E-2</v>
      </c>
      <c r="J254" s="62">
        <f>SUMPRODUCT(N(Tabela1[Código]=Tabela2[[#This Row],[Ativo]]),Tabela1[Fechamento])</f>
        <v>23.15</v>
      </c>
      <c r="K254" s="62">
        <f>SUMPRODUCT(N(Tabela17[Código]=Tabela2[[#This Row],[Ativo]]),Tabela17[Fechamento])</f>
        <v>0</v>
      </c>
    </row>
    <row r="255" spans="1:13" x14ac:dyDescent="0.2">
      <c r="A255" s="4" t="s">
        <v>35</v>
      </c>
      <c r="B255" s="4">
        <v>2010</v>
      </c>
      <c r="C255" s="6">
        <v>188871000</v>
      </c>
      <c r="D255" s="8">
        <f>SUMPRODUCT(N(Tabela3[PAPEL]=Tabela2[[#This Row],[Ativo]]),Tabela3[Total Ações])</f>
        <v>198447352</v>
      </c>
      <c r="E255" s="67">
        <f>(Tabela2[[#This Row],[Lucro Líquido]])/Tabela2[[#This Row],[Total Ações]]</f>
        <v>0.95174361409468444</v>
      </c>
      <c r="F255" s="67">
        <v>1.8</v>
      </c>
      <c r="G255" s="46">
        <f>IF(AND(Tabela2[[#This Row],[Dividendo / Ação]]&gt;0,Tabela2[[#This Row],[Lucro por ação]]&gt;0),Tabela2[[#This Row],[Dividendo / Ação]]/Tabela2[[#This Row],[Lucro por ação]],"")</f>
        <v>1.8912656448051846</v>
      </c>
      <c r="H255" s="6">
        <f>MAX(Tabela2[[#This Row],[Cotação 1]],Tabela2[[#This Row],[Cotação 2]])</f>
        <v>23.15</v>
      </c>
      <c r="I255" s="19">
        <f>IF(Tabela2[[#This Row],[Dividendo / Ação]]&gt;0,Tabela2[[#This Row],[Dividendo / Ação]]/Tabela2[[#This Row],[Cotação]],"")</f>
        <v>7.7753779697624203E-2</v>
      </c>
      <c r="J255" s="62">
        <f>SUMPRODUCT(N(Tabela1[Código]=Tabela2[[#This Row],[Ativo]]),Tabela1[Fechamento])</f>
        <v>23.15</v>
      </c>
      <c r="K255" s="62">
        <f>SUMPRODUCT(N(Tabela17[Código]=Tabela2[[#This Row],[Ativo]]),Tabela17[Fechamento])</f>
        <v>0</v>
      </c>
    </row>
    <row r="256" spans="1:13" x14ac:dyDescent="0.2">
      <c r="A256" s="14" t="s">
        <v>330</v>
      </c>
      <c r="B256" s="3">
        <v>2012</v>
      </c>
      <c r="C256" s="5">
        <v>85326018.709999993</v>
      </c>
      <c r="D256" s="63">
        <f>SUMPRODUCT(N(Tabela3[PAPEL]=Tabela2[[#This Row],[Ativo]]),Tabela3[Total Ações])</f>
        <v>88320000</v>
      </c>
      <c r="E256" s="66">
        <f>(Tabela2[[#This Row],[Lucro Líquido]])/Tabela2[[#This Row],[Total Ações]]</f>
        <v>0.96610075532155792</v>
      </c>
      <c r="F256" s="66">
        <v>0.22040999999999999</v>
      </c>
      <c r="G256" s="22">
        <f>IF(AND(Tabela2[[#This Row],[Dividendo / Ação]]&gt;0,Tabela2[[#This Row],[Lucro por ação]]&gt;0),Tabela2[[#This Row],[Dividendo / Ação]]/Tabela2[[#This Row],[Lucro por ação]],"")</f>
        <v>0.22814390609459623</v>
      </c>
      <c r="H256" s="5">
        <f>MAX(Tabela2[[#This Row],[Cotação 1]],Tabela2[[#This Row],[Cotação 2]])</f>
        <v>19</v>
      </c>
      <c r="I256" s="18">
        <f>IF(Tabela2[[#This Row],[Dividendo / Ação]]&gt;0,Tabela2[[#This Row],[Dividendo / Ação]]/Tabela2[[#This Row],[Cotação]],"")</f>
        <v>1.1600526315789473E-2</v>
      </c>
      <c r="J256" s="61">
        <f>SUMPRODUCT(N(Tabela1[Código]=Tabela2[[#This Row],[Ativo]]),Tabela1[Fechamento])</f>
        <v>19</v>
      </c>
      <c r="K256" s="61">
        <f>SUMPRODUCT(N(Tabela17[Código]=Tabela2[[#This Row],[Ativo]]),Tabela17[Fechamento])</f>
        <v>0</v>
      </c>
    </row>
    <row r="257" spans="1:13" x14ac:dyDescent="0.2">
      <c r="A257" s="14" t="s">
        <v>330</v>
      </c>
      <c r="B257" s="3">
        <v>2011</v>
      </c>
      <c r="C257" s="5">
        <v>90654592</v>
      </c>
      <c r="D257" s="63">
        <f>SUMPRODUCT(N(Tabela3[PAPEL]=Tabela2[[#This Row],[Ativo]]),Tabela3[Total Ações])</f>
        <v>88320000</v>
      </c>
      <c r="E257" s="66">
        <f>(Tabela2[[#This Row],[Lucro Líquido]])/Tabela2[[#This Row],[Total Ações]]</f>
        <v>1.0264333333333333</v>
      </c>
      <c r="F257" s="66">
        <v>0.244201419</v>
      </c>
      <c r="G257" s="22">
        <f>IF(AND(Tabela2[[#This Row],[Dividendo / Ação]]&gt;0,Tabela2[[#This Row],[Lucro por ação]]&gt;0),Tabela2[[#This Row],[Dividendo / Ação]]/Tabela2[[#This Row],[Lucro por ação]],"")</f>
        <v>0.23791259604455559</v>
      </c>
      <c r="H257" s="5">
        <f>MAX(Tabela2[[#This Row],[Cotação 1]],Tabela2[[#This Row],[Cotação 2]])</f>
        <v>19</v>
      </c>
      <c r="I257" s="18">
        <f>IF(Tabela2[[#This Row],[Dividendo / Ação]]&gt;0,Tabela2[[#This Row],[Dividendo / Ação]]/Tabela2[[#This Row],[Cotação]],"")</f>
        <v>1.2852706263157895E-2</v>
      </c>
      <c r="J257" s="61">
        <f>SUMPRODUCT(N(Tabela1[Código]=Tabela2[[#This Row],[Ativo]]),Tabela1[Fechamento])</f>
        <v>19</v>
      </c>
      <c r="K257" s="61">
        <f>SUMPRODUCT(N(Tabela17[Código]=Tabela2[[#This Row],[Ativo]]),Tabela17[Fechamento])</f>
        <v>0</v>
      </c>
    </row>
    <row r="258" spans="1:13" x14ac:dyDescent="0.2">
      <c r="A258" s="14" t="s">
        <v>330</v>
      </c>
      <c r="B258" s="3">
        <v>2010</v>
      </c>
      <c r="C258" s="5">
        <v>133778304</v>
      </c>
      <c r="D258" s="63">
        <f>SUMPRODUCT(N(Tabela3[PAPEL]=Tabela2[[#This Row],[Ativo]]),Tabela3[Total Ações])</f>
        <v>88320000</v>
      </c>
      <c r="E258" s="66">
        <f>(Tabela2[[#This Row],[Lucro Líquido]])/Tabela2[[#This Row],[Total Ações]]</f>
        <v>1.5146999999999999</v>
      </c>
      <c r="F258" s="66">
        <v>0.31610713000000001</v>
      </c>
      <c r="G258" s="22">
        <f>IF(AND(Tabela2[[#This Row],[Dividendo / Ação]]&gt;0,Tabela2[[#This Row],[Lucro por ação]]&gt;0),Tabela2[[#This Row],[Dividendo / Ação]]/Tabela2[[#This Row],[Lucro por ação]],"")</f>
        <v>0.20869289628309237</v>
      </c>
      <c r="H258" s="5">
        <f>MAX(Tabela2[[#This Row],[Cotação 1]],Tabela2[[#This Row],[Cotação 2]])</f>
        <v>19</v>
      </c>
      <c r="I258" s="18">
        <f>IF(Tabela2[[#This Row],[Dividendo / Ação]]&gt;0,Tabela2[[#This Row],[Dividendo / Ação]]/Tabela2[[#This Row],[Cotação]],"")</f>
        <v>1.6637217368421053E-2</v>
      </c>
      <c r="J258" s="61">
        <f>SUMPRODUCT(N(Tabela1[Código]=Tabela2[[#This Row],[Ativo]]),Tabela1[Fechamento])</f>
        <v>19</v>
      </c>
      <c r="K258" s="61">
        <f>SUMPRODUCT(N(Tabela17[Código]=Tabela2[[#This Row],[Ativo]]),Tabela17[Fechamento])</f>
        <v>0</v>
      </c>
    </row>
    <row r="259" spans="1:13" x14ac:dyDescent="0.2">
      <c r="A259" s="15" t="s">
        <v>83</v>
      </c>
      <c r="B259" s="3">
        <v>2012</v>
      </c>
      <c r="C259" s="5">
        <v>85326018.709999993</v>
      </c>
      <c r="D259" s="63">
        <f>SUMPRODUCT(N(Tabela3[PAPEL]=Tabela2[[#This Row],[Ativo]]),Tabela3[Total Ações])</f>
        <v>88320000</v>
      </c>
      <c r="E259" s="66">
        <f>(Tabela2[[#This Row],[Lucro Líquido]])/Tabela2[[#This Row],[Total Ações]]</f>
        <v>0.96610075532155792</v>
      </c>
      <c r="F259" s="66">
        <v>0.24245</v>
      </c>
      <c r="G259" s="22">
        <f>IF(AND(Tabela2[[#This Row],[Dividendo / Ação]]&gt;0,Tabela2[[#This Row],[Lucro por ação]]&gt;0),Tabela2[[#This Row],[Dividendo / Ação]]/Tabela2[[#This Row],[Lucro por ação]],"")</f>
        <v>0.25095726161532989</v>
      </c>
      <c r="H259" s="5">
        <f>MAX(Tabela2[[#This Row],[Cotação 1]],Tabela2[[#This Row],[Cotação 2]])</f>
        <v>13.19</v>
      </c>
      <c r="I259" s="18">
        <f>IF(Tabela2[[#This Row],[Dividendo / Ação]]&gt;0,Tabela2[[#This Row],[Dividendo / Ação]]/Tabela2[[#This Row],[Cotação]],"")</f>
        <v>1.8381349507202428E-2</v>
      </c>
      <c r="J259" s="61">
        <f>SUMPRODUCT(N(Tabela1[Código]=Tabela2[[#This Row],[Ativo]]),Tabela1[Fechamento])</f>
        <v>13.19</v>
      </c>
      <c r="K259" s="61">
        <f>SUMPRODUCT(N(Tabela17[Código]=Tabela2[[#This Row],[Ativo]]),Tabela17[Fechamento])</f>
        <v>0</v>
      </c>
    </row>
    <row r="260" spans="1:13" x14ac:dyDescent="0.2">
      <c r="A260" s="15" t="s">
        <v>83</v>
      </c>
      <c r="B260" s="3">
        <v>2011</v>
      </c>
      <c r="C260" s="5">
        <v>90654592</v>
      </c>
      <c r="D260" s="63">
        <f>SUMPRODUCT(N(Tabela3[PAPEL]=Tabela2[[#This Row],[Ativo]]),Tabela3[Total Ações])</f>
        <v>88320000</v>
      </c>
      <c r="E260" s="66">
        <f>(Tabela2[[#This Row],[Lucro Líquido]])/Tabela2[[#This Row],[Total Ações]]</f>
        <v>1.0264333333333333</v>
      </c>
      <c r="F260" s="66">
        <v>0.26862156100000001</v>
      </c>
      <c r="G260" s="22">
        <f>IF(AND(Tabela2[[#This Row],[Dividendo / Ação]]&gt;0,Tabela2[[#This Row],[Lucro por ação]]&gt;0),Tabela2[[#This Row],[Dividendo / Ação]]/Tabela2[[#This Row],[Lucro por ação]],"")</f>
        <v>0.2617038557464359</v>
      </c>
      <c r="H260" s="5">
        <f>MAX(Tabela2[[#This Row],[Cotação 1]],Tabela2[[#This Row],[Cotação 2]])</f>
        <v>13.19</v>
      </c>
      <c r="I260" s="18">
        <f>IF(Tabela2[[#This Row],[Dividendo / Ação]]&gt;0,Tabela2[[#This Row],[Dividendo / Ação]]/Tabela2[[#This Row],[Cotação]],"")</f>
        <v>2.0365546702047006E-2</v>
      </c>
      <c r="J260" s="61">
        <f>SUMPRODUCT(N(Tabela1[Código]=Tabela2[[#This Row],[Ativo]]),Tabela1[Fechamento])</f>
        <v>13.19</v>
      </c>
      <c r="K260" s="61">
        <f>SUMPRODUCT(N(Tabela17[Código]=Tabela2[[#This Row],[Ativo]]),Tabela17[Fechamento])</f>
        <v>0</v>
      </c>
    </row>
    <row r="261" spans="1:13" x14ac:dyDescent="0.2">
      <c r="A261" s="15" t="s">
        <v>83</v>
      </c>
      <c r="B261" s="3">
        <v>2010</v>
      </c>
      <c r="C261" s="5">
        <v>133778304</v>
      </c>
      <c r="D261" s="63">
        <f>SUMPRODUCT(N(Tabela3[PAPEL]=Tabela2[[#This Row],[Ativo]]),Tabela3[Total Ações])</f>
        <v>88320000</v>
      </c>
      <c r="E261" s="66">
        <f>(Tabela2[[#This Row],[Lucro Líquido]])/Tabela2[[#This Row],[Total Ações]]</f>
        <v>1.5146999999999999</v>
      </c>
      <c r="F261" s="66">
        <v>0.3477384</v>
      </c>
      <c r="G261" s="22">
        <f>IF(AND(Tabela2[[#This Row],[Dividendo / Ação]]&gt;0,Tabela2[[#This Row],[Lucro por ação]]&gt;0),Tabela2[[#This Row],[Dividendo / Ação]]/Tabela2[[#This Row],[Lucro por ação]],"")</f>
        <v>0.2295757575757576</v>
      </c>
      <c r="H261" s="5">
        <f>MAX(Tabela2[[#This Row],[Cotação 1]],Tabela2[[#This Row],[Cotação 2]])</f>
        <v>13.19</v>
      </c>
      <c r="I261" s="18">
        <f>IF(Tabela2[[#This Row],[Dividendo / Ação]]&gt;0,Tabela2[[#This Row],[Dividendo / Ação]]/Tabela2[[#This Row],[Cotação]],"")</f>
        <v>2.6363790750568612E-2</v>
      </c>
      <c r="J261" s="61">
        <f>SUMPRODUCT(N(Tabela1[Código]=Tabela2[[#This Row],[Ativo]]),Tabela1[Fechamento])</f>
        <v>13.19</v>
      </c>
      <c r="K261" s="61">
        <f>SUMPRODUCT(N(Tabela17[Código]=Tabela2[[#This Row],[Ativo]]),Tabela17[Fechamento])</f>
        <v>0</v>
      </c>
    </row>
    <row r="262" spans="1:13" x14ac:dyDescent="0.2">
      <c r="A262" s="4" t="s">
        <v>202</v>
      </c>
      <c r="B262" s="4">
        <v>2012</v>
      </c>
      <c r="C262" s="6">
        <v>324648000</v>
      </c>
      <c r="D262" s="8">
        <f>SUMPRODUCT(N(Tabela3[PAPEL]=Tabela2[[#This Row],[Ativo]]),Tabela3[Total Ações])</f>
        <v>94433283</v>
      </c>
      <c r="E262" s="67">
        <f>(Tabela2[[#This Row],[Lucro Líquido]])/Tabela2[[#This Row],[Total Ações]]</f>
        <v>3.4378556975510426</v>
      </c>
      <c r="F262" s="67">
        <v>3.9972394429999998</v>
      </c>
      <c r="G262" s="46">
        <f>IF(AND(Tabela2[[#This Row],[Dividendo / Ação]]&gt;0,Tabela2[[#This Row],[Lucro por ação]]&gt;0),Tabela2[[#This Row],[Dividendo / Ação]]/Tabela2[[#This Row],[Lucro por ação]],"")</f>
        <v>1.1627129800263096</v>
      </c>
      <c r="H262" s="6">
        <f>MAX(Tabela2[[#This Row],[Cotação 1]],Tabela2[[#This Row],[Cotação 2]])</f>
        <v>62.04</v>
      </c>
      <c r="I262" s="19">
        <f>IF(Tabela2[[#This Row],[Dividendo / Ação]]&gt;0,Tabela2[[#This Row],[Dividendo / Ação]]/Tabela2[[#This Row],[Cotação]],"")</f>
        <v>6.4430036154094136E-2</v>
      </c>
      <c r="J262" s="62">
        <f>SUMPRODUCT(N(Tabela1[Código]=Tabela2[[#This Row],[Ativo]]),Tabela1[Fechamento])</f>
        <v>62.04</v>
      </c>
      <c r="K262" s="62">
        <f>SUMPRODUCT(N(Tabela17[Código]=Tabela2[[#This Row],[Ativo]]),Tabela17[Fechamento])</f>
        <v>0</v>
      </c>
    </row>
    <row r="263" spans="1:13" x14ac:dyDescent="0.2">
      <c r="A263" s="4" t="s">
        <v>202</v>
      </c>
      <c r="B263" s="4">
        <v>2011</v>
      </c>
      <c r="C263" s="6">
        <v>281411183</v>
      </c>
      <c r="D263" s="8">
        <f>SUMPRODUCT(N(Tabela3[PAPEL]=Tabela2[[#This Row],[Ativo]]),Tabela3[Total Ações])</f>
        <v>94433283</v>
      </c>
      <c r="E263" s="67">
        <f>(Tabela2[[#This Row],[Lucro Líquido]])/Tabela2[[#This Row],[Total Ações]]</f>
        <v>2.9799999963995747</v>
      </c>
      <c r="F263" s="67">
        <v>3.6127542309999998</v>
      </c>
      <c r="G263" s="46">
        <f>IF(AND(Tabela2[[#This Row],[Dividendo / Ação]]&gt;0,Tabela2[[#This Row],[Lucro por ação]]&gt;0),Tabela2[[#This Row],[Dividendo / Ação]]/Tabela2[[#This Row],[Lucro por ação]],"")</f>
        <v>1.2123336360284955</v>
      </c>
      <c r="H263" s="6">
        <f>MAX(Tabela2[[#This Row],[Cotação 1]],Tabela2[[#This Row],[Cotação 2]])</f>
        <v>62.04</v>
      </c>
      <c r="I263" s="19">
        <f>IF(Tabela2[[#This Row],[Dividendo / Ação]]&gt;0,Tabela2[[#This Row],[Dividendo / Ação]]/Tabela2[[#This Row],[Cotação]],"")</f>
        <v>5.8232660074145709E-2</v>
      </c>
      <c r="J263" s="62">
        <f>SUMPRODUCT(N(Tabela1[Código]=Tabela2[[#This Row],[Ativo]]),Tabela1[Fechamento])</f>
        <v>62.04</v>
      </c>
      <c r="K263" s="62">
        <f>SUMPRODUCT(N(Tabela17[Código]=Tabela2[[#This Row],[Ativo]]),Tabela17[Fechamento])</f>
        <v>0</v>
      </c>
    </row>
    <row r="264" spans="1:13" x14ac:dyDescent="0.2">
      <c r="A264" s="4" t="s">
        <v>202</v>
      </c>
      <c r="B264" s="4">
        <v>2010</v>
      </c>
      <c r="C264" s="5">
        <v>183200569</v>
      </c>
      <c r="D264" s="8">
        <f>SUMPRODUCT(N(Tabela3[PAPEL]=Tabela2[[#This Row],[Ativo]]),Tabela3[Total Ações])</f>
        <v>94433283</v>
      </c>
      <c r="E264" s="67">
        <f>(Tabela2[[#This Row],[Lucro Líquido]])/Tabela2[[#This Row],[Total Ações]]</f>
        <v>1.9399999997882102</v>
      </c>
      <c r="F264" s="66">
        <v>2.6568953629999998</v>
      </c>
      <c r="G264" s="46">
        <f>IF(AND(Tabela2[[#This Row],[Dividendo / Ação]]&gt;0,Tabela2[[#This Row],[Lucro por ação]]&gt;0),Tabela2[[#This Row],[Dividendo / Ação]]/Tabela2[[#This Row],[Lucro por ação]],"")</f>
        <v>1.3695336924175532</v>
      </c>
      <c r="H264" s="6">
        <f>MAX(Tabela2[[#This Row],[Cotação 1]],Tabela2[[#This Row],[Cotação 2]])</f>
        <v>62.04</v>
      </c>
      <c r="I264" s="19">
        <f>IF(Tabela2[[#This Row],[Dividendo / Ação]]&gt;0,Tabela2[[#This Row],[Dividendo / Ação]]/Tabela2[[#This Row],[Cotação]],"")</f>
        <v>4.2825521647324304E-2</v>
      </c>
      <c r="J264" s="62">
        <f>SUMPRODUCT(N(Tabela1[Código]=Tabela2[[#This Row],[Ativo]]),Tabela1[Fechamento])</f>
        <v>62.04</v>
      </c>
      <c r="K264" s="62">
        <f>SUMPRODUCT(N(Tabela17[Código]=Tabela2[[#This Row],[Ativo]]),Tabela17[Fechamento])</f>
        <v>0</v>
      </c>
    </row>
    <row r="265" spans="1:13" x14ac:dyDescent="0.2">
      <c r="A265" s="4" t="s">
        <v>202</v>
      </c>
      <c r="B265" s="4">
        <v>2009</v>
      </c>
      <c r="C265" s="5">
        <v>101987946</v>
      </c>
      <c r="D265" s="8">
        <f>SUMPRODUCT(N(Tabela3[PAPEL]=Tabela2[[#This Row],[Ativo]]),Tabela3[Total Ações])</f>
        <v>94433283</v>
      </c>
      <c r="E265" s="67">
        <f>(Tabela2[[#This Row],[Lucro Líquido]])/Tabela2[[#This Row],[Total Ações]]</f>
        <v>1.0800000038122153</v>
      </c>
      <c r="F265" s="67">
        <v>1.4826292830000001</v>
      </c>
      <c r="G265" s="46">
        <f>IF(AND(Tabela2[[#This Row],[Dividendo / Ação]]&gt;0,Tabela2[[#This Row],[Lucro por ação]]&gt;0),Tabela2[[#This Row],[Dividendo / Ação]]/Tabela2[[#This Row],[Lucro por ação]],"")</f>
        <v>1.3728048868209002</v>
      </c>
      <c r="H265" s="6">
        <f>MAX(Tabela2[[#This Row],[Cotação 1]],Tabela2[[#This Row],[Cotação 2]])</f>
        <v>62.04</v>
      </c>
      <c r="I265" s="19">
        <f>IF(Tabela2[[#This Row],[Dividendo / Ação]]&gt;0,Tabela2[[#This Row],[Dividendo / Ação]]/Tabela2[[#This Row],[Cotação]],"")</f>
        <v>2.389795749516441E-2</v>
      </c>
      <c r="J265" s="62">
        <f>SUMPRODUCT(N(Tabela1[Código]=Tabela2[[#This Row],[Ativo]]),Tabela1[Fechamento])</f>
        <v>62.04</v>
      </c>
      <c r="K265" s="62">
        <f>SUMPRODUCT(N(Tabela17[Código]=Tabela2[[#This Row],[Ativo]]),Tabela17[Fechamento])</f>
        <v>0</v>
      </c>
    </row>
    <row r="266" spans="1:13" x14ac:dyDescent="0.2">
      <c r="A266" s="4" t="s">
        <v>38</v>
      </c>
      <c r="B266" s="4">
        <v>2012</v>
      </c>
      <c r="C266" s="6">
        <v>324648000</v>
      </c>
      <c r="D266" s="8">
        <f>SUMPRODUCT(N(Tabela3[PAPEL]=Tabela2[[#This Row],[Ativo]]),Tabela3[Total Ações])</f>
        <v>94433283</v>
      </c>
      <c r="E266" s="67">
        <f>(Tabela2[[#This Row],[Lucro Líquido]])/Tabela2[[#This Row],[Total Ações]]</f>
        <v>3.4378556975510426</v>
      </c>
      <c r="F266" s="67">
        <v>3.9972394429999998</v>
      </c>
      <c r="G266" s="46">
        <f>IF(AND(Tabela2[[#This Row],[Dividendo / Ação]]&gt;0,Tabela2[[#This Row],[Lucro por ação]]&gt;0),Tabela2[[#This Row],[Dividendo / Ação]]/Tabela2[[#This Row],[Lucro por ação]],"")</f>
        <v>1.1627129800263096</v>
      </c>
      <c r="H266" s="6">
        <f>MAX(Tabela2[[#This Row],[Cotação 1]],Tabela2[[#This Row],[Cotação 2]])</f>
        <v>61.99</v>
      </c>
      <c r="I266" s="19">
        <f>IF(Tabela2[[#This Row],[Dividendo / Ação]]&gt;0,Tabela2[[#This Row],[Dividendo / Ação]]/Tabela2[[#This Row],[Cotação]],"")</f>
        <v>6.4482004242619767E-2</v>
      </c>
      <c r="J266" s="62">
        <f>SUMPRODUCT(N(Tabela1[Código]=Tabela2[[#This Row],[Ativo]]),Tabela1[Fechamento])</f>
        <v>61.99</v>
      </c>
      <c r="K266" s="62">
        <f>SUMPRODUCT(N(Tabela17[Código]=Tabela2[[#This Row],[Ativo]]),Tabela17[Fechamento])</f>
        <v>0</v>
      </c>
    </row>
    <row r="267" spans="1:13" x14ac:dyDescent="0.2">
      <c r="A267" s="4" t="s">
        <v>38</v>
      </c>
      <c r="B267" s="4">
        <v>2011</v>
      </c>
      <c r="C267" s="6">
        <v>281411183</v>
      </c>
      <c r="D267" s="8">
        <f>SUMPRODUCT(N(Tabela3[PAPEL]=Tabela2[[#This Row],[Ativo]]),Tabela3[Total Ações])</f>
        <v>94433283</v>
      </c>
      <c r="E267" s="67">
        <f>(Tabela2[[#This Row],[Lucro Líquido]])/Tabela2[[#This Row],[Total Ações]]</f>
        <v>2.9799999963995747</v>
      </c>
      <c r="F267" s="67">
        <v>3.6127542300000002</v>
      </c>
      <c r="G267" s="46">
        <f>IF(AND(Tabela2[[#This Row],[Dividendo / Ação]]&gt;0,Tabela2[[#This Row],[Lucro por ação]]&gt;0),Tabela2[[#This Row],[Dividendo / Ação]]/Tabela2[[#This Row],[Lucro por ação]],"")</f>
        <v>1.2123336356929251</v>
      </c>
      <c r="H267" s="6">
        <f>MAX(Tabela2[[#This Row],[Cotação 1]],Tabela2[[#This Row],[Cotação 2]])</f>
        <v>61.99</v>
      </c>
      <c r="I267" s="19">
        <f>IF(Tabela2[[#This Row],[Dividendo / Ação]]&gt;0,Tabela2[[#This Row],[Dividendo / Ação]]/Tabela2[[#This Row],[Cotação]],"")</f>
        <v>5.8279629456363932E-2</v>
      </c>
      <c r="J267" s="62">
        <f>SUMPRODUCT(N(Tabela1[Código]=Tabela2[[#This Row],[Ativo]]),Tabela1[Fechamento])</f>
        <v>61.99</v>
      </c>
      <c r="K267" s="62">
        <f>SUMPRODUCT(N(Tabela17[Código]=Tabela2[[#This Row],[Ativo]]),Tabela17[Fechamento])</f>
        <v>0</v>
      </c>
    </row>
    <row r="268" spans="1:13" x14ac:dyDescent="0.2">
      <c r="A268" s="4" t="s">
        <v>38</v>
      </c>
      <c r="B268" s="3">
        <v>2010</v>
      </c>
      <c r="C268" s="5">
        <v>183200569</v>
      </c>
      <c r="D268" s="63">
        <f>SUMPRODUCT(N(Tabela3[PAPEL]=Tabela2[[#This Row],[Ativo]]),Tabela3[Total Ações])</f>
        <v>94433283</v>
      </c>
      <c r="E268" s="66">
        <f>(Tabela2[[#This Row],[Lucro Líquido]])/Tabela2[[#This Row],[Total Ações]]</f>
        <v>1.9399999997882102</v>
      </c>
      <c r="F268" s="66">
        <v>2.6568953610000001</v>
      </c>
      <c r="G268" s="22">
        <f>IF(AND(Tabela2[[#This Row],[Dividendo / Ação]]&gt;0,Tabela2[[#This Row],[Lucro por ação]]&gt;0),Tabela2[[#This Row],[Dividendo / Ação]]/Tabela2[[#This Row],[Lucro por ação]],"")</f>
        <v>1.3695336913866254</v>
      </c>
      <c r="H268" s="5">
        <f>MAX(Tabela2[[#This Row],[Cotação 1]],Tabela2[[#This Row],[Cotação 2]])</f>
        <v>61.99</v>
      </c>
      <c r="I268" s="18">
        <f>IF(Tabela2[[#This Row],[Dividendo / Ação]]&gt;0,Tabela2[[#This Row],[Dividendo / Ação]]/Tabela2[[#This Row],[Cotação]],"")</f>
        <v>4.2860063897402809E-2</v>
      </c>
      <c r="J268" s="61">
        <f>SUMPRODUCT(N(Tabela1[Código]=Tabela2[[#This Row],[Ativo]]),Tabela1[Fechamento])</f>
        <v>61.99</v>
      </c>
      <c r="K268" s="61">
        <f>SUMPRODUCT(N(Tabela17[Código]=Tabela2[[#This Row],[Ativo]]),Tabela17[Fechamento])</f>
        <v>0</v>
      </c>
    </row>
    <row r="269" spans="1:13" x14ac:dyDescent="0.2">
      <c r="A269" s="4" t="s">
        <v>38</v>
      </c>
      <c r="B269" s="3">
        <v>2009</v>
      </c>
      <c r="C269" s="5">
        <v>101987946</v>
      </c>
      <c r="D269" s="63">
        <f>SUMPRODUCT(N(Tabela3[PAPEL]=Tabela2[[#This Row],[Ativo]]),Tabela3[Total Ações])</f>
        <v>94433283</v>
      </c>
      <c r="E269" s="66">
        <f>(Tabela2[[#This Row],[Lucro Líquido]])/Tabela2[[#This Row],[Total Ações]]</f>
        <v>1.0800000038122153</v>
      </c>
      <c r="F269" s="66">
        <v>2.1814776419999999</v>
      </c>
      <c r="G269" s="22">
        <f>IF(AND(Tabela2[[#This Row],[Dividendo / Ação]]&gt;0,Tabela2[[#This Row],[Lucro por ação]]&gt;0),Tabela2[[#This Row],[Dividendo / Ação]]/Tabela2[[#This Row],[Lucro por ação]],"")</f>
        <v>2.0198866984257009</v>
      </c>
      <c r="H269" s="5">
        <f>MAX(Tabela2[[#This Row],[Cotação 1]],Tabela2[[#This Row],[Cotação 2]])</f>
        <v>61.99</v>
      </c>
      <c r="I269" s="18">
        <f>IF(Tabela2[[#This Row],[Dividendo / Ação]]&gt;0,Tabela2[[#This Row],[Dividendo / Ação]]/Tabela2[[#This Row],[Cotação]],"")</f>
        <v>3.519079919341829E-2</v>
      </c>
      <c r="J269" s="61">
        <f>SUMPRODUCT(N(Tabela1[Código]=Tabela2[[#This Row],[Ativo]]),Tabela1[Fechamento])</f>
        <v>61.99</v>
      </c>
      <c r="K269" s="61">
        <f>SUMPRODUCT(N(Tabela17[Código]=Tabela2[[#This Row],[Ativo]]),Tabela17[Fechamento])</f>
        <v>0</v>
      </c>
    </row>
    <row r="270" spans="1:13" x14ac:dyDescent="0.2">
      <c r="A270" s="4" t="s">
        <v>29</v>
      </c>
      <c r="B270" s="4">
        <v>2012</v>
      </c>
      <c r="C270" s="6">
        <v>901262803.92999995</v>
      </c>
      <c r="D270" s="8">
        <f>SUMPRODUCT(N(Tabela3[PAPEL]=Tabela2[[#This Row],[Ativo]]),Tabela3[Total Ações])</f>
        <v>381253493</v>
      </c>
      <c r="E270" s="67">
        <f>(Tabela2[[#This Row],[Lucro Líquido]])/Tabela2[[#This Row],[Total Ações]]</f>
        <v>2.363946351909227</v>
      </c>
      <c r="F270" s="67">
        <v>2.4435890119999999</v>
      </c>
      <c r="G270" s="46">
        <f>IF(AND(Tabela2[[#This Row],[Dividendo / Ação]]&gt;0,Tabela2[[#This Row],[Lucro por ação]]&gt;0),Tabela2[[#This Row],[Dividendo / Ação]]/Tabela2[[#This Row],[Lucro por ação]],"")</f>
        <v>1.0336905530984026</v>
      </c>
      <c r="H270" s="6">
        <f>MAX(Tabela2[[#This Row],[Cotação 1]],Tabela2[[#This Row],[Cotação 2]])</f>
        <v>17.8</v>
      </c>
      <c r="I270" s="19">
        <f>IF(Tabela2[[#This Row],[Dividendo / Ação]]&gt;0,Tabela2[[#This Row],[Dividendo / Ação]]/Tabela2[[#This Row],[Cotação]],"")</f>
        <v>0.13728028157303371</v>
      </c>
      <c r="J270" s="62">
        <f>SUMPRODUCT(N(Tabela1[Código]=Tabela2[[#This Row],[Ativo]]),Tabela1[Fechamento])</f>
        <v>17.8</v>
      </c>
      <c r="K270" s="62">
        <f>SUMPRODUCT(N(Tabela17[Código]=Tabela2[[#This Row],[Ativo]]),Tabela17[Fechamento])</f>
        <v>0</v>
      </c>
      <c r="M270" s="71"/>
    </row>
    <row r="271" spans="1:13" x14ac:dyDescent="0.2">
      <c r="A271" s="4" t="s">
        <v>29</v>
      </c>
      <c r="B271" s="3">
        <v>2011</v>
      </c>
      <c r="C271" s="5">
        <v>844863980.05999994</v>
      </c>
      <c r="D271" s="63">
        <f>SUMPRODUCT(N(Tabela3[PAPEL]=Tabela2[[#This Row],[Ativo]]),Tabela3[Total Ações])</f>
        <v>381253493</v>
      </c>
      <c r="E271" s="66">
        <f>(Tabela2[[#This Row],[Lucro Líquido]])/Tabela2[[#This Row],[Total Ações]]</f>
        <v>2.2160163659405474</v>
      </c>
      <c r="F271" s="66">
        <v>2.307552448</v>
      </c>
      <c r="G271" s="22">
        <f>IF(AND(Tabela2[[#This Row],[Dividendo / Ação]]&gt;0,Tabela2[[#This Row],[Lucro por ação]]&gt;0),Tabela2[[#This Row],[Dividendo / Ação]]/Tabela2[[#This Row],[Lucro por ação]],"")</f>
        <v>1.0413065911724897</v>
      </c>
      <c r="H271" s="5">
        <f>MAX(Tabela2[[#This Row],[Cotação 1]],Tabela2[[#This Row],[Cotação 2]])</f>
        <v>17.8</v>
      </c>
      <c r="I271" s="18">
        <f>IF(Tabela2[[#This Row],[Dividendo / Ação]]&gt;0,Tabela2[[#This Row],[Dividendo / Ação]]/Tabela2[[#This Row],[Cotação]],"")</f>
        <v>0.1296377779775281</v>
      </c>
      <c r="J271" s="61">
        <f>SUMPRODUCT(N(Tabela1[Código]=Tabela2[[#This Row],[Ativo]]),Tabela1[Fechamento])</f>
        <v>17.8</v>
      </c>
      <c r="K271" s="61">
        <f>SUMPRODUCT(N(Tabela17[Código]=Tabela2[[#This Row],[Ativo]]),Tabela17[Fechamento])</f>
        <v>0</v>
      </c>
    </row>
    <row r="272" spans="1:13" x14ac:dyDescent="0.2">
      <c r="A272" s="4" t="s">
        <v>29</v>
      </c>
      <c r="B272" s="3">
        <v>2010</v>
      </c>
      <c r="C272" s="5">
        <v>737339863.24000001</v>
      </c>
      <c r="D272" s="63">
        <f>SUMPRODUCT(N(Tabela3[PAPEL]=Tabela2[[#This Row],[Ativo]]),Tabela3[Total Ações])</f>
        <v>381253493</v>
      </c>
      <c r="E272" s="66">
        <f>(Tabela2[[#This Row],[Lucro Líquido]])/Tabela2[[#This Row],[Total Ações]]</f>
        <v>1.9339884795232551</v>
      </c>
      <c r="F272" s="66">
        <v>2.1575277719999999</v>
      </c>
      <c r="G272" s="22">
        <f>IF(AND(Tabela2[[#This Row],[Dividendo / Ação]]&gt;0,Tabela2[[#This Row],[Lucro por ação]]&gt;0),Tabela2[[#This Row],[Dividendo / Ação]]/Tabela2[[#This Row],[Lucro por ação]],"")</f>
        <v>1.1155846039640573</v>
      </c>
      <c r="H272" s="5">
        <f>MAX(Tabela2[[#This Row],[Cotação 1]],Tabela2[[#This Row],[Cotação 2]])</f>
        <v>17.8</v>
      </c>
      <c r="I272" s="18">
        <f>IF(Tabela2[[#This Row],[Dividendo / Ação]]&gt;0,Tabela2[[#This Row],[Dividendo / Ação]]/Tabela2[[#This Row],[Cotação]],"")</f>
        <v>0.12120942539325842</v>
      </c>
      <c r="J272" s="61">
        <f>SUMPRODUCT(N(Tabela1[Código]=Tabela2[[#This Row],[Ativo]]),Tabela1[Fechamento])</f>
        <v>17.8</v>
      </c>
      <c r="K272" s="61">
        <f>SUMPRODUCT(N(Tabela17[Código]=Tabela2[[#This Row],[Ativo]]),Tabela17[Fechamento])</f>
        <v>0</v>
      </c>
      <c r="M272" s="70"/>
    </row>
    <row r="273" spans="1:14" x14ac:dyDescent="0.2">
      <c r="A273" s="4" t="s">
        <v>29</v>
      </c>
      <c r="B273" s="3">
        <v>2009</v>
      </c>
      <c r="C273" s="5">
        <v>780235000</v>
      </c>
      <c r="D273" s="63">
        <f>SUMPRODUCT(N(Tabela3[PAPEL]=Tabela2[[#This Row],[Ativo]]),Tabela3[Total Ações])</f>
        <v>381253493</v>
      </c>
      <c r="E273" s="66">
        <f>(Tabela2[[#This Row],[Lucro Líquido]])/Tabela2[[#This Row],[Total Ações]]</f>
        <v>2.0464992828275541</v>
      </c>
      <c r="F273" s="66">
        <v>1.9523818630000001</v>
      </c>
      <c r="G273" s="22">
        <f>IF(AND(Tabela2[[#This Row],[Dividendo / Ação]]&gt;0,Tabela2[[#This Row],[Lucro por ação]]&gt;0),Tabela2[[#This Row],[Dividendo / Ação]]/Tabela2[[#This Row],[Lucro por ação]],"")</f>
        <v>0.95401052880042236</v>
      </c>
      <c r="H273" s="5">
        <f>MAX(Tabela2[[#This Row],[Cotação 1]],Tabela2[[#This Row],[Cotação 2]])</f>
        <v>17.8</v>
      </c>
      <c r="I273" s="18">
        <f>IF(Tabela2[[#This Row],[Dividendo / Ação]]&gt;0,Tabela2[[#This Row],[Dividendo / Ação]]/Tabela2[[#This Row],[Cotação]],"")</f>
        <v>0.1096843743258427</v>
      </c>
      <c r="J273" s="61">
        <f>SUMPRODUCT(N(Tabela1[Código]=Tabela2[[#This Row],[Ativo]]),Tabela1[Fechamento])</f>
        <v>17.8</v>
      </c>
      <c r="K273" s="61">
        <f>SUMPRODUCT(N(Tabela17[Código]=Tabela2[[#This Row],[Ativo]]),Tabela17[Fechamento])</f>
        <v>0</v>
      </c>
    </row>
    <row r="274" spans="1:14" x14ac:dyDescent="0.2">
      <c r="A274" s="4" t="s">
        <v>33</v>
      </c>
      <c r="B274" s="4">
        <v>2012</v>
      </c>
      <c r="C274" s="6">
        <v>901262803.92999995</v>
      </c>
      <c r="D274" s="8">
        <f>SUMPRODUCT(N(Tabela3[PAPEL]=Tabela2[[#This Row],[Ativo]]),Tabela3[Total Ações])</f>
        <v>381253493</v>
      </c>
      <c r="E274" s="67">
        <f>(Tabela2[[#This Row],[Lucro Líquido]])/Tabela2[[#This Row],[Total Ações]]</f>
        <v>2.363946351909227</v>
      </c>
      <c r="F274" s="67">
        <v>2.687947914</v>
      </c>
      <c r="G274" s="46">
        <f>IF(AND(Tabela2[[#This Row],[Dividendo / Ação]]&gt;0,Tabela2[[#This Row],[Lucro por ação]]&gt;0),Tabela2[[#This Row],[Dividendo / Ação]]/Tabela2[[#This Row],[Lucro por ação]],"")</f>
        <v>1.13705960874666</v>
      </c>
      <c r="H274" s="6">
        <f>MAX(Tabela2[[#This Row],[Cotação 1]],Tabela2[[#This Row],[Cotação 2]])</f>
        <v>19.09</v>
      </c>
      <c r="I274" s="19">
        <f>IF(Tabela2[[#This Row],[Dividendo / Ação]]&gt;0,Tabela2[[#This Row],[Dividendo / Ação]]/Tabela2[[#This Row],[Cotação]],"")</f>
        <v>0.14080397663698271</v>
      </c>
      <c r="J274" s="62">
        <f>SUMPRODUCT(N(Tabela1[Código]=Tabela2[[#This Row],[Ativo]]),Tabela1[Fechamento])</f>
        <v>19.09</v>
      </c>
      <c r="K274" s="62">
        <f>SUMPRODUCT(N(Tabela17[Código]=Tabela2[[#This Row],[Ativo]]),Tabela17[Fechamento])</f>
        <v>0</v>
      </c>
    </row>
    <row r="275" spans="1:14" x14ac:dyDescent="0.2">
      <c r="A275" s="4" t="s">
        <v>33</v>
      </c>
      <c r="B275" s="4">
        <v>2011</v>
      </c>
      <c r="C275" s="5">
        <v>844863980.05999994</v>
      </c>
      <c r="D275" s="8">
        <f>SUMPRODUCT(N(Tabela3[PAPEL]=Tabela2[[#This Row],[Ativo]]),Tabela3[Total Ações])</f>
        <v>381253493</v>
      </c>
      <c r="E275" s="67">
        <f>(Tabela2[[#This Row],[Lucro Líquido]])/Tabela2[[#This Row],[Total Ações]]</f>
        <v>2.2160163659405474</v>
      </c>
      <c r="F275" s="67">
        <v>2.5383076930000001</v>
      </c>
      <c r="G275" s="46">
        <f>IF(AND(Tabela2[[#This Row],[Dividendo / Ação]]&gt;0,Tabela2[[#This Row],[Lucro por ação]]&gt;0),Tabela2[[#This Row],[Dividendo / Ação]]/Tabela2[[#This Row],[Lucro por ação]],"")</f>
        <v>1.1454372503799908</v>
      </c>
      <c r="H275" s="6">
        <f>MAX(Tabela2[[#This Row],[Cotação 1]],Tabela2[[#This Row],[Cotação 2]])</f>
        <v>19.09</v>
      </c>
      <c r="I275" s="19">
        <f>IF(Tabela2[[#This Row],[Dividendo / Ação]]&gt;0,Tabela2[[#This Row],[Dividendo / Ação]]/Tabela2[[#This Row],[Cotação]],"")</f>
        <v>0.13296530607647983</v>
      </c>
      <c r="J275" s="62">
        <f>SUMPRODUCT(N(Tabela1[Código]=Tabela2[[#This Row],[Ativo]]),Tabela1[Fechamento])</f>
        <v>19.09</v>
      </c>
      <c r="K275" s="62">
        <f>SUMPRODUCT(N(Tabela17[Código]=Tabela2[[#This Row],[Ativo]]),Tabela17[Fechamento])</f>
        <v>0</v>
      </c>
    </row>
    <row r="276" spans="1:14" x14ac:dyDescent="0.2">
      <c r="A276" s="4" t="s">
        <v>33</v>
      </c>
      <c r="B276" s="4">
        <v>2010</v>
      </c>
      <c r="C276" s="5">
        <v>737339863.24000001</v>
      </c>
      <c r="D276" s="8">
        <f>SUMPRODUCT(N(Tabela3[PAPEL]=Tabela2[[#This Row],[Ativo]]),Tabela3[Total Ações])</f>
        <v>381253493</v>
      </c>
      <c r="E276" s="67">
        <f>(Tabela2[[#This Row],[Lucro Líquido]])/Tabela2[[#This Row],[Total Ações]]</f>
        <v>1.9339884795232551</v>
      </c>
      <c r="F276" s="67">
        <v>2.373280549</v>
      </c>
      <c r="G276" s="46">
        <f>IF(AND(Tabela2[[#This Row],[Dividendo / Ação]]&gt;0,Tabela2[[#This Row],[Lucro por ação]]&gt;0),Tabela2[[#This Row],[Dividendo / Ação]]/Tabela2[[#This Row],[Lucro por ação]],"")</f>
        <v>1.2271430642570498</v>
      </c>
      <c r="H276" s="6">
        <f>MAX(Tabela2[[#This Row],[Cotação 1]],Tabela2[[#This Row],[Cotação 2]])</f>
        <v>19.09</v>
      </c>
      <c r="I276" s="19">
        <f>IF(Tabela2[[#This Row],[Dividendo / Ação]]&gt;0,Tabela2[[#This Row],[Dividendo / Ação]]/Tabela2[[#This Row],[Cotação]],"")</f>
        <v>0.12432061545311682</v>
      </c>
      <c r="J276" s="62">
        <f>SUMPRODUCT(N(Tabela1[Código]=Tabela2[[#This Row],[Ativo]]),Tabela1[Fechamento])</f>
        <v>19.09</v>
      </c>
      <c r="K276" s="62">
        <f>SUMPRODUCT(N(Tabela17[Código]=Tabela2[[#This Row],[Ativo]]),Tabela17[Fechamento])</f>
        <v>0</v>
      </c>
    </row>
    <row r="277" spans="1:14" x14ac:dyDescent="0.2">
      <c r="A277" s="4" t="s">
        <v>33</v>
      </c>
      <c r="B277" s="4">
        <v>2009</v>
      </c>
      <c r="C277" s="5">
        <v>780235000</v>
      </c>
      <c r="D277" s="8">
        <f>SUMPRODUCT(N(Tabela3[PAPEL]=Tabela2[[#This Row],[Ativo]]),Tabela3[Total Ações])</f>
        <v>381253493</v>
      </c>
      <c r="E277" s="67">
        <f>(Tabela2[[#This Row],[Lucro Líquido]])/Tabela2[[#This Row],[Total Ações]]</f>
        <v>2.0464992828275541</v>
      </c>
      <c r="F277" s="67">
        <v>2.1476200489999999</v>
      </c>
      <c r="G277" s="46">
        <f>IF(AND(Tabela2[[#This Row],[Dividendo / Ação]]&gt;0,Tabela2[[#This Row],[Lucro por ação]]&gt;0),Tabela2[[#This Row],[Dividendo / Ação]]/Tabela2[[#This Row],[Lucro por ação]],"")</f>
        <v>1.0494115815338727</v>
      </c>
      <c r="H277" s="6">
        <f>MAX(Tabela2[[#This Row],[Cotação 1]],Tabela2[[#This Row],[Cotação 2]])</f>
        <v>19.09</v>
      </c>
      <c r="I277" s="19">
        <f>IF(Tabela2[[#This Row],[Dividendo / Ação]]&gt;0,Tabela2[[#This Row],[Dividendo / Ação]]/Tabela2[[#This Row],[Cotação]],"")</f>
        <v>0.11249974064955474</v>
      </c>
      <c r="J277" s="62">
        <f>SUMPRODUCT(N(Tabela1[Código]=Tabela2[[#This Row],[Ativo]]),Tabela1[Fechamento])</f>
        <v>19.09</v>
      </c>
      <c r="K277" s="62">
        <f>SUMPRODUCT(N(Tabela17[Código]=Tabela2[[#This Row],[Ativo]]),Tabela17[Fechamento])</f>
        <v>0</v>
      </c>
    </row>
    <row r="278" spans="1:14" x14ac:dyDescent="0.2">
      <c r="A278" s="4" t="s">
        <v>215</v>
      </c>
      <c r="B278" s="4">
        <v>2012</v>
      </c>
      <c r="C278" s="6">
        <v>3061251.15</v>
      </c>
      <c r="D278" s="8">
        <f>SUMPRODUCT(N(Tabela3[PAPEL]=Tabela2[[#This Row],[Ativo]]),Tabela3[Total Ações])</f>
        <v>166355563</v>
      </c>
      <c r="E278" s="67">
        <f>(Tabela2[[#This Row],[Lucro Líquido]])/Tabela2[[#This Row],[Total Ações]]</f>
        <v>1.8401856209641753E-2</v>
      </c>
      <c r="F278" s="67">
        <v>1.6664410399999999E-2</v>
      </c>
      <c r="G278" s="46">
        <f>IF(AND(Tabela2[[#This Row],[Dividendo / Ação]]&gt;0,Tabela2[[#This Row],[Lucro por ação]]&gt;0),Tabela2[[#This Row],[Dividendo / Ação]]/Tabela2[[#This Row],[Lucro por ação]],"")</f>
        <v>0.90558312216724046</v>
      </c>
      <c r="H278" s="6">
        <f>MAX(Tabela2[[#This Row],[Cotação 1]],Tabela2[[#This Row],[Cotação 2]])</f>
        <v>0.15</v>
      </c>
      <c r="I278" s="19">
        <f>IF(Tabela2[[#This Row],[Dividendo / Ação]]&gt;0,Tabela2[[#This Row],[Dividendo / Ação]]/Tabela2[[#This Row],[Cotação]],"")</f>
        <v>0.11109606933333334</v>
      </c>
      <c r="J278" s="62">
        <f>SUMPRODUCT(N(Tabela1[Código]=Tabela2[[#This Row],[Ativo]]),Tabela1[Fechamento])</f>
        <v>0.15</v>
      </c>
      <c r="K278" s="62">
        <f>SUMPRODUCT(N(Tabela17[Código]=Tabela2[[#This Row],[Ativo]]),Tabela17[Fechamento])</f>
        <v>0</v>
      </c>
    </row>
    <row r="279" spans="1:14" x14ac:dyDescent="0.2">
      <c r="A279" s="4" t="s">
        <v>215</v>
      </c>
      <c r="B279" s="3">
        <v>2011</v>
      </c>
      <c r="C279" s="5">
        <v>2796437</v>
      </c>
      <c r="D279" s="63">
        <f>SUMPRODUCT(N(Tabela3[PAPEL]=Tabela2[[#This Row],[Ativo]]),Tabela3[Total Ações])</f>
        <v>166355563</v>
      </c>
      <c r="E279" s="66">
        <f>(Tabela2[[#This Row],[Lucro Líquido]])/Tabela2[[#This Row],[Total Ações]]</f>
        <v>1.6809999915662573E-2</v>
      </c>
      <c r="F279" s="66">
        <v>1.4520999999999999E-2</v>
      </c>
      <c r="G279" s="22">
        <f>IF(AND(Tabela2[[#This Row],[Dividendo / Ação]]&gt;0,Tabela2[[#This Row],[Lucro por ação]]&gt;0),Tabela2[[#This Row],[Dividendo / Ação]]/Tabela2[[#This Row],[Lucro por ação]],"")</f>
        <v>0.86383105727860132</v>
      </c>
      <c r="H279" s="5">
        <f>MAX(Tabela2[[#This Row],[Cotação 1]],Tabela2[[#This Row],[Cotação 2]])</f>
        <v>0.15</v>
      </c>
      <c r="I279" s="18">
        <f>IF(Tabela2[[#This Row],[Dividendo / Ação]]&gt;0,Tabela2[[#This Row],[Dividendo / Ação]]/Tabela2[[#This Row],[Cotação]],"")</f>
        <v>9.6806666666666666E-2</v>
      </c>
      <c r="J279" s="61">
        <f>SUMPRODUCT(N(Tabela1[Código]=Tabela2[[#This Row],[Ativo]]),Tabela1[Fechamento])</f>
        <v>0.15</v>
      </c>
      <c r="K279" s="61">
        <f>SUMPRODUCT(N(Tabela17[Código]=Tabela2[[#This Row],[Ativo]]),Tabela17[Fechamento])</f>
        <v>0</v>
      </c>
    </row>
    <row r="280" spans="1:14" x14ac:dyDescent="0.2">
      <c r="A280" s="4" t="s">
        <v>215</v>
      </c>
      <c r="B280" s="3">
        <v>2010</v>
      </c>
      <c r="C280" s="5">
        <v>2520287</v>
      </c>
      <c r="D280" s="63">
        <f>SUMPRODUCT(N(Tabela3[PAPEL]=Tabela2[[#This Row],[Ativo]]),Tabela3[Total Ações])</f>
        <v>166355563</v>
      </c>
      <c r="E280" s="66">
        <f>(Tabela2[[#This Row],[Lucro Líquido]])/Tabela2[[#This Row],[Total Ações]]</f>
        <v>1.5150001325774719E-2</v>
      </c>
      <c r="F280" s="66">
        <v>2.696E-3</v>
      </c>
      <c r="G280" s="22">
        <f>IF(AND(Tabela2[[#This Row],[Dividendo / Ação]]&gt;0,Tabela2[[#This Row],[Lucro por ação]]&gt;0),Tabela2[[#This Row],[Dividendo / Ação]]/Tabela2[[#This Row],[Lucro por ação]],"")</f>
        <v>0.17795377980682361</v>
      </c>
      <c r="H280" s="5">
        <f>MAX(Tabela2[[#This Row],[Cotação 1]],Tabela2[[#This Row],[Cotação 2]])</f>
        <v>0.15</v>
      </c>
      <c r="I280" s="18">
        <f>IF(Tabela2[[#This Row],[Dividendo / Ação]]&gt;0,Tabela2[[#This Row],[Dividendo / Ação]]/Tabela2[[#This Row],[Cotação]],"")</f>
        <v>1.7973333333333334E-2</v>
      </c>
      <c r="J280" s="61">
        <f>SUMPRODUCT(N(Tabela1[Código]=Tabela2[[#This Row],[Ativo]]),Tabela1[Fechamento])</f>
        <v>0.15</v>
      </c>
      <c r="K280" s="61">
        <f>SUMPRODUCT(N(Tabela17[Código]=Tabela2[[#This Row],[Ativo]]),Tabela17[Fechamento])</f>
        <v>0</v>
      </c>
    </row>
    <row r="281" spans="1:14" x14ac:dyDescent="0.2">
      <c r="A281" s="4" t="s">
        <v>215</v>
      </c>
      <c r="B281" s="3">
        <v>2009</v>
      </c>
      <c r="C281" s="5">
        <v>1605331</v>
      </c>
      <c r="D281" s="63">
        <f>SUMPRODUCT(N(Tabela3[PAPEL]=Tabela2[[#This Row],[Ativo]]),Tabela3[Total Ações])</f>
        <v>166355563</v>
      </c>
      <c r="E281" s="66">
        <f>(Tabela2[[#This Row],[Lucro Líquido]])/Tabela2[[#This Row],[Total Ações]]</f>
        <v>9.6499989002471771E-3</v>
      </c>
      <c r="F281" s="66">
        <v>1.01E-2</v>
      </c>
      <c r="G281" s="22">
        <f>IF(AND(Tabela2[[#This Row],[Dividendo / Ação]]&gt;0,Tabela2[[#This Row],[Lucro por ação]]&gt;0),Tabela2[[#This Row],[Dividendo / Ação]]/Tabela2[[#This Row],[Lucro por ação]],"")</f>
        <v>1.0466322436307527</v>
      </c>
      <c r="H281" s="5">
        <f>MAX(Tabela2[[#This Row],[Cotação 1]],Tabela2[[#This Row],[Cotação 2]])</f>
        <v>0.15</v>
      </c>
      <c r="I281" s="18">
        <f>IF(Tabela2[[#This Row],[Dividendo / Ação]]&gt;0,Tabela2[[#This Row],[Dividendo / Ação]]/Tabela2[[#This Row],[Cotação]],"")</f>
        <v>6.7333333333333328E-2</v>
      </c>
      <c r="J281" s="61">
        <f>SUMPRODUCT(N(Tabela1[Código]=Tabela2[[#This Row],[Ativo]]),Tabela1[Fechamento])</f>
        <v>0.15</v>
      </c>
      <c r="K281" s="61">
        <f>SUMPRODUCT(N(Tabela17[Código]=Tabela2[[#This Row],[Ativo]]),Tabela17[Fechamento])</f>
        <v>0</v>
      </c>
    </row>
    <row r="282" spans="1:14" x14ac:dyDescent="0.2">
      <c r="A282" s="4" t="s">
        <v>216</v>
      </c>
      <c r="B282" s="4">
        <v>2012</v>
      </c>
      <c r="C282" s="6">
        <v>3061251.15</v>
      </c>
      <c r="D282" s="8">
        <f>SUMPRODUCT(N(Tabela3[PAPEL]=Tabela2[[#This Row],[Ativo]]),Tabela3[Total Ações])</f>
        <v>166355563</v>
      </c>
      <c r="E282" s="67">
        <f>(Tabela2[[#This Row],[Lucro Líquido]])/Tabela2[[#This Row],[Total Ações]]</f>
        <v>1.8401856209641753E-2</v>
      </c>
      <c r="F282" s="67">
        <v>1.8330851400000001E-2</v>
      </c>
      <c r="G282" s="46">
        <f>IF(AND(Tabela2[[#This Row],[Dividendo / Ação]]&gt;0,Tabela2[[#This Row],[Lucro por ação]]&gt;0),Tabela2[[#This Row],[Dividendo / Ação]]/Tabela2[[#This Row],[Lucro por ação]],"")</f>
        <v>0.99614143221027074</v>
      </c>
      <c r="H282" s="6">
        <f>MAX(Tabela2[[#This Row],[Cotação 1]],Tabela2[[#This Row],[Cotação 2]])</f>
        <v>0.16</v>
      </c>
      <c r="I282" s="19">
        <f>IF(Tabela2[[#This Row],[Dividendo / Ação]]&gt;0,Tabela2[[#This Row],[Dividendo / Ação]]/Tabela2[[#This Row],[Cotação]],"")</f>
        <v>0.11456782125000001</v>
      </c>
      <c r="J282" s="62">
        <f>SUMPRODUCT(N(Tabela1[Código]=Tabela2[[#This Row],[Ativo]]),Tabela1[Fechamento])</f>
        <v>0.16</v>
      </c>
      <c r="K282" s="62">
        <f>SUMPRODUCT(N(Tabela17[Código]=Tabela2[[#This Row],[Ativo]]),Tabela17[Fechamento])</f>
        <v>0</v>
      </c>
      <c r="M282" s="3">
        <v>0.102805983</v>
      </c>
      <c r="N282" s="3">
        <v>0.39897712400000002</v>
      </c>
    </row>
    <row r="283" spans="1:14" x14ac:dyDescent="0.2">
      <c r="A283" s="4" t="s">
        <v>216</v>
      </c>
      <c r="B283" s="4">
        <v>2011</v>
      </c>
      <c r="C283" s="5">
        <v>2796437</v>
      </c>
      <c r="D283" s="8">
        <f>SUMPRODUCT(N(Tabela3[PAPEL]=Tabela2[[#This Row],[Ativo]]),Tabela3[Total Ações])</f>
        <v>166355563</v>
      </c>
      <c r="E283" s="67">
        <f>(Tabela2[[#This Row],[Lucro Líquido]])/Tabela2[[#This Row],[Total Ações]]</f>
        <v>1.6809999915662573E-2</v>
      </c>
      <c r="F283" s="67">
        <v>1.5972E-2</v>
      </c>
      <c r="G283" s="46">
        <f>IF(AND(Tabela2[[#This Row],[Dividendo / Ação]]&gt;0,Tabela2[[#This Row],[Lucro por ação]]&gt;0),Tabela2[[#This Row],[Dividendo / Ação]]/Tabela2[[#This Row],[Lucro por ação]],"")</f>
        <v>0.95014872576639497</v>
      </c>
      <c r="H283" s="6">
        <f>MAX(Tabela2[[#This Row],[Cotação 1]],Tabela2[[#This Row],[Cotação 2]])</f>
        <v>0.16</v>
      </c>
      <c r="I283" s="19">
        <f>IF(Tabela2[[#This Row],[Dividendo / Ação]]&gt;0,Tabela2[[#This Row],[Dividendo / Ação]]/Tabela2[[#This Row],[Cotação]],"")</f>
        <v>9.9824999999999997E-2</v>
      </c>
      <c r="J283" s="62">
        <f>SUMPRODUCT(N(Tabela1[Código]=Tabela2[[#This Row],[Ativo]]),Tabela1[Fechamento])</f>
        <v>0.16</v>
      </c>
      <c r="K283" s="62">
        <f>SUMPRODUCT(N(Tabela17[Código]=Tabela2[[#This Row],[Ativo]]),Tabela17[Fechamento])</f>
        <v>0</v>
      </c>
      <c r="M283" s="3">
        <v>0.102805983</v>
      </c>
      <c r="N283" s="3">
        <v>0.385525487</v>
      </c>
    </row>
    <row r="284" spans="1:14" x14ac:dyDescent="0.2">
      <c r="A284" s="4" t="s">
        <v>216</v>
      </c>
      <c r="B284" s="4">
        <v>2010</v>
      </c>
      <c r="C284" s="5">
        <v>2520287</v>
      </c>
      <c r="D284" s="8">
        <f>SUMPRODUCT(N(Tabela3[PAPEL]=Tabela2[[#This Row],[Ativo]]),Tabela3[Total Ações])</f>
        <v>166355563</v>
      </c>
      <c r="E284" s="67">
        <f>(Tabela2[[#This Row],[Lucro Líquido]])/Tabela2[[#This Row],[Total Ações]]</f>
        <v>1.5150001325774719E-2</v>
      </c>
      <c r="F284" s="67">
        <v>3.0049999999999999E-3</v>
      </c>
      <c r="G284" s="46">
        <f>IF(AND(Tabela2[[#This Row],[Dividendo / Ação]]&gt;0,Tabela2[[#This Row],[Lucro por ação]]&gt;0),Tabela2[[#This Row],[Dividendo / Ação]]/Tabela2[[#This Row],[Lucro por ação]],"")</f>
        <v>0.1983498176259291</v>
      </c>
      <c r="H284" s="6">
        <f>MAX(Tabela2[[#This Row],[Cotação 1]],Tabela2[[#This Row],[Cotação 2]])</f>
        <v>0.16</v>
      </c>
      <c r="I284" s="19">
        <f>IF(Tabela2[[#This Row],[Dividendo / Ação]]&gt;0,Tabela2[[#This Row],[Dividendo / Ação]]/Tabela2[[#This Row],[Cotação]],"")</f>
        <v>1.8781249999999999E-2</v>
      </c>
      <c r="J284" s="62">
        <f>SUMPRODUCT(N(Tabela1[Código]=Tabela2[[#This Row],[Ativo]]),Tabela1[Fechamento])</f>
        <v>0.16</v>
      </c>
      <c r="K284" s="62">
        <f>SUMPRODUCT(N(Tabela17[Código]=Tabela2[[#This Row],[Ativo]]),Tabela17[Fechamento])</f>
        <v>0</v>
      </c>
      <c r="M284" s="3">
        <v>0.102805983</v>
      </c>
      <c r="N284" s="3">
        <v>0.33254521399999998</v>
      </c>
    </row>
    <row r="285" spans="1:14" x14ac:dyDescent="0.2">
      <c r="A285" s="4" t="s">
        <v>216</v>
      </c>
      <c r="B285" s="4">
        <v>2009</v>
      </c>
      <c r="C285" s="5">
        <v>1605331</v>
      </c>
      <c r="D285" s="8">
        <f>SUMPRODUCT(N(Tabela3[PAPEL]=Tabela2[[#This Row],[Ativo]]),Tabela3[Total Ações])</f>
        <v>166355563</v>
      </c>
      <c r="E285" s="67">
        <f>(Tabela2[[#This Row],[Lucro Líquido]])/Tabela2[[#This Row],[Total Ações]]</f>
        <v>9.6499989002471771E-3</v>
      </c>
      <c r="F285" s="67">
        <v>1.11E-2</v>
      </c>
      <c r="G285" s="46">
        <f>IF(AND(Tabela2[[#This Row],[Dividendo / Ação]]&gt;0,Tabela2[[#This Row],[Lucro por ação]]&gt;0),Tabela2[[#This Row],[Dividendo / Ação]]/Tabela2[[#This Row],[Lucro por ação]],"")</f>
        <v>1.1502591984456789</v>
      </c>
      <c r="H285" s="6">
        <f>MAX(Tabela2[[#This Row],[Cotação 1]],Tabela2[[#This Row],[Cotação 2]])</f>
        <v>0.16</v>
      </c>
      <c r="I285" s="19">
        <f>IF(Tabela2[[#This Row],[Dividendo / Ação]]&gt;0,Tabela2[[#This Row],[Dividendo / Ação]]/Tabela2[[#This Row],[Cotação]],"")</f>
        <v>6.9375000000000006E-2</v>
      </c>
      <c r="J285" s="62">
        <f>SUMPRODUCT(N(Tabela1[Código]=Tabela2[[#This Row],[Ativo]]),Tabela1[Fechamento])</f>
        <v>0.16</v>
      </c>
      <c r="K285" s="62">
        <f>SUMPRODUCT(N(Tabela17[Código]=Tabela2[[#This Row],[Ativo]]),Tabela17[Fechamento])</f>
        <v>0</v>
      </c>
      <c r="M285" s="3">
        <v>0.102805983</v>
      </c>
      <c r="N285" s="3">
        <v>1.0620213060000001</v>
      </c>
    </row>
    <row r="286" spans="1:14" x14ac:dyDescent="0.2">
      <c r="A286" s="15" t="s">
        <v>300</v>
      </c>
      <c r="B286" s="3">
        <v>2012</v>
      </c>
      <c r="C286" s="5">
        <v>4539233257.3500004</v>
      </c>
      <c r="D286" s="63">
        <f>SUMPRODUCT(N(Tabela3[PAPEL]=Tabela2[[#This Row],[Ativo]]),Tabela3[Total Ações])</f>
        <v>5470667261</v>
      </c>
      <c r="E286" s="66">
        <f>(Tabela2[[#This Row],[Lucro Líquido]])/Tabela2[[#This Row],[Total Ações]]</f>
        <v>0.82974032979667278</v>
      </c>
      <c r="F286" s="66">
        <v>0.34289999999999998</v>
      </c>
      <c r="G286" s="22">
        <f>IF(AND(Tabela2[[#This Row],[Dividendo / Ação]]&gt;0,Tabela2[[#This Row],[Lucro por ação]]&gt;0),Tabela2[[#This Row],[Dividendo / Ação]]/Tabela2[[#This Row],[Lucro por ação]],"")</f>
        <v>0.41326182142312806</v>
      </c>
      <c r="H286" s="5">
        <f>MAX(Tabela2[[#This Row],[Cotação 1]],Tabela2[[#This Row],[Cotação 2]])</f>
        <v>12.7</v>
      </c>
      <c r="I286" s="18">
        <f>IF(Tabela2[[#This Row],[Dividendo / Ação]]&gt;0,Tabela2[[#This Row],[Dividendo / Ação]]/Tabela2[[#This Row],[Cotação]],"")</f>
        <v>2.7E-2</v>
      </c>
      <c r="J286" s="61">
        <f>SUMPRODUCT(N(Tabela1[Código]=Tabela2[[#This Row],[Ativo]]),Tabela1[Fechamento])</f>
        <v>12.7</v>
      </c>
      <c r="K286" s="61">
        <f>SUMPRODUCT(N(Tabela17[Código]=Tabela2[[#This Row],[Ativo]]),Tabela17[Fechamento])</f>
        <v>0</v>
      </c>
      <c r="M286" s="3">
        <v>0.12257636399999999</v>
      </c>
      <c r="N286" s="3">
        <f>SUM(N282:N285)</f>
        <v>2.1790691310000003</v>
      </c>
    </row>
    <row r="287" spans="1:14" x14ac:dyDescent="0.2">
      <c r="A287" s="15" t="s">
        <v>300</v>
      </c>
      <c r="B287" s="3">
        <v>2011</v>
      </c>
      <c r="C287" s="5">
        <v>4693567188.1000004</v>
      </c>
      <c r="D287" s="63">
        <f>SUMPRODUCT(N(Tabela3[PAPEL]=Tabela2[[#This Row],[Ativo]]),Tabela3[Total Ações])</f>
        <v>5470667261</v>
      </c>
      <c r="E287" s="66">
        <f>(Tabela2[[#This Row],[Lucro Líquido]])/Tabela2[[#This Row],[Total Ações]]</f>
        <v>0.85795150100977791</v>
      </c>
      <c r="F287" s="66">
        <v>0.33350000000000002</v>
      </c>
      <c r="G287" s="22">
        <f>IF(AND(Tabela2[[#This Row],[Dividendo / Ação]]&gt;0,Tabela2[[#This Row],[Lucro por ação]]&gt;0),Tabela2[[#This Row],[Dividendo / Ação]]/Tabela2[[#This Row],[Lucro por ação]],"")</f>
        <v>0.38871661114583117</v>
      </c>
      <c r="H287" s="5">
        <f>MAX(Tabela2[[#This Row],[Cotação 1]],Tabela2[[#This Row],[Cotação 2]])</f>
        <v>12.7</v>
      </c>
      <c r="I287" s="18">
        <f>IF(Tabela2[[#This Row],[Dividendo / Ação]]&gt;0,Tabela2[[#This Row],[Dividendo / Ação]]/Tabela2[[#This Row],[Cotação]],"")</f>
        <v>2.6259842519685044E-2</v>
      </c>
      <c r="J287" s="61">
        <f>SUMPRODUCT(N(Tabela1[Código]=Tabela2[[#This Row],[Ativo]]),Tabela1[Fechamento])</f>
        <v>12.7</v>
      </c>
      <c r="K287" s="61">
        <f>SUMPRODUCT(N(Tabela17[Código]=Tabela2[[#This Row],[Ativo]]),Tabela17[Fechamento])</f>
        <v>0</v>
      </c>
      <c r="M287" s="3">
        <v>6.9196333999999998E-2</v>
      </c>
    </row>
    <row r="288" spans="1:14" x14ac:dyDescent="0.2">
      <c r="A288" s="15" t="s">
        <v>300</v>
      </c>
      <c r="B288" s="3">
        <v>2010</v>
      </c>
      <c r="C288" s="5">
        <v>4309548054.5299997</v>
      </c>
      <c r="D288" s="63">
        <f>SUMPRODUCT(N(Tabela3[PAPEL]=Tabela2[[#This Row],[Ativo]]),Tabela3[Total Ações])</f>
        <v>5470667261</v>
      </c>
      <c r="E288" s="66">
        <f>(Tabela2[[#This Row],[Lucro Líquido]])/Tabela2[[#This Row],[Total Ações]]</f>
        <v>0.78775546910931016</v>
      </c>
      <c r="F288" s="66">
        <v>0.29649999999999999</v>
      </c>
      <c r="G288" s="22">
        <f>IF(AND(Tabela2[[#This Row],[Dividendo / Ação]]&gt;0,Tabela2[[#This Row],[Lucro por ação]]&gt;0),Tabela2[[#This Row],[Dividendo / Ação]]/Tabela2[[#This Row],[Lucro por ação]],"")</f>
        <v>0.37638583497902339</v>
      </c>
      <c r="H288" s="5">
        <f>MAX(Tabela2[[#This Row],[Cotação 1]],Tabela2[[#This Row],[Cotação 2]])</f>
        <v>12.7</v>
      </c>
      <c r="I288" s="18">
        <f>IF(Tabela2[[#This Row],[Dividendo / Ação]]&gt;0,Tabela2[[#This Row],[Dividendo / Ação]]/Tabela2[[#This Row],[Cotação]],"")</f>
        <v>2.3346456692913384E-2</v>
      </c>
      <c r="J288" s="61">
        <f>SUMPRODUCT(N(Tabela1[Código]=Tabela2[[#This Row],[Ativo]]),Tabela1[Fechamento])</f>
        <v>12.7</v>
      </c>
      <c r="K288" s="61">
        <f>SUMPRODUCT(N(Tabela17[Código]=Tabela2[[#This Row],[Ativo]]),Tabela17[Fechamento])</f>
        <v>0</v>
      </c>
      <c r="M288" s="3">
        <f>SUM(M282:M287)</f>
        <v>0.60299663000000003</v>
      </c>
    </row>
    <row r="289" spans="1:11" x14ac:dyDescent="0.2">
      <c r="A289" s="15" t="s">
        <v>300</v>
      </c>
      <c r="B289" s="3">
        <v>2009</v>
      </c>
      <c r="C289" s="5">
        <v>2858809105.48</v>
      </c>
      <c r="D289" s="63">
        <f>SUMPRODUCT(N(Tabela3[PAPEL]=Tabela2[[#This Row],[Ativo]]),Tabela3[Total Ações])</f>
        <v>5470667261</v>
      </c>
      <c r="E289" s="66">
        <f>(Tabela2[[#This Row],[Lucro Líquido]])/Tabela2[[#This Row],[Total Ações]]</f>
        <v>0.52257045970612181</v>
      </c>
      <c r="F289" s="66">
        <v>0.25769999999999998</v>
      </c>
      <c r="G289" s="22">
        <f>IF(AND(Tabela2[[#This Row],[Dividendo / Ação]]&gt;0,Tabela2[[#This Row],[Lucro por ação]]&gt;0),Tabela2[[#This Row],[Dividendo / Ação]]/Tabela2[[#This Row],[Lucro por ação]],"")</f>
        <v>0.49313924125164449</v>
      </c>
      <c r="H289" s="5">
        <f>MAX(Tabela2[[#This Row],[Cotação 1]],Tabela2[[#This Row],[Cotação 2]])</f>
        <v>12.7</v>
      </c>
      <c r="I289" s="18">
        <f>IF(Tabela2[[#This Row],[Dividendo / Ação]]&gt;0,Tabela2[[#This Row],[Dividendo / Ação]]/Tabela2[[#This Row],[Cotação]],"")</f>
        <v>2.0291338582677166E-2</v>
      </c>
      <c r="J289" s="61">
        <f>SUMPRODUCT(N(Tabela1[Código]=Tabela2[[#This Row],[Ativo]]),Tabela1[Fechamento])</f>
        <v>12.7</v>
      </c>
      <c r="K289" s="61">
        <f>SUMPRODUCT(N(Tabela17[Código]=Tabela2[[#This Row],[Ativo]]),Tabela17[Fechamento])</f>
        <v>0</v>
      </c>
    </row>
    <row r="290" spans="1:11" x14ac:dyDescent="0.2">
      <c r="A290" s="15" t="s">
        <v>16</v>
      </c>
      <c r="B290" s="4">
        <v>2012</v>
      </c>
      <c r="C290" s="5">
        <v>4539233257.3500004</v>
      </c>
      <c r="D290" s="8">
        <f>SUMPRODUCT(N(Tabela3[PAPEL]=Tabela2[[#This Row],[Ativo]]),Tabela3[Total Ações])</f>
        <v>5470667261</v>
      </c>
      <c r="E290" s="67">
        <f>(Tabela2[[#This Row],[Lucro Líquido]])/Tabela2[[#This Row],[Total Ações]]</f>
        <v>0.82974032979667278</v>
      </c>
      <c r="F290" s="66">
        <v>0.34289999999999998</v>
      </c>
      <c r="G290" s="46">
        <f>IF(AND(Tabela2[[#This Row],[Dividendo / Ação]]&gt;0,Tabela2[[#This Row],[Lucro por ação]]&gt;0),Tabela2[[#This Row],[Dividendo / Ação]]/Tabela2[[#This Row],[Lucro por ação]],"")</f>
        <v>0.41326182142312806</v>
      </c>
      <c r="H290" s="6">
        <f>MAX(Tabela2[[#This Row],[Cotação 1]],Tabela2[[#This Row],[Cotação 2]])</f>
        <v>8.9</v>
      </c>
      <c r="I290" s="19">
        <f>IF(Tabela2[[#This Row],[Dividendo / Ação]]&gt;0,Tabela2[[#This Row],[Dividendo / Ação]]/Tabela2[[#This Row],[Cotação]],"")</f>
        <v>3.8528089887640449E-2</v>
      </c>
      <c r="J290" s="62">
        <f>SUMPRODUCT(N(Tabela1[Código]=Tabela2[[#This Row],[Ativo]]),Tabela1[Fechamento])</f>
        <v>8.9</v>
      </c>
      <c r="K290" s="62">
        <f>SUMPRODUCT(N(Tabela17[Código]=Tabela2[[#This Row],[Ativo]]),Tabela17[Fechamento])</f>
        <v>0</v>
      </c>
    </row>
    <row r="291" spans="1:11" x14ac:dyDescent="0.2">
      <c r="A291" s="15" t="s">
        <v>16</v>
      </c>
      <c r="B291" s="4">
        <v>2011</v>
      </c>
      <c r="C291" s="5">
        <v>4693567188.1000004</v>
      </c>
      <c r="D291" s="8">
        <f>SUMPRODUCT(N(Tabela3[PAPEL]=Tabela2[[#This Row],[Ativo]]),Tabela3[Total Ações])</f>
        <v>5470667261</v>
      </c>
      <c r="E291" s="67">
        <f>(Tabela2[[#This Row],[Lucro Líquido]])/Tabela2[[#This Row],[Total Ações]]</f>
        <v>0.85795150100977791</v>
      </c>
      <c r="F291" s="67">
        <v>0.33350000000000002</v>
      </c>
      <c r="G291" s="46">
        <f>IF(AND(Tabela2[[#This Row],[Dividendo / Ação]]&gt;0,Tabela2[[#This Row],[Lucro por ação]]&gt;0),Tabela2[[#This Row],[Dividendo / Ação]]/Tabela2[[#This Row],[Lucro por ação]],"")</f>
        <v>0.38871661114583117</v>
      </c>
      <c r="H291" s="6">
        <f>MAX(Tabela2[[#This Row],[Cotação 1]],Tabela2[[#This Row],[Cotação 2]])</f>
        <v>8.9</v>
      </c>
      <c r="I291" s="19">
        <f>IF(Tabela2[[#This Row],[Dividendo / Ação]]&gt;0,Tabela2[[#This Row],[Dividendo / Ação]]/Tabela2[[#This Row],[Cotação]],"")</f>
        <v>3.7471910112359549E-2</v>
      </c>
      <c r="J291" s="62">
        <f>SUMPRODUCT(N(Tabela1[Código]=Tabela2[[#This Row],[Ativo]]),Tabela1[Fechamento])</f>
        <v>8.9</v>
      </c>
      <c r="K291" s="62">
        <f>SUMPRODUCT(N(Tabela17[Código]=Tabela2[[#This Row],[Ativo]]),Tabela17[Fechamento])</f>
        <v>0</v>
      </c>
    </row>
    <row r="292" spans="1:11" x14ac:dyDescent="0.2">
      <c r="A292" s="15" t="s">
        <v>16</v>
      </c>
      <c r="B292" s="4">
        <v>2010</v>
      </c>
      <c r="C292" s="5">
        <v>4309548054.5299997</v>
      </c>
      <c r="D292" s="8">
        <f>SUMPRODUCT(N(Tabela3[PAPEL]=Tabela2[[#This Row],[Ativo]]),Tabela3[Total Ações])</f>
        <v>5470667261</v>
      </c>
      <c r="E292" s="67">
        <f>(Tabela2[[#This Row],[Lucro Líquido]])/Tabela2[[#This Row],[Total Ações]]</f>
        <v>0.78775546910931016</v>
      </c>
      <c r="F292" s="67">
        <v>0.29649999999999999</v>
      </c>
      <c r="G292" s="46">
        <f>IF(AND(Tabela2[[#This Row],[Dividendo / Ação]]&gt;0,Tabela2[[#This Row],[Lucro por ação]]&gt;0),Tabela2[[#This Row],[Dividendo / Ação]]/Tabela2[[#This Row],[Lucro por ação]],"")</f>
        <v>0.37638583497902339</v>
      </c>
      <c r="H292" s="6">
        <f>MAX(Tabela2[[#This Row],[Cotação 1]],Tabela2[[#This Row],[Cotação 2]])</f>
        <v>8.9</v>
      </c>
      <c r="I292" s="19">
        <f>IF(Tabela2[[#This Row],[Dividendo / Ação]]&gt;0,Tabela2[[#This Row],[Dividendo / Ação]]/Tabela2[[#This Row],[Cotação]],"")</f>
        <v>3.3314606741573029E-2</v>
      </c>
      <c r="J292" s="62">
        <f>SUMPRODUCT(N(Tabela1[Código]=Tabela2[[#This Row],[Ativo]]),Tabela1[Fechamento])</f>
        <v>8.9</v>
      </c>
      <c r="K292" s="62">
        <f>SUMPRODUCT(N(Tabela17[Código]=Tabela2[[#This Row],[Ativo]]),Tabela17[Fechamento])</f>
        <v>0</v>
      </c>
    </row>
    <row r="293" spans="1:11" x14ac:dyDescent="0.2">
      <c r="A293" s="15" t="s">
        <v>16</v>
      </c>
      <c r="B293" s="4">
        <v>2009</v>
      </c>
      <c r="C293" s="5">
        <v>2858809105.48</v>
      </c>
      <c r="D293" s="8">
        <f>SUMPRODUCT(N(Tabela3[PAPEL]=Tabela2[[#This Row],[Ativo]]),Tabela3[Total Ações])</f>
        <v>5470667261</v>
      </c>
      <c r="E293" s="67">
        <f>(Tabela2[[#This Row],[Lucro Líquido]])/Tabela2[[#This Row],[Total Ações]]</f>
        <v>0.52257045970612181</v>
      </c>
      <c r="F293" s="67">
        <v>0.25769999999999998</v>
      </c>
      <c r="G293" s="46">
        <f>IF(AND(Tabela2[[#This Row],[Dividendo / Ação]]&gt;0,Tabela2[[#This Row],[Lucro por ação]]&gt;0),Tabela2[[#This Row],[Dividendo / Ação]]/Tabela2[[#This Row],[Lucro por ação]],"")</f>
        <v>0.49313924125164449</v>
      </c>
      <c r="H293" s="6">
        <f>MAX(Tabela2[[#This Row],[Cotação 1]],Tabela2[[#This Row],[Cotação 2]])</f>
        <v>8.9</v>
      </c>
      <c r="I293" s="19">
        <f>IF(Tabela2[[#This Row],[Dividendo / Ação]]&gt;0,Tabela2[[#This Row],[Dividendo / Ação]]/Tabela2[[#This Row],[Cotação]],"")</f>
        <v>2.8955056179775278E-2</v>
      </c>
      <c r="J293" s="62">
        <f>SUMPRODUCT(N(Tabela1[Código]=Tabela2[[#This Row],[Ativo]]),Tabela1[Fechamento])</f>
        <v>8.9</v>
      </c>
      <c r="K293" s="62">
        <f>SUMPRODUCT(N(Tabela17[Código]=Tabela2[[#This Row],[Ativo]]),Tabela17[Fechamento])</f>
        <v>0</v>
      </c>
    </row>
    <row r="294" spans="1:11" x14ac:dyDescent="0.2">
      <c r="A294" s="14" t="s">
        <v>298</v>
      </c>
      <c r="B294" s="3">
        <v>2012</v>
      </c>
      <c r="C294" s="5">
        <v>10799538178.68</v>
      </c>
      <c r="D294" s="63">
        <f>SUMPRODUCT(N(Tabela3[PAPEL]=Tabela2[[#This Row],[Ativo]]),Tabela3[Total Ações])</f>
        <v>5028029710</v>
      </c>
      <c r="E294" s="66">
        <f>(Tabela2[[#This Row],[Lucro Líquido]])/Tabela2[[#This Row],[Total Ações]]</f>
        <v>2.14786681892538</v>
      </c>
      <c r="F294" s="66">
        <v>1</v>
      </c>
      <c r="G294" s="22">
        <f>IF(AND(Tabela2[[#This Row],[Dividendo / Ação]]&gt;0,Tabela2[[#This Row],[Lucro por ação]]&gt;0),Tabela2[[#This Row],[Dividendo / Ação]]/Tabela2[[#This Row],[Lucro por ação]],"")</f>
        <v>0.46557821518017567</v>
      </c>
      <c r="H294" s="5">
        <f>MAX(Tabela2[[#This Row],[Cotação 1]],Tabela2[[#This Row],[Cotação 2]])</f>
        <v>29.45</v>
      </c>
      <c r="I294" s="18">
        <f>IF(Tabela2[[#This Row],[Dividendo / Ação]]&gt;0,Tabela2[[#This Row],[Dividendo / Ação]]/Tabela2[[#This Row],[Cotação]],"")</f>
        <v>3.3955857385398983E-2</v>
      </c>
      <c r="J294" s="61">
        <f>SUMPRODUCT(N(Tabela1[Código]=Tabela2[[#This Row],[Ativo]]),Tabela1[Fechamento])</f>
        <v>29.45</v>
      </c>
      <c r="K294" s="61">
        <f>SUMPRODUCT(N(Tabela17[Código]=Tabela2[[#This Row],[Ativo]]),Tabela17[Fechamento])</f>
        <v>0</v>
      </c>
    </row>
    <row r="295" spans="1:11" x14ac:dyDescent="0.2">
      <c r="A295" s="14" t="s">
        <v>298</v>
      </c>
      <c r="B295" s="3">
        <v>2011</v>
      </c>
      <c r="C295" s="5">
        <v>11890195760.129999</v>
      </c>
      <c r="D295" s="63">
        <f>SUMPRODUCT(N(Tabela3[PAPEL]=Tabela2[[#This Row],[Ativo]]),Tabela3[Total Ações])</f>
        <v>5028029710</v>
      </c>
      <c r="E295" s="66">
        <f>(Tabela2[[#This Row],[Lucro Líquido]])/Tabela2[[#This Row],[Total Ações]]</f>
        <v>2.364782319500256</v>
      </c>
      <c r="F295" s="66">
        <v>0.97270000000000001</v>
      </c>
      <c r="G295" s="22">
        <f>IF(AND(Tabela2[[#This Row],[Dividendo / Ação]]&gt;0,Tabela2[[#This Row],[Lucro por ação]]&gt;0),Tabela2[[#This Row],[Dividendo / Ação]]/Tabela2[[#This Row],[Lucro por ação]],"")</f>
        <v>0.41132750020118491</v>
      </c>
      <c r="H295" s="5">
        <f>MAX(Tabela2[[#This Row],[Cotação 1]],Tabela2[[#This Row],[Cotação 2]])</f>
        <v>29.45</v>
      </c>
      <c r="I295" s="18">
        <f>IF(Tabela2[[#This Row],[Dividendo / Ação]]&gt;0,Tabela2[[#This Row],[Dividendo / Ação]]/Tabela2[[#This Row],[Cotação]],"")</f>
        <v>3.3028862478777593E-2</v>
      </c>
      <c r="J295" s="61">
        <f>SUMPRODUCT(N(Tabela1[Código]=Tabela2[[#This Row],[Ativo]]),Tabela1[Fechamento])</f>
        <v>29.45</v>
      </c>
      <c r="K295" s="61">
        <f>SUMPRODUCT(N(Tabela17[Código]=Tabela2[[#This Row],[Ativo]]),Tabela17[Fechamento])</f>
        <v>0</v>
      </c>
    </row>
    <row r="296" spans="1:11" x14ac:dyDescent="0.2">
      <c r="A296" s="14" t="s">
        <v>298</v>
      </c>
      <c r="B296" s="3">
        <v>2010</v>
      </c>
      <c r="C296" s="5">
        <v>10272015528.35</v>
      </c>
      <c r="D296" s="63">
        <f>SUMPRODUCT(N(Tabela3[PAPEL]=Tabela2[[#This Row],[Ativo]]),Tabela3[Total Ações])</f>
        <v>5028029710</v>
      </c>
      <c r="E296" s="66">
        <f>(Tabela2[[#This Row],[Lucro Líquido]])/Tabela2[[#This Row],[Total Ações]]</f>
        <v>2.0429504439722175</v>
      </c>
      <c r="F296" s="66">
        <v>0.86070000000000002</v>
      </c>
      <c r="G296" s="22">
        <f>IF(AND(Tabela2[[#This Row],[Dividendo / Ação]]&gt;0,Tabela2[[#This Row],[Lucro por ação]]&gt;0),Tabela2[[#This Row],[Dividendo / Ação]]/Tabela2[[#This Row],[Lucro por ação]],"")</f>
        <v>0.42130243664966005</v>
      </c>
      <c r="H296" s="5">
        <f>MAX(Tabela2[[#This Row],[Cotação 1]],Tabela2[[#This Row],[Cotação 2]])</f>
        <v>29.45</v>
      </c>
      <c r="I296" s="18">
        <f>IF(Tabela2[[#This Row],[Dividendo / Ação]]&gt;0,Tabela2[[#This Row],[Dividendo / Ação]]/Tabela2[[#This Row],[Cotação]],"")</f>
        <v>2.9225806451612903E-2</v>
      </c>
      <c r="J296" s="61">
        <f>SUMPRODUCT(N(Tabela1[Código]=Tabela2[[#This Row],[Ativo]]),Tabela1[Fechamento])</f>
        <v>29.45</v>
      </c>
      <c r="K296" s="61">
        <f>SUMPRODUCT(N(Tabela17[Código]=Tabela2[[#This Row],[Ativo]]),Tabela17[Fechamento])</f>
        <v>0</v>
      </c>
    </row>
    <row r="297" spans="1:11" x14ac:dyDescent="0.2">
      <c r="A297" s="14" t="s">
        <v>85</v>
      </c>
      <c r="B297" s="4">
        <v>2012</v>
      </c>
      <c r="C297" s="5">
        <v>10799538178.68</v>
      </c>
      <c r="D297" s="8">
        <f>SUMPRODUCT(N(Tabela3[PAPEL]=Tabela2[[#This Row],[Ativo]]),Tabela3[Total Ações])</f>
        <v>5028029710</v>
      </c>
      <c r="E297" s="67">
        <f>(Tabela2[[#This Row],[Lucro Líquido]])/Tabela2[[#This Row],[Total Ações]]</f>
        <v>2.14786681892538</v>
      </c>
      <c r="F297" s="67">
        <v>1</v>
      </c>
      <c r="G297" s="46">
        <f>IF(AND(Tabela2[[#This Row],[Dividendo / Ação]]&gt;0,Tabela2[[#This Row],[Lucro por ação]]&gt;0),Tabela2[[#This Row],[Dividendo / Ação]]/Tabela2[[#This Row],[Lucro por ação]],"")</f>
        <v>0.46557821518017567</v>
      </c>
      <c r="H297" s="6">
        <f>MAX(Tabela2[[#This Row],[Cotação 1]],Tabela2[[#This Row],[Cotação 2]])</f>
        <v>31.35</v>
      </c>
      <c r="I297" s="19">
        <f>IF(Tabela2[[#This Row],[Dividendo / Ação]]&gt;0,Tabela2[[#This Row],[Dividendo / Ação]]/Tabela2[[#This Row],[Cotação]],"")</f>
        <v>3.1897926634768738E-2</v>
      </c>
      <c r="J297" s="62">
        <f>SUMPRODUCT(N(Tabela1[Código]=Tabela2[[#This Row],[Ativo]]),Tabela1[Fechamento])</f>
        <v>31.35</v>
      </c>
      <c r="K297" s="62">
        <f>SUMPRODUCT(N(Tabela17[Código]=Tabela2[[#This Row],[Ativo]]),Tabela17[Fechamento])</f>
        <v>0</v>
      </c>
    </row>
    <row r="298" spans="1:11" x14ac:dyDescent="0.2">
      <c r="A298" s="14" t="s">
        <v>85</v>
      </c>
      <c r="B298" s="4">
        <v>2011</v>
      </c>
      <c r="C298" s="5">
        <v>11890195760.129999</v>
      </c>
      <c r="D298" s="8">
        <f>SUMPRODUCT(N(Tabela3[PAPEL]=Tabela2[[#This Row],[Ativo]]),Tabela3[Total Ações])</f>
        <v>5028029710</v>
      </c>
      <c r="E298" s="67">
        <f>(Tabela2[[#This Row],[Lucro Líquido]])/Tabela2[[#This Row],[Total Ações]]</f>
        <v>2.364782319500256</v>
      </c>
      <c r="F298" s="67">
        <v>0.97270000000000001</v>
      </c>
      <c r="G298" s="46">
        <f>IF(AND(Tabela2[[#This Row],[Dividendo / Ação]]&gt;0,Tabela2[[#This Row],[Lucro por ação]]&gt;0),Tabela2[[#This Row],[Dividendo / Ação]]/Tabela2[[#This Row],[Lucro por ação]],"")</f>
        <v>0.41132750020118491</v>
      </c>
      <c r="H298" s="6">
        <f>MAX(Tabela2[[#This Row],[Cotação 1]],Tabela2[[#This Row],[Cotação 2]])</f>
        <v>31.35</v>
      </c>
      <c r="I298" s="19">
        <f>IF(Tabela2[[#This Row],[Dividendo / Ação]]&gt;0,Tabela2[[#This Row],[Dividendo / Ação]]/Tabela2[[#This Row],[Cotação]],"")</f>
        <v>3.1027113237639552E-2</v>
      </c>
      <c r="J298" s="62">
        <f>SUMPRODUCT(N(Tabela1[Código]=Tabela2[[#This Row],[Ativo]]),Tabela1[Fechamento])</f>
        <v>31.35</v>
      </c>
      <c r="K298" s="62">
        <f>SUMPRODUCT(N(Tabela17[Código]=Tabela2[[#This Row],[Ativo]]),Tabela17[Fechamento])</f>
        <v>0</v>
      </c>
    </row>
    <row r="299" spans="1:11" x14ac:dyDescent="0.2">
      <c r="A299" s="14" t="s">
        <v>85</v>
      </c>
      <c r="B299" s="4">
        <v>2010</v>
      </c>
      <c r="C299" s="5">
        <v>10272015528.35</v>
      </c>
      <c r="D299" s="8">
        <f>SUMPRODUCT(N(Tabela3[PAPEL]=Tabela2[[#This Row],[Ativo]]),Tabela3[Total Ações])</f>
        <v>5028029710</v>
      </c>
      <c r="E299" s="67">
        <f>(Tabela2[[#This Row],[Lucro Líquido]])/Tabela2[[#This Row],[Total Ações]]</f>
        <v>2.0429504439722175</v>
      </c>
      <c r="F299" s="67">
        <v>0.86070000000000002</v>
      </c>
      <c r="G299" s="46">
        <f>IF(AND(Tabela2[[#This Row],[Dividendo / Ação]]&gt;0,Tabela2[[#This Row],[Lucro por ação]]&gt;0),Tabela2[[#This Row],[Dividendo / Ação]]/Tabela2[[#This Row],[Lucro por ação]],"")</f>
        <v>0.42130243664966005</v>
      </c>
      <c r="H299" s="6">
        <f>MAX(Tabela2[[#This Row],[Cotação 1]],Tabela2[[#This Row],[Cotação 2]])</f>
        <v>31.35</v>
      </c>
      <c r="I299" s="19">
        <f>IF(Tabela2[[#This Row],[Dividendo / Ação]]&gt;0,Tabela2[[#This Row],[Dividendo / Ação]]/Tabela2[[#This Row],[Cotação]],"")</f>
        <v>2.7454545454545454E-2</v>
      </c>
      <c r="J299" s="62">
        <f>SUMPRODUCT(N(Tabela1[Código]=Tabela2[[#This Row],[Ativo]]),Tabela1[Fechamento])</f>
        <v>31.35</v>
      </c>
      <c r="K299" s="62">
        <f>SUMPRODUCT(N(Tabela17[Código]=Tabela2[[#This Row],[Ativo]]),Tabela17[Fechamento])</f>
        <v>0</v>
      </c>
    </row>
    <row r="300" spans="1:11" x14ac:dyDescent="0.2">
      <c r="A300" s="4" t="s">
        <v>233</v>
      </c>
      <c r="B300" s="4">
        <v>2012</v>
      </c>
      <c r="C300" s="6">
        <v>751965362.53999996</v>
      </c>
      <c r="D300" s="8">
        <f>SUMPRODUCT(N(Tabela3[PAPEL]=Tabela2[[#This Row],[Ativo]]),Tabela3[Total Ações])</f>
        <v>917683296</v>
      </c>
      <c r="E300" s="67">
        <f>(Tabela2[[#This Row],[Lucro Líquido]])/Tabela2[[#This Row],[Total Ações]]</f>
        <v>0.81941707538719322</v>
      </c>
      <c r="F300" s="67">
        <v>0.2064</v>
      </c>
      <c r="G300" s="46">
        <f>IF(AND(Tabela2[[#This Row],[Dividendo / Ação]]&gt;0,Tabela2[[#This Row],[Lucro por ação]]&gt;0),Tabela2[[#This Row],[Dividendo / Ação]]/Tabela2[[#This Row],[Lucro por ação]],"")</f>
        <v>0.25188637898773503</v>
      </c>
      <c r="H300" s="6">
        <f>MAX(Tabela2[[#This Row],[Cotação 1]],Tabela2[[#This Row],[Cotação 2]])</f>
        <v>11</v>
      </c>
      <c r="I300" s="19">
        <f>IF(Tabela2[[#This Row],[Dividendo / Ação]]&gt;0,Tabela2[[#This Row],[Dividendo / Ação]]/Tabela2[[#This Row],[Cotação]],"")</f>
        <v>1.8763636363636364E-2</v>
      </c>
      <c r="J300" s="62">
        <f>SUMPRODUCT(N(Tabela1[Código]=Tabela2[[#This Row],[Ativo]]),Tabela1[Fechamento])</f>
        <v>11</v>
      </c>
      <c r="K300" s="62">
        <f>SUMPRODUCT(N(Tabela17[Código]=Tabela2[[#This Row],[Ativo]]),Tabela17[Fechamento])</f>
        <v>0</v>
      </c>
    </row>
    <row r="301" spans="1:11" x14ac:dyDescent="0.2">
      <c r="A301" s="4" t="s">
        <v>233</v>
      </c>
      <c r="B301" s="3">
        <v>2011</v>
      </c>
      <c r="C301" s="5">
        <v>182710744</v>
      </c>
      <c r="D301" s="63">
        <f>SUMPRODUCT(N(Tabela3[PAPEL]=Tabela2[[#This Row],[Ativo]]),Tabela3[Total Ações])</f>
        <v>917683296</v>
      </c>
      <c r="E301" s="66">
        <f>(Tabela2[[#This Row],[Lucro Líquido]])/Tabela2[[#This Row],[Total Ações]]</f>
        <v>0.19909999974544595</v>
      </c>
      <c r="F301" s="66">
        <v>0.1447</v>
      </c>
      <c r="G301" s="22">
        <f>IF(AND(Tabela2[[#This Row],[Dividendo / Ação]]&gt;0,Tabela2[[#This Row],[Lucro por ação]]&gt;0),Tabela2[[#This Row],[Dividendo / Ação]]/Tabela2[[#This Row],[Lucro por ação]],"")</f>
        <v>0.72677046803115197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1.3154545454545453E-2</v>
      </c>
      <c r="J301" s="61">
        <f>SUMPRODUCT(N(Tabela1[Código]=Tabela2[[#This Row],[Ativo]]),Tabela1[Fechamento])</f>
        <v>11</v>
      </c>
      <c r="K301" s="61">
        <f>SUMPRODUCT(N(Tabela17[Código]=Tabela2[[#This Row],[Ativo]]),Tabela17[Fechamento])</f>
        <v>0</v>
      </c>
    </row>
    <row r="302" spans="1:11" x14ac:dyDescent="0.2">
      <c r="A302" s="4" t="s">
        <v>233</v>
      </c>
      <c r="B302" s="3">
        <v>2010</v>
      </c>
      <c r="C302" s="5">
        <v>559786811</v>
      </c>
      <c r="D302" s="63">
        <f>SUMPRODUCT(N(Tabela3[PAPEL]=Tabela2[[#This Row],[Ativo]]),Tabela3[Total Ações])</f>
        <v>917683296</v>
      </c>
      <c r="E302" s="66">
        <f>(Tabela2[[#This Row],[Lucro Líquido]])/Tabela2[[#This Row],[Total Ações]]</f>
        <v>0.61000000047946823</v>
      </c>
      <c r="F302" s="66">
        <v>0.12509999999999999</v>
      </c>
      <c r="G302" s="22">
        <f>IF(AND(Tabela2[[#This Row],[Dividendo / Ação]]&gt;0,Tabela2[[#This Row],[Lucro por ação]]&gt;0),Tabela2[[#This Row],[Dividendo / Ação]]/Tabela2[[#This Row],[Lucro por ação]],"")</f>
        <v>0.20508196705191753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1.1372727272727272E-2</v>
      </c>
      <c r="J302" s="61">
        <f>SUMPRODUCT(N(Tabela1[Código]=Tabela2[[#This Row],[Ativo]]),Tabela1[Fechamento])</f>
        <v>11</v>
      </c>
      <c r="K302" s="61">
        <f>SUMPRODUCT(N(Tabela17[Código]=Tabela2[[#This Row],[Ativo]]),Tabela17[Fechamento])</f>
        <v>0</v>
      </c>
    </row>
    <row r="303" spans="1:11" x14ac:dyDescent="0.2">
      <c r="A303" s="4" t="s">
        <v>55</v>
      </c>
      <c r="B303" s="4">
        <v>2012</v>
      </c>
      <c r="C303" s="6">
        <v>751965362.53999996</v>
      </c>
      <c r="D303" s="8">
        <f>SUMPRODUCT(N(Tabela3[PAPEL]=Tabela2[[#This Row],[Ativo]]),Tabela3[Total Ações])</f>
        <v>917683296</v>
      </c>
      <c r="E303" s="67">
        <f>(Tabela2[[#This Row],[Lucro Líquido]])/Tabela2[[#This Row],[Total Ações]]</f>
        <v>0.81941707538719322</v>
      </c>
      <c r="F303" s="67">
        <v>0.22700000000000001</v>
      </c>
      <c r="G303" s="46">
        <f>IF(AND(Tabela2[[#This Row],[Dividendo / Ação]]&gt;0,Tabela2[[#This Row],[Lucro por ação]]&gt;0),Tabela2[[#This Row],[Dividendo / Ação]]/Tabela2[[#This Row],[Lucro por ação]],"")</f>
        <v>0.27702620169678221</v>
      </c>
      <c r="H303" s="6">
        <f>MAX(Tabela2[[#This Row],[Cotação 1]],Tabela2[[#This Row],[Cotação 2]])</f>
        <v>12.26</v>
      </c>
      <c r="I303" s="19">
        <f>IF(Tabela2[[#This Row],[Dividendo / Ação]]&gt;0,Tabela2[[#This Row],[Dividendo / Ação]]/Tabela2[[#This Row],[Cotação]],"")</f>
        <v>1.8515497553017946E-2</v>
      </c>
      <c r="J303" s="62">
        <f>SUMPRODUCT(N(Tabela1[Código]=Tabela2[[#This Row],[Ativo]]),Tabela1[Fechamento])</f>
        <v>12.26</v>
      </c>
      <c r="K303" s="62">
        <f>SUMPRODUCT(N(Tabela17[Código]=Tabela2[[#This Row],[Ativo]]),Tabela17[Fechamento])</f>
        <v>0</v>
      </c>
    </row>
    <row r="304" spans="1:11" x14ac:dyDescent="0.2">
      <c r="A304" s="4" t="s">
        <v>55</v>
      </c>
      <c r="B304" s="4">
        <v>2011</v>
      </c>
      <c r="C304" s="5">
        <v>182710744</v>
      </c>
      <c r="D304" s="8">
        <f>SUMPRODUCT(N(Tabela3[PAPEL]=Tabela2[[#This Row],[Ativo]]),Tabela3[Total Ações])</f>
        <v>917683296</v>
      </c>
      <c r="E304" s="67">
        <f>(Tabela2[[#This Row],[Lucro Líquido]])/Tabela2[[#This Row],[Total Ações]]</f>
        <v>0.19909999974544595</v>
      </c>
      <c r="F304" s="67">
        <v>0.15920000000000001</v>
      </c>
      <c r="G304" s="46">
        <f>IF(AND(Tabela2[[#This Row],[Dividendo / Ação]]&gt;0,Tabela2[[#This Row],[Lucro por ação]]&gt;0),Tabela2[[#This Row],[Dividendo / Ação]]/Tabela2[[#This Row],[Lucro por ação]],"")</f>
        <v>0.79959819288569045</v>
      </c>
      <c r="H304" s="6">
        <f>MAX(Tabela2[[#This Row],[Cotação 1]],Tabela2[[#This Row],[Cotação 2]])</f>
        <v>12.26</v>
      </c>
      <c r="I304" s="19">
        <f>IF(Tabela2[[#This Row],[Dividendo / Ação]]&gt;0,Tabela2[[#This Row],[Dividendo / Ação]]/Tabela2[[#This Row],[Cotação]],"")</f>
        <v>1.2985318107667211E-2</v>
      </c>
      <c r="J304" s="62">
        <f>SUMPRODUCT(N(Tabela1[Código]=Tabela2[[#This Row],[Ativo]]),Tabela1[Fechamento])</f>
        <v>12.26</v>
      </c>
      <c r="K304" s="62">
        <f>SUMPRODUCT(N(Tabela17[Código]=Tabela2[[#This Row],[Ativo]]),Tabela17[Fechamento])</f>
        <v>0</v>
      </c>
    </row>
    <row r="305" spans="1:13" x14ac:dyDescent="0.2">
      <c r="A305" s="4" t="s">
        <v>55</v>
      </c>
      <c r="B305" s="4">
        <v>2010</v>
      </c>
      <c r="C305" s="5">
        <v>559786811</v>
      </c>
      <c r="D305" s="8">
        <f>SUMPRODUCT(N(Tabela3[PAPEL]=Tabela2[[#This Row],[Ativo]]),Tabela3[Total Ações])</f>
        <v>917683296</v>
      </c>
      <c r="E305" s="67">
        <f>(Tabela2[[#This Row],[Lucro Líquido]])/Tabela2[[#This Row],[Total Ações]]</f>
        <v>0.61000000047946823</v>
      </c>
      <c r="F305" s="67">
        <v>0.1376</v>
      </c>
      <c r="G305" s="46">
        <f>IF(AND(Tabela2[[#This Row],[Dividendo / Ação]]&gt;0,Tabela2[[#This Row],[Lucro por ação]]&gt;0),Tabela2[[#This Row],[Dividendo / Ação]]/Tabela2[[#This Row],[Lucro por ação]],"")</f>
        <v>0.22557377031449924</v>
      </c>
      <c r="H305" s="6">
        <f>MAX(Tabela2[[#This Row],[Cotação 1]],Tabela2[[#This Row],[Cotação 2]])</f>
        <v>12.26</v>
      </c>
      <c r="I305" s="19">
        <f>IF(Tabela2[[#This Row],[Dividendo / Ação]]&gt;0,Tabela2[[#This Row],[Dividendo / Ação]]/Tabela2[[#This Row],[Cotação]],"")</f>
        <v>1.1223491027732464E-2</v>
      </c>
      <c r="J305" s="62">
        <f>SUMPRODUCT(N(Tabela1[Código]=Tabela2[[#This Row],[Ativo]]),Tabela1[Fechamento])</f>
        <v>12.26</v>
      </c>
      <c r="K305" s="62">
        <f>SUMPRODUCT(N(Tabela17[Código]=Tabela2[[#This Row],[Ativo]]),Tabela17[Fechamento])</f>
        <v>0</v>
      </c>
    </row>
    <row r="306" spans="1:13" x14ac:dyDescent="0.2">
      <c r="A306" s="4" t="s">
        <v>56</v>
      </c>
      <c r="B306" s="4">
        <v>2012</v>
      </c>
      <c r="C306" s="6">
        <v>423923458.43000001</v>
      </c>
      <c r="D306" s="8">
        <f>SUMPRODUCT(N(Tabela3[PAPEL]=Tabela2[[#This Row],[Ativo]]),Tabela3[Total Ações])</f>
        <v>203934060</v>
      </c>
      <c r="E306" s="67">
        <f>(Tabela2[[#This Row],[Lucro Líquido]])/Tabela2[[#This Row],[Total Ações]]</f>
        <v>2.0787280870591212</v>
      </c>
      <c r="F306" s="67">
        <v>1.71</v>
      </c>
      <c r="G306" s="46">
        <f>IF(AND(Tabela2[[#This Row],[Dividendo / Ação]]&gt;0,Tabela2[[#This Row],[Lucro por ação]]&gt;0),Tabela2[[#This Row],[Dividendo / Ação]]/Tabela2[[#This Row],[Lucro por ação]],"")</f>
        <v>0.82261841298311467</v>
      </c>
      <c r="H306" s="6">
        <f>MAX(Tabela2[[#This Row],[Cotação 1]],Tabela2[[#This Row],[Cotação 2]])</f>
        <v>22.12</v>
      </c>
      <c r="I306" s="19">
        <f>IF(Tabela2[[#This Row],[Dividendo / Ação]]&gt;0,Tabela2[[#This Row],[Dividendo / Ação]]/Tabela2[[#This Row],[Cotação]],"")</f>
        <v>7.7305605786618437E-2</v>
      </c>
      <c r="J306" s="62">
        <f>SUMPRODUCT(N(Tabela1[Código]=Tabela2[[#This Row],[Ativo]]),Tabela1[Fechamento])</f>
        <v>22.12</v>
      </c>
      <c r="K306" s="62">
        <f>SUMPRODUCT(N(Tabela17[Código]=Tabela2[[#This Row],[Ativo]]),Tabela17[Fechamento])</f>
        <v>0</v>
      </c>
    </row>
    <row r="307" spans="1:13" x14ac:dyDescent="0.2">
      <c r="A307" s="4" t="s">
        <v>56</v>
      </c>
      <c r="B307" s="4">
        <v>2011</v>
      </c>
      <c r="C307" s="6">
        <v>310647000</v>
      </c>
      <c r="D307" s="8">
        <f>SUMPRODUCT(N(Tabela3[PAPEL]=Tabela2[[#This Row],[Ativo]]),Tabela3[Total Ações])</f>
        <v>203934060</v>
      </c>
      <c r="E307" s="67">
        <f>(Tabela2[[#This Row],[Lucro Líquido]])/Tabela2[[#This Row],[Total Ações]]</f>
        <v>1.523271786968788</v>
      </c>
      <c r="F307" s="67">
        <v>1.45</v>
      </c>
      <c r="G307" s="46">
        <f>IF(AND(Tabela2[[#This Row],[Dividendo / Ação]]&gt;0,Tabela2[[#This Row],[Lucro por ação]]&gt;0),Tabela2[[#This Row],[Dividendo / Ação]]/Tabela2[[#This Row],[Lucro por ação]],"")</f>
        <v>0.95189841524302499</v>
      </c>
      <c r="H307" s="6">
        <f>MAX(Tabela2[[#This Row],[Cotação 1]],Tabela2[[#This Row],[Cotação 2]])</f>
        <v>22.12</v>
      </c>
      <c r="I307" s="19">
        <f>IF(Tabela2[[#This Row],[Dividendo / Ação]]&gt;0,Tabela2[[#This Row],[Dividendo / Ação]]/Tabela2[[#This Row],[Cotação]],"")</f>
        <v>6.5551537070524413E-2</v>
      </c>
      <c r="J307" s="62">
        <f>SUMPRODUCT(N(Tabela1[Código]=Tabela2[[#This Row],[Ativo]]),Tabela1[Fechamento])</f>
        <v>22.12</v>
      </c>
      <c r="K307" s="62">
        <f>SUMPRODUCT(N(Tabela17[Código]=Tabela2[[#This Row],[Ativo]]),Tabela17[Fechamento])</f>
        <v>0</v>
      </c>
    </row>
    <row r="308" spans="1:13" x14ac:dyDescent="0.2">
      <c r="A308" s="4" t="s">
        <v>56</v>
      </c>
      <c r="B308" s="4">
        <v>2010</v>
      </c>
      <c r="C308" s="6">
        <v>575150000</v>
      </c>
      <c r="D308" s="8">
        <f>SUMPRODUCT(N(Tabela3[PAPEL]=Tabela2[[#This Row],[Ativo]]),Tabela3[Total Ações])</f>
        <v>203934060</v>
      </c>
      <c r="E308" s="67">
        <f>(Tabela2[[#This Row],[Lucro Líquido]])/Tabela2[[#This Row],[Total Ações]]</f>
        <v>2.8202743573094167</v>
      </c>
      <c r="F308" s="67">
        <v>1.72</v>
      </c>
      <c r="G308" s="46">
        <f>IF(AND(Tabela2[[#This Row],[Dividendo / Ação]]&gt;0,Tabela2[[#This Row],[Lucro por ação]]&gt;0),Tabela2[[#This Row],[Dividendo / Ação]]/Tabela2[[#This Row],[Lucro por ação]],"")</f>
        <v>0.6098697438928975</v>
      </c>
      <c r="H308" s="6">
        <f>MAX(Tabela2[[#This Row],[Cotação 1]],Tabela2[[#This Row],[Cotação 2]])</f>
        <v>22.12</v>
      </c>
      <c r="I308" s="19">
        <f>IF(Tabela2[[#This Row],[Dividendo / Ação]]&gt;0,Tabela2[[#This Row],[Dividendo / Ação]]/Tabela2[[#This Row],[Cotação]],"")</f>
        <v>7.7757685352622063E-2</v>
      </c>
      <c r="J308" s="62">
        <f>SUMPRODUCT(N(Tabela1[Código]=Tabela2[[#This Row],[Ativo]]),Tabela1[Fechamento])</f>
        <v>22.12</v>
      </c>
      <c r="K308" s="62">
        <f>SUMPRODUCT(N(Tabela17[Código]=Tabela2[[#This Row],[Ativo]]),Tabela17[Fechamento])</f>
        <v>0</v>
      </c>
    </row>
    <row r="309" spans="1:13" x14ac:dyDescent="0.2">
      <c r="A309" s="4" t="s">
        <v>205</v>
      </c>
      <c r="B309" s="4">
        <v>2012</v>
      </c>
      <c r="C309" s="6">
        <v>13335000</v>
      </c>
      <c r="D309" s="8">
        <f>SUMPRODUCT(N(Tabela3[PAPEL]=Tabela2[[#This Row],[Ativo]]),Tabela3[Total Ações])</f>
        <v>11764889</v>
      </c>
      <c r="E309" s="67">
        <f>(Tabela2[[#This Row],[Lucro Líquido]])/Tabela2[[#This Row],[Total Ações]]</f>
        <v>1.1334573577362268</v>
      </c>
      <c r="F309" s="67">
        <v>0.27145999999999998</v>
      </c>
      <c r="G309" s="46">
        <f>IF(AND(Tabela2[[#This Row],[Dividendo / Ação]]&gt;0,Tabela2[[#This Row],[Lucro por ação]]&gt;0),Tabela2[[#This Row],[Dividendo / Ação]]/Tabela2[[#This Row],[Lucro por ação]],"")</f>
        <v>0.23949732043044619</v>
      </c>
      <c r="H309" s="6">
        <f>MAX(Tabela2[[#This Row],[Cotação 1]],Tabela2[[#This Row],[Cotação 2]])</f>
        <v>49.45</v>
      </c>
      <c r="I309" s="19">
        <f>IF(Tabela2[[#This Row],[Dividendo / Ação]]&gt;0,Tabela2[[#This Row],[Dividendo / Ação]]/Tabela2[[#This Row],[Cotação]],"")</f>
        <v>5.4895854398382196E-3</v>
      </c>
      <c r="J309" s="62">
        <f>SUMPRODUCT(N(Tabela1[Código]=Tabela2[[#This Row],[Ativo]]),Tabela1[Fechamento])</f>
        <v>49.45</v>
      </c>
      <c r="K309" s="62">
        <f>SUMPRODUCT(N(Tabela17[Código]=Tabela2[[#This Row],[Ativo]]),Tabela17[Fechamento])</f>
        <v>0</v>
      </c>
    </row>
    <row r="310" spans="1:13" x14ac:dyDescent="0.2">
      <c r="A310" s="4" t="s">
        <v>205</v>
      </c>
      <c r="B310" s="4">
        <v>2011</v>
      </c>
      <c r="C310" s="6">
        <v>23655000</v>
      </c>
      <c r="D310" s="8">
        <f>SUMPRODUCT(N(Tabela3[PAPEL]=Tabela2[[#This Row],[Ativo]]),Tabela3[Total Ações])</f>
        <v>11764889</v>
      </c>
      <c r="E310" s="67">
        <f>(Tabela2[[#This Row],[Lucro Líquido]])/Tabela2[[#This Row],[Total Ações]]</f>
        <v>2.0106437043307421</v>
      </c>
      <c r="F310" s="67">
        <v>1.9100999999999999</v>
      </c>
      <c r="G310" s="46">
        <f>IF(AND(Tabela2[[#This Row],[Dividendo / Ação]]&gt;0,Tabela2[[#This Row],[Lucro por ação]]&gt;0),Tabela2[[#This Row],[Dividendo / Ação]]/Tabela2[[#This Row],[Lucro por ação]],"")</f>
        <v>0.94999427093214961</v>
      </c>
      <c r="H310" s="6">
        <f>MAX(Tabela2[[#This Row],[Cotação 1]],Tabela2[[#This Row],[Cotação 2]])</f>
        <v>49.45</v>
      </c>
      <c r="I310" s="19">
        <f>IF(Tabela2[[#This Row],[Dividendo / Ação]]&gt;0,Tabela2[[#This Row],[Dividendo / Ação]]/Tabela2[[#This Row],[Cotação]],"")</f>
        <v>3.862689585439838E-2</v>
      </c>
      <c r="J310" s="62">
        <f>SUMPRODUCT(N(Tabela1[Código]=Tabela2[[#This Row],[Ativo]]),Tabela1[Fechamento])</f>
        <v>49.45</v>
      </c>
      <c r="K310" s="62">
        <f>SUMPRODUCT(N(Tabela17[Código]=Tabela2[[#This Row],[Ativo]]),Tabela17[Fechamento])</f>
        <v>0</v>
      </c>
    </row>
    <row r="311" spans="1:13" x14ac:dyDescent="0.2">
      <c r="A311" s="4" t="s">
        <v>205</v>
      </c>
      <c r="B311" s="4">
        <v>2010</v>
      </c>
      <c r="C311" s="5">
        <v>23252000</v>
      </c>
      <c r="D311" s="63">
        <f>SUMPRODUCT(N(Tabela3[PAPEL]=Tabela2[[#This Row],[Ativo]]),Tabela3[Total Ações])</f>
        <v>11764889</v>
      </c>
      <c r="E311" s="66">
        <f>(Tabela2[[#This Row],[Lucro Líquido]])/Tabela2[[#This Row],[Total Ações]]</f>
        <v>1.9763892375015182</v>
      </c>
      <c r="F311" s="66">
        <v>0.92493999999999998</v>
      </c>
      <c r="G311" s="22">
        <f>IF(AND(Tabela2[[#This Row],[Dividendo / Ação]]&gt;0,Tabela2[[#This Row],[Lucro por ação]]&gt;0),Tabela2[[#This Row],[Dividendo / Ação]]/Tabela2[[#This Row],[Lucro por ação]],"")</f>
        <v>0.46799485771804578</v>
      </c>
      <c r="H311" s="5">
        <f>MAX(Tabela2[[#This Row],[Cotação 1]],Tabela2[[#This Row],[Cotação 2]])</f>
        <v>49.45</v>
      </c>
      <c r="I311" s="18">
        <f>IF(Tabela2[[#This Row],[Dividendo / Ação]]&gt;0,Tabela2[[#This Row],[Dividendo / Ação]]/Tabela2[[#This Row],[Cotação]],"")</f>
        <v>1.8704550050556115E-2</v>
      </c>
      <c r="J311" s="61">
        <f>SUMPRODUCT(N(Tabela1[Código]=Tabela2[[#This Row],[Ativo]]),Tabela1[Fechamento])</f>
        <v>49.45</v>
      </c>
      <c r="K311" s="61">
        <f>SUMPRODUCT(N(Tabela17[Código]=Tabela2[[#This Row],[Ativo]]),Tabela17[Fechamento])</f>
        <v>0</v>
      </c>
    </row>
    <row r="312" spans="1:13" x14ac:dyDescent="0.2">
      <c r="A312" s="4" t="s">
        <v>205</v>
      </c>
      <c r="B312" s="4">
        <v>2009</v>
      </c>
      <c r="C312" s="5">
        <v>11051000</v>
      </c>
      <c r="D312" s="63">
        <f>SUMPRODUCT(N(Tabela3[PAPEL]=Tabela2[[#This Row],[Ativo]]),Tabela3[Total Ações])</f>
        <v>11764889</v>
      </c>
      <c r="E312" s="66">
        <f>(Tabela2[[#This Row],[Lucro Líquido]])/Tabela2[[#This Row],[Total Ações]]</f>
        <v>0.93932037947829339</v>
      </c>
      <c r="F312" s="66">
        <v>6.5060000000000007E-2</v>
      </c>
      <c r="G312" s="22">
        <f>IF(AND(Tabela2[[#This Row],[Dividendo / Ação]]&gt;0,Tabela2[[#This Row],[Lucro por ação]]&gt;0),Tabela2[[#This Row],[Dividendo / Ação]]/Tabela2[[#This Row],[Lucro por ação]],"")</f>
        <v>6.9262843031399887E-2</v>
      </c>
      <c r="H312" s="5">
        <f>MAX(Tabela2[[#This Row],[Cotação 1]],Tabela2[[#This Row],[Cotação 2]])</f>
        <v>49.45</v>
      </c>
      <c r="I312" s="18">
        <f>IF(Tabela2[[#This Row],[Dividendo / Ação]]&gt;0,Tabela2[[#This Row],[Dividendo / Ação]]/Tabela2[[#This Row],[Cotação]],"")</f>
        <v>1.3156723963599595E-3</v>
      </c>
      <c r="J312" s="61">
        <f>SUMPRODUCT(N(Tabela1[Código]=Tabela2[[#This Row],[Ativo]]),Tabela1[Fechamento])</f>
        <v>49.45</v>
      </c>
      <c r="K312" s="61">
        <f>SUMPRODUCT(N(Tabela17[Código]=Tabela2[[#This Row],[Ativo]]),Tabela17[Fechamento])</f>
        <v>0</v>
      </c>
    </row>
    <row r="313" spans="1:13" x14ac:dyDescent="0.2">
      <c r="A313" s="4" t="s">
        <v>78</v>
      </c>
      <c r="B313" s="4">
        <v>2012</v>
      </c>
      <c r="C313" s="6">
        <v>187453404.96000001</v>
      </c>
      <c r="D313" s="8">
        <f>SUMPRODUCT(N(Tabela3[PAPEL]=Tabela2[[#This Row],[Ativo]]),Tabela3[Total Ações])</f>
        <v>110842313</v>
      </c>
      <c r="E313" s="67">
        <f>(Tabela2[[#This Row],[Lucro Líquido]])/Tabela2[[#This Row],[Total Ações]]</f>
        <v>1.6911718989480129</v>
      </c>
      <c r="F313" s="67">
        <v>0.92906</v>
      </c>
      <c r="G313" s="46">
        <f>IF(AND(Tabela2[[#This Row],[Dividendo / Ação]]&gt;0,Tabela2[[#This Row],[Lucro por ação]]&gt;0),Tabela2[[#This Row],[Dividendo / Ação]]/Tabela2[[#This Row],[Lucro por ação]],"")</f>
        <v>0.54935870243463614</v>
      </c>
      <c r="H313" s="6">
        <f>MAX(Tabela2[[#This Row],[Cotação 1]],Tabela2[[#This Row],[Cotação 2]])</f>
        <v>10.53</v>
      </c>
      <c r="I313" s="19">
        <f>IF(Tabela2[[#This Row],[Dividendo / Ação]]&gt;0,Tabela2[[#This Row],[Dividendo / Ação]]/Tabela2[[#This Row],[Cotação]],"")</f>
        <v>8.82298195631529E-2</v>
      </c>
      <c r="J313" s="62">
        <f>SUMPRODUCT(N(Tabela1[Código]=Tabela2[[#This Row],[Ativo]]),Tabela1[Fechamento])</f>
        <v>10.53</v>
      </c>
      <c r="K313" s="62">
        <f>SUMPRODUCT(N(Tabela17[Código]=Tabela2[[#This Row],[Ativo]]),Tabela17[Fechamento])</f>
        <v>0</v>
      </c>
    </row>
    <row r="314" spans="1:13" x14ac:dyDescent="0.2">
      <c r="A314" s="4" t="s">
        <v>78</v>
      </c>
      <c r="B314" s="4">
        <v>2011</v>
      </c>
      <c r="C314" s="6">
        <v>161513908.16999999</v>
      </c>
      <c r="D314" s="8">
        <f>SUMPRODUCT(N(Tabela3[PAPEL]=Tabela2[[#This Row],[Ativo]]),Tabela3[Total Ações])</f>
        <v>110842313</v>
      </c>
      <c r="E314" s="67">
        <f>(Tabela2[[#This Row],[Lucro Líquido]])/Tabela2[[#This Row],[Total Ações]]</f>
        <v>1.4571502867321073</v>
      </c>
      <c r="F314" s="67">
        <v>0.83615399999999995</v>
      </c>
      <c r="G314" s="46">
        <f>IF(AND(Tabela2[[#This Row],[Dividendo / Ação]]&gt;0,Tabela2[[#This Row],[Lucro por ação]]&gt;0),Tabela2[[#This Row],[Dividendo / Ação]]/Tabela2[[#This Row],[Lucro por ação]],"")</f>
        <v>0.57382825067084131</v>
      </c>
      <c r="H314" s="6">
        <f>MAX(Tabela2[[#This Row],[Cotação 1]],Tabela2[[#This Row],[Cotação 2]])</f>
        <v>10.53</v>
      </c>
      <c r="I314" s="19">
        <f>IF(Tabela2[[#This Row],[Dividendo / Ação]]&gt;0,Tabela2[[#This Row],[Dividendo / Ação]]/Tabela2[[#This Row],[Cotação]],"")</f>
        <v>7.9406837606837602E-2</v>
      </c>
      <c r="J314" s="62">
        <f>SUMPRODUCT(N(Tabela1[Código]=Tabela2[[#This Row],[Ativo]]),Tabela1[Fechamento])</f>
        <v>10.53</v>
      </c>
      <c r="K314" s="62">
        <f>SUMPRODUCT(N(Tabela17[Código]=Tabela2[[#This Row],[Ativo]]),Tabela17[Fechamento])</f>
        <v>0</v>
      </c>
    </row>
    <row r="315" spans="1:13" x14ac:dyDescent="0.2">
      <c r="A315" s="4" t="s">
        <v>78</v>
      </c>
      <c r="B315" s="4">
        <v>2010</v>
      </c>
      <c r="C315" s="6">
        <v>116428578.18000001</v>
      </c>
      <c r="D315" s="8">
        <f>SUMPRODUCT(N(Tabela3[PAPEL]=Tabela2[[#This Row],[Ativo]]),Tabela3[Total Ações])</f>
        <v>110842313</v>
      </c>
      <c r="E315" s="67">
        <f>(Tabela2[[#This Row],[Lucro Líquido]])/Tabela2[[#This Row],[Total Ações]]</f>
        <v>1.0503983093532161</v>
      </c>
      <c r="F315" s="67">
        <v>0.69679500000000005</v>
      </c>
      <c r="G315" s="46">
        <f>IF(AND(Tabela2[[#This Row],[Dividendo / Ação]]&gt;0,Tabela2[[#This Row],[Lucro por ação]]&gt;0),Tabela2[[#This Row],[Dividendo / Ação]]/Tabela2[[#This Row],[Lucro por ação]],"")</f>
        <v>0.66336264424211833</v>
      </c>
      <c r="H315" s="6">
        <f>MAX(Tabela2[[#This Row],[Cotação 1]],Tabela2[[#This Row],[Cotação 2]])</f>
        <v>10.53</v>
      </c>
      <c r="I315" s="19">
        <f>IF(Tabela2[[#This Row],[Dividendo / Ação]]&gt;0,Tabela2[[#This Row],[Dividendo / Ação]]/Tabela2[[#This Row],[Cotação]],"")</f>
        <v>6.6172364672364675E-2</v>
      </c>
      <c r="J315" s="62">
        <f>SUMPRODUCT(N(Tabela1[Código]=Tabela2[[#This Row],[Ativo]]),Tabela1[Fechamento])</f>
        <v>10.53</v>
      </c>
      <c r="K315" s="62">
        <f>SUMPRODUCT(N(Tabela17[Código]=Tabela2[[#This Row],[Ativo]]),Tabela17[Fechamento])</f>
        <v>0</v>
      </c>
      <c r="M315" s="5"/>
    </row>
    <row r="316" spans="1:13" x14ac:dyDescent="0.2">
      <c r="A316" s="4" t="s">
        <v>78</v>
      </c>
      <c r="B316" s="4">
        <v>2009</v>
      </c>
      <c r="C316" s="6">
        <v>86911496.730000004</v>
      </c>
      <c r="D316" s="8">
        <f>SUMPRODUCT(N(Tabela3[PAPEL]=Tabela2[[#This Row],[Ativo]]),Tabela3[Total Ações])</f>
        <v>110842313</v>
      </c>
      <c r="E316" s="67">
        <f>(Tabela2[[#This Row],[Lucro Líquido]])/Tabela2[[#This Row],[Total Ações]]</f>
        <v>0.78410035281382129</v>
      </c>
      <c r="F316" s="67">
        <v>0.69679500000000005</v>
      </c>
      <c r="G316" s="46">
        <f>IF(AND(Tabela2[[#This Row],[Dividendo / Ação]]&gt;0,Tabela2[[#This Row],[Lucro por ação]]&gt;0),Tabela2[[#This Row],[Dividendo / Ação]]/Tabela2[[#This Row],[Lucro por ação]],"")</f>
        <v>0.88865538384147214</v>
      </c>
      <c r="H316" s="6">
        <f>MAX(Tabela2[[#This Row],[Cotação 1]],Tabela2[[#This Row],[Cotação 2]])</f>
        <v>10.53</v>
      </c>
      <c r="I316" s="19">
        <f>IF(Tabela2[[#This Row],[Dividendo / Ação]]&gt;0,Tabela2[[#This Row],[Dividendo / Ação]]/Tabela2[[#This Row],[Cotação]],"")</f>
        <v>6.6172364672364675E-2</v>
      </c>
      <c r="J316" s="62">
        <f>SUMPRODUCT(N(Tabela1[Código]=Tabela2[[#This Row],[Ativo]]),Tabela1[Fechamento])</f>
        <v>10.53</v>
      </c>
      <c r="K316" s="62">
        <f>SUMPRODUCT(N(Tabela17[Código]=Tabela2[[#This Row],[Ativo]]),Tabela17[Fechamento])</f>
        <v>0</v>
      </c>
    </row>
    <row r="317" spans="1:13" x14ac:dyDescent="0.2">
      <c r="A317" s="15" t="s">
        <v>87</v>
      </c>
      <c r="B317" s="4">
        <v>2012</v>
      </c>
      <c r="C317" s="6">
        <v>196691606.94</v>
      </c>
      <c r="D317" s="8">
        <f>SUMPRODUCT(N(Tabela3[PAPEL]=Tabela2[[#This Row],[Ativo]]),Tabela3[Total Ações])</f>
        <v>87289932</v>
      </c>
      <c r="E317" s="67">
        <f>(Tabela2[[#This Row],[Lucro Líquido]])/Tabela2[[#This Row],[Total Ações]]</f>
        <v>2.2533137835414969</v>
      </c>
      <c r="F317" s="67">
        <v>0.72</v>
      </c>
      <c r="G317" s="46">
        <f>IF(AND(Tabela2[[#This Row],[Dividendo / Ação]]&gt;0,Tabela2[[#This Row],[Lucro por ação]]&gt;0),Tabela2[[#This Row],[Dividendo / Ação]]/Tabela2[[#This Row],[Lucro por ação]],"")</f>
        <v>0.31952939943783043</v>
      </c>
      <c r="H317" s="6">
        <f>MAX(Tabela2[[#This Row],[Cotação 1]],Tabela2[[#This Row],[Cotação 2]])</f>
        <v>11.6</v>
      </c>
      <c r="I317" s="19">
        <f>IF(Tabela2[[#This Row],[Dividendo / Ação]]&gt;0,Tabela2[[#This Row],[Dividendo / Ação]]/Tabela2[[#This Row],[Cotação]],"")</f>
        <v>6.2068965517241378E-2</v>
      </c>
      <c r="J317" s="62">
        <f>SUMPRODUCT(N(Tabela1[Código]=Tabela2[[#This Row],[Ativo]]),Tabela1[Fechamento])</f>
        <v>11.6</v>
      </c>
      <c r="K317" s="62">
        <f>SUMPRODUCT(N(Tabela17[Código]=Tabela2[[#This Row],[Ativo]]),Tabela17[Fechamento])</f>
        <v>0</v>
      </c>
    </row>
    <row r="318" spans="1:13" x14ac:dyDescent="0.2">
      <c r="A318" s="15" t="s">
        <v>87</v>
      </c>
      <c r="B318" s="4">
        <v>2011</v>
      </c>
      <c r="C318" s="6">
        <v>359474959.12</v>
      </c>
      <c r="D318" s="8">
        <f>SUMPRODUCT(N(Tabela3[PAPEL]=Tabela2[[#This Row],[Ativo]]),Tabela3[Total Ações])</f>
        <v>87289932</v>
      </c>
      <c r="E318" s="67">
        <f>(Tabela2[[#This Row],[Lucro Líquido]])/Tabela2[[#This Row],[Total Ações]]</f>
        <v>4.118172060438769</v>
      </c>
      <c r="F318" s="67">
        <v>1.0900000000000001</v>
      </c>
      <c r="G318" s="46">
        <f>IF(AND(Tabela2[[#This Row],[Dividendo / Ação]]&gt;0,Tabela2[[#This Row],[Lucro por ação]]&gt;0),Tabela2[[#This Row],[Dividendo / Ação]]/Tabela2[[#This Row],[Lucro por ação]],"")</f>
        <v>0.26468053884175652</v>
      </c>
      <c r="H318" s="6">
        <f>MAX(Tabela2[[#This Row],[Cotação 1]],Tabela2[[#This Row],[Cotação 2]])</f>
        <v>11.6</v>
      </c>
      <c r="I318" s="19">
        <f>IF(Tabela2[[#This Row],[Dividendo / Ação]]&gt;0,Tabela2[[#This Row],[Dividendo / Ação]]/Tabela2[[#This Row],[Cotação]],"")</f>
        <v>9.3965517241379318E-2</v>
      </c>
      <c r="J318" s="62">
        <f>SUMPRODUCT(N(Tabela1[Código]=Tabela2[[#This Row],[Ativo]]),Tabela1[Fechamento])</f>
        <v>11.6</v>
      </c>
      <c r="K318" s="62">
        <f>SUMPRODUCT(N(Tabela17[Código]=Tabela2[[#This Row],[Ativo]]),Tabela17[Fechamento])</f>
        <v>0</v>
      </c>
    </row>
    <row r="319" spans="1:13" x14ac:dyDescent="0.2">
      <c r="A319" s="15" t="s">
        <v>87</v>
      </c>
      <c r="B319" s="4">
        <v>2010</v>
      </c>
      <c r="C319" s="6">
        <v>117452154.81999999</v>
      </c>
      <c r="D319" s="8">
        <f>SUMPRODUCT(N(Tabela3[PAPEL]=Tabela2[[#This Row],[Ativo]]),Tabela3[Total Ações])</f>
        <v>87289932</v>
      </c>
      <c r="E319" s="67">
        <f>(Tabela2[[#This Row],[Lucro Líquido]])/Tabela2[[#This Row],[Total Ações]]</f>
        <v>1.3455406841192177</v>
      </c>
      <c r="F319" s="67">
        <v>0.52</v>
      </c>
      <c r="G319" s="46">
        <f>IF(AND(Tabela2[[#This Row],[Dividendo / Ação]]&gt;0,Tabela2[[#This Row],[Lucro por ação]]&gt;0),Tabela2[[#This Row],[Dividendo / Ação]]/Tabela2[[#This Row],[Lucro por ação]],"")</f>
        <v>0.38646174444022008</v>
      </c>
      <c r="H319" s="6">
        <f>MAX(Tabela2[[#This Row],[Cotação 1]],Tabela2[[#This Row],[Cotação 2]])</f>
        <v>11.6</v>
      </c>
      <c r="I319" s="19">
        <f>IF(Tabela2[[#This Row],[Dividendo / Ação]]&gt;0,Tabela2[[#This Row],[Dividendo / Ação]]/Tabela2[[#This Row],[Cotação]],"")</f>
        <v>4.4827586206896558E-2</v>
      </c>
      <c r="J319" s="62">
        <f>SUMPRODUCT(N(Tabela1[Código]=Tabela2[[#This Row],[Ativo]]),Tabela1[Fechamento])</f>
        <v>11.6</v>
      </c>
      <c r="K319" s="62">
        <f>SUMPRODUCT(N(Tabela17[Código]=Tabela2[[#This Row],[Ativo]]),Tabela17[Fechamento])</f>
        <v>0</v>
      </c>
    </row>
    <row r="320" spans="1:13" x14ac:dyDescent="0.2">
      <c r="A320" s="4" t="s">
        <v>303</v>
      </c>
      <c r="B320" s="4">
        <v>2012</v>
      </c>
      <c r="C320" s="6">
        <v>682580077</v>
      </c>
      <c r="D320" s="8">
        <f>SUMPRODUCT(N(Tabela3[PAPEL]=Tabela2[[#This Row],[Ativo]]),Tabela3[Total Ações])</f>
        <v>323293030</v>
      </c>
      <c r="E320" s="67">
        <f>(Tabela2[[#This Row],[Lucro Líquido]])/Tabela2[[#This Row],[Total Ações]]</f>
        <v>2.111335579984511</v>
      </c>
      <c r="F320" s="67">
        <v>1.05</v>
      </c>
      <c r="G320" s="46">
        <f>IF(AND(Tabela2[[#This Row],[Dividendo / Ação]]&gt;0,Tabela2[[#This Row],[Lucro por ação]]&gt;0),Tabela2[[#This Row],[Dividendo / Ação]]/Tabela2[[#This Row],[Lucro por ação]],"")</f>
        <v>0.49731554280333917</v>
      </c>
      <c r="H320" s="6">
        <f>MAX(Tabela2[[#This Row],[Cotação 1]],Tabela2[[#This Row],[Cotação 2]])</f>
        <v>29.75</v>
      </c>
      <c r="I320" s="19">
        <f>IF(Tabela2[[#This Row],[Dividendo / Ação]]&gt;0,Tabela2[[#This Row],[Dividendo / Ação]]/Tabela2[[#This Row],[Cotação]],"")</f>
        <v>3.5294117647058823E-2</v>
      </c>
      <c r="J320" s="62">
        <f>SUMPRODUCT(N(Tabela1[Código]=Tabela2[[#This Row],[Ativo]]),Tabela1[Fechamento])</f>
        <v>29.75</v>
      </c>
      <c r="K320" s="62">
        <f>SUMPRODUCT(N(Tabela17[Código]=Tabela2[[#This Row],[Ativo]]),Tabela17[Fechamento])</f>
        <v>0</v>
      </c>
    </row>
    <row r="321" spans="1:13" x14ac:dyDescent="0.2">
      <c r="A321" s="4" t="s">
        <v>303</v>
      </c>
      <c r="B321" s="4">
        <v>2011</v>
      </c>
      <c r="C321" s="6">
        <v>580084000</v>
      </c>
      <c r="D321" s="8">
        <f>SUMPRODUCT(N(Tabela3[PAPEL]=Tabela2[[#This Row],[Ativo]]),Tabela3[Total Ações])</f>
        <v>323293030</v>
      </c>
      <c r="E321" s="67">
        <f>(Tabela2[[#This Row],[Lucro Líquido]])/Tabela2[[#This Row],[Total Ações]]</f>
        <v>1.7942978851106068</v>
      </c>
      <c r="F321" s="67">
        <v>0.84</v>
      </c>
      <c r="G321" s="46">
        <f>IF(AND(Tabela2[[#This Row],[Dividendo / Ação]]&gt;0,Tabela2[[#This Row],[Lucro por ação]]&gt;0),Tabela2[[#This Row],[Dividendo / Ação]]/Tabela2[[#This Row],[Lucro por ação]],"")</f>
        <v>0.46814969073444535</v>
      </c>
      <c r="H321" s="6">
        <f>MAX(Tabela2[[#This Row],[Cotação 1]],Tabela2[[#This Row],[Cotação 2]])</f>
        <v>29.75</v>
      </c>
      <c r="I321" s="19">
        <f>IF(Tabela2[[#This Row],[Dividendo / Ação]]&gt;0,Tabela2[[#This Row],[Dividendo / Ação]]/Tabela2[[#This Row],[Cotação]],"")</f>
        <v>2.8235294117647056E-2</v>
      </c>
      <c r="J321" s="62">
        <f>SUMPRODUCT(N(Tabela1[Código]=Tabela2[[#This Row],[Ativo]]),Tabela1[Fechamento])</f>
        <v>29.75</v>
      </c>
      <c r="K321" s="62">
        <f>SUMPRODUCT(N(Tabela17[Código]=Tabela2[[#This Row],[Ativo]]),Tabela17[Fechamento])</f>
        <v>0</v>
      </c>
    </row>
    <row r="322" spans="1:13" x14ac:dyDescent="0.2">
      <c r="A322" s="4" t="s">
        <v>303</v>
      </c>
      <c r="B322" s="4">
        <v>2010</v>
      </c>
      <c r="C322" s="6">
        <v>623912000</v>
      </c>
      <c r="D322" s="8">
        <f>SUMPRODUCT(N(Tabela3[PAPEL]=Tabela2[[#This Row],[Ativo]]),Tabela3[Total Ações])</f>
        <v>323293030</v>
      </c>
      <c r="E322" s="67">
        <f>(Tabela2[[#This Row],[Lucro Líquido]])/Tabela2[[#This Row],[Total Ações]]</f>
        <v>1.9298652989827836</v>
      </c>
      <c r="F322" s="67">
        <v>0.72</v>
      </c>
      <c r="G322" s="46">
        <f>IF(AND(Tabela2[[#This Row],[Dividendo / Ação]]&gt;0,Tabela2[[#This Row],[Lucro por ação]]&gt;0),Tabela2[[#This Row],[Dividendo / Ação]]/Tabela2[[#This Row],[Lucro por ação]],"")</f>
        <v>0.37308303350472499</v>
      </c>
      <c r="H322" s="6">
        <f>MAX(Tabela2[[#This Row],[Cotação 1]],Tabela2[[#This Row],[Cotação 2]])</f>
        <v>29.75</v>
      </c>
      <c r="I322" s="19">
        <f>IF(Tabela2[[#This Row],[Dividendo / Ação]]&gt;0,Tabela2[[#This Row],[Dividendo / Ação]]/Tabela2[[#This Row],[Cotação]],"")</f>
        <v>2.4201680672268907E-2</v>
      </c>
      <c r="J322" s="62">
        <f>SUMPRODUCT(N(Tabela1[Código]=Tabela2[[#This Row],[Ativo]]),Tabela1[Fechamento])</f>
        <v>29.75</v>
      </c>
      <c r="K322" s="62">
        <f>SUMPRODUCT(N(Tabela17[Código]=Tabela2[[#This Row],[Ativo]]),Tabela17[Fechamento])</f>
        <v>0</v>
      </c>
    </row>
    <row r="323" spans="1:13" x14ac:dyDescent="0.2">
      <c r="A323" s="4" t="s">
        <v>303</v>
      </c>
      <c r="B323" s="4">
        <v>2009</v>
      </c>
      <c r="C323" s="6">
        <v>328416000</v>
      </c>
      <c r="D323" s="8">
        <f>SUMPRODUCT(N(Tabela3[PAPEL]=Tabela2[[#This Row],[Ativo]]),Tabela3[Total Ações])</f>
        <v>323293030</v>
      </c>
      <c r="E323" s="67">
        <f>(Tabela2[[#This Row],[Lucro Líquido]])/Tabela2[[#This Row],[Total Ações]]</f>
        <v>1.0158462123356016</v>
      </c>
      <c r="F323" s="67">
        <v>0.4</v>
      </c>
      <c r="G323" s="46">
        <f>IF(AND(Tabela2[[#This Row],[Dividendo / Ação]]&gt;0,Tabela2[[#This Row],[Lucro por ação]]&gt;0),Tabela2[[#This Row],[Dividendo / Ação]]/Tabela2[[#This Row],[Lucro por ação]],"")</f>
        <v>0.39376038926239892</v>
      </c>
      <c r="H323" s="6">
        <f>MAX(Tabela2[[#This Row],[Cotação 1]],Tabela2[[#This Row],[Cotação 2]])</f>
        <v>29.75</v>
      </c>
      <c r="I323" s="19">
        <f>IF(Tabela2[[#This Row],[Dividendo / Ação]]&gt;0,Tabela2[[#This Row],[Dividendo / Ação]]/Tabela2[[#This Row],[Cotação]],"")</f>
        <v>1.3445378151260505E-2</v>
      </c>
      <c r="J323" s="62">
        <f>SUMPRODUCT(N(Tabela1[Código]=Tabela2[[#This Row],[Ativo]]),Tabela1[Fechamento])</f>
        <v>29.75</v>
      </c>
      <c r="K323" s="62">
        <f>SUMPRODUCT(N(Tabela17[Código]=Tabela2[[#This Row],[Ativo]]),Tabela17[Fechamento])</f>
        <v>0</v>
      </c>
    </row>
    <row r="324" spans="1:13" x14ac:dyDescent="0.2">
      <c r="A324" s="4" t="s">
        <v>228</v>
      </c>
      <c r="B324" s="4">
        <v>2012</v>
      </c>
      <c r="C324" s="6">
        <v>26381000</v>
      </c>
      <c r="D324" s="8">
        <f>SUMPRODUCT(N(Tabela3[PAPEL]=Tabela2[[#This Row],[Ativo]]),Tabela3[Total Ações])</f>
        <v>166720235</v>
      </c>
      <c r="E324" s="67">
        <f>(Tabela2[[#This Row],[Lucro Líquido]])/Tabela2[[#This Row],[Total Ações]]</f>
        <v>0.15823514164312449</v>
      </c>
      <c r="F324" s="67">
        <v>6.1899999999999997E-2</v>
      </c>
      <c r="G324" s="46">
        <f>IF(AND(Tabela2[[#This Row],[Dividendo / Ação]]&gt;0,Tabela2[[#This Row],[Lucro por ação]]&gt;0),Tabela2[[#This Row],[Dividendo / Ação]]/Tabela2[[#This Row],[Lucro por ação]],"")</f>
        <v>0.39118996802623096</v>
      </c>
      <c r="H324" s="6">
        <f>MAX(Tabela2[[#This Row],[Cotação 1]],Tabela2[[#This Row],[Cotação 2]])</f>
        <v>3.3</v>
      </c>
      <c r="I324" s="19">
        <f>IF(Tabela2[[#This Row],[Dividendo / Ação]]&gt;0,Tabela2[[#This Row],[Dividendo / Ação]]/Tabela2[[#This Row],[Cotação]],"")</f>
        <v>1.8757575757575758E-2</v>
      </c>
      <c r="J324" s="62">
        <f>SUMPRODUCT(N(Tabela1[Código]=Tabela2[[#This Row],[Ativo]]),Tabela1[Fechamento])</f>
        <v>3.3</v>
      </c>
      <c r="K324" s="62">
        <f>SUMPRODUCT(N(Tabela17[Código]=Tabela2[[#This Row],[Ativo]]),Tabela17[Fechamento])</f>
        <v>0</v>
      </c>
    </row>
    <row r="325" spans="1:13" x14ac:dyDescent="0.2">
      <c r="A325" s="4" t="s">
        <v>228</v>
      </c>
      <c r="B325" s="3">
        <v>2011</v>
      </c>
      <c r="C325" s="5">
        <v>9354000</v>
      </c>
      <c r="D325" s="63">
        <f>SUMPRODUCT(N(Tabela3[PAPEL]=Tabela2[[#This Row],[Ativo]]),Tabela3[Total Ações])</f>
        <v>166720235</v>
      </c>
      <c r="E325" s="66">
        <f>(Tabela2[[#This Row],[Lucro Líquido]])/Tabela2[[#This Row],[Total Ações]]</f>
        <v>5.610596698115259E-2</v>
      </c>
      <c r="F325" s="66">
        <v>6.0350000000000001E-2</v>
      </c>
      <c r="G325" s="22">
        <f>IF(AND(Tabela2[[#This Row],[Dividendo / Ação]]&gt;0,Tabela2[[#This Row],[Lucro por ação]]&gt;0),Tabela2[[#This Row],[Dividendo / Ação]]/Tabela2[[#This Row],[Lucro por ação]],"")</f>
        <v>1.0756431668002993</v>
      </c>
      <c r="H325" s="5">
        <f>MAX(Tabela2[[#This Row],[Cotação 1]],Tabela2[[#This Row],[Cotação 2]])</f>
        <v>3.3</v>
      </c>
      <c r="I325" s="18">
        <f>IF(Tabela2[[#This Row],[Dividendo / Ação]]&gt;0,Tabela2[[#This Row],[Dividendo / Ação]]/Tabela2[[#This Row],[Cotação]],"")</f>
        <v>1.828787878787879E-2</v>
      </c>
      <c r="J325" s="61">
        <f>SUMPRODUCT(N(Tabela1[Código]=Tabela2[[#This Row],[Ativo]]),Tabela1[Fechamento])</f>
        <v>3.3</v>
      </c>
      <c r="K325" s="61">
        <f>SUMPRODUCT(N(Tabela17[Código]=Tabela2[[#This Row],[Ativo]]),Tabela17[Fechamento])</f>
        <v>0</v>
      </c>
    </row>
    <row r="326" spans="1:13" x14ac:dyDescent="0.2">
      <c r="A326" s="4" t="s">
        <v>228</v>
      </c>
      <c r="B326" s="3">
        <v>2010</v>
      </c>
      <c r="C326" s="5">
        <v>34360000</v>
      </c>
      <c r="D326" s="63">
        <f>SUMPRODUCT(N(Tabela3[PAPEL]=Tabela2[[#This Row],[Ativo]]),Tabela3[Total Ações])</f>
        <v>166720235</v>
      </c>
      <c r="E326" s="66">
        <f>(Tabela2[[#This Row],[Lucro Líquido]])/Tabela2[[#This Row],[Total Ações]]</f>
        <v>0.20609375940478972</v>
      </c>
      <c r="F326" s="66">
        <v>5.9830000000000001E-2</v>
      </c>
      <c r="G326" s="22">
        <f>IF(AND(Tabela2[[#This Row],[Dividendo / Ação]]&gt;0,Tabela2[[#This Row],[Lucro por ação]]&gt;0),Tabela2[[#This Row],[Dividendo / Ação]]/Tabela2[[#This Row],[Lucro por ação]],"")</f>
        <v>0.29030476309807918</v>
      </c>
      <c r="H326" s="5">
        <f>MAX(Tabela2[[#This Row],[Cotação 1]],Tabela2[[#This Row],[Cotação 2]])</f>
        <v>3.3</v>
      </c>
      <c r="I326" s="18">
        <f>IF(Tabela2[[#This Row],[Dividendo / Ação]]&gt;0,Tabela2[[#This Row],[Dividendo / Ação]]/Tabela2[[#This Row],[Cotação]],"")</f>
        <v>1.8130303030303031E-2</v>
      </c>
      <c r="J326" s="61">
        <f>SUMPRODUCT(N(Tabela1[Código]=Tabela2[[#This Row],[Ativo]]),Tabela1[Fechamento])</f>
        <v>3.3</v>
      </c>
      <c r="K326" s="61">
        <f>SUMPRODUCT(N(Tabela17[Código]=Tabela2[[#This Row],[Ativo]]),Tabela17[Fechamento])</f>
        <v>0</v>
      </c>
    </row>
    <row r="327" spans="1:13" x14ac:dyDescent="0.2">
      <c r="A327" s="4" t="s">
        <v>229</v>
      </c>
      <c r="B327" s="4">
        <v>2012</v>
      </c>
      <c r="C327" s="6">
        <v>26381000</v>
      </c>
      <c r="D327" s="8">
        <f>SUMPRODUCT(N(Tabela3[PAPEL]=Tabela2[[#This Row],[Ativo]]),Tabela3[Total Ações])</f>
        <v>166720235</v>
      </c>
      <c r="E327" s="67">
        <f>(Tabela2[[#This Row],[Lucro Líquido]])/Tabela2[[#This Row],[Total Ações]]</f>
        <v>0.15823514164312449</v>
      </c>
      <c r="F327" s="67">
        <v>6.1899999999999997E-2</v>
      </c>
      <c r="G327" s="46">
        <f>IF(AND(Tabela2[[#This Row],[Dividendo / Ação]]&gt;0,Tabela2[[#This Row],[Lucro por ação]]&gt;0),Tabela2[[#This Row],[Dividendo / Ação]]/Tabela2[[#This Row],[Lucro por ação]],"")</f>
        <v>0.39118996802623096</v>
      </c>
      <c r="H327" s="6">
        <f>MAX(Tabela2[[#This Row],[Cotação 1]],Tabela2[[#This Row],[Cotação 2]])</f>
        <v>3.25</v>
      </c>
      <c r="I327" s="19">
        <f>IF(Tabela2[[#This Row],[Dividendo / Ação]]&gt;0,Tabela2[[#This Row],[Dividendo / Ação]]/Tabela2[[#This Row],[Cotação]],"")</f>
        <v>1.9046153846153845E-2</v>
      </c>
      <c r="J327" s="62">
        <f>SUMPRODUCT(N(Tabela1[Código]=Tabela2[[#This Row],[Ativo]]),Tabela1[Fechamento])</f>
        <v>3.25</v>
      </c>
      <c r="K327" s="62">
        <f>SUMPRODUCT(N(Tabela17[Código]=Tabela2[[#This Row],[Ativo]]),Tabela17[Fechamento])</f>
        <v>0</v>
      </c>
    </row>
    <row r="328" spans="1:13" x14ac:dyDescent="0.2">
      <c r="A328" s="4" t="s">
        <v>229</v>
      </c>
      <c r="B328" s="4">
        <v>2011</v>
      </c>
      <c r="C328" s="5">
        <v>9354000</v>
      </c>
      <c r="D328" s="8">
        <f>SUMPRODUCT(N(Tabela3[PAPEL]=Tabela2[[#This Row],[Ativo]]),Tabela3[Total Ações])</f>
        <v>166720235</v>
      </c>
      <c r="E328" s="67">
        <f>(Tabela2[[#This Row],[Lucro Líquido]])/Tabela2[[#This Row],[Total Ações]]</f>
        <v>5.610596698115259E-2</v>
      </c>
      <c r="F328" s="67">
        <v>6.6379999999999995E-2</v>
      </c>
      <c r="G328" s="46">
        <f>IF(AND(Tabela2[[#This Row],[Dividendo / Ação]]&gt;0,Tabela2[[#This Row],[Lucro por ação]]&gt;0),Tabela2[[#This Row],[Dividendo / Ação]]/Tabela2[[#This Row],[Lucro por ação]],"")</f>
        <v>1.1831183663994012</v>
      </c>
      <c r="H328" s="6">
        <f>MAX(Tabela2[[#This Row],[Cotação 1]],Tabela2[[#This Row],[Cotação 2]])</f>
        <v>3.25</v>
      </c>
      <c r="I328" s="19">
        <f>IF(Tabela2[[#This Row],[Dividendo / Ação]]&gt;0,Tabela2[[#This Row],[Dividendo / Ação]]/Tabela2[[#This Row],[Cotação]],"")</f>
        <v>2.0424615384615381E-2</v>
      </c>
      <c r="J328" s="62">
        <f>SUMPRODUCT(N(Tabela1[Código]=Tabela2[[#This Row],[Ativo]]),Tabela1[Fechamento])</f>
        <v>3.25</v>
      </c>
      <c r="K328" s="62">
        <f>SUMPRODUCT(N(Tabela17[Código]=Tabela2[[#This Row],[Ativo]]),Tabela17[Fechamento])</f>
        <v>0</v>
      </c>
    </row>
    <row r="329" spans="1:13" x14ac:dyDescent="0.2">
      <c r="A329" s="4" t="s">
        <v>229</v>
      </c>
      <c r="B329" s="4">
        <v>2010</v>
      </c>
      <c r="C329" s="5">
        <v>34360000</v>
      </c>
      <c r="D329" s="8">
        <f>SUMPRODUCT(N(Tabela3[PAPEL]=Tabela2[[#This Row],[Ativo]]),Tabela3[Total Ações])</f>
        <v>166720235</v>
      </c>
      <c r="E329" s="67">
        <f>(Tabela2[[#This Row],[Lucro Líquido]])/Tabela2[[#This Row],[Total Ações]]</f>
        <v>0.20609375940478972</v>
      </c>
      <c r="F329" s="67">
        <v>6.5809999999999994E-2</v>
      </c>
      <c r="G329" s="46">
        <f>IF(AND(Tabela2[[#This Row],[Dividendo / Ação]]&gt;0,Tabela2[[#This Row],[Lucro por ação]]&gt;0),Tabela2[[#This Row],[Dividendo / Ação]]/Tabela2[[#This Row],[Lucro por ação]],"")</f>
        <v>0.31932068292636784</v>
      </c>
      <c r="H329" s="6">
        <f>MAX(Tabela2[[#This Row],[Cotação 1]],Tabela2[[#This Row],[Cotação 2]])</f>
        <v>3.25</v>
      </c>
      <c r="I329" s="19">
        <f>IF(Tabela2[[#This Row],[Dividendo / Ação]]&gt;0,Tabela2[[#This Row],[Dividendo / Ação]]/Tabela2[[#This Row],[Cotação]],"")</f>
        <v>2.0249230769230766E-2</v>
      </c>
      <c r="J329" s="62">
        <f>SUMPRODUCT(N(Tabela1[Código]=Tabela2[[#This Row],[Ativo]]),Tabela1[Fechamento])</f>
        <v>3.25</v>
      </c>
      <c r="K329" s="62">
        <f>SUMPRODUCT(N(Tabela17[Código]=Tabela2[[#This Row],[Ativo]]),Tabela17[Fechamento])</f>
        <v>0</v>
      </c>
    </row>
    <row r="330" spans="1:13" x14ac:dyDescent="0.2">
      <c r="A330" s="4" t="s">
        <v>68</v>
      </c>
      <c r="B330" s="4">
        <v>2012</v>
      </c>
      <c r="C330" s="6">
        <v>50944000</v>
      </c>
      <c r="D330" s="8">
        <f>SUMPRODUCT(N(Tabela3[PAPEL]=Tabela2[[#This Row],[Ativo]]),Tabela3[Total Ações])</f>
        <v>108480828</v>
      </c>
      <c r="E330" s="65">
        <f>(Tabela2[[#This Row],[Lucro Líquido]])/Tabela2[[#This Row],[Total Ações]]</f>
        <v>0.46961293473903054</v>
      </c>
      <c r="F330" s="65">
        <v>0.25598361800000002</v>
      </c>
      <c r="G330" s="18">
        <f>IF(AND(Tabela2[[#This Row],[Dividendo / Ação]]&gt;0,Tabela2[[#This Row],[Lucro por ação]]&gt;0),Tabela2[[#This Row],[Dividendo / Ação]]/Tabela2[[#This Row],[Lucro por ação]],"")</f>
        <v>0.5450949048970577</v>
      </c>
      <c r="H330" s="5">
        <f>MAX(Tabela2[[#This Row],[Cotação 1]],Tabela2[[#This Row],[Cotação 2]])</f>
        <v>5.98</v>
      </c>
      <c r="I330" s="18">
        <f>IF(Tabela2[[#This Row],[Dividendo / Ação]]&gt;0,Tabela2[[#This Row],[Dividendo / Ação]]/Tabela2[[#This Row],[Cotação]],"")</f>
        <v>4.2806625083612042E-2</v>
      </c>
      <c r="J330" s="61">
        <f>SUMPRODUCT(N(Tabela1[Código]=Tabela2[[#This Row],[Ativo]]),Tabela1[Fechamento])</f>
        <v>5.98</v>
      </c>
      <c r="K330" s="61">
        <f>SUMPRODUCT(N(Tabela17[Código]=Tabela2[[#This Row],[Ativo]]),Tabela17[Fechamento])</f>
        <v>0</v>
      </c>
    </row>
    <row r="331" spans="1:13" x14ac:dyDescent="0.2">
      <c r="A331" s="4" t="s">
        <v>68</v>
      </c>
      <c r="B331" s="4">
        <v>2011</v>
      </c>
      <c r="C331" s="6">
        <v>42494000</v>
      </c>
      <c r="D331" s="8">
        <f>SUMPRODUCT(N(Tabela3[PAPEL]=Tabela2[[#This Row],[Ativo]]),Tabela3[Total Ações])</f>
        <v>108480828</v>
      </c>
      <c r="E331" s="65">
        <f>(Tabela2[[#This Row],[Lucro Líquido]])/Tabela2[[#This Row],[Total Ações]]</f>
        <v>0.39171898651068554</v>
      </c>
      <c r="F331" s="65">
        <v>0.36250183699999999</v>
      </c>
      <c r="G331" s="19">
        <f>IF(AND(Tabela2[[#This Row],[Dividendo / Ação]]&gt;0,Tabela2[[#This Row],[Lucro por ação]]&gt;0),Tabela2[[#This Row],[Dividendo / Ação]]/Tabela2[[#This Row],[Lucro por ação]],"")</f>
        <v>0.9254129860517023</v>
      </c>
      <c r="H331" s="6">
        <f>MAX(Tabela2[[#This Row],[Cotação 1]],Tabela2[[#This Row],[Cotação 2]])</f>
        <v>5.98</v>
      </c>
      <c r="I331" s="18">
        <f>IF(Tabela2[[#This Row],[Dividendo / Ação]]&gt;0,Tabela2[[#This Row],[Dividendo / Ação]]/Tabela2[[#This Row],[Cotação]],"")</f>
        <v>6.0619036287625411E-2</v>
      </c>
      <c r="J331" s="61">
        <f>SUMPRODUCT(N(Tabela1[Código]=Tabela2[[#This Row],[Ativo]]),Tabela1[Fechamento])</f>
        <v>5.98</v>
      </c>
      <c r="K331" s="61">
        <f>SUMPRODUCT(N(Tabela17[Código]=Tabela2[[#This Row],[Ativo]]),Tabela17[Fechamento])</f>
        <v>0</v>
      </c>
    </row>
    <row r="332" spans="1:13" x14ac:dyDescent="0.2">
      <c r="A332" s="4" t="s">
        <v>68</v>
      </c>
      <c r="B332" s="4">
        <v>2010</v>
      </c>
      <c r="C332" s="6">
        <v>60637000</v>
      </c>
      <c r="D332" s="8">
        <f>SUMPRODUCT(N(Tabela3[PAPEL]=Tabela2[[#This Row],[Ativo]]),Tabela3[Total Ações])</f>
        <v>108480828</v>
      </c>
      <c r="E332" s="65">
        <f>(Tabela2[[#This Row],[Lucro Líquido]])/Tabela2[[#This Row],[Total Ações]]</f>
        <v>0.55896512884285876</v>
      </c>
      <c r="F332" s="65">
        <v>0.41899999999999998</v>
      </c>
      <c r="G332" s="19">
        <f>IF(AND(Tabela2[[#This Row],[Dividendo / Ação]]&gt;0,Tabela2[[#This Row],[Lucro por ação]]&gt;0),Tabela2[[#This Row],[Dividendo / Ação]]/Tabela2[[#This Row],[Lucro por ação]],"")</f>
        <v>0.74959953381598687</v>
      </c>
      <c r="H332" s="6">
        <f>MAX(Tabela2[[#This Row],[Cotação 1]],Tabela2[[#This Row],[Cotação 2]])</f>
        <v>5.98</v>
      </c>
      <c r="I332" s="18">
        <f>IF(Tabela2[[#This Row],[Dividendo / Ação]]&gt;0,Tabela2[[#This Row],[Dividendo / Ação]]/Tabela2[[#This Row],[Cotação]],"")</f>
        <v>7.0066889632107013E-2</v>
      </c>
      <c r="J332" s="61">
        <f>SUMPRODUCT(N(Tabela1[Código]=Tabela2[[#This Row],[Ativo]]),Tabela1[Fechamento])</f>
        <v>5.98</v>
      </c>
      <c r="K332" s="61">
        <f>SUMPRODUCT(N(Tabela17[Código]=Tabela2[[#This Row],[Ativo]]),Tabela17[Fechamento])</f>
        <v>0</v>
      </c>
    </row>
    <row r="333" spans="1:13" x14ac:dyDescent="0.2">
      <c r="A333" s="14" t="s">
        <v>239</v>
      </c>
      <c r="B333" s="3">
        <v>2012</v>
      </c>
      <c r="C333" s="5">
        <v>52406000</v>
      </c>
      <c r="D333" s="63">
        <f>SUMPRODUCT(N(Tabela3[PAPEL]=Tabela2[[#This Row],[Ativo]]),Tabela3[Total Ações])</f>
        <v>84682269</v>
      </c>
      <c r="E333" s="66">
        <f>(Tabela2[[#This Row],[Lucro Líquido]])/Tabela2[[#This Row],[Total Ações]]</f>
        <v>0.61885446172917258</v>
      </c>
      <c r="F333" s="66">
        <v>1.0399999999999999E-3</v>
      </c>
      <c r="G333" s="22">
        <f>IF(AND(Tabela2[[#This Row],[Dividendo / Ação]]&gt;0,Tabela2[[#This Row],[Lucro por ação]]&gt;0),Tabela2[[#This Row],[Dividendo / Ação]]/Tabela2[[#This Row],[Lucro por ação]],"")</f>
        <v>1.6805243628592145E-3</v>
      </c>
      <c r="H333" s="5">
        <f>MAX(Tabela2[[#This Row],[Cotação 1]],Tabela2[[#This Row],[Cotação 2]])</f>
        <v>3.08</v>
      </c>
      <c r="I333" s="18">
        <f>IF(Tabela2[[#This Row],[Dividendo / Ação]]&gt;0,Tabela2[[#This Row],[Dividendo / Ação]]/Tabela2[[#This Row],[Cotação]],"")</f>
        <v>3.3766233766233762E-4</v>
      </c>
      <c r="J333" s="61">
        <f>SUMPRODUCT(N(Tabela1[Código]=Tabela2[[#This Row],[Ativo]]),Tabela1[Fechamento])</f>
        <v>3.08</v>
      </c>
      <c r="K333" s="61">
        <f>SUMPRODUCT(N(Tabela17[Código]=Tabela2[[#This Row],[Ativo]]),Tabela17[Fechamento])</f>
        <v>0</v>
      </c>
    </row>
    <row r="334" spans="1:13" x14ac:dyDescent="0.2">
      <c r="A334" s="14" t="s">
        <v>239</v>
      </c>
      <c r="B334" s="3">
        <v>2011</v>
      </c>
      <c r="C334" s="5">
        <v>47835000</v>
      </c>
      <c r="D334" s="63">
        <f>SUMPRODUCT(N(Tabela3[PAPEL]=Tabela2[[#This Row],[Ativo]]),Tabela3[Total Ações])</f>
        <v>84682269</v>
      </c>
      <c r="E334" s="66">
        <f>(Tabela2[[#This Row],[Lucro Líquido]])/Tabela2[[#This Row],[Total Ações]]</f>
        <v>0.56487621983770886</v>
      </c>
      <c r="F334" s="66">
        <v>0</v>
      </c>
      <c r="G334" s="22" t="str">
        <f>IF(AND(Tabela2[[#This Row],[Dividendo / Ação]]&gt;0,Tabela2[[#This Row],[Lucro por ação]]&gt;0),Tabela2[[#This Row],[Dividendo / Ação]]/Tabela2[[#This Row],[Lucro por ação]],"")</f>
        <v/>
      </c>
      <c r="H334" s="5">
        <f>MAX(Tabela2[[#This Row],[Cotação 1]],Tabela2[[#This Row],[Cotação 2]])</f>
        <v>3.08</v>
      </c>
      <c r="I334" s="18" t="str">
        <f>IF(Tabela2[[#This Row],[Dividendo / Ação]]&gt;0,Tabela2[[#This Row],[Dividendo / Ação]]/Tabela2[[#This Row],[Cotação]],"")</f>
        <v/>
      </c>
      <c r="J334" s="61">
        <f>SUMPRODUCT(N(Tabela1[Código]=Tabela2[[#This Row],[Ativo]]),Tabela1[Fechamento])</f>
        <v>3.08</v>
      </c>
      <c r="K334" s="61">
        <f>SUMPRODUCT(N(Tabela17[Código]=Tabela2[[#This Row],[Ativo]]),Tabela17[Fechamento])</f>
        <v>0</v>
      </c>
    </row>
    <row r="335" spans="1:13" x14ac:dyDescent="0.2">
      <c r="A335" s="14" t="s">
        <v>239</v>
      </c>
      <c r="B335" s="3">
        <v>2010</v>
      </c>
      <c r="C335" s="5">
        <v>43244000</v>
      </c>
      <c r="D335" s="63">
        <f>SUMPRODUCT(N(Tabela3[PAPEL]=Tabela2[[#This Row],[Ativo]]),Tabela3[Total Ações])</f>
        <v>84682269</v>
      </c>
      <c r="E335" s="66">
        <f>(Tabela2[[#This Row],[Lucro Líquido]])/Tabela2[[#This Row],[Total Ações]]</f>
        <v>0.51066180099638092</v>
      </c>
      <c r="F335" s="66">
        <v>4.8799999999999998E-3</v>
      </c>
      <c r="G335" s="22">
        <f>IF(AND(Tabela2[[#This Row],[Dividendo / Ação]]&gt;0,Tabela2[[#This Row],[Lucro por ação]]&gt;0),Tabela2[[#This Row],[Dividendo / Ação]]/Tabela2[[#This Row],[Lucro por ação]],"")</f>
        <v>9.5562268226806035E-3</v>
      </c>
      <c r="H335" s="5">
        <f>MAX(Tabela2[[#This Row],[Cotação 1]],Tabela2[[#This Row],[Cotação 2]])</f>
        <v>3.08</v>
      </c>
      <c r="I335" s="18">
        <f>IF(Tabela2[[#This Row],[Dividendo / Ação]]&gt;0,Tabela2[[#This Row],[Dividendo / Ação]]/Tabela2[[#This Row],[Cotação]],"")</f>
        <v>1.5844155844155843E-3</v>
      </c>
      <c r="J335" s="61">
        <f>SUMPRODUCT(N(Tabela1[Código]=Tabela2[[#This Row],[Ativo]]),Tabela1[Fechamento])</f>
        <v>3.08</v>
      </c>
      <c r="K335" s="61">
        <f>SUMPRODUCT(N(Tabela17[Código]=Tabela2[[#This Row],[Ativo]]),Tabela17[Fechamento])</f>
        <v>0</v>
      </c>
    </row>
    <row r="336" spans="1:13" x14ac:dyDescent="0.2">
      <c r="A336" s="14" t="s">
        <v>239</v>
      </c>
      <c r="B336" s="3">
        <v>2009</v>
      </c>
      <c r="C336" s="5">
        <v>40621000</v>
      </c>
      <c r="D336" s="63">
        <f>SUMPRODUCT(N(Tabela3[PAPEL]=Tabela2[[#This Row],[Ativo]]),Tabela3[Total Ações])</f>
        <v>84682269</v>
      </c>
      <c r="E336" s="66">
        <f>(Tabela2[[#This Row],[Lucro Líquido]])/Tabela2[[#This Row],[Total Ações]]</f>
        <v>0.47968719402169063</v>
      </c>
      <c r="F336" s="66">
        <v>3.2800000000000003E-2</v>
      </c>
      <c r="G336" s="22">
        <f>IF(AND(Tabela2[[#This Row],[Dividendo / Ação]]&gt;0,Tabela2[[#This Row],[Lucro por ação]]&gt;0),Tabela2[[#This Row],[Dividendo / Ação]]/Tabela2[[#This Row],[Lucro por ação]],"")</f>
        <v>6.8377893779079796E-2</v>
      </c>
      <c r="H336" s="5">
        <f>MAX(Tabela2[[#This Row],[Cotação 1]],Tabela2[[#This Row],[Cotação 2]])</f>
        <v>3.08</v>
      </c>
      <c r="I336" s="18">
        <f>IF(Tabela2[[#This Row],[Dividendo / Ação]]&gt;0,Tabela2[[#This Row],[Dividendo / Ação]]/Tabela2[[#This Row],[Cotação]],"")</f>
        <v>1.064935064935065E-2</v>
      </c>
      <c r="J336" s="61">
        <f>SUMPRODUCT(N(Tabela1[Código]=Tabela2[[#This Row],[Ativo]]),Tabela1[Fechamento])</f>
        <v>3.08</v>
      </c>
      <c r="K336" s="61">
        <f>SUMPRODUCT(N(Tabela17[Código]=Tabela2[[#This Row],[Ativo]]),Tabela17[Fechamento])</f>
        <v>0</v>
      </c>
      <c r="M336" s="3">
        <v>1.8859999999999998E-2</v>
      </c>
    </row>
    <row r="337" spans="1:13" x14ac:dyDescent="0.2">
      <c r="A337" s="14" t="s">
        <v>80</v>
      </c>
      <c r="B337" s="3">
        <v>2012</v>
      </c>
      <c r="C337" s="5">
        <v>52406000</v>
      </c>
      <c r="D337" s="63">
        <f>SUMPRODUCT(N(Tabela3[PAPEL]=Tabela2[[#This Row],[Ativo]]),Tabela3[Total Ações])</f>
        <v>84682269</v>
      </c>
      <c r="E337" s="66">
        <f>(Tabela2[[#This Row],[Lucro Líquido]])/Tabela2[[#This Row],[Total Ações]]</f>
        <v>0.61885446172917258</v>
      </c>
      <c r="F337" s="66">
        <v>0.38174999999999998</v>
      </c>
      <c r="G337" s="22">
        <f>IF(AND(Tabela2[[#This Row],[Dividendo / Ação]]&gt;0,Tabela2[[#This Row],[Lucro por ação]]&gt;0),Tabela2[[#This Row],[Dividendo / Ação]]/Tabela2[[#This Row],[Lucro por ação]],"")</f>
        <v>0.61686555338606264</v>
      </c>
      <c r="H337" s="5">
        <f>MAX(Tabela2[[#This Row],[Cotação 1]],Tabela2[[#This Row],[Cotação 2]])</f>
        <v>6.89</v>
      </c>
      <c r="I337" s="18">
        <f>IF(Tabela2[[#This Row],[Dividendo / Ação]]&gt;0,Tabela2[[#This Row],[Dividendo / Ação]]/Tabela2[[#This Row],[Cotação]],"")</f>
        <v>5.5406386066763423E-2</v>
      </c>
      <c r="J337" s="61">
        <f>SUMPRODUCT(N(Tabela1[Código]=Tabela2[[#This Row],[Ativo]]),Tabela1[Fechamento])</f>
        <v>6.89</v>
      </c>
      <c r="K337" s="61">
        <f>SUMPRODUCT(N(Tabela17[Código]=Tabela2[[#This Row],[Ativo]]),Tabela17[Fechamento])</f>
        <v>0</v>
      </c>
    </row>
    <row r="338" spans="1:13" x14ac:dyDescent="0.2">
      <c r="A338" s="14" t="s">
        <v>80</v>
      </c>
      <c r="B338" s="3">
        <v>2011</v>
      </c>
      <c r="C338" s="5">
        <v>47835000</v>
      </c>
      <c r="D338" s="63">
        <f>SUMPRODUCT(N(Tabela3[PAPEL]=Tabela2[[#This Row],[Ativo]]),Tabela3[Total Ações])</f>
        <v>84682269</v>
      </c>
      <c r="E338" s="66">
        <f>(Tabela2[[#This Row],[Lucro Líquido]])/Tabela2[[#This Row],[Total Ações]]</f>
        <v>0.56487621983770886</v>
      </c>
      <c r="F338" s="66">
        <v>0.34691</v>
      </c>
      <c r="G338" s="22">
        <f>IF(AND(Tabela2[[#This Row],[Dividendo / Ação]]&gt;0,Tabela2[[#This Row],[Lucro por ação]]&gt;0),Tabela2[[#This Row],[Dividendo / Ação]]/Tabela2[[#This Row],[Lucro por ação]],"")</f>
        <v>0.61413454455503291</v>
      </c>
      <c r="H338" s="5">
        <f>MAX(Tabela2[[#This Row],[Cotação 1]],Tabela2[[#This Row],[Cotação 2]])</f>
        <v>6.89</v>
      </c>
      <c r="I338" s="18">
        <f>IF(Tabela2[[#This Row],[Dividendo / Ação]]&gt;0,Tabela2[[#This Row],[Dividendo / Ação]]/Tabela2[[#This Row],[Cotação]],"")</f>
        <v>5.0349782293178519E-2</v>
      </c>
      <c r="J338" s="61">
        <f>SUMPRODUCT(N(Tabela1[Código]=Tabela2[[#This Row],[Ativo]]),Tabela1[Fechamento])</f>
        <v>6.89</v>
      </c>
      <c r="K338" s="61">
        <f>SUMPRODUCT(N(Tabela17[Código]=Tabela2[[#This Row],[Ativo]]),Tabela17[Fechamento])</f>
        <v>0</v>
      </c>
      <c r="M338" s="3">
        <f>SUM(M336:M337)</f>
        <v>1.8859999999999998E-2</v>
      </c>
    </row>
    <row r="339" spans="1:13" x14ac:dyDescent="0.2">
      <c r="A339" s="14" t="s">
        <v>80</v>
      </c>
      <c r="B339" s="3">
        <v>2010</v>
      </c>
      <c r="C339" s="5">
        <v>43244000</v>
      </c>
      <c r="D339" s="63">
        <f>SUMPRODUCT(N(Tabela3[PAPEL]=Tabela2[[#This Row],[Ativo]]),Tabela3[Total Ações])</f>
        <v>84682269</v>
      </c>
      <c r="E339" s="66">
        <f>(Tabela2[[#This Row],[Lucro Líquido]])/Tabela2[[#This Row],[Total Ações]]</f>
        <v>0.51066180099638092</v>
      </c>
      <c r="F339" s="66">
        <v>0.34364</v>
      </c>
      <c r="G339" s="22">
        <f>IF(AND(Tabela2[[#This Row],[Dividendo / Ação]]&gt;0,Tabela2[[#This Row],[Lucro por ação]]&gt;0),Tabela2[[#This Row],[Dividendo / Ação]]/Tabela2[[#This Row],[Lucro por ação]],"")</f>
        <v>0.67293069371843495</v>
      </c>
      <c r="H339" s="5">
        <f>MAX(Tabela2[[#This Row],[Cotação 1]],Tabela2[[#This Row],[Cotação 2]])</f>
        <v>6.89</v>
      </c>
      <c r="I339" s="18">
        <f>IF(Tabela2[[#This Row],[Dividendo / Ação]]&gt;0,Tabela2[[#This Row],[Dividendo / Ação]]/Tabela2[[#This Row],[Cotação]],"")</f>
        <v>4.9875181422351235E-2</v>
      </c>
      <c r="J339" s="61">
        <f>SUMPRODUCT(N(Tabela1[Código]=Tabela2[[#This Row],[Ativo]]),Tabela1[Fechamento])</f>
        <v>6.89</v>
      </c>
      <c r="K339" s="61">
        <f>SUMPRODUCT(N(Tabela17[Código]=Tabela2[[#This Row],[Ativo]]),Tabela17[Fechamento])</f>
        <v>0</v>
      </c>
    </row>
    <row r="340" spans="1:13" x14ac:dyDescent="0.2">
      <c r="A340" s="14" t="s">
        <v>80</v>
      </c>
      <c r="B340" s="3">
        <v>2009</v>
      </c>
      <c r="C340" s="5">
        <v>40621000</v>
      </c>
      <c r="D340" s="63">
        <f>SUMPRODUCT(N(Tabela3[PAPEL]=Tabela2[[#This Row],[Ativo]]),Tabela3[Total Ações])</f>
        <v>84682269</v>
      </c>
      <c r="E340" s="66">
        <f>(Tabela2[[#This Row],[Lucro Líquido]])/Tabela2[[#This Row],[Total Ações]]</f>
        <v>0.47968719402169063</v>
      </c>
      <c r="F340" s="66">
        <v>0.29580000000000001</v>
      </c>
      <c r="G340" s="22">
        <f>IF(AND(Tabela2[[#This Row],[Dividendo / Ação]]&gt;0,Tabela2[[#This Row],[Lucro por ação]]&gt;0),Tabela2[[#This Row],[Dividendo / Ação]]/Tabela2[[#This Row],[Lucro por ação]],"")</f>
        <v>0.61665185914182319</v>
      </c>
      <c r="H340" s="5">
        <f>MAX(Tabela2[[#This Row],[Cotação 1]],Tabela2[[#This Row],[Cotação 2]])</f>
        <v>6.89</v>
      </c>
      <c r="I340" s="18">
        <f>IF(Tabela2[[#This Row],[Dividendo / Ação]]&gt;0,Tabela2[[#This Row],[Dividendo / Ação]]/Tabela2[[#This Row],[Cotação]],"")</f>
        <v>4.2931785195936142E-2</v>
      </c>
      <c r="J340" s="61">
        <f>SUMPRODUCT(N(Tabela1[Código]=Tabela2[[#This Row],[Ativo]]),Tabela1[Fechamento])</f>
        <v>6.89</v>
      </c>
      <c r="K340" s="61">
        <f>SUMPRODUCT(N(Tabela17[Código]=Tabela2[[#This Row],[Ativo]]),Tabela17[Fechamento])</f>
        <v>0</v>
      </c>
    </row>
    <row r="341" spans="1:13" x14ac:dyDescent="0.2">
      <c r="A341" s="14" t="s">
        <v>240</v>
      </c>
      <c r="B341" s="4">
        <v>2012</v>
      </c>
      <c r="C341" s="5">
        <v>52406000</v>
      </c>
      <c r="D341" s="8">
        <f>SUMPRODUCT(N(Tabela3[PAPEL]=Tabela2[[#This Row],[Ativo]]),Tabela3[Total Ações])</f>
        <v>84682269</v>
      </c>
      <c r="E341" s="67">
        <f>(Tabela2[[#This Row],[Lucro Líquido]])/Tabela2[[#This Row],[Total Ações]]</f>
        <v>0.61885446172917258</v>
      </c>
      <c r="F341" s="67">
        <v>1.14E-3</v>
      </c>
      <c r="G341" s="46">
        <f>IF(AND(Tabela2[[#This Row],[Dividendo / Ação]]&gt;0,Tabela2[[#This Row],[Lucro por ação]]&gt;0),Tabela2[[#This Row],[Dividendo / Ação]]/Tabela2[[#This Row],[Lucro por ação]],"")</f>
        <v>1.8421132439033698E-3</v>
      </c>
      <c r="H341" s="6">
        <f>MAX(Tabela2[[#This Row],[Cotação 1]],Tabela2[[#This Row],[Cotação 2]])</f>
        <v>2.83</v>
      </c>
      <c r="I341" s="19">
        <f>IF(Tabela2[[#This Row],[Dividendo / Ação]]&gt;0,Tabela2[[#This Row],[Dividendo / Ação]]/Tabela2[[#This Row],[Cotação]],"")</f>
        <v>4.028268551236749E-4</v>
      </c>
      <c r="J341" s="62">
        <f>SUMPRODUCT(N(Tabela1[Código]=Tabela2[[#This Row],[Ativo]]),Tabela1[Fechamento])</f>
        <v>2.83</v>
      </c>
      <c r="K341" s="62">
        <f>SUMPRODUCT(N(Tabela17[Código]=Tabela2[[#This Row],[Ativo]]),Tabela17[Fechamento])</f>
        <v>0</v>
      </c>
    </row>
    <row r="342" spans="1:13" x14ac:dyDescent="0.2">
      <c r="A342" s="14" t="s">
        <v>240</v>
      </c>
      <c r="B342" s="3">
        <v>2011</v>
      </c>
      <c r="C342" s="5">
        <v>47835000</v>
      </c>
      <c r="D342" s="8">
        <f>SUMPRODUCT(N(Tabela3[PAPEL]=Tabela2[[#This Row],[Ativo]]),Tabela3[Total Ações])</f>
        <v>84682269</v>
      </c>
      <c r="E342" s="67">
        <f>(Tabela2[[#This Row],[Lucro Líquido]])/Tabela2[[#This Row],[Total Ações]]</f>
        <v>0.56487621983770886</v>
      </c>
      <c r="F342" s="67">
        <v>0</v>
      </c>
      <c r="G342" s="46" t="str">
        <f>IF(AND(Tabela2[[#This Row],[Dividendo / Ação]]&gt;0,Tabela2[[#This Row],[Lucro por ação]]&gt;0),Tabela2[[#This Row],[Dividendo / Ação]]/Tabela2[[#This Row],[Lucro por ação]],"")</f>
        <v/>
      </c>
      <c r="H342" s="6">
        <f>MAX(Tabela2[[#This Row],[Cotação 1]],Tabela2[[#This Row],[Cotação 2]])</f>
        <v>2.83</v>
      </c>
      <c r="I342" s="19" t="str">
        <f>IF(Tabela2[[#This Row],[Dividendo / Ação]]&gt;0,Tabela2[[#This Row],[Dividendo / Ação]]/Tabela2[[#This Row],[Cotação]],"")</f>
        <v/>
      </c>
      <c r="J342" s="62">
        <f>SUMPRODUCT(N(Tabela1[Código]=Tabela2[[#This Row],[Ativo]]),Tabela1[Fechamento])</f>
        <v>2.83</v>
      </c>
      <c r="K342" s="62">
        <f>SUMPRODUCT(N(Tabela17[Código]=Tabela2[[#This Row],[Ativo]]),Tabela17[Fechamento])</f>
        <v>0</v>
      </c>
    </row>
    <row r="343" spans="1:13" x14ac:dyDescent="0.2">
      <c r="A343" s="14" t="s">
        <v>240</v>
      </c>
      <c r="B343" s="4">
        <v>2010</v>
      </c>
      <c r="C343" s="5">
        <v>43244000</v>
      </c>
      <c r="D343" s="8">
        <f>SUMPRODUCT(N(Tabela3[PAPEL]=Tabela2[[#This Row],[Ativo]]),Tabela3[Total Ações])</f>
        <v>84682269</v>
      </c>
      <c r="E343" s="67">
        <f>(Tabela2[[#This Row],[Lucro Líquido]])/Tabela2[[#This Row],[Total Ações]]</f>
        <v>0.51066180099638092</v>
      </c>
      <c r="F343" s="67">
        <v>5.3800000000000002E-3</v>
      </c>
      <c r="G343" s="46">
        <f>IF(AND(Tabela2[[#This Row],[Dividendo / Ação]]&gt;0,Tabela2[[#This Row],[Lucro por ação]]&gt;0),Tabela2[[#This Row],[Dividendo / Ação]]/Tabela2[[#This Row],[Lucro por ação]],"")</f>
        <v>1.0535348423365093E-2</v>
      </c>
      <c r="H343" s="6">
        <f>MAX(Tabela2[[#This Row],[Cotação 1]],Tabela2[[#This Row],[Cotação 2]])</f>
        <v>2.83</v>
      </c>
      <c r="I343" s="19">
        <f>IF(Tabela2[[#This Row],[Dividendo / Ação]]&gt;0,Tabela2[[#This Row],[Dividendo / Ação]]/Tabela2[[#This Row],[Cotação]],"")</f>
        <v>1.901060070671378E-3</v>
      </c>
      <c r="J343" s="62">
        <f>SUMPRODUCT(N(Tabela1[Código]=Tabela2[[#This Row],[Ativo]]),Tabela1[Fechamento])</f>
        <v>2.83</v>
      </c>
      <c r="K343" s="62">
        <f>SUMPRODUCT(N(Tabela17[Código]=Tabela2[[#This Row],[Ativo]]),Tabela17[Fechamento])</f>
        <v>0</v>
      </c>
    </row>
    <row r="344" spans="1:13" x14ac:dyDescent="0.2">
      <c r="A344" s="14" t="s">
        <v>240</v>
      </c>
      <c r="B344" s="4">
        <v>2009</v>
      </c>
      <c r="C344" s="5">
        <v>40621000</v>
      </c>
      <c r="D344" s="8">
        <f>SUMPRODUCT(N(Tabela3[PAPEL]=Tabela2[[#This Row],[Ativo]]),Tabela3[Total Ações])</f>
        <v>84682269</v>
      </c>
      <c r="E344" s="67">
        <f>(Tabela2[[#This Row],[Lucro Líquido]])/Tabela2[[#This Row],[Total Ações]]</f>
        <v>0.47968719402169063</v>
      </c>
      <c r="F344" s="67">
        <v>3.6089999999999997E-2</v>
      </c>
      <c r="G344" s="46">
        <f>IF(AND(Tabela2[[#This Row],[Dividendo / Ação]]&gt;0,Tabela2[[#This Row],[Lucro por ação]]&gt;0),Tabela2[[#This Row],[Dividendo / Ação]]/Tabela2[[#This Row],[Lucro por ação]],"")</f>
        <v>7.5236530075822844E-2</v>
      </c>
      <c r="H344" s="6">
        <f>MAX(Tabela2[[#This Row],[Cotação 1]],Tabela2[[#This Row],[Cotação 2]])</f>
        <v>2.83</v>
      </c>
      <c r="I344" s="19">
        <f>IF(Tabela2[[#This Row],[Dividendo / Ação]]&gt;0,Tabela2[[#This Row],[Dividendo / Ação]]/Tabela2[[#This Row],[Cotação]],"")</f>
        <v>1.2752650176678443E-2</v>
      </c>
      <c r="J344" s="62">
        <f>SUMPRODUCT(N(Tabela1[Código]=Tabela2[[#This Row],[Ativo]]),Tabela1[Fechamento])</f>
        <v>2.83</v>
      </c>
      <c r="K344" s="62">
        <f>SUMPRODUCT(N(Tabela17[Código]=Tabela2[[#This Row],[Ativo]]),Tabela17[Fechamento])</f>
        <v>0</v>
      </c>
    </row>
    <row r="345" spans="1:13" x14ac:dyDescent="0.2">
      <c r="A345" s="4" t="s">
        <v>225</v>
      </c>
      <c r="B345" s="4">
        <v>2012</v>
      </c>
      <c r="C345" s="6">
        <v>335756000</v>
      </c>
      <c r="D345" s="8">
        <f>SUMPRODUCT(N(Tabela3[PAPEL]=Tabela2[[#This Row],[Ativo]]),Tabela3[Total Ações])</f>
        <v>476620206</v>
      </c>
      <c r="E345" s="67">
        <f>(Tabela2[[#This Row],[Lucro Líquido]])/Tabela2[[#This Row],[Total Ações]]</f>
        <v>0.70445187965866474</v>
      </c>
      <c r="F345" s="67">
        <v>0.37269999999999998</v>
      </c>
      <c r="G345" s="46">
        <f>IF(AND(Tabela2[[#This Row],[Dividendo / Ação]]&gt;0,Tabela2[[#This Row],[Lucro por ação]]&gt;0),Tabela2[[#This Row],[Dividendo / Ação]]/Tabela2[[#This Row],[Lucro por ação]],"")</f>
        <v>0.52906381651020384</v>
      </c>
      <c r="H345" s="6">
        <f>MAX(Tabela2[[#This Row],[Cotação 1]],Tabela2[[#This Row],[Cotação 2]])</f>
        <v>8.19</v>
      </c>
      <c r="I345" s="19">
        <f>IF(Tabela2[[#This Row],[Dividendo / Ação]]&gt;0,Tabela2[[#This Row],[Dividendo / Ação]]/Tabela2[[#This Row],[Cotação]],"")</f>
        <v>4.5506715506715506E-2</v>
      </c>
      <c r="J345" s="62">
        <f>SUMPRODUCT(N(Tabela1[Código]=Tabela2[[#This Row],[Ativo]]),Tabela1[Fechamento])</f>
        <v>8.19</v>
      </c>
      <c r="K345" s="62">
        <f>SUMPRODUCT(N(Tabela17[Código]=Tabela2[[#This Row],[Ativo]]),Tabela17[Fechamento])</f>
        <v>0</v>
      </c>
    </row>
    <row r="346" spans="1:13" x14ac:dyDescent="0.2">
      <c r="A346" s="4" t="s">
        <v>225</v>
      </c>
      <c r="B346" s="3">
        <v>2011</v>
      </c>
      <c r="C346" s="5">
        <v>249170000</v>
      </c>
      <c r="D346" s="63">
        <f>SUMPRODUCT(N(Tabela3[PAPEL]=Tabela2[[#This Row],[Ativo]]),Tabela3[Total Ações])</f>
        <v>476620206</v>
      </c>
      <c r="E346" s="66">
        <f>(Tabela2[[#This Row],[Lucro Líquido]])/Tabela2[[#This Row],[Total Ações]]</f>
        <v>0.52278522157325402</v>
      </c>
      <c r="F346" s="66">
        <v>0.27800000000000002</v>
      </c>
      <c r="G346" s="22">
        <f>IF(AND(Tabela2[[#This Row],[Dividendo / Ação]]&gt;0,Tabela2[[#This Row],[Lucro por ação]]&gt;0),Tabela2[[#This Row],[Dividendo / Ação]]/Tabela2[[#This Row],[Lucro por ação]],"")</f>
        <v>0.53176713596339853</v>
      </c>
      <c r="H346" s="5">
        <f>MAX(Tabela2[[#This Row],[Cotação 1]],Tabela2[[#This Row],[Cotação 2]])</f>
        <v>8.19</v>
      </c>
      <c r="I346" s="18">
        <f>IF(Tabela2[[#This Row],[Dividendo / Ação]]&gt;0,Tabela2[[#This Row],[Dividendo / Ação]]/Tabela2[[#This Row],[Cotação]],"")</f>
        <v>3.3943833943833948E-2</v>
      </c>
      <c r="J346" s="61">
        <f>SUMPRODUCT(N(Tabela1[Código]=Tabela2[[#This Row],[Ativo]]),Tabela1[Fechamento])</f>
        <v>8.19</v>
      </c>
      <c r="K346" s="61">
        <f>SUMPRODUCT(N(Tabela17[Código]=Tabela2[[#This Row],[Ativo]]),Tabela17[Fechamento])</f>
        <v>0</v>
      </c>
    </row>
    <row r="347" spans="1:13" x14ac:dyDescent="0.2">
      <c r="A347" s="4" t="s">
        <v>225</v>
      </c>
      <c r="B347" s="3">
        <v>2010</v>
      </c>
      <c r="C347" s="5">
        <v>135511000</v>
      </c>
      <c r="D347" s="63">
        <f>SUMPRODUCT(N(Tabela3[PAPEL]=Tabela2[[#This Row],[Ativo]]),Tabela3[Total Ações])</f>
        <v>476620206</v>
      </c>
      <c r="E347" s="66">
        <f>(Tabela2[[#This Row],[Lucro Líquido]])/Tabela2[[#This Row],[Total Ações]]</f>
        <v>0.28431652350047448</v>
      </c>
      <c r="F347" s="66">
        <v>8.72E-2</v>
      </c>
      <c r="G347" s="22">
        <f>IF(AND(Tabela2[[#This Row],[Dividendo / Ação]]&gt;0,Tabela2[[#This Row],[Lucro por ação]]&gt;0),Tabela2[[#This Row],[Dividendo / Ação]]/Tabela2[[#This Row],[Lucro por ação]],"")</f>
        <v>0.30670042995181207</v>
      </c>
      <c r="H347" s="5">
        <f>MAX(Tabela2[[#This Row],[Cotação 1]],Tabela2[[#This Row],[Cotação 2]])</f>
        <v>8.19</v>
      </c>
      <c r="I347" s="18">
        <f>IF(Tabela2[[#This Row],[Dividendo / Ação]]&gt;0,Tabela2[[#This Row],[Dividendo / Ação]]/Tabela2[[#This Row],[Cotação]],"")</f>
        <v>1.0647130647130647E-2</v>
      </c>
      <c r="J347" s="61">
        <f>SUMPRODUCT(N(Tabela1[Código]=Tabela2[[#This Row],[Ativo]]),Tabela1[Fechamento])</f>
        <v>8.19</v>
      </c>
      <c r="K347" s="61">
        <f>SUMPRODUCT(N(Tabela17[Código]=Tabela2[[#This Row],[Ativo]]),Tabela17[Fechamento])</f>
        <v>0</v>
      </c>
    </row>
    <row r="348" spans="1:13" x14ac:dyDescent="0.2">
      <c r="A348" s="4" t="s">
        <v>225</v>
      </c>
      <c r="B348" s="3">
        <v>2009</v>
      </c>
      <c r="C348" s="5">
        <v>137871000</v>
      </c>
      <c r="D348" s="63">
        <f>SUMPRODUCT(N(Tabela3[PAPEL]=Tabela2[[#This Row],[Ativo]]),Tabela3[Total Ações])</f>
        <v>476620206</v>
      </c>
      <c r="E348" s="66">
        <f>(Tabela2[[#This Row],[Lucro Líquido]])/Tabela2[[#This Row],[Total Ações]]</f>
        <v>0.28926805507695996</v>
      </c>
      <c r="F348" s="66">
        <v>9.1499999999999998E-2</v>
      </c>
      <c r="G348" s="22">
        <f>IF(AND(Tabela2[[#This Row],[Dividendo / Ação]]&gt;0,Tabela2[[#This Row],[Lucro por ação]]&gt;0),Tabela2[[#This Row],[Dividendo / Ação]]/Tabela2[[#This Row],[Lucro por ação]],"")</f>
        <v>0.31631560552255367</v>
      </c>
      <c r="H348" s="5">
        <f>MAX(Tabela2[[#This Row],[Cotação 1]],Tabela2[[#This Row],[Cotação 2]])</f>
        <v>8.19</v>
      </c>
      <c r="I348" s="18">
        <f>IF(Tabela2[[#This Row],[Dividendo / Ação]]&gt;0,Tabela2[[#This Row],[Dividendo / Ação]]/Tabela2[[#This Row],[Cotação]],"")</f>
        <v>1.1172161172161172E-2</v>
      </c>
      <c r="J348" s="61">
        <f>SUMPRODUCT(N(Tabela1[Código]=Tabela2[[#This Row],[Ativo]]),Tabela1[Fechamento])</f>
        <v>8.19</v>
      </c>
      <c r="K348" s="61">
        <f>SUMPRODUCT(N(Tabela17[Código]=Tabela2[[#This Row],[Ativo]]),Tabela17[Fechamento])</f>
        <v>0</v>
      </c>
    </row>
    <row r="349" spans="1:13" x14ac:dyDescent="0.2">
      <c r="A349" s="4" t="s">
        <v>69</v>
      </c>
      <c r="B349" s="4">
        <v>2012</v>
      </c>
      <c r="C349" s="6">
        <v>335756000</v>
      </c>
      <c r="D349" s="8">
        <f>SUMPRODUCT(N(Tabela3[PAPEL]=Tabela2[[#This Row],[Ativo]]),Tabela3[Total Ações])</f>
        <v>476620206</v>
      </c>
      <c r="E349" s="67">
        <f>(Tabela2[[#This Row],[Lucro Líquido]])/Tabela2[[#This Row],[Total Ações]]</f>
        <v>0.70445187965866474</v>
      </c>
      <c r="F349" s="67">
        <v>0.40989999999999999</v>
      </c>
      <c r="G349" s="46">
        <f>IF(AND(Tabela2[[#This Row],[Dividendo / Ação]]&gt;0,Tabela2[[#This Row],[Lucro por ação]]&gt;0),Tabela2[[#This Row],[Dividendo / Ação]]/Tabela2[[#This Row],[Lucro por ação]],"")</f>
        <v>0.58187083012485252</v>
      </c>
      <c r="H349" s="6">
        <f>MAX(Tabela2[[#This Row],[Cotação 1]],Tabela2[[#This Row],[Cotação 2]])</f>
        <v>6.78</v>
      </c>
      <c r="I349" s="19">
        <f>IF(Tabela2[[#This Row],[Dividendo / Ação]]&gt;0,Tabela2[[#This Row],[Dividendo / Ação]]/Tabela2[[#This Row],[Cotação]],"")</f>
        <v>6.0457227138643065E-2</v>
      </c>
      <c r="J349" s="62">
        <f>SUMPRODUCT(N(Tabela1[Código]=Tabela2[[#This Row],[Ativo]]),Tabela1[Fechamento])</f>
        <v>6.78</v>
      </c>
      <c r="K349" s="62">
        <f>SUMPRODUCT(N(Tabela17[Código]=Tabela2[[#This Row],[Ativo]]),Tabela17[Fechamento])</f>
        <v>0</v>
      </c>
    </row>
    <row r="350" spans="1:13" x14ac:dyDescent="0.2">
      <c r="A350" s="4" t="s">
        <v>69</v>
      </c>
      <c r="B350" s="4">
        <v>2011</v>
      </c>
      <c r="C350" s="5">
        <v>249170000</v>
      </c>
      <c r="D350" s="8">
        <f>SUMPRODUCT(N(Tabela3[PAPEL]=Tabela2[[#This Row],[Ativo]]),Tabela3[Total Ações])</f>
        <v>476620206</v>
      </c>
      <c r="E350" s="67">
        <f>(Tabela2[[#This Row],[Lucro Líquido]])/Tabela2[[#This Row],[Total Ações]]</f>
        <v>0.52278522157325402</v>
      </c>
      <c r="F350" s="67">
        <v>0.30580000000000002</v>
      </c>
      <c r="G350" s="46">
        <f>IF(AND(Tabela2[[#This Row],[Dividendo / Ação]]&gt;0,Tabela2[[#This Row],[Lucro por ação]]&gt;0),Tabela2[[#This Row],[Dividendo / Ação]]/Tabela2[[#This Row],[Lucro por ação]],"")</f>
        <v>0.58494384955973844</v>
      </c>
      <c r="H350" s="6">
        <f>MAX(Tabela2[[#This Row],[Cotação 1]],Tabela2[[#This Row],[Cotação 2]])</f>
        <v>6.78</v>
      </c>
      <c r="I350" s="19">
        <f>IF(Tabela2[[#This Row],[Dividendo / Ação]]&gt;0,Tabela2[[#This Row],[Dividendo / Ação]]/Tabela2[[#This Row],[Cotação]],"")</f>
        <v>4.5103244837758114E-2</v>
      </c>
      <c r="J350" s="62">
        <f>SUMPRODUCT(N(Tabela1[Código]=Tabela2[[#This Row],[Ativo]]),Tabela1[Fechamento])</f>
        <v>6.78</v>
      </c>
      <c r="K350" s="62">
        <f>SUMPRODUCT(N(Tabela17[Código]=Tabela2[[#This Row],[Ativo]]),Tabela17[Fechamento])</f>
        <v>0</v>
      </c>
    </row>
    <row r="351" spans="1:13" x14ac:dyDescent="0.2">
      <c r="A351" s="4" t="s">
        <v>69</v>
      </c>
      <c r="B351" s="4">
        <v>2010</v>
      </c>
      <c r="C351" s="5">
        <v>135511000</v>
      </c>
      <c r="D351" s="8">
        <f>SUMPRODUCT(N(Tabela3[PAPEL]=Tabela2[[#This Row],[Ativo]]),Tabela3[Total Ações])</f>
        <v>476620206</v>
      </c>
      <c r="E351" s="67">
        <f>(Tabela2[[#This Row],[Lucro Líquido]])/Tabela2[[#This Row],[Total Ações]]</f>
        <v>0.28431652350047448</v>
      </c>
      <c r="F351" s="67">
        <v>9.5899999999999999E-2</v>
      </c>
      <c r="G351" s="46">
        <f>IF(AND(Tabela2[[#This Row],[Dividendo / Ação]]&gt;0,Tabela2[[#This Row],[Lucro por ação]]&gt;0),Tabela2[[#This Row],[Dividendo / Ação]]/Tabela2[[#This Row],[Lucro por ação]],"")</f>
        <v>0.3373001288116832</v>
      </c>
      <c r="H351" s="6">
        <f>MAX(Tabela2[[#This Row],[Cotação 1]],Tabela2[[#This Row],[Cotação 2]])</f>
        <v>6.78</v>
      </c>
      <c r="I351" s="19">
        <f>IF(Tabela2[[#This Row],[Dividendo / Ação]]&gt;0,Tabela2[[#This Row],[Dividendo / Ação]]/Tabela2[[#This Row],[Cotação]],"")</f>
        <v>1.4144542772861356E-2</v>
      </c>
      <c r="J351" s="62">
        <f>SUMPRODUCT(N(Tabela1[Código]=Tabela2[[#This Row],[Ativo]]),Tabela1[Fechamento])</f>
        <v>6.78</v>
      </c>
      <c r="K351" s="62">
        <f>SUMPRODUCT(N(Tabela17[Código]=Tabela2[[#This Row],[Ativo]]),Tabela17[Fechamento])</f>
        <v>0</v>
      </c>
    </row>
    <row r="352" spans="1:13" x14ac:dyDescent="0.2">
      <c r="A352" s="4" t="s">
        <v>69</v>
      </c>
      <c r="B352" s="4">
        <v>2009</v>
      </c>
      <c r="C352" s="5">
        <v>137871000</v>
      </c>
      <c r="D352" s="8">
        <f>SUMPRODUCT(N(Tabela3[PAPEL]=Tabela2[[#This Row],[Ativo]]),Tabela3[Total Ações])</f>
        <v>476620206</v>
      </c>
      <c r="E352" s="67">
        <f>(Tabela2[[#This Row],[Lucro Líquido]])/Tabela2[[#This Row],[Total Ações]]</f>
        <v>0.28926805507695996</v>
      </c>
      <c r="F352" s="67">
        <v>0.10059999999999999</v>
      </c>
      <c r="G352" s="46">
        <f>IF(AND(Tabela2[[#This Row],[Dividendo / Ação]]&gt;0,Tabela2[[#This Row],[Lucro por ação]]&gt;0),Tabela2[[#This Row],[Dividendo / Ação]]/Tabela2[[#This Row],[Lucro por ação]],"")</f>
        <v>0.34777431601714642</v>
      </c>
      <c r="H352" s="6">
        <f>MAX(Tabela2[[#This Row],[Cotação 1]],Tabela2[[#This Row],[Cotação 2]])</f>
        <v>6.78</v>
      </c>
      <c r="I352" s="19">
        <f>IF(Tabela2[[#This Row],[Dividendo / Ação]]&gt;0,Tabela2[[#This Row],[Dividendo / Ação]]/Tabela2[[#This Row],[Cotação]],"")</f>
        <v>1.4837758112094394E-2</v>
      </c>
      <c r="J352" s="62">
        <f>SUMPRODUCT(N(Tabela1[Código]=Tabela2[[#This Row],[Ativo]]),Tabela1[Fechamento])</f>
        <v>6.78</v>
      </c>
      <c r="K352" s="62">
        <f>SUMPRODUCT(N(Tabela17[Código]=Tabela2[[#This Row],[Ativo]]),Tabela17[Fechamento])</f>
        <v>0</v>
      </c>
    </row>
    <row r="353" spans="1:13" x14ac:dyDescent="0.2">
      <c r="A353" s="4" t="s">
        <v>36</v>
      </c>
      <c r="B353" s="4">
        <v>2012</v>
      </c>
      <c r="C353" s="6">
        <v>1911900245.4200001</v>
      </c>
      <c r="D353" s="8">
        <f>SUMPRODUCT(N(Tabela3[PAPEL]=Tabela2[[#This Row],[Ativo]]),Tabela3[Total Ações])</f>
        <v>683509869</v>
      </c>
      <c r="E353" s="67">
        <f>(Tabela2[[#This Row],[Lucro Líquido]])/Tabela2[[#This Row],[Total Ações]]</f>
        <v>2.7971801610080336</v>
      </c>
      <c r="F353" s="67">
        <v>2.3450000000000002</v>
      </c>
      <c r="G353" s="46">
        <f>IF(AND(Tabela2[[#This Row],[Dividendo / Ação]]&gt;0,Tabela2[[#This Row],[Lucro por ação]]&gt;0),Tabela2[[#This Row],[Dividendo / Ação]]/Tabela2[[#This Row],[Lucro por ação]],"")</f>
        <v>0.83834428425050789</v>
      </c>
      <c r="H353" s="6">
        <f>MAX(Tabela2[[#This Row],[Cotação 1]],Tabela2[[#This Row],[Cotação 2]])</f>
        <v>26.46</v>
      </c>
      <c r="I353" s="19">
        <f>IF(Tabela2[[#This Row],[Dividendo / Ação]]&gt;0,Tabela2[[#This Row],[Dividendo / Ação]]/Tabela2[[#This Row],[Cotação]],"")</f>
        <v>8.8624338624338633E-2</v>
      </c>
      <c r="J353" s="62">
        <f>SUMPRODUCT(N(Tabela1[Código]=Tabela2[[#This Row],[Ativo]]),Tabela1[Fechamento])</f>
        <v>26.46</v>
      </c>
      <c r="K353" s="62">
        <f>SUMPRODUCT(N(Tabela17[Código]=Tabela2[[#This Row],[Ativo]]),Tabela17[Fechamento])</f>
        <v>0</v>
      </c>
    </row>
    <row r="354" spans="1:13" x14ac:dyDescent="0.2">
      <c r="A354" s="4" t="s">
        <v>36</v>
      </c>
      <c r="B354" s="4">
        <v>2011</v>
      </c>
      <c r="C354" s="6">
        <v>1223420217</v>
      </c>
      <c r="D354" s="8">
        <f>SUMPRODUCT(N(Tabela3[PAPEL]=Tabela2[[#This Row],[Ativo]]),Tabela3[Total Ações])</f>
        <v>683509869</v>
      </c>
      <c r="E354" s="67">
        <f>(Tabela2[[#This Row],[Lucro Líquido]])/Tabela2[[#This Row],[Total Ações]]</f>
        <v>1.7899086355401257</v>
      </c>
      <c r="F354" s="67">
        <v>2.54</v>
      </c>
      <c r="G354" s="46">
        <f>IF(AND(Tabela2[[#This Row],[Dividendo / Ação]]&gt;0,Tabela2[[#This Row],[Lucro por ação]]&gt;0),Tabela2[[#This Row],[Dividendo / Ação]]/Tabela2[[#This Row],[Lucro por ação]],"")</f>
        <v>1.4190668448468184</v>
      </c>
      <c r="H354" s="6">
        <f>MAX(Tabela2[[#This Row],[Cotação 1]],Tabela2[[#This Row],[Cotação 2]])</f>
        <v>26.46</v>
      </c>
      <c r="I354" s="19">
        <f>IF(Tabela2[[#This Row],[Dividendo / Ação]]&gt;0,Tabela2[[#This Row],[Dividendo / Ação]]/Tabela2[[#This Row],[Cotação]],"")</f>
        <v>9.5993953136810278E-2</v>
      </c>
      <c r="J354" s="62">
        <f>SUMPRODUCT(N(Tabela1[Código]=Tabela2[[#This Row],[Ativo]]),Tabela1[Fechamento])</f>
        <v>26.46</v>
      </c>
      <c r="K354" s="62">
        <f>SUMPRODUCT(N(Tabela17[Código]=Tabela2[[#This Row],[Ativo]]),Tabela17[Fechamento])</f>
        <v>0</v>
      </c>
    </row>
    <row r="355" spans="1:13" x14ac:dyDescent="0.2">
      <c r="A355" s="4" t="s">
        <v>36</v>
      </c>
      <c r="B355" s="4">
        <v>2010</v>
      </c>
      <c r="C355" s="6">
        <v>1630452307</v>
      </c>
      <c r="D355" s="8">
        <f>SUMPRODUCT(N(Tabela3[PAPEL]=Tabela2[[#This Row],[Ativo]]),Tabela3[Total Ações])</f>
        <v>683509869</v>
      </c>
      <c r="E355" s="67">
        <f>(Tabela2[[#This Row],[Lucro Líquido]])/Tabela2[[#This Row],[Total Ações]]</f>
        <v>2.385411507496463</v>
      </c>
      <c r="F355" s="67">
        <v>2</v>
      </c>
      <c r="G355" s="46">
        <f>IF(AND(Tabela2[[#This Row],[Dividendo / Ação]]&gt;0,Tabela2[[#This Row],[Lucro por ação]]&gt;0),Tabela2[[#This Row],[Dividendo / Ação]]/Tabela2[[#This Row],[Lucro por ação]],"")</f>
        <v>0.83842976095098998</v>
      </c>
      <c r="H355" s="6">
        <f>MAX(Tabela2[[#This Row],[Cotação 1]],Tabela2[[#This Row],[Cotação 2]])</f>
        <v>26.46</v>
      </c>
      <c r="I355" s="19">
        <f>IF(Tabela2[[#This Row],[Dividendo / Ação]]&gt;0,Tabela2[[#This Row],[Dividendo / Ação]]/Tabela2[[#This Row],[Cotação]],"")</f>
        <v>7.5585789871504161E-2</v>
      </c>
      <c r="J355" s="62">
        <f>SUMPRODUCT(N(Tabela1[Código]=Tabela2[[#This Row],[Ativo]]),Tabela1[Fechamento])</f>
        <v>26.46</v>
      </c>
      <c r="K355" s="62">
        <f>SUMPRODUCT(N(Tabela17[Código]=Tabela2[[#This Row],[Ativo]]),Tabela17[Fechamento])</f>
        <v>0</v>
      </c>
    </row>
    <row r="356" spans="1:13" x14ac:dyDescent="0.2">
      <c r="A356" s="4" t="s">
        <v>79</v>
      </c>
      <c r="B356" s="4">
        <v>2012</v>
      </c>
      <c r="C356" s="6">
        <v>26389234.239999998</v>
      </c>
      <c r="D356" s="8">
        <f>SUMPRODUCT(N(Tabela3[PAPEL]=Tabela2[[#This Row],[Ativo]]),Tabela3[Total Ações])</f>
        <v>137747421</v>
      </c>
      <c r="E356" s="67">
        <f>(Tabela2[[#This Row],[Lucro Líquido]])/Tabela2[[#This Row],[Total Ações]]</f>
        <v>0.19157697507817587</v>
      </c>
      <c r="F356" s="67">
        <v>0.59209073000000001</v>
      </c>
      <c r="G356" s="46">
        <f>IF(AND(Tabela2[[#This Row],[Dividendo / Ação]]&gt;0,Tabela2[[#This Row],[Lucro por ação]]&gt;0),Tabela2[[#This Row],[Dividendo / Ação]]/Tabela2[[#This Row],[Lucro por ação]],"")</f>
        <v>3.090615298411453</v>
      </c>
      <c r="H356" s="6">
        <f>MAX(Tabela2[[#This Row],[Cotação 1]],Tabela2[[#This Row],[Cotação 2]])</f>
        <v>2.65</v>
      </c>
      <c r="I356" s="19">
        <f>IF(Tabela2[[#This Row],[Dividendo / Ação]]&gt;0,Tabela2[[#This Row],[Dividendo / Ação]]/Tabela2[[#This Row],[Cotação]],"")</f>
        <v>0.22343046415094342</v>
      </c>
      <c r="J356" s="62">
        <f>SUMPRODUCT(N(Tabela1[Código]=Tabela2[[#This Row],[Ativo]]),Tabela1[Fechamento])</f>
        <v>2.65</v>
      </c>
      <c r="K356" s="62">
        <f>SUMPRODUCT(N(Tabela17[Código]=Tabela2[[#This Row],[Ativo]]),Tabela17[Fechamento])</f>
        <v>0</v>
      </c>
    </row>
    <row r="357" spans="1:13" x14ac:dyDescent="0.2">
      <c r="A357" s="4" t="s">
        <v>79</v>
      </c>
      <c r="B357" s="4">
        <v>2011</v>
      </c>
      <c r="C357" s="6">
        <v>27175402.329999998</v>
      </c>
      <c r="D357" s="8">
        <f>SUMPRODUCT(N(Tabela3[PAPEL]=Tabela2[[#This Row],[Ativo]]),Tabela3[Total Ações])</f>
        <v>137747421</v>
      </c>
      <c r="E357" s="67">
        <f>(Tabela2[[#This Row],[Lucro Líquido]])/Tabela2[[#This Row],[Total Ações]]</f>
        <v>0.19728429129718514</v>
      </c>
      <c r="F357" s="67">
        <v>0.28363851000000001</v>
      </c>
      <c r="G357" s="46">
        <f>IF(AND(Tabela2[[#This Row],[Dividendo / Ação]]&gt;0,Tabela2[[#This Row],[Lucro por ação]]&gt;0),Tabela2[[#This Row],[Dividendo / Ação]]/Tabela2[[#This Row],[Lucro por ação]],"")</f>
        <v>1.4377146205357658</v>
      </c>
      <c r="H357" s="6">
        <f>MAX(Tabela2[[#This Row],[Cotação 1]],Tabela2[[#This Row],[Cotação 2]])</f>
        <v>2.65</v>
      </c>
      <c r="I357" s="19">
        <f>IF(Tabela2[[#This Row],[Dividendo / Ação]]&gt;0,Tabela2[[#This Row],[Dividendo / Ação]]/Tabela2[[#This Row],[Cotação]],"")</f>
        <v>0.1070334</v>
      </c>
      <c r="J357" s="62">
        <f>SUMPRODUCT(N(Tabela1[Código]=Tabela2[[#This Row],[Ativo]]),Tabela1[Fechamento])</f>
        <v>2.65</v>
      </c>
      <c r="K357" s="62">
        <f>SUMPRODUCT(N(Tabela17[Código]=Tabela2[[#This Row],[Ativo]]),Tabela17[Fechamento])</f>
        <v>0</v>
      </c>
    </row>
    <row r="358" spans="1:13" x14ac:dyDescent="0.2">
      <c r="A358" s="4" t="s">
        <v>79</v>
      </c>
      <c r="B358" s="4">
        <v>2010</v>
      </c>
      <c r="C358" s="6">
        <v>76030857.450000003</v>
      </c>
      <c r="D358" s="8">
        <f>SUMPRODUCT(N(Tabela3[PAPEL]=Tabela2[[#This Row],[Ativo]]),Tabela3[Total Ações])</f>
        <v>137747421</v>
      </c>
      <c r="E358" s="67">
        <f>(Tabela2[[#This Row],[Lucro Líquido]])/Tabela2[[#This Row],[Total Ações]]</f>
        <v>0.55195848240236745</v>
      </c>
      <c r="F358" s="67">
        <v>0.69388981999999999</v>
      </c>
      <c r="G358" s="46">
        <f>IF(AND(Tabela2[[#This Row],[Dividendo / Ação]]&gt;0,Tabela2[[#This Row],[Lucro por ação]]&gt;0),Tabela2[[#This Row],[Dividendo / Ação]]/Tabela2[[#This Row],[Lucro por ação]],"")</f>
        <v>1.2571413287823472</v>
      </c>
      <c r="H358" s="6">
        <f>MAX(Tabela2[[#This Row],[Cotação 1]],Tabela2[[#This Row],[Cotação 2]])</f>
        <v>2.65</v>
      </c>
      <c r="I358" s="19">
        <f>IF(Tabela2[[#This Row],[Dividendo / Ação]]&gt;0,Tabela2[[#This Row],[Dividendo / Ação]]/Tabela2[[#This Row],[Cotação]],"")</f>
        <v>0.26184521509433961</v>
      </c>
      <c r="J358" s="62">
        <f>SUMPRODUCT(N(Tabela1[Código]=Tabela2[[#This Row],[Ativo]]),Tabela1[Fechamento])</f>
        <v>2.65</v>
      </c>
      <c r="K358" s="62">
        <f>SUMPRODUCT(N(Tabela17[Código]=Tabela2[[#This Row],[Ativo]]),Tabela17[Fechamento])</f>
        <v>0</v>
      </c>
    </row>
    <row r="359" spans="1:13" x14ac:dyDescent="0.2">
      <c r="A359" s="4" t="s">
        <v>18</v>
      </c>
      <c r="B359" s="4">
        <v>2012</v>
      </c>
      <c r="C359" s="6">
        <v>-182125692.53</v>
      </c>
      <c r="D359" s="8">
        <f>SUMPRODUCT(N(Tabela3[PAPEL]=Tabela2[[#This Row],[Ativo]]),Tabela3[Total Ações])</f>
        <v>1107677313</v>
      </c>
      <c r="E359" s="67">
        <f>(Tabela2[[#This Row],[Lucro Líquido]])/Tabela2[[#This Row],[Total Ações]]</f>
        <v>-0.16442125372843128</v>
      </c>
      <c r="F359" s="67">
        <v>0</v>
      </c>
      <c r="G359" s="46" t="str">
        <f>IF(AND(Tabela2[[#This Row],[Dividendo / Ação]]&gt;0,Tabela2[[#This Row],[Lucro por ação]]&gt;0),Tabela2[[#This Row],[Dividendo / Ação]]/Tabela2[[#This Row],[Lucro por ação]],"")</f>
        <v/>
      </c>
      <c r="H359" s="6">
        <f>MAX(Tabela2[[#This Row],[Cotação 1]],Tabela2[[#This Row],[Cotação 2]])</f>
        <v>9.24</v>
      </c>
      <c r="I359" s="19" t="str">
        <f>IF(Tabela2[[#This Row],[Dividendo / Ação]]&gt;0,Tabela2[[#This Row],[Dividendo / Ação]]/Tabela2[[#This Row],[Cotação]],"")</f>
        <v/>
      </c>
      <c r="J359" s="62">
        <f>SUMPRODUCT(N(Tabela1[Código]=Tabela2[[#This Row],[Ativo]]),Tabela1[Fechamento])</f>
        <v>9.24</v>
      </c>
      <c r="K359" s="62">
        <f>SUMPRODUCT(N(Tabela17[Código]=Tabela2[[#This Row],[Ativo]]),Tabela17[Fechamento])</f>
        <v>0</v>
      </c>
    </row>
    <row r="360" spans="1:13" x14ac:dyDescent="0.2">
      <c r="A360" s="4" t="s">
        <v>18</v>
      </c>
      <c r="B360" s="4">
        <v>2011</v>
      </c>
      <c r="C360" s="6">
        <v>78013713</v>
      </c>
      <c r="D360" s="8">
        <f>SUMPRODUCT(N(Tabela3[PAPEL]=Tabela2[[#This Row],[Ativo]]),Tabela3[Total Ações])</f>
        <v>1107677313</v>
      </c>
      <c r="E360" s="67">
        <f>(Tabela2[[#This Row],[Lucro Líquido]])/Tabela2[[#This Row],[Total Ações]]</f>
        <v>7.04299998604377E-2</v>
      </c>
      <c r="F360" s="67">
        <v>0.24881</v>
      </c>
      <c r="G360" s="46">
        <f>IF(AND(Tabela2[[#This Row],[Dividendo / Ação]]&gt;0,Tabela2[[#This Row],[Lucro por ação]]&gt;0),Tabela2[[#This Row],[Dividendo / Ação]]/Tabela2[[#This Row],[Lucro por ação]],"")</f>
        <v>3.5327275378820899</v>
      </c>
      <c r="H360" s="6">
        <f>MAX(Tabela2[[#This Row],[Cotação 1]],Tabela2[[#This Row],[Cotação 2]])</f>
        <v>9.24</v>
      </c>
      <c r="I360" s="19">
        <f>IF(Tabela2[[#This Row],[Dividendo / Ação]]&gt;0,Tabela2[[#This Row],[Dividendo / Ação]]/Tabela2[[#This Row],[Cotação]],"")</f>
        <v>2.6927489177489179E-2</v>
      </c>
      <c r="J360" s="62">
        <f>SUMPRODUCT(N(Tabela1[Código]=Tabela2[[#This Row],[Ativo]]),Tabela1[Fechamento])</f>
        <v>9.24</v>
      </c>
      <c r="K360" s="62">
        <f>SUMPRODUCT(N(Tabela17[Código]=Tabela2[[#This Row],[Ativo]]),Tabela17[Fechamento])</f>
        <v>0</v>
      </c>
    </row>
    <row r="361" spans="1:13" x14ac:dyDescent="0.2">
      <c r="A361" s="4" t="s">
        <v>18</v>
      </c>
      <c r="B361" s="3">
        <v>2010</v>
      </c>
      <c r="C361" s="5">
        <v>2190730959</v>
      </c>
      <c r="D361" s="63">
        <f>SUMPRODUCT(N(Tabela3[PAPEL]=Tabela2[[#This Row],[Ativo]]),Tabela3[Total Ações])</f>
        <v>1107677313</v>
      </c>
      <c r="E361" s="67">
        <f>(Tabela2[[#This Row],[Lucro Líquido]])/Tabela2[[#This Row],[Total Ações]]</f>
        <v>1.9777699997002647</v>
      </c>
      <c r="F361" s="66">
        <v>0.64239000000000002</v>
      </c>
      <c r="G361" s="22">
        <f>IF(AND(Tabela2[[#This Row],[Dividendo / Ação]]&gt;0,Tabela2[[#This Row],[Lucro por ação]]&gt;0),Tabela2[[#This Row],[Dividendo / Ação]]/Tabela2[[#This Row],[Lucro por ação]],"")</f>
        <v>0.32480520995735379</v>
      </c>
      <c r="H361" s="5">
        <f>MAX(Tabela2[[#This Row],[Cotação 1]],Tabela2[[#This Row],[Cotação 2]])</f>
        <v>9.24</v>
      </c>
      <c r="I361" s="18">
        <f>IF(Tabela2[[#This Row],[Dividendo / Ação]]&gt;0,Tabela2[[#This Row],[Dividendo / Ação]]/Tabela2[[#This Row],[Cotação]],"")</f>
        <v>6.9522727272727278E-2</v>
      </c>
      <c r="J361" s="61">
        <f>SUMPRODUCT(N(Tabela1[Código]=Tabela2[[#This Row],[Ativo]]),Tabela1[Fechamento])</f>
        <v>9.24</v>
      </c>
      <c r="K361" s="61">
        <f>SUMPRODUCT(N(Tabela17[Código]=Tabela2[[#This Row],[Ativo]]),Tabela17[Fechamento])</f>
        <v>0</v>
      </c>
    </row>
    <row r="362" spans="1:13" x14ac:dyDescent="0.2">
      <c r="A362" s="4" t="s">
        <v>18</v>
      </c>
      <c r="B362" s="3">
        <v>2009</v>
      </c>
      <c r="C362" s="5">
        <v>3206936280</v>
      </c>
      <c r="D362" s="63">
        <f>SUMPRODUCT(N(Tabela3[PAPEL]=Tabela2[[#This Row],[Ativo]]),Tabela3[Total Ações])</f>
        <v>1107677313</v>
      </c>
      <c r="E362" s="67">
        <f>(Tabela2[[#This Row],[Lucro Líquido]])/Tabela2[[#This Row],[Total Ações]]</f>
        <v>2.8951900001584669</v>
      </c>
      <c r="F362" s="66">
        <v>0.77659999999999996</v>
      </c>
      <c r="G362" s="22">
        <f>IF(AND(Tabela2[[#This Row],[Dividendo / Ação]]&gt;0,Tabela2[[#This Row],[Lucro por ação]]&gt;0),Tabela2[[#This Row],[Dividendo / Ação]]/Tabela2[[#This Row],[Lucro por ação]],"")</f>
        <v>0.26823800854434188</v>
      </c>
      <c r="H362" s="5">
        <f>MAX(Tabela2[[#This Row],[Cotação 1]],Tabela2[[#This Row],[Cotação 2]])</f>
        <v>9.24</v>
      </c>
      <c r="I362" s="18">
        <f>IF(Tabela2[[#This Row],[Dividendo / Ação]]&gt;0,Tabela2[[#This Row],[Dividendo / Ação]]/Tabela2[[#This Row],[Cotação]],"")</f>
        <v>8.4047619047619038E-2</v>
      </c>
      <c r="J362" s="61">
        <f>SUMPRODUCT(N(Tabela1[Código]=Tabela2[[#This Row],[Ativo]]),Tabela1[Fechamento])</f>
        <v>9.24</v>
      </c>
      <c r="K362" s="61">
        <f>SUMPRODUCT(N(Tabela17[Código]=Tabela2[[#This Row],[Ativo]]),Tabela17[Fechamento])</f>
        <v>0</v>
      </c>
    </row>
    <row r="363" spans="1:13" x14ac:dyDescent="0.2">
      <c r="A363" s="4" t="s">
        <v>236</v>
      </c>
      <c r="B363" s="4">
        <v>2012</v>
      </c>
      <c r="C363" s="6">
        <v>-182125692.53</v>
      </c>
      <c r="D363" s="8">
        <f>SUMPRODUCT(N(Tabela3[PAPEL]=Tabela2[[#This Row],[Ativo]]),Tabela3[Total Ações])</f>
        <v>1107677313</v>
      </c>
      <c r="E363" s="67">
        <f>(Tabela2[[#This Row],[Lucro Líquido]])/Tabela2[[#This Row],[Total Ações]]</f>
        <v>-0.16442125372843128</v>
      </c>
      <c r="F363" s="67">
        <v>0</v>
      </c>
      <c r="G363" s="46" t="str">
        <f>IF(AND(Tabela2[[#This Row],[Dividendo / Ação]]&gt;0,Tabela2[[#This Row],[Lucro por ação]]&gt;0),Tabela2[[#This Row],[Dividendo / Ação]]/Tabela2[[#This Row],[Lucro por ação]],"")</f>
        <v/>
      </c>
      <c r="H363" s="6">
        <f>MAX(Tabela2[[#This Row],[Cotação 1]],Tabela2[[#This Row],[Cotação 2]])</f>
        <v>5.7</v>
      </c>
      <c r="I363" s="19" t="str">
        <f>IF(Tabela2[[#This Row],[Dividendo / Ação]]&gt;0,Tabela2[[#This Row],[Dividendo / Ação]]/Tabela2[[#This Row],[Cotação]],"")</f>
        <v/>
      </c>
      <c r="J363" s="62">
        <f>SUMPRODUCT(N(Tabela1[Código]=Tabela2[[#This Row],[Ativo]]),Tabela1[Fechamento])</f>
        <v>5.7</v>
      </c>
      <c r="K363" s="62">
        <f>SUMPRODUCT(N(Tabela17[Código]=Tabela2[[#This Row],[Ativo]]),Tabela17[Fechamento])</f>
        <v>0</v>
      </c>
    </row>
    <row r="364" spans="1:13" x14ac:dyDescent="0.2">
      <c r="A364" s="4" t="s">
        <v>236</v>
      </c>
      <c r="B364" s="3">
        <v>2011</v>
      </c>
      <c r="C364" s="6">
        <v>78013713</v>
      </c>
      <c r="D364" s="63">
        <f>SUMPRODUCT(N(Tabela3[PAPEL]=Tabela2[[#This Row],[Ativo]]),Tabela3[Total Ações])</f>
        <v>1107677313</v>
      </c>
      <c r="E364" s="67">
        <f>(Tabela2[[#This Row],[Lucro Líquido]])/Tabela2[[#This Row],[Total Ações]]</f>
        <v>7.04299998604377E-2</v>
      </c>
      <c r="F364" s="67">
        <v>0.24881</v>
      </c>
      <c r="G364" s="22">
        <f>IF(AND(Tabela2[[#This Row],[Dividendo / Ação]]&gt;0,Tabela2[[#This Row],[Lucro por ação]]&gt;0),Tabela2[[#This Row],[Dividendo / Ação]]/Tabela2[[#This Row],[Lucro por ação]],"")</f>
        <v>3.5327275378820899</v>
      </c>
      <c r="H364" s="5">
        <f>MAX(Tabela2[[#This Row],[Cotação 1]],Tabela2[[#This Row],[Cotação 2]])</f>
        <v>5.7</v>
      </c>
      <c r="I364" s="18">
        <f>IF(Tabela2[[#This Row],[Dividendo / Ação]]&gt;0,Tabela2[[#This Row],[Dividendo / Ação]]/Tabela2[[#This Row],[Cotação]],"")</f>
        <v>4.3650877192982454E-2</v>
      </c>
      <c r="J364" s="61">
        <f>SUMPRODUCT(N(Tabela1[Código]=Tabela2[[#This Row],[Ativo]]),Tabela1[Fechamento])</f>
        <v>5.7</v>
      </c>
      <c r="K364" s="61">
        <f>SUMPRODUCT(N(Tabela17[Código]=Tabela2[[#This Row],[Ativo]]),Tabela17[Fechamento])</f>
        <v>0</v>
      </c>
    </row>
    <row r="365" spans="1:13" x14ac:dyDescent="0.2">
      <c r="A365" s="4" t="s">
        <v>236</v>
      </c>
      <c r="B365" s="4">
        <v>2010</v>
      </c>
      <c r="C365" s="5">
        <v>2190730959</v>
      </c>
      <c r="D365" s="8">
        <f>SUMPRODUCT(N(Tabela3[PAPEL]=Tabela2[[#This Row],[Ativo]]),Tabela3[Total Ações])</f>
        <v>1107677313</v>
      </c>
      <c r="E365" s="67">
        <f>(Tabela2[[#This Row],[Lucro Líquido]])/Tabela2[[#This Row],[Total Ações]]</f>
        <v>1.9777699997002647</v>
      </c>
      <c r="F365" s="67">
        <v>0.59360000000000002</v>
      </c>
      <c r="G365" s="46">
        <f>IF(AND(Tabela2[[#This Row],[Dividendo / Ação]]&gt;0,Tabela2[[#This Row],[Lucro por ação]]&gt;0),Tabela2[[#This Row],[Dividendo / Ação]]/Tabela2[[#This Row],[Lucro por ação]],"")</f>
        <v>0.3001360118163191</v>
      </c>
      <c r="H365" s="6">
        <f>MAX(Tabela2[[#This Row],[Cotação 1]],Tabela2[[#This Row],[Cotação 2]])</f>
        <v>5.7</v>
      </c>
      <c r="I365" s="19">
        <f>IF(Tabela2[[#This Row],[Dividendo / Ação]]&gt;0,Tabela2[[#This Row],[Dividendo / Ação]]/Tabela2[[#This Row],[Cotação]],"")</f>
        <v>0.10414035087719298</v>
      </c>
      <c r="J365" s="62">
        <f>SUMPRODUCT(N(Tabela1[Código]=Tabela2[[#This Row],[Ativo]]),Tabela1[Fechamento])</f>
        <v>5.7</v>
      </c>
      <c r="K365" s="62">
        <f>SUMPRODUCT(N(Tabela17[Código]=Tabela2[[#This Row],[Ativo]]),Tabela17[Fechamento])</f>
        <v>0</v>
      </c>
    </row>
    <row r="366" spans="1:13" x14ac:dyDescent="0.2">
      <c r="A366" s="4" t="s">
        <v>236</v>
      </c>
      <c r="B366" s="4">
        <v>2009</v>
      </c>
      <c r="C366" s="5">
        <v>3206936280</v>
      </c>
      <c r="D366" s="8">
        <f>SUMPRODUCT(N(Tabela3[PAPEL]=Tabela2[[#This Row],[Ativo]]),Tabela3[Total Ações])</f>
        <v>1107677313</v>
      </c>
      <c r="E366" s="67">
        <f>(Tabela2[[#This Row],[Lucro Líquido]])/Tabela2[[#This Row],[Total Ações]]</f>
        <v>2.8951900001584669</v>
      </c>
      <c r="F366" s="67">
        <v>0.77659999999999996</v>
      </c>
      <c r="G366" s="46">
        <f>IF(AND(Tabela2[[#This Row],[Dividendo / Ação]]&gt;0,Tabela2[[#This Row],[Lucro por ação]]&gt;0),Tabela2[[#This Row],[Dividendo / Ação]]/Tabela2[[#This Row],[Lucro por ação]],"")</f>
        <v>0.26823800854434188</v>
      </c>
      <c r="H366" s="6">
        <f>MAX(Tabela2[[#This Row],[Cotação 1]],Tabela2[[#This Row],[Cotação 2]])</f>
        <v>5.7</v>
      </c>
      <c r="I366" s="19">
        <f>IF(Tabela2[[#This Row],[Dividendo / Ação]]&gt;0,Tabela2[[#This Row],[Dividendo / Ação]]/Tabela2[[#This Row],[Cotação]],"")</f>
        <v>0.1362456140350877</v>
      </c>
      <c r="J366" s="62">
        <f>SUMPRODUCT(N(Tabela1[Código]=Tabela2[[#This Row],[Ativo]]),Tabela1[Fechamento])</f>
        <v>5.7</v>
      </c>
      <c r="K366" s="62">
        <f>SUMPRODUCT(N(Tabela17[Código]=Tabela2[[#This Row],[Ativo]]),Tabela17[Fechamento])</f>
        <v>0</v>
      </c>
    </row>
    <row r="367" spans="1:13" x14ac:dyDescent="0.2">
      <c r="A367" s="4" t="s">
        <v>57</v>
      </c>
      <c r="B367" s="4">
        <v>2012</v>
      </c>
      <c r="C367" s="6">
        <v>589182430.70000005</v>
      </c>
      <c r="D367" s="8">
        <f>SUMPRODUCT(N(Tabela3[PAPEL]=Tabela2[[#This Row],[Ativo]]),Tabela3[Total Ações])</f>
        <v>1033496721</v>
      </c>
      <c r="E367" s="67">
        <f>(Tabela2[[#This Row],[Lucro Líquido]])/Tabela2[[#This Row],[Total Ações]]</f>
        <v>0.57008640543137246</v>
      </c>
      <c r="F367" s="67">
        <v>1.51</v>
      </c>
      <c r="G367" s="46">
        <f>IF(AND(Tabela2[[#This Row],[Dividendo / Ação]]&gt;0,Tabela2[[#This Row],[Lucro por ação]]&gt;0),Tabela2[[#This Row],[Dividendo / Ação]]/Tabela2[[#This Row],[Lucro por ação]],"")</f>
        <v>2.6487212913933891</v>
      </c>
      <c r="H367" s="6">
        <f>MAX(Tabela2[[#This Row],[Cotação 1]],Tabela2[[#This Row],[Cotação 2]])</f>
        <v>18.2</v>
      </c>
      <c r="I367" s="19">
        <f>IF(Tabela2[[#This Row],[Dividendo / Ação]]&gt;0,Tabela2[[#This Row],[Dividendo / Ação]]/Tabela2[[#This Row],[Cotação]],"")</f>
        <v>8.2967032967032978E-2</v>
      </c>
      <c r="J367" s="62">
        <f>SUMPRODUCT(N(Tabela1[Código]=Tabela2[[#This Row],[Ativo]]),Tabela1[Fechamento])</f>
        <v>18.2</v>
      </c>
      <c r="K367" s="62">
        <f>SUMPRODUCT(N(Tabela17[Código]=Tabela2[[#This Row],[Ativo]]),Tabela17[Fechamento])</f>
        <v>0</v>
      </c>
    </row>
    <row r="368" spans="1:13" x14ac:dyDescent="0.2">
      <c r="A368" s="4" t="s">
        <v>57</v>
      </c>
      <c r="B368" s="4">
        <v>2011</v>
      </c>
      <c r="C368" s="6">
        <v>495399428.38999999</v>
      </c>
      <c r="D368" s="8">
        <f>SUMPRODUCT(N(Tabela3[PAPEL]=Tabela2[[#This Row],[Ativo]]),Tabela3[Total Ações])</f>
        <v>1033496721</v>
      </c>
      <c r="E368" s="67">
        <f>(Tabela2[[#This Row],[Lucro Líquido]])/Tabela2[[#This Row],[Total Ações]]</f>
        <v>0.47934300934274565</v>
      </c>
      <c r="F368" s="67">
        <v>1.88</v>
      </c>
      <c r="G368" s="46">
        <f>IF(AND(Tabela2[[#This Row],[Dividendo / Ação]]&gt;0,Tabela2[[#This Row],[Lucro por ação]]&gt;0),Tabela2[[#This Row],[Dividendo / Ação]]/Tabela2[[#This Row],[Lucro por ação]],"")</f>
        <v>3.9220348755638983</v>
      </c>
      <c r="H368" s="6">
        <f>MAX(Tabela2[[#This Row],[Cotação 1]],Tabela2[[#This Row],[Cotação 2]])</f>
        <v>18.2</v>
      </c>
      <c r="I368" s="19">
        <f>IF(Tabela2[[#This Row],[Dividendo / Ação]]&gt;0,Tabela2[[#This Row],[Dividendo / Ação]]/Tabela2[[#This Row],[Cotação]],"")</f>
        <v>0.10329670329670329</v>
      </c>
      <c r="J368" s="62">
        <f>SUMPRODUCT(N(Tabela1[Código]=Tabela2[[#This Row],[Ativo]]),Tabela1[Fechamento])</f>
        <v>18.2</v>
      </c>
      <c r="K368" s="62">
        <f>SUMPRODUCT(N(Tabela17[Código]=Tabela2[[#This Row],[Ativo]]),Tabela17[Fechamento])</f>
        <v>0</v>
      </c>
      <c r="M368" s="5"/>
    </row>
    <row r="369" spans="1:14" x14ac:dyDescent="0.2">
      <c r="A369" s="4" t="s">
        <v>57</v>
      </c>
      <c r="B369" s="4">
        <v>2010</v>
      </c>
      <c r="C369" s="6">
        <v>428630102.26999998</v>
      </c>
      <c r="D369" s="8">
        <f>SUMPRODUCT(N(Tabela3[PAPEL]=Tabela2[[#This Row],[Ativo]]),Tabela3[Total Ações])</f>
        <v>1033496721</v>
      </c>
      <c r="E369" s="67">
        <f>(Tabela2[[#This Row],[Lucro Líquido]])/Tabela2[[#This Row],[Total Ações]]</f>
        <v>0.41473774764883842</v>
      </c>
      <c r="F369" s="67">
        <v>1.63</v>
      </c>
      <c r="G369" s="46">
        <f>IF(AND(Tabela2[[#This Row],[Dividendo / Ação]]&gt;0,Tabela2[[#This Row],[Lucro por ação]]&gt;0),Tabela2[[#This Row],[Dividendo / Ação]]/Tabela2[[#This Row],[Lucro por ação]],"")</f>
        <v>3.9301944644308895</v>
      </c>
      <c r="H369" s="6">
        <f>MAX(Tabela2[[#This Row],[Cotação 1]],Tabela2[[#This Row],[Cotação 2]])</f>
        <v>18.2</v>
      </c>
      <c r="I369" s="19">
        <f>IF(Tabela2[[#This Row],[Dividendo / Ação]]&gt;0,Tabela2[[#This Row],[Dividendo / Ação]]/Tabela2[[#This Row],[Cotação]],"")</f>
        <v>8.9560439560439561E-2</v>
      </c>
      <c r="J369" s="62">
        <f>SUMPRODUCT(N(Tabela1[Código]=Tabela2[[#This Row],[Ativo]]),Tabela1[Fechamento])</f>
        <v>18.2</v>
      </c>
      <c r="K369" s="62">
        <f>SUMPRODUCT(N(Tabela17[Código]=Tabela2[[#This Row],[Ativo]]),Tabela17[Fechamento])</f>
        <v>0</v>
      </c>
    </row>
    <row r="370" spans="1:14" x14ac:dyDescent="0.2">
      <c r="A370" s="4" t="s">
        <v>57</v>
      </c>
      <c r="B370" s="4">
        <v>2009</v>
      </c>
      <c r="C370" s="6">
        <v>287794829.95999998</v>
      </c>
      <c r="D370" s="8">
        <f>SUMPRODUCT(N(Tabela3[PAPEL]=Tabela2[[#This Row],[Ativo]]),Tabela3[Total Ações])</f>
        <v>1033496721</v>
      </c>
      <c r="E370" s="67">
        <f>(Tabela2[[#This Row],[Lucro Líquido]])/Tabela2[[#This Row],[Total Ações]]</f>
        <v>0.2784670953590766</v>
      </c>
      <c r="F370" s="67">
        <v>1.0900000000000001</v>
      </c>
      <c r="G370" s="46">
        <f>IF(AND(Tabela2[[#This Row],[Dividendo / Ação]]&gt;0,Tabela2[[#This Row],[Lucro por ação]]&gt;0),Tabela2[[#This Row],[Dividendo / Ação]]/Tabela2[[#This Row],[Lucro por ação]],"")</f>
        <v>3.9142865285195416</v>
      </c>
      <c r="H370" s="6">
        <f>MAX(Tabela2[[#This Row],[Cotação 1]],Tabela2[[#This Row],[Cotação 2]])</f>
        <v>18.2</v>
      </c>
      <c r="I370" s="19">
        <f>IF(Tabela2[[#This Row],[Dividendo / Ação]]&gt;0,Tabela2[[#This Row],[Dividendo / Ação]]/Tabela2[[#This Row],[Cotação]],"")</f>
        <v>5.9890109890109899E-2</v>
      </c>
      <c r="J370" s="62">
        <f>SUMPRODUCT(N(Tabela1[Código]=Tabela2[[#This Row],[Ativo]]),Tabela1[Fechamento])</f>
        <v>18.2</v>
      </c>
      <c r="K370" s="62">
        <f>SUMPRODUCT(N(Tabela17[Código]=Tabela2[[#This Row],[Ativo]]),Tabela17[Fechamento])</f>
        <v>0</v>
      </c>
    </row>
    <row r="371" spans="1:14" x14ac:dyDescent="0.2">
      <c r="A371" s="4" t="s">
        <v>219</v>
      </c>
      <c r="B371" s="4">
        <v>2012</v>
      </c>
      <c r="C371" s="6">
        <v>1499500000</v>
      </c>
      <c r="D371" s="8">
        <f>SUMPRODUCT(N(Tabela3[PAPEL]=Tabela2[[#This Row],[Ativo]]),Tabela3[Total Ações])</f>
        <v>652742192</v>
      </c>
      <c r="E371" s="67">
        <f>(Tabela2[[#This Row],[Lucro Líquido]])/Tabela2[[#This Row],[Total Ações]]</f>
        <v>2.2972316151427821</v>
      </c>
      <c r="F371" s="67">
        <v>2.3690660666999999</v>
      </c>
      <c r="G371" s="46">
        <f>IF(AND(Tabela2[[#This Row],[Dividendo / Ação]]&gt;0,Tabela2[[#This Row],[Lucro por ação]]&gt;0),Tabela2[[#This Row],[Dividendo / Ação]]/Tabela2[[#This Row],[Lucro por ação]],"")</f>
        <v>1.0312700082498008</v>
      </c>
      <c r="H371" s="6">
        <f>MAX(Tabela2[[#This Row],[Cotação 1]],Tabela2[[#This Row],[Cotação 2]])</f>
        <v>35.94</v>
      </c>
      <c r="I371" s="19">
        <f>IF(Tabela2[[#This Row],[Dividendo / Ação]]&gt;0,Tabela2[[#This Row],[Dividendo / Ação]]/Tabela2[[#This Row],[Cotação]],"")</f>
        <v>6.5917252829716194E-2</v>
      </c>
      <c r="J371" s="62">
        <f>SUMPRODUCT(N(Tabela1[Código]=Tabela2[[#This Row],[Ativo]]),Tabela1[Fechamento])</f>
        <v>35.94</v>
      </c>
      <c r="K371" s="62">
        <f>SUMPRODUCT(N(Tabela17[Código]=Tabela2[[#This Row],[Ativo]]),Tabela17[Fechamento])</f>
        <v>0</v>
      </c>
    </row>
    <row r="372" spans="1:14" x14ac:dyDescent="0.2">
      <c r="A372" s="4" t="s">
        <v>219</v>
      </c>
      <c r="B372" s="4">
        <v>2011</v>
      </c>
      <c r="C372" s="6">
        <v>1447636528</v>
      </c>
      <c r="D372" s="8">
        <f>SUMPRODUCT(N(Tabela3[PAPEL]=Tabela2[[#This Row],[Ativo]]),Tabela3[Total Ações])</f>
        <v>652742192</v>
      </c>
      <c r="E372" s="67">
        <f>(Tabela2[[#This Row],[Lucro Líquido]])/Tabela2[[#This Row],[Total Ações]]</f>
        <v>2.2177768585242608</v>
      </c>
      <c r="F372" s="67">
        <v>2.1897556102000002</v>
      </c>
      <c r="G372" s="46">
        <f>IF(AND(Tabela2[[#This Row],[Dividendo / Ação]]&gt;0,Tabela2[[#This Row],[Lucro por ação]]&gt;0),Tabela2[[#This Row],[Dividendo / Ação]]/Tabela2[[#This Row],[Lucro por ação]],"")</f>
        <v>0.98736516335421309</v>
      </c>
      <c r="H372" s="6">
        <f>MAX(Tabela2[[#This Row],[Cotação 1]],Tabela2[[#This Row],[Cotação 2]])</f>
        <v>35.94</v>
      </c>
      <c r="I372" s="19">
        <f>IF(Tabela2[[#This Row],[Dividendo / Ação]]&gt;0,Tabela2[[#This Row],[Dividendo / Ação]]/Tabela2[[#This Row],[Cotação]],"")</f>
        <v>6.0928091547022827E-2</v>
      </c>
      <c r="J372" s="62">
        <f>SUMPRODUCT(N(Tabela1[Código]=Tabela2[[#This Row],[Ativo]]),Tabela1[Fechamento])</f>
        <v>35.94</v>
      </c>
      <c r="K372" s="62">
        <f>SUMPRODUCT(N(Tabela17[Código]=Tabela2[[#This Row],[Ativo]]),Tabela17[Fechamento])</f>
        <v>0</v>
      </c>
    </row>
    <row r="373" spans="1:14" x14ac:dyDescent="0.2">
      <c r="A373" s="4" t="s">
        <v>219</v>
      </c>
      <c r="B373" s="4">
        <v>2010</v>
      </c>
      <c r="C373" s="6">
        <v>1211648449</v>
      </c>
      <c r="D373" s="8">
        <f>SUMPRODUCT(N(Tabela3[PAPEL]=Tabela2[[#This Row],[Ativo]]),Tabela3[Total Ações])</f>
        <v>652742192</v>
      </c>
      <c r="E373" s="67">
        <f>(Tabela2[[#This Row],[Lucro Líquido]])/Tabela2[[#This Row],[Total Ações]]</f>
        <v>1.8562434968199513</v>
      </c>
      <c r="F373" s="67">
        <v>1.0178134248999999</v>
      </c>
      <c r="G373" s="46">
        <f>IF(AND(Tabela2[[#This Row],[Dividendo / Ação]]&gt;0,Tabela2[[#This Row],[Lucro por ação]]&gt;0),Tabela2[[#This Row],[Dividendo / Ação]]/Tabela2[[#This Row],[Lucro por ação]],"")</f>
        <v>0.5483189175577885</v>
      </c>
      <c r="H373" s="6">
        <f>MAX(Tabela2[[#This Row],[Cotação 1]],Tabela2[[#This Row],[Cotação 2]])</f>
        <v>35.94</v>
      </c>
      <c r="I373" s="19">
        <f>IF(Tabela2[[#This Row],[Dividendo / Ação]]&gt;0,Tabela2[[#This Row],[Dividendo / Ação]]/Tabela2[[#This Row],[Cotação]],"")</f>
        <v>2.831979479410128E-2</v>
      </c>
      <c r="J373" s="62">
        <f>SUMPRODUCT(N(Tabela1[Código]=Tabela2[[#This Row],[Ativo]]),Tabela1[Fechamento])</f>
        <v>35.94</v>
      </c>
      <c r="K373" s="62">
        <f>SUMPRODUCT(N(Tabela17[Código]=Tabela2[[#This Row],[Ativo]]),Tabela17[Fechamento])</f>
        <v>0</v>
      </c>
    </row>
    <row r="374" spans="1:14" x14ac:dyDescent="0.2">
      <c r="A374" s="4" t="s">
        <v>192</v>
      </c>
      <c r="B374" s="4">
        <v>2012</v>
      </c>
      <c r="C374" s="6">
        <v>843488000</v>
      </c>
      <c r="D374" s="8">
        <f>SUMPRODUCT(N(Tabela3[PAPEL]=Tabela2[[#This Row],[Ativo]]),Tabela3[Total Ações])</f>
        <v>152661565</v>
      </c>
      <c r="E374" s="67">
        <f>(Tabela2[[#This Row],[Lucro Líquido]])/Tabela2[[#This Row],[Total Ações]]</f>
        <v>5.5252152039709532</v>
      </c>
      <c r="F374" s="67">
        <v>1.8032159999999999</v>
      </c>
      <c r="G374" s="46">
        <f>IF(AND(Tabela2[[#This Row],[Dividendo / Ação]]&gt;0,Tabela2[[#This Row],[Lucro por ação]]&gt;0),Tabela2[[#This Row],[Dividendo / Ação]]/Tabela2[[#This Row],[Lucro por ação]],"")</f>
        <v>0.32636122457348538</v>
      </c>
      <c r="H374" s="6">
        <f>MAX(Tabela2[[#This Row],[Cotação 1]],Tabela2[[#This Row],[Cotação 2]])</f>
        <v>44</v>
      </c>
      <c r="I374" s="19">
        <f>IF(Tabela2[[#This Row],[Dividendo / Ação]]&gt;0,Tabela2[[#This Row],[Dividendo / Ação]]/Tabela2[[#This Row],[Cotação]],"")</f>
        <v>4.0982181818181813E-2</v>
      </c>
      <c r="J374" s="62">
        <f>SUMPRODUCT(N(Tabela1[Código]=Tabela2[[#This Row],[Ativo]]),Tabela1[Fechamento])</f>
        <v>44</v>
      </c>
      <c r="K374" s="62">
        <f>SUMPRODUCT(N(Tabela17[Código]=Tabela2[[#This Row],[Ativo]]),Tabela17[Fechamento])</f>
        <v>0</v>
      </c>
    </row>
    <row r="375" spans="1:14" x14ac:dyDescent="0.2">
      <c r="A375" s="4" t="s">
        <v>192</v>
      </c>
      <c r="B375" s="3">
        <v>2011</v>
      </c>
      <c r="C375" s="5">
        <v>920137051</v>
      </c>
      <c r="D375" s="63">
        <f>SUMPRODUCT(N(Tabela3[PAPEL]=Tabela2[[#This Row],[Ativo]]),Tabela3[Total Ações])</f>
        <v>152661565</v>
      </c>
      <c r="E375" s="66">
        <f>(Tabela2[[#This Row],[Lucro Líquido]])/Tabela2[[#This Row],[Total Ações]]</f>
        <v>6.0273000018046456</v>
      </c>
      <c r="F375" s="66">
        <v>4.9819000000000004</v>
      </c>
      <c r="G375" s="22">
        <f>IF(AND(Tabela2[[#This Row],[Dividendo / Ação]]&gt;0,Tabela2[[#This Row],[Lucro por ação]]&gt;0),Tabela2[[#This Row],[Dividendo / Ação]]/Tabela2[[#This Row],[Lucro por ação]],"")</f>
        <v>0.82655583735808069</v>
      </c>
      <c r="H375" s="5">
        <f>MAX(Tabela2[[#This Row],[Cotação 1]],Tabela2[[#This Row],[Cotação 2]])</f>
        <v>44</v>
      </c>
      <c r="I375" s="18">
        <f>IF(Tabela2[[#This Row],[Dividendo / Ação]]&gt;0,Tabela2[[#This Row],[Dividendo / Ação]]/Tabela2[[#This Row],[Cotação]],"")</f>
        <v>0.11322500000000001</v>
      </c>
      <c r="J375" s="61">
        <f>SUMPRODUCT(N(Tabela1[Código]=Tabela2[[#This Row],[Ativo]]),Tabela1[Fechamento])</f>
        <v>44</v>
      </c>
      <c r="K375" s="61">
        <f>SUMPRODUCT(N(Tabela17[Código]=Tabela2[[#This Row],[Ativo]]),Tabela17[Fechamento])</f>
        <v>0</v>
      </c>
    </row>
    <row r="376" spans="1:14" x14ac:dyDescent="0.2">
      <c r="A376" s="4" t="s">
        <v>192</v>
      </c>
      <c r="B376" s="3">
        <v>2010</v>
      </c>
      <c r="C376" s="5">
        <v>818571312</v>
      </c>
      <c r="D376" s="63">
        <f>SUMPRODUCT(N(Tabela3[PAPEL]=Tabela2[[#This Row],[Ativo]]),Tabela3[Total Ações])</f>
        <v>152661565</v>
      </c>
      <c r="E376" s="66">
        <f>(Tabela2[[#This Row],[Lucro Líquido]])/Tabela2[[#This Row],[Total Ações]]</f>
        <v>5.3620000030787054</v>
      </c>
      <c r="F376" s="66">
        <v>5.0853999999999999</v>
      </c>
      <c r="G376" s="22">
        <f>IF(AND(Tabela2[[#This Row],[Dividendo / Ação]]&gt;0,Tabela2[[#This Row],[Lucro por ação]]&gt;0),Tabela2[[#This Row],[Dividendo / Ação]]/Tabela2[[#This Row],[Lucro por ação]],"")</f>
        <v>0.94841477006342978</v>
      </c>
      <c r="H376" s="5">
        <f>MAX(Tabela2[[#This Row],[Cotação 1]],Tabela2[[#This Row],[Cotação 2]])</f>
        <v>44</v>
      </c>
      <c r="I376" s="18">
        <f>IF(Tabela2[[#This Row],[Dividendo / Ação]]&gt;0,Tabela2[[#This Row],[Dividendo / Ação]]/Tabela2[[#This Row],[Cotação]],"")</f>
        <v>0.11557727272727272</v>
      </c>
      <c r="J376" s="61">
        <f>SUMPRODUCT(N(Tabela1[Código]=Tabela2[[#This Row],[Ativo]]),Tabela1[Fechamento])</f>
        <v>44</v>
      </c>
      <c r="K376" s="61">
        <f>SUMPRODUCT(N(Tabela17[Código]=Tabela2[[#This Row],[Ativo]]),Tabela17[Fechamento])</f>
        <v>0</v>
      </c>
    </row>
    <row r="377" spans="1:14" x14ac:dyDescent="0.2">
      <c r="A377" s="4" t="s">
        <v>193</v>
      </c>
      <c r="B377" s="4">
        <v>2012</v>
      </c>
      <c r="C377" s="6">
        <v>843488000</v>
      </c>
      <c r="D377" s="8">
        <f>SUMPRODUCT(N(Tabela3[PAPEL]=Tabela2[[#This Row],[Ativo]]),Tabela3[Total Ações])</f>
        <v>152661565</v>
      </c>
      <c r="E377" s="67">
        <f>(Tabela2[[#This Row],[Lucro Líquido]])/Tabela2[[#This Row],[Total Ações]]</f>
        <v>5.5252152039709532</v>
      </c>
      <c r="F377" s="67">
        <v>1.8032159999999999</v>
      </c>
      <c r="G377" s="46">
        <f>IF(AND(Tabela2[[#This Row],[Dividendo / Ação]]&gt;0,Tabela2[[#This Row],[Lucro por ação]]&gt;0),Tabela2[[#This Row],[Dividendo / Ação]]/Tabela2[[#This Row],[Lucro por ação]],"")</f>
        <v>0.32636122457348538</v>
      </c>
      <c r="H377" s="6">
        <f>MAX(Tabela2[[#This Row],[Cotação 1]],Tabela2[[#This Row],[Cotação 2]])</f>
        <v>26.92</v>
      </c>
      <c r="I377" s="19">
        <f>IF(Tabela2[[#This Row],[Dividendo / Ação]]&gt;0,Tabela2[[#This Row],[Dividendo / Ação]]/Tabela2[[#This Row],[Cotação]],"")</f>
        <v>6.6984249628528975E-2</v>
      </c>
      <c r="J377" s="62">
        <f>SUMPRODUCT(N(Tabela1[Código]=Tabela2[[#This Row],[Ativo]]),Tabela1[Fechamento])</f>
        <v>26.92</v>
      </c>
      <c r="K377" s="62">
        <f>SUMPRODUCT(N(Tabela17[Código]=Tabela2[[#This Row],[Ativo]]),Tabela17[Fechamento])</f>
        <v>0</v>
      </c>
    </row>
    <row r="378" spans="1:14" x14ac:dyDescent="0.2">
      <c r="A378" s="4" t="s">
        <v>193</v>
      </c>
      <c r="B378" s="4">
        <v>2011</v>
      </c>
      <c r="C378" s="5">
        <v>920137051</v>
      </c>
      <c r="D378" s="8">
        <f>SUMPRODUCT(N(Tabela3[PAPEL]=Tabela2[[#This Row],[Ativo]]),Tabela3[Total Ações])</f>
        <v>152661565</v>
      </c>
      <c r="E378" s="67">
        <f>(Tabela2[[#This Row],[Lucro Líquido]])/Tabela2[[#This Row],[Total Ações]]</f>
        <v>6.0273000018046456</v>
      </c>
      <c r="F378" s="66">
        <v>4.9819000000000004</v>
      </c>
      <c r="G378" s="46">
        <f>IF(AND(Tabela2[[#This Row],[Dividendo / Ação]]&gt;0,Tabela2[[#This Row],[Lucro por ação]]&gt;0),Tabela2[[#This Row],[Dividendo / Ação]]/Tabela2[[#This Row],[Lucro por ação]],"")</f>
        <v>0.82655583735808069</v>
      </c>
      <c r="H378" s="6">
        <f>MAX(Tabela2[[#This Row],[Cotação 1]],Tabela2[[#This Row],[Cotação 2]])</f>
        <v>26.92</v>
      </c>
      <c r="I378" s="19">
        <f>IF(Tabela2[[#This Row],[Dividendo / Ação]]&gt;0,Tabela2[[#This Row],[Dividendo / Ação]]/Tabela2[[#This Row],[Cotação]],"")</f>
        <v>0.18506315007429422</v>
      </c>
      <c r="J378" s="62">
        <f>SUMPRODUCT(N(Tabela1[Código]=Tabela2[[#This Row],[Ativo]]),Tabela1[Fechamento])</f>
        <v>26.92</v>
      </c>
      <c r="K378" s="62">
        <f>SUMPRODUCT(N(Tabela17[Código]=Tabela2[[#This Row],[Ativo]]),Tabela17[Fechamento])</f>
        <v>0</v>
      </c>
    </row>
    <row r="379" spans="1:14" x14ac:dyDescent="0.2">
      <c r="A379" s="4" t="s">
        <v>193</v>
      </c>
      <c r="B379" s="4">
        <v>2010</v>
      </c>
      <c r="C379" s="5">
        <v>818571312</v>
      </c>
      <c r="D379" s="8">
        <f>SUMPRODUCT(N(Tabela3[PAPEL]=Tabela2[[#This Row],[Ativo]]),Tabela3[Total Ações])</f>
        <v>152661565</v>
      </c>
      <c r="E379" s="67">
        <f>(Tabela2[[#This Row],[Lucro Líquido]])/Tabela2[[#This Row],[Total Ações]]</f>
        <v>5.3620000030787054</v>
      </c>
      <c r="F379" s="66">
        <v>5.0853999999999999</v>
      </c>
      <c r="G379" s="46">
        <f>IF(AND(Tabela2[[#This Row],[Dividendo / Ação]]&gt;0,Tabela2[[#This Row],[Lucro por ação]]&gt;0),Tabela2[[#This Row],[Dividendo / Ação]]/Tabela2[[#This Row],[Lucro por ação]],"")</f>
        <v>0.94841477006342978</v>
      </c>
      <c r="H379" s="6">
        <f>MAX(Tabela2[[#This Row],[Cotação 1]],Tabela2[[#This Row],[Cotação 2]])</f>
        <v>26.92</v>
      </c>
      <c r="I379" s="19">
        <f>IF(Tabela2[[#This Row],[Dividendo / Ação]]&gt;0,Tabela2[[#This Row],[Dividendo / Ação]]/Tabela2[[#This Row],[Cotação]],"")</f>
        <v>0.18890787518573549</v>
      </c>
      <c r="J379" s="62">
        <f>SUMPRODUCT(N(Tabela1[Código]=Tabela2[[#This Row],[Ativo]]),Tabela1[Fechamento])</f>
        <v>26.92</v>
      </c>
      <c r="K379" s="62">
        <f>SUMPRODUCT(N(Tabela17[Código]=Tabela2[[#This Row],[Ativo]]),Tabela17[Fechamento])</f>
        <v>0</v>
      </c>
    </row>
    <row r="380" spans="1:14" x14ac:dyDescent="0.2">
      <c r="A380" s="4" t="s">
        <v>77</v>
      </c>
      <c r="B380" s="4">
        <v>2012</v>
      </c>
      <c r="C380" s="6">
        <v>39281689.020000003</v>
      </c>
      <c r="D380" s="8">
        <f>SUMPRODUCT(N(Tabela3[PAPEL]=Tabela2[[#This Row],[Ativo]]),Tabela3[Total Ações])</f>
        <v>0</v>
      </c>
      <c r="E380" s="65" t="e">
        <f>(Tabela2[[#This Row],[Lucro Líquido]])/Tabela2[[#This Row],[Total Ações]]</f>
        <v>#DIV/0!</v>
      </c>
      <c r="F380" s="65">
        <v>4.5999999999999999E-2</v>
      </c>
      <c r="G380" s="19" t="e">
        <f>IF(AND(Tabela2[[#This Row],[Dividendo / Ação]]&gt;0,Tabela2[[#This Row],[Lucro por ação]]&gt;0),Tabela2[[#This Row],[Dividendo / Ação]]/Tabela2[[#This Row],[Lucro por ação]],"")</f>
        <v>#DIV/0!</v>
      </c>
      <c r="H380" s="6">
        <f>MAX(Tabela2[[#This Row],[Cotação 1]],Tabela2[[#This Row],[Cotação 2]])</f>
        <v>0.67</v>
      </c>
      <c r="I380" s="18">
        <f>IF(Tabela2[[#This Row],[Dividendo / Ação]]&gt;0,Tabela2[[#This Row],[Dividendo / Ação]]/Tabela2[[#This Row],[Cotação]],"")</f>
        <v>6.8656716417910449E-2</v>
      </c>
      <c r="J380" s="61">
        <f>SUMPRODUCT(N(Tabela1[Código]=Tabela2[[#This Row],[Ativo]]),Tabela1[Fechamento])</f>
        <v>0.67</v>
      </c>
      <c r="K380" s="61">
        <f>SUMPRODUCT(N(Tabela17[Código]=Tabela2[[#This Row],[Ativo]]),Tabela17[Fechamento])</f>
        <v>0</v>
      </c>
    </row>
    <row r="381" spans="1:14" x14ac:dyDescent="0.2">
      <c r="A381" s="4" t="s">
        <v>77</v>
      </c>
      <c r="B381" s="4">
        <v>2011</v>
      </c>
      <c r="C381" s="6">
        <v>4448000</v>
      </c>
      <c r="D381" s="8">
        <f>SUMPRODUCT(N(Tabela3[PAPEL]=Tabela2[[#This Row],[Ativo]]),Tabela3[Total Ações])</f>
        <v>0</v>
      </c>
      <c r="E381" s="65" t="e">
        <f>(Tabela2[[#This Row],[Lucro Líquido]])/Tabela2[[#This Row],[Total Ações]]</f>
        <v>#DIV/0!</v>
      </c>
      <c r="F381" s="65">
        <v>0</v>
      </c>
      <c r="G381" s="19" t="e">
        <f>IF(AND(Tabela2[[#This Row],[Dividendo / Ação]]&gt;0,Tabela2[[#This Row],[Lucro por ação]]&gt;0),Tabela2[[#This Row],[Dividendo / Ação]]/Tabela2[[#This Row],[Lucro por ação]],"")</f>
        <v>#DIV/0!</v>
      </c>
      <c r="H381" s="6">
        <f>MAX(Tabela2[[#This Row],[Cotação 1]],Tabela2[[#This Row],[Cotação 2]])</f>
        <v>0.67</v>
      </c>
      <c r="I381" s="18" t="str">
        <f>IF(Tabela2[[#This Row],[Dividendo / Ação]]&gt;0,Tabela2[[#This Row],[Dividendo / Ação]]/Tabela2[[#This Row],[Cotação]],"")</f>
        <v/>
      </c>
      <c r="J381" s="61">
        <f>SUMPRODUCT(N(Tabela1[Código]=Tabela2[[#This Row],[Ativo]]),Tabela1[Fechamento])</f>
        <v>0.67</v>
      </c>
      <c r="K381" s="61">
        <f>SUMPRODUCT(N(Tabela17[Código]=Tabela2[[#This Row],[Ativo]]),Tabela17[Fechamento])</f>
        <v>0</v>
      </c>
    </row>
    <row r="382" spans="1:14" x14ac:dyDescent="0.2">
      <c r="A382" s="4" t="s">
        <v>77</v>
      </c>
      <c r="B382" s="4">
        <v>2010</v>
      </c>
      <c r="C382" s="6">
        <v>30296000</v>
      </c>
      <c r="D382" s="8">
        <f>SUMPRODUCT(N(Tabela3[PAPEL]=Tabela2[[#This Row],[Ativo]]),Tabela3[Total Ações])</f>
        <v>0</v>
      </c>
      <c r="E382" s="65" t="e">
        <f>(Tabela2[[#This Row],[Lucro Líquido]])/Tabela2[[#This Row],[Total Ações]]</f>
        <v>#DIV/0!</v>
      </c>
      <c r="F382" s="65">
        <v>0</v>
      </c>
      <c r="G382" s="19" t="e">
        <f>IF(AND(Tabela2[[#This Row],[Dividendo / Ação]]&gt;0,Tabela2[[#This Row],[Lucro por ação]]&gt;0),Tabela2[[#This Row],[Dividendo / Ação]]/Tabela2[[#This Row],[Lucro por ação]],"")</f>
        <v>#DIV/0!</v>
      </c>
      <c r="H382" s="6">
        <f>MAX(Tabela2[[#This Row],[Cotação 1]],Tabela2[[#This Row],[Cotação 2]])</f>
        <v>0.67</v>
      </c>
      <c r="I382" s="18" t="str">
        <f>IF(Tabela2[[#This Row],[Dividendo / Ação]]&gt;0,Tabela2[[#This Row],[Dividendo / Ação]]/Tabela2[[#This Row],[Cotação]],"")</f>
        <v/>
      </c>
      <c r="J382" s="61">
        <f>SUMPRODUCT(N(Tabela1[Código]=Tabela2[[#This Row],[Ativo]]),Tabela1[Fechamento])</f>
        <v>0.67</v>
      </c>
      <c r="K382" s="61">
        <f>SUMPRODUCT(N(Tabela17[Código]=Tabela2[[#This Row],[Ativo]]),Tabela17[Fechamento])</f>
        <v>0</v>
      </c>
    </row>
    <row r="383" spans="1:14" x14ac:dyDescent="0.2">
      <c r="A383" s="4" t="s">
        <v>77</v>
      </c>
      <c r="B383" s="3">
        <v>2009</v>
      </c>
      <c r="C383" s="5">
        <v>-599025000</v>
      </c>
      <c r="D383" s="63">
        <f>SUMPRODUCT(N(Tabela3[PAPEL]=Tabela2[[#This Row],[Ativo]]),Tabela3[Total Ações])</f>
        <v>0</v>
      </c>
      <c r="E383" s="64" t="e">
        <f>(Tabela2[[#This Row],[Lucro Líquido]])/Tabela2[[#This Row],[Total Ações]]</f>
        <v>#DIV/0!</v>
      </c>
      <c r="F383" s="64">
        <v>0.1</v>
      </c>
      <c r="G383" s="18" t="e">
        <f>IF(AND(Tabela2[[#This Row],[Dividendo / Ação]]&gt;0,Tabela2[[#This Row],[Lucro por ação]]&gt;0),Tabela2[[#This Row],[Dividendo / Ação]]/Tabela2[[#This Row],[Lucro por ação]],"")</f>
        <v>#DIV/0!</v>
      </c>
      <c r="H383" s="5">
        <f>MAX(Tabela2[[#This Row],[Cotação 1]],Tabela2[[#This Row],[Cotação 2]])</f>
        <v>0.67</v>
      </c>
      <c r="I383" s="18">
        <f>IF(Tabela2[[#This Row],[Dividendo / Ação]]&gt;0,Tabela2[[#This Row],[Dividendo / Ação]]/Tabela2[[#This Row],[Cotação]],"")</f>
        <v>0.14925373134328357</v>
      </c>
      <c r="J383" s="61">
        <f>SUMPRODUCT(N(Tabela1[Código]=Tabela2[[#This Row],[Ativo]]),Tabela1[Fechamento])</f>
        <v>0.67</v>
      </c>
      <c r="K383" s="61">
        <f>SUMPRODUCT(N(Tabela17[Código]=Tabela2[[#This Row],[Ativo]]),Tabela17[Fechamento])</f>
        <v>0</v>
      </c>
      <c r="N383" s="5"/>
    </row>
    <row r="384" spans="1:14" x14ac:dyDescent="0.2">
      <c r="A384" s="4" t="s">
        <v>39</v>
      </c>
      <c r="B384" s="4">
        <v>2012</v>
      </c>
      <c r="C384" s="6">
        <v>39281689.020000003</v>
      </c>
      <c r="D384" s="8">
        <f>SUMPRODUCT(N(Tabela3[PAPEL]=Tabela2[[#This Row],[Ativo]]),Tabela3[Total Ações])</f>
        <v>835502072</v>
      </c>
      <c r="E384" s="65">
        <f>(Tabela2[[#This Row],[Lucro Líquido]])/Tabela2[[#This Row],[Total Ações]]</f>
        <v>4.7015669184360807E-2</v>
      </c>
      <c r="F384" s="65">
        <v>9.6799999999999994E-3</v>
      </c>
      <c r="G384" s="19">
        <f>IF(AND(Tabela2[[#This Row],[Dividendo / Ação]]&gt;0,Tabela2[[#This Row],[Lucro por ação]]&gt;0),Tabela2[[#This Row],[Dividendo / Ação]]/Tabela2[[#This Row],[Lucro por ação]],"")</f>
        <v>0.20588880617740807</v>
      </c>
      <c r="H384" s="6">
        <f>MAX(Tabela2[[#This Row],[Cotação 1]],Tabela2[[#This Row],[Cotação 2]])</f>
        <v>0.53</v>
      </c>
      <c r="I384" s="18">
        <f>IF(Tabela2[[#This Row],[Dividendo / Ação]]&gt;0,Tabela2[[#This Row],[Dividendo / Ação]]/Tabela2[[#This Row],[Cotação]],"")</f>
        <v>1.8264150943396226E-2</v>
      </c>
      <c r="J384" s="61">
        <f>SUMPRODUCT(N(Tabela1[Código]=Tabela2[[#This Row],[Ativo]]),Tabela1[Fechamento])</f>
        <v>0.53</v>
      </c>
      <c r="K384" s="61">
        <f>SUMPRODUCT(N(Tabela17[Código]=Tabela2[[#This Row],[Ativo]]),Tabela17[Fechamento])</f>
        <v>0</v>
      </c>
      <c r="M384" s="7"/>
    </row>
    <row r="385" spans="1:13" x14ac:dyDescent="0.2">
      <c r="A385" s="4" t="s">
        <v>39</v>
      </c>
      <c r="B385" s="4">
        <v>2011</v>
      </c>
      <c r="C385" s="6">
        <v>4448000</v>
      </c>
      <c r="D385" s="8">
        <f>SUMPRODUCT(N(Tabela3[PAPEL]=Tabela2[[#This Row],[Ativo]]),Tabela3[Total Ações])</f>
        <v>835502072</v>
      </c>
      <c r="E385" s="65">
        <f>(Tabela2[[#This Row],[Lucro Líquido]])/Tabela2[[#This Row],[Total Ações]]</f>
        <v>5.323745025972838E-3</v>
      </c>
      <c r="F385" s="65">
        <v>0</v>
      </c>
      <c r="G385" s="19" t="str">
        <f>IF(AND(Tabela2[[#This Row],[Dividendo / Ação]]&gt;0,Tabela2[[#This Row],[Lucro por ação]]&gt;0),Tabela2[[#This Row],[Dividendo / Ação]]/Tabela2[[#This Row],[Lucro por ação]],"")</f>
        <v/>
      </c>
      <c r="H385" s="6">
        <f>MAX(Tabela2[[#This Row],[Cotação 1]],Tabela2[[#This Row],[Cotação 2]])</f>
        <v>0.53</v>
      </c>
      <c r="I385" s="18" t="str">
        <f>IF(Tabela2[[#This Row],[Dividendo / Ação]]&gt;0,Tabela2[[#This Row],[Dividendo / Ação]]/Tabela2[[#This Row],[Cotação]],"")</f>
        <v/>
      </c>
      <c r="J385" s="61">
        <f>SUMPRODUCT(N(Tabela1[Código]=Tabela2[[#This Row],[Ativo]]),Tabela1[Fechamento])</f>
        <v>0.53</v>
      </c>
      <c r="K385" s="61">
        <f>SUMPRODUCT(N(Tabela17[Código]=Tabela2[[#This Row],[Ativo]]),Tabela17[Fechamento])</f>
        <v>0</v>
      </c>
    </row>
    <row r="386" spans="1:13" x14ac:dyDescent="0.2">
      <c r="A386" s="4" t="s">
        <v>39</v>
      </c>
      <c r="B386" s="4">
        <v>2010</v>
      </c>
      <c r="C386" s="6">
        <v>30296000</v>
      </c>
      <c r="D386" s="8">
        <f>SUMPRODUCT(N(Tabela3[PAPEL]=Tabela2[[#This Row],[Ativo]]),Tabela3[Total Ações])</f>
        <v>835502072</v>
      </c>
      <c r="E386" s="65">
        <f>(Tabela2[[#This Row],[Lucro Líquido]])/Tabela2[[#This Row],[Total Ações]]</f>
        <v>3.6260831678703483E-2</v>
      </c>
      <c r="F386" s="65">
        <v>0</v>
      </c>
      <c r="G386" s="19" t="str">
        <f>IF(AND(Tabela2[[#This Row],[Dividendo / Ação]]&gt;0,Tabela2[[#This Row],[Lucro por ação]]&gt;0),Tabela2[[#This Row],[Dividendo / Ação]]/Tabela2[[#This Row],[Lucro por ação]],"")</f>
        <v/>
      </c>
      <c r="H386" s="6">
        <f>MAX(Tabela2[[#This Row],[Cotação 1]],Tabela2[[#This Row],[Cotação 2]])</f>
        <v>0.53</v>
      </c>
      <c r="I386" s="18" t="str">
        <f>IF(Tabela2[[#This Row],[Dividendo / Ação]]&gt;0,Tabela2[[#This Row],[Dividendo / Ação]]/Tabela2[[#This Row],[Cotação]],"")</f>
        <v/>
      </c>
      <c r="J386" s="61">
        <f>SUMPRODUCT(N(Tabela1[Código]=Tabela2[[#This Row],[Ativo]]),Tabela1[Fechamento])</f>
        <v>0.53</v>
      </c>
      <c r="K386" s="61">
        <f>SUMPRODUCT(N(Tabela17[Código]=Tabela2[[#This Row],[Ativo]]),Tabela17[Fechamento])</f>
        <v>0</v>
      </c>
    </row>
    <row r="387" spans="1:13" x14ac:dyDescent="0.2">
      <c r="A387" s="4" t="s">
        <v>39</v>
      </c>
      <c r="B387" s="3">
        <v>2009</v>
      </c>
      <c r="C387" s="5">
        <v>-599025000</v>
      </c>
      <c r="D387" s="8">
        <f>SUMPRODUCT(N(Tabela3[PAPEL]=Tabela2[[#This Row],[Ativo]]),Tabela3[Total Ações])</f>
        <v>835502072</v>
      </c>
      <c r="E387" s="65">
        <f>(Tabela2[[#This Row],[Lucro Líquido]])/Tabela2[[#This Row],[Total Ações]]</f>
        <v>-0.71696411065273813</v>
      </c>
      <c r="F387" s="65">
        <v>1.0999999999999999E-2</v>
      </c>
      <c r="G387" s="19" t="str">
        <f>IF(AND(Tabela2[[#This Row],[Dividendo / Ação]]&gt;0,Tabela2[[#This Row],[Lucro por ação]]&gt;0),Tabela2[[#This Row],[Dividendo / Ação]]/Tabela2[[#This Row],[Lucro por ação]],"")</f>
        <v/>
      </c>
      <c r="H387" s="6">
        <f>MAX(Tabela2[[#This Row],[Cotação 1]],Tabela2[[#This Row],[Cotação 2]])</f>
        <v>0.53</v>
      </c>
      <c r="I387" s="18">
        <f>IF(Tabela2[[#This Row],[Dividendo / Ação]]&gt;0,Tabela2[[#This Row],[Dividendo / Ação]]/Tabela2[[#This Row],[Cotação]],"")</f>
        <v>2.0754716981132074E-2</v>
      </c>
      <c r="J387" s="61">
        <f>SUMPRODUCT(N(Tabela1[Código]=Tabela2[[#This Row],[Ativo]]),Tabela1[Fechamento])</f>
        <v>0.53</v>
      </c>
      <c r="K387" s="61">
        <f>SUMPRODUCT(N(Tabela17[Código]=Tabela2[[#This Row],[Ativo]]),Tabela17[Fechamento])</f>
        <v>0</v>
      </c>
    </row>
    <row r="388" spans="1:13" x14ac:dyDescent="0.2">
      <c r="A388" s="4" t="s">
        <v>490</v>
      </c>
      <c r="B388" s="4">
        <v>2012</v>
      </c>
      <c r="C388" s="6">
        <v>82468112.400000006</v>
      </c>
      <c r="D388" s="8">
        <f>SUMPRODUCT(N(Tabela3[PAPEL]=Tabela2[[#This Row],[Ativo]]),Tabela3[Total Ações])</f>
        <v>265806905</v>
      </c>
      <c r="E388" s="67">
        <f>(Tabela2[[#This Row],[Lucro Líquido]])/Tabela2[[#This Row],[Total Ações]]</f>
        <v>0.31025571890241155</v>
      </c>
      <c r="F388" s="67">
        <v>3.0000000000000001E-6</v>
      </c>
      <c r="G388" s="46">
        <f>IF(AND(Tabela2[[#This Row],[Dividendo / Ação]]&gt;0,Tabela2[[#This Row],[Lucro por ação]]&gt;0),Tabela2[[#This Row],[Dividendo / Ação]]/Tabela2[[#This Row],[Lucro por ação]],"")</f>
        <v>9.6694430343236506E-6</v>
      </c>
      <c r="H388" s="6">
        <f>MAX(Tabela2[[#This Row],[Cotação 1]],Tabela2[[#This Row],[Cotação 2]])</f>
        <v>9.7799999999999994</v>
      </c>
      <c r="I388" s="19">
        <f>IF(Tabela2[[#This Row],[Dividendo / Ação]]&gt;0,Tabela2[[#This Row],[Dividendo / Ação]]/Tabela2[[#This Row],[Cotação]],"")</f>
        <v>3.0674846625766876E-7</v>
      </c>
      <c r="J388" s="62">
        <f>SUMPRODUCT(N(Tabela1[Código]=Tabela2[[#This Row],[Ativo]]),Tabela1[Fechamento])</f>
        <v>0</v>
      </c>
      <c r="K388" s="62">
        <f>SUMPRODUCT(N(Tabela17[Código]=Tabela2[[#This Row],[Ativo]]),Tabela17[Fechamento])</f>
        <v>9.7799999999999994</v>
      </c>
    </row>
    <row r="389" spans="1:13" x14ac:dyDescent="0.2">
      <c r="A389" s="4" t="s">
        <v>490</v>
      </c>
      <c r="B389" s="4">
        <v>2011</v>
      </c>
      <c r="C389" s="6">
        <v>92137357.700000003</v>
      </c>
      <c r="D389" s="8">
        <f>SUMPRODUCT(N(Tabela3[PAPEL]=Tabela2[[#This Row],[Ativo]]),Tabela3[Total Ações])</f>
        <v>265806905</v>
      </c>
      <c r="E389" s="67">
        <f>(Tabela2[[#This Row],[Lucro Líquido]])/Tabela2[[#This Row],[Total Ações]]</f>
        <v>0.34663267193905289</v>
      </c>
      <c r="F389" s="67">
        <v>3.0000000000000001E-6</v>
      </c>
      <c r="G389" s="46">
        <f>IF(AND(Tabela2[[#This Row],[Dividendo / Ação]]&gt;0,Tabela2[[#This Row],[Lucro por ação]]&gt;0),Tabela2[[#This Row],[Dividendo / Ação]]/Tabela2[[#This Row],[Lucro por ação]],"")</f>
        <v>8.6546948480594434E-6</v>
      </c>
      <c r="H389" s="6">
        <f>MAX(Tabela2[[#This Row],[Cotação 1]],Tabela2[[#This Row],[Cotação 2]])</f>
        <v>9.7799999999999994</v>
      </c>
      <c r="I389" s="19">
        <f>IF(Tabela2[[#This Row],[Dividendo / Ação]]&gt;0,Tabela2[[#This Row],[Dividendo / Ação]]/Tabela2[[#This Row],[Cotação]],"")</f>
        <v>3.0674846625766876E-7</v>
      </c>
      <c r="J389" s="62">
        <f>SUMPRODUCT(N(Tabela1[Código]=Tabela2[[#This Row],[Ativo]]),Tabela1[Fechamento])</f>
        <v>0</v>
      </c>
      <c r="K389" s="62">
        <f>SUMPRODUCT(N(Tabela17[Código]=Tabela2[[#This Row],[Ativo]]),Tabela17[Fechamento])</f>
        <v>9.7799999999999994</v>
      </c>
    </row>
    <row r="390" spans="1:13" x14ac:dyDescent="0.2">
      <c r="A390" s="4" t="s">
        <v>490</v>
      </c>
      <c r="B390" s="4">
        <v>2010</v>
      </c>
      <c r="C390" s="6">
        <v>35594641.18</v>
      </c>
      <c r="D390" s="8">
        <f>SUMPRODUCT(N(Tabela3[PAPEL]=Tabela2[[#This Row],[Ativo]]),Tabela3[Total Ações])</f>
        <v>265806905</v>
      </c>
      <c r="E390" s="67">
        <f>(Tabela2[[#This Row],[Lucro Líquido]])/Tabela2[[#This Row],[Total Ações]]</f>
        <v>0.13391164981210701</v>
      </c>
      <c r="F390" s="67">
        <v>0.18173600000000001</v>
      </c>
      <c r="G390" s="46">
        <f>IF(AND(Tabela2[[#This Row],[Dividendo / Ação]]&gt;0,Tabela2[[#This Row],[Lucro por ação]]&gt;0),Tabela2[[#This Row],[Dividendo / Ação]]/Tabela2[[#This Row],[Lucro por ação]],"")</f>
        <v>1.3571336045444582</v>
      </c>
      <c r="H390" s="6">
        <f>MAX(Tabela2[[#This Row],[Cotação 1]],Tabela2[[#This Row],[Cotação 2]])</f>
        <v>9.7799999999999994</v>
      </c>
      <c r="I390" s="19">
        <f>IF(Tabela2[[#This Row],[Dividendo / Ação]]&gt;0,Tabela2[[#This Row],[Dividendo / Ação]]/Tabela2[[#This Row],[Cotação]],"")</f>
        <v>1.8582413087934561E-2</v>
      </c>
      <c r="J390" s="62">
        <f>SUMPRODUCT(N(Tabela1[Código]=Tabela2[[#This Row],[Ativo]]),Tabela1[Fechamento])</f>
        <v>0</v>
      </c>
      <c r="K390" s="62">
        <f>SUMPRODUCT(N(Tabela17[Código]=Tabela2[[#This Row],[Ativo]]),Tabela17[Fechamento])</f>
        <v>9.7799999999999994</v>
      </c>
    </row>
    <row r="391" spans="1:13" x14ac:dyDescent="0.2">
      <c r="A391" s="4" t="s">
        <v>20</v>
      </c>
      <c r="B391" s="4">
        <v>2012</v>
      </c>
      <c r="C391" s="6">
        <v>20894905121.599998</v>
      </c>
      <c r="D391" s="8">
        <f>SUMPRODUCT(N(Tabela3[PAPEL]=Tabela2[[#This Row],[Ativo]]),Tabela3[Total Ações])</f>
        <v>13044496930</v>
      </c>
      <c r="E391" s="67">
        <f>(Tabela2[[#This Row],[Lucro Líquido]])/Tabela2[[#This Row],[Total Ações]]</f>
        <v>1.6018176272896711</v>
      </c>
      <c r="F391" s="67">
        <v>0.47</v>
      </c>
      <c r="G391" s="46">
        <f>IF(AND(Tabela2[[#This Row],[Dividendo / Ação]]&gt;0,Tabela2[[#This Row],[Lucro por ação]]&gt;0),Tabela2[[#This Row],[Dividendo / Ação]]/Tabela2[[#This Row],[Lucro por ação]],"")</f>
        <v>0.29341667365420099</v>
      </c>
      <c r="H391" s="13">
        <f>MAX(Tabela2[[#This Row],[Cotação 1]],Tabela2[[#This Row],[Cotação 2]])</f>
        <v>15.99</v>
      </c>
      <c r="I391" s="19">
        <f>IF(Tabela2[[#This Row],[Dividendo / Ação]]&gt;0,Tabela2[[#This Row],[Dividendo / Ação]]/Tabela2[[#This Row],[Cotação]],"")</f>
        <v>2.9393370856785488E-2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15.99</v>
      </c>
    </row>
    <row r="392" spans="1:13" x14ac:dyDescent="0.2">
      <c r="A392" s="4" t="s">
        <v>21</v>
      </c>
      <c r="B392" s="4">
        <v>2012</v>
      </c>
      <c r="C392" s="6">
        <v>20894905121.599998</v>
      </c>
      <c r="D392" s="8">
        <f>SUMPRODUCT(N(Tabela3[PAPEL]=Tabela2[[#This Row],[Ativo]]),Tabela3[Total Ações])</f>
        <v>13044496930</v>
      </c>
      <c r="E392" s="67">
        <f>(Tabela2[[#This Row],[Lucro Líquido]])/Tabela2[[#This Row],[Total Ações]]</f>
        <v>1.6018176272896711</v>
      </c>
      <c r="F392" s="67">
        <v>0.96</v>
      </c>
      <c r="G392" s="46">
        <f>IF(AND(Tabela2[[#This Row],[Dividendo / Ação]]&gt;0,Tabela2[[#This Row],[Lucro por ação]]&gt;0),Tabela2[[#This Row],[Dividendo / Ação]]/Tabela2[[#This Row],[Lucro por ação]],"")</f>
        <v>0.5993191632085807</v>
      </c>
      <c r="H392" s="13">
        <f>MAX(Tabela2[[#This Row],[Cotação 1]],Tabela2[[#This Row],[Cotação 2]])</f>
        <v>17.079999999999998</v>
      </c>
      <c r="I392" s="19">
        <f>IF(Tabela2[[#This Row],[Dividendo / Ação]]&gt;0,Tabela2[[#This Row],[Dividendo / Ação]]/Tabela2[[#This Row],[Cotação]],"")</f>
        <v>5.6206088992974246E-2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17.079999999999998</v>
      </c>
    </row>
    <row r="393" spans="1:13" x14ac:dyDescent="0.2">
      <c r="A393" s="4" t="s">
        <v>20</v>
      </c>
      <c r="B393" s="3">
        <v>2011</v>
      </c>
      <c r="C393" s="5">
        <v>33133022202</v>
      </c>
      <c r="D393" s="63">
        <f>SUMPRODUCT(N(Tabela3[PAPEL]=Tabela2[[#This Row],[Ativo]]),Tabela3[Total Ações])</f>
        <v>13044496930</v>
      </c>
      <c r="E393" s="66">
        <f>(Tabela2[[#This Row],[Lucro Líquido]])/Tabela2[[#This Row],[Total Ações]]</f>
        <v>2.5399999999846679</v>
      </c>
      <c r="F393" s="66">
        <v>0.92</v>
      </c>
      <c r="G393" s="22">
        <f>IF(AND(Tabela2[[#This Row],[Dividendo / Ação]]&gt;0,Tabela2[[#This Row],[Lucro por ação]]&gt;0),Tabela2[[#This Row],[Dividendo / Ação]]/Tabela2[[#This Row],[Lucro por ação]],"")</f>
        <v>0.3622047244116352</v>
      </c>
      <c r="H393" s="51">
        <f>MAX(Tabela2[[#This Row],[Cotação 1]],Tabela2[[#This Row],[Cotação 2]])</f>
        <v>15.99</v>
      </c>
      <c r="I393" s="18">
        <f>IF(Tabela2[[#This Row],[Dividendo / Ação]]&gt;0,Tabela2[[#This Row],[Dividendo / Ação]]/Tabela2[[#This Row],[Cotação]],"")</f>
        <v>5.7535959974984369E-2</v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15.99</v>
      </c>
    </row>
    <row r="394" spans="1:13" x14ac:dyDescent="0.2">
      <c r="A394" s="4" t="s">
        <v>21</v>
      </c>
      <c r="B394" s="4">
        <v>2011</v>
      </c>
      <c r="C394" s="5">
        <v>33133022202</v>
      </c>
      <c r="D394" s="8">
        <f>SUMPRODUCT(N(Tabela3[PAPEL]=Tabela2[[#This Row],[Ativo]]),Tabela3[Total Ações])</f>
        <v>13044496930</v>
      </c>
      <c r="E394" s="67">
        <f>(Tabela2[[#This Row],[Lucro Líquido]])/Tabela2[[#This Row],[Total Ações]]</f>
        <v>2.5399999999846679</v>
      </c>
      <c r="F394" s="67">
        <v>0.92</v>
      </c>
      <c r="G394" s="46">
        <f>IF(AND(Tabela2[[#This Row],[Dividendo / Ação]]&gt;0,Tabela2[[#This Row],[Lucro por ação]]&gt;0),Tabela2[[#This Row],[Dividendo / Ação]]/Tabela2[[#This Row],[Lucro por ação]],"")</f>
        <v>0.3622047244116352</v>
      </c>
      <c r="H394" s="13">
        <f>MAX(Tabela2[[#This Row],[Cotação 1]],Tabela2[[#This Row],[Cotação 2]])</f>
        <v>17.079999999999998</v>
      </c>
      <c r="I394" s="19">
        <f>IF(Tabela2[[#This Row],[Dividendo / Ação]]&gt;0,Tabela2[[#This Row],[Dividendo / Ação]]/Tabela2[[#This Row],[Cotação]],"")</f>
        <v>5.3864168618266983E-2</v>
      </c>
      <c r="J394" s="17">
        <f>SUMPRODUCT(N(Tabela1[Código]=Tabela2[[#This Row],[Ativo]]),Tabela1[Fechamento])</f>
        <v>0</v>
      </c>
      <c r="K394" s="17">
        <f>SUMPRODUCT(N(Tabela17[Código]=Tabela2[[#This Row],[Ativo]]),Tabela17[Fechamento])</f>
        <v>17.079999999999998</v>
      </c>
    </row>
    <row r="395" spans="1:13" x14ac:dyDescent="0.2">
      <c r="A395" s="4" t="s">
        <v>20</v>
      </c>
      <c r="B395" s="3">
        <v>2010</v>
      </c>
      <c r="C395" s="5">
        <v>46307964102</v>
      </c>
      <c r="D395" s="63">
        <f>SUMPRODUCT(N(Tabela3[PAPEL]=Tabela2[[#This Row],[Ativo]]),Tabela3[Total Ações])</f>
        <v>13044496930</v>
      </c>
      <c r="E395" s="66">
        <f>(Tabela2[[#This Row],[Lucro Líquido]])/Tabela2[[#This Row],[Total Ações]]</f>
        <v>3.5500000000383305</v>
      </c>
      <c r="F395" s="66">
        <v>1.03</v>
      </c>
      <c r="G395" s="22">
        <f>IF(AND(Tabela2[[#This Row],[Dividendo / Ação]]&gt;0,Tabela2[[#This Row],[Lucro por ação]]&gt;0),Tabela2[[#This Row],[Dividendo / Ação]]/Tabela2[[#This Row],[Lucro por ação]],"")</f>
        <v>0.29014084506728982</v>
      </c>
      <c r="H395" s="51">
        <f>MAX(Tabela2[[#This Row],[Cotação 1]],Tabela2[[#This Row],[Cotação 2]])</f>
        <v>15.99</v>
      </c>
      <c r="I395" s="18">
        <f>IF(Tabela2[[#This Row],[Dividendo / Ação]]&gt;0,Tabela2[[#This Row],[Dividendo / Ação]]/Tabela2[[#This Row],[Cotação]],"")</f>
        <v>6.4415259537210751E-2</v>
      </c>
      <c r="J395" s="7">
        <f>SUMPRODUCT(N(Tabela1[Código]=Tabela2[[#This Row],[Ativo]]),Tabela1[Fechamento])</f>
        <v>0</v>
      </c>
      <c r="K395" s="7">
        <f>SUMPRODUCT(N(Tabela17[Código]=Tabela2[[#This Row],[Ativo]]),Tabela17[Fechamento])</f>
        <v>15.99</v>
      </c>
    </row>
    <row r="396" spans="1:13" x14ac:dyDescent="0.2">
      <c r="A396" s="4" t="s">
        <v>21</v>
      </c>
      <c r="B396" s="4">
        <v>2010</v>
      </c>
      <c r="C396" s="5">
        <v>46307964102</v>
      </c>
      <c r="D396" s="8">
        <f>SUMPRODUCT(N(Tabela3[PAPEL]=Tabela2[[#This Row],[Ativo]]),Tabela3[Total Ações])</f>
        <v>13044496930</v>
      </c>
      <c r="E396" s="67">
        <f>(Tabela2[[#This Row],[Lucro Líquido]])/Tabela2[[#This Row],[Total Ações]]</f>
        <v>3.5500000000383305</v>
      </c>
      <c r="F396" s="67">
        <v>1.03</v>
      </c>
      <c r="G396" s="46">
        <f>IF(AND(Tabela2[[#This Row],[Dividendo / Ação]]&gt;0,Tabela2[[#This Row],[Lucro por ação]]&gt;0),Tabela2[[#This Row],[Dividendo / Ação]]/Tabela2[[#This Row],[Lucro por ação]],"")</f>
        <v>0.29014084506728982</v>
      </c>
      <c r="H396" s="13">
        <f>MAX(Tabela2[[#This Row],[Cotação 1]],Tabela2[[#This Row],[Cotação 2]])</f>
        <v>17.079999999999998</v>
      </c>
      <c r="I396" s="19">
        <f>IF(Tabela2[[#This Row],[Dividendo / Ação]]&gt;0,Tabela2[[#This Row],[Dividendo / Ação]]/Tabela2[[#This Row],[Cotação]],"")</f>
        <v>6.0304449648711948E-2</v>
      </c>
      <c r="J396" s="17">
        <f>SUMPRODUCT(N(Tabela1[Código]=Tabela2[[#This Row],[Ativo]]),Tabela1[Fechamento])</f>
        <v>0</v>
      </c>
      <c r="K396" s="17">
        <f>SUMPRODUCT(N(Tabela17[Código]=Tabela2[[#This Row],[Ativo]]),Tabela17[Fechamento])</f>
        <v>17.079999999999998</v>
      </c>
      <c r="M396" s="68"/>
    </row>
    <row r="397" spans="1:13" x14ac:dyDescent="0.2">
      <c r="A397" s="4" t="s">
        <v>20</v>
      </c>
      <c r="B397" s="3">
        <v>2009</v>
      </c>
      <c r="C397" s="5">
        <v>44612179501</v>
      </c>
      <c r="D397" s="63">
        <f>SUMPRODUCT(N(Tabela3[PAPEL]=Tabela2[[#This Row],[Ativo]]),Tabela3[Total Ações])</f>
        <v>13044496930</v>
      </c>
      <c r="E397" s="66">
        <f>(Tabela2[[#This Row],[Lucro Líquido]])/Tabela2[[#This Row],[Total Ações]]</f>
        <v>3.4200000000306643</v>
      </c>
      <c r="F397" s="66">
        <v>0.95</v>
      </c>
      <c r="G397" s="22">
        <f>IF(AND(Tabela2[[#This Row],[Dividendo / Ação]]&gt;0,Tabela2[[#This Row],[Lucro por ação]]&gt;0),Tabela2[[#This Row],[Dividendo / Ação]]/Tabela2[[#This Row],[Lucro por ação]],"")</f>
        <v>0.27777777777528717</v>
      </c>
      <c r="H397" s="51">
        <f>MAX(Tabela2[[#This Row],[Cotação 1]],Tabela2[[#This Row],[Cotação 2]])</f>
        <v>15.99</v>
      </c>
      <c r="I397" s="18">
        <f>IF(Tabela2[[#This Row],[Dividendo / Ação]]&gt;0,Tabela2[[#This Row],[Dividendo / Ação]]/Tabela2[[#This Row],[Cotação]],"")</f>
        <v>5.9412132582864284E-2</v>
      </c>
      <c r="J397" s="7">
        <f>SUMPRODUCT(N(Tabela1[Código]=Tabela2[[#This Row],[Ativo]]),Tabela1[Fechamento])</f>
        <v>0</v>
      </c>
      <c r="K397" s="7">
        <f>SUMPRODUCT(N(Tabela17[Código]=Tabela2[[#This Row],[Ativo]]),Tabela17[Fechamento])</f>
        <v>15.99</v>
      </c>
    </row>
    <row r="398" spans="1:13" x14ac:dyDescent="0.2">
      <c r="A398" s="4" t="s">
        <v>21</v>
      </c>
      <c r="B398" s="4">
        <v>2009</v>
      </c>
      <c r="C398" s="5">
        <v>44612179501</v>
      </c>
      <c r="D398" s="8">
        <f>SUMPRODUCT(N(Tabela3[PAPEL]=Tabela2[[#This Row],[Ativo]]),Tabela3[Total Ações])</f>
        <v>13044496930</v>
      </c>
      <c r="E398" s="67">
        <f>(Tabela2[[#This Row],[Lucro Líquido]])/Tabela2[[#This Row],[Total Ações]]</f>
        <v>3.4200000000306643</v>
      </c>
      <c r="F398" s="67">
        <v>0.95</v>
      </c>
      <c r="G398" s="46">
        <f>IF(AND(Tabela2[[#This Row],[Dividendo / Ação]]&gt;0,Tabela2[[#This Row],[Lucro por ação]]&gt;0),Tabela2[[#This Row],[Dividendo / Ação]]/Tabela2[[#This Row],[Lucro por ação]],"")</f>
        <v>0.27777777777528717</v>
      </c>
      <c r="H398" s="13">
        <f>MAX(Tabela2[[#This Row],[Cotação 1]],Tabela2[[#This Row],[Cotação 2]])</f>
        <v>17.079999999999998</v>
      </c>
      <c r="I398" s="19">
        <f>IF(Tabela2[[#This Row],[Dividendo / Ação]]&gt;0,Tabela2[[#This Row],[Dividendo / Ação]]/Tabela2[[#This Row],[Cotação]],"")</f>
        <v>5.562060889929743E-2</v>
      </c>
      <c r="J398" s="17">
        <f>SUMPRODUCT(N(Tabela1[Código]=Tabela2[[#This Row],[Ativo]]),Tabela1[Fechamento])</f>
        <v>0</v>
      </c>
      <c r="K398" s="17">
        <f>SUMPRODUCT(N(Tabela17[Código]=Tabela2[[#This Row],[Ativo]]),Tabela17[Fechamento])</f>
        <v>17.079999999999998</v>
      </c>
    </row>
    <row r="399" spans="1:13" x14ac:dyDescent="0.2">
      <c r="A399" s="4" t="s">
        <v>58</v>
      </c>
      <c r="B399" s="4">
        <v>2012</v>
      </c>
      <c r="C399" s="6">
        <v>483247945.06999999</v>
      </c>
      <c r="D399" s="8">
        <f>SUMPRODUCT(N(Tabela3[PAPEL]=Tabela2[[#This Row],[Ativo]]),Tabela3[Total Ações])</f>
        <v>1022205493</v>
      </c>
      <c r="E399" s="67">
        <f>(Tabela2[[#This Row],[Lucro Líquido]])/Tabela2[[#This Row],[Total Ações]]</f>
        <v>0.47275029177523703</v>
      </c>
      <c r="F399" s="67">
        <v>0.30062499999999998</v>
      </c>
      <c r="G399" s="46">
        <f>IF(AND(Tabela2[[#This Row],[Dividendo / Ação]]&gt;0,Tabela2[[#This Row],[Lucro por ação]]&gt;0),Tabela2[[#This Row],[Dividendo / Ação]]/Tabela2[[#This Row],[Lucro por ação]],"")</f>
        <v>0.63590653507820194</v>
      </c>
      <c r="H399" s="13">
        <f>MAX(Tabela2[[#This Row],[Cotação 1]],Tabela2[[#This Row],[Cotação 2]])</f>
        <v>14.79</v>
      </c>
      <c r="I399" s="19">
        <f>IF(Tabela2[[#This Row],[Dividendo / Ação]]&gt;0,Tabela2[[#This Row],[Dividendo / Ação]]/Tabela2[[#This Row],[Cotação]],"")</f>
        <v>2.0326233941852602E-2</v>
      </c>
      <c r="J399" s="17">
        <f>SUMPRODUCT(N(Tabela1[Código]=Tabela2[[#This Row],[Ativo]]),Tabela1[Fechamento])</f>
        <v>0</v>
      </c>
      <c r="K399" s="17">
        <f>SUMPRODUCT(N(Tabela17[Código]=Tabela2[[#This Row],[Ativo]]),Tabela17[Fechamento])</f>
        <v>14.79</v>
      </c>
    </row>
    <row r="400" spans="1:13" x14ac:dyDescent="0.2">
      <c r="A400" s="4" t="s">
        <v>58</v>
      </c>
      <c r="B400" s="4">
        <v>2011</v>
      </c>
      <c r="C400" s="6">
        <v>445682000</v>
      </c>
      <c r="D400" s="8">
        <f>SUMPRODUCT(N(Tabela3[PAPEL]=Tabela2[[#This Row],[Ativo]]),Tabela3[Total Ações])</f>
        <v>1022205493</v>
      </c>
      <c r="E400" s="67">
        <f>(Tabela2[[#This Row],[Lucro Líquido]])/Tabela2[[#This Row],[Total Ações]]</f>
        <v>0.43600039625300663</v>
      </c>
      <c r="F400" s="67">
        <v>0.76497757200000005</v>
      </c>
      <c r="G400" s="46">
        <f>IF(AND(Tabela2[[#This Row],[Dividendo / Ação]]&gt;0,Tabela2[[#This Row],[Lucro por ação]]&gt;0),Tabela2[[#This Row],[Dividendo / Ação]]/Tabela2[[#This Row],[Lucro por ação]],"")</f>
        <v>1.7545341210105032</v>
      </c>
      <c r="H400" s="13">
        <f>MAX(Tabela2[[#This Row],[Cotação 1]],Tabela2[[#This Row],[Cotação 2]])</f>
        <v>14.79</v>
      </c>
      <c r="I400" s="19">
        <f>IF(Tabela2[[#This Row],[Dividendo / Ação]]&gt;0,Tabela2[[#This Row],[Dividendo / Ação]]/Tabela2[[#This Row],[Cotação]],"")</f>
        <v>5.1722621501014206E-2</v>
      </c>
      <c r="J400" s="17">
        <f>SUMPRODUCT(N(Tabela1[Código]=Tabela2[[#This Row],[Ativo]]),Tabela1[Fechamento])</f>
        <v>0</v>
      </c>
      <c r="K400" s="17">
        <f>SUMPRODUCT(N(Tabela17[Código]=Tabela2[[#This Row],[Ativo]]),Tabela17[Fechamento])</f>
        <v>14.79</v>
      </c>
    </row>
    <row r="401" spans="1:13" x14ac:dyDescent="0.2">
      <c r="A401" s="4" t="s">
        <v>58</v>
      </c>
      <c r="B401" s="4">
        <v>2010</v>
      </c>
      <c r="C401" s="6">
        <v>614021000</v>
      </c>
      <c r="D401" s="8">
        <f>SUMPRODUCT(N(Tabela3[PAPEL]=Tabela2[[#This Row],[Ativo]]),Tabela3[Total Ações])</f>
        <v>1022205493</v>
      </c>
      <c r="E401" s="67">
        <f>(Tabela2[[#This Row],[Lucro Líquido]])/Tabela2[[#This Row],[Total Ações]]</f>
        <v>0.6006825478876584</v>
      </c>
      <c r="F401" s="67">
        <v>1.0517938200000001</v>
      </c>
      <c r="G401" s="46">
        <f>IF(AND(Tabela2[[#This Row],[Dividendo / Ação]]&gt;0,Tabela2[[#This Row],[Lucro por ação]]&gt;0),Tabela2[[#This Row],[Dividendo / Ação]]/Tabela2[[#This Row],[Lucro por ação]],"")</f>
        <v>1.7509978002502413</v>
      </c>
      <c r="H401" s="13">
        <f>MAX(Tabela2[[#This Row],[Cotação 1]],Tabela2[[#This Row],[Cotação 2]])</f>
        <v>14.79</v>
      </c>
      <c r="I401" s="19">
        <f>IF(Tabela2[[#This Row],[Dividendo / Ação]]&gt;0,Tabela2[[#This Row],[Dividendo / Ação]]/Tabela2[[#This Row],[Cotação]],"")</f>
        <v>7.1115200811359039E-2</v>
      </c>
      <c r="J401" s="17">
        <f>SUMPRODUCT(N(Tabela1[Código]=Tabela2[[#This Row],[Ativo]]),Tabela1[Fechamento])</f>
        <v>0</v>
      </c>
      <c r="K401" s="17">
        <f>SUMPRODUCT(N(Tabela17[Código]=Tabela2[[#This Row],[Ativo]]),Tabela17[Fechamento])</f>
        <v>14.79</v>
      </c>
    </row>
    <row r="402" spans="1:13" x14ac:dyDescent="0.2">
      <c r="A402" s="4" t="s">
        <v>58</v>
      </c>
      <c r="B402" s="4">
        <v>2009</v>
      </c>
      <c r="C402" s="6">
        <v>419093000</v>
      </c>
      <c r="D402" s="8">
        <f>SUMPRODUCT(N(Tabela3[PAPEL]=Tabela2[[#This Row],[Ativo]]),Tabela3[Total Ações])</f>
        <v>1022205493</v>
      </c>
      <c r="E402" s="67">
        <f>(Tabela2[[#This Row],[Lucro Líquido]])/Tabela2[[#This Row],[Total Ações]]</f>
        <v>0.40998899230137476</v>
      </c>
      <c r="F402" s="67">
        <v>2.1419339700000002</v>
      </c>
      <c r="G402" s="46">
        <f>IF(AND(Tabela2[[#This Row],[Dividendo / Ação]]&gt;0,Tabela2[[#This Row],[Lucro por ação]]&gt;0),Tabela2[[#This Row],[Dividendo / Ação]]/Tabela2[[#This Row],[Lucro por ação]],"")</f>
        <v>5.2243694592305223</v>
      </c>
      <c r="H402" s="13">
        <f>MAX(Tabela2[[#This Row],[Cotação 1]],Tabela2[[#This Row],[Cotação 2]])</f>
        <v>14.79</v>
      </c>
      <c r="I402" s="19">
        <f>IF(Tabela2[[#This Row],[Dividendo / Ação]]&gt;0,Tabela2[[#This Row],[Dividendo / Ação]]/Tabela2[[#This Row],[Cotação]],"")</f>
        <v>0.14482312170385397</v>
      </c>
      <c r="J402" s="17">
        <f>SUMPRODUCT(N(Tabela1[Código]=Tabela2[[#This Row],[Ativo]]),Tabela1[Fechamento])</f>
        <v>0</v>
      </c>
      <c r="K402" s="17">
        <f>SUMPRODUCT(N(Tabela17[Código]=Tabela2[[#This Row],[Ativo]]),Tabela17[Fechamento])</f>
        <v>14.79</v>
      </c>
    </row>
    <row r="403" spans="1:13" x14ac:dyDescent="0.2">
      <c r="A403" s="14" t="s">
        <v>498</v>
      </c>
      <c r="B403" s="3">
        <v>2012</v>
      </c>
      <c r="C403" s="5">
        <v>13717907.74</v>
      </c>
      <c r="D403" s="63">
        <f>SUMPRODUCT(N(Tabela3[PAPEL]=Tabela2[[#This Row],[Ativo]]),Tabela3[Total Ações])</f>
        <v>7680000</v>
      </c>
      <c r="E403" s="66">
        <f>(Tabela2[[#This Row],[Lucro Líquido]])/Tabela2[[#This Row],[Total Ações]]</f>
        <v>1.7861859036458334</v>
      </c>
      <c r="F403" s="66">
        <v>1.24</v>
      </c>
      <c r="G403" s="22">
        <f>IF(AND(Tabela2[[#This Row],[Dividendo / Ação]]&gt;0,Tabela2[[#This Row],[Lucro por ação]]&gt;0),Tabela2[[#This Row],[Dividendo / Ação]]/Tabela2[[#This Row],[Lucro por ação]],"")</f>
        <v>0.69421665318766745</v>
      </c>
      <c r="H403" s="51">
        <f>MAX(Tabela2[[#This Row],[Cotação 1]],Tabela2[[#This Row],[Cotação 2]])</f>
        <v>30.01</v>
      </c>
      <c r="I403" s="18">
        <f>IF(Tabela2[[#This Row],[Dividendo / Ação]]&gt;0,Tabela2[[#This Row],[Dividendo / Ação]]/Tabela2[[#This Row],[Cotação]],"")</f>
        <v>4.1319560146617793E-2</v>
      </c>
      <c r="J403" s="7">
        <f>SUMPRODUCT(N(Tabela1[Código]=Tabela2[[#This Row],[Ativo]]),Tabela1[Fechamento])</f>
        <v>0</v>
      </c>
      <c r="K403" s="7">
        <f>SUMPRODUCT(N(Tabela17[Código]=Tabela2[[#This Row],[Ativo]]),Tabela17[Fechamento])</f>
        <v>30.01</v>
      </c>
    </row>
    <row r="404" spans="1:13" x14ac:dyDescent="0.2">
      <c r="A404" s="14" t="s">
        <v>499</v>
      </c>
      <c r="B404" s="4">
        <v>2012</v>
      </c>
      <c r="C404" s="5">
        <v>13717907.74</v>
      </c>
      <c r="D404" s="8">
        <f>SUMPRODUCT(N(Tabela3[PAPEL]=Tabela2[[#This Row],[Ativo]]),Tabela3[Total Ações])</f>
        <v>7680000</v>
      </c>
      <c r="E404" s="67">
        <f>(Tabela2[[#This Row],[Lucro Líquido]])/Tabela2[[#This Row],[Total Ações]]</f>
        <v>1.7861859036458334</v>
      </c>
      <c r="F404" s="67">
        <v>1.37</v>
      </c>
      <c r="G404" s="46">
        <f>IF(AND(Tabela2[[#This Row],[Dividendo / Ação]]&gt;0,Tabela2[[#This Row],[Lucro por ação]]&gt;0),Tabela2[[#This Row],[Dividendo / Ação]]/Tabela2[[#This Row],[Lucro por ação]],"")</f>
        <v>0.7669974313444391</v>
      </c>
      <c r="H404" s="13">
        <f>MAX(Tabela2[[#This Row],[Cotação 1]],Tabela2[[#This Row],[Cotação 2]])</f>
        <v>30.05</v>
      </c>
      <c r="I404" s="19">
        <f>IF(Tabela2[[#This Row],[Dividendo / Ação]]&gt;0,Tabela2[[#This Row],[Dividendo / Ação]]/Tabela2[[#This Row],[Cotação]],"")</f>
        <v>4.5590682196339438E-2</v>
      </c>
      <c r="J404" s="17">
        <f>SUMPRODUCT(N(Tabela1[Código]=Tabela2[[#This Row],[Ativo]]),Tabela1[Fechamento])</f>
        <v>0</v>
      </c>
      <c r="K404" s="17">
        <f>SUMPRODUCT(N(Tabela17[Código]=Tabela2[[#This Row],[Ativo]]),Tabela17[Fechamento])</f>
        <v>30.05</v>
      </c>
    </row>
    <row r="405" spans="1:13" x14ac:dyDescent="0.2">
      <c r="A405" s="14" t="s">
        <v>498</v>
      </c>
      <c r="B405" s="3">
        <v>2011</v>
      </c>
      <c r="C405" s="5">
        <v>28253000</v>
      </c>
      <c r="D405" s="63">
        <f>SUMPRODUCT(N(Tabela3[PAPEL]=Tabela2[[#This Row],[Ativo]]),Tabela3[Total Ações])</f>
        <v>7680000</v>
      </c>
      <c r="E405" s="66">
        <f>(Tabela2[[#This Row],[Lucro Líquido]])/Tabela2[[#This Row],[Total Ações]]</f>
        <v>3.6787760416666666</v>
      </c>
      <c r="F405" s="66">
        <v>2.48</v>
      </c>
      <c r="G405" s="22">
        <f>IF(AND(Tabela2[[#This Row],[Dividendo / Ação]]&gt;0,Tabela2[[#This Row],[Lucro por ação]]&gt;0),Tabela2[[#This Row],[Dividendo / Ação]]/Tabela2[[#This Row],[Lucro por ação]],"")</f>
        <v>0.67413725976002548</v>
      </c>
      <c r="H405" s="51">
        <f>MAX(Tabela2[[#This Row],[Cotação 1]],Tabela2[[#This Row],[Cotação 2]])</f>
        <v>30.01</v>
      </c>
      <c r="I405" s="18">
        <f>IF(Tabela2[[#This Row],[Dividendo / Ação]]&gt;0,Tabela2[[#This Row],[Dividendo / Ação]]/Tabela2[[#This Row],[Cotação]],"")</f>
        <v>8.2639120293235585E-2</v>
      </c>
      <c r="J405" s="7">
        <f>SUMPRODUCT(N(Tabela1[Código]=Tabela2[[#This Row],[Ativo]]),Tabela1[Fechamento])</f>
        <v>0</v>
      </c>
      <c r="K405" s="7">
        <f>SUMPRODUCT(N(Tabela17[Código]=Tabela2[[#This Row],[Ativo]]),Tabela17[Fechamento])</f>
        <v>30.01</v>
      </c>
    </row>
    <row r="406" spans="1:13" x14ac:dyDescent="0.2">
      <c r="A406" s="14" t="s">
        <v>499</v>
      </c>
      <c r="B406" s="4">
        <v>2011</v>
      </c>
      <c r="C406" s="5">
        <v>28253000</v>
      </c>
      <c r="D406" s="8">
        <f>SUMPRODUCT(N(Tabela3[PAPEL]=Tabela2[[#This Row],[Ativo]]),Tabela3[Total Ações])</f>
        <v>7680000</v>
      </c>
      <c r="E406" s="67">
        <f>(Tabela2[[#This Row],[Lucro Líquido]])/Tabela2[[#This Row],[Total Ações]]</f>
        <v>3.6787760416666666</v>
      </c>
      <c r="F406" s="67">
        <v>2.74</v>
      </c>
      <c r="G406" s="46">
        <f>IF(AND(Tabela2[[#This Row],[Dividendo / Ação]]&gt;0,Tabela2[[#This Row],[Lucro por ação]]&gt;0),Tabela2[[#This Row],[Dividendo / Ação]]/Tabela2[[#This Row],[Lucro por ação]],"")</f>
        <v>0.7448129402187379</v>
      </c>
      <c r="H406" s="13">
        <f>MAX(Tabela2[[#This Row],[Cotação 1]],Tabela2[[#This Row],[Cotação 2]])</f>
        <v>30.05</v>
      </c>
      <c r="I406" s="19">
        <f>IF(Tabela2[[#This Row],[Dividendo / Ação]]&gt;0,Tabela2[[#This Row],[Dividendo / Ação]]/Tabela2[[#This Row],[Cotação]],"")</f>
        <v>9.1181364392678876E-2</v>
      </c>
      <c r="J406" s="17">
        <f>SUMPRODUCT(N(Tabela1[Código]=Tabela2[[#This Row],[Ativo]]),Tabela1[Fechamento])</f>
        <v>0</v>
      </c>
      <c r="K406" s="17">
        <f>SUMPRODUCT(N(Tabela17[Código]=Tabela2[[#This Row],[Ativo]]),Tabela17[Fechamento])</f>
        <v>30.05</v>
      </c>
    </row>
    <row r="407" spans="1:13" x14ac:dyDescent="0.2">
      <c r="A407" s="14" t="s">
        <v>498</v>
      </c>
      <c r="B407" s="3">
        <v>2010</v>
      </c>
      <c r="C407" s="5">
        <v>23457000</v>
      </c>
      <c r="D407" s="63">
        <f>SUMPRODUCT(N(Tabela3[PAPEL]=Tabela2[[#This Row],[Ativo]]),Tabela3[Total Ações])</f>
        <v>7680000</v>
      </c>
      <c r="E407" s="66">
        <f>(Tabela2[[#This Row],[Lucro Líquido]])/Tabela2[[#This Row],[Total Ações]]</f>
        <v>3.0542968749999999</v>
      </c>
      <c r="F407" s="66">
        <v>2.5</v>
      </c>
      <c r="G407" s="22">
        <f>IF(AND(Tabela2[[#This Row],[Dividendo / Ação]]&gt;0,Tabela2[[#This Row],[Lucro por ação]]&gt;0),Tabela2[[#This Row],[Dividendo / Ação]]/Tabela2[[#This Row],[Lucro por ação]],"")</f>
        <v>0.81851899219849089</v>
      </c>
      <c r="H407" s="51">
        <f>MAX(Tabela2[[#This Row],[Cotação 1]],Tabela2[[#This Row],[Cotação 2]])</f>
        <v>30.01</v>
      </c>
      <c r="I407" s="18">
        <f>IF(Tabela2[[#This Row],[Dividendo / Ação]]&gt;0,Tabela2[[#This Row],[Dividendo / Ação]]/Tabela2[[#This Row],[Cotação]],"")</f>
        <v>8.3305564811729418E-2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30.01</v>
      </c>
    </row>
    <row r="408" spans="1:13" x14ac:dyDescent="0.2">
      <c r="A408" s="14" t="s">
        <v>499</v>
      </c>
      <c r="B408" s="4">
        <v>2010</v>
      </c>
      <c r="C408" s="5">
        <v>23457000</v>
      </c>
      <c r="D408" s="8">
        <f>SUMPRODUCT(N(Tabela3[PAPEL]=Tabela2[[#This Row],[Ativo]]),Tabela3[Total Ações])</f>
        <v>7680000</v>
      </c>
      <c r="E408" s="67">
        <f>(Tabela2[[#This Row],[Lucro Líquido]])/Tabela2[[#This Row],[Total Ações]]</f>
        <v>3.0542968749999999</v>
      </c>
      <c r="F408" s="67">
        <v>2.75</v>
      </c>
      <c r="G408" s="46">
        <f>IF(AND(Tabela2[[#This Row],[Dividendo / Ação]]&gt;0,Tabela2[[#This Row],[Lucro por ação]]&gt;0),Tabela2[[#This Row],[Dividendo / Ação]]/Tabela2[[#This Row],[Lucro por ação]],"")</f>
        <v>0.90037089141833992</v>
      </c>
      <c r="H408" s="13">
        <f>MAX(Tabela2[[#This Row],[Cotação 1]],Tabela2[[#This Row],[Cotação 2]])</f>
        <v>30.05</v>
      </c>
      <c r="I408" s="19">
        <f>IF(Tabela2[[#This Row],[Dividendo / Ação]]&gt;0,Tabela2[[#This Row],[Dividendo / Ação]]/Tabela2[[#This Row],[Cotação]],"")</f>
        <v>9.1514143094841932E-2</v>
      </c>
      <c r="J408" s="17">
        <f>SUMPRODUCT(N(Tabela1[Código]=Tabela2[[#This Row],[Ativo]]),Tabela1[Fechamento])</f>
        <v>0</v>
      </c>
      <c r="K408" s="17">
        <f>SUMPRODUCT(N(Tabela17[Código]=Tabela2[[#This Row],[Ativo]]),Tabela17[Fechamento])</f>
        <v>30.05</v>
      </c>
    </row>
    <row r="409" spans="1:13" x14ac:dyDescent="0.2">
      <c r="A409" s="4" t="s">
        <v>25</v>
      </c>
      <c r="B409" s="4">
        <v>2012</v>
      </c>
      <c r="C409" s="6">
        <v>2000000000</v>
      </c>
      <c r="D409" s="8">
        <f>SUMPRODUCT(N(Tabela3[PAPEL]=Tabela2[[#This Row],[Ativo]]),Tabela3[Total Ações])</f>
        <v>2000000000</v>
      </c>
      <c r="E409" s="67">
        <f>(Tabela2[[#This Row],[Lucro Líquido]])/Tabela2[[#This Row],[Total Ações]]</f>
        <v>1</v>
      </c>
      <c r="F409" s="67">
        <v>0.25</v>
      </c>
      <c r="G409" s="46">
        <f>IF(AND(Tabela2[[#This Row],[Dividendo / Ação]]&gt;0,Tabela2[[#This Row],[Lucro por ação]]&gt;0),Tabela2[[#This Row],[Dividendo / Ação]]/Tabela2[[#This Row],[Lucro por ação]],"")</f>
        <v>0.25</v>
      </c>
      <c r="H409" s="13">
        <f>MAX(Tabela2[[#This Row],[Cotação 1]],Tabela2[[#This Row],[Cotação 2]])</f>
        <v>24.5</v>
      </c>
      <c r="I409" s="19">
        <f>IF(Tabela2[[#This Row],[Dividendo / Ação]]&gt;0,Tabela2[[#This Row],[Dividendo / Ação]]/Tabela2[[#This Row],[Cotação]],"")</f>
        <v>1.020408163265306E-2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24.5</v>
      </c>
    </row>
    <row r="410" spans="1:13" x14ac:dyDescent="0.2">
      <c r="A410" s="4" t="s">
        <v>82</v>
      </c>
      <c r="B410" s="4">
        <v>2012</v>
      </c>
      <c r="C410" s="6"/>
      <c r="D410" s="8">
        <f>SUMPRODUCT(N(Tabela3[PAPEL]=Tabela2[[#This Row],[Ativo]]),Tabela3[Total Ações])</f>
        <v>817720079</v>
      </c>
      <c r="E410" s="67">
        <f>(Tabela2[[#This Row],[Lucro Líquido]])/Tabela2[[#This Row],[Total Ações]]</f>
        <v>0</v>
      </c>
      <c r="F410" s="67">
        <v>0</v>
      </c>
      <c r="G410" s="46" t="str">
        <f>IF(AND(Tabela2[[#This Row],[Dividendo / Ação]]&gt;0,Tabela2[[#This Row],[Lucro por ação]]&gt;0),Tabela2[[#This Row],[Dividendo / Ação]]/Tabela2[[#This Row],[Lucro por ação]],"")</f>
        <v/>
      </c>
      <c r="H410" s="13">
        <f>MAX(Tabela2[[#This Row],[Cotação 1]],Tabela2[[#This Row],[Cotação 2]])</f>
        <v>2.4900000000000002</v>
      </c>
      <c r="I410" s="19" t="str">
        <f>IF(Tabela2[[#This Row],[Dividendo / Ação]]&gt;0,Tabela2[[#This Row],[Dividendo / Ação]]/Tabela2[[#This Row],[Cotação]],"")</f>
        <v/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2.4900000000000002</v>
      </c>
      <c r="M410" s="3">
        <f>0.2041*Tabela2[[#This Row],[Total Ações]]</f>
        <v>166896668.1239</v>
      </c>
    </row>
    <row r="411" spans="1:13" x14ac:dyDescent="0.2">
      <c r="A411" s="4" t="s">
        <v>82</v>
      </c>
      <c r="B411" s="4">
        <v>2011</v>
      </c>
      <c r="C411" s="6">
        <v>166896668.09999999</v>
      </c>
      <c r="D411" s="8">
        <f>SUMPRODUCT(N(Tabela3[PAPEL]=Tabela2[[#This Row],[Ativo]]),Tabela3[Total Ações])</f>
        <v>817720079</v>
      </c>
      <c r="E411" s="67">
        <f>(Tabela2[[#This Row],[Lucro Líquido]])/Tabela2[[#This Row],[Total Ações]]</f>
        <v>0.20409999997077238</v>
      </c>
      <c r="F411" s="67">
        <v>6.6000000000000003E-2</v>
      </c>
      <c r="G411" s="46">
        <f>IF(AND(Tabela2[[#This Row],[Dividendo / Ação]]&gt;0,Tabela2[[#This Row],[Lucro por ação]]&gt;0),Tabela2[[#This Row],[Dividendo / Ação]]/Tabela2[[#This Row],[Lucro por ação]],"")</f>
        <v>0.32337089666561175</v>
      </c>
      <c r="H411" s="13">
        <f>MAX(Tabela2[[#This Row],[Cotação 1]],Tabela2[[#This Row],[Cotação 2]])</f>
        <v>2.4900000000000002</v>
      </c>
      <c r="I411" s="19">
        <f>IF(Tabela2[[#This Row],[Dividendo / Ação]]&gt;0,Tabela2[[#This Row],[Dividendo / Ação]]/Tabela2[[#This Row],[Cotação]],"")</f>
        <v>2.6506024096385541E-2</v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2.4900000000000002</v>
      </c>
    </row>
    <row r="412" spans="1:13" x14ac:dyDescent="0.2">
      <c r="A412" s="4" t="s">
        <v>82</v>
      </c>
      <c r="B412" s="4">
        <v>2010</v>
      </c>
      <c r="C412" s="6">
        <v>234522118.69999999</v>
      </c>
      <c r="D412" s="8">
        <f>SUMPRODUCT(N(Tabela3[PAPEL]=Tabela2[[#This Row],[Ativo]]),Tabela3[Total Ações])</f>
        <v>817720079</v>
      </c>
      <c r="E412" s="67">
        <f>(Tabela2[[#This Row],[Lucro Líquido]])/Tabela2[[#This Row],[Total Ações]]</f>
        <v>0.28680000005234063</v>
      </c>
      <c r="F412" s="67">
        <v>6.6400000000000001E-2</v>
      </c>
      <c r="G412" s="46">
        <f>IF(AND(Tabela2[[#This Row],[Dividendo / Ação]]&gt;0,Tabela2[[#This Row],[Lucro por ação]]&gt;0),Tabela2[[#This Row],[Dividendo / Ação]]/Tabela2[[#This Row],[Lucro por ação]],"")</f>
        <v>0.23152022310977016</v>
      </c>
      <c r="H412" s="13">
        <f>MAX(Tabela2[[#This Row],[Cotação 1]],Tabela2[[#This Row],[Cotação 2]])</f>
        <v>2.4900000000000002</v>
      </c>
      <c r="I412" s="19">
        <f>IF(Tabela2[[#This Row],[Dividendo / Ação]]&gt;0,Tabela2[[#This Row],[Dividendo / Ação]]/Tabela2[[#This Row],[Cotação]],"")</f>
        <v>2.6666666666666665E-2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2.4900000000000002</v>
      </c>
    </row>
    <row r="413" spans="1:13" x14ac:dyDescent="0.2">
      <c r="A413" s="4" t="s">
        <v>82</v>
      </c>
      <c r="B413" s="4">
        <v>2009</v>
      </c>
      <c r="C413" s="6">
        <v>106303610.3</v>
      </c>
      <c r="D413" s="8">
        <f>SUMPRODUCT(N(Tabela3[PAPEL]=Tabela2[[#This Row],[Ativo]]),Tabela3[Total Ações])</f>
        <v>817720079</v>
      </c>
      <c r="E413" s="67">
        <f>(Tabela2[[#This Row],[Lucro Líquido]])/Tabela2[[#This Row],[Total Ações]]</f>
        <v>0.13000000003668738</v>
      </c>
      <c r="F413" s="67">
        <v>0</v>
      </c>
      <c r="G413" s="46" t="str">
        <f>IF(AND(Tabela2[[#This Row],[Dividendo / Ação]]&gt;0,Tabela2[[#This Row],[Lucro por ação]]&gt;0),Tabela2[[#This Row],[Dividendo / Ação]]/Tabela2[[#This Row],[Lucro por ação]],"")</f>
        <v/>
      </c>
      <c r="H413" s="13">
        <f>MAX(Tabela2[[#This Row],[Cotação 1]],Tabela2[[#This Row],[Cotação 2]])</f>
        <v>2.4900000000000002</v>
      </c>
      <c r="I413" s="19" t="str">
        <f>IF(Tabela2[[#This Row],[Dividendo / Ação]]&gt;0,Tabela2[[#This Row],[Dividendo / Ação]]/Tabela2[[#This Row],[Cotação]],"")</f>
        <v/>
      </c>
      <c r="J413" s="17">
        <f>SUMPRODUCT(N(Tabela1[Código]=Tabela2[[#This Row],[Ativo]]),Tabela1[Fechamento])</f>
        <v>0</v>
      </c>
      <c r="K413" s="17">
        <f>SUMPRODUCT(N(Tabela17[Código]=Tabela2[[#This Row],[Ativo]]),Tabela17[Fechamento])</f>
        <v>2.4900000000000002</v>
      </c>
    </row>
    <row r="414" spans="1:13" x14ac:dyDescent="0.2">
      <c r="A414" s="14" t="s">
        <v>519</v>
      </c>
      <c r="B414" s="3">
        <v>2012</v>
      </c>
      <c r="C414" s="5">
        <v>459346.49</v>
      </c>
      <c r="D414" s="63">
        <f>SUMPRODUCT(N(Tabela3[PAPEL]=Tabela2[[#This Row],[Ativo]]),Tabela3[Total Ações])</f>
        <v>31485170</v>
      </c>
      <c r="E414" s="66">
        <f>(Tabela2[[#This Row],[Lucro Líquido]])/Tabela2[[#This Row],[Total Ações]]</f>
        <v>1.4589296802272307E-2</v>
      </c>
      <c r="F414" s="66">
        <v>0</v>
      </c>
      <c r="G414" s="22" t="str">
        <f>IF(AND(Tabela2[[#This Row],[Dividendo / Ação]]&gt;0,Tabela2[[#This Row],[Lucro por ação]]&gt;0),Tabela2[[#This Row],[Dividendo / Ação]]/Tabela2[[#This Row],[Lucro por ação]],"")</f>
        <v/>
      </c>
      <c r="H414" s="51">
        <f>MAX(Tabela2[[#This Row],[Cotação 1]],Tabela2[[#This Row],[Cotação 2]])</f>
        <v>10</v>
      </c>
      <c r="I414" s="18" t="str">
        <f>IF(Tabela2[[#This Row],[Dividendo / Ação]]&gt;0,Tabela2[[#This Row],[Dividendo / Ação]]/Tabela2[[#This Row],[Cotação]],"")</f>
        <v/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10</v>
      </c>
    </row>
    <row r="415" spans="1:13" x14ac:dyDescent="0.2">
      <c r="A415" s="14" t="s">
        <v>520</v>
      </c>
      <c r="B415" s="4">
        <v>2012</v>
      </c>
      <c r="C415" s="5">
        <v>459346.49</v>
      </c>
      <c r="D415" s="8">
        <f>SUMPRODUCT(N(Tabela3[PAPEL]=Tabela2[[#This Row],[Ativo]]),Tabela3[Total Ações])</f>
        <v>31485170</v>
      </c>
      <c r="E415" s="67">
        <f>(Tabela2[[#This Row],[Lucro Líquido]])/Tabela2[[#This Row],[Total Ações]]</f>
        <v>1.4589296802272307E-2</v>
      </c>
      <c r="F415" s="66">
        <v>2E-3</v>
      </c>
      <c r="G415" s="46">
        <f>IF(AND(Tabela2[[#This Row],[Dividendo / Ação]]&gt;0,Tabela2[[#This Row],[Lucro por ação]]&gt;0),Tabela2[[#This Row],[Dividendo / Ação]]/Tabela2[[#This Row],[Lucro por ação]],"")</f>
        <v>0.13708679911758986</v>
      </c>
      <c r="H415" s="13">
        <f>MAX(Tabela2[[#This Row],[Cotação 1]],Tabela2[[#This Row],[Cotação 2]])</f>
        <v>10.91</v>
      </c>
      <c r="I415" s="19">
        <f>IF(Tabela2[[#This Row],[Dividendo / Ação]]&gt;0,Tabela2[[#This Row],[Dividendo / Ação]]/Tabela2[[#This Row],[Cotação]],"")</f>
        <v>1.8331805682859762E-4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10.91</v>
      </c>
    </row>
    <row r="416" spans="1:13" x14ac:dyDescent="0.2">
      <c r="A416" s="14" t="s">
        <v>519</v>
      </c>
      <c r="B416" s="3">
        <v>2011</v>
      </c>
      <c r="C416" s="5">
        <v>14826895.1</v>
      </c>
      <c r="D416" s="63">
        <f>SUMPRODUCT(N(Tabela3[PAPEL]=Tabela2[[#This Row],[Ativo]]),Tabela3[Total Ações])</f>
        <v>31485170</v>
      </c>
      <c r="E416" s="66">
        <f>(Tabela2[[#This Row],[Lucro Líquido]])/Tabela2[[#This Row],[Total Ações]]</f>
        <v>0.47091678717313579</v>
      </c>
      <c r="F416" s="66">
        <v>0.11279</v>
      </c>
      <c r="G416" s="22">
        <f>IF(AND(Tabela2[[#This Row],[Dividendo / Ação]]&gt;0,Tabela2[[#This Row],[Lucro por ação]]&gt;0),Tabela2[[#This Row],[Dividendo / Ação]]/Tabela2[[#This Row],[Lucro por ação]],"")</f>
        <v>0.2395115295784348</v>
      </c>
      <c r="H416" s="51">
        <f>MAX(Tabela2[[#This Row],[Cotação 1]],Tabela2[[#This Row],[Cotação 2]])</f>
        <v>10</v>
      </c>
      <c r="I416" s="18">
        <f>IF(Tabela2[[#This Row],[Dividendo / Ação]]&gt;0,Tabela2[[#This Row],[Dividendo / Ação]]/Tabela2[[#This Row],[Cotação]],"")</f>
        <v>1.1279000000000001E-2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10</v>
      </c>
    </row>
    <row r="417" spans="1:11" x14ac:dyDescent="0.2">
      <c r="A417" s="14" t="s">
        <v>520</v>
      </c>
      <c r="B417" s="4">
        <v>2011</v>
      </c>
      <c r="C417" s="5">
        <v>14826895.1</v>
      </c>
      <c r="D417" s="8">
        <f>SUMPRODUCT(N(Tabela3[PAPEL]=Tabela2[[#This Row],[Ativo]]),Tabela3[Total Ações])</f>
        <v>31485170</v>
      </c>
      <c r="E417" s="67">
        <f>(Tabela2[[#This Row],[Lucro Líquido]])/Tabela2[[#This Row],[Total Ações]]</f>
        <v>0.47091678717313579</v>
      </c>
      <c r="F417" s="66">
        <v>0.11279</v>
      </c>
      <c r="G417" s="46">
        <f>IF(AND(Tabela2[[#This Row],[Dividendo / Ação]]&gt;0,Tabela2[[#This Row],[Lucro por ação]]&gt;0),Tabela2[[#This Row],[Dividendo / Ação]]/Tabela2[[#This Row],[Lucro por ação]],"")</f>
        <v>0.2395115295784348</v>
      </c>
      <c r="H417" s="13">
        <f>MAX(Tabela2[[#This Row],[Cotação 1]],Tabela2[[#This Row],[Cotação 2]])</f>
        <v>10.91</v>
      </c>
      <c r="I417" s="19">
        <f>IF(Tabela2[[#This Row],[Dividendo / Ação]]&gt;0,Tabela2[[#This Row],[Dividendo / Ação]]/Tabela2[[#This Row],[Cotação]],"")</f>
        <v>1.0338221814848763E-2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10.91</v>
      </c>
    </row>
    <row r="418" spans="1:11" x14ac:dyDescent="0.2">
      <c r="A418" s="14" t="s">
        <v>519</v>
      </c>
      <c r="B418" s="3">
        <v>2010</v>
      </c>
      <c r="C418" s="5">
        <v>45200803.640000001</v>
      </c>
      <c r="D418" s="63">
        <f>SUMPRODUCT(N(Tabela3[PAPEL]=Tabela2[[#This Row],[Ativo]]),Tabela3[Total Ações])</f>
        <v>31485170</v>
      </c>
      <c r="E418" s="66">
        <f>(Tabela2[[#This Row],[Lucro Líquido]])/Tabela2[[#This Row],[Total Ações]]</f>
        <v>1.4356220290377979</v>
      </c>
      <c r="F418" s="66">
        <v>0.31025000000000003</v>
      </c>
      <c r="G418" s="22">
        <f>IF(AND(Tabela2[[#This Row],[Dividendo / Ação]]&gt;0,Tabela2[[#This Row],[Lucro por ação]]&gt;0),Tabela2[[#This Row],[Dividendo / Ação]]/Tabela2[[#This Row],[Lucro por ação]],"")</f>
        <v>0.21610841414013407</v>
      </c>
      <c r="H418" s="51">
        <f>MAX(Tabela2[[#This Row],[Cotação 1]],Tabela2[[#This Row],[Cotação 2]])</f>
        <v>10</v>
      </c>
      <c r="I418" s="18">
        <f>IF(Tabela2[[#This Row],[Dividendo / Ação]]&gt;0,Tabela2[[#This Row],[Dividendo / Ação]]/Tabela2[[#This Row],[Cotação]],"")</f>
        <v>3.1025000000000004E-2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10</v>
      </c>
    </row>
    <row r="419" spans="1:11" x14ac:dyDescent="0.2">
      <c r="A419" s="14" t="s">
        <v>520</v>
      </c>
      <c r="B419" s="4">
        <v>2010</v>
      </c>
      <c r="C419" s="5">
        <v>45200803.640000001</v>
      </c>
      <c r="D419" s="8">
        <f>SUMPRODUCT(N(Tabela3[PAPEL]=Tabela2[[#This Row],[Ativo]]),Tabela3[Total Ações])</f>
        <v>31485170</v>
      </c>
      <c r="E419" s="67">
        <f>(Tabela2[[#This Row],[Lucro Líquido]])/Tabela2[[#This Row],[Total Ações]]</f>
        <v>1.4356220290377979</v>
      </c>
      <c r="F419" s="66">
        <v>0.31025000000000003</v>
      </c>
      <c r="G419" s="46">
        <f>IF(AND(Tabela2[[#This Row],[Dividendo / Ação]]&gt;0,Tabela2[[#This Row],[Lucro por ação]]&gt;0),Tabela2[[#This Row],[Dividendo / Ação]]/Tabela2[[#This Row],[Lucro por ação]],"")</f>
        <v>0.21610841414013407</v>
      </c>
      <c r="H419" s="13">
        <f>MAX(Tabela2[[#This Row],[Cotação 1]],Tabela2[[#This Row],[Cotação 2]])</f>
        <v>10.91</v>
      </c>
      <c r="I419" s="19">
        <f>IF(Tabela2[[#This Row],[Dividendo / Ação]]&gt;0,Tabela2[[#This Row],[Dividendo / Ação]]/Tabela2[[#This Row],[Cotação]],"")</f>
        <v>2.8437213565536208E-2</v>
      </c>
      <c r="J419" s="17">
        <f>SUMPRODUCT(N(Tabela1[Código]=Tabela2[[#This Row],[Ativo]]),Tabela1[Fechamento])</f>
        <v>0</v>
      </c>
      <c r="K419" s="17">
        <f>SUMPRODUCT(N(Tabela17[Código]=Tabela2[[#This Row],[Ativo]]),Tabela17[Fechamento])</f>
        <v>10.91</v>
      </c>
    </row>
    <row r="420" spans="1:11" x14ac:dyDescent="0.2">
      <c r="A420" s="14" t="s">
        <v>519</v>
      </c>
      <c r="B420" s="3">
        <v>2009</v>
      </c>
      <c r="C420" s="6">
        <v>3829778.75</v>
      </c>
      <c r="D420" s="63">
        <f>SUMPRODUCT(N(Tabela3[PAPEL]=Tabela2[[#This Row],[Ativo]]),Tabela3[Total Ações])</f>
        <v>31485170</v>
      </c>
      <c r="E420" s="66">
        <f>(Tabela2[[#This Row],[Lucro Líquido]])/Tabela2[[#This Row],[Total Ações]]</f>
        <v>0.12163754396117284</v>
      </c>
      <c r="F420" s="66">
        <v>4.3194999999999997E-2</v>
      </c>
      <c r="G420" s="22">
        <f>IF(AND(Tabela2[[#This Row],[Dividendo / Ação]]&gt;0,Tabela2[[#This Row],[Lucro por ação]]&gt;0),Tabela2[[#This Row],[Dividendo / Ação]]/Tabela2[[#This Row],[Lucro por ação]],"")</f>
        <v>0.35511239863399419</v>
      </c>
      <c r="H420" s="51">
        <f>MAX(Tabela2[[#This Row],[Cotação 1]],Tabela2[[#This Row],[Cotação 2]])</f>
        <v>10</v>
      </c>
      <c r="I420" s="18">
        <f>IF(Tabela2[[#This Row],[Dividendo / Ação]]&gt;0,Tabela2[[#This Row],[Dividendo / Ação]]/Tabela2[[#This Row],[Cotação]],"")</f>
        <v>4.3194999999999996E-3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10</v>
      </c>
    </row>
    <row r="421" spans="1:11" x14ac:dyDescent="0.2">
      <c r="A421" s="14" t="s">
        <v>520</v>
      </c>
      <c r="B421" s="4">
        <v>2009</v>
      </c>
      <c r="C421" s="6">
        <v>3829778.75</v>
      </c>
      <c r="D421" s="8">
        <f>SUMPRODUCT(N(Tabela3[PAPEL]=Tabela2[[#This Row],[Ativo]]),Tabela3[Total Ações])</f>
        <v>31485170</v>
      </c>
      <c r="E421" s="67">
        <f>(Tabela2[[#This Row],[Lucro Líquido]])/Tabela2[[#This Row],[Total Ações]]</f>
        <v>0.12163754396117284</v>
      </c>
      <c r="F421" s="66">
        <v>4.3194999999999997E-2</v>
      </c>
      <c r="G421" s="46">
        <f>IF(AND(Tabela2[[#This Row],[Dividendo / Ação]]&gt;0,Tabela2[[#This Row],[Lucro por ação]]&gt;0),Tabela2[[#This Row],[Dividendo / Ação]]/Tabela2[[#This Row],[Lucro por ação]],"")</f>
        <v>0.35511239863399419</v>
      </c>
      <c r="H421" s="13">
        <f>MAX(Tabela2[[#This Row],[Cotação 1]],Tabela2[[#This Row],[Cotação 2]])</f>
        <v>10.91</v>
      </c>
      <c r="I421" s="19">
        <f>IF(Tabela2[[#This Row],[Dividendo / Ação]]&gt;0,Tabela2[[#This Row],[Dividendo / Ação]]/Tabela2[[#This Row],[Cotação]],"")</f>
        <v>3.9592117323556369E-3</v>
      </c>
      <c r="J421" s="17">
        <f>SUMPRODUCT(N(Tabela1[Código]=Tabela2[[#This Row],[Ativo]]),Tabela1[Fechamento])</f>
        <v>0</v>
      </c>
      <c r="K421" s="17">
        <f>SUMPRODUCT(N(Tabela17[Código]=Tabela2[[#This Row],[Ativo]]),Tabela17[Fechamento])</f>
        <v>10.91</v>
      </c>
    </row>
    <row r="422" spans="1:11" x14ac:dyDescent="0.2">
      <c r="A422" s="14" t="s">
        <v>526</v>
      </c>
      <c r="B422" s="3">
        <v>2012</v>
      </c>
      <c r="C422" s="5">
        <v>-731143033.12</v>
      </c>
      <c r="D422" s="63">
        <f>SUMPRODUCT(N(Tabela3[PAPEL]=Tabela2[[#This Row],[Ativo]]),Tabela3[Total Ações])</f>
        <v>797265348</v>
      </c>
      <c r="E422" s="66">
        <f>(Tabela2[[#This Row],[Lucro Líquido]])/Tabela2[[#This Row],[Total Ações]]</f>
        <v>-0.91706360367238737</v>
      </c>
      <c r="F422" s="66">
        <v>0</v>
      </c>
      <c r="G422" s="22" t="str">
        <f>IF(AND(Tabela2[[#This Row],[Dividendo / Ação]]&gt;0,Tabela2[[#This Row],[Lucro por ação]]&gt;0),Tabela2[[#This Row],[Dividendo / Ação]]/Tabela2[[#This Row],[Lucro por ação]],"")</f>
        <v/>
      </c>
      <c r="H422" s="51">
        <f>MAX(Tabela2[[#This Row],[Cotação 1]],Tabela2[[#This Row],[Cotação 2]])</f>
        <v>16.5</v>
      </c>
      <c r="I422" s="18" t="str">
        <f>IF(Tabela2[[#This Row],[Dividendo / Ação]]&gt;0,Tabela2[[#This Row],[Dividendo / Ação]]/Tabela2[[#This Row],[Cotação]],"")</f>
        <v/>
      </c>
      <c r="J422" s="7">
        <f>SUMPRODUCT(N(Tabela1[Código]=Tabela2[[#This Row],[Ativo]]),Tabela1[Fechamento])</f>
        <v>0</v>
      </c>
      <c r="K422" s="7">
        <f>SUMPRODUCT(N(Tabela17[Código]=Tabela2[[#This Row],[Ativo]]),Tabela17[Fechamento])</f>
        <v>16.5</v>
      </c>
    </row>
    <row r="423" spans="1:11" x14ac:dyDescent="0.2">
      <c r="A423" s="14" t="s">
        <v>527</v>
      </c>
      <c r="B423" s="3">
        <v>2012</v>
      </c>
      <c r="C423" s="5">
        <v>-731143033.12</v>
      </c>
      <c r="D423" s="63">
        <f>SUMPRODUCT(N(Tabela3[PAPEL]=Tabela2[[#This Row],[Ativo]]),Tabela3[Total Ações])</f>
        <v>797265348</v>
      </c>
      <c r="E423" s="66">
        <f>(Tabela2[[#This Row],[Lucro Líquido]])/Tabela2[[#This Row],[Total Ações]]</f>
        <v>-0.91706360367238737</v>
      </c>
      <c r="F423" s="66">
        <v>0</v>
      </c>
      <c r="G423" s="22" t="str">
        <f>IF(AND(Tabela2[[#This Row],[Dividendo / Ação]]&gt;0,Tabela2[[#This Row],[Lucro por ação]]&gt;0),Tabela2[[#This Row],[Dividendo / Ação]]/Tabela2[[#This Row],[Lucro por ação]],"")</f>
        <v/>
      </c>
      <c r="H423" s="51">
        <f>MAX(Tabela2[[#This Row],[Cotação 1]],Tabela2[[#This Row],[Cotação 2]])</f>
        <v>21</v>
      </c>
      <c r="I423" s="18" t="str">
        <f>IF(Tabela2[[#This Row],[Dividendo / Ação]]&gt;0,Tabela2[[#This Row],[Dividendo / Ação]]/Tabela2[[#This Row],[Cotação]],"")</f>
        <v/>
      </c>
      <c r="J423" s="7">
        <f>SUMPRODUCT(N(Tabela1[Código]=Tabela2[[#This Row],[Ativo]]),Tabela1[Fechamento])</f>
        <v>0</v>
      </c>
      <c r="K423" s="7">
        <f>SUMPRODUCT(N(Tabela17[Código]=Tabela2[[#This Row],[Ativo]]),Tabela17[Fechamento])</f>
        <v>21</v>
      </c>
    </row>
    <row r="424" spans="1:11" x14ac:dyDescent="0.2">
      <c r="A424" s="15" t="s">
        <v>528</v>
      </c>
      <c r="B424" s="4">
        <v>2012</v>
      </c>
      <c r="C424" s="5">
        <v>-731143033.12</v>
      </c>
      <c r="D424" s="8">
        <f>SUMPRODUCT(N(Tabela3[PAPEL]=Tabela2[[#This Row],[Ativo]]),Tabela3[Total Ações])</f>
        <v>797265348</v>
      </c>
      <c r="E424" s="67">
        <f>(Tabela2[[#This Row],[Lucro Líquido]])/Tabela2[[#This Row],[Total Ações]]</f>
        <v>-0.91706360367238737</v>
      </c>
      <c r="F424" s="67">
        <v>0</v>
      </c>
      <c r="G424" s="46" t="str">
        <f>IF(AND(Tabela2[[#This Row],[Dividendo / Ação]]&gt;0,Tabela2[[#This Row],[Lucro por ação]]&gt;0),Tabela2[[#This Row],[Dividendo / Ação]]/Tabela2[[#This Row],[Lucro por ação]],"")</f>
        <v/>
      </c>
      <c r="H424" s="13">
        <f>MAX(Tabela2[[#This Row],[Cotação 1]],Tabela2[[#This Row],[Cotação 2]])</f>
        <v>10.1</v>
      </c>
      <c r="I424" s="19" t="str">
        <f>IF(Tabela2[[#This Row],[Dividendo / Ação]]&gt;0,Tabela2[[#This Row],[Dividendo / Ação]]/Tabela2[[#This Row],[Cotação]],"")</f>
        <v/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10.1</v>
      </c>
    </row>
    <row r="425" spans="1:11" x14ac:dyDescent="0.2">
      <c r="A425" s="14" t="s">
        <v>526</v>
      </c>
      <c r="B425" s="3">
        <v>2011</v>
      </c>
      <c r="C425" s="5">
        <v>-525142000</v>
      </c>
      <c r="D425" s="63">
        <f>SUMPRODUCT(N(Tabela3[PAPEL]=Tabela2[[#This Row],[Ativo]]),Tabela3[Total Ações])</f>
        <v>797265348</v>
      </c>
      <c r="E425" s="66">
        <f>(Tabela2[[#This Row],[Lucro Líquido]])/Tabela2[[#This Row],[Total Ações]]</f>
        <v>-0.65867907255389713</v>
      </c>
      <c r="F425" s="66">
        <v>0</v>
      </c>
      <c r="G425" s="22" t="str">
        <f>IF(AND(Tabela2[[#This Row],[Dividendo / Ação]]&gt;0,Tabela2[[#This Row],[Lucro por ação]]&gt;0),Tabela2[[#This Row],[Dividendo / Ação]]/Tabela2[[#This Row],[Lucro por ação]],"")</f>
        <v/>
      </c>
      <c r="H425" s="51">
        <f>MAX(Tabela2[[#This Row],[Cotação 1]],Tabela2[[#This Row],[Cotação 2]])</f>
        <v>16.5</v>
      </c>
      <c r="I425" s="18" t="str">
        <f>IF(Tabela2[[#This Row],[Dividendo / Ação]]&gt;0,Tabela2[[#This Row],[Dividendo / Ação]]/Tabela2[[#This Row],[Cotação]],"")</f>
        <v/>
      </c>
      <c r="J425" s="7">
        <f>SUMPRODUCT(N(Tabela1[Código]=Tabela2[[#This Row],[Ativo]]),Tabela1[Fechamento])</f>
        <v>0</v>
      </c>
      <c r="K425" s="7">
        <f>SUMPRODUCT(N(Tabela17[Código]=Tabela2[[#This Row],[Ativo]]),Tabela17[Fechamento])</f>
        <v>16.5</v>
      </c>
    </row>
    <row r="426" spans="1:11" x14ac:dyDescent="0.2">
      <c r="A426" s="14" t="s">
        <v>527</v>
      </c>
      <c r="B426" s="3">
        <v>2011</v>
      </c>
      <c r="C426" s="5">
        <v>-525142000</v>
      </c>
      <c r="D426" s="63">
        <f>SUMPRODUCT(N(Tabela3[PAPEL]=Tabela2[[#This Row],[Ativo]]),Tabela3[Total Ações])</f>
        <v>797265348</v>
      </c>
      <c r="E426" s="66">
        <f>(Tabela2[[#This Row],[Lucro Líquido]])/Tabela2[[#This Row],[Total Ações]]</f>
        <v>-0.65867907255389713</v>
      </c>
      <c r="F426" s="66">
        <v>0</v>
      </c>
      <c r="G426" s="22" t="str">
        <f>IF(AND(Tabela2[[#This Row],[Dividendo / Ação]]&gt;0,Tabela2[[#This Row],[Lucro por ação]]&gt;0),Tabela2[[#This Row],[Dividendo / Ação]]/Tabela2[[#This Row],[Lucro por ação]],"")</f>
        <v/>
      </c>
      <c r="H426" s="51">
        <f>MAX(Tabela2[[#This Row],[Cotação 1]],Tabela2[[#This Row],[Cotação 2]])</f>
        <v>21</v>
      </c>
      <c r="I426" s="18" t="str">
        <f>IF(Tabela2[[#This Row],[Dividendo / Ação]]&gt;0,Tabela2[[#This Row],[Dividendo / Ação]]/Tabela2[[#This Row],[Cotação]],"")</f>
        <v/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21</v>
      </c>
    </row>
    <row r="427" spans="1:11" x14ac:dyDescent="0.2">
      <c r="A427" s="15" t="s">
        <v>528</v>
      </c>
      <c r="B427" s="4">
        <v>2011</v>
      </c>
      <c r="C427" s="5">
        <v>-525142000</v>
      </c>
      <c r="D427" s="8">
        <f>SUMPRODUCT(N(Tabela3[PAPEL]=Tabela2[[#This Row],[Ativo]]),Tabela3[Total Ações])</f>
        <v>797265348</v>
      </c>
      <c r="E427" s="67">
        <f>(Tabela2[[#This Row],[Lucro Líquido]])/Tabela2[[#This Row],[Total Ações]]</f>
        <v>-0.65867907255389713</v>
      </c>
      <c r="F427" s="67">
        <v>0</v>
      </c>
      <c r="G427" s="46" t="str">
        <f>IF(AND(Tabela2[[#This Row],[Dividendo / Ação]]&gt;0,Tabela2[[#This Row],[Lucro por ação]]&gt;0),Tabela2[[#This Row],[Dividendo / Ação]]/Tabela2[[#This Row],[Lucro por ação]],"")</f>
        <v/>
      </c>
      <c r="H427" s="13">
        <f>MAX(Tabela2[[#This Row],[Cotação 1]],Tabela2[[#This Row],[Cotação 2]])</f>
        <v>10.1</v>
      </c>
      <c r="I427" s="19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10.1</v>
      </c>
    </row>
    <row r="428" spans="1:11" x14ac:dyDescent="0.2">
      <c r="A428" s="14" t="s">
        <v>526</v>
      </c>
      <c r="B428" s="3">
        <v>2010</v>
      </c>
      <c r="C428" s="5">
        <v>1895309000</v>
      </c>
      <c r="D428" s="63">
        <f>SUMPRODUCT(N(Tabela3[PAPEL]=Tabela2[[#This Row],[Ativo]]),Tabela3[Total Ações])</f>
        <v>797265348</v>
      </c>
      <c r="E428" s="66">
        <f>(Tabela2[[#This Row],[Lucro Líquido]])/Tabela2[[#This Row],[Total Ações]]</f>
        <v>2.3772624820011616</v>
      </c>
      <c r="F428" s="66">
        <v>0.83324714</v>
      </c>
      <c r="G428" s="22">
        <f>IF(AND(Tabela2[[#This Row],[Dividendo / Ação]]&gt;0,Tabela2[[#This Row],[Lucro por ação]]&gt;0),Tabela2[[#This Row],[Dividendo / Ação]]/Tabela2[[#This Row],[Lucro por ação]],"")</f>
        <v>0.35050699967240423</v>
      </c>
      <c r="H428" s="51">
        <f>MAX(Tabela2[[#This Row],[Cotação 1]],Tabela2[[#This Row],[Cotação 2]])</f>
        <v>16.5</v>
      </c>
      <c r="I428" s="18">
        <f>IF(Tabela2[[#This Row],[Dividendo / Ação]]&gt;0,Tabela2[[#This Row],[Dividendo / Ação]]/Tabela2[[#This Row],[Cotação]],"")</f>
        <v>5.0499826666666664E-2</v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16.5</v>
      </c>
    </row>
    <row r="429" spans="1:11" x14ac:dyDescent="0.2">
      <c r="A429" s="14" t="s">
        <v>527</v>
      </c>
      <c r="B429" s="3">
        <v>2010</v>
      </c>
      <c r="C429" s="5">
        <v>1895309000</v>
      </c>
      <c r="D429" s="63">
        <f>SUMPRODUCT(N(Tabela3[PAPEL]=Tabela2[[#This Row],[Ativo]]),Tabela3[Total Ações])</f>
        <v>797265348</v>
      </c>
      <c r="E429" s="66">
        <f>(Tabela2[[#This Row],[Lucro Líquido]])/Tabela2[[#This Row],[Total Ações]]</f>
        <v>2.3772624820011616</v>
      </c>
      <c r="F429" s="66">
        <v>0.83324714</v>
      </c>
      <c r="G429" s="22">
        <f>IF(AND(Tabela2[[#This Row],[Dividendo / Ação]]&gt;0,Tabela2[[#This Row],[Lucro por ação]]&gt;0),Tabela2[[#This Row],[Dividendo / Ação]]/Tabela2[[#This Row],[Lucro por ação]],"")</f>
        <v>0.35050699967240423</v>
      </c>
      <c r="H429" s="51">
        <f>MAX(Tabela2[[#This Row],[Cotação 1]],Tabela2[[#This Row],[Cotação 2]])</f>
        <v>21</v>
      </c>
      <c r="I429" s="18">
        <f>IF(Tabela2[[#This Row],[Dividendo / Ação]]&gt;0,Tabela2[[#This Row],[Dividendo / Ação]]/Tabela2[[#This Row],[Cotação]],"")</f>
        <v>3.9678435238095236E-2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21</v>
      </c>
    </row>
    <row r="430" spans="1:11" x14ac:dyDescent="0.2">
      <c r="A430" s="15" t="s">
        <v>528</v>
      </c>
      <c r="B430" s="4">
        <v>2010</v>
      </c>
      <c r="C430" s="5">
        <v>1895309000</v>
      </c>
      <c r="D430" s="8">
        <f>SUMPRODUCT(N(Tabela3[PAPEL]=Tabela2[[#This Row],[Ativo]]),Tabela3[Total Ações])</f>
        <v>797265348</v>
      </c>
      <c r="E430" s="67">
        <f>(Tabela2[[#This Row],[Lucro Líquido]])/Tabela2[[#This Row],[Total Ações]]</f>
        <v>2.3772624820011616</v>
      </c>
      <c r="F430" s="67">
        <v>0.60198830400000003</v>
      </c>
      <c r="G430" s="46">
        <f>IF(AND(Tabela2[[#This Row],[Dividendo / Ação]]&gt;0,Tabela2[[#This Row],[Lucro por ação]]&gt;0),Tabela2[[#This Row],[Dividendo / Ação]]/Tabela2[[#This Row],[Lucro por ação]],"")</f>
        <v>0.25322752895727813</v>
      </c>
      <c r="H430" s="13">
        <f>MAX(Tabela2[[#This Row],[Cotação 1]],Tabela2[[#This Row],[Cotação 2]])</f>
        <v>10.1</v>
      </c>
      <c r="I430" s="19">
        <f>IF(Tabela2[[#This Row],[Dividendo / Ação]]&gt;0,Tabela2[[#This Row],[Dividendo / Ação]]/Tabela2[[#This Row],[Cotação]],"")</f>
        <v>5.9602802376237628E-2</v>
      </c>
      <c r="J430" s="17">
        <f>SUMPRODUCT(N(Tabela1[Código]=Tabela2[[#This Row],[Ativo]]),Tabela1[Fechamento])</f>
        <v>0</v>
      </c>
      <c r="K430" s="17">
        <f>SUMPRODUCT(N(Tabela17[Código]=Tabela2[[#This Row],[Ativo]]),Tabela17[Fechamento])</f>
        <v>10.1</v>
      </c>
    </row>
    <row r="431" spans="1:11" x14ac:dyDescent="0.2">
      <c r="A431" s="14" t="s">
        <v>526</v>
      </c>
      <c r="B431" s="3">
        <v>2009</v>
      </c>
      <c r="C431" s="5">
        <v>398491000</v>
      </c>
      <c r="D431" s="63">
        <f>SUMPRODUCT(N(Tabela3[PAPEL]=Tabela2[[#This Row],[Ativo]]),Tabela3[Total Ações])</f>
        <v>797265348</v>
      </c>
      <c r="E431" s="66">
        <f>(Tabela2[[#This Row],[Lucro Líquido]])/Tabela2[[#This Row],[Total Ações]]</f>
        <v>0.49982230006564893</v>
      </c>
      <c r="F431" s="66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16.5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16.5</v>
      </c>
    </row>
    <row r="432" spans="1:11" x14ac:dyDescent="0.2">
      <c r="A432" s="14" t="s">
        <v>527</v>
      </c>
      <c r="B432" s="3">
        <v>2009</v>
      </c>
      <c r="C432" s="5">
        <v>398491000</v>
      </c>
      <c r="D432" s="63">
        <f>SUMPRODUCT(N(Tabela3[PAPEL]=Tabela2[[#This Row],[Ativo]]),Tabela3[Total Ações])</f>
        <v>797265348</v>
      </c>
      <c r="E432" s="66">
        <f>(Tabela2[[#This Row],[Lucro Líquido]])/Tabela2[[#This Row],[Total Ações]]</f>
        <v>0.49982230006564893</v>
      </c>
      <c r="F432" s="66">
        <v>0</v>
      </c>
      <c r="G432" s="22" t="str">
        <f>IF(AND(Tabela2[[#This Row],[Dividendo / Ação]]&gt;0,Tabela2[[#This Row],[Lucro por ação]]&gt;0),Tabela2[[#This Row],[Dividendo / Ação]]/Tabela2[[#This Row],[Lucro por ação]],"")</f>
        <v/>
      </c>
      <c r="H432" s="51">
        <f>MAX(Tabela2[[#This Row],[Cotação 1]],Tabela2[[#This Row],[Cotação 2]])</f>
        <v>21</v>
      </c>
      <c r="I432" s="18" t="str">
        <f>IF(Tabela2[[#This Row],[Dividendo / Ação]]&gt;0,Tabela2[[#This Row],[Dividendo / Ação]]/Tabela2[[#This Row],[Cotação]],"")</f>
        <v/>
      </c>
      <c r="J432" s="7">
        <f>SUMPRODUCT(N(Tabela1[Código]=Tabela2[[#This Row],[Ativo]]),Tabela1[Fechamento])</f>
        <v>0</v>
      </c>
      <c r="K432" s="7">
        <f>SUMPRODUCT(N(Tabela17[Código]=Tabela2[[#This Row],[Ativo]]),Tabela17[Fechamento])</f>
        <v>21</v>
      </c>
    </row>
    <row r="433" spans="1:13" x14ac:dyDescent="0.2">
      <c r="A433" s="15" t="s">
        <v>528</v>
      </c>
      <c r="B433" s="4">
        <v>2009</v>
      </c>
      <c r="C433" s="5">
        <v>398491000</v>
      </c>
      <c r="D433" s="8">
        <f>SUMPRODUCT(N(Tabela3[PAPEL]=Tabela2[[#This Row],[Ativo]]),Tabela3[Total Ações])</f>
        <v>797265348</v>
      </c>
      <c r="E433" s="67">
        <f>(Tabela2[[#This Row],[Lucro Líquido]])/Tabela2[[#This Row],[Total Ações]]</f>
        <v>0.49982230006564893</v>
      </c>
      <c r="F433" s="67">
        <v>0</v>
      </c>
      <c r="G433" s="46" t="str">
        <f>IF(AND(Tabela2[[#This Row],[Dividendo / Ação]]&gt;0,Tabela2[[#This Row],[Lucro por ação]]&gt;0),Tabela2[[#This Row],[Dividendo / Ação]]/Tabela2[[#This Row],[Lucro por ação]],"")</f>
        <v/>
      </c>
      <c r="H433" s="13">
        <f>MAX(Tabela2[[#This Row],[Cotação 1]],Tabela2[[#This Row],[Cotação 2]])</f>
        <v>10.1</v>
      </c>
      <c r="I433" s="19" t="str">
        <f>IF(Tabela2[[#This Row],[Dividendo / Ação]]&gt;0,Tabela2[[#This Row],[Dividendo / Ação]]/Tabela2[[#This Row],[Cotação]],"")</f>
        <v/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10.1</v>
      </c>
    </row>
    <row r="434" spans="1:13" x14ac:dyDescent="0.2">
      <c r="A434" s="3" t="s">
        <v>540</v>
      </c>
      <c r="B434" s="3">
        <v>2012</v>
      </c>
      <c r="C434" s="5">
        <v>638200000</v>
      </c>
      <c r="D434" s="63">
        <f>SUMPRODUCT(N(Tabela3[PAPEL]=Tabela2[[#This Row],[Ativo]]),Tabela3[Total Ações])</f>
        <v>407214353</v>
      </c>
      <c r="E434" s="66">
        <f>(Tabela2[[#This Row],[Lucro Líquido]])/Tabela2[[#This Row],[Total Ações]]</f>
        <v>1.5672335596677753</v>
      </c>
      <c r="F434" s="66">
        <v>0.74068530099999996</v>
      </c>
      <c r="G434" s="22">
        <f>IF(AND(Tabela2[[#This Row],[Dividendo / Ação]]&gt;0,Tabela2[[#This Row],[Lucro por ação]]&gt;0),Tabela2[[#This Row],[Dividendo / Ação]]/Tabela2[[#This Row],[Lucro por ação]],"")</f>
        <v>0.4726068405254234</v>
      </c>
      <c r="H434" s="51">
        <f>MAX(Tabela2[[#This Row],[Cotação 1]],Tabela2[[#This Row],[Cotação 2]])</f>
        <v>39.58</v>
      </c>
      <c r="I434" s="18">
        <f>IF(Tabela2[[#This Row],[Dividendo / Ação]]&gt;0,Tabela2[[#This Row],[Dividendo / Ação]]/Tabela2[[#This Row],[Cotação]],"")</f>
        <v>1.8713625593734209E-2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39.58</v>
      </c>
    </row>
    <row r="435" spans="1:13" x14ac:dyDescent="0.2">
      <c r="A435" s="3" t="s">
        <v>540</v>
      </c>
      <c r="B435" s="3">
        <v>2011</v>
      </c>
      <c r="C435" s="5">
        <v>2605800000</v>
      </c>
      <c r="D435" s="63">
        <f>SUMPRODUCT(N(Tabela3[PAPEL]=Tabela2[[#This Row],[Ativo]]),Tabela3[Total Ações])</f>
        <v>407214353</v>
      </c>
      <c r="E435" s="66">
        <f>(Tabela2[[#This Row],[Lucro Líquido]])/Tabela2[[#This Row],[Total Ações]]</f>
        <v>6.399086821971621</v>
      </c>
      <c r="F435" s="66">
        <v>0.61834152200000003</v>
      </c>
      <c r="G435" s="22">
        <f>IF(AND(Tabela2[[#This Row],[Dividendo / Ação]]&gt;0,Tabela2[[#This Row],[Lucro por ação]]&gt;0),Tabela2[[#This Row],[Dividendo / Ação]]/Tabela2[[#This Row],[Lucro por ação]],"")</f>
        <v>9.6629650323994662E-2</v>
      </c>
      <c r="H435" s="51">
        <f>MAX(Tabela2[[#This Row],[Cotação 1]],Tabela2[[#This Row],[Cotação 2]])</f>
        <v>39.58</v>
      </c>
      <c r="I435" s="18">
        <f>IF(Tabela2[[#This Row],[Dividendo / Ação]]&gt;0,Tabela2[[#This Row],[Dividendo / Ação]]/Tabela2[[#This Row],[Cotação]],"")</f>
        <v>1.56225750884285E-2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39.58</v>
      </c>
    </row>
    <row r="436" spans="1:13" x14ac:dyDescent="0.2">
      <c r="A436" s="3" t="s">
        <v>540</v>
      </c>
      <c r="B436" s="3">
        <v>2010</v>
      </c>
      <c r="C436" s="5">
        <v>771500000</v>
      </c>
      <c r="D436" s="63">
        <f>SUMPRODUCT(N(Tabela3[PAPEL]=Tabela2[[#This Row],[Ativo]]),Tabela3[Total Ações])</f>
        <v>407214353</v>
      </c>
      <c r="E436" s="66">
        <f>(Tabela2[[#This Row],[Lucro Líquido]])/Tabela2[[#This Row],[Total Ações]]</f>
        <v>1.8945795852141782</v>
      </c>
      <c r="F436" s="66">
        <v>0.49227156500000002</v>
      </c>
      <c r="G436" s="22">
        <f>IF(AND(Tabela2[[#This Row],[Dividendo / Ação]]&gt;0,Tabela2[[#This Row],[Lucro por ação]]&gt;0),Tabela2[[#This Row],[Dividendo / Ação]]/Tabela2[[#This Row],[Lucro por ação]],"")</f>
        <v>0.25983155779879774</v>
      </c>
      <c r="H436" s="51">
        <f>MAX(Tabela2[[#This Row],[Cotação 1]],Tabela2[[#This Row],[Cotação 2]])</f>
        <v>39.58</v>
      </c>
      <c r="I436" s="18">
        <f>IF(Tabela2[[#This Row],[Dividendo / Ação]]&gt;0,Tabela2[[#This Row],[Dividendo / Ação]]/Tabela2[[#This Row],[Cotação]],"")</f>
        <v>1.2437381632137444E-2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39.58</v>
      </c>
    </row>
    <row r="437" spans="1:13" x14ac:dyDescent="0.2">
      <c r="A437" s="3" t="s">
        <v>548</v>
      </c>
      <c r="B437" s="3">
        <v>2012</v>
      </c>
      <c r="C437" s="5">
        <v>72949906.010000005</v>
      </c>
      <c r="D437" s="63">
        <f>SUMPRODUCT(N(Tabela3[PAPEL]=Tabela2[[#This Row],[Ativo]]),Tabela3[Total Ações])</f>
        <v>113000000</v>
      </c>
      <c r="E437" s="66">
        <f>(Tabela2[[#This Row],[Lucro Líquido]])/Tabela2[[#This Row],[Total Ações]]</f>
        <v>0.64557438946902657</v>
      </c>
      <c r="F437" s="66">
        <v>0.26730199999999998</v>
      </c>
      <c r="G437" s="22">
        <f>IF(AND(Tabela2[[#This Row],[Dividendo / Ação]]&gt;0,Tabela2[[#This Row],[Lucro por ação]]&gt;0),Tabela2[[#This Row],[Dividendo / Ação]]/Tabela2[[#This Row],[Lucro por ação]],"")</f>
        <v>0.41405298035421001</v>
      </c>
      <c r="H437" s="51">
        <f>MAX(Tabela2[[#This Row],[Cotação 1]],Tabela2[[#This Row],[Cotação 2]])</f>
        <v>28.7</v>
      </c>
      <c r="I437" s="18">
        <f>IF(Tabela2[[#This Row],[Dividendo / Ação]]&gt;0,Tabela2[[#This Row],[Dividendo / Ação]]/Tabela2[[#This Row],[Cotação]],"")</f>
        <v>9.3136585365853654E-3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28.7</v>
      </c>
    </row>
    <row r="438" spans="1:13" x14ac:dyDescent="0.2">
      <c r="A438" s="3" t="s">
        <v>548</v>
      </c>
      <c r="B438" s="3">
        <v>2011</v>
      </c>
      <c r="C438" s="5">
        <v>126610718.51000001</v>
      </c>
      <c r="D438" s="63">
        <f>SUMPRODUCT(N(Tabela3[PAPEL]=Tabela2[[#This Row],[Ativo]]),Tabela3[Total Ações])</f>
        <v>113000000</v>
      </c>
      <c r="E438" s="66">
        <f>(Tabela2[[#This Row],[Lucro Líquido]])/Tabela2[[#This Row],[Total Ações]]</f>
        <v>1.1204488363716814</v>
      </c>
      <c r="F438" s="66">
        <v>0.32134299999999999</v>
      </c>
      <c r="G438" s="22">
        <f>IF(AND(Tabela2[[#This Row],[Dividendo / Ação]]&gt;0,Tabela2[[#This Row],[Lucro por ação]]&gt;0),Tabela2[[#This Row],[Dividendo / Ação]]/Tabela2[[#This Row],[Lucro por ação]],"")</f>
        <v>0.28679845930368064</v>
      </c>
      <c r="H438" s="51">
        <f>MAX(Tabela2[[#This Row],[Cotação 1]],Tabela2[[#This Row],[Cotação 2]])</f>
        <v>28.7</v>
      </c>
      <c r="I438" s="18">
        <f>IF(Tabela2[[#This Row],[Dividendo / Ação]]&gt;0,Tabela2[[#This Row],[Dividendo / Ação]]/Tabela2[[#This Row],[Cotação]],"")</f>
        <v>1.1196620209059233E-2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28.7</v>
      </c>
    </row>
    <row r="439" spans="1:13" x14ac:dyDescent="0.2">
      <c r="A439" s="3" t="s">
        <v>548</v>
      </c>
      <c r="B439" s="3">
        <v>2010</v>
      </c>
      <c r="C439" s="5">
        <v>142288162.75</v>
      </c>
      <c r="D439" s="63">
        <f>SUMPRODUCT(N(Tabela3[PAPEL]=Tabela2[[#This Row],[Ativo]]),Tabela3[Total Ações])</f>
        <v>113000000</v>
      </c>
      <c r="E439" s="66">
        <f>(Tabela2[[#This Row],[Lucro Líquido]])/Tabela2[[#This Row],[Total Ações]]</f>
        <v>1.2591872809734512</v>
      </c>
      <c r="F439" s="66">
        <v>0.41675099999999998</v>
      </c>
      <c r="G439" s="22">
        <f>IF(AND(Tabela2[[#This Row],[Dividendo / Ação]]&gt;0,Tabela2[[#This Row],[Lucro por ação]]&gt;0),Tabela2[[#This Row],[Dividendo / Ação]]/Tabela2[[#This Row],[Lucro por ação]],"")</f>
        <v>0.33096824141824127</v>
      </c>
      <c r="H439" s="51">
        <f>MAX(Tabela2[[#This Row],[Cotação 1]],Tabela2[[#This Row],[Cotação 2]])</f>
        <v>28.7</v>
      </c>
      <c r="I439" s="18">
        <f>IF(Tabela2[[#This Row],[Dividendo / Ação]]&gt;0,Tabela2[[#This Row],[Dividendo / Ação]]/Tabela2[[#This Row],[Cotação]],"")</f>
        <v>1.4520940766550522E-2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28.7</v>
      </c>
    </row>
    <row r="440" spans="1:13" x14ac:dyDescent="0.2">
      <c r="A440" s="3" t="s">
        <v>548</v>
      </c>
      <c r="B440" s="3">
        <v>2009</v>
      </c>
      <c r="C440" s="5">
        <v>93031657.010000005</v>
      </c>
      <c r="D440" s="63">
        <f>SUMPRODUCT(N(Tabela3[PAPEL]=Tabela2[[#This Row],[Ativo]]),Tabela3[Total Ações])</f>
        <v>113000000</v>
      </c>
      <c r="E440" s="66">
        <f>(Tabela2[[#This Row],[Lucro Líquido]])/Tabela2[[#This Row],[Total Ações]]</f>
        <v>0.82328900008849559</v>
      </c>
      <c r="F440" s="66">
        <v>0.24957299999999999</v>
      </c>
      <c r="G440" s="22">
        <f>IF(AND(Tabela2[[#This Row],[Dividendo / Ação]]&gt;0,Tabela2[[#This Row],[Lucro por ação]]&gt;0),Tabela2[[#This Row],[Dividendo / Ação]]/Tabela2[[#This Row],[Lucro por ação]],"")</f>
        <v>0.30314142418175549</v>
      </c>
      <c r="H440" s="51">
        <f>MAX(Tabela2[[#This Row],[Cotação 1]],Tabela2[[#This Row],[Cotação 2]])</f>
        <v>28.7</v>
      </c>
      <c r="I440" s="18">
        <f>IF(Tabela2[[#This Row],[Dividendo / Ação]]&gt;0,Tabela2[[#This Row],[Dividendo / Ação]]/Tabela2[[#This Row],[Cotação]],"")</f>
        <v>8.6959233449477348E-3</v>
      </c>
      <c r="J440" s="7">
        <f>SUMPRODUCT(N(Tabela1[Código]=Tabela2[[#This Row],[Ativo]]),Tabela1[Fechamento])</f>
        <v>0</v>
      </c>
      <c r="K440" s="7">
        <f>SUMPRODUCT(N(Tabela17[Código]=Tabela2[[#This Row],[Ativo]]),Tabela17[Fechamento])</f>
        <v>28.7</v>
      </c>
    </row>
    <row r="441" spans="1:13" x14ac:dyDescent="0.2">
      <c r="A441" s="10" t="s">
        <v>554</v>
      </c>
      <c r="B441" s="3">
        <v>2012</v>
      </c>
      <c r="C441" s="5">
        <v>11833190.779999999</v>
      </c>
      <c r="D441" s="63">
        <f>SUMPRODUCT(N(Tabela3[PAPEL]=Tabela2[[#This Row],[Ativo]]),Tabela3[Total Ações])</f>
        <v>24948000</v>
      </c>
      <c r="E441" s="66">
        <f>(Tabela2[[#This Row],[Lucro Líquido]])/Tabela2[[#This Row],[Total Ações]]</f>
        <v>0.47431420474587138</v>
      </c>
      <c r="F441" s="66">
        <v>5.0590000000000003E-2</v>
      </c>
      <c r="G441" s="22">
        <f>IF(AND(Tabela2[[#This Row],[Dividendo / Ação]]&gt;0,Tabela2[[#This Row],[Lucro por ação]]&gt;0),Tabela2[[#This Row],[Dividendo / Ação]]/Tabela2[[#This Row],[Lucro por ação]],"")</f>
        <v>0.10665925560273948</v>
      </c>
      <c r="H441" s="51">
        <f>MAX(Tabela2[[#This Row],[Cotação 1]],Tabela2[[#This Row],[Cotação 2]])</f>
        <v>7.08</v>
      </c>
      <c r="I441" s="18">
        <f>IF(Tabela2[[#This Row],[Dividendo / Ação]]&gt;0,Tabela2[[#This Row],[Dividendo / Ação]]/Tabela2[[#This Row],[Cotação]],"")</f>
        <v>7.1454802259887009E-3</v>
      </c>
      <c r="J441" s="7">
        <f>SUMPRODUCT(N(Tabela1[Código]=Tabela2[[#This Row],[Ativo]]),Tabela1[Fechamento])</f>
        <v>0</v>
      </c>
      <c r="K441" s="7">
        <f>SUMPRODUCT(N(Tabela17[Código]=Tabela2[[#This Row],[Ativo]]),Tabela17[Fechamento])</f>
        <v>7.08</v>
      </c>
    </row>
    <row r="442" spans="1:13" x14ac:dyDescent="0.2">
      <c r="A442" s="10" t="s">
        <v>555</v>
      </c>
      <c r="B442" s="3">
        <v>2012</v>
      </c>
      <c r="C442" s="5">
        <v>11833190.779999999</v>
      </c>
      <c r="D442" s="63">
        <f>SUMPRODUCT(N(Tabela3[PAPEL]=Tabela2[[#This Row],[Ativo]]),Tabela3[Total Ações])</f>
        <v>24948000</v>
      </c>
      <c r="E442" s="66">
        <f>(Tabela2[[#This Row],[Lucro Líquido]])/Tabela2[[#This Row],[Total Ações]]</f>
        <v>0.47431420474587138</v>
      </c>
      <c r="F442" s="66">
        <v>5.5649999999999998E-2</v>
      </c>
      <c r="G442" s="22">
        <f>IF(AND(Tabela2[[#This Row],[Dividendo / Ação]]&gt;0,Tabela2[[#This Row],[Lucro por ação]]&gt;0),Tabela2[[#This Row],[Dividendo / Ação]]/Tabela2[[#This Row],[Lucro por ação]],"")</f>
        <v>0.11732728947010183</v>
      </c>
      <c r="H442" s="51">
        <f>MAX(Tabela2[[#This Row],[Cotação 1]],Tabela2[[#This Row],[Cotação 2]])</f>
        <v>15.09</v>
      </c>
      <c r="I442" s="18">
        <f>IF(Tabela2[[#This Row],[Dividendo / Ação]]&gt;0,Tabela2[[#This Row],[Dividendo / Ação]]/Tabela2[[#This Row],[Cotação]],"")</f>
        <v>3.687872763419483E-3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15.09</v>
      </c>
    </row>
    <row r="443" spans="1:13" x14ac:dyDescent="0.2">
      <c r="A443" s="10" t="s">
        <v>554</v>
      </c>
      <c r="B443" s="3">
        <v>2011</v>
      </c>
      <c r="C443" s="5">
        <v>-9978849.7799999993</v>
      </c>
      <c r="D443" s="63">
        <f>SUMPRODUCT(N(Tabela3[PAPEL]=Tabela2[[#This Row],[Ativo]]),Tabela3[Total Ações])</f>
        <v>24948000</v>
      </c>
      <c r="E443" s="66">
        <f>(Tabela2[[#This Row],[Lucro Líquido]])/Tabela2[[#This Row],[Total Ações]]</f>
        <v>-0.39998596200096198</v>
      </c>
      <c r="F443" s="66">
        <v>0</v>
      </c>
      <c r="G443" s="22" t="str">
        <f>IF(AND(Tabela2[[#This Row],[Dividendo / Ação]]&gt;0,Tabela2[[#This Row],[Lucro por ação]]&gt;0),Tabela2[[#This Row],[Dividendo / Ação]]/Tabela2[[#This Row],[Lucro por ação]],"")</f>
        <v/>
      </c>
      <c r="H443" s="51">
        <f>MAX(Tabela2[[#This Row],[Cotação 1]],Tabela2[[#This Row],[Cotação 2]])</f>
        <v>7.08</v>
      </c>
      <c r="I443" s="18" t="str">
        <f>IF(Tabela2[[#This Row],[Dividendo / Ação]]&gt;0,Tabela2[[#This Row],[Dividendo / Ação]]/Tabela2[[#This Row],[Cotação]],"")</f>
        <v/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7.08</v>
      </c>
    </row>
    <row r="444" spans="1:13" x14ac:dyDescent="0.2">
      <c r="A444" s="10" t="s">
        <v>555</v>
      </c>
      <c r="B444" s="3">
        <v>2011</v>
      </c>
      <c r="C444" s="5">
        <v>-9978849.7799999993</v>
      </c>
      <c r="D444" s="63">
        <f>SUMPRODUCT(N(Tabela3[PAPEL]=Tabela2[[#This Row],[Ativo]]),Tabela3[Total Ações])</f>
        <v>24948000</v>
      </c>
      <c r="E444" s="66">
        <f>(Tabela2[[#This Row],[Lucro Líquido]])/Tabela2[[#This Row],[Total Ações]]</f>
        <v>-0.39998596200096198</v>
      </c>
      <c r="F444" s="66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51">
        <f>MAX(Tabela2[[#This Row],[Cotação 1]],Tabela2[[#This Row],[Cotação 2]])</f>
        <v>15.09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15.09</v>
      </c>
    </row>
    <row r="445" spans="1:13" x14ac:dyDescent="0.2">
      <c r="A445" s="10" t="s">
        <v>554</v>
      </c>
      <c r="B445" s="3">
        <v>2010</v>
      </c>
      <c r="C445" s="5">
        <v>9148149.2799999993</v>
      </c>
      <c r="D445" s="63">
        <f>SUMPRODUCT(N(Tabela3[PAPEL]=Tabela2[[#This Row],[Ativo]]),Tabela3[Total Ações])</f>
        <v>24948000</v>
      </c>
      <c r="E445" s="66">
        <f>(Tabela2[[#This Row],[Lucro Líquido]])/Tabela2[[#This Row],[Total Ações]]</f>
        <v>0.36668868366201696</v>
      </c>
      <c r="F445" s="66">
        <v>9.9110000000000004E-2</v>
      </c>
      <c r="G445" s="22">
        <f>IF(AND(Tabela2[[#This Row],[Dividendo / Ação]]&gt;0,Tabela2[[#This Row],[Lucro por ação]]&gt;0),Tabela2[[#This Row],[Dividendo / Ação]]/Tabela2[[#This Row],[Lucro por ação]],"")</f>
        <v>0.27028377044586227</v>
      </c>
      <c r="H445" s="51">
        <f>MAX(Tabela2[[#This Row],[Cotação 1]],Tabela2[[#This Row],[Cotação 2]])</f>
        <v>7.08</v>
      </c>
      <c r="I445" s="18">
        <f>IF(Tabela2[[#This Row],[Dividendo / Ação]]&gt;0,Tabela2[[#This Row],[Dividendo / Ação]]/Tabela2[[#This Row],[Cotação]],"")</f>
        <v>1.399858757062147E-2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7.08</v>
      </c>
    </row>
    <row r="446" spans="1:13" x14ac:dyDescent="0.2">
      <c r="A446" s="10" t="s">
        <v>555</v>
      </c>
      <c r="B446" s="3">
        <v>2010</v>
      </c>
      <c r="C446" s="5">
        <v>9148149.2799999993</v>
      </c>
      <c r="D446" s="63">
        <f>SUMPRODUCT(N(Tabela3[PAPEL]=Tabela2[[#This Row],[Ativo]]),Tabela3[Total Ações])</f>
        <v>24948000</v>
      </c>
      <c r="E446" s="66">
        <f>(Tabela2[[#This Row],[Lucro Líquido]])/Tabela2[[#This Row],[Total Ações]]</f>
        <v>0.36668868366201696</v>
      </c>
      <c r="F446" s="66">
        <v>0.10902000000000001</v>
      </c>
      <c r="G446" s="22">
        <f>IF(AND(Tabela2[[#This Row],[Dividendo / Ação]]&gt;0,Tabela2[[#This Row],[Lucro por ação]]&gt;0),Tabela2[[#This Row],[Dividendo / Ação]]/Tabela2[[#This Row],[Lucro por ação]],"")</f>
        <v>0.29730942038147418</v>
      </c>
      <c r="H446" s="51">
        <f>MAX(Tabela2[[#This Row],[Cotação 1]],Tabela2[[#This Row],[Cotação 2]])</f>
        <v>15.09</v>
      </c>
      <c r="I446" s="18">
        <f>IF(Tabela2[[#This Row],[Dividendo / Ação]]&gt;0,Tabela2[[#This Row],[Dividendo / Ação]]/Tabela2[[#This Row],[Cotação]],"")</f>
        <v>7.2246520874751493E-3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15.09</v>
      </c>
    </row>
    <row r="447" spans="1:13" x14ac:dyDescent="0.2">
      <c r="A447" s="10" t="s">
        <v>554</v>
      </c>
      <c r="B447" s="3">
        <v>2009</v>
      </c>
      <c r="C447" s="5">
        <v>8891946.6600000001</v>
      </c>
      <c r="D447" s="63">
        <f>SUMPRODUCT(N(Tabela3[PAPEL]=Tabela2[[#This Row],[Ativo]]),Tabela3[Total Ações])</f>
        <v>24948000</v>
      </c>
      <c r="E447" s="66">
        <f>(Tabela2[[#This Row],[Lucro Líquido]])/Tabela2[[#This Row],[Total Ações]]</f>
        <v>0.35641921837421836</v>
      </c>
      <c r="F447" s="66">
        <v>8.3030000000000007E-2</v>
      </c>
      <c r="G447" s="22">
        <f>IF(AND(Tabela2[[#This Row],[Dividendo / Ação]]&gt;0,Tabela2[[#This Row],[Lucro por ação]]&gt;0),Tabela2[[#This Row],[Dividendo / Ação]]/Tabela2[[#This Row],[Lucro por ação]],"")</f>
        <v>0.23295601280631167</v>
      </c>
      <c r="H447" s="51">
        <f>MAX(Tabela2[[#This Row],[Cotação 1]],Tabela2[[#This Row],[Cotação 2]])</f>
        <v>7.08</v>
      </c>
      <c r="I447" s="18">
        <f>IF(Tabela2[[#This Row],[Dividendo / Ação]]&gt;0,Tabela2[[#This Row],[Dividendo / Ação]]/Tabela2[[#This Row],[Cotação]],"")</f>
        <v>1.1727401129943504E-2</v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7.08</v>
      </c>
    </row>
    <row r="448" spans="1:13" x14ac:dyDescent="0.2">
      <c r="A448" s="10" t="s">
        <v>555</v>
      </c>
      <c r="B448" s="3">
        <v>2009</v>
      </c>
      <c r="C448" s="5">
        <v>8891946.6600000001</v>
      </c>
      <c r="D448" s="63">
        <f>SUMPRODUCT(N(Tabela3[PAPEL]=Tabela2[[#This Row],[Ativo]]),Tabela3[Total Ações])</f>
        <v>24948000</v>
      </c>
      <c r="E448" s="66">
        <f>(Tabela2[[#This Row],[Lucro Líquido]])/Tabela2[[#This Row],[Total Ações]]</f>
        <v>0.35641921837421836</v>
      </c>
      <c r="F448" s="66">
        <v>9.1329999999999995E-2</v>
      </c>
      <c r="G448" s="22">
        <f>IF(AND(Tabela2[[#This Row],[Dividendo / Ação]]&gt;0,Tabela2[[#This Row],[Lucro por ação]]&gt;0),Tabela2[[#This Row],[Dividendo / Ação]]/Tabela2[[#This Row],[Lucro por ação]],"")</f>
        <v>0.25624319703240322</v>
      </c>
      <c r="H448" s="51">
        <f>MAX(Tabela2[[#This Row],[Cotação 1]],Tabela2[[#This Row],[Cotação 2]])</f>
        <v>15.09</v>
      </c>
      <c r="I448" s="18">
        <f>IF(Tabela2[[#This Row],[Dividendo / Ação]]&gt;0,Tabela2[[#This Row],[Dividendo / Ação]]/Tabela2[[#This Row],[Cotação]],"")</f>
        <v>6.0523525513585157E-3</v>
      </c>
      <c r="J448" s="7">
        <f>SUMPRODUCT(N(Tabela1[Código]=Tabela2[[#This Row],[Ativo]]),Tabela1[Fechamento])</f>
        <v>0</v>
      </c>
      <c r="K448" s="7">
        <f>SUMPRODUCT(N(Tabela17[Código]=Tabela2[[#This Row],[Ativo]]),Tabela17[Fechamento])</f>
        <v>15.09</v>
      </c>
      <c r="M448" s="66"/>
    </row>
    <row r="449" spans="1:13" x14ac:dyDescent="0.2">
      <c r="A449" s="10" t="s">
        <v>561</v>
      </c>
      <c r="B449" s="3">
        <v>2012</v>
      </c>
      <c r="C449" s="5">
        <v>813227000</v>
      </c>
      <c r="D449" s="63">
        <f>SUMPRODUCT(N(Tabela3[PAPEL]=Tabela2[[#This Row],[Ativo]]),Tabela3[Total Ações])</f>
        <v>872473246</v>
      </c>
      <c r="E449" s="66">
        <f>(Tabela2[[#This Row],[Lucro Líquido]])/Tabela2[[#This Row],[Total Ações]]</f>
        <v>0.93209391087735427</v>
      </c>
      <c r="F449" s="66">
        <v>0.32</v>
      </c>
      <c r="G449" s="22">
        <f>IF(AND(Tabela2[[#This Row],[Dividendo / Ação]]&gt;0,Tabela2[[#This Row],[Lucro por ação]]&gt;0),Tabela2[[#This Row],[Dividendo / Ação]]/Tabela2[[#This Row],[Lucro por ação]],"")</f>
        <v>0.34331304632040011</v>
      </c>
      <c r="H449" s="51">
        <f>MAX(Tabela2[[#This Row],[Cotação 1]],Tabela2[[#This Row],[Cotação 2]])</f>
        <v>49.25</v>
      </c>
      <c r="I449" s="18">
        <f>IF(Tabela2[[#This Row],[Dividendo / Ação]]&gt;0,Tabela2[[#This Row],[Dividendo / Ação]]/Tabela2[[#This Row],[Cotação]],"")</f>
        <v>6.49746192893401E-3</v>
      </c>
      <c r="J449" s="7">
        <f>SUMPRODUCT(N(Tabela1[Código]=Tabela2[[#This Row],[Ativo]]),Tabela1[Fechamento])</f>
        <v>0</v>
      </c>
      <c r="K449" s="7">
        <f>SUMPRODUCT(N(Tabela17[Código]=Tabela2[[#This Row],[Ativo]]),Tabela17[Fechamento])</f>
        <v>49.25</v>
      </c>
    </row>
    <row r="450" spans="1:13" x14ac:dyDescent="0.2">
      <c r="A450" s="3" t="s">
        <v>561</v>
      </c>
      <c r="B450" s="3">
        <v>2011</v>
      </c>
      <c r="C450" s="5">
        <v>1367409000</v>
      </c>
      <c r="D450" s="63">
        <f>SUMPRODUCT(N(Tabela3[PAPEL]=Tabela2[[#This Row],[Ativo]]),Tabela3[Total Ações])</f>
        <v>872473246</v>
      </c>
      <c r="E450" s="66">
        <f>(Tabela2[[#This Row],[Lucro Líquido]])/Tabela2[[#This Row],[Total Ações]]</f>
        <v>1.5672790039913729</v>
      </c>
      <c r="F450" s="66">
        <v>0.72453109900000001</v>
      </c>
      <c r="G450" s="22">
        <f>IF(AND(Tabela2[[#This Row],[Dividendo / Ação]]&gt;0,Tabela2[[#This Row],[Lucro por ação]]&gt;0),Tabela2[[#This Row],[Dividendo / Ação]]/Tabela2[[#This Row],[Lucro por ação]],"")</f>
        <v>0.46228597279415107</v>
      </c>
      <c r="H450" s="51">
        <f>MAX(Tabela2[[#This Row],[Cotação 1]],Tabela2[[#This Row],[Cotação 2]])</f>
        <v>49.25</v>
      </c>
      <c r="I450" s="18">
        <f>IF(Tabela2[[#This Row],[Dividendo / Ação]]&gt;0,Tabela2[[#This Row],[Dividendo / Ação]]/Tabela2[[#This Row],[Cotação]],"")</f>
        <v>1.4711291350253808E-2</v>
      </c>
      <c r="J450" s="7">
        <f>SUMPRODUCT(N(Tabela1[Código]=Tabela2[[#This Row],[Ativo]]),Tabela1[Fechamento])</f>
        <v>0</v>
      </c>
      <c r="K450" s="7">
        <f>SUMPRODUCT(N(Tabela17[Código]=Tabela2[[#This Row],[Ativo]]),Tabela17[Fechamento])</f>
        <v>49.25</v>
      </c>
    </row>
    <row r="451" spans="1:13" x14ac:dyDescent="0.2">
      <c r="A451" s="10" t="s">
        <v>561</v>
      </c>
      <c r="B451" s="3">
        <v>2010</v>
      </c>
      <c r="C451" s="5">
        <v>804106000</v>
      </c>
      <c r="D451" s="63">
        <f>SUMPRODUCT(N(Tabela3[PAPEL]=Tabela2[[#This Row],[Ativo]]),Tabela3[Total Ações])</f>
        <v>872473246</v>
      </c>
      <c r="E451" s="66">
        <f>(Tabela2[[#This Row],[Lucro Líquido]])/Tabela2[[#This Row],[Total Ações]]</f>
        <v>0.92163972211934164</v>
      </c>
      <c r="F451" s="66">
        <v>0.30086882500000001</v>
      </c>
      <c r="G451" s="22">
        <f>IF(AND(Tabela2[[#This Row],[Dividendo / Ação]]&gt;0,Tabela2[[#This Row],[Lucro por ação]]&gt;0),Tabela2[[#This Row],[Dividendo / Ação]]/Tabela2[[#This Row],[Lucro por ação]],"")</f>
        <v>0.32644949840935888</v>
      </c>
      <c r="H451" s="51">
        <f>MAX(Tabela2[[#This Row],[Cotação 1]],Tabela2[[#This Row],[Cotação 2]])</f>
        <v>49.25</v>
      </c>
      <c r="I451" s="18">
        <f>IF(Tabela2[[#This Row],[Dividendo / Ação]]&gt;0,Tabela2[[#This Row],[Dividendo / Ação]]/Tabela2[[#This Row],[Cotação]],"")</f>
        <v>6.1090116751269033E-3</v>
      </c>
      <c r="J451" s="7">
        <f>SUMPRODUCT(N(Tabela1[Código]=Tabela2[[#This Row],[Ativo]]),Tabela1[Fechamento])</f>
        <v>0</v>
      </c>
      <c r="K451" s="7">
        <f>SUMPRODUCT(N(Tabela17[Código]=Tabela2[[#This Row],[Ativo]]),Tabela17[Fechamento])</f>
        <v>49.25</v>
      </c>
      <c r="M451" s="77">
        <f>170748202.7/D452</f>
        <v>5.8005724277784339E-2</v>
      </c>
    </row>
    <row r="452" spans="1:13" x14ac:dyDescent="0.2">
      <c r="A452" s="3" t="s">
        <v>568</v>
      </c>
      <c r="B452" s="3">
        <v>2012</v>
      </c>
      <c r="C452" s="5">
        <v>718939800.83000004</v>
      </c>
      <c r="D452" s="63">
        <f>SUMPRODUCT(N(Tabela3[PAPEL]=Tabela2[[#This Row],[Ativo]]),Tabela3[Total Ações])</f>
        <v>2943644008</v>
      </c>
      <c r="E452" s="66">
        <f>(Tabela2[[#This Row],[Lucro Líquido]])/Tabela2[[#This Row],[Total Ações]]</f>
        <v>0.244234628533927</v>
      </c>
      <c r="F452" s="66">
        <v>5.8005724000000002E-2</v>
      </c>
      <c r="G452" s="22">
        <f>IF(AND(Tabela2[[#This Row],[Dividendo / Ação]]&gt;0,Tabela2[[#This Row],[Lucro por ação]]&gt;0),Tabela2[[#This Row],[Dividendo / Ação]]/Tabela2[[#This Row],[Lucro por ação]],"")</f>
        <v>0.23749999886663223</v>
      </c>
      <c r="H452" s="51">
        <f>MAX(Tabela2[[#This Row],[Cotação 1]],Tabela2[[#This Row],[Cotação 2]])</f>
        <v>8.77</v>
      </c>
      <c r="I452" s="18">
        <f>IF(Tabela2[[#This Row],[Dividendo / Ação]]&gt;0,Tabela2[[#This Row],[Dividendo / Ação]]/Tabela2[[#This Row],[Cotação]],"")</f>
        <v>6.6141076396807304E-3</v>
      </c>
      <c r="J452" s="7">
        <f>SUMPRODUCT(N(Tabela1[Código]=Tabela2[[#This Row],[Ativo]]),Tabela1[Fechamento])</f>
        <v>0</v>
      </c>
      <c r="K452" s="7">
        <f>SUMPRODUCT(N(Tabela17[Código]=Tabela2[[#This Row],[Ativo]]),Tabela17[Fechamento])</f>
        <v>8.77</v>
      </c>
      <c r="M452" s="3">
        <f>0.12145*Tabela2[[#This Row],[Total Ações]]</f>
        <v>357505564.77160001</v>
      </c>
    </row>
    <row r="453" spans="1:13" x14ac:dyDescent="0.2">
      <c r="A453" s="3" t="s">
        <v>568</v>
      </c>
      <c r="B453" s="3">
        <v>2011</v>
      </c>
      <c r="C453" s="5">
        <v>-75180667.959999993</v>
      </c>
      <c r="D453" s="63">
        <f>SUMPRODUCT(N(Tabela3[PAPEL]=Tabela2[[#This Row],[Ativo]]),Tabela3[Total Ações])</f>
        <v>2943644008</v>
      </c>
      <c r="E453" s="66">
        <f>(Tabela2[[#This Row],[Lucro Líquido]])/Tabela2[[#This Row],[Total Ações]]</f>
        <v>-2.5539999998532428E-2</v>
      </c>
      <c r="F453" s="66">
        <v>0</v>
      </c>
      <c r="G453" s="22" t="str">
        <f>IF(AND(Tabela2[[#This Row],[Dividendo / Ação]]&gt;0,Tabela2[[#This Row],[Lucro por ação]]&gt;0),Tabela2[[#This Row],[Dividendo / Ação]]/Tabela2[[#This Row],[Lucro por ação]],"")</f>
        <v/>
      </c>
      <c r="H453" s="51">
        <f>MAX(Tabela2[[#This Row],[Cotação 1]],Tabela2[[#This Row],[Cotação 2]])</f>
        <v>8.77</v>
      </c>
      <c r="I453" s="18" t="str">
        <f>IF(Tabela2[[#This Row],[Dividendo / Ação]]&gt;0,Tabela2[[#This Row],[Dividendo / Ação]]/Tabela2[[#This Row],[Cotação]],"")</f>
        <v/>
      </c>
      <c r="J453" s="7">
        <f>SUMPRODUCT(N(Tabela1[Código]=Tabela2[[#This Row],[Ativo]]),Tabela1[Fechamento])</f>
        <v>0</v>
      </c>
      <c r="K453" s="7">
        <f>SUMPRODUCT(N(Tabela17[Código]=Tabela2[[#This Row],[Ativo]]),Tabela17[Fechamento])</f>
        <v>8.77</v>
      </c>
    </row>
    <row r="454" spans="1:13" x14ac:dyDescent="0.2">
      <c r="A454" s="3" t="s">
        <v>568</v>
      </c>
      <c r="B454" s="3">
        <v>2010</v>
      </c>
      <c r="C454" s="5">
        <v>-357505564.80000001</v>
      </c>
      <c r="D454" s="63">
        <f>SUMPRODUCT(N(Tabela3[PAPEL]=Tabela2[[#This Row],[Ativo]]),Tabela3[Total Ações])</f>
        <v>2943644008</v>
      </c>
      <c r="E454" s="66">
        <f>(Tabela2[[#This Row],[Lucro Líquido]])/Tabela2[[#This Row],[Total Ações]]</f>
        <v>-0.12145000000964791</v>
      </c>
      <c r="F454" s="66">
        <v>0</v>
      </c>
      <c r="G454" s="22" t="str">
        <f>IF(AND(Tabela2[[#This Row],[Dividendo / Ação]]&gt;0,Tabela2[[#This Row],[Lucro por ação]]&gt;0),Tabela2[[#This Row],[Dividendo / Ação]]/Tabela2[[#This Row],[Lucro por ação]],"")</f>
        <v/>
      </c>
      <c r="H454" s="51">
        <f>MAX(Tabela2[[#This Row],[Cotação 1]],Tabela2[[#This Row],[Cotação 2]])</f>
        <v>8.77</v>
      </c>
      <c r="I454" s="18" t="str">
        <f>IF(Tabela2[[#This Row],[Dividendo / Ação]]&gt;0,Tabela2[[#This Row],[Dividendo / Ação]]/Tabela2[[#This Row],[Cotação]],"")</f>
        <v/>
      </c>
      <c r="J454" s="7">
        <f>SUMPRODUCT(N(Tabela1[Código]=Tabela2[[#This Row],[Ativo]]),Tabela1[Fechamento])</f>
        <v>0</v>
      </c>
      <c r="K454" s="7">
        <f>SUMPRODUCT(N(Tabela17[Código]=Tabela2[[#This Row],[Ativo]]),Tabela17[Fechamento])</f>
        <v>8.77</v>
      </c>
    </row>
    <row r="455" spans="1:13" x14ac:dyDescent="0.2">
      <c r="A455" s="3" t="s">
        <v>574</v>
      </c>
      <c r="B455" s="3">
        <v>2012</v>
      </c>
      <c r="C455" s="5">
        <v>30653409.600000001</v>
      </c>
      <c r="D455" s="63">
        <f>SUMPRODUCT(N(Tabela3[PAPEL]=Tabela2[[#This Row],[Ativo]]),Tabela3[Total Ações])</f>
        <v>149714346</v>
      </c>
      <c r="E455" s="66">
        <f>(Tabela2[[#This Row],[Lucro Líquido]])/Tabela2[[#This Row],[Total Ações]]</f>
        <v>0.20474597404312878</v>
      </c>
      <c r="F455" s="66">
        <v>4.87E-2</v>
      </c>
      <c r="G455" s="22">
        <f>IF(AND(Tabela2[[#This Row],[Dividendo / Ação]]&gt;0,Tabela2[[#This Row],[Lucro por ação]]&gt;0),Tabela2[[#This Row],[Dividendo / Ação]]/Tabela2[[#This Row],[Lucro por ação]],"")</f>
        <v>0.23785571475872622</v>
      </c>
      <c r="H455" s="51">
        <f>MAX(Tabela2[[#This Row],[Cotação 1]],Tabela2[[#This Row],[Cotação 2]])</f>
        <v>8.8699999999999992</v>
      </c>
      <c r="I455" s="18">
        <f>IF(Tabela2[[#This Row],[Dividendo / Ação]]&gt;0,Tabela2[[#This Row],[Dividendo / Ação]]/Tabela2[[#This Row],[Cotação]],"")</f>
        <v>5.490417136414882E-3</v>
      </c>
      <c r="J455" s="7">
        <f>SUMPRODUCT(N(Tabela1[Código]=Tabela2[[#This Row],[Ativo]]),Tabela1[Fechamento])</f>
        <v>0</v>
      </c>
      <c r="K455" s="7">
        <f>SUMPRODUCT(N(Tabela17[Código]=Tabela2[[#This Row],[Ativo]]),Tabela17[Fechamento])</f>
        <v>8.8699999999999992</v>
      </c>
    </row>
    <row r="456" spans="1:13" x14ac:dyDescent="0.2">
      <c r="A456" s="3" t="s">
        <v>574</v>
      </c>
      <c r="B456" s="3">
        <v>2011</v>
      </c>
      <c r="C456" s="5"/>
      <c r="D456" s="63">
        <f>SUMPRODUCT(N(Tabela3[PAPEL]=Tabela2[[#This Row],[Ativo]]),Tabela3[Total Ações])</f>
        <v>149714346</v>
      </c>
      <c r="E456" s="66">
        <f>(Tabela2[[#This Row],[Lucro Líquido]])/Tabela2[[#This Row],[Total Ações]]</f>
        <v>0</v>
      </c>
      <c r="F456" s="66">
        <v>0</v>
      </c>
      <c r="G456" s="22" t="str">
        <f>IF(AND(Tabela2[[#This Row],[Dividendo / Ação]]&gt;0,Tabela2[[#This Row],[Lucro por ação]]&gt;0),Tabela2[[#This Row],[Dividendo / Ação]]/Tabela2[[#This Row],[Lucro por ação]],"")</f>
        <v/>
      </c>
      <c r="H456" s="51">
        <f>MAX(Tabela2[[#This Row],[Cotação 1]],Tabela2[[#This Row],[Cotação 2]])</f>
        <v>8.8699999999999992</v>
      </c>
      <c r="I456" s="18" t="str">
        <f>IF(Tabela2[[#This Row],[Dividendo / Ação]]&gt;0,Tabela2[[#This Row],[Dividendo / Ação]]/Tabela2[[#This Row],[Cotação]],"")</f>
        <v/>
      </c>
      <c r="J456" s="7">
        <f>SUMPRODUCT(N(Tabela1[Código]=Tabela2[[#This Row],[Ativo]]),Tabela1[Fechamento])</f>
        <v>0</v>
      </c>
      <c r="K456" s="7">
        <f>SUMPRODUCT(N(Tabela17[Código]=Tabela2[[#This Row],[Ativo]]),Tabela17[Fechamento])</f>
        <v>8.8699999999999992</v>
      </c>
    </row>
    <row r="457" spans="1:13" x14ac:dyDescent="0.2">
      <c r="A457" s="3" t="s">
        <v>574</v>
      </c>
      <c r="B457" s="3">
        <v>2010</v>
      </c>
      <c r="C457" s="5"/>
      <c r="D457" s="63">
        <f>SUMPRODUCT(N(Tabela3[PAPEL]=Tabela2[[#This Row],[Ativo]]),Tabela3[Total Ações])</f>
        <v>149714346</v>
      </c>
      <c r="E457" s="66">
        <f>(Tabela2[[#This Row],[Lucro Líquido]])/Tabela2[[#This Row],[Total Ações]]</f>
        <v>0</v>
      </c>
      <c r="F457" s="66">
        <v>0</v>
      </c>
      <c r="G457" s="22" t="str">
        <f>IF(AND(Tabela2[[#This Row],[Dividendo / Ação]]&gt;0,Tabela2[[#This Row],[Lucro por ação]]&gt;0),Tabela2[[#This Row],[Dividendo / Ação]]/Tabela2[[#This Row],[Lucro por ação]],"")</f>
        <v/>
      </c>
      <c r="H457" s="51">
        <f>MAX(Tabela2[[#This Row],[Cotação 1]],Tabela2[[#This Row],[Cotação 2]])</f>
        <v>8.8699999999999992</v>
      </c>
      <c r="I457" s="18" t="str">
        <f>IF(Tabela2[[#This Row],[Dividendo / Ação]]&gt;0,Tabela2[[#This Row],[Dividendo / Ação]]/Tabela2[[#This Row],[Cotação]],"")</f>
        <v/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8.8699999999999992</v>
      </c>
    </row>
    <row r="458" spans="1:13" x14ac:dyDescent="0.2">
      <c r="A458" s="3" t="s">
        <v>577</v>
      </c>
      <c r="B458" s="3">
        <v>2012</v>
      </c>
      <c r="C458" s="5"/>
      <c r="D458" s="63">
        <f>SUMPRODUCT(N(Tabela3[PAPEL]=Tabela2[[#This Row],[Ativo]]),Tabela3[Total Ações])</f>
        <v>2417632647</v>
      </c>
      <c r="E458" s="66">
        <f>(Tabela2[[#This Row],[Lucro Líquido]])/Tabela2[[#This Row],[Total Ações]]</f>
        <v>0</v>
      </c>
      <c r="F458" s="66"/>
      <c r="G458" s="22" t="str">
        <f>IF(AND(Tabela2[[#This Row],[Dividendo / Ação]]&gt;0,Tabela2[[#This Row],[Lucro por ação]]&gt;0),Tabela2[[#This Row],[Dividendo / Ação]]/Tabela2[[#This Row],[Lucro por ação]],"")</f>
        <v/>
      </c>
      <c r="H458" s="51">
        <f>MAX(Tabela2[[#This Row],[Cotação 1]],Tabela2[[#This Row],[Cotação 2]])</f>
        <v>12.33</v>
      </c>
      <c r="I458" s="18" t="str">
        <f>IF(Tabela2[[#This Row],[Dividendo / Ação]]&gt;0,Tabela2[[#This Row],[Dividendo / Ação]]/Tabela2[[#This Row],[Cotação]],"")</f>
        <v/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12.33</v>
      </c>
    </row>
    <row r="459" spans="1:13" x14ac:dyDescent="0.2">
      <c r="A459" s="3" t="s">
        <v>577</v>
      </c>
      <c r="B459" s="3">
        <v>2011</v>
      </c>
      <c r="C459" s="5">
        <v>1281227722.3699999</v>
      </c>
      <c r="D459" s="63">
        <f>SUMPRODUCT(N(Tabela3[PAPEL]=Tabela2[[#This Row],[Ativo]]),Tabela3[Total Ações])</f>
        <v>2417632647</v>
      </c>
      <c r="E459" s="66">
        <f>(Tabela2[[#This Row],[Lucro Líquido]])/Tabela2[[#This Row],[Total Ações]]</f>
        <v>0.52995136542346666</v>
      </c>
      <c r="F459" s="66">
        <v>0.22</v>
      </c>
      <c r="G459" s="22">
        <f>IF(AND(Tabela2[[#This Row],[Dividendo / Ação]]&gt;0,Tabela2[[#This Row],[Lucro por ação]]&gt;0),Tabela2[[#This Row],[Dividendo / Ação]]/Tabela2[[#This Row],[Lucro por ação]],"")</f>
        <v>0.41513243356624857</v>
      </c>
      <c r="H459" s="51">
        <f>MAX(Tabela2[[#This Row],[Cotação 1]],Tabela2[[#This Row],[Cotação 2]])</f>
        <v>12.33</v>
      </c>
      <c r="I459" s="18">
        <f>IF(Tabela2[[#This Row],[Dividendo / Ação]]&gt;0,Tabela2[[#This Row],[Dividendo / Ação]]/Tabela2[[#This Row],[Cotação]],"")</f>
        <v>1.7842660178426603E-2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12.33</v>
      </c>
    </row>
    <row r="460" spans="1:13" x14ac:dyDescent="0.2">
      <c r="A460" s="3" t="s">
        <v>577</v>
      </c>
      <c r="B460" s="3">
        <v>2010</v>
      </c>
      <c r="C460" s="5">
        <v>2216909132.75</v>
      </c>
      <c r="D460" s="63">
        <f>SUMPRODUCT(N(Tabela3[PAPEL]=Tabela2[[#This Row],[Ativo]]),Tabela3[Total Ações])</f>
        <v>2417632647</v>
      </c>
      <c r="E460" s="66">
        <f>(Tabela2[[#This Row],[Lucro Líquido]])/Tabela2[[#This Row],[Total Ações]]</f>
        <v>0.9169751804522186</v>
      </c>
      <c r="F460" s="66">
        <v>0.2</v>
      </c>
      <c r="G460" s="22">
        <f>IF(AND(Tabela2[[#This Row],[Dividendo / Ação]]&gt;0,Tabela2[[#This Row],[Lucro por ação]]&gt;0),Tabela2[[#This Row],[Dividendo / Ação]]/Tabela2[[#This Row],[Lucro por ação]],"")</f>
        <v>0.21810841150724203</v>
      </c>
      <c r="H460" s="51">
        <f>MAX(Tabela2[[#This Row],[Cotação 1]],Tabela2[[#This Row],[Cotação 2]])</f>
        <v>12.33</v>
      </c>
      <c r="I460" s="18">
        <f>IF(Tabela2[[#This Row],[Dividendo / Ação]]&gt;0,Tabela2[[#This Row],[Dividendo / Ação]]/Tabela2[[#This Row],[Cotação]],"")</f>
        <v>1.6220600162206004E-2</v>
      </c>
      <c r="J460" s="7">
        <f>SUMPRODUCT(N(Tabela1[Código]=Tabela2[[#This Row],[Ativo]]),Tabela1[Fechamento])</f>
        <v>0</v>
      </c>
      <c r="K460" s="7">
        <f>SUMPRODUCT(N(Tabela17[Código]=Tabela2[[#This Row],[Ativo]]),Tabela17[Fechamento])</f>
        <v>12.33</v>
      </c>
    </row>
    <row r="461" spans="1:13" x14ac:dyDescent="0.2">
      <c r="A461" s="14" t="s">
        <v>581</v>
      </c>
      <c r="B461" s="3">
        <v>2012</v>
      </c>
      <c r="C461" s="5">
        <v>837439831.94000006</v>
      </c>
      <c r="D461" s="63">
        <f>SUMPRODUCT(N(Tabela3[PAPEL]=Tabela2[[#This Row],[Ativo]]),Tabela3[Total Ações])</f>
        <v>1797086404</v>
      </c>
      <c r="E461" s="66">
        <f>(Tabela2[[#This Row],[Lucro Líquido]])/Tabela2[[#This Row],[Total Ações]]</f>
        <v>0.46599864651805584</v>
      </c>
      <c r="F461" s="66">
        <v>4.07</v>
      </c>
      <c r="G461" s="22">
        <f>IF(AND(Tabela2[[#This Row],[Dividendo / Ação]]&gt;0,Tabela2[[#This Row],[Lucro por ação]]&gt;0),Tabela2[[#This Row],[Dividendo / Ação]]/Tabela2[[#This Row],[Lucro por ação]],"")</f>
        <v>8.7339309468193953</v>
      </c>
      <c r="H461" s="51">
        <f>MAX(Tabela2[[#This Row],[Cotação 1]],Tabela2[[#This Row],[Cotação 2]])</f>
        <v>3.61</v>
      </c>
      <c r="I461" s="18">
        <f>IF(Tabela2[[#This Row],[Dividendo / Ação]]&gt;0,Tabela2[[#This Row],[Dividendo / Ação]]/Tabela2[[#This Row],[Cotação]],"")</f>
        <v>1.1274238227146816</v>
      </c>
      <c r="J461" s="7">
        <f>SUMPRODUCT(N(Tabela1[Código]=Tabela2[[#This Row],[Ativo]]),Tabela1[Fechamento])</f>
        <v>0</v>
      </c>
      <c r="K461" s="7">
        <f>SUMPRODUCT(N(Tabela17[Código]=Tabela2[[#This Row],[Ativo]]),Tabela17[Fechamento])</f>
        <v>3.61</v>
      </c>
    </row>
    <row r="462" spans="1:13" x14ac:dyDescent="0.2">
      <c r="A462" s="10" t="s">
        <v>582</v>
      </c>
      <c r="B462" s="3">
        <v>2012</v>
      </c>
      <c r="C462" s="5">
        <v>837439831.94000006</v>
      </c>
      <c r="D462" s="63">
        <f>SUMPRODUCT(N(Tabela3[PAPEL]=Tabela2[[#This Row],[Ativo]]),Tabela3[Total Ações])</f>
        <v>1797086404</v>
      </c>
      <c r="E462" s="66">
        <f>(Tabela2[[#This Row],[Lucro Líquido]])/Tabela2[[#This Row],[Total Ações]]</f>
        <v>0.46599864651805584</v>
      </c>
      <c r="F462" s="66">
        <v>4.07</v>
      </c>
      <c r="G462" s="22">
        <f>IF(AND(Tabela2[[#This Row],[Dividendo / Ação]]&gt;0,Tabela2[[#This Row],[Lucro por ação]]&gt;0),Tabela2[[#This Row],[Dividendo / Ação]]/Tabela2[[#This Row],[Lucro por ação]],"")</f>
        <v>8.7339309468193953</v>
      </c>
      <c r="H462" s="51">
        <f>MAX(Tabela2[[#This Row],[Cotação 1]],Tabela2[[#This Row],[Cotação 2]])</f>
        <v>3.59</v>
      </c>
      <c r="I462" s="18">
        <f>IF(Tabela2[[#This Row],[Dividendo / Ação]]&gt;0,Tabela2[[#This Row],[Dividendo / Ação]]/Tabela2[[#This Row],[Cotação]],"")</f>
        <v>1.1337047353760448</v>
      </c>
      <c r="J462" s="7">
        <f>SUMPRODUCT(N(Tabela1[Código]=Tabela2[[#This Row],[Ativo]]),Tabela1[Fechamento])</f>
        <v>0</v>
      </c>
      <c r="K462" s="7">
        <f>SUMPRODUCT(N(Tabela17[Código]=Tabela2[[#This Row],[Ativo]]),Tabela17[Fechamento])</f>
        <v>3.59</v>
      </c>
    </row>
    <row r="463" spans="1:13" x14ac:dyDescent="0.2">
      <c r="A463" s="14" t="s">
        <v>581</v>
      </c>
      <c r="B463" s="3">
        <v>2011</v>
      </c>
      <c r="C463" s="5">
        <v>1005731443.8099999</v>
      </c>
      <c r="D463" s="63">
        <f>SUMPRODUCT(N(Tabela3[PAPEL]=Tabela2[[#This Row],[Ativo]]),Tabela3[Total Ações])</f>
        <v>1797086404</v>
      </c>
      <c r="E463" s="66">
        <f>(Tabela2[[#This Row],[Lucro Líquido]])/Tabela2[[#This Row],[Total Ações]]</f>
        <v>0.55964556939021837</v>
      </c>
      <c r="F463" s="66">
        <v>0.92</v>
      </c>
      <c r="G463" s="22">
        <f>IF(AND(Tabela2[[#This Row],[Dividendo / Ação]]&gt;0,Tabela2[[#This Row],[Lucro por ação]]&gt;0),Tabela2[[#This Row],[Dividendo / Ação]]/Tabela2[[#This Row],[Lucro por ação]],"")</f>
        <v>1.6438975850419375</v>
      </c>
      <c r="H463" s="51">
        <f>MAX(Tabela2[[#This Row],[Cotação 1]],Tabela2[[#This Row],[Cotação 2]])</f>
        <v>3.61</v>
      </c>
      <c r="I463" s="18">
        <f>IF(Tabela2[[#This Row],[Dividendo / Ação]]&gt;0,Tabela2[[#This Row],[Dividendo / Ação]]/Tabela2[[#This Row],[Cotação]],"")</f>
        <v>0.25484764542936289</v>
      </c>
      <c r="J463" s="7">
        <f>SUMPRODUCT(N(Tabela1[Código]=Tabela2[[#This Row],[Ativo]]),Tabela1[Fechamento])</f>
        <v>0</v>
      </c>
      <c r="K463" s="7">
        <f>SUMPRODUCT(N(Tabela17[Código]=Tabela2[[#This Row],[Ativo]]),Tabela17[Fechamento])</f>
        <v>3.61</v>
      </c>
    </row>
    <row r="464" spans="1:13" x14ac:dyDescent="0.2">
      <c r="A464" s="10" t="s">
        <v>582</v>
      </c>
      <c r="B464" s="3">
        <v>2011</v>
      </c>
      <c r="C464" s="5">
        <v>1005731443.8099999</v>
      </c>
      <c r="D464" s="63">
        <f>SUMPRODUCT(N(Tabela3[PAPEL]=Tabela2[[#This Row],[Ativo]]),Tabela3[Total Ações])</f>
        <v>1797086404</v>
      </c>
      <c r="E464" s="66">
        <f>(Tabela2[[#This Row],[Lucro Líquido]])/Tabela2[[#This Row],[Total Ações]]</f>
        <v>0.55964556939021837</v>
      </c>
      <c r="F464" s="66">
        <v>0.92</v>
      </c>
      <c r="G464" s="22">
        <f>IF(AND(Tabela2[[#This Row],[Dividendo / Ação]]&gt;0,Tabela2[[#This Row],[Lucro por ação]]&gt;0),Tabela2[[#This Row],[Dividendo / Ação]]/Tabela2[[#This Row],[Lucro por ação]],"")</f>
        <v>1.6438975850419375</v>
      </c>
      <c r="H464" s="51">
        <f>MAX(Tabela2[[#This Row],[Cotação 1]],Tabela2[[#This Row],[Cotação 2]])</f>
        <v>3.59</v>
      </c>
      <c r="I464" s="18">
        <f>IF(Tabela2[[#This Row],[Dividendo / Ação]]&gt;0,Tabela2[[#This Row],[Dividendo / Ação]]/Tabela2[[#This Row],[Cotação]],"")</f>
        <v>0.25626740947075211</v>
      </c>
      <c r="J464" s="7">
        <f>SUMPRODUCT(N(Tabela1[Código]=Tabela2[[#This Row],[Ativo]]),Tabela1[Fechamento])</f>
        <v>0</v>
      </c>
      <c r="K464" s="7">
        <f>SUMPRODUCT(N(Tabela17[Código]=Tabela2[[#This Row],[Ativo]]),Tabela17[Fechamento])</f>
        <v>3.59</v>
      </c>
    </row>
    <row r="465" spans="1:13" x14ac:dyDescent="0.2">
      <c r="A465" s="14" t="s">
        <v>581</v>
      </c>
      <c r="B465" s="3">
        <v>2010</v>
      </c>
      <c r="C465" s="5">
        <v>1971024029.29</v>
      </c>
      <c r="D465" s="63">
        <f>SUMPRODUCT(N(Tabela3[PAPEL]=Tabela2[[#This Row],[Ativo]]),Tabela3[Total Ações])</f>
        <v>1797086404</v>
      </c>
      <c r="E465" s="66">
        <f>(Tabela2[[#This Row],[Lucro Líquido]])/Tabela2[[#This Row],[Total Ações]]</f>
        <v>1.0967886824489046</v>
      </c>
      <c r="F465" s="66">
        <v>0</v>
      </c>
      <c r="G465" s="22" t="str">
        <f>IF(AND(Tabela2[[#This Row],[Dividendo / Ação]]&gt;0,Tabela2[[#This Row],[Lucro por ação]]&gt;0),Tabela2[[#This Row],[Dividendo / Ação]]/Tabela2[[#This Row],[Lucro por ação]],"")</f>
        <v/>
      </c>
      <c r="H465" s="51">
        <f>MAX(Tabela2[[#This Row],[Cotação 1]],Tabela2[[#This Row],[Cotação 2]])</f>
        <v>3.61</v>
      </c>
      <c r="I465" s="18" t="str">
        <f>IF(Tabela2[[#This Row],[Dividendo / Ação]]&gt;0,Tabela2[[#This Row],[Dividendo / Ação]]/Tabela2[[#This Row],[Cotação]],"")</f>
        <v/>
      </c>
      <c r="J465" s="7">
        <f>SUMPRODUCT(N(Tabela1[Código]=Tabela2[[#This Row],[Ativo]]),Tabela1[Fechamento])</f>
        <v>0</v>
      </c>
      <c r="K465" s="7">
        <f>SUMPRODUCT(N(Tabela17[Código]=Tabela2[[#This Row],[Ativo]]),Tabela17[Fechamento])</f>
        <v>3.61</v>
      </c>
    </row>
    <row r="466" spans="1:13" x14ac:dyDescent="0.2">
      <c r="A466" s="10" t="s">
        <v>582</v>
      </c>
      <c r="B466" s="3">
        <v>2010</v>
      </c>
      <c r="C466" s="5">
        <v>1971024029.29</v>
      </c>
      <c r="D466" s="63">
        <f>SUMPRODUCT(N(Tabela3[PAPEL]=Tabela2[[#This Row],[Ativo]]),Tabela3[Total Ações])</f>
        <v>1797086404</v>
      </c>
      <c r="E466" s="66">
        <f>(Tabela2[[#This Row],[Lucro Líquido]])/Tabela2[[#This Row],[Total Ações]]</f>
        <v>1.0967886824489046</v>
      </c>
      <c r="F466" s="66">
        <v>0</v>
      </c>
      <c r="G466" s="22" t="str">
        <f>IF(AND(Tabela2[[#This Row],[Dividendo / Ação]]&gt;0,Tabela2[[#This Row],[Lucro por ação]]&gt;0),Tabela2[[#This Row],[Dividendo / Ação]]/Tabela2[[#This Row],[Lucro por ação]],"")</f>
        <v/>
      </c>
      <c r="H466" s="51">
        <f>MAX(Tabela2[[#This Row],[Cotação 1]],Tabela2[[#This Row],[Cotação 2]])</f>
        <v>3.59</v>
      </c>
      <c r="I466" s="18" t="str">
        <f>IF(Tabela2[[#This Row],[Dividendo / Ação]]&gt;0,Tabela2[[#This Row],[Dividendo / Ação]]/Tabela2[[#This Row],[Cotação]],"")</f>
        <v/>
      </c>
      <c r="J466" s="7">
        <f>SUMPRODUCT(N(Tabela1[Código]=Tabela2[[#This Row],[Ativo]]),Tabela1[Fechamento])</f>
        <v>0</v>
      </c>
      <c r="K466" s="7">
        <f>SUMPRODUCT(N(Tabela17[Código]=Tabela2[[#This Row],[Ativo]]),Tabela17[Fechamento])</f>
        <v>3.59</v>
      </c>
    </row>
    <row r="467" spans="1:13" x14ac:dyDescent="0.2">
      <c r="A467" s="10" t="s">
        <v>590</v>
      </c>
      <c r="B467" s="3">
        <v>2012</v>
      </c>
      <c r="C467" s="5">
        <v>4453572915.3800001</v>
      </c>
      <c r="D467" s="63">
        <f>SUMPRODUCT(N(Tabela3[PAPEL]=Tabela2[[#This Row],[Ativo]]),Tabela3[Total Ações])</f>
        <v>1125601930</v>
      </c>
      <c r="E467" s="66">
        <f>(Tabela2[[#This Row],[Lucro Líquido]])/Tabela2[[#This Row],[Total Ações]]</f>
        <v>3.9566144981467826</v>
      </c>
      <c r="F467" s="66">
        <v>3.566950672031</v>
      </c>
      <c r="G467" s="22">
        <f>IF(AND(Tabela2[[#This Row],[Dividendo / Ação]]&gt;0,Tabela2[[#This Row],[Lucro por ação]]&gt;0),Tabela2[[#This Row],[Dividendo / Ação]]/Tabela2[[#This Row],[Lucro por ação]],"")</f>
        <v>0.90151584737449275</v>
      </c>
      <c r="H467" s="51">
        <f>MAX(Tabela2[[#This Row],[Cotação 1]],Tabela2[[#This Row],[Cotação 2]])</f>
        <v>40</v>
      </c>
      <c r="I467" s="18">
        <f>IF(Tabela2[[#This Row],[Dividendo / Ação]]&gt;0,Tabela2[[#This Row],[Dividendo / Ação]]/Tabela2[[#This Row],[Cotação]],"")</f>
        <v>8.9173766800775003E-2</v>
      </c>
      <c r="J467" s="7">
        <f>SUMPRODUCT(N(Tabela1[Código]=Tabela2[[#This Row],[Ativo]]),Tabela1[Fechamento])</f>
        <v>0</v>
      </c>
      <c r="K467" s="7">
        <f>SUMPRODUCT(N(Tabela17[Código]=Tabela2[[#This Row],[Ativo]]),Tabela17[Fechamento])</f>
        <v>40</v>
      </c>
    </row>
    <row r="468" spans="1:13" x14ac:dyDescent="0.2">
      <c r="A468" s="10" t="s">
        <v>591</v>
      </c>
      <c r="B468" s="3">
        <v>2012</v>
      </c>
      <c r="C468" s="5">
        <v>4453572915.3800001</v>
      </c>
      <c r="D468" s="63">
        <f>SUMPRODUCT(N(Tabela3[PAPEL]=Tabela2[[#This Row],[Ativo]]),Tabela3[Total Ações])</f>
        <v>1125601930</v>
      </c>
      <c r="E468" s="66">
        <f>(Tabela2[[#This Row],[Lucro Líquido]])/Tabela2[[#This Row],[Total Ações]]</f>
        <v>3.9566144981467826</v>
      </c>
      <c r="F468" s="66">
        <v>3.9236457392339998</v>
      </c>
      <c r="G468" s="22">
        <f>IF(AND(Tabela2[[#This Row],[Dividendo / Ação]]&gt;0,Tabela2[[#This Row],[Lucro por ação]]&gt;0),Tabela2[[#This Row],[Dividendo / Ação]]/Tabela2[[#This Row],[Lucro por ação]],"")</f>
        <v>0.99166743211191666</v>
      </c>
      <c r="H468" s="51">
        <f>MAX(Tabela2[[#This Row],[Cotação 1]],Tabela2[[#This Row],[Cotação 2]])</f>
        <v>44.83</v>
      </c>
      <c r="I468" s="18">
        <f>IF(Tabela2[[#This Row],[Dividendo / Ação]]&gt;0,Tabela2[[#This Row],[Dividendo / Ação]]/Tabela2[[#This Row],[Cotação]],"")</f>
        <v>8.7522769110729426E-2</v>
      </c>
      <c r="J468" s="7">
        <f>SUMPRODUCT(N(Tabela1[Código]=Tabela2[[#This Row],[Ativo]]),Tabela1[Fechamento])</f>
        <v>0</v>
      </c>
      <c r="K468" s="7">
        <f>SUMPRODUCT(N(Tabela17[Código]=Tabela2[[#This Row],[Ativo]]),Tabela17[Fechamento])</f>
        <v>44.83</v>
      </c>
      <c r="M468" s="76"/>
    </row>
    <row r="469" spans="1:13" x14ac:dyDescent="0.2">
      <c r="A469" s="10" t="s">
        <v>590</v>
      </c>
      <c r="B469" s="3">
        <v>2011</v>
      </c>
      <c r="C469" s="5">
        <v>4091563016</v>
      </c>
      <c r="D469" s="63">
        <f>SUMPRODUCT(N(Tabela3[PAPEL]=Tabela2[[#This Row],[Ativo]]),Tabela3[Total Ações])</f>
        <v>1125601930</v>
      </c>
      <c r="E469" s="66">
        <f>(Tabela2[[#This Row],[Lucro Líquido]])/Tabela2[[#This Row],[Total Ações]]</f>
        <v>3.6350000003997862</v>
      </c>
      <c r="F469" s="66">
        <v>3.5070000000000001</v>
      </c>
      <c r="G469" s="22">
        <f>IF(AND(Tabela2[[#This Row],[Dividendo / Ação]]&gt;0,Tabela2[[#This Row],[Lucro por ação]]&gt;0),Tabela2[[#This Row],[Dividendo / Ação]]/Tabela2[[#This Row],[Lucro por ação]],"")</f>
        <v>0.96478679494203345</v>
      </c>
      <c r="H469" s="51">
        <f>MAX(Tabela2[[#This Row],[Cotação 1]],Tabela2[[#This Row],[Cotação 2]])</f>
        <v>40</v>
      </c>
      <c r="I469" s="18">
        <f>IF(Tabela2[[#This Row],[Dividendo / Ação]]&gt;0,Tabela2[[#This Row],[Dividendo / Ação]]/Tabela2[[#This Row],[Cotação]],"")</f>
        <v>8.7675000000000003E-2</v>
      </c>
      <c r="J469" s="7">
        <f>SUMPRODUCT(N(Tabela1[Código]=Tabela2[[#This Row],[Ativo]]),Tabela1[Fechamento])</f>
        <v>0</v>
      </c>
      <c r="K469" s="7">
        <f>SUMPRODUCT(N(Tabela17[Código]=Tabela2[[#This Row],[Ativo]]),Tabela17[Fechamento])</f>
        <v>40</v>
      </c>
    </row>
    <row r="470" spans="1:13" x14ac:dyDescent="0.2">
      <c r="A470" s="10" t="s">
        <v>591</v>
      </c>
      <c r="B470" s="3">
        <v>2011</v>
      </c>
      <c r="C470" s="5">
        <v>4091563016</v>
      </c>
      <c r="D470" s="63">
        <f>SUMPRODUCT(N(Tabela3[PAPEL]=Tabela2[[#This Row],[Ativo]]),Tabela3[Total Ações])</f>
        <v>1125601930</v>
      </c>
      <c r="E470" s="66">
        <f>(Tabela2[[#This Row],[Lucro Líquido]])/Tabela2[[#This Row],[Total Ações]]</f>
        <v>3.6350000003997862</v>
      </c>
      <c r="F470" s="66">
        <v>3.8576999999999999</v>
      </c>
      <c r="G470" s="22">
        <f>IF(AND(Tabela2[[#This Row],[Dividendo / Ação]]&gt;0,Tabela2[[#This Row],[Lucro por ação]]&gt;0),Tabela2[[#This Row],[Dividendo / Ação]]/Tabela2[[#This Row],[Lucro por ação]],"")</f>
        <v>1.0612654744362366</v>
      </c>
      <c r="H470" s="51">
        <f>MAX(Tabela2[[#This Row],[Cotação 1]],Tabela2[[#This Row],[Cotação 2]])</f>
        <v>44.83</v>
      </c>
      <c r="I470" s="18">
        <f>IF(Tabela2[[#This Row],[Dividendo / Ação]]&gt;0,Tabela2[[#This Row],[Dividendo / Ação]]/Tabela2[[#This Row],[Cotação]],"")</f>
        <v>8.6051751059558326E-2</v>
      </c>
      <c r="J470" s="7">
        <f>SUMPRODUCT(N(Tabela1[Código]=Tabela2[[#This Row],[Ativo]]),Tabela1[Fechamento])</f>
        <v>0</v>
      </c>
      <c r="K470" s="7">
        <f>SUMPRODUCT(N(Tabela17[Código]=Tabela2[[#This Row],[Ativo]]),Tabela17[Fechamento])</f>
        <v>44.83</v>
      </c>
    </row>
    <row r="471" spans="1:13" x14ac:dyDescent="0.2">
      <c r="A471" s="10" t="s">
        <v>590</v>
      </c>
      <c r="B471" s="3">
        <v>2010</v>
      </c>
      <c r="C471" s="5">
        <v>5004201060</v>
      </c>
      <c r="D471" s="63">
        <f>SUMPRODUCT(N(Tabela3[PAPEL]=Tabela2[[#This Row],[Ativo]]),Tabela3[Total Ações])</f>
        <v>1125601930</v>
      </c>
      <c r="E471" s="66">
        <f>(Tabela2[[#This Row],[Lucro Líquido]])/Tabela2[[#This Row],[Total Ações]]</f>
        <v>4.4457999996499646</v>
      </c>
      <c r="F471" s="66">
        <v>4.6006999999999998</v>
      </c>
      <c r="G471" s="22">
        <f>IF(AND(Tabela2[[#This Row],[Dividendo / Ação]]&gt;0,Tabela2[[#This Row],[Lucro por ação]]&gt;0),Tabela2[[#This Row],[Dividendo / Ação]]/Tabela2[[#This Row],[Lucro por ação]],"")</f>
        <v>1.0348418733101423</v>
      </c>
      <c r="H471" s="51">
        <f>MAX(Tabela2[[#This Row],[Cotação 1]],Tabela2[[#This Row],[Cotação 2]])</f>
        <v>40</v>
      </c>
      <c r="I471" s="18">
        <f>IF(Tabela2[[#This Row],[Dividendo / Ação]]&gt;0,Tabela2[[#This Row],[Dividendo / Ação]]/Tabela2[[#This Row],[Cotação]],"")</f>
        <v>0.11501749999999999</v>
      </c>
      <c r="J471" s="7">
        <f>SUMPRODUCT(N(Tabela1[Código]=Tabela2[[#This Row],[Ativo]]),Tabela1[Fechamento])</f>
        <v>0</v>
      </c>
      <c r="K471" s="7">
        <f>SUMPRODUCT(N(Tabela17[Código]=Tabela2[[#This Row],[Ativo]]),Tabela17[Fechamento])</f>
        <v>40</v>
      </c>
    </row>
    <row r="472" spans="1:13" x14ac:dyDescent="0.2">
      <c r="A472" s="10" t="s">
        <v>591</v>
      </c>
      <c r="B472" s="3">
        <v>2010</v>
      </c>
      <c r="C472" s="5">
        <v>5004201060</v>
      </c>
      <c r="D472" s="63">
        <f>SUMPRODUCT(N(Tabela3[PAPEL]=Tabela2[[#This Row],[Ativo]]),Tabela3[Total Ações])</f>
        <v>1125601930</v>
      </c>
      <c r="E472" s="66">
        <f>(Tabela2[[#This Row],[Lucro Líquido]])/Tabela2[[#This Row],[Total Ações]]</f>
        <v>4.4457999996499646</v>
      </c>
      <c r="F472" s="66">
        <v>5.0608000000000004</v>
      </c>
      <c r="G472" s="22">
        <f>IF(AND(Tabela2[[#This Row],[Dividendo / Ação]]&gt;0,Tabela2[[#This Row],[Lucro por ação]]&gt;0),Tabela2[[#This Row],[Dividendo / Ação]]/Tabela2[[#This Row],[Lucro por ação]],"")</f>
        <v>1.1383328085830351</v>
      </c>
      <c r="H472" s="51">
        <f>MAX(Tabela2[[#This Row],[Cotação 1]],Tabela2[[#This Row],[Cotação 2]])</f>
        <v>44.83</v>
      </c>
      <c r="I472" s="18">
        <f>IF(Tabela2[[#This Row],[Dividendo / Ação]]&gt;0,Tabela2[[#This Row],[Dividendo / Ação]]/Tabela2[[#This Row],[Cotação]],"")</f>
        <v>0.11288869060896722</v>
      </c>
      <c r="J472" s="7">
        <f>SUMPRODUCT(N(Tabela1[Código]=Tabela2[[#This Row],[Ativo]]),Tabela1[Fechamento])</f>
        <v>0</v>
      </c>
      <c r="K472" s="7">
        <f>SUMPRODUCT(N(Tabela17[Código]=Tabela2[[#This Row],[Ativo]]),Tabela17[Fechamento])</f>
        <v>44.83</v>
      </c>
    </row>
    <row r="473" spans="1:13" x14ac:dyDescent="0.2">
      <c r="A473" s="10" t="s">
        <v>590</v>
      </c>
      <c r="B473" s="3">
        <v>2009</v>
      </c>
      <c r="C473" s="5">
        <v>4597971324</v>
      </c>
      <c r="D473" s="63">
        <f>SUMPRODUCT(N(Tabela3[PAPEL]=Tabela2[[#This Row],[Ativo]]),Tabela3[Total Ações])</f>
        <v>1125601930</v>
      </c>
      <c r="E473" s="66">
        <f>(Tabela2[[#This Row],[Lucro Líquido]])/Tabela2[[#This Row],[Total Ações]]</f>
        <v>4.0849000001270435</v>
      </c>
      <c r="F473" s="66">
        <v>4.3120000000000003</v>
      </c>
      <c r="G473" s="22">
        <f>IF(AND(Tabela2[[#This Row],[Dividendo / Ação]]&gt;0,Tabela2[[#This Row],[Lucro por ação]]&gt;0),Tabela2[[#This Row],[Dividendo / Ação]]/Tabela2[[#This Row],[Lucro por ação]],"")</f>
        <v>1.0555949961727078</v>
      </c>
      <c r="H473" s="51">
        <f>MAX(Tabela2[[#This Row],[Cotação 1]],Tabela2[[#This Row],[Cotação 2]])</f>
        <v>40</v>
      </c>
      <c r="I473" s="18">
        <f>IF(Tabela2[[#This Row],[Dividendo / Ação]]&gt;0,Tabela2[[#This Row],[Dividendo / Ação]]/Tabela2[[#This Row],[Cotação]],"")</f>
        <v>0.10780000000000001</v>
      </c>
      <c r="J473" s="7">
        <f>SUMPRODUCT(N(Tabela1[Código]=Tabela2[[#This Row],[Ativo]]),Tabela1[Fechamento])</f>
        <v>0</v>
      </c>
      <c r="K473" s="7">
        <f>SUMPRODUCT(N(Tabela17[Código]=Tabela2[[#This Row],[Ativo]]),Tabela17[Fechamento])</f>
        <v>40</v>
      </c>
    </row>
    <row r="474" spans="1:13" x14ac:dyDescent="0.2">
      <c r="A474" s="10" t="s">
        <v>591</v>
      </c>
      <c r="B474" s="3">
        <v>2009</v>
      </c>
      <c r="C474" s="5">
        <v>4597971324</v>
      </c>
      <c r="D474" s="63">
        <f>SUMPRODUCT(N(Tabela3[PAPEL]=Tabela2[[#This Row],[Ativo]]),Tabela3[Total Ações])</f>
        <v>1125601930</v>
      </c>
      <c r="E474" s="66">
        <f>(Tabela2[[#This Row],[Lucro Líquido]])/Tabela2[[#This Row],[Total Ações]]</f>
        <v>4.0849000001270435</v>
      </c>
      <c r="F474" s="66">
        <v>4.7431999999999999</v>
      </c>
      <c r="G474" s="22">
        <f>IF(AND(Tabela2[[#This Row],[Dividendo / Ação]]&gt;0,Tabela2[[#This Row],[Lucro por ação]]&gt;0),Tabela2[[#This Row],[Dividendo / Ação]]/Tabela2[[#This Row],[Lucro por ação]],"")</f>
        <v>1.1611544957899784</v>
      </c>
      <c r="H474" s="51">
        <f>MAX(Tabela2[[#This Row],[Cotação 1]],Tabela2[[#This Row],[Cotação 2]])</f>
        <v>44.83</v>
      </c>
      <c r="I474" s="18">
        <f>IF(Tabela2[[#This Row],[Dividendo / Ação]]&gt;0,Tabela2[[#This Row],[Dividendo / Ação]]/Tabela2[[#This Row],[Cotação]],"")</f>
        <v>0.10580414900736114</v>
      </c>
      <c r="J474" s="7">
        <f>SUMPRODUCT(N(Tabela1[Código]=Tabela2[[#This Row],[Ativo]]),Tabela1[Fechamento])</f>
        <v>0</v>
      </c>
      <c r="K474" s="7">
        <f>SUMPRODUCT(N(Tabela17[Código]=Tabela2[[#This Row],[Ativo]]),Tabela17[Fechamento])</f>
        <v>44.83</v>
      </c>
    </row>
    <row r="475" spans="1:13" x14ac:dyDescent="0.2">
      <c r="A475" s="10" t="s">
        <v>600</v>
      </c>
      <c r="B475" s="3">
        <v>2012</v>
      </c>
      <c r="C475" s="5">
        <v>476737173.38</v>
      </c>
      <c r="D475" s="63">
        <f>SUMPRODUCT(N(Tabela3[PAPEL]=Tabela2[[#This Row],[Ativo]]),Tabela3[Total Ações])</f>
        <v>349547945</v>
      </c>
      <c r="E475" s="66">
        <f>(Tabela2[[#This Row],[Lucro Líquido]])/Tabela2[[#This Row],[Total Ações]]</f>
        <v>1.3638677617744255</v>
      </c>
      <c r="F475" s="66">
        <v>0.59109131800000003</v>
      </c>
      <c r="G475" s="22">
        <f>IF(AND(Tabela2[[#This Row],[Dividendo / Ação]]&gt;0,Tabela2[[#This Row],[Lucro por ação]]&gt;0),Tabela2[[#This Row],[Dividendo / Ação]]/Tabela2[[#This Row],[Lucro por ação]],"")</f>
        <v>0.43339342315047885</v>
      </c>
      <c r="H475" s="51">
        <f>MAX(Tabela2[[#This Row],[Cotação 1]],Tabela2[[#This Row],[Cotação 2]])</f>
        <v>20.3</v>
      </c>
      <c r="I475" s="18">
        <f>IF(Tabela2[[#This Row],[Dividendo / Ação]]&gt;0,Tabela2[[#This Row],[Dividendo / Ação]]/Tabela2[[#This Row],[Cotação]],"")</f>
        <v>2.9117798916256158E-2</v>
      </c>
      <c r="J475" s="7">
        <f>SUMPRODUCT(N(Tabela1[Código]=Tabela2[[#This Row],[Ativo]]),Tabela1[Fechamento])</f>
        <v>0</v>
      </c>
      <c r="K475" s="7">
        <f>SUMPRODUCT(N(Tabela17[Código]=Tabela2[[#This Row],[Ativo]]),Tabela17[Fechamento])</f>
        <v>20.3</v>
      </c>
    </row>
    <row r="476" spans="1:13" x14ac:dyDescent="0.2">
      <c r="A476" s="10" t="s">
        <v>601</v>
      </c>
      <c r="B476" s="3">
        <v>2012</v>
      </c>
      <c r="C476" s="5">
        <v>476737173.38</v>
      </c>
      <c r="D476" s="63">
        <f>SUMPRODUCT(N(Tabela3[PAPEL]=Tabela2[[#This Row],[Ativo]]),Tabela3[Total Ações])</f>
        <v>349547945</v>
      </c>
      <c r="E476" s="66">
        <f>(Tabela2[[#This Row],[Lucro Líquido]])/Tabela2[[#This Row],[Total Ações]]</f>
        <v>1.3638677617744255</v>
      </c>
      <c r="F476" s="66">
        <v>0.65020045000000004</v>
      </c>
      <c r="G476" s="22">
        <f>IF(AND(Tabela2[[#This Row],[Dividendo / Ação]]&gt;0,Tabela2[[#This Row],[Lucro por ação]]&gt;0),Tabela2[[#This Row],[Dividendo / Ação]]/Tabela2[[#This Row],[Lucro por ação]],"")</f>
        <v>0.47673276561216849</v>
      </c>
      <c r="H476" s="51">
        <f>MAX(Tabela2[[#This Row],[Cotação 1]],Tabela2[[#This Row],[Cotação 2]])</f>
        <v>25.08</v>
      </c>
      <c r="I476" s="18">
        <f>IF(Tabela2[[#This Row],[Dividendo / Ação]]&gt;0,Tabela2[[#This Row],[Dividendo / Ação]]/Tabela2[[#This Row],[Cotação]],"")</f>
        <v>2.592505781499203E-2</v>
      </c>
      <c r="J476" s="7">
        <f>SUMPRODUCT(N(Tabela1[Código]=Tabela2[[#This Row],[Ativo]]),Tabela1[Fechamento])</f>
        <v>0</v>
      </c>
      <c r="K476" s="7">
        <f>SUMPRODUCT(N(Tabela17[Código]=Tabela2[[#This Row],[Ativo]]),Tabela17[Fechamento])</f>
        <v>25.08</v>
      </c>
      <c r="M476" s="71"/>
    </row>
    <row r="477" spans="1:13" x14ac:dyDescent="0.2">
      <c r="A477" s="10" t="s">
        <v>600</v>
      </c>
      <c r="B477" s="3">
        <v>2011</v>
      </c>
      <c r="C477" s="5">
        <v>2023882601.55</v>
      </c>
      <c r="D477" s="63">
        <f>SUMPRODUCT(N(Tabela3[PAPEL]=Tabela2[[#This Row],[Ativo]]),Tabela3[Total Ações])</f>
        <v>349547945</v>
      </c>
      <c r="E477" s="66">
        <f>(Tabela2[[#This Row],[Lucro Líquido]])/Tabela2[[#This Row],[Total Ações]]</f>
        <v>5.79</v>
      </c>
      <c r="F477" s="66">
        <v>1.7780234450000001</v>
      </c>
      <c r="G477" s="22">
        <f>IF(AND(Tabela2[[#This Row],[Dividendo / Ação]]&gt;0,Tabela2[[#This Row],[Lucro por ação]]&gt;0),Tabela2[[#This Row],[Dividendo / Ação]]/Tabela2[[#This Row],[Lucro por ação]],"")</f>
        <v>0.30708522366148533</v>
      </c>
      <c r="H477" s="51">
        <f>MAX(Tabela2[[#This Row],[Cotação 1]],Tabela2[[#This Row],[Cotação 2]])</f>
        <v>20.3</v>
      </c>
      <c r="I477" s="18">
        <f>IF(Tabela2[[#This Row],[Dividendo / Ação]]&gt;0,Tabela2[[#This Row],[Dividendo / Ação]]/Tabela2[[#This Row],[Cotação]],"")</f>
        <v>8.7587361822660095E-2</v>
      </c>
      <c r="J477" s="7">
        <f>SUMPRODUCT(N(Tabela1[Código]=Tabela2[[#This Row],[Ativo]]),Tabela1[Fechamento])</f>
        <v>0</v>
      </c>
      <c r="K477" s="7">
        <f>SUMPRODUCT(N(Tabela17[Código]=Tabela2[[#This Row],[Ativo]]),Tabela17[Fechamento])</f>
        <v>20.3</v>
      </c>
    </row>
    <row r="478" spans="1:13" x14ac:dyDescent="0.2">
      <c r="A478" s="10" t="s">
        <v>601</v>
      </c>
      <c r="B478" s="3">
        <v>2011</v>
      </c>
      <c r="C478" s="5">
        <v>2023882601.55</v>
      </c>
      <c r="D478" s="63">
        <f>SUMPRODUCT(N(Tabela3[PAPEL]=Tabela2[[#This Row],[Ativo]]),Tabela3[Total Ações])</f>
        <v>349547945</v>
      </c>
      <c r="E478" s="66">
        <f>(Tabela2[[#This Row],[Lucro Líquido]])/Tabela2[[#This Row],[Total Ações]]</f>
        <v>5.79</v>
      </c>
      <c r="F478" s="66">
        <v>1.955825792</v>
      </c>
      <c r="G478" s="22">
        <f>IF(AND(Tabela2[[#This Row],[Dividendo / Ação]]&gt;0,Tabela2[[#This Row],[Lucro por ação]]&gt;0),Tabela2[[#This Row],[Dividendo / Ação]]/Tabela2[[#This Row],[Lucro por ação]],"")</f>
        <v>0.33779374645941279</v>
      </c>
      <c r="H478" s="51">
        <f>MAX(Tabela2[[#This Row],[Cotação 1]],Tabela2[[#This Row],[Cotação 2]])</f>
        <v>25.08</v>
      </c>
      <c r="I478" s="18">
        <f>IF(Tabela2[[#This Row],[Dividendo / Ação]]&gt;0,Tabela2[[#This Row],[Dividendo / Ação]]/Tabela2[[#This Row],[Cotação]],"")</f>
        <v>7.7983484529505584E-2</v>
      </c>
      <c r="J478" s="7">
        <f>SUMPRODUCT(N(Tabela1[Código]=Tabela2[[#This Row],[Ativo]]),Tabela1[Fechamento])</f>
        <v>0</v>
      </c>
      <c r="K478" s="7">
        <f>SUMPRODUCT(N(Tabela17[Código]=Tabela2[[#This Row],[Ativo]]),Tabela17[Fechamento])</f>
        <v>25.08</v>
      </c>
    </row>
    <row r="479" spans="1:13" x14ac:dyDescent="0.2">
      <c r="A479" s="10" t="s">
        <v>600</v>
      </c>
      <c r="B479" s="3">
        <v>2010</v>
      </c>
      <c r="C479" s="5">
        <v>1758226163.3499999</v>
      </c>
      <c r="D479" s="63">
        <f>SUMPRODUCT(N(Tabela3[PAPEL]=Tabela2[[#This Row],[Ativo]]),Tabela3[Total Ações])</f>
        <v>349547945</v>
      </c>
      <c r="E479" s="66">
        <f>(Tabela2[[#This Row],[Lucro Líquido]])/Tabela2[[#This Row],[Total Ações]]</f>
        <v>5.0299999999999994</v>
      </c>
      <c r="F479" s="66">
        <v>1.5299646339999999</v>
      </c>
      <c r="G479" s="22">
        <f>IF(AND(Tabela2[[#This Row],[Dividendo / Ação]]&gt;0,Tabela2[[#This Row],[Lucro por ação]]&gt;0),Tabela2[[#This Row],[Dividendo / Ação]]/Tabela2[[#This Row],[Lucro por ação]],"")</f>
        <v>0.30416791928429426</v>
      </c>
      <c r="H479" s="51">
        <f>MAX(Tabela2[[#This Row],[Cotação 1]],Tabela2[[#This Row],[Cotação 2]])</f>
        <v>20.3</v>
      </c>
      <c r="I479" s="18">
        <f>IF(Tabela2[[#This Row],[Dividendo / Ação]]&gt;0,Tabela2[[#This Row],[Dividendo / Ação]]/Tabela2[[#This Row],[Cotação]],"")</f>
        <v>7.5367715960591122E-2</v>
      </c>
      <c r="J479" s="7">
        <f>SUMPRODUCT(N(Tabela1[Código]=Tabela2[[#This Row],[Ativo]]),Tabela1[Fechamento])</f>
        <v>0</v>
      </c>
      <c r="K479" s="7">
        <f>SUMPRODUCT(N(Tabela17[Código]=Tabela2[[#This Row],[Ativo]]),Tabela17[Fechamento])</f>
        <v>20.3</v>
      </c>
    </row>
    <row r="480" spans="1:13" x14ac:dyDescent="0.2">
      <c r="A480" s="10" t="s">
        <v>601</v>
      </c>
      <c r="B480" s="3">
        <v>2010</v>
      </c>
      <c r="C480" s="5">
        <v>1758226163.3499999</v>
      </c>
      <c r="D480" s="63">
        <f>SUMPRODUCT(N(Tabela3[PAPEL]=Tabela2[[#This Row],[Ativo]]),Tabela3[Total Ações])</f>
        <v>349547945</v>
      </c>
      <c r="E480" s="66">
        <f>(Tabela2[[#This Row],[Lucro Líquido]])/Tabela2[[#This Row],[Total Ações]]</f>
        <v>5.0299999999999994</v>
      </c>
      <c r="F480" s="66">
        <v>1.6829611</v>
      </c>
      <c r="G480" s="22">
        <f>IF(AND(Tabela2[[#This Row],[Dividendo / Ação]]&gt;0,Tabela2[[#This Row],[Lucro por ação]]&gt;0),Tabela2[[#This Row],[Dividendo / Ação]]/Tabela2[[#This Row],[Lucro por ação]],"")</f>
        <v>0.33458471172962229</v>
      </c>
      <c r="H480" s="51">
        <f>MAX(Tabela2[[#This Row],[Cotação 1]],Tabela2[[#This Row],[Cotação 2]])</f>
        <v>25.08</v>
      </c>
      <c r="I480" s="18">
        <f>IF(Tabela2[[#This Row],[Dividendo / Ação]]&gt;0,Tabela2[[#This Row],[Dividendo / Ação]]/Tabela2[[#This Row],[Cotação]],"")</f>
        <v>6.710371212121212E-2</v>
      </c>
      <c r="J480" s="7">
        <f>SUMPRODUCT(N(Tabela1[Código]=Tabela2[[#This Row],[Ativo]]),Tabela1[Fechamento])</f>
        <v>0</v>
      </c>
      <c r="K480" s="7">
        <f>SUMPRODUCT(N(Tabela17[Código]=Tabela2[[#This Row],[Ativo]]),Tabela17[Fechamento])</f>
        <v>25.08</v>
      </c>
    </row>
    <row r="481" spans="1:13" x14ac:dyDescent="0.2">
      <c r="A481" s="10" t="s">
        <v>600</v>
      </c>
      <c r="B481" s="3">
        <v>2009</v>
      </c>
      <c r="C481" s="5">
        <v>961256848.75</v>
      </c>
      <c r="D481" s="68">
        <f>SUMPRODUCT(N(Tabela3[PAPEL]=Tabela2[[#This Row],[Ativo]]),Tabela3[Total Ações])</f>
        <v>349547945</v>
      </c>
      <c r="E481" s="66">
        <f>(Tabela2[[#This Row],[Lucro Líquido]])/Tabela2[[#This Row],[Total Ações]]</f>
        <v>2.75</v>
      </c>
      <c r="F481" s="66">
        <v>0.86687395199999995</v>
      </c>
      <c r="G481" s="78">
        <f>IF(AND(Tabela2[[#This Row],[Dividendo / Ação]]&gt;0,Tabela2[[#This Row],[Lucro por ação]]&gt;0),Tabela2[[#This Row],[Dividendo / Ação]]/Tabela2[[#This Row],[Lucro por ação]],"")</f>
        <v>0.31522689163636364</v>
      </c>
      <c r="H481" s="61">
        <f>MAX(Tabela2[[#This Row],[Cotação 1]],Tabela2[[#This Row],[Cotação 2]])</f>
        <v>20.3</v>
      </c>
      <c r="I481" s="22">
        <f>IF(Tabela2[[#This Row],[Dividendo / Ação]]&gt;0,Tabela2[[#This Row],[Dividendo / Ação]]/Tabela2[[#This Row],[Cotação]],"")</f>
        <v>4.2703150344827585E-2</v>
      </c>
      <c r="J481" s="7">
        <f>SUMPRODUCT(N(Tabela1[Código]=Tabela2[[#This Row],[Ativo]]),Tabela1[Fechamento])</f>
        <v>0</v>
      </c>
      <c r="K481" s="7">
        <f>SUMPRODUCT(N(Tabela17[Código]=Tabela2[[#This Row],[Ativo]]),Tabela17[Fechamento])</f>
        <v>20.3</v>
      </c>
    </row>
    <row r="482" spans="1:13" x14ac:dyDescent="0.2">
      <c r="A482" s="10" t="s">
        <v>601</v>
      </c>
      <c r="B482" s="3">
        <v>2009</v>
      </c>
      <c r="C482" s="5">
        <v>961256848.75</v>
      </c>
      <c r="D482" s="68">
        <f>SUMPRODUCT(N(Tabela3[PAPEL]=Tabela2[[#This Row],[Ativo]]),Tabela3[Total Ações])</f>
        <v>349547945</v>
      </c>
      <c r="E482" s="66">
        <f>(Tabela2[[#This Row],[Lucro Líquido]])/Tabela2[[#This Row],[Total Ações]]</f>
        <v>2.75</v>
      </c>
      <c r="F482" s="66">
        <v>0.953561349</v>
      </c>
      <c r="G482" s="78">
        <f>IF(AND(Tabela2[[#This Row],[Dividendo / Ação]]&gt;0,Tabela2[[#This Row],[Lucro por ação]]&gt;0),Tabela2[[#This Row],[Dividendo / Ação]]/Tabela2[[#This Row],[Lucro por ação]],"")</f>
        <v>0.34674958145454543</v>
      </c>
      <c r="H482" s="61">
        <f>MAX(Tabela2[[#This Row],[Cotação 1]],Tabela2[[#This Row],[Cotação 2]])</f>
        <v>25.08</v>
      </c>
      <c r="I482" s="22">
        <f>IF(Tabela2[[#This Row],[Dividendo / Ação]]&gt;0,Tabela2[[#This Row],[Dividendo / Ação]]/Tabela2[[#This Row],[Cotação]],"")</f>
        <v>3.8020787440191391E-2</v>
      </c>
      <c r="J482" s="7">
        <f>SUMPRODUCT(N(Tabela1[Código]=Tabela2[[#This Row],[Ativo]]),Tabela1[Fechamento])</f>
        <v>0</v>
      </c>
      <c r="K482" s="7">
        <f>SUMPRODUCT(N(Tabela17[Código]=Tabela2[[#This Row],[Ativo]]),Tabela17[Fechamento])</f>
        <v>25.08</v>
      </c>
    </row>
    <row r="483" spans="1:13" x14ac:dyDescent="0.2">
      <c r="A483" s="3" t="s">
        <v>616</v>
      </c>
      <c r="B483" s="3">
        <v>2012</v>
      </c>
      <c r="C483" s="5">
        <v>645407.11</v>
      </c>
      <c r="D483" s="68">
        <f>SUMPRODUCT(N(Tabela3[PAPEL]=Tabela2[[#This Row],[Ativo]]),Tabela3[Total Ações])</f>
        <v>9133687</v>
      </c>
      <c r="E483" s="66">
        <f>(Tabela2[[#This Row],[Lucro Líquido]])/Tabela2[[#This Row],[Total Ações]]</f>
        <v>7.0662275814794173E-2</v>
      </c>
      <c r="F483" s="66">
        <v>1.3493369900000001</v>
      </c>
      <c r="G483" s="78">
        <f>IF(AND(Tabela2[[#This Row],[Dividendo / Ação]]&gt;0,Tabela2[[#This Row],[Lucro por ação]]&gt;0),Tabela2[[#This Row],[Dividendo / Ação]]/Tabela2[[#This Row],[Lucro por ação]],"")</f>
        <v>19.095577865856068</v>
      </c>
      <c r="H483" s="61">
        <f>MAX(Tabela2[[#This Row],[Cotação 1]],Tabela2[[#This Row],[Cotação 2]])</f>
        <v>15.8</v>
      </c>
      <c r="I483" s="22">
        <f>IF(Tabela2[[#This Row],[Dividendo / Ação]]&gt;0,Tabela2[[#This Row],[Dividendo / Ação]]/Tabela2[[#This Row],[Cotação]],"")</f>
        <v>8.5401075316455702E-2</v>
      </c>
      <c r="J483" s="7">
        <f>SUMPRODUCT(N(Tabela1[Código]=Tabela2[[#This Row],[Ativo]]),Tabela1[Fechamento])</f>
        <v>0</v>
      </c>
      <c r="K483" s="7">
        <f>SUMPRODUCT(N(Tabela17[Código]=Tabela2[[#This Row],[Ativo]]),Tabela17[Fechamento])</f>
        <v>15.8</v>
      </c>
    </row>
    <row r="484" spans="1:13" x14ac:dyDescent="0.2">
      <c r="A484" s="3" t="s">
        <v>616</v>
      </c>
      <c r="B484" s="3">
        <v>2011</v>
      </c>
      <c r="C484" s="5">
        <v>9737000</v>
      </c>
      <c r="D484" s="68">
        <f>SUMPRODUCT(N(Tabela3[PAPEL]=Tabela2[[#This Row],[Ativo]]),Tabela3[Total Ações])</f>
        <v>9133687</v>
      </c>
      <c r="E484" s="66">
        <f>(Tabela2[[#This Row],[Lucro Líquido]])/Tabela2[[#This Row],[Total Ações]]</f>
        <v>1.0660536101138565</v>
      </c>
      <c r="F484" s="66">
        <v>0.91752482999999996</v>
      </c>
      <c r="G484" s="78">
        <f>IF(AND(Tabela2[[#This Row],[Dividendo / Ação]]&gt;0,Tabela2[[#This Row],[Lucro por ação]]&gt;0),Tabela2[[#This Row],[Dividendo / Ação]]/Tabela2[[#This Row],[Lucro por ação]],"")</f>
        <v>0.86067419245642496</v>
      </c>
      <c r="H484" s="61">
        <f>MAX(Tabela2[[#This Row],[Cotação 1]],Tabela2[[#This Row],[Cotação 2]])</f>
        <v>15.8</v>
      </c>
      <c r="I484" s="22">
        <f>IF(Tabela2[[#This Row],[Dividendo / Ação]]&gt;0,Tabela2[[#This Row],[Dividendo / Ação]]/Tabela2[[#This Row],[Cotação]],"")</f>
        <v>5.8071191772151892E-2</v>
      </c>
      <c r="J484" s="7">
        <f>SUMPRODUCT(N(Tabela1[Código]=Tabela2[[#This Row],[Ativo]]),Tabela1[Fechamento])</f>
        <v>0</v>
      </c>
      <c r="K484" s="7">
        <f>SUMPRODUCT(N(Tabela17[Código]=Tabela2[[#This Row],[Ativo]]),Tabela17[Fechamento])</f>
        <v>15.8</v>
      </c>
    </row>
    <row r="485" spans="1:13" x14ac:dyDescent="0.2">
      <c r="A485" s="3" t="s">
        <v>616</v>
      </c>
      <c r="B485" s="3">
        <v>2010</v>
      </c>
      <c r="C485" s="5">
        <v>18645000</v>
      </c>
      <c r="D485" s="68">
        <f>SUMPRODUCT(N(Tabela3[PAPEL]=Tabela2[[#This Row],[Ativo]]),Tabela3[Total Ações])</f>
        <v>9133687</v>
      </c>
      <c r="E485" s="66">
        <f>(Tabela2[[#This Row],[Lucro Líquido]])/Tabela2[[#This Row],[Total Ações]]</f>
        <v>2.0413443114483778</v>
      </c>
      <c r="F485" s="66">
        <v>0.50479059999999998</v>
      </c>
      <c r="G485" s="78">
        <f>IF(AND(Tabela2[[#This Row],[Dividendo / Ação]]&gt;0,Tabela2[[#This Row],[Lucro por ação]]&gt;0),Tabela2[[#This Row],[Dividendo / Ação]]/Tabela2[[#This Row],[Lucro por ação]],"")</f>
        <v>0.24728341866142128</v>
      </c>
      <c r="H485" s="61">
        <f>MAX(Tabela2[[#This Row],[Cotação 1]],Tabela2[[#This Row],[Cotação 2]])</f>
        <v>15.8</v>
      </c>
      <c r="I485" s="22">
        <f>IF(Tabela2[[#This Row],[Dividendo / Ação]]&gt;0,Tabela2[[#This Row],[Dividendo / Ação]]/Tabela2[[#This Row],[Cotação]],"")</f>
        <v>3.194877215189873E-2</v>
      </c>
      <c r="J485" s="7">
        <f>SUMPRODUCT(N(Tabela1[Código]=Tabela2[[#This Row],[Ativo]]),Tabela1[Fechamento])</f>
        <v>0</v>
      </c>
      <c r="K485" s="7">
        <f>SUMPRODUCT(N(Tabela17[Código]=Tabela2[[#This Row],[Ativo]]),Tabela17[Fechamento])</f>
        <v>15.8</v>
      </c>
    </row>
    <row r="486" spans="1:13" x14ac:dyDescent="0.2">
      <c r="A486" s="3" t="s">
        <v>620</v>
      </c>
      <c r="B486" s="3">
        <v>2012</v>
      </c>
      <c r="C486" s="5">
        <v>172669675.86000001</v>
      </c>
      <c r="D486" s="68">
        <f>SUMPRODUCT(N(Tabela3[PAPEL]=Tabela2[[#This Row],[Ativo]]),Tabela3[Total Ações])</f>
        <v>12251221</v>
      </c>
      <c r="E486" s="66">
        <f>(Tabela2[[#This Row],[Lucro Líquido]])/Tabela2[[#This Row],[Total Ações]]</f>
        <v>14.094078937927902</v>
      </c>
      <c r="F486" s="66">
        <v>3.8149609419999999</v>
      </c>
      <c r="G486" s="78">
        <f>IF(AND(Tabela2[[#This Row],[Dividendo / Ação]]&gt;0,Tabela2[[#This Row],[Lucro por ação]]&gt;0),Tabela2[[#This Row],[Dividendo / Ação]]/Tabela2[[#This Row],[Lucro por ação]],"")</f>
        <v>0.27067827268469036</v>
      </c>
      <c r="H486" s="61">
        <f>MAX(Tabela2[[#This Row],[Cotação 1]],Tabela2[[#This Row],[Cotação 2]])</f>
        <v>158.99</v>
      </c>
      <c r="I486" s="22">
        <f>IF(Tabela2[[#This Row],[Dividendo / Ação]]&gt;0,Tabela2[[#This Row],[Dividendo / Ação]]/Tabela2[[#This Row],[Cotação]],"")</f>
        <v>2.3994974161896974E-2</v>
      </c>
      <c r="J486" s="7">
        <f>SUMPRODUCT(N(Tabela1[Código]=Tabela2[[#This Row],[Ativo]]),Tabela1[Fechamento])</f>
        <v>0</v>
      </c>
      <c r="K486" s="7">
        <f>SUMPRODUCT(N(Tabela17[Código]=Tabela2[[#This Row],[Ativo]]),Tabela17[Fechamento])</f>
        <v>158.99</v>
      </c>
    </row>
    <row r="487" spans="1:13" x14ac:dyDescent="0.2">
      <c r="A487" s="3" t="s">
        <v>620</v>
      </c>
      <c r="B487" s="3">
        <v>2011</v>
      </c>
      <c r="C487" s="5">
        <v>181046595.15000001</v>
      </c>
      <c r="D487" s="68">
        <f>SUMPRODUCT(N(Tabela3[PAPEL]=Tabela2[[#This Row],[Ativo]]),Tabela3[Total Ações])</f>
        <v>12251221</v>
      </c>
      <c r="E487" s="66">
        <f>(Tabela2[[#This Row],[Lucro Líquido]])/Tabela2[[#This Row],[Total Ações]]</f>
        <v>14.777840931120254</v>
      </c>
      <c r="F487" s="66">
        <v>5.4828608059999997</v>
      </c>
      <c r="G487" s="78">
        <f>IF(AND(Tabela2[[#This Row],[Dividendo / Ação]]&gt;0,Tabela2[[#This Row],[Lucro por ação]]&gt;0),Tabela2[[#This Row],[Dividendo / Ação]]/Tabela2[[#This Row],[Lucro por ação]],"")</f>
        <v>0.37101907048233224</v>
      </c>
      <c r="H487" s="61">
        <f>MAX(Tabela2[[#This Row],[Cotação 1]],Tabela2[[#This Row],[Cotação 2]])</f>
        <v>158.99</v>
      </c>
      <c r="I487" s="22">
        <f>IF(Tabela2[[#This Row],[Dividendo / Ação]]&gt;0,Tabela2[[#This Row],[Dividendo / Ação]]/Tabela2[[#This Row],[Cotação]],"")</f>
        <v>3.4485570199383607E-2</v>
      </c>
      <c r="J487" s="7">
        <f>SUMPRODUCT(N(Tabela1[Código]=Tabela2[[#This Row],[Ativo]]),Tabela1[Fechamento])</f>
        <v>0</v>
      </c>
      <c r="K487" s="7">
        <f>SUMPRODUCT(N(Tabela17[Código]=Tabela2[[#This Row],[Ativo]]),Tabela17[Fechamento])</f>
        <v>158.99</v>
      </c>
    </row>
    <row r="488" spans="1:13" x14ac:dyDescent="0.2">
      <c r="A488" s="3" t="s">
        <v>620</v>
      </c>
      <c r="B488" s="3">
        <v>2010</v>
      </c>
      <c r="C488" s="5">
        <v>111311611.06999999</v>
      </c>
      <c r="D488" s="68">
        <f>SUMPRODUCT(N(Tabela3[PAPEL]=Tabela2[[#This Row],[Ativo]]),Tabela3[Total Ações])</f>
        <v>12251221</v>
      </c>
      <c r="E488" s="66">
        <f>(Tabela2[[#This Row],[Lucro Líquido]])/Tabela2[[#This Row],[Total Ações]]</f>
        <v>9.0857565192889744</v>
      </c>
      <c r="F488" s="66">
        <v>3.6731054410000001</v>
      </c>
      <c r="G488" s="78">
        <f>IF(AND(Tabela2[[#This Row],[Dividendo / Ação]]&gt;0,Tabela2[[#This Row],[Lucro por ação]]&gt;0),Tabela2[[#This Row],[Dividendo / Ação]]/Tabela2[[#This Row],[Lucro por ação]],"")</f>
        <v>0.40427073223919574</v>
      </c>
      <c r="H488" s="61">
        <f>MAX(Tabela2[[#This Row],[Cotação 1]],Tabela2[[#This Row],[Cotação 2]])</f>
        <v>158.99</v>
      </c>
      <c r="I488" s="22">
        <f>IF(Tabela2[[#This Row],[Dividendo / Ação]]&gt;0,Tabela2[[#This Row],[Dividendo / Ação]]/Tabela2[[#This Row],[Cotação]],"")</f>
        <v>2.3102745084596515E-2</v>
      </c>
      <c r="J488" s="7">
        <f>SUMPRODUCT(N(Tabela1[Código]=Tabela2[[#This Row],[Ativo]]),Tabela1[Fechamento])</f>
        <v>0</v>
      </c>
      <c r="K488" s="7">
        <f>SUMPRODUCT(N(Tabela17[Código]=Tabela2[[#This Row],[Ativo]]),Tabela17[Fechamento])</f>
        <v>158.99</v>
      </c>
    </row>
    <row r="489" spans="1:13" x14ac:dyDescent="0.2">
      <c r="A489" s="3" t="s">
        <v>620</v>
      </c>
      <c r="B489" s="3">
        <v>2009</v>
      </c>
      <c r="C489" s="5">
        <v>74101153.209999993</v>
      </c>
      <c r="D489" s="68">
        <f>SUMPRODUCT(N(Tabela3[PAPEL]=Tabela2[[#This Row],[Ativo]]),Tabela3[Total Ações])</f>
        <v>12251221</v>
      </c>
      <c r="E489" s="66">
        <f>(Tabela2[[#This Row],[Lucro Líquido]])/Tabela2[[#This Row],[Total Ações]]</f>
        <v>6.0484708593535288</v>
      </c>
      <c r="F489" s="66">
        <v>3.9996022359999999</v>
      </c>
      <c r="G489" s="78">
        <f>IF(AND(Tabela2[[#This Row],[Dividendo / Ação]]&gt;0,Tabela2[[#This Row],[Lucro por ação]]&gt;0),Tabela2[[#This Row],[Dividendo / Ação]]/Tabela2[[#This Row],[Lucro por ação]],"")</f>
        <v>0.66125841208524638</v>
      </c>
      <c r="H489" s="61">
        <f>MAX(Tabela2[[#This Row],[Cotação 1]],Tabela2[[#This Row],[Cotação 2]])</f>
        <v>158.99</v>
      </c>
      <c r="I489" s="22">
        <f>IF(Tabela2[[#This Row],[Dividendo / Ação]]&gt;0,Tabela2[[#This Row],[Dividendo / Ação]]/Tabela2[[#This Row],[Cotação]],"")</f>
        <v>2.5156313202088179E-2</v>
      </c>
      <c r="J489" s="7">
        <f>SUMPRODUCT(N(Tabela1[Código]=Tabela2[[#This Row],[Ativo]]),Tabela1[Fechamento])</f>
        <v>0</v>
      </c>
      <c r="K489" s="7">
        <f>SUMPRODUCT(N(Tabela17[Código]=Tabela2[[#This Row],[Ativo]]),Tabela17[Fechamento])</f>
        <v>158.99</v>
      </c>
    </row>
    <row r="490" spans="1:13" x14ac:dyDescent="0.2">
      <c r="A490" s="3" t="s">
        <v>624</v>
      </c>
      <c r="B490" s="3">
        <v>2012</v>
      </c>
      <c r="C490" s="5">
        <v>1011009000</v>
      </c>
      <c r="D490" s="63">
        <f>SUMPRODUCT(N(Tabela3[PAPEL]=Tabela2[[#This Row],[Ativo]]),Tabela3[Total Ações])</f>
        <v>544383996</v>
      </c>
      <c r="E490" s="66">
        <f>(Tabela2[[#This Row],[Lucro Líquido]])/Tabela2[[#This Row],[Total Ações]]</f>
        <v>1.8571615025949439</v>
      </c>
      <c r="F490" s="66">
        <v>1.17</v>
      </c>
      <c r="G490" s="22">
        <f>IF(AND(Tabela2[[#This Row],[Dividendo / Ação]]&gt;0,Tabela2[[#This Row],[Lucro por ação]]&gt;0),Tabela2[[#This Row],[Dividendo / Ação]]/Tabela2[[#This Row],[Lucro por ação]],"")</f>
        <v>0.62999367495244851</v>
      </c>
      <c r="H490" s="51">
        <f>MAX(Tabela2[[#This Row],[Cotação 1]],Tabela2[[#This Row],[Cotação 2]])</f>
        <v>55.95</v>
      </c>
      <c r="I490" s="18">
        <f>IF(Tabela2[[#This Row],[Dividendo / Ação]]&gt;0,Tabela2[[#This Row],[Dividendo / Ação]]/Tabela2[[#This Row],[Cotação]],"")</f>
        <v>2.0911528150134046E-2</v>
      </c>
      <c r="J490" s="7">
        <f>SUMPRODUCT(N(Tabela1[Código]=Tabela2[[#This Row],[Ativo]]),Tabela1[Fechamento])</f>
        <v>0</v>
      </c>
      <c r="K490" s="7">
        <f>SUMPRODUCT(N(Tabela17[Código]=Tabela2[[#This Row],[Ativo]]),Tabela17[Fechamento])</f>
        <v>55.95</v>
      </c>
    </row>
    <row r="491" spans="1:13" x14ac:dyDescent="0.2">
      <c r="A491" s="3" t="s">
        <v>624</v>
      </c>
      <c r="B491" s="3">
        <v>2011</v>
      </c>
      <c r="C491" s="5">
        <v>860126713.70000005</v>
      </c>
      <c r="D491" s="63">
        <f>SUMPRODUCT(N(Tabela3[PAPEL]=Tabela2[[#This Row],[Ativo]]),Tabela3[Total Ações])</f>
        <v>544383996</v>
      </c>
      <c r="E491" s="66">
        <f>(Tabela2[[#This Row],[Lucro Líquido]])/Tabela2[[#This Row],[Total Ações]]</f>
        <v>1.5800000000367389</v>
      </c>
      <c r="F491" s="66">
        <v>0.98</v>
      </c>
      <c r="G491" s="22">
        <f>IF(AND(Tabela2[[#This Row],[Dividendo / Ação]]&gt;0,Tabela2[[#This Row],[Lucro por ação]]&gt;0),Tabela2[[#This Row],[Dividendo / Ação]]/Tabela2[[#This Row],[Lucro por ação]],"")</f>
        <v>0.62025316454253965</v>
      </c>
      <c r="H491" s="51">
        <f>MAX(Tabela2[[#This Row],[Cotação 1]],Tabela2[[#This Row],[Cotação 2]])</f>
        <v>55.95</v>
      </c>
      <c r="I491" s="18">
        <f>IF(Tabela2[[#This Row],[Dividendo / Ação]]&gt;0,Tabela2[[#This Row],[Dividendo / Ação]]/Tabela2[[#This Row],[Cotação]],"")</f>
        <v>1.7515638963360142E-2</v>
      </c>
      <c r="J491" s="7">
        <f>SUMPRODUCT(N(Tabela1[Código]=Tabela2[[#This Row],[Ativo]]),Tabela1[Fechamento])</f>
        <v>0</v>
      </c>
      <c r="K491" s="7">
        <f>SUMPRODUCT(N(Tabela17[Código]=Tabela2[[#This Row],[Ativo]]),Tabela17[Fechamento])</f>
        <v>55.95</v>
      </c>
    </row>
    <row r="492" spans="1:13" x14ac:dyDescent="0.2">
      <c r="A492" s="3" t="s">
        <v>624</v>
      </c>
      <c r="B492" s="3">
        <v>2010</v>
      </c>
      <c r="C492" s="5">
        <v>773025274.29999995</v>
      </c>
      <c r="D492" s="63">
        <f>SUMPRODUCT(N(Tabela3[PAPEL]=Tabela2[[#This Row],[Ativo]]),Tabela3[Total Ações])</f>
        <v>544383996</v>
      </c>
      <c r="E492" s="66">
        <f>(Tabela2[[#This Row],[Lucro Líquido]])/Tabela2[[#This Row],[Total Ações]]</f>
        <v>1.4199999999632611</v>
      </c>
      <c r="F492" s="66">
        <v>0.8</v>
      </c>
      <c r="G492" s="22">
        <f>IF(AND(Tabela2[[#This Row],[Dividendo / Ação]]&gt;0,Tabela2[[#This Row],[Lucro por ação]]&gt;0),Tabela2[[#This Row],[Dividendo / Ação]]/Tabela2[[#This Row],[Lucro por ação]],"")</f>
        <v>0.56338028170471688</v>
      </c>
      <c r="H492" s="51">
        <f>MAX(Tabela2[[#This Row],[Cotação 1]],Tabela2[[#This Row],[Cotação 2]])</f>
        <v>55.95</v>
      </c>
      <c r="I492" s="18">
        <f>IF(Tabela2[[#This Row],[Dividendo / Ação]]&gt;0,Tabela2[[#This Row],[Dividendo / Ação]]/Tabela2[[#This Row],[Cotação]],"")</f>
        <v>1.4298480786416443E-2</v>
      </c>
      <c r="J492" s="7">
        <f>SUMPRODUCT(N(Tabela1[Código]=Tabela2[[#This Row],[Ativo]]),Tabela1[Fechamento])</f>
        <v>0</v>
      </c>
      <c r="K492" s="7">
        <f>SUMPRODUCT(N(Tabela17[Código]=Tabela2[[#This Row],[Ativo]]),Tabela17[Fechamento])</f>
        <v>55.95</v>
      </c>
      <c r="M492" s="3">
        <f>Tabela2[[#This Row],[Total Ações]]*0.81</f>
        <v>440951036.76000005</v>
      </c>
    </row>
    <row r="493" spans="1:13" x14ac:dyDescent="0.2">
      <c r="A493" s="3" t="s">
        <v>630</v>
      </c>
      <c r="B493" s="3">
        <v>2012</v>
      </c>
      <c r="C493" s="5">
        <v>-2048000</v>
      </c>
      <c r="D493" s="63">
        <f>SUMPRODUCT(N(Tabela3[PAPEL]=Tabela2[[#This Row],[Ativo]]),Tabela3[Total Ações])</f>
        <v>5996334</v>
      </c>
      <c r="E493" s="66">
        <f>(Tabela2[[#This Row],[Lucro Líquido]])/Tabela2[[#This Row],[Total Ações]]</f>
        <v>-0.34154201550480678</v>
      </c>
      <c r="F493" s="66">
        <v>1</v>
      </c>
      <c r="G493" s="22" t="str">
        <f>IF(AND(Tabela2[[#This Row],[Dividendo / Ação]]&gt;0,Tabela2[[#This Row],[Lucro por ação]]&gt;0),Tabela2[[#This Row],[Dividendo / Ação]]/Tabela2[[#This Row],[Lucro por ação]],"")</f>
        <v/>
      </c>
      <c r="H493" s="51">
        <f>MAX(Tabela2[[#This Row],[Cotação 1]],Tabela2[[#This Row],[Cotação 2]])</f>
        <v>5.2</v>
      </c>
      <c r="I493" s="18">
        <f>IF(Tabela2[[#This Row],[Dividendo / Ação]]&gt;0,Tabela2[[#This Row],[Dividendo / Ação]]/Tabela2[[#This Row],[Cotação]],"")</f>
        <v>0.19230769230769229</v>
      </c>
      <c r="J493" s="7">
        <f>SUMPRODUCT(N(Tabela1[Código]=Tabela2[[#This Row],[Ativo]]),Tabela1[Fechamento])</f>
        <v>0</v>
      </c>
      <c r="K493" s="7">
        <f>SUMPRODUCT(N(Tabela17[Código]=Tabela2[[#This Row],[Ativo]]),Tabela17[Fechamento])</f>
        <v>5.2</v>
      </c>
    </row>
    <row r="494" spans="1:13" x14ac:dyDescent="0.2">
      <c r="A494" s="3" t="s">
        <v>630</v>
      </c>
      <c r="B494" s="3">
        <v>2011</v>
      </c>
      <c r="C494" s="5">
        <v>-2767000</v>
      </c>
      <c r="D494" s="63">
        <f>SUMPRODUCT(N(Tabela3[PAPEL]=Tabela2[[#This Row],[Ativo]]),Tabela3[Total Ações])</f>
        <v>5996334</v>
      </c>
      <c r="E494" s="66">
        <f>(Tabela2[[#This Row],[Lucro Líquido]])/Tabela2[[#This Row],[Total Ações]]</f>
        <v>-0.4614486117684572</v>
      </c>
      <c r="F494" s="66">
        <v>1</v>
      </c>
      <c r="G494" s="22" t="str">
        <f>IF(AND(Tabela2[[#This Row],[Dividendo / Ação]]&gt;0,Tabela2[[#This Row],[Lucro por ação]]&gt;0),Tabela2[[#This Row],[Dividendo / Ação]]/Tabela2[[#This Row],[Lucro por ação]],"")</f>
        <v/>
      </c>
      <c r="H494" s="51">
        <f>MAX(Tabela2[[#This Row],[Cotação 1]],Tabela2[[#This Row],[Cotação 2]])</f>
        <v>5.2</v>
      </c>
      <c r="I494" s="18">
        <f>IF(Tabela2[[#This Row],[Dividendo / Ação]]&gt;0,Tabela2[[#This Row],[Dividendo / Ação]]/Tabela2[[#This Row],[Cotação]],"")</f>
        <v>0.19230769230769229</v>
      </c>
      <c r="J494" s="7">
        <f>SUMPRODUCT(N(Tabela1[Código]=Tabela2[[#This Row],[Ativo]]),Tabela1[Fechamento])</f>
        <v>0</v>
      </c>
      <c r="K494" s="7">
        <f>SUMPRODUCT(N(Tabela17[Código]=Tabela2[[#This Row],[Ativo]]),Tabela17[Fechamento])</f>
        <v>5.2</v>
      </c>
    </row>
    <row r="495" spans="1:13" x14ac:dyDescent="0.2">
      <c r="A495" s="3" t="s">
        <v>630</v>
      </c>
      <c r="B495" s="3">
        <v>2010</v>
      </c>
      <c r="C495" s="5">
        <v>47518888.590000004</v>
      </c>
      <c r="D495" s="63">
        <f>SUMPRODUCT(N(Tabela3[PAPEL]=Tabela2[[#This Row],[Ativo]]),Tabela3[Total Ações])</f>
        <v>5996334</v>
      </c>
      <c r="E495" s="66">
        <f>(Tabela2[[#This Row],[Lucro Líquido]])/Tabela2[[#This Row],[Total Ações]]</f>
        <v>7.9246567302621909</v>
      </c>
      <c r="F495" s="66">
        <v>1.5139</v>
      </c>
      <c r="G495" s="22">
        <f>IF(AND(Tabela2[[#This Row],[Dividendo / Ação]]&gt;0,Tabela2[[#This Row],[Lucro por ação]]&gt;0),Tabela2[[#This Row],[Dividendo / Ação]]/Tabela2[[#This Row],[Lucro por ação]],"")</f>
        <v>0.19103666588090965</v>
      </c>
      <c r="H495" s="51">
        <f>MAX(Tabela2[[#This Row],[Cotação 1]],Tabela2[[#This Row],[Cotação 2]])</f>
        <v>5.2</v>
      </c>
      <c r="I495" s="18">
        <f>IF(Tabela2[[#This Row],[Dividendo / Ação]]&gt;0,Tabela2[[#This Row],[Dividendo / Ação]]/Tabela2[[#This Row],[Cotação]],"")</f>
        <v>0.29113461538461538</v>
      </c>
      <c r="J495" s="7">
        <f>SUMPRODUCT(N(Tabela1[Código]=Tabela2[[#This Row],[Ativo]]),Tabela1[Fechamento])</f>
        <v>0</v>
      </c>
      <c r="K495" s="7">
        <f>SUMPRODUCT(N(Tabela17[Código]=Tabela2[[#This Row],[Ativo]]),Tabela17[Fechamento])</f>
        <v>5.2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tabSelected="1" workbookViewId="0">
      <selection activeCell="C9" sqref="C9"/>
    </sheetView>
  </sheetViews>
  <sheetFormatPr defaultRowHeight="15" x14ac:dyDescent="0.25"/>
  <cols>
    <col min="1" max="1" width="17" customWidth="1"/>
    <col min="2" max="2" width="12.140625" style="80" bestFit="1" customWidth="1"/>
    <col min="3" max="4" width="13.28515625" style="80" bestFit="1" customWidth="1"/>
    <col min="5" max="5" width="15.85546875" style="80" bestFit="1" customWidth="1"/>
    <col min="6" max="6" width="14.28515625" style="84" bestFit="1" customWidth="1"/>
  </cols>
  <sheetData>
    <row r="1" spans="1:6" x14ac:dyDescent="0.25">
      <c r="A1" s="82" t="s">
        <v>634</v>
      </c>
      <c r="B1" s="86" t="s">
        <v>637</v>
      </c>
      <c r="C1" s="86" t="s">
        <v>635</v>
      </c>
      <c r="D1" s="86" t="s">
        <v>636</v>
      </c>
      <c r="E1" s="86" t="s">
        <v>638</v>
      </c>
      <c r="F1" s="85" t="s">
        <v>17</v>
      </c>
    </row>
    <row r="2" spans="1:6" x14ac:dyDescent="0.25">
      <c r="A2" s="83">
        <v>41645</v>
      </c>
      <c r="B2" s="80">
        <v>940.06</v>
      </c>
      <c r="C2" s="80">
        <v>0</v>
      </c>
      <c r="D2" s="80">
        <v>0</v>
      </c>
      <c r="E2" s="80">
        <v>0</v>
      </c>
    </row>
    <row r="3" spans="1:6" x14ac:dyDescent="0.25">
      <c r="A3" s="87" t="s">
        <v>639</v>
      </c>
      <c r="B3" s="88">
        <f>SUBTOTAL(109,Table4[Aplicação])</f>
        <v>940.06</v>
      </c>
      <c r="C3" s="81">
        <f>SUBTOTAL(105,Table4[Taxas])</f>
        <v>0</v>
      </c>
      <c r="D3" s="88">
        <f>SUBTOTAL(109,Table4[Resgates])</f>
        <v>0</v>
      </c>
      <c r="E3" s="80">
        <f>SUBTOTAL(109,Table4[Rendimento])</f>
        <v>0</v>
      </c>
      <c r="F3" s="84">
        <f>IF(AND(Table4[[#Totals],[Aplicação]]&gt;0,Table4[[#Totals],[Rendimento]]&gt;0),Table4[[#Totals],[Rendimento]]/Table4[[#Totals],[Aplicação]],0)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376</vt:i4>
      </vt:variant>
    </vt:vector>
  </HeadingPairs>
  <TitlesOfParts>
    <vt:vector size="382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'Cotacao 2'!DadosExternos_185</vt:lpstr>
      <vt:lpstr>'Cotacao 2'!DadosExternos_186</vt:lpstr>
      <vt:lpstr>'Cotacao 2'!DadosExternos_187</vt:lpstr>
      <vt:lpstr>'Cotacao 2'!DadosExternos_188</vt:lpstr>
      <vt:lpstr>'Cotacao 2'!DadosExternos_189</vt:lpstr>
      <vt:lpstr>'Cotacao 2'!DadosExternos_190</vt:lpstr>
      <vt:lpstr>'Cotacao 2'!DadosExternos_191</vt:lpstr>
      <vt:lpstr>'Cotacao 2'!DadosExternos_192</vt:lpstr>
      <vt:lpstr>'Cotacao 2'!DadosExternos_193</vt:lpstr>
      <vt:lpstr>'Cotacao 2'!DadosExternos_194</vt:lpstr>
      <vt:lpstr>'Cotacao 2'!DadosExternos_195</vt:lpstr>
      <vt:lpstr>'Cotacao 2'!DadosExternos_196</vt:lpstr>
      <vt:lpstr>Cotacao!DadosExternos_2</vt:lpstr>
      <vt:lpstr>'Cotacao 2'!DadosExternos_2</vt:lpstr>
      <vt:lpstr>Cotacao!DadosExternos_20</vt:lpstr>
      <vt:lpstr>'Cotacao 2'!DadosExternos_20</vt:lpstr>
      <vt:lpstr>Cotacao!DadosExternos_21</vt:lpstr>
      <vt:lpstr>'Cotacao 2'!DadosExternos_21</vt:lpstr>
      <vt:lpstr>Cotacao!DadosExternos_24</vt:lpstr>
      <vt:lpstr>'Cotacao 2'!DadosExternos_24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2014-01-01T18:47:26Z</dcterms:modified>
</cp:coreProperties>
</file>