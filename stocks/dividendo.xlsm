
<file path=[Content_Types].xml><?xml version="1.0" encoding="utf-8"?>
<Types xmlns="http://schemas.openxmlformats.org/package/2006/content-types"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styles.xml" ContentType="application/vnd.openxmlformats-officedocument.spreadsheetml.styles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95.xml" ContentType="application/vnd.openxmlformats-officedocument.spreadsheetml.queryTable+xml"/>
  <Default Extension="xml" ContentType="application/xml"/>
  <Override PartName="/xl/queryTables/queryTable142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66.xml" ContentType="application/vnd.openxmlformats-officedocument.spreadsheetml.queryTable+xml"/>
  <Override PartName="/xl/tables/table5.xml" ContentType="application/vnd.openxmlformats-officedocument.spreadsheetml.table+xml"/>
  <Override PartName="/xl/queryTables/queryTable6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70.xml" ContentType="application/vnd.openxmlformats-officedocument.spreadsheetml.queryTable+xml"/>
  <Override PartName="/xl/calcChain.xml" ContentType="application/vnd.openxmlformats-officedocument.spreadsheetml.calcChain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63.xml" ContentType="application/vnd.openxmlformats-officedocument.spreadsheetml.queryTable+xml"/>
  <Override PartName="/xl/tables/table2.xml" ContentType="application/vnd.openxmlformats-officedocument.spreadsheetml.table+xml"/>
  <Override PartName="/xl/queryTables/queryTable108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86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83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72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54.xml" ContentType="application/vnd.openxmlformats-officedocument.spreadsheetml.queryTable+xml"/>
  <Override PartName="/xl/tables/table4.xml" ContentType="application/vnd.openxmlformats-officedocument.spreadsheetml.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88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66.xml" ContentType="application/vnd.openxmlformats-officedocument.spreadsheetml.queryTable+xml"/>
  <Override PartName="/xl/pivotTables/pivotTable2.xml" ContentType="application/vnd.openxmlformats-officedocument.spreadsheetml.pivotTable+xml"/>
  <Override PartName="/xl/vbaProject.bin" ContentType="application/vnd.ms-office.vbaProject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91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422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400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73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85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63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430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79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56.xml" ContentType="application/vnd.openxmlformats-officedocument.spreadsheetml.queryTable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479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Default Extension="rels" ContentType="application/vnd.openxmlformats-package.relationships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71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67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487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54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76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33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368.xml" ContentType="application/vnd.openxmlformats-officedocument.spreadsheetml.queryTable+xml"/>
  <Override PartName="/xl/pivotCache/pivotCacheRecords2.xml" ContentType="application/vnd.openxmlformats-officedocument.spreadsheetml.pivotCacheRecords+xml"/>
  <Override PartName="/xl/queryTables/queryTable69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 activeTab="3"/>
  </bookViews>
  <sheets>
    <sheet name="Patrimonio" sheetId="1" r:id="rId1"/>
    <sheet name="Cotacao" sheetId="9" r:id="rId2"/>
    <sheet name="Cotacao 2" sheetId="14" r:id="rId3"/>
    <sheet name="Lucro Líquido" sheetId="12" r:id="rId4"/>
    <sheet name="Tabela LL" sheetId="13" r:id="rId5"/>
    <sheet name="Historia" sheetId="15" r:id="rId6"/>
    <sheet name="Tabela Hist" sheetId="16" r:id="rId7"/>
  </sheets>
  <externalReferences>
    <externalReference r:id="rId8"/>
  </externalReferences>
  <definedNames>
    <definedName name="DadosExternos_1" localSheetId="1">Cotacao!$C$7:$C$63</definedName>
    <definedName name="DadosExternos_1" localSheetId="2">'Cotacao 2'!$C$7:$C$63</definedName>
    <definedName name="DadosExternos_10" localSheetId="1">Cotacao!$C$7:$C$63</definedName>
    <definedName name="DadosExternos_10" localSheetId="2">'Cotacao 2'!$C$7:$C$63</definedName>
    <definedName name="DadosExternos_103" localSheetId="1">Cotacao!$C$7:$C$114</definedName>
    <definedName name="DadosExternos_103" localSheetId="2">'Cotacao 2'!$C$7:$C$114</definedName>
    <definedName name="DadosExternos_104" localSheetId="1">Cotacao!$C$7:$C$114</definedName>
    <definedName name="DadosExternos_104" localSheetId="2">'Cotacao 2'!$C$7:$C$114</definedName>
    <definedName name="DadosExternos_106" localSheetId="1">Cotacao!$C$7:$C$114</definedName>
    <definedName name="DadosExternos_106" localSheetId="2">'Cotacao 2'!$C$7:$C$114</definedName>
    <definedName name="DadosExternos_107" localSheetId="1">Cotacao!$C$7:$C$114</definedName>
    <definedName name="DadosExternos_107" localSheetId="2">'Cotacao 2'!$C$7:$C$114</definedName>
    <definedName name="DadosExternos_108" localSheetId="1">Cotacao!$C$7:$C$114</definedName>
    <definedName name="DadosExternos_108" localSheetId="2">'Cotacao 2'!$C$7:$C$114</definedName>
    <definedName name="DadosExternos_109" localSheetId="1">Cotacao!$C$7:$C$114</definedName>
    <definedName name="DadosExternos_109" localSheetId="2">'Cotacao 2'!$C$7:$C$114</definedName>
    <definedName name="DadosExternos_11" localSheetId="1">Cotacao!$C$7:$C$63</definedName>
    <definedName name="DadosExternos_11" localSheetId="2">'Cotacao 2'!$C$7:$C$63</definedName>
    <definedName name="DadosExternos_110" localSheetId="1">Cotacao!$C$7:$C$56</definedName>
    <definedName name="DadosExternos_110" localSheetId="2">'Cotacao 2'!$C$7:$C$56</definedName>
    <definedName name="DadosExternos_111" localSheetId="1">Cotacao!$C$7:$C$57</definedName>
    <definedName name="DadosExternos_111" localSheetId="2">'Cotacao 2'!$C$7:$C$57</definedName>
    <definedName name="DadosExternos_112" localSheetId="1">Cotacao!$C$7:$C$58</definedName>
    <definedName name="DadosExternos_112" localSheetId="2">'Cotacao 2'!$C$7:$C$58</definedName>
    <definedName name="DadosExternos_113" localSheetId="1">Cotacao!$C$7:$C$58</definedName>
    <definedName name="DadosExternos_113" localSheetId="2">'Cotacao 2'!$C$7:$C$58</definedName>
    <definedName name="DadosExternos_114" localSheetId="1">Cotacao!$C$7:$C$60</definedName>
    <definedName name="DadosExternos_114" localSheetId="2">'Cotacao 2'!$C$7:$C$60</definedName>
    <definedName name="DadosExternos_115" localSheetId="1">Cotacao!$C$7:$C$59</definedName>
    <definedName name="DadosExternos_115" localSheetId="2">'Cotacao 2'!$C$7:$C$59</definedName>
    <definedName name="DadosExternos_116" localSheetId="1">Cotacao!$C$7:$C$60</definedName>
    <definedName name="DadosExternos_116" localSheetId="2">'Cotacao 2'!$C$7:$C$60</definedName>
    <definedName name="DadosExternos_117" localSheetId="1">Cotacao!$C$7:$C$62</definedName>
    <definedName name="DadosExternos_117" localSheetId="2">'Cotacao 2'!$C$7:$C$62</definedName>
    <definedName name="DadosExternos_118" localSheetId="1">Cotacao!$C$7:$C$61</definedName>
    <definedName name="DadosExternos_118" localSheetId="2">'Cotacao 2'!$C$7:$C$61</definedName>
    <definedName name="DadosExternos_119" localSheetId="1">Cotacao!$C$7:$C$62</definedName>
    <definedName name="DadosExternos_119" localSheetId="2">'Cotacao 2'!$C$7:$C$62</definedName>
    <definedName name="DadosExternos_12" localSheetId="1">Cotacao!$C$7:$C$63</definedName>
    <definedName name="DadosExternos_12" localSheetId="2">'Cotacao 2'!$C$7:$C$63</definedName>
    <definedName name="DadosExternos_120" localSheetId="1">Cotacao!$C$7:$C$64</definedName>
    <definedName name="DadosExternos_120" localSheetId="2">'Cotacao 2'!$C$7:$C$64</definedName>
    <definedName name="DadosExternos_121" localSheetId="1">Cotacao!$C$7:$C$65</definedName>
    <definedName name="DadosExternos_121" localSheetId="2">'Cotacao 2'!$C$7:$C$65</definedName>
    <definedName name="DadosExternos_122" localSheetId="1">Cotacao!$C$7:$C$65</definedName>
    <definedName name="DadosExternos_122" localSheetId="2">'Cotacao 2'!$C$7:$C$65</definedName>
    <definedName name="DadosExternos_123" localSheetId="1">Cotacao!$C$7:$C$66</definedName>
    <definedName name="DadosExternos_123" localSheetId="2">'Cotacao 2'!$C$7:$C$66</definedName>
    <definedName name="DadosExternos_124" localSheetId="1">Cotacao!$C$7:$C$69</definedName>
    <definedName name="DadosExternos_124" localSheetId="2">'Cotacao 2'!$C$7:$C$69</definedName>
    <definedName name="DadosExternos_125" localSheetId="1">Cotacao!$C$7:$C$67</definedName>
    <definedName name="DadosExternos_125" localSheetId="2">'Cotacao 2'!$C$7:$C$67</definedName>
    <definedName name="DadosExternos_126" localSheetId="1">Cotacao!$C$7:$C$70</definedName>
    <definedName name="DadosExternos_126" localSheetId="2">'Cotacao 2'!$C$7:$C$70</definedName>
    <definedName name="DadosExternos_127" localSheetId="1">Cotacao!$C$7:$C$68</definedName>
    <definedName name="DadosExternos_127" localSheetId="2">'Cotacao 2'!$C$7:$C$68</definedName>
    <definedName name="DadosExternos_128" localSheetId="1">Cotacao!$C$7:$C$69</definedName>
    <definedName name="DadosExternos_128" localSheetId="2">'Cotacao 2'!$C$7:$C$69</definedName>
    <definedName name="DadosExternos_129" localSheetId="1">Cotacao!$C$7:$C$69</definedName>
    <definedName name="DadosExternos_129" localSheetId="2">'Cotacao 2'!$C$7:$C$69</definedName>
    <definedName name="DadosExternos_130" localSheetId="1">Cotacao!$C$7:$C$70</definedName>
    <definedName name="DadosExternos_130" localSheetId="2">'Cotacao 2'!$C$7:$C$70</definedName>
    <definedName name="DadosExternos_131" localSheetId="1">Cotacao!$C$7:$C$70</definedName>
    <definedName name="DadosExternos_131" localSheetId="2">'Cotacao 2'!$C$7:$C$70</definedName>
    <definedName name="DadosExternos_132" localSheetId="1">Cotacao!$C$7:$C$71</definedName>
    <definedName name="DadosExternos_132" localSheetId="2">'Cotacao 2'!$C$7:$C$71</definedName>
    <definedName name="DadosExternos_133" localSheetId="1">Cotacao!$C$7:$C$73</definedName>
    <definedName name="DadosExternos_133" localSheetId="2">'Cotacao 2'!$C$7:$C$73</definedName>
    <definedName name="DadosExternos_134" localSheetId="1">Cotacao!$C$7:$C$74</definedName>
    <definedName name="DadosExternos_134" localSheetId="2">'Cotacao 2'!$C$7:$C$74</definedName>
    <definedName name="DadosExternos_135" localSheetId="1">Cotacao!$C$7:$C$65</definedName>
    <definedName name="DadosExternos_135" localSheetId="2">'Cotacao 2'!$C$7:$C$65</definedName>
    <definedName name="DadosExternos_136" localSheetId="1">Cotacao!$C$7:$C$67</definedName>
    <definedName name="DadosExternos_136" localSheetId="2">'Cotacao 2'!$C$7:$C$67</definedName>
    <definedName name="DadosExternos_137" localSheetId="1">Cotacao!$C$7:$C$70</definedName>
    <definedName name="DadosExternos_137" localSheetId="2">'Cotacao 2'!$C$7:$C$70</definedName>
    <definedName name="DadosExternos_138" localSheetId="1">Cotacao!$C$7:$C$70</definedName>
    <definedName name="DadosExternos_138" localSheetId="2">'Cotacao 2'!$C$7:$C$70</definedName>
    <definedName name="DadosExternos_139" localSheetId="1">Cotacao!$C$7:$C$69</definedName>
    <definedName name="DadosExternos_139" localSheetId="2">'Cotacao 2'!$C$7:$C$69</definedName>
    <definedName name="DadosExternos_14" localSheetId="1">Cotacao!$C$7:$C$63</definedName>
    <definedName name="DadosExternos_14" localSheetId="2">'Cotacao 2'!$C$7:$C$63</definedName>
    <definedName name="DadosExternos_140" localSheetId="1">Cotacao!$C$7:$C$72</definedName>
    <definedName name="DadosExternos_140" localSheetId="2">'Cotacao 2'!$C$7:$C$72</definedName>
    <definedName name="DadosExternos_141" localSheetId="1">Cotacao!$C$7:$C$74</definedName>
    <definedName name="DadosExternos_141" localSheetId="2">'Cotacao 2'!$C$7:$C$74</definedName>
    <definedName name="DadosExternos_142" localSheetId="1">Cotacao!$C$7:$C$76</definedName>
    <definedName name="DadosExternos_142" localSheetId="2">'Cotacao 2'!$C$7:$C$76</definedName>
    <definedName name="DadosExternos_143" localSheetId="1">Cotacao!$C$7:$C$75</definedName>
    <definedName name="DadosExternos_143" localSheetId="2">'Cotacao 2'!$C$7:$C$75</definedName>
    <definedName name="DadosExternos_144" localSheetId="1">Cotacao!$C$7:$C$77</definedName>
    <definedName name="DadosExternos_144" localSheetId="2">'Cotacao 2'!$C$7:$C$77</definedName>
    <definedName name="DadosExternos_145" localSheetId="1">Cotacao!$C$7:$C$78</definedName>
    <definedName name="DadosExternos_145" localSheetId="2">'Cotacao 2'!$C$7:$C$78</definedName>
    <definedName name="DadosExternos_146" localSheetId="1">Cotacao!$C$7:$C$80</definedName>
    <definedName name="DadosExternos_146" localSheetId="2">'Cotacao 2'!$C$7:$C$80</definedName>
    <definedName name="DadosExternos_147" localSheetId="1">Cotacao!$C$7:$C$81</definedName>
    <definedName name="DadosExternos_147" localSheetId="2">'Cotacao 2'!$C$7:$C$81</definedName>
    <definedName name="DadosExternos_148" localSheetId="1">Cotacao!$C$7:$C$83</definedName>
    <definedName name="DadosExternos_148" localSheetId="2">'Cotacao 2'!$C$7:$C$83</definedName>
    <definedName name="DadosExternos_149" localSheetId="1">Cotacao!$C$7:$C$83</definedName>
    <definedName name="DadosExternos_149" localSheetId="2">'Cotacao 2'!$C$7:$C$83</definedName>
    <definedName name="DadosExternos_15" localSheetId="1">Cotacao!$C$7:$C$63</definedName>
    <definedName name="DadosExternos_15" localSheetId="2">'Cotacao 2'!$C$7:$C$63</definedName>
    <definedName name="DadosExternos_150" localSheetId="1">Cotacao!$C$7:$C$81</definedName>
    <definedName name="DadosExternos_150" localSheetId="2">'Cotacao 2'!$C$7:$C$81</definedName>
    <definedName name="DadosExternos_151" localSheetId="1">Cotacao!$C$7:$C$82</definedName>
    <definedName name="DadosExternos_151" localSheetId="2">'Cotacao 2'!$C$7:$C$82</definedName>
    <definedName name="DadosExternos_152" localSheetId="1">Cotacao!$C$7:$C$84</definedName>
    <definedName name="DadosExternos_152" localSheetId="2">'Cotacao 2'!$C$7:$C$84</definedName>
    <definedName name="DadosExternos_153" localSheetId="1">Cotacao!$C$7:$C$85</definedName>
    <definedName name="DadosExternos_153" localSheetId="2">'Cotacao 2'!$C$7:$C$85</definedName>
    <definedName name="DadosExternos_154" localSheetId="1">Cotacao!$C$7:$C$87</definedName>
    <definedName name="DadosExternos_154" localSheetId="2">'Cotacao 2'!$C$7:$C$87</definedName>
    <definedName name="DadosExternos_155" localSheetId="1">Cotacao!$C$7:$C$89</definedName>
    <definedName name="DadosExternos_155" localSheetId="2">'Cotacao 2'!$C$7:$C$89</definedName>
    <definedName name="DadosExternos_156" localSheetId="1">Cotacao!$C$7:$C$91</definedName>
    <definedName name="DadosExternos_156" localSheetId="2">'Cotacao 2'!$C$7:$C$91</definedName>
    <definedName name="DadosExternos_157" localSheetId="1">Cotacao!$C$7:$C$93</definedName>
    <definedName name="DadosExternos_157" localSheetId="2">'Cotacao 2'!$C$7:$C$93</definedName>
    <definedName name="DadosExternos_158" localSheetId="1">Cotacao!$C$7:$C$94</definedName>
    <definedName name="DadosExternos_158" localSheetId="2">'Cotacao 2'!$C$7:$C$94</definedName>
    <definedName name="DadosExternos_159" localSheetId="1">Cotacao!$C$7:$C$94</definedName>
    <definedName name="DadosExternos_159" localSheetId="2">'Cotacao 2'!$C$7:$C$94</definedName>
    <definedName name="DadosExternos_16" localSheetId="1">Cotacao!$C$7:$C$63</definedName>
    <definedName name="DadosExternos_16" localSheetId="2">'Cotacao 2'!$C$7:$C$63</definedName>
    <definedName name="DadosExternos_160" localSheetId="1">Cotacao!$C$7:$C$95</definedName>
    <definedName name="DadosExternos_160" localSheetId="2">'Cotacao 2'!$C$7:$C$95</definedName>
    <definedName name="DadosExternos_161" localSheetId="1">Cotacao!$C$7:$C$94</definedName>
    <definedName name="DadosExternos_161" localSheetId="2">'Cotacao 2'!$C$7:$C$94</definedName>
    <definedName name="DadosExternos_162" localSheetId="1">Cotacao!$C$7:$C$97</definedName>
    <definedName name="DadosExternos_162" localSheetId="2">'Cotacao 2'!$C$7:$C$97</definedName>
    <definedName name="DadosExternos_163" localSheetId="1">Cotacao!$C$7:$C$96</definedName>
    <definedName name="DadosExternos_163" localSheetId="2">'Cotacao 2'!$C$7:$C$96</definedName>
    <definedName name="DadosExternos_164" localSheetId="1">Cotacao!$C$7:$C$95</definedName>
    <definedName name="DadosExternos_164" localSheetId="2">'Cotacao 2'!$C$7:$C$95</definedName>
    <definedName name="DadosExternos_165" localSheetId="1">Cotacao!$C$7:$C$97</definedName>
    <definedName name="DadosExternos_165" localSheetId="2">'Cotacao 2'!$C$7:$C$97</definedName>
    <definedName name="DadosExternos_166" localSheetId="1">Cotacao!$C$7:$C$104</definedName>
    <definedName name="DadosExternos_166" localSheetId="2">'Cotacao 2'!$C$7:$C$104</definedName>
    <definedName name="DadosExternos_167" localSheetId="1">Cotacao!$C$7:$C$106</definedName>
    <definedName name="DadosExternos_167" localSheetId="2">'Cotacao 2'!$C$7:$C$106</definedName>
    <definedName name="DadosExternos_168" localSheetId="1">Cotacao!$C$7:$C$108</definedName>
    <definedName name="DadosExternos_168" localSheetId="2">'Cotacao 2'!$C$7:$C$108</definedName>
    <definedName name="DadosExternos_169" localSheetId="1">Cotacao!$C$7:$C$110</definedName>
    <definedName name="DadosExternos_169" localSheetId="2">'Cotacao 2'!$C$7:$C$110</definedName>
    <definedName name="DadosExternos_17" localSheetId="1">Cotacao!$C$7:$C$63</definedName>
    <definedName name="DadosExternos_17" localSheetId="2">'Cotacao 2'!$C$7:$C$63</definedName>
    <definedName name="DadosExternos_170" localSheetId="1">Cotacao!$C$7:$C$109</definedName>
    <definedName name="DadosExternos_170" localSheetId="2">'Cotacao 2'!$C$7:$C$109</definedName>
    <definedName name="DadosExternos_171" localSheetId="1">Cotacao!$C$7:$C$110</definedName>
    <definedName name="DadosExternos_171" localSheetId="2">'Cotacao 2'!$C$7:$C$110</definedName>
    <definedName name="DadosExternos_172" localSheetId="1">Cotacao!$C$7:$C$110</definedName>
    <definedName name="DadosExternos_172" localSheetId="2">'Cotacao 2'!$C$7:$C$110</definedName>
    <definedName name="DadosExternos_173" localSheetId="1">Cotacao!$C$7:$C$112</definedName>
    <definedName name="DadosExternos_173" localSheetId="2">'Cotacao 2'!$C$7:$C$112</definedName>
    <definedName name="DadosExternos_174" localSheetId="1">Cotacao!$C$7:$C$112</definedName>
    <definedName name="DadosExternos_174" localSheetId="2">'Cotacao 2'!$C$7:$C$112</definedName>
    <definedName name="DadosExternos_175" localSheetId="1">Cotacao!$C$7:$C$112</definedName>
    <definedName name="DadosExternos_175" localSheetId="2">'Cotacao 2'!$C$7:$C$112</definedName>
    <definedName name="DadosExternos_176" localSheetId="1">Cotacao!$C$7:$C$112</definedName>
    <definedName name="DadosExternos_176" localSheetId="2">'Cotacao 2'!$C$7:$C$112</definedName>
    <definedName name="DadosExternos_177" localSheetId="1">Cotacao!$C$7:$C$112</definedName>
    <definedName name="DadosExternos_177" localSheetId="2">'Cotacao 2'!$C$7:$C$112</definedName>
    <definedName name="DadosExternos_178" localSheetId="1">Cotacao!$C$7:$C$112</definedName>
    <definedName name="DadosExternos_178" localSheetId="2">'Cotacao 2'!$C$7:$C$112</definedName>
    <definedName name="DadosExternos_179" localSheetId="1">Cotacao!$C$7:$C$112</definedName>
    <definedName name="DadosExternos_179" localSheetId="2">'Cotacao 2'!$C$7:$C$112</definedName>
    <definedName name="DadosExternos_18" localSheetId="1">Cotacao!$C$7:$C$64</definedName>
    <definedName name="DadosExternos_18" localSheetId="2">'Cotacao 2'!$C$7:$C$64</definedName>
    <definedName name="DadosExternos_180" localSheetId="1">Cotacao!$C$7:$C$112</definedName>
    <definedName name="DadosExternos_180" localSheetId="2">'Cotacao 2'!$C$7:$C$112</definedName>
    <definedName name="DadosExternos_181" localSheetId="1">Cotacao!$C$7:$C$112</definedName>
    <definedName name="DadosExternos_181" localSheetId="2">'Cotacao 2'!$C$7:$C$112</definedName>
    <definedName name="DadosExternos_182" localSheetId="1">Cotacao!$C$7:$C$112</definedName>
    <definedName name="DadosExternos_182" localSheetId="2">'Cotacao 2'!$C$7:$C$112</definedName>
    <definedName name="DadosExternos_183" localSheetId="1">Cotacao!$C$7:$C$112</definedName>
    <definedName name="DadosExternos_183" localSheetId="2">'Cotacao 2'!$C$7:$C$112</definedName>
    <definedName name="DadosExternos_184" localSheetId="1">Cotacao!$C$7:$C$112</definedName>
    <definedName name="DadosExternos_184" localSheetId="2">'Cotacao 2'!$C$7:$C$8</definedName>
    <definedName name="DadosExternos_185" localSheetId="1">Cotacao!$C$7:$C$112</definedName>
    <definedName name="DadosExternos_185" localSheetId="2">'Cotacao 2'!$C$7:$C$8</definedName>
    <definedName name="DadosExternos_186" localSheetId="1">Cotacao!$C$7:$C$112</definedName>
    <definedName name="DadosExternos_186" localSheetId="2">'Cotacao 2'!$C$7:$C$9</definedName>
    <definedName name="DadosExternos_187" localSheetId="1">Cotacao!$C$7:$C$112</definedName>
    <definedName name="DadosExternos_187" localSheetId="2">'Cotacao 2'!$C$7:$C$10</definedName>
    <definedName name="DadosExternos_188" localSheetId="1">Cotacao!$C$7:$C$112</definedName>
    <definedName name="DadosExternos_188" localSheetId="2">'Cotacao 2'!$C$7:$C$13</definedName>
    <definedName name="DadosExternos_189" localSheetId="1">Cotacao!$C$7:$C$112</definedName>
    <definedName name="DadosExternos_189" localSheetId="2">'Cotacao 2'!$C$7:$C$11</definedName>
    <definedName name="DadosExternos_190" localSheetId="1">Cotacao!$C$7:$C$112</definedName>
    <definedName name="DadosExternos_190" localSheetId="2">'Cotacao 2'!$C$7:$C$13</definedName>
    <definedName name="DadosExternos_191" localSheetId="1">Cotacao!$C$7:$C$112</definedName>
    <definedName name="DadosExternos_191" localSheetId="2">'Cotacao 2'!$C$7:$C$14</definedName>
    <definedName name="DadosExternos_192" localSheetId="1">Cotacao!$C$7:$C$112</definedName>
    <definedName name="DadosExternos_192" localSheetId="2">'Cotacao 2'!$C$7:$C$16</definedName>
    <definedName name="DadosExternos_193" localSheetId="1">Cotacao!$C$7:$C$112</definedName>
    <definedName name="DadosExternos_193" localSheetId="2">'Cotacao 2'!$C$7:$C$16</definedName>
    <definedName name="DadosExternos_194" localSheetId="1">Cotacao!$C$7:$C$112</definedName>
    <definedName name="DadosExternos_194" localSheetId="2">'Cotacao 2'!$C$7:$C$17</definedName>
    <definedName name="DadosExternos_195" localSheetId="1">Cotacao!$C$7:$C$112</definedName>
    <definedName name="DadosExternos_195" localSheetId="2">'Cotacao 2'!$C$7:$C$19</definedName>
    <definedName name="DadosExternos_196" localSheetId="1">Cotacao!$C$7:$C$112</definedName>
    <definedName name="DadosExternos_196" localSheetId="2">'Cotacao 2'!$C$7:$C$22</definedName>
    <definedName name="DadosExternos_197" localSheetId="1">Cotacao!$C$7:$C$112</definedName>
    <definedName name="DadosExternos_197" localSheetId="2">'Cotacao 2'!$C$7:$C$41</definedName>
    <definedName name="DadosExternos_198" localSheetId="1">Cotacao!$C$7:$C$112</definedName>
    <definedName name="DadosExternos_198" localSheetId="2">'Cotacao 2'!$C$7:$C$41</definedName>
    <definedName name="DadosExternos_199" localSheetId="2">'Cotacao 2'!$C$7:$C$41</definedName>
    <definedName name="DadosExternos_2" localSheetId="1">Cotacao!$C$7:$C$63</definedName>
    <definedName name="DadosExternos_2" localSheetId="2">'Cotacao 2'!$C$7:$C$63</definedName>
    <definedName name="DadosExternos_20" localSheetId="1">Cotacao!$C$7:$C$64</definedName>
    <definedName name="DadosExternos_20" localSheetId="2">'Cotacao 2'!$C$7:$C$64</definedName>
    <definedName name="DadosExternos_200" localSheetId="1">Cotacao!$C$7:$C$112</definedName>
    <definedName name="DadosExternos_200" localSheetId="2">'Cotacao 2'!$C$7:$C$41</definedName>
    <definedName name="DadosExternos_201" localSheetId="1">Cotacao!$C$7:$C$112</definedName>
    <definedName name="DadosExternos_201" localSheetId="2">'Cotacao 2'!$C$7:$C$41</definedName>
    <definedName name="DadosExternos_202" localSheetId="1">Cotacao!$C$7:$C$112</definedName>
    <definedName name="DadosExternos_202" localSheetId="2">'Cotacao 2'!$C$7:$C$41</definedName>
    <definedName name="DadosExternos_203" localSheetId="1">Cotacao!$C$7:$C$112</definedName>
    <definedName name="DadosExternos_203" localSheetId="2">'Cotacao 2'!$C$7:$C$41</definedName>
    <definedName name="DadosExternos_204" localSheetId="1">Cotacao!$C$7:$C$112</definedName>
    <definedName name="DadosExternos_204" localSheetId="2">'Cotacao 2'!$C$7:$C$41</definedName>
    <definedName name="DadosExternos_205" localSheetId="1">Cotacao!$C$7:$C$112</definedName>
    <definedName name="DadosExternos_205" localSheetId="2">'Cotacao 2'!$C$7:$C$41</definedName>
    <definedName name="DadosExternos_206" localSheetId="1">Cotacao!$C$7:$C$112</definedName>
    <definedName name="DadosExternos_206" localSheetId="2">'Cotacao 2'!$C$7:$C$43</definedName>
    <definedName name="DadosExternos_207" localSheetId="1">Cotacao!$C$7:$C$112</definedName>
    <definedName name="DadosExternos_207" localSheetId="2">'Cotacao 2'!$C$7:$C$43</definedName>
    <definedName name="DadosExternos_208" localSheetId="2">'Cotacao 2'!$C$7:$C$43</definedName>
    <definedName name="DadosExternos_209" localSheetId="1">Cotacao!$C$7:$C$112</definedName>
    <definedName name="DadosExternos_209" localSheetId="2">'Cotacao 2'!$C$7:$C$44</definedName>
    <definedName name="DadosExternos_21" localSheetId="1">Cotacao!$C$7:$C$63</definedName>
    <definedName name="DadosExternos_21" localSheetId="2">'Cotacao 2'!$C$7:$C$63</definedName>
    <definedName name="DadosExternos_210" localSheetId="2">'Cotacao 2'!$C$7:$C$45</definedName>
    <definedName name="DadosExternos_211" localSheetId="1">Cotacao!$C$7:$C$112</definedName>
    <definedName name="DadosExternos_211" localSheetId="2">'Cotacao 2'!$C$7:$C$46</definedName>
    <definedName name="DadosExternos_212" localSheetId="1">Cotacao!$C$7:$C$112</definedName>
    <definedName name="DadosExternos_212" localSheetId="2">'Cotacao 2'!$C$7:$C$47</definedName>
    <definedName name="DadosExternos_213" localSheetId="1">Cotacao!$C$7:$C$112</definedName>
    <definedName name="DadosExternos_213" localSheetId="2">'Cotacao 2'!$C$7:$C$48</definedName>
    <definedName name="DadosExternos_214" localSheetId="2">'Cotacao 2'!$C$7:$C$49</definedName>
    <definedName name="DadosExternos_215" localSheetId="1">Cotacao!$C$7:$C$112</definedName>
    <definedName name="DadosExternos_215" localSheetId="2">'Cotacao 2'!$C$7:$C$50</definedName>
    <definedName name="DadosExternos_216" localSheetId="1">Cotacao!$C$7:$C$112</definedName>
    <definedName name="DadosExternos_216" localSheetId="2">'Cotacao 2'!$C$7:$C$51</definedName>
    <definedName name="DadosExternos_217" localSheetId="1">Cotacao!$C$7:$C$112</definedName>
    <definedName name="DadosExternos_217" localSheetId="2">'Cotacao 2'!$C$7:$C$51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20" localSheetId="1">Cotacao!$C$7:$C$112</definedName>
    <definedName name="DadosExternos_220" localSheetId="2">'Cotacao 2'!$C$7:$C$51</definedName>
    <definedName name="DadosExternos_221" localSheetId="1">Cotacao!$C$7:$C$112</definedName>
    <definedName name="DadosExternos_221" localSheetId="2">'Cotacao 2'!$C$7:$C$51</definedName>
    <definedName name="DadosExternos_222" localSheetId="1">Cotacao!$C$7:$C$112</definedName>
    <definedName name="DadosExternos_222" localSheetId="2">'Cotacao 2'!$C$7:$C$52</definedName>
    <definedName name="DadosExternos_223" localSheetId="2">'Cotacao 2'!$C$7:$C$53</definedName>
    <definedName name="DadosExternos_224" localSheetId="1">Cotacao!$C$7:$C$112</definedName>
    <definedName name="DadosExternos_224" localSheetId="2">'Cotacao 2'!$C$7:$C$54</definedName>
    <definedName name="DadosExternos_225" localSheetId="1">Cotacao!$C$7:$C$112</definedName>
    <definedName name="DadosExternos_225" localSheetId="2">'Cotacao 2'!$C$7:$C$55</definedName>
    <definedName name="DadosExternos_226" localSheetId="1">Cotacao!$C$7:$C$112</definedName>
    <definedName name="DadosExternos_227" localSheetId="2">'Cotacao 2'!$C$7:$C$56</definedName>
    <definedName name="DadosExternos_228" localSheetId="1">Cotacao!$C$7:$C$112</definedName>
    <definedName name="DadosExternos_228" localSheetId="2">'Cotacao 2'!$C$7:$C$57</definedName>
    <definedName name="DadosExternos_229" localSheetId="1">Cotacao!$C$7:$C$112</definedName>
    <definedName name="DadosExternos_229" localSheetId="2">'Cotacao 2'!$C$7:$C$58</definedName>
    <definedName name="DadosExternos_230" localSheetId="1">Cotacao!$C$7:$C$112</definedName>
    <definedName name="DadosExternos_230" localSheetId="2">'Cotacao 2'!$C$7:$C$59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4" localSheetId="2">'Cotacao 2'!$C$7:$C$63</definedName>
    <definedName name="DadosExternos_235" localSheetId="1">Cotacao!$C$7:$C$112</definedName>
    <definedName name="DadosExternos_235" localSheetId="2">'Cotacao 2'!$C$7:$C$64</definedName>
    <definedName name="DadosExternos_237" localSheetId="1">Cotacao!$C$7:$C$112</definedName>
    <definedName name="DadosExternos_237" localSheetId="2">'Cotacao 2'!$C$7:$C$65</definedName>
    <definedName name="DadosExternos_238" localSheetId="1">Cotacao!$C$7:$C$112</definedName>
    <definedName name="DadosExternos_238" localSheetId="2">'Cotacao 2'!$C$7:$C$66</definedName>
    <definedName name="DadosExternos_239" localSheetId="2">'Cotacao 2'!$C$7:$C$68</definedName>
    <definedName name="DadosExternos_24" localSheetId="1">Cotacao!$C$7:$C$63</definedName>
    <definedName name="DadosExternos_24" localSheetId="2">'Cotacao 2'!$C$7:$C$63</definedName>
    <definedName name="DadosExternos_240" localSheetId="1">Cotacao!$C$7:$C$112</definedName>
    <definedName name="DadosExternos_240" localSheetId="2">'Cotacao 2'!$C$7:$C$68</definedName>
    <definedName name="DadosExternos_241" localSheetId="2">'Cotacao 2'!$C$7:$C$68</definedName>
    <definedName name="DadosExternos_242" localSheetId="2">'Cotacao 2'!$C$7:$C$68</definedName>
    <definedName name="DadosExternos_243" localSheetId="2">'Cotacao 2'!$C$7:$C$68</definedName>
    <definedName name="DadosExternos_244" localSheetId="2">'Cotacao 2'!$C$7:$C$68</definedName>
    <definedName name="DadosExternos_246" localSheetId="2">'Cotacao 2'!$C$7:$C$68</definedName>
    <definedName name="DadosExternos_249" localSheetId="2">'Cotacao 2'!$C$7:$C$68</definedName>
    <definedName name="DadosExternos_250" localSheetId="2">'Cotacao 2'!$C$7:$C$68</definedName>
    <definedName name="DadosExternos_251" localSheetId="2">'Cotacao 2'!$C$7:$C$68</definedName>
    <definedName name="DadosExternos_253" localSheetId="2">'Cotacao 2'!$C$7:$C$69</definedName>
    <definedName name="DadosExternos_256" localSheetId="2">'Cotacao 2'!$C$7:$C$69</definedName>
    <definedName name="DadosExternos_257" localSheetId="2">'Cotacao 2'!$C$7:$C$69</definedName>
    <definedName name="DadosExternos_258" localSheetId="2">'Cotacao 2'!$C$7:$C$69</definedName>
    <definedName name="DadosExternos_259" localSheetId="2">'Cotacao 2'!$C$7:$C$69</definedName>
    <definedName name="DadosExternos_26" localSheetId="1">Cotacao!$C$7:$C$64</definedName>
    <definedName name="DadosExternos_26" localSheetId="2">'Cotacao 2'!$C$7:$C$64</definedName>
    <definedName name="DadosExternos_260" localSheetId="2">'Cotacao 2'!$C$7:$C$69</definedName>
    <definedName name="DadosExternos_261" localSheetId="2">'Cotacao 2'!$C$7:$C$69</definedName>
    <definedName name="DadosExternos_262" localSheetId="2">'Cotacao 2'!$C$7:$C$69</definedName>
    <definedName name="DadosExternos_263" localSheetId="2">'Cotacao 2'!$C$7:$C$69</definedName>
    <definedName name="DadosExternos_265" localSheetId="2">'Cotacao 2'!$C$7:$C$69</definedName>
    <definedName name="DadosExternos_268" localSheetId="2">'Cotacao 2'!$C$7:$C$69</definedName>
    <definedName name="DadosExternos_269" localSheetId="2">'Cotacao 2'!$C$7:$C$69</definedName>
    <definedName name="DadosExternos_27" localSheetId="1">Cotacao!$C$7:$C$65</definedName>
    <definedName name="DadosExternos_27" localSheetId="2">'Cotacao 2'!$C$7:$C$65</definedName>
    <definedName name="DadosExternos_270" localSheetId="2">'Cotacao 2'!$C$7:$C$69</definedName>
    <definedName name="DadosExternos_271" localSheetId="2">'Cotacao 2'!$C$7:$C$69</definedName>
    <definedName name="DadosExternos_272" localSheetId="2">'Cotacao 2'!$C$7:$C$69</definedName>
    <definedName name="DadosExternos_275" localSheetId="2">'Cotacao 2'!$C$7:$C$69</definedName>
    <definedName name="DadosExternos_276" localSheetId="2">'Cotacao 2'!$C$7:$C$69</definedName>
    <definedName name="DadosExternos_277" localSheetId="2">'Cotacao 2'!$C$7:$C$69</definedName>
    <definedName name="DadosExternos_278" localSheetId="2">'Cotacao 2'!$C$7:$C$69</definedName>
    <definedName name="DadosExternos_279" localSheetId="2">'Cotacao 2'!$C$7:$C$69</definedName>
    <definedName name="DadosExternos_28" localSheetId="1">Cotacao!$C$7:$C$65</definedName>
    <definedName name="DadosExternos_28" localSheetId="2">'Cotacao 2'!$C$7:$C$65</definedName>
    <definedName name="DadosExternos_280" localSheetId="2">'Cotacao 2'!$C$7:$C$69</definedName>
    <definedName name="DadosExternos_281" localSheetId="2">'Cotacao 2'!$C$7:$C$69</definedName>
    <definedName name="DadosExternos_282" localSheetId="2">'Cotacao 2'!$C$7:$C$69</definedName>
    <definedName name="DadosExternos_287" localSheetId="2">'Cotacao 2'!$C$7:$C$69</definedName>
    <definedName name="DadosExternos_288" localSheetId="2">'Cotacao 2'!$C$7:$C$71</definedName>
    <definedName name="DadosExternos_29" localSheetId="1">Cotacao!$C$7:$C$65</definedName>
    <definedName name="DadosExternos_29" localSheetId="2">'Cotacao 2'!$C$7:$C$65</definedName>
    <definedName name="DadosExternos_290" localSheetId="2">'Cotacao 2'!$C$7:$C$69</definedName>
    <definedName name="DadosExternos_3" localSheetId="1">Cotacao!$C$7:$C$63</definedName>
    <definedName name="DadosExternos_3" localSheetId="2">'Cotacao 2'!$C$7:$C$63</definedName>
    <definedName name="DadosExternos_30" localSheetId="1">Cotacao!$C$7:$C$65</definedName>
    <definedName name="DadosExternos_30" localSheetId="2">'Cotacao 2'!$C$7:$C$65</definedName>
    <definedName name="DadosExternos_31" localSheetId="1">Cotacao!$C$7:$C$65</definedName>
    <definedName name="DadosExternos_31" localSheetId="2">'Cotacao 2'!$C$7:$C$65</definedName>
    <definedName name="DadosExternos_32" localSheetId="1">Cotacao!$C$7:$C$65</definedName>
    <definedName name="DadosExternos_32" localSheetId="2">'Cotacao 2'!$C$7:$C$65</definedName>
    <definedName name="DadosExternos_33" localSheetId="1">Cotacao!$C$7:$C$65</definedName>
    <definedName name="DadosExternos_33" localSheetId="2">'Cotacao 2'!$C$7:$C$65</definedName>
    <definedName name="DadosExternos_34" localSheetId="1">Cotacao!$C$7:$C$65</definedName>
    <definedName name="DadosExternos_34" localSheetId="2">'Cotacao 2'!$C$7:$C$65</definedName>
    <definedName name="DadosExternos_35" localSheetId="1">Cotacao!$C$7:$C$66</definedName>
    <definedName name="DadosExternos_35" localSheetId="2">'Cotacao 2'!$C$7:$C$66</definedName>
    <definedName name="DadosExternos_36" localSheetId="1">Cotacao!$C$7:$C$67</definedName>
    <definedName name="DadosExternos_36" localSheetId="2">'Cotacao 2'!$C$7:$C$67</definedName>
    <definedName name="DadosExternos_37" localSheetId="1">Cotacao!$C$7:$C$68</definedName>
    <definedName name="DadosExternos_37" localSheetId="2">'Cotacao 2'!$C$7:$C$68</definedName>
    <definedName name="DadosExternos_38" localSheetId="1">Cotacao!$C$7:$C$69</definedName>
    <definedName name="DadosExternos_38" localSheetId="2">'Cotacao 2'!$C$7:$C$69</definedName>
    <definedName name="DadosExternos_39" localSheetId="1">Cotacao!$C$7:$C$70</definedName>
    <definedName name="DadosExternos_39" localSheetId="2">'Cotacao 2'!$C$7:$C$70</definedName>
    <definedName name="DadosExternos_4" localSheetId="1">Cotacao!$C$7:$C$63</definedName>
    <definedName name="DadosExternos_4" localSheetId="2">'Cotacao 2'!$C$7:$C$63</definedName>
    <definedName name="DadosExternos_40" localSheetId="1">Cotacao!$C$7:$C$71</definedName>
    <definedName name="DadosExternos_40" localSheetId="2">'Cotacao 2'!$C$7:$C$71</definedName>
    <definedName name="DadosExternos_41" localSheetId="1">Cotacao!$C$7:$C$72</definedName>
    <definedName name="DadosExternos_41" localSheetId="2">'Cotacao 2'!$C$7:$C$72</definedName>
    <definedName name="DadosExternos_42" localSheetId="1">Cotacao!$C$7:$C$73</definedName>
    <definedName name="DadosExternos_42" localSheetId="2">'Cotacao 2'!$C$7:$C$73</definedName>
    <definedName name="DadosExternos_43" localSheetId="1">Cotacao!$C$7:$C$74</definedName>
    <definedName name="DadosExternos_43" localSheetId="2">'Cotacao 2'!$C$7:$C$74</definedName>
    <definedName name="DadosExternos_44" localSheetId="1">Cotacao!$C$7:$C$75</definedName>
    <definedName name="DadosExternos_44" localSheetId="2">'Cotacao 2'!$C$7:$C$75</definedName>
    <definedName name="DadosExternos_45" localSheetId="1">Cotacao!$C$7:$C$76</definedName>
    <definedName name="DadosExternos_45" localSheetId="2">'Cotacao 2'!$C$7:$C$76</definedName>
    <definedName name="DadosExternos_46" localSheetId="1">Cotacao!$C$7:$C$77</definedName>
    <definedName name="DadosExternos_46" localSheetId="2">'Cotacao 2'!$C$7:$C$77</definedName>
    <definedName name="DadosExternos_47" localSheetId="1">Cotacao!$C$7:$C$78</definedName>
    <definedName name="DadosExternos_47" localSheetId="2">'Cotacao 2'!$C$7:$C$78</definedName>
    <definedName name="DadosExternos_48" localSheetId="1">Cotacao!$C$7:$C$79</definedName>
    <definedName name="DadosExternos_48" localSheetId="2">'Cotacao 2'!$C$7:$C$79</definedName>
    <definedName name="DadosExternos_49" localSheetId="1">Cotacao!$C$7:$C$80</definedName>
    <definedName name="DadosExternos_49" localSheetId="2">'Cotacao 2'!$C$7:$C$80</definedName>
    <definedName name="DadosExternos_50" localSheetId="1">Cotacao!$C$7:$C$81</definedName>
    <definedName name="DadosExternos_50" localSheetId="2">'Cotacao 2'!$C$7:$C$81</definedName>
    <definedName name="DadosExternos_51" localSheetId="1">Cotacao!$C$7:$C$82</definedName>
    <definedName name="DadosExternos_51" localSheetId="2">'Cotacao 2'!$C$7:$C$82</definedName>
    <definedName name="DadosExternos_52" localSheetId="1">Cotacao!$C$7:$C$83</definedName>
    <definedName name="DadosExternos_52" localSheetId="2">'Cotacao 2'!$C$7:$C$83</definedName>
    <definedName name="DadosExternos_53" localSheetId="1">Cotacao!$C$7:$C$84</definedName>
    <definedName name="DadosExternos_53" localSheetId="2">'Cotacao 2'!$C$7:$C$84</definedName>
    <definedName name="DadosExternos_54" localSheetId="1">Cotacao!$C$7:$C$96</definedName>
    <definedName name="DadosExternos_54" localSheetId="2">'Cotacao 2'!$C$7:$C$96</definedName>
    <definedName name="DadosExternos_55" localSheetId="1">Cotacao!$C$7:$C$96</definedName>
    <definedName name="DadosExternos_55" localSheetId="2">'Cotacao 2'!$C$7:$C$96</definedName>
    <definedName name="DadosExternos_56" localSheetId="1">Cotacao!$C$7:$C$96</definedName>
    <definedName name="DadosExternos_56" localSheetId="2">'Cotacao 2'!$C$7:$C$96</definedName>
    <definedName name="DadosExternos_57" localSheetId="1">Cotacao!$C$7:$C$96</definedName>
    <definedName name="DadosExternos_57" localSheetId="2">'Cotacao 2'!$C$7:$C$96</definedName>
    <definedName name="DadosExternos_58" localSheetId="1">Cotacao!$C$7:$C$96</definedName>
    <definedName name="DadosExternos_58" localSheetId="2">'Cotacao 2'!$C$7:$C$96</definedName>
    <definedName name="DadosExternos_59" localSheetId="1">Cotacao!$C$7:$C$96</definedName>
    <definedName name="DadosExternos_59" localSheetId="2">'Cotacao 2'!$C$7:$C$96</definedName>
    <definedName name="DadosExternos_6" localSheetId="1">Cotacao!$C$7:$C$63</definedName>
    <definedName name="DadosExternos_6" localSheetId="2">'Cotacao 2'!$C$7:$C$63</definedName>
    <definedName name="DadosExternos_60" localSheetId="1">Cotacao!$C$7:$C$97</definedName>
    <definedName name="DadosExternos_60" localSheetId="2">'Cotacao 2'!$C$7:$C$97</definedName>
    <definedName name="DadosExternos_61" localSheetId="1">Cotacao!$C$7:$C$97</definedName>
    <definedName name="DadosExternos_61" localSheetId="2">'Cotacao 2'!$C$7:$C$97</definedName>
    <definedName name="DadosExternos_62" localSheetId="1">Cotacao!$C$7:$C$103</definedName>
    <definedName name="DadosExternos_62" localSheetId="2">'Cotacao 2'!$C$7:$C$103</definedName>
    <definedName name="DadosExternos_63" localSheetId="1">Cotacao!$C$7:$C$106</definedName>
    <definedName name="DadosExternos_63" localSheetId="2">'Cotacao 2'!$C$7:$C$106</definedName>
    <definedName name="DadosExternos_64" localSheetId="1">Cotacao!$C$7:$C$106</definedName>
    <definedName name="DadosExternos_64" localSheetId="2">'Cotacao 2'!$C$7:$C$106</definedName>
    <definedName name="DadosExternos_65" localSheetId="1">Cotacao!$C$7:$C$109</definedName>
    <definedName name="DadosExternos_65" localSheetId="2">'Cotacao 2'!$C$7:$C$109</definedName>
    <definedName name="DadosExternos_66" localSheetId="1">Cotacao!$C$7:$C$111</definedName>
    <definedName name="DadosExternos_66" localSheetId="2">'Cotacao 2'!$C$7:$C$111</definedName>
    <definedName name="DadosExternos_67" localSheetId="1">Cotacao!$C$7:$C$112</definedName>
    <definedName name="DadosExternos_67" localSheetId="2">'Cotacao 2'!$C$7:$C$112</definedName>
    <definedName name="DadosExternos_68" localSheetId="1">Cotacao!$C$7:$C$110</definedName>
    <definedName name="DadosExternos_68" localSheetId="2">'Cotacao 2'!$C$7:$C$110</definedName>
    <definedName name="DadosExternos_69" localSheetId="1">Cotacao!$C$7:$C$110</definedName>
    <definedName name="DadosExternos_69" localSheetId="2">'Cotacao 2'!$C$7:$C$110</definedName>
    <definedName name="DadosExternos_7" localSheetId="1">Cotacao!$C$7:$C$63</definedName>
    <definedName name="DadosExternos_7" localSheetId="2">'Cotacao 2'!$C$7:$C$63</definedName>
    <definedName name="DadosExternos_70" localSheetId="1">Cotacao!$C$7:$C$110</definedName>
    <definedName name="DadosExternos_70" localSheetId="2">'Cotacao 2'!$C$7:$C$110</definedName>
    <definedName name="DadosExternos_71" localSheetId="1">Cotacao!$C$7:$C$110</definedName>
    <definedName name="DadosExternos_71" localSheetId="2">'Cotacao 2'!$C$7:$C$110</definedName>
    <definedName name="DadosExternos_72" localSheetId="1">Cotacao!$C$7:$C$112</definedName>
    <definedName name="DadosExternos_72" localSheetId="2">'Cotacao 2'!$C$7:$C$112</definedName>
    <definedName name="DadosExternos_73" localSheetId="1">Cotacao!$C$7:$C$114</definedName>
    <definedName name="DadosExternos_73" localSheetId="2">'Cotacao 2'!$C$7:$C$114</definedName>
    <definedName name="DadosExternos_8" localSheetId="1">Cotacao!$C$7:$C$63</definedName>
    <definedName name="DadosExternos_8" localSheetId="2">'Cotacao 2'!$C$7:$C$63</definedName>
    <definedName name="DadosExternos_9" localSheetId="1">Cotacao!$C$7:$C$63</definedName>
    <definedName name="DadosExternos_9" localSheetId="2">'Cotacao 2'!$C$7:$C$63</definedName>
    <definedName name="DadosExternos_90" localSheetId="1">Cotacao!$C$7:$C$114</definedName>
    <definedName name="DadosExternos_90" localSheetId="2">'Cotacao 2'!$C$7:$C$114</definedName>
    <definedName name="DadosExternos_96" localSheetId="1">Cotacao!$C$7:$C$114</definedName>
    <definedName name="DadosExternos_96" localSheetId="2">'Cotacao 2'!$C$7:$C$114</definedName>
    <definedName name="DadosExternos_97" localSheetId="1">Cotacao!$C$7:$C$114</definedName>
    <definedName name="DadosExternos_97" localSheetId="2">'Cotacao 2'!$C$7:$C$114</definedName>
    <definedName name="DadosExternos_98" localSheetId="1">Cotacao!$C$7:$C$114</definedName>
    <definedName name="DadosExternos_98" localSheetId="2">'Cotacao 2'!$C$7:$C$114</definedName>
    <definedName name="ExternalData_1" localSheetId="1">Cotacao!$C$7:$C$64</definedName>
    <definedName name="ExternalData_1" localSheetId="2">'Cotacao 2'!$C$7:$C$64</definedName>
    <definedName name="ExternalData_10" localSheetId="1">Cotacao!$C$7:$C$93</definedName>
    <definedName name="ExternalData_10" localSheetId="2">'Cotacao 2'!$C$7:$C$93</definedName>
    <definedName name="ExternalData_11" localSheetId="1">Cotacao!$C$7:$C$94</definedName>
    <definedName name="ExternalData_11" localSheetId="2">'Cotacao 2'!$C$7:$C$94</definedName>
    <definedName name="ExternalData_12" localSheetId="1">Cotacao!$C$7:$C$95</definedName>
    <definedName name="ExternalData_12" localSheetId="2">'Cotacao 2'!$C$7:$C$95</definedName>
    <definedName name="ExternalData_13" localSheetId="1">Cotacao!$C$7:$C$96</definedName>
    <definedName name="ExternalData_13" localSheetId="2">'Cotacao 2'!$C$7:$C$96</definedName>
    <definedName name="ExternalData_14" localSheetId="1">Cotacao!$C$7:$C$98</definedName>
    <definedName name="ExternalData_14" localSheetId="2">'Cotacao 2'!$C$7:$C$98</definedName>
    <definedName name="ExternalData_15" localSheetId="1">Cotacao!$C$7:$C$100</definedName>
    <definedName name="ExternalData_15" localSheetId="2">'Cotacao 2'!$C$7:$C$100</definedName>
    <definedName name="ExternalData_16" localSheetId="1">Cotacao!$C$7:$C$101</definedName>
    <definedName name="ExternalData_16" localSheetId="2">'Cotacao 2'!$C$7:$C$101</definedName>
    <definedName name="ExternalData_17" localSheetId="1">Cotacao!$C$7:$C$110</definedName>
    <definedName name="ExternalData_17" localSheetId="2">'Cotacao 2'!$C$7:$C$110</definedName>
    <definedName name="ExternalData_18" localSheetId="1">Cotacao!$C$7:$C$111</definedName>
    <definedName name="ExternalData_18" localSheetId="2">'Cotacao 2'!$C$7:$C$111</definedName>
    <definedName name="ExternalData_19" localSheetId="1">Cotacao!$C$7:$C$113</definedName>
    <definedName name="ExternalData_19" localSheetId="2">'Cotacao 2'!$C$7:$C$113</definedName>
    <definedName name="ExternalData_2" localSheetId="1">Cotacao!$C$7:$C$85</definedName>
    <definedName name="ExternalData_2" localSheetId="2">'Cotacao 2'!$C$7:$C$85</definedName>
    <definedName name="ExternalData_20" localSheetId="1">Cotacao!$C$7:$C$111</definedName>
    <definedName name="ExternalData_20" localSheetId="2">'Cotacao 2'!$C$7:$C$111</definedName>
    <definedName name="ExternalData_21" localSheetId="1">Cotacao!$C$7:$C$112</definedName>
    <definedName name="ExternalData_21" localSheetId="2">'Cotacao 2'!$C$7:$C$112</definedName>
    <definedName name="ExternalData_22" localSheetId="2">'Cotacao 2'!$C$7:$C$23</definedName>
    <definedName name="ExternalData_23" localSheetId="2">'Cotacao 2'!$C$7:$C$23</definedName>
    <definedName name="ExternalData_24" localSheetId="2">'Cotacao 2'!$C$7:$C$24</definedName>
    <definedName name="ExternalData_25" localSheetId="2">'Cotacao 2'!$C$7:$C$26</definedName>
    <definedName name="ExternalData_26" localSheetId="2">'Cotacao 2'!$C$7:$C$27</definedName>
    <definedName name="ExternalData_27" localSheetId="2">'Cotacao 2'!$C$7:$C$29</definedName>
    <definedName name="ExternalData_28" localSheetId="2">'Cotacao 2'!$C$7:$C$28</definedName>
    <definedName name="ExternalData_29" localSheetId="2">'Cotacao 2'!$C$7:$C$28</definedName>
    <definedName name="ExternalData_3" localSheetId="1">Cotacao!$C$7:$C$86</definedName>
    <definedName name="ExternalData_3" localSheetId="2">'Cotacao 2'!$C$7:$C$86</definedName>
    <definedName name="ExternalData_30" localSheetId="2">'Cotacao 2'!$C$7:$C$29</definedName>
    <definedName name="ExternalData_31" localSheetId="2">'Cotacao 2'!$C$7:$C$30</definedName>
    <definedName name="ExternalData_32" localSheetId="2">'Cotacao 2'!$C$7:$C$32</definedName>
    <definedName name="ExternalData_33" localSheetId="2">'Cotacao 2'!$C$7:$C$32</definedName>
    <definedName name="ExternalData_34" localSheetId="2">'Cotacao 2'!$C$7:$C$34</definedName>
    <definedName name="ExternalData_35" localSheetId="2">'Cotacao 2'!$C$7:$C$36</definedName>
    <definedName name="ExternalData_36" localSheetId="2">'Cotacao 2'!$C$7:$C$39</definedName>
    <definedName name="ExternalData_37" localSheetId="2">'Cotacao 2'!$C$7:$C$38</definedName>
    <definedName name="ExternalData_38" localSheetId="2">'Cotacao 2'!$C$7:$C$39</definedName>
    <definedName name="ExternalData_39" localSheetId="2">'Cotacao 2'!$C$7:$C$40</definedName>
    <definedName name="ExternalData_4" localSheetId="1">Cotacao!$C$7:$C$87</definedName>
    <definedName name="ExternalData_4" localSheetId="2">'Cotacao 2'!$C$7:$C$87</definedName>
    <definedName name="ExternalData_40" localSheetId="2">'Cotacao 2'!$C$7:$C$41</definedName>
    <definedName name="ExternalData_5" localSheetId="1">Cotacao!$C$7:$C$88</definedName>
    <definedName name="ExternalData_5" localSheetId="2">'Cotacao 2'!$C$7:$C$88</definedName>
    <definedName name="ExternalData_6" localSheetId="1">Cotacao!$C$7:$C$89</definedName>
    <definedName name="ExternalData_6" localSheetId="2">'Cotacao 2'!$C$7:$C$89</definedName>
    <definedName name="ExternalData_7" localSheetId="1">Cotacao!$C$7:$C$90</definedName>
    <definedName name="ExternalData_7" localSheetId="2">'Cotacao 2'!$C$7:$C$90</definedName>
    <definedName name="ExternalData_8" localSheetId="1">Cotacao!$C$7:$C$91</definedName>
    <definedName name="ExternalData_8" localSheetId="2">'Cotacao 2'!$C$7:$C$91</definedName>
    <definedName name="ExternalData_9" localSheetId="1">Cotacao!$C$7:$C$92</definedName>
    <definedName name="ExternalData_9" localSheetId="2">'Cotacao 2'!$C$7:$C$92</definedName>
  </definedNames>
  <calcPr calcId="124519"/>
  <pivotCaches>
    <pivotCache cacheId="1" r:id="rId9"/>
    <pivotCache cacheId="10" r:id="rId10"/>
  </pivotCaches>
</workbook>
</file>

<file path=xl/calcChain.xml><?xml version="1.0" encoding="utf-8"?>
<calcChain xmlns="http://schemas.openxmlformats.org/spreadsheetml/2006/main">
  <c r="D3" i="12"/>
  <c r="E3"/>
  <c r="G3"/>
  <c r="J3"/>
  <c r="K3"/>
  <c r="D4"/>
  <c r="E4"/>
  <c r="G4"/>
  <c r="J4"/>
  <c r="K4"/>
  <c r="D5"/>
  <c r="E5"/>
  <c r="G5"/>
  <c r="J5"/>
  <c r="K5"/>
  <c r="D6"/>
  <c r="E6"/>
  <c r="G6"/>
  <c r="I6"/>
  <c r="J6"/>
  <c r="K6"/>
  <c r="D7"/>
  <c r="E7"/>
  <c r="G7"/>
  <c r="J7"/>
  <c r="K7"/>
  <c r="D8"/>
  <c r="E8"/>
  <c r="G8"/>
  <c r="J8"/>
  <c r="K8"/>
  <c r="D9"/>
  <c r="E9"/>
  <c r="G9"/>
  <c r="J9"/>
  <c r="K9"/>
  <c r="D10"/>
  <c r="E10"/>
  <c r="G10"/>
  <c r="J10"/>
  <c r="K10"/>
  <c r="D11"/>
  <c r="E11"/>
  <c r="G11"/>
  <c r="J11"/>
  <c r="K11"/>
  <c r="D12"/>
  <c r="E12"/>
  <c r="G12"/>
  <c r="J12"/>
  <c r="K12"/>
  <c r="D13"/>
  <c r="E13"/>
  <c r="G13"/>
  <c r="J13"/>
  <c r="K13"/>
  <c r="D14"/>
  <c r="E14"/>
  <c r="G14"/>
  <c r="J14"/>
  <c r="K14"/>
  <c r="D15"/>
  <c r="E15"/>
  <c r="G15"/>
  <c r="J15"/>
  <c r="K15"/>
  <c r="D16"/>
  <c r="E16"/>
  <c r="G16"/>
  <c r="J16"/>
  <c r="K16"/>
  <c r="D17"/>
  <c r="E17"/>
  <c r="G17"/>
  <c r="J17"/>
  <c r="K17"/>
  <c r="D18"/>
  <c r="E18"/>
  <c r="G18"/>
  <c r="J18"/>
  <c r="K18"/>
  <c r="D19"/>
  <c r="E19"/>
  <c r="G19"/>
  <c r="J19"/>
  <c r="K19"/>
  <c r="D20"/>
  <c r="E20"/>
  <c r="G20"/>
  <c r="J20"/>
  <c r="K20"/>
  <c r="D21"/>
  <c r="E21"/>
  <c r="G21"/>
  <c r="J21"/>
  <c r="K21"/>
  <c r="D22"/>
  <c r="E22"/>
  <c r="G22"/>
  <c r="J22"/>
  <c r="K22"/>
  <c r="D23"/>
  <c r="E23"/>
  <c r="G23"/>
  <c r="J23"/>
  <c r="K23"/>
  <c r="D24"/>
  <c r="E24"/>
  <c r="G24"/>
  <c r="J24"/>
  <c r="K24"/>
  <c r="D25"/>
  <c r="E25"/>
  <c r="G25"/>
  <c r="J25"/>
  <c r="K25"/>
  <c r="D26"/>
  <c r="E26"/>
  <c r="G26"/>
  <c r="J26"/>
  <c r="K26"/>
  <c r="D27"/>
  <c r="E27"/>
  <c r="G27"/>
  <c r="J27"/>
  <c r="K27"/>
  <c r="D28"/>
  <c r="E28"/>
  <c r="G28"/>
  <c r="J28"/>
  <c r="K28"/>
  <c r="D29"/>
  <c r="E29"/>
  <c r="G29"/>
  <c r="J29"/>
  <c r="K29"/>
  <c r="D30"/>
  <c r="E30"/>
  <c r="G30"/>
  <c r="J30"/>
  <c r="K30"/>
  <c r="D31"/>
  <c r="E31"/>
  <c r="G31"/>
  <c r="J31"/>
  <c r="K31"/>
  <c r="D32"/>
  <c r="E32"/>
  <c r="G32"/>
  <c r="J32"/>
  <c r="K32"/>
  <c r="D33"/>
  <c r="E33"/>
  <c r="G33"/>
  <c r="J33"/>
  <c r="K33"/>
  <c r="D34"/>
  <c r="E34"/>
  <c r="G34"/>
  <c r="J34"/>
  <c r="K34"/>
  <c r="D35"/>
  <c r="E35"/>
  <c r="G35"/>
  <c r="J35"/>
  <c r="K35"/>
  <c r="D36"/>
  <c r="E36"/>
  <c r="G36"/>
  <c r="J36"/>
  <c r="K36"/>
  <c r="D37"/>
  <c r="E37"/>
  <c r="G37"/>
  <c r="J37"/>
  <c r="K37"/>
  <c r="D38"/>
  <c r="E38"/>
  <c r="G38"/>
  <c r="J38"/>
  <c r="K38"/>
  <c r="D39"/>
  <c r="E39"/>
  <c r="G39"/>
  <c r="J39"/>
  <c r="K39"/>
  <c r="D40"/>
  <c r="E40"/>
  <c r="G40"/>
  <c r="J40"/>
  <c r="K40"/>
  <c r="D41"/>
  <c r="E41"/>
  <c r="G41"/>
  <c r="J41"/>
  <c r="K41"/>
  <c r="D42"/>
  <c r="E42"/>
  <c r="G42"/>
  <c r="J42"/>
  <c r="K42"/>
  <c r="D43"/>
  <c r="E43"/>
  <c r="G43"/>
  <c r="J43"/>
  <c r="K43"/>
  <c r="D44"/>
  <c r="E44"/>
  <c r="G44"/>
  <c r="J44"/>
  <c r="K44"/>
  <c r="D45"/>
  <c r="E45"/>
  <c r="G45"/>
  <c r="J45"/>
  <c r="K45"/>
  <c r="D46"/>
  <c r="E46"/>
  <c r="G46"/>
  <c r="J46"/>
  <c r="K46"/>
  <c r="D47"/>
  <c r="E47"/>
  <c r="G47"/>
  <c r="J47"/>
  <c r="K47"/>
  <c r="D48"/>
  <c r="E48"/>
  <c r="G48"/>
  <c r="J48"/>
  <c r="K48"/>
  <c r="D49"/>
  <c r="E49"/>
  <c r="G49"/>
  <c r="J49"/>
  <c r="K49"/>
  <c r="D50"/>
  <c r="E50"/>
  <c r="G50"/>
  <c r="J50"/>
  <c r="K50"/>
  <c r="D51"/>
  <c r="E51"/>
  <c r="G51"/>
  <c r="J51"/>
  <c r="K51"/>
  <c r="D52"/>
  <c r="E52"/>
  <c r="G52"/>
  <c r="J52"/>
  <c r="K52"/>
  <c r="D53"/>
  <c r="E53"/>
  <c r="G53"/>
  <c r="J53"/>
  <c r="K53"/>
  <c r="D54"/>
  <c r="E54"/>
  <c r="G54"/>
  <c r="J54"/>
  <c r="K54"/>
  <c r="D55"/>
  <c r="E55"/>
  <c r="G55"/>
  <c r="J55"/>
  <c r="K55"/>
  <c r="D56"/>
  <c r="E56"/>
  <c r="G56"/>
  <c r="J56"/>
  <c r="K56"/>
  <c r="D57"/>
  <c r="E57"/>
  <c r="G57"/>
  <c r="J57"/>
  <c r="K57"/>
  <c r="D58"/>
  <c r="E58"/>
  <c r="G58"/>
  <c r="J58"/>
  <c r="K58"/>
  <c r="D59"/>
  <c r="E59"/>
  <c r="G59"/>
  <c r="J59"/>
  <c r="K59"/>
  <c r="D60"/>
  <c r="E60"/>
  <c r="G60"/>
  <c r="J60"/>
  <c r="K60"/>
  <c r="D61"/>
  <c r="E61"/>
  <c r="G61"/>
  <c r="J61"/>
  <c r="K61"/>
  <c r="D62"/>
  <c r="E62"/>
  <c r="G62"/>
  <c r="J62"/>
  <c r="K62"/>
  <c r="D63"/>
  <c r="E63"/>
  <c r="G63"/>
  <c r="J63"/>
  <c r="K63"/>
  <c r="D64"/>
  <c r="E64"/>
  <c r="G64"/>
  <c r="J64"/>
  <c r="K64"/>
  <c r="D65"/>
  <c r="E65"/>
  <c r="G65"/>
  <c r="J65"/>
  <c r="K65"/>
  <c r="D66"/>
  <c r="E66"/>
  <c r="G66"/>
  <c r="J66"/>
  <c r="K66"/>
  <c r="D67"/>
  <c r="E67"/>
  <c r="G67"/>
  <c r="J67"/>
  <c r="K67"/>
  <c r="D68"/>
  <c r="E68"/>
  <c r="G68"/>
  <c r="J68"/>
  <c r="K68"/>
  <c r="D69"/>
  <c r="E69"/>
  <c r="G69"/>
  <c r="J69"/>
  <c r="K69"/>
  <c r="D70"/>
  <c r="E70"/>
  <c r="G70"/>
  <c r="J70"/>
  <c r="K70"/>
  <c r="D71"/>
  <c r="E71"/>
  <c r="G71"/>
  <c r="J71"/>
  <c r="K71"/>
  <c r="D72"/>
  <c r="E72"/>
  <c r="G72"/>
  <c r="J72"/>
  <c r="K72"/>
  <c r="D73"/>
  <c r="E73"/>
  <c r="G73"/>
  <c r="J73"/>
  <c r="K73"/>
  <c r="D74"/>
  <c r="E74"/>
  <c r="G74"/>
  <c r="J74"/>
  <c r="K74"/>
  <c r="D75"/>
  <c r="E75"/>
  <c r="G75"/>
  <c r="J75"/>
  <c r="K75"/>
  <c r="D76"/>
  <c r="E76"/>
  <c r="G76"/>
  <c r="J76"/>
  <c r="K76"/>
  <c r="D77"/>
  <c r="E77"/>
  <c r="G77"/>
  <c r="J77"/>
  <c r="K77"/>
  <c r="D78"/>
  <c r="E78"/>
  <c r="G78"/>
  <c r="J78"/>
  <c r="K78"/>
  <c r="D79"/>
  <c r="E79"/>
  <c r="G79"/>
  <c r="J79"/>
  <c r="K79"/>
  <c r="D80"/>
  <c r="E80"/>
  <c r="G80"/>
  <c r="J80"/>
  <c r="K80"/>
  <c r="D81"/>
  <c r="E81"/>
  <c r="G81"/>
  <c r="J81"/>
  <c r="K81"/>
  <c r="D82"/>
  <c r="E82"/>
  <c r="G82"/>
  <c r="J82"/>
  <c r="K82"/>
  <c r="D83"/>
  <c r="E83"/>
  <c r="G83"/>
  <c r="J83"/>
  <c r="K83"/>
  <c r="D84"/>
  <c r="E84"/>
  <c r="G84"/>
  <c r="J84"/>
  <c r="K84"/>
  <c r="D85"/>
  <c r="E85"/>
  <c r="G85"/>
  <c r="J85"/>
  <c r="K85"/>
  <c r="D86"/>
  <c r="E86"/>
  <c r="G86"/>
  <c r="J86"/>
  <c r="K86"/>
  <c r="D87"/>
  <c r="E87"/>
  <c r="G87"/>
  <c r="J87"/>
  <c r="K87"/>
  <c r="D88"/>
  <c r="E88"/>
  <c r="G88"/>
  <c r="J88"/>
  <c r="K88"/>
  <c r="D89"/>
  <c r="E89"/>
  <c r="G89"/>
  <c r="J89"/>
  <c r="K89"/>
  <c r="D90"/>
  <c r="E90"/>
  <c r="G90"/>
  <c r="J90"/>
  <c r="K90"/>
  <c r="D91"/>
  <c r="E91"/>
  <c r="G91"/>
  <c r="J91"/>
  <c r="K91"/>
  <c r="D92"/>
  <c r="E92"/>
  <c r="G92"/>
  <c r="J92"/>
  <c r="K92"/>
  <c r="D93"/>
  <c r="E93"/>
  <c r="G93"/>
  <c r="J93"/>
  <c r="K93"/>
  <c r="D94"/>
  <c r="E94"/>
  <c r="G94"/>
  <c r="J94"/>
  <c r="K94"/>
  <c r="D95"/>
  <c r="E95"/>
  <c r="G95"/>
  <c r="J95"/>
  <c r="K95"/>
  <c r="D96"/>
  <c r="E96"/>
  <c r="G96"/>
  <c r="J96"/>
  <c r="K96"/>
  <c r="D97"/>
  <c r="E97"/>
  <c r="G97"/>
  <c r="J97"/>
  <c r="K97"/>
  <c r="D98"/>
  <c r="E98"/>
  <c r="G98"/>
  <c r="J98"/>
  <c r="K98"/>
  <c r="D99"/>
  <c r="E99"/>
  <c r="G99"/>
  <c r="J99"/>
  <c r="K99"/>
  <c r="D100"/>
  <c r="E100"/>
  <c r="G100"/>
  <c r="J100"/>
  <c r="K100"/>
  <c r="D101"/>
  <c r="E101"/>
  <c r="G101"/>
  <c r="J101"/>
  <c r="K101"/>
  <c r="D102"/>
  <c r="E102"/>
  <c r="G102"/>
  <c r="J102"/>
  <c r="K102"/>
  <c r="D103"/>
  <c r="E103"/>
  <c r="G103"/>
  <c r="J103"/>
  <c r="K103"/>
  <c r="D104"/>
  <c r="E104"/>
  <c r="G104"/>
  <c r="J104"/>
  <c r="K104"/>
  <c r="D105"/>
  <c r="E105"/>
  <c r="G105"/>
  <c r="J105"/>
  <c r="K105"/>
  <c r="D106"/>
  <c r="E106"/>
  <c r="G106"/>
  <c r="J106"/>
  <c r="K106"/>
  <c r="D107"/>
  <c r="E107"/>
  <c r="G107"/>
  <c r="J107"/>
  <c r="K107"/>
  <c r="D108"/>
  <c r="E108"/>
  <c r="G108"/>
  <c r="J108"/>
  <c r="K108"/>
  <c r="D109"/>
  <c r="E109"/>
  <c r="G109"/>
  <c r="J109"/>
  <c r="K109"/>
  <c r="D110"/>
  <c r="E110"/>
  <c r="G110"/>
  <c r="J110"/>
  <c r="K110"/>
  <c r="D111"/>
  <c r="E111"/>
  <c r="G111"/>
  <c r="J111"/>
  <c r="K111"/>
  <c r="D112"/>
  <c r="E112"/>
  <c r="G112"/>
  <c r="J112"/>
  <c r="K112"/>
  <c r="D113"/>
  <c r="E113"/>
  <c r="G113"/>
  <c r="J113"/>
  <c r="K113"/>
  <c r="D114"/>
  <c r="E114"/>
  <c r="G114"/>
  <c r="J114"/>
  <c r="K114"/>
  <c r="D115"/>
  <c r="E115"/>
  <c r="G115"/>
  <c r="J115"/>
  <c r="K115"/>
  <c r="D116"/>
  <c r="E116"/>
  <c r="G116"/>
  <c r="I116"/>
  <c r="J116"/>
  <c r="K116"/>
  <c r="D117"/>
  <c r="E117"/>
  <c r="G117"/>
  <c r="I117"/>
  <c r="J117"/>
  <c r="K117"/>
  <c r="D118"/>
  <c r="E118"/>
  <c r="G118"/>
  <c r="J118"/>
  <c r="K118"/>
  <c r="D119"/>
  <c r="E119"/>
  <c r="G119"/>
  <c r="I119"/>
  <c r="J119"/>
  <c r="K119"/>
  <c r="D120"/>
  <c r="E120"/>
  <c r="G120"/>
  <c r="I120"/>
  <c r="J120"/>
  <c r="K120"/>
  <c r="D121"/>
  <c r="E121"/>
  <c r="G121"/>
  <c r="I121"/>
  <c r="J121"/>
  <c r="K121"/>
  <c r="D122"/>
  <c r="E122"/>
  <c r="G122"/>
  <c r="J122"/>
  <c r="K122"/>
  <c r="D123"/>
  <c r="E123"/>
  <c r="G123"/>
  <c r="I123"/>
  <c r="J123"/>
  <c r="K123"/>
  <c r="D124"/>
  <c r="E124"/>
  <c r="G124"/>
  <c r="I124"/>
  <c r="J124"/>
  <c r="K124"/>
  <c r="D125"/>
  <c r="E125"/>
  <c r="G125"/>
  <c r="I125"/>
  <c r="J125"/>
  <c r="K125"/>
  <c r="D126"/>
  <c r="E126"/>
  <c r="G126"/>
  <c r="J126"/>
  <c r="K126"/>
  <c r="D127"/>
  <c r="E127"/>
  <c r="G127"/>
  <c r="I127"/>
  <c r="J127"/>
  <c r="K127"/>
  <c r="D128"/>
  <c r="E128"/>
  <c r="G128"/>
  <c r="J128"/>
  <c r="K128"/>
  <c r="D129"/>
  <c r="E129"/>
  <c r="G129"/>
  <c r="J129"/>
  <c r="K129"/>
  <c r="D130"/>
  <c r="E130"/>
  <c r="G130"/>
  <c r="J130"/>
  <c r="K130"/>
  <c r="D131"/>
  <c r="E131"/>
  <c r="G131"/>
  <c r="J131"/>
  <c r="K131"/>
  <c r="D132"/>
  <c r="E132"/>
  <c r="G132"/>
  <c r="J132"/>
  <c r="K132"/>
  <c r="D133"/>
  <c r="E133"/>
  <c r="G133"/>
  <c r="J133"/>
  <c r="K133"/>
  <c r="D134"/>
  <c r="E134"/>
  <c r="G134"/>
  <c r="J134"/>
  <c r="K134"/>
  <c r="D135"/>
  <c r="E135"/>
  <c r="G135"/>
  <c r="J135"/>
  <c r="K135"/>
  <c r="D136"/>
  <c r="E136"/>
  <c r="G136"/>
  <c r="J136"/>
  <c r="K136"/>
  <c r="D137"/>
  <c r="E137"/>
  <c r="G137"/>
  <c r="J137"/>
  <c r="K137"/>
  <c r="D138"/>
  <c r="E138"/>
  <c r="G138"/>
  <c r="J138"/>
  <c r="K138"/>
  <c r="D139"/>
  <c r="E139"/>
  <c r="G139"/>
  <c r="J139"/>
  <c r="K139"/>
  <c r="D140"/>
  <c r="E140"/>
  <c r="G140"/>
  <c r="J140"/>
  <c r="K140"/>
  <c r="D141"/>
  <c r="E141"/>
  <c r="G141"/>
  <c r="J141"/>
  <c r="K141"/>
  <c r="D142"/>
  <c r="E142"/>
  <c r="G142"/>
  <c r="J142"/>
  <c r="K142"/>
  <c r="D143"/>
  <c r="E143"/>
  <c r="G143"/>
  <c r="J143"/>
  <c r="K143"/>
  <c r="D144"/>
  <c r="E144"/>
  <c r="G144"/>
  <c r="J144"/>
  <c r="K144"/>
  <c r="D145"/>
  <c r="E145"/>
  <c r="G145"/>
  <c r="J145"/>
  <c r="K145"/>
  <c r="D146"/>
  <c r="E146"/>
  <c r="G146"/>
  <c r="J146"/>
  <c r="K146"/>
  <c r="D147"/>
  <c r="E147"/>
  <c r="G147"/>
  <c r="J147"/>
  <c r="K147"/>
  <c r="D148"/>
  <c r="E148"/>
  <c r="G148"/>
  <c r="J148"/>
  <c r="K148"/>
  <c r="D149"/>
  <c r="E149"/>
  <c r="G149"/>
  <c r="J149"/>
  <c r="K149"/>
  <c r="D150"/>
  <c r="E150"/>
  <c r="G150"/>
  <c r="J150"/>
  <c r="K150"/>
  <c r="D151"/>
  <c r="E151"/>
  <c r="G151"/>
  <c r="I151"/>
  <c r="J151"/>
  <c r="K151"/>
  <c r="D152"/>
  <c r="E152"/>
  <c r="G152"/>
  <c r="J152"/>
  <c r="K152"/>
  <c r="D153"/>
  <c r="E153"/>
  <c r="G153"/>
  <c r="J153"/>
  <c r="K153"/>
  <c r="D154"/>
  <c r="E154"/>
  <c r="G154"/>
  <c r="I154"/>
  <c r="J154"/>
  <c r="K154"/>
  <c r="D155"/>
  <c r="E155"/>
  <c r="G155"/>
  <c r="I155"/>
  <c r="J155"/>
  <c r="K155"/>
  <c r="D156"/>
  <c r="E156"/>
  <c r="G156"/>
  <c r="J156"/>
  <c r="K156"/>
  <c r="D157"/>
  <c r="E157"/>
  <c r="G157"/>
  <c r="I157"/>
  <c r="J157"/>
  <c r="K157"/>
  <c r="D158"/>
  <c r="E158"/>
  <c r="G158"/>
  <c r="I158"/>
  <c r="J158"/>
  <c r="K158"/>
  <c r="D159"/>
  <c r="E159"/>
  <c r="G159"/>
  <c r="J159"/>
  <c r="K159"/>
  <c r="D160"/>
  <c r="E160"/>
  <c r="G160"/>
  <c r="J160"/>
  <c r="K160"/>
  <c r="D161"/>
  <c r="E161"/>
  <c r="G161"/>
  <c r="I161"/>
  <c r="J161"/>
  <c r="K161"/>
  <c r="D162"/>
  <c r="E162"/>
  <c r="G162"/>
  <c r="I162"/>
  <c r="J162"/>
  <c r="K162"/>
  <c r="D163"/>
  <c r="E163"/>
  <c r="G163"/>
  <c r="I163"/>
  <c r="J163"/>
  <c r="K163"/>
  <c r="D164"/>
  <c r="E164"/>
  <c r="G164"/>
  <c r="J164"/>
  <c r="K164"/>
  <c r="D165"/>
  <c r="E165"/>
  <c r="G165"/>
  <c r="I165"/>
  <c r="J165"/>
  <c r="K165"/>
  <c r="D166"/>
  <c r="E166"/>
  <c r="G166"/>
  <c r="I166"/>
  <c r="J166"/>
  <c r="K166"/>
  <c r="D167"/>
  <c r="E167"/>
  <c r="G167"/>
  <c r="J167"/>
  <c r="K167"/>
  <c r="D168"/>
  <c r="E168"/>
  <c r="G168"/>
  <c r="J168"/>
  <c r="K168"/>
  <c r="D169"/>
  <c r="E169"/>
  <c r="G169"/>
  <c r="J169"/>
  <c r="K169"/>
  <c r="D170"/>
  <c r="E170"/>
  <c r="G170"/>
  <c r="J170"/>
  <c r="K170"/>
  <c r="D171"/>
  <c r="E171"/>
  <c r="G171"/>
  <c r="J171"/>
  <c r="K171"/>
  <c r="D172"/>
  <c r="E172"/>
  <c r="G172"/>
  <c r="J172"/>
  <c r="K172"/>
  <c r="D173"/>
  <c r="E173"/>
  <c r="G173"/>
  <c r="J173"/>
  <c r="K173"/>
  <c r="D174"/>
  <c r="E174"/>
  <c r="G174"/>
  <c r="J174"/>
  <c r="K174"/>
  <c r="D175"/>
  <c r="E175"/>
  <c r="G175"/>
  <c r="J175"/>
  <c r="K175"/>
  <c r="D176"/>
  <c r="E176"/>
  <c r="G176"/>
  <c r="J176"/>
  <c r="K176"/>
  <c r="D177"/>
  <c r="E177"/>
  <c r="G177"/>
  <c r="J177"/>
  <c r="K177"/>
  <c r="D178"/>
  <c r="E178"/>
  <c r="G178"/>
  <c r="J178"/>
  <c r="K178"/>
  <c r="D179"/>
  <c r="E179"/>
  <c r="G179"/>
  <c r="J179"/>
  <c r="K179"/>
  <c r="D180"/>
  <c r="E180"/>
  <c r="G180"/>
  <c r="J180"/>
  <c r="K180"/>
  <c r="D181"/>
  <c r="E181"/>
  <c r="G181"/>
  <c r="J181"/>
  <c r="K181"/>
  <c r="D182"/>
  <c r="E182"/>
  <c r="G182"/>
  <c r="J182"/>
  <c r="K182"/>
  <c r="D183"/>
  <c r="E183"/>
  <c r="G183"/>
  <c r="J183"/>
  <c r="K183"/>
  <c r="D184"/>
  <c r="E184"/>
  <c r="G184"/>
  <c r="J184"/>
  <c r="K184"/>
  <c r="D185"/>
  <c r="E185"/>
  <c r="G185"/>
  <c r="J185"/>
  <c r="K185"/>
  <c r="D186"/>
  <c r="E186"/>
  <c r="G186"/>
  <c r="J186"/>
  <c r="K186"/>
  <c r="D187"/>
  <c r="E187"/>
  <c r="G187"/>
  <c r="J187"/>
  <c r="K187"/>
  <c r="D188"/>
  <c r="E188"/>
  <c r="G188"/>
  <c r="J188"/>
  <c r="K188"/>
  <c r="D189"/>
  <c r="E189"/>
  <c r="G189"/>
  <c r="J189"/>
  <c r="K189"/>
  <c r="D190"/>
  <c r="E190"/>
  <c r="G190"/>
  <c r="J190"/>
  <c r="K190"/>
  <c r="D191"/>
  <c r="E191"/>
  <c r="G191"/>
  <c r="J191"/>
  <c r="K191"/>
  <c r="D192"/>
  <c r="E192"/>
  <c r="G192"/>
  <c r="J192"/>
  <c r="K192"/>
  <c r="D193"/>
  <c r="E193"/>
  <c r="G193"/>
  <c r="J193"/>
  <c r="K193"/>
  <c r="D194"/>
  <c r="E194"/>
  <c r="G194"/>
  <c r="I194"/>
  <c r="J194"/>
  <c r="K194"/>
  <c r="D195"/>
  <c r="E195"/>
  <c r="G195"/>
  <c r="J195"/>
  <c r="K195"/>
  <c r="D196"/>
  <c r="E196"/>
  <c r="G196"/>
  <c r="J196"/>
  <c r="K196"/>
  <c r="D197"/>
  <c r="E197"/>
  <c r="G197"/>
  <c r="J197"/>
  <c r="K197"/>
  <c r="D198"/>
  <c r="E198"/>
  <c r="G198"/>
  <c r="I198"/>
  <c r="J198"/>
  <c r="K198"/>
  <c r="D199"/>
  <c r="E199"/>
  <c r="G199"/>
  <c r="J199"/>
  <c r="K199"/>
  <c r="D200"/>
  <c r="E200"/>
  <c r="G200"/>
  <c r="J200"/>
  <c r="K200"/>
  <c r="D201"/>
  <c r="E201"/>
  <c r="G201"/>
  <c r="I201"/>
  <c r="J201"/>
  <c r="K201"/>
  <c r="D202"/>
  <c r="E202"/>
  <c r="G202"/>
  <c r="J202"/>
  <c r="K202"/>
  <c r="D203"/>
  <c r="E203"/>
  <c r="G203"/>
  <c r="J203"/>
  <c r="K203"/>
  <c r="D204"/>
  <c r="E204"/>
  <c r="G204"/>
  <c r="J204"/>
  <c r="K204"/>
  <c r="D205"/>
  <c r="E205"/>
  <c r="G205"/>
  <c r="J205"/>
  <c r="K205"/>
  <c r="D206"/>
  <c r="E206"/>
  <c r="G206"/>
  <c r="J206"/>
  <c r="K206"/>
  <c r="D207"/>
  <c r="E207"/>
  <c r="G207"/>
  <c r="J207"/>
  <c r="K207"/>
  <c r="D208"/>
  <c r="E208"/>
  <c r="G208"/>
  <c r="J208"/>
  <c r="K208"/>
  <c r="D209"/>
  <c r="E209"/>
  <c r="G209"/>
  <c r="J209"/>
  <c r="K209"/>
  <c r="D210"/>
  <c r="E210"/>
  <c r="G210"/>
  <c r="J210"/>
  <c r="K210"/>
  <c r="D211"/>
  <c r="E211"/>
  <c r="G211"/>
  <c r="J211"/>
  <c r="K211"/>
  <c r="D212"/>
  <c r="E212"/>
  <c r="G212"/>
  <c r="J212"/>
  <c r="K212"/>
  <c r="D213"/>
  <c r="E213"/>
  <c r="G213"/>
  <c r="J213"/>
  <c r="K213"/>
  <c r="D214"/>
  <c r="E214"/>
  <c r="G214"/>
  <c r="J214"/>
  <c r="K214"/>
  <c r="D215"/>
  <c r="E215"/>
  <c r="G215"/>
  <c r="J215"/>
  <c r="K215"/>
  <c r="D216"/>
  <c r="E216"/>
  <c r="G216"/>
  <c r="J216"/>
  <c r="K216"/>
  <c r="D217"/>
  <c r="E217"/>
  <c r="G217"/>
  <c r="J217"/>
  <c r="K217"/>
  <c r="D218"/>
  <c r="E218"/>
  <c r="G218"/>
  <c r="J218"/>
  <c r="K218"/>
  <c r="D219"/>
  <c r="E219"/>
  <c r="G219"/>
  <c r="J219"/>
  <c r="K219"/>
  <c r="D220"/>
  <c r="E220"/>
  <c r="G220"/>
  <c r="J220"/>
  <c r="K220"/>
  <c r="D221"/>
  <c r="E221"/>
  <c r="G221"/>
  <c r="J221"/>
  <c r="K221"/>
  <c r="D222"/>
  <c r="E222"/>
  <c r="G222"/>
  <c r="J222"/>
  <c r="K222"/>
  <c r="D223"/>
  <c r="E223"/>
  <c r="G223"/>
  <c r="J223"/>
  <c r="K223"/>
  <c r="D224"/>
  <c r="E224"/>
  <c r="G224"/>
  <c r="J224"/>
  <c r="K224"/>
  <c r="D225"/>
  <c r="E225"/>
  <c r="G225"/>
  <c r="J225"/>
  <c r="K225"/>
  <c r="D226"/>
  <c r="E226"/>
  <c r="G226"/>
  <c r="J226"/>
  <c r="K226"/>
  <c r="D227"/>
  <c r="E227"/>
  <c r="G227"/>
  <c r="J227"/>
  <c r="K227"/>
  <c r="D228"/>
  <c r="E228"/>
  <c r="G228"/>
  <c r="J228"/>
  <c r="K228"/>
  <c r="D229"/>
  <c r="E229"/>
  <c r="G229"/>
  <c r="J229"/>
  <c r="K229"/>
  <c r="D230"/>
  <c r="E230"/>
  <c r="G230"/>
  <c r="J230"/>
  <c r="K230"/>
  <c r="D231"/>
  <c r="E231"/>
  <c r="G231"/>
  <c r="J231"/>
  <c r="K231"/>
  <c r="D232"/>
  <c r="E232"/>
  <c r="G232"/>
  <c r="J232"/>
  <c r="K232"/>
  <c r="D233"/>
  <c r="E233"/>
  <c r="G233"/>
  <c r="J233"/>
  <c r="K233"/>
  <c r="D234"/>
  <c r="E234"/>
  <c r="G234"/>
  <c r="J234"/>
  <c r="K234"/>
  <c r="D235"/>
  <c r="E235"/>
  <c r="G235"/>
  <c r="J235"/>
  <c r="K235"/>
  <c r="D236"/>
  <c r="E236"/>
  <c r="G236"/>
  <c r="J236"/>
  <c r="K236"/>
  <c r="D237"/>
  <c r="E237"/>
  <c r="G237"/>
  <c r="J237"/>
  <c r="K237"/>
  <c r="D238"/>
  <c r="E238"/>
  <c r="G238"/>
  <c r="J238"/>
  <c r="K238"/>
  <c r="D239"/>
  <c r="E239"/>
  <c r="G239"/>
  <c r="J239"/>
  <c r="K239"/>
  <c r="D240"/>
  <c r="E240"/>
  <c r="G240"/>
  <c r="J240"/>
  <c r="K240"/>
  <c r="D241"/>
  <c r="E241"/>
  <c r="G241"/>
  <c r="J241"/>
  <c r="K241"/>
  <c r="D242"/>
  <c r="E242"/>
  <c r="G242"/>
  <c r="J242"/>
  <c r="K242"/>
  <c r="D243"/>
  <c r="E243"/>
  <c r="G243"/>
  <c r="J243"/>
  <c r="K243"/>
  <c r="D244"/>
  <c r="E244"/>
  <c r="G244"/>
  <c r="J244"/>
  <c r="K244"/>
  <c r="D245"/>
  <c r="E245"/>
  <c r="G245"/>
  <c r="J245"/>
  <c r="K245"/>
  <c r="D246"/>
  <c r="E246"/>
  <c r="G246"/>
  <c r="J246"/>
  <c r="K246"/>
  <c r="D247"/>
  <c r="E247"/>
  <c r="G247"/>
  <c r="J247"/>
  <c r="K247"/>
  <c r="D248"/>
  <c r="E248"/>
  <c r="G248"/>
  <c r="J248"/>
  <c r="K248"/>
  <c r="D249"/>
  <c r="E249"/>
  <c r="G249"/>
  <c r="J249"/>
  <c r="K249"/>
  <c r="D250"/>
  <c r="E250"/>
  <c r="G250"/>
  <c r="J250"/>
  <c r="K250"/>
  <c r="D251"/>
  <c r="E251"/>
  <c r="G251"/>
  <c r="J251"/>
  <c r="K251"/>
  <c r="D252"/>
  <c r="E252"/>
  <c r="G252"/>
  <c r="J252"/>
  <c r="K252"/>
  <c r="D253"/>
  <c r="E253"/>
  <c r="G253"/>
  <c r="J253"/>
  <c r="K253"/>
  <c r="D254"/>
  <c r="E254"/>
  <c r="G254"/>
  <c r="J254"/>
  <c r="K254"/>
  <c r="D255"/>
  <c r="E255"/>
  <c r="G255"/>
  <c r="J255"/>
  <c r="K255"/>
  <c r="D256"/>
  <c r="E256"/>
  <c r="G256"/>
  <c r="J256"/>
  <c r="K256"/>
  <c r="D257"/>
  <c r="E257"/>
  <c r="G257"/>
  <c r="J257"/>
  <c r="K257"/>
  <c r="D258"/>
  <c r="E258"/>
  <c r="G258"/>
  <c r="J258"/>
  <c r="K258"/>
  <c r="D259"/>
  <c r="E259"/>
  <c r="G259"/>
  <c r="J259"/>
  <c r="K259"/>
  <c r="D260"/>
  <c r="E260"/>
  <c r="G260"/>
  <c r="J260"/>
  <c r="K260"/>
  <c r="D261"/>
  <c r="E261"/>
  <c r="G261"/>
  <c r="J261"/>
  <c r="K261"/>
  <c r="D262"/>
  <c r="E262"/>
  <c r="G262"/>
  <c r="J262"/>
  <c r="K262"/>
  <c r="D263"/>
  <c r="E263"/>
  <c r="G263"/>
  <c r="J263"/>
  <c r="K263"/>
  <c r="D264"/>
  <c r="E264"/>
  <c r="G264"/>
  <c r="J264"/>
  <c r="K264"/>
  <c r="D265"/>
  <c r="E265"/>
  <c r="G265"/>
  <c r="J265"/>
  <c r="K265"/>
  <c r="D266"/>
  <c r="E266"/>
  <c r="G266"/>
  <c r="J266"/>
  <c r="K266"/>
  <c r="D267"/>
  <c r="E267"/>
  <c r="G267"/>
  <c r="J267"/>
  <c r="K267"/>
  <c r="D268"/>
  <c r="E268"/>
  <c r="G268"/>
  <c r="J268"/>
  <c r="K268"/>
  <c r="D269"/>
  <c r="E269"/>
  <c r="G269"/>
  <c r="J269"/>
  <c r="K269"/>
  <c r="D270"/>
  <c r="E270"/>
  <c r="G270"/>
  <c r="J270"/>
  <c r="K270"/>
  <c r="D271"/>
  <c r="E271"/>
  <c r="G271"/>
  <c r="J271"/>
  <c r="K271"/>
  <c r="D272"/>
  <c r="E272"/>
  <c r="G272"/>
  <c r="J272"/>
  <c r="K272"/>
  <c r="D273"/>
  <c r="E273"/>
  <c r="G273"/>
  <c r="J273"/>
  <c r="K273"/>
  <c r="D274"/>
  <c r="E274"/>
  <c r="G274"/>
  <c r="J274"/>
  <c r="K274"/>
  <c r="D275"/>
  <c r="E275"/>
  <c r="G275"/>
  <c r="J275"/>
  <c r="K275"/>
  <c r="D276"/>
  <c r="E276"/>
  <c r="G276"/>
  <c r="J276"/>
  <c r="K276"/>
  <c r="D277"/>
  <c r="E277"/>
  <c r="G277"/>
  <c r="I277"/>
  <c r="J277"/>
  <c r="K277"/>
  <c r="D278"/>
  <c r="E278"/>
  <c r="G278"/>
  <c r="J278"/>
  <c r="K278"/>
  <c r="D279"/>
  <c r="E279"/>
  <c r="G279"/>
  <c r="I279"/>
  <c r="J279"/>
  <c r="K279"/>
  <c r="D280"/>
  <c r="E280"/>
  <c r="G280"/>
  <c r="J280"/>
  <c r="K280"/>
  <c r="D281"/>
  <c r="E281"/>
  <c r="G281"/>
  <c r="I281"/>
  <c r="J281"/>
  <c r="K281"/>
  <c r="D282"/>
  <c r="E282"/>
  <c r="G282"/>
  <c r="J282"/>
  <c r="K282"/>
  <c r="D283"/>
  <c r="E283"/>
  <c r="G283"/>
  <c r="J283"/>
  <c r="K283"/>
  <c r="D284"/>
  <c r="E284"/>
  <c r="G284"/>
  <c r="J284"/>
  <c r="K284"/>
  <c r="D285"/>
  <c r="E285"/>
  <c r="G285"/>
  <c r="J285"/>
  <c r="K285"/>
  <c r="D286"/>
  <c r="E286"/>
  <c r="G286"/>
  <c r="J286"/>
  <c r="K286"/>
  <c r="D287"/>
  <c r="E287"/>
  <c r="G287"/>
  <c r="J287"/>
  <c r="K287"/>
  <c r="D288"/>
  <c r="E288"/>
  <c r="G288"/>
  <c r="J288"/>
  <c r="K288"/>
  <c r="D289"/>
  <c r="E289"/>
  <c r="G289"/>
  <c r="J289"/>
  <c r="K289"/>
  <c r="D290"/>
  <c r="E290"/>
  <c r="G290"/>
  <c r="J290"/>
  <c r="K290"/>
  <c r="D291"/>
  <c r="E291"/>
  <c r="G291"/>
  <c r="J291"/>
  <c r="K291"/>
  <c r="D292"/>
  <c r="E292"/>
  <c r="G292"/>
  <c r="J292"/>
  <c r="K292"/>
  <c r="D293"/>
  <c r="E293"/>
  <c r="G293"/>
  <c r="J293"/>
  <c r="K293"/>
  <c r="D294"/>
  <c r="E294"/>
  <c r="G294"/>
  <c r="J294"/>
  <c r="K294"/>
  <c r="D295"/>
  <c r="E295"/>
  <c r="G295"/>
  <c r="J295"/>
  <c r="K295"/>
  <c r="D296"/>
  <c r="E296"/>
  <c r="G296"/>
  <c r="J296"/>
  <c r="K296"/>
  <c r="D297"/>
  <c r="E297"/>
  <c r="G297"/>
  <c r="J297"/>
  <c r="K297"/>
  <c r="D298"/>
  <c r="E298"/>
  <c r="G298"/>
  <c r="J298"/>
  <c r="K298"/>
  <c r="D299"/>
  <c r="E299"/>
  <c r="G299"/>
  <c r="J299"/>
  <c r="K299"/>
  <c r="D300"/>
  <c r="E300"/>
  <c r="G300"/>
  <c r="J300"/>
  <c r="K300"/>
  <c r="D301"/>
  <c r="E301"/>
  <c r="G301"/>
  <c r="J301"/>
  <c r="K301"/>
  <c r="D302"/>
  <c r="E302"/>
  <c r="G302"/>
  <c r="J302"/>
  <c r="K302"/>
  <c r="D303"/>
  <c r="E303"/>
  <c r="G303"/>
  <c r="J303"/>
  <c r="K303"/>
  <c r="D304"/>
  <c r="E304"/>
  <c r="G304"/>
  <c r="J304"/>
  <c r="K304"/>
  <c r="D305"/>
  <c r="E305"/>
  <c r="G305"/>
  <c r="J305"/>
  <c r="K305"/>
  <c r="D306"/>
  <c r="E306"/>
  <c r="G306"/>
  <c r="J306"/>
  <c r="K306"/>
  <c r="D307"/>
  <c r="E307"/>
  <c r="G307"/>
  <c r="I307"/>
  <c r="J307"/>
  <c r="K307"/>
  <c r="D308"/>
  <c r="E308"/>
  <c r="G308"/>
  <c r="I308"/>
  <c r="J308"/>
  <c r="K308"/>
  <c r="D309"/>
  <c r="E309"/>
  <c r="G309"/>
  <c r="J309"/>
  <c r="K309"/>
  <c r="D310"/>
  <c r="E310"/>
  <c r="G310"/>
  <c r="I310"/>
  <c r="J310"/>
  <c r="K310"/>
  <c r="D311"/>
  <c r="E311"/>
  <c r="G311"/>
  <c r="J311"/>
  <c r="K311"/>
  <c r="D312"/>
  <c r="E312"/>
  <c r="G312"/>
  <c r="J312"/>
  <c r="K312"/>
  <c r="D313"/>
  <c r="E313"/>
  <c r="G313"/>
  <c r="J313"/>
  <c r="K313"/>
  <c r="D314"/>
  <c r="E314"/>
  <c r="G314"/>
  <c r="J314"/>
  <c r="K314"/>
  <c r="D315"/>
  <c r="E315"/>
  <c r="G315"/>
  <c r="J315"/>
  <c r="K315"/>
  <c r="D316"/>
  <c r="E316"/>
  <c r="G316"/>
  <c r="J316"/>
  <c r="K316"/>
  <c r="D317"/>
  <c r="E317"/>
  <c r="G317"/>
  <c r="J317"/>
  <c r="K317"/>
  <c r="D318"/>
  <c r="E318"/>
  <c r="G318"/>
  <c r="J318"/>
  <c r="K318"/>
  <c r="D319"/>
  <c r="E319"/>
  <c r="G319"/>
  <c r="J319"/>
  <c r="K319"/>
  <c r="D320"/>
  <c r="E320"/>
  <c r="G320"/>
  <c r="J320"/>
  <c r="K320"/>
  <c r="D321"/>
  <c r="E321"/>
  <c r="G321"/>
  <c r="J321"/>
  <c r="K321"/>
  <c r="D322"/>
  <c r="E322"/>
  <c r="G322"/>
  <c r="J322"/>
  <c r="K322"/>
  <c r="D323"/>
  <c r="E323"/>
  <c r="G323"/>
  <c r="J323"/>
  <c r="K323"/>
  <c r="D324"/>
  <c r="E324"/>
  <c r="G324"/>
  <c r="J324"/>
  <c r="K324"/>
  <c r="D325"/>
  <c r="E325"/>
  <c r="G325"/>
  <c r="J325"/>
  <c r="K325"/>
  <c r="D326"/>
  <c r="E326"/>
  <c r="G326"/>
  <c r="J326"/>
  <c r="K326"/>
  <c r="D327"/>
  <c r="E327"/>
  <c r="G327"/>
  <c r="J327"/>
  <c r="K327"/>
  <c r="D328"/>
  <c r="E328"/>
  <c r="G328"/>
  <c r="J328"/>
  <c r="K328"/>
  <c r="D329"/>
  <c r="E329"/>
  <c r="G329"/>
  <c r="J329"/>
  <c r="K329"/>
  <c r="D330"/>
  <c r="E330"/>
  <c r="G330"/>
  <c r="J330"/>
  <c r="K330"/>
  <c r="D331"/>
  <c r="E331"/>
  <c r="G331"/>
  <c r="J331"/>
  <c r="K331"/>
  <c r="D332"/>
  <c r="E332"/>
  <c r="G332"/>
  <c r="J332"/>
  <c r="K332"/>
  <c r="D333"/>
  <c r="E333"/>
  <c r="G333"/>
  <c r="J333"/>
  <c r="K333"/>
  <c r="D334"/>
  <c r="E334"/>
  <c r="G334"/>
  <c r="J334"/>
  <c r="K334"/>
  <c r="D335"/>
  <c r="E335"/>
  <c r="G335"/>
  <c r="J335"/>
  <c r="K335"/>
  <c r="D336"/>
  <c r="E336"/>
  <c r="G336"/>
  <c r="J336"/>
  <c r="K336"/>
  <c r="D337"/>
  <c r="E337"/>
  <c r="G337"/>
  <c r="J337"/>
  <c r="K337"/>
  <c r="D338"/>
  <c r="E338"/>
  <c r="G338"/>
  <c r="J338"/>
  <c r="K338"/>
  <c r="D339"/>
  <c r="E339"/>
  <c r="G339"/>
  <c r="J339"/>
  <c r="K339"/>
  <c r="D340"/>
  <c r="E340"/>
  <c r="G340"/>
  <c r="J340"/>
  <c r="K340"/>
  <c r="D341"/>
  <c r="E341"/>
  <c r="G341"/>
  <c r="J341"/>
  <c r="K341"/>
  <c r="D342"/>
  <c r="E342"/>
  <c r="G342"/>
  <c r="J342"/>
  <c r="K342"/>
  <c r="D343"/>
  <c r="E343"/>
  <c r="G343"/>
  <c r="J343"/>
  <c r="K343"/>
  <c r="D344"/>
  <c r="E344"/>
  <c r="G344"/>
  <c r="J344"/>
  <c r="K344"/>
  <c r="D345"/>
  <c r="E345"/>
  <c r="G345"/>
  <c r="J345"/>
  <c r="K345"/>
  <c r="D346"/>
  <c r="E346"/>
  <c r="G346"/>
  <c r="J346"/>
  <c r="K346"/>
  <c r="D347"/>
  <c r="E347"/>
  <c r="G347"/>
  <c r="J347"/>
  <c r="K347"/>
  <c r="D348"/>
  <c r="E348"/>
  <c r="G348"/>
  <c r="J348"/>
  <c r="K348"/>
  <c r="D349"/>
  <c r="E349"/>
  <c r="G349"/>
  <c r="J349"/>
  <c r="K349"/>
  <c r="D350"/>
  <c r="E350"/>
  <c r="G350"/>
  <c r="J350"/>
  <c r="K350"/>
  <c r="D351"/>
  <c r="E351"/>
  <c r="G351"/>
  <c r="J351"/>
  <c r="K351"/>
  <c r="D352"/>
  <c r="E352"/>
  <c r="G352"/>
  <c r="J352"/>
  <c r="K352"/>
  <c r="D353"/>
  <c r="E353"/>
  <c r="G353"/>
  <c r="J353"/>
  <c r="K353"/>
  <c r="D354"/>
  <c r="E354"/>
  <c r="G354"/>
  <c r="J354"/>
  <c r="K354"/>
  <c r="D355"/>
  <c r="E355"/>
  <c r="G355"/>
  <c r="J355"/>
  <c r="K355"/>
  <c r="D356"/>
  <c r="E356"/>
  <c r="G356"/>
  <c r="J356"/>
  <c r="K356"/>
  <c r="D357"/>
  <c r="E357"/>
  <c r="G357"/>
  <c r="J357"/>
  <c r="K357"/>
  <c r="D358"/>
  <c r="E358"/>
  <c r="G358"/>
  <c r="J358"/>
  <c r="K358"/>
  <c r="D359"/>
  <c r="E359"/>
  <c r="G359"/>
  <c r="J359"/>
  <c r="K359"/>
  <c r="D360"/>
  <c r="E360"/>
  <c r="G360"/>
  <c r="J360"/>
  <c r="K360"/>
  <c r="D361"/>
  <c r="E361"/>
  <c r="G361"/>
  <c r="J361"/>
  <c r="K361"/>
  <c r="D362"/>
  <c r="E362"/>
  <c r="G362"/>
  <c r="J362"/>
  <c r="K362"/>
  <c r="D363"/>
  <c r="E363"/>
  <c r="G363"/>
  <c r="J363"/>
  <c r="K363"/>
  <c r="D364"/>
  <c r="E364"/>
  <c r="G364"/>
  <c r="J364"/>
  <c r="K364"/>
  <c r="D365"/>
  <c r="E365"/>
  <c r="G365"/>
  <c r="J365"/>
  <c r="K365"/>
  <c r="D366"/>
  <c r="E366"/>
  <c r="G366"/>
  <c r="J366"/>
  <c r="K366"/>
  <c r="D367"/>
  <c r="E367"/>
  <c r="G367"/>
  <c r="J367"/>
  <c r="K367"/>
  <c r="D368"/>
  <c r="E368"/>
  <c r="G368"/>
  <c r="J368"/>
  <c r="K368"/>
  <c r="D369"/>
  <c r="E369"/>
  <c r="G369"/>
  <c r="J369"/>
  <c r="K369"/>
  <c r="D370"/>
  <c r="E370"/>
  <c r="G370"/>
  <c r="J370"/>
  <c r="K370"/>
  <c r="D371"/>
  <c r="E371"/>
  <c r="G371"/>
  <c r="J371"/>
  <c r="K371"/>
  <c r="D372"/>
  <c r="E372"/>
  <c r="G372"/>
  <c r="J372"/>
  <c r="K372"/>
  <c r="D373"/>
  <c r="E373"/>
  <c r="G373"/>
  <c r="J373"/>
  <c r="K373"/>
  <c r="D374"/>
  <c r="E374"/>
  <c r="G374"/>
  <c r="J374"/>
  <c r="K374"/>
  <c r="D375"/>
  <c r="E375"/>
  <c r="G375"/>
  <c r="J375"/>
  <c r="K375"/>
  <c r="D376"/>
  <c r="E376"/>
  <c r="G376"/>
  <c r="J376"/>
  <c r="K376"/>
  <c r="D377"/>
  <c r="E377"/>
  <c r="G377"/>
  <c r="J377"/>
  <c r="K377"/>
  <c r="D378"/>
  <c r="E378"/>
  <c r="G378"/>
  <c r="J378"/>
  <c r="K378"/>
  <c r="D379"/>
  <c r="E379"/>
  <c r="G379"/>
  <c r="J379"/>
  <c r="K379"/>
  <c r="D380"/>
  <c r="E380"/>
  <c r="G380"/>
  <c r="J380"/>
  <c r="K380"/>
  <c r="D381"/>
  <c r="E381"/>
  <c r="G381"/>
  <c r="J381"/>
  <c r="K381"/>
  <c r="D382"/>
  <c r="E382"/>
  <c r="G382"/>
  <c r="J382"/>
  <c r="K382"/>
  <c r="D383"/>
  <c r="E383"/>
  <c r="G383"/>
  <c r="J383"/>
  <c r="K383"/>
  <c r="D384"/>
  <c r="E384"/>
  <c r="G384"/>
  <c r="J384"/>
  <c r="K384"/>
  <c r="D385"/>
  <c r="E385"/>
  <c r="G385"/>
  <c r="J385"/>
  <c r="K385"/>
  <c r="D386"/>
  <c r="E386"/>
  <c r="G386"/>
  <c r="J386"/>
  <c r="K386"/>
  <c r="D387"/>
  <c r="E387"/>
  <c r="G387"/>
  <c r="J387"/>
  <c r="K387"/>
  <c r="D388"/>
  <c r="E388"/>
  <c r="G388"/>
  <c r="J388"/>
  <c r="K388"/>
  <c r="D389"/>
  <c r="E389"/>
  <c r="G389"/>
  <c r="J389"/>
  <c r="K389"/>
  <c r="D390"/>
  <c r="E390"/>
  <c r="G390"/>
  <c r="J390"/>
  <c r="K390"/>
  <c r="D391"/>
  <c r="E391"/>
  <c r="G391"/>
  <c r="J391"/>
  <c r="K391"/>
  <c r="D392"/>
  <c r="E392"/>
  <c r="G392"/>
  <c r="I392"/>
  <c r="J392"/>
  <c r="K392"/>
  <c r="D393"/>
  <c r="E393"/>
  <c r="G393"/>
  <c r="I393"/>
  <c r="J393"/>
  <c r="K393"/>
  <c r="D394"/>
  <c r="E394"/>
  <c r="G394"/>
  <c r="J394"/>
  <c r="K394"/>
  <c r="D395"/>
  <c r="E395"/>
  <c r="G395"/>
  <c r="J395"/>
  <c r="K395"/>
  <c r="D396"/>
  <c r="E396"/>
  <c r="G396"/>
  <c r="J396"/>
  <c r="K396"/>
  <c r="D397"/>
  <c r="E397"/>
  <c r="G397"/>
  <c r="J397"/>
  <c r="K397"/>
  <c r="D398"/>
  <c r="E398"/>
  <c r="G398"/>
  <c r="J398"/>
  <c r="K398"/>
  <c r="D399"/>
  <c r="E399"/>
  <c r="G399"/>
  <c r="J399"/>
  <c r="K399"/>
  <c r="D400"/>
  <c r="E400"/>
  <c r="G400"/>
  <c r="J400"/>
  <c r="K400"/>
  <c r="D401"/>
  <c r="E401"/>
  <c r="G401"/>
  <c r="J401"/>
  <c r="K401"/>
  <c r="D402"/>
  <c r="E402"/>
  <c r="G402"/>
  <c r="J402"/>
  <c r="K402"/>
  <c r="D403"/>
  <c r="E403"/>
  <c r="G403"/>
  <c r="J403"/>
  <c r="K403"/>
  <c r="D404"/>
  <c r="E404"/>
  <c r="G404"/>
  <c r="J404"/>
  <c r="K404"/>
  <c r="D405"/>
  <c r="E405"/>
  <c r="G405"/>
  <c r="J405"/>
  <c r="K405"/>
  <c r="D406"/>
  <c r="E406"/>
  <c r="G406"/>
  <c r="J406"/>
  <c r="K406"/>
  <c r="D407"/>
  <c r="E407"/>
  <c r="G407"/>
  <c r="J407"/>
  <c r="K407"/>
  <c r="D408"/>
  <c r="E408"/>
  <c r="G408"/>
  <c r="J408"/>
  <c r="K408"/>
  <c r="D409"/>
  <c r="E409"/>
  <c r="G409"/>
  <c r="J409"/>
  <c r="K409"/>
  <c r="D410"/>
  <c r="E410"/>
  <c r="G410"/>
  <c r="J410"/>
  <c r="K410"/>
  <c r="D411"/>
  <c r="E411"/>
  <c r="G411"/>
  <c r="I411"/>
  <c r="J411"/>
  <c r="K411"/>
  <c r="D412"/>
  <c r="E412"/>
  <c r="G412"/>
  <c r="J412"/>
  <c r="K412"/>
  <c r="D413"/>
  <c r="E413"/>
  <c r="G413"/>
  <c r="J413"/>
  <c r="K413"/>
  <c r="D414"/>
  <c r="E414"/>
  <c r="G414"/>
  <c r="J414"/>
  <c r="K414"/>
  <c r="D415"/>
  <c r="E415"/>
  <c r="G415"/>
  <c r="J415"/>
  <c r="K415"/>
  <c r="D416"/>
  <c r="E416"/>
  <c r="G416"/>
  <c r="J416"/>
  <c r="K416"/>
  <c r="D417"/>
  <c r="E417"/>
  <c r="G417"/>
  <c r="J417"/>
  <c r="K417"/>
  <c r="D418"/>
  <c r="E418"/>
  <c r="G418"/>
  <c r="J418"/>
  <c r="K418"/>
  <c r="D419"/>
  <c r="E419"/>
  <c r="G419"/>
  <c r="J419"/>
  <c r="K419"/>
  <c r="D420"/>
  <c r="E420"/>
  <c r="G420"/>
  <c r="J420"/>
  <c r="K420"/>
  <c r="D421"/>
  <c r="E421"/>
  <c r="G421"/>
  <c r="J421"/>
  <c r="K421"/>
  <c r="D422"/>
  <c r="E422"/>
  <c r="G422"/>
  <c r="J422"/>
  <c r="K422"/>
  <c r="D423"/>
  <c r="E423"/>
  <c r="G423"/>
  <c r="J423"/>
  <c r="K423"/>
  <c r="D424"/>
  <c r="E424"/>
  <c r="G424"/>
  <c r="J424"/>
  <c r="K424"/>
  <c r="D425"/>
  <c r="E425"/>
  <c r="G425"/>
  <c r="J425"/>
  <c r="K425"/>
  <c r="D426"/>
  <c r="E426"/>
  <c r="G426"/>
  <c r="J426"/>
  <c r="K426"/>
  <c r="D427"/>
  <c r="E427"/>
  <c r="G427"/>
  <c r="J427"/>
  <c r="K427"/>
  <c r="D428"/>
  <c r="E428"/>
  <c r="G428"/>
  <c r="I428"/>
  <c r="J428"/>
  <c r="K428"/>
  <c r="D429"/>
  <c r="E429"/>
  <c r="G429"/>
  <c r="J429"/>
  <c r="K429"/>
  <c r="D430"/>
  <c r="E430"/>
  <c r="G430"/>
  <c r="J430"/>
  <c r="K430"/>
  <c r="D431"/>
  <c r="E431"/>
  <c r="G431"/>
  <c r="I431"/>
  <c r="J431"/>
  <c r="K431"/>
  <c r="D432"/>
  <c r="E432"/>
  <c r="G432"/>
  <c r="J432"/>
  <c r="K432"/>
  <c r="D433"/>
  <c r="E433"/>
  <c r="G433"/>
  <c r="J433"/>
  <c r="K433"/>
  <c r="D434"/>
  <c r="E434"/>
  <c r="G434"/>
  <c r="J434"/>
  <c r="K434"/>
  <c r="D435"/>
  <c r="E435"/>
  <c r="G435"/>
  <c r="J435"/>
  <c r="K435"/>
  <c r="D436"/>
  <c r="E436"/>
  <c r="G436"/>
  <c r="J436"/>
  <c r="K436"/>
  <c r="D437"/>
  <c r="E437"/>
  <c r="G437"/>
  <c r="J437"/>
  <c r="K437"/>
  <c r="D438"/>
  <c r="E438"/>
  <c r="G438"/>
  <c r="J438"/>
  <c r="K438"/>
  <c r="D439"/>
  <c r="E439"/>
  <c r="G439"/>
  <c r="J439"/>
  <c r="K439"/>
  <c r="D440"/>
  <c r="E440"/>
  <c r="G440"/>
  <c r="J440"/>
  <c r="K440"/>
  <c r="D441"/>
  <c r="E441"/>
  <c r="G441"/>
  <c r="J441"/>
  <c r="K441"/>
  <c r="D442"/>
  <c r="E442"/>
  <c r="G442"/>
  <c r="J442"/>
  <c r="K442"/>
  <c r="D443"/>
  <c r="E443"/>
  <c r="G443"/>
  <c r="J443"/>
  <c r="K443"/>
  <c r="D444"/>
  <c r="E444"/>
  <c r="G444"/>
  <c r="J444"/>
  <c r="K444"/>
  <c r="D445"/>
  <c r="E445"/>
  <c r="G445"/>
  <c r="J445"/>
  <c r="K445"/>
  <c r="D446"/>
  <c r="E446"/>
  <c r="G446"/>
  <c r="J446"/>
  <c r="K446"/>
  <c r="D447"/>
  <c r="E447"/>
  <c r="G447"/>
  <c r="J447"/>
  <c r="K447"/>
  <c r="D448"/>
  <c r="E448"/>
  <c r="G448"/>
  <c r="J448"/>
  <c r="K448"/>
  <c r="D449"/>
  <c r="E449"/>
  <c r="G449"/>
  <c r="J449"/>
  <c r="K449"/>
  <c r="D450"/>
  <c r="E450"/>
  <c r="G450"/>
  <c r="J450"/>
  <c r="K450"/>
  <c r="D451"/>
  <c r="E451"/>
  <c r="G451"/>
  <c r="J451"/>
  <c r="K451"/>
  <c r="D452"/>
  <c r="E452"/>
  <c r="G452"/>
  <c r="J452"/>
  <c r="K452"/>
  <c r="D453"/>
  <c r="E453"/>
  <c r="G453"/>
  <c r="J453"/>
  <c r="K453"/>
  <c r="D454"/>
  <c r="E454"/>
  <c r="G454"/>
  <c r="J454"/>
  <c r="K454"/>
  <c r="D455"/>
  <c r="E455"/>
  <c r="G455"/>
  <c r="J455"/>
  <c r="K455"/>
  <c r="D456"/>
  <c r="E456"/>
  <c r="G456"/>
  <c r="J456"/>
  <c r="K456"/>
  <c r="D457"/>
  <c r="E457"/>
  <c r="G457"/>
  <c r="J457"/>
  <c r="K457"/>
  <c r="D458"/>
  <c r="E458"/>
  <c r="G458"/>
  <c r="J458"/>
  <c r="K458"/>
  <c r="D459"/>
  <c r="E459"/>
  <c r="G459"/>
  <c r="J459"/>
  <c r="K459"/>
  <c r="D460"/>
  <c r="E460"/>
  <c r="G460"/>
  <c r="J460"/>
  <c r="K460"/>
  <c r="D461"/>
  <c r="E461"/>
  <c r="G461"/>
  <c r="J461"/>
  <c r="K461"/>
  <c r="D462"/>
  <c r="E462"/>
  <c r="G462"/>
  <c r="J462"/>
  <c r="K462"/>
  <c r="D463"/>
  <c r="E463"/>
  <c r="G463"/>
  <c r="J463"/>
  <c r="K463"/>
  <c r="D464"/>
  <c r="E464"/>
  <c r="G464"/>
  <c r="J464"/>
  <c r="K464"/>
  <c r="D465"/>
  <c r="E465"/>
  <c r="G465"/>
  <c r="J465"/>
  <c r="K465"/>
  <c r="D466"/>
  <c r="E466"/>
  <c r="G466"/>
  <c r="J466"/>
  <c r="K466"/>
  <c r="D467"/>
  <c r="E467"/>
  <c r="G467"/>
  <c r="J467"/>
  <c r="K467"/>
  <c r="D468"/>
  <c r="E468"/>
  <c r="G468"/>
  <c r="J468"/>
  <c r="K468"/>
  <c r="D469"/>
  <c r="E469"/>
  <c r="G469"/>
  <c r="J469"/>
  <c r="K469"/>
  <c r="D470"/>
  <c r="E470"/>
  <c r="G470"/>
  <c r="J470"/>
  <c r="K470"/>
  <c r="D471"/>
  <c r="E471"/>
  <c r="G471"/>
  <c r="J471"/>
  <c r="K471"/>
  <c r="D472"/>
  <c r="E472"/>
  <c r="G472"/>
  <c r="J472"/>
  <c r="K472"/>
  <c r="D473"/>
  <c r="E473"/>
  <c r="G473"/>
  <c r="J473"/>
  <c r="K473"/>
  <c r="D474"/>
  <c r="E474"/>
  <c r="G474"/>
  <c r="J474"/>
  <c r="K474"/>
  <c r="D475"/>
  <c r="E475"/>
  <c r="G475"/>
  <c r="I475"/>
  <c r="J475"/>
  <c r="K475"/>
  <c r="D476"/>
  <c r="E476"/>
  <c r="G476"/>
  <c r="J476"/>
  <c r="K476"/>
  <c r="D477"/>
  <c r="E477"/>
  <c r="G477"/>
  <c r="J477"/>
  <c r="K477"/>
  <c r="D478"/>
  <c r="E478"/>
  <c r="G478"/>
  <c r="J478"/>
  <c r="K478"/>
  <c r="D479"/>
  <c r="E479"/>
  <c r="G479"/>
  <c r="J479"/>
  <c r="K479"/>
  <c r="D480"/>
  <c r="E480"/>
  <c r="G480"/>
  <c r="J480"/>
  <c r="K480"/>
  <c r="D481"/>
  <c r="E481"/>
  <c r="G481"/>
  <c r="J481"/>
  <c r="K481"/>
  <c r="D482"/>
  <c r="E482"/>
  <c r="G482"/>
  <c r="J482"/>
  <c r="K482"/>
  <c r="D483"/>
  <c r="E483"/>
  <c r="G483"/>
  <c r="I483"/>
  <c r="J483"/>
  <c r="K483"/>
  <c r="D484"/>
  <c r="E484"/>
  <c r="G484"/>
  <c r="J484"/>
  <c r="K484"/>
  <c r="D485"/>
  <c r="E485"/>
  <c r="G485"/>
  <c r="J485"/>
  <c r="K485"/>
  <c r="D486"/>
  <c r="E486"/>
  <c r="G486"/>
  <c r="J486"/>
  <c r="K486"/>
  <c r="D487"/>
  <c r="E487"/>
  <c r="G487"/>
  <c r="J487"/>
  <c r="K487"/>
  <c r="D488"/>
  <c r="E488"/>
  <c r="G488"/>
  <c r="J488"/>
  <c r="K488"/>
  <c r="D489"/>
  <c r="E489"/>
  <c r="G489"/>
  <c r="J489"/>
  <c r="K489"/>
  <c r="D490"/>
  <c r="E490"/>
  <c r="G490"/>
  <c r="J490"/>
  <c r="K490"/>
  <c r="D491"/>
  <c r="E491"/>
  <c r="G491"/>
  <c r="J491"/>
  <c r="K491"/>
  <c r="D492"/>
  <c r="E492"/>
  <c r="G492"/>
  <c r="J492"/>
  <c r="K492"/>
  <c r="D493"/>
  <c r="E493"/>
  <c r="G493"/>
  <c r="J493"/>
  <c r="K493"/>
  <c r="D494"/>
  <c r="E494"/>
  <c r="G494"/>
  <c r="J494"/>
  <c r="K494"/>
  <c r="D495"/>
  <c r="E495"/>
  <c r="G495"/>
  <c r="J495"/>
  <c r="K495"/>
  <c r="D496"/>
  <c r="E496"/>
  <c r="G496"/>
  <c r="J496"/>
  <c r="K496"/>
  <c r="D497"/>
  <c r="E497"/>
  <c r="G497"/>
  <c r="J497"/>
  <c r="K497"/>
  <c r="D498"/>
  <c r="E498"/>
  <c r="G498"/>
  <c r="I498"/>
  <c r="J498"/>
  <c r="K498"/>
  <c r="D499"/>
  <c r="E499"/>
  <c r="G499"/>
  <c r="J499"/>
  <c r="K499"/>
  <c r="D500"/>
  <c r="E500"/>
  <c r="G500"/>
  <c r="J500"/>
  <c r="K500"/>
  <c r="D501"/>
  <c r="E501"/>
  <c r="G501"/>
  <c r="J501"/>
  <c r="K501"/>
  <c r="D502"/>
  <c r="E502"/>
  <c r="G502"/>
  <c r="J502"/>
  <c r="K502"/>
  <c r="D503"/>
  <c r="E503"/>
  <c r="G503"/>
  <c r="J503"/>
  <c r="K503"/>
  <c r="D504"/>
  <c r="E504"/>
  <c r="G504"/>
  <c r="J504"/>
  <c r="K504"/>
  <c r="D505"/>
  <c r="E505"/>
  <c r="G505"/>
  <c r="J505"/>
  <c r="K505"/>
  <c r="D506"/>
  <c r="E506"/>
  <c r="G506"/>
  <c r="J506"/>
  <c r="K506"/>
  <c r="D507"/>
  <c r="E507"/>
  <c r="G507"/>
  <c r="J507"/>
  <c r="K507"/>
  <c r="D508"/>
  <c r="E508"/>
  <c r="G508"/>
  <c r="J508"/>
  <c r="K508"/>
  <c r="D509"/>
  <c r="E509"/>
  <c r="G509"/>
  <c r="J509"/>
  <c r="K509"/>
  <c r="D510"/>
  <c r="E510"/>
  <c r="G510"/>
  <c r="J510"/>
  <c r="K510"/>
  <c r="D511"/>
  <c r="E511"/>
  <c r="G511"/>
  <c r="J511"/>
  <c r="K511"/>
  <c r="D512"/>
  <c r="E512"/>
  <c r="G512"/>
  <c r="J512"/>
  <c r="K512"/>
  <c r="D513"/>
  <c r="E513"/>
  <c r="G513"/>
  <c r="J513"/>
  <c r="K513"/>
  <c r="D514"/>
  <c r="E514"/>
  <c r="G514"/>
  <c r="I514"/>
  <c r="J514"/>
  <c r="K514"/>
  <c r="D515"/>
  <c r="E515"/>
  <c r="G515"/>
  <c r="J515"/>
  <c r="K515"/>
  <c r="D516"/>
  <c r="E516"/>
  <c r="G516"/>
  <c r="J516"/>
  <c r="K516"/>
  <c r="D517"/>
  <c r="E517"/>
  <c r="G517"/>
  <c r="J517"/>
  <c r="K517"/>
  <c r="D518"/>
  <c r="E518"/>
  <c r="G518"/>
  <c r="I518"/>
  <c r="J518"/>
  <c r="K518"/>
  <c r="D519"/>
  <c r="E519"/>
  <c r="G519"/>
  <c r="J519"/>
  <c r="K519"/>
  <c r="D520"/>
  <c r="E520"/>
  <c r="G520"/>
  <c r="J520"/>
  <c r="K520"/>
  <c r="D521"/>
  <c r="E521"/>
  <c r="G521"/>
  <c r="J521"/>
  <c r="K521"/>
  <c r="D522"/>
  <c r="E522"/>
  <c r="G522"/>
  <c r="J522"/>
  <c r="K522"/>
  <c r="D523"/>
  <c r="E523"/>
  <c r="G523"/>
  <c r="J523"/>
  <c r="K523"/>
  <c r="D524"/>
  <c r="E524"/>
  <c r="G524"/>
  <c r="J524"/>
  <c r="K524"/>
  <c r="D525"/>
  <c r="E525"/>
  <c r="G525"/>
  <c r="J525"/>
  <c r="K525"/>
  <c r="D526"/>
  <c r="E526"/>
  <c r="G526"/>
  <c r="J526"/>
  <c r="K526"/>
  <c r="D527"/>
  <c r="E527"/>
  <c r="G527"/>
  <c r="J527"/>
  <c r="K527"/>
  <c r="D528"/>
  <c r="E528"/>
  <c r="G528"/>
  <c r="J528"/>
  <c r="K528"/>
  <c r="D529"/>
  <c r="E529"/>
  <c r="G529"/>
  <c r="I529"/>
  <c r="J529"/>
  <c r="K529"/>
  <c r="D530"/>
  <c r="E530"/>
  <c r="G530"/>
  <c r="J530"/>
  <c r="K530"/>
  <c r="D531"/>
  <c r="E531"/>
  <c r="G531"/>
  <c r="J531"/>
  <c r="K531"/>
  <c r="D532"/>
  <c r="E532"/>
  <c r="G532"/>
  <c r="I532"/>
  <c r="J532"/>
  <c r="K532"/>
  <c r="D533"/>
  <c r="E533"/>
  <c r="G533"/>
  <c r="I533"/>
  <c r="J533"/>
  <c r="K533"/>
  <c r="D534"/>
  <c r="E534"/>
  <c r="G534"/>
  <c r="J534"/>
  <c r="K534"/>
  <c r="D535"/>
  <c r="E535"/>
  <c r="G535"/>
  <c r="J535"/>
  <c r="K535"/>
  <c r="D536"/>
  <c r="E536"/>
  <c r="G536"/>
  <c r="J536"/>
  <c r="K536"/>
  <c r="D537"/>
  <c r="E537"/>
  <c r="G537"/>
  <c r="J537"/>
  <c r="K537"/>
  <c r="D538"/>
  <c r="E538"/>
  <c r="G538"/>
  <c r="J538"/>
  <c r="K538"/>
  <c r="D539"/>
  <c r="E539"/>
  <c r="G539"/>
  <c r="J539"/>
  <c r="K539"/>
  <c r="D540"/>
  <c r="E540"/>
  <c r="G540"/>
  <c r="J540"/>
  <c r="K540"/>
  <c r="D541"/>
  <c r="E541"/>
  <c r="G541"/>
  <c r="J541"/>
  <c r="K541"/>
  <c r="D542"/>
  <c r="E542"/>
  <c r="G542"/>
  <c r="J542"/>
  <c r="K542"/>
  <c r="D543"/>
  <c r="E543"/>
  <c r="G543"/>
  <c r="J543"/>
  <c r="K543"/>
  <c r="D544"/>
  <c r="E544"/>
  <c r="G544"/>
  <c r="J544"/>
  <c r="K544"/>
  <c r="D545"/>
  <c r="E545"/>
  <c r="G545"/>
  <c r="J545"/>
  <c r="K545"/>
  <c r="D546"/>
  <c r="E546"/>
  <c r="G546"/>
  <c r="J546"/>
  <c r="K546"/>
  <c r="D547"/>
  <c r="E547"/>
  <c r="G547"/>
  <c r="J547"/>
  <c r="K547"/>
  <c r="D548"/>
  <c r="E548"/>
  <c r="G548"/>
  <c r="J548"/>
  <c r="K548"/>
  <c r="D549"/>
  <c r="E549"/>
  <c r="G549"/>
  <c r="J549"/>
  <c r="K549"/>
  <c r="D550"/>
  <c r="E550"/>
  <c r="G550"/>
  <c r="I550"/>
  <c r="J550"/>
  <c r="K550"/>
  <c r="D551"/>
  <c r="E551"/>
  <c r="G551"/>
  <c r="I551"/>
  <c r="J551"/>
  <c r="K551"/>
  <c r="D552"/>
  <c r="E552"/>
  <c r="G552"/>
  <c r="J552"/>
  <c r="K552"/>
  <c r="D553"/>
  <c r="E553"/>
  <c r="G553"/>
  <c r="J553"/>
  <c r="K553"/>
  <c r="D554"/>
  <c r="E554"/>
  <c r="G554"/>
  <c r="J554"/>
  <c r="K554"/>
  <c r="D555"/>
  <c r="E555"/>
  <c r="G555"/>
  <c r="J555"/>
  <c r="K555"/>
  <c r="D556"/>
  <c r="E556"/>
  <c r="G556"/>
  <c r="I556"/>
  <c r="J556"/>
  <c r="K556"/>
  <c r="D557"/>
  <c r="E557"/>
  <c r="G557"/>
  <c r="I557"/>
  <c r="J557"/>
  <c r="K557"/>
  <c r="D558"/>
  <c r="E558"/>
  <c r="G558"/>
  <c r="J558"/>
  <c r="K558"/>
  <c r="D559"/>
  <c r="E559"/>
  <c r="G559"/>
  <c r="J559"/>
  <c r="K559"/>
  <c r="D560"/>
  <c r="E560"/>
  <c r="G560"/>
  <c r="J560"/>
  <c r="K560"/>
  <c r="D561"/>
  <c r="E561"/>
  <c r="G561"/>
  <c r="J561"/>
  <c r="K561"/>
  <c r="D562"/>
  <c r="E562"/>
  <c r="G562"/>
  <c r="J562"/>
  <c r="K562"/>
  <c r="D563"/>
  <c r="E563"/>
  <c r="G563"/>
  <c r="J563"/>
  <c r="K563"/>
  <c r="D564"/>
  <c r="E564"/>
  <c r="G564"/>
  <c r="J564"/>
  <c r="K564"/>
  <c r="D565"/>
  <c r="E565"/>
  <c r="G565"/>
  <c r="J565"/>
  <c r="K565"/>
  <c r="D566"/>
  <c r="E566"/>
  <c r="G566"/>
  <c r="J566"/>
  <c r="K566"/>
  <c r="D567"/>
  <c r="E567"/>
  <c r="G567"/>
  <c r="J567"/>
  <c r="K567"/>
  <c r="D568"/>
  <c r="E568"/>
  <c r="G568"/>
  <c r="J568"/>
  <c r="K568"/>
  <c r="D569"/>
  <c r="E569"/>
  <c r="G569"/>
  <c r="J569"/>
  <c r="K569"/>
  <c r="D570"/>
  <c r="E570"/>
  <c r="G570"/>
  <c r="J570"/>
  <c r="K570"/>
  <c r="D571"/>
  <c r="E571"/>
  <c r="G571"/>
  <c r="J571"/>
  <c r="K571"/>
  <c r="D572"/>
  <c r="E572"/>
  <c r="G572"/>
  <c r="J572"/>
  <c r="K572"/>
  <c r="D573"/>
  <c r="E573"/>
  <c r="G573"/>
  <c r="J573"/>
  <c r="K573"/>
  <c r="D574"/>
  <c r="E574"/>
  <c r="G574"/>
  <c r="J574"/>
  <c r="K574"/>
  <c r="D575"/>
  <c r="E575"/>
  <c r="G575"/>
  <c r="J575"/>
  <c r="K575"/>
  <c r="D576"/>
  <c r="E576"/>
  <c r="G576"/>
  <c r="J576"/>
  <c r="K576"/>
  <c r="D577"/>
  <c r="E577"/>
  <c r="G577"/>
  <c r="J577"/>
  <c r="K577"/>
  <c r="D578"/>
  <c r="E578"/>
  <c r="G578"/>
  <c r="J578"/>
  <c r="K578"/>
  <c r="D579"/>
  <c r="E579"/>
  <c r="G579"/>
  <c r="J579"/>
  <c r="K579"/>
  <c r="D580"/>
  <c r="E580"/>
  <c r="G580"/>
  <c r="J580"/>
  <c r="K580"/>
  <c r="D581"/>
  <c r="E581"/>
  <c r="G581"/>
  <c r="J581"/>
  <c r="K581"/>
  <c r="D582"/>
  <c r="E582"/>
  <c r="G582"/>
  <c r="J582"/>
  <c r="K582"/>
  <c r="D2"/>
  <c r="E2"/>
  <c r="G2"/>
  <c r="J2"/>
  <c r="K2"/>
  <c r="M2" i="15"/>
  <c r="J3"/>
  <c r="D2"/>
  <c r="C2"/>
  <c r="B2"/>
  <c r="N2"/>
  <c r="L2"/>
  <c r="G81" i="1"/>
  <c r="H81"/>
  <c r="J81"/>
  <c r="G57"/>
  <c r="H57"/>
  <c r="J57"/>
  <c r="G78"/>
  <c r="H78"/>
  <c r="J78"/>
  <c r="L573" i="12"/>
  <c r="G44" i="1"/>
  <c r="H44"/>
  <c r="J44"/>
  <c r="G158"/>
  <c r="H158"/>
  <c r="J158"/>
  <c r="G31"/>
  <c r="H31"/>
  <c r="J31"/>
  <c r="G70"/>
  <c r="H70"/>
  <c r="J70"/>
  <c r="G69"/>
  <c r="H69"/>
  <c r="J69"/>
  <c r="G4"/>
  <c r="G37"/>
  <c r="G38"/>
  <c r="G46"/>
  <c r="G108"/>
  <c r="G123"/>
  <c r="G147"/>
  <c r="G144"/>
  <c r="G120"/>
  <c r="G121"/>
  <c r="H4"/>
  <c r="H37"/>
  <c r="H38"/>
  <c r="H46"/>
  <c r="H108"/>
  <c r="H123"/>
  <c r="H147"/>
  <c r="H144"/>
  <c r="H120"/>
  <c r="H121"/>
  <c r="J4"/>
  <c r="J37"/>
  <c r="J38"/>
  <c r="J46"/>
  <c r="J108"/>
  <c r="J123"/>
  <c r="J147"/>
  <c r="J144"/>
  <c r="J120"/>
  <c r="J121"/>
  <c r="G97"/>
  <c r="H97"/>
  <c r="J97"/>
  <c r="G155"/>
  <c r="H155"/>
  <c r="J155"/>
  <c r="G126"/>
  <c r="H126"/>
  <c r="J126"/>
  <c r="L508" i="12"/>
  <c r="G161" i="1"/>
  <c r="H161"/>
  <c r="J161"/>
  <c r="G119"/>
  <c r="H119"/>
  <c r="J119"/>
  <c r="G131"/>
  <c r="H131"/>
  <c r="J131"/>
  <c r="L491" i="12"/>
  <c r="L499"/>
  <c r="G98" i="1"/>
  <c r="H98"/>
  <c r="J98"/>
  <c r="G80"/>
  <c r="H80"/>
  <c r="J80"/>
  <c r="G133"/>
  <c r="H133"/>
  <c r="J133"/>
  <c r="G116"/>
  <c r="H116" s="1"/>
  <c r="J116"/>
  <c r="I81"/>
  <c r="I57"/>
  <c r="I78"/>
  <c r="I44"/>
  <c r="I158"/>
  <c r="I31"/>
  <c r="I70"/>
  <c r="I69"/>
  <c r="I4"/>
  <c r="I37"/>
  <c r="I38"/>
  <c r="I46"/>
  <c r="I108"/>
  <c r="I123"/>
  <c r="I147"/>
  <c r="I144"/>
  <c r="I120"/>
  <c r="I121"/>
  <c r="I97"/>
  <c r="I155"/>
  <c r="I126"/>
  <c r="I161"/>
  <c r="I119"/>
  <c r="I131"/>
  <c r="I98"/>
  <c r="I80"/>
  <c r="I133"/>
  <c r="I55"/>
  <c r="I160"/>
  <c r="I89"/>
  <c r="I54"/>
  <c r="I88"/>
  <c r="I62"/>
  <c r="I61"/>
  <c r="I56"/>
  <c r="I103"/>
  <c r="I104"/>
  <c r="I91"/>
  <c r="I49"/>
  <c r="I117"/>
  <c r="I20"/>
  <c r="I67"/>
  <c r="I143"/>
  <c r="I7"/>
  <c r="I137"/>
  <c r="I77"/>
  <c r="I129"/>
  <c r="I60"/>
  <c r="I19"/>
  <c r="I76"/>
  <c r="I48"/>
  <c r="I47"/>
  <c r="I106"/>
  <c r="I50"/>
  <c r="I105"/>
  <c r="I51"/>
  <c r="I75"/>
  <c r="I163"/>
  <c r="I14"/>
  <c r="I116"/>
  <c r="I13"/>
  <c r="I164"/>
  <c r="I125"/>
  <c r="I124"/>
  <c r="I28"/>
  <c r="I102"/>
  <c r="I101"/>
  <c r="I29"/>
  <c r="I3"/>
  <c r="I41"/>
  <c r="I142"/>
  <c r="I66"/>
  <c r="I39"/>
  <c r="I6"/>
  <c r="I79"/>
  <c r="I58"/>
  <c r="I152"/>
  <c r="I33"/>
  <c r="I21"/>
  <c r="I2"/>
  <c r="I151"/>
  <c r="I94"/>
  <c r="I12"/>
  <c r="I43"/>
  <c r="I24"/>
  <c r="I68"/>
  <c r="I40"/>
  <c r="I22"/>
  <c r="I27"/>
  <c r="I11"/>
  <c r="I107"/>
  <c r="I52"/>
  <c r="I65"/>
  <c r="I141"/>
  <c r="I110"/>
  <c r="I111"/>
  <c r="I139"/>
  <c r="I130"/>
  <c r="I53"/>
  <c r="I30"/>
  <c r="I112"/>
  <c r="I9"/>
  <c r="I95"/>
  <c r="I134"/>
  <c r="I128"/>
  <c r="I136"/>
  <c r="I84"/>
  <c r="I64"/>
  <c r="I93"/>
  <c r="I90"/>
  <c r="I63"/>
  <c r="I135"/>
  <c r="I96"/>
  <c r="I127"/>
  <c r="I8"/>
  <c r="I74"/>
  <c r="I109"/>
  <c r="I85"/>
  <c r="I59"/>
  <c r="I132"/>
  <c r="I42"/>
  <c r="I122"/>
  <c r="I162"/>
  <c r="I145"/>
  <c r="I159"/>
  <c r="I5"/>
  <c r="I36"/>
  <c r="I18"/>
  <c r="I34"/>
  <c r="I148"/>
  <c r="I32"/>
  <c r="I92"/>
  <c r="I154"/>
  <c r="I100"/>
  <c r="I114"/>
  <c r="I115"/>
  <c r="I35"/>
  <c r="I146"/>
  <c r="I16"/>
  <c r="I10"/>
  <c r="I23"/>
  <c r="I113"/>
  <c r="I99"/>
  <c r="I25"/>
  <c r="I15"/>
  <c r="I26"/>
  <c r="I140"/>
  <c r="I118"/>
  <c r="I138"/>
  <c r="I72"/>
  <c r="I153"/>
  <c r="I71"/>
  <c r="I17"/>
  <c r="I45"/>
  <c r="I73"/>
  <c r="I156"/>
  <c r="I149"/>
  <c r="I157"/>
  <c r="I83"/>
  <c r="I150"/>
  <c r="I82"/>
  <c r="I87"/>
  <c r="I86"/>
  <c r="H2" i="12" l="1"/>
  <c r="I2" s="1"/>
  <c r="H582"/>
  <c r="I582" s="1"/>
  <c r="H581"/>
  <c r="I581" s="1"/>
  <c r="H580"/>
  <c r="I580" s="1"/>
  <c r="H579"/>
  <c r="I579" s="1"/>
  <c r="H578"/>
  <c r="I578" s="1"/>
  <c r="H577"/>
  <c r="I577" s="1"/>
  <c r="H576"/>
  <c r="I576" s="1"/>
  <c r="H575"/>
  <c r="I575" s="1"/>
  <c r="H574"/>
  <c r="I574" s="1"/>
  <c r="H573"/>
  <c r="I573" s="1"/>
  <c r="H572"/>
  <c r="I572" s="1"/>
  <c r="H571"/>
  <c r="I571" s="1"/>
  <c r="H570"/>
  <c r="I570" s="1"/>
  <c r="H569"/>
  <c r="I569" s="1"/>
  <c r="H568"/>
  <c r="I568" s="1"/>
  <c r="H567"/>
  <c r="I567" s="1"/>
  <c r="H566"/>
  <c r="I566" s="1"/>
  <c r="H565"/>
  <c r="I565" s="1"/>
  <c r="H564"/>
  <c r="I564" s="1"/>
  <c r="H563"/>
  <c r="I563" s="1"/>
  <c r="H562"/>
  <c r="I562" s="1"/>
  <c r="H561"/>
  <c r="I561" s="1"/>
  <c r="H560"/>
  <c r="I560" s="1"/>
  <c r="H559"/>
  <c r="I559" s="1"/>
  <c r="H558"/>
  <c r="I558" s="1"/>
  <c r="H557"/>
  <c r="H556"/>
  <c r="H555"/>
  <c r="I555" s="1"/>
  <c r="H554"/>
  <c r="I554" s="1"/>
  <c r="H553"/>
  <c r="I553" s="1"/>
  <c r="H552"/>
  <c r="I552" s="1"/>
  <c r="H551"/>
  <c r="H550"/>
  <c r="H549"/>
  <c r="I549" s="1"/>
  <c r="H548"/>
  <c r="I548" s="1"/>
  <c r="H547"/>
  <c r="I547" s="1"/>
  <c r="H546"/>
  <c r="I546" s="1"/>
  <c r="H545"/>
  <c r="I545" s="1"/>
  <c r="H544"/>
  <c r="I544" s="1"/>
  <c r="H543"/>
  <c r="I543" s="1"/>
  <c r="H542"/>
  <c r="I542" s="1"/>
  <c r="H541"/>
  <c r="I541" s="1"/>
  <c r="H540"/>
  <c r="I540" s="1"/>
  <c r="H539"/>
  <c r="I539" s="1"/>
  <c r="H538"/>
  <c r="I538" s="1"/>
  <c r="H537"/>
  <c r="I537" s="1"/>
  <c r="H536"/>
  <c r="I536" s="1"/>
  <c r="H535"/>
  <c r="I535" s="1"/>
  <c r="H534"/>
  <c r="I534" s="1"/>
  <c r="H533"/>
  <c r="H532"/>
  <c r="H531"/>
  <c r="I531" s="1"/>
  <c r="H530"/>
  <c r="I530" s="1"/>
  <c r="H529"/>
  <c r="H528"/>
  <c r="I528" s="1"/>
  <c r="H527"/>
  <c r="I527" s="1"/>
  <c r="H526"/>
  <c r="I526" s="1"/>
  <c r="H525"/>
  <c r="I525" s="1"/>
  <c r="H524"/>
  <c r="I524" s="1"/>
  <c r="H523"/>
  <c r="I523" s="1"/>
  <c r="H522"/>
  <c r="I522" s="1"/>
  <c r="H521"/>
  <c r="I521" s="1"/>
  <c r="H520"/>
  <c r="I520" s="1"/>
  <c r="H519"/>
  <c r="I519" s="1"/>
  <c r="H518"/>
  <c r="H517"/>
  <c r="I517" s="1"/>
  <c r="H516"/>
  <c r="I516" s="1"/>
  <c r="H515"/>
  <c r="I515" s="1"/>
  <c r="H514"/>
  <c r="H513"/>
  <c r="I513" s="1"/>
  <c r="H512"/>
  <c r="I512" s="1"/>
  <c r="H511"/>
  <c r="I511" s="1"/>
  <c r="H510"/>
  <c r="I510" s="1"/>
  <c r="H509"/>
  <c r="I509" s="1"/>
  <c r="H508"/>
  <c r="I508" s="1"/>
  <c r="H507"/>
  <c r="I507" s="1"/>
  <c r="H506"/>
  <c r="I506" s="1"/>
  <c r="H505"/>
  <c r="I505" s="1"/>
  <c r="H504"/>
  <c r="I504" s="1"/>
  <c r="H503"/>
  <c r="I503" s="1"/>
  <c r="H502"/>
  <c r="I502" s="1"/>
  <c r="H501"/>
  <c r="I501" s="1"/>
  <c r="H500"/>
  <c r="I500" s="1"/>
  <c r="H499"/>
  <c r="I499" s="1"/>
  <c r="H498"/>
  <c r="H497"/>
  <c r="I497" s="1"/>
  <c r="H496"/>
  <c r="I496" s="1"/>
  <c r="H495"/>
  <c r="I495" s="1"/>
  <c r="H494"/>
  <c r="I494" s="1"/>
  <c r="H493"/>
  <c r="I493" s="1"/>
  <c r="H492"/>
  <c r="I492" s="1"/>
  <c r="H491"/>
  <c r="I491" s="1"/>
  <c r="H490"/>
  <c r="I490" s="1"/>
  <c r="H489"/>
  <c r="I489" s="1"/>
  <c r="H488"/>
  <c r="I488" s="1"/>
  <c r="H487"/>
  <c r="I487" s="1"/>
  <c r="H486"/>
  <c r="I486" s="1"/>
  <c r="H485"/>
  <c r="I485" s="1"/>
  <c r="H484"/>
  <c r="I484" s="1"/>
  <c r="H483"/>
  <c r="H482"/>
  <c r="I482" s="1"/>
  <c r="H481"/>
  <c r="I481" s="1"/>
  <c r="H480"/>
  <c r="I480" s="1"/>
  <c r="H479"/>
  <c r="I479" s="1"/>
  <c r="H478"/>
  <c r="I478" s="1"/>
  <c r="H477"/>
  <c r="I477" s="1"/>
  <c r="H476"/>
  <c r="I476" s="1"/>
  <c r="H475"/>
  <c r="H474"/>
  <c r="I474" s="1"/>
  <c r="H473"/>
  <c r="I473" s="1"/>
  <c r="H472"/>
  <c r="I472" s="1"/>
  <c r="H471"/>
  <c r="I471" s="1"/>
  <c r="H470"/>
  <c r="I470" s="1"/>
  <c r="H469"/>
  <c r="I469" s="1"/>
  <c r="H468"/>
  <c r="I468" s="1"/>
  <c r="H467"/>
  <c r="I467" s="1"/>
  <c r="H466"/>
  <c r="I466" s="1"/>
  <c r="H465"/>
  <c r="I465" s="1"/>
  <c r="H464"/>
  <c r="I464" s="1"/>
  <c r="H463"/>
  <c r="I463" s="1"/>
  <c r="H462"/>
  <c r="I462" s="1"/>
  <c r="H461"/>
  <c r="I461" s="1"/>
  <c r="H460"/>
  <c r="I460" s="1"/>
  <c r="H459"/>
  <c r="I459" s="1"/>
  <c r="H458"/>
  <c r="I458" s="1"/>
  <c r="H457"/>
  <c r="I457" s="1"/>
  <c r="H456"/>
  <c r="I456" s="1"/>
  <c r="H455"/>
  <c r="I455" s="1"/>
  <c r="H454"/>
  <c r="I454" s="1"/>
  <c r="H453"/>
  <c r="I453" s="1"/>
  <c r="H452"/>
  <c r="I452" s="1"/>
  <c r="H451"/>
  <c r="I451" s="1"/>
  <c r="H450"/>
  <c r="I450" s="1"/>
  <c r="H449"/>
  <c r="I449" s="1"/>
  <c r="H448"/>
  <c r="I448" s="1"/>
  <c r="H447"/>
  <c r="I447" s="1"/>
  <c r="H446"/>
  <c r="I446" s="1"/>
  <c r="H445"/>
  <c r="I445" s="1"/>
  <c r="H444"/>
  <c r="I444" s="1"/>
  <c r="H443"/>
  <c r="I443" s="1"/>
  <c r="H442"/>
  <c r="I442" s="1"/>
  <c r="H441"/>
  <c r="I441" s="1"/>
  <c r="H440"/>
  <c r="I440" s="1"/>
  <c r="H439"/>
  <c r="I439" s="1"/>
  <c r="H438"/>
  <c r="I438" s="1"/>
  <c r="H437"/>
  <c r="I437" s="1"/>
  <c r="H436"/>
  <c r="I436" s="1"/>
  <c r="H435"/>
  <c r="I435" s="1"/>
  <c r="H434"/>
  <c r="I434" s="1"/>
  <c r="H433"/>
  <c r="I433" s="1"/>
  <c r="H432"/>
  <c r="I432" s="1"/>
  <c r="H431"/>
  <c r="H430"/>
  <c r="I430" s="1"/>
  <c r="H429"/>
  <c r="I429" s="1"/>
  <c r="H428"/>
  <c r="H427"/>
  <c r="I427" s="1"/>
  <c r="H426"/>
  <c r="I426" s="1"/>
  <c r="H425"/>
  <c r="I425" s="1"/>
  <c r="H424"/>
  <c r="I424" s="1"/>
  <c r="H423"/>
  <c r="I423" s="1"/>
  <c r="H422"/>
  <c r="I422" s="1"/>
  <c r="H421"/>
  <c r="I421" s="1"/>
  <c r="H420"/>
  <c r="I420" s="1"/>
  <c r="H419"/>
  <c r="I419" s="1"/>
  <c r="H418"/>
  <c r="I418" s="1"/>
  <c r="H417"/>
  <c r="I417" s="1"/>
  <c r="H416"/>
  <c r="I416" s="1"/>
  <c r="H415"/>
  <c r="I415" s="1"/>
  <c r="H414"/>
  <c r="I414" s="1"/>
  <c r="H413"/>
  <c r="I413" s="1"/>
  <c r="H412"/>
  <c r="I412" s="1"/>
  <c r="H411"/>
  <c r="H410"/>
  <c r="I410" s="1"/>
  <c r="H409"/>
  <c r="I409" s="1"/>
  <c r="H408"/>
  <c r="I408" s="1"/>
  <c r="H407"/>
  <c r="I407" s="1"/>
  <c r="H406"/>
  <c r="I406" s="1"/>
  <c r="H405"/>
  <c r="I405" s="1"/>
  <c r="H404"/>
  <c r="I404" s="1"/>
  <c r="H403"/>
  <c r="I403" s="1"/>
  <c r="H402"/>
  <c r="I402" s="1"/>
  <c r="H400"/>
  <c r="I400" s="1"/>
  <c r="H399"/>
  <c r="I399" s="1"/>
  <c r="H398"/>
  <c r="I398" s="1"/>
  <c r="H397"/>
  <c r="I397" s="1"/>
  <c r="H396"/>
  <c r="I396" s="1"/>
  <c r="H395"/>
  <c r="I395" s="1"/>
  <c r="H394"/>
  <c r="I394" s="1"/>
  <c r="H393"/>
  <c r="H392"/>
  <c r="H391"/>
  <c r="I391" s="1"/>
  <c r="H390"/>
  <c r="I390" s="1"/>
  <c r="H389"/>
  <c r="I389" s="1"/>
  <c r="H388"/>
  <c r="I388" s="1"/>
  <c r="H387"/>
  <c r="I387" s="1"/>
  <c r="H386"/>
  <c r="I386" s="1"/>
  <c r="H385"/>
  <c r="I385" s="1"/>
  <c r="H384"/>
  <c r="I384" s="1"/>
  <c r="H383"/>
  <c r="I383" s="1"/>
  <c r="H382"/>
  <c r="I382" s="1"/>
  <c r="H381"/>
  <c r="I381" s="1"/>
  <c r="H380"/>
  <c r="I380" s="1"/>
  <c r="H379"/>
  <c r="I379" s="1"/>
  <c r="H378"/>
  <c r="I378" s="1"/>
  <c r="H377"/>
  <c r="I377" s="1"/>
  <c r="H376"/>
  <c r="I376" s="1"/>
  <c r="H375"/>
  <c r="I375" s="1"/>
  <c r="H374"/>
  <c r="I374" s="1"/>
  <c r="H373"/>
  <c r="I373" s="1"/>
  <c r="H372"/>
  <c r="I372" s="1"/>
  <c r="H371"/>
  <c r="I371" s="1"/>
  <c r="H370"/>
  <c r="I370" s="1"/>
  <c r="H369"/>
  <c r="I369" s="1"/>
  <c r="H368"/>
  <c r="I368" s="1"/>
  <c r="H367"/>
  <c r="I367" s="1"/>
  <c r="H366"/>
  <c r="I366" s="1"/>
  <c r="H365"/>
  <c r="I365" s="1"/>
  <c r="H364"/>
  <c r="I364" s="1"/>
  <c r="H363"/>
  <c r="I363" s="1"/>
  <c r="H362"/>
  <c r="I362" s="1"/>
  <c r="H361"/>
  <c r="I361" s="1"/>
  <c r="H360"/>
  <c r="I360" s="1"/>
  <c r="H359"/>
  <c r="I359" s="1"/>
  <c r="H358"/>
  <c r="I358" s="1"/>
  <c r="H357"/>
  <c r="I357" s="1"/>
  <c r="H356"/>
  <c r="I356" s="1"/>
  <c r="H355"/>
  <c r="I355" s="1"/>
  <c r="H354"/>
  <c r="I354" s="1"/>
  <c r="H353"/>
  <c r="I353" s="1"/>
  <c r="H352"/>
  <c r="I352" s="1"/>
  <c r="H351"/>
  <c r="I351" s="1"/>
  <c r="H350"/>
  <c r="I350" s="1"/>
  <c r="H349"/>
  <c r="I349" s="1"/>
  <c r="H348"/>
  <c r="I348" s="1"/>
  <c r="H347"/>
  <c r="I347" s="1"/>
  <c r="H346"/>
  <c r="I346" s="1"/>
  <c r="H345"/>
  <c r="I345" s="1"/>
  <c r="H344"/>
  <c r="I344" s="1"/>
  <c r="H343"/>
  <c r="I343" s="1"/>
  <c r="H342"/>
  <c r="I342" s="1"/>
  <c r="H341"/>
  <c r="I341" s="1"/>
  <c r="H340"/>
  <c r="I340" s="1"/>
  <c r="H339"/>
  <c r="I339" s="1"/>
  <c r="H338"/>
  <c r="I338" s="1"/>
  <c r="H337"/>
  <c r="I337" s="1"/>
  <c r="H336"/>
  <c r="I336" s="1"/>
  <c r="H335"/>
  <c r="I335" s="1"/>
  <c r="H334"/>
  <c r="I334" s="1"/>
  <c r="H333"/>
  <c r="I333" s="1"/>
  <c r="H332"/>
  <c r="I332" s="1"/>
  <c r="H331"/>
  <c r="I331" s="1"/>
  <c r="H330"/>
  <c r="I330" s="1"/>
  <c r="H329"/>
  <c r="I329" s="1"/>
  <c r="H328"/>
  <c r="I328" s="1"/>
  <c r="H327"/>
  <c r="I327" s="1"/>
  <c r="H326"/>
  <c r="I326" s="1"/>
  <c r="H325"/>
  <c r="I325" s="1"/>
  <c r="H324"/>
  <c r="I324" s="1"/>
  <c r="H323"/>
  <c r="I323" s="1"/>
  <c r="H322"/>
  <c r="I322" s="1"/>
  <c r="H321"/>
  <c r="I321" s="1"/>
  <c r="H320"/>
  <c r="I320" s="1"/>
  <c r="H319"/>
  <c r="I319" s="1"/>
  <c r="H318"/>
  <c r="I318" s="1"/>
  <c r="H317"/>
  <c r="I317" s="1"/>
  <c r="H316"/>
  <c r="I316" s="1"/>
  <c r="H315"/>
  <c r="I315" s="1"/>
  <c r="H314"/>
  <c r="I314" s="1"/>
  <c r="H313"/>
  <c r="I313" s="1"/>
  <c r="H312"/>
  <c r="I312" s="1"/>
  <c r="H311"/>
  <c r="I311" s="1"/>
  <c r="H310"/>
  <c r="H309"/>
  <c r="I309" s="1"/>
  <c r="H308"/>
  <c r="H307"/>
  <c r="H306"/>
  <c r="I306" s="1"/>
  <c r="H305"/>
  <c r="I305" s="1"/>
  <c r="H304"/>
  <c r="I304" s="1"/>
  <c r="H303"/>
  <c r="I303" s="1"/>
  <c r="H302"/>
  <c r="I302" s="1"/>
  <c r="H301"/>
  <c r="I301" s="1"/>
  <c r="H300"/>
  <c r="I300" s="1"/>
  <c r="H299"/>
  <c r="I299" s="1"/>
  <c r="H298"/>
  <c r="I298" s="1"/>
  <c r="H297"/>
  <c r="I297" s="1"/>
  <c r="H296"/>
  <c r="I296" s="1"/>
  <c r="H295"/>
  <c r="I295" s="1"/>
  <c r="H294"/>
  <c r="I294" s="1"/>
  <c r="H293"/>
  <c r="I293" s="1"/>
  <c r="H292"/>
  <c r="I292" s="1"/>
  <c r="H291"/>
  <c r="I291" s="1"/>
  <c r="H290"/>
  <c r="I290" s="1"/>
  <c r="H289"/>
  <c r="I289" s="1"/>
  <c r="H288"/>
  <c r="I288" s="1"/>
  <c r="H287"/>
  <c r="I287" s="1"/>
  <c r="H286"/>
  <c r="I286" s="1"/>
  <c r="H285"/>
  <c r="I285" s="1"/>
  <c r="H284"/>
  <c r="I284" s="1"/>
  <c r="H283"/>
  <c r="I283" s="1"/>
  <c r="H282"/>
  <c r="I282" s="1"/>
  <c r="H281"/>
  <c r="H280"/>
  <c r="I280" s="1"/>
  <c r="H279"/>
  <c r="H278"/>
  <c r="I278" s="1"/>
  <c r="H277"/>
  <c r="H276"/>
  <c r="I276" s="1"/>
  <c r="H275"/>
  <c r="I275" s="1"/>
  <c r="H274"/>
  <c r="I274" s="1"/>
  <c r="H273"/>
  <c r="I273" s="1"/>
  <c r="H272"/>
  <c r="I272" s="1"/>
  <c r="H271"/>
  <c r="I271" s="1"/>
  <c r="H270"/>
  <c r="I270" s="1"/>
  <c r="H269"/>
  <c r="I269" s="1"/>
  <c r="H268"/>
  <c r="I268" s="1"/>
  <c r="H267"/>
  <c r="I267" s="1"/>
  <c r="H266"/>
  <c r="I266" s="1"/>
  <c r="H265"/>
  <c r="I265" s="1"/>
  <c r="H264"/>
  <c r="I264" s="1"/>
  <c r="H263"/>
  <c r="I263" s="1"/>
  <c r="H262"/>
  <c r="I262" s="1"/>
  <c r="H261"/>
  <c r="I261" s="1"/>
  <c r="H260"/>
  <c r="I260" s="1"/>
  <c r="H259"/>
  <c r="I259" s="1"/>
  <c r="H258"/>
  <c r="I258" s="1"/>
  <c r="H257"/>
  <c r="I257" s="1"/>
  <c r="H256"/>
  <c r="I256" s="1"/>
  <c r="H255"/>
  <c r="I255" s="1"/>
  <c r="H254"/>
  <c r="I254" s="1"/>
  <c r="H253"/>
  <c r="I253" s="1"/>
  <c r="H252"/>
  <c r="I252" s="1"/>
  <c r="H251"/>
  <c r="I251" s="1"/>
  <c r="H250"/>
  <c r="I250" s="1"/>
  <c r="H249"/>
  <c r="I249" s="1"/>
  <c r="H248"/>
  <c r="I248" s="1"/>
  <c r="H247"/>
  <c r="I247" s="1"/>
  <c r="H246"/>
  <c r="I246" s="1"/>
  <c r="H245"/>
  <c r="I245" s="1"/>
  <c r="H244"/>
  <c r="I244" s="1"/>
  <c r="H243"/>
  <c r="I243" s="1"/>
  <c r="H242"/>
  <c r="I242" s="1"/>
  <c r="H241"/>
  <c r="I241" s="1"/>
  <c r="H240"/>
  <c r="I240" s="1"/>
  <c r="H239"/>
  <c r="I239" s="1"/>
  <c r="H238"/>
  <c r="I238" s="1"/>
  <c r="H237"/>
  <c r="I237" s="1"/>
  <c r="H236"/>
  <c r="I236" s="1"/>
  <c r="H235"/>
  <c r="I235" s="1"/>
  <c r="H234"/>
  <c r="I234" s="1"/>
  <c r="H233"/>
  <c r="I233" s="1"/>
  <c r="H232"/>
  <c r="I232" s="1"/>
  <c r="H231"/>
  <c r="I231" s="1"/>
  <c r="H230"/>
  <c r="I230" s="1"/>
  <c r="H229"/>
  <c r="I229" s="1"/>
  <c r="H228"/>
  <c r="I228" s="1"/>
  <c r="H227"/>
  <c r="I227" s="1"/>
  <c r="H226"/>
  <c r="I226" s="1"/>
  <c r="H225"/>
  <c r="I225" s="1"/>
  <c r="H224"/>
  <c r="I224" s="1"/>
  <c r="H223"/>
  <c r="I223" s="1"/>
  <c r="H222"/>
  <c r="I222" s="1"/>
  <c r="H221"/>
  <c r="I221" s="1"/>
  <c r="H220"/>
  <c r="I220" s="1"/>
  <c r="H219"/>
  <c r="I219" s="1"/>
  <c r="H218"/>
  <c r="I218" s="1"/>
  <c r="H217"/>
  <c r="I217" s="1"/>
  <c r="H216"/>
  <c r="I216" s="1"/>
  <c r="H215"/>
  <c r="I215" s="1"/>
  <c r="H214"/>
  <c r="I214" s="1"/>
  <c r="H213"/>
  <c r="I213" s="1"/>
  <c r="H212"/>
  <c r="I212" s="1"/>
  <c r="H211"/>
  <c r="I211" s="1"/>
  <c r="H210"/>
  <c r="I210" s="1"/>
  <c r="H209"/>
  <c r="I209" s="1"/>
  <c r="H208"/>
  <c r="I208" s="1"/>
  <c r="H207"/>
  <c r="I207" s="1"/>
  <c r="H206"/>
  <c r="I206" s="1"/>
  <c r="H205"/>
  <c r="I205" s="1"/>
  <c r="H204"/>
  <c r="I204" s="1"/>
  <c r="H203"/>
  <c r="I203" s="1"/>
  <c r="H202"/>
  <c r="I202" s="1"/>
  <c r="H201"/>
  <c r="H200"/>
  <c r="I200" s="1"/>
  <c r="H199"/>
  <c r="I199" s="1"/>
  <c r="H198"/>
  <c r="H197"/>
  <c r="I197" s="1"/>
  <c r="H196"/>
  <c r="I196" s="1"/>
  <c r="H195"/>
  <c r="I195" s="1"/>
  <c r="H194"/>
  <c r="H193"/>
  <c r="I193" s="1"/>
  <c r="H192"/>
  <c r="I192" s="1"/>
  <c r="H191"/>
  <c r="I191" s="1"/>
  <c r="H190"/>
  <c r="I190" s="1"/>
  <c r="H189"/>
  <c r="I189" s="1"/>
  <c r="H188"/>
  <c r="I188" s="1"/>
  <c r="H187"/>
  <c r="I187" s="1"/>
  <c r="H186"/>
  <c r="I186" s="1"/>
  <c r="H185"/>
  <c r="I185" s="1"/>
  <c r="H184"/>
  <c r="I184" s="1"/>
  <c r="H183"/>
  <c r="I183" s="1"/>
  <c r="H182"/>
  <c r="I182" s="1"/>
  <c r="H181"/>
  <c r="I181" s="1"/>
  <c r="H180"/>
  <c r="I180" s="1"/>
  <c r="H179"/>
  <c r="I179" s="1"/>
  <c r="H178"/>
  <c r="I178" s="1"/>
  <c r="H177"/>
  <c r="I177" s="1"/>
  <c r="H176"/>
  <c r="I176" s="1"/>
  <c r="H175"/>
  <c r="I175" s="1"/>
  <c r="H174"/>
  <c r="I174" s="1"/>
  <c r="H173"/>
  <c r="I173" s="1"/>
  <c r="H172"/>
  <c r="I172" s="1"/>
  <c r="H171"/>
  <c r="I171" s="1"/>
  <c r="H170"/>
  <c r="I170" s="1"/>
  <c r="H169"/>
  <c r="I169" s="1"/>
  <c r="H168"/>
  <c r="I168" s="1"/>
  <c r="H167"/>
  <c r="I167" s="1"/>
  <c r="H166"/>
  <c r="H165"/>
  <c r="H164"/>
  <c r="I164" s="1"/>
  <c r="H163"/>
  <c r="H162"/>
  <c r="H161"/>
  <c r="H160"/>
  <c r="I160" s="1"/>
  <c r="H159"/>
  <c r="I159" s="1"/>
  <c r="H158"/>
  <c r="H157"/>
  <c r="H156"/>
  <c r="I156" s="1"/>
  <c r="H155"/>
  <c r="H154"/>
  <c r="H153"/>
  <c r="I153" s="1"/>
  <c r="H152"/>
  <c r="I152" s="1"/>
  <c r="H151"/>
  <c r="H150"/>
  <c r="I150" s="1"/>
  <c r="H149"/>
  <c r="I149" s="1"/>
  <c r="H148"/>
  <c r="I148" s="1"/>
  <c r="H147"/>
  <c r="I147" s="1"/>
  <c r="H146"/>
  <c r="I146" s="1"/>
  <c r="H145"/>
  <c r="I145" s="1"/>
  <c r="H144"/>
  <c r="I144" s="1"/>
  <c r="H143"/>
  <c r="I143" s="1"/>
  <c r="H142"/>
  <c r="I142" s="1"/>
  <c r="H141"/>
  <c r="I141" s="1"/>
  <c r="H140"/>
  <c r="I140" s="1"/>
  <c r="H139"/>
  <c r="I139" s="1"/>
  <c r="H138"/>
  <c r="I138" s="1"/>
  <c r="H137"/>
  <c r="I137" s="1"/>
  <c r="H136"/>
  <c r="I136" s="1"/>
  <c r="H134"/>
  <c r="I134" s="1"/>
  <c r="H133"/>
  <c r="I133" s="1"/>
  <c r="H132"/>
  <c r="I132" s="1"/>
  <c r="H131"/>
  <c r="I131" s="1"/>
  <c r="H130"/>
  <c r="I130" s="1"/>
  <c r="H129"/>
  <c r="I129" s="1"/>
  <c r="H128"/>
  <c r="I128" s="1"/>
  <c r="H127"/>
  <c r="H126"/>
  <c r="I126" s="1"/>
  <c r="H125"/>
  <c r="H124"/>
  <c r="H123"/>
  <c r="H122"/>
  <c r="I122" s="1"/>
  <c r="H121"/>
  <c r="H120"/>
  <c r="H119"/>
  <c r="H118"/>
  <c r="I118" s="1"/>
  <c r="H117"/>
  <c r="H116"/>
  <c r="H115"/>
  <c r="I115" s="1"/>
  <c r="H114"/>
  <c r="I114" s="1"/>
  <c r="H113"/>
  <c r="I113" s="1"/>
  <c r="H112"/>
  <c r="I112" s="1"/>
  <c r="H111"/>
  <c r="I111" s="1"/>
  <c r="H110"/>
  <c r="I110" s="1"/>
  <c r="H109"/>
  <c r="I109" s="1"/>
  <c r="H108"/>
  <c r="I108" s="1"/>
  <c r="H107"/>
  <c r="I107" s="1"/>
  <c r="H106"/>
  <c r="I106" s="1"/>
  <c r="H105"/>
  <c r="I105" s="1"/>
  <c r="H104"/>
  <c r="I104" s="1"/>
  <c r="H103"/>
  <c r="I103" s="1"/>
  <c r="H102"/>
  <c r="I102" s="1"/>
  <c r="H101"/>
  <c r="I101" s="1"/>
  <c r="H100"/>
  <c r="I100" s="1"/>
  <c r="H99"/>
  <c r="I99" s="1"/>
  <c r="H98"/>
  <c r="I98" s="1"/>
  <c r="H97"/>
  <c r="I97" s="1"/>
  <c r="H96"/>
  <c r="I96" s="1"/>
  <c r="H95"/>
  <c r="I95" s="1"/>
  <c r="H94"/>
  <c r="I94" s="1"/>
  <c r="H93"/>
  <c r="I93" s="1"/>
  <c r="H92"/>
  <c r="I92" s="1"/>
  <c r="H91"/>
  <c r="I91" s="1"/>
  <c r="H90"/>
  <c r="I90" s="1"/>
  <c r="H89"/>
  <c r="I89" s="1"/>
  <c r="H88"/>
  <c r="I88" s="1"/>
  <c r="H87"/>
  <c r="I87" s="1"/>
  <c r="H86"/>
  <c r="I86" s="1"/>
  <c r="H85"/>
  <c r="I85" s="1"/>
  <c r="H84"/>
  <c r="I84" s="1"/>
  <c r="H83"/>
  <c r="I83" s="1"/>
  <c r="H82"/>
  <c r="I82" s="1"/>
  <c r="H81"/>
  <c r="I81" s="1"/>
  <c r="H80"/>
  <c r="I80" s="1"/>
  <c r="H79"/>
  <c r="I79" s="1"/>
  <c r="H78"/>
  <c r="I78" s="1"/>
  <c r="H77"/>
  <c r="I77" s="1"/>
  <c r="H76"/>
  <c r="I76" s="1"/>
  <c r="H75"/>
  <c r="I75" s="1"/>
  <c r="H74"/>
  <c r="I74" s="1"/>
  <c r="H73"/>
  <c r="I73" s="1"/>
  <c r="H72"/>
  <c r="I72" s="1"/>
  <c r="H71"/>
  <c r="I71" s="1"/>
  <c r="H70"/>
  <c r="I70" s="1"/>
  <c r="H69"/>
  <c r="I69" s="1"/>
  <c r="H68"/>
  <c r="I68" s="1"/>
  <c r="H67"/>
  <c r="I67" s="1"/>
  <c r="H66"/>
  <c r="I66" s="1"/>
  <c r="H65"/>
  <c r="I65" s="1"/>
  <c r="H64"/>
  <c r="I64" s="1"/>
  <c r="H63"/>
  <c r="I63" s="1"/>
  <c r="H62"/>
  <c r="I62" s="1"/>
  <c r="H61"/>
  <c r="I61" s="1"/>
  <c r="H60"/>
  <c r="I60" s="1"/>
  <c r="H59"/>
  <c r="I59" s="1"/>
  <c r="H58"/>
  <c r="I58" s="1"/>
  <c r="H57"/>
  <c r="I57" s="1"/>
  <c r="H56"/>
  <c r="I56" s="1"/>
  <c r="H55"/>
  <c r="I55" s="1"/>
  <c r="H54"/>
  <c r="I54" s="1"/>
  <c r="H53"/>
  <c r="I53" s="1"/>
  <c r="H52"/>
  <c r="I52" s="1"/>
  <c r="H51"/>
  <c r="I51" s="1"/>
  <c r="H50"/>
  <c r="I50" s="1"/>
  <c r="H49"/>
  <c r="I49" s="1"/>
  <c r="H48"/>
  <c r="I48" s="1"/>
  <c r="H47"/>
  <c r="I47" s="1"/>
  <c r="H46"/>
  <c r="I46" s="1"/>
  <c r="H45"/>
  <c r="I45" s="1"/>
  <c r="H44"/>
  <c r="I44" s="1"/>
  <c r="H43"/>
  <c r="I43" s="1"/>
  <c r="H42"/>
  <c r="I42" s="1"/>
  <c r="H41"/>
  <c r="I41" s="1"/>
  <c r="H40"/>
  <c r="I40" s="1"/>
  <c r="H39"/>
  <c r="I39" s="1"/>
  <c r="H38"/>
  <c r="I38" s="1"/>
  <c r="H37"/>
  <c r="I37" s="1"/>
  <c r="H36"/>
  <c r="I36" s="1"/>
  <c r="H35"/>
  <c r="I35" s="1"/>
  <c r="H34"/>
  <c r="I34" s="1"/>
  <c r="H33"/>
  <c r="I33" s="1"/>
  <c r="H32"/>
  <c r="I32" s="1"/>
  <c r="H31"/>
  <c r="I31" s="1"/>
  <c r="H30"/>
  <c r="I30" s="1"/>
  <c r="H29"/>
  <c r="I29" s="1"/>
  <c r="H28"/>
  <c r="I28" s="1"/>
  <c r="H27"/>
  <c r="I27" s="1"/>
  <c r="H26"/>
  <c r="I26" s="1"/>
  <c r="H25"/>
  <c r="I25" s="1"/>
  <c r="H24"/>
  <c r="I24" s="1"/>
  <c r="H23"/>
  <c r="I23" s="1"/>
  <c r="H22"/>
  <c r="I22" s="1"/>
  <c r="H21"/>
  <c r="I21" s="1"/>
  <c r="H20"/>
  <c r="I20" s="1"/>
  <c r="H19"/>
  <c r="I19" s="1"/>
  <c r="H18"/>
  <c r="I18" s="1"/>
  <c r="H17"/>
  <c r="I17" s="1"/>
  <c r="H16"/>
  <c r="I16" s="1"/>
  <c r="H15"/>
  <c r="I15" s="1"/>
  <c r="H14"/>
  <c r="I14" s="1"/>
  <c r="H13"/>
  <c r="I13" s="1"/>
  <c r="H12"/>
  <c r="I12" s="1"/>
  <c r="H11"/>
  <c r="I11" s="1"/>
  <c r="H10"/>
  <c r="I10" s="1"/>
  <c r="H9"/>
  <c r="I9" s="1"/>
  <c r="H8"/>
  <c r="I8" s="1"/>
  <c r="H7"/>
  <c r="I7" s="1"/>
  <c r="H6"/>
  <c r="H5"/>
  <c r="I5" s="1"/>
  <c r="H4"/>
  <c r="I4" s="1"/>
  <c r="H3"/>
  <c r="I3" s="1"/>
  <c r="H401"/>
  <c r="I401" s="1"/>
  <c r="H135"/>
  <c r="I135" s="1"/>
  <c r="Q116" i="1"/>
  <c r="Q133"/>
  <c r="Q80"/>
  <c r="Q98"/>
  <c r="Q131"/>
  <c r="Q119"/>
  <c r="Q161"/>
  <c r="Q126"/>
  <c r="Q155"/>
  <c r="Q97"/>
  <c r="Q121"/>
  <c r="Q120"/>
  <c r="Q144"/>
  <c r="Q147"/>
  <c r="Q123"/>
  <c r="Q108"/>
  <c r="Q46"/>
  <c r="Q38"/>
  <c r="Q37"/>
  <c r="Q4"/>
  <c r="Q69"/>
  <c r="Q70"/>
  <c r="Q31"/>
  <c r="Q158"/>
  <c r="Q44"/>
  <c r="Q78"/>
  <c r="Q57"/>
  <c r="Q81"/>
  <c r="N38"/>
  <c r="O38" s="1"/>
  <c r="F3" i="15"/>
  <c r="H3"/>
  <c r="G3"/>
  <c r="I3"/>
  <c r="N3" s="1"/>
  <c r="G5" i="1"/>
  <c r="H5" s="1"/>
  <c r="Q5" s="1"/>
  <c r="J5"/>
  <c r="L548" i="12"/>
  <c r="G159" i="1"/>
  <c r="H159" s="1"/>
  <c r="Q159" s="1"/>
  <c r="J159"/>
  <c r="G122"/>
  <c r="H122" s="1"/>
  <c r="Q122" s="1"/>
  <c r="J122"/>
  <c r="G107"/>
  <c r="H107" s="1"/>
  <c r="Q107" s="1"/>
  <c r="J107"/>
  <c r="G22"/>
  <c r="H22" s="1"/>
  <c r="Q22" s="1"/>
  <c r="J22"/>
  <c r="G21"/>
  <c r="H21" s="1"/>
  <c r="Q21" s="1"/>
  <c r="J21"/>
  <c r="N81" l="1"/>
  <c r="O81" s="1"/>
  <c r="N57"/>
  <c r="O57" s="1"/>
  <c r="N78"/>
  <c r="O78" s="1"/>
  <c r="N44"/>
  <c r="O44" s="1"/>
  <c r="N158"/>
  <c r="O158" s="1"/>
  <c r="N31"/>
  <c r="O31" s="1"/>
  <c r="N70"/>
  <c r="O70" s="1"/>
  <c r="N69"/>
  <c r="O69" s="1"/>
  <c r="N4"/>
  <c r="O4" s="1"/>
  <c r="N37"/>
  <c r="O37" s="1"/>
  <c r="N46"/>
  <c r="O46" s="1"/>
  <c r="N108"/>
  <c r="O108" s="1"/>
  <c r="N123"/>
  <c r="O123" s="1"/>
  <c r="N147"/>
  <c r="O147" s="1"/>
  <c r="N144"/>
  <c r="O144" s="1"/>
  <c r="N120"/>
  <c r="O120" s="1"/>
  <c r="N121"/>
  <c r="O121" s="1"/>
  <c r="N97"/>
  <c r="O97" s="1"/>
  <c r="N155"/>
  <c r="O155" s="1"/>
  <c r="N126"/>
  <c r="O126" s="1"/>
  <c r="N161"/>
  <c r="O161" s="1"/>
  <c r="N119"/>
  <c r="O119" s="1"/>
  <c r="N131"/>
  <c r="O131" s="1"/>
  <c r="N98"/>
  <c r="O98" s="1"/>
  <c r="N80"/>
  <c r="O80" s="1"/>
  <c r="N133"/>
  <c r="O133" s="1"/>
  <c r="N116"/>
  <c r="O116" s="1"/>
  <c r="G164"/>
  <c r="H164" s="1"/>
  <c r="Q164" s="1"/>
  <c r="J164"/>
  <c r="G163"/>
  <c r="H163" s="1"/>
  <c r="Q163" s="1"/>
  <c r="J163"/>
  <c r="G124"/>
  <c r="H124" s="1"/>
  <c r="Q124" s="1"/>
  <c r="G125"/>
  <c r="H125" s="1"/>
  <c r="Q125" s="1"/>
  <c r="J124"/>
  <c r="J125"/>
  <c r="G154"/>
  <c r="H154" s="1"/>
  <c r="Q154" s="1"/>
  <c r="J154"/>
  <c r="G162"/>
  <c r="H162" s="1"/>
  <c r="Q162" s="1"/>
  <c r="J162"/>
  <c r="G113"/>
  <c r="H113" s="1"/>
  <c r="Q113" s="1"/>
  <c r="J113"/>
  <c r="G23"/>
  <c r="H23" s="1"/>
  <c r="Q23" s="1"/>
  <c r="J23"/>
  <c r="G59"/>
  <c r="H59" s="1"/>
  <c r="Q59" s="1"/>
  <c r="J59"/>
  <c r="G58"/>
  <c r="H58" s="1"/>
  <c r="Q58" s="1"/>
  <c r="J58"/>
  <c r="G146"/>
  <c r="H146" s="1"/>
  <c r="Q146" s="1"/>
  <c r="J146"/>
  <c r="G73"/>
  <c r="H73" s="1"/>
  <c r="Q73" s="1"/>
  <c r="J73"/>
  <c r="G34"/>
  <c r="H34" s="1"/>
  <c r="Q34" s="1"/>
  <c r="G35"/>
  <c r="H35" s="1"/>
  <c r="Q35" s="1"/>
  <c r="G36"/>
  <c r="H36" s="1"/>
  <c r="Q36" s="1"/>
  <c r="J34"/>
  <c r="J35"/>
  <c r="J36"/>
  <c r="G84"/>
  <c r="H84" s="1"/>
  <c r="Q84" s="1"/>
  <c r="G85"/>
  <c r="H85" s="1"/>
  <c r="Q85" s="1"/>
  <c r="J84"/>
  <c r="J85"/>
  <c r="G153"/>
  <c r="H153" s="1"/>
  <c r="Q153" s="1"/>
  <c r="J153"/>
  <c r="G10"/>
  <c r="H10" s="1"/>
  <c r="Q10" s="1"/>
  <c r="J10"/>
  <c r="G72"/>
  <c r="H72" s="1"/>
  <c r="Q72" s="1"/>
  <c r="J72"/>
  <c r="G71"/>
  <c r="H71" s="1"/>
  <c r="Q71" s="1"/>
  <c r="J71"/>
  <c r="G148"/>
  <c r="H148" s="1"/>
  <c r="Q148" s="1"/>
  <c r="J148"/>
  <c r="G134"/>
  <c r="H134" s="1"/>
  <c r="Q134" s="1"/>
  <c r="J134"/>
  <c r="G128"/>
  <c r="H128" s="1"/>
  <c r="Q128" s="1"/>
  <c r="J128"/>
  <c r="G127"/>
  <c r="H127" s="1"/>
  <c r="Q127" s="1"/>
  <c r="J127"/>
  <c r="M172" i="14"/>
  <c r="V156" s="1"/>
  <c r="L172"/>
  <c r="U156" s="1"/>
  <c r="K172"/>
  <c r="J172"/>
  <c r="M171"/>
  <c r="V155" s="1"/>
  <c r="L171"/>
  <c r="U155" s="1"/>
  <c r="K171"/>
  <c r="T155" s="1"/>
  <c r="J171"/>
  <c r="M170"/>
  <c r="L170"/>
  <c r="K170"/>
  <c r="J170"/>
  <c r="M169"/>
  <c r="V153" s="1"/>
  <c r="L169"/>
  <c r="K169"/>
  <c r="J169"/>
  <c r="M168"/>
  <c r="V152" s="1"/>
  <c r="L168"/>
  <c r="U152" s="1"/>
  <c r="K168"/>
  <c r="J168"/>
  <c r="M167"/>
  <c r="V151" s="1"/>
  <c r="L167"/>
  <c r="U151" s="1"/>
  <c r="K167"/>
  <c r="T151" s="1"/>
  <c r="J167"/>
  <c r="M166"/>
  <c r="V150" s="1"/>
  <c r="L166"/>
  <c r="K166"/>
  <c r="J166"/>
  <c r="M165"/>
  <c r="V149" s="1"/>
  <c r="L165"/>
  <c r="K165"/>
  <c r="J165"/>
  <c r="M164"/>
  <c r="L164"/>
  <c r="U148" s="1"/>
  <c r="K164"/>
  <c r="J164"/>
  <c r="M163"/>
  <c r="V147" s="1"/>
  <c r="L163"/>
  <c r="K163"/>
  <c r="J163"/>
  <c r="M162"/>
  <c r="V146" s="1"/>
  <c r="L162"/>
  <c r="K162"/>
  <c r="J162"/>
  <c r="M161"/>
  <c r="V145" s="1"/>
  <c r="L161"/>
  <c r="K161"/>
  <c r="J161"/>
  <c r="M160"/>
  <c r="V144" s="1"/>
  <c r="L160"/>
  <c r="U144" s="1"/>
  <c r="K160"/>
  <c r="J160"/>
  <c r="M159"/>
  <c r="L159"/>
  <c r="K159"/>
  <c r="J159"/>
  <c r="V158"/>
  <c r="U158"/>
  <c r="T158"/>
  <c r="S158"/>
  <c r="R158"/>
  <c r="Q158"/>
  <c r="P158"/>
  <c r="M158"/>
  <c r="L158"/>
  <c r="K158"/>
  <c r="J158"/>
  <c r="V157"/>
  <c r="U157"/>
  <c r="T157"/>
  <c r="S157"/>
  <c r="R157"/>
  <c r="Q157"/>
  <c r="P157"/>
  <c r="M157"/>
  <c r="L157"/>
  <c r="K157"/>
  <c r="J157"/>
  <c r="T156"/>
  <c r="S156"/>
  <c r="R156"/>
  <c r="Q156"/>
  <c r="P156"/>
  <c r="M156"/>
  <c r="V140" s="1"/>
  <c r="L156"/>
  <c r="K156"/>
  <c r="J156"/>
  <c r="S155"/>
  <c r="R155"/>
  <c r="Q155"/>
  <c r="P155"/>
  <c r="M155"/>
  <c r="L155"/>
  <c r="K155"/>
  <c r="J155"/>
  <c r="V154"/>
  <c r="U154"/>
  <c r="T154"/>
  <c r="S154"/>
  <c r="R154"/>
  <c r="Q154"/>
  <c r="P154"/>
  <c r="M154"/>
  <c r="L154"/>
  <c r="K154"/>
  <c r="J154"/>
  <c r="U153"/>
  <c r="T153"/>
  <c r="S153"/>
  <c r="R153"/>
  <c r="Q153"/>
  <c r="P153"/>
  <c r="M153"/>
  <c r="L153"/>
  <c r="K153"/>
  <c r="J153"/>
  <c r="S137" s="1"/>
  <c r="T152"/>
  <c r="S152"/>
  <c r="R152"/>
  <c r="Q152"/>
  <c r="P152"/>
  <c r="M152"/>
  <c r="V136" s="1"/>
  <c r="L152"/>
  <c r="K152"/>
  <c r="J152"/>
  <c r="S151"/>
  <c r="R151"/>
  <c r="Q151"/>
  <c r="P151"/>
  <c r="M151"/>
  <c r="L151"/>
  <c r="U135" s="1"/>
  <c r="K151"/>
  <c r="J151"/>
  <c r="U150"/>
  <c r="T150"/>
  <c r="S150"/>
  <c r="R150"/>
  <c r="Q150"/>
  <c r="P150"/>
  <c r="M150"/>
  <c r="L150"/>
  <c r="K150"/>
  <c r="T134" s="1"/>
  <c r="J150"/>
  <c r="U149"/>
  <c r="T149"/>
  <c r="S149"/>
  <c r="R149"/>
  <c r="Q149"/>
  <c r="P149"/>
  <c r="M149"/>
  <c r="V133" s="1"/>
  <c r="L149"/>
  <c r="K149"/>
  <c r="J149"/>
  <c r="S133" s="1"/>
  <c r="V148"/>
  <c r="T148"/>
  <c r="S148"/>
  <c r="R148"/>
  <c r="Q148"/>
  <c r="P148"/>
  <c r="M148"/>
  <c r="L148"/>
  <c r="K148"/>
  <c r="J148"/>
  <c r="U147"/>
  <c r="T147"/>
  <c r="S147"/>
  <c r="R147"/>
  <c r="Q147"/>
  <c r="P147"/>
  <c r="M147"/>
  <c r="L147"/>
  <c r="K147"/>
  <c r="J147"/>
  <c r="U146"/>
  <c r="T146"/>
  <c r="S146"/>
  <c r="R146"/>
  <c r="Q146"/>
  <c r="P146"/>
  <c r="M146"/>
  <c r="L146"/>
  <c r="K146"/>
  <c r="J146"/>
  <c r="U145"/>
  <c r="T145"/>
  <c r="S145"/>
  <c r="R145"/>
  <c r="Q145"/>
  <c r="P145"/>
  <c r="M145"/>
  <c r="L145"/>
  <c r="K145"/>
  <c r="J145"/>
  <c r="T144"/>
  <c r="S144"/>
  <c r="R144"/>
  <c r="Q144"/>
  <c r="P144"/>
  <c r="M144"/>
  <c r="L144"/>
  <c r="K144"/>
  <c r="J144"/>
  <c r="V143"/>
  <c r="U143"/>
  <c r="T143"/>
  <c r="S143"/>
  <c r="R143"/>
  <c r="Q143"/>
  <c r="P143"/>
  <c r="M143"/>
  <c r="L143"/>
  <c r="K143"/>
  <c r="J143"/>
  <c r="V142"/>
  <c r="U142"/>
  <c r="T142"/>
  <c r="S142"/>
  <c r="R142"/>
  <c r="Q142"/>
  <c r="P142"/>
  <c r="M142"/>
  <c r="L142"/>
  <c r="K142"/>
  <c r="J142"/>
  <c r="V141"/>
  <c r="U141"/>
  <c r="T141"/>
  <c r="S141"/>
  <c r="R141"/>
  <c r="Q141"/>
  <c r="P141"/>
  <c r="M141"/>
  <c r="L141"/>
  <c r="K141"/>
  <c r="J141"/>
  <c r="U140"/>
  <c r="T140"/>
  <c r="S140"/>
  <c r="R140"/>
  <c r="Q140"/>
  <c r="P140"/>
  <c r="M140"/>
  <c r="L140"/>
  <c r="K140"/>
  <c r="J140"/>
  <c r="V139"/>
  <c r="U139"/>
  <c r="T139"/>
  <c r="S139"/>
  <c r="R139"/>
  <c r="Q139"/>
  <c r="P139"/>
  <c r="M139"/>
  <c r="L139"/>
  <c r="K139"/>
  <c r="J139"/>
  <c r="V138"/>
  <c r="U138"/>
  <c r="T138"/>
  <c r="S138"/>
  <c r="R138"/>
  <c r="Q138"/>
  <c r="P138"/>
  <c r="M138"/>
  <c r="L138"/>
  <c r="K138"/>
  <c r="J138"/>
  <c r="V137"/>
  <c r="U137"/>
  <c r="T137"/>
  <c r="R137"/>
  <c r="Q137"/>
  <c r="P137"/>
  <c r="M137"/>
  <c r="L137"/>
  <c r="K137"/>
  <c r="J137"/>
  <c r="U136"/>
  <c r="T136"/>
  <c r="S136"/>
  <c r="R136"/>
  <c r="Q136"/>
  <c r="P136"/>
  <c r="M136"/>
  <c r="L136"/>
  <c r="K136"/>
  <c r="J136"/>
  <c r="V135"/>
  <c r="T135"/>
  <c r="S135"/>
  <c r="R135"/>
  <c r="Q135"/>
  <c r="P135"/>
  <c r="M135"/>
  <c r="V131" s="1"/>
  <c r="L135"/>
  <c r="U131" s="1"/>
  <c r="K135"/>
  <c r="J135"/>
  <c r="S131" s="1"/>
  <c r="V134"/>
  <c r="U134"/>
  <c r="S134"/>
  <c r="R134"/>
  <c r="Q134"/>
  <c r="P134"/>
  <c r="M134"/>
  <c r="V130" s="1"/>
  <c r="L134"/>
  <c r="U130" s="1"/>
  <c r="K134"/>
  <c r="T130" s="1"/>
  <c r="J134"/>
  <c r="U133"/>
  <c r="T133"/>
  <c r="R133"/>
  <c r="Q133"/>
  <c r="P133"/>
  <c r="A133"/>
  <c r="M133" s="1"/>
  <c r="V129" s="1"/>
  <c r="V132"/>
  <c r="U132"/>
  <c r="T132"/>
  <c r="S132"/>
  <c r="R132"/>
  <c r="Q132"/>
  <c r="P132"/>
  <c r="A132"/>
  <c r="M132" s="1"/>
  <c r="V128" s="1"/>
  <c r="T131"/>
  <c r="R131"/>
  <c r="Q131"/>
  <c r="A131"/>
  <c r="M131" s="1"/>
  <c r="V127" s="1"/>
  <c r="S130"/>
  <c r="R130"/>
  <c r="Q130"/>
  <c r="A130"/>
  <c r="M130" s="1"/>
  <c r="V126" s="1"/>
  <c r="R129"/>
  <c r="Q129"/>
  <c r="A129"/>
  <c r="M129" s="1"/>
  <c r="V125" s="1"/>
  <c r="R128"/>
  <c r="Q128"/>
  <c r="A128"/>
  <c r="M128" s="1"/>
  <c r="V124" s="1"/>
  <c r="A127"/>
  <c r="M127" s="1"/>
  <c r="V123" s="1"/>
  <c r="A126"/>
  <c r="M126" s="1"/>
  <c r="V122" s="1"/>
  <c r="R125"/>
  <c r="A125"/>
  <c r="M125" s="1"/>
  <c r="V121" s="1"/>
  <c r="R124"/>
  <c r="Q124"/>
  <c r="A124"/>
  <c r="M124" s="1"/>
  <c r="V120" s="1"/>
  <c r="A123"/>
  <c r="M123" s="1"/>
  <c r="V119" s="1"/>
  <c r="A122"/>
  <c r="M122" s="1"/>
  <c r="V118" s="1"/>
  <c r="R121"/>
  <c r="A121"/>
  <c r="M121" s="1"/>
  <c r="V117" s="1"/>
  <c r="R120"/>
  <c r="Q120"/>
  <c r="M120"/>
  <c r="L120"/>
  <c r="K120"/>
  <c r="T116" s="1"/>
  <c r="J120"/>
  <c r="S116" s="1"/>
  <c r="M119"/>
  <c r="V115" s="1"/>
  <c r="L119"/>
  <c r="U115" s="1"/>
  <c r="K119"/>
  <c r="J119"/>
  <c r="R118"/>
  <c r="Q118"/>
  <c r="M118"/>
  <c r="L118"/>
  <c r="K118"/>
  <c r="T114" s="1"/>
  <c r="J118"/>
  <c r="S114" s="1"/>
  <c r="Q117"/>
  <c r="M117"/>
  <c r="V113" s="1"/>
  <c r="L117"/>
  <c r="U113" s="1"/>
  <c r="K117"/>
  <c r="J117"/>
  <c r="V116"/>
  <c r="U116"/>
  <c r="R116"/>
  <c r="Q116"/>
  <c r="M116"/>
  <c r="L116"/>
  <c r="K116"/>
  <c r="J116"/>
  <c r="T115"/>
  <c r="S115"/>
  <c r="R115"/>
  <c r="Q115"/>
  <c r="M115"/>
  <c r="L115"/>
  <c r="K115"/>
  <c r="J115"/>
  <c r="V114"/>
  <c r="U114"/>
  <c r="R114"/>
  <c r="Q114"/>
  <c r="M114"/>
  <c r="L114"/>
  <c r="K114"/>
  <c r="J114"/>
  <c r="T113"/>
  <c r="S113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L557" i="12" l="1"/>
  <c r="N5" i="1"/>
  <c r="O5" s="1"/>
  <c r="N159"/>
  <c r="O159" s="1"/>
  <c r="N122"/>
  <c r="O122" s="1"/>
  <c r="N107"/>
  <c r="O107" s="1"/>
  <c r="N22"/>
  <c r="O22" s="1"/>
  <c r="N21"/>
  <c r="O21" s="1"/>
  <c r="N23"/>
  <c r="O23" s="1"/>
  <c r="N59"/>
  <c r="O59" s="1"/>
  <c r="N58"/>
  <c r="O58" s="1"/>
  <c r="N146"/>
  <c r="O146" s="1"/>
  <c r="Q123" i="14"/>
  <c r="Q127"/>
  <c r="Q119"/>
  <c r="Q122"/>
  <c r="R123"/>
  <c r="Q126"/>
  <c r="R127"/>
  <c r="R117"/>
  <c r="R119"/>
  <c r="Q121"/>
  <c r="R122"/>
  <c r="Q125"/>
  <c r="R126"/>
  <c r="N34" i="1"/>
  <c r="O34" s="1"/>
  <c r="N72"/>
  <c r="O72" s="1"/>
  <c r="N148"/>
  <c r="O148" s="1"/>
  <c r="J7" i="14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G100" i="1"/>
  <c r="H100" s="1"/>
  <c r="Q100" s="1"/>
  <c r="G99"/>
  <c r="H99" s="1"/>
  <c r="Q99" s="1"/>
  <c r="J100"/>
  <c r="J99"/>
  <c r="G132"/>
  <c r="H132" s="1"/>
  <c r="Q132" s="1"/>
  <c r="J132"/>
  <c r="G130"/>
  <c r="H130" s="1"/>
  <c r="Q130" s="1"/>
  <c r="J130"/>
  <c r="G109"/>
  <c r="H109" s="1"/>
  <c r="Q109" s="1"/>
  <c r="G110"/>
  <c r="H110" s="1"/>
  <c r="Q110" s="1"/>
  <c r="J109"/>
  <c r="J110"/>
  <c r="G112"/>
  <c r="H112" s="1"/>
  <c r="Q112" s="1"/>
  <c r="J112"/>
  <c r="G111"/>
  <c r="H111" s="1"/>
  <c r="Q111" s="1"/>
  <c r="J111"/>
  <c r="G26"/>
  <c r="H26" s="1"/>
  <c r="Q26" s="1"/>
  <c r="G27"/>
  <c r="H27" s="1"/>
  <c r="Q27" s="1"/>
  <c r="G28"/>
  <c r="H28" s="1"/>
  <c r="Q28" s="1"/>
  <c r="G29"/>
  <c r="H29" s="1"/>
  <c r="Q29" s="1"/>
  <c r="G30"/>
  <c r="H30" s="1"/>
  <c r="Q30" s="1"/>
  <c r="G24"/>
  <c r="H24" s="1"/>
  <c r="Q24" s="1"/>
  <c r="G25"/>
  <c r="H25" s="1"/>
  <c r="Q25" s="1"/>
  <c r="J26"/>
  <c r="J27"/>
  <c r="J28"/>
  <c r="J29"/>
  <c r="J30"/>
  <c r="J24"/>
  <c r="J25"/>
  <c r="G42"/>
  <c r="H42" s="1"/>
  <c r="Q42" s="1"/>
  <c r="G43"/>
  <c r="H43" s="1"/>
  <c r="Q43" s="1"/>
  <c r="J42"/>
  <c r="J43"/>
  <c r="G145"/>
  <c r="H145" s="1"/>
  <c r="Q145" s="1"/>
  <c r="J145"/>
  <c r="G129"/>
  <c r="H129" s="1"/>
  <c r="Q129" s="1"/>
  <c r="J129"/>
  <c r="G20"/>
  <c r="H20" s="1"/>
  <c r="Q20" s="1"/>
  <c r="J20"/>
  <c r="G19"/>
  <c r="H19" s="1"/>
  <c r="Q19" s="1"/>
  <c r="J19"/>
  <c r="G18"/>
  <c r="H18" s="1"/>
  <c r="Q18" s="1"/>
  <c r="J18"/>
  <c r="G17"/>
  <c r="H17" s="1"/>
  <c r="Q17" s="1"/>
  <c r="J17"/>
  <c r="G16"/>
  <c r="H16" s="1"/>
  <c r="Q16" s="1"/>
  <c r="J16"/>
  <c r="G15"/>
  <c r="H15" s="1"/>
  <c r="Q15" s="1"/>
  <c r="J15"/>
  <c r="G41"/>
  <c r="H41" s="1"/>
  <c r="Q41" s="1"/>
  <c r="J41"/>
  <c r="G40"/>
  <c r="H40" s="1"/>
  <c r="Q40" s="1"/>
  <c r="J40"/>
  <c r="G39"/>
  <c r="H39" s="1"/>
  <c r="Q39" s="1"/>
  <c r="J39"/>
  <c r="L286" i="12"/>
  <c r="G14" i="1"/>
  <c r="H14" s="1"/>
  <c r="Q14" s="1"/>
  <c r="J14"/>
  <c r="G13"/>
  <c r="H13" s="1"/>
  <c r="Q13" s="1"/>
  <c r="J13"/>
  <c r="G79"/>
  <c r="H79" s="1"/>
  <c r="Q79" s="1"/>
  <c r="J79"/>
  <c r="G7"/>
  <c r="H7" s="1"/>
  <c r="Q7" s="1"/>
  <c r="J7"/>
  <c r="G9"/>
  <c r="H9" s="1"/>
  <c r="Q9" s="1"/>
  <c r="J9"/>
  <c r="G8"/>
  <c r="H8" s="1"/>
  <c r="Q8" s="1"/>
  <c r="J8"/>
  <c r="G6"/>
  <c r="H6" s="1"/>
  <c r="Q6" s="1"/>
  <c r="J6"/>
  <c r="G33"/>
  <c r="H33" s="1"/>
  <c r="Q33" s="1"/>
  <c r="J33"/>
  <c r="G32"/>
  <c r="H32" s="1"/>
  <c r="Q32" s="1"/>
  <c r="J32"/>
  <c r="G2"/>
  <c r="H2" s="1"/>
  <c r="Q2" s="1"/>
  <c r="J2"/>
  <c r="G12"/>
  <c r="H12" s="1"/>
  <c r="Q12" s="1"/>
  <c r="J12"/>
  <c r="G11"/>
  <c r="H11" s="1"/>
  <c r="Q11" s="1"/>
  <c r="J11"/>
  <c r="G140"/>
  <c r="H140" s="1"/>
  <c r="Q140" s="1"/>
  <c r="J140"/>
  <c r="G139"/>
  <c r="H139" s="1"/>
  <c r="Q139" s="1"/>
  <c r="J139"/>
  <c r="G138"/>
  <c r="H138" s="1"/>
  <c r="Q138" s="1"/>
  <c r="J138"/>
  <c r="G150"/>
  <c r="H150" s="1"/>
  <c r="Q150" s="1"/>
  <c r="J150"/>
  <c r="G149"/>
  <c r="H149" s="1"/>
  <c r="Q149" s="1"/>
  <c r="J149"/>
  <c r="G115"/>
  <c r="H115" s="1"/>
  <c r="Q115" s="1"/>
  <c r="J115"/>
  <c r="G114"/>
  <c r="H114" s="1"/>
  <c r="Q114" s="1"/>
  <c r="J114"/>
  <c r="G136"/>
  <c r="H136" s="1"/>
  <c r="Q136" s="1"/>
  <c r="J136"/>
  <c r="G135"/>
  <c r="H135" s="1"/>
  <c r="Q135" s="1"/>
  <c r="J135"/>
  <c r="L495" i="12"/>
  <c r="G142" i="1"/>
  <c r="H142" s="1"/>
  <c r="Q142" s="1"/>
  <c r="J142"/>
  <c r="G141"/>
  <c r="H141" s="1"/>
  <c r="Q141" s="1"/>
  <c r="J141"/>
  <c r="G74"/>
  <c r="H74" s="1"/>
  <c r="Q74" s="1"/>
  <c r="J74"/>
  <c r="G143"/>
  <c r="H143" s="1"/>
  <c r="Q143" s="1"/>
  <c r="J143"/>
  <c r="G45"/>
  <c r="H45" s="1"/>
  <c r="Q45" s="1"/>
  <c r="J45"/>
  <c r="G151"/>
  <c r="H151" s="1"/>
  <c r="Q151" s="1"/>
  <c r="J151"/>
  <c r="G152"/>
  <c r="H152" s="1"/>
  <c r="Q152" s="1"/>
  <c r="J152"/>
  <c r="G106"/>
  <c r="H106" s="1"/>
  <c r="Q106" s="1"/>
  <c r="J106"/>
  <c r="G105"/>
  <c r="H105" s="1"/>
  <c r="Q105" s="1"/>
  <c r="J105"/>
  <c r="G93"/>
  <c r="H93" s="1"/>
  <c r="Q93" s="1"/>
  <c r="J93"/>
  <c r="G90"/>
  <c r="H90" s="1"/>
  <c r="Q90" s="1"/>
  <c r="J90"/>
  <c r="G88"/>
  <c r="H88" s="1"/>
  <c r="Q88" s="1"/>
  <c r="J88"/>
  <c r="G118"/>
  <c r="H118" s="1"/>
  <c r="Q118" s="1"/>
  <c r="J118"/>
  <c r="G91"/>
  <c r="H91" s="1"/>
  <c r="Q91" s="1"/>
  <c r="J91"/>
  <c r="G101"/>
  <c r="H101" s="1"/>
  <c r="Q101" s="1"/>
  <c r="J101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G157" i="1"/>
  <c r="H157" s="1"/>
  <c r="Q157" s="1"/>
  <c r="J157"/>
  <c r="G156"/>
  <c r="H156" s="1"/>
  <c r="Q156" s="1"/>
  <c r="J156"/>
  <c r="Q131" i="9"/>
  <c r="Q129"/>
  <c r="R131"/>
  <c r="R128"/>
  <c r="A112"/>
  <c r="J112" s="1"/>
  <c r="A111"/>
  <c r="A110"/>
  <c r="A109"/>
  <c r="A108"/>
  <c r="A107"/>
  <c r="Q107" s="1"/>
  <c r="A106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A80"/>
  <c r="A79"/>
  <c r="A78"/>
  <c r="Q78" s="1"/>
  <c r="A77"/>
  <c r="A76"/>
  <c r="A75"/>
  <c r="A74"/>
  <c r="A73"/>
  <c r="A72"/>
  <c r="A71"/>
  <c r="Q71" s="1"/>
  <c r="A70"/>
  <c r="A69"/>
  <c r="A68"/>
  <c r="A67"/>
  <c r="A66"/>
  <c r="A65"/>
  <c r="A64"/>
  <c r="A63"/>
  <c r="Q63" s="1"/>
  <c r="A62"/>
  <c r="A61"/>
  <c r="A60"/>
  <c r="R109" s="1"/>
  <c r="A59"/>
  <c r="A58"/>
  <c r="Q58" s="1"/>
  <c r="A57"/>
  <c r="A56"/>
  <c r="A55"/>
  <c r="Q55" s="1"/>
  <c r="A54"/>
  <c r="Q54" s="1"/>
  <c r="A53"/>
  <c r="A52"/>
  <c r="A51"/>
  <c r="A50"/>
  <c r="Q50" s="1"/>
  <c r="A49"/>
  <c r="A48"/>
  <c r="A47"/>
  <c r="Q47" s="1"/>
  <c r="A46"/>
  <c r="A45"/>
  <c r="A44"/>
  <c r="A43"/>
  <c r="Q73" s="1"/>
  <c r="A42"/>
  <c r="Q42" s="1"/>
  <c r="A41"/>
  <c r="A40"/>
  <c r="A39"/>
  <c r="Q39" s="1"/>
  <c r="A38"/>
  <c r="A37"/>
  <c r="A36"/>
  <c r="A35"/>
  <c r="Q65" s="1"/>
  <c r="A34"/>
  <c r="A33"/>
  <c r="A32"/>
  <c r="A31"/>
  <c r="Q60" s="1"/>
  <c r="A30"/>
  <c r="A29"/>
  <c r="J29" s="1"/>
  <c r="A28"/>
  <c r="Q57" s="1"/>
  <c r="A27"/>
  <c r="Q56" s="1"/>
  <c r="A26"/>
  <c r="A25"/>
  <c r="A24"/>
  <c r="Q53" s="1"/>
  <c r="A23"/>
  <c r="A22"/>
  <c r="A21"/>
  <c r="A20"/>
  <c r="Q49" s="1"/>
  <c r="A19"/>
  <c r="Q48" s="1"/>
  <c r="A18"/>
  <c r="A17"/>
  <c r="A16"/>
  <c r="Q45" s="1"/>
  <c r="A15"/>
  <c r="Q44" s="1"/>
  <c r="A14"/>
  <c r="A13"/>
  <c r="A12"/>
  <c r="Q41" s="1"/>
  <c r="A11"/>
  <c r="Q40" s="1"/>
  <c r="A10"/>
  <c r="A9"/>
  <c r="A8"/>
  <c r="Q37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G68" i="1"/>
  <c r="H68" s="1"/>
  <c r="Q68" s="1"/>
  <c r="J68"/>
  <c r="G67"/>
  <c r="H67" s="1"/>
  <c r="Q67" s="1"/>
  <c r="J67"/>
  <c r="G83"/>
  <c r="H83" s="1"/>
  <c r="Q83" s="1"/>
  <c r="J83"/>
  <c r="G82"/>
  <c r="H82" s="1"/>
  <c r="Q82" s="1"/>
  <c r="J82"/>
  <c r="G76"/>
  <c r="H76" s="1"/>
  <c r="Q76" s="1"/>
  <c r="J76"/>
  <c r="G75"/>
  <c r="H75" s="1"/>
  <c r="Q75" s="1"/>
  <c r="J75"/>
  <c r="Q8" i="9"/>
  <c r="Q38"/>
  <c r="Q43"/>
  <c r="Q46"/>
  <c r="Q51"/>
  <c r="Q52"/>
  <c r="Q59"/>
  <c r="Q64"/>
  <c r="Q67"/>
  <c r="Q68"/>
  <c r="Q69"/>
  <c r="Q72"/>
  <c r="Q77"/>
  <c r="Q81"/>
  <c r="Q106"/>
  <c r="Q130"/>
  <c r="G95" i="1"/>
  <c r="H95" s="1"/>
  <c r="Q95" s="1"/>
  <c r="J95"/>
  <c r="G63"/>
  <c r="H63" s="1"/>
  <c r="Q63" s="1"/>
  <c r="J63"/>
  <c r="G53"/>
  <c r="H53" s="1"/>
  <c r="Q53" s="1"/>
  <c r="J53"/>
  <c r="G48"/>
  <c r="H48" s="1"/>
  <c r="Q48" s="1"/>
  <c r="J48"/>
  <c r="G47"/>
  <c r="H47" s="1"/>
  <c r="Q47" s="1"/>
  <c r="J47"/>
  <c r="G51"/>
  <c r="H51" s="1"/>
  <c r="Q51" s="1"/>
  <c r="J51"/>
  <c r="G50"/>
  <c r="H50" s="1"/>
  <c r="Q50" s="1"/>
  <c r="J50"/>
  <c r="L72" i="12"/>
  <c r="G56" i="1"/>
  <c r="H56" s="1"/>
  <c r="Q56" s="1"/>
  <c r="J56"/>
  <c r="G55"/>
  <c r="H55" s="1"/>
  <c r="Q55" s="1"/>
  <c r="J55"/>
  <c r="X81" l="1"/>
  <c r="X57"/>
  <c r="X78"/>
  <c r="X44"/>
  <c r="X158"/>
  <c r="X31"/>
  <c r="L544" i="12"/>
  <c r="L527"/>
  <c r="L516"/>
  <c r="L519"/>
  <c r="L492"/>
  <c r="X70" i="1"/>
  <c r="X69"/>
  <c r="X4"/>
  <c r="X37"/>
  <c r="X38"/>
  <c r="X46"/>
  <c r="X108"/>
  <c r="X123"/>
  <c r="X147"/>
  <c r="X144"/>
  <c r="X120"/>
  <c r="X121"/>
  <c r="X97"/>
  <c r="X155"/>
  <c r="X126"/>
  <c r="X161"/>
  <c r="X119"/>
  <c r="X131"/>
  <c r="X98"/>
  <c r="X80"/>
  <c r="X133"/>
  <c r="X116"/>
  <c r="X5"/>
  <c r="X159"/>
  <c r="X107"/>
  <c r="X122"/>
  <c r="X22"/>
  <c r="X21"/>
  <c r="X164"/>
  <c r="X163"/>
  <c r="N153"/>
  <c r="O153" s="1"/>
  <c r="N127"/>
  <c r="O127" s="1"/>
  <c r="N71"/>
  <c r="O71" s="1"/>
  <c r="N84"/>
  <c r="O84" s="1"/>
  <c r="N36"/>
  <c r="O36" s="1"/>
  <c r="N73"/>
  <c r="O73" s="1"/>
  <c r="N128"/>
  <c r="O128" s="1"/>
  <c r="N85"/>
  <c r="O85" s="1"/>
  <c r="N113"/>
  <c r="O113" s="1"/>
  <c r="N35"/>
  <c r="O35" s="1"/>
  <c r="N134"/>
  <c r="O134" s="1"/>
  <c r="N10"/>
  <c r="O10" s="1"/>
  <c r="N164"/>
  <c r="O164" s="1"/>
  <c r="N163"/>
  <c r="O163" s="1"/>
  <c r="X125"/>
  <c r="X124"/>
  <c r="N124"/>
  <c r="O124" s="1"/>
  <c r="N125"/>
  <c r="O125" s="1"/>
  <c r="X162"/>
  <c r="X154"/>
  <c r="N154"/>
  <c r="O154" s="1"/>
  <c r="N162"/>
  <c r="O162" s="1"/>
  <c r="X113"/>
  <c r="X23"/>
  <c r="X59"/>
  <c r="X58"/>
  <c r="X146"/>
  <c r="X73"/>
  <c r="X36"/>
  <c r="X34"/>
  <c r="X35"/>
  <c r="Q66" i="9"/>
  <c r="Q74"/>
  <c r="Q102"/>
  <c r="R129"/>
  <c r="Q128"/>
  <c r="Q70"/>
  <c r="X84" i="1"/>
  <c r="X85"/>
  <c r="X153"/>
  <c r="X10"/>
  <c r="X72"/>
  <c r="X71"/>
  <c r="X148"/>
  <c r="X160"/>
  <c r="X60"/>
  <c r="X7"/>
  <c r="X89"/>
  <c r="X62"/>
  <c r="X61"/>
  <c r="X88"/>
  <c r="X66"/>
  <c r="X27"/>
  <c r="X20"/>
  <c r="X42"/>
  <c r="X43"/>
  <c r="X29"/>
  <c r="X140"/>
  <c r="X90"/>
  <c r="X30"/>
  <c r="X54"/>
  <c r="X24"/>
  <c r="X47"/>
  <c r="X19"/>
  <c r="X138"/>
  <c r="X25"/>
  <c r="X41"/>
  <c r="X49"/>
  <c r="X39"/>
  <c r="X26"/>
  <c r="X68"/>
  <c r="X55"/>
  <c r="X67"/>
  <c r="X56"/>
  <c r="X12"/>
  <c r="X2"/>
  <c r="X11"/>
  <c r="X77"/>
  <c r="X117"/>
  <c r="X130"/>
  <c r="X129"/>
  <c r="X142"/>
  <c r="X103"/>
  <c r="X14"/>
  <c r="X33"/>
  <c r="X40"/>
  <c r="X75"/>
  <c r="X137"/>
  <c r="X76"/>
  <c r="X13"/>
  <c r="X104"/>
  <c r="X79"/>
  <c r="X91"/>
  <c r="X141"/>
  <c r="X110"/>
  <c r="X28"/>
  <c r="X48"/>
  <c r="X111"/>
  <c r="X32"/>
  <c r="X105"/>
  <c r="X50"/>
  <c r="X9"/>
  <c r="X143"/>
  <c r="X51"/>
  <c r="X112"/>
  <c r="X74"/>
  <c r="X106"/>
  <c r="X8"/>
  <c r="X94"/>
  <c r="X95"/>
  <c r="X6"/>
  <c r="X109"/>
  <c r="X3"/>
  <c r="X139"/>
  <c r="X152"/>
  <c r="X132"/>
  <c r="X93"/>
  <c r="X102"/>
  <c r="X101"/>
  <c r="X52"/>
  <c r="X64"/>
  <c r="X136"/>
  <c r="X135"/>
  <c r="X63"/>
  <c r="X100"/>
  <c r="X151"/>
  <c r="X53"/>
  <c r="X65"/>
  <c r="X99"/>
  <c r="X18"/>
  <c r="X96"/>
  <c r="X114"/>
  <c r="X115"/>
  <c r="X145"/>
  <c r="X92"/>
  <c r="X16"/>
  <c r="X15"/>
  <c r="X118"/>
  <c r="X17"/>
  <c r="X45"/>
  <c r="X149"/>
  <c r="X156"/>
  <c r="X150"/>
  <c r="X157"/>
  <c r="X87"/>
  <c r="X83"/>
  <c r="X82"/>
  <c r="X86"/>
  <c r="X127"/>
  <c r="X128"/>
  <c r="X134"/>
  <c r="M82"/>
  <c r="M83"/>
  <c r="M156"/>
  <c r="M157"/>
  <c r="M149"/>
  <c r="M150"/>
  <c r="Q62" i="9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N100" i="1"/>
  <c r="O100" s="1"/>
  <c r="Q76" i="9"/>
  <c r="R75"/>
  <c r="Q75"/>
  <c r="R112"/>
  <c r="Q112"/>
  <c r="N110" i="1"/>
  <c r="O110" s="1"/>
  <c r="Q93" i="9"/>
  <c r="Q92"/>
  <c r="Q84"/>
  <c r="Q83"/>
  <c r="Q86"/>
  <c r="Q85"/>
  <c r="N24" i="1"/>
  <c r="O24" s="1"/>
  <c r="N29"/>
  <c r="O29" s="1"/>
  <c r="N27"/>
  <c r="O27" s="1"/>
  <c r="N26"/>
  <c r="O26" s="1"/>
  <c r="Q24" i="9"/>
  <c r="Q23"/>
  <c r="Q29"/>
  <c r="Q28"/>
  <c r="Q27"/>
  <c r="Q26"/>
  <c r="Q25"/>
  <c r="Q36"/>
  <c r="Q35"/>
  <c r="N129" i="1"/>
  <c r="O129" s="1"/>
  <c r="Q103" i="9"/>
  <c r="Q91"/>
  <c r="Q22"/>
  <c r="Q21"/>
  <c r="Q20"/>
  <c r="Q19"/>
  <c r="Q18"/>
  <c r="Q17"/>
  <c r="N15" i="1"/>
  <c r="O15" s="1"/>
  <c r="Q34" i="9"/>
  <c r="Q33"/>
  <c r="Q32"/>
  <c r="N14" i="1"/>
  <c r="O14" s="1"/>
  <c r="Q16" i="9"/>
  <c r="N79" i="1"/>
  <c r="O79" s="1"/>
  <c r="Q15" i="9"/>
  <c r="Q61"/>
  <c r="Q10"/>
  <c r="Q12"/>
  <c r="Q11"/>
  <c r="N8" i="1"/>
  <c r="O8" s="1"/>
  <c r="Q9" i="9"/>
  <c r="Q31"/>
  <c r="Q30"/>
  <c r="Q7"/>
  <c r="N149" i="1"/>
  <c r="O149" s="1"/>
  <c r="N136"/>
  <c r="O136" s="1"/>
  <c r="Q109" i="9"/>
  <c r="Q14"/>
  <c r="N142" i="1"/>
  <c r="O142" s="1"/>
  <c r="N141"/>
  <c r="O141" s="1"/>
  <c r="Q13" i="9"/>
  <c r="Q99"/>
  <c r="Q98"/>
  <c r="N143" i="1"/>
  <c r="O143" s="1"/>
  <c r="N45"/>
  <c r="O45" s="1"/>
  <c r="Q97" i="9"/>
  <c r="N151" i="1"/>
  <c r="O151" s="1"/>
  <c r="Q105" i="9"/>
  <c r="Q104"/>
  <c r="Q88"/>
  <c r="Q87"/>
  <c r="Q95"/>
  <c r="Q94"/>
  <c r="Q111"/>
  <c r="Q110"/>
  <c r="N90" i="1"/>
  <c r="O90" s="1"/>
  <c r="N88"/>
  <c r="O88" s="1"/>
  <c r="N91"/>
  <c r="O91" s="1"/>
  <c r="S113" i="9"/>
  <c r="S114"/>
  <c r="S115"/>
  <c r="S116"/>
  <c r="S117"/>
  <c r="S118"/>
  <c r="S119"/>
  <c r="S120"/>
  <c r="S121"/>
  <c r="S122"/>
  <c r="S123"/>
  <c r="S124"/>
  <c r="S125"/>
  <c r="S126"/>
  <c r="S127"/>
  <c r="S129"/>
  <c r="S128"/>
  <c r="N67" i="1"/>
  <c r="O67" s="1"/>
  <c r="N82"/>
  <c r="O82" s="1"/>
  <c r="N95"/>
  <c r="O95" s="1"/>
  <c r="N63"/>
  <c r="O63" s="1"/>
  <c r="N53"/>
  <c r="O53" s="1"/>
  <c r="N48"/>
  <c r="O48" s="1"/>
  <c r="N50"/>
  <c r="O50" s="1"/>
  <c r="N76" l="1"/>
  <c r="O76" s="1"/>
  <c r="N152"/>
  <c r="O152" s="1"/>
  <c r="N115"/>
  <c r="O115" s="1"/>
  <c r="N139"/>
  <c r="O139" s="1"/>
  <c r="N2"/>
  <c r="O2" s="1"/>
  <c r="N145"/>
  <c r="O145" s="1"/>
  <c r="N25"/>
  <c r="O25" s="1"/>
  <c r="N132"/>
  <c r="O132" s="1"/>
  <c r="N74"/>
  <c r="O74" s="1"/>
  <c r="N32"/>
  <c r="O32" s="1"/>
  <c r="N19"/>
  <c r="O19" s="1"/>
  <c r="N42"/>
  <c r="O42" s="1"/>
  <c r="N109"/>
  <c r="O109" s="1"/>
  <c r="N55"/>
  <c r="O55" s="1"/>
  <c r="N47"/>
  <c r="O47" s="1"/>
  <c r="N83"/>
  <c r="O83" s="1"/>
  <c r="N157"/>
  <c r="O157" s="1"/>
  <c r="N118"/>
  <c r="O118" s="1"/>
  <c r="N106"/>
  <c r="O106" s="1"/>
  <c r="N150"/>
  <c r="O150" s="1"/>
  <c r="N11"/>
  <c r="O11" s="1"/>
  <c r="N33"/>
  <c r="O33" s="1"/>
  <c r="N9"/>
  <c r="O9" s="1"/>
  <c r="N41"/>
  <c r="O41" s="1"/>
  <c r="N20"/>
  <c r="O20" s="1"/>
  <c r="N43"/>
  <c r="O43" s="1"/>
  <c r="N30"/>
  <c r="O30" s="1"/>
  <c r="N99"/>
  <c r="O99" s="1"/>
  <c r="N68"/>
  <c r="O68" s="1"/>
  <c r="N101"/>
  <c r="O101" s="1"/>
  <c r="N39"/>
  <c r="O39" s="1"/>
  <c r="N16"/>
  <c r="O16" s="1"/>
  <c r="N18"/>
  <c r="O18" s="1"/>
  <c r="N28"/>
  <c r="O28" s="1"/>
  <c r="N112"/>
  <c r="O112" s="1"/>
  <c r="N51"/>
  <c r="O51" s="1"/>
  <c r="N156"/>
  <c r="O156" s="1"/>
  <c r="N93"/>
  <c r="O93" s="1"/>
  <c r="N105"/>
  <c r="O105" s="1"/>
  <c r="N135"/>
  <c r="O135" s="1"/>
  <c r="N140"/>
  <c r="O140" s="1"/>
  <c r="N7"/>
  <c r="O7" s="1"/>
  <c r="N40"/>
  <c r="O40" s="1"/>
  <c r="N56"/>
  <c r="O56" s="1"/>
  <c r="N75"/>
  <c r="O75" s="1"/>
  <c r="N114"/>
  <c r="O114" s="1"/>
  <c r="N138"/>
  <c r="O138" s="1"/>
  <c r="N12"/>
  <c r="O12" s="1"/>
  <c r="N6"/>
  <c r="O6" s="1"/>
  <c r="N13"/>
  <c r="O13" s="1"/>
  <c r="N17"/>
  <c r="O17" s="1"/>
  <c r="N111"/>
  <c r="O111" s="1"/>
  <c r="N130"/>
  <c r="O130" s="1"/>
  <c r="G92"/>
  <c r="H92" s="1"/>
  <c r="Q92" s="1"/>
  <c r="J92"/>
  <c r="G160"/>
  <c r="H160" s="1"/>
  <c r="Q160" s="1"/>
  <c r="J160"/>
  <c r="G64" l="1"/>
  <c r="H64" s="1"/>
  <c r="Q64" s="1"/>
  <c r="J64"/>
  <c r="N92" l="1"/>
  <c r="O92" s="1"/>
  <c r="N160"/>
  <c r="O160" s="1"/>
  <c r="G54"/>
  <c r="H54" s="1"/>
  <c r="Q54" s="1"/>
  <c r="J54"/>
  <c r="G60"/>
  <c r="H60" s="1"/>
  <c r="Q60" s="1"/>
  <c r="J60"/>
  <c r="G52"/>
  <c r="H52" s="1"/>
  <c r="Q52" s="1"/>
  <c r="J52"/>
  <c r="G49"/>
  <c r="H49" s="1"/>
  <c r="Q49" s="1"/>
  <c r="J49"/>
  <c r="G77"/>
  <c r="H77" s="1"/>
  <c r="Q77" s="1"/>
  <c r="J77"/>
  <c r="G3"/>
  <c r="H3" s="1"/>
  <c r="Q3" s="1"/>
  <c r="J3"/>
  <c r="G137"/>
  <c r="H137" s="1"/>
  <c r="Q137" s="1"/>
  <c r="J137"/>
  <c r="G94"/>
  <c r="H94" s="1"/>
  <c r="Q94" s="1"/>
  <c r="J94"/>
  <c r="G117"/>
  <c r="H117" s="1"/>
  <c r="Q117" s="1"/>
  <c r="J117"/>
  <c r="N64" l="1"/>
  <c r="O64" s="1"/>
  <c r="G61"/>
  <c r="H61" s="1"/>
  <c r="Q61" s="1"/>
  <c r="G62"/>
  <c r="H62" s="1"/>
  <c r="Q62" s="1"/>
  <c r="G65"/>
  <c r="H65" s="1"/>
  <c r="Q65" s="1"/>
  <c r="G66"/>
  <c r="H66" s="1"/>
  <c r="Q66" s="1"/>
  <c r="G86"/>
  <c r="H86" s="1"/>
  <c r="Q86" s="1"/>
  <c r="G87"/>
  <c r="H87" s="1"/>
  <c r="Q87" s="1"/>
  <c r="G89"/>
  <c r="H89" s="1"/>
  <c r="Q89" s="1"/>
  <c r="G96"/>
  <c r="H96" s="1"/>
  <c r="Q96" s="1"/>
  <c r="G102"/>
  <c r="H102" s="1"/>
  <c r="Q102" s="1"/>
  <c r="G103"/>
  <c r="H103" s="1"/>
  <c r="Q103" s="1"/>
  <c r="G104"/>
  <c r="H104" s="1"/>
  <c r="Q104" s="1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N52" i="1" l="1"/>
  <c r="O52" s="1"/>
  <c r="N49"/>
  <c r="O49" s="1"/>
  <c r="N94"/>
  <c r="O94" s="1"/>
  <c r="N54"/>
  <c r="O54" s="1"/>
  <c r="N77"/>
  <c r="O77" s="1"/>
  <c r="N117"/>
  <c r="O117" s="1"/>
  <c r="N60"/>
  <c r="O60" s="1"/>
  <c r="N3"/>
  <c r="O3" s="1"/>
  <c r="N137"/>
  <c r="O137" s="1"/>
  <c r="M87"/>
  <c r="M86"/>
  <c r="M116" i="9"/>
  <c r="L116"/>
  <c r="K116"/>
  <c r="M117"/>
  <c r="L117"/>
  <c r="K117"/>
  <c r="M118"/>
  <c r="L118"/>
  <c r="K118"/>
  <c r="Q113"/>
  <c r="R113"/>
  <c r="M119"/>
  <c r="V113" s="1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U117" s="1"/>
  <c r="K123"/>
  <c r="T117" s="1"/>
  <c r="Q118"/>
  <c r="R118"/>
  <c r="M124"/>
  <c r="V118" s="1"/>
  <c r="L124"/>
  <c r="U118" s="1"/>
  <c r="K124"/>
  <c r="Q119"/>
  <c r="R119"/>
  <c r="M125"/>
  <c r="V119" s="1"/>
  <c r="L125"/>
  <c r="K125"/>
  <c r="Q120"/>
  <c r="R120"/>
  <c r="M126"/>
  <c r="L126"/>
  <c r="K126"/>
  <c r="T120" s="1"/>
  <c r="Q121"/>
  <c r="R121"/>
  <c r="M127"/>
  <c r="L127"/>
  <c r="U121" s="1"/>
  <c r="K127"/>
  <c r="T121" s="1"/>
  <c r="Q122"/>
  <c r="R122"/>
  <c r="M128"/>
  <c r="V122" s="1"/>
  <c r="L128"/>
  <c r="U122" s="1"/>
  <c r="K128"/>
  <c r="Q123"/>
  <c r="R123"/>
  <c r="M129"/>
  <c r="V123" s="1"/>
  <c r="L129"/>
  <c r="K129"/>
  <c r="Q124"/>
  <c r="R124"/>
  <c r="M130"/>
  <c r="L130"/>
  <c r="K130"/>
  <c r="T124" s="1"/>
  <c r="Q125"/>
  <c r="R125"/>
  <c r="M131"/>
  <c r="L131"/>
  <c r="U125" s="1"/>
  <c r="K131"/>
  <c r="T125" s="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U13" s="1"/>
  <c r="M72"/>
  <c r="V13" s="1"/>
  <c r="J73"/>
  <c r="K73"/>
  <c r="L73"/>
  <c r="M73"/>
  <c r="J74"/>
  <c r="K74"/>
  <c r="L74"/>
  <c r="U7" s="1"/>
  <c r="M74"/>
  <c r="V7" s="1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U34" s="1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V35" s="1"/>
  <c r="J96"/>
  <c r="S36" s="1"/>
  <c r="K96"/>
  <c r="T36" s="1"/>
  <c r="L96"/>
  <c r="U36" s="1"/>
  <c r="M96"/>
  <c r="V36" s="1"/>
  <c r="J97"/>
  <c r="K97"/>
  <c r="L97"/>
  <c r="U25" s="1"/>
  <c r="M97"/>
  <c r="V25" s="1"/>
  <c r="J98"/>
  <c r="K98"/>
  <c r="L98"/>
  <c r="U26" s="1"/>
  <c r="M98"/>
  <c r="V26" s="1"/>
  <c r="J99"/>
  <c r="K99"/>
  <c r="L99"/>
  <c r="U27" s="1"/>
  <c r="M99"/>
  <c r="V27" s="1"/>
  <c r="J100"/>
  <c r="K100"/>
  <c r="L100"/>
  <c r="U28" s="1"/>
  <c r="M100"/>
  <c r="V28" s="1"/>
  <c r="J101"/>
  <c r="K101"/>
  <c r="L101"/>
  <c r="U29" s="1"/>
  <c r="M101"/>
  <c r="V29" s="1"/>
  <c r="J102"/>
  <c r="K102"/>
  <c r="L102"/>
  <c r="U23" s="1"/>
  <c r="M102"/>
  <c r="V23" s="1"/>
  <c r="J103"/>
  <c r="K103"/>
  <c r="L103"/>
  <c r="U24" s="1"/>
  <c r="M103"/>
  <c r="V24" s="1"/>
  <c r="J104"/>
  <c r="S85" s="1"/>
  <c r="K104"/>
  <c r="T85" s="1"/>
  <c r="L104"/>
  <c r="U85" s="1"/>
  <c r="M104"/>
  <c r="V85" s="1"/>
  <c r="J105"/>
  <c r="S86" s="1"/>
  <c r="K105"/>
  <c r="T86" s="1"/>
  <c r="L105"/>
  <c r="U86" s="1"/>
  <c r="M105"/>
  <c r="V86" s="1"/>
  <c r="J106"/>
  <c r="S83" s="1"/>
  <c r="K106"/>
  <c r="T83" s="1"/>
  <c r="L106"/>
  <c r="U83" s="1"/>
  <c r="M106"/>
  <c r="V83" s="1"/>
  <c r="J107"/>
  <c r="S84" s="1"/>
  <c r="K107"/>
  <c r="T84" s="1"/>
  <c r="L107"/>
  <c r="U84" s="1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S108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T26" l="1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J102" i="1"/>
  <c r="J96"/>
  <c r="J66"/>
  <c r="J104"/>
  <c r="J65"/>
  <c r="J61"/>
  <c r="J62"/>
  <c r="J103"/>
  <c r="J87"/>
  <c r="W81" l="1"/>
  <c r="K81" s="1"/>
  <c r="U81" s="1"/>
  <c r="W57"/>
  <c r="K57" s="1"/>
  <c r="U57" s="1"/>
  <c r="W78"/>
  <c r="K78" s="1"/>
  <c r="U78" s="1"/>
  <c r="W44"/>
  <c r="K44" s="1"/>
  <c r="U44" s="1"/>
  <c r="W158"/>
  <c r="K158" s="1"/>
  <c r="U158" s="1"/>
  <c r="W31"/>
  <c r="K31" s="1"/>
  <c r="U31" s="1"/>
  <c r="W70"/>
  <c r="K70" s="1"/>
  <c r="U70" s="1"/>
  <c r="W69"/>
  <c r="K69" s="1"/>
  <c r="U69" s="1"/>
  <c r="W4"/>
  <c r="K4" s="1"/>
  <c r="U4" s="1"/>
  <c r="W37"/>
  <c r="K37" s="1"/>
  <c r="U37" s="1"/>
  <c r="W38"/>
  <c r="K38" s="1"/>
  <c r="U38" s="1"/>
  <c r="W46"/>
  <c r="K46" s="1"/>
  <c r="U46" s="1"/>
  <c r="W108"/>
  <c r="K108" s="1"/>
  <c r="U108" s="1"/>
  <c r="W123"/>
  <c r="K123" s="1"/>
  <c r="U123" s="1"/>
  <c r="W147"/>
  <c r="K147" s="1"/>
  <c r="U147" s="1"/>
  <c r="W144"/>
  <c r="K144" s="1"/>
  <c r="U144" s="1"/>
  <c r="W120"/>
  <c r="K120" s="1"/>
  <c r="U120" s="1"/>
  <c r="W121"/>
  <c r="K121" s="1"/>
  <c r="U121" s="1"/>
  <c r="W97"/>
  <c r="K97" s="1"/>
  <c r="U97" s="1"/>
  <c r="W155"/>
  <c r="K155" s="1"/>
  <c r="U155" s="1"/>
  <c r="W126"/>
  <c r="K126" s="1"/>
  <c r="U126" s="1"/>
  <c r="W161"/>
  <c r="K161" s="1"/>
  <c r="U161" s="1"/>
  <c r="W119"/>
  <c r="K119" s="1"/>
  <c r="U119" s="1"/>
  <c r="W131"/>
  <c r="K131" s="1"/>
  <c r="U131" s="1"/>
  <c r="W98"/>
  <c r="K98" s="1"/>
  <c r="U98" s="1"/>
  <c r="W80"/>
  <c r="K80" s="1"/>
  <c r="U80" s="1"/>
  <c r="W133"/>
  <c r="K133" s="1"/>
  <c r="U133" s="1"/>
  <c r="W116"/>
  <c r="K116" s="1"/>
  <c r="U116" s="1"/>
  <c r="W5"/>
  <c r="K5" s="1"/>
  <c r="U5" s="1"/>
  <c r="W159"/>
  <c r="K159" s="1"/>
  <c r="U159" s="1"/>
  <c r="W122"/>
  <c r="K122" s="1"/>
  <c r="U122" s="1"/>
  <c r="W107"/>
  <c r="K107" s="1"/>
  <c r="U107" s="1"/>
  <c r="W22"/>
  <c r="K22" s="1"/>
  <c r="U22" s="1"/>
  <c r="W21"/>
  <c r="K21" s="1"/>
  <c r="U21" s="1"/>
  <c r="W164"/>
  <c r="K164" s="1"/>
  <c r="U164" s="1"/>
  <c r="W163"/>
  <c r="K163" s="1"/>
  <c r="U163" s="1"/>
  <c r="W124"/>
  <c r="K124" s="1"/>
  <c r="U124" s="1"/>
  <c r="W125"/>
  <c r="K125" s="1"/>
  <c r="U125" s="1"/>
  <c r="W154"/>
  <c r="K154" s="1"/>
  <c r="U154" s="1"/>
  <c r="W162"/>
  <c r="K162" s="1"/>
  <c r="U162" s="1"/>
  <c r="W113"/>
  <c r="K113" s="1"/>
  <c r="U113" s="1"/>
  <c r="W23"/>
  <c r="K23" s="1"/>
  <c r="U23" s="1"/>
  <c r="W59"/>
  <c r="K59" s="1"/>
  <c r="U59" s="1"/>
  <c r="W58"/>
  <c r="K58" s="1"/>
  <c r="U58" s="1"/>
  <c r="W146"/>
  <c r="K146" s="1"/>
  <c r="U146" s="1"/>
  <c r="W73"/>
  <c r="K73" s="1"/>
  <c r="U73" s="1"/>
  <c r="W35"/>
  <c r="K35" s="1"/>
  <c r="U35" s="1"/>
  <c r="W84"/>
  <c r="K84" s="1"/>
  <c r="U84" s="1"/>
  <c r="W10"/>
  <c r="K10" s="1"/>
  <c r="U10" s="1"/>
  <c r="W72"/>
  <c r="K72" s="1"/>
  <c r="U72" s="1"/>
  <c r="W71"/>
  <c r="K71" s="1"/>
  <c r="U71" s="1"/>
  <c r="W148"/>
  <c r="K148" s="1"/>
  <c r="U148" s="1"/>
  <c r="W85"/>
  <c r="K85" s="1"/>
  <c r="U85" s="1"/>
  <c r="W34"/>
  <c r="K34" s="1"/>
  <c r="U34" s="1"/>
  <c r="W153"/>
  <c r="K153" s="1"/>
  <c r="U153" s="1"/>
  <c r="W160"/>
  <c r="W89"/>
  <c r="K89" s="1"/>
  <c r="U89" s="1"/>
  <c r="W66"/>
  <c r="W43"/>
  <c r="W30"/>
  <c r="W19"/>
  <c r="W49"/>
  <c r="W55"/>
  <c r="W2"/>
  <c r="W130"/>
  <c r="W14"/>
  <c r="W137"/>
  <c r="W79"/>
  <c r="W28"/>
  <c r="W105"/>
  <c r="W51"/>
  <c r="W8"/>
  <c r="W109"/>
  <c r="W132"/>
  <c r="W52"/>
  <c r="W63"/>
  <c r="W65"/>
  <c r="W114"/>
  <c r="W16"/>
  <c r="W45"/>
  <c r="W157"/>
  <c r="W86"/>
  <c r="W7"/>
  <c r="K7" s="1"/>
  <c r="U7" s="1"/>
  <c r="W88"/>
  <c r="W42"/>
  <c r="W90"/>
  <c r="W47"/>
  <c r="W41"/>
  <c r="W68"/>
  <c r="W12"/>
  <c r="W117"/>
  <c r="W103"/>
  <c r="W75"/>
  <c r="W104"/>
  <c r="W110"/>
  <c r="W32"/>
  <c r="W143"/>
  <c r="W106"/>
  <c r="W6"/>
  <c r="W152"/>
  <c r="W101"/>
  <c r="W135"/>
  <c r="W53"/>
  <c r="W96"/>
  <c r="W92"/>
  <c r="W17"/>
  <c r="W150"/>
  <c r="W82"/>
  <c r="W134"/>
  <c r="K134" s="1"/>
  <c r="U134" s="1"/>
  <c r="W62"/>
  <c r="W29"/>
  <c r="W138"/>
  <c r="W67"/>
  <c r="W129"/>
  <c r="W76"/>
  <c r="W48"/>
  <c r="W112"/>
  <c r="W3"/>
  <c r="W64"/>
  <c r="W99"/>
  <c r="W15"/>
  <c r="W87"/>
  <c r="W27"/>
  <c r="W39"/>
  <c r="W33"/>
  <c r="W50"/>
  <c r="W93"/>
  <c r="W115"/>
  <c r="W127"/>
  <c r="K127" s="1"/>
  <c r="U127" s="1"/>
  <c r="W60"/>
  <c r="W24"/>
  <c r="W77"/>
  <c r="W141"/>
  <c r="W95"/>
  <c r="W151"/>
  <c r="W156"/>
  <c r="W36"/>
  <c r="K36" s="1"/>
  <c r="U36" s="1"/>
  <c r="W61"/>
  <c r="W140"/>
  <c r="W25"/>
  <c r="W56"/>
  <c r="W142"/>
  <c r="W13"/>
  <c r="W111"/>
  <c r="W74"/>
  <c r="W139"/>
  <c r="W136"/>
  <c r="W18"/>
  <c r="W118"/>
  <c r="W83"/>
  <c r="W54"/>
  <c r="W11"/>
  <c r="W91"/>
  <c r="W94"/>
  <c r="W100"/>
  <c r="W149"/>
  <c r="W20"/>
  <c r="W26"/>
  <c r="W40"/>
  <c r="W9"/>
  <c r="W102"/>
  <c r="W145"/>
  <c r="W128"/>
  <c r="K128" s="1"/>
  <c r="U128" s="1"/>
  <c r="N87"/>
  <c r="O87" s="1"/>
  <c r="N61"/>
  <c r="O61" s="1"/>
  <c r="J89"/>
  <c r="J86"/>
  <c r="M81" l="1"/>
  <c r="L81"/>
  <c r="V81"/>
  <c r="S81"/>
  <c r="R81" s="1"/>
  <c r="P81"/>
  <c r="M121"/>
  <c r="L121"/>
  <c r="P121"/>
  <c r="V121"/>
  <c r="S121"/>
  <c r="R121" s="1"/>
  <c r="M120"/>
  <c r="L120"/>
  <c r="P120"/>
  <c r="V120"/>
  <c r="S120"/>
  <c r="R120" s="1"/>
  <c r="M144"/>
  <c r="L144"/>
  <c r="P144"/>
  <c r="V144"/>
  <c r="S144"/>
  <c r="R144" s="1"/>
  <c r="M147"/>
  <c r="L147"/>
  <c r="P147"/>
  <c r="V147"/>
  <c r="S147"/>
  <c r="R147" s="1"/>
  <c r="M123"/>
  <c r="L123"/>
  <c r="P123"/>
  <c r="V123"/>
  <c r="S123"/>
  <c r="R123" s="1"/>
  <c r="M108"/>
  <c r="L108"/>
  <c r="P108"/>
  <c r="V108"/>
  <c r="S108"/>
  <c r="R108" s="1"/>
  <c r="M46"/>
  <c r="L46"/>
  <c r="P46"/>
  <c r="V46"/>
  <c r="S46"/>
  <c r="R46" s="1"/>
  <c r="M38"/>
  <c r="S38"/>
  <c r="L38"/>
  <c r="P38"/>
  <c r="V38"/>
  <c r="M37"/>
  <c r="L37"/>
  <c r="P37"/>
  <c r="V37"/>
  <c r="S37"/>
  <c r="R37" s="1"/>
  <c r="M4"/>
  <c r="L4"/>
  <c r="V4"/>
  <c r="S4"/>
  <c r="R4" s="1"/>
  <c r="P4"/>
  <c r="M69"/>
  <c r="L69"/>
  <c r="V69"/>
  <c r="S69"/>
  <c r="R69" s="1"/>
  <c r="P69"/>
  <c r="M70"/>
  <c r="L70"/>
  <c r="V70"/>
  <c r="S70"/>
  <c r="R70" s="1"/>
  <c r="P70"/>
  <c r="M31"/>
  <c r="L31"/>
  <c r="V31"/>
  <c r="S31"/>
  <c r="R31" s="1"/>
  <c r="P31"/>
  <c r="M158"/>
  <c r="L158"/>
  <c r="V158"/>
  <c r="S158"/>
  <c r="R158" s="1"/>
  <c r="P158"/>
  <c r="M44"/>
  <c r="L44"/>
  <c r="V44"/>
  <c r="S44"/>
  <c r="R44" s="1"/>
  <c r="P44"/>
  <c r="M78"/>
  <c r="L78"/>
  <c r="P78"/>
  <c r="V78"/>
  <c r="S78"/>
  <c r="R78" s="1"/>
  <c r="M57"/>
  <c r="L57"/>
  <c r="V57"/>
  <c r="S57"/>
  <c r="R57" s="1"/>
  <c r="P57"/>
  <c r="M133"/>
  <c r="L133"/>
  <c r="V133"/>
  <c r="S133"/>
  <c r="R133" s="1"/>
  <c r="P133"/>
  <c r="M80"/>
  <c r="L80"/>
  <c r="V80"/>
  <c r="S80"/>
  <c r="R80" s="1"/>
  <c r="P80"/>
  <c r="M98"/>
  <c r="L98"/>
  <c r="V98"/>
  <c r="S98"/>
  <c r="R98" s="1"/>
  <c r="P98"/>
  <c r="M131"/>
  <c r="L131"/>
  <c r="V131"/>
  <c r="S131"/>
  <c r="R131" s="1"/>
  <c r="P131"/>
  <c r="M119"/>
  <c r="L119"/>
  <c r="V119"/>
  <c r="S119"/>
  <c r="R119" s="1"/>
  <c r="P119"/>
  <c r="M161"/>
  <c r="L161"/>
  <c r="V161"/>
  <c r="S161"/>
  <c r="R161" s="1"/>
  <c r="P161"/>
  <c r="M126"/>
  <c r="L126"/>
  <c r="V126"/>
  <c r="S126"/>
  <c r="R126" s="1"/>
  <c r="P126"/>
  <c r="M155"/>
  <c r="L155"/>
  <c r="V155"/>
  <c r="S155"/>
  <c r="R155" s="1"/>
  <c r="P155"/>
  <c r="M97"/>
  <c r="L97"/>
  <c r="V97"/>
  <c r="S97"/>
  <c r="R97" s="1"/>
  <c r="P97"/>
  <c r="K106"/>
  <c r="U106" s="1"/>
  <c r="S128"/>
  <c r="S36"/>
  <c r="S127"/>
  <c r="S134"/>
  <c r="S153"/>
  <c r="S34"/>
  <c r="S85"/>
  <c r="S148"/>
  <c r="S71"/>
  <c r="S72"/>
  <c r="S10"/>
  <c r="S84"/>
  <c r="S35"/>
  <c r="S73"/>
  <c r="L73"/>
  <c r="P73"/>
  <c r="V73"/>
  <c r="M73"/>
  <c r="S146"/>
  <c r="L146"/>
  <c r="M146"/>
  <c r="V146"/>
  <c r="P146"/>
  <c r="S58"/>
  <c r="M58"/>
  <c r="V58"/>
  <c r="L58"/>
  <c r="P58"/>
  <c r="S59"/>
  <c r="V59"/>
  <c r="M59"/>
  <c r="L59"/>
  <c r="P59"/>
  <c r="S23"/>
  <c r="L23"/>
  <c r="V23"/>
  <c r="M23"/>
  <c r="P23"/>
  <c r="S113"/>
  <c r="L113"/>
  <c r="M113"/>
  <c r="V113"/>
  <c r="P113"/>
  <c r="S162"/>
  <c r="M162"/>
  <c r="P162"/>
  <c r="L162"/>
  <c r="V162"/>
  <c r="S154"/>
  <c r="P154"/>
  <c r="L154"/>
  <c r="V154"/>
  <c r="M154"/>
  <c r="S125"/>
  <c r="M125"/>
  <c r="L125"/>
  <c r="V125"/>
  <c r="P125"/>
  <c r="S124"/>
  <c r="P124"/>
  <c r="V124"/>
  <c r="M124"/>
  <c r="L124"/>
  <c r="L163"/>
  <c r="P163"/>
  <c r="S163"/>
  <c r="M163"/>
  <c r="V163"/>
  <c r="M164"/>
  <c r="L164"/>
  <c r="V164"/>
  <c r="S164"/>
  <c r="R164" s="1"/>
  <c r="P164"/>
  <c r="M21"/>
  <c r="L21"/>
  <c r="V21"/>
  <c r="S21"/>
  <c r="R21" s="1"/>
  <c r="P21"/>
  <c r="P22"/>
  <c r="M22"/>
  <c r="L22"/>
  <c r="V22"/>
  <c r="S22"/>
  <c r="R22" s="1"/>
  <c r="P107"/>
  <c r="M107"/>
  <c r="L107"/>
  <c r="V107"/>
  <c r="S107"/>
  <c r="R107" s="1"/>
  <c r="P122"/>
  <c r="L122"/>
  <c r="V122"/>
  <c r="M122"/>
  <c r="S122"/>
  <c r="R122" s="1"/>
  <c r="P159"/>
  <c r="L159"/>
  <c r="M159"/>
  <c r="V159"/>
  <c r="S159"/>
  <c r="R159" s="1"/>
  <c r="P5"/>
  <c r="L5"/>
  <c r="M5"/>
  <c r="V5"/>
  <c r="S5"/>
  <c r="R5" s="1"/>
  <c r="V116"/>
  <c r="M116"/>
  <c r="L116"/>
  <c r="S116"/>
  <c r="R116" s="1"/>
  <c r="P116"/>
  <c r="N96"/>
  <c r="O96" s="1"/>
  <c r="N104"/>
  <c r="O104" s="1"/>
  <c r="K26"/>
  <c r="U26" s="1"/>
  <c r="K54"/>
  <c r="U54" s="1"/>
  <c r="K13"/>
  <c r="U13" s="1"/>
  <c r="K141"/>
  <c r="U141" s="1"/>
  <c r="K99"/>
  <c r="U99" s="1"/>
  <c r="K138"/>
  <c r="U138" s="1"/>
  <c r="K135"/>
  <c r="U135" s="1"/>
  <c r="K104"/>
  <c r="U104" s="1"/>
  <c r="K90"/>
  <c r="U90" s="1"/>
  <c r="K63"/>
  <c r="U63" s="1"/>
  <c r="K79"/>
  <c r="U79" s="1"/>
  <c r="K30"/>
  <c r="U30" s="1"/>
  <c r="K102"/>
  <c r="U102" s="1"/>
  <c r="K94"/>
  <c r="U94" s="1"/>
  <c r="K139"/>
  <c r="U139" s="1"/>
  <c r="K61"/>
  <c r="U61" s="1"/>
  <c r="K77"/>
  <c r="U77" s="1"/>
  <c r="K33"/>
  <c r="U33" s="1"/>
  <c r="K76"/>
  <c r="U76" s="1"/>
  <c r="K101"/>
  <c r="U101" s="1"/>
  <c r="K75"/>
  <c r="U75" s="1"/>
  <c r="K42"/>
  <c r="U42" s="1"/>
  <c r="K16"/>
  <c r="U16" s="1"/>
  <c r="K52"/>
  <c r="U52" s="1"/>
  <c r="K51"/>
  <c r="U51" s="1"/>
  <c r="K137"/>
  <c r="U137" s="1"/>
  <c r="K55"/>
  <c r="U55" s="1"/>
  <c r="K43"/>
  <c r="U43" s="1"/>
  <c r="N66"/>
  <c r="O66" s="1"/>
  <c r="K9"/>
  <c r="U9" s="1"/>
  <c r="K91"/>
  <c r="U91" s="1"/>
  <c r="K118"/>
  <c r="U118" s="1"/>
  <c r="K74"/>
  <c r="U74" s="1"/>
  <c r="K56"/>
  <c r="U56" s="1"/>
  <c r="K151"/>
  <c r="U151" s="1"/>
  <c r="K24"/>
  <c r="U24" s="1"/>
  <c r="K115"/>
  <c r="U115" s="1"/>
  <c r="K39"/>
  <c r="U39" s="1"/>
  <c r="K87"/>
  <c r="U87" s="1"/>
  <c r="K3"/>
  <c r="U3" s="1"/>
  <c r="K129"/>
  <c r="U129" s="1"/>
  <c r="K62"/>
  <c r="U62" s="1"/>
  <c r="K82"/>
  <c r="U82" s="1"/>
  <c r="K96"/>
  <c r="U96" s="1"/>
  <c r="K152"/>
  <c r="U152" s="1"/>
  <c r="K32"/>
  <c r="U32" s="1"/>
  <c r="K103"/>
  <c r="U103" s="1"/>
  <c r="K41"/>
  <c r="U41" s="1"/>
  <c r="K88"/>
  <c r="U88" s="1"/>
  <c r="K86"/>
  <c r="U86" s="1"/>
  <c r="K114"/>
  <c r="U114" s="1"/>
  <c r="K132"/>
  <c r="U132" s="1"/>
  <c r="K105"/>
  <c r="U105" s="1"/>
  <c r="K14"/>
  <c r="U14" s="1"/>
  <c r="K49"/>
  <c r="U49" s="1"/>
  <c r="K66"/>
  <c r="U66" s="1"/>
  <c r="K145"/>
  <c r="U145" s="1"/>
  <c r="K100"/>
  <c r="U100" s="1"/>
  <c r="K136"/>
  <c r="U136" s="1"/>
  <c r="K140"/>
  <c r="U140" s="1"/>
  <c r="K50"/>
  <c r="U50" s="1"/>
  <c r="K48"/>
  <c r="U48" s="1"/>
  <c r="K17"/>
  <c r="U17" s="1"/>
  <c r="L106"/>
  <c r="K12"/>
  <c r="U12" s="1"/>
  <c r="K45"/>
  <c r="U45" s="1"/>
  <c r="K8"/>
  <c r="U8" s="1"/>
  <c r="K2"/>
  <c r="U2" s="1"/>
  <c r="K160"/>
  <c r="U160" s="1"/>
  <c r="N103"/>
  <c r="O103" s="1"/>
  <c r="K20"/>
  <c r="U20" s="1"/>
  <c r="K83"/>
  <c r="U83" s="1"/>
  <c r="K142"/>
  <c r="U142" s="1"/>
  <c r="K156"/>
  <c r="U156" s="1"/>
  <c r="K64"/>
  <c r="U64" s="1"/>
  <c r="K29"/>
  <c r="U29" s="1"/>
  <c r="K92"/>
  <c r="U92" s="1"/>
  <c r="K143"/>
  <c r="U143" s="1"/>
  <c r="K68"/>
  <c r="U68" s="1"/>
  <c r="N65"/>
  <c r="O65" s="1"/>
  <c r="N102"/>
  <c r="O102" s="1"/>
  <c r="N62"/>
  <c r="O62" s="1"/>
  <c r="K40"/>
  <c r="U40" s="1"/>
  <c r="K149"/>
  <c r="U149" s="1"/>
  <c r="K11"/>
  <c r="U11" s="1"/>
  <c r="K18"/>
  <c r="U18" s="1"/>
  <c r="K111"/>
  <c r="U111" s="1"/>
  <c r="K25"/>
  <c r="U25" s="1"/>
  <c r="K95"/>
  <c r="U95" s="1"/>
  <c r="K60"/>
  <c r="U60" s="1"/>
  <c r="K93"/>
  <c r="U93" s="1"/>
  <c r="K27"/>
  <c r="U27" s="1"/>
  <c r="K15"/>
  <c r="U15" s="1"/>
  <c r="K112"/>
  <c r="U112" s="1"/>
  <c r="K67"/>
  <c r="U67" s="1"/>
  <c r="K150"/>
  <c r="U150" s="1"/>
  <c r="K53"/>
  <c r="U53" s="1"/>
  <c r="K6"/>
  <c r="U6" s="1"/>
  <c r="K110"/>
  <c r="U110" s="1"/>
  <c r="K117"/>
  <c r="U117" s="1"/>
  <c r="K47"/>
  <c r="U47" s="1"/>
  <c r="K157"/>
  <c r="U157" s="1"/>
  <c r="K65"/>
  <c r="U65" s="1"/>
  <c r="K109"/>
  <c r="U109" s="1"/>
  <c r="K28"/>
  <c r="U28" s="1"/>
  <c r="K130"/>
  <c r="U130" s="1"/>
  <c r="K19"/>
  <c r="U19" s="1"/>
  <c r="P153"/>
  <c r="L153"/>
  <c r="M153"/>
  <c r="V153"/>
  <c r="P72"/>
  <c r="V72"/>
  <c r="M72"/>
  <c r="L72"/>
  <c r="P84"/>
  <c r="M84"/>
  <c r="L84"/>
  <c r="V84"/>
  <c r="V127"/>
  <c r="P127"/>
  <c r="L127"/>
  <c r="M127"/>
  <c r="L134"/>
  <c r="M134"/>
  <c r="V134"/>
  <c r="M148"/>
  <c r="P148"/>
  <c r="L148"/>
  <c r="V148"/>
  <c r="P10"/>
  <c r="M10"/>
  <c r="V10"/>
  <c r="L10"/>
  <c r="V128"/>
  <c r="P128"/>
  <c r="L128"/>
  <c r="M128"/>
  <c r="L36"/>
  <c r="M36"/>
  <c r="V36"/>
  <c r="M34"/>
  <c r="L34"/>
  <c r="V34"/>
  <c r="P85"/>
  <c r="V85"/>
  <c r="L85"/>
  <c r="M85"/>
  <c r="P71"/>
  <c r="V71"/>
  <c r="L71"/>
  <c r="M71"/>
  <c r="M35"/>
  <c r="V35"/>
  <c r="L35"/>
  <c r="M76"/>
  <c r="L13"/>
  <c r="M136"/>
  <c r="L55"/>
  <c r="M135"/>
  <c r="L135"/>
  <c r="M49"/>
  <c r="P82"/>
  <c r="L82"/>
  <c r="M15"/>
  <c r="L151"/>
  <c r="S89"/>
  <c r="R163" l="1"/>
  <c r="R124"/>
  <c r="R125"/>
  <c r="R154"/>
  <c r="R162"/>
  <c r="R113"/>
  <c r="R23"/>
  <c r="R59"/>
  <c r="R58"/>
  <c r="R146"/>
  <c r="R73"/>
  <c r="R35"/>
  <c r="R84"/>
  <c r="R10"/>
  <c r="R72"/>
  <c r="R71"/>
  <c r="R148"/>
  <c r="R85"/>
  <c r="R34"/>
  <c r="R153"/>
  <c r="R134"/>
  <c r="R127"/>
  <c r="R36"/>
  <c r="R128"/>
  <c r="R38"/>
  <c r="T81"/>
  <c r="T89"/>
  <c r="T163"/>
  <c r="T124"/>
  <c r="T125"/>
  <c r="T154"/>
  <c r="T162"/>
  <c r="T113"/>
  <c r="T23"/>
  <c r="T59"/>
  <c r="T58"/>
  <c r="T146"/>
  <c r="T73"/>
  <c r="T35"/>
  <c r="T84"/>
  <c r="T10"/>
  <c r="T72"/>
  <c r="T71"/>
  <c r="T148"/>
  <c r="T85"/>
  <c r="T34"/>
  <c r="T153"/>
  <c r="T134"/>
  <c r="T127"/>
  <c r="T36"/>
  <c r="T128"/>
  <c r="T38"/>
  <c r="T116"/>
  <c r="T5"/>
  <c r="T159"/>
  <c r="T122"/>
  <c r="T107"/>
  <c r="T22"/>
  <c r="T21"/>
  <c r="T164"/>
  <c r="T97"/>
  <c r="T155"/>
  <c r="T126"/>
  <c r="T161"/>
  <c r="T119"/>
  <c r="T131"/>
  <c r="T98"/>
  <c r="T80"/>
  <c r="T133"/>
  <c r="T57"/>
  <c r="T78"/>
  <c r="T44"/>
  <c r="T158"/>
  <c r="T31"/>
  <c r="T70"/>
  <c r="T69"/>
  <c r="T4"/>
  <c r="T37"/>
  <c r="T46"/>
  <c r="T108"/>
  <c r="T123"/>
  <c r="T147"/>
  <c r="T144"/>
  <c r="T120"/>
  <c r="T121"/>
  <c r="L19"/>
  <c r="S130"/>
  <c r="S109"/>
  <c r="M65"/>
  <c r="S157"/>
  <c r="S47"/>
  <c r="L117"/>
  <c r="S110"/>
  <c r="S53"/>
  <c r="S67"/>
  <c r="S15"/>
  <c r="S93"/>
  <c r="S95"/>
  <c r="S111"/>
  <c r="S11"/>
  <c r="L149"/>
  <c r="S40"/>
  <c r="S68"/>
  <c r="S92"/>
  <c r="S64"/>
  <c r="S142"/>
  <c r="S20"/>
  <c r="S160"/>
  <c r="S8"/>
  <c r="M45"/>
  <c r="S12"/>
  <c r="S17"/>
  <c r="S50"/>
  <c r="S136"/>
  <c r="S145"/>
  <c r="M66"/>
  <c r="S49"/>
  <c r="S105"/>
  <c r="M132"/>
  <c r="S114"/>
  <c r="S88"/>
  <c r="L41"/>
  <c r="S103"/>
  <c r="S152"/>
  <c r="S82"/>
  <c r="R82" s="1"/>
  <c r="S62"/>
  <c r="S129"/>
  <c r="S87"/>
  <c r="M39"/>
  <c r="S115"/>
  <c r="M24"/>
  <c r="S151"/>
  <c r="L56"/>
  <c r="S74"/>
  <c r="M118"/>
  <c r="S91"/>
  <c r="M9"/>
  <c r="S55"/>
  <c r="M137"/>
  <c r="S51"/>
  <c r="S16"/>
  <c r="S75"/>
  <c r="L101"/>
  <c r="S76"/>
  <c r="M33"/>
  <c r="S77"/>
  <c r="S139"/>
  <c r="V102"/>
  <c r="S79"/>
  <c r="S90"/>
  <c r="S135"/>
  <c r="R135" s="1"/>
  <c r="S99"/>
  <c r="L141"/>
  <c r="S13"/>
  <c r="S26"/>
  <c r="M75"/>
  <c r="P11"/>
  <c r="M88"/>
  <c r="L102"/>
  <c r="P75"/>
  <c r="L105"/>
  <c r="L99"/>
  <c r="M99"/>
  <c r="M53"/>
  <c r="P77"/>
  <c r="L11"/>
  <c r="P2"/>
  <c r="L129"/>
  <c r="L47"/>
  <c r="L115"/>
  <c r="M115"/>
  <c r="M68"/>
  <c r="M111"/>
  <c r="V115"/>
  <c r="M11"/>
  <c r="P8"/>
  <c r="L114"/>
  <c r="L49"/>
  <c r="L88"/>
  <c r="M95"/>
  <c r="P9"/>
  <c r="P95"/>
  <c r="L89"/>
  <c r="M93"/>
  <c r="L139"/>
  <c r="L15"/>
  <c r="P145"/>
  <c r="L136"/>
  <c r="M47"/>
  <c r="L53"/>
  <c r="M77"/>
  <c r="M64"/>
  <c r="P53"/>
  <c r="M130"/>
  <c r="P109"/>
  <c r="L12"/>
  <c r="M50"/>
  <c r="M151"/>
  <c r="M16"/>
  <c r="L40"/>
  <c r="M139"/>
  <c r="L20"/>
  <c r="L95"/>
  <c r="L145"/>
  <c r="M109"/>
  <c r="L109"/>
  <c r="M105"/>
  <c r="P105"/>
  <c r="L76"/>
  <c r="L75"/>
  <c r="P64"/>
  <c r="M89"/>
  <c r="V105"/>
  <c r="V139"/>
  <c r="M152"/>
  <c r="L16"/>
  <c r="M8"/>
  <c r="L90"/>
  <c r="P20"/>
  <c r="L50"/>
  <c r="P114"/>
  <c r="L62"/>
  <c r="S102"/>
  <c r="V152"/>
  <c r="V16"/>
  <c r="L152"/>
  <c r="M142"/>
  <c r="L79"/>
  <c r="L8"/>
  <c r="M20"/>
  <c r="M114"/>
  <c r="L68"/>
  <c r="M12"/>
  <c r="M55"/>
  <c r="L64"/>
  <c r="M102"/>
  <c r="L160"/>
  <c r="V50"/>
  <c r="V135"/>
  <c r="M91"/>
  <c r="M17"/>
  <c r="L26"/>
  <c r="P111"/>
  <c r="V17"/>
  <c r="V49"/>
  <c r="V90"/>
  <c r="V26"/>
  <c r="L17"/>
  <c r="M13"/>
  <c r="M90"/>
  <c r="P67"/>
  <c r="L51"/>
  <c r="P93"/>
  <c r="M51"/>
  <c r="L92"/>
  <c r="L87"/>
  <c r="P51"/>
  <c r="M103"/>
  <c r="M110"/>
  <c r="M160"/>
  <c r="V12"/>
  <c r="V145"/>
  <c r="V88"/>
  <c r="V129"/>
  <c r="V74"/>
  <c r="V55"/>
  <c r="V76"/>
  <c r="V79"/>
  <c r="V13"/>
  <c r="L142"/>
  <c r="L93"/>
  <c r="M26"/>
  <c r="L110"/>
  <c r="M92"/>
  <c r="V103"/>
  <c r="V87"/>
  <c r="V91"/>
  <c r="V51"/>
  <c r="V77"/>
  <c r="L157"/>
  <c r="L91"/>
  <c r="M74"/>
  <c r="L74"/>
  <c r="M79"/>
  <c r="M40"/>
  <c r="M129"/>
  <c r="M67"/>
  <c r="M145"/>
  <c r="P13"/>
  <c r="L111"/>
  <c r="P90"/>
  <c r="L77"/>
  <c r="L67"/>
  <c r="P49"/>
  <c r="L130"/>
  <c r="L103"/>
  <c r="P55"/>
  <c r="P160"/>
  <c r="V136"/>
  <c r="V114"/>
  <c r="V82"/>
  <c r="V151"/>
  <c r="V75"/>
  <c r="V99"/>
  <c r="N89"/>
  <c r="O89" s="1"/>
  <c r="S29"/>
  <c r="V29"/>
  <c r="M29"/>
  <c r="S83"/>
  <c r="L83"/>
  <c r="V83"/>
  <c r="S140"/>
  <c r="L140"/>
  <c r="V140"/>
  <c r="S132"/>
  <c r="L132"/>
  <c r="V132"/>
  <c r="V96"/>
  <c r="M96"/>
  <c r="L96"/>
  <c r="S96"/>
  <c r="R96" s="1"/>
  <c r="S24"/>
  <c r="V24"/>
  <c r="L24"/>
  <c r="S42"/>
  <c r="M42"/>
  <c r="V42"/>
  <c r="S94"/>
  <c r="M94"/>
  <c r="V94"/>
  <c r="L94"/>
  <c r="S138"/>
  <c r="M138"/>
  <c r="V138"/>
  <c r="L138"/>
  <c r="L42"/>
  <c r="S19"/>
  <c r="M19"/>
  <c r="V19"/>
  <c r="L65"/>
  <c r="V65"/>
  <c r="S117"/>
  <c r="M117"/>
  <c r="V117"/>
  <c r="S150"/>
  <c r="L150"/>
  <c r="V150"/>
  <c r="S27"/>
  <c r="M27"/>
  <c r="L27"/>
  <c r="V27"/>
  <c r="S25"/>
  <c r="M25"/>
  <c r="V25"/>
  <c r="L25"/>
  <c r="S149"/>
  <c r="R149" s="1"/>
  <c r="V149"/>
  <c r="S2"/>
  <c r="M2"/>
  <c r="L2"/>
  <c r="V2"/>
  <c r="S48"/>
  <c r="M48"/>
  <c r="V48"/>
  <c r="L48"/>
  <c r="S14"/>
  <c r="L14"/>
  <c r="M14"/>
  <c r="V14"/>
  <c r="S32"/>
  <c r="L32"/>
  <c r="M32"/>
  <c r="V32"/>
  <c r="S39"/>
  <c r="L39"/>
  <c r="V39"/>
  <c r="S9"/>
  <c r="V9"/>
  <c r="L9"/>
  <c r="S52"/>
  <c r="M52"/>
  <c r="V52"/>
  <c r="S61"/>
  <c r="M61"/>
  <c r="L61"/>
  <c r="V61"/>
  <c r="L104"/>
  <c r="M104"/>
  <c r="V104"/>
  <c r="S104"/>
  <c r="R104" s="1"/>
  <c r="M140"/>
  <c r="P19"/>
  <c r="S143"/>
  <c r="L143"/>
  <c r="M143"/>
  <c r="V143"/>
  <c r="S156"/>
  <c r="V156"/>
  <c r="L156"/>
  <c r="S106"/>
  <c r="V106"/>
  <c r="M106"/>
  <c r="V66"/>
  <c r="S66"/>
  <c r="L66"/>
  <c r="S41"/>
  <c r="M41"/>
  <c r="V41"/>
  <c r="S3"/>
  <c r="V3"/>
  <c r="M3"/>
  <c r="L3"/>
  <c r="S118"/>
  <c r="V118"/>
  <c r="L118"/>
  <c r="S137"/>
  <c r="L137"/>
  <c r="V137"/>
  <c r="S33"/>
  <c r="L33"/>
  <c r="V33"/>
  <c r="S63"/>
  <c r="M63"/>
  <c r="L63"/>
  <c r="V63"/>
  <c r="S54"/>
  <c r="M54"/>
  <c r="L54"/>
  <c r="V54"/>
  <c r="L29"/>
  <c r="L52"/>
  <c r="S28"/>
  <c r="L28"/>
  <c r="M28"/>
  <c r="V28"/>
  <c r="S7"/>
  <c r="V7"/>
  <c r="L7"/>
  <c r="M7"/>
  <c r="S6"/>
  <c r="L6"/>
  <c r="V6"/>
  <c r="M6"/>
  <c r="S112"/>
  <c r="V112"/>
  <c r="L112"/>
  <c r="M112"/>
  <c r="S60"/>
  <c r="V60"/>
  <c r="M60"/>
  <c r="L60"/>
  <c r="S18"/>
  <c r="V18"/>
  <c r="M18"/>
  <c r="L18"/>
  <c r="S65"/>
  <c r="R65" s="1"/>
  <c r="S45"/>
  <c r="V45"/>
  <c r="L45"/>
  <c r="S100"/>
  <c r="M100"/>
  <c r="L100"/>
  <c r="V100"/>
  <c r="L86"/>
  <c r="V86"/>
  <c r="V62"/>
  <c r="M62"/>
  <c r="S56"/>
  <c r="M56"/>
  <c r="V56"/>
  <c r="S43"/>
  <c r="L43"/>
  <c r="V43"/>
  <c r="M43"/>
  <c r="S101"/>
  <c r="M101"/>
  <c r="V101"/>
  <c r="S30"/>
  <c r="L30"/>
  <c r="M30"/>
  <c r="V30"/>
  <c r="S141"/>
  <c r="M141"/>
  <c r="V141"/>
  <c r="P117"/>
  <c r="N86"/>
  <c r="O86" s="1"/>
  <c r="S86"/>
  <c r="R86" s="1"/>
  <c r="P14"/>
  <c r="P30"/>
  <c r="P94"/>
  <c r="P132"/>
  <c r="P29"/>
  <c r="P54"/>
  <c r="P52"/>
  <c r="P63"/>
  <c r="P56"/>
  <c r="P24"/>
  <c r="P83"/>
  <c r="P27"/>
  <c r="P43"/>
  <c r="P137"/>
  <c r="V130"/>
  <c r="V109"/>
  <c r="V157"/>
  <c r="V47"/>
  <c r="V110"/>
  <c r="V53"/>
  <c r="V67"/>
  <c r="V15"/>
  <c r="V93"/>
  <c r="V95"/>
  <c r="V111"/>
  <c r="V11"/>
  <c r="V40"/>
  <c r="V68"/>
  <c r="V92"/>
  <c r="V64"/>
  <c r="V142"/>
  <c r="V20"/>
  <c r="V160"/>
  <c r="V8"/>
  <c r="P134"/>
  <c r="P35"/>
  <c r="P34"/>
  <c r="P36"/>
  <c r="P157"/>
  <c r="P156"/>
  <c r="P101"/>
  <c r="P91"/>
  <c r="P118"/>
  <c r="P151"/>
  <c r="P152"/>
  <c r="P62"/>
  <c r="P66"/>
  <c r="P103"/>
  <c r="P104"/>
  <c r="P102"/>
  <c r="P87"/>
  <c r="P61"/>
  <c r="P96"/>
  <c r="P65"/>
  <c r="P143"/>
  <c r="P45"/>
  <c r="P74"/>
  <c r="P142"/>
  <c r="P141"/>
  <c r="P140"/>
  <c r="P139"/>
  <c r="P138"/>
  <c r="P150"/>
  <c r="P149"/>
  <c r="P6"/>
  <c r="P33"/>
  <c r="P32"/>
  <c r="P7"/>
  <c r="P79"/>
  <c r="P16"/>
  <c r="P15"/>
  <c r="P41"/>
  <c r="P40"/>
  <c r="P39"/>
  <c r="P18"/>
  <c r="P17"/>
  <c r="P129"/>
  <c r="P106"/>
  <c r="P88"/>
  <c r="P25"/>
  <c r="P28"/>
  <c r="P42"/>
  <c r="P135"/>
  <c r="P115"/>
  <c r="P68"/>
  <c r="P47"/>
  <c r="P76"/>
  <c r="P60"/>
  <c r="P136"/>
  <c r="P26"/>
  <c r="P12"/>
  <c r="P112"/>
  <c r="P130"/>
  <c r="P50"/>
  <c r="P92"/>
  <c r="P3"/>
  <c r="P110"/>
  <c r="P48"/>
  <c r="P100"/>
  <c r="P99"/>
  <c r="V89"/>
  <c r="R89" l="1"/>
  <c r="R141"/>
  <c r="R30"/>
  <c r="R101"/>
  <c r="R43"/>
  <c r="R56"/>
  <c r="R100"/>
  <c r="R45"/>
  <c r="R18"/>
  <c r="R60"/>
  <c r="R112"/>
  <c r="R6"/>
  <c r="R7"/>
  <c r="R28"/>
  <c r="R54"/>
  <c r="R63"/>
  <c r="R33"/>
  <c r="R137"/>
  <c r="R118"/>
  <c r="R3"/>
  <c r="R41"/>
  <c r="R66"/>
  <c r="R106"/>
  <c r="R156"/>
  <c r="R143"/>
  <c r="R61"/>
  <c r="R52"/>
  <c r="R9"/>
  <c r="R39"/>
  <c r="R32"/>
  <c r="R14"/>
  <c r="R48"/>
  <c r="R2"/>
  <c r="R25"/>
  <c r="R27"/>
  <c r="R150"/>
  <c r="R117"/>
  <c r="R19"/>
  <c r="R138"/>
  <c r="R94"/>
  <c r="R42"/>
  <c r="R24"/>
  <c r="R132"/>
  <c r="R140"/>
  <c r="R83"/>
  <c r="R29"/>
  <c r="R102"/>
  <c r="R26"/>
  <c r="R13"/>
  <c r="R99"/>
  <c r="R90"/>
  <c r="R79"/>
  <c r="R139"/>
  <c r="R77"/>
  <c r="R76"/>
  <c r="R75"/>
  <c r="R16"/>
  <c r="R51"/>
  <c r="R55"/>
  <c r="R91"/>
  <c r="R74"/>
  <c r="R151"/>
  <c r="R115"/>
  <c r="R87"/>
  <c r="R129"/>
  <c r="R62"/>
  <c r="R152"/>
  <c r="R103"/>
  <c r="R88"/>
  <c r="R114"/>
  <c r="R105"/>
  <c r="R49"/>
  <c r="R145"/>
  <c r="R136"/>
  <c r="R50"/>
  <c r="R17"/>
  <c r="R12"/>
  <c r="R8"/>
  <c r="R160"/>
  <c r="R20"/>
  <c r="R142"/>
  <c r="R64"/>
  <c r="R92"/>
  <c r="R68"/>
  <c r="R40"/>
  <c r="R11"/>
  <c r="R111"/>
  <c r="R95"/>
  <c r="R93"/>
  <c r="R15"/>
  <c r="R67"/>
  <c r="R53"/>
  <c r="R110"/>
  <c r="R47"/>
  <c r="R157"/>
  <c r="R109"/>
  <c r="R130"/>
  <c r="T141"/>
  <c r="T30"/>
  <c r="T101"/>
  <c r="T43"/>
  <c r="T56"/>
  <c r="T100"/>
  <c r="T45"/>
  <c r="T18"/>
  <c r="T60"/>
  <c r="T112"/>
  <c r="T6"/>
  <c r="T7"/>
  <c r="T28"/>
  <c r="T54"/>
  <c r="T63"/>
  <c r="T33"/>
  <c r="T137"/>
  <c r="T118"/>
  <c r="T3"/>
  <c r="T41"/>
  <c r="T66"/>
  <c r="T106"/>
  <c r="T156"/>
  <c r="T143"/>
  <c r="T61"/>
  <c r="T52"/>
  <c r="T9"/>
  <c r="T39"/>
  <c r="T32"/>
  <c r="T14"/>
  <c r="T48"/>
  <c r="T2"/>
  <c r="T25"/>
  <c r="T27"/>
  <c r="T150"/>
  <c r="T117"/>
  <c r="T19"/>
  <c r="T138"/>
  <c r="T94"/>
  <c r="T42"/>
  <c r="T24"/>
  <c r="T132"/>
  <c r="T140"/>
  <c r="T83"/>
  <c r="T29"/>
  <c r="T102"/>
  <c r="T26"/>
  <c r="T13"/>
  <c r="T99"/>
  <c r="T90"/>
  <c r="T79"/>
  <c r="T139"/>
  <c r="T77"/>
  <c r="T76"/>
  <c r="T75"/>
  <c r="T16"/>
  <c r="T51"/>
  <c r="T55"/>
  <c r="T91"/>
  <c r="T74"/>
  <c r="T151"/>
  <c r="T115"/>
  <c r="T87"/>
  <c r="T129"/>
  <c r="T62"/>
  <c r="T152"/>
  <c r="T103"/>
  <c r="T88"/>
  <c r="T114"/>
  <c r="T105"/>
  <c r="T49"/>
  <c r="T145"/>
  <c r="T136"/>
  <c r="T50"/>
  <c r="T17"/>
  <c r="T12"/>
  <c r="T8"/>
  <c r="T160"/>
  <c r="T20"/>
  <c r="T142"/>
  <c r="T64"/>
  <c r="T92"/>
  <c r="T68"/>
  <c r="T40"/>
  <c r="T11"/>
  <c r="T111"/>
  <c r="T95"/>
  <c r="T93"/>
  <c r="T15"/>
  <c r="T67"/>
  <c r="T53"/>
  <c r="T110"/>
  <c r="T47"/>
  <c r="T157"/>
  <c r="T109"/>
  <c r="T130"/>
  <c r="T86"/>
  <c r="T65"/>
  <c r="T104"/>
  <c r="T149"/>
  <c r="T96"/>
  <c r="T135"/>
  <c r="T82"/>
  <c r="P86"/>
  <c r="P89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" name="Conexão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" name="Conexão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4" name="Conexão100" type="4" refreshedVersion="3" background="1" saveData="1">
    <webPr xl2000="1" url="http://download.finance.yahoo.com/d/quotes.csv?s=PETR4.SA&amp;f=nol1hgd1" htmlFormat="all"/>
  </connection>
  <connection id="5" name="Conexão10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6" name="Conexão102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" name="Conexão103" type="4" refreshedVersion="3" background="1" saveData="1">
    <webPr xl2000="1" url="http://download.finance.yahoo.com/d/quotes.csv?s=PREB32.SA&amp;f=nol1hgd1" htmlFormat="all"/>
  </connection>
  <connection id="8" name="Conexão104" type="4" refreshedVersion="3" background="1" saveData="1">
    <webPr xl2000="1" url="http://download.finance.yahoo.com/d/quotes.csv?s=PETR3.SA+PETR4.SA&amp;f=nol1hgd1" htmlFormat="all"/>
  </connection>
  <connection id="9" name="Conexão105" type="4" refreshedVersion="3" background="1" saveData="1">
    <webPr xl2000="1" url="http://download.finance.yahoo.com/d/quotes.csv?s=PETR3.SA+PETR4.SA+QGEP3.SA&amp;f=nol1hgd1" htmlFormat="all"/>
  </connection>
  <connection id="10" name="Conexão106" type="4" refreshedVersion="3" background="1" saveData="1">
    <webPr xl2000="1" url="http://download.finance.yahoo.com/d/quotes.csv?s=PETR3.SA+PETR4.SA+QGEP3.SA+SULA3.SA+SULA4.SA+SULA11.SA&amp;f=nol1hgd1" htmlFormat="all"/>
  </connection>
  <connection id="11" name="Conexão107" type="4" refreshedVersion="3" background="1" saveData="1">
    <webPr xl2000="1" url="http://download.finance.yahoo.com/d/quotes.csv?s=PETR3.SA+PETR4.SA+QGEP3.SA+SULA11.SA&amp;f=nol1hgd1" htmlFormat="all"/>
  </connection>
  <connection id="12" name="Conexão108" type="4" refreshedVersion="3" background="1" saveData="1">
    <webPr xl2000="1" url="http://download.finance.yahoo.com/d/quotes.csv?s=PETR3.SA+PETR4.SA+QGEP3.SA+SULA11.SA+CSAB3.SA+CSAB4.SA&amp;f=nol1hgd1" htmlFormat="all"/>
  </connection>
  <connection id="13" name="Conexão109" type="4" refreshedVersion="3" background="1" saveData="1">
    <webPr xl2000="1" url="http://download.finance.yahoo.com/d/quotes.csv?s=PETR3.SA+PETR4.SA+QGEP3.SA+SULA11.SA+CSAB3.SA+CSAB4.SA+BBSE3.SA&amp;f=nol1hgd1" htmlFormat="all"/>
  </connection>
  <connection id="14" name="Conexão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15" name="Conexão1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6" name="Conexão1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7" name="Conexão1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8" name="Conexão1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9" name="Conexão1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0" name="Conexão1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1" name="Conexão11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2" name="Conexão11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3" name="Conexão11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" name="Conexão11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5" name="Conexão1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6" name="Conexão120" type="4" refreshedVersion="3" background="1" saveData="1">
    <webPr xl2000="1" url="http://download.finance.yahoo.com/d/quotes.csv?s=PETR3.SA+PETR4.SA+QGEP3.SA+SULA11.SA+CSAB3.SA+CSAB4.SA+BBSE3.SA+ODER3.SA+ODER4.SA&amp;f=nol1hgd1" htmlFormat="all"/>
  </connection>
  <connection id="27" name="Conexão121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8" name="Conexão12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9" name="Conexão123" type="4" refreshedVersion="3" background="1" saveData="1">
    <webPr xl2000="1" url="http://download.finance.yahoo.com/d/quotes.csv?s=PETR3.SA+PETR4.SA+QGEP3.SA+SULA11.SA+CSAB3.SA+CSAB4.SA+BBSE3.SA+JOPA3.SA+JOPA4.SA&amp;f=nol1hgd1" htmlFormat="all"/>
  </connection>
  <connection id="30" name="Conexão124" type="4" refreshedVersion="3" background="1" saveData="1">
    <webPr xl2000="1" url="http://download.finance.yahoo.com/d/quotes.csv?s=PETR3.SA+PETR4.SA+QGEP3.SA+SULA11.SA+CSAB3.SA+CSAB4.SA+BBSE3.SA+JOPA3.SA+JOPA4.SA+TERI3.SA&amp;f=nol1hgd1" htmlFormat="all"/>
  </connection>
  <connection id="31" name="Conexão125" type="4" refreshedVersion="3" background="1" saveData="1">
    <webPr xl2000="1" url="http://download.finance.yahoo.com/d/quotes.csv?s=PETR3.SA+PETR4.SA+QGEP3.SA+SULA11.SA+CSAB3.SA+CSAB4.SA+BBSE3.SA+JOPA3.SA+JOPA4.SA+TERI3.SA+ELEK3.SA+ELEK4.SA&amp;f=nol1hgd1" htmlFormat="all"/>
  </connection>
  <connection id="32" name="Conexão126" type="4" refreshedVersion="3" background="1" saveData="1">
    <webPr xl2000="1" url="http://download.finance.yahoo.com/d/quotes.csv?s=PETR3.SA+PETR4.SA+QGEP3.SA+SULA11.SA+CSAB3.SA+CSAB4.SA+BBSE3.SA+JOPA3.SA+JOPA4.SA+TERI3.SA+ELEK3.SA+ELEK4.SA+BRKM3.SA+BRKM5.SA+BRKM6.SA&amp;f=nol1hgd1" htmlFormat="all"/>
  </connection>
  <connection id="33" name="Conexão12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4" name="Conexão1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5" name="Conexão12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6" name="Conexão13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7" name="Conexão13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8" name="Conexão13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9" name="Conexão13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40" name="Conexão13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1" name="Conexão13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2" name="Conexão13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3" name="Conexão13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4" name="Conexão13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5" name="Conexão13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6" name="Conexão13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7" name="Conexão14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48" name="Conexão14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9" name="Conexão14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50" name="Conexão14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51" name="Conexão14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2" name="Conexão14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3" name="Conexão14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4" name="Conexão14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5" name="Conexão14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6" name="Conexão14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7" name="Conexão14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8" name="Conexão1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59" name="Conexão15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3.SA+PTPA4.SA&amp;f=nol1hgd1" htmlFormat="all"/>
  </connection>
  <connection id="60" name="Conexão1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61" name="Conexão1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62" name="Conexão15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PTPA4.SA&amp;f=nol1hgd1" htmlFormat="all"/>
  </connection>
  <connection id="63" name="Conexão15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&amp;f=nol1hgd1" htmlFormat="all"/>
  </connection>
  <connection id="64" name="Conexão15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&amp;f=nol1hgd1" htmlFormat="all"/>
  </connection>
  <connection id="65" name="Conexão15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&amp;f=nol1hgd1" htmlFormat="all"/>
  </connection>
  <connection id="66" name="Conexão15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&amp;f=nol1hgd1" htmlFormat="all"/>
  </connection>
  <connection id="67" name="Conexão15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&amp;f=nol1hgd1" htmlFormat="all"/>
  </connection>
  <connection id="68" name="Conexão15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&amp;f=nol1hgd1" htmlFormat="all"/>
  </connection>
  <connection id="69" name="Conexão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0" name="Conexão16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&amp;f=nol1hgd1" htmlFormat="all"/>
  </connection>
  <connection id="71" name="Conexão1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2" name="Conexão1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3" name="Conexão16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&amp;f=nol1hgd1" htmlFormat="all"/>
  </connection>
  <connection id="74" name="Conexão16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5" name="Conexão16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6" name="Conexão16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7" name="Conexão16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Tables="1" htmlFormat="all"/>
  </connection>
  <connection id="78" name="Conexão16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9" name="Conexão16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0" name="Conexão1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1" name="Conexão17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2" name="Conexão1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3" name="Conexão1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4" name="Conexão17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85" name="Conexão17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6" name="Conexão17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87" name="Conexão17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&amp;f=nol1hgd1" htmlFormat="all"/>
  </connection>
  <connection id="88" name="Conexão17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&amp;f=nol1hgd1" htmlFormat="all"/>
  </connection>
  <connection id="89" name="Conexão17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&amp;f=nol1hgd1" htmlFormat="all"/>
  </connection>
  <connection id="90" name="Conexão17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&amp;f=nol1hgd1" htmlFormat="all"/>
  </connection>
  <connection id="91" name="Conexão1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2" name="Conexão180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&amp;f=nol1hgd1" htmlTables="1" htmlFormat="all"/>
  </connection>
  <connection id="93" name="Conexão1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4" name="Conexão1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5" name="Conexão18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&amp;f=nol1hgd1" htmlFormat="all"/>
  </connection>
  <connection id="96" name="Conexão18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&amp;f=nol1hgd1" htmlFormat="all"/>
  </connection>
  <connection id="97" name="Conexão18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MNZC3B.SA&amp;f=nol1hgd1" htmlFormat="all"/>
  </connection>
  <connection id="98" name="Conexão18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&amp;f=nol1hgd1" htmlFormat="all"/>
  </connection>
  <connection id="99" name="Conexão18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Tables="1" htmlFormat="all"/>
  </connection>
  <connection id="100" name="Conexão188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Tables="1" htmlFormat="all"/>
  </connection>
  <connection id="101" name="Conexão18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Format="all"/>
  </connection>
  <connection id="102" name="Conexão1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3" name="Conexão19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&amp;f=nol1hgd1" htmlFormat="all"/>
  </connection>
  <connection id="104" name="Conexão1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5" name="Conexão1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6" name="Conexão19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&amp;f=nol1hgd1" htmlFormat="all"/>
  </connection>
  <connection id="107" name="Conexão19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&amp;f=nol1hgd1" htmlTables="1" htmlFormat="all"/>
  </connection>
  <connection id="108" name="Conexão19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&amp;f=nol1hgd1" htmlFormat="all"/>
  </connection>
  <connection id="109" name="Conexão19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&amp;f=nol1hgd1" htmlFormat="all"/>
  </connection>
  <connection id="110" name="Conexão19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1" name="Conexão198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12" name="Conexão1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13" name="Conexão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14" name="Conexão2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5" name="Conexão20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6" name="Conexão2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7" name="Conexão2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8" name="Conexão20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9" name="Conexão20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0" name="Conexão20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1" name="Conexão20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22" name="Conexão20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3" name="Conexão20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24" name="Conexão20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5" name="Conexão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26" name="Conexão2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7" name="Conexão2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8" name="Conexão2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9" name="Conexão21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30" name="Conexão2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31" name="Conexão2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32" name="Conexão2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33" name="Conexão21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34" name="Conexão21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35" name="Conexão219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36" name="Conexão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37" name="Conexão22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38" name="Conexão2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39" name="Conexão2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40" name="Conexão22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1" name="Conexão22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42" name="Conexão225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43" name="Conexão22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44" name="Conexão22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45" name="Conexão2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6" name="Conexão22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47" name="Conexão2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48" name="Conexão23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9" name="Conexão2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50" name="Conexão2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51" name="Conexão23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52" name="Conexão23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3" name="Conexão23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54" name="Conexão236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5" name="Conexão23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6" name="Conexão23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57" name="Conexão23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58" name="Conexão2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59" name="Conexão24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0" name="Conexão2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61" name="Conexão2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62" name="Conexão24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63" name="Conexão24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4" name="Conexão24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5" name="Conexão24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66" name="Conexão247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67" name="Conexão24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8" name="Conexão24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69" name="Conexão2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70" name="Conexão25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1" name="Conexão2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72" name="Conexão2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73" name="Conexão25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74" name="Conexão25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5" name="Conexão25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76" name="Conexão25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7" name="Conexão25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78" name="Conexão25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9" name="Conexão25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80" name="Conexão2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81" name="Conexão26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82" name="Conexão2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83" name="Conexão2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84" name="Conexão263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85" name="Conexão26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86" name="Conexão26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87" name="Conexão26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88" name="Conexão26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89" name="Conexão268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90" name="Conexão26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91" name="Conexão2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92" name="Conexão27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93" name="Conexão2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94" name="Conexão2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95" name="Conexão273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96" name="Conexão27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97" name="Conexão27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98" name="Conexão27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99" name="Conexão27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00" name="Conexão27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01" name="Conexão27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202" name="Conexão2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203" name="Conexão28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04" name="Conexão2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205" name="Conexão2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206" name="Conexão28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07" name="Conexão28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08" name="Conexão285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09" name="Conexão286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10" name="Conexão28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11" name="Conexão28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12" name="Conexão28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13" name="Conexão2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214" name="Conexão29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15" name="Conexão2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216" name="Conexão2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217" name="Conexão29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18" name="Conexão29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19" name="Conexão29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20" name="Conexão29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21" name="Conexão29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22" name="Conexão29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23" name="Conexão29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224" name="Conexão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5" name="Conexão3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226" name="Conexão30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27" name="Conexão3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228" name="Conexão3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229" name="Conexão30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30" name="Conexão304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231" name="Conexão30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2" name="Conexão30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33" name="Conexão30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4" name="Conexão308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35" name="Conexão309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36" name="Conexão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237" name="Conexão3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38" name="Conexão3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39" name="Conexão31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240" name="Conexão3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1" name="Conexão31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242" name="Conexão3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3" name="Conexão316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44" name="Conexão31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45" name="Conexão31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46" name="Conexão31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+CATA3.SA+CATA4.SA&amp;f=nol1hgd1" htmlFormat="all"/>
  </connection>
  <connection id="247" name="Conexão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48" name="Conexão320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249" name="Conexão3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50" name="Conexão3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51" name="Conexão32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52" name="Conexão32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53" name="Conexão32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54" name="Conexão3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55" name="Conexão3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56" name="Conexão3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57" name="Conexão3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258" name="Conexão3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259" name="Conexão3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260" name="Conexão3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261" name="Conexão3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262" name="Conexão3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263" name="Conexão3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64" name="Conexão3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65" name="Conexão3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66" name="Conexão3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67" name="Conexão3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68" name="Conexão3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69" name="Conexão3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70" name="Conexão3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71" name="Conexão3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72" name="Conexão3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73" name="Conexão3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74" name="Conexão3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75" name="Conexão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76" name="Conexão40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77" name="Conexão40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78" name="Conexão40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79" name="Conexão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280" name="Conexão4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81" name="Conexão4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282" name="Conexão4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83" name="Conexão4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284" name="Conexão4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285" name="Conexão4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286" name="Conexão4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287" name="Conexão4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288" name="Conexão4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289" name="Conexão4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290" name="Conexão4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291" name="Conexão4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292" name="Conexão4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293" name="Conexão4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294" name="Conexão4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295" name="Conexão4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296" name="Conexão4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297" name="Conexão4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298" name="Conexão4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299" name="Conexão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00" name="Conexão5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301" name="Conexão5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302" name="Conexão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303" name="Conexão5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04" name="Conexão5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305" name="Conexão5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06" name="Conexão5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07" name="Conexão5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308" name="Conexão5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309" name="Conexão5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310" name="Conexão5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311" name="Conexão5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312" name="Conexão5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313" name="Conexão5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314" name="Conexão5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315" name="Conexão5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316" name="Conexão5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317" name="Conexão5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318" name="Conexão5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319" name="Conexão5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320" name="Conexão5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321" name="Conexão5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322" name="Conexão5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323" name="Conexão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24" name="Conexão6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325" name="Conexão6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326" name="Conexão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327" name="Conexão6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28" name="Conexão6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29" name="Conexão6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30" name="Conexão61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331" name="Conexão6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332" name="Conexão6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333" name="Conexão6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34" name="Conexão6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35" name="Conexão6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36" name="Conexão6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37" name="Conexão6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338" name="Conexão6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339" name="Conexão6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340" name="Conexão6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341" name="Conexão6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342" name="Conexão6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343" name="Conexão6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344" name="Conexão6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345" name="Conexão6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346" name="Conexão6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347" name="Conexão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48" name="Conexão7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349" name="Conexão7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350" name="Conexão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351" name="Conexão7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52" name="Conexão7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53" name="Conexão71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354" name="Conexão7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55" name="Conexão7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356" name="Conexão7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357" name="Conexão7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358" name="Conexão7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359" name="Conexão7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360" name="Conexão7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361" name="Conexão7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362" name="Conexão7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363" name="Conexão7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64" name="Conexão7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65" name="Conexão7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66" name="Conexão7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67" name="Conexão7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68" name="Conexão7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69" name="Conexão7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70" name="Conexão7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71" name="Conexão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72" name="Conexão8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73" name="Conexão80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74" name="Conexão8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75" name="Conexão8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76" name="Conexão8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77" name="Conexão81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78" name="Conexão8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79" name="Conexão8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80" name="Conexão8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81" name="Conexão82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82" name="Conexão83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83" name="Conexão83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84" name="Conexão8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85" name="Conexão84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86" name="Conexão8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87" name="Conexão85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88" name="Conexão8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89" name="Conexão86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90" name="Conexão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91" name="Conexão87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92" name="Conexão8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93" name="Conexão8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94" name="Conexão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95" name="Conexão9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96" name="Conexão9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97" name="Conexão9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98" name="Conexão9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99" name="Conexão9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400" name="Conexão9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401" name="Conexão9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402" name="Conexão9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403" name="Conexão9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04" name="Conexão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05" name="Connection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06" name="Connection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407" name="Connection10" type="4" refreshedVersion="0" background="1" saveData="1">
    <webPr url="http://download.finance.yahoo.com/d/quotes.csv?s=PETR3.SA+PETR4.SA+QGEP3.SA+SULA11.SA+CSAB3.SA+CSAB4.SA+BBSE3.SA+JOPA3.SA+JOPA4.SA+TERI3.SA+ELEK3.SA+ELEK4.SA+BRKM3.SA+BRKM5.SA+BRKM6.SA+CSAN3.SA+SMTO3.SA&amp;f=nol1hgd1" htmlTables="1" htmlFormat="all"/>
  </connection>
  <connection id="408" name="Connection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409" name="Connection1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410" name="Connection1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411" name="Connection13" type="4" refreshedVersion="0" background="1" saveData="1">
    <webPr url="http://download.finance.yahoo.com/d/quotes.csv?s=PETR3.SA+PETR4.SA+QGEP3.SA+SULA11.SA+CSAB3.SA+CSAB4.SA+BBSE3.SA+JOPA3.SA+JOPA4.SA+TERI3.SA+ELEK3.SA+ELEK4.SA+BRKM3.SA+BRKM5.SA+BRKM6.SA+CSAN3.SA+SMTO3.SA+CIQU3.SA+CIQU4.SA&amp;f=nol1hgd1" htmlTables="1" htmlFormat="all"/>
  </connection>
  <connection id="412" name="Connection1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&amp;f=nol1hgd1" htmlFormat="all"/>
  </connection>
  <connection id="413" name="Connection1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3.SA+BAUH4.SA&amp;f=nol1hgd1" htmlFormat="all"/>
  </connection>
  <connection id="414" name="Connection1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4.SA&amp;f=nol1hgd1" htmlFormat="all"/>
  </connection>
  <connection id="415" name="Connection1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&amp;f=nol1hgd1" htmlFormat="all"/>
  </connection>
  <connection id="416" name="Connection1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&amp;f=nol1hgd1" htmlFormat="all"/>
  </connection>
  <connection id="417" name="Connection1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&amp;f=nol1hgd1" htmlFormat="all"/>
  </connection>
  <connection id="418" name="Connection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419" name="Connection2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JBDU3.SA+JBDU4.SA&amp;f=nol1hgd1" htmlFormat="all"/>
  </connection>
  <connection id="420" name="Connection2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421" name="Connection2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422" name="Connection23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&amp;f=nol1hgd1" htmlFormat="all"/>
  </connection>
  <connection id="423" name="Connection2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&amp;f=nol1hgd1" htmlFormat="all"/>
  </connection>
  <connection id="424" name="Connection2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&amp;f=nol1hgd1" htmlFormat="all"/>
  </connection>
  <connection id="425" name="Connection2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HBTS6.SA+HBTS3.SA&amp;f=nol1hgd1" htmlFormat="all"/>
  </connection>
  <connection id="426" name="Connection2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&amp;f=nol1hgd1" htmlFormat="all"/>
  </connection>
  <connection id="427" name="Connection2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&amp;f=nol1hgd1" htmlFormat="all"/>
  </connection>
  <connection id="428" name="Connection2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&amp;f=nol1hgd1" htmlFormat="all"/>
  </connection>
  <connection id="429" name="Connection3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430" name="Connection3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31" name="Connection3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432" name="Connection3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433" name="Connection4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434" name="Connection4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435" name="Connection4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436" name="Connection5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37" name="Connection5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38" name="Connection6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39" name="Connection7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40" name="Connection8" type="4" refreshedVersion="0" background="1" saveData="1">
    <webPr url="http://download.finance.yahoo.com/d/quotes.csv?s=PETR3.SA+PETR4.SA+QGEP3.SA+SULA11.SA+CSAB3.SA+CSAB4.SA+BBSE3.SA+JOPA3.SA+JOPA4.SA+TERI3.SA+ELEK3.SA+ELEK4.SA+BRKM3.SA+BRKM5.SA+BRKM6.SA+CZLT33.SA&amp;f=nol1hgd1" htmlTables="1" htmlFormat="all"/>
  </connection>
  <connection id="441" name="Connection9" type="4" refreshedVersion="0" background="1" saveData="1">
    <webPr url="http://download.finance.yahoo.com/d/quotes.csv?s=PETR3.SA+PETR4.SA+QGEP3.SA+SULA11.SA+CSAB3.SA+CSAB4.SA+BBSE3.SA+JOPA3.SA+JOPA4.SA+TERI3.SA+ELEK3.SA+ELEK4.SA+BRKM3.SA+BRKM5.SA+BRKM6.SA+CSAN3.SA&amp;f=nol1hgd1" htmlTables="1" htmlFormat="all"/>
  </connection>
</connections>
</file>

<file path=xl/sharedStrings.xml><?xml version="1.0" encoding="utf-8"?>
<sst xmlns="http://schemas.openxmlformats.org/spreadsheetml/2006/main" count="2167" uniqueCount="810">
  <si>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</si>
  <si>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</si>
  <si>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</si>
  <si>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</si>
  <si>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</si>
  <si>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</si>
  <si>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</si>
  <si>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</si>
  <si>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</si>
  <si>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</si>
  <si>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</si>
  <si>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</si>
  <si>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</si>
  <si>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</si>
  <si>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</si>
  <si>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</si>
  <si>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</si>
  <si>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</si>
  <si>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</si>
  <si>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</si>
  <si>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</si>
  <si>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</si>
  <si>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</si>
  <si>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</si>
  <si>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</si>
  <si>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</si>
  <si>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</si>
  <si>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</si>
  <si>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</si>
  <si>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</si>
  <si>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</si>
  <si>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</si>
  <si>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</si>
  <si>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</si>
  <si>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</si>
  <si>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</si>
  <si>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</si>
  <si>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</si>
  <si>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</si>
  <si>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</si>
  <si>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</si>
  <si>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</si>
  <si>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</si>
  <si>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</si>
  <si>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</si>
  <si>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</si>
  <si>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</si>
  <si>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</si>
  <si>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</si>
  <si>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</si>
  <si>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</si>
  <si>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</si>
  <si>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</si>
  <si>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</si>
  <si>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P Compra</t>
  </si>
  <si>
    <t>KLBN4</t>
  </si>
  <si>
    <t>LIGT3</t>
  </si>
  <si>
    <t>TAEE11</t>
  </si>
  <si>
    <t>SULA11</t>
  </si>
  <si>
    <t>Lucro Prev</t>
  </si>
  <si>
    <t>BEES3</t>
  </si>
  <si>
    <t>BEES4</t>
  </si>
  <si>
    <t>Lucro Med A.A</t>
  </si>
  <si>
    <t>BMIN4</t>
  </si>
  <si>
    <t>BAZA3</t>
  </si>
  <si>
    <t>Ref</t>
  </si>
  <si>
    <t>Lucro/Ação Ano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</si>
  <si>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</si>
  <si>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</si>
  <si>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</si>
  <si>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</si>
  <si>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</si>
  <si>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</si>
  <si>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</si>
  <si>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</si>
  <si>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</si>
  <si>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Payout</t>
  </si>
  <si>
    <t>UNIP5</t>
  </si>
  <si>
    <t>PINE4</t>
  </si>
  <si>
    <t>SFSA4</t>
  </si>
  <si>
    <t>RPAD5</t>
  </si>
  <si>
    <t>BRGE6</t>
  </si>
  <si>
    <t>TERI3</t>
  </si>
  <si>
    <t>FESA4</t>
  </si>
  <si>
    <t>% Compra</t>
  </si>
  <si>
    <t>ITUB4</t>
  </si>
  <si>
    <t>COCE5</t>
  </si>
  <si>
    <t>PRBC4</t>
  </si>
  <si>
    <t>Exercício</t>
  </si>
  <si>
    <t>Lucro/Ação</t>
  </si>
  <si>
    <t>Lucro por ação</t>
  </si>
  <si>
    <t>Dividendo / Ação</t>
  </si>
  <si>
    <t>ENGI11</t>
  </si>
  <si>
    <t>Yield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</si>
  <si>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</si>
  <si>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</si>
  <si>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</si>
  <si>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</si>
  <si>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</si>
  <si>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</si>
  <si>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</si>
  <si>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</si>
  <si>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</si>
  <si>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</si>
  <si>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</si>
  <si>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</si>
  <si>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</si>
  <si>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</si>
  <si>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</si>
  <si>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</si>
  <si>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</si>
  <si>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</si>
  <si>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</si>
  <si>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</si>
  <si>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>9.00</t>
  </si>
  <si>
    <t xml:space="preserve">BICBANCO    -PN  </t>
  </si>
  <si>
    <t>MERC INVEST -PN</t>
  </si>
  <si>
    <t>0.26</t>
  </si>
  <si>
    <t>ALFA CONSORC-PNB</t>
  </si>
  <si>
    <t>5.96</t>
  </si>
  <si>
    <t xml:space="preserve">BANRISUL    -PNB </t>
  </si>
  <si>
    <t>CEB         -ON</t>
  </si>
  <si>
    <t>CEB         -PNA</t>
  </si>
  <si>
    <t>CEB         -PNB</t>
  </si>
  <si>
    <t>17.08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</si>
  <si>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</si>
  <si>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</si>
  <si>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</si>
  <si>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</si>
  <si>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</si>
  <si>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</si>
  <si>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</si>
  <si>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</si>
  <si>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</si>
  <si>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</si>
  <si>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</si>
  <si>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</si>
  <si>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</si>
  <si>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</si>
  <si>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</si>
  <si>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</si>
  <si>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</si>
  <si>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</si>
  <si>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</si>
  <si>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</si>
  <si>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</si>
  <si>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</si>
  <si>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</si>
  <si>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</si>
  <si>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</si>
  <si>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</si>
  <si>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</si>
  <si>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</si>
  <si>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</si>
  <si>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</si>
  <si>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</si>
  <si>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</si>
  <si>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</si>
  <si>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</si>
  <si>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</si>
  <si>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</si>
  <si>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</si>
  <si>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</si>
  <si>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</si>
  <si>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</si>
  <si>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</si>
  <si>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>ALFA HOLDING-PNA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</si>
  <si>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</si>
  <si>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</si>
  <si>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</si>
  <si>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</si>
  <si>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</si>
  <si>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</si>
  <si>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</si>
  <si>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</si>
  <si>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1.10</t>
  </si>
  <si>
    <t>4.12</t>
  </si>
  <si>
    <t>3.82</t>
  </si>
  <si>
    <t xml:space="preserve">TRAN PAULIST-ON  </t>
  </si>
  <si>
    <t xml:space="preserve">TRAN PAULIST-PN  </t>
  </si>
  <si>
    <t>5.70</t>
  </si>
  <si>
    <t>GEPA3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</si>
  <si>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</si>
  <si>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</si>
  <si>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</si>
  <si>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</si>
  <si>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</si>
  <si>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</si>
  <si>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</si>
  <si>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</si>
  <si>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</si>
  <si>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</si>
  <si>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</si>
  <si>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</si>
  <si>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</si>
  <si>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</si>
  <si>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</si>
  <si>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</si>
  <si>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</si>
  <si>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</si>
  <si>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</si>
  <si>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</si>
  <si>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</si>
  <si>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</si>
  <si>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</si>
  <si>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</si>
  <si>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CELUL IRANI -ON</t>
  </si>
  <si>
    <t>CELUL IRANI -PN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</si>
  <si>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</si>
  <si>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</si>
  <si>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</si>
  <si>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</si>
  <si>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</si>
  <si>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</si>
  <si>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</si>
  <si>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</si>
  <si>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</si>
  <si>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</si>
  <si>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BRIV3</t>
  </si>
  <si>
    <t>BRIV4</t>
  </si>
  <si>
    <t>ALFA INVEST -ON</t>
  </si>
  <si>
    <t>ALFA INVEST -PN</t>
  </si>
  <si>
    <t>BBDC3</t>
  </si>
  <si>
    <t>BBDC4</t>
  </si>
  <si>
    <t xml:space="preserve">BRADESCO    -ON  </t>
  </si>
  <si>
    <t xml:space="preserve">BRADESCO    -PN  </t>
  </si>
  <si>
    <t>28.74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</si>
  <si>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</si>
  <si>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</si>
  <si>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</si>
  <si>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</si>
  <si>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</si>
  <si>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</si>
  <si>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</si>
  <si>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</si>
  <si>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</si>
  <si>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</si>
  <si>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</si>
  <si>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</si>
  <si>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</si>
  <si>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</si>
  <si>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</si>
  <si>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</si>
  <si>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</si>
  <si>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</si>
  <si>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</si>
  <si>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</si>
  <si>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</si>
  <si>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</si>
  <si>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</si>
  <si>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</si>
  <si>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</si>
  <si>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</si>
  <si>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</si>
  <si>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</si>
  <si>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</si>
  <si>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</si>
  <si>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ALFA CONSORC-PNA</t>
  </si>
  <si>
    <t>3.27</t>
  </si>
  <si>
    <t>ALFA CONSORC-PNC</t>
  </si>
  <si>
    <t>3.60</t>
  </si>
  <si>
    <t>ALFA CONSORC-PND</t>
  </si>
  <si>
    <t>ALFA CONSORC-PNE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</si>
  <si>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</si>
  <si>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</si>
  <si>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</si>
  <si>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</si>
  <si>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</si>
  <si>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</si>
  <si>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</si>
  <si>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58.00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</si>
  <si>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</si>
  <si>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</si>
  <si>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</si>
  <si>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</si>
  <si>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</si>
  <si>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10% Rent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</si>
  <si>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</si>
  <si>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</si>
  <si>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</si>
  <si>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</si>
  <si>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</si>
  <si>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</si>
  <si>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</si>
  <si>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</si>
  <si>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</si>
  <si>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</si>
  <si>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</si>
  <si>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</si>
  <si>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30.01</t>
  </si>
  <si>
    <t>SEG AL BAHIA-PN</t>
  </si>
  <si>
    <t xml:space="preserve">BBSEGURIDADE-ON  </t>
  </si>
  <si>
    <t>JOPA3</t>
  </si>
  <si>
    <t>JOPA4</t>
  </si>
  <si>
    <t>JOSAPAR     -ON</t>
  </si>
  <si>
    <t>17.00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</si>
  <si>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</si>
  <si>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</si>
  <si>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</si>
  <si>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</si>
  <si>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</si>
  <si>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10.00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</si>
  <si>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</si>
  <si>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</si>
  <si>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</si>
  <si>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</si>
  <si>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</si>
  <si>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</si>
  <si>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</si>
  <si>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</si>
  <si>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</si>
  <si>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</si>
  <si>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</si>
  <si>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</si>
  <si>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</si>
  <si>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</si>
  <si>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</si>
  <si>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</si>
  <si>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</si>
  <si>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</si>
  <si>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</si>
  <si>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</si>
  <si>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</si>
  <si>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</si>
  <si>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</si>
  <si>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</si>
  <si>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</si>
  <si>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</si>
  <si>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</si>
  <si>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</si>
  <si>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</si>
  <si>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</si>
  <si>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</si>
  <si>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</si>
  <si>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</si>
  <si>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</si>
  <si>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</si>
  <si>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</si>
  <si>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</si>
  <si>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</si>
  <si>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Cotação Atual</t>
  </si>
  <si>
    <t>Média Payout</t>
  </si>
  <si>
    <t>% Yield</t>
  </si>
  <si>
    <t>Média Dividendo</t>
  </si>
  <si>
    <t>HBTS5</t>
  </si>
  <si>
    <t>HABITASUL   -PNA</t>
  </si>
  <si>
    <t>MOAR3</t>
  </si>
  <si>
    <t>159.00</t>
  </si>
  <si>
    <t>158.99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</si>
  <si>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</si>
  <si>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</si>
  <si>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</si>
  <si>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</si>
  <si>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</si>
  <si>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</si>
  <si>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</si>
  <si>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</si>
  <si>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</si>
  <si>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</si>
  <si>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</si>
  <si>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</si>
  <si>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0.13</t>
  </si>
  <si>
    <t>6.61</t>
  </si>
  <si>
    <t>16.51</t>
  </si>
  <si>
    <t>PTPA4</t>
  </si>
  <si>
    <t>Materiais Básicos / Embalagens / Embalagens</t>
  </si>
  <si>
    <t>Rótulos de Linha</t>
  </si>
  <si>
    <t>Total geral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</si>
  <si>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</si>
  <si>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</si>
  <si>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</si>
  <si>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</si>
  <si>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</si>
  <si>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</si>
  <si>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</si>
  <si>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</si>
  <si>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</si>
  <si>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</si>
  <si>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</si>
  <si>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</si>
  <si>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</si>
  <si>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</si>
  <si>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</si>
  <si>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</si>
  <si>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</si>
  <si>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</si>
  <si>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18.75</t>
  </si>
  <si>
    <t>TKNO4</t>
  </si>
  <si>
    <t>TEKNO       -PN</t>
  </si>
  <si>
    <t>88.00</t>
  </si>
  <si>
    <t>ETER3</t>
  </si>
  <si>
    <t>Construção e Transporte / Construção e Engenharia / Materiais de Construção</t>
  </si>
  <si>
    <t xml:space="preserve">ETERNIT     -ON  </t>
  </si>
  <si>
    <t>9.50</t>
  </si>
  <si>
    <t>49.60</t>
  </si>
  <si>
    <t xml:space="preserve">CACIQUE     -ON  </t>
  </si>
  <si>
    <t xml:space="preserve">CACIQUE     -PN  </t>
  </si>
  <si>
    <t xml:space="preserve">TELEF BRASIL-ON  </t>
  </si>
  <si>
    <t xml:space="preserve">TELEF BRASIL-PN  </t>
  </si>
  <si>
    <t xml:space="preserve">BANESTES    -ON  </t>
  </si>
  <si>
    <t xml:space="preserve">BANESTES    -PN  </t>
  </si>
  <si>
    <t xml:space="preserve">COELBA      -ON  </t>
  </si>
  <si>
    <t xml:space="preserve">COELBA      -PNA </t>
  </si>
  <si>
    <t xml:space="preserve">COSERN      -ON  </t>
  </si>
  <si>
    <t xml:space="preserve">COSERN      -PNA </t>
  </si>
  <si>
    <t xml:space="preserve">COSERN      -PNB </t>
  </si>
  <si>
    <t>GER PARANAP -ON</t>
  </si>
  <si>
    <t>GER PARANAP -PN</t>
  </si>
  <si>
    <t xml:space="preserve">SANEPAR     -ON  </t>
  </si>
  <si>
    <t xml:space="preserve">SANEPAR     -PN  </t>
  </si>
  <si>
    <t>0.51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</si>
  <si>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</si>
  <si>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</si>
  <si>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</si>
  <si>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</si>
  <si>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</si>
  <si>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</si>
  <si>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</si>
  <si>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</si>
  <si>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</si>
  <si>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</si>
  <si>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</si>
  <si>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</si>
  <si>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</si>
  <si>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</si>
  <si>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</si>
  <si>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</si>
  <si>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</si>
  <si>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</si>
  <si>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</si>
  <si>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</si>
  <si>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MERC FINANC -ON</t>
  </si>
  <si>
    <t>8.55</t>
  </si>
  <si>
    <t>MERC FINANC -PN</t>
  </si>
  <si>
    <t>CRIV3</t>
  </si>
  <si>
    <t>CRIV4</t>
  </si>
  <si>
    <t>ALFA FINANC -ON</t>
  </si>
  <si>
    <t>ALFA FINANC -PN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</si>
  <si>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</si>
  <si>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</si>
  <si>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</si>
  <si>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</si>
  <si>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</si>
  <si>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</si>
  <si>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</si>
  <si>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</si>
  <si>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</si>
  <si>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</si>
  <si>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</si>
  <si>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</si>
  <si>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</si>
  <si>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1.40</t>
  </si>
  <si>
    <t>0.46</t>
  </si>
  <si>
    <t>5.95</t>
  </si>
  <si>
    <t>Soma de Dividendo / Ação</t>
  </si>
  <si>
    <t>% A.M.</t>
  </si>
  <si>
    <t>EBTP4</t>
  </si>
  <si>
    <t>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</t>
  </si>
  <si>
    <t>EMBRATEL PAR-PN *</t>
  </si>
  <si>
    <t>9.89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</si>
  <si>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</si>
  <si>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</si>
  <si>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</si>
  <si>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</si>
  <si>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</si>
  <si>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</si>
  <si>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</si>
  <si>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</si>
  <si>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</si>
  <si>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</si>
  <si>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</si>
  <si>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16.00</t>
  </si>
  <si>
    <t>Dividendo</t>
  </si>
  <si>
    <t>JPC</t>
  </si>
  <si>
    <t>Total Dividendo</t>
  </si>
  <si>
    <t>Total JPC</t>
  </si>
  <si>
    <t>3.30</t>
  </si>
  <si>
    <t>30.05</t>
  </si>
  <si>
    <t>10.50</t>
  </si>
  <si>
    <t>0.47</t>
  </si>
  <si>
    <t>43.24</t>
  </si>
  <si>
    <t>6.58</t>
  </si>
  <si>
    <t>43.25</t>
  </si>
  <si>
    <t>5.97</t>
  </si>
  <si>
    <t>5.65</t>
  </si>
  <si>
    <t>23.54</t>
  </si>
  <si>
    <t>3.81</t>
  </si>
  <si>
    <t>5.64</t>
  </si>
  <si>
    <t>19.50</t>
  </si>
  <si>
    <t>20.80</t>
  </si>
  <si>
    <t>13.08</t>
  </si>
  <si>
    <t>2.99</t>
  </si>
  <si>
    <t>0.31</t>
  </si>
  <si>
    <t>BANESE      -ON</t>
  </si>
  <si>
    <t>BANESE      -PN</t>
  </si>
  <si>
    <t>5.67</t>
  </si>
  <si>
    <t>19.90</t>
  </si>
  <si>
    <t>0.50</t>
  </si>
  <si>
    <t>ELEKEIROZ   -ON</t>
  </si>
  <si>
    <t>ELEKEIROZ   -PN</t>
  </si>
  <si>
    <t>MONT ARANHA -ON</t>
  </si>
  <si>
    <t>EVORA       -PN</t>
  </si>
  <si>
    <t>3.85</t>
  </si>
  <si>
    <t>15.50</t>
  </si>
  <si>
    <t>1.85</t>
  </si>
  <si>
    <t>12.25</t>
  </si>
  <si>
    <t>5.26</t>
  </si>
  <si>
    <t>0.65</t>
  </si>
  <si>
    <t>24.00</t>
  </si>
  <si>
    <t>12.40</t>
  </si>
  <si>
    <t>59.50</t>
  </si>
  <si>
    <t>61.99</t>
  </si>
  <si>
    <t>12.20</t>
  </si>
  <si>
    <t>6.80</t>
  </si>
  <si>
    <t>18.19</t>
  </si>
  <si>
    <t>7.70</t>
  </si>
  <si>
    <t>11.80</t>
  </si>
  <si>
    <t>21.80</t>
  </si>
  <si>
    <t>5.80</t>
  </si>
  <si>
    <t>9.70</t>
  </si>
  <si>
    <t>28.35</t>
  </si>
  <si>
    <t>12.28</t>
  </si>
  <si>
    <t>0.63</t>
  </si>
  <si>
    <t>23.47</t>
  </si>
  <si>
    <t>2.46</t>
  </si>
  <si>
    <t>8.96</t>
  </si>
  <si>
    <t>8.40</t>
  </si>
  <si>
    <t>17.97</t>
  </si>
  <si>
    <t>17.23</t>
  </si>
  <si>
    <t>17.18</t>
  </si>
  <si>
    <t>26.80</t>
  </si>
  <si>
    <t>8.70</t>
  </si>
  <si>
    <t>26.95</t>
  </si>
  <si>
    <t>0.33</t>
  </si>
  <si>
    <t>7.40</t>
  </si>
  <si>
    <t>7.41</t>
  </si>
  <si>
    <t>2.10</t>
  </si>
  <si>
    <t>17.39</t>
  </si>
  <si>
    <t>12.53</t>
  </si>
  <si>
    <t>8.76</t>
  </si>
  <si>
    <t>27.80</t>
  </si>
  <si>
    <t>8.74</t>
  </si>
  <si>
    <t>13.45</t>
  </si>
  <si>
    <t>4.53</t>
  </si>
  <si>
    <t>22.39</t>
  </si>
  <si>
    <t>6.55</t>
  </si>
  <si>
    <t>3.88</t>
  </si>
  <si>
    <t>3.84</t>
  </si>
  <si>
    <t>12.19</t>
  </si>
  <si>
    <t>8.28</t>
  </si>
  <si>
    <t>23.41</t>
  </si>
  <si>
    <t>23.55</t>
  </si>
  <si>
    <t>30.07</t>
  </si>
  <si>
    <t>30.28</t>
  </si>
  <si>
    <t>29.81</t>
  </si>
  <si>
    <t>27.64</t>
  </si>
  <si>
    <t>45.05</t>
  </si>
  <si>
    <t>5.50</t>
  </si>
  <si>
    <t>11.70</t>
  </si>
  <si>
    <t>31.98</t>
  </si>
  <si>
    <t>21.64</t>
  </si>
  <si>
    <t>21.52</t>
  </si>
  <si>
    <t>21.82</t>
  </si>
  <si>
    <t>21.50</t>
  </si>
  <si>
    <t>16.09</t>
  </si>
  <si>
    <t>15.90</t>
  </si>
  <si>
    <t>15.85</t>
  </si>
  <si>
    <t>13.83</t>
  </si>
  <si>
    <t>13.57</t>
  </si>
  <si>
    <t>13.60</t>
  </si>
  <si>
    <t>48.31</t>
  </si>
  <si>
    <t>48.01</t>
  </si>
  <si>
    <t>48.20</t>
  </si>
  <si>
    <t>48.35</t>
  </si>
  <si>
    <t>48.08</t>
  </si>
  <si>
    <t>18.49</t>
  </si>
  <si>
    <t>18.35</t>
  </si>
  <si>
    <t>22.34</t>
  </si>
  <si>
    <t>22.20</t>
  </si>
  <si>
    <t>22.00</t>
  </si>
  <si>
    <t>31.16</t>
  </si>
  <si>
    <t>31.18</t>
  </si>
  <si>
    <t>30.81</t>
  </si>
  <si>
    <t>33.70</t>
  </si>
  <si>
    <t>7.86</t>
  </si>
  <si>
    <t>7.89</t>
  </si>
  <si>
    <t>7.78</t>
  </si>
  <si>
    <t>5.74</t>
  </si>
  <si>
    <t>5.76</t>
  </si>
  <si>
    <t>5.60</t>
  </si>
  <si>
    <t>9.99</t>
  </si>
  <si>
    <t>9.46</t>
  </si>
  <si>
    <t>8.90</t>
  </si>
  <si>
    <t>9.08</t>
  </si>
  <si>
    <t>8.89</t>
  </si>
  <si>
    <t>10.39</t>
  </si>
  <si>
    <t>10.43</t>
  </si>
  <si>
    <t>10.22</t>
  </si>
  <si>
    <t>15.00</t>
  </si>
  <si>
    <t>22.90</t>
  </si>
  <si>
    <t>18.68</t>
  </si>
  <si>
    <t>18.76</t>
  </si>
  <si>
    <t>18.67</t>
  </si>
  <si>
    <t>0.12</t>
  </si>
  <si>
    <t>8.73</t>
  </si>
  <si>
    <t>28.99</t>
  </si>
  <si>
    <t>29.05</t>
  </si>
  <si>
    <t>31.50</t>
  </si>
  <si>
    <t>12.71</t>
  </si>
  <si>
    <t>20.97</t>
  </si>
  <si>
    <t>20.55</t>
  </si>
  <si>
    <t>8.72</t>
  </si>
  <si>
    <t>11.66</t>
  </si>
  <si>
    <t>3.20</t>
  </si>
  <si>
    <t>23.50</t>
  </si>
  <si>
    <t>24.06</t>
  </si>
  <si>
    <t>23.25</t>
  </si>
  <si>
    <t>2.70</t>
  </si>
  <si>
    <t>9.28</t>
  </si>
  <si>
    <t>9.27</t>
  </si>
  <si>
    <t>17.96</t>
  </si>
  <si>
    <t>18.16</t>
  </si>
  <si>
    <t>35.28</t>
  </si>
  <si>
    <t>34.93</t>
  </si>
  <si>
    <t>26.44</t>
  </si>
  <si>
    <t>26.42</t>
  </si>
  <si>
    <t>0.66</t>
  </si>
  <si>
    <t>0.49</t>
  </si>
  <si>
    <t>14.74</t>
  </si>
  <si>
    <t>14.95</t>
  </si>
  <si>
    <t>14.65</t>
  </si>
  <si>
    <t>15.79</t>
  </si>
  <si>
    <t>15.69</t>
  </si>
  <si>
    <t>9.74</t>
  </si>
  <si>
    <t>9.54</t>
  </si>
  <si>
    <t>14.08</t>
  </si>
  <si>
    <t>13.87</t>
  </si>
  <si>
    <t>23.46</t>
  </si>
  <si>
    <t>2.39</t>
  </si>
  <si>
    <t>16.44</t>
  </si>
  <si>
    <t>20.31</t>
  </si>
  <si>
    <t>20.00</t>
  </si>
  <si>
    <t>38.73</t>
  </si>
  <si>
    <t>38.90</t>
  </si>
  <si>
    <t>38.10</t>
  </si>
  <si>
    <t>27.37</t>
  </si>
  <si>
    <t>27.47</t>
  </si>
  <si>
    <t>26.53</t>
  </si>
  <si>
    <t>44.83</t>
  </si>
  <si>
    <t>44.42</t>
  </si>
  <si>
    <t>8.99</t>
  </si>
  <si>
    <t>9.01</t>
  </si>
  <si>
    <t>13.47</t>
  </si>
  <si>
    <t>4.63</t>
  </si>
  <si>
    <t>4.57</t>
  </si>
  <si>
    <t>4.45</t>
  </si>
  <si>
    <t>4.37</t>
  </si>
  <si>
    <t>40.85</t>
  </si>
  <si>
    <t>46.12</t>
  </si>
  <si>
    <t>47.26</t>
  </si>
  <si>
    <t>18.10</t>
  </si>
  <si>
    <t>22.38</t>
  </si>
  <si>
    <t>22.19</t>
  </si>
  <si>
    <t>15.95</t>
  </si>
  <si>
    <t>54.70</t>
  </si>
  <si>
    <t>54.74</t>
  </si>
  <si>
    <t>5.30</t>
  </si>
  <si>
    <t>6.50</t>
  </si>
  <si>
    <t>12.26</t>
  </si>
  <si>
    <t>12.49</t>
  </si>
  <si>
    <t>12.15</t>
  </si>
  <si>
    <t>6.59</t>
  </si>
  <si>
    <t>7.71</t>
  </si>
  <si>
    <t>7.75</t>
  </si>
  <si>
    <t>7.76</t>
  </si>
  <si>
    <t>7.67</t>
  </si>
  <si>
    <t>5.68</t>
  </si>
  <si>
    <t>5.75</t>
  </si>
  <si>
    <t>29.93</t>
  </si>
  <si>
    <t>29.74</t>
  </si>
  <si>
    <t>8.44</t>
  </si>
  <si>
    <t>8.27</t>
  </si>
  <si>
    <t>18.05</t>
  </si>
  <si>
    <t>17.66</t>
  </si>
  <si>
    <t>16.82</t>
  </si>
  <si>
    <t>16.69</t>
  </si>
  <si>
    <t>17.95</t>
  </si>
  <si>
    <t>20.60</t>
  </si>
  <si>
    <t>21.22</t>
  </si>
  <si>
    <t>47.05</t>
  </si>
  <si>
    <t>17.35</t>
  </si>
  <si>
    <t>17.36</t>
  </si>
  <si>
    <t>17.15</t>
  </si>
  <si>
    <t>34.51</t>
  </si>
  <si>
    <t>34.20</t>
  </si>
  <si>
    <t>4.01</t>
  </si>
  <si>
    <t>18.66</t>
  </si>
  <si>
    <t>10.34</t>
  </si>
  <si>
    <t>23.26</t>
  </si>
  <si>
    <t>23.64</t>
  </si>
  <si>
    <t>66.99</t>
  </si>
  <si>
    <t>67.17</t>
  </si>
  <si>
    <t>12.05</t>
  </si>
  <si>
    <t>45.00</t>
  </si>
  <si>
    <t>12.00</t>
  </si>
  <si>
    <t>14.39</t>
  </si>
  <si>
    <t>48.50</t>
  </si>
  <si>
    <t>48.41</t>
  </si>
  <si>
    <t>33.77</t>
  </si>
  <si>
    <t>10.33</t>
  </si>
  <si>
    <t>3.15</t>
  </si>
  <si>
    <t>3.40</t>
  </si>
  <si>
    <t>2.21</t>
  </si>
  <si>
    <t>12.23</t>
  </si>
  <si>
    <t>12.35</t>
  </si>
  <si>
    <t>12.22</t>
  </si>
  <si>
    <t>10.14</t>
  </si>
  <si>
    <t>8.62</t>
  </si>
  <si>
    <t>12.84</t>
  </si>
  <si>
    <t>3.36</t>
  </si>
  <si>
    <t>9.49</t>
  </si>
  <si>
    <t>35.71</t>
  </si>
  <si>
    <t>15.18</t>
  </si>
  <si>
    <t>16.15</t>
  </si>
  <si>
    <t>2.41</t>
  </si>
  <si>
    <t>20.17</t>
  </si>
  <si>
    <t>45.20</t>
  </si>
  <si>
    <t>9.15</t>
  </si>
  <si>
    <t>4.72</t>
  </si>
  <si>
    <t>18.20</t>
  </si>
  <si>
    <t>6.62</t>
  </si>
  <si>
    <t>1.52</t>
  </si>
  <si>
    <t>17.14</t>
  </si>
  <si>
    <t>10.27</t>
  </si>
  <si>
    <t>66.55</t>
  </si>
  <si>
    <t>15.12</t>
  </si>
  <si>
    <t>53.55</t>
  </si>
  <si>
    <t>1.51</t>
  </si>
  <si>
    <t>21.67</t>
  </si>
  <si>
    <t>8.34</t>
  </si>
  <si>
    <t>8.30</t>
  </si>
  <si>
    <t>23.17</t>
  </si>
  <si>
    <t>23.02</t>
  </si>
  <si>
    <t>30.03</t>
  </si>
  <si>
    <t>27.83</t>
  </si>
  <si>
    <t>27.99</t>
  </si>
  <si>
    <t>7.45</t>
  </si>
  <si>
    <t>11.85</t>
  </si>
  <si>
    <t>27.50</t>
  </si>
  <si>
    <t>19.40</t>
  </si>
  <si>
    <t>21.47</t>
  </si>
  <si>
    <t>13.81</t>
  </si>
  <si>
    <t>13.30</t>
  </si>
  <si>
    <t>48.10</t>
  </si>
  <si>
    <t>18.73</t>
  </si>
  <si>
    <t>30.83</t>
  </si>
  <si>
    <t>32.88</t>
  </si>
  <si>
    <t>9.57</t>
  </si>
  <si>
    <t>9.19</t>
  </si>
  <si>
    <t>10.25</t>
  </si>
  <si>
    <t>15.40</t>
  </si>
  <si>
    <t>23.65</t>
  </si>
  <si>
    <t>23.80</t>
  </si>
  <si>
    <t>12.38</t>
  </si>
  <si>
    <t>17.24</t>
  </si>
  <si>
    <t>19.05</t>
  </si>
  <si>
    <t>10.56</t>
  </si>
  <si>
    <t>28.75</t>
  </si>
  <si>
    <t>31.25</t>
  </si>
  <si>
    <t>31.17</t>
  </si>
  <si>
    <t>20.61</t>
  </si>
  <si>
    <t>11.32</t>
  </si>
  <si>
    <t>29.00</t>
  </si>
  <si>
    <t>29.34</t>
  </si>
  <si>
    <t>3.25</t>
  </si>
  <si>
    <t>2.85</t>
  </si>
  <si>
    <t>2.97</t>
  </si>
  <si>
    <t>9.43</t>
  </si>
  <si>
    <t>35.17</t>
  </si>
  <si>
    <t>41.50</t>
  </si>
  <si>
    <t>42.00</t>
  </si>
  <si>
    <t>26.83</t>
  </si>
  <si>
    <t>16.04</t>
  </si>
  <si>
    <t>14.07</t>
  </si>
  <si>
    <t>14.19</t>
  </si>
  <si>
    <t>23.96</t>
  </si>
  <si>
    <t>38.26</t>
  </si>
  <si>
    <t>44.71</t>
  </si>
  <si>
    <t>13.46</t>
  </si>
  <si>
    <t>13.27</t>
  </si>
  <si>
    <t>4.69</t>
  </si>
  <si>
    <t>41.55</t>
  </si>
  <si>
    <t>41.77</t>
  </si>
  <si>
    <t>46.90</t>
  </si>
  <si>
    <t>22.41</t>
  </si>
  <si>
    <t>22.52</t>
  </si>
  <si>
    <t>53.92</t>
  </si>
  <si>
    <t>4.81</t>
  </si>
  <si>
    <t>6.42</t>
  </si>
  <si>
    <t>12.54</t>
  </si>
  <si>
    <t>30.23</t>
  </si>
  <si>
    <t>18.18</t>
  </si>
  <si>
    <t>21.35</t>
  </si>
  <si>
    <t>47.25</t>
  </si>
  <si>
    <t>47.81</t>
  </si>
  <si>
    <t>34.28</t>
  </si>
  <si>
    <t>34.80</t>
  </si>
  <si>
    <t>15.10</t>
  </si>
  <si>
    <t>66.60</t>
  </si>
  <si>
    <t>Média de Crescimento</t>
  </si>
</sst>
</file>

<file path=xl/styles.xml><?xml version="1.0" encoding="utf-8"?>
<styleSheet xmlns="http://schemas.openxmlformats.org/spreadsheetml/2006/main">
  <numFmts count="12">
    <numFmt numFmtId="8" formatCode="&quot;R$ &quot;#,##0.00_);[Red]\(&quot;R$ &quot;#,##0.00\)"/>
    <numFmt numFmtId="44" formatCode="_(&quot;R$ &quot;* #,##0.00_);_(&quot;R$ &quot;* \(#,##0.00\);_(&quot;R$ &quot;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&quot;R$&quot;\ #,##0.00"/>
    <numFmt numFmtId="168" formatCode="_-* #,##0.000000000_-;\-* #,##0.000000000_-;_-* &quot;-&quot;??_-;_-@_-"/>
    <numFmt numFmtId="169" formatCode="_(* #,##0.000000000_);_(* \(#,##0.000000000\);_(* &quot;-&quot;?????????_);_(@_)"/>
    <numFmt numFmtId="170" formatCode="_-* #,##0.0000_-;\-* #,##0.0000_-;_-* &quot;-&quot;??_-;_-@_-"/>
    <numFmt numFmtId="172" formatCode="_-* #,##0.00000_-;\-* #,##0.00000_-;_-* &quot;-&quot;??_-;_-@_-"/>
    <numFmt numFmtId="173" formatCode="&quot;R$ &quot;#,##0.00"/>
    <numFmt numFmtId="174" formatCode="0.0000%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0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7" fontId="0" fillId="0" borderId="0" xfId="0" applyNumberForma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6" fontId="4" fillId="0" borderId="0" xfId="2" applyNumberFormat="1" applyFont="1" applyBorder="1"/>
    <xf numFmtId="164" fontId="4" fillId="0" borderId="0" xfId="0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16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6" fontId="2" fillId="0" borderId="0" xfId="2" applyNumberFormat="1" applyFont="1" applyBorder="1"/>
    <xf numFmtId="16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4" fontId="2" fillId="0" borderId="0" xfId="2" applyNumberFormat="1" applyFont="1"/>
    <xf numFmtId="16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0" fillId="0" borderId="0" xfId="0" applyNumberFormat="1"/>
    <xf numFmtId="14" fontId="2" fillId="0" borderId="0" xfId="0" applyNumberFormat="1" applyFont="1"/>
    <xf numFmtId="164" fontId="3" fillId="0" borderId="0" xfId="0" applyNumberFormat="1" applyFont="1"/>
    <xf numFmtId="9" fontId="2" fillId="0" borderId="0" xfId="0" applyNumberFormat="1" applyFont="1"/>
    <xf numFmtId="164" fontId="2" fillId="0" borderId="0" xfId="3" applyNumberFormat="1" applyFont="1"/>
    <xf numFmtId="164" fontId="2" fillId="0" borderId="0" xfId="3" applyNumberFormat="1" applyFont="1" applyBorder="1"/>
    <xf numFmtId="166" fontId="2" fillId="0" borderId="0" xfId="1" applyNumberFormat="1" applyFont="1"/>
    <xf numFmtId="168" fontId="2" fillId="0" borderId="0" xfId="1" applyNumberFormat="1" applyFont="1"/>
    <xf numFmtId="168" fontId="2" fillId="0" borderId="0" xfId="1" applyNumberFormat="1" applyFont="1" applyBorder="1"/>
    <xf numFmtId="168" fontId="2" fillId="0" borderId="0" xfId="0" applyNumberFormat="1" applyFont="1"/>
    <xf numFmtId="168" fontId="2" fillId="0" borderId="0" xfId="0" applyNumberFormat="1" applyFont="1" applyBorder="1"/>
    <xf numFmtId="166" fontId="2" fillId="0" borderId="0" xfId="0" applyNumberFormat="1" applyFont="1"/>
    <xf numFmtId="169" fontId="2" fillId="0" borderId="0" xfId="0" applyNumberFormat="1" applyFont="1"/>
    <xf numFmtId="165" fontId="2" fillId="0" borderId="0" xfId="1" applyFont="1"/>
    <xf numFmtId="0" fontId="9" fillId="0" borderId="0" xfId="5" applyNumberFormat="1" applyFont="1" applyBorder="1" applyAlignment="1" applyProtection="1"/>
    <xf numFmtId="0" fontId="2" fillId="0" borderId="0" xfId="3" applyNumberFormat="1" applyFont="1"/>
    <xf numFmtId="0" fontId="2" fillId="0" borderId="0" xfId="3" applyNumberFormat="1" applyFont="1" applyBorder="1"/>
    <xf numFmtId="0" fontId="9" fillId="0" borderId="0" xfId="5" applyNumberFormat="1" applyFont="1" applyAlignment="1" applyProtection="1"/>
    <xf numFmtId="170" fontId="2" fillId="0" borderId="0" xfId="0" applyNumberFormat="1" applyFont="1"/>
    <xf numFmtId="10" fontId="2" fillId="0" borderId="0" xfId="2" applyNumberFormat="1" applyFont="1"/>
    <xf numFmtId="0" fontId="9" fillId="0" borderId="0" xfId="5" applyFont="1" applyAlignment="1" applyProtection="1"/>
    <xf numFmtId="168" fontId="2" fillId="0" borderId="0" xfId="2" applyNumberFormat="1" applyFont="1"/>
    <xf numFmtId="166" fontId="2" fillId="0" borderId="0" xfId="0" applyNumberFormat="1" applyFont="1" applyBorder="1"/>
    <xf numFmtId="172" fontId="2" fillId="0" borderId="0" xfId="1" applyNumberFormat="1" applyFont="1"/>
    <xf numFmtId="3" fontId="2" fillId="0" borderId="0" xfId="0" applyNumberFormat="1" applyFont="1"/>
    <xf numFmtId="164" fontId="2" fillId="0" borderId="2" xfId="2" applyFont="1" applyBorder="1"/>
    <xf numFmtId="164" fontId="2" fillId="3" borderId="0" xfId="2" applyNumberFormat="1" applyFont="1" applyFill="1"/>
    <xf numFmtId="173" fontId="0" fillId="0" borderId="0" xfId="0" applyNumberForma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70" fontId="3" fillId="0" borderId="0" xfId="1" applyNumberFormat="1" applyFont="1"/>
    <xf numFmtId="170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174" fontId="2" fillId="0" borderId="0" xfId="3" applyNumberFormat="1" applyFont="1" applyBorder="1"/>
    <xf numFmtId="174" fontId="2" fillId="0" borderId="0" xfId="3" applyNumberFormat="1" applyFont="1"/>
    <xf numFmtId="174" fontId="4" fillId="0" borderId="0" xfId="3" applyNumberFormat="1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47.493908912038" createdVersion="3" refreshedVersion="3" minRefreshableVersion="3" recordCount="3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1">
        <d v="2014-01-06T00:00:00"/>
        <d v="2014-01-07T00:00:00"/>
        <d v="2014-01-08T00:00:00"/>
        <d v="2015-05-05T00:00:00" u="1"/>
        <d v="2014-07-08T00:00:00" u="1"/>
        <d v="2014-05-06T00:00:00" u="1"/>
        <d v="2014-05-30T00:00:00" u="1"/>
        <d v="2014-01-20T00:00:00" u="1"/>
        <d v="2014-01-30T00:00:00" u="1"/>
        <d v="2015-01-30T00:00:00" u="1"/>
        <d v="2014-05-05T00:00:00" u="1"/>
      </sharedItems>
    </cacheField>
    <cacheField name="Dia" numFmtId="0">
      <sharedItems containsSemiMixedTypes="0" containsString="0" containsNumber="1" containsInteger="1" minValue="6" maxValue="8"/>
    </cacheField>
    <cacheField name="Mês" numFmtId="0">
      <sharedItems containsSemiMixedTypes="0" containsString="0" containsNumber="1" containsInteger="1" minValue="1" maxValue="1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14">
      <sharedItems count="2">
        <s v="AELP3"/>
        <s v="UNIP6" u="1"/>
      </sharedItems>
    </cacheField>
    <cacheField name="Aplicação" numFmtId="44">
      <sharedItems containsString="0" containsBlank="1" containsNumber="1" minValue="940.06" maxValue="940.06"/>
    </cacheField>
    <cacheField name="Taxas" numFmtId="44">
      <sharedItems containsString="0" containsBlank="1" containsNumber="1" containsInteger="1" minValue="0" maxValue="0"/>
    </cacheField>
    <cacheField name="Resgates" numFmtId="44">
      <sharedItems containsString="0" containsBlank="1" containsNumber="1" containsInteger="1" minValue="0" maxValue="0"/>
    </cacheField>
    <cacheField name="Dividendo" numFmtId="44">
      <sharedItems containsSemiMixedTypes="0" containsString="0" containsNumber="1" containsInteger="1" minValue="0" maxValue="94"/>
    </cacheField>
    <cacheField name="JPC" numFmtId="164">
      <sharedItems containsString="0" containsBlank="1" containsNumber="1" containsInteger="1" minValue="94" maxValue="94" count="2">
        <m/>
        <n v="94"/>
      </sharedItems>
    </cacheField>
    <cacheField name="Quantidade" numFmtId="0">
      <sharedItems containsString="0" containsBlank="1" containsNumber="1" containsInteger="1" minValue="100" maxValue="100"/>
    </cacheField>
    <cacheField name="Preço Médio" numFmtId="170">
      <sharedItems containsSemiMixedTypes="0" containsString="0" containsNumber="1" minValue="9.400599999999999" maxValue="9.400599999999999"/>
    </cacheField>
    <cacheField name="Lucro p/ Ação" numFmtId="170">
      <sharedItems containsSemiMixedTypes="0" containsString="0" containsNumber="1" minValue="0" maxValue="0.94"/>
    </cacheField>
    <cacheField name="Rentabilidade" numFmtId="10">
      <sharedItems containsMixedTypes="1" containsNumber="1" minValue="9.9993617428674769E-2" maxValue="9.9993617428674769E-2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654.768222916668" createdVersion="3" refreshedVersion="3" minRefreshableVersion="3" recordCount="581">
  <cacheSource type="worksheet">
    <worksheetSource name="Tabela2"/>
  </cacheSource>
  <cacheFields count="13">
    <cacheField name="Ativo" numFmtId="0">
      <sharedItems containsBlank="1" count="171">
        <s v="ABCB4"/>
        <s v="AELP3"/>
        <s v="ALSC3"/>
        <s v="BAHI3"/>
        <s v="BAZA3"/>
        <s v="BBAS3"/>
        <s v="BBDC3"/>
        <s v="BBDC4"/>
        <s v="BBSE3"/>
        <s v="BEES3"/>
        <s v="BEES4"/>
        <s v="BGIP3"/>
        <s v="BGIP4"/>
        <s v="BICB3"/>
        <s v="BICB4"/>
        <s v="BMIN3"/>
        <s v="BMIN4"/>
        <s v="BNBR3"/>
        <s v="BNBR4"/>
        <s v="BRAP3"/>
        <s v="BRAP4"/>
        <s v="BRFS3"/>
        <s v="BRGE11"/>
        <s v="BRGE12"/>
        <s v="BRGE3"/>
        <s v="BRGE5"/>
        <s v="BRGE6"/>
        <s v="BRGE7"/>
        <s v="BRGE8"/>
        <s v="BRIV3"/>
        <s v="BRIV4"/>
        <s v="BRKM3"/>
        <s v="BRKM5"/>
        <s v="BRKM6"/>
        <s v="BRML3"/>
        <s v="BRPR3"/>
        <s v="BRSR3"/>
        <s v="BRSR5"/>
        <s v="BRSR6"/>
        <s v="BSLI3"/>
        <s v="BSLI4"/>
        <s v="CASN3"/>
        <s v="CCPR3"/>
        <s v="CEBR3"/>
        <s v="CEBR5"/>
        <s v="CEBR6"/>
        <s v="CEEB3"/>
        <s v="CEEB5"/>
        <s v="CEPE5"/>
        <s v="CEPE6"/>
        <s v="CESP3"/>
        <s v="CESP5"/>
        <s v="CESP6"/>
        <s v="CIQU3"/>
        <s v="CIQU4"/>
        <s v="CLSC4"/>
        <s v="CMIG3"/>
        <s v="CMIG4"/>
        <s v="COCE3"/>
        <s v="COCE5"/>
        <s v="CPFE3"/>
        <s v="CPLE3"/>
        <s v="CPLE5"/>
        <s v="CPLE6"/>
        <s v="CRIV3"/>
        <s v="CRIV4"/>
        <s v="CSAB3"/>
        <s v="CSAB4"/>
        <s v="CSAN3"/>
        <s v="CSMG3"/>
        <s v="CSRN3"/>
        <s v="CSRN5"/>
        <s v="CSRN6"/>
        <s v="DAYC4"/>
        <s v="DTEX3"/>
        <s v="EEEL3"/>
        <s v="EEEL4"/>
        <s v="ELEK3"/>
        <s v="ELEK4"/>
        <s v="ELET3"/>
        <s v="ELET6"/>
        <s v="ELPL3"/>
        <s v="ELPL4"/>
        <s v="EMAE4"/>
        <s v="ENBR3"/>
        <s v="ENGI11"/>
        <s v="ENGI3"/>
        <s v="ENGI4"/>
        <s v="ENMA3B"/>
        <s v="EQTL3"/>
        <s v="ETER3"/>
        <s v="EUCA4"/>
        <s v="FESA3"/>
        <s v="FESA4"/>
        <s v="GEPA3"/>
        <s v="GEPA4"/>
        <s v="GETI3"/>
        <s v="GETI4"/>
        <s v="GTDP3B"/>
        <s v="GTDP4B"/>
        <s v="HBTS5"/>
        <s v="IGTA3"/>
        <s v="ITSA3"/>
        <s v="ITSA4"/>
        <s v="ITUB3"/>
        <s v="ITUB4"/>
        <s v="JBSS3"/>
        <s v="KLBN3"/>
        <s v="KLBN4"/>
        <s v="LCAM3"/>
        <s v="LIGT3"/>
        <s v="LIPR3"/>
        <s v="MAGG3"/>
        <s v="MERC3"/>
        <s v="MERC4"/>
        <s v="MOAR3"/>
        <s v="MULT3"/>
        <s v="OIBR3"/>
        <s v="OIBR4"/>
        <s v="PATI4"/>
        <s v="PETR3"/>
        <s v="PETR4"/>
        <s v="PINE4"/>
        <s v="PRBC4"/>
        <s v="PRVI3"/>
        <s v="PSSA3"/>
        <s v="PTPA4"/>
        <s v="QGEP3"/>
        <s v="RANI3"/>
        <s v="RANI4"/>
        <s v="RDTR3"/>
        <s v="RPAD3"/>
        <s v="RPAD5"/>
        <s v="RPAD6"/>
        <s v="SAPR3"/>
        <s v="SAPR4"/>
        <s v="SBSP3"/>
        <s v="SCAR3"/>
        <s v="SFSA4"/>
        <s v="SMTO3"/>
        <s v="SSBR3"/>
        <s v="SULA11"/>
        <s v="SUZB5"/>
        <s v="SUZB6"/>
        <s v="TAEE11"/>
        <s v="TBLE3"/>
        <s v="TERI3"/>
        <s v="TIMP3"/>
        <s v="TKNO4"/>
        <s v="TRPL3"/>
        <s v="TRPL4"/>
        <s v="UGPA3"/>
        <s v="UNIP6"/>
        <s v="VALE5"/>
        <s v="VIGR3"/>
        <s v="VIVT3"/>
        <s v="VIVT4"/>
        <s v="BRIN3"/>
        <s v="TRPN3"/>
        <s v="BVMF3"/>
        <s v="CIEL3"/>
        <s v="CTIP3"/>
        <s v="EBTP4"/>
        <m u="1"/>
        <s v="TIBR5" u="1"/>
        <s v="RNAR3" u="1"/>
        <s v="BBRK3" u="1"/>
        <s v="RSID3" u="1"/>
        <s v="UNIP5" u="1"/>
        <s v="NUTR3M" u="1"/>
        <s v="TIBR6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6" u="1"/>
        <n v="2004" u="1"/>
        <n v="2007" u="1"/>
        <n v="2005" u="1"/>
      </sharedItems>
    </cacheField>
    <cacheField name="Lucro Líquido" numFmtId="164">
      <sharedItems containsString="0" containsBlank="1" containsNumber="1" minValue="-6878916000" maxValue="46307964102"/>
    </cacheField>
    <cacheField name="Total Ações" numFmtId="166">
      <sharedItems containsSemiMixedTypes="0" containsString="0" containsNumber="1" containsInteger="1" minValue="2857301" maxValue="13044496930"/>
    </cacheField>
    <cacheField name="Lucro por ação" numFmtId="168">
      <sharedItems containsSemiMixedTypes="0" containsString="0" containsNumber="1" minValue="-6.6983599058695811" maxValue="17.53690548444203"/>
    </cacheField>
    <cacheField name="Dividendo / Ação" numFmtId="168">
      <sharedItems containsString="0" containsBlank="1" containsNumber="1" minValue="0" maxValue="9.5598858660000001"/>
    </cacheField>
    <cacheField name="Payout" numFmtId="10">
      <sharedItems containsMixedTypes="1" containsNumber="1" minValue="8.6546948480594434E-6" maxValue="19.095577865856068"/>
    </cacheField>
    <cacheField name="Cotação" numFmtId="164">
      <sharedItems containsSemiMixedTypes="0" containsString="0" containsNumber="1" minValue="0.12" maxValue="158.99"/>
    </cacheField>
    <cacheField name="Yield" numFmtId="10">
      <sharedItems containsMixedTypes="1" containsNumber="1" minValue="3.0927835051546394E-7" maxValue="1.0447962695081967"/>
    </cacheField>
    <cacheField name="Cotação 1" numFmtId="164">
      <sharedItems containsSemiMixedTypes="0" containsString="0" containsNumber="1" minValue="0" maxValue="62.04"/>
    </cacheField>
    <cacheField name="Cotação 2" numFmtId="164">
      <sharedItems containsSemiMixedTypes="0" containsString="0" containsNumber="1" minValue="0" maxValue="158.99"/>
    </cacheField>
    <cacheField name="Lucro Anterior" numFmtId="164">
      <sharedItems containsSemiMixedTypes="0" containsString="0" containsNumber="1" minValue="0" maxValue="9.5598858660000001"/>
    </cacheField>
    <cacheField name="Crescimento" numFmtId="10">
      <sharedItems containsMixedTypes="1" containsNumber="1" minValue="-1" maxValue="136.577984060716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n v="6"/>
    <n v="1"/>
    <x v="0"/>
    <x v="0"/>
    <n v="940.06"/>
    <n v="0"/>
    <n v="0"/>
    <n v="0"/>
    <x v="0"/>
    <n v="100"/>
    <n v="9.400599999999999"/>
    <n v="0"/>
    <s v=""/>
  </r>
  <r>
    <x v="1"/>
    <n v="7"/>
    <n v="1"/>
    <x v="0"/>
    <x v="0"/>
    <m/>
    <m/>
    <m/>
    <n v="94"/>
    <x v="0"/>
    <m/>
    <n v="9.400599999999999"/>
    <n v="0.94"/>
    <n v="9.9993617428674769E-2"/>
  </r>
  <r>
    <x v="2"/>
    <n v="8"/>
    <n v="1"/>
    <x v="0"/>
    <x v="0"/>
    <m/>
    <m/>
    <m/>
    <n v="0"/>
    <x v="1"/>
    <m/>
    <n v="9.400599999999999"/>
    <n v="0.94"/>
    <n v="9.999361742867476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81">
  <r>
    <x v="0"/>
    <x v="0"/>
    <n v="226618835.09"/>
    <n v="147232649"/>
    <n v="1.5391887372073296"/>
    <n v="0.62"/>
    <n v="0.40280960028652135"/>
    <n v="12.19"/>
    <n v="5.0861361771944218E-2"/>
    <n v="12.19"/>
    <n v="0"/>
    <n v="0.6"/>
    <n v="3.3333333333333437E-2"/>
  </r>
  <r>
    <x v="0"/>
    <x v="1"/>
    <n v="259319392"/>
    <n v="147232649"/>
    <n v="1.7612899975738399"/>
    <n v="0.6"/>
    <n v="0.34065940352042778"/>
    <n v="12.19"/>
    <n v="4.922067268252666E-2"/>
    <n v="12.19"/>
    <n v="0"/>
    <n v="0.54"/>
    <n v="0.11111111111111094"/>
  </r>
  <r>
    <x v="0"/>
    <x v="2"/>
    <n v="221437904"/>
    <n v="147232649"/>
    <n v="1.5039999993479707"/>
    <n v="0.54"/>
    <n v="0.35904255334714513"/>
    <n v="12.19"/>
    <n v="4.4298605414274002E-2"/>
    <n v="12.19"/>
    <n v="0"/>
    <n v="0.51"/>
    <n v="5.8823529411764719E-2"/>
  </r>
  <r>
    <x v="0"/>
    <x v="3"/>
    <n v="165523361"/>
    <n v="147232649"/>
    <n v="1.1242300001000458"/>
    <n v="0.51"/>
    <n v="0.45364382729033637"/>
    <n v="12.19"/>
    <n v="4.1837571780147666E-2"/>
    <n v="12.19"/>
    <n v="0"/>
    <n v="0"/>
    <s v=""/>
  </r>
  <r>
    <x v="1"/>
    <x v="0"/>
    <n v="-30675397.18"/>
    <n v="95061053"/>
    <n v="-0.32269153572283699"/>
    <n v="0"/>
    <s v=""/>
    <n v="8.3000000000000007"/>
    <s v=""/>
    <n v="8.3000000000000007"/>
    <n v="0"/>
    <n v="3.2228539679999999"/>
    <n v="-1"/>
  </r>
  <r>
    <x v="1"/>
    <x v="1"/>
    <n v="436885000"/>
    <n v="95061053"/>
    <n v="4.5958358992720187"/>
    <n v="3.2228539679999999"/>
    <n v="0.70125523161314363"/>
    <n v="8.3000000000000007"/>
    <n v="0.38829565879518069"/>
    <n v="8.3000000000000007"/>
    <n v="0"/>
    <n v="3.5129712419999999"/>
    <n v="-8.2584585530176668E-2"/>
  </r>
  <r>
    <x v="1"/>
    <x v="2"/>
    <n v="376137000"/>
    <n v="95061053"/>
    <n v="3.9567939564061003"/>
    <n v="3.5129712419999999"/>
    <n v="0.8878327455773769"/>
    <n v="8.3000000000000007"/>
    <n v="0.42324954722891561"/>
    <n v="8.3000000000000007"/>
    <n v="0"/>
    <n v="3.1989132250000001"/>
    <n v="9.8176472730047148E-2"/>
  </r>
  <r>
    <x v="1"/>
    <x v="3"/>
    <n v="335010000"/>
    <n v="95061053"/>
    <n v="3.5241562072744976"/>
    <n v="3.1989132250000001"/>
    <n v="0.90771039558259736"/>
    <n v="8.3000000000000007"/>
    <n v="0.38541123192771082"/>
    <n v="8.3000000000000007"/>
    <n v="0"/>
    <n v="0"/>
    <s v=""/>
  </r>
  <r>
    <x v="2"/>
    <x v="0"/>
    <n v="127417790.75"/>
    <n v="159025920"/>
    <n v="0.80123913604775876"/>
    <n v="0.346085953"/>
    <n v="0.43193840319274063"/>
    <n v="18"/>
    <n v="1.9226997388888889E-2"/>
    <n v="0"/>
    <n v="18"/>
    <n v="0.18179478700000001"/>
    <n v="0.90371769571148364"/>
  </r>
  <r>
    <x v="2"/>
    <x v="1"/>
    <n v="101417617.86"/>
    <n v="159025920"/>
    <n v="0.63774268911634024"/>
    <n v="0.18179478700000001"/>
    <n v="0.28505977426710427"/>
    <n v="18"/>
    <n v="1.0099710388888889E-2"/>
    <n v="0"/>
    <n v="18"/>
    <n v="9.2918793E-2"/>
    <n v="0.95649105127743117"/>
  </r>
  <r>
    <x v="2"/>
    <x v="2"/>
    <n v="54564689.799999997"/>
    <n v="159025920"/>
    <n v="0.34311821494257033"/>
    <n v="9.2918793E-2"/>
    <n v="0.27080693753187179"/>
    <n v="18"/>
    <n v="5.1621551666666664E-3"/>
    <n v="0"/>
    <n v="18"/>
    <n v="8.036008E-2"/>
    <n v="0.15628049399652166"/>
  </r>
  <r>
    <x v="2"/>
    <x v="3"/>
    <n v="47715454.25"/>
    <n v="159025920"/>
    <n v="0.30004828300946162"/>
    <n v="8.036008E-2"/>
    <n v="0.26782382886512285"/>
    <n v="18"/>
    <n v="4.4644488888888889E-3"/>
    <n v="0"/>
    <n v="18"/>
    <n v="0"/>
    <s v=""/>
  </r>
  <r>
    <x v="3"/>
    <x v="0"/>
    <n v="-2048000"/>
    <n v="5996334"/>
    <n v="-0.34154201550480678"/>
    <n v="1"/>
    <s v=""/>
    <n v="4.8099999999999996"/>
    <n v="0.20790020790020791"/>
    <n v="0"/>
    <n v="4.8099999999999996"/>
    <n v="1"/>
    <n v="0"/>
  </r>
  <r>
    <x v="3"/>
    <x v="1"/>
    <n v="-2767000"/>
    <n v="5996334"/>
    <n v="-0.4614486117684572"/>
    <n v="1"/>
    <s v=""/>
    <n v="4.8099999999999996"/>
    <n v="0.20790020790020791"/>
    <n v="0"/>
    <n v="4.8099999999999996"/>
    <n v="1.5139"/>
    <n v="-0.33945438932558292"/>
  </r>
  <r>
    <x v="3"/>
    <x v="2"/>
    <n v="47518888.590000004"/>
    <n v="5996334"/>
    <n v="7.9246567302621909"/>
    <n v="1.5139"/>
    <n v="0.19103666588090965"/>
    <n v="4.8099999999999996"/>
    <n v="0.31474012474012475"/>
    <n v="0"/>
    <n v="4.8099999999999996"/>
    <n v="0"/>
    <s v=""/>
  </r>
  <r>
    <x v="4"/>
    <x v="0"/>
    <n v="165948458.28999999"/>
    <n v="2964596762"/>
    <n v="5.5976738697524085E-2"/>
    <n v="2.6766000000000002E-2"/>
    <n v="0.47816290521376681"/>
    <n v="0.33"/>
    <n v="8.1109090909090908E-2"/>
    <n v="0.33"/>
    <n v="0"/>
    <n v="2.648E-2"/>
    <n v="1.080060422960738E-2"/>
  </r>
  <r>
    <x v="4"/>
    <x v="1"/>
    <n v="78567508.840000004"/>
    <n v="2964596762"/>
    <n v="2.6501920884173184E-2"/>
    <n v="2.648E-2"/>
    <n v="0.99917285678011836"/>
    <n v="0.33"/>
    <n v="8.024242424242424E-2"/>
    <n v="0.33"/>
    <n v="0"/>
    <n v="3.7429999999999998E-2"/>
    <n v="-0.29254608602725085"/>
  </r>
  <r>
    <x v="4"/>
    <x v="2"/>
    <n v="142163159.71000001"/>
    <n v="2964596762"/>
    <n v="4.7953624429547294E-2"/>
    <n v="3.7429999999999998E-2"/>
    <n v="0.78054579701251903"/>
    <n v="0.33"/>
    <n v="0.11342424242424241"/>
    <n v="0.33"/>
    <n v="0"/>
    <n v="0"/>
    <s v=""/>
  </r>
  <r>
    <x v="5"/>
    <x v="0"/>
    <n v="12309870442.799999"/>
    <n v="2865417020"/>
    <n v="4.2960135843682536"/>
    <n v="1.722"/>
    <n v="0.40083672134226433"/>
    <n v="23.17"/>
    <n v="7.4320241691842898E-2"/>
    <n v="23.17"/>
    <n v="0"/>
    <n v="1.7096750979999999"/>
    <n v="7.2089147314702284E-3"/>
  </r>
  <r>
    <x v="5"/>
    <x v="1"/>
    <n v="12247330314.43"/>
    <n v="2865417020"/>
    <n v="4.2741877461277875"/>
    <n v="1.7096750979999999"/>
    <n v="0.39999999989445595"/>
    <n v="23.17"/>
    <n v="7.3788308070781169E-2"/>
    <n v="23.17"/>
    <n v="0"/>
    <n v="1.6421960419999999"/>
    <n v="4.1090743293850984E-2"/>
  </r>
  <r>
    <x v="5"/>
    <x v="2"/>
    <n v="11758093384.549999"/>
    <n v="2865417020"/>
    <n v="4.1034492719492537"/>
    <n v="1.6421960419999999"/>
    <n v="0.40019893829951275"/>
    <n v="23.17"/>
    <n v="7.0875962106171767E-2"/>
    <n v="23.17"/>
    <n v="0"/>
    <n v="1.4165507980000001"/>
    <n v="0.15929202420314459"/>
  </r>
  <r>
    <x v="5"/>
    <x v="3"/>
    <n v="10147521914.51"/>
    <n v="2865417020"/>
    <n v="3.5413769945814031"/>
    <n v="1.4165507980000001"/>
    <n v="0.4000000000472807"/>
    <n v="23.17"/>
    <n v="6.1137280880448855E-2"/>
    <n v="23.17"/>
    <n v="0"/>
    <n v="0"/>
    <s v=""/>
  </r>
  <r>
    <x v="6"/>
    <x v="0"/>
    <n v="11381244459.27"/>
    <n v="4207274039"/>
    <n v="2.705135047959732"/>
    <n v="0.97174542699999999"/>
    <n v="0.35922251930930776"/>
    <n v="30.03"/>
    <n v="3.2359155078255077E-2"/>
    <n v="30.03"/>
    <n v="0"/>
    <n v="0.933388"/>
    <n v="4.1094836231020837E-2"/>
  </r>
  <r>
    <x v="6"/>
    <x v="1"/>
    <n v="11037515599"/>
    <n v="4207274039"/>
    <n v="2.6234363382765142"/>
    <n v="0.933388"/>
    <n v="0.35578831717075171"/>
    <n v="30.03"/>
    <n v="3.1081851481851479E-2"/>
    <n v="30.03"/>
    <n v="0"/>
    <n v="0.87638400000000005"/>
    <n v="6.5044546682732518E-2"/>
  </r>
  <r>
    <x v="6"/>
    <x v="2"/>
    <n v="10159097403"/>
    <n v="4207274039"/>
    <n v="2.4146507474503967"/>
    <n v="0.87638400000000005"/>
    <n v="0.36294441377303294"/>
    <n v="30.03"/>
    <n v="2.9183616383616384E-2"/>
    <n v="30.03"/>
    <n v="0"/>
    <n v="0.834144"/>
    <n v="5.0638738635055969E-2"/>
  </r>
  <r>
    <x v="6"/>
    <x v="3"/>
    <n v="8134916341"/>
    <n v="4207274039"/>
    <n v="1.933536124719258"/>
    <n v="0.834144"/>
    <n v="0.43140854175719862"/>
    <n v="30.03"/>
    <n v="2.7777022977022975E-2"/>
    <n v="30.03"/>
    <n v="0"/>
    <n v="0"/>
    <s v=""/>
  </r>
  <r>
    <x v="7"/>
    <x v="0"/>
    <n v="11381244459.27"/>
    <n v="4207274039"/>
    <n v="2.705135047959732"/>
    <n v="1.0689199700000001"/>
    <n v="0.39514477135113873"/>
    <n v="27.83"/>
    <n v="3.8408910168882503E-2"/>
    <n v="27.83"/>
    <n v="0"/>
    <n v="1.0267269999999999"/>
    <n v="4.1094633724446883E-2"/>
  </r>
  <r>
    <x v="7"/>
    <x v="1"/>
    <n v="11037515599"/>
    <n v="4207274039"/>
    <n v="2.6234363382765142"/>
    <n v="1.0267269999999999"/>
    <n v="0.3913672251237153"/>
    <n v="27.83"/>
    <n v="3.6892813510600073E-2"/>
    <n v="27.83"/>
    <n v="0"/>
    <n v="0.96402200000000005"/>
    <n v="6.5045196063990174E-2"/>
  </r>
  <r>
    <x v="7"/>
    <x v="2"/>
    <n v="10159097403"/>
    <n v="4207274039"/>
    <n v="2.4146507474503967"/>
    <n v="0.96402200000000005"/>
    <n v="0.39923868949490948"/>
    <n v="27.83"/>
    <n v="3.4639669421487607E-2"/>
    <n v="27.83"/>
    <n v="0"/>
    <n v="0.91755799999999998"/>
    <n v="5.0638760710494557E-2"/>
  </r>
  <r>
    <x v="7"/>
    <x v="3"/>
    <n v="8134916341"/>
    <n v="4207274039"/>
    <n v="1.933536124719258"/>
    <n v="0.91755799999999998"/>
    <n v="0.47454918905806631"/>
    <n v="27.83"/>
    <n v="3.2970104204096302E-2"/>
    <n v="27.83"/>
    <n v="0"/>
    <n v="0"/>
    <s v=""/>
  </r>
  <r>
    <x v="8"/>
    <x v="0"/>
    <n v="2000000000"/>
    <n v="2000000000"/>
    <n v="1"/>
    <n v="0.25"/>
    <n v="0.25"/>
    <n v="23.96"/>
    <n v="1.0434056761268781E-2"/>
    <n v="0"/>
    <n v="23.96"/>
    <n v="0"/>
    <s v=""/>
  </r>
  <r>
    <x v="9"/>
    <x v="0"/>
    <n v="81395000"/>
    <n v="1579564303"/>
    <n v="5.153003258266213E-2"/>
    <n v="2.0200094799999999E-2"/>
    <n v="0.39200624931870415"/>
    <n v="0.47"/>
    <n v="4.297892510638298E-2"/>
    <n v="0.47"/>
    <n v="0"/>
    <n v="3.1132696000000001E-2"/>
    <n v="-0.35116140279017283"/>
  </r>
  <r>
    <x v="9"/>
    <x v="1"/>
    <n v="87892000"/>
    <n v="1579564303"/>
    <n v="5.5643192134103327E-2"/>
    <n v="3.1132696000000001E-2"/>
    <n v="0.55950593066207266"/>
    <n v="0.47"/>
    <n v="6.6239778723404266E-2"/>
    <n v="0.47"/>
    <n v="0"/>
    <n v="2.6446688999999999E-2"/>
    <n v="0.17718690608113552"/>
  </r>
  <r>
    <x v="9"/>
    <x v="2"/>
    <n v="167023000"/>
    <n v="1579564303"/>
    <n v="0.1057399180791692"/>
    <n v="2.6446688999999999E-2"/>
    <n v="0.25011073850273774"/>
    <n v="0.47"/>
    <n v="5.626955106382979E-2"/>
    <n v="0.47"/>
    <n v="0"/>
    <n v="2.117499288E-2"/>
    <n v="0.24895857816222322"/>
  </r>
  <r>
    <x v="9"/>
    <x v="3"/>
    <n v="132496000"/>
    <n v="1579564303"/>
    <n v="8.3881358769855668E-2"/>
    <n v="2.117499288E-2"/>
    <n v="0.2524397934241574"/>
    <n v="0.47"/>
    <n v="4.5053176340425535E-2"/>
    <n v="0.47"/>
    <n v="0"/>
    <n v="0"/>
    <s v=""/>
  </r>
  <r>
    <x v="10"/>
    <x v="0"/>
    <n v="81395000"/>
    <n v="1579564303"/>
    <n v="5.153003258266213E-2"/>
    <n v="2.0200094799999999E-2"/>
    <n v="0.39200624931870415"/>
    <n v="0.46"/>
    <n v="4.3913249565217388E-2"/>
    <n v="0.46"/>
    <n v="0"/>
    <n v="3.1132696000000001E-2"/>
    <n v="-0.35116140279017283"/>
  </r>
  <r>
    <x v="10"/>
    <x v="1"/>
    <n v="87892000"/>
    <n v="1579564303"/>
    <n v="5.5643192134103327E-2"/>
    <n v="3.1132696000000001E-2"/>
    <n v="0.55950593066207266"/>
    <n v="0.46"/>
    <n v="6.7679773913043473E-2"/>
    <n v="0.46"/>
    <n v="0"/>
    <n v="2.6446688999999999E-2"/>
    <n v="0.17718690608113552"/>
  </r>
  <r>
    <x v="10"/>
    <x v="2"/>
    <n v="167023000"/>
    <n v="1579564303"/>
    <n v="0.1057399180791692"/>
    <n v="2.6446688999999999E-2"/>
    <n v="0.25011073850273774"/>
    <n v="0.46"/>
    <n v="5.7492802173913039E-2"/>
    <n v="0.46"/>
    <n v="0"/>
    <n v="2.117499288E-2"/>
    <n v="0.24895857816222322"/>
  </r>
  <r>
    <x v="10"/>
    <x v="3"/>
    <n v="132496000"/>
    <n v="1579564303"/>
    <n v="8.3881358769855668E-2"/>
    <n v="2.117499288E-2"/>
    <n v="0.2524397934241574"/>
    <n v="0.46"/>
    <n v="4.6032593217391303E-2"/>
    <n v="0.46"/>
    <n v="0"/>
    <n v="0"/>
    <s v=""/>
  </r>
  <r>
    <x v="11"/>
    <x v="0"/>
    <n v="87990976.469999999"/>
    <n v="10541442"/>
    <n v="8.3471479964505804"/>
    <n v="4.946395323"/>
    <n v="0.5925850751781726"/>
    <n v="43.25"/>
    <n v="0.11436752191907515"/>
    <n v="43.25"/>
    <n v="0"/>
    <n v="5.5438895290000003"/>
    <n v="-0.10777527273487642"/>
  </r>
  <r>
    <x v="11"/>
    <x v="1"/>
    <n v="90962523.890000001"/>
    <n v="10541442"/>
    <n v="8.6290399254675023"/>
    <n v="5.5438895290000003"/>
    <n v="0.64246886987252461"/>
    <n v="43.25"/>
    <n v="0.12818241685549134"/>
    <n v="43.25"/>
    <n v="0"/>
    <n v="2.2723217359999999"/>
    <n v="1.4397467317981949"/>
  </r>
  <r>
    <x v="11"/>
    <x v="2"/>
    <n v="54465018.079999998"/>
    <n v="10541442"/>
    <n v="5.1667521464330965"/>
    <n v="2.2723217359999999"/>
    <n v="0.43979693076020943"/>
    <n v="43.25"/>
    <n v="5.2539230890173406E-2"/>
    <n v="43.25"/>
    <n v="0"/>
    <n v="1.979881029"/>
    <n v="0.14770620189623518"/>
  </r>
  <r>
    <x v="11"/>
    <x v="3"/>
    <n v="39114199.380000003"/>
    <n v="10541442"/>
    <n v="3.7105169653259966"/>
    <n v="1.979881029"/>
    <n v="0.53358630279865937"/>
    <n v="43.25"/>
    <n v="4.577759604624277E-2"/>
    <n v="43.25"/>
    <n v="0"/>
    <n v="0"/>
    <s v=""/>
  </r>
  <r>
    <x v="12"/>
    <x v="0"/>
    <n v="87990976.469999999"/>
    <n v="10541442"/>
    <n v="8.3471479964505804"/>
    <n v="5.4410348859999997"/>
    <n v="0.65184358637389272"/>
    <n v="45"/>
    <n v="0.12091188635555555"/>
    <n v="45"/>
    <n v="0"/>
    <n v="6.0982784810000004"/>
    <n v="-0.10777526756899192"/>
  </r>
  <r>
    <x v="12"/>
    <x v="1"/>
    <n v="90962523.890000001"/>
    <n v="10541442"/>
    <n v="8.6290399254675023"/>
    <n v="6.0982784810000004"/>
    <n v="0.70671575675547815"/>
    <n v="45"/>
    <n v="0.13551729957777778"/>
    <n v="45"/>
    <n v="0"/>
    <n v="2.4995539089999999"/>
    <n v="1.4397467320237745"/>
  </r>
  <r>
    <x v="12"/>
    <x v="2"/>
    <n v="54465018.079999998"/>
    <n v="10541442"/>
    <n v="5.1667521464330965"/>
    <n v="2.4995539089999999"/>
    <n v="0.48377662372010322"/>
    <n v="45"/>
    <n v="5.5545642422222222E-2"/>
    <n v="45"/>
    <n v="0"/>
    <n v="2.1790691309999999"/>
    <n v="0.14707416733168333"/>
  </r>
  <r>
    <x v="12"/>
    <x v="3"/>
    <n v="39114199.380000003"/>
    <n v="10541442"/>
    <n v="3.7105169653259966"/>
    <n v="2.1790691309999999"/>
    <n v="0.58726833790626598"/>
    <n v="45"/>
    <n v="4.8423758466666661E-2"/>
    <n v="45"/>
    <n v="0"/>
    <n v="0"/>
    <s v=""/>
  </r>
  <r>
    <x v="13"/>
    <x v="0"/>
    <n v="108819511.64"/>
    <n v="252903569"/>
    <n v="0.43028064835257424"/>
    <n v="0.48572491200000001"/>
    <n v="1.1288560474650824"/>
    <n v="9.65"/>
    <n v="5.0334187772020728E-2"/>
    <n v="9.65"/>
    <n v="0"/>
    <n v="0.46371743599999998"/>
    <n v="4.7458806358102956E-2"/>
  </r>
  <r>
    <x v="13"/>
    <x v="1"/>
    <n v="232542541"/>
    <n v="252903569"/>
    <n v="0.91949094241528873"/>
    <n v="0.46371743599999998"/>
    <n v="0.50431974325045792"/>
    <n v="9.65"/>
    <n v="4.8053620310880826E-2"/>
    <n v="9.65"/>
    <n v="0"/>
    <n v="0.60299663000000003"/>
    <n v="-0.23097839535189446"/>
  </r>
  <r>
    <x v="13"/>
    <x v="2"/>
    <n v="348395895.98000002"/>
    <n v="252903569"/>
    <n v="1.3775839437837274"/>
    <n v="0.60299663000000003"/>
    <n v="0.43772042547460682"/>
    <n v="9.65"/>
    <n v="6.2486697409326428E-2"/>
    <n v="9.65"/>
    <n v="0"/>
    <n v="0"/>
    <s v=""/>
  </r>
  <r>
    <x v="14"/>
    <x v="0"/>
    <n v="108819511.64"/>
    <n v="252903569"/>
    <n v="0.43028064835257424"/>
    <n v="0.48572491200000001"/>
    <n v="1.1288560474650824"/>
    <n v="7.4"/>
    <n v="6.5638501621621617E-2"/>
    <n v="7.4"/>
    <n v="0"/>
    <n v="0.46371743599999998"/>
    <n v="4.7458806358102956E-2"/>
  </r>
  <r>
    <x v="14"/>
    <x v="1"/>
    <n v="232542541"/>
    <n v="252903569"/>
    <n v="0.91949094241528873"/>
    <n v="0.46371743599999998"/>
    <n v="0.50431974325045792"/>
    <n v="7.4"/>
    <n v="6.2664518378378373E-2"/>
    <n v="7.4"/>
    <n v="0"/>
    <n v="0.60299663000000003"/>
    <n v="-0.23097839535189446"/>
  </r>
  <r>
    <x v="14"/>
    <x v="2"/>
    <n v="348395895.98000002"/>
    <n v="252903569"/>
    <n v="1.3775839437837274"/>
    <n v="0.60299663000000003"/>
    <n v="0.43772042547460682"/>
    <n v="7.4"/>
    <n v="8.1486031081081087E-2"/>
    <n v="7.4"/>
    <n v="0"/>
    <n v="0"/>
    <s v=""/>
  </r>
  <r>
    <x v="15"/>
    <x v="0"/>
    <n v="5431000"/>
    <n v="182520000"/>
    <n v="2.9755643217181677E-2"/>
    <n v="8.9999999999999993E-3"/>
    <n v="0.30246363468974408"/>
    <n v="1.1000000000000001"/>
    <n v="8.1818181818181807E-3"/>
    <n v="1.1000000000000001"/>
    <n v="0"/>
    <n v="8.9999999999999993E-3"/>
    <n v="0"/>
  </r>
  <r>
    <x v="15"/>
    <x v="1"/>
    <n v="5361000"/>
    <n v="182520000"/>
    <n v="2.9372123602892833E-2"/>
    <n v="8.9999999999999993E-3"/>
    <n v="0.30641298265249017"/>
    <n v="1.1000000000000001"/>
    <n v="8.1818181818181807E-3"/>
    <n v="1.1000000000000001"/>
    <n v="0"/>
    <n v="3.9100000000000003E-3"/>
    <n v="1.3017902813299229"/>
  </r>
  <r>
    <x v="15"/>
    <x v="2"/>
    <n v="2644000"/>
    <n v="182520000"/>
    <n v="1.4486083716852947E-2"/>
    <n v="3.9100000000000003E-3"/>
    <n v="0.26991422087745842"/>
    <n v="1.1000000000000001"/>
    <n v="3.5545454545454543E-3"/>
    <n v="1.1000000000000001"/>
    <n v="0"/>
    <n v="0"/>
    <s v=""/>
  </r>
  <r>
    <x v="16"/>
    <x v="0"/>
    <n v="5431000"/>
    <n v="182520000"/>
    <n v="2.9755643217181677E-2"/>
    <n v="1.2352500000000001E-2"/>
    <n v="0.41513133861167378"/>
    <n v="0.26"/>
    <n v="4.7509615384615386E-2"/>
    <n v="0.26"/>
    <n v="0"/>
    <n v="1.1599999999999999E-2"/>
    <n v="6.4870689655172509E-2"/>
  </r>
  <r>
    <x v="16"/>
    <x v="1"/>
    <n v="5361000"/>
    <n v="182520000"/>
    <n v="2.9372123602892833E-2"/>
    <n v="1.1599999999999999E-2"/>
    <n v="0.39493228875209846"/>
    <n v="0.26"/>
    <n v="4.4615384615384612E-2"/>
    <n v="0.26"/>
    <n v="0"/>
    <n v="9.8600000000000007E-3"/>
    <n v="0.17647058823529393"/>
  </r>
  <r>
    <x v="16"/>
    <x v="2"/>
    <n v="2644000"/>
    <n v="182520000"/>
    <n v="1.4486083716852947E-2"/>
    <n v="9.8600000000000007E-3"/>
    <n v="0.68065325264750387"/>
    <n v="0.26"/>
    <n v="3.7923076923076927E-2"/>
    <n v="0.26"/>
    <n v="0"/>
    <n v="0"/>
    <s v=""/>
  </r>
  <r>
    <x v="17"/>
    <x v="0"/>
    <n v="508363303.81999999"/>
    <n v="87001901"/>
    <n v="5.8431286900271298"/>
    <n v="2.09879358938"/>
    <n v="0.35919003340832723"/>
    <n v="28.74"/>
    <n v="7.3026916819067506E-2"/>
    <n v="28.74"/>
    <n v="0"/>
    <n v="1.8628371749999999"/>
    <n v="0.126665077091346"/>
  </r>
  <r>
    <x v="17"/>
    <x v="1"/>
    <n v="314799260.60000002"/>
    <n v="87001901"/>
    <n v="3.6183032437417664"/>
    <n v="1.8628371749999999"/>
    <n v="0.51483721775447411"/>
    <n v="28.74"/>
    <n v="6.4816881524008357E-2"/>
    <n v="28.74"/>
    <n v="0"/>
    <n v="2.2732746009999998"/>
    <n v="-0.18054898683135379"/>
  </r>
  <r>
    <x v="17"/>
    <x v="2"/>
    <n v="313589945.75999999"/>
    <n v="87001901"/>
    <n v="3.6044033768871326"/>
    <n v="2.2732746009999998"/>
    <n v="0.63069372744935825"/>
    <n v="28.74"/>
    <n v="7.9097933228949202E-2"/>
    <n v="28.74"/>
    <n v="0"/>
    <n v="2.646819604"/>
    <n v="-0.14112975528648841"/>
  </r>
  <r>
    <x v="17"/>
    <x v="3"/>
    <n v="459012514.60000002"/>
    <n v="87001901"/>
    <n v="5.2758906337000617"/>
    <n v="2.646819604"/>
    <n v="0.50168204532013683"/>
    <n v="28.74"/>
    <n v="9.2095323729993045E-2"/>
    <n v="28.74"/>
    <n v="0"/>
    <n v="0"/>
    <s v=""/>
  </r>
  <r>
    <x v="18"/>
    <x v="0"/>
    <n v="508363303.81999999"/>
    <n v="87001901"/>
    <n v="5.8431286900271298"/>
    <n v="2.308672948101"/>
    <n v="0.3951090367120223"/>
    <n v="23.54"/>
    <n v="9.8074466784239589E-2"/>
    <n v="23.54"/>
    <n v="0"/>
    <n v="2.0491208919999999"/>
    <n v="0.12666507726036103"/>
  </r>
  <r>
    <x v="18"/>
    <x v="1"/>
    <n v="314799260.60000002"/>
    <n v="87001901"/>
    <n v="3.6183032437417664"/>
    <n v="2.0491208919999999"/>
    <n v="0.56632093939173522"/>
    <n v="23.54"/>
    <n v="8.7048466100254879E-2"/>
    <n v="23.54"/>
    <n v="0"/>
    <n v="2.5006020599999998"/>
    <n v="-0.18054898667083397"/>
  </r>
  <r>
    <x v="18"/>
    <x v="2"/>
    <n v="313589945.75999999"/>
    <n v="87001901"/>
    <n v="3.6044033768871326"/>
    <n v="2.5006020599999998"/>
    <n v="0.69376309988911189"/>
    <n v="23.54"/>
    <n v="0.10622778504672897"/>
    <n v="23.54"/>
    <n v="0"/>
    <n v="2.911501565"/>
    <n v="-0.14112975584129561"/>
  </r>
  <r>
    <x v="18"/>
    <x v="3"/>
    <n v="459012514.60000002"/>
    <n v="87001901"/>
    <n v="5.2758906337000617"/>
    <n v="2.911501565"/>
    <n v="0.55185024996587539"/>
    <n v="23.54"/>
    <n v="0.1236831590909091"/>
    <n v="23.54"/>
    <n v="0"/>
    <n v="0"/>
    <s v=""/>
  </r>
  <r>
    <x v="19"/>
    <x v="0"/>
    <n v="476737173.38"/>
    <n v="349547945"/>
    <n v="1.3638677617744255"/>
    <n v="0.59109131800000003"/>
    <n v="0.43339342315047885"/>
    <n v="18.16"/>
    <n v="3.2549081387665199E-2"/>
    <n v="0"/>
    <n v="18.16"/>
    <n v="1.7780234450000001"/>
    <n v="-0.66755707318583757"/>
  </r>
  <r>
    <x v="19"/>
    <x v="1"/>
    <n v="2023882601.55"/>
    <n v="349547945"/>
    <n v="5.79"/>
    <n v="1.7780234450000001"/>
    <n v="0.30708522366148533"/>
    <n v="18.16"/>
    <n v="9.7908780011013219E-2"/>
    <n v="0"/>
    <n v="18.16"/>
    <n v="1.5299646339999999"/>
    <n v="0.16213368955559804"/>
  </r>
  <r>
    <x v="19"/>
    <x v="2"/>
    <n v="1758226163.3499999"/>
    <n v="349547945"/>
    <n v="5.0299999999999994"/>
    <n v="1.5299646339999999"/>
    <n v="0.30416791928429426"/>
    <n v="18.16"/>
    <n v="8.4249153854625544E-2"/>
    <n v="0"/>
    <n v="18.16"/>
    <n v="0.86687395199999995"/>
    <n v="0.76492168263927729"/>
  </r>
  <r>
    <x v="19"/>
    <x v="3"/>
    <n v="961256848.75"/>
    <n v="349547945"/>
    <n v="2.75"/>
    <n v="0.86687395199999995"/>
    <n v="0.31522689163636364"/>
    <n v="18.16"/>
    <n v="4.7735349779735682E-2"/>
    <n v="0"/>
    <n v="18.16"/>
    <n v="0"/>
    <s v=""/>
  </r>
  <r>
    <x v="20"/>
    <x v="0"/>
    <n v="476737173.38"/>
    <n v="349547945"/>
    <n v="1.3638677617744255"/>
    <n v="0.65020045000000004"/>
    <n v="0.47673276561216849"/>
    <n v="22.41"/>
    <n v="2.9013853190539941E-2"/>
    <n v="0"/>
    <n v="22.41"/>
    <n v="1.955825792"/>
    <n v="-0.66755707350851834"/>
  </r>
  <r>
    <x v="20"/>
    <x v="1"/>
    <n v="2023882601.55"/>
    <n v="349547945"/>
    <n v="5.79"/>
    <n v="1.955825792"/>
    <n v="0.33779374645941279"/>
    <n v="22.41"/>
    <n v="8.727468951360999E-2"/>
    <n v="0"/>
    <n v="22.41"/>
    <n v="1.6829611"/>
    <n v="0.16213368924569904"/>
  </r>
  <r>
    <x v="20"/>
    <x v="2"/>
    <n v="1758226163.3499999"/>
    <n v="349547945"/>
    <n v="5.0299999999999994"/>
    <n v="1.6829611"/>
    <n v="0.33458471172962229"/>
    <n v="22.41"/>
    <n v="7.5098665774207943E-2"/>
    <n v="0"/>
    <n v="22.41"/>
    <n v="0.953561349"/>
    <n v="0.76492168203432498"/>
  </r>
  <r>
    <x v="20"/>
    <x v="3"/>
    <n v="961256848.75"/>
    <n v="349547945"/>
    <n v="2.75"/>
    <n v="0.953561349"/>
    <n v="0.34674958145454543"/>
    <n v="22.41"/>
    <n v="4.2550707228915664E-2"/>
    <n v="0"/>
    <n v="22.41"/>
    <n v="0"/>
    <s v=""/>
  </r>
  <r>
    <x v="21"/>
    <x v="0"/>
    <n v="813227000"/>
    <n v="872473246"/>
    <n v="0.93209391087735427"/>
    <n v="0.32"/>
    <n v="0.34331304632040011"/>
    <n v="44.71"/>
    <n v="7.1572355177812567E-3"/>
    <n v="0"/>
    <n v="44.71"/>
    <n v="0.72453109900000001"/>
    <n v="-0.55833503842462395"/>
  </r>
  <r>
    <x v="21"/>
    <x v="1"/>
    <n v="1367409000"/>
    <n v="872473246"/>
    <n v="1.5672790039913729"/>
    <n v="0.72453109900000001"/>
    <n v="0.46228597279415107"/>
    <n v="44.71"/>
    <n v="1.620512411093715E-2"/>
    <n v="0"/>
    <n v="44.71"/>
    <n v="0.30086882500000001"/>
    <n v="1.4081295195672068"/>
  </r>
  <r>
    <x v="21"/>
    <x v="2"/>
    <n v="804106000"/>
    <n v="872473246"/>
    <n v="0.92163972211934164"/>
    <n v="0.30086882500000001"/>
    <n v="0.32644949840935888"/>
    <n v="44.71"/>
    <n v="6.7293407515097298E-3"/>
    <n v="0"/>
    <n v="44.71"/>
    <n v="0"/>
    <s v=""/>
  </r>
  <r>
    <x v="22"/>
    <x v="0"/>
    <n v="63154000"/>
    <n v="73646388"/>
    <n v="0.85753017513907126"/>
    <n v="0.24782000000000001"/>
    <n v="0.28899274589353013"/>
    <n v="3.82"/>
    <n v="6.4874345549738227E-2"/>
    <n v="3.82"/>
    <n v="0"/>
    <n v="0.22899"/>
    <n v="8.2230665094545685E-2"/>
  </r>
  <r>
    <x v="22"/>
    <x v="1"/>
    <n v="56638000"/>
    <n v="73646388"/>
    <n v="0.76905333089791184"/>
    <n v="0.22899"/>
    <n v="0.29775568325364593"/>
    <n v="3.82"/>
    <n v="5.9945026178010473E-2"/>
    <n v="3.82"/>
    <n v="0"/>
    <n v="0.22311"/>
    <n v="2.6354712921877077E-2"/>
  </r>
  <r>
    <x v="22"/>
    <x v="2"/>
    <n v="50724000"/>
    <n v="73646388"/>
    <n v="0.6887506825181976"/>
    <n v="0.22311"/>
    <n v="0.32393434324343506"/>
    <n v="3.82"/>
    <n v="5.8405759162303665E-2"/>
    <n v="3.82"/>
    <n v="0"/>
    <n v="0.19269"/>
    <n v="0.15787015413358252"/>
  </r>
  <r>
    <x v="22"/>
    <x v="3"/>
    <n v="46296000"/>
    <n v="73646388"/>
    <n v="0.62862553422171907"/>
    <n v="0.19269"/>
    <n v="0.30652588784603418"/>
    <n v="3.82"/>
    <n v="5.0442408376963351E-2"/>
    <n v="3.82"/>
    <n v="0"/>
    <n v="0"/>
    <s v=""/>
  </r>
  <r>
    <x v="23"/>
    <x v="0"/>
    <n v="63154000"/>
    <n v="73646388"/>
    <n v="0.85753017513907126"/>
    <n v="3.3640000000000003E-2"/>
    <n v="3.9228940246381863E-2"/>
    <n v="4"/>
    <n v="8.4100000000000008E-3"/>
    <n v="4"/>
    <n v="0"/>
    <n v="1.0189999999999999E-2"/>
    <n v="2.3012757605495588"/>
  </r>
  <r>
    <x v="23"/>
    <x v="1"/>
    <n v="56638000"/>
    <n v="73646388"/>
    <n v="0.76905333089791184"/>
    <n v="1.0189999999999999E-2"/>
    <n v="1.3250056388290545E-2"/>
    <n v="4"/>
    <n v="2.5474999999999999E-3"/>
    <n v="4"/>
    <n v="0"/>
    <n v="3.8589999999999999E-2"/>
    <n v="-0.73594195387406058"/>
  </r>
  <r>
    <x v="23"/>
    <x v="2"/>
    <n v="50724000"/>
    <n v="73646388"/>
    <n v="0.6887506825181976"/>
    <n v="3.8589999999999999E-2"/>
    <n v="5.6028982590489711E-2"/>
    <n v="4"/>
    <n v="9.6474999999999998E-3"/>
    <n v="4"/>
    <n v="0"/>
    <n v="6.8790000000000004E-2"/>
    <n v="-0.43901729902602127"/>
  </r>
  <r>
    <x v="23"/>
    <x v="3"/>
    <n v="46296000"/>
    <n v="73646388"/>
    <n v="0.62862553422171907"/>
    <n v="6.8790000000000004E-2"/>
    <n v="0.10942921700622084"/>
    <n v="4"/>
    <n v="1.7197500000000001E-2"/>
    <n v="4"/>
    <n v="0"/>
    <n v="0"/>
    <s v=""/>
  </r>
  <r>
    <x v="24"/>
    <x v="0"/>
    <n v="63154000"/>
    <n v="73646388"/>
    <n v="0.85753017513907126"/>
    <n v="3.058E-2"/>
    <n v="3.5660552697216331E-2"/>
    <n v="4.2"/>
    <n v="7.2809523809523801E-3"/>
    <n v="4.2"/>
    <n v="0"/>
    <n v="2.5999999999999999E-3"/>
    <n v="10.761538461538462"/>
  </r>
  <r>
    <x v="24"/>
    <x v="1"/>
    <n v="56638000"/>
    <n v="73646388"/>
    <n v="0.76905333089791184"/>
    <n v="2.5999999999999999E-3"/>
    <n v="3.380779843921042E-3"/>
    <n v="4.2"/>
    <n v="6.19047619047619E-4"/>
    <n v="4.2"/>
    <n v="0"/>
    <n v="3.508E-2"/>
    <n v="-0.92588369441277085"/>
  </r>
  <r>
    <x v="24"/>
    <x v="2"/>
    <n v="50724000"/>
    <n v="73646388"/>
    <n v="0.6887506825181976"/>
    <n v="3.508E-2"/>
    <n v="5.0932798892831796E-2"/>
    <n v="4.2"/>
    <n v="8.3523809523809514E-3"/>
    <n v="4.2"/>
    <n v="0"/>
    <n v="6.2530000000000002E-2"/>
    <n v="-0.43898928514313129"/>
  </r>
  <r>
    <x v="24"/>
    <x v="3"/>
    <n v="46296000"/>
    <n v="73646388"/>
    <n v="0.62862553422171907"/>
    <n v="6.2530000000000002E-2"/>
    <n v="9.9470983273716951E-2"/>
    <n v="4.2"/>
    <n v="1.4888095238095238E-2"/>
    <n v="4.2"/>
    <n v="0"/>
    <n v="0"/>
    <s v=""/>
  </r>
  <r>
    <x v="25"/>
    <x v="0"/>
    <n v="63154000"/>
    <n v="73646388"/>
    <n v="0.85753017513907126"/>
    <n v="0.20652000000000001"/>
    <n v="0.24083117537701496"/>
    <n v="3.27"/>
    <n v="6.3155963302752291E-2"/>
    <n v="3.27"/>
    <n v="0"/>
    <n v="0.19086"/>
    <n v="8.2049669915120971E-2"/>
  </r>
  <r>
    <x v="25"/>
    <x v="1"/>
    <n v="56638000"/>
    <n v="73646388"/>
    <n v="0.76905333089791184"/>
    <n v="0.19086"/>
    <n v="0.24817524654260389"/>
    <n v="3.27"/>
    <n v="5.8366972477064218E-2"/>
    <n v="3.27"/>
    <n v="0"/>
    <n v="0.18592"/>
    <n v="2.6570567986230698E-2"/>
  </r>
  <r>
    <x v="25"/>
    <x v="2"/>
    <n v="50724000"/>
    <n v="73646388"/>
    <n v="0.6887506825181976"/>
    <n v="0.18592"/>
    <n v="0.26993802651525906"/>
    <n v="3.27"/>
    <n v="5.6856269113149845E-2"/>
    <n v="3.27"/>
    <n v="0"/>
    <n v="0.16084999999999999"/>
    <n v="0.15585949642524088"/>
  </r>
  <r>
    <x v="25"/>
    <x v="3"/>
    <n v="46296000"/>
    <n v="73646388"/>
    <n v="0.62862553422171907"/>
    <n v="0.16084999999999999"/>
    <n v="0.25587570221617417"/>
    <n v="3.27"/>
    <n v="4.9189602446483176E-2"/>
    <n v="3.27"/>
    <n v="0"/>
    <n v="0"/>
    <s v=""/>
  </r>
  <r>
    <x v="26"/>
    <x v="0"/>
    <n v="63154000"/>
    <n v="73646388"/>
    <n v="0.85753017513907126"/>
    <n v="0.49564999999999998"/>
    <n v="0.57799715318427969"/>
    <n v="5.97"/>
    <n v="8.302345058626466E-2"/>
    <n v="5.97"/>
    <n v="0"/>
    <n v="0.45779999999999998"/>
    <n v="8.2678025338575711E-2"/>
  </r>
  <r>
    <x v="26"/>
    <x v="1"/>
    <n v="56638000"/>
    <n v="73646388"/>
    <n v="0.76905333089791184"/>
    <n v="0.45779999999999998"/>
    <n v="0.59527731251809735"/>
    <n v="5.97"/>
    <n v="7.6683417085427141E-2"/>
    <n v="5.97"/>
    <n v="0"/>
    <n v="0.44624000000000003"/>
    <n v="2.5905342416636667E-2"/>
  </r>
  <r>
    <x v="26"/>
    <x v="2"/>
    <n v="50724000"/>
    <n v="73646388"/>
    <n v="0.6887506825181976"/>
    <n v="0.44624000000000003"/>
    <n v="0.64789772457061756"/>
    <n v="5.97"/>
    <n v="7.4747068676716918E-2"/>
    <n v="5.97"/>
    <n v="0"/>
    <n v="0.38367000000000001"/>
    <n v="0.16308285766413855"/>
  </r>
  <r>
    <x v="26"/>
    <x v="3"/>
    <n v="46296000"/>
    <n v="73646388"/>
    <n v="0.62862553422171907"/>
    <n v="0.38367000000000001"/>
    <n v="0.61033155529548988"/>
    <n v="5.97"/>
    <n v="6.4266331658291459E-2"/>
    <n v="5.97"/>
    <n v="0"/>
    <n v="0"/>
    <s v=""/>
  </r>
  <r>
    <x v="27"/>
    <x v="0"/>
    <n v="63154000"/>
    <n v="73646388"/>
    <n v="0.85753017513907126"/>
    <n v="0.28913"/>
    <n v="0.33716597780726482"/>
    <n v="3.6"/>
    <n v="8.0313888888888893E-2"/>
    <n v="3.6"/>
    <n v="0"/>
    <n v="0.26712000000000002"/>
    <n v="8.239742437855635E-2"/>
  </r>
  <r>
    <x v="27"/>
    <x v="1"/>
    <n v="56638000"/>
    <n v="73646388"/>
    <n v="0.76905333089791184"/>
    <n v="0.26712000000000002"/>
    <n v="0.34733611996468805"/>
    <n v="3.6"/>
    <n v="7.4200000000000002E-2"/>
    <n v="3.6"/>
    <n v="0"/>
    <n v="0.26029999999999998"/>
    <n v="2.6200537840952887E-2"/>
  </r>
  <r>
    <x v="27"/>
    <x v="2"/>
    <n v="50724000"/>
    <n v="73646388"/>
    <n v="0.6887506825181976"/>
    <n v="0.26029999999999998"/>
    <n v="0.37793065997161107"/>
    <n v="3.6"/>
    <n v="7.2305555555555553E-2"/>
    <n v="3.6"/>
    <n v="0"/>
    <n v="0.22452"/>
    <n v="0.15936219490468551"/>
  </r>
  <r>
    <x v="27"/>
    <x v="3"/>
    <n v="46296000"/>
    <n v="73646388"/>
    <n v="0.62862553422171907"/>
    <n v="0.22452"/>
    <n v="0.35716016575427684"/>
    <n v="3.6"/>
    <n v="6.2366666666666667E-2"/>
    <n v="3.6"/>
    <n v="0"/>
    <n v="0"/>
    <s v=""/>
  </r>
  <r>
    <x v="28"/>
    <x v="0"/>
    <n v="63154000"/>
    <n v="73646388"/>
    <n v="0.85753017513907126"/>
    <n v="0.20652000000000001"/>
    <n v="0.24083117537701496"/>
    <n v="3.81"/>
    <n v="5.4204724409448818E-2"/>
    <n v="3.81"/>
    <n v="0"/>
    <n v="0.19086"/>
    <n v="8.2049669915120971E-2"/>
  </r>
  <r>
    <x v="28"/>
    <x v="1"/>
    <n v="56638000"/>
    <n v="73646388"/>
    <n v="0.76905333089791184"/>
    <n v="0.19086"/>
    <n v="0.24817524654260389"/>
    <n v="3.81"/>
    <n v="5.0094488188976376E-2"/>
    <n v="3.81"/>
    <n v="0"/>
    <n v="0.18592"/>
    <n v="2.6570567986230698E-2"/>
  </r>
  <r>
    <x v="28"/>
    <x v="2"/>
    <n v="50724000"/>
    <n v="73646388"/>
    <n v="0.6887506825181976"/>
    <n v="0.18592"/>
    <n v="0.26993802651525906"/>
    <n v="3.81"/>
    <n v="4.8797900262467192E-2"/>
    <n v="3.81"/>
    <n v="0"/>
    <n v="0.16084999999999999"/>
    <n v="0.15585949642524088"/>
  </r>
  <r>
    <x v="28"/>
    <x v="3"/>
    <n v="46296000"/>
    <n v="73646388"/>
    <n v="0.62862553422171907"/>
    <n v="0.16084999999999999"/>
    <n v="0.25587570221617417"/>
    <n v="3.81"/>
    <n v="4.2217847769028871E-2"/>
    <n v="3.81"/>
    <n v="0"/>
    <n v="0"/>
    <s v=""/>
  </r>
  <r>
    <x v="29"/>
    <x v="0"/>
    <n v="66187000"/>
    <n v="90224492"/>
    <n v="0.73358129852368692"/>
    <n v="7.9699999999999993E-2"/>
    <n v="0.10864508154773594"/>
    <n v="6.61"/>
    <n v="1.2057488653555219E-2"/>
    <n v="6.61"/>
    <n v="0"/>
    <n v="9.9199999999999997E-2"/>
    <n v="-0.19657258064516137"/>
  </r>
  <r>
    <x v="29"/>
    <x v="1"/>
    <n v="67513447"/>
    <n v="90224492"/>
    <n v="0.74828292743393887"/>
    <n v="9.9199999999999997E-2"/>
    <n v="0.13257017681825667"/>
    <n v="6.61"/>
    <n v="1.5007564296520422E-2"/>
    <n v="6.61"/>
    <n v="0"/>
    <n v="0.1905"/>
    <n v="-0.47926509186351707"/>
  </r>
  <r>
    <x v="29"/>
    <x v="2"/>
    <n v="82086317"/>
    <n v="90224492"/>
    <n v="0.90980082215370084"/>
    <n v="0.1905"/>
    <n v="0.20938648917577821"/>
    <n v="6.61"/>
    <n v="2.8819969742813919E-2"/>
    <n v="6.61"/>
    <n v="0"/>
    <n v="0.1767"/>
    <n v="7.8098471986417728E-2"/>
  </r>
  <r>
    <x v="29"/>
    <x v="3"/>
    <n v="76789552"/>
    <n v="90224492"/>
    <n v="0.85109431261746538"/>
    <n v="0.1767"/>
    <n v="0.20761506378367722"/>
    <n v="6.61"/>
    <n v="2.6732223903177001E-2"/>
    <n v="6.61"/>
    <n v="0"/>
    <n v="0"/>
    <s v=""/>
  </r>
  <r>
    <x v="30"/>
    <x v="0"/>
    <n v="66187000"/>
    <n v="90224492"/>
    <n v="0.73358129852368692"/>
    <n v="0.39119999999999999"/>
    <n v="0.53327422712012928"/>
    <n v="5.64"/>
    <n v="6.9361702127659575E-2"/>
    <n v="5.64"/>
    <n v="0"/>
    <n v="0.37240000000000001"/>
    <n v="5.0483351235230955E-2"/>
  </r>
  <r>
    <x v="30"/>
    <x v="1"/>
    <n v="67513447"/>
    <n v="90224492"/>
    <n v="0.74828292743393887"/>
    <n v="0.37240000000000001"/>
    <n v="0.49767272023305226"/>
    <n v="5.64"/>
    <n v="6.6028368794326248E-2"/>
    <n v="5.64"/>
    <n v="0"/>
    <n v="0.34889999999999999"/>
    <n v="6.7354542848953924E-2"/>
  </r>
  <r>
    <x v="30"/>
    <x v="2"/>
    <n v="82086317"/>
    <n v="90224492"/>
    <n v="0.90980082215370084"/>
    <n v="0.34889999999999999"/>
    <n v="0.3834905305691812"/>
    <n v="5.64"/>
    <n v="6.1861702127659575E-2"/>
    <n v="5.64"/>
    <n v="0"/>
    <n v="0.3286"/>
    <n v="6.1777236762020626E-2"/>
  </r>
  <r>
    <x v="30"/>
    <x v="3"/>
    <n v="76789552"/>
    <n v="90224492"/>
    <n v="0.85109431261746538"/>
    <n v="0.3286"/>
    <n v="0.38609117124683834"/>
    <n v="5.64"/>
    <n v="5.8262411347517737E-2"/>
    <n v="5.64"/>
    <n v="0"/>
    <n v="0"/>
    <s v=""/>
  </r>
  <r>
    <x v="31"/>
    <x v="0"/>
    <n v="-731143033.12"/>
    <n v="797265348"/>
    <n v="-0.91706360367238737"/>
    <n v="0"/>
    <s v=""/>
    <n v="16"/>
    <s v=""/>
    <n v="0"/>
    <n v="16"/>
    <n v="0"/>
    <s v=""/>
  </r>
  <r>
    <x v="31"/>
    <x v="1"/>
    <n v="-525142000"/>
    <n v="797265348"/>
    <n v="-0.65867907255389713"/>
    <n v="0"/>
    <s v=""/>
    <n v="16"/>
    <s v=""/>
    <n v="0"/>
    <n v="16"/>
    <n v="0.83324714"/>
    <n v="-1"/>
  </r>
  <r>
    <x v="31"/>
    <x v="2"/>
    <n v="1895309000"/>
    <n v="797265348"/>
    <n v="2.3772624820011616"/>
    <n v="0.83324714"/>
    <n v="0.35050699967240423"/>
    <n v="16"/>
    <n v="5.207794625E-2"/>
    <n v="0"/>
    <n v="16"/>
    <n v="0"/>
    <s v=""/>
  </r>
  <r>
    <x v="31"/>
    <x v="3"/>
    <n v="398491000"/>
    <n v="797265348"/>
    <n v="0.49982230006564893"/>
    <n v="0"/>
    <s v=""/>
    <n v="16"/>
    <s v=""/>
    <n v="0"/>
    <n v="16"/>
    <n v="0"/>
    <s v=""/>
  </r>
  <r>
    <x v="32"/>
    <x v="0"/>
    <n v="-731143033.12"/>
    <n v="797265348"/>
    <n v="-0.91706360367238737"/>
    <n v="0"/>
    <s v=""/>
    <n v="20.170000000000002"/>
    <s v=""/>
    <n v="0"/>
    <n v="20.170000000000002"/>
    <n v="0"/>
    <s v=""/>
  </r>
  <r>
    <x v="32"/>
    <x v="1"/>
    <n v="-525142000"/>
    <n v="797265348"/>
    <n v="-0.65867907255389713"/>
    <n v="0"/>
    <s v=""/>
    <n v="20.170000000000002"/>
    <s v=""/>
    <n v="0"/>
    <n v="20.170000000000002"/>
    <n v="0.83324714"/>
    <n v="-1"/>
  </r>
  <r>
    <x v="32"/>
    <x v="2"/>
    <n v="1895309000"/>
    <n v="797265348"/>
    <n v="2.3772624820011616"/>
    <n v="0.83324714"/>
    <n v="0.35050699967240423"/>
    <n v="20.170000000000002"/>
    <n v="4.1311211700545358E-2"/>
    <n v="0"/>
    <n v="20.170000000000002"/>
    <n v="0"/>
    <s v=""/>
  </r>
  <r>
    <x v="32"/>
    <x v="3"/>
    <n v="398491000"/>
    <n v="797265348"/>
    <n v="0.49982230006564893"/>
    <n v="0"/>
    <s v=""/>
    <n v="20.170000000000002"/>
    <s v=""/>
    <n v="0"/>
    <n v="20.170000000000002"/>
    <n v="0"/>
    <s v=""/>
  </r>
  <r>
    <x v="33"/>
    <x v="0"/>
    <n v="-731143033.12"/>
    <n v="797265348"/>
    <n v="-0.91706360367238737"/>
    <n v="0"/>
    <s v=""/>
    <n v="10.5"/>
    <s v=""/>
    <n v="0"/>
    <n v="10.5"/>
    <n v="0"/>
    <s v=""/>
  </r>
  <r>
    <x v="33"/>
    <x v="1"/>
    <n v="-525142000"/>
    <n v="797265348"/>
    <n v="-0.65867907255389713"/>
    <n v="0"/>
    <s v=""/>
    <n v="10.5"/>
    <s v=""/>
    <n v="0"/>
    <n v="10.5"/>
    <n v="0.60198830400000003"/>
    <n v="-1"/>
  </r>
  <r>
    <x v="33"/>
    <x v="2"/>
    <n v="1895309000"/>
    <n v="797265348"/>
    <n v="2.3772624820011616"/>
    <n v="0.60198830400000003"/>
    <n v="0.25322752895727813"/>
    <n v="10.5"/>
    <n v="5.7332219428571432E-2"/>
    <n v="0"/>
    <n v="10.5"/>
    <n v="0"/>
    <s v=""/>
  </r>
  <r>
    <x v="33"/>
    <x v="3"/>
    <n v="398491000"/>
    <n v="797265348"/>
    <n v="0.49982230006564893"/>
    <n v="0"/>
    <s v=""/>
    <n v="10.5"/>
    <s v=""/>
    <n v="0"/>
    <n v="10.5"/>
    <n v="0"/>
    <s v=""/>
  </r>
  <r>
    <x v="34"/>
    <x v="0"/>
    <n v="1741995406.21"/>
    <n v="457066306"/>
    <n v="3.8112531668654657"/>
    <n v="0.47533848406620999"/>
    <n v="0.12471973475778002"/>
    <n v="17.14"/>
    <n v="2.7732700353921235E-2"/>
    <n v="0"/>
    <n v="17.14"/>
    <n v="0.15065705026321699"/>
    <n v="2.155102819521113"/>
  </r>
  <r>
    <x v="34"/>
    <x v="1"/>
    <n v="478868368.80000001"/>
    <n v="457066306"/>
    <n v="1.0477000000083139"/>
    <n v="0.15065705026321699"/>
    <n v="0.14379789086763528"/>
    <n v="17.14"/>
    <n v="8.7897928975039074E-3"/>
    <n v="0"/>
    <n v="17.14"/>
    <n v="0.16521896199328401"/>
    <n v="-8.8137048885823077E-2"/>
  </r>
  <r>
    <x v="34"/>
    <x v="2"/>
    <n v="562602916.05999994"/>
    <n v="457066306"/>
    <n v="1.2309000000100641"/>
    <n v="0.16521896199328401"/>
    <n v="0.13422614509052982"/>
    <n v="17.14"/>
    <n v="9.6393793461659275E-3"/>
    <n v="0"/>
    <n v="17.14"/>
    <n v="0.24224801190112999"/>
    <n v="-0.31797598379995895"/>
  </r>
  <r>
    <x v="34"/>
    <x v="3"/>
    <n v="2228426774.9000001"/>
    <n v="457066306"/>
    <n v="4.875499999993437"/>
    <n v="0.24224801190112999"/>
    <n v="4.968680379478127E-2"/>
    <n v="17.14"/>
    <n v="1.4133489609167443E-2"/>
    <n v="0"/>
    <n v="17.14"/>
    <n v="0"/>
    <s v=""/>
  </r>
  <r>
    <x v="35"/>
    <x v="0"/>
    <n v="1216399447.4000001"/>
    <n v="312653445"/>
    <n v="3.8905678694824557"/>
    <n v="0.51"/>
    <n v="0.13108626223961567"/>
    <n v="18"/>
    <n v="2.8333333333333335E-2"/>
    <n v="0"/>
    <n v="18"/>
    <n v="0.19"/>
    <n v="1.6842105263157894"/>
  </r>
  <r>
    <x v="35"/>
    <x v="1"/>
    <n v="335408130.56999999"/>
    <n v="312653445"/>
    <n v="1.072779257461884"/>
    <n v="0.19"/>
    <n v="0.17711006125297937"/>
    <n v="18"/>
    <n v="1.0555555555555556E-2"/>
    <n v="0"/>
    <n v="18"/>
    <n v="0.11"/>
    <n v="0.72727272727272729"/>
  </r>
  <r>
    <x v="35"/>
    <x v="2"/>
    <n v="813367859.21000004"/>
    <n v="312653445"/>
    <n v="2.6014997506584328"/>
    <n v="0.11"/>
    <n v="4.2283302149907678E-2"/>
    <n v="18"/>
    <n v="6.1111111111111114E-3"/>
    <n v="0"/>
    <n v="18"/>
    <n v="0"/>
    <s v=""/>
  </r>
  <r>
    <x v="36"/>
    <x v="0"/>
    <n v="818590368.54999995"/>
    <n v="408974477"/>
    <n v="2.0015683486038176"/>
    <n v="0.79800700000000002"/>
    <n v="0.39869085687563216"/>
    <n v="12.2"/>
    <n v="6.5410409836065581E-2"/>
    <n v="12.2"/>
    <n v="0"/>
    <n v="0.840279"/>
    <n v="-5.0307100379754832E-2"/>
  </r>
  <r>
    <x v="36"/>
    <x v="1"/>
    <n v="904348943.24000001"/>
    <n v="408974477"/>
    <n v="2.2112601008106432"/>
    <n v="0.840279"/>
    <n v="0.38000007312208794"/>
    <n v="12.2"/>
    <n v="6.8875327868852462E-2"/>
    <n v="12.2"/>
    <n v="0"/>
    <n v="0"/>
    <s v=""/>
  </r>
  <r>
    <x v="37"/>
    <x v="0"/>
    <n v="818590368.54999995"/>
    <n v="408974477"/>
    <n v="2.0015683486038176"/>
    <n v="0.82645999999999997"/>
    <n v="0.41290620956136337"/>
    <n v="15.72"/>
    <n v="5.2573791348600504E-2"/>
    <n v="15.72"/>
    <n v="0"/>
    <n v="0.82327300000000003"/>
    <n v="3.8711338766119763E-3"/>
  </r>
  <r>
    <x v="37"/>
    <x v="1"/>
    <n v="904348943.24000001"/>
    <n v="408974477"/>
    <n v="2.2112601008106432"/>
    <n v="0.82327300000000003"/>
    <n v="0.37230943555585794"/>
    <n v="15.72"/>
    <n v="5.2371055979643769E-2"/>
    <n v="15.72"/>
    <n v="0"/>
    <n v="0"/>
    <s v=""/>
  </r>
  <r>
    <x v="38"/>
    <x v="0"/>
    <n v="818590368.54999995"/>
    <n v="408974477"/>
    <n v="2.0015683486038176"/>
    <n v="0.79800700000000002"/>
    <n v="0.39869085687563216"/>
    <n v="11.85"/>
    <n v="6.7342362869198313E-2"/>
    <n v="11.85"/>
    <n v="0"/>
    <n v="0.84058699999999997"/>
    <n v="-5.0655077939582682E-2"/>
  </r>
  <r>
    <x v="38"/>
    <x v="1"/>
    <n v="904348943.24000001"/>
    <n v="408974477"/>
    <n v="2.2112601008106432"/>
    <n v="0.84058699999999997"/>
    <n v="0.3801393602190184"/>
    <n v="11.85"/>
    <n v="7.0935611814345989E-2"/>
    <n v="11.85"/>
    <n v="0"/>
    <n v="0"/>
    <s v=""/>
  </r>
  <r>
    <x v="39"/>
    <x v="0"/>
    <n v="215388793.88999999"/>
    <n v="36304650"/>
    <n v="5.9328156004809296"/>
    <n v="1.375"/>
    <n v="0.23176179618468826"/>
    <n v="27.5"/>
    <n v="0.05"/>
    <n v="27.5"/>
    <n v="0"/>
    <n v="0.59060447900000002"/>
    <n v="1.328123217636485"/>
  </r>
  <r>
    <x v="39"/>
    <x v="1"/>
    <n v="96039575.989999995"/>
    <n v="36304650"/>
    <n v="2.6453794759073559"/>
    <n v="0.59060447900000002"/>
    <n v="0.22325888757318069"/>
    <n v="27.5"/>
    <n v="2.1476526509090911E-2"/>
    <n v="27.5"/>
    <n v="0"/>
    <n v="0.52209249599999996"/>
    <n v="0.13122575697774463"/>
  </r>
  <r>
    <x v="39"/>
    <x v="2"/>
    <n v="196040834.49000001"/>
    <n v="36304650"/>
    <n v="5.3998822324412989"/>
    <n v="0.52209249599999996"/>
    <n v="9.6685904159795125E-2"/>
    <n v="27.5"/>
    <n v="1.898518167272727E-2"/>
    <n v="27.5"/>
    <n v="0"/>
    <n v="0.18859646699999999"/>
    <n v="1.7683047530259408"/>
  </r>
  <r>
    <x v="39"/>
    <x v="3"/>
    <n v="190454809.5"/>
    <n v="36304650"/>
    <n v="5.2460169565055716"/>
    <n v="0.18859646699999999"/>
    <n v="3.5950411247932017E-2"/>
    <n v="27.5"/>
    <n v="6.8580533454545454E-3"/>
    <n v="27.5"/>
    <n v="0"/>
    <n v="0"/>
    <s v=""/>
  </r>
  <r>
    <x v="40"/>
    <x v="0"/>
    <n v="215388793.88999999"/>
    <n v="36304650"/>
    <n v="5.9328156004809296"/>
    <n v="1.5129999999999999"/>
    <n v="0.2550222528199515"/>
    <n v="29.99"/>
    <n v="5.0450150050016671E-2"/>
    <n v="29.99"/>
    <n v="0"/>
    <n v="0.649664927"/>
    <n v="1.3288928447879718"/>
  </r>
  <r>
    <x v="40"/>
    <x v="1"/>
    <n v="96039575.989999995"/>
    <n v="36304650"/>
    <n v="2.6453794759073559"/>
    <n v="0.649664927"/>
    <n v="0.24558477636830051"/>
    <n v="29.99"/>
    <n v="2.1662718472824277E-2"/>
    <n v="29.99"/>
    <n v="0"/>
    <n v="1.954906128"/>
    <n v="-0.66767461736658895"/>
  </r>
  <r>
    <x v="40"/>
    <x v="2"/>
    <n v="196040834.49000001"/>
    <n v="36304650"/>
    <n v="5.3998822324412989"/>
    <n v="1.954906128"/>
    <n v="0.3620275487223325"/>
    <n v="29.99"/>
    <n v="6.5185266022007332E-2"/>
    <n v="29.99"/>
    <n v="0"/>
    <n v="1.4895923250000001"/>
    <n v="0.31237661150006257"/>
  </r>
  <r>
    <x v="40"/>
    <x v="3"/>
    <n v="190454809.5"/>
    <n v="36304650"/>
    <n v="5.2460169565055716"/>
    <n v="1.4895923250000001"/>
    <n v="0.28394729512888067"/>
    <n v="29.99"/>
    <n v="4.9669634044681568E-2"/>
    <n v="29.99"/>
    <n v="0"/>
    <n v="0"/>
    <s v=""/>
  </r>
  <r>
    <x v="41"/>
    <x v="0"/>
    <n v="21418024.760000002"/>
    <n v="715094432"/>
    <n v="2.995132363161793E-2"/>
    <n v="7.6962999999999997E-3"/>
    <n v="0.25696026308084252"/>
    <n v="4.12"/>
    <n v="1.8680339805825241E-3"/>
    <n v="4.12"/>
    <n v="0"/>
    <n v="3.2377399999999998E-3"/>
    <n v="1.3770593068004224"/>
  </r>
  <r>
    <x v="41"/>
    <x v="1"/>
    <n v="7903625"/>
    <n v="715094432"/>
    <n v="1.1052561237115044E-2"/>
    <n v="3.2377399999999998E-3"/>
    <n v="0.29294024530056523"/>
    <n v="4.12"/>
    <n v="7.8585922330097078E-4"/>
    <n v="4.12"/>
    <n v="0"/>
    <n v="0"/>
    <s v=""/>
  </r>
  <r>
    <x v="41"/>
    <x v="2"/>
    <n v="-11477601"/>
    <n v="715094432"/>
    <n v="-1.6050468981976356E-2"/>
    <n v="0"/>
    <s v=""/>
    <n v="4.12"/>
    <s v=""/>
    <n v="4.12"/>
    <n v="0"/>
    <n v="1.1338000000000001E-2"/>
    <n v="-1"/>
  </r>
  <r>
    <x v="41"/>
    <x v="3"/>
    <n v="32515448"/>
    <n v="715094432"/>
    <n v="4.5470145682801236E-2"/>
    <n v="1.1338000000000001E-2"/>
    <n v="0.24935042168313351"/>
    <n v="4.12"/>
    <n v="2.7519417475728157E-3"/>
    <n v="4.12"/>
    <n v="0"/>
    <n v="0"/>
    <s v=""/>
  </r>
  <r>
    <x v="42"/>
    <x v="0"/>
    <n v="153035960.99000001"/>
    <n v="83000000"/>
    <n v="1.8438067589156628"/>
    <n v="0.87951522900000001"/>
    <n v="0.47701052442027075"/>
    <n v="20.6"/>
    <n v="4.2694914029126209E-2"/>
    <n v="0"/>
    <n v="20.6"/>
    <n v="0"/>
    <s v=""/>
  </r>
  <r>
    <x v="42"/>
    <x v="1"/>
    <n v="113733898.18000001"/>
    <n v="83000000"/>
    <n v="1.3702879298795181"/>
    <n v="0"/>
    <s v=""/>
    <n v="20.6"/>
    <s v=""/>
    <n v="0"/>
    <n v="20.6"/>
    <n v="0"/>
    <s v=""/>
  </r>
  <r>
    <x v="42"/>
    <x v="2"/>
    <n v="93892304.709999993"/>
    <n v="83000000"/>
    <n v="1.1312325868674697"/>
    <n v="0"/>
    <s v=""/>
    <n v="20.6"/>
    <s v=""/>
    <n v="0"/>
    <n v="20.6"/>
    <n v="0"/>
    <s v=""/>
  </r>
  <r>
    <x v="43"/>
    <x v="0"/>
    <n v="55498182.030000001"/>
    <n v="9183458"/>
    <n v="6.0432771653118031"/>
    <n v="2.4664000000000001"/>
    <n v="0.40812293272879302"/>
    <n v="16.510000000000002"/>
    <n v="0.14938824954572985"/>
    <n v="16.510000000000002"/>
    <n v="0"/>
    <n v="0"/>
    <s v=""/>
  </r>
  <r>
    <x v="43"/>
    <x v="1"/>
    <n v="26190000"/>
    <n v="9183458"/>
    <n v="2.8518669111352173"/>
    <n v="0"/>
    <s v=""/>
    <n v="16.510000000000002"/>
    <s v=""/>
    <n v="16.510000000000002"/>
    <n v="0"/>
    <n v="0"/>
    <s v=""/>
  </r>
  <r>
    <x v="43"/>
    <x v="2"/>
    <n v="2049000"/>
    <n v="9183458"/>
    <n v="0.22311856819076212"/>
    <n v="0"/>
    <s v=""/>
    <n v="16.510000000000002"/>
    <s v=""/>
    <n v="16.510000000000002"/>
    <n v="0"/>
    <n v="2.8779460000000001"/>
    <n v="-1"/>
  </r>
  <r>
    <x v="43"/>
    <x v="3"/>
    <n v="48919970.259999998"/>
    <n v="9183458"/>
    <n v="5.3269661885533743"/>
    <n v="2.8779460000000001"/>
    <n v="0.540259858638516"/>
    <n v="16.510000000000002"/>
    <n v="0.1743153240460327"/>
    <n v="16.510000000000002"/>
    <n v="0"/>
    <n v="0"/>
    <s v=""/>
  </r>
  <r>
    <x v="44"/>
    <x v="0"/>
    <n v="55498182.030000001"/>
    <n v="9183458"/>
    <n v="6.0432771653118031"/>
    <n v="4.5993199999999996"/>
    <n v="0.76106388540309444"/>
    <n v="24"/>
    <n v="0.19163833333333333"/>
    <n v="24"/>
    <n v="0"/>
    <n v="0"/>
    <s v=""/>
  </r>
  <r>
    <x v="44"/>
    <x v="1"/>
    <n v="26190000"/>
    <n v="9183458"/>
    <n v="2.8518669111352173"/>
    <n v="0"/>
    <s v=""/>
    <n v="24"/>
    <s v=""/>
    <n v="24"/>
    <n v="0"/>
    <n v="0"/>
    <s v=""/>
  </r>
  <r>
    <x v="44"/>
    <x v="2"/>
    <n v="2049000"/>
    <n v="9183458"/>
    <n v="0.22311856819076212"/>
    <n v="0"/>
    <s v=""/>
    <n v="24"/>
    <s v=""/>
    <n v="24"/>
    <n v="0"/>
    <n v="0"/>
    <s v=""/>
  </r>
  <r>
    <x v="44"/>
    <x v="3"/>
    <n v="48919970.259999998"/>
    <n v="9183458"/>
    <n v="5.3269661885533743"/>
    <n v="0"/>
    <s v=""/>
    <n v="24"/>
    <s v=""/>
    <n v="24"/>
    <n v="0"/>
    <n v="0"/>
    <s v=""/>
  </r>
  <r>
    <x v="45"/>
    <x v="0"/>
    <n v="55498182.030000001"/>
    <n v="9183458"/>
    <n v="6.0432771653118031"/>
    <n v="3.7692600000000001"/>
    <n v="0.62371125746729261"/>
    <n v="17.079999999999998"/>
    <n v="0.22068266978922718"/>
    <n v="17.079999999999998"/>
    <n v="0"/>
    <n v="0"/>
    <s v=""/>
  </r>
  <r>
    <x v="45"/>
    <x v="1"/>
    <n v="26190000"/>
    <n v="9183458"/>
    <n v="2.8518669111352173"/>
    <n v="0"/>
    <s v=""/>
    <n v="17.079999999999998"/>
    <s v=""/>
    <n v="17.079999999999998"/>
    <n v="0"/>
    <n v="0"/>
    <s v=""/>
  </r>
  <r>
    <x v="45"/>
    <x v="2"/>
    <n v="2049000"/>
    <n v="9183458"/>
    <n v="0.22311856819076212"/>
    <n v="0"/>
    <s v=""/>
    <n v="17.079999999999998"/>
    <s v=""/>
    <n v="17.079999999999998"/>
    <n v="0"/>
    <n v="4.3982070000000002"/>
    <n v="-1"/>
  </r>
  <r>
    <x v="45"/>
    <x v="3"/>
    <n v="48919970.259999998"/>
    <n v="9183458"/>
    <n v="5.3269661885533743"/>
    <n v="4.3982070000000002"/>
    <n v="0.82564950561370198"/>
    <n v="17.079999999999998"/>
    <n v="0.25750626463700238"/>
    <n v="17.079999999999998"/>
    <n v="0"/>
    <n v="0"/>
    <s v=""/>
  </r>
  <r>
    <x v="46"/>
    <x v="0"/>
    <n v="805497405.55999994"/>
    <n v="188177338"/>
    <n v="4.2805229052607805"/>
    <n v="2.3192654978"/>
    <n v="0.54181826592952298"/>
    <n v="31.98"/>
    <n v="7.2522373289555978E-2"/>
    <n v="31.98"/>
    <n v="0"/>
    <n v="4.4176596381"/>
    <n v="-0.47500131567458248"/>
  </r>
  <r>
    <x v="46"/>
    <x v="1"/>
    <n v="750490000"/>
    <n v="188177338"/>
    <n v="3.988206061242082"/>
    <n v="4.4176596381"/>
    <n v="1.1076808896690182"/>
    <n v="31.98"/>
    <n v="0.13813820006566604"/>
    <n v="31.98"/>
    <n v="0"/>
    <n v="3.6718683019"/>
    <n v="0.20310950036364095"/>
  </r>
  <r>
    <x v="46"/>
    <x v="2"/>
    <n v="945719000"/>
    <n v="188177338"/>
    <n v="5.0256795534008454"/>
    <n v="3.6718683019"/>
    <n v="0.73062125487393448"/>
    <n v="31.98"/>
    <n v="0.11481764546278925"/>
    <n v="31.98"/>
    <n v="0"/>
    <n v="3.24332932"/>
    <n v="0.1321293459956141"/>
  </r>
  <r>
    <x v="46"/>
    <x v="3"/>
    <n v="887625000"/>
    <n v="188177338"/>
    <n v="4.7169601261975549"/>
    <n v="3.24332932"/>
    <n v="0.68758887784250122"/>
    <n v="31.98"/>
    <n v="0.10141742714196372"/>
    <n v="31.98"/>
    <n v="0"/>
    <n v="0"/>
    <s v=""/>
  </r>
  <r>
    <x v="47"/>
    <x v="0"/>
    <n v="805497405.55999994"/>
    <n v="188177338"/>
    <n v="4.2805229052607805"/>
    <n v="2.3192654978"/>
    <n v="0.54181826592952298"/>
    <n v="32.01"/>
    <n v="7.2454404804748518E-2"/>
    <n v="32.01"/>
    <n v="0"/>
    <n v="4.4176596381"/>
    <n v="-0.47500131567458248"/>
  </r>
  <r>
    <x v="47"/>
    <x v="1"/>
    <n v="750490000"/>
    <n v="188177338"/>
    <n v="3.988206061242082"/>
    <n v="4.4176596381"/>
    <n v="1.1076808896690182"/>
    <n v="32.01"/>
    <n v="0.13800873596063731"/>
    <n v="32.01"/>
    <n v="0"/>
    <n v="3.6718683019"/>
    <n v="0.20310950036364095"/>
  </r>
  <r>
    <x v="47"/>
    <x v="2"/>
    <n v="945719000"/>
    <n v="188177338"/>
    <n v="5.0256795534008454"/>
    <n v="3.6718683019"/>
    <n v="0.73062125487393448"/>
    <n v="32.01"/>
    <n v="0.11471003754764136"/>
    <n v="32.01"/>
    <n v="0"/>
    <n v="3.24332932"/>
    <n v="0.1321293459956141"/>
  </r>
  <r>
    <x v="47"/>
    <x v="3"/>
    <n v="887625000"/>
    <n v="188177338"/>
    <n v="4.7169601261975549"/>
    <n v="3.24332932"/>
    <n v="0.68758887784250122"/>
    <n v="32.01"/>
    <n v="0.10132237800687285"/>
    <n v="32.01"/>
    <n v="0"/>
    <n v="0"/>
    <s v=""/>
  </r>
  <r>
    <x v="48"/>
    <x v="0"/>
    <n v="15128479.970000001"/>
    <n v="74612388"/>
    <n v="0.20276096738788202"/>
    <n v="0.20233950000000001"/>
    <n v="0.99792135836935647"/>
    <n v="18"/>
    <n v="1.1241083333333334E-2"/>
    <n v="18"/>
    <n v="0"/>
    <n v="3.2507519999999999"/>
    <n v="-0.93775609458980569"/>
  </r>
  <r>
    <x v="48"/>
    <x v="1"/>
    <n v="283416000"/>
    <n v="74612388"/>
    <n v="3.7985113142337705"/>
    <n v="3.2507519999999999"/>
    <n v="0.85579631889440255"/>
    <n v="18"/>
    <n v="0.18059733333333333"/>
    <n v="18"/>
    <n v="0"/>
    <n v="7.7614026300000001"/>
    <n v="-0.58116436487459999"/>
  </r>
  <r>
    <x v="48"/>
    <x v="2"/>
    <n v="448291000"/>
    <n v="74612388"/>
    <n v="6.0082650082182063"/>
    <n v="3.3315596300000001"/>
    <n v="0.55449611916968322"/>
    <n v="18"/>
    <n v="0.18508664611111111"/>
    <n v="18"/>
    <n v="0"/>
    <n v="0"/>
    <s v=""/>
  </r>
  <r>
    <x v="48"/>
    <x v="2"/>
    <n v="586949000"/>
    <n v="74612388"/>
    <n v="7.866642734983901"/>
    <n v="4.429843"/>
    <n v="0.56311734868801888"/>
    <n v="18"/>
    <n v="0.24610238888888888"/>
    <n v="18"/>
    <n v="0"/>
    <n v="0"/>
    <s v=""/>
  </r>
  <r>
    <x v="49"/>
    <x v="0"/>
    <n v="15128479.970000001"/>
    <n v="74612388"/>
    <n v="0.20276096738788202"/>
    <n v="0.22263450000000001"/>
    <n v="1.0980145876602565"/>
    <n v="21.51"/>
    <n v="1.0350278940027893E-2"/>
    <n v="21.51"/>
    <n v="0"/>
    <n v="3.5758272"/>
    <n v="-0.93773902161715195"/>
  </r>
  <r>
    <x v="49"/>
    <x v="1"/>
    <n v="283416000"/>
    <n v="74612388"/>
    <n v="3.7985113142337705"/>
    <n v="3.5758272"/>
    <n v="0.94137595078384284"/>
    <n v="21.51"/>
    <n v="0.1662402231520223"/>
    <n v="21.51"/>
    <n v="0"/>
    <n v="8.5375832999999997"/>
    <n v="-0.5811663471558749"/>
  </r>
  <r>
    <x v="49"/>
    <x v="2"/>
    <n v="448291000"/>
    <n v="74612388"/>
    <n v="6.0082650082182063"/>
    <n v="3.6647560000000001"/>
    <n v="0.60995245632262973"/>
    <n v="21.51"/>
    <n v="0.17037452347745233"/>
    <n v="21.51"/>
    <n v="0"/>
    <n v="0"/>
    <s v=""/>
  </r>
  <r>
    <x v="49"/>
    <x v="2"/>
    <n v="586949000"/>
    <n v="74612388"/>
    <n v="7.866642734983901"/>
    <n v="4.8728273"/>
    <n v="0.6194290835568208"/>
    <n v="21.51"/>
    <n v="0.22653776383077637"/>
    <n v="21.51"/>
    <n v="0"/>
    <n v="0"/>
    <s v=""/>
  </r>
  <r>
    <x v="50"/>
    <x v="0"/>
    <n v="147982000"/>
    <n v="327502673"/>
    <n v="0.4518497471927504"/>
    <n v="1.1599999999999999"/>
    <n v="2.5672250725088186"/>
    <n v="19.399999999999999"/>
    <n v="5.9793814432989693E-2"/>
    <n v="19.399999999999999"/>
    <n v="0"/>
    <n v="1.6978355000000001"/>
    <n v="-0.31677715538401696"/>
  </r>
  <r>
    <x v="50"/>
    <x v="1"/>
    <n v="108581000"/>
    <n v="327502673"/>
    <n v="0.33154233217510259"/>
    <n v="1.6978355000000001"/>
    <n v="5.121021767752107"/>
    <n v="19.399999999999999"/>
    <n v="8.7517293814433003E-2"/>
    <n v="19.399999999999999"/>
    <n v="0"/>
    <n v="0.70331069999999996"/>
    <n v="1.4140618079605503"/>
  </r>
  <r>
    <x v="50"/>
    <x v="2"/>
    <n v="93042000"/>
    <n v="327502673"/>
    <n v="0.28409539118479193"/>
    <n v="0.70331069999999996"/>
    <n v="2.475614606301467"/>
    <n v="19.399999999999999"/>
    <n v="3.6253128865979381E-2"/>
    <n v="19.399999999999999"/>
    <n v="0"/>
    <n v="0"/>
    <s v=""/>
  </r>
  <r>
    <x v="51"/>
    <x v="0"/>
    <n v="147982000"/>
    <n v="327502673"/>
    <n v="0.4518497471927504"/>
    <n v="1.82"/>
    <n v="4.027887613763836"/>
    <n v="21.64"/>
    <n v="8.4103512014787427E-2"/>
    <n v="21.64"/>
    <n v="0"/>
    <n v="1.8245449413999999"/>
    <n v="-2.490999973128849E-3"/>
  </r>
  <r>
    <x v="51"/>
    <x v="1"/>
    <n v="108581000"/>
    <n v="327502673"/>
    <n v="0.33154233217510259"/>
    <n v="1.8245449413999999"/>
    <n v="5.5032035560284793"/>
    <n v="21.64"/>
    <n v="8.4313537033271713E-2"/>
    <n v="21.64"/>
    <n v="0"/>
    <n v="1.8245449413999999"/>
    <n v="0"/>
  </r>
  <r>
    <x v="51"/>
    <x v="2"/>
    <n v="93042000"/>
    <n v="327502673"/>
    <n v="0.28409539118479193"/>
    <n v="1.8245449413999999"/>
    <n v="6.4222968693399576"/>
    <n v="21.64"/>
    <n v="8.4313537033271713E-2"/>
    <n v="21.64"/>
    <n v="0"/>
    <n v="0"/>
    <s v=""/>
  </r>
  <r>
    <x v="52"/>
    <x v="0"/>
    <n v="147982000"/>
    <n v="327502673"/>
    <n v="0.4518497471927504"/>
    <n v="1.1599999999999999"/>
    <n v="2.5672250725088186"/>
    <n v="21.47"/>
    <n v="5.4028877503493243E-2"/>
    <n v="21.47"/>
    <n v="0"/>
    <n v="1.4108145000000001"/>
    <n v="-0.1777799278360126"/>
  </r>
  <r>
    <x v="52"/>
    <x v="1"/>
    <n v="108581000"/>
    <n v="327502673"/>
    <n v="0.33154233217510259"/>
    <n v="1.4108145000000001"/>
    <n v="4.2553072808056518"/>
    <n v="21.47"/>
    <n v="6.5710968793665586E-2"/>
    <n v="21.47"/>
    <n v="0"/>
    <n v="0.70331069999999996"/>
    <n v="1.0059619454104709"/>
  </r>
  <r>
    <x v="52"/>
    <x v="2"/>
    <n v="93042000"/>
    <n v="327502673"/>
    <n v="0.28409539118479193"/>
    <n v="0.70331069999999996"/>
    <n v="2.475614606301467"/>
    <n v="21.47"/>
    <n v="3.2757834187238009E-2"/>
    <n v="21.47"/>
    <n v="0"/>
    <n v="0"/>
    <s v=""/>
  </r>
  <r>
    <x v="53"/>
    <x v="0"/>
    <n v="11833190.779999999"/>
    <n v="24948000"/>
    <n v="0.47431420474587138"/>
    <n v="5.0590000000000003E-2"/>
    <n v="0.10665925560273948"/>
    <n v="7.08"/>
    <n v="7.1454802259887009E-3"/>
    <n v="0"/>
    <n v="7.08"/>
    <n v="0"/>
    <s v=""/>
  </r>
  <r>
    <x v="53"/>
    <x v="1"/>
    <n v="-9978849.7799999993"/>
    <n v="24948000"/>
    <n v="-0.39998596200096198"/>
    <n v="0"/>
    <s v=""/>
    <n v="7.08"/>
    <s v=""/>
    <n v="0"/>
    <n v="7.08"/>
    <n v="9.9110000000000004E-2"/>
    <n v="-1"/>
  </r>
  <r>
    <x v="53"/>
    <x v="2"/>
    <n v="9148149.2799999993"/>
    <n v="24948000"/>
    <n v="0.36668868366201696"/>
    <n v="9.9110000000000004E-2"/>
    <n v="0.27028377044586227"/>
    <n v="7.08"/>
    <n v="1.399858757062147E-2"/>
    <n v="0"/>
    <n v="7.08"/>
    <n v="8.3030000000000007E-2"/>
    <n v="0.19366494038299398"/>
  </r>
  <r>
    <x v="53"/>
    <x v="3"/>
    <n v="8891946.6600000001"/>
    <n v="24948000"/>
    <n v="0.35641921837421836"/>
    <n v="8.3030000000000007E-2"/>
    <n v="0.23295601280631167"/>
    <n v="7.08"/>
    <n v="1.1727401129943504E-2"/>
    <n v="0"/>
    <n v="7.08"/>
    <n v="0"/>
    <s v=""/>
  </r>
  <r>
    <x v="54"/>
    <x v="0"/>
    <n v="11833190.779999999"/>
    <n v="24948000"/>
    <n v="0.47431420474587138"/>
    <n v="5.5649999999999998E-2"/>
    <n v="0.11732728947010183"/>
    <n v="13.08"/>
    <n v="4.2545871559633028E-3"/>
    <n v="0"/>
    <n v="13.08"/>
    <n v="0"/>
    <s v=""/>
  </r>
  <r>
    <x v="54"/>
    <x v="1"/>
    <n v="-9978849.7799999993"/>
    <n v="24948000"/>
    <n v="-0.39998596200096198"/>
    <n v="0"/>
    <s v=""/>
    <n v="13.08"/>
    <s v=""/>
    <n v="0"/>
    <n v="13.08"/>
    <n v="0.10902000000000001"/>
    <n v="-1"/>
  </r>
  <r>
    <x v="54"/>
    <x v="2"/>
    <n v="9148149.2799999993"/>
    <n v="24948000"/>
    <n v="0.36668868366201696"/>
    <n v="0.10902000000000001"/>
    <n v="0.29730942038147418"/>
    <n v="13.08"/>
    <n v="8.3348623853211016E-3"/>
    <n v="0"/>
    <n v="13.08"/>
    <n v="9.1329999999999995E-2"/>
    <n v="0.19369320048176952"/>
  </r>
  <r>
    <x v="54"/>
    <x v="3"/>
    <n v="8891946.6600000001"/>
    <n v="24948000"/>
    <n v="0.35641921837421836"/>
    <n v="9.1329999999999995E-2"/>
    <n v="0.25624319703240322"/>
    <n v="13.08"/>
    <n v="6.9824159021406726E-3"/>
    <n v="0"/>
    <n v="13.08"/>
    <n v="0"/>
    <s v=""/>
  </r>
  <r>
    <x v="55"/>
    <x v="0"/>
    <n v="-258366398.66"/>
    <n v="38571591"/>
    <n v="-6.6983599058695811"/>
    <n v="0"/>
    <s v=""/>
    <n v="15.9"/>
    <s v=""/>
    <n v="15.9"/>
    <n v="0"/>
    <n v="2.2201449599999998"/>
    <n v="-1"/>
  </r>
  <r>
    <x v="55"/>
    <x v="1"/>
    <n v="323886563.73000002"/>
    <n v="38571591"/>
    <n v="8.3970236988668692"/>
    <n v="2.2201449599999998"/>
    <n v="0.26439665286398989"/>
    <n v="15.9"/>
    <n v="0.13963175849056603"/>
    <n v="15.9"/>
    <n v="0"/>
    <n v="2.09736089"/>
    <n v="5.85421758293585E-2"/>
  </r>
  <r>
    <x v="55"/>
    <x v="2"/>
    <n v="259841000"/>
    <n v="38571591"/>
    <n v="6.7365901499888867"/>
    <n v="2.09736089"/>
    <n v="0.31133865105382136"/>
    <n v="15.9"/>
    <n v="0.13190948993710691"/>
    <n v="15.9"/>
    <n v="0"/>
    <n v="0.97620123000000003"/>
    <n v="1.1484923656570274"/>
  </r>
  <r>
    <x v="55"/>
    <x v="3"/>
    <n v="120919000"/>
    <n v="38571591"/>
    <n v="3.1349238355244409"/>
    <n v="0.97620123000000003"/>
    <n v="0.31139551747249755"/>
    <n v="15.9"/>
    <n v="6.1396303773584904E-2"/>
    <n v="15.9"/>
    <n v="0"/>
    <n v="1.9821435199999999"/>
    <n v="-0.50750224686050982"/>
  </r>
  <r>
    <x v="55"/>
    <x v="4"/>
    <n v="245522000"/>
    <n v="38571591"/>
    <n v="6.3653583799537854"/>
    <n v="1.9821435199999999"/>
    <n v="0.31139543159773997"/>
    <n v="15.9"/>
    <n v="0.1246631144654088"/>
    <n v="15.9"/>
    <n v="0"/>
    <n v="0"/>
    <s v=""/>
  </r>
  <r>
    <x v="56"/>
    <x v="0"/>
    <n v="4271685000"/>
    <n v="962672385"/>
    <n v="4.4373195560190499"/>
    <n v="1.4286055"/>
    <n v="0.32195235929360838"/>
    <n v="13.81"/>
    <n v="0.10344717595944967"/>
    <n v="13.81"/>
    <n v="0"/>
    <n v="1.9"/>
    <n v="-0.2481023684210526"/>
  </r>
  <r>
    <x v="56"/>
    <x v="1"/>
    <n v="2415450000"/>
    <n v="962672385"/>
    <n v="2.5091090568677732"/>
    <n v="1.9"/>
    <n v="0.75724089983232934"/>
    <n v="13.81"/>
    <n v="0.13758146270818247"/>
    <n v="13.81"/>
    <n v="0"/>
    <n v="1.75"/>
    <n v="8.5714285714285632E-2"/>
  </r>
  <r>
    <x v="56"/>
    <x v="2"/>
    <n v="2257976000"/>
    <n v="962672385"/>
    <n v="2.3455290036184011"/>
    <n v="1.75"/>
    <n v="0.74610034550854398"/>
    <n v="13.81"/>
    <n v="0.12671976828385229"/>
    <n v="13.81"/>
    <n v="0"/>
    <n v="1.5"/>
    <n v="0.16666666666666674"/>
  </r>
  <r>
    <x v="56"/>
    <x v="3"/>
    <n v="1861403000"/>
    <n v="962672385"/>
    <n v="1.9335788883151561"/>
    <n v="1.5"/>
    <n v="0.77576353830954392"/>
    <n v="13.81"/>
    <n v="0.10861694424330195"/>
    <n v="13.81"/>
    <n v="0"/>
    <n v="0"/>
    <s v=""/>
  </r>
  <r>
    <x v="57"/>
    <x v="0"/>
    <n v="4271685000"/>
    <n v="962672385"/>
    <n v="4.4373195560190499"/>
    <n v="1.4286055"/>
    <n v="0.32195235929360838"/>
    <n v="13.3"/>
    <n v="0.10741394736842104"/>
    <n v="13.3"/>
    <n v="0"/>
    <n v="1.9"/>
    <n v="-0.2481023684210526"/>
  </r>
  <r>
    <x v="57"/>
    <x v="1"/>
    <n v="2415450000"/>
    <n v="962672385"/>
    <n v="2.5091090568677732"/>
    <n v="1.9"/>
    <n v="0.75724089983232934"/>
    <n v="13.3"/>
    <n v="0.14285714285714285"/>
    <n v="13.3"/>
    <n v="0"/>
    <n v="1.75"/>
    <n v="8.5714285714285632E-2"/>
  </r>
  <r>
    <x v="57"/>
    <x v="2"/>
    <n v="2257976000"/>
    <n v="962672385"/>
    <n v="2.3455290036184011"/>
    <n v="1.75"/>
    <n v="0.74610034550854398"/>
    <n v="13.3"/>
    <n v="0.13157894736842105"/>
    <n v="13.3"/>
    <n v="0"/>
    <n v="1.5"/>
    <n v="0.16666666666666674"/>
  </r>
  <r>
    <x v="57"/>
    <x v="3"/>
    <n v="1861403000"/>
    <n v="962672385"/>
    <n v="1.9335788883151561"/>
    <n v="1.5"/>
    <n v="0.77576353830954392"/>
    <n v="13.3"/>
    <n v="0.11278195488721804"/>
    <n v="13.3"/>
    <n v="0"/>
    <n v="0"/>
    <s v=""/>
  </r>
  <r>
    <x v="58"/>
    <x v="0"/>
    <n v="400000153.68000001"/>
    <n v="77855299"/>
    <n v="5.1377383276120998"/>
    <n v="2.7486247275000002"/>
    <n v="0.53498729445364657"/>
    <n v="48.35"/>
    <n v="5.6848494881075497E-2"/>
    <n v="48.35"/>
    <n v="0"/>
    <n v="3.5452297189999999"/>
    <n v="-0.22469770780458687"/>
  </r>
  <r>
    <x v="58"/>
    <x v="1"/>
    <n v="471181647.69999999"/>
    <n v="77855299"/>
    <n v="6.0520177014540781"/>
    <n v="3.5452297189999999"/>
    <n v="0.58579301877260059"/>
    <n v="48.35"/>
    <n v="7.3324296153050667E-2"/>
    <n v="48.35"/>
    <n v="0"/>
    <n v="4.272592929"/>
    <n v="-0.17023929545523997"/>
  </r>
  <r>
    <x v="58"/>
    <x v="2"/>
    <n v="458054165.95999998"/>
    <n v="77855299"/>
    <n v="5.8834038510339548"/>
    <n v="4.272592929"/>
    <n v="0.72621105692908205"/>
    <n v="48.35"/>
    <n v="8.8368002668045495E-2"/>
    <n v="48.35"/>
    <n v="0"/>
    <n v="0"/>
    <s v=""/>
  </r>
  <r>
    <x v="59"/>
    <x v="0"/>
    <n v="400000153.68000001"/>
    <n v="77855299"/>
    <n v="5.1377383276120998"/>
    <n v="2.7486247275000002"/>
    <n v="0.53498729445364657"/>
    <n v="48.1"/>
    <n v="5.7143965228690231E-2"/>
    <n v="48.1"/>
    <n v="0"/>
    <n v="3.5452297189999999"/>
    <n v="-0.22469770780458687"/>
  </r>
  <r>
    <x v="59"/>
    <x v="1"/>
    <n v="471181647.69999999"/>
    <n v="77855299"/>
    <n v="6.0520177014540781"/>
    <n v="3.5452297189999999"/>
    <n v="0.58579301877260059"/>
    <n v="48.1"/>
    <n v="7.370539956340956E-2"/>
    <n v="48.1"/>
    <n v="0"/>
    <n v="4.272592929"/>
    <n v="-0.17023929545523997"/>
  </r>
  <r>
    <x v="59"/>
    <x v="2"/>
    <n v="458054165.95999998"/>
    <n v="77855299"/>
    <n v="5.8834038510339548"/>
    <n v="4.272592929"/>
    <n v="0.72621105692908205"/>
    <n v="48.1"/>
    <n v="8.8827295821205812E-2"/>
    <n v="48.1"/>
    <n v="0"/>
    <n v="0"/>
    <s v=""/>
  </r>
  <r>
    <x v="60"/>
    <x v="0"/>
    <n v="1225923257.8099999"/>
    <n v="962274260"/>
    <n v="1.2739852958448665"/>
    <n v="1.139118233"/>
    <n v="0.89413766133350314"/>
    <n v="18.73"/>
    <n v="6.0817844794447413E-2"/>
    <n v="18.73"/>
    <n v="0"/>
    <n v="1.5653283019999999"/>
    <n v="-0.27228158364953647"/>
  </r>
  <r>
    <x v="60"/>
    <x v="1"/>
    <n v="1572292596.6700001"/>
    <n v="962274260"/>
    <n v="1.6339339645954991"/>
    <n v="1.5653283019999999"/>
    <n v="0.9580119735056225"/>
    <n v="18.73"/>
    <n v="8.3573320982381197E-2"/>
    <n v="18.73"/>
    <n v="0"/>
    <n v="2.6197703689999998"/>
    <n v="-0.40249408096118522"/>
  </r>
  <r>
    <x v="60"/>
    <x v="2"/>
    <n v="1595150826.9300001"/>
    <n v="962274260"/>
    <n v="1.6576883464907397"/>
    <n v="2.6197703689999998"/>
    <n v="1.580375692780823"/>
    <n v="18.73"/>
    <n v="0.13987028131340096"/>
    <n v="18.73"/>
    <n v="0"/>
    <n v="2.5560733889999998"/>
    <n v="2.4919855695113569E-2"/>
  </r>
  <r>
    <x v="60"/>
    <x v="3"/>
    <n v="1649898817.26"/>
    <n v="962274260"/>
    <n v="1.7145827191304068"/>
    <n v="2.5560733889999998"/>
    <n v="1.4907845276175278"/>
    <n v="18.73"/>
    <n v="0.13646948152696209"/>
    <n v="18.73"/>
    <n v="0"/>
    <n v="0"/>
    <s v=""/>
  </r>
  <r>
    <x v="61"/>
    <x v="0"/>
    <n v="700688167.34000003"/>
    <n v="273655375"/>
    <n v="2.5604765385660708"/>
    <n v="0.93527000000000005"/>
    <n v="0.36527184917061339"/>
    <n v="22.2"/>
    <n v="4.2129279279279286E-2"/>
    <n v="22.2"/>
    <n v="0"/>
    <n v="1.4683299999999999"/>
    <n v="-0.36303828158520213"/>
  </r>
  <r>
    <x v="61"/>
    <x v="1"/>
    <n v="1203117000"/>
    <n v="273655375"/>
    <n v="4.396467637443628"/>
    <n v="1.4683299999999999"/>
    <n v="0.33397948559761848"/>
    <n v="22.2"/>
    <n v="6.6140990990990994E-2"/>
    <n v="22.2"/>
    <n v="0"/>
    <n v="0.98026999999999997"/>
    <n v="0.49788323625123687"/>
  </r>
  <r>
    <x v="61"/>
    <x v="2"/>
    <n v="1041534000"/>
    <n v="273655375"/>
    <n v="3.8060060029882474"/>
    <n v="0.98026999999999997"/>
    <n v="0.25755871095062666"/>
    <n v="22.2"/>
    <n v="4.4156306306306306E-2"/>
    <n v="22.2"/>
    <n v="0"/>
    <n v="0.86965000000000003"/>
    <n v="0.12720059794170058"/>
  </r>
  <r>
    <x v="61"/>
    <x v="3"/>
    <n v="900821000"/>
    <n v="273655375"/>
    <n v="3.2918081729620696"/>
    <n v="0.86965000000000003"/>
    <n v="0.26418611119051399"/>
    <n v="22.2"/>
    <n v="3.9173423423423427E-2"/>
    <n v="22.2"/>
    <n v="0"/>
    <n v="0"/>
    <s v=""/>
  </r>
  <r>
    <x v="62"/>
    <x v="0"/>
    <n v="700688167.34000003"/>
    <n v="273655375"/>
    <n v="2.5604765385660708"/>
    <n v="2.5250699999999999"/>
    <n v="0.98617189494503266"/>
    <n v="30"/>
    <n v="8.4168999999999994E-2"/>
    <n v="30"/>
    <n v="0"/>
    <n v="2.5250699999999999"/>
    <n v="0"/>
  </r>
  <r>
    <x v="62"/>
    <x v="1"/>
    <n v="1203117000"/>
    <n v="273655375"/>
    <n v="4.396467637443628"/>
    <n v="2.5250699999999999"/>
    <n v="0.57434063166861571"/>
    <n v="30"/>
    <n v="8.4168999999999994E-2"/>
    <n v="30"/>
    <n v="0"/>
    <n v="2.5250699999999999"/>
    <n v="0"/>
  </r>
  <r>
    <x v="62"/>
    <x v="2"/>
    <n v="1041534000"/>
    <n v="273655375"/>
    <n v="3.8060060029882474"/>
    <n v="2.5250699999999999"/>
    <n v="0.66344351480724584"/>
    <n v="30"/>
    <n v="8.4168999999999994E-2"/>
    <n v="30"/>
    <n v="0"/>
    <n v="1.6297900000000001"/>
    <n v="0.54932230532768012"/>
  </r>
  <r>
    <x v="62"/>
    <x v="3"/>
    <n v="900821000"/>
    <n v="273655375"/>
    <n v="3.2918081729620696"/>
    <n v="1.6297900000000001"/>
    <n v="0.49510479176356903"/>
    <n v="30"/>
    <n v="5.4326333333333338E-2"/>
    <n v="30"/>
    <n v="0"/>
    <n v="0"/>
    <s v=""/>
  </r>
  <r>
    <x v="63"/>
    <x v="0"/>
    <n v="700688167.34000003"/>
    <n v="273655375"/>
    <n v="2.5604765385660708"/>
    <n v="1.0288900000000001"/>
    <n v="0.40183535545152993"/>
    <n v="30.83"/>
    <n v="3.3373013298735002E-2"/>
    <n v="30.83"/>
    <n v="0"/>
    <n v="1.6154599999999999"/>
    <n v="-0.36309781733995261"/>
  </r>
  <r>
    <x v="63"/>
    <x v="1"/>
    <n v="1203117000"/>
    <n v="273655375"/>
    <n v="4.396467637443628"/>
    <n v="1.6154599999999999"/>
    <n v="0.3674449883905721"/>
    <n v="30.83"/>
    <n v="5.2398962049951349E-2"/>
    <n v="30.83"/>
    <n v="0"/>
    <n v="1.0785400000000001"/>
    <n v="0.49782112856268634"/>
  </r>
  <r>
    <x v="63"/>
    <x v="2"/>
    <n v="1041534000"/>
    <n v="273655375"/>
    <n v="3.8060060029882474"/>
    <n v="1.0785400000000001"/>
    <n v="0.28337842850305417"/>
    <n v="30.83"/>
    <n v="3.4983457671099581E-2"/>
    <n v="30.83"/>
    <n v="0"/>
    <n v="0.95679000000000003"/>
    <n v="0.12724840351592315"/>
  </r>
  <r>
    <x v="63"/>
    <x v="3"/>
    <n v="900821000"/>
    <n v="273655375"/>
    <n v="3.2918081729620696"/>
    <n v="0.95679000000000003"/>
    <n v="0.29065788458112102"/>
    <n v="30.83"/>
    <n v="3.1034382095361662E-2"/>
    <n v="30.83"/>
    <n v="0"/>
    <n v="0"/>
    <s v=""/>
  </r>
  <r>
    <x v="64"/>
    <x v="0"/>
    <n v="94365000"/>
    <n v="105765903"/>
    <n v="0.8922062528979684"/>
    <n v="0.23760000000000001"/>
    <n v="0.2663061363090129"/>
    <n v="3.85"/>
    <n v="6.1714285714285715E-2"/>
    <n v="0"/>
    <n v="3.85"/>
    <n v="0.17430000000000001"/>
    <n v="0.36316695352839923"/>
  </r>
  <r>
    <x v="64"/>
    <x v="1"/>
    <n v="76912864.659999996"/>
    <n v="105765903"/>
    <n v="0.72719905450057942"/>
    <n v="0.17430000000000001"/>
    <n v="0.23968678028563242"/>
    <n v="3.85"/>
    <n v="4.5272727272727277E-2"/>
    <n v="0"/>
    <n v="3.85"/>
    <n v="0.1163"/>
    <n v="0.49871023215821153"/>
  </r>
  <r>
    <x v="64"/>
    <x v="2"/>
    <n v="61174998.299999997"/>
    <n v="105765903"/>
    <n v="0.57840000004538317"/>
    <n v="0.1163"/>
    <n v="0.20107192252917483"/>
    <n v="3.85"/>
    <n v="3.0207792207792208E-2"/>
    <n v="0"/>
    <n v="3.85"/>
    <n v="0.16420000000000001"/>
    <n v="-0.29171741778319127"/>
  </r>
  <r>
    <x v="64"/>
    <x v="3"/>
    <n v="67848826.769999996"/>
    <n v="105765903"/>
    <n v="0.64149999995745322"/>
    <n v="0.16420000000000001"/>
    <n v="0.25596258770208946"/>
    <n v="3.85"/>
    <n v="4.2649350649350652E-2"/>
    <n v="0"/>
    <n v="3.85"/>
    <n v="0"/>
    <s v=""/>
  </r>
  <r>
    <x v="65"/>
    <x v="0"/>
    <n v="94365000"/>
    <n v="105765903"/>
    <n v="0.8922062528979684"/>
    <n v="0.26429999999999998"/>
    <n v="0.29623195213161657"/>
    <n v="4.01"/>
    <n v="6.5910224438902737E-2"/>
    <n v="0"/>
    <n v="4.01"/>
    <n v="0.2402"/>
    <n v="0.10033305578684426"/>
  </r>
  <r>
    <x v="65"/>
    <x v="1"/>
    <n v="76912864.659999996"/>
    <n v="105765903"/>
    <n v="0.72719905450057942"/>
    <n v="0.2402"/>
    <n v="0.33030846026740618"/>
    <n v="4.01"/>
    <n v="5.9900249376558606E-2"/>
    <n v="0"/>
    <n v="4.01"/>
    <n v="0.2198"/>
    <n v="9.2811646951774351E-2"/>
  </r>
  <r>
    <x v="65"/>
    <x v="2"/>
    <n v="61174998.299999997"/>
    <n v="105765903"/>
    <n v="0.57840000004538317"/>
    <n v="0.2198"/>
    <n v="0.38001383122882737"/>
    <n v="4.01"/>
    <n v="5.4812967581047381E-2"/>
    <n v="0"/>
    <n v="4.01"/>
    <n v="0.19839999999999999"/>
    <n v="0.10786290322580649"/>
  </r>
  <r>
    <x v="65"/>
    <x v="3"/>
    <n v="67848826.769999996"/>
    <n v="105765903"/>
    <n v="0.64149999995745322"/>
    <n v="0.19839999999999999"/>
    <n v="0.30927513641957699"/>
    <n v="4.01"/>
    <n v="4.947630922693267E-2"/>
    <n v="0"/>
    <n v="4.01"/>
    <n v="0"/>
    <s v=""/>
  </r>
  <r>
    <x v="66"/>
    <x v="0"/>
    <n v="13717907.74"/>
    <n v="7680000"/>
    <n v="1.7861859036458334"/>
    <n v="1.24"/>
    <n v="0.69421665318766745"/>
    <n v="30.01"/>
    <n v="4.1319560146617793E-2"/>
    <n v="0"/>
    <n v="30.01"/>
    <n v="2.48"/>
    <n v="-0.5"/>
  </r>
  <r>
    <x v="66"/>
    <x v="1"/>
    <n v="28253000"/>
    <n v="7680000"/>
    <n v="3.6787760416666666"/>
    <n v="2.48"/>
    <n v="0.67413725976002548"/>
    <n v="30.01"/>
    <n v="8.2639120293235585E-2"/>
    <n v="0"/>
    <n v="30.01"/>
    <n v="2.5"/>
    <n v="-8.0000000000000071E-3"/>
  </r>
  <r>
    <x v="66"/>
    <x v="2"/>
    <n v="23457000"/>
    <n v="7680000"/>
    <n v="3.0542968749999999"/>
    <n v="2.5"/>
    <n v="0.81851899219849089"/>
    <n v="30.01"/>
    <n v="8.3305564811729418E-2"/>
    <n v="0"/>
    <n v="30.01"/>
    <n v="0"/>
    <s v=""/>
  </r>
  <r>
    <x v="67"/>
    <x v="0"/>
    <n v="13717907.74"/>
    <n v="7680000"/>
    <n v="1.7861859036458334"/>
    <n v="1.37"/>
    <n v="0.7669974313444391"/>
    <n v="30.05"/>
    <n v="4.5590682196339438E-2"/>
    <n v="0"/>
    <n v="30.05"/>
    <n v="2.74"/>
    <n v="-0.5"/>
  </r>
  <r>
    <x v="67"/>
    <x v="1"/>
    <n v="28253000"/>
    <n v="7680000"/>
    <n v="3.6787760416666666"/>
    <n v="2.74"/>
    <n v="0.7448129402187379"/>
    <n v="30.05"/>
    <n v="9.1181364392678876E-2"/>
    <n v="0"/>
    <n v="30.05"/>
    <n v="2.75"/>
    <n v="-3.6363636363635488E-3"/>
  </r>
  <r>
    <x v="67"/>
    <x v="2"/>
    <n v="23457000"/>
    <n v="7680000"/>
    <n v="3.0542968749999999"/>
    <n v="2.75"/>
    <n v="0.90037089141833992"/>
    <n v="30.05"/>
    <n v="9.1514143094841932E-2"/>
    <n v="0"/>
    <n v="30.05"/>
    <n v="0"/>
    <s v=""/>
  </r>
  <r>
    <x v="68"/>
    <x v="0"/>
    <n v="638200000"/>
    <n v="407214353"/>
    <n v="1.5672335596677753"/>
    <n v="0.74068530099999996"/>
    <n v="0.4726068405254234"/>
    <n v="38.26"/>
    <n v="1.9359260350235233E-2"/>
    <n v="0"/>
    <n v="38.26"/>
    <n v="0.61834152200000003"/>
    <n v="0.19785793877190083"/>
  </r>
  <r>
    <x v="68"/>
    <x v="1"/>
    <n v="2605800000"/>
    <n v="407214353"/>
    <n v="6.399086821971621"/>
    <n v="0.61834152200000003"/>
    <n v="9.6629650323994662E-2"/>
    <n v="38.26"/>
    <n v="1.6161566178776791E-2"/>
    <n v="0"/>
    <n v="38.26"/>
    <n v="0.49227156500000002"/>
    <n v="0.25609839357672426"/>
  </r>
  <r>
    <x v="68"/>
    <x v="2"/>
    <n v="771500000"/>
    <n v="407214353"/>
    <n v="1.8945795852141782"/>
    <n v="0.49227156500000002"/>
    <n v="0.25983155779879774"/>
    <n v="38.26"/>
    <n v="1.2866481050705699E-2"/>
    <n v="0"/>
    <n v="38.26"/>
    <n v="0"/>
    <s v=""/>
  </r>
  <r>
    <x v="69"/>
    <x v="0"/>
    <n v="486927674.55000001"/>
    <n v="119684430"/>
    <n v="4.0684295739220211"/>
    <n v="1.3564000000000001"/>
    <n v="0.33339645564822007"/>
    <n v="32.880000000000003"/>
    <n v="4.1253041362530413E-2"/>
    <n v="32.880000000000003"/>
    <n v="0"/>
    <n v="1.33"/>
    <n v="1.984962406015045E-2"/>
  </r>
  <r>
    <x v="69"/>
    <x v="1"/>
    <n v="470437900"/>
    <n v="119684430"/>
    <n v="3.9306524666575258"/>
    <n v="1.33"/>
    <n v="0.33836621560465263"/>
    <n v="32.880000000000003"/>
    <n v="4.0450121654501216E-2"/>
    <n v="32.880000000000003"/>
    <n v="0"/>
    <n v="1.95"/>
    <n v="-0.31794871794871793"/>
  </r>
  <r>
    <x v="69"/>
    <x v="2"/>
    <n v="677124500"/>
    <n v="119684430"/>
    <n v="5.6575821934398656"/>
    <n v="1.95"/>
    <n v="0.34467020245169089"/>
    <n v="32.880000000000003"/>
    <n v="5.930656934306569E-2"/>
    <n v="32.880000000000003"/>
    <n v="0"/>
    <n v="1.5"/>
    <n v="0.30000000000000004"/>
  </r>
  <r>
    <x v="69"/>
    <x v="3"/>
    <n v="525306600"/>
    <n v="119684430"/>
    <n v="4.3890972284364809"/>
    <n v="1.5"/>
    <n v="0.34175592882328149"/>
    <n v="32.880000000000003"/>
    <n v="4.5620437956204379E-2"/>
    <n v="32.880000000000003"/>
    <n v="0"/>
    <n v="0"/>
    <s v=""/>
  </r>
  <r>
    <x v="70"/>
    <x v="0"/>
    <n v="245872000"/>
    <n v="168074028"/>
    <n v="1.4628792022524741"/>
    <n v="0.210547822"/>
    <n v="0.14392700482432735"/>
    <n v="9.5"/>
    <n v="2.2162928631578947E-2"/>
    <n v="9.5"/>
    <n v="0"/>
    <n v="1.158632954"/>
    <n v="-0.81827910101027557"/>
  </r>
  <r>
    <x v="70"/>
    <x v="1"/>
    <n v="232128000"/>
    <n v="168074028"/>
    <n v="1.3811057113476213"/>
    <n v="1.158632954"/>
    <n v="0.83891692321615097"/>
    <n v="9.5"/>
    <n v="0.12196136357894737"/>
    <n v="9.5"/>
    <n v="0"/>
    <n v="1.1372260759999999"/>
    <n v="1.8823766401220077E-2"/>
  </r>
  <r>
    <x v="70"/>
    <x v="2"/>
    <n v="253664000"/>
    <n v="168074028"/>
    <n v="1.5092397261996957"/>
    <n v="1.1372260759999999"/>
    <n v="0.75350923796815517"/>
    <n v="9.5"/>
    <n v="0.11970800799999999"/>
    <n v="9.5"/>
    <n v="0"/>
    <n v="0.9505576"/>
    <n v="0.19637786915806044"/>
  </r>
  <r>
    <x v="70"/>
    <x v="3"/>
    <n v="244788000"/>
    <n v="168074028"/>
    <n v="1.4564296632433893"/>
    <n v="0.9505576"/>
    <n v="0.65266289474162464"/>
    <n v="9.5"/>
    <n v="0.1000586947368421"/>
    <n v="9.5"/>
    <n v="0"/>
    <n v="0"/>
    <s v=""/>
  </r>
  <r>
    <x v="71"/>
    <x v="0"/>
    <n v="245872000"/>
    <n v="168074028"/>
    <n v="1.4628792022524741"/>
    <n v="0.23160260399999999"/>
    <n v="0.1583197051700434"/>
    <n v="10.119999999999999"/>
    <n v="2.2885632806324111E-2"/>
    <n v="10.119999999999999"/>
    <n v="0"/>
    <n v="1.2744962500000001"/>
    <n v="-0.81827910125274994"/>
  </r>
  <r>
    <x v="71"/>
    <x v="1"/>
    <n v="232128000"/>
    <n v="168074028"/>
    <n v="1.3811057113476213"/>
    <n v="1.2744962500000001"/>
    <n v="0.92280861597220065"/>
    <n v="10.119999999999999"/>
    <n v="0.12593836462450594"/>
    <n v="10.119999999999999"/>
    <n v="0"/>
    <n v="1.250948685"/>
    <n v="1.8823765740638709E-2"/>
  </r>
  <r>
    <x v="71"/>
    <x v="2"/>
    <n v="253664000"/>
    <n v="168074028"/>
    <n v="1.5092397261996957"/>
    <n v="1.250948685"/>
    <n v="0.82886016269259011"/>
    <n v="10.119999999999999"/>
    <n v="0.12361153013833993"/>
    <n v="10.119999999999999"/>
    <n v="0"/>
    <n v="1.0456133000000001"/>
    <n v="0.19637793914824897"/>
  </r>
  <r>
    <x v="71"/>
    <x v="3"/>
    <n v="244788000"/>
    <n v="168074028"/>
    <n v="1.4564296632433893"/>
    <n v="1.0456133000000001"/>
    <n v="0.717929143019153"/>
    <n v="10.119999999999999"/>
    <n v="0.10332147233201583"/>
    <n v="10.119999999999999"/>
    <n v="0"/>
    <n v="0"/>
    <s v=""/>
  </r>
  <r>
    <x v="72"/>
    <x v="0"/>
    <n v="245872000"/>
    <n v="168074028"/>
    <n v="1.4628792022524741"/>
    <n v="0.23160260399999999"/>
    <n v="0.1583197051700434"/>
    <n v="9"/>
    <n v="2.5733622666666664E-2"/>
    <n v="9"/>
    <n v="0"/>
    <n v="1.2744962500000001"/>
    <n v="-0.81827910125274994"/>
  </r>
  <r>
    <x v="72"/>
    <x v="1"/>
    <n v="232128000"/>
    <n v="168074028"/>
    <n v="1.3811057113476213"/>
    <n v="1.2744962500000001"/>
    <n v="0.92280861597220065"/>
    <n v="9"/>
    <n v="0.14161069444444446"/>
    <n v="9"/>
    <n v="0"/>
    <n v="1.250948685"/>
    <n v="1.8823765740638709E-2"/>
  </r>
  <r>
    <x v="72"/>
    <x v="2"/>
    <n v="253664000"/>
    <n v="168074028"/>
    <n v="1.5092397261996957"/>
    <n v="1.250948685"/>
    <n v="0.82886016269259011"/>
    <n v="9"/>
    <n v="0.13899429833333332"/>
    <n v="9"/>
    <n v="0"/>
    <n v="1.0456133000000001"/>
    <n v="0.19637793914824897"/>
  </r>
  <r>
    <x v="72"/>
    <x v="3"/>
    <n v="244788000"/>
    <n v="168074028"/>
    <n v="1.4564296632433893"/>
    <n v="1.0456133000000001"/>
    <n v="0.717929143019153"/>
    <n v="9"/>
    <n v="0.11617925555555557"/>
    <n v="9"/>
    <n v="0"/>
    <n v="0"/>
    <s v=""/>
  </r>
  <r>
    <x v="73"/>
    <x v="0"/>
    <n v="357464258.91000003"/>
    <n v="243051520"/>
    <n v="1.4707345130365777"/>
    <n v="0.74467047200000003"/>
    <n v="0.50632555733155615"/>
    <n v="7.78"/>
    <n v="9.5715998971722366E-2"/>
    <n v="7.78"/>
    <n v="0"/>
    <n v="0.63549999999999995"/>
    <n v="0.17178673800157362"/>
  </r>
  <r>
    <x v="73"/>
    <x v="1"/>
    <n v="305060417.76999998"/>
    <n v="243051520"/>
    <n v="1.2551265582293005"/>
    <n v="0.63549999999999995"/>
    <n v="0.50632344271046792"/>
    <n v="7.78"/>
    <n v="8.1683804627249348E-2"/>
    <n v="7.78"/>
    <n v="0"/>
    <n v="0.57389999999999997"/>
    <n v="0.10733577278271467"/>
  </r>
  <r>
    <x v="73"/>
    <x v="2"/>
    <n v="276916946.19"/>
    <n v="243051520"/>
    <n v="1.1393343526096853"/>
    <n v="0.57389999999999997"/>
    <n v="0.50371517253514031"/>
    <n v="7.78"/>
    <n v="7.3766066838046263E-2"/>
    <n v="7.78"/>
    <n v="0"/>
    <n v="0.43609999999999999"/>
    <n v="0.31598257280440256"/>
  </r>
  <r>
    <x v="73"/>
    <x v="3"/>
    <n v="211087826.47999999"/>
    <n v="243051520"/>
    <n v="0.8684900488587769"/>
    <n v="0.43609999999999999"/>
    <n v="0.50213586278052236"/>
    <n v="7.78"/>
    <n v="5.6053984575835471E-2"/>
    <n v="7.78"/>
    <n v="0"/>
    <n v="0"/>
    <s v=""/>
  </r>
  <r>
    <x v="74"/>
    <x v="0"/>
    <n v="459255478.19"/>
    <n v="605059489"/>
    <n v="0.7590253298052152"/>
    <n v="0.28884578700000002"/>
    <n v="0.38054828430314053"/>
    <n v="12.54"/>
    <n v="2.30339543062201E-2"/>
    <n v="0"/>
    <n v="12.54"/>
    <n v="0.23499071399999999"/>
    <n v="0.22917957941095501"/>
  </r>
  <r>
    <x v="74"/>
    <x v="1"/>
    <n v="374211888.35000002"/>
    <n v="605059489"/>
    <n v="0.61847123324761211"/>
    <n v="0.23499071399999999"/>
    <n v="0.37995415367349633"/>
    <n v="12.54"/>
    <n v="1.8739291387559809E-2"/>
    <n v="0"/>
    <n v="12.54"/>
    <n v="0.34668314900000002"/>
    <n v="-0.32217439850242047"/>
  </r>
  <r>
    <x v="74"/>
    <x v="2"/>
    <n v="466895395.82999998"/>
    <n v="605059489"/>
    <n v="0.77165205127458136"/>
    <n v="0.34668314900000002"/>
    <n v="0.44927392913342723"/>
    <n v="12.54"/>
    <n v="2.7646184130781504E-2"/>
    <n v="0"/>
    <n v="12.54"/>
    <n v="7.8760800000000006E-2"/>
    <n v="3.4017220368508188"/>
  </r>
  <r>
    <x v="74"/>
    <x v="3"/>
    <n v="179469272.13999999"/>
    <n v="605059489"/>
    <n v="0.29661425926335649"/>
    <n v="7.8760800000000006E-2"/>
    <n v="0.26553275016380867"/>
    <n v="12.54"/>
    <n v="6.280765550239235E-3"/>
    <n v="0"/>
    <n v="12.54"/>
    <n v="0"/>
    <s v=""/>
  </r>
  <r>
    <x v="75"/>
    <x v="0"/>
    <n v="-130200000"/>
    <n v="387229828"/>
    <n v="-0.33623442871761416"/>
    <n v="0"/>
    <s v=""/>
    <n v="1.4"/>
    <s v=""/>
    <n v="1.4"/>
    <n v="0"/>
    <n v="0.1"/>
    <n v="-1"/>
  </r>
  <r>
    <x v="75"/>
    <x v="1"/>
    <n v="88173075.810000002"/>
    <n v="387229828"/>
    <n v="0.22770217951805097"/>
    <n v="0.1"/>
    <n v="0.43917014853198871"/>
    <n v="1.4"/>
    <n v="7.1428571428571438E-2"/>
    <n v="1.4"/>
    <n v="0"/>
    <n v="0"/>
    <s v=""/>
  </r>
  <r>
    <x v="76"/>
    <x v="0"/>
    <n v="-130200000"/>
    <n v="387229828"/>
    <n v="-0.33623442871761416"/>
    <n v="0"/>
    <s v=""/>
    <n v="1.85"/>
    <s v=""/>
    <n v="1.85"/>
    <n v="0"/>
    <n v="0.1"/>
    <n v="-1"/>
  </r>
  <r>
    <x v="76"/>
    <x v="1"/>
    <n v="88173075.810000002"/>
    <n v="387229828"/>
    <n v="0.22770217951805097"/>
    <n v="0.1"/>
    <n v="0.43917014853198871"/>
    <n v="1.85"/>
    <n v="5.4054054054054057E-2"/>
    <n v="1.85"/>
    <n v="0"/>
    <n v="0"/>
    <s v=""/>
  </r>
  <r>
    <x v="77"/>
    <x v="0"/>
    <n v="459346.49"/>
    <n v="31485170"/>
    <n v="1.4589296802272307E-2"/>
    <n v="0"/>
    <s v=""/>
    <n v="10"/>
    <s v=""/>
    <n v="0"/>
    <n v="10"/>
    <n v="0.11279"/>
    <n v="-1"/>
  </r>
  <r>
    <x v="77"/>
    <x v="1"/>
    <n v="14826895.1"/>
    <n v="31485170"/>
    <n v="0.47091678717313579"/>
    <n v="0.11279"/>
    <n v="0.2395115295784348"/>
    <n v="10"/>
    <n v="1.1279000000000001E-2"/>
    <n v="0"/>
    <n v="10"/>
    <n v="0.31025000000000003"/>
    <n v="-0.63645447219983886"/>
  </r>
  <r>
    <x v="77"/>
    <x v="2"/>
    <n v="45200803.640000001"/>
    <n v="31485170"/>
    <n v="1.4356220290377979"/>
    <n v="0.31025000000000003"/>
    <n v="0.21610841414013407"/>
    <n v="10"/>
    <n v="3.1025000000000004E-2"/>
    <n v="0"/>
    <n v="10"/>
    <n v="4.3194999999999997E-2"/>
    <n v="6.1825442759578664"/>
  </r>
  <r>
    <x v="77"/>
    <x v="3"/>
    <n v="3829778.75"/>
    <n v="31485170"/>
    <n v="0.12163754396117284"/>
    <n v="4.3194999999999997E-2"/>
    <n v="0.35511239863399419"/>
    <n v="10"/>
    <n v="4.3194999999999996E-3"/>
    <n v="0"/>
    <n v="10"/>
    <n v="0"/>
    <s v=""/>
  </r>
  <r>
    <x v="78"/>
    <x v="0"/>
    <n v="459346.49"/>
    <n v="31485170"/>
    <n v="1.4589296802272307E-2"/>
    <n v="2E-3"/>
    <n v="0.13708679911758986"/>
    <n v="9.5"/>
    <n v="2.105263157894737E-4"/>
    <n v="0"/>
    <n v="9.5"/>
    <n v="0.11279"/>
    <n v="-0.98226793155421577"/>
  </r>
  <r>
    <x v="78"/>
    <x v="1"/>
    <n v="14826895.1"/>
    <n v="31485170"/>
    <n v="0.47091678717313579"/>
    <n v="0.11279"/>
    <n v="0.2395115295784348"/>
    <n v="9.5"/>
    <n v="1.1872631578947369E-2"/>
    <n v="0"/>
    <n v="9.5"/>
    <n v="0.31025000000000003"/>
    <n v="-0.63645447219983886"/>
  </r>
  <r>
    <x v="78"/>
    <x v="2"/>
    <n v="45200803.640000001"/>
    <n v="31485170"/>
    <n v="1.4356220290377979"/>
    <n v="0.31025000000000003"/>
    <n v="0.21610841414013407"/>
    <n v="9.5"/>
    <n v="3.2657894736842108E-2"/>
    <n v="0"/>
    <n v="9.5"/>
    <n v="4.3194999999999997E-2"/>
    <n v="6.1825442759578664"/>
  </r>
  <r>
    <x v="78"/>
    <x v="3"/>
    <n v="3829778.75"/>
    <n v="31485170"/>
    <n v="0.12163754396117284"/>
    <n v="4.3194999999999997E-2"/>
    <n v="0.35511239863399419"/>
    <n v="9.5"/>
    <n v="4.5468421052631573E-3"/>
    <n v="0"/>
    <n v="9.5"/>
    <n v="0"/>
    <s v=""/>
  </r>
  <r>
    <x v="79"/>
    <x v="0"/>
    <n v="-6878916000"/>
    <n v="1352634100"/>
    <n v="-5.0855704436255156"/>
    <n v="0.40852810099999998"/>
    <s v=""/>
    <n v="5.65"/>
    <n v="7.2305858584070792E-2"/>
    <n v="5.65"/>
    <n v="0"/>
    <n v="1.2317791624600001"/>
    <n v="-0.66834306550199796"/>
  </r>
  <r>
    <x v="79"/>
    <x v="1"/>
    <n v="3732565000"/>
    <n v="1352634100"/>
    <n v="2.7594787089871531"/>
    <n v="1.2317791624600001"/>
    <n v="0.44638110757959637"/>
    <n v="5.65"/>
    <n v="0.21801401105486726"/>
    <n v="5.65"/>
    <n v="0"/>
    <n v="0.83224516954000005"/>
    <n v="0.48006766220203012"/>
  </r>
  <r>
    <x v="79"/>
    <x v="2"/>
    <n v="2247913000"/>
    <n v="1352634100"/>
    <n v="1.6618781087952759"/>
    <n v="0.83224516954000005"/>
    <n v="0.50078592716003034"/>
    <n v="5.65"/>
    <n v="0.14730003000707964"/>
    <n v="5.65"/>
    <n v="0"/>
    <n v="0.41"/>
    <n v="1.0298662671707319"/>
  </r>
  <r>
    <x v="79"/>
    <x v="3"/>
    <n v="170526000"/>
    <n v="1352634100"/>
    <n v="0.12606957047733752"/>
    <n v="0.41"/>
    <n v="3.2521725777887238"/>
    <n v="5.65"/>
    <n v="7.2566371681415914E-2"/>
    <n v="5.65"/>
    <n v="0"/>
    <n v="1.54227975422"/>
    <n v="-0.73415977297364221"/>
  </r>
  <r>
    <x v="79"/>
    <x v="4"/>
    <n v="6136497000"/>
    <n v="1352634100"/>
    <n v="4.5367013887939098"/>
    <n v="1.54227975422"/>
    <n v="0.33995619769676261"/>
    <n v="5.65"/>
    <n v="0.27296986800353978"/>
    <n v="5.65"/>
    <n v="0"/>
    <n v="0"/>
    <s v=""/>
  </r>
  <r>
    <x v="80"/>
    <x v="0"/>
    <n v="-6878916000"/>
    <n v="1352634100"/>
    <n v="-5.0855704436255156"/>
    <n v="1.671821523"/>
    <s v=""/>
    <n v="9.57"/>
    <n v="0.17469399404388714"/>
    <n v="9.57"/>
    <n v="0"/>
    <n v="1.6336924400499999"/>
    <n v="2.3339205113070749E-2"/>
  </r>
  <r>
    <x v="80"/>
    <x v="1"/>
    <n v="3732565000"/>
    <n v="1352634100"/>
    <n v="2.7594787089871531"/>
    <n v="1.6336924400499999"/>
    <n v="0.59202936943464768"/>
    <n v="9.57"/>
    <n v="0.17070976385057471"/>
    <n v="9.57"/>
    <n v="0"/>
    <n v="1.6305332803199999"/>
    <n v="1.937500919564128E-3"/>
  </r>
  <r>
    <x v="80"/>
    <x v="2"/>
    <n v="2247913000"/>
    <n v="1352634100"/>
    <n v="1.6618781087952759"/>
    <n v="1.6305332803199999"/>
    <n v="0.98113891246933971"/>
    <n v="9.57"/>
    <n v="0.17037965311598743"/>
    <n v="9.57"/>
    <n v="0"/>
    <n v="1.63"/>
    <n v="3.2716584049086173E-4"/>
  </r>
  <r>
    <x v="80"/>
    <x v="3"/>
    <n v="170526000"/>
    <n v="1352634100"/>
    <n v="0.12606957047733752"/>
    <n v="1.63"/>
    <n v="12.929369028769806"/>
    <n v="9.57"/>
    <n v="0.17032392894461859"/>
    <n v="9.57"/>
    <n v="0"/>
    <n v="1.69650772972"/>
    <n v="-3.9202727199466936E-2"/>
  </r>
  <r>
    <x v="80"/>
    <x v="4"/>
    <n v="6136497000"/>
    <n v="1352634100"/>
    <n v="4.5367013887939098"/>
    <n v="1.69650772972"/>
    <n v="0.37395181748363199"/>
    <n v="9.57"/>
    <n v="0.17727353497596654"/>
    <n v="9.57"/>
    <n v="0"/>
    <n v="0"/>
    <s v=""/>
  </r>
  <r>
    <x v="81"/>
    <x v="0"/>
    <n v="107945984.63"/>
    <n v="167343887"/>
    <n v="0.64505484224828602"/>
    <n v="0.30919236900000002"/>
    <n v="0.47932725831858769"/>
    <n v="11"/>
    <n v="2.8108397181818182E-2"/>
    <n v="11"/>
    <n v="0"/>
    <n v="5.1351776620000003"/>
    <n v="-0.93978935309521916"/>
  </r>
  <r>
    <x v="81"/>
    <x v="1"/>
    <n v="1573104991"/>
    <n v="167343887"/>
    <n v="9.4004329599443324"/>
    <n v="5.1351776620000003"/>
    <n v="0.54627033498150812"/>
    <n v="11"/>
    <n v="0.46683433290909093"/>
    <n v="11"/>
    <n v="0"/>
    <n v="8.6908053330000001"/>
    <n v="-0.40912522312505006"/>
  </r>
  <r>
    <x v="81"/>
    <x v="2"/>
    <n v="1347688144.1600001"/>
    <n v="167343887"/>
    <n v="8.0534052860861305"/>
    <n v="8.6908053330000001"/>
    <n v="1.0791466496806148"/>
    <n v="11"/>
    <n v="0.79007321209090908"/>
    <n v="11"/>
    <n v="0"/>
    <n v="6.086401306"/>
    <n v="0.42790540683417766"/>
  </r>
  <r>
    <x v="81"/>
    <x v="3"/>
    <n v="1063193672.4299999"/>
    <n v="167343887"/>
    <n v="6.3533463426124426"/>
    <n v="6.086401306"/>
    <n v="0.95798355351383579"/>
    <n v="11"/>
    <n v="0.55330920963636365"/>
    <n v="11"/>
    <n v="0"/>
    <n v="0"/>
    <s v=""/>
  </r>
  <r>
    <x v="82"/>
    <x v="0"/>
    <n v="107945984.63"/>
    <n v="167343887"/>
    <n v="0.64505484224828602"/>
    <n v="0.34011160499999998"/>
    <n v="0.52725998275521624"/>
    <n v="9.15"/>
    <n v="3.7170667213114753E-2"/>
    <n v="9.15"/>
    <n v="0"/>
    <n v="5.648695429"/>
    <n v="-0.93978935326307533"/>
  </r>
  <r>
    <x v="82"/>
    <x v="1"/>
    <n v="1573104991"/>
    <n v="167343887"/>
    <n v="9.4004329599443324"/>
    <n v="5.648695429"/>
    <n v="0.60089736856476139"/>
    <n v="9.15"/>
    <n v="0.61734376273224045"/>
    <n v="9.15"/>
    <n v="0"/>
    <n v="9.5598858660000001"/>
    <n v="-0.40912522302282472"/>
  </r>
  <r>
    <x v="82"/>
    <x v="2"/>
    <n v="1347688144.1600001"/>
    <n v="167343887"/>
    <n v="8.0534052860861305"/>
    <n v="9.5598858660000001"/>
    <n v="1.1870613146114248"/>
    <n v="9.15"/>
    <n v="1.0447962695081967"/>
    <n v="9.15"/>
    <n v="0"/>
    <n v="6.6950414370000004"/>
    <n v="0.42790540670405708"/>
  </r>
  <r>
    <x v="82"/>
    <x v="3"/>
    <n v="1063193672.4299999"/>
    <n v="167343887"/>
    <n v="6.3533463426124426"/>
    <n v="6.6950414370000004"/>
    <n v="1.0537819089281784"/>
    <n v="9.15"/>
    <n v="0.73169851770491801"/>
    <n v="9.15"/>
    <n v="0"/>
    <n v="0"/>
    <s v=""/>
  </r>
  <r>
    <x v="83"/>
    <x v="0"/>
    <m/>
    <n v="36947084"/>
    <n v="0"/>
    <n v="0"/>
    <s v=""/>
    <n v="5.67"/>
    <s v=""/>
    <n v="5.67"/>
    <n v="0"/>
    <n v="0"/>
    <s v=""/>
  </r>
  <r>
    <x v="83"/>
    <x v="1"/>
    <m/>
    <n v="36947084"/>
    <n v="0"/>
    <n v="0"/>
    <s v=""/>
    <n v="5.67"/>
    <s v=""/>
    <n v="5.67"/>
    <n v="0"/>
    <n v="8.7654448199999999E-2"/>
    <n v="-1"/>
  </r>
  <r>
    <x v="83"/>
    <x v="2"/>
    <n v="13974263.699999999"/>
    <n v="36947084"/>
    <n v="0.37822372396154452"/>
    <n v="8.7654448199999999E-2"/>
    <n v="0.23175290878610291"/>
    <n v="5.67"/>
    <n v="1.5459338306878307E-2"/>
    <n v="5.67"/>
    <n v="0"/>
    <n v="0"/>
    <s v=""/>
  </r>
  <r>
    <x v="83"/>
    <x v="3"/>
    <n v="-7526000"/>
    <n v="36947084"/>
    <n v="-0.20369672475370451"/>
    <n v="0"/>
    <s v=""/>
    <n v="5.67"/>
    <s v=""/>
    <n v="5.67"/>
    <n v="0"/>
    <n v="0.36506361199999998"/>
    <n v="-1"/>
  </r>
  <r>
    <x v="83"/>
    <x v="4"/>
    <n v="-170585000"/>
    <n v="36947084"/>
    <n v="-4.6170084762304926"/>
    <n v="0.36506361199999998"/>
    <s v=""/>
    <n v="5.67"/>
    <n v="6.4385116754850091E-2"/>
    <n v="5.67"/>
    <n v="0"/>
    <n v="0"/>
    <s v=""/>
  </r>
  <r>
    <x v="84"/>
    <x v="0"/>
    <n v="341644899.63"/>
    <n v="476415612"/>
    <n v="0.71711524774717084"/>
    <n v="0.77853000000000006"/>
    <n v="1.0856413978726078"/>
    <n v="10.25"/>
    <n v="7.5954146341463413E-2"/>
    <n v="10.25"/>
    <n v="0"/>
    <n v="2.3355890000000001"/>
    <n v="-0.66666652394749248"/>
  </r>
  <r>
    <x v="84"/>
    <x v="1"/>
    <n v="491579920.89999998"/>
    <n v="476415612"/>
    <n v="1.0318299999371137"/>
    <n v="2.3355890000000001"/>
    <n v="2.2635405058414135"/>
    <n v="10.25"/>
    <n v="0.22786234146341464"/>
    <n v="10.25"/>
    <n v="0"/>
    <n v="2.22437"/>
    <n v="5.0000224782747571E-2"/>
  </r>
  <r>
    <x v="84"/>
    <x v="2"/>
    <n v="588911630.5"/>
    <n v="476415612"/>
    <n v="1.2361300000806859"/>
    <n v="2.22437"/>
    <n v="1.7994628395515107"/>
    <n v="10.25"/>
    <n v="0.21701170731707317"/>
    <n v="10.25"/>
    <n v="0"/>
    <n v="1.869219"/>
    <n v="0.18999967366049675"/>
  </r>
  <r>
    <x v="84"/>
    <x v="3"/>
    <n v="695571557.70000005"/>
    <n v="476415612"/>
    <n v="1.4600100000501244"/>
    <n v="1.869219"/>
    <n v="1.2802782172285305"/>
    <n v="10.25"/>
    <n v="0.18236282926829267"/>
    <n v="10.25"/>
    <n v="0"/>
    <n v="0"/>
    <s v=""/>
  </r>
  <r>
    <x v="85"/>
    <x v="0"/>
    <n v="290441196.88"/>
    <n v="1245690889"/>
    <n v="0.23315671603984894"/>
    <n v="0.79500000000000004"/>
    <n v="3.4097237836551368"/>
    <n v="12.4"/>
    <n v="6.4112903225806456E-2"/>
    <n v="12.4"/>
    <n v="0"/>
    <n v="9.6000000000000002E-2"/>
    <n v="7.28125"/>
  </r>
  <r>
    <x v="85"/>
    <x v="1"/>
    <n v="212054242.16999999"/>
    <n v="1245690889"/>
    <n v="0.17023022648919767"/>
    <n v="9.6000000000000002E-2"/>
    <n v="0.56394215046228524"/>
    <n v="12.4"/>
    <n v="7.7419354838709677E-3"/>
    <n v="12.4"/>
    <n v="0"/>
    <n v="8.8999999999999996E-2"/>
    <n v="7.8651685393258397E-2"/>
  </r>
  <r>
    <x v="85"/>
    <x v="2"/>
    <n v="194647783.53"/>
    <n v="1245690889"/>
    <n v="0.15625688944892011"/>
    <n v="8.8999999999999996E-2"/>
    <n v="0.56957488603466555"/>
    <n v="12.4"/>
    <n v="7.1774193548387087E-3"/>
    <n v="12.4"/>
    <n v="0"/>
    <n v="0.113"/>
    <n v="-0.21238938053097356"/>
  </r>
  <r>
    <x v="85"/>
    <x v="3"/>
    <n v="276855137.25"/>
    <n v="1245690889"/>
    <n v="0.22225027066887379"/>
    <n v="0.113"/>
    <n v="0.50843582624183359"/>
    <n v="12.4"/>
    <n v="9.112903225806452E-3"/>
    <n v="12.4"/>
    <n v="0"/>
    <n v="0"/>
    <s v=""/>
  </r>
  <r>
    <x v="86"/>
    <x v="0"/>
    <n v="290441196.88"/>
    <n v="1245690889"/>
    <n v="0.23315671603984894"/>
    <n v="0.159"/>
    <n v="0.68194475673102728"/>
    <n v="3.4"/>
    <n v="4.6764705882352944E-2"/>
    <n v="3.4"/>
    <n v="0"/>
    <n v="9.6000000000000002E-2"/>
    <n v="0.65625"/>
  </r>
  <r>
    <x v="86"/>
    <x v="1"/>
    <n v="212054242.16999999"/>
    <n v="1245690889"/>
    <n v="0.17023022648919767"/>
    <n v="9.6000000000000002E-2"/>
    <n v="0.56394215046228524"/>
    <n v="3.4"/>
    <n v="2.823529411764706E-2"/>
    <n v="3.4"/>
    <n v="0"/>
    <n v="8.8999999999999996E-2"/>
    <n v="7.8651685393258397E-2"/>
  </r>
  <r>
    <x v="86"/>
    <x v="2"/>
    <n v="194647783.53"/>
    <n v="1245690889"/>
    <n v="0.15625688944892011"/>
    <n v="8.8999999999999996E-2"/>
    <n v="0.56957488603466555"/>
    <n v="3.4"/>
    <n v="2.6176470588235294E-2"/>
    <n v="3.4"/>
    <n v="0"/>
    <n v="0.113"/>
    <n v="-0.21238938053097356"/>
  </r>
  <r>
    <x v="86"/>
    <x v="3"/>
    <n v="276855137.25"/>
    <n v="1245690889"/>
    <n v="0.22225027066887379"/>
    <n v="0.113"/>
    <n v="0.50843582624183359"/>
    <n v="3.4"/>
    <n v="3.3235294117647057E-2"/>
    <n v="3.4"/>
    <n v="0"/>
    <n v="0"/>
    <s v=""/>
  </r>
  <r>
    <x v="87"/>
    <x v="0"/>
    <n v="290441196.88"/>
    <n v="1245690889"/>
    <n v="0.23315671603984894"/>
    <n v="0.159"/>
    <n v="0.68194475673102728"/>
    <n v="2.1"/>
    <n v="7.5714285714285706E-2"/>
    <n v="2.1"/>
    <n v="0"/>
    <n v="9.6000000000000002E-2"/>
    <n v="0.65625"/>
  </r>
  <r>
    <x v="87"/>
    <x v="1"/>
    <n v="212054242.16999999"/>
    <n v="1245690889"/>
    <n v="0.17023022648919767"/>
    <n v="9.6000000000000002E-2"/>
    <n v="0.56394215046228524"/>
    <n v="2.1"/>
    <n v="4.5714285714285714E-2"/>
    <n v="2.1"/>
    <n v="0"/>
    <n v="8.8999999999999996E-2"/>
    <n v="7.8651685393258397E-2"/>
  </r>
  <r>
    <x v="87"/>
    <x v="2"/>
    <n v="194647783.53"/>
    <n v="1245690889"/>
    <n v="0.15625688944892011"/>
    <n v="8.8999999999999996E-2"/>
    <n v="0.56957488603466555"/>
    <n v="2.1"/>
    <n v="4.238095238095238E-2"/>
    <n v="2.1"/>
    <n v="0"/>
    <n v="0.113"/>
    <n v="-0.21238938053097356"/>
  </r>
  <r>
    <x v="87"/>
    <x v="3"/>
    <n v="276855137.25"/>
    <n v="1245690889"/>
    <n v="0.22225027066887379"/>
    <n v="0.113"/>
    <n v="0.50843582624183359"/>
    <n v="2.1"/>
    <n v="5.3809523809523807E-2"/>
    <n v="2.1"/>
    <n v="0"/>
    <n v="0"/>
    <s v=""/>
  </r>
  <r>
    <x v="88"/>
    <x v="0"/>
    <n v="384946993.33999997"/>
    <n v="164183899"/>
    <n v="2.3446086716456889"/>
    <n v="0.46"/>
    <n v="0.19619478745556479"/>
    <n v="15.4"/>
    <n v="2.987012987012987E-2"/>
    <n v="15.4"/>
    <n v="0"/>
    <n v="0.56999999999999995"/>
    <n v="-0.19298245614035081"/>
  </r>
  <r>
    <x v="88"/>
    <x v="1"/>
    <n v="247502000"/>
    <n v="164183899"/>
    <n v="1.5074681592255279"/>
    <n v="0.56999999999999995"/>
    <n v="0.37811743917220869"/>
    <n v="15.4"/>
    <n v="3.7012987012987011E-2"/>
    <n v="15.4"/>
    <n v="0"/>
    <n v="1.52"/>
    <n v="-0.625"/>
  </r>
  <r>
    <x v="88"/>
    <x v="2"/>
    <n v="278621000"/>
    <n v="164183899"/>
    <n v="1.6970056241629394"/>
    <n v="1.52"/>
    <n v="0.89569532260669515"/>
    <n v="15.4"/>
    <n v="9.8701298701298706E-2"/>
    <n v="15.4"/>
    <n v="0"/>
    <n v="0"/>
    <s v=""/>
  </r>
  <r>
    <x v="89"/>
    <x v="0"/>
    <n v="140995000"/>
    <n v="198447352"/>
    <n v="0.7104907098987141"/>
    <n v="0.17"/>
    <n v="0.23927124961878082"/>
    <n v="23.65"/>
    <n v="7.1881606765327706E-3"/>
    <n v="23.65"/>
    <n v="0"/>
    <n v="0.46"/>
    <n v="-0.63043478260869557"/>
  </r>
  <r>
    <x v="89"/>
    <x v="1"/>
    <n v="159996000"/>
    <n v="198447352"/>
    <n v="0.80623902706446793"/>
    <n v="0.46"/>
    <n v="0.57055040076001906"/>
    <n v="23.65"/>
    <n v="1.945031712473573E-2"/>
    <n v="23.65"/>
    <n v="0"/>
    <n v="1.8"/>
    <n v="-0.74444444444444446"/>
  </r>
  <r>
    <x v="89"/>
    <x v="2"/>
    <n v="188871000"/>
    <n v="198447352"/>
    <n v="0.95174361409468444"/>
    <n v="1.8"/>
    <n v="1.8912656448051846"/>
    <n v="23.65"/>
    <n v="7.6109936575052856E-2"/>
    <n v="23.65"/>
    <n v="0"/>
    <n v="0"/>
    <s v=""/>
  </r>
  <r>
    <x v="90"/>
    <x v="0"/>
    <n v="113004000"/>
    <n v="89500000"/>
    <n v="1.2626145251396648"/>
    <n v="0.8"/>
    <n v="0.6336058900569892"/>
    <n v="8.2799999999999994"/>
    <n v="9.6618357487922718E-2"/>
    <n v="0"/>
    <n v="8.2799999999999994"/>
    <n v="0.9"/>
    <n v="-0.11111111111111105"/>
  </r>
  <r>
    <x v="90"/>
    <x v="1"/>
    <n v="97193000"/>
    <n v="89500000"/>
    <n v="1.0859553072625698"/>
    <n v="0.9"/>
    <n v="0.82876338830985774"/>
    <n v="8.2799999999999994"/>
    <n v="0.10869565217391305"/>
    <n v="0"/>
    <n v="8.2799999999999994"/>
    <n v="0.8"/>
    <n v="0.125"/>
  </r>
  <r>
    <x v="90"/>
    <x v="2"/>
    <n v="102085000"/>
    <n v="89500000"/>
    <n v="1.1406145251396649"/>
    <n v="0.8"/>
    <n v="0.7013763040603419"/>
    <n v="8.2799999999999994"/>
    <n v="9.6618357487922718E-2"/>
    <n v="0"/>
    <n v="8.2799999999999994"/>
    <n v="0"/>
    <s v=""/>
  </r>
  <r>
    <x v="91"/>
    <x v="0"/>
    <n v="88379478.969999999"/>
    <n v="92619256"/>
    <n v="0.95422359007072999"/>
    <n v="0.190493"/>
    <n v="0.1996314092233667"/>
    <n v="6.61"/>
    <n v="2.8818910741301058E-2"/>
    <n v="0"/>
    <n v="6.61"/>
    <n v="0.28855599999999998"/>
    <n v="-0.3398404469149835"/>
  </r>
  <r>
    <x v="91"/>
    <x v="1"/>
    <n v="88914485.760000005"/>
    <n v="92619256"/>
    <n v="0.96000000000000008"/>
    <n v="0.28855599999999998"/>
    <n v="0.30057916666666662"/>
    <n v="6.61"/>
    <n v="4.3654462934947041E-2"/>
    <n v="0"/>
    <n v="6.61"/>
    <n v="0.28032499999999999"/>
    <n v="2.9362347275483813E-2"/>
  </r>
  <r>
    <x v="91"/>
    <x v="2"/>
    <n v="120405032.8"/>
    <n v="92619256"/>
    <n v="1.3"/>
    <n v="0.28032499999999999"/>
    <n v="0.21563461538461537"/>
    <n v="6.61"/>
    <n v="4.2409228441754911E-2"/>
    <n v="0"/>
    <n v="6.61"/>
    <n v="0"/>
    <s v=""/>
  </r>
  <r>
    <x v="92"/>
    <x v="0"/>
    <n v="85326018.709999993"/>
    <n v="88320000"/>
    <n v="0.96610075532155792"/>
    <n v="0.22040999999999999"/>
    <n v="0.22814390609459623"/>
    <n v="19"/>
    <n v="1.1600526315789473E-2"/>
    <n v="19"/>
    <n v="0"/>
    <n v="0.244201419"/>
    <n v="-9.7425392110436548E-2"/>
  </r>
  <r>
    <x v="92"/>
    <x v="1"/>
    <n v="90654592"/>
    <n v="88320000"/>
    <n v="1.0264333333333333"/>
    <n v="0.244201419"/>
    <n v="0.23791259604455559"/>
    <n v="19"/>
    <n v="1.2852706263157895E-2"/>
    <n v="19"/>
    <n v="0"/>
    <n v="0.31610713000000001"/>
    <n v="-0.22747260082365117"/>
  </r>
  <r>
    <x v="92"/>
    <x v="2"/>
    <n v="133778304"/>
    <n v="88320000"/>
    <n v="1.5146999999999999"/>
    <n v="0.31610713000000001"/>
    <n v="0.20869289628309237"/>
    <n v="19"/>
    <n v="1.6637217368421053E-2"/>
    <n v="19"/>
    <n v="0"/>
    <n v="0"/>
    <s v=""/>
  </r>
  <r>
    <x v="93"/>
    <x v="0"/>
    <n v="85326018.709999993"/>
    <n v="88320000"/>
    <n v="0.96610075532155792"/>
    <n v="0.24245"/>
    <n v="0.25095726161532989"/>
    <n v="12.35"/>
    <n v="1.963157894736842E-2"/>
    <n v="12.35"/>
    <n v="0"/>
    <n v="0.26862156100000001"/>
    <n v="-9.7429115155800994E-2"/>
  </r>
  <r>
    <x v="93"/>
    <x v="1"/>
    <n v="90654592"/>
    <n v="88320000"/>
    <n v="1.0264333333333333"/>
    <n v="0.26862156100000001"/>
    <n v="0.2617038557464359"/>
    <n v="12.35"/>
    <n v="2.1750733684210526E-2"/>
    <n v="12.35"/>
    <n v="0"/>
    <n v="0.3477384"/>
    <n v="-0.22751826948073606"/>
  </r>
  <r>
    <x v="93"/>
    <x v="2"/>
    <n v="133778304"/>
    <n v="88320000"/>
    <n v="1.5146999999999999"/>
    <n v="0.3477384"/>
    <n v="0.2295757575757576"/>
    <n v="12.35"/>
    <n v="2.8156955465587045E-2"/>
    <n v="12.35"/>
    <n v="0"/>
    <n v="0"/>
    <s v=""/>
  </r>
  <r>
    <x v="94"/>
    <x v="0"/>
    <n v="324648000"/>
    <n v="94433283"/>
    <n v="3.4378556975510426"/>
    <n v="3.9972394429999998"/>
    <n v="1.1627129800263096"/>
    <n v="62.04"/>
    <n v="6.4430036154094136E-2"/>
    <n v="62.04"/>
    <n v="0"/>
    <n v="3.6127542309999998"/>
    <n v="0.10642440293913258"/>
  </r>
  <r>
    <x v="94"/>
    <x v="1"/>
    <n v="281411183"/>
    <n v="94433283"/>
    <n v="2.9799999963995747"/>
    <n v="3.6127542309999998"/>
    <n v="1.2123336360284955"/>
    <n v="62.04"/>
    <n v="5.8232660074145709E-2"/>
    <n v="62.04"/>
    <n v="0"/>
    <n v="2.6568953629999998"/>
    <n v="0.35976534165075447"/>
  </r>
  <r>
    <x v="94"/>
    <x v="2"/>
    <n v="183200569"/>
    <n v="94433283"/>
    <n v="1.9399999997882102"/>
    <n v="2.6568953629999998"/>
    <n v="1.3695336924175532"/>
    <n v="62.04"/>
    <n v="4.2825521647324304E-2"/>
    <n v="62.04"/>
    <n v="0"/>
    <n v="1.4826292830000001"/>
    <n v="0.7920159769298174"/>
  </r>
  <r>
    <x v="94"/>
    <x v="3"/>
    <n v="101987946"/>
    <n v="94433283"/>
    <n v="1.0800000038122153"/>
    <n v="1.4826292830000001"/>
    <n v="1.3728048868209002"/>
    <n v="62.04"/>
    <n v="2.389795749516441E-2"/>
    <n v="62.04"/>
    <n v="0"/>
    <n v="0"/>
    <s v=""/>
  </r>
  <r>
    <x v="95"/>
    <x v="0"/>
    <n v="324648000"/>
    <n v="94433283"/>
    <n v="3.4378556975510426"/>
    <n v="3.9972394429999998"/>
    <n v="1.1627129800263096"/>
    <n v="61.99"/>
    <n v="6.4482004242619767E-2"/>
    <n v="61.99"/>
    <n v="0"/>
    <n v="3.6127542300000002"/>
    <n v="0.1064244032453876"/>
  </r>
  <r>
    <x v="95"/>
    <x v="1"/>
    <n v="281411183"/>
    <n v="94433283"/>
    <n v="2.9799999963995747"/>
    <n v="3.6127542300000002"/>
    <n v="1.2123336356929251"/>
    <n v="61.99"/>
    <n v="5.8279629456363932E-2"/>
    <n v="61.99"/>
    <n v="0"/>
    <n v="2.6568953610000001"/>
    <n v="0.35976534229794987"/>
  </r>
  <r>
    <x v="95"/>
    <x v="2"/>
    <n v="183200569"/>
    <n v="94433283"/>
    <n v="1.9399999997882102"/>
    <n v="2.6568953610000001"/>
    <n v="1.3695336913866254"/>
    <n v="61.99"/>
    <n v="4.2860063897402809E-2"/>
    <n v="61.99"/>
    <n v="0"/>
    <n v="2.1814776419999999"/>
    <n v="0.2179338031464455"/>
  </r>
  <r>
    <x v="95"/>
    <x v="3"/>
    <n v="101987946"/>
    <n v="94433283"/>
    <n v="1.0800000038122153"/>
    <n v="2.1814776419999999"/>
    <n v="2.0198866984257009"/>
    <n v="61.99"/>
    <n v="3.519079919341829E-2"/>
    <n v="61.99"/>
    <n v="0"/>
    <n v="0"/>
    <s v=""/>
  </r>
  <r>
    <x v="96"/>
    <x v="0"/>
    <n v="901262803.92999995"/>
    <n v="381253493"/>
    <n v="2.363946351909227"/>
    <n v="2.4435890119999999"/>
    <n v="1.0336905530984026"/>
    <n v="17.239999999999998"/>
    <n v="0.1417395018561485"/>
    <n v="17.239999999999998"/>
    <n v="0"/>
    <n v="2.307552448"/>
    <n v="5.8952750615876681E-2"/>
  </r>
  <r>
    <x v="96"/>
    <x v="1"/>
    <n v="844863980.05999994"/>
    <n v="381253493"/>
    <n v="2.2160163659405474"/>
    <n v="2.307552448"/>
    <n v="1.0413065911724897"/>
    <n v="17.239999999999998"/>
    <n v="0.13384874988399073"/>
    <n v="17.239999999999998"/>
    <n v="0"/>
    <n v="2.1575277719999999"/>
    <n v="6.953545532390959E-2"/>
  </r>
  <r>
    <x v="96"/>
    <x v="2"/>
    <n v="737339863.24000001"/>
    <n v="381253493"/>
    <n v="1.9339884795232551"/>
    <n v="2.1575277719999999"/>
    <n v="1.1155846039640573"/>
    <n v="17.239999999999998"/>
    <n v="0.12514662250580047"/>
    <n v="17.239999999999998"/>
    <n v="0"/>
    <n v="1.9523818630000001"/>
    <n v="0.10507468486967797"/>
  </r>
  <r>
    <x v="96"/>
    <x v="3"/>
    <n v="780235000"/>
    <n v="381253493"/>
    <n v="2.0464992828275541"/>
    <n v="1.9523818630000001"/>
    <n v="0.95401052880042236"/>
    <n v="17.239999999999998"/>
    <n v="0.11324720783062646"/>
    <n v="17.239999999999998"/>
    <n v="0"/>
    <n v="0"/>
    <s v=""/>
  </r>
  <r>
    <x v="97"/>
    <x v="0"/>
    <n v="901262803.92999995"/>
    <n v="381253493"/>
    <n v="2.363946351909227"/>
    <n v="2.687947914"/>
    <n v="1.13705960874666"/>
    <n v="18.760000000000002"/>
    <n v="0.14328080565031981"/>
    <n v="18.760000000000002"/>
    <n v="0"/>
    <n v="2.5383076930000001"/>
    <n v="5.8952750847609758E-2"/>
  </r>
  <r>
    <x v="97"/>
    <x v="1"/>
    <n v="844863980.05999994"/>
    <n v="381253493"/>
    <n v="2.2160163659405474"/>
    <n v="2.5383076930000001"/>
    <n v="1.1454372503799908"/>
    <n v="18.760000000000002"/>
    <n v="0.13530424802771854"/>
    <n v="18.760000000000002"/>
    <n v="0"/>
    <n v="2.373280549"/>
    <n v="6.9535455498312526E-2"/>
  </r>
  <r>
    <x v="97"/>
    <x v="2"/>
    <n v="737339863.24000001"/>
    <n v="381253493"/>
    <n v="1.9339884795232551"/>
    <n v="2.373280549"/>
    <n v="1.2271430642570498"/>
    <n v="18.760000000000002"/>
    <n v="0.12650749195095948"/>
    <n v="18.760000000000002"/>
    <n v="0"/>
    <n v="2.1476200489999999"/>
    <n v="0.1050746849309192"/>
  </r>
  <r>
    <x v="97"/>
    <x v="3"/>
    <n v="780235000"/>
    <n v="381253493"/>
    <n v="2.0464992828275541"/>
    <n v="2.1476200489999999"/>
    <n v="1.0494115815338727"/>
    <n v="18.760000000000002"/>
    <n v="0.11447868065031981"/>
    <n v="18.760000000000002"/>
    <n v="0"/>
    <n v="0"/>
    <s v=""/>
  </r>
  <r>
    <x v="98"/>
    <x v="0"/>
    <n v="3061251.15"/>
    <n v="166355563"/>
    <n v="1.8401856209641753E-2"/>
    <n v="1.6664410399999999E-2"/>
    <n v="0.90558312216724046"/>
    <n v="0.13"/>
    <n v="0.12818777230769229"/>
    <n v="0.13"/>
    <n v="0"/>
    <n v="1.4520999999999999E-2"/>
    <n v="0.14760763032848989"/>
  </r>
  <r>
    <x v="98"/>
    <x v="1"/>
    <n v="2796437"/>
    <n v="166355563"/>
    <n v="1.6809999915662573E-2"/>
    <n v="1.4520999999999999E-2"/>
    <n v="0.86383105727860132"/>
    <n v="0.13"/>
    <n v="0.11169999999999999"/>
    <n v="0.13"/>
    <n v="0"/>
    <n v="2.696E-3"/>
    <n v="4.3861275964391684"/>
  </r>
  <r>
    <x v="98"/>
    <x v="2"/>
    <n v="2520287"/>
    <n v="166355563"/>
    <n v="1.5150001325774719E-2"/>
    <n v="2.696E-3"/>
    <n v="0.17795377980682361"/>
    <n v="0.13"/>
    <n v="2.0738461538461539E-2"/>
    <n v="0.13"/>
    <n v="0"/>
    <n v="1.01E-2"/>
    <n v="-0.73306930693069305"/>
  </r>
  <r>
    <x v="98"/>
    <x v="3"/>
    <n v="1605331"/>
    <n v="166355563"/>
    <n v="9.6499989002471771E-3"/>
    <n v="1.01E-2"/>
    <n v="1.0466322436307527"/>
    <n v="0.13"/>
    <n v="7.7692307692307686E-2"/>
    <n v="0.13"/>
    <n v="0"/>
    <n v="0"/>
    <s v=""/>
  </r>
  <r>
    <x v="99"/>
    <x v="0"/>
    <n v="3061251.15"/>
    <n v="166355563"/>
    <n v="1.8401856209641753E-2"/>
    <n v="1.8330851400000001E-2"/>
    <n v="0.99614143221027074"/>
    <n v="0.12"/>
    <n v="0.15275709500000001"/>
    <n v="0.12"/>
    <n v="0"/>
    <n v="1.5972E-2"/>
    <n v="0.14768666416228404"/>
  </r>
  <r>
    <x v="99"/>
    <x v="1"/>
    <n v="2796437"/>
    <n v="166355563"/>
    <n v="1.6809999915662573E-2"/>
    <n v="1.5972E-2"/>
    <n v="0.95014872576639497"/>
    <n v="0.12"/>
    <n v="0.1331"/>
    <n v="0.12"/>
    <n v="0"/>
    <n v="3.0049999999999999E-3"/>
    <n v="4.3151414309484197"/>
  </r>
  <r>
    <x v="99"/>
    <x v="2"/>
    <n v="2520287"/>
    <n v="166355563"/>
    <n v="1.5150001325774719E-2"/>
    <n v="3.0049999999999999E-3"/>
    <n v="0.1983498176259291"/>
    <n v="0.12"/>
    <n v="2.5041666666666667E-2"/>
    <n v="0.12"/>
    <n v="0"/>
    <n v="1.11E-2"/>
    <n v="-0.72927927927927927"/>
  </r>
  <r>
    <x v="99"/>
    <x v="3"/>
    <n v="1605331"/>
    <n v="166355563"/>
    <n v="9.6499989002471771E-3"/>
    <n v="1.11E-2"/>
    <n v="1.1502591984456789"/>
    <n v="0.12"/>
    <n v="9.2500000000000013E-2"/>
    <n v="0.12"/>
    <n v="0"/>
    <n v="0"/>
    <s v=""/>
  </r>
  <r>
    <x v="100"/>
    <x v="0"/>
    <n v="645407.11"/>
    <n v="9133687"/>
    <n v="7.0662275814794173E-2"/>
    <n v="1.3493369900000001"/>
    <n v="19.095577865856068"/>
    <n v="17.97"/>
    <n v="7.5088313299944365E-2"/>
    <n v="0"/>
    <n v="17.97"/>
    <n v="0.91752482999999996"/>
    <n v="0.4706272199739816"/>
  </r>
  <r>
    <x v="100"/>
    <x v="1"/>
    <n v="9737000"/>
    <n v="9133687"/>
    <n v="1.0660536101138565"/>
    <n v="0.91752482999999996"/>
    <n v="0.86067419245642496"/>
    <n v="17.97"/>
    <n v="5.1058699499165278E-2"/>
    <n v="0"/>
    <n v="17.97"/>
    <n v="0.50479059999999998"/>
    <n v="0.81763453994587065"/>
  </r>
  <r>
    <x v="100"/>
    <x v="2"/>
    <n v="18645000"/>
    <n v="9133687"/>
    <n v="2.0413443114483778"/>
    <n v="0.50479059999999998"/>
    <n v="0.24728341866142128"/>
    <n v="17.97"/>
    <n v="2.8090740122426267E-2"/>
    <n v="0"/>
    <n v="17.97"/>
    <n v="0"/>
    <s v=""/>
  </r>
  <r>
    <x v="101"/>
    <x v="0"/>
    <n v="268308000"/>
    <n v="176611578"/>
    <n v="1.5191982487127769"/>
    <n v="0.40200000000000002"/>
    <n v="0.26461325922447337"/>
    <n v="21.35"/>
    <n v="1.8829039812646369E-2"/>
    <n v="0"/>
    <n v="21.35"/>
    <n v="0.38"/>
    <n v="5.7894736842105221E-2"/>
  </r>
  <r>
    <x v="101"/>
    <x v="1"/>
    <n v="151938000"/>
    <n v="176611578"/>
    <n v="0.86029467445220376"/>
    <n v="0.38"/>
    <n v="0.44170911582355965"/>
    <n v="21.35"/>
    <n v="1.7798594847775174E-2"/>
    <n v="0"/>
    <n v="21.35"/>
    <n v="0.36499999999999999"/>
    <n v="4.1095890410958846E-2"/>
  </r>
  <r>
    <x v="101"/>
    <x v="2"/>
    <n v="151547000"/>
    <n v="176611578"/>
    <n v="0.85808077656154569"/>
    <n v="0.36499999999999999"/>
    <n v="0.42536787907381868"/>
    <n v="21.35"/>
    <n v="1.7096018735362997E-2"/>
    <n v="0"/>
    <n v="21.35"/>
    <n v="0.315"/>
    <n v="0.15873015873015861"/>
  </r>
  <r>
    <x v="101"/>
    <x v="3"/>
    <n v="92927000"/>
    <n v="176611578"/>
    <n v="0.52616595725111526"/>
    <n v="0.315"/>
    <n v="0.59867043023018063"/>
    <n v="21.35"/>
    <n v="1.4754098360655736E-2"/>
    <n v="0"/>
    <n v="21.35"/>
    <n v="0"/>
    <s v=""/>
  </r>
  <r>
    <x v="102"/>
    <x v="0"/>
    <n v="4539233257.3500004"/>
    <n v="5470667261"/>
    <n v="0.82974032979667278"/>
    <n v="0.34289999999999998"/>
    <n v="0.41326182142312806"/>
    <n v="10.56"/>
    <n v="3.2471590909090908E-2"/>
    <n v="10.56"/>
    <n v="0"/>
    <n v="0.33350000000000002"/>
    <n v="2.8185907046476721E-2"/>
  </r>
  <r>
    <x v="102"/>
    <x v="1"/>
    <n v="4693567188.1000004"/>
    <n v="5470667261"/>
    <n v="0.85795150100977791"/>
    <n v="0.33350000000000002"/>
    <n v="0.38871661114583117"/>
    <n v="10.56"/>
    <n v="3.1581439393939391E-2"/>
    <n v="10.56"/>
    <n v="0"/>
    <n v="0.29649999999999999"/>
    <n v="0.12478920741989885"/>
  </r>
  <r>
    <x v="102"/>
    <x v="2"/>
    <n v="4309548054.5299997"/>
    <n v="5470667261"/>
    <n v="0.78775546910931016"/>
    <n v="0.29649999999999999"/>
    <n v="0.37638583497902339"/>
    <n v="10.56"/>
    <n v="2.8077651515151514E-2"/>
    <n v="10.56"/>
    <n v="0"/>
    <n v="0.25769999999999998"/>
    <n v="0.15056266977105159"/>
  </r>
  <r>
    <x v="102"/>
    <x v="3"/>
    <n v="2858809105.48"/>
    <n v="5470667261"/>
    <n v="0.52257045970612181"/>
    <n v="0.25769999999999998"/>
    <n v="0.49313924125164449"/>
    <n v="10.56"/>
    <n v="2.4403409090909087E-2"/>
    <n v="10.56"/>
    <n v="0"/>
    <n v="0"/>
    <s v=""/>
  </r>
  <r>
    <x v="103"/>
    <x v="0"/>
    <n v="4539233257.3500004"/>
    <n v="5470667261"/>
    <n v="0.82974032979667278"/>
    <n v="0.34289999999999998"/>
    <n v="0.41326182142312806"/>
    <n v="8.6199999999999992"/>
    <n v="3.9779582366589329E-2"/>
    <n v="8.6199999999999992"/>
    <n v="0"/>
    <n v="0.33350000000000002"/>
    <n v="2.8185907046476721E-2"/>
  </r>
  <r>
    <x v="103"/>
    <x v="1"/>
    <n v="4693567188.1000004"/>
    <n v="5470667261"/>
    <n v="0.85795150100977791"/>
    <n v="0.33350000000000002"/>
    <n v="0.38871661114583117"/>
    <n v="8.6199999999999992"/>
    <n v="3.8689095127610214E-2"/>
    <n v="8.6199999999999992"/>
    <n v="0"/>
    <n v="0.29649999999999999"/>
    <n v="0.12478920741989885"/>
  </r>
  <r>
    <x v="103"/>
    <x v="2"/>
    <n v="4309548054.5299997"/>
    <n v="5470667261"/>
    <n v="0.78775546910931016"/>
    <n v="0.29649999999999999"/>
    <n v="0.37638583497902339"/>
    <n v="8.6199999999999992"/>
    <n v="3.439675174013921E-2"/>
    <n v="8.6199999999999992"/>
    <n v="0"/>
    <n v="0.25769999999999998"/>
    <n v="0.15056266977105159"/>
  </r>
  <r>
    <x v="103"/>
    <x v="3"/>
    <n v="2858809105.48"/>
    <n v="5470667261"/>
    <n v="0.52257045970612181"/>
    <n v="0.25769999999999998"/>
    <n v="0.49313924125164449"/>
    <n v="8.6199999999999992"/>
    <n v="2.9895591647331788E-2"/>
    <n v="8.6199999999999992"/>
    <n v="0"/>
    <n v="0"/>
    <s v=""/>
  </r>
  <r>
    <x v="104"/>
    <x v="0"/>
    <n v="10799538178.68"/>
    <n v="5028029710"/>
    <n v="2.14786681892538"/>
    <n v="1"/>
    <n v="0.46557821518017567"/>
    <n v="28.99"/>
    <n v="3.4494653328734047E-2"/>
    <n v="28.99"/>
    <n v="0"/>
    <n v="0.97270000000000001"/>
    <n v="2.8066207463760762E-2"/>
  </r>
  <r>
    <x v="104"/>
    <x v="1"/>
    <n v="11890195760.129999"/>
    <n v="5028029710"/>
    <n v="2.364782319500256"/>
    <n v="0.97270000000000001"/>
    <n v="0.41132750020118491"/>
    <n v="28.99"/>
    <n v="3.355294929285961E-2"/>
    <n v="28.99"/>
    <n v="0"/>
    <n v="0.86070000000000002"/>
    <n v="0.13012664110607641"/>
  </r>
  <r>
    <x v="104"/>
    <x v="2"/>
    <n v="10272015528.35"/>
    <n v="5028029710"/>
    <n v="2.0429504439722175"/>
    <n v="0.86070000000000002"/>
    <n v="0.42130243664966005"/>
    <n v="28.99"/>
    <n v="2.9689548120041397E-2"/>
    <n v="28.99"/>
    <n v="0"/>
    <n v="0"/>
    <s v=""/>
  </r>
  <r>
    <x v="105"/>
    <x v="0"/>
    <n v="10799538178.68"/>
    <n v="5028029710"/>
    <n v="2.14786681892538"/>
    <n v="1"/>
    <n v="0.46557821518017567"/>
    <n v="31.25"/>
    <n v="3.2000000000000001E-2"/>
    <n v="31.25"/>
    <n v="0"/>
    <n v="0.97270000000000001"/>
    <n v="2.8066207463760762E-2"/>
  </r>
  <r>
    <x v="105"/>
    <x v="1"/>
    <n v="11890195760.129999"/>
    <n v="5028029710"/>
    <n v="2.364782319500256"/>
    <n v="0.97270000000000001"/>
    <n v="0.41132750020118491"/>
    <n v="31.25"/>
    <n v="3.1126400000000002E-2"/>
    <n v="31.25"/>
    <n v="0"/>
    <n v="0.86070000000000002"/>
    <n v="0.13012664110607641"/>
  </r>
  <r>
    <x v="105"/>
    <x v="2"/>
    <n v="10272015528.35"/>
    <n v="5028029710"/>
    <n v="2.0429504439722175"/>
    <n v="0.86070000000000002"/>
    <n v="0.42130243664966005"/>
    <n v="31.25"/>
    <n v="2.7542400000000002E-2"/>
    <n v="31.25"/>
    <n v="0"/>
    <n v="0"/>
    <s v=""/>
  </r>
  <r>
    <x v="106"/>
    <x v="0"/>
    <n v="718939800.83000004"/>
    <n v="2943644008"/>
    <n v="0.244234628533927"/>
    <n v="5.8005724000000002E-2"/>
    <n v="0.23749999886663223"/>
    <n v="8.9"/>
    <n v="6.5174970786516856E-3"/>
    <n v="0"/>
    <n v="8.9"/>
    <n v="0"/>
    <s v=""/>
  </r>
  <r>
    <x v="106"/>
    <x v="1"/>
    <n v="-75180667.959999993"/>
    <n v="2943644008"/>
    <n v="-2.5539999998532428E-2"/>
    <n v="0"/>
    <s v=""/>
    <n v="8.9"/>
    <s v=""/>
    <n v="0"/>
    <n v="8.9"/>
    <n v="0"/>
    <s v=""/>
  </r>
  <r>
    <x v="106"/>
    <x v="2"/>
    <n v="-357505564.80000001"/>
    <n v="2943644008"/>
    <n v="-0.12145000000964791"/>
    <n v="0"/>
    <s v=""/>
    <n v="8.9"/>
    <s v=""/>
    <n v="0"/>
    <n v="8.9"/>
    <n v="0"/>
    <s v=""/>
  </r>
  <r>
    <x v="107"/>
    <x v="0"/>
    <n v="751965362.53999996"/>
    <n v="917683296"/>
    <n v="0.81941707538719322"/>
    <n v="0.2064"/>
    <n v="0.25188637898773503"/>
    <n v="11"/>
    <n v="1.8763636363636364E-2"/>
    <n v="11"/>
    <n v="0"/>
    <n v="0.1447"/>
    <n v="0.42639944713199718"/>
  </r>
  <r>
    <x v="107"/>
    <x v="1"/>
    <n v="182710744"/>
    <n v="917683296"/>
    <n v="0.19909999974544595"/>
    <n v="0.1447"/>
    <n v="0.72677046803115197"/>
    <n v="11"/>
    <n v="1.3154545454545453E-2"/>
    <n v="11"/>
    <n v="0"/>
    <n v="0.12509999999999999"/>
    <n v="0.15667466027178256"/>
  </r>
  <r>
    <x v="107"/>
    <x v="2"/>
    <n v="559786811"/>
    <n v="917683296"/>
    <n v="0.61000000047946823"/>
    <n v="0.12509999999999999"/>
    <n v="0.20508196705191753"/>
    <n v="11"/>
    <n v="1.1372727272727272E-2"/>
    <n v="11"/>
    <n v="0"/>
    <n v="0"/>
    <s v=""/>
  </r>
  <r>
    <x v="108"/>
    <x v="0"/>
    <n v="751965362.53999996"/>
    <n v="917683296"/>
    <n v="0.81941707538719322"/>
    <n v="0.22700000000000001"/>
    <n v="0.27702620169678221"/>
    <n v="12.71"/>
    <n v="1.7859952793076318E-2"/>
    <n v="12.71"/>
    <n v="0"/>
    <n v="0.15920000000000001"/>
    <n v="0.42587939698492461"/>
  </r>
  <r>
    <x v="108"/>
    <x v="1"/>
    <n v="182710744"/>
    <n v="917683296"/>
    <n v="0.19909999974544595"/>
    <n v="0.15920000000000001"/>
    <n v="0.79959819288569045"/>
    <n v="12.71"/>
    <n v="1.2525570416994493E-2"/>
    <n v="12.71"/>
    <n v="0"/>
    <n v="0.1376"/>
    <n v="0.15697674418604657"/>
  </r>
  <r>
    <x v="108"/>
    <x v="2"/>
    <n v="559786811"/>
    <n v="917683296"/>
    <n v="0.61000000047946823"/>
    <n v="0.1376"/>
    <n v="0.22557377031449924"/>
    <n v="12.71"/>
    <n v="1.0826121164437451E-2"/>
    <n v="12.71"/>
    <n v="0"/>
    <n v="0"/>
    <s v=""/>
  </r>
  <r>
    <x v="109"/>
    <x v="0"/>
    <n v="3722000"/>
    <n v="65075322"/>
    <n v="5.7195260593562641E-2"/>
    <n v="0.15492519799999999"/>
    <n v="2.7087069171853182"/>
    <n v="6.5"/>
    <n v="2.3834645846153843E-2"/>
    <n v="0"/>
    <n v="6.5"/>
    <n v="0.22154209999999999"/>
    <n v="-0.30069635522999916"/>
  </r>
  <r>
    <x v="109"/>
    <x v="1"/>
    <n v="22576000"/>
    <n v="65075322"/>
    <n v="0.34692106479319457"/>
    <n v="0.22154209999999999"/>
    <n v="0.63859512287633768"/>
    <n v="6.5"/>
    <n v="3.40834E-2"/>
    <n v="0"/>
    <n v="6.5"/>
    <n v="0"/>
    <s v=""/>
  </r>
  <r>
    <x v="110"/>
    <x v="0"/>
    <n v="423923458.43000001"/>
    <n v="203934060"/>
    <n v="2.0787280870591212"/>
    <n v="1.71"/>
    <n v="0.82261841298311467"/>
    <n v="20.61"/>
    <n v="8.296943231441048E-2"/>
    <n v="20.61"/>
    <n v="0"/>
    <n v="1.45"/>
    <n v="0.17931034482758612"/>
  </r>
  <r>
    <x v="110"/>
    <x v="1"/>
    <n v="310647000"/>
    <n v="203934060"/>
    <n v="1.523271786968788"/>
    <n v="1.45"/>
    <n v="0.95189841524302499"/>
    <n v="20.61"/>
    <n v="7.0354196991751577E-2"/>
    <n v="20.61"/>
    <n v="0"/>
    <n v="1.72"/>
    <n v="-0.15697674418604657"/>
  </r>
  <r>
    <x v="110"/>
    <x v="2"/>
    <n v="575150000"/>
    <n v="203934060"/>
    <n v="2.8202743573094167"/>
    <n v="1.72"/>
    <n v="0.6098697438928975"/>
    <n v="20.61"/>
    <n v="8.3454633672974288E-2"/>
    <n v="20.61"/>
    <n v="0"/>
    <n v="0"/>
    <s v=""/>
  </r>
  <r>
    <x v="111"/>
    <x v="0"/>
    <n v="13335000"/>
    <n v="11764889"/>
    <n v="1.1334573577362268"/>
    <n v="0.27145999999999998"/>
    <n v="0.23949732043044619"/>
    <n v="49.6"/>
    <n v="5.4729838709677413E-3"/>
    <n v="49.6"/>
    <n v="0"/>
    <n v="1.9100999999999999"/>
    <n v="-0.85788178629391132"/>
  </r>
  <r>
    <x v="111"/>
    <x v="1"/>
    <n v="23655000"/>
    <n v="11764889"/>
    <n v="2.0106437043307421"/>
    <n v="1.9100999999999999"/>
    <n v="0.94999427093214961"/>
    <n v="49.6"/>
    <n v="3.8510080645161288E-2"/>
    <n v="49.6"/>
    <n v="0"/>
    <n v="0.92493999999999998"/>
    <n v="1.0651069258546499"/>
  </r>
  <r>
    <x v="111"/>
    <x v="2"/>
    <n v="23252000"/>
    <n v="11764889"/>
    <n v="1.9763892375015182"/>
    <n v="0.92493999999999998"/>
    <n v="0.46799485771804578"/>
    <n v="49.6"/>
    <n v="1.8647983870967742E-2"/>
    <n v="49.6"/>
    <n v="0"/>
    <n v="6.5060000000000007E-2"/>
    <n v="13.216723024900091"/>
  </r>
  <r>
    <x v="111"/>
    <x v="3"/>
    <n v="11051000"/>
    <n v="11764889"/>
    <n v="0.93932037947829339"/>
    <n v="6.5060000000000007E-2"/>
    <n v="6.9262843031399887E-2"/>
    <n v="49.6"/>
    <n v="1.3116935483870969E-3"/>
    <n v="49.6"/>
    <n v="0"/>
    <n v="0"/>
    <s v=""/>
  </r>
  <r>
    <x v="112"/>
    <x v="0"/>
    <n v="70727730.280000001"/>
    <n v="290677834"/>
    <n v="0.24331999900618498"/>
    <n v="5.7530390000000001E-2"/>
    <n v="0.23643921681315488"/>
    <n v="5.65"/>
    <n v="1.0182369911504424E-2"/>
    <n v="0"/>
    <n v="5.65"/>
    <n v="0.03"/>
    <n v="0.91767966666666667"/>
  </r>
  <r>
    <x v="112"/>
    <x v="1"/>
    <n v="97911000"/>
    <n v="290677834"/>
    <n v="0.33683682946392124"/>
    <n v="0.03"/>
    <n v="8.9063894965836304E-2"/>
    <n v="5.65"/>
    <n v="5.3097345132743353E-3"/>
    <n v="0"/>
    <n v="5.65"/>
    <n v="0"/>
    <s v=""/>
  </r>
  <r>
    <x v="112"/>
    <x v="2"/>
    <n v="91765000"/>
    <n v="290677834"/>
    <n v="0.31569314638556167"/>
    <n v="0"/>
    <s v=""/>
    <n v="5.65"/>
    <s v=""/>
    <n v="0"/>
    <n v="5.65"/>
    <n v="0"/>
    <s v=""/>
  </r>
  <r>
    <x v="113"/>
    <x v="0"/>
    <n v="16768000"/>
    <n v="11759999"/>
    <n v="1.4258504613818419"/>
    <n v="0.42399999999999999"/>
    <n v="0.29736638692748091"/>
    <n v="83.91"/>
    <n v="5.0530330115600049E-3"/>
    <n v="0"/>
    <n v="83.91"/>
    <n v="0.18870000000000001"/>
    <n v="1.2469528351881292"/>
  </r>
  <r>
    <x v="113"/>
    <x v="1"/>
    <n v="8649000"/>
    <n v="11759999"/>
    <n v="0.7354592462125209"/>
    <n v="0.18870000000000001"/>
    <n v="0.25657437984738124"/>
    <n v="83.91"/>
    <n v="2.2488380407579551E-3"/>
    <n v="0"/>
    <n v="83.91"/>
    <n v="0.54059999999999997"/>
    <n v="-0.65094339622641506"/>
  </r>
  <r>
    <x v="113"/>
    <x v="2"/>
    <n v="24344000"/>
    <n v="11759999"/>
    <n v="2.0700682032370921"/>
    <n v="0.54059999999999997"/>
    <n v="0.2611508157821229"/>
    <n v="83.91"/>
    <n v="6.4426170897390056E-3"/>
    <n v="0"/>
    <n v="83.91"/>
    <n v="0"/>
    <s v=""/>
  </r>
  <r>
    <x v="114"/>
    <x v="0"/>
    <n v="16768000"/>
    <n v="11759999"/>
    <n v="1.4258504613818419"/>
    <n v="0.52300000000000002"/>
    <n v="0.36679863293177484"/>
    <n v="6.58"/>
    <n v="7.9483282674772032E-2"/>
    <n v="0"/>
    <n v="6.58"/>
    <n v="0.38419999999999999"/>
    <n v="0.36127017178552845"/>
  </r>
  <r>
    <x v="114"/>
    <x v="1"/>
    <n v="8649000"/>
    <n v="11759999"/>
    <n v="0.7354592462125209"/>
    <n v="0.38419999999999999"/>
    <n v="0.5223946832928662"/>
    <n v="6.58"/>
    <n v="5.8389057750759879E-2"/>
    <n v="0"/>
    <n v="6.58"/>
    <n v="0.62594000000000005"/>
    <n v="-0.38620315046170561"/>
  </r>
  <r>
    <x v="114"/>
    <x v="2"/>
    <n v="24344000"/>
    <n v="11759999"/>
    <n v="2.0700682032370921"/>
    <n v="0.62594000000000005"/>
    <n v="0.3023765106005587"/>
    <n v="6.58"/>
    <n v="9.5127659574468088E-2"/>
    <n v="0"/>
    <n v="6.58"/>
    <n v="0"/>
    <s v=""/>
  </r>
  <r>
    <x v="115"/>
    <x v="0"/>
    <n v="172669675.86000001"/>
    <n v="12251221"/>
    <n v="14.094078937927902"/>
    <n v="3.8149609419999999"/>
    <n v="0.27067827268469036"/>
    <n v="158.99"/>
    <n v="2.3994974161896974E-2"/>
    <n v="0"/>
    <n v="158.99"/>
    <n v="5.4828608059999997"/>
    <n v="-0.30420248169984276"/>
  </r>
  <r>
    <x v="115"/>
    <x v="1"/>
    <n v="181046595.15000001"/>
    <n v="12251221"/>
    <n v="14.777840931120254"/>
    <n v="5.4828608059999997"/>
    <n v="0.37101907048233224"/>
    <n v="158.99"/>
    <n v="3.4485570199383607E-2"/>
    <n v="0"/>
    <n v="158.99"/>
    <n v="3.6731054410000001"/>
    <n v="0.49270444153307369"/>
  </r>
  <r>
    <x v="115"/>
    <x v="2"/>
    <n v="111311611.06999999"/>
    <n v="12251221"/>
    <n v="9.0857565192889744"/>
    <n v="3.6731054410000001"/>
    <n v="0.40427073223919574"/>
    <n v="158.99"/>
    <n v="2.3102745084596515E-2"/>
    <n v="0"/>
    <n v="158.99"/>
    <n v="3.9996022359999999"/>
    <n v="-8.1632316349170009E-2"/>
  </r>
  <r>
    <x v="115"/>
    <x v="3"/>
    <n v="74101153.209999993"/>
    <n v="12251221"/>
    <n v="6.0484708593535288"/>
    <n v="3.9996022359999999"/>
    <n v="0.66125841208524638"/>
    <n v="158.99"/>
    <n v="2.5156313202088179E-2"/>
    <n v="0"/>
    <n v="158.99"/>
    <n v="0"/>
    <s v=""/>
  </r>
  <r>
    <x v="116"/>
    <x v="0"/>
    <n v="386792226.60000002"/>
    <n v="189997214"/>
    <n v="2.0357784119929256"/>
    <n v="1.0304815780000001"/>
    <n v="0.50618553175009351"/>
    <n v="47.25"/>
    <n v="2.1809133925925928E-2"/>
    <n v="0"/>
    <n v="47.25"/>
    <n v="0.784386535"/>
    <n v="0.31374205448338044"/>
  </r>
  <r>
    <x v="116"/>
    <x v="1"/>
    <n v="296889622.02999997"/>
    <n v="189997214"/>
    <n v="1.5625998707012618"/>
    <n v="0.784386535"/>
    <n v="0.50197529752001313"/>
    <n v="47.25"/>
    <n v="1.6600773227513226E-2"/>
    <n v="0"/>
    <n v="47.25"/>
    <n v="0.54198311700000001"/>
    <n v="0.44725271027215396"/>
  </r>
  <r>
    <x v="116"/>
    <x v="2"/>
    <n v="216710069.06"/>
    <n v="189997214"/>
    <n v="1.1405960355818692"/>
    <n v="0.54198311700000001"/>
    <n v="0.47517534700487551"/>
    <n v="47.25"/>
    <n v="1.1470542158730159E-2"/>
    <n v="0"/>
    <n v="47.25"/>
    <n v="0.32047732699999998"/>
    <n v="0.69117460530991037"/>
  </r>
  <r>
    <x v="116"/>
    <x v="3"/>
    <n v="170612814.30000001"/>
    <n v="189997214"/>
    <n v="0.89797534768062448"/>
    <n v="0.32047732699999998"/>
    <n v="0.35688878077528419"/>
    <n v="47.25"/>
    <n v="6.7825889312169308E-3"/>
    <n v="0"/>
    <n v="47.25"/>
    <n v="0"/>
    <s v=""/>
  </r>
  <r>
    <x v="117"/>
    <x v="0"/>
    <n v="837439831.94000006"/>
    <n v="1797086404"/>
    <n v="0.46599864651805584"/>
    <n v="4.07"/>
    <n v="8.7339309468193953"/>
    <n v="4.6900000000000004"/>
    <n v="0.86780383795309168"/>
    <n v="0"/>
    <n v="4.6900000000000004"/>
    <n v="0.92"/>
    <n v="3.4239130434782608"/>
  </r>
  <r>
    <x v="117"/>
    <x v="1"/>
    <n v="1005731443.8099999"/>
    <n v="1797086404"/>
    <n v="0.55964556939021837"/>
    <n v="0.92"/>
    <n v="1.6438975850419375"/>
    <n v="4.6900000000000004"/>
    <n v="0.19616204690831557"/>
    <n v="0"/>
    <n v="4.6900000000000004"/>
    <n v="0"/>
    <s v=""/>
  </r>
  <r>
    <x v="117"/>
    <x v="2"/>
    <n v="1971024029.29"/>
    <n v="1797086404"/>
    <n v="1.0967886824489046"/>
    <n v="0"/>
    <s v=""/>
    <n v="4.6900000000000004"/>
    <s v=""/>
    <n v="0"/>
    <n v="4.6900000000000004"/>
    <n v="0"/>
    <s v=""/>
  </r>
  <r>
    <x v="118"/>
    <x v="0"/>
    <n v="837439831.94000006"/>
    <n v="1797086404"/>
    <n v="0.46599864651805584"/>
    <n v="4.07"/>
    <n v="8.7339309468193953"/>
    <n v="4.37"/>
    <n v="0.93135011441647597"/>
    <n v="0"/>
    <n v="4.37"/>
    <n v="0.92"/>
    <n v="3.4239130434782608"/>
  </r>
  <r>
    <x v="118"/>
    <x v="1"/>
    <n v="1005731443.8099999"/>
    <n v="1797086404"/>
    <n v="0.55964556939021837"/>
    <n v="0.92"/>
    <n v="1.6438975850419375"/>
    <n v="4.37"/>
    <n v="0.2105263157894737"/>
    <n v="0"/>
    <n v="4.37"/>
    <n v="0"/>
    <s v=""/>
  </r>
  <r>
    <x v="118"/>
    <x v="2"/>
    <n v="1971024029.29"/>
    <n v="1797086404"/>
    <n v="1.0967886824489046"/>
    <n v="0"/>
    <s v=""/>
    <n v="4.37"/>
    <s v=""/>
    <n v="0"/>
    <n v="4.37"/>
    <n v="0"/>
    <s v=""/>
  </r>
  <r>
    <x v="119"/>
    <x v="0"/>
    <n v="15469895.77"/>
    <n v="12587262"/>
    <n v="1.2290119781410762"/>
    <n v="1.0680540000000001"/>
    <n v="0.86903465466257634"/>
    <n v="20"/>
    <n v="5.3402700000000004E-2"/>
    <n v="0"/>
    <n v="20"/>
    <n v="1.003811"/>
    <n v="6.3999099432064499E-2"/>
  </r>
  <r>
    <x v="119"/>
    <x v="1"/>
    <n v="13306306.460000001"/>
    <n v="12587262"/>
    <n v="1.0571247710582334"/>
    <n v="1.003811"/>
    <n v="0.9495671915767675"/>
    <n v="20"/>
    <n v="5.019055E-2"/>
    <n v="0"/>
    <n v="20"/>
    <n v="0.962588"/>
    <n v="4.2825175464477061E-2"/>
  </r>
  <r>
    <x v="119"/>
    <x v="2"/>
    <n v="19966613.23"/>
    <n v="12587262"/>
    <n v="1.5862554723974125"/>
    <n v="0.962588"/>
    <n v="0.6068303730074307"/>
    <n v="20"/>
    <n v="4.8129400000000003E-2"/>
    <n v="0"/>
    <n v="20"/>
    <n v="0.86186600000000002"/>
    <n v="0.11686503470377052"/>
  </r>
  <r>
    <x v="119"/>
    <x v="3"/>
    <n v="8984823.1899999995"/>
    <n v="12587262"/>
    <n v="0.71380282622225544"/>
    <n v="0.86186600000000002"/>
    <n v="1.2074286740518487"/>
    <n v="20"/>
    <n v="4.3093300000000001E-2"/>
    <n v="0"/>
    <n v="20"/>
    <n v="0"/>
    <s v=""/>
  </r>
  <r>
    <x v="120"/>
    <x v="0"/>
    <n v="20894905121.599998"/>
    <n v="13044496930"/>
    <n v="1.6018176272896711"/>
    <n v="0.47"/>
    <n v="0.29341667365420099"/>
    <n v="15.12"/>
    <n v="3.1084656084656083E-2"/>
    <n v="0"/>
    <n v="15.12"/>
    <n v="0.92"/>
    <n v="-0.48913043478260876"/>
  </r>
  <r>
    <x v="120"/>
    <x v="1"/>
    <n v="33133022202"/>
    <n v="13044496930"/>
    <n v="2.5399999999846679"/>
    <n v="0.92"/>
    <n v="0.3622047244116352"/>
    <n v="15.12"/>
    <n v="6.084656084656085E-2"/>
    <n v="0"/>
    <n v="15.12"/>
    <n v="1.03"/>
    <n v="-0.10679611650485432"/>
  </r>
  <r>
    <x v="120"/>
    <x v="2"/>
    <n v="46307964102"/>
    <n v="13044496930"/>
    <n v="3.5500000000383305"/>
    <n v="1.03"/>
    <n v="0.29014084506728982"/>
    <n v="15.12"/>
    <n v="6.8121693121693125E-2"/>
    <n v="0"/>
    <n v="15.12"/>
    <n v="0.95"/>
    <n v="8.4210526315789513E-2"/>
  </r>
  <r>
    <x v="120"/>
    <x v="3"/>
    <n v="44612179501"/>
    <n v="13044496930"/>
    <n v="3.4200000000306643"/>
    <n v="0.95"/>
    <n v="0.27777777777528717"/>
    <n v="15.12"/>
    <n v="6.2830687830687834E-2"/>
    <n v="0"/>
    <n v="15.12"/>
    <n v="0"/>
    <s v=""/>
  </r>
  <r>
    <x v="121"/>
    <x v="0"/>
    <n v="20894905121.599998"/>
    <n v="13044496930"/>
    <n v="1.6018176272896711"/>
    <n v="0.96"/>
    <n v="0.5993191632085807"/>
    <n v="16.04"/>
    <n v="5.9850374064837904E-2"/>
    <n v="0"/>
    <n v="16.04"/>
    <n v="0.92"/>
    <n v="4.3478260869565188E-2"/>
  </r>
  <r>
    <x v="121"/>
    <x v="1"/>
    <n v="33133022202"/>
    <n v="13044496930"/>
    <n v="2.5399999999846679"/>
    <n v="0.92"/>
    <n v="0.3622047244116352"/>
    <n v="16.04"/>
    <n v="5.7356608478803001E-2"/>
    <n v="0"/>
    <n v="16.04"/>
    <n v="1.03"/>
    <n v="-0.10679611650485432"/>
  </r>
  <r>
    <x v="121"/>
    <x v="2"/>
    <n v="46307964102"/>
    <n v="13044496930"/>
    <n v="3.5500000000383305"/>
    <n v="1.03"/>
    <n v="0.29014084506728982"/>
    <n v="16.04"/>
    <n v="6.4214463840399014E-2"/>
    <n v="0"/>
    <n v="16.04"/>
    <n v="0.95"/>
    <n v="8.4210526315789513E-2"/>
  </r>
  <r>
    <x v="121"/>
    <x v="3"/>
    <n v="44612179501"/>
    <n v="13044496930"/>
    <n v="3.4200000000306643"/>
    <n v="0.95"/>
    <n v="0.27777777777528717"/>
    <n v="16.04"/>
    <n v="5.922693266832918E-2"/>
    <n v="0"/>
    <n v="16.04"/>
    <n v="0"/>
    <s v=""/>
  </r>
  <r>
    <x v="122"/>
    <x v="0"/>
    <n v="187453404.96000001"/>
    <n v="110842313"/>
    <n v="1.6911718989480129"/>
    <n v="0.92906"/>
    <n v="0.54935870243463614"/>
    <n v="8.6999999999999993"/>
    <n v="0.10678850574712645"/>
    <n v="8.6999999999999993"/>
    <n v="0"/>
    <n v="0.83615399999999995"/>
    <n v="0.11111111111111116"/>
  </r>
  <r>
    <x v="122"/>
    <x v="1"/>
    <n v="161513908.16999999"/>
    <n v="110842313"/>
    <n v="1.4571502867321073"/>
    <n v="0.83615399999999995"/>
    <n v="0.57382825067084131"/>
    <n v="8.6999999999999993"/>
    <n v="9.6109655172413794E-2"/>
    <n v="8.6999999999999993"/>
    <n v="0"/>
    <n v="0.69679500000000005"/>
    <n v="0.19999999999999973"/>
  </r>
  <r>
    <x v="122"/>
    <x v="2"/>
    <n v="116428578.18000001"/>
    <n v="110842313"/>
    <n v="1.0503983093532161"/>
    <n v="0.69679500000000005"/>
    <n v="0.66336264424211833"/>
    <n v="8.6999999999999993"/>
    <n v="8.0091379310344837E-2"/>
    <n v="8.6999999999999993"/>
    <n v="0"/>
    <n v="0.69679500000000005"/>
    <n v="0"/>
  </r>
  <r>
    <x v="122"/>
    <x v="3"/>
    <n v="86911496.730000004"/>
    <n v="110842313"/>
    <n v="0.78410035281382129"/>
    <n v="0.69679500000000005"/>
    <n v="0.88865538384147214"/>
    <n v="8.6999999999999993"/>
    <n v="8.0091379310344837E-2"/>
    <n v="8.6999999999999993"/>
    <n v="0"/>
    <n v="0"/>
    <s v=""/>
  </r>
  <r>
    <x v="123"/>
    <x v="0"/>
    <n v="196691606.94"/>
    <n v="87289932"/>
    <n v="2.2533137835414969"/>
    <n v="0.72"/>
    <n v="0.31952939943783043"/>
    <n v="11.32"/>
    <n v="6.3604240282685506E-2"/>
    <n v="11.32"/>
    <n v="0"/>
    <n v="1.0900000000000001"/>
    <n v="-0.33944954128440374"/>
  </r>
  <r>
    <x v="123"/>
    <x v="1"/>
    <n v="359474959.12"/>
    <n v="87289932"/>
    <n v="4.118172060438769"/>
    <n v="1.0900000000000001"/>
    <n v="0.26468053884175652"/>
    <n v="11.32"/>
    <n v="9.6289752650176683E-2"/>
    <n v="11.32"/>
    <n v="0"/>
    <n v="0.52"/>
    <n v="1.0961538461538463"/>
  </r>
  <r>
    <x v="123"/>
    <x v="2"/>
    <n v="117452154.81999999"/>
    <n v="87289932"/>
    <n v="1.3455406841192177"/>
    <n v="0.52"/>
    <n v="0.38646174444022008"/>
    <n v="11.32"/>
    <n v="4.5936395759717315E-2"/>
    <n v="11.32"/>
    <n v="0"/>
    <n v="0"/>
    <s v=""/>
  </r>
  <r>
    <x v="124"/>
    <x v="0"/>
    <n v="45071000"/>
    <n v="80041132"/>
    <n v="0.56309798317195214"/>
    <n v="0.66"/>
    <n v="1.1720873093563489"/>
    <n v="7.7"/>
    <n v="8.5714285714285715E-2"/>
    <n v="0"/>
    <n v="7.7"/>
    <n v="0.5"/>
    <n v="0.32000000000000006"/>
  </r>
  <r>
    <x v="124"/>
    <x v="1"/>
    <n v="29451000"/>
    <n v="80041132"/>
    <n v="0.36794831937159511"/>
    <n v="0.5"/>
    <n v="1.3588864894231094"/>
    <n v="7.7"/>
    <n v="6.4935064935064929E-2"/>
    <n v="0"/>
    <n v="7.7"/>
    <n v="0.41"/>
    <n v="0.21951219512195119"/>
  </r>
  <r>
    <x v="124"/>
    <x v="2"/>
    <n v="23814000"/>
    <n v="80041132"/>
    <n v="0.29752202904876457"/>
    <n v="0.41"/>
    <n v="1.37804921978668"/>
    <n v="7.7"/>
    <n v="5.3246753246753244E-2"/>
    <n v="0"/>
    <n v="7.7"/>
    <n v="0"/>
    <s v=""/>
  </r>
  <r>
    <x v="125"/>
    <x v="0"/>
    <n v="682580077"/>
    <n v="323293030"/>
    <n v="2.111335579984511"/>
    <n v="1.05"/>
    <n v="0.49731554280333917"/>
    <n v="29"/>
    <n v="3.6206896551724141E-2"/>
    <n v="29"/>
    <n v="0"/>
    <n v="0.84"/>
    <n v="0.25"/>
  </r>
  <r>
    <x v="125"/>
    <x v="1"/>
    <n v="580084000"/>
    <n v="323293030"/>
    <n v="1.7942978851106068"/>
    <n v="0.84"/>
    <n v="0.46814969073444535"/>
    <n v="29"/>
    <n v="2.8965517241379309E-2"/>
    <n v="29"/>
    <n v="0"/>
    <n v="0.72"/>
    <n v="0.16666666666666674"/>
  </r>
  <r>
    <x v="125"/>
    <x v="2"/>
    <n v="623912000"/>
    <n v="323293030"/>
    <n v="1.9298652989827836"/>
    <n v="0.72"/>
    <n v="0.37308303350472499"/>
    <n v="29"/>
    <n v="2.4827586206896551E-2"/>
    <n v="29"/>
    <n v="0"/>
    <n v="0.4"/>
    <n v="0.79999999999999982"/>
  </r>
  <r>
    <x v="125"/>
    <x v="3"/>
    <n v="328416000"/>
    <n v="323293030"/>
    <n v="1.0158462123356016"/>
    <n v="0.4"/>
    <n v="0.39376038926239892"/>
    <n v="29"/>
    <n v="1.3793103448275864E-2"/>
    <n v="29"/>
    <n v="0"/>
    <n v="0"/>
    <s v=""/>
  </r>
  <r>
    <x v="126"/>
    <x v="0"/>
    <n v="313688976.75999999"/>
    <n v="17887362"/>
    <n v="17.53690548444203"/>
    <n v="5.0837892499999997"/>
    <n v="0.28989089634486048"/>
    <n v="58"/>
    <n v="8.7651538793103445E-2"/>
    <n v="0"/>
    <n v="58"/>
    <n v="2.3852000000000002"/>
    <n v="1.1313890868690253"/>
  </r>
  <r>
    <x v="126"/>
    <x v="1"/>
    <n v="96465537.109999999"/>
    <n v="17887362"/>
    <n v="5.392943750453532"/>
    <n v="2.3852000000000002"/>
    <n v="0.44228163881728072"/>
    <n v="58"/>
    <n v="4.1124137931034484E-2"/>
    <n v="0"/>
    <n v="58"/>
    <n v="1.2701"/>
    <n v="0.87796236516809723"/>
  </r>
  <r>
    <x v="126"/>
    <x v="2"/>
    <n v="86203563.489999995"/>
    <n v="17887362"/>
    <n v="4.8192440836161303"/>
    <n v="1.2701"/>
    <n v="0.26354755599906815"/>
    <n v="58"/>
    <n v="2.1898275862068967E-2"/>
    <n v="0"/>
    <n v="58"/>
    <n v="0.79869999999999997"/>
    <n v="0.59020908977087783"/>
  </r>
  <r>
    <x v="126"/>
    <x v="3"/>
    <n v="74229898.859999999"/>
    <n v="17887362"/>
    <n v="4.1498516583943452"/>
    <n v="0.79869999999999997"/>
    <n v="0.1924647109697005"/>
    <n v="58"/>
    <n v="1.3770689655172414E-2"/>
    <n v="0"/>
    <n v="58"/>
    <n v="0"/>
    <s v=""/>
  </r>
  <r>
    <x v="127"/>
    <x v="0"/>
    <n v="82468112.400000006"/>
    <n v="265806905"/>
    <n v="0.31025571890241155"/>
    <n v="3.0000000000000001E-6"/>
    <n v="9.6694430343236506E-6"/>
    <n v="9.6999999999999993"/>
    <n v="3.0927835051546394E-7"/>
    <n v="0"/>
    <n v="9.6999999999999993"/>
    <n v="3.0000000000000001E-6"/>
    <n v="0"/>
  </r>
  <r>
    <x v="127"/>
    <x v="1"/>
    <n v="92137357.700000003"/>
    <n v="265806905"/>
    <n v="0.34663267193905289"/>
    <n v="3.0000000000000001E-6"/>
    <n v="8.6546948480594434E-6"/>
    <n v="9.6999999999999993"/>
    <n v="3.0927835051546394E-7"/>
    <n v="0"/>
    <n v="9.6999999999999993"/>
    <n v="0.18173600000000001"/>
    <n v="-0.99998349253862751"/>
  </r>
  <r>
    <x v="127"/>
    <x v="2"/>
    <n v="35594641.18"/>
    <n v="265806905"/>
    <n v="0.13391164981210701"/>
    <n v="0.18173600000000001"/>
    <n v="1.3571336045444582"/>
    <n v="9.6999999999999993"/>
    <n v="1.8735670103092787E-2"/>
    <n v="0"/>
    <n v="9.6999999999999993"/>
    <n v="0"/>
    <s v=""/>
  </r>
  <r>
    <x v="128"/>
    <x v="0"/>
    <n v="26381000"/>
    <n v="166720235"/>
    <n v="0.15823514164312449"/>
    <n v="6.1899999999999997E-2"/>
    <n v="0.39118996802623096"/>
    <n v="3.25"/>
    <n v="1.9046153846153845E-2"/>
    <n v="3.25"/>
    <n v="0"/>
    <n v="6.0350000000000001E-2"/>
    <n v="2.5683512841756295E-2"/>
  </r>
  <r>
    <x v="128"/>
    <x v="1"/>
    <n v="9354000"/>
    <n v="166720235"/>
    <n v="5.610596698115259E-2"/>
    <n v="6.0350000000000001E-2"/>
    <n v="1.0756431668002993"/>
    <n v="3.25"/>
    <n v="1.8569230769230768E-2"/>
    <n v="3.25"/>
    <n v="0"/>
    <n v="5.9830000000000001E-2"/>
    <n v="8.6912919939829969E-3"/>
  </r>
  <r>
    <x v="128"/>
    <x v="2"/>
    <n v="34360000"/>
    <n v="166720235"/>
    <n v="0.20609375940478972"/>
    <n v="5.9830000000000001E-2"/>
    <n v="0.29030476309807918"/>
    <n v="3.25"/>
    <n v="1.8409230769230768E-2"/>
    <n v="3.25"/>
    <n v="0"/>
    <n v="0"/>
    <s v=""/>
  </r>
  <r>
    <x v="129"/>
    <x v="0"/>
    <n v="26381000"/>
    <n v="166720235"/>
    <n v="0.15823514164312449"/>
    <n v="6.1899999999999997E-2"/>
    <n v="0.39118996802623096"/>
    <n v="3.36"/>
    <n v="1.8422619047619049E-2"/>
    <n v="3.36"/>
    <n v="0"/>
    <n v="6.6379999999999995E-2"/>
    <n v="-6.7490207893943888E-2"/>
  </r>
  <r>
    <x v="129"/>
    <x v="1"/>
    <n v="9354000"/>
    <n v="166720235"/>
    <n v="5.610596698115259E-2"/>
    <n v="6.6379999999999995E-2"/>
    <n v="1.1831183663994012"/>
    <n v="3.36"/>
    <n v="1.9755952380952381E-2"/>
    <n v="3.36"/>
    <n v="0"/>
    <n v="6.5809999999999994E-2"/>
    <n v="8.6612976751254678E-3"/>
  </r>
  <r>
    <x v="129"/>
    <x v="2"/>
    <n v="34360000"/>
    <n v="166720235"/>
    <n v="0.20609375940478972"/>
    <n v="6.5809999999999994E-2"/>
    <n v="0.31932068292636784"/>
    <n v="3.36"/>
    <n v="1.9586309523809523E-2"/>
    <n v="3.36"/>
    <n v="0"/>
    <n v="0"/>
    <s v=""/>
  </r>
  <r>
    <x v="130"/>
    <x v="0"/>
    <n v="50944000"/>
    <n v="108480828"/>
    <n v="0.46961293473903054"/>
    <n v="0.25598361800000002"/>
    <n v="0.5450949048970577"/>
    <n v="5.96"/>
    <n v="4.2950271476510073E-2"/>
    <n v="5.96"/>
    <n v="0"/>
    <n v="0.36250183699999999"/>
    <n v="-0.29384187368959447"/>
  </r>
  <r>
    <x v="130"/>
    <x v="1"/>
    <n v="42494000"/>
    <n v="108480828"/>
    <n v="0.39171898651068554"/>
    <n v="0.36250183699999999"/>
    <n v="0.9254129860517023"/>
    <n v="5.96"/>
    <n v="6.0822455872483222E-2"/>
    <n v="5.96"/>
    <n v="0"/>
    <n v="0.41899999999999998"/>
    <n v="-0.13484048448687347"/>
  </r>
  <r>
    <x v="130"/>
    <x v="2"/>
    <n v="60637000"/>
    <n v="108480828"/>
    <n v="0.55896512884285876"/>
    <n v="0.41899999999999998"/>
    <n v="0.74959953381598687"/>
    <n v="5.96"/>
    <n v="7.030201342281879E-2"/>
    <n v="5.96"/>
    <n v="0"/>
    <n v="0"/>
    <s v=""/>
  </r>
  <r>
    <x v="131"/>
    <x v="0"/>
    <n v="52406000"/>
    <n v="84682269"/>
    <n v="0.61885446172917258"/>
    <n v="1.0399999999999999E-3"/>
    <n v="1.6805243628592145E-3"/>
    <n v="3.08"/>
    <n v="3.3766233766233762E-4"/>
    <n v="3.08"/>
    <n v="0"/>
    <n v="0"/>
    <s v=""/>
  </r>
  <r>
    <x v="131"/>
    <x v="1"/>
    <n v="47835000"/>
    <n v="84682269"/>
    <n v="0.56487621983770886"/>
    <n v="0"/>
    <s v=""/>
    <n v="3.08"/>
    <s v=""/>
    <n v="3.08"/>
    <n v="0"/>
    <n v="4.8799999999999998E-3"/>
    <n v="-1"/>
  </r>
  <r>
    <x v="131"/>
    <x v="2"/>
    <n v="43244000"/>
    <n v="84682269"/>
    <n v="0.51066180099638092"/>
    <n v="4.8799999999999998E-3"/>
    <n v="9.5562268226806035E-3"/>
    <n v="3.08"/>
    <n v="1.5844155844155843E-3"/>
    <n v="3.08"/>
    <n v="0"/>
    <n v="3.2800000000000003E-2"/>
    <n v="-0.85121951219512193"/>
  </r>
  <r>
    <x v="131"/>
    <x v="3"/>
    <n v="40621000"/>
    <n v="84682269"/>
    <n v="0.47968719402169063"/>
    <n v="3.2800000000000003E-2"/>
    <n v="6.8377893779079796E-2"/>
    <n v="3.08"/>
    <n v="1.064935064935065E-2"/>
    <n v="3.08"/>
    <n v="0"/>
    <n v="0"/>
    <s v=""/>
  </r>
  <r>
    <x v="132"/>
    <x v="0"/>
    <n v="52406000"/>
    <n v="84682269"/>
    <n v="0.61885446172917258"/>
    <n v="0.38174999999999998"/>
    <n v="0.61686555338606264"/>
    <n v="6.8"/>
    <n v="5.6139705882352939E-2"/>
    <n v="6.8"/>
    <n v="0"/>
    <n v="0.34691"/>
    <n v="0.10042950621198576"/>
  </r>
  <r>
    <x v="132"/>
    <x v="1"/>
    <n v="47835000"/>
    <n v="84682269"/>
    <n v="0.56487621983770886"/>
    <n v="0.34691"/>
    <n v="0.61413454455503291"/>
    <n v="6.8"/>
    <n v="5.1016176470588238E-2"/>
    <n v="6.8"/>
    <n v="0"/>
    <n v="0.34364"/>
    <n v="9.5157723198695532E-3"/>
  </r>
  <r>
    <x v="132"/>
    <x v="2"/>
    <n v="43244000"/>
    <n v="84682269"/>
    <n v="0.51066180099638092"/>
    <n v="0.34364"/>
    <n v="0.67293069371843495"/>
    <n v="6.8"/>
    <n v="5.053529411764706E-2"/>
    <n v="6.8"/>
    <n v="0"/>
    <n v="0.29580000000000001"/>
    <n v="0.16173089925625428"/>
  </r>
  <r>
    <x v="132"/>
    <x v="3"/>
    <n v="40621000"/>
    <n v="84682269"/>
    <n v="0.47968719402169063"/>
    <n v="0.29580000000000001"/>
    <n v="0.61665185914182319"/>
    <n v="6.8"/>
    <n v="4.3500000000000004E-2"/>
    <n v="6.8"/>
    <n v="0"/>
    <n v="0"/>
    <s v=""/>
  </r>
  <r>
    <x v="133"/>
    <x v="0"/>
    <n v="52406000"/>
    <n v="84682269"/>
    <n v="0.61885446172917258"/>
    <n v="1.14E-3"/>
    <n v="1.8421132439033698E-3"/>
    <n v="2.99"/>
    <n v="3.8127090301003341E-4"/>
    <n v="2.99"/>
    <n v="0"/>
    <n v="0"/>
    <s v=""/>
  </r>
  <r>
    <x v="133"/>
    <x v="1"/>
    <n v="47835000"/>
    <n v="84682269"/>
    <n v="0.56487621983770886"/>
    <n v="0"/>
    <s v=""/>
    <n v="2.99"/>
    <s v=""/>
    <n v="2.99"/>
    <n v="0"/>
    <n v="5.3800000000000002E-3"/>
    <n v="-1"/>
  </r>
  <r>
    <x v="133"/>
    <x v="2"/>
    <n v="43244000"/>
    <n v="84682269"/>
    <n v="0.51066180099638092"/>
    <n v="5.3800000000000002E-3"/>
    <n v="1.0535348423365093E-2"/>
    <n v="2.99"/>
    <n v="1.7993311036789297E-3"/>
    <n v="2.99"/>
    <n v="0"/>
    <n v="3.6089999999999997E-2"/>
    <n v="-0.85092823496813519"/>
  </r>
  <r>
    <x v="133"/>
    <x v="3"/>
    <n v="40621000"/>
    <n v="84682269"/>
    <n v="0.47968719402169063"/>
    <n v="3.6089999999999997E-2"/>
    <n v="7.5236530075822844E-2"/>
    <n v="2.99"/>
    <n v="1.2070234113712372E-2"/>
    <n v="2.99"/>
    <n v="0"/>
    <n v="0"/>
    <s v=""/>
  </r>
  <r>
    <x v="134"/>
    <x v="0"/>
    <n v="335756000"/>
    <n v="476620206"/>
    <n v="0.70445187965866474"/>
    <n v="0.37269999999999998"/>
    <n v="0.52906381651020384"/>
    <n v="8.19"/>
    <n v="4.5506715506715506E-2"/>
    <n v="8.19"/>
    <n v="0"/>
    <n v="0.27800000000000002"/>
    <n v="0.34064748201438833"/>
  </r>
  <r>
    <x v="134"/>
    <x v="1"/>
    <n v="249170000"/>
    <n v="476620206"/>
    <n v="0.52278522157325402"/>
    <n v="0.27800000000000002"/>
    <n v="0.53176713596339853"/>
    <n v="8.19"/>
    <n v="3.3943833943833948E-2"/>
    <n v="8.19"/>
    <n v="0"/>
    <n v="8.72E-2"/>
    <n v="2.1880733944954129"/>
  </r>
  <r>
    <x v="134"/>
    <x v="2"/>
    <n v="135511000"/>
    <n v="476620206"/>
    <n v="0.28431652350047448"/>
    <n v="8.72E-2"/>
    <n v="0.30670042995181207"/>
    <n v="8.19"/>
    <n v="1.0647130647130647E-2"/>
    <n v="8.19"/>
    <n v="0"/>
    <n v="9.1499999999999998E-2"/>
    <n v="-4.6994535519125691E-2"/>
  </r>
  <r>
    <x v="134"/>
    <x v="3"/>
    <n v="137871000"/>
    <n v="476620206"/>
    <n v="0.28926805507695996"/>
    <n v="9.1499999999999998E-2"/>
    <n v="0.31631560552255367"/>
    <n v="8.19"/>
    <n v="1.1172161172161172E-2"/>
    <n v="8.19"/>
    <n v="0"/>
    <n v="0"/>
    <s v=""/>
  </r>
  <r>
    <x v="135"/>
    <x v="0"/>
    <n v="335756000"/>
    <n v="476620206"/>
    <n v="0.70445187965866474"/>
    <n v="0.40989999999999999"/>
    <n v="0.58187083012485252"/>
    <n v="5.8"/>
    <n v="7.0672413793103447E-2"/>
    <n v="5.8"/>
    <n v="0"/>
    <n v="0.30580000000000002"/>
    <n v="0.34041857423152377"/>
  </r>
  <r>
    <x v="135"/>
    <x v="1"/>
    <n v="249170000"/>
    <n v="476620206"/>
    <n v="0.52278522157325402"/>
    <n v="0.30580000000000002"/>
    <n v="0.58494384955973844"/>
    <n v="5.8"/>
    <n v="5.272413793103449E-2"/>
    <n v="5.8"/>
    <n v="0"/>
    <n v="9.5899999999999999E-2"/>
    <n v="2.1887382690302402"/>
  </r>
  <r>
    <x v="135"/>
    <x v="2"/>
    <n v="135511000"/>
    <n v="476620206"/>
    <n v="0.28431652350047448"/>
    <n v="9.5899999999999999E-2"/>
    <n v="0.3373001288116832"/>
    <n v="5.8"/>
    <n v="1.653448275862069E-2"/>
    <n v="5.8"/>
    <n v="0"/>
    <n v="0.10059999999999999"/>
    <n v="-4.6719681908548694E-2"/>
  </r>
  <r>
    <x v="135"/>
    <x v="3"/>
    <n v="137871000"/>
    <n v="476620206"/>
    <n v="0.28926805507695996"/>
    <n v="0.10059999999999999"/>
    <n v="0.34777431601714642"/>
    <n v="5.8"/>
    <n v="1.7344827586206896E-2"/>
    <n v="5.8"/>
    <n v="0"/>
    <n v="0"/>
    <s v=""/>
  </r>
  <r>
    <x v="136"/>
    <x v="0"/>
    <n v="1911900245.4200001"/>
    <n v="683509869"/>
    <n v="2.7971801610080336"/>
    <n v="2.3450000000000002"/>
    <n v="0.83834428425050789"/>
    <n v="23.46"/>
    <n v="9.995737425404945E-2"/>
    <n v="23.46"/>
    <n v="0"/>
    <n v="2.54"/>
    <n v="-7.6771653543307061E-2"/>
  </r>
  <r>
    <x v="136"/>
    <x v="1"/>
    <n v="1223420217"/>
    <n v="683509869"/>
    <n v="1.7899086355401257"/>
    <n v="2.54"/>
    <n v="1.4190668448468184"/>
    <n v="23.46"/>
    <n v="0.1082693947144075"/>
    <n v="23.46"/>
    <n v="0"/>
    <n v="2"/>
    <n v="0.27"/>
  </r>
  <r>
    <x v="136"/>
    <x v="2"/>
    <n v="1630452307"/>
    <n v="683509869"/>
    <n v="2.385411507496463"/>
    <n v="2"/>
    <n v="0.83842976095098998"/>
    <n v="23.46"/>
    <n v="8.525149190110827E-2"/>
    <n v="23.46"/>
    <n v="0"/>
    <n v="0"/>
    <s v=""/>
  </r>
  <r>
    <x v="137"/>
    <x v="0"/>
    <n v="221047209.75999999"/>
    <n v="57737317"/>
    <n v="3.8284981229730501"/>
    <n v="1.0118932270000001"/>
    <n v="0.26430553039273963"/>
    <n v="34.28"/>
    <n v="2.9518472199533255E-2"/>
    <n v="0"/>
    <n v="34.28"/>
    <n v="0"/>
    <s v=""/>
  </r>
  <r>
    <x v="137"/>
    <x v="1"/>
    <n v="96359523.819999993"/>
    <n v="57737317"/>
    <n v="1.6689297117841482"/>
    <n v="0"/>
    <s v=""/>
    <n v="34.28"/>
    <s v=""/>
    <n v="0"/>
    <n v="34.28"/>
    <n v="0.74785255399999995"/>
    <n v="-1"/>
  </r>
  <r>
    <x v="137"/>
    <x v="2"/>
    <n v="91934228.780000001"/>
    <n v="57737317"/>
    <n v="1.5922843934712103"/>
    <n v="0.74785255399999995"/>
    <n v="0.46967272747657041"/>
    <n v="34.28"/>
    <n v="2.1816002158693112E-2"/>
    <n v="0"/>
    <n v="34.28"/>
    <n v="0"/>
    <s v=""/>
  </r>
  <r>
    <x v="138"/>
    <x v="0"/>
    <n v="26389234.239999998"/>
    <n v="137747421"/>
    <n v="0.19157697507817587"/>
    <n v="0.59209073000000001"/>
    <n v="3.090615298411453"/>
    <n v="2.85"/>
    <n v="0.20775113333333334"/>
    <n v="2.85"/>
    <n v="0"/>
    <n v="0.28363851000000001"/>
    <n v="1.0874835719592517"/>
  </r>
  <r>
    <x v="138"/>
    <x v="1"/>
    <n v="27175402.329999998"/>
    <n v="137747421"/>
    <n v="0.19728429129718514"/>
    <n v="0.28363851000000001"/>
    <n v="1.4377146205357658"/>
    <n v="2.85"/>
    <n v="9.9522284210526321E-2"/>
    <n v="2.85"/>
    <n v="0"/>
    <n v="0.69388981999999999"/>
    <n v="-0.59123408093809471"/>
  </r>
  <r>
    <x v="138"/>
    <x v="2"/>
    <n v="76030857.450000003"/>
    <n v="137747421"/>
    <n v="0.55195848240236745"/>
    <n v="0.69388981999999999"/>
    <n v="1.2571413287823472"/>
    <n v="2.85"/>
    <n v="0.24347011228070176"/>
    <n v="2.85"/>
    <n v="0"/>
    <n v="0"/>
    <s v=""/>
  </r>
  <r>
    <x v="139"/>
    <x v="0"/>
    <n v="72949906.010000005"/>
    <n v="113000000"/>
    <n v="0.64557438946902657"/>
    <n v="0.26730199999999998"/>
    <n v="0.41405298035421001"/>
    <n v="26.8"/>
    <n v="9.973955223880596E-3"/>
    <n v="0"/>
    <n v="26.8"/>
    <n v="0.32134299999999999"/>
    <n v="-0.1681723267661035"/>
  </r>
  <r>
    <x v="139"/>
    <x v="1"/>
    <n v="126610718.51000001"/>
    <n v="113000000"/>
    <n v="1.1204488363716814"/>
    <n v="0.32134299999999999"/>
    <n v="0.28679845930368064"/>
    <n v="26.8"/>
    <n v="1.1990410447761193E-2"/>
    <n v="0"/>
    <n v="26.8"/>
    <n v="0.41675099999999998"/>
    <n v="-0.22893286398832879"/>
  </r>
  <r>
    <x v="139"/>
    <x v="2"/>
    <n v="142288162.75"/>
    <n v="113000000"/>
    <n v="1.2591872809734512"/>
    <n v="0.41675099999999998"/>
    <n v="0.33096824141824127"/>
    <n v="26.8"/>
    <n v="1.5550410447761193E-2"/>
    <n v="0"/>
    <n v="26.8"/>
    <n v="0.24957299999999999"/>
    <n v="0.66985611424312719"/>
  </r>
  <r>
    <x v="139"/>
    <x v="3"/>
    <n v="93031657.010000005"/>
    <n v="113000000"/>
    <n v="0.82328900008849559"/>
    <n v="0.24957299999999999"/>
    <n v="0.30314142418175549"/>
    <n v="26.8"/>
    <n v="9.3124253731343282E-3"/>
    <n v="0"/>
    <n v="26.8"/>
    <n v="0"/>
    <s v=""/>
  </r>
  <r>
    <x v="140"/>
    <x v="0"/>
    <n v="185531000"/>
    <n v="76423831"/>
    <n v="2.4276589850618717"/>
    <n v="0.35"/>
    <n v="0.14417181414426697"/>
    <n v="17.350000000000001"/>
    <n v="2.0172910662824204E-2"/>
    <n v="0"/>
    <n v="17.350000000000001"/>
    <n v="0.32"/>
    <n v="9.375E-2"/>
  </r>
  <r>
    <x v="140"/>
    <x v="1"/>
    <n v="239206591.03"/>
    <n v="76423831"/>
    <n v="3.13"/>
    <n v="0.32"/>
    <n v="0.10223642172523963"/>
    <n v="17.350000000000001"/>
    <n v="1.844380403458213E-2"/>
    <n v="0"/>
    <n v="17.350000000000001"/>
    <n v="0.26"/>
    <n v="0.23076923076923084"/>
  </r>
  <r>
    <x v="140"/>
    <x v="2"/>
    <n v="200230437.22"/>
    <n v="76423831"/>
    <n v="2.62"/>
    <n v="0.26"/>
    <n v="9.9236641221374045E-2"/>
    <n v="17.350000000000001"/>
    <n v="1.4985590778097982E-2"/>
    <n v="0"/>
    <n v="17.350000000000001"/>
    <n v="0"/>
    <s v=""/>
  </r>
  <r>
    <x v="141"/>
    <x v="0"/>
    <n v="483247945.06999999"/>
    <n v="1022205493"/>
    <n v="0.47275029177523703"/>
    <n v="0.30062499999999998"/>
    <n v="0.63590653507820194"/>
    <n v="14.07"/>
    <n v="2.1366382373845059E-2"/>
    <n v="0"/>
    <n v="14.07"/>
    <n v="0.76497757200000005"/>
    <n v="-0.60701462238424952"/>
  </r>
  <r>
    <x v="141"/>
    <x v="1"/>
    <n v="445682000"/>
    <n v="1022205493"/>
    <n v="0.43600039625300663"/>
    <n v="0.76497757200000005"/>
    <n v="1.7545341210105032"/>
    <n v="14.07"/>
    <n v="5.4369408102345418E-2"/>
    <n v="0"/>
    <n v="14.07"/>
    <n v="1.0517938200000001"/>
    <n v="-0.27269246362371669"/>
  </r>
  <r>
    <x v="141"/>
    <x v="2"/>
    <n v="614021000"/>
    <n v="1022205493"/>
    <n v="0.6006825478876584"/>
    <n v="1.0517938200000001"/>
    <n v="1.7509978002502413"/>
    <n v="14.07"/>
    <n v="7.4754358208955235E-2"/>
    <n v="0"/>
    <n v="14.07"/>
    <n v="2.1419339700000002"/>
    <n v="-0.50895133335972997"/>
  </r>
  <r>
    <x v="141"/>
    <x v="3"/>
    <n v="419093000"/>
    <n v="1022205493"/>
    <n v="0.40998899230137476"/>
    <n v="2.1419339700000002"/>
    <n v="5.2243694592305223"/>
    <n v="14.07"/>
    <n v="0.15223411300639661"/>
    <n v="0"/>
    <n v="14.07"/>
    <n v="0"/>
    <s v=""/>
  </r>
  <r>
    <x v="142"/>
    <x v="0"/>
    <n v="-182125692.53"/>
    <n v="1107677313"/>
    <n v="-0.16442125372843128"/>
    <n v="0"/>
    <s v=""/>
    <n v="9.43"/>
    <s v=""/>
    <n v="9.43"/>
    <n v="0"/>
    <n v="0.24881"/>
    <n v="-1"/>
  </r>
  <r>
    <x v="142"/>
    <x v="1"/>
    <n v="78013713"/>
    <n v="1107677313"/>
    <n v="7.04299998604377E-2"/>
    <n v="0.24881"/>
    <n v="3.5327275378820899"/>
    <n v="9.43"/>
    <n v="2.6384941675503714E-2"/>
    <n v="9.43"/>
    <n v="0"/>
    <n v="0.64239000000000002"/>
    <n v="-0.6126807702486029"/>
  </r>
  <r>
    <x v="142"/>
    <x v="2"/>
    <n v="2190730959"/>
    <n v="1107677313"/>
    <n v="1.9777699997002647"/>
    <n v="0.64239000000000002"/>
    <n v="0.32480520995735379"/>
    <n v="9.43"/>
    <n v="6.81219512195122E-2"/>
    <n v="9.43"/>
    <n v="0"/>
    <n v="0.77659999999999996"/>
    <n v="-0.17281740921967548"/>
  </r>
  <r>
    <x v="142"/>
    <x v="3"/>
    <n v="3206936280"/>
    <n v="1107677313"/>
    <n v="2.8951900001584669"/>
    <n v="0.77659999999999996"/>
    <n v="0.26823800854434188"/>
    <n v="9.43"/>
    <n v="8.2354188759278898E-2"/>
    <n v="9.43"/>
    <n v="0"/>
    <n v="0"/>
    <s v=""/>
  </r>
  <r>
    <x v="143"/>
    <x v="0"/>
    <n v="-182125692.53"/>
    <n v="1107677313"/>
    <n v="-0.16442125372843128"/>
    <n v="0"/>
    <s v=""/>
    <n v="5.7"/>
    <s v=""/>
    <n v="5.7"/>
    <n v="0"/>
    <n v="0.24881"/>
    <n v="-1"/>
  </r>
  <r>
    <x v="143"/>
    <x v="1"/>
    <n v="78013713"/>
    <n v="1107677313"/>
    <n v="7.04299998604377E-2"/>
    <n v="0.24881"/>
    <n v="3.5327275378820899"/>
    <n v="5.7"/>
    <n v="4.3650877192982454E-2"/>
    <n v="5.7"/>
    <n v="0"/>
    <n v="0.59360000000000002"/>
    <n v="-0.58084568733153641"/>
  </r>
  <r>
    <x v="143"/>
    <x v="2"/>
    <n v="2190730959"/>
    <n v="1107677313"/>
    <n v="1.9777699997002647"/>
    <n v="0.59360000000000002"/>
    <n v="0.3001360118163191"/>
    <n v="5.7"/>
    <n v="0.10414035087719298"/>
    <n v="5.7"/>
    <n v="0"/>
    <n v="0.77659999999999996"/>
    <n v="-0.23564254442441401"/>
  </r>
  <r>
    <x v="143"/>
    <x v="3"/>
    <n v="3206936280"/>
    <n v="1107677313"/>
    <n v="2.8951900001584669"/>
    <n v="0.77659999999999996"/>
    <n v="0.26823800854434188"/>
    <n v="5.7"/>
    <n v="0.1362456140350877"/>
    <n v="5.7"/>
    <n v="0"/>
    <n v="0"/>
    <s v=""/>
  </r>
  <r>
    <x v="144"/>
    <x v="0"/>
    <n v="589182430.70000005"/>
    <n v="1033496721"/>
    <n v="0.57008640543137246"/>
    <n v="1.51"/>
    <n v="2.6487212913933891"/>
    <n v="17.95"/>
    <n v="8.4122562674094709E-2"/>
    <n v="17.95"/>
    <n v="0"/>
    <n v="1.88"/>
    <n v="-0.19680851063829785"/>
  </r>
  <r>
    <x v="144"/>
    <x v="1"/>
    <n v="495399428.38999999"/>
    <n v="1033496721"/>
    <n v="0.47934300934274565"/>
    <n v="1.88"/>
    <n v="3.9220348755638983"/>
    <n v="17.95"/>
    <n v="0.10473537604456824"/>
    <n v="17.95"/>
    <n v="0"/>
    <n v="1.63"/>
    <n v="0.15337423312883436"/>
  </r>
  <r>
    <x v="144"/>
    <x v="2"/>
    <n v="428630102.26999998"/>
    <n v="1033496721"/>
    <n v="0.41473774764883842"/>
    <n v="1.63"/>
    <n v="3.9301944644308895"/>
    <n v="17.95"/>
    <n v="9.0807799442896936E-2"/>
    <n v="17.95"/>
    <n v="0"/>
    <n v="1.0900000000000001"/>
    <n v="0.49541284403669694"/>
  </r>
  <r>
    <x v="144"/>
    <x v="3"/>
    <n v="287794829.95999998"/>
    <n v="1033496721"/>
    <n v="0.2784670953590766"/>
    <n v="1.0900000000000001"/>
    <n v="3.9142865285195416"/>
    <n v="17.95"/>
    <n v="6.0724233983286913E-2"/>
    <n v="17.95"/>
    <n v="0"/>
    <n v="0"/>
    <s v=""/>
  </r>
  <r>
    <x v="145"/>
    <x v="0"/>
    <n v="1499500000"/>
    <n v="652742192"/>
    <n v="2.2972316151427821"/>
    <n v="2.3690660666999999"/>
    <n v="1.0312700082498008"/>
    <n v="35.17"/>
    <n v="6.736042270969575E-2"/>
    <n v="35.17"/>
    <n v="0"/>
    <n v="2.1897556102000002"/>
    <n v="8.1886058729458977E-2"/>
  </r>
  <r>
    <x v="145"/>
    <x v="1"/>
    <n v="1447636528"/>
    <n v="652742192"/>
    <n v="2.2177768585242608"/>
    <n v="2.1897556102000002"/>
    <n v="0.98736516335421309"/>
    <n v="35.17"/>
    <n v="6.2262030429343196E-2"/>
    <n v="35.17"/>
    <n v="0"/>
    <n v="1.0178134248999999"/>
    <n v="1.1514312511795994"/>
  </r>
  <r>
    <x v="145"/>
    <x v="2"/>
    <n v="1211648449"/>
    <n v="652742192"/>
    <n v="1.8562434968199513"/>
    <n v="1.0178134248999999"/>
    <n v="0.5483189175577885"/>
    <n v="35.17"/>
    <n v="2.8939818734717085E-2"/>
    <n v="35.17"/>
    <n v="0"/>
    <n v="0"/>
    <s v=""/>
  </r>
  <r>
    <x v="146"/>
    <x v="0"/>
    <m/>
    <n v="817720079"/>
    <n v="0"/>
    <n v="0"/>
    <s v=""/>
    <n v="2.41"/>
    <s v=""/>
    <n v="0"/>
    <n v="2.41"/>
    <n v="6.6000000000000003E-2"/>
    <n v="-1"/>
  </r>
  <r>
    <x v="146"/>
    <x v="1"/>
    <n v="166896668.09999999"/>
    <n v="817720079"/>
    <n v="0.20409999997077238"/>
    <n v="6.6000000000000003E-2"/>
    <n v="0.32337089666561175"/>
    <n v="2.41"/>
    <n v="2.7385892116182572E-2"/>
    <n v="0"/>
    <n v="2.41"/>
    <n v="6.6400000000000001E-2"/>
    <n v="-6.0240963855421326E-3"/>
  </r>
  <r>
    <x v="146"/>
    <x v="2"/>
    <n v="234522118.69999999"/>
    <n v="817720079"/>
    <n v="0.28680000005234063"/>
    <n v="6.6400000000000001E-2"/>
    <n v="0.23152022310977016"/>
    <n v="2.41"/>
    <n v="2.7551867219917012E-2"/>
    <n v="0"/>
    <n v="2.41"/>
    <n v="0"/>
    <s v=""/>
  </r>
  <r>
    <x v="146"/>
    <x v="3"/>
    <n v="106303610.3"/>
    <n v="817720079"/>
    <n v="0.13000000003668738"/>
    <n v="0"/>
    <s v=""/>
    <n v="2.41"/>
    <s v=""/>
    <n v="0"/>
    <n v="2.41"/>
    <n v="0"/>
    <s v=""/>
  </r>
  <r>
    <x v="147"/>
    <x v="0"/>
    <m/>
    <n v="2417632647"/>
    <n v="0"/>
    <m/>
    <s v=""/>
    <n v="13.46"/>
    <s v=""/>
    <n v="0"/>
    <n v="13.46"/>
    <n v="0.22"/>
    <n v="-1"/>
  </r>
  <r>
    <x v="147"/>
    <x v="1"/>
    <n v="1281227722.3699999"/>
    <n v="2417632647"/>
    <n v="0.52995136542346666"/>
    <n v="0.22"/>
    <n v="0.41513243356624857"/>
    <n v="13.46"/>
    <n v="1.6344725111441305E-2"/>
    <n v="0"/>
    <n v="13.46"/>
    <n v="0.2"/>
    <n v="9.9999999999999867E-2"/>
  </r>
  <r>
    <x v="147"/>
    <x v="2"/>
    <n v="2216909132.75"/>
    <n v="2417632647"/>
    <n v="0.9169751804522186"/>
    <n v="0.2"/>
    <n v="0.21810841150724203"/>
    <n v="13.46"/>
    <n v="1.4858841010401188E-2"/>
    <n v="0"/>
    <n v="13.46"/>
    <n v="0"/>
    <s v=""/>
  </r>
  <r>
    <x v="148"/>
    <x v="0"/>
    <n v="21385000"/>
    <n v="2857301"/>
    <n v="7.4843357420166789"/>
    <n v="5.7389999999999999"/>
    <n v="0.76680151690437226"/>
    <n v="88"/>
    <n v="6.5215909090909088E-2"/>
    <n v="0"/>
    <n v="88"/>
    <n v="9.48"/>
    <n v="-0.39462025316455696"/>
  </r>
  <r>
    <x v="148"/>
    <x v="1"/>
    <n v="27650101.780000001"/>
    <n v="2857301"/>
    <n v="9.677000001049942"/>
    <n v="9.48"/>
    <n v="0.97964245106659431"/>
    <n v="88"/>
    <n v="0.10772727272727273"/>
    <n v="0"/>
    <n v="88"/>
    <n v="6.27"/>
    <n v="0.5119617224880384"/>
  </r>
  <r>
    <x v="148"/>
    <x v="2"/>
    <n v="27290081.850000001"/>
    <n v="2857301"/>
    <n v="9.5509999996500206"/>
    <n v="6.27"/>
    <n v="0.65647576172440081"/>
    <n v="88"/>
    <n v="7.1249999999999994E-2"/>
    <n v="0"/>
    <n v="88"/>
    <n v="3.63"/>
    <n v="0.72727272727272729"/>
  </r>
  <r>
    <x v="148"/>
    <x v="3"/>
    <n v="20461132.460000001"/>
    <n v="2857301"/>
    <n v="7.16099999965002"/>
    <n v="3.63"/>
    <n v="0.50691244242108768"/>
    <n v="88"/>
    <n v="4.1250000000000002E-2"/>
    <n v="0"/>
    <n v="88"/>
    <n v="0"/>
    <s v=""/>
  </r>
  <r>
    <x v="149"/>
    <x v="0"/>
    <n v="843488000"/>
    <n v="152661565"/>
    <n v="5.5252152039709532"/>
    <n v="1.8032159999999999"/>
    <n v="0.32636122457348538"/>
    <n v="42"/>
    <n v="4.2933714285714283E-2"/>
    <n v="42"/>
    <n v="0"/>
    <n v="4.9819000000000004"/>
    <n v="-0.63804652843292731"/>
  </r>
  <r>
    <x v="149"/>
    <x v="1"/>
    <n v="920137051"/>
    <n v="152661565"/>
    <n v="6.0273000018046456"/>
    <n v="4.9819000000000004"/>
    <n v="0.82655583735808069"/>
    <n v="42"/>
    <n v="0.11861666666666668"/>
    <n v="42"/>
    <n v="0"/>
    <n v="5.0853999999999999"/>
    <n v="-2.0352381326935842E-2"/>
  </r>
  <r>
    <x v="149"/>
    <x v="2"/>
    <n v="818571312"/>
    <n v="152661565"/>
    <n v="5.3620000030787054"/>
    <n v="5.0853999999999999"/>
    <n v="0.94841477006342978"/>
    <n v="42"/>
    <n v="0.12108095238095237"/>
    <n v="42"/>
    <n v="0"/>
    <n v="0"/>
    <s v=""/>
  </r>
  <r>
    <x v="150"/>
    <x v="0"/>
    <n v="843488000"/>
    <n v="152661565"/>
    <n v="5.5252152039709532"/>
    <n v="1.8032159999999999"/>
    <n v="0.32636122457348538"/>
    <n v="26.83"/>
    <n v="6.7208945210585166E-2"/>
    <n v="26.83"/>
    <n v="0"/>
    <n v="4.9819000000000004"/>
    <n v="-0.63804652843292731"/>
  </r>
  <r>
    <x v="150"/>
    <x v="1"/>
    <n v="920137051"/>
    <n v="152661565"/>
    <n v="6.0273000018046456"/>
    <n v="4.9819000000000004"/>
    <n v="0.82655583735808069"/>
    <n v="26.83"/>
    <n v="0.1856839358926575"/>
    <n v="26.83"/>
    <n v="0"/>
    <n v="5.0853999999999999"/>
    <n v="-2.0352381326935842E-2"/>
  </r>
  <r>
    <x v="150"/>
    <x v="2"/>
    <n v="818571312"/>
    <n v="152661565"/>
    <n v="5.3620000030787054"/>
    <n v="5.0853999999999999"/>
    <n v="0.94841477006342978"/>
    <n v="26.83"/>
    <n v="0.18954155795751026"/>
    <n v="26.83"/>
    <n v="0"/>
    <n v="0"/>
    <s v=""/>
  </r>
  <r>
    <x v="151"/>
    <x v="0"/>
    <n v="1011009000"/>
    <n v="544383996"/>
    <n v="1.8571615025949439"/>
    <n v="1.17"/>
    <n v="0.62999367495244851"/>
    <n v="53.92"/>
    <n v="2.1698813056379818E-2"/>
    <n v="0"/>
    <n v="53.92"/>
    <n v="0.98"/>
    <n v="0.19387755102040805"/>
  </r>
  <r>
    <x v="151"/>
    <x v="1"/>
    <n v="860126713.70000005"/>
    <n v="544383996"/>
    <n v="1.5800000000367389"/>
    <n v="0.98"/>
    <n v="0.62025316454253965"/>
    <n v="53.92"/>
    <n v="1.8175074183976261E-2"/>
    <n v="0"/>
    <n v="53.92"/>
    <n v="0.8"/>
    <n v="0.22499999999999987"/>
  </r>
  <r>
    <x v="151"/>
    <x v="2"/>
    <n v="773025274.29999995"/>
    <n v="544383996"/>
    <n v="1.4199999999632611"/>
    <n v="0.8"/>
    <n v="0.56338028170471688"/>
    <n v="53.92"/>
    <n v="1.483679525222552E-2"/>
    <n v="0"/>
    <n v="53.92"/>
    <n v="0"/>
    <s v=""/>
  </r>
  <r>
    <x v="152"/>
    <x v="0"/>
    <n v="39281689.020000003"/>
    <n v="835502072"/>
    <n v="4.7015669184360807E-2"/>
    <n v="9.6799999999999994E-3"/>
    <n v="0.20588880617740807"/>
    <n v="0.51"/>
    <n v="1.8980392156862744E-2"/>
    <n v="0.51"/>
    <n v="0"/>
    <n v="0"/>
    <s v=""/>
  </r>
  <r>
    <x v="152"/>
    <x v="1"/>
    <n v="4448000"/>
    <n v="835502072"/>
    <n v="5.323745025972838E-3"/>
    <n v="0"/>
    <s v=""/>
    <n v="0.51"/>
    <s v=""/>
    <n v="0.51"/>
    <n v="0"/>
    <n v="0"/>
    <s v=""/>
  </r>
  <r>
    <x v="152"/>
    <x v="2"/>
    <n v="30296000"/>
    <n v="835502072"/>
    <n v="3.6260831678703483E-2"/>
    <n v="0"/>
    <s v=""/>
    <n v="0.51"/>
    <s v=""/>
    <n v="0.51"/>
    <n v="0"/>
    <n v="0"/>
    <s v=""/>
  </r>
  <r>
    <x v="153"/>
    <x v="0"/>
    <n v="9733695883.3700008"/>
    <n v="5365304100"/>
    <n v="1.8141927655824766"/>
    <n v="1.8288805334"/>
    <n v="1.0080960348294674"/>
    <n v="30.23"/>
    <n v="6.0498859854449222E-2"/>
    <n v="0"/>
    <n v="30.23"/>
    <n v="1.7557325829999999"/>
    <n v="4.1662352859575646E-2"/>
  </r>
  <r>
    <x v="153"/>
    <x v="1"/>
    <n v="39810556422"/>
    <n v="5365304100"/>
    <n v="7.42"/>
    <n v="1.7557325829999999"/>
    <n v="0.23662164191374663"/>
    <n v="30.23"/>
    <n v="5.8079145980813755E-2"/>
    <n v="0"/>
    <n v="30.23"/>
    <n v="1.873923027"/>
    <n v="-6.3071130615868221E-2"/>
  </r>
  <r>
    <x v="153"/>
    <x v="2"/>
    <n v="37074251331"/>
    <n v="5365304100"/>
    <n v="6.91"/>
    <n v="1.873923027"/>
    <n v="0.27119001837916062"/>
    <n v="30.23"/>
    <n v="6.1988853026794577E-2"/>
    <n v="0"/>
    <n v="30.23"/>
    <n v="0"/>
    <s v=""/>
  </r>
  <r>
    <x v="154"/>
    <x v="0"/>
    <n v="30653409.600000001"/>
    <n v="149714346"/>
    <n v="0.20474597404312878"/>
    <n v="4.87E-2"/>
    <n v="0.23785571475872622"/>
    <n v="9.15"/>
    <n v="5.322404371584699E-3"/>
    <n v="0"/>
    <n v="9.15"/>
    <n v="0"/>
    <s v=""/>
  </r>
  <r>
    <x v="154"/>
    <x v="1"/>
    <m/>
    <n v="149714346"/>
    <n v="0"/>
    <n v="0"/>
    <s v=""/>
    <n v="9.15"/>
    <s v=""/>
    <n v="0"/>
    <n v="9.15"/>
    <n v="0"/>
    <s v=""/>
  </r>
  <r>
    <x v="154"/>
    <x v="2"/>
    <m/>
    <n v="149714346"/>
    <n v="0"/>
    <n v="0"/>
    <s v=""/>
    <n v="9.15"/>
    <s v=""/>
    <n v="0"/>
    <n v="9.15"/>
    <n v="0"/>
    <s v=""/>
  </r>
  <r>
    <x v="155"/>
    <x v="0"/>
    <n v="4453572915.3800001"/>
    <n v="1125601930"/>
    <n v="3.9566144981467826"/>
    <n v="3.566950672031"/>
    <n v="0.90151584737449275"/>
    <n v="41.55"/>
    <n v="8.5847188255860421E-2"/>
    <n v="0"/>
    <n v="41.55"/>
    <n v="3.5070000000000001"/>
    <n v="1.7094574288850861E-2"/>
  </r>
  <r>
    <x v="155"/>
    <x v="1"/>
    <n v="4091563016"/>
    <n v="1125601930"/>
    <n v="3.6350000003997862"/>
    <n v="3.5070000000000001"/>
    <n v="0.96478679494203345"/>
    <n v="41.55"/>
    <n v="8.4404332129963913E-2"/>
    <n v="0"/>
    <n v="41.55"/>
    <n v="4.6006999999999998"/>
    <n v="-0.23772469406829388"/>
  </r>
  <r>
    <x v="155"/>
    <x v="2"/>
    <n v="5004201060"/>
    <n v="1125601930"/>
    <n v="4.4457999996499646"/>
    <n v="4.6006999999999998"/>
    <n v="1.0348418733101423"/>
    <n v="41.55"/>
    <n v="0.11072683513838749"/>
    <n v="0"/>
    <n v="41.55"/>
    <n v="0"/>
    <s v=""/>
  </r>
  <r>
    <x v="156"/>
    <x v="0"/>
    <n v="4453572915.3800001"/>
    <n v="1125601930"/>
    <n v="3.9566144981467826"/>
    <n v="3.9236457392339998"/>
    <n v="0.99166743211191666"/>
    <n v="46.9"/>
    <n v="8.365982386426439E-2"/>
    <n v="0"/>
    <n v="46.9"/>
    <n v="3.8576999999999999"/>
    <n v="1.7094574288824882E-2"/>
  </r>
  <r>
    <x v="156"/>
    <x v="1"/>
    <n v="4091563016"/>
    <n v="1125601930"/>
    <n v="3.6350000003997862"/>
    <n v="3.8576999999999999"/>
    <n v="1.0612654744362366"/>
    <n v="46.9"/>
    <n v="8.2253731343283579E-2"/>
    <n v="0"/>
    <n v="46.9"/>
    <n v="5.0608000000000004"/>
    <n v="-0.23772921277268422"/>
  </r>
  <r>
    <x v="156"/>
    <x v="2"/>
    <n v="5004201060"/>
    <n v="1125601930"/>
    <n v="4.4457999996499646"/>
    <n v="5.0608000000000004"/>
    <n v="1.1383328085830351"/>
    <n v="46.9"/>
    <n v="0.10790618336886995"/>
    <n v="0"/>
    <n v="46.9"/>
    <n v="0"/>
    <s v=""/>
  </r>
  <r>
    <x v="157"/>
    <x v="0"/>
    <n v="109798096.84"/>
    <n v="98312688"/>
    <n v="1.1168252956322382"/>
    <n v="1.072465845"/>
    <n v="0.96028076118465222"/>
    <n v="18.2"/>
    <n v="5.8926694780219779E-2"/>
    <n v="0"/>
    <n v="18.2"/>
    <n v="0.91520231900000004"/>
    <n v="0.17183471100885606"/>
  </r>
  <r>
    <x v="157"/>
    <x v="1"/>
    <n v="106752609.08"/>
    <n v="98312688"/>
    <n v="1.0858477298474434"/>
    <n v="0.91520231900000004"/>
    <n v="0.84284591093502748"/>
    <n v="18.2"/>
    <n v="5.028584170329671E-2"/>
    <n v="0"/>
    <n v="18.2"/>
    <n v="6.6522439999999999E-3"/>
    <n v="136.57798406071697"/>
  </r>
  <r>
    <x v="157"/>
    <x v="2"/>
    <n v="13071107.109999999"/>
    <n v="98312688"/>
    <n v="0.13295442710304087"/>
    <n v="6.6522439999999999E-3"/>
    <n v="5.0034016504350409E-2"/>
    <n v="18.2"/>
    <n v="3.6550791208791208E-4"/>
    <n v="0"/>
    <n v="18.2"/>
    <n v="0"/>
    <s v=""/>
  </r>
  <r>
    <x v="158"/>
    <x v="0"/>
    <n v="40688154.170000002"/>
    <n v="46288258"/>
    <n v="0.87901675128927947"/>
    <n v="0.63615900000000003"/>
    <n v="0.72371658340631972"/>
    <n v="15.1"/>
    <n v="4.2129735099337755E-2"/>
    <n v="0"/>
    <n v="15.1"/>
    <n v="2.1378400000000002"/>
    <n v="-0.7024290873030723"/>
  </r>
  <r>
    <x v="158"/>
    <x v="1"/>
    <n v="105074345.66"/>
    <n v="46288258"/>
    <n v="2.27"/>
    <n v="2.1378400000000002"/>
    <n v="0.94177973568281947"/>
    <n v="15.1"/>
    <n v="0.14157880794701988"/>
    <n v="0"/>
    <n v="15.1"/>
    <n v="3.2867000000000002"/>
    <n v="-0.34954817902455348"/>
  </r>
  <r>
    <x v="158"/>
    <x v="2"/>
    <n v="155991429.46000001"/>
    <n v="46288258"/>
    <n v="3.37"/>
    <n v="3.2867000000000002"/>
    <n v="0.97528189910979235"/>
    <n v="15.1"/>
    <n v="0.21766225165562916"/>
    <n v="0"/>
    <n v="15.1"/>
    <n v="0"/>
    <s v=""/>
  </r>
  <r>
    <x v="159"/>
    <x v="0"/>
    <n v="1074289736.8800001"/>
    <n v="1980000000"/>
    <n v="0.5425705741818182"/>
    <n v="0.35504000000000002"/>
    <n v="0.65436648593667424"/>
    <n v="10.34"/>
    <n v="3.4336557059961317E-2"/>
    <n v="0"/>
    <n v="10.34"/>
    <n v="0.470941"/>
    <n v="-0.24610513843560011"/>
  </r>
  <r>
    <x v="159"/>
    <x v="1"/>
    <n v="1047998632.27"/>
    <n v="1980000000"/>
    <n v="0.52929223852020202"/>
    <n v="0.470941"/>
    <n v="0.88975610395621763"/>
    <n v="10.34"/>
    <n v="4.5545551257253389E-2"/>
    <n v="0"/>
    <n v="10.34"/>
    <n v="0.57673300000000005"/>
    <n v="-0.18343323513653642"/>
  </r>
  <r>
    <x v="159"/>
    <x v="2"/>
    <n v="1144560312.5999999"/>
    <n v="1980000000"/>
    <n v="0.57806076393939387"/>
    <n v="0.57673300000000005"/>
    <n v="0.99770307202594877"/>
    <n v="10.34"/>
    <n v="5.5776885880077377E-2"/>
    <n v="0"/>
    <n v="10.34"/>
    <n v="0"/>
    <s v=""/>
  </r>
  <r>
    <x v="160"/>
    <x v="0"/>
    <n v="2314615815.0500002"/>
    <n v="786115469"/>
    <n v="2.9443712868217329"/>
    <n v="2.4300000000000002"/>
    <n v="0.8253035243469703"/>
    <n v="66.599999999999994"/>
    <n v="3.6486486486486495E-2"/>
    <n v="0"/>
    <n v="66.599999999999994"/>
    <n v="2.25"/>
    <n v="8.0000000000000071E-2"/>
  </r>
  <r>
    <x v="160"/>
    <x v="1"/>
    <n v="1810326710.1800001"/>
    <n v="786115469"/>
    <n v="2.3028763350540302"/>
    <n v="2.25"/>
    <n v="0.97703900368024332"/>
    <n v="66.599999999999994"/>
    <n v="3.3783783783783786E-2"/>
    <n v="0"/>
    <n v="66.599999999999994"/>
    <n v="1.19"/>
    <n v="0.89075630252100857"/>
  </r>
  <r>
    <x v="160"/>
    <x v="2"/>
    <n v="1829334179.3199999"/>
    <n v="786115469"/>
    <n v="2.3270553137022674"/>
    <n v="1.19"/>
    <n v="0.51137589768192904"/>
    <n v="66.599999999999994"/>
    <n v="1.7867867867867867E-2"/>
    <n v="0"/>
    <n v="66.599999999999994"/>
    <n v="0"/>
    <s v=""/>
  </r>
  <r>
    <x v="161"/>
    <x v="0"/>
    <n v="275394800.88"/>
    <n v="260378479"/>
    <n v="1.0576711329510455"/>
    <n v="0.53490000000000004"/>
    <n v="0.50573376102981715"/>
    <n v="23.41"/>
    <n v="2.2849209739427598E-2"/>
    <n v="0"/>
    <n v="23.41"/>
    <n v="0.254"/>
    <n v="1.1059055118110237"/>
  </r>
  <r>
    <x v="161"/>
    <x v="1"/>
    <n v="220517318.09"/>
    <n v="260378479"/>
    <n v="0.84691069299164312"/>
    <n v="0.254"/>
    <n v="0.29991355889340077"/>
    <n v="23.41"/>
    <n v="1.0850064075181546E-2"/>
    <n v="0"/>
    <n v="23.41"/>
    <n v="0.13089999999999999"/>
    <n v="0.94041252864782288"/>
  </r>
  <r>
    <x v="161"/>
    <x v="2"/>
    <n v="112319339.34999999"/>
    <n v="260378479"/>
    <n v="0.43136951940640222"/>
    <n v="0.13089999999999999"/>
    <n v="0.30345213120326281"/>
    <n v="23.41"/>
    <n v="5.5916275096112768E-3"/>
    <n v="0"/>
    <n v="23.41"/>
    <n v="0.29799999999999999"/>
    <n v="-0.56073825503355712"/>
  </r>
  <r>
    <x v="161"/>
    <x v="3"/>
    <n v="66605139.840000004"/>
    <n v="260378479"/>
    <n v="0.2558012478442967"/>
    <n v="0.29799999999999999"/>
    <n v="1.164966951925853"/>
    <n v="23.41"/>
    <n v="1.2729602733874412E-2"/>
    <n v="0"/>
    <n v="23.41"/>
    <n v="0"/>
    <s v=""/>
  </r>
  <r>
    <x v="162"/>
    <x v="0"/>
    <n v="796111000"/>
    <n v="1231364363"/>
    <n v="0.64652756237026165"/>
    <n v="0.33180395810000002"/>
    <n v="0.51320930059587822"/>
    <n v="8.9600000000000009"/>
    <n v="3.7031691752232143E-2"/>
    <n v="0"/>
    <n v="8.9600000000000009"/>
    <n v="0.33180395810000002"/>
    <n v="0"/>
  </r>
  <r>
    <x v="162"/>
    <x v="1"/>
    <n v="391378000"/>
    <n v="1231364363"/>
    <n v="0.31784093462513174"/>
    <n v="0.33180395810000002"/>
    <n v="1.043930853309806"/>
    <n v="8.9600000000000009"/>
    <n v="3.7031691752232143E-2"/>
    <n v="0"/>
    <n v="8.9600000000000009"/>
    <n v="0.33180395810000002"/>
    <n v="0"/>
  </r>
  <r>
    <x v="162"/>
    <x v="2"/>
    <n v="723006000"/>
    <n v="1231364363"/>
    <n v="0.58715845750036544"/>
    <n v="0.33180395810000002"/>
    <n v="0.56510121562848048"/>
    <n v="8.9600000000000009"/>
    <n v="3.7031691752232143E-2"/>
    <n v="0"/>
    <n v="8.9600000000000009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G168" firstHeaderRow="1" firstDataRow="2" firstDataCol="1"/>
  <pivotFields count="13">
    <pivotField axis="axisRow" showAll="0" sortType="descending">
      <items count="172">
        <item sd="0" x="0"/>
        <item sd="0" x="1"/>
        <item sd="0" x="2"/>
        <item sd="0" x="3"/>
        <item sd="0" x="4"/>
        <item sd="0" x="5"/>
        <item sd="0" x="6"/>
        <item sd="0" x="7"/>
        <item sd="0" m="1" x="166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157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159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160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161"/>
        <item sd="0" x="73"/>
        <item sd="0" x="74"/>
        <item sd="0" x="162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m="1" x="169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m="1" x="165"/>
        <item sd="0" x="131"/>
        <item sd="0" x="132"/>
        <item sd="0" x="133"/>
        <item sd="0" m="1" x="167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m="1" x="164"/>
        <item sd="0" m="1" x="170"/>
        <item sd="0" x="147"/>
        <item sd="0" x="148"/>
        <item sd="0" x="149"/>
        <item sd="0" x="150"/>
        <item sd="0" x="158"/>
        <item sd="0" x="151"/>
        <item sd="0" m="1" x="168"/>
        <item sd="0" x="152"/>
        <item sd="0" x="153"/>
        <item sd="0" x="154"/>
        <item sd="0" x="155"/>
        <item sd="0" x="156"/>
        <item m="1" x="163"/>
        <item t="default"/>
      </items>
      <autoSortScope>
        <pivotArea dataOnly="0" outline="0" fieldPosition="0">
          <references count="1">
            <reference field="4294967294" count="1" selected="0">
              <x v="5"/>
            </reference>
          </references>
        </pivotArea>
      </autoSortScope>
    </pivotField>
    <pivotField axis="axisRow" showAll="0" sortType="ascending">
      <items count="10">
        <item m="1" x="6"/>
        <item m="1" x="8"/>
        <item m="1" x="5"/>
        <item m="1" x="7"/>
        <item x="4"/>
        <item x="3"/>
        <item x="2"/>
        <item x="1"/>
        <item x="0"/>
        <item t="default"/>
      </items>
    </pivotField>
    <pivotField numFmtId="164" showAll="0"/>
    <pivotField numFmtId="166" showAll="0" defaultSubtotal="0"/>
    <pivotField numFmtId="168" showAll="0" defaultSubtotal="0"/>
    <pivotField dataField="1" showAll="0" defaultSubtotal="0"/>
    <pivotField dataField="1" numFmtId="10" showAll="0"/>
    <pivotField dataField="1" numFmtId="164" showAll="0" defaultSubtotal="0"/>
    <pivotField dataField="1" numFmtId="10" showAll="0" defaultSubtotal="0"/>
    <pivotField numFmtId="164" showAll="0" defaultSubtotal="0"/>
    <pivotField numFmtId="164" showAll="0" defaultSubtotal="0"/>
    <pivotField numFmtId="164" showAll="0" defaultSubtotal="0"/>
    <pivotField dataField="1" showAll="0" defaultSubtotal="0"/>
  </pivotFields>
  <rowFields count="2">
    <field x="0"/>
    <field x="1"/>
  </rowFields>
  <rowItems count="164">
    <i>
      <x v="30"/>
    </i>
    <i>
      <x v="117"/>
    </i>
    <i>
      <x v="124"/>
    </i>
    <i>
      <x v="125"/>
    </i>
    <i>
      <x v="25"/>
    </i>
    <i>
      <x v="91"/>
    </i>
    <i>
      <x v="84"/>
    </i>
    <i>
      <x v="83"/>
    </i>
    <i>
      <x v="104"/>
    </i>
    <i>
      <x v="105"/>
    </i>
    <i>
      <x v="37"/>
    </i>
    <i>
      <x v="79"/>
    </i>
    <i>
      <x v="41"/>
    </i>
    <i>
      <x v="118"/>
    </i>
    <i>
      <x v="133"/>
    </i>
    <i>
      <x v="144"/>
    </i>
    <i>
      <x v="143"/>
    </i>
    <i>
      <x v="2"/>
    </i>
    <i>
      <x v="16"/>
    </i>
    <i>
      <x v="106"/>
    </i>
    <i>
      <x v="154"/>
    </i>
    <i>
      <x v="36"/>
    </i>
    <i>
      <x v="53"/>
    </i>
    <i>
      <x v="77"/>
    </i>
    <i>
      <x v="12"/>
    </i>
    <i>
      <x v="13"/>
    </i>
    <i>
      <x v="56"/>
    </i>
    <i>
      <x v="122"/>
    </i>
    <i>
      <x v="22"/>
    </i>
    <i>
      <x v="100"/>
    </i>
    <i>
      <x v="55"/>
    </i>
    <i>
      <x v="132"/>
    </i>
    <i>
      <x v="130"/>
    </i>
    <i>
      <x v="24"/>
    </i>
    <i>
      <x v="42"/>
    </i>
    <i>
      <x v="119"/>
    </i>
    <i>
      <x v="113"/>
    </i>
    <i>
      <x v="114"/>
    </i>
    <i>
      <x v="159"/>
    </i>
    <i>
      <x v="131"/>
    </i>
    <i>
      <x v="147"/>
    </i>
    <i>
      <x v="101"/>
    </i>
    <i>
      <x v="72"/>
    </i>
    <i>
      <x v="163"/>
    </i>
    <i>
      <x v="78"/>
    </i>
    <i>
      <x v="68"/>
    </i>
    <i>
      <x v="44"/>
    </i>
    <i>
      <x v="66"/>
    </i>
    <i>
      <x v="92"/>
    </i>
    <i>
      <x v="93"/>
    </i>
    <i>
      <x v="149"/>
    </i>
    <i>
      <x v="153"/>
    </i>
    <i>
      <x v="17"/>
    </i>
    <i>
      <x v="129"/>
    </i>
    <i>
      <x v="108"/>
    </i>
    <i>
      <x v="109"/>
    </i>
    <i>
      <x v="69"/>
    </i>
    <i>
      <x v="145"/>
    </i>
    <i>
      <x v="148"/>
    </i>
    <i>
      <x v="140"/>
    </i>
    <i>
      <x v="27"/>
    </i>
    <i>
      <x v="28"/>
    </i>
    <i>
      <x v="23"/>
    </i>
    <i>
      <x v="26"/>
    </i>
    <i>
      <x v="29"/>
    </i>
    <i>
      <x v="65"/>
    </i>
    <i>
      <x v="67"/>
    </i>
    <i>
      <x v="20"/>
    </i>
    <i>
      <x v="21"/>
    </i>
    <i>
      <x v="107"/>
    </i>
    <i>
      <x v="111"/>
    </i>
    <i>
      <x v="110"/>
    </i>
    <i>
      <x v="103"/>
    </i>
    <i>
      <x v="102"/>
    </i>
    <i>
      <x v="126"/>
    </i>
    <i>
      <x v="5"/>
    </i>
    <i>
      <x/>
    </i>
    <i>
      <x v="32"/>
    </i>
    <i>
      <x v="7"/>
    </i>
    <i>
      <x v="6"/>
    </i>
    <i>
      <x v="121"/>
    </i>
    <i>
      <x v="85"/>
    </i>
    <i>
      <x v="10"/>
    </i>
    <i>
      <x v="11"/>
    </i>
    <i>
      <x v="135"/>
    </i>
    <i>
      <x v="116"/>
    </i>
    <i>
      <x v="128"/>
    </i>
    <i>
      <x v="96"/>
    </i>
    <i>
      <x v="39"/>
    </i>
    <i>
      <x v="61"/>
    </i>
    <i>
      <x v="60"/>
    </i>
    <i>
      <x v="73"/>
    </i>
    <i>
      <x v="80"/>
    </i>
    <i>
      <x v="54"/>
    </i>
    <i>
      <x v="86"/>
    </i>
    <i>
      <x v="166"/>
    </i>
    <i>
      <x v="120"/>
    </i>
    <i>
      <x v="136"/>
    </i>
    <i>
      <x v="50"/>
    </i>
    <i>
      <x v="49"/>
    </i>
    <i>
      <x v="38"/>
    </i>
    <i>
      <x v="40"/>
    </i>
    <i>
      <x v="18"/>
    </i>
    <i>
      <x v="19"/>
    </i>
    <i>
      <x v="59"/>
    </i>
    <i>
      <x v="14"/>
    </i>
    <i>
      <x v="15"/>
    </i>
    <i>
      <x v="168"/>
    </i>
    <i>
      <x v="169"/>
    </i>
    <i>
      <x v="4"/>
    </i>
    <i>
      <x v="90"/>
    </i>
    <i>
      <x v="97"/>
    </i>
    <i>
      <x v="98"/>
    </i>
    <i>
      <x v="99"/>
    </i>
    <i>
      <x v="3"/>
    </i>
    <i>
      <x v="127"/>
    </i>
    <i>
      <x v="63"/>
    </i>
    <i>
      <x v="62"/>
    </i>
    <i>
      <x v="31"/>
    </i>
    <i>
      <x v="76"/>
    </i>
    <i>
      <x v="75"/>
    </i>
    <i>
      <x v="74"/>
    </i>
    <i>
      <x v="137"/>
    </i>
    <i>
      <x v="43"/>
    </i>
    <i>
      <x v="64"/>
    </i>
    <i>
      <x v="71"/>
    </i>
    <i>
      <x v="70"/>
    </i>
    <i>
      <x v="115"/>
    </i>
    <i>
      <x v="87"/>
    </i>
    <i>
      <x v="88"/>
    </i>
    <i>
      <x v="1"/>
    </i>
    <i>
      <x v="161"/>
    </i>
    <i>
      <x v="160"/>
    </i>
    <i>
      <x v="58"/>
    </i>
    <i>
      <x v="57"/>
    </i>
    <i>
      <x v="94"/>
    </i>
    <i>
      <x v="158"/>
    </i>
    <i>
      <x v="150"/>
    </i>
    <i>
      <x v="134"/>
    </i>
    <i>
      <x v="155"/>
    </i>
    <i>
      <x v="162"/>
    </i>
    <i>
      <x v="151"/>
    </i>
    <i>
      <x v="152"/>
    </i>
    <i>
      <x v="95"/>
    </i>
    <i>
      <x v="52"/>
    </i>
    <i>
      <x v="51"/>
    </i>
    <i>
      <x v="141"/>
    </i>
    <i>
      <x v="139"/>
    </i>
    <i>
      <x v="89"/>
    </i>
    <i>
      <x v="34"/>
    </i>
    <i>
      <x v="33"/>
    </i>
    <i>
      <x v="35"/>
    </i>
    <i>
      <x v="46"/>
    </i>
    <i>
      <x v="48"/>
    </i>
    <i>
      <x v="146"/>
    </i>
    <i>
      <x v="81"/>
    </i>
    <i>
      <x v="82"/>
    </i>
    <i>
      <x v="167"/>
    </i>
    <i>
      <x v="9"/>
    </i>
    <i>
      <x v="112"/>
    </i>
    <i>
      <x v="165"/>
    </i>
    <i>
      <x v="47"/>
    </i>
    <i>
      <x v="4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oma de Dividendo / Ação" fld="5" baseField="0" baseItem="0" numFmtId="173"/>
    <dataField name="Média Dividendo" fld="5" subtotal="average" baseField="0" baseItem="0" numFmtId="167"/>
    <dataField name="Média Payout" fld="6" subtotal="average" baseField="0" baseItem="0" numFmtId="10"/>
    <dataField name="Cotação Atual" fld="7" subtotal="average" baseField="0" baseItem="7" numFmtId="167"/>
    <dataField name="% Yield" fld="8" subtotal="average" baseField="0" baseItem="0" numFmtId="10"/>
    <dataField name="Média de Crescimento" fld="1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G6" firstHeaderRow="1" firstDataRow="2" firstDataCol="1"/>
  <pivotFields count="14">
    <pivotField axis="axisRow" showAll="0">
      <items count="12">
        <item x="0"/>
        <item m="1" x="7"/>
        <item m="1" x="8"/>
        <item m="1" x="10"/>
        <item m="1" x="5"/>
        <item m="1" x="6"/>
        <item m="1" x="9"/>
        <item m="1" x="3"/>
        <item x="1"/>
        <item m="1" x="4"/>
        <item x="2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m="1" x="1"/>
        <item t="default"/>
      </items>
    </pivotField>
    <pivotField dataField="1" numFmtId="164" showAll="0"/>
    <pivotField numFmtId="164" showAll="0"/>
    <pivotField numFmtId="164" showAll="0"/>
    <pivotField dataField="1" numFmtId="44" showAll="0" defaultSubtotal="0"/>
    <pivotField dataField="1" showAll="0" defaultSubtotal="0">
      <items count="2">
        <item x="1"/>
        <item x="0"/>
      </items>
    </pivotField>
    <pivotField dataField="1" showAll="0"/>
    <pivotField numFmtId="170" showAll="0"/>
    <pivotField dataField="1" numFmtId="170" showAll="0"/>
    <pivotField dataField="1" numFmtId="10" showAll="0"/>
  </pivotFields>
  <rowFields count="3">
    <field x="4"/>
    <field x="3"/>
    <field x="0"/>
  </rowFields>
  <rowItems count="2">
    <i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40" connectionId="25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238" connectionId="23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237" connectionId="23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215" connectionId="16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8" connectionId="43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64" connectionId="34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129" connectionId="2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7" connectionId="43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53" connectionId="19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76" connectionId="37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9" connectionId="43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68" connectionId="35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52" connectionId="18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82" connectionId="39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8" connectionId="11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62" connectionId="2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4" connectionId="4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73" connectionId="36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9" connectionId="37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61" connectionId="3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78" connectionId="38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3" connectionId="40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4" connectionId="41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235" connectionId="22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40" connectionId="2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57" connectionId="23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60" connectionId="33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3" connectionId="1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86" connectionId="3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7" connectionId="32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201" connectionId="11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46" connectionId="11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38" connectionId="28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70" connectionId="36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14" connectionId="10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148" connectionId="30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71" connectionId="27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45" connectionId="10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43" connectionId="8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219" connectionId="17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4" connectionId="22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152" connectionId="3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13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73" connectionId="3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72" connectionId="36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56" connectionId="2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80" connectionId="38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128" connectionId="25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18" connectionId="40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97" connectionId="8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145" connectionId="30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44" connectionId="9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8" connectionId="34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203" connectionId="12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195" connectionId="7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206" connectionId="14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98" connectionId="8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69" connectionId="35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74" connectionId="36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20" connectionId="4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97" connectionId="11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196" connectionId="7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87" connectionId="4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70" connectionId="22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116" connectionId="1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119" connectionId="15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17" connectionId="13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204" connectionId="12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84" connectionId="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30" connectionId="26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50" connectionId="31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08" connectionId="3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65" connectionId="34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21" connectionId="43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67" connectionId="35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39" connectionId="3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79" connectionId="38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181" connectionId="38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121" connectionId="18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14" connectionId="34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42" connectionId="6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132" connectionId="26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185" connectionId="3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16" connectionId="41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226" connectionId="199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20" connectionId="16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34" connectionId="272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111" connectionId="6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230" connectionId="21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6" connectionId="29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217" connectionId="17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127" connectionId="24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41" connectionId="5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158" connectionId="333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72" connectionId="299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48" connectionId="136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54" connectionId="32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32" connectionId="323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42" connectionId="293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33" connectionId="34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55" connectionId="213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25" connectionId="225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0" connectionId="39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29" connectionId="22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124" connectionId="21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71" connectionId="363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166" connectionId="350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146" connectionId="30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12" connectionId="80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18" connectionId="147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77" connectionId="380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49" connectionId="31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189" connectionId="44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66" connectionId="276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1" connectionId="405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122" connectionId="19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205" connectionId="134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07" connectionId="25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04" connectionId="394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63" connectionId="343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30" connectionId="275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94" connectionId="56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159" connectionId="335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41" connectionId="29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139" connectionId="287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157" connectionId="33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213" connectionId="164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34" connectionId="37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33" connectionId="269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115" connectionId="114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83" connectionId="403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11" connectionId="44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64" connectionId="269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136" connectionId="279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55" connectionId="324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12" connectionId="407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35" connectionId="394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231" connectionId="214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232" connectionId="218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220" connectionId="18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90" connectionId="46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143" connectionId="295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69" connectionId="113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50" connectionId="158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202" connectionId="120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13" connectionId="408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91" connectionId="48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19" connectionId="418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109" connectionId="47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28" connectionId="113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59" connectionId="254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61" connectionId="260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17" connectionId="405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5" connectionId="429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10" connectionId="440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218" connectionId="176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75" connectionId="372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15" connectionId="41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106" connectionId="14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51" connectionId="169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51" connectionId="315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225" connectionId="197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31" connectionId="299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224" connectionId="196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211" connectionId="159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216" connectionId="170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37" connectionId="14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90" connectionId="394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54" connectionId="202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65" connectionId="27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110" connectionId="58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200" connectionId="112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49" connectionId="147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135" connectionId="276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192" connectionId="52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126" connectionId="236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153" connectionId="319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93" connectionId="54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212" connectionId="163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6" connectionId="433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2" connectionId="405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47" connectionId="125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40" connectionId="47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233" connectionId="220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58" connectionId="247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38" connectionId="25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56" connectionId="326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15" connectionId="37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147" connectionId="307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103" connectionId="371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162" connectionId="341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88" connectionId="43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63" connectionId="266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60" connectionId="257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137" connectionId="283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131" connectionId="263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144" connectionId="297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123" connectionId="202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98" connectionId="224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290" connectionId="253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288" connectionId="246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287" connectionId="245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282" connectionId="232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97" connectionId="33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_3" connectionId="408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56" connectionId="330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12" connectionId="407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243" connectionId="123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20" connectionId="400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235" connectionId="106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201" connectionId="45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72" connectionId="305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139" connectionId="288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66" connectionId="277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8" connectionId="438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35" connectionId="424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32" connectionId="419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42" connectionId="71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18" connectionId="410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49" connectionId="149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115" connectionId="117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239" connectionId="110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49" connectionId="312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53" connectionId="193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203" connectionId="53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10" connectionId="40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70" connectionId="362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29" connectionId="415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18" connectionId="150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24" connectionId="407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ExternalData_6" connectionId="435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64" connectionId="271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9" connectionId="439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176" connectionId="377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171" connectionId="364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172" connectionId="366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180" connectionId="387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52" connectionId="182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ExternalData_20" connectionId="432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12" connectionId="23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110" connectionId="60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158" connectionId="334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120" connectionId="172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43" connectionId="83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41" connectionId="61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240" connectionId="115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ExternalData_13" connectionId="409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204" connectionId="55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228" connectionId="96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36" connectionId="5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257" connectionId="162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104" connectionId="396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137" connectionId="284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195" connectionId="31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227" connectionId="95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260" connectionId="173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173" connectionId="368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51" connectionId="171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50" connectionId="161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210" connectionId="65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155" connectionId="325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ExternalData_25" connectionId="411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207" connectionId="62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147" connectionId="308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175" connectionId="373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253" connectionId="153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213" connectionId="68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109" connectionId="50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281" connectionId="229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261" connectionId="175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40" connectionId="290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270" connectionId="198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174" connectionId="370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117" connectionId="138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205" connectionId="57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166" connectionId="353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24" connectionId="16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208" connectionId="63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108" connectionId="39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153" connectionId="320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4" connectionId="238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35" connectionId="397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45" connectionId="104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163" connectionId="344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11" connectionId="402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244" connectionId="133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ExternalData_14" connectionId="410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54" connectionId="205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131" connectionId="265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130" connectionId="261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ExternalData_31" connectionId="417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192" connectionId="26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217" connectionId="76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246" connectionId="137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97" connectionId="131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157" connectionId="332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2" connectionId="19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62" connectionId="264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ExternalData_40" connectionId="430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237" connectionId="108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67" connectionId="392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47" connectionId="129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141" connectionId="292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ExternalData_21" connectionId="434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ExternalData_22" connectionId="440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215" connectionId="73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39" connectionId="38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234" connectionId="103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122" connectionId="194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132" connectionId="267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112" connectionId="8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159" connectionId="336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ExternalData_17" connectionId="436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128" connectionId="256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69" connectionId="126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145" connectionId="301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37" connectionId="21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96" connectionId="24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272" connectionId="206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ExternalData_11" connectionId="441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32" connectionId="327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6" connectionId="306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103" connectionId="375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179" connectionId="385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121" connectionId="18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220" connectionId="84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21" connectionId="18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124" connectionId="216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165" connectionId="349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116" connectionId="132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61" connectionId="262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ExternalData_2" connectionId="438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59" connectionId="255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136" connectionId="281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ExternalData_26" connectionId="412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188" connectionId="10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148" connectionId="310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223" connectionId="88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251" connectionId="151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123" connectionId="204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55" connectionId="215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269" connectionId="192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ExternalData_15" connectionId="411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16" connectionId="395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221" connectionId="86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40" connectionId="49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125" connectionId="228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34" connectionId="379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190" connectionId="12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224" connectionId="89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212" connectionId="67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199" connectionId="41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238" connectionId="109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185" connectionId="7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28" connectionId="130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265" connectionId="185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18" connectionId="128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56" connectionId="227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211" connectionId="66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249" connectionId="143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9" connectionId="376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111" connectionId="72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209" connectionId="64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14" connectionId="354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262" connectionId="177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127" connectionId="249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ExternalData_33" connectionId="422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178" connectionId="383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142" connectionId="294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152" connectionId="318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183" connectionId="404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241" connectionId="118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17" connectionId="15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71" connectionId="282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31" connectionId="303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29" connectionId="242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ExternalData_27" connectionId="413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129" connectionId="259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107" connectionId="28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277" connectionId="217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278" connectionId="219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258" connectionId="165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ExternalData_36" connectionId="425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144" connectionId="298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134" connectionId="273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168" connectionId="358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106" connectionId="22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138" connectionId="286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ExternalData_16" connectionId="412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ExternalData_37" connectionId="426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8" connectionId="352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27" connectionId="20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202" connectionId="51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225" connectionId="90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146" connectionId="304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164" connectionId="346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250" connectionId="144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200" connectionId="42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160" connectionId="338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206" connectionId="59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26" connectionId="393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ExternalData_28" connectionId="414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162" connectionId="342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114" connectionId="105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63" connectionId="268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113" connectionId="93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182" connectionId="391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193" connectionId="29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275" connectionId="210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169" connectionId="360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242" connectionId="121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181" connectionId="389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233" connectionId="101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133" connectionId="270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7" connectionId="328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222" connectionId="87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276" connectionId="212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60" connectionId="258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65" connectionId="274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ExternalData_7" connectionId="437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ExternalData_4" connectionId="421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58" connectionId="250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48" connectionId="139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279" connectionId="221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151" connectionId="316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ExternalData_5" connectionId="431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1" connectionId="399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177" connectionId="381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256" connectionId="156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214" connectionId="70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44" connectionId="94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ExternalData_19" connectionId="420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90" connectionId="398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68" connectionId="17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135" connectionId="278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154" connectionId="322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143" connectionId="296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167" connectionId="356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161" connectionId="340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229" connectionId="97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38" connectionId="27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268" connectionId="190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30" connectionId="280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219" connectionId="78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ExternalData_1" connectionId="439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33" connectionId="351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187" connectionId="9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189" connectionId="11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57" connectionId="239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ExternalData_10" connectionId="440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15" connectionId="378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271" connectionId="200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ExternalData_30" connectionId="416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70" connectionId="240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280" connectionId="222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98" connectionId="237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ExternalData_23" connectionId="441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263" connectionId="179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186" connectionId="8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230" connectionId="98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126" connectionId="241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73" connectionId="329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191" connectionId="13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ExternalData_34" connectionId="423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ExternalData_38" connectionId="427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46" connectionId="116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194" connectionId="30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198" connectionId="37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ExternalData_39" connectionId="428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196" connectionId="32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3" connectionId="127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150" connectionId="314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259" connectionId="168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119" connectionId="160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216" connectionId="7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X164">
  <autoFilter ref="A1:X164">
    <filterColumn colId="17"/>
    <filterColumn colId="19"/>
  </autoFilter>
  <sortState ref="A2:X164">
    <sortCondition ref="B1:B164"/>
  </sortState>
  <tableColumns count="24">
    <tableColumn id="10" name="Classificação Setorial" totalsRowFunction="count" dataDxfId="106" totalsRowDxfId="105"/>
    <tableColumn id="9" name="PAPEL" dataDxfId="104" totalsRowDxfId="103"/>
    <tableColumn id="24" name="Ref"/>
    <tableColumn id="2" name="Patrimônio Líquido" dataDxfId="102" totalsRowDxfId="101"/>
    <tableColumn id="13" name="Lucro Líquido" dataDxfId="100" totalsRowDxfId="99"/>
    <tableColumn id="3" name="Total Ações" dataDxfId="98" totalsRowDxfId="97"/>
    <tableColumn id="19" name="Lucro/Ação" dataDxfId="96" totalsRowDxfId="95">
      <calculatedColumnFormula>Tabela3[[#This Row],[Lucro Líquido]]/Tabela3[[#This Row],[Total Ações]]</calculatedColumnFormula>
    </tableColumn>
    <tableColumn id="25" name="Lucro/Ação Ano" dataDxfId="94" totalsRowDxfId="93">
      <calculatedColumnFormula>Tabela3[[#This Row],[Lucro/Ação]]/Tabela3[[#This Row],[Ref]]*4</calculatedColumnFormula>
    </tableColumn>
    <tableColumn id="26" name="Payout" dataDxfId="92" totalsRowDxfId="91">
      <calculatedColumnFormula>IF(GETPIVOTDATA("Payout",'Tabela LL'!$A$3,"Ativo",Tabela3[[#This Row],[PAPEL]])&gt;1,1,GETPIVOTDATA("Payout",'Tabela LL'!$A$3,"Ativo",Tabela3[[#This Row],[PAPEL]]))</calculatedColumnFormula>
    </tableColumn>
    <tableColumn id="4" name="VPA" dataDxfId="90" totalsRowDxfId="89">
      <calculatedColumnFormula>[Patrimônio Líquido]/[Total Ações]</calculatedColumnFormula>
    </tableColumn>
    <tableColumn id="5" name="Cotação" dataDxfId="88" totalsRowDxfId="87">
      <calculatedColumnFormula>MAX(Tabela3[[#This Row],[Cotação 1]],Tabela3[[#This Row],[Cotação 2]])</calculatedColumnFormula>
    </tableColumn>
    <tableColumn id="6" name="PVPA" dataDxfId="86" totalsRowDxfId="85">
      <calculatedColumnFormula>[Cotação]/[VPA]</calculatedColumnFormula>
    </tableColumn>
    <tableColumn id="16" name="PL" dataDxfId="84">
      <calculatedColumnFormula>IF(Tabela3[[#This Row],[Lucro/Ação Ano]]&gt;0,Tabela3[[#This Row],[Cotação]]/Tabela3[[#This Row],[Lucro/Ação Ano]],0)</calculatedColumnFormula>
    </tableColumn>
    <tableColumn id="11" name="10% Rent" dataDxfId="83" totalsRowDxfId="82">
      <calculatedColumnFormula>ROUND(Tabela3[[#This Row],[Lucro Prev]]/10%,2)</calculatedColumnFormula>
    </tableColumn>
    <tableColumn id="7" name="P Compra" dataDxfId="81" totalsRowDxfId="80">
      <calculatedColumnFormula>MIN(Tabela3[[#This Row],[10% Rent]],Tabela3[[#This Row],[VPA]]*2)</calculatedColumnFormula>
    </tableColumn>
    <tableColumn id="1" name="% Compra" dataDxfId="79" totalsRowDxfId="78">
      <calculatedColumnFormula>Tabela3[[#This Row],[P Compra]]/Tabela3[[#This Row],[Cotação]]-1</calculatedColumnFormula>
    </tableColumn>
    <tableColumn id="21" name="Lucro Prev" dataDxfId="77" totalsRowDxfId="76">
      <calculatedColumnFormula>Tabela3[[#This Row],[Lucro/Ação Ano]]*Tabela3[[#This Row],[Payout]]</calculatedColumnFormula>
    </tableColumn>
    <tableColumn id="8" name="Comprar ?" dataDxfId="75" totalsRowDxfId="74">
      <calculatedColumnFormula>IF(AND([% Yield]&gt;=10%,[PVPA]&lt;=2,[PL]&lt;=15,[PL]&gt;0),"Sim","Não")</calculatedColumnFormula>
    </tableColumn>
    <tableColumn id="14" name="% Yield" dataDxfId="73" totalsRowDxfId="72">
      <calculatedColumnFormula>Tabela3[[#This Row],[Lucro Prev]]/Tabela3[[#This Row],[Cotação]]</calculatedColumnFormula>
    </tableColumn>
    <tableColumn id="12" name="% A.M." dataDxfId="71" totalsRowDxfId="70">
      <calculatedColumnFormula>(1+Tabela3[[#This Row],[% Yield]])^(1/12)-1</calculatedColumnFormula>
    </tableColumn>
    <tableColumn id="17" name="Ativos" dataDxfId="69" totalsRowDxfId="68">
      <calculatedColumnFormula>($AA$1/Tabela3[[#This Row],[Cotação]]-MOD($AA$1/Tabela3[[#This Row],[Cotação]],100))</calculatedColumnFormula>
    </tableColumn>
    <tableColumn id="18" name="Lucro Med A.A" totalsRowFunction="sum" dataDxfId="67" totalsRowDxfId="66">
      <calculatedColumnFormula>Tabela3[[#This Row],[Ativos]]*Tabela3[[#This Row],[Lucro Prev]]</calculatedColumnFormula>
    </tableColumn>
    <tableColumn id="15" name="Cotação 1" dataDxfId="65" totalsRowDxfId="64">
      <calculatedColumnFormula>SUMPRODUCT(N(Tabela1[Código]=Tabela3[[#This Row],[PAPEL]]),Tabela1[Fechamento])</calculatedColumnFormula>
    </tableColumn>
    <tableColumn id="20" name="Cotação 2" totalsRowFunction="sum" dataDxfId="63" totalsRowDxfId="62">
      <calculatedColumnFormula>SUMPRODUCT(N(Tabela17[Código]=Tabela3[[#This Row],[PAPEL]]),Tabela17[Fechamento])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61" dataDxfId="60">
  <autoFilter ref="P6:V112"/>
  <sortState ref="P7:V112">
    <sortCondition ref="P6:P112"/>
  </sortState>
  <tableColumns count="7">
    <tableColumn id="1" name="Código" dataDxfId="59"/>
    <tableColumn id="2" name="Ativo" dataDxfId="58">
      <calculatedColumnFormula>IF(A7="","",C7)</calculatedColumnFormula>
    </tableColumn>
    <tableColumn id="3" name="Data" dataDxfId="57">
      <calculatedColumnFormula>IF(A7="","",H7)</calculatedColumnFormula>
    </tableColumn>
    <tableColumn id="4" name="Abertura" dataDxfId="56">
      <calculatedColumnFormula>J7</calculatedColumnFormula>
    </tableColumn>
    <tableColumn id="5" name="Fechamento" dataDxfId="55">
      <calculatedColumnFormula>K7</calculatedColumnFormula>
    </tableColumn>
    <tableColumn id="6" name="Máxima" dataDxfId="54">
      <calculatedColumnFormula>L7</calculatedColumnFormula>
    </tableColumn>
    <tableColumn id="7" name="Mínima" dataDxfId="53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52" dataDxfId="51">
  <autoFilter ref="P6:V112"/>
  <sortState ref="P7:V112">
    <sortCondition ref="P6:P112"/>
  </sortState>
  <tableColumns count="7">
    <tableColumn id="1" name="Código" dataDxfId="50"/>
    <tableColumn id="2" name="Ativo" dataDxfId="49">
      <calculatedColumnFormula>IF(A7="","",C7)</calculatedColumnFormula>
    </tableColumn>
    <tableColumn id="3" name="Data" dataDxfId="48">
      <calculatedColumnFormula>IF(A7="","",H7)</calculatedColumnFormula>
    </tableColumn>
    <tableColumn id="4" name="Abertura" dataDxfId="47">
      <calculatedColumnFormula>J7</calculatedColumnFormula>
    </tableColumn>
    <tableColumn id="5" name="Fechamento" dataDxfId="46">
      <calculatedColumnFormula>K7</calculatedColumnFormula>
    </tableColumn>
    <tableColumn id="6" name="Máxima" dataDxfId="45">
      <calculatedColumnFormula>L7</calculatedColumnFormula>
    </tableColumn>
    <tableColumn id="7" name="Mínima" dataDxfId="44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ela2" displayName="Tabela2" ref="A1:K582" totalsRowShown="0" headerRowDxfId="43" dataDxfId="42">
  <autoFilter ref="A1:K582"/>
  <sortState ref="A2:K563">
    <sortCondition ref="A1:A563"/>
  </sortState>
  <tableColumns count="11">
    <tableColumn id="1" name="Ativo" dataDxfId="41"/>
    <tableColumn id="4" name="Exercício" dataDxfId="40"/>
    <tableColumn id="2" name="Lucro Líquido" dataDxfId="39"/>
    <tableColumn id="6" name="Total Ações" dataDxfId="38">
      <calculatedColumnFormula>SUMPRODUCT(N(Tabela3[PAPEL]=Tabela2[[#This Row],[Ativo]]),Tabela3[Total Ações])</calculatedColumnFormula>
    </tableColumn>
    <tableColumn id="7" name="Lucro por ação" dataDxfId="37">
      <calculatedColumnFormula>(Tabela2[[#This Row],[Lucro Líquido]])/Tabela2[[#This Row],[Total Ações]]</calculatedColumnFormula>
    </tableColumn>
    <tableColumn id="8" name="Dividendo / Ação" dataDxfId="36"/>
    <tableColumn id="5" name="Payout" dataDxfId="35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34">
      <calculatedColumnFormula>MAX(Tabela2[[#This Row],[Cotação 1]],Tabela2[[#This Row],[Cotação 2]])</calculatedColumnFormula>
    </tableColumn>
    <tableColumn id="10" name="Yield" dataDxfId="33">
      <calculatedColumnFormula>IF(Tabela2[[#This Row],[Dividendo / Ação]]&gt;0,Tabela2[[#This Row],[Dividendo / Ação]]/Tabela2[[#This Row],[Cotação]],"")</calculatedColumnFormula>
    </tableColumn>
    <tableColumn id="11" name="Cotação 1" dataDxfId="32">
      <calculatedColumnFormula>SUMPRODUCT(N(Tabela1[Código]=Tabela2[[#This Row],[Ativo]]),Tabela1[Fechamento])</calculatedColumnFormula>
    </tableColumn>
    <tableColumn id="12" name="Cotação 2" dataDxfId="31">
      <calculatedColumnFormula>SUMPRODUCT(N(Tabela17[Código]=Tabela2[[#This Row],[Ativo]]),Tabela17[Fechamento])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4" displayName="Table4" ref="A1:N3" totalsRowCount="1" headerRowDxfId="30" dataDxfId="29" totalsRowDxfId="28">
  <autoFilter ref="A1:N2">
    <filterColumn colId="1"/>
    <filterColumn colId="2"/>
    <filterColumn colId="3"/>
    <filterColumn colId="4"/>
    <filterColumn colId="9"/>
    <filterColumn colId="10"/>
    <filterColumn colId="11"/>
    <filterColumn colId="12"/>
  </autoFilter>
  <tableColumns count="14">
    <tableColumn id="1" name="Data Liquidação" totalsRowLabel="Total" dataDxfId="27" totalsRowDxfId="26"/>
    <tableColumn id="16" name="Dia" dataDxfId="25" totalsRowDxfId="24">
      <calculatedColumnFormula>DAY([Data Liquidação])</calculatedColumnFormula>
    </tableColumn>
    <tableColumn id="15" name="Mês" dataDxfId="23" totalsRowDxfId="22">
      <calculatedColumnFormula>MONTH([Data Liquidação])</calculatedColumnFormula>
    </tableColumn>
    <tableColumn id="14" name="Ano" dataDxfId="21" totalsRowDxfId="20">
      <calculatedColumnFormula>YEAR([Data Liquidação])</calculatedColumnFormula>
    </tableColumn>
    <tableColumn id="7" name="Nome" dataDxfId="19" totalsRowDxfId="18" dataCellStyle="Moeda"/>
    <tableColumn id="2" name="Aplicação" totalsRowFunction="sum" dataDxfId="17" totalsRowDxfId="16"/>
    <tableColumn id="3" name="Taxas" totalsRowFunction="min" dataDxfId="15" totalsRowDxfId="14"/>
    <tableColumn id="4" name="Resgates" totalsRowFunction="sum" dataDxfId="13" totalsRowDxfId="12"/>
    <tableColumn id="5" name="Dividendo" totalsRowFunction="sum" dataDxfId="11" totalsRowDxfId="10" dataCellStyle="Moeda"/>
    <tableColumn id="18" name="JPC" totalsRowFunction="sum" dataDxfId="9" totalsRowDxfId="8" dataCellStyle="Moeda"/>
    <tableColumn id="8" name="Quantidade" dataDxfId="7" totalsRowDxfId="6" dataCellStyle="Moeda"/>
    <tableColumn id="9" name="Preço Médio" dataDxfId="5" totalsRowDxfId="4" dataCellStyle="Separador de milhares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3" totalsRowDxfId="2" dataCellStyle="Separador de milhares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1" totalsRowDxfId="0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bmfbovespa.com.br/cias-listadas/empresas-listadas/ResumoEmpresaPrincipal.aspx?codigoCvm=20575&amp;idioma=pt-br" TargetMode="External"/><Relationship Id="rId18" Type="http://schemas.openxmlformats.org/officeDocument/2006/relationships/hyperlink" Target="http://www.bmfbovespa.com.br/cias-listadas/empresas-listadas/ResumoEmpresaPrincipal.aspx?codigoCvm=17671&amp;idioma=pt-br" TargetMode="External"/><Relationship Id="rId26" Type="http://schemas.openxmlformats.org/officeDocument/2006/relationships/hyperlink" Target="http://www.bmfbovespa.com.br/cias-listadas/empresas-listadas/ResumoEmpresaPrincipal.aspx?codigoCvm=22691&amp;idioma=pt-br" TargetMode="External"/><Relationship Id="rId39" Type="http://schemas.openxmlformats.org/officeDocument/2006/relationships/hyperlink" Target="http://www.bmfbovespa.com.br/cias-listadas/empresas-listadas/ResumoEmpresaPrincipal.aspx?codigoCvm=94&amp;idioma=pt-br" TargetMode="External"/><Relationship Id="rId21" Type="http://schemas.openxmlformats.org/officeDocument/2006/relationships/hyperlink" Target="http://www.bmfbovespa.com.br/cias-listadas/empresas-listadas/ResumoEmpresaPrincipal.aspx?codigoCvm=18724&amp;idioma=pt-br" TargetMode="External"/><Relationship Id="rId34" Type="http://schemas.openxmlformats.org/officeDocument/2006/relationships/hyperlink" Target="http://www.bmfbovespa.com.br/cias-listadas/empresas-listadas/ResumoEmpresaPrincipal.aspx?codigoCvm=21091&amp;idioma=pt-br" TargetMode="External"/><Relationship Id="rId42" Type="http://schemas.openxmlformats.org/officeDocument/2006/relationships/hyperlink" Target="http://www.bmfbovespa.com.br/cias-listadas/empresas-listadas/ResumoEmpresaPrincipal.aspx?codigoCvm=21300&amp;idioma=pt-br" TargetMode="External"/><Relationship Id="rId47" Type="http://schemas.openxmlformats.org/officeDocument/2006/relationships/hyperlink" Target="http://www.bmfbovespa.com.br/cias-listadas/empresas-listadas/ResumoEmpresaPrincipal.aspx?codigoCvm=20982&amp;idioma=pt-br" TargetMode="External"/><Relationship Id="rId50" Type="http://schemas.openxmlformats.org/officeDocument/2006/relationships/hyperlink" Target="http://www.bmfbovespa.com.br/cias-listadas/empresas-listadas/ResumoEmpresaPrincipal.aspx?codigoCvm=8540&amp;idioma=pt-br" TargetMode="External"/><Relationship Id="rId55" Type="http://schemas.openxmlformats.org/officeDocument/2006/relationships/hyperlink" Target="http://www.bmfbovespa.com.br/cias-listadas/empresas-listadas/ResumoEmpresaPrincipal.aspx?codigoCvm=21717&amp;idioma=pt-br" TargetMode="External"/><Relationship Id="rId7" Type="http://schemas.openxmlformats.org/officeDocument/2006/relationships/hyperlink" Target="http://www.bmfbovespa.com.br/cias-listadas/empresas-listadas/ResumoEmpresaPrincipal.aspx?codigoCvm=4820&amp;idioma=pt-br" TargetMode="External"/><Relationship Id="rId2" Type="http://schemas.openxmlformats.org/officeDocument/2006/relationships/hyperlink" Target="http://www.bmfbovespa.com.br/cias-listadas/empresas-listadas/ResumoEmpresaPrincipal.aspx?codigoCvm=22365&amp;idioma=pt-br" TargetMode="External"/><Relationship Id="rId16" Type="http://schemas.openxmlformats.org/officeDocument/2006/relationships/hyperlink" Target="http://www.bmfbovespa.com.br/cias-listadas/empresas-listadas/ResumoEmpresaPrincipal.aspx?codigoCvm=11312&amp;idioma=pt-br" TargetMode="External"/><Relationship Id="rId20" Type="http://schemas.openxmlformats.org/officeDocument/2006/relationships/hyperlink" Target="http://www.bmfbovespa.com.br/cias-listadas/empresas-listadas/ResumoEmpresaPrincipal.aspx?codigoCvm=18724&amp;idioma=pt-br" TargetMode="External"/><Relationship Id="rId29" Type="http://schemas.openxmlformats.org/officeDocument/2006/relationships/hyperlink" Target="http://www.bmfbovespa.com.br/cias-listadas/empresas-listadas/ResumoEmpresaPrincipal.aspx?codigoCvm=2577" TargetMode="External"/><Relationship Id="rId41" Type="http://schemas.openxmlformats.org/officeDocument/2006/relationships/hyperlink" Target="http://www.bmfbovespa.com.br/cias-listadas/empresas-listadas/ResumoEmpresaPrincipal.aspx?codigoCvm=5762&amp;idioma=pt-br" TargetMode="External"/><Relationship Id="rId54" Type="http://schemas.openxmlformats.org/officeDocument/2006/relationships/hyperlink" Target="http://www.bmfbovespa.com.br/cias-listadas/empresas-listadas/ResumoEmpresaPrincipal.aspx?codigoCvm=22217&amp;idioma=pt-br" TargetMode="External"/><Relationship Id="rId1" Type="http://schemas.openxmlformats.org/officeDocument/2006/relationships/hyperlink" Target="http://www.bmfbovespa.com.br/cias-listadas/empresas-listadas/ResumoEmpresaPrincipal.aspx?codigoCvm=11592&amp;idioma=pt-br" TargetMode="External"/><Relationship Id="rId6" Type="http://schemas.openxmlformats.org/officeDocument/2006/relationships/hyperlink" Target="http://www.bmfbovespa.com.br/cias-listadas/empresas-listadas/ResumoEmpresaPrincipal.aspx?codigoCvm=23159&amp;idioma=pt-br" TargetMode="External"/><Relationship Id="rId11" Type="http://schemas.openxmlformats.org/officeDocument/2006/relationships/hyperlink" Target="http://www.bmfbovespa.com.br/cias-listadas/empresas-listadas/ResumoEmpresaPrincipal.aspx?codigoCvm=2909&amp;idioma=pt-br" TargetMode="External"/><Relationship Id="rId24" Type="http://schemas.openxmlformats.org/officeDocument/2006/relationships/hyperlink" Target="http://www.bmfbovespa.com.br/cias-listadas/empresas-listadas/ResumoEmpresaPrincipal.aspx?codigoCvm=18465&amp;idioma=pt-br" TargetMode="External"/><Relationship Id="rId32" Type="http://schemas.openxmlformats.org/officeDocument/2006/relationships/hyperlink" Target="http://www.bmfbovespa.com.br/Cias-Listadas/Empresas-Listadas/ResumoEmpresaPrincipal.aspx?codigoCvm=19313&amp;idioma=pt-BR" TargetMode="External"/><Relationship Id="rId37" Type="http://schemas.openxmlformats.org/officeDocument/2006/relationships/hyperlink" Target="http://www.bmfbovespa.com.br/cias-listadas/empresas-listadas/ResumoEmpresaPrincipal.aspx?codigoCvm=20842&amp;idioma=pt-br" TargetMode="External"/><Relationship Id="rId40" Type="http://schemas.openxmlformats.org/officeDocument/2006/relationships/hyperlink" Target="http://www.bmfbovespa.com.br/cias-listadas/empresas-listadas/ResumoEmpresaPrincipal.aspx?codigoCvm=11231&amp;idioma=pt-br" TargetMode="External"/><Relationship Id="rId45" Type="http://schemas.openxmlformats.org/officeDocument/2006/relationships/hyperlink" Target="http://www.bmfbovespa.com.br/cias-listadas/empresas-listadas/ResumoEmpresaPrincipal.aspx?codigoCvm=21040&amp;idioma=pt-br" TargetMode="External"/><Relationship Id="rId53" Type="http://schemas.openxmlformats.org/officeDocument/2006/relationships/hyperlink" Target="http://www.bmfbovespa.com.br/cias-listadas/empresas-listadas/ResumoEmpresaPrincipal.aspx?codigoCvm=3891&amp;idioma=pt-br" TargetMode="External"/><Relationship Id="rId58" Type="http://schemas.openxmlformats.org/officeDocument/2006/relationships/hyperlink" Target="http://www.bmfbovespa.com.br/cias-listadas/empresas-listadas/ResumoEmpresaPrincipal.aspx?codigoCvm=21792&amp;idioma=pt-br" TargetMode="External"/><Relationship Id="rId5" Type="http://schemas.openxmlformats.org/officeDocument/2006/relationships/hyperlink" Target="http://www.bmfbovespa.com.br/cias-listadas/empresas-listadas/ResumoEmpresaPrincipal.aspx?codigoCvm=3115&amp;idioma=pt-br" TargetMode="External"/><Relationship Id="rId15" Type="http://schemas.openxmlformats.org/officeDocument/2006/relationships/hyperlink" Target="http://www.bmfbovespa.com.br/cias-listadas/empresas-listadas/ResumoEmpresaPrincipal.aspx?codigoCvm=17639&amp;idioma=pt-br" TargetMode="External"/><Relationship Id="rId23" Type="http://schemas.openxmlformats.org/officeDocument/2006/relationships/hyperlink" Target="http://www.bmfbovespa.com.br/cias-listadas/empresas-listadas/ResumoEmpresaPrincipal.aspx?codigoCvm=8893&amp;idioma=pt-br" TargetMode="External"/><Relationship Id="rId28" Type="http://schemas.openxmlformats.org/officeDocument/2006/relationships/hyperlink" Target="http://www.bmfbovespa.com.br/cias-listadas/empresas-listadas/ResumoEmpresaPrincipal.aspx?codigoCvm=14176&amp;idioma=pt-br" TargetMode="External"/><Relationship Id="rId36" Type="http://schemas.openxmlformats.org/officeDocument/2006/relationships/hyperlink" Target="http://www.bmfbovespa.com.br/cias-listadas/empresas-listadas/ResumoEmpresaPrincipal.aspx?codigoCvm=20974&amp;idioma=pt-br" TargetMode="External"/><Relationship Id="rId49" Type="http://schemas.openxmlformats.org/officeDocument/2006/relationships/hyperlink" Target="http://www.bmfbovespa.com.br/cias-listadas/empresas-listadas/ResumoEmpresaPrincipal.aspx?codigoCvm=13781&amp;idioma=pt-br" TargetMode="External"/><Relationship Id="rId57" Type="http://schemas.openxmlformats.org/officeDocument/2006/relationships/hyperlink" Target="http://www.bmfbovespa.com.br/cias-listadas/empresas-listadas/ResumoEmpresaPrincipal.aspx?codigoCvm=21733&amp;idioma=pt-br" TargetMode="External"/><Relationship Id="rId61" Type="http://schemas.openxmlformats.org/officeDocument/2006/relationships/table" Target="../tables/table1.xml"/><Relationship Id="rId10" Type="http://schemas.openxmlformats.org/officeDocument/2006/relationships/hyperlink" Target="http://www.bmfbovespa.com.br/cias-listadas/empresas-listadas/ResumoEmpresaPrincipal.aspx?codigoCvm=2909&amp;idioma=pt-br" TargetMode="External"/><Relationship Id="rId19" Type="http://schemas.openxmlformats.org/officeDocument/2006/relationships/hyperlink" Target="http://www.bmfbovespa.com.br/cias-listadas/empresas-listadas/ResumoEmpresaPrincipal.aspx?codigoCvm=17671&amp;idioma=pt-br" TargetMode="External"/><Relationship Id="rId31" Type="http://schemas.openxmlformats.org/officeDocument/2006/relationships/hyperlink" Target="http://www.bmfbovespa.com.br/cias-listadas/empresas-listadas/ResumoEmpresaPrincipal.aspx?codigoCvm=14915&amp;idioma=pt-br" TargetMode="External"/><Relationship Id="rId44" Type="http://schemas.openxmlformats.org/officeDocument/2006/relationships/hyperlink" Target="http://www.bmfbovespa.com.br/cias-listadas/empresas-listadas/ResumoEmpresaPrincipal.aspx?codigoCvm=19925&amp;idioma=pt-br" TargetMode="External"/><Relationship Id="rId52" Type="http://schemas.openxmlformats.org/officeDocument/2006/relationships/hyperlink" Target="http://www.bmfbovespa.com.br/cias-listadas/empresas-listadas/ResumoEmpresaPrincipal.aspx?codigoCvm=3891&amp;idioma=pt-br" TargetMode="External"/><Relationship Id="rId60" Type="http://schemas.openxmlformats.org/officeDocument/2006/relationships/printerSettings" Target="../printerSettings/printerSettings1.bin"/><Relationship Id="rId4" Type="http://schemas.openxmlformats.org/officeDocument/2006/relationships/hyperlink" Target="http://www.bmfbovespa.com.br/cias-listadas/empresas-listadas/ResumoEmpresaPrincipal.aspx?codigoCvm=3115&amp;idioma=pt-br" TargetMode="External"/><Relationship Id="rId9" Type="http://schemas.openxmlformats.org/officeDocument/2006/relationships/hyperlink" Target="http://www.bmfbovespa.com.br/cias-listadas/empresas-listadas/ResumoEmpresaPrincipal.aspx?codigoCvm=20516&amp;idioma=pt-br" TargetMode="External"/><Relationship Id="rId14" Type="http://schemas.openxmlformats.org/officeDocument/2006/relationships/hyperlink" Target="http://www.bmfbovespa.com.br/cias-listadas/empresas-listadas/ResumoEmpresaPrincipal.aspx?codigoCvm=22772&amp;idioma=pt-br" TargetMode="External"/><Relationship Id="rId22" Type="http://schemas.openxmlformats.org/officeDocument/2006/relationships/hyperlink" Target="http://www.bmfbovespa.com.br/cias-listadas/empresas-listadas/ResumoEmpresaPrincipal.aspx?codigoCvm=3298&amp;idioma=pt-br" TargetMode="External"/><Relationship Id="rId27" Type="http://schemas.openxmlformats.org/officeDocument/2006/relationships/hyperlink" Target="http://www.bmfbovespa.com.br/cias-listadas/empresas-listadas/ResumoEmpresaPrincipal.aspx?codigoCvm=14176&amp;idioma=pt-br" TargetMode="External"/><Relationship Id="rId30" Type="http://schemas.openxmlformats.org/officeDocument/2006/relationships/hyperlink" Target="http://www.bmfbovespa.com.br/cias-listadas/empresas-listadas/ResumoEmpresaPrincipal.aspx?codigoCvm=2453&amp;idioma=pt-br" TargetMode="External"/><Relationship Id="rId35" Type="http://schemas.openxmlformats.org/officeDocument/2006/relationships/hyperlink" Target="http://www.bmfbovespa.com.br/cias-listadas/empresas-listadas/ResumoEmpresaPrincipal.aspx?codigoCvm=5770&amp;idioma=pt-br" TargetMode="External"/><Relationship Id="rId43" Type="http://schemas.openxmlformats.org/officeDocument/2006/relationships/hyperlink" Target="http://www.bmfbovespa.com.br/cias-listadas/empresas-listadas/ResumoEmpresaPrincipal.aspx?codigoCvm=19909&amp;idioma=pt-br" TargetMode="External"/><Relationship Id="rId48" Type="http://schemas.openxmlformats.org/officeDocument/2006/relationships/hyperlink" Target="http://www.bmfbovespa.com.br/cias-listadas/empresas-listadas/ResumoEmpresaPrincipal.aspx?codigoCvm=22357&amp;idioma=pt-br" TargetMode="External"/><Relationship Id="rId56" Type="http://schemas.openxmlformats.org/officeDocument/2006/relationships/hyperlink" Target="http://www.bmfbovespa.com.br/cias-listadas/empresas-listadas/ResumoEmpresaPrincipal.aspx?codigoCvm=21610&amp;idioma=pt-br" TargetMode="External"/><Relationship Id="rId8" Type="http://schemas.openxmlformats.org/officeDocument/2006/relationships/hyperlink" Target="http://www.bmfbovespa.com.br/cias-listadas/empresas-listadas/ResumoEmpresaPrincipal.aspx?codigoCvm=19836&amp;idioma=pt-br" TargetMode="External"/><Relationship Id="rId51" Type="http://schemas.openxmlformats.org/officeDocument/2006/relationships/hyperlink" Target="http://www.bmfbovespa.com.br/cias-listadas/empresas-listadas/ResumoEmpresaPrincipal.aspx?codigoCvm=8540&amp;idioma=pt-br" TargetMode="External"/><Relationship Id="rId3" Type="http://schemas.openxmlformats.org/officeDocument/2006/relationships/hyperlink" Target="http://www.bmfbovespa.com.br/cias-listadas/empresas-listadas/ResumoEmpresaPrincipal.aspx?codigoCvm=21121&amp;idioma=pt-br" TargetMode="External"/><Relationship Id="rId12" Type="http://schemas.openxmlformats.org/officeDocument/2006/relationships/hyperlink" Target="http://www.bmfbovespa.com.br/cias-listadas/empresas-listadas/ResumoEmpresaPrincipal.aspx?codigoCvm=16292&amp;idioma=pt-br" TargetMode="External"/><Relationship Id="rId17" Type="http://schemas.openxmlformats.org/officeDocument/2006/relationships/hyperlink" Target="http://www.bmfbovespa.com.br/cias-listadas/empresas-listadas/ResumoEmpresaPrincipal.aspx?codigoCvm=11312&amp;idioma=pt-br" TargetMode="External"/><Relationship Id="rId25" Type="http://schemas.openxmlformats.org/officeDocument/2006/relationships/hyperlink" Target="http://www.bmfbovespa.com.br/cias-listadas/empresas-listadas/ResumoEmpresaPrincipal.aspx?codigoCvm=701&amp;idioma=pt-br" TargetMode="External"/><Relationship Id="rId33" Type="http://schemas.openxmlformats.org/officeDocument/2006/relationships/hyperlink" Target="http://www.bmfbovespa.com.br/cias-listadas/empresas-listadas/ResumoEmpresaPrincipal.aspx?codigoCvm=13412&amp;idioma=pt-br" TargetMode="External"/><Relationship Id="rId38" Type="http://schemas.openxmlformats.org/officeDocument/2006/relationships/hyperlink" Target="http://www.bmfbovespa.com.br/cias-listadas/empresas-listadas/ResumoEmpresaPrincipal.aspx?codigoCvm=4170&amp;idioma=pt-br" TargetMode="External"/><Relationship Id="rId46" Type="http://schemas.openxmlformats.org/officeDocument/2006/relationships/hyperlink" Target="http://www.bmfbovespa.com.br/cias-listadas/empresas-listadas/ResumoEmpresaPrincipal.aspx?codigoCvm=20494&amp;idioma=pt-br" TargetMode="External"/><Relationship Id="rId59" Type="http://schemas.openxmlformats.org/officeDocument/2006/relationships/hyperlink" Target="http://www.bmfbovespa.com.br/Cias-Listadas/Empresas-Listadas/ResumoEmpresaPrincipal.aspx?codigoCvm=17647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11" Type="http://schemas.openxmlformats.org/officeDocument/2006/relationships/queryTable" Target="../queryTables/queryTable208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43" Type="http://schemas.openxmlformats.org/officeDocument/2006/relationships/queryTable" Target="../queryTables/queryTable40.xml"/><Relationship Id="rId48" Type="http://schemas.openxmlformats.org/officeDocument/2006/relationships/queryTable" Target="../queryTables/queryTable45.xml"/><Relationship Id="rId64" Type="http://schemas.openxmlformats.org/officeDocument/2006/relationships/queryTable" Target="../queryTables/queryTable61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18" Type="http://schemas.openxmlformats.org/officeDocument/2006/relationships/queryTable" Target="../queryTables/queryTable115.xml"/><Relationship Id="rId134" Type="http://schemas.openxmlformats.org/officeDocument/2006/relationships/queryTable" Target="../queryTables/queryTable131.xml"/><Relationship Id="rId139" Type="http://schemas.openxmlformats.org/officeDocument/2006/relationships/queryTable" Target="../queryTables/queryTable136.xml"/><Relationship Id="rId80" Type="http://schemas.openxmlformats.org/officeDocument/2006/relationships/queryTable" Target="../queryTables/queryTable77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55" Type="http://schemas.openxmlformats.org/officeDocument/2006/relationships/queryTable" Target="../queryTables/queryTable152.xml"/><Relationship Id="rId171" Type="http://schemas.openxmlformats.org/officeDocument/2006/relationships/queryTable" Target="../queryTables/queryTable168.xml"/><Relationship Id="rId176" Type="http://schemas.openxmlformats.org/officeDocument/2006/relationships/queryTable" Target="../queryTables/queryTable173.xml"/><Relationship Id="rId192" Type="http://schemas.openxmlformats.org/officeDocument/2006/relationships/queryTable" Target="../queryTables/queryTable189.xml"/><Relationship Id="rId197" Type="http://schemas.openxmlformats.org/officeDocument/2006/relationships/queryTable" Target="../queryTables/queryTable194.xml"/><Relationship Id="rId206" Type="http://schemas.openxmlformats.org/officeDocument/2006/relationships/queryTable" Target="../queryTables/queryTable203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19" Type="http://schemas.openxmlformats.org/officeDocument/2006/relationships/queryTable" Target="../queryTables/queryTable16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6" Type="http://schemas.openxmlformats.org/officeDocument/2006/relationships/queryTable" Target="../queryTables/queryTable23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34.xml"/><Relationship Id="rId21" Type="http://schemas.openxmlformats.org/officeDocument/2006/relationships/queryTable" Target="../queryTables/queryTable238.xml"/><Relationship Id="rId42" Type="http://schemas.openxmlformats.org/officeDocument/2006/relationships/queryTable" Target="../queryTables/queryTable259.xml"/><Relationship Id="rId63" Type="http://schemas.openxmlformats.org/officeDocument/2006/relationships/queryTable" Target="../queryTables/queryTable280.xml"/><Relationship Id="rId84" Type="http://schemas.openxmlformats.org/officeDocument/2006/relationships/queryTable" Target="../queryTables/queryTable301.xml"/><Relationship Id="rId138" Type="http://schemas.openxmlformats.org/officeDocument/2006/relationships/queryTable" Target="../queryTables/queryTable355.xml"/><Relationship Id="rId159" Type="http://schemas.openxmlformats.org/officeDocument/2006/relationships/queryTable" Target="../queryTables/queryTable376.xml"/><Relationship Id="rId170" Type="http://schemas.openxmlformats.org/officeDocument/2006/relationships/queryTable" Target="../queryTables/queryTable387.xml"/><Relationship Id="rId191" Type="http://schemas.openxmlformats.org/officeDocument/2006/relationships/queryTable" Target="../queryTables/queryTable408.xml"/><Relationship Id="rId205" Type="http://schemas.openxmlformats.org/officeDocument/2006/relationships/queryTable" Target="../queryTables/queryTable422.xml"/><Relationship Id="rId226" Type="http://schemas.openxmlformats.org/officeDocument/2006/relationships/queryTable" Target="../queryTables/queryTable443.xml"/><Relationship Id="rId247" Type="http://schemas.openxmlformats.org/officeDocument/2006/relationships/queryTable" Target="../queryTables/queryTable464.xml"/><Relationship Id="rId107" Type="http://schemas.openxmlformats.org/officeDocument/2006/relationships/queryTable" Target="../queryTables/queryTable324.xml"/><Relationship Id="rId268" Type="http://schemas.openxmlformats.org/officeDocument/2006/relationships/queryTable" Target="../queryTables/queryTable485.xml"/><Relationship Id="rId11" Type="http://schemas.openxmlformats.org/officeDocument/2006/relationships/queryTable" Target="../queryTables/queryTable228.xml"/><Relationship Id="rId32" Type="http://schemas.openxmlformats.org/officeDocument/2006/relationships/queryTable" Target="../queryTables/queryTable249.xml"/><Relationship Id="rId53" Type="http://schemas.openxmlformats.org/officeDocument/2006/relationships/queryTable" Target="../queryTables/queryTable270.xml"/><Relationship Id="rId74" Type="http://schemas.openxmlformats.org/officeDocument/2006/relationships/queryTable" Target="../queryTables/queryTable291.xml"/><Relationship Id="rId128" Type="http://schemas.openxmlformats.org/officeDocument/2006/relationships/queryTable" Target="../queryTables/queryTable345.xml"/><Relationship Id="rId149" Type="http://schemas.openxmlformats.org/officeDocument/2006/relationships/queryTable" Target="../queryTables/queryTable366.xml"/><Relationship Id="rId5" Type="http://schemas.openxmlformats.org/officeDocument/2006/relationships/queryTable" Target="../queryTables/queryTable222.xml"/><Relationship Id="rId95" Type="http://schemas.openxmlformats.org/officeDocument/2006/relationships/queryTable" Target="../queryTables/queryTable312.xml"/><Relationship Id="rId160" Type="http://schemas.openxmlformats.org/officeDocument/2006/relationships/queryTable" Target="../queryTables/queryTable377.xml"/><Relationship Id="rId181" Type="http://schemas.openxmlformats.org/officeDocument/2006/relationships/queryTable" Target="../queryTables/queryTable398.xml"/><Relationship Id="rId216" Type="http://schemas.openxmlformats.org/officeDocument/2006/relationships/queryTable" Target="../queryTables/queryTable433.xml"/><Relationship Id="rId237" Type="http://schemas.openxmlformats.org/officeDocument/2006/relationships/queryTable" Target="../queryTables/queryTable454.xml"/><Relationship Id="rId258" Type="http://schemas.openxmlformats.org/officeDocument/2006/relationships/queryTable" Target="../queryTables/queryTable475.xml"/><Relationship Id="rId279" Type="http://schemas.openxmlformats.org/officeDocument/2006/relationships/queryTable" Target="../queryTables/queryTable496.xml"/><Relationship Id="rId22" Type="http://schemas.openxmlformats.org/officeDocument/2006/relationships/queryTable" Target="../queryTables/queryTable239.xml"/><Relationship Id="rId43" Type="http://schemas.openxmlformats.org/officeDocument/2006/relationships/queryTable" Target="../queryTables/queryTable260.xml"/><Relationship Id="rId64" Type="http://schemas.openxmlformats.org/officeDocument/2006/relationships/queryTable" Target="../queryTables/queryTable281.xml"/><Relationship Id="rId118" Type="http://schemas.openxmlformats.org/officeDocument/2006/relationships/queryTable" Target="../queryTables/queryTable335.xml"/><Relationship Id="rId139" Type="http://schemas.openxmlformats.org/officeDocument/2006/relationships/queryTable" Target="../queryTables/queryTable356.xml"/><Relationship Id="rId85" Type="http://schemas.openxmlformats.org/officeDocument/2006/relationships/queryTable" Target="../queryTables/queryTable302.xml"/><Relationship Id="rId150" Type="http://schemas.openxmlformats.org/officeDocument/2006/relationships/queryTable" Target="../queryTables/queryTable367.xml"/><Relationship Id="rId171" Type="http://schemas.openxmlformats.org/officeDocument/2006/relationships/queryTable" Target="../queryTables/queryTable388.xml"/><Relationship Id="rId192" Type="http://schemas.openxmlformats.org/officeDocument/2006/relationships/queryTable" Target="../queryTables/queryTable409.xml"/><Relationship Id="rId206" Type="http://schemas.openxmlformats.org/officeDocument/2006/relationships/queryTable" Target="../queryTables/queryTable423.xml"/><Relationship Id="rId227" Type="http://schemas.openxmlformats.org/officeDocument/2006/relationships/queryTable" Target="../queryTables/queryTable444.xml"/><Relationship Id="rId248" Type="http://schemas.openxmlformats.org/officeDocument/2006/relationships/queryTable" Target="../queryTables/queryTable465.xml"/><Relationship Id="rId269" Type="http://schemas.openxmlformats.org/officeDocument/2006/relationships/queryTable" Target="../queryTables/queryTable486.xml"/><Relationship Id="rId12" Type="http://schemas.openxmlformats.org/officeDocument/2006/relationships/queryTable" Target="../queryTables/queryTable229.xml"/><Relationship Id="rId33" Type="http://schemas.openxmlformats.org/officeDocument/2006/relationships/queryTable" Target="../queryTables/queryTable250.xml"/><Relationship Id="rId108" Type="http://schemas.openxmlformats.org/officeDocument/2006/relationships/queryTable" Target="../queryTables/queryTable325.xml"/><Relationship Id="rId129" Type="http://schemas.openxmlformats.org/officeDocument/2006/relationships/queryTable" Target="../queryTables/queryTable346.xml"/><Relationship Id="rId280" Type="http://schemas.openxmlformats.org/officeDocument/2006/relationships/queryTable" Target="../queryTables/queryTable497.xml"/><Relationship Id="rId54" Type="http://schemas.openxmlformats.org/officeDocument/2006/relationships/queryTable" Target="../queryTables/queryTable271.xml"/><Relationship Id="rId75" Type="http://schemas.openxmlformats.org/officeDocument/2006/relationships/queryTable" Target="../queryTables/queryTable292.xml"/><Relationship Id="rId96" Type="http://schemas.openxmlformats.org/officeDocument/2006/relationships/queryTable" Target="../queryTables/queryTable313.xml"/><Relationship Id="rId140" Type="http://schemas.openxmlformats.org/officeDocument/2006/relationships/queryTable" Target="../queryTables/queryTable357.xml"/><Relationship Id="rId161" Type="http://schemas.openxmlformats.org/officeDocument/2006/relationships/queryTable" Target="../queryTables/queryTable378.xml"/><Relationship Id="rId182" Type="http://schemas.openxmlformats.org/officeDocument/2006/relationships/queryTable" Target="../queryTables/queryTable399.xml"/><Relationship Id="rId217" Type="http://schemas.openxmlformats.org/officeDocument/2006/relationships/queryTable" Target="../queryTables/queryTable434.xml"/><Relationship Id="rId6" Type="http://schemas.openxmlformats.org/officeDocument/2006/relationships/queryTable" Target="../queryTables/queryTable223.xml"/><Relationship Id="rId238" Type="http://schemas.openxmlformats.org/officeDocument/2006/relationships/queryTable" Target="../queryTables/queryTable455.xml"/><Relationship Id="rId259" Type="http://schemas.openxmlformats.org/officeDocument/2006/relationships/queryTable" Target="../queryTables/queryTable476.xml"/><Relationship Id="rId23" Type="http://schemas.openxmlformats.org/officeDocument/2006/relationships/queryTable" Target="../queryTables/queryTable240.xml"/><Relationship Id="rId119" Type="http://schemas.openxmlformats.org/officeDocument/2006/relationships/queryTable" Target="../queryTables/queryTable336.xml"/><Relationship Id="rId270" Type="http://schemas.openxmlformats.org/officeDocument/2006/relationships/queryTable" Target="../queryTables/queryTable487.xml"/><Relationship Id="rId44" Type="http://schemas.openxmlformats.org/officeDocument/2006/relationships/queryTable" Target="../queryTables/queryTable261.xml"/><Relationship Id="rId65" Type="http://schemas.openxmlformats.org/officeDocument/2006/relationships/queryTable" Target="../queryTables/queryTable282.xml"/><Relationship Id="rId86" Type="http://schemas.openxmlformats.org/officeDocument/2006/relationships/queryTable" Target="../queryTables/queryTable303.xml"/><Relationship Id="rId130" Type="http://schemas.openxmlformats.org/officeDocument/2006/relationships/queryTable" Target="../queryTables/queryTable347.xml"/><Relationship Id="rId151" Type="http://schemas.openxmlformats.org/officeDocument/2006/relationships/queryTable" Target="../queryTables/queryTable368.xml"/><Relationship Id="rId172" Type="http://schemas.openxmlformats.org/officeDocument/2006/relationships/queryTable" Target="../queryTables/queryTable389.xml"/><Relationship Id="rId193" Type="http://schemas.openxmlformats.org/officeDocument/2006/relationships/queryTable" Target="../queryTables/queryTable410.xml"/><Relationship Id="rId202" Type="http://schemas.openxmlformats.org/officeDocument/2006/relationships/queryTable" Target="../queryTables/queryTable419.xml"/><Relationship Id="rId207" Type="http://schemas.openxmlformats.org/officeDocument/2006/relationships/queryTable" Target="../queryTables/queryTable424.xml"/><Relationship Id="rId223" Type="http://schemas.openxmlformats.org/officeDocument/2006/relationships/queryTable" Target="../queryTables/queryTable440.xml"/><Relationship Id="rId228" Type="http://schemas.openxmlformats.org/officeDocument/2006/relationships/queryTable" Target="../queryTables/queryTable445.xml"/><Relationship Id="rId244" Type="http://schemas.openxmlformats.org/officeDocument/2006/relationships/queryTable" Target="../queryTables/queryTable461.xml"/><Relationship Id="rId249" Type="http://schemas.openxmlformats.org/officeDocument/2006/relationships/queryTable" Target="../queryTables/queryTable466.xml"/><Relationship Id="rId13" Type="http://schemas.openxmlformats.org/officeDocument/2006/relationships/queryTable" Target="../queryTables/queryTable230.xml"/><Relationship Id="rId18" Type="http://schemas.openxmlformats.org/officeDocument/2006/relationships/queryTable" Target="../queryTables/queryTable235.xml"/><Relationship Id="rId39" Type="http://schemas.openxmlformats.org/officeDocument/2006/relationships/queryTable" Target="../queryTables/queryTable256.xml"/><Relationship Id="rId109" Type="http://schemas.openxmlformats.org/officeDocument/2006/relationships/queryTable" Target="../queryTables/queryTable326.xml"/><Relationship Id="rId260" Type="http://schemas.openxmlformats.org/officeDocument/2006/relationships/queryTable" Target="../queryTables/queryTable477.xml"/><Relationship Id="rId265" Type="http://schemas.openxmlformats.org/officeDocument/2006/relationships/queryTable" Target="../queryTables/queryTable482.xml"/><Relationship Id="rId34" Type="http://schemas.openxmlformats.org/officeDocument/2006/relationships/queryTable" Target="../queryTables/queryTable251.xml"/><Relationship Id="rId50" Type="http://schemas.openxmlformats.org/officeDocument/2006/relationships/queryTable" Target="../queryTables/queryTable267.xml"/><Relationship Id="rId55" Type="http://schemas.openxmlformats.org/officeDocument/2006/relationships/queryTable" Target="../queryTables/queryTable272.xml"/><Relationship Id="rId76" Type="http://schemas.openxmlformats.org/officeDocument/2006/relationships/queryTable" Target="../queryTables/queryTable293.xml"/><Relationship Id="rId97" Type="http://schemas.openxmlformats.org/officeDocument/2006/relationships/queryTable" Target="../queryTables/queryTable314.xml"/><Relationship Id="rId104" Type="http://schemas.openxmlformats.org/officeDocument/2006/relationships/queryTable" Target="../queryTables/queryTable321.xml"/><Relationship Id="rId120" Type="http://schemas.openxmlformats.org/officeDocument/2006/relationships/queryTable" Target="../queryTables/queryTable337.xml"/><Relationship Id="rId125" Type="http://schemas.openxmlformats.org/officeDocument/2006/relationships/queryTable" Target="../queryTables/queryTable342.xml"/><Relationship Id="rId141" Type="http://schemas.openxmlformats.org/officeDocument/2006/relationships/queryTable" Target="../queryTables/queryTable358.xml"/><Relationship Id="rId146" Type="http://schemas.openxmlformats.org/officeDocument/2006/relationships/queryTable" Target="../queryTables/queryTable363.xml"/><Relationship Id="rId167" Type="http://schemas.openxmlformats.org/officeDocument/2006/relationships/queryTable" Target="../queryTables/queryTable384.xml"/><Relationship Id="rId188" Type="http://schemas.openxmlformats.org/officeDocument/2006/relationships/queryTable" Target="../queryTables/queryTable405.xml"/><Relationship Id="rId7" Type="http://schemas.openxmlformats.org/officeDocument/2006/relationships/queryTable" Target="../queryTables/queryTable224.xml"/><Relationship Id="rId71" Type="http://schemas.openxmlformats.org/officeDocument/2006/relationships/queryTable" Target="../queryTables/queryTable288.xml"/><Relationship Id="rId92" Type="http://schemas.openxmlformats.org/officeDocument/2006/relationships/queryTable" Target="../queryTables/queryTable309.xml"/><Relationship Id="rId162" Type="http://schemas.openxmlformats.org/officeDocument/2006/relationships/queryTable" Target="../queryTables/queryTable379.xml"/><Relationship Id="rId183" Type="http://schemas.openxmlformats.org/officeDocument/2006/relationships/queryTable" Target="../queryTables/queryTable400.xml"/><Relationship Id="rId213" Type="http://schemas.openxmlformats.org/officeDocument/2006/relationships/queryTable" Target="../queryTables/queryTable430.xml"/><Relationship Id="rId218" Type="http://schemas.openxmlformats.org/officeDocument/2006/relationships/queryTable" Target="../queryTables/queryTable435.xml"/><Relationship Id="rId234" Type="http://schemas.openxmlformats.org/officeDocument/2006/relationships/queryTable" Target="../queryTables/queryTable451.xml"/><Relationship Id="rId239" Type="http://schemas.openxmlformats.org/officeDocument/2006/relationships/queryTable" Target="../queryTables/queryTable456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46.xml"/><Relationship Id="rId250" Type="http://schemas.openxmlformats.org/officeDocument/2006/relationships/queryTable" Target="../queryTables/queryTable467.xml"/><Relationship Id="rId255" Type="http://schemas.openxmlformats.org/officeDocument/2006/relationships/queryTable" Target="../queryTables/queryTable472.xml"/><Relationship Id="rId271" Type="http://schemas.openxmlformats.org/officeDocument/2006/relationships/queryTable" Target="../queryTables/queryTable488.xml"/><Relationship Id="rId276" Type="http://schemas.openxmlformats.org/officeDocument/2006/relationships/queryTable" Target="../queryTables/queryTable493.xml"/><Relationship Id="rId24" Type="http://schemas.openxmlformats.org/officeDocument/2006/relationships/queryTable" Target="../queryTables/queryTable241.xml"/><Relationship Id="rId40" Type="http://schemas.openxmlformats.org/officeDocument/2006/relationships/queryTable" Target="../queryTables/queryTable257.xml"/><Relationship Id="rId45" Type="http://schemas.openxmlformats.org/officeDocument/2006/relationships/queryTable" Target="../queryTables/queryTable262.xml"/><Relationship Id="rId66" Type="http://schemas.openxmlformats.org/officeDocument/2006/relationships/queryTable" Target="../queryTables/queryTable283.xml"/><Relationship Id="rId87" Type="http://schemas.openxmlformats.org/officeDocument/2006/relationships/queryTable" Target="../queryTables/queryTable304.xml"/><Relationship Id="rId110" Type="http://schemas.openxmlformats.org/officeDocument/2006/relationships/queryTable" Target="../queryTables/queryTable327.xml"/><Relationship Id="rId115" Type="http://schemas.openxmlformats.org/officeDocument/2006/relationships/queryTable" Target="../queryTables/queryTable332.xml"/><Relationship Id="rId131" Type="http://schemas.openxmlformats.org/officeDocument/2006/relationships/queryTable" Target="../queryTables/queryTable348.xml"/><Relationship Id="rId136" Type="http://schemas.openxmlformats.org/officeDocument/2006/relationships/queryTable" Target="../queryTables/queryTable353.xml"/><Relationship Id="rId157" Type="http://schemas.openxmlformats.org/officeDocument/2006/relationships/queryTable" Target="../queryTables/queryTable374.xml"/><Relationship Id="rId178" Type="http://schemas.openxmlformats.org/officeDocument/2006/relationships/queryTable" Target="../queryTables/queryTable395.xml"/><Relationship Id="rId61" Type="http://schemas.openxmlformats.org/officeDocument/2006/relationships/queryTable" Target="../queryTables/queryTable278.xml"/><Relationship Id="rId82" Type="http://schemas.openxmlformats.org/officeDocument/2006/relationships/queryTable" Target="../queryTables/queryTable299.xml"/><Relationship Id="rId152" Type="http://schemas.openxmlformats.org/officeDocument/2006/relationships/queryTable" Target="../queryTables/queryTable369.xml"/><Relationship Id="rId173" Type="http://schemas.openxmlformats.org/officeDocument/2006/relationships/queryTable" Target="../queryTables/queryTable390.xml"/><Relationship Id="rId194" Type="http://schemas.openxmlformats.org/officeDocument/2006/relationships/queryTable" Target="../queryTables/queryTable411.xml"/><Relationship Id="rId199" Type="http://schemas.openxmlformats.org/officeDocument/2006/relationships/queryTable" Target="../queryTables/queryTable416.xml"/><Relationship Id="rId203" Type="http://schemas.openxmlformats.org/officeDocument/2006/relationships/queryTable" Target="../queryTables/queryTable420.xml"/><Relationship Id="rId208" Type="http://schemas.openxmlformats.org/officeDocument/2006/relationships/queryTable" Target="../queryTables/queryTable425.xml"/><Relationship Id="rId229" Type="http://schemas.openxmlformats.org/officeDocument/2006/relationships/queryTable" Target="../queryTables/queryTable446.xml"/><Relationship Id="rId19" Type="http://schemas.openxmlformats.org/officeDocument/2006/relationships/queryTable" Target="../queryTables/queryTable236.xml"/><Relationship Id="rId224" Type="http://schemas.openxmlformats.org/officeDocument/2006/relationships/queryTable" Target="../queryTables/queryTable441.xml"/><Relationship Id="rId240" Type="http://schemas.openxmlformats.org/officeDocument/2006/relationships/queryTable" Target="../queryTables/queryTable457.xml"/><Relationship Id="rId245" Type="http://schemas.openxmlformats.org/officeDocument/2006/relationships/queryTable" Target="../queryTables/queryTable462.xml"/><Relationship Id="rId261" Type="http://schemas.openxmlformats.org/officeDocument/2006/relationships/queryTable" Target="../queryTables/queryTable478.xml"/><Relationship Id="rId266" Type="http://schemas.openxmlformats.org/officeDocument/2006/relationships/queryTable" Target="../queryTables/queryTable483.xml"/><Relationship Id="rId14" Type="http://schemas.openxmlformats.org/officeDocument/2006/relationships/queryTable" Target="../queryTables/queryTable231.xml"/><Relationship Id="rId30" Type="http://schemas.openxmlformats.org/officeDocument/2006/relationships/queryTable" Target="../queryTables/queryTable247.xml"/><Relationship Id="rId35" Type="http://schemas.openxmlformats.org/officeDocument/2006/relationships/queryTable" Target="../queryTables/queryTable252.xml"/><Relationship Id="rId56" Type="http://schemas.openxmlformats.org/officeDocument/2006/relationships/queryTable" Target="../queryTables/queryTable273.xml"/><Relationship Id="rId77" Type="http://schemas.openxmlformats.org/officeDocument/2006/relationships/queryTable" Target="../queryTables/queryTable294.xml"/><Relationship Id="rId100" Type="http://schemas.openxmlformats.org/officeDocument/2006/relationships/queryTable" Target="../queryTables/queryTable317.xml"/><Relationship Id="rId105" Type="http://schemas.openxmlformats.org/officeDocument/2006/relationships/queryTable" Target="../queryTables/queryTable322.xml"/><Relationship Id="rId126" Type="http://schemas.openxmlformats.org/officeDocument/2006/relationships/queryTable" Target="../queryTables/queryTable343.xml"/><Relationship Id="rId147" Type="http://schemas.openxmlformats.org/officeDocument/2006/relationships/queryTable" Target="../queryTables/queryTable364.xml"/><Relationship Id="rId168" Type="http://schemas.openxmlformats.org/officeDocument/2006/relationships/queryTable" Target="../queryTables/queryTable385.xml"/><Relationship Id="rId8" Type="http://schemas.openxmlformats.org/officeDocument/2006/relationships/queryTable" Target="../queryTables/queryTable225.xml"/><Relationship Id="rId51" Type="http://schemas.openxmlformats.org/officeDocument/2006/relationships/queryTable" Target="../queryTables/queryTable268.xml"/><Relationship Id="rId72" Type="http://schemas.openxmlformats.org/officeDocument/2006/relationships/queryTable" Target="../queryTables/queryTable289.xml"/><Relationship Id="rId93" Type="http://schemas.openxmlformats.org/officeDocument/2006/relationships/queryTable" Target="../queryTables/queryTable310.xml"/><Relationship Id="rId98" Type="http://schemas.openxmlformats.org/officeDocument/2006/relationships/queryTable" Target="../queryTables/queryTable315.xml"/><Relationship Id="rId121" Type="http://schemas.openxmlformats.org/officeDocument/2006/relationships/queryTable" Target="../queryTables/queryTable338.xml"/><Relationship Id="rId142" Type="http://schemas.openxmlformats.org/officeDocument/2006/relationships/queryTable" Target="../queryTables/queryTable359.xml"/><Relationship Id="rId163" Type="http://schemas.openxmlformats.org/officeDocument/2006/relationships/queryTable" Target="../queryTables/queryTable380.xml"/><Relationship Id="rId184" Type="http://schemas.openxmlformats.org/officeDocument/2006/relationships/queryTable" Target="../queryTables/queryTable401.xml"/><Relationship Id="rId189" Type="http://schemas.openxmlformats.org/officeDocument/2006/relationships/queryTable" Target="../queryTables/queryTable406.xml"/><Relationship Id="rId219" Type="http://schemas.openxmlformats.org/officeDocument/2006/relationships/queryTable" Target="../queryTables/queryTable436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31.xml"/><Relationship Id="rId230" Type="http://schemas.openxmlformats.org/officeDocument/2006/relationships/queryTable" Target="../queryTables/queryTable447.xml"/><Relationship Id="rId235" Type="http://schemas.openxmlformats.org/officeDocument/2006/relationships/queryTable" Target="../queryTables/queryTable452.xml"/><Relationship Id="rId251" Type="http://schemas.openxmlformats.org/officeDocument/2006/relationships/queryTable" Target="../queryTables/queryTable468.xml"/><Relationship Id="rId256" Type="http://schemas.openxmlformats.org/officeDocument/2006/relationships/queryTable" Target="../queryTables/queryTable473.xml"/><Relationship Id="rId277" Type="http://schemas.openxmlformats.org/officeDocument/2006/relationships/queryTable" Target="../queryTables/queryTable494.xml"/><Relationship Id="rId25" Type="http://schemas.openxmlformats.org/officeDocument/2006/relationships/queryTable" Target="../queryTables/queryTable242.xml"/><Relationship Id="rId46" Type="http://schemas.openxmlformats.org/officeDocument/2006/relationships/queryTable" Target="../queryTables/queryTable263.xml"/><Relationship Id="rId67" Type="http://schemas.openxmlformats.org/officeDocument/2006/relationships/queryTable" Target="../queryTables/queryTable284.xml"/><Relationship Id="rId116" Type="http://schemas.openxmlformats.org/officeDocument/2006/relationships/queryTable" Target="../queryTables/queryTable333.xml"/><Relationship Id="rId137" Type="http://schemas.openxmlformats.org/officeDocument/2006/relationships/queryTable" Target="../queryTables/queryTable354.xml"/><Relationship Id="rId158" Type="http://schemas.openxmlformats.org/officeDocument/2006/relationships/queryTable" Target="../queryTables/queryTable375.xml"/><Relationship Id="rId272" Type="http://schemas.openxmlformats.org/officeDocument/2006/relationships/queryTable" Target="../queryTables/queryTable489.xml"/><Relationship Id="rId20" Type="http://schemas.openxmlformats.org/officeDocument/2006/relationships/queryTable" Target="../queryTables/queryTable237.xml"/><Relationship Id="rId41" Type="http://schemas.openxmlformats.org/officeDocument/2006/relationships/queryTable" Target="../queryTables/queryTable258.xml"/><Relationship Id="rId62" Type="http://schemas.openxmlformats.org/officeDocument/2006/relationships/queryTable" Target="../queryTables/queryTable279.xml"/><Relationship Id="rId83" Type="http://schemas.openxmlformats.org/officeDocument/2006/relationships/queryTable" Target="../queryTables/queryTable300.xml"/><Relationship Id="rId88" Type="http://schemas.openxmlformats.org/officeDocument/2006/relationships/queryTable" Target="../queryTables/queryTable305.xml"/><Relationship Id="rId111" Type="http://schemas.openxmlformats.org/officeDocument/2006/relationships/queryTable" Target="../queryTables/queryTable328.xml"/><Relationship Id="rId132" Type="http://schemas.openxmlformats.org/officeDocument/2006/relationships/queryTable" Target="../queryTables/queryTable349.xml"/><Relationship Id="rId153" Type="http://schemas.openxmlformats.org/officeDocument/2006/relationships/queryTable" Target="../queryTables/queryTable370.xml"/><Relationship Id="rId174" Type="http://schemas.openxmlformats.org/officeDocument/2006/relationships/queryTable" Target="../queryTables/queryTable391.xml"/><Relationship Id="rId179" Type="http://schemas.openxmlformats.org/officeDocument/2006/relationships/queryTable" Target="../queryTables/queryTable396.xml"/><Relationship Id="rId195" Type="http://schemas.openxmlformats.org/officeDocument/2006/relationships/queryTable" Target="../queryTables/queryTable412.xml"/><Relationship Id="rId209" Type="http://schemas.openxmlformats.org/officeDocument/2006/relationships/queryTable" Target="../queryTables/queryTable426.xml"/><Relationship Id="rId190" Type="http://schemas.openxmlformats.org/officeDocument/2006/relationships/queryTable" Target="../queryTables/queryTable407.xml"/><Relationship Id="rId204" Type="http://schemas.openxmlformats.org/officeDocument/2006/relationships/queryTable" Target="../queryTables/queryTable421.xml"/><Relationship Id="rId220" Type="http://schemas.openxmlformats.org/officeDocument/2006/relationships/queryTable" Target="../queryTables/queryTable437.xml"/><Relationship Id="rId225" Type="http://schemas.openxmlformats.org/officeDocument/2006/relationships/queryTable" Target="../queryTables/queryTable442.xml"/><Relationship Id="rId241" Type="http://schemas.openxmlformats.org/officeDocument/2006/relationships/queryTable" Target="../queryTables/queryTable458.xml"/><Relationship Id="rId246" Type="http://schemas.openxmlformats.org/officeDocument/2006/relationships/queryTable" Target="../queryTables/queryTable463.xml"/><Relationship Id="rId267" Type="http://schemas.openxmlformats.org/officeDocument/2006/relationships/queryTable" Target="../queryTables/queryTable484.xml"/><Relationship Id="rId15" Type="http://schemas.openxmlformats.org/officeDocument/2006/relationships/queryTable" Target="../queryTables/queryTable232.xml"/><Relationship Id="rId36" Type="http://schemas.openxmlformats.org/officeDocument/2006/relationships/queryTable" Target="../queryTables/queryTable253.xml"/><Relationship Id="rId57" Type="http://schemas.openxmlformats.org/officeDocument/2006/relationships/queryTable" Target="../queryTables/queryTable274.xml"/><Relationship Id="rId106" Type="http://schemas.openxmlformats.org/officeDocument/2006/relationships/queryTable" Target="../queryTables/queryTable323.xml"/><Relationship Id="rId127" Type="http://schemas.openxmlformats.org/officeDocument/2006/relationships/queryTable" Target="../queryTables/queryTable344.xml"/><Relationship Id="rId262" Type="http://schemas.openxmlformats.org/officeDocument/2006/relationships/queryTable" Target="../queryTables/queryTable479.xml"/><Relationship Id="rId10" Type="http://schemas.openxmlformats.org/officeDocument/2006/relationships/queryTable" Target="../queryTables/queryTable227.xml"/><Relationship Id="rId31" Type="http://schemas.openxmlformats.org/officeDocument/2006/relationships/queryTable" Target="../queryTables/queryTable248.xml"/><Relationship Id="rId52" Type="http://schemas.openxmlformats.org/officeDocument/2006/relationships/queryTable" Target="../queryTables/queryTable269.xml"/><Relationship Id="rId73" Type="http://schemas.openxmlformats.org/officeDocument/2006/relationships/queryTable" Target="../queryTables/queryTable290.xml"/><Relationship Id="rId78" Type="http://schemas.openxmlformats.org/officeDocument/2006/relationships/queryTable" Target="../queryTables/queryTable295.xml"/><Relationship Id="rId94" Type="http://schemas.openxmlformats.org/officeDocument/2006/relationships/queryTable" Target="../queryTables/queryTable311.xml"/><Relationship Id="rId99" Type="http://schemas.openxmlformats.org/officeDocument/2006/relationships/queryTable" Target="../queryTables/queryTable316.xml"/><Relationship Id="rId101" Type="http://schemas.openxmlformats.org/officeDocument/2006/relationships/queryTable" Target="../queryTables/queryTable318.xml"/><Relationship Id="rId122" Type="http://schemas.openxmlformats.org/officeDocument/2006/relationships/queryTable" Target="../queryTables/queryTable339.xml"/><Relationship Id="rId143" Type="http://schemas.openxmlformats.org/officeDocument/2006/relationships/queryTable" Target="../queryTables/queryTable360.xml"/><Relationship Id="rId148" Type="http://schemas.openxmlformats.org/officeDocument/2006/relationships/queryTable" Target="../queryTables/queryTable365.xml"/><Relationship Id="rId164" Type="http://schemas.openxmlformats.org/officeDocument/2006/relationships/queryTable" Target="../queryTables/queryTable381.xml"/><Relationship Id="rId169" Type="http://schemas.openxmlformats.org/officeDocument/2006/relationships/queryTable" Target="../queryTables/queryTable386.xml"/><Relationship Id="rId185" Type="http://schemas.openxmlformats.org/officeDocument/2006/relationships/queryTable" Target="../queryTables/queryTable402.xml"/><Relationship Id="rId4" Type="http://schemas.openxmlformats.org/officeDocument/2006/relationships/queryTable" Target="../queryTables/queryTable221.xml"/><Relationship Id="rId9" Type="http://schemas.openxmlformats.org/officeDocument/2006/relationships/queryTable" Target="../queryTables/queryTable226.xml"/><Relationship Id="rId180" Type="http://schemas.openxmlformats.org/officeDocument/2006/relationships/queryTable" Target="../queryTables/queryTable397.xml"/><Relationship Id="rId210" Type="http://schemas.openxmlformats.org/officeDocument/2006/relationships/queryTable" Target="../queryTables/queryTable427.xml"/><Relationship Id="rId215" Type="http://schemas.openxmlformats.org/officeDocument/2006/relationships/queryTable" Target="../queryTables/queryTable432.xml"/><Relationship Id="rId236" Type="http://schemas.openxmlformats.org/officeDocument/2006/relationships/queryTable" Target="../queryTables/queryTable453.xml"/><Relationship Id="rId257" Type="http://schemas.openxmlformats.org/officeDocument/2006/relationships/queryTable" Target="../queryTables/queryTable474.xml"/><Relationship Id="rId278" Type="http://schemas.openxmlformats.org/officeDocument/2006/relationships/queryTable" Target="../queryTables/queryTable495.xml"/><Relationship Id="rId26" Type="http://schemas.openxmlformats.org/officeDocument/2006/relationships/queryTable" Target="../queryTables/queryTable243.xml"/><Relationship Id="rId231" Type="http://schemas.openxmlformats.org/officeDocument/2006/relationships/queryTable" Target="../queryTables/queryTable448.xml"/><Relationship Id="rId252" Type="http://schemas.openxmlformats.org/officeDocument/2006/relationships/queryTable" Target="../queryTables/queryTable469.xml"/><Relationship Id="rId273" Type="http://schemas.openxmlformats.org/officeDocument/2006/relationships/queryTable" Target="../queryTables/queryTable490.xml"/><Relationship Id="rId47" Type="http://schemas.openxmlformats.org/officeDocument/2006/relationships/queryTable" Target="../queryTables/queryTable264.xml"/><Relationship Id="rId68" Type="http://schemas.openxmlformats.org/officeDocument/2006/relationships/queryTable" Target="../queryTables/queryTable285.xml"/><Relationship Id="rId89" Type="http://schemas.openxmlformats.org/officeDocument/2006/relationships/queryTable" Target="../queryTables/queryTable306.xml"/><Relationship Id="rId112" Type="http://schemas.openxmlformats.org/officeDocument/2006/relationships/queryTable" Target="../queryTables/queryTable329.xml"/><Relationship Id="rId133" Type="http://schemas.openxmlformats.org/officeDocument/2006/relationships/queryTable" Target="../queryTables/queryTable350.xml"/><Relationship Id="rId154" Type="http://schemas.openxmlformats.org/officeDocument/2006/relationships/queryTable" Target="../queryTables/queryTable371.xml"/><Relationship Id="rId175" Type="http://schemas.openxmlformats.org/officeDocument/2006/relationships/queryTable" Target="../queryTables/queryTable392.xml"/><Relationship Id="rId196" Type="http://schemas.openxmlformats.org/officeDocument/2006/relationships/queryTable" Target="../queryTables/queryTable413.xml"/><Relationship Id="rId200" Type="http://schemas.openxmlformats.org/officeDocument/2006/relationships/queryTable" Target="../queryTables/queryTable417.xml"/><Relationship Id="rId16" Type="http://schemas.openxmlformats.org/officeDocument/2006/relationships/queryTable" Target="../queryTables/queryTable233.xml"/><Relationship Id="rId221" Type="http://schemas.openxmlformats.org/officeDocument/2006/relationships/queryTable" Target="../queryTables/queryTable438.xml"/><Relationship Id="rId242" Type="http://schemas.openxmlformats.org/officeDocument/2006/relationships/queryTable" Target="../queryTables/queryTable459.xml"/><Relationship Id="rId263" Type="http://schemas.openxmlformats.org/officeDocument/2006/relationships/queryTable" Target="../queryTables/queryTable480.xml"/><Relationship Id="rId37" Type="http://schemas.openxmlformats.org/officeDocument/2006/relationships/queryTable" Target="../queryTables/queryTable254.xml"/><Relationship Id="rId58" Type="http://schemas.openxmlformats.org/officeDocument/2006/relationships/queryTable" Target="../queryTables/queryTable275.xml"/><Relationship Id="rId79" Type="http://schemas.openxmlformats.org/officeDocument/2006/relationships/queryTable" Target="../queryTables/queryTable296.xml"/><Relationship Id="rId102" Type="http://schemas.openxmlformats.org/officeDocument/2006/relationships/queryTable" Target="../queryTables/queryTable319.xml"/><Relationship Id="rId123" Type="http://schemas.openxmlformats.org/officeDocument/2006/relationships/queryTable" Target="../queryTables/queryTable340.xml"/><Relationship Id="rId144" Type="http://schemas.openxmlformats.org/officeDocument/2006/relationships/queryTable" Target="../queryTables/queryTable361.xml"/><Relationship Id="rId90" Type="http://schemas.openxmlformats.org/officeDocument/2006/relationships/queryTable" Target="../queryTables/queryTable307.xml"/><Relationship Id="rId165" Type="http://schemas.openxmlformats.org/officeDocument/2006/relationships/queryTable" Target="../queryTables/queryTable382.xml"/><Relationship Id="rId186" Type="http://schemas.openxmlformats.org/officeDocument/2006/relationships/queryTable" Target="../queryTables/queryTable403.xml"/><Relationship Id="rId211" Type="http://schemas.openxmlformats.org/officeDocument/2006/relationships/queryTable" Target="../queryTables/queryTable428.xml"/><Relationship Id="rId232" Type="http://schemas.openxmlformats.org/officeDocument/2006/relationships/queryTable" Target="../queryTables/queryTable449.xml"/><Relationship Id="rId253" Type="http://schemas.openxmlformats.org/officeDocument/2006/relationships/queryTable" Target="../queryTables/queryTable470.xml"/><Relationship Id="rId274" Type="http://schemas.openxmlformats.org/officeDocument/2006/relationships/queryTable" Target="../queryTables/queryTable491.xml"/><Relationship Id="rId27" Type="http://schemas.openxmlformats.org/officeDocument/2006/relationships/queryTable" Target="../queryTables/queryTable244.xml"/><Relationship Id="rId48" Type="http://schemas.openxmlformats.org/officeDocument/2006/relationships/queryTable" Target="../queryTables/queryTable265.xml"/><Relationship Id="rId69" Type="http://schemas.openxmlformats.org/officeDocument/2006/relationships/queryTable" Target="../queryTables/queryTable286.xml"/><Relationship Id="rId113" Type="http://schemas.openxmlformats.org/officeDocument/2006/relationships/queryTable" Target="../queryTables/queryTable330.xml"/><Relationship Id="rId134" Type="http://schemas.openxmlformats.org/officeDocument/2006/relationships/queryTable" Target="../queryTables/queryTable351.xml"/><Relationship Id="rId80" Type="http://schemas.openxmlformats.org/officeDocument/2006/relationships/queryTable" Target="../queryTables/queryTable297.xml"/><Relationship Id="rId155" Type="http://schemas.openxmlformats.org/officeDocument/2006/relationships/queryTable" Target="../queryTables/queryTable372.xml"/><Relationship Id="rId176" Type="http://schemas.openxmlformats.org/officeDocument/2006/relationships/queryTable" Target="../queryTables/queryTable393.xml"/><Relationship Id="rId197" Type="http://schemas.openxmlformats.org/officeDocument/2006/relationships/queryTable" Target="../queryTables/queryTable414.xml"/><Relationship Id="rId201" Type="http://schemas.openxmlformats.org/officeDocument/2006/relationships/queryTable" Target="../queryTables/queryTable418.xml"/><Relationship Id="rId222" Type="http://schemas.openxmlformats.org/officeDocument/2006/relationships/queryTable" Target="../queryTables/queryTable439.xml"/><Relationship Id="rId243" Type="http://schemas.openxmlformats.org/officeDocument/2006/relationships/queryTable" Target="../queryTables/queryTable460.xml"/><Relationship Id="rId264" Type="http://schemas.openxmlformats.org/officeDocument/2006/relationships/queryTable" Target="../queryTables/queryTable481.xml"/><Relationship Id="rId17" Type="http://schemas.openxmlformats.org/officeDocument/2006/relationships/queryTable" Target="../queryTables/queryTable234.xml"/><Relationship Id="rId38" Type="http://schemas.openxmlformats.org/officeDocument/2006/relationships/queryTable" Target="../queryTables/queryTable255.xml"/><Relationship Id="rId59" Type="http://schemas.openxmlformats.org/officeDocument/2006/relationships/queryTable" Target="../queryTables/queryTable276.xml"/><Relationship Id="rId103" Type="http://schemas.openxmlformats.org/officeDocument/2006/relationships/queryTable" Target="../queryTables/queryTable320.xml"/><Relationship Id="rId124" Type="http://schemas.openxmlformats.org/officeDocument/2006/relationships/queryTable" Target="../queryTables/queryTable341.xml"/><Relationship Id="rId70" Type="http://schemas.openxmlformats.org/officeDocument/2006/relationships/queryTable" Target="../queryTables/queryTable287.xml"/><Relationship Id="rId91" Type="http://schemas.openxmlformats.org/officeDocument/2006/relationships/queryTable" Target="../queryTables/queryTable308.xml"/><Relationship Id="rId145" Type="http://schemas.openxmlformats.org/officeDocument/2006/relationships/queryTable" Target="../queryTables/queryTable362.xml"/><Relationship Id="rId166" Type="http://schemas.openxmlformats.org/officeDocument/2006/relationships/queryTable" Target="../queryTables/queryTable383.xml"/><Relationship Id="rId187" Type="http://schemas.openxmlformats.org/officeDocument/2006/relationships/queryTable" Target="../queryTables/queryTable404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29.xml"/><Relationship Id="rId233" Type="http://schemas.openxmlformats.org/officeDocument/2006/relationships/queryTable" Target="../queryTables/queryTable450.xml"/><Relationship Id="rId254" Type="http://schemas.openxmlformats.org/officeDocument/2006/relationships/queryTable" Target="../queryTables/queryTable471.xml"/><Relationship Id="rId28" Type="http://schemas.openxmlformats.org/officeDocument/2006/relationships/queryTable" Target="../queryTables/queryTable245.xml"/><Relationship Id="rId49" Type="http://schemas.openxmlformats.org/officeDocument/2006/relationships/queryTable" Target="../queryTables/queryTable266.xml"/><Relationship Id="rId114" Type="http://schemas.openxmlformats.org/officeDocument/2006/relationships/queryTable" Target="../queryTables/queryTable331.xml"/><Relationship Id="rId275" Type="http://schemas.openxmlformats.org/officeDocument/2006/relationships/queryTable" Target="../queryTables/queryTable492.xml"/><Relationship Id="rId60" Type="http://schemas.openxmlformats.org/officeDocument/2006/relationships/queryTable" Target="../queryTables/queryTable277.xml"/><Relationship Id="rId81" Type="http://schemas.openxmlformats.org/officeDocument/2006/relationships/queryTable" Target="../queryTables/queryTable298.xml"/><Relationship Id="rId135" Type="http://schemas.openxmlformats.org/officeDocument/2006/relationships/queryTable" Target="../queryTables/queryTable352.xml"/><Relationship Id="rId156" Type="http://schemas.openxmlformats.org/officeDocument/2006/relationships/queryTable" Target="../queryTables/queryTable373.xml"/><Relationship Id="rId177" Type="http://schemas.openxmlformats.org/officeDocument/2006/relationships/queryTable" Target="../queryTables/queryTable394.xml"/><Relationship Id="rId198" Type="http://schemas.openxmlformats.org/officeDocument/2006/relationships/queryTable" Target="../queryTables/queryTable4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AA164"/>
  <sheetViews>
    <sheetView workbookViewId="0">
      <pane xSplit="2" topLeftCell="C1" activePane="topRight" state="frozen"/>
      <selection activeCell="B1" sqref="B1"/>
      <selection pane="topRight" activeCell="E2" sqref="E2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28515625" style="16" bestFit="1" customWidth="1"/>
    <col min="4" max="4" width="17.85546875" style="5" bestFit="1" customWidth="1"/>
    <col min="5" max="5" width="16.85546875" style="12" bestFit="1" customWidth="1"/>
    <col min="6" max="6" width="12.5703125" style="5" bestFit="1" customWidth="1"/>
    <col min="7" max="7" width="7.7109375" style="16" customWidth="1"/>
    <col min="8" max="8" width="7.42578125" style="16" customWidth="1"/>
    <col min="9" max="9" width="7.7109375" style="18" customWidth="1"/>
    <col min="10" max="10" width="7.7109375" style="5" bestFit="1" customWidth="1"/>
    <col min="11" max="11" width="9.28515625" style="3" bestFit="1" customWidth="1"/>
    <col min="12" max="12" width="7" style="3" bestFit="1" customWidth="1"/>
    <col min="13" max="13" width="7.42578125" style="3" bestFit="1" customWidth="1"/>
    <col min="14" max="14" width="10.28515625" style="3" hidden="1" customWidth="1"/>
    <col min="15" max="15" width="9.42578125" style="5" bestFit="1" customWidth="1"/>
    <col min="16" max="16" width="7.140625" style="18" customWidth="1"/>
    <col min="17" max="17" width="7.85546875" style="5" customWidth="1"/>
    <col min="18" max="18" width="4.28515625" style="5" customWidth="1"/>
    <col min="19" max="19" width="7.140625" style="3" customWidth="1"/>
    <col min="20" max="20" width="7.85546875" style="98" bestFit="1" customWidth="1"/>
    <col min="21" max="21" width="7.28515625" style="3" bestFit="1" customWidth="1"/>
    <col min="22" max="22" width="13.85546875" style="5" bestFit="1" customWidth="1"/>
    <col min="23" max="23" width="9.140625" style="18" hidden="1" customWidth="1"/>
    <col min="24" max="24" width="0" style="3" hidden="1" customWidth="1"/>
    <col min="25" max="25" width="9.140625" style="3"/>
    <col min="26" max="26" width="11.5703125" style="3" bestFit="1" customWidth="1"/>
    <col min="27" max="27" width="13.85546875" style="3" bestFit="1" customWidth="1"/>
    <col min="28" max="16384" width="9.140625" style="3"/>
  </cols>
  <sheetData>
    <row r="1" spans="1:27">
      <c r="A1" s="5" t="s">
        <v>13</v>
      </c>
      <c r="B1" s="16" t="s">
        <v>9</v>
      </c>
      <c r="C1" s="16" t="s">
        <v>65</v>
      </c>
      <c r="D1" s="5" t="s">
        <v>3</v>
      </c>
      <c r="E1" s="5" t="s">
        <v>53</v>
      </c>
      <c r="F1" s="5" t="s">
        <v>4</v>
      </c>
      <c r="G1" s="16" t="s">
        <v>89</v>
      </c>
      <c r="H1" s="16" t="s">
        <v>66</v>
      </c>
      <c r="I1" s="18" t="s">
        <v>76</v>
      </c>
      <c r="J1" s="5" t="s">
        <v>5</v>
      </c>
      <c r="K1" s="12" t="s">
        <v>6</v>
      </c>
      <c r="L1" s="23" t="s">
        <v>7</v>
      </c>
      <c r="M1" s="37" t="s">
        <v>52</v>
      </c>
      <c r="N1" s="5" t="s">
        <v>276</v>
      </c>
      <c r="O1" s="3" t="s">
        <v>54</v>
      </c>
      <c r="P1" s="18" t="s">
        <v>84</v>
      </c>
      <c r="Q1" s="5" t="s">
        <v>59</v>
      </c>
      <c r="R1" s="3" t="s">
        <v>8</v>
      </c>
      <c r="S1" s="3" t="s">
        <v>342</v>
      </c>
      <c r="T1" s="98" t="s">
        <v>455</v>
      </c>
      <c r="U1" s="3" t="s">
        <v>41</v>
      </c>
      <c r="V1" s="5" t="s">
        <v>62</v>
      </c>
      <c r="W1" s="5" t="s">
        <v>279</v>
      </c>
      <c r="X1" s="5" t="s">
        <v>280</v>
      </c>
      <c r="AA1" s="5">
        <v>300</v>
      </c>
    </row>
    <row r="2" spans="1:27">
      <c r="A2" s="4" t="s">
        <v>14</v>
      </c>
      <c r="B2" s="14" t="s">
        <v>22</v>
      </c>
      <c r="C2" s="15">
        <v>3</v>
      </c>
      <c r="D2" s="6">
        <v>1864725000</v>
      </c>
      <c r="E2" s="42">
        <v>192096000</v>
      </c>
      <c r="F2" s="42">
        <v>147232649</v>
      </c>
      <c r="G2" s="15">
        <f>Tabela3[[#This Row],[Lucro Líquido]]/Tabela3[[#This Row],[Total Ações]]</f>
        <v>1.3047106148310896</v>
      </c>
      <c r="H2" s="15">
        <f>Tabela3[[#This Row],[Lucro/Ação]]/Tabela3[[#This Row],[Ref]]*4</f>
        <v>1.7396141531081195</v>
      </c>
      <c r="I2" s="19">
        <f>IF(GETPIVOTDATA("Payout",'Tabela LL'!$A$3,"Ativo",Tabela3[[#This Row],[PAPEL]])&gt;1,1,GETPIVOTDATA("Payout",'Tabela LL'!$A$3,"Ativo",Tabela3[[#This Row],[PAPEL]]))</f>
        <v>0.38903884611110762</v>
      </c>
      <c r="J2" s="6">
        <f>[Patrimônio Líquido]/[Total Ações]</f>
        <v>12.665159614155961</v>
      </c>
      <c r="K2" s="52">
        <f>MAX(Tabela3[[#This Row],[Cotação 1]],Tabela3[[#This Row],[Cotação 2]])</f>
        <v>12.19</v>
      </c>
      <c r="L2" s="48">
        <f>[Cotação]/[VPA]</f>
        <v>0.96248293518347205</v>
      </c>
      <c r="M2" s="44">
        <f>IF(Tabela3[[#This Row],[Lucro/Ação Ano]]&gt;0,Tabela3[[#This Row],[Cotação]]/Tabela3[[#This Row],[Lucro/Ação Ano]],0)</f>
        <v>7.0073010030531604</v>
      </c>
      <c r="N2" s="6">
        <f>ROUND(Tabela3[[#This Row],[Lucro Prev]]/10%,2)</f>
        <v>6.77</v>
      </c>
      <c r="O2" s="61">
        <f>MIN(Tabela3[[#This Row],[10% Rent]],Tabela3[[#This Row],[VPA]]*2)</f>
        <v>6.77</v>
      </c>
      <c r="P2" s="19">
        <f>Tabela3[[#This Row],[P Compra]]/Tabela3[[#This Row],[Cotação]]-1</f>
        <v>-0.44462674323215756</v>
      </c>
      <c r="Q2" s="6">
        <f>Tabela3[[#This Row],[Lucro/Ação Ano]]*Tabela3[[#This Row],[Payout]]</f>
        <v>0.67677748280373451</v>
      </c>
      <c r="R2" s="15" t="str">
        <f>IF(AND([% Yield]&gt;=10%,[PVPA]&lt;=2,[PL]&lt;=15,[PL]&gt;0),"Sim","Não")</f>
        <v>Não</v>
      </c>
      <c r="S2" s="46">
        <f>Tabela3[[#This Row],[Lucro Prev]]/Tabela3[[#This Row],[Cotação]]</f>
        <v>5.5519071599978223E-2</v>
      </c>
      <c r="T2" s="46">
        <f>(1+Tabela3[[#This Row],[% Yield]])^(1/12)-1</f>
        <v>4.5128738927260326E-3</v>
      </c>
      <c r="U2" s="14">
        <f>($AA$1/Tabela3[[#This Row],[Cotação]]-MOD($AA$1/Tabela3[[#This Row],[Cotação]],100))</f>
        <v>0</v>
      </c>
      <c r="V2" s="17">
        <f>Tabela3[[#This Row],[Ativos]]*Tabela3[[#This Row],[Lucro Prev]]</f>
        <v>0</v>
      </c>
      <c r="W2" s="5">
        <f>SUMPRODUCT(N(Tabela1[Código]=Tabela3[[#This Row],[PAPEL]]),Tabela1[Fechamento])</f>
        <v>12.19</v>
      </c>
      <c r="X2" s="5">
        <f>SUMPRODUCT(N(Tabela17[Código]=Tabela3[[#This Row],[PAPEL]]),Tabela17[Fechamento])</f>
        <v>0</v>
      </c>
    </row>
    <row r="3" spans="1:27">
      <c r="A3" s="4" t="s">
        <v>12</v>
      </c>
      <c r="B3" s="70" t="s">
        <v>70</v>
      </c>
      <c r="C3" s="15">
        <v>3</v>
      </c>
      <c r="D3" s="6">
        <v>1476720000</v>
      </c>
      <c r="E3" s="6">
        <v>48170000</v>
      </c>
      <c r="F3" s="42">
        <v>95061053</v>
      </c>
      <c r="G3" s="15">
        <f>Tabela3[[#This Row],[Lucro Líquido]]/Tabela3[[#This Row],[Total Ações]]</f>
        <v>0.50672697681983392</v>
      </c>
      <c r="H3" s="15">
        <f>Tabela3[[#This Row],[Lucro/Ação]]/Tabela3[[#This Row],[Ref]]*4</f>
        <v>0.67563596909311185</v>
      </c>
      <c r="I3" s="19">
        <f>IF(GETPIVOTDATA("Payout",'Tabela LL'!$A$3,"Ativo",Tabela3[[#This Row],[PAPEL]])&gt;1,1,GETPIVOTDATA("Payout",'Tabela LL'!$A$3,"Ativo",Tabela3[[#This Row],[PAPEL]]))</f>
        <v>0.83226612425770607</v>
      </c>
      <c r="J3" s="6">
        <f>[Patrimônio Líquido]/[Total Ações]</f>
        <v>15.53443764188053</v>
      </c>
      <c r="K3" s="52">
        <f>MAX(Tabela3[[#This Row],[Cotação 1]],Tabela3[[#This Row],[Cotação 2]])</f>
        <v>8.3000000000000007</v>
      </c>
      <c r="L3" s="48">
        <f>[Cotação]/[VPA]</f>
        <v>0.53429677928110952</v>
      </c>
      <c r="M3" s="44">
        <f>IF(Tabela3[[#This Row],[Lucro/Ação Ano]]&gt;0,Tabela3[[#This Row],[Cotação]]/Tabela3[[#This Row],[Lucro/Ação Ano]],0)</f>
        <v>12.28472192080133</v>
      </c>
      <c r="N3" s="6">
        <f>ROUND(Tabela3[[#This Row],[Lucro Prev]]/10%,2)</f>
        <v>5.62</v>
      </c>
      <c r="O3" s="17">
        <f>MIN(Tabela3[[#This Row],[10% Rent]],Tabela3[[#This Row],[VPA]]*2)</f>
        <v>5.62</v>
      </c>
      <c r="P3" s="19">
        <f>Tabela3[[#This Row],[P Compra]]/Tabela3[[#This Row],[Cotação]]-1</f>
        <v>-0.32289156626506033</v>
      </c>
      <c r="Q3" s="6">
        <f>Tabela3[[#This Row],[Lucro/Ação Ano]]*Tabela3[[#This Row],[Payout]]</f>
        <v>0.56230892940622346</v>
      </c>
      <c r="R3" s="14" t="str">
        <f>IF(AND([% Yield]&gt;=10%,[PVPA]&lt;=2,[PL]&lt;=15,[PL]&gt;0),"Sim","Não")</f>
        <v>Não</v>
      </c>
      <c r="S3" s="46">
        <f>Tabela3[[#This Row],[Lucro Prev]]/Tabela3[[#This Row],[Cotação]]</f>
        <v>6.7748063783882345E-2</v>
      </c>
      <c r="T3" s="46">
        <f>(1+Tabela3[[#This Row],[% Yield]])^(1/12)-1</f>
        <v>5.4775989337350062E-3</v>
      </c>
      <c r="U3" s="14">
        <f>($AA$1/Tabela3[[#This Row],[Cotação]]-MOD($AA$1/Tabela3[[#This Row],[Cotação]],100))</f>
        <v>0</v>
      </c>
      <c r="V3" s="17">
        <f>Tabela3[[#This Row],[Ativos]]*Tabela3[[#This Row],[Lucro Prev]]</f>
        <v>0</v>
      </c>
      <c r="W3" s="5">
        <f>SUMPRODUCT(N(Tabela1[Código]=Tabela3[[#This Row],[PAPEL]]),Tabela1[Fechamento])</f>
        <v>8.3000000000000007</v>
      </c>
      <c r="X3" s="5">
        <f>SUMPRODUCT(N(Tabela17[Código]=Tabela3[[#This Row],[PAPEL]]),Tabela17[Fechamento])</f>
        <v>0</v>
      </c>
      <c r="AA3" s="5"/>
    </row>
    <row r="4" spans="1:27">
      <c r="A4" s="3" t="s">
        <v>411</v>
      </c>
      <c r="B4" s="73" t="s">
        <v>412</v>
      </c>
      <c r="C4" s="16">
        <v>3</v>
      </c>
      <c r="D4" s="5">
        <v>1645312000</v>
      </c>
      <c r="E4" s="5">
        <v>40163000</v>
      </c>
      <c r="F4" s="21">
        <v>159025920</v>
      </c>
      <c r="G4" s="16">
        <f>Tabela3[[#This Row],[Lucro Líquido]]/Tabela3[[#This Row],[Total Ações]]</f>
        <v>0.25255631283252439</v>
      </c>
      <c r="H4" s="16">
        <f>Tabela3[[#This Row],[Lucro/Ação]]/Tabela3[[#This Row],[Ref]]*4</f>
        <v>0.33674175044336585</v>
      </c>
      <c r="I4" s="18">
        <f>IF(GETPIVOTDATA("Payout",'Tabela LL'!$A$3,"Ativo",Tabela3[[#This Row],[PAPEL]])&gt;1,1,GETPIVOTDATA("Payout",'Tabela LL'!$A$3,"Ativo",Tabela3[[#This Row],[PAPEL]]))</f>
        <v>0.31390723596420989</v>
      </c>
      <c r="J4" s="5">
        <f>[Patrimônio Líquido]/[Total Ações]</f>
        <v>10.346187590048213</v>
      </c>
      <c r="K4" s="58">
        <f>MAX(Tabela3[[#This Row],[Cotação 1]],Tabela3[[#This Row],[Cotação 2]])</f>
        <v>18</v>
      </c>
      <c r="L4" s="59">
        <f>[Cotação]/[VPA]</f>
        <v>1.7397712774233702</v>
      </c>
      <c r="M4" s="40">
        <f>IF(Tabela3[[#This Row],[Lucro/Ação Ano]]&gt;0,Tabela3[[#This Row],[Cotação]]/Tabela3[[#This Row],[Lucro/Ação Ano]],0)</f>
        <v>53.453425291935368</v>
      </c>
      <c r="N4" s="7">
        <f>ROUND(Tabela3[[#This Row],[Lucro Prev]]/10%,2)</f>
        <v>1.06</v>
      </c>
      <c r="O4" s="51">
        <f>MIN(Tabela3[[#This Row],[10% Rent]],Tabela3[[#This Row],[VPA]]*2)</f>
        <v>1.06</v>
      </c>
      <c r="P4" s="18">
        <f>Tabela3[[#This Row],[P Compra]]/Tabela3[[#This Row],[Cotação]]-1</f>
        <v>-0.94111111111111112</v>
      </c>
      <c r="Q4" s="5">
        <f>Tabela3[[#This Row],[Lucro/Ação Ano]]*Tabela3[[#This Row],[Payout]]</f>
        <v>0.10570567211542672</v>
      </c>
      <c r="R4" s="16" t="str">
        <f>IF(AND([% Yield]&gt;=10%,[PVPA]&lt;=2,[PL]&lt;=15,[PL]&gt;0),"Sim","Não")</f>
        <v>Não</v>
      </c>
      <c r="S4" s="22">
        <f>Tabela3[[#This Row],[Lucro Prev]]/Tabela3[[#This Row],[Cotação]]</f>
        <v>5.872537339745929E-3</v>
      </c>
      <c r="T4" s="22">
        <f>(1+Tabela3[[#This Row],[% Yield]])^(1/12)-1</f>
        <v>4.8806583243332646E-4</v>
      </c>
      <c r="U4" s="10">
        <f>($AA$1/Tabela3[[#This Row],[Cotação]]-MOD($AA$1/Tabela3[[#This Row],[Cotação]],100))</f>
        <v>0</v>
      </c>
      <c r="V4" s="7">
        <f>Tabela3[[#This Row],[Ativos]]*Tabela3[[#This Row],[Lucro Prev]]</f>
        <v>0</v>
      </c>
      <c r="W4" s="51">
        <f>SUMPRODUCT(N(Tabela1[Código]=Tabela3[[#This Row],[PAPEL]]),Tabela1[Fechamento])</f>
        <v>0</v>
      </c>
      <c r="X4" s="60">
        <f>SUMPRODUCT(N(Tabela17[Código]=Tabela3[[#This Row],[PAPEL]]),Tabela17[Fechamento])</f>
        <v>18</v>
      </c>
    </row>
    <row r="5" spans="1:27">
      <c r="A5" s="3" t="s">
        <v>337</v>
      </c>
      <c r="B5" s="73" t="s">
        <v>351</v>
      </c>
      <c r="C5" s="16">
        <v>3</v>
      </c>
      <c r="D5" s="5">
        <v>43741000</v>
      </c>
      <c r="E5" s="5">
        <v>2583000</v>
      </c>
      <c r="F5" s="21">
        <v>5996334</v>
      </c>
      <c r="G5" s="71">
        <f>Tabela3[[#This Row],[Lucro Líquido]]/Tabela3[[#This Row],[Total Ações]]</f>
        <v>0.43076319631294718</v>
      </c>
      <c r="H5" s="16">
        <f>Tabela3[[#This Row],[Lucro/Ação]]/Tabela3[[#This Row],[Ref]]*4</f>
        <v>0.57435092841726287</v>
      </c>
      <c r="I5" s="18">
        <f>IF(GETPIVOTDATA("Payout",'Tabela LL'!$A$3,"Ativo",Tabela3[[#This Row],[PAPEL]])&gt;1,1,GETPIVOTDATA("Payout",'Tabela LL'!$A$3,"Ativo",Tabela3[[#This Row],[PAPEL]]))</f>
        <v>0.19103666588090965</v>
      </c>
      <c r="J5" s="5">
        <f>[Patrimônio Líquido]/[Total Ações]</f>
        <v>7.2946236817362076</v>
      </c>
      <c r="K5" s="58">
        <f>MAX(Tabela3[[#This Row],[Cotação 1]],Tabela3[[#This Row],[Cotação 2]])</f>
        <v>4.8099999999999996</v>
      </c>
      <c r="L5" s="59">
        <f>[Cotação]/[VPA]</f>
        <v>0.65938973823186475</v>
      </c>
      <c r="M5" s="40">
        <f>IF(Tabela3[[#This Row],[Lucro/Ação Ano]]&gt;0,Tabela3[[#This Row],[Cotação]]/Tabela3[[#This Row],[Lucro/Ação Ano]],0)</f>
        <v>8.3746708885017433</v>
      </c>
      <c r="N5" s="7">
        <f>ROUND(Tabela3[[#This Row],[Lucro Prev]]/10%,2)</f>
        <v>1.1000000000000001</v>
      </c>
      <c r="O5" s="51">
        <f>MIN(Tabela3[[#This Row],[10% Rent]],Tabela3[[#This Row],[VPA]]*2)</f>
        <v>1.1000000000000001</v>
      </c>
      <c r="P5" s="18">
        <f>Tabela3[[#This Row],[P Compra]]/Tabela3[[#This Row],[Cotação]]-1</f>
        <v>-0.7713097713097713</v>
      </c>
      <c r="Q5" s="5">
        <f>Tabela3[[#This Row],[Lucro/Ação Ano]]*Tabela3[[#This Row],[Payout]]</f>
        <v>0.1097220864104389</v>
      </c>
      <c r="R5" s="16" t="str">
        <f>IF(AND([% Yield]&gt;=10%,[PVPA]&lt;=2,[PL]&lt;=15,[PL]&gt;0),"Sim","Não")</f>
        <v>Não</v>
      </c>
      <c r="S5" s="22">
        <f>Tabela3[[#This Row],[Lucro Prev]]/Tabela3[[#This Row],[Cotação]]</f>
        <v>2.2811244575974825E-2</v>
      </c>
      <c r="T5" s="22">
        <f>(1+Tabela3[[#This Row],[% Yield]])^(1/12)-1</f>
        <v>1.8813473748753307E-3</v>
      </c>
      <c r="U5" s="10">
        <f>($AA$1/Tabela3[[#This Row],[Cotação]]-MOD($AA$1/Tabela3[[#This Row],[Cotação]],100))</f>
        <v>0</v>
      </c>
      <c r="V5" s="7">
        <f>Tabela3[[#This Row],[Ativos]]*Tabela3[[#This Row],[Lucro Prev]]</f>
        <v>0</v>
      </c>
      <c r="W5" s="51">
        <f>SUMPRODUCT(N(Tabela1[Código]=Tabela3[[#This Row],[PAPEL]]),Tabela1[Fechamento])</f>
        <v>0</v>
      </c>
      <c r="X5" s="60">
        <f>SUMPRODUCT(N(Tabela17[Código]=Tabela3[[#This Row],[PAPEL]]),Tabela17[Fechamento])</f>
        <v>4.8099999999999996</v>
      </c>
    </row>
    <row r="6" spans="1:27">
      <c r="A6" s="4" t="s">
        <v>14</v>
      </c>
      <c r="B6" s="14" t="s">
        <v>64</v>
      </c>
      <c r="C6" s="15">
        <v>3</v>
      </c>
      <c r="D6" s="6">
        <v>1550119000</v>
      </c>
      <c r="E6" s="6">
        <v>56710000</v>
      </c>
      <c r="F6" s="42">
        <v>2964596762</v>
      </c>
      <c r="G6" s="15">
        <f>Tabela3[[#This Row],[Lucro Líquido]]/Tabela3[[#This Row],[Total Ações]]</f>
        <v>1.9129077089641643E-2</v>
      </c>
      <c r="H6" s="15">
        <f>Tabela3[[#This Row],[Lucro/Ação]]/Tabela3[[#This Row],[Ref]]*4</f>
        <v>2.550543611952219E-2</v>
      </c>
      <c r="I6" s="19">
        <f>IF(GETPIVOTDATA("Payout",'Tabela LL'!$A$3,"Ativo",Tabela3[[#This Row],[PAPEL]])&gt;1,1,GETPIVOTDATA("Payout",'Tabela LL'!$A$3,"Ativo",Tabela3[[#This Row],[PAPEL]]))</f>
        <v>0.75262718633546799</v>
      </c>
      <c r="J6" s="6">
        <f>[Patrimônio Líquido]/[Total Ações]</f>
        <v>0.52287684445632543</v>
      </c>
      <c r="K6" s="52">
        <f>MAX(Tabela3[[#This Row],[Cotação 1]],Tabela3[[#This Row],[Cotação 2]])</f>
        <v>0.33</v>
      </c>
      <c r="L6" s="48">
        <f>[Cotação]/[VPA]</f>
        <v>0.63112375982747138</v>
      </c>
      <c r="M6" s="44">
        <f>IF(Tabela3[[#This Row],[Lucro/Ação Ano]]&gt;0,Tabela3[[#This Row],[Cotação]]/Tabela3[[#This Row],[Lucro/Ação Ano]],0)</f>
        <v>12.938418243607831</v>
      </c>
      <c r="N6" s="6">
        <f>ROUND(Tabela3[[#This Row],[Lucro Prev]]/10%,2)</f>
        <v>0.19</v>
      </c>
      <c r="O6" s="61">
        <f>MIN(Tabela3[[#This Row],[10% Rent]],Tabela3[[#This Row],[VPA]]*2)</f>
        <v>0.19</v>
      </c>
      <c r="P6" s="19">
        <f>Tabela3[[#This Row],[P Compra]]/Tabela3[[#This Row],[Cotação]]-1</f>
        <v>-0.42424242424242431</v>
      </c>
      <c r="Q6" s="6">
        <f>Tabela3[[#This Row],[Lucro/Ação Ano]]*Tabela3[[#This Row],[Payout]]</f>
        <v>1.9196084622895002E-2</v>
      </c>
      <c r="R6" s="15" t="str">
        <f>IF(AND([% Yield]&gt;=10%,[PVPA]&lt;=2,[PL]&lt;=15,[PL]&gt;0),"Sim","Não")</f>
        <v>Não</v>
      </c>
      <c r="S6" s="46">
        <f>Tabela3[[#This Row],[Lucro Prev]]/Tabela3[[#This Row],[Cotação]]</f>
        <v>5.8169953402712124E-2</v>
      </c>
      <c r="T6" s="46">
        <f>(1+Tabela3[[#This Row],[% Yield]])^(1/12)-1</f>
        <v>4.7228641501038116E-3</v>
      </c>
      <c r="U6" s="14">
        <f>($AA$1/Tabela3[[#This Row],[Cotação]]-MOD($AA$1/Tabela3[[#This Row],[Cotação]],100))</f>
        <v>900</v>
      </c>
      <c r="V6" s="17">
        <f>Tabela3[[#This Row],[Ativos]]*Tabela3[[#This Row],[Lucro Prev]]</f>
        <v>17.276476160605501</v>
      </c>
      <c r="W6" s="5">
        <f>SUMPRODUCT(N(Tabela1[Código]=Tabela3[[#This Row],[PAPEL]]),Tabela1[Fechamento])</f>
        <v>0.33</v>
      </c>
      <c r="X6" s="5">
        <f>SUMPRODUCT(N(Tabela17[Código]=Tabela3[[#This Row],[PAPEL]]),Tabela17[Fechamento])</f>
        <v>0</v>
      </c>
    </row>
    <row r="7" spans="1:27">
      <c r="A7" s="4" t="s">
        <v>14</v>
      </c>
      <c r="B7" s="14" t="s">
        <v>24</v>
      </c>
      <c r="C7" s="15">
        <v>3</v>
      </c>
      <c r="D7" s="6">
        <v>63802635000</v>
      </c>
      <c r="E7" s="6">
        <v>12718352000</v>
      </c>
      <c r="F7" s="42">
        <v>2865417020</v>
      </c>
      <c r="G7" s="15">
        <f>Tabela3[[#This Row],[Lucro Líquido]]/Tabela3[[#This Row],[Total Ações]]</f>
        <v>4.4385692941825274</v>
      </c>
      <c r="H7" s="15">
        <f>Tabela3[[#This Row],[Lucro/Ação]]/Tabela3[[#This Row],[Ref]]*4</f>
        <v>5.9180923922433699</v>
      </c>
      <c r="I7" s="19">
        <f>IF(GETPIVOTDATA("Payout",'Tabela LL'!$A$3,"Ativo",Tabela3[[#This Row],[PAPEL]])&gt;1,1,GETPIVOTDATA("Payout",'Tabela LL'!$A$3,"Ativo",Tabela3[[#This Row],[PAPEL]]))</f>
        <v>0.40025891489587845</v>
      </c>
      <c r="J7" s="6">
        <f>[Patrimônio Líquido]/[Total Ações]</f>
        <v>22.266439598379993</v>
      </c>
      <c r="K7" s="52">
        <f>MAX(Tabela3[[#This Row],[Cotação 1]],Tabela3[[#This Row],[Cotação 2]])</f>
        <v>23.17</v>
      </c>
      <c r="L7" s="48">
        <f>[Cotação]/[VPA]</f>
        <v>1.040579473769383</v>
      </c>
      <c r="M7" s="44">
        <f>IF(Tabela3[[#This Row],[Lucro/Ação Ano]]&gt;0,Tabela3[[#This Row],[Cotação]]/Tabela3[[#This Row],[Lucro/Ação Ano]],0)</f>
        <v>3.9151129222598966</v>
      </c>
      <c r="N7" s="6">
        <f>ROUND(Tabela3[[#This Row],[Lucro Prev]]/10%,2)</f>
        <v>23.69</v>
      </c>
      <c r="O7" s="61">
        <f>MIN(Tabela3[[#This Row],[10% Rent]],Tabela3[[#This Row],[VPA]]*2)</f>
        <v>23.69</v>
      </c>
      <c r="P7" s="19">
        <f>Tabela3[[#This Row],[P Compra]]/Tabela3[[#This Row],[Cotação]]-1</f>
        <v>2.2442813983599486E-2</v>
      </c>
      <c r="Q7" s="6">
        <f>Tabela3[[#This Row],[Lucro/Ação Ano]]*Tabela3[[#This Row],[Payout]]</f>
        <v>2.3687692391728845</v>
      </c>
      <c r="R7" s="15" t="str">
        <f>IF(AND([% Yield]&gt;=10%,[PVPA]&lt;=2,[PL]&lt;=15,[PL]&gt;0),"Sim","Não")</f>
        <v>Sim</v>
      </c>
      <c r="S7" s="46">
        <f>Tabela3[[#This Row],[Lucro Prev]]/Tabela3[[#This Row],[Cotação]]</f>
        <v>0.10223432193236445</v>
      </c>
      <c r="T7" s="97">
        <f>(1+Tabela3[[#This Row],[% Yield]])^(1/12)-1</f>
        <v>8.1445983666434962E-3</v>
      </c>
      <c r="U7" s="14">
        <f>($AA$1/Tabela3[[#This Row],[Cotação]]-MOD($AA$1/Tabela3[[#This Row],[Cotação]],100))</f>
        <v>0</v>
      </c>
      <c r="V7" s="17">
        <f>Tabela3[[#This Row],[Ativos]]*Tabela3[[#This Row],[Lucro Prev]]</f>
        <v>0</v>
      </c>
      <c r="W7" s="5">
        <f>SUMPRODUCT(N(Tabela1[Código]=Tabela3[[#This Row],[PAPEL]]),Tabela1[Fechamento])</f>
        <v>23.17</v>
      </c>
      <c r="X7" s="5">
        <f>SUMPRODUCT(N(Tabela17[Código]=Tabela3[[#This Row],[PAPEL]]),Tabela17[Fechamento])</f>
        <v>0</v>
      </c>
    </row>
    <row r="8" spans="1:27">
      <c r="A8" s="4" t="s">
        <v>14</v>
      </c>
      <c r="B8" s="14" t="s">
        <v>222</v>
      </c>
      <c r="C8" s="15">
        <v>3</v>
      </c>
      <c r="D8" s="6">
        <v>67033392000</v>
      </c>
      <c r="E8" s="6">
        <v>8931828000</v>
      </c>
      <c r="F8" s="42">
        <v>4207274039</v>
      </c>
      <c r="G8" s="15">
        <f>Tabela3[[#This Row],[Lucro Líquido]]/Tabela3[[#This Row],[Total Ações]]</f>
        <v>2.1229489491782543</v>
      </c>
      <c r="H8" s="15">
        <f>Tabela3[[#This Row],[Lucro/Ação]]/Tabela3[[#This Row],[Ref]]*4</f>
        <v>2.8305985989043392</v>
      </c>
      <c r="I8" s="19">
        <f>IF(GETPIVOTDATA("Payout",'Tabela LL'!$A$3,"Ativo",Tabela3[[#This Row],[PAPEL]])&gt;1,1,GETPIVOTDATA("Payout",'Tabela LL'!$A$3,"Ativo",Tabela3[[#This Row],[PAPEL]]))</f>
        <v>0.37734094800257278</v>
      </c>
      <c r="J8" s="6">
        <f>[Patrimônio Líquido]/[Total Ações]</f>
        <v>15.932737297029679</v>
      </c>
      <c r="K8" s="52">
        <f>MAX(Tabela3[[#This Row],[Cotação 1]],Tabela3[[#This Row],[Cotação 2]])</f>
        <v>30.03</v>
      </c>
      <c r="L8" s="48">
        <f>[Cotação]/[VPA]</f>
        <v>1.8847985402733314</v>
      </c>
      <c r="M8" s="44">
        <f>IF(Tabela3[[#This Row],[Lucro/Ação Ano]]&gt;0,Tabela3[[#This Row],[Cotação]]/Tabela3[[#This Row],[Lucro/Ação Ano]],0)</f>
        <v>10.609063401509468</v>
      </c>
      <c r="N8" s="6">
        <f>ROUND(Tabela3[[#This Row],[Lucro Prev]]/10%,2)</f>
        <v>10.68</v>
      </c>
      <c r="O8" s="61">
        <f>MIN(Tabela3[[#This Row],[10% Rent]],Tabela3[[#This Row],[VPA]]*2)</f>
        <v>10.68</v>
      </c>
      <c r="P8" s="19">
        <f>Tabela3[[#This Row],[P Compra]]/Tabela3[[#This Row],[Cotação]]-1</f>
        <v>-0.64435564435564441</v>
      </c>
      <c r="Q8" s="6">
        <f>Tabela3[[#This Row],[Lucro/Ação Ano]]*Tabela3[[#This Row],[Payout]]</f>
        <v>1.0681007587253177</v>
      </c>
      <c r="R8" s="15" t="str">
        <f>IF(AND([% Yield]&gt;=10%,[PVPA]&lt;=2,[PL]&lt;=15,[PL]&gt;0),"Sim","Não")</f>
        <v>Não</v>
      </c>
      <c r="S8" s="46">
        <f>Tabela3[[#This Row],[Lucro Prev]]/Tabela3[[#This Row],[Cotação]]</f>
        <v>3.556779083334391E-2</v>
      </c>
      <c r="T8" s="46">
        <f>(1+Tabela3[[#This Row],[% Yield]])^(1/12)-1</f>
        <v>2.9167342891172066E-3</v>
      </c>
      <c r="U8" s="14">
        <f>($AA$1/Tabela3[[#This Row],[Cotação]]-MOD($AA$1/Tabela3[[#This Row],[Cotação]],100))</f>
        <v>0</v>
      </c>
      <c r="V8" s="17">
        <f>Tabela3[[#This Row],[Ativos]]*Tabela3[[#This Row],[Lucro Prev]]</f>
        <v>0</v>
      </c>
      <c r="W8" s="5">
        <f>SUMPRODUCT(N(Tabela1[Código]=Tabela3[[#This Row],[PAPEL]]),Tabela1[Fechamento])</f>
        <v>30.03</v>
      </c>
      <c r="X8" s="5">
        <f>SUMPRODUCT(N(Tabela17[Código]=Tabela3[[#This Row],[PAPEL]]),Tabela17[Fechamento])</f>
        <v>0</v>
      </c>
    </row>
    <row r="9" spans="1:27">
      <c r="A9" s="4" t="s">
        <v>14</v>
      </c>
      <c r="B9" s="14" t="s">
        <v>223</v>
      </c>
      <c r="C9" s="15">
        <v>3</v>
      </c>
      <c r="D9" s="6">
        <v>67033392000</v>
      </c>
      <c r="E9" s="6">
        <v>8931828000</v>
      </c>
      <c r="F9" s="42">
        <v>4207274039</v>
      </c>
      <c r="G9" s="15">
        <f>Tabela3[[#This Row],[Lucro Líquido]]/Tabela3[[#This Row],[Total Ações]]</f>
        <v>2.1229489491782543</v>
      </c>
      <c r="H9" s="15">
        <f>Tabela3[[#This Row],[Lucro/Ação]]/Tabela3[[#This Row],[Ref]]*4</f>
        <v>2.8305985989043392</v>
      </c>
      <c r="I9" s="19">
        <f>IF(GETPIVOTDATA("Payout",'Tabela LL'!$A$3,"Ativo",Tabela3[[#This Row],[PAPEL]])&gt;1,1,GETPIVOTDATA("Payout",'Tabela LL'!$A$3,"Ativo",Tabela3[[#This Row],[PAPEL]]))</f>
        <v>0.41507496875695749</v>
      </c>
      <c r="J9" s="6">
        <f>[Patrimônio Líquido]/[Total Ações]</f>
        <v>15.932737297029679</v>
      </c>
      <c r="K9" s="52">
        <f>MAX(Tabela3[[#This Row],[Cotação 1]],Tabela3[[#This Row],[Cotação 2]])</f>
        <v>27.83</v>
      </c>
      <c r="L9" s="48">
        <f>[Cotação]/[VPA]</f>
        <v>1.7467180611324278</v>
      </c>
      <c r="M9" s="44">
        <f>IF(Tabela3[[#This Row],[Lucro/Ação Ano]]&gt;0,Tabela3[[#This Row],[Cotação]]/Tabela3[[#This Row],[Lucro/Ação Ano]],0)</f>
        <v>9.8318426394941216</v>
      </c>
      <c r="N9" s="6">
        <f>ROUND(Tabela3[[#This Row],[Lucro Prev]]/10%,2)</f>
        <v>11.75</v>
      </c>
      <c r="O9" s="61">
        <f>MIN(Tabela3[[#This Row],[10% Rent]],Tabela3[[#This Row],[VPA]]*2)</f>
        <v>11.75</v>
      </c>
      <c r="P9" s="19">
        <f>Tabela3[[#This Row],[P Compra]]/Tabela3[[#This Row],[Cotação]]-1</f>
        <v>-0.5777937477542221</v>
      </c>
      <c r="Q9" s="6">
        <f>Tabela3[[#This Row],[Lucro/Ação Ano]]*Tabela3[[#This Row],[Payout]]</f>
        <v>1.1749106250037062</v>
      </c>
      <c r="R9" s="15" t="str">
        <f>IF(AND([% Yield]&gt;=10%,[PVPA]&lt;=2,[PL]&lt;=15,[PL]&gt;0),"Sim","Não")</f>
        <v>Não</v>
      </c>
      <c r="S9" s="46">
        <f>Tabela3[[#This Row],[Lucro Prev]]/Tabela3[[#This Row],[Cotação]]</f>
        <v>4.2217413762260375E-2</v>
      </c>
      <c r="T9" s="46">
        <f>(1+Tabela3[[#This Row],[% Yield]])^(1/12)-1</f>
        <v>3.4518248741288726E-3</v>
      </c>
      <c r="U9" s="14">
        <f>($AA$1/Tabela3[[#This Row],[Cotação]]-MOD($AA$1/Tabela3[[#This Row],[Cotação]],100))</f>
        <v>0</v>
      </c>
      <c r="V9" s="17">
        <f>Tabela3[[#This Row],[Ativos]]*Tabela3[[#This Row],[Lucro Prev]]</f>
        <v>0</v>
      </c>
      <c r="W9" s="5">
        <f>SUMPRODUCT(N(Tabela1[Código]=Tabela3[[#This Row],[PAPEL]]),Tabela1[Fechamento])</f>
        <v>27.83</v>
      </c>
      <c r="X9" s="5">
        <f>SUMPRODUCT(N(Tabela17[Código]=Tabela3[[#This Row],[PAPEL]]),Tabela17[Fechamento])</f>
        <v>0</v>
      </c>
    </row>
    <row r="10" spans="1:27">
      <c r="A10" s="4" t="s">
        <v>26</v>
      </c>
      <c r="B10" s="70" t="s">
        <v>25</v>
      </c>
      <c r="C10" s="15">
        <v>3</v>
      </c>
      <c r="D10" s="6">
        <v>6389579000</v>
      </c>
      <c r="E10" s="6">
        <v>1570142000</v>
      </c>
      <c r="F10" s="42">
        <v>2000000000</v>
      </c>
      <c r="G10" s="72">
        <f>Tabela3[[#This Row],[Lucro Líquido]]/Tabela3[[#This Row],[Total Ações]]</f>
        <v>0.78507099999999996</v>
      </c>
      <c r="H10" s="15">
        <f>Tabela3[[#This Row],[Lucro/Ação]]/Tabela3[[#This Row],[Ref]]*4</f>
        <v>1.0467613333333332</v>
      </c>
      <c r="I10" s="19">
        <f>IF(GETPIVOTDATA("Payout",'Tabela LL'!$A$3,"Ativo",Tabela3[[#This Row],[PAPEL]])&gt;1,1,GETPIVOTDATA("Payout",'Tabela LL'!$A$3,"Ativo",Tabela3[[#This Row],[PAPEL]]))</f>
        <v>0.25</v>
      </c>
      <c r="J10" s="6">
        <f>[Patrimônio Líquido]/[Total Ações]</f>
        <v>3.1947895000000002</v>
      </c>
      <c r="K10" s="52">
        <f>MAX(Tabela3[[#This Row],[Cotação 1]],Tabela3[[#This Row],[Cotação 2]])</f>
        <v>23.96</v>
      </c>
      <c r="L10" s="48">
        <f>[Cotação]/[VPA]</f>
        <v>7.4997116398435635</v>
      </c>
      <c r="M10" s="44">
        <f>IF(Tabela3[[#This Row],[Lucro/Ação Ano]]&gt;0,Tabela3[[#This Row],[Cotação]]/Tabela3[[#This Row],[Lucro/Ação Ano]],0)</f>
        <v>22.889649471194328</v>
      </c>
      <c r="N10" s="13">
        <f>ROUND(Tabela3[[#This Row],[Lucro Prev]]/10%,2)</f>
        <v>2.62</v>
      </c>
      <c r="O10" s="13">
        <f>MIN(Tabela3[[#This Row],[10% Rent]],Tabela3[[#This Row],[VPA]]*2)</f>
        <v>2.62</v>
      </c>
      <c r="P10" s="19">
        <f>Tabela3[[#This Row],[P Compra]]/Tabela3[[#This Row],[Cotação]]-1</f>
        <v>-0.89065108514190316</v>
      </c>
      <c r="Q10" s="6">
        <f>Tabela3[[#This Row],[Lucro/Ação Ano]]*Tabela3[[#This Row],[Payout]]</f>
        <v>0.2616903333333333</v>
      </c>
      <c r="R10" s="15" t="str">
        <f>IF(AND([% Yield]&gt;=10%,[PVPA]&lt;=2,[PL]&lt;=15,[PL]&gt;0),"Sim","Não")</f>
        <v>Não</v>
      </c>
      <c r="S10" s="46">
        <f>Tabela3[[#This Row],[Lucro Prev]]/Tabela3[[#This Row],[Cotação]]</f>
        <v>1.0921967167501389E-2</v>
      </c>
      <c r="T10" s="46">
        <f>(1+Tabela3[[#This Row],[% Yield]])^(1/12)-1</f>
        <v>9.056392812361036E-4</v>
      </c>
      <c r="U10" s="14">
        <f>($AA$1/Tabela3[[#This Row],[Cotação]]-MOD($AA$1/Tabela3[[#This Row],[Cotação]],100))</f>
        <v>0</v>
      </c>
      <c r="V10" s="17">
        <f>Tabela3[[#This Row],[Ativos]]*Tabela3[[#This Row],[Lucro Prev]]</f>
        <v>0</v>
      </c>
      <c r="W10" s="13">
        <f>SUMPRODUCT(N(Tabela1[Código]=Tabela3[[#This Row],[PAPEL]]),Tabela1[Fechamento])</f>
        <v>0</v>
      </c>
      <c r="X10" s="13">
        <f>SUMPRODUCT(N(Tabela17[Código]=Tabela3[[#This Row],[PAPEL]]),Tabela17[Fechamento])</f>
        <v>23.96</v>
      </c>
    </row>
    <row r="11" spans="1:27">
      <c r="A11" s="4" t="s">
        <v>14</v>
      </c>
      <c r="B11" s="14" t="s">
        <v>60</v>
      </c>
      <c r="C11" s="15">
        <v>3</v>
      </c>
      <c r="D11" s="6">
        <v>901919000</v>
      </c>
      <c r="E11" s="6">
        <v>77892000</v>
      </c>
      <c r="F11" s="42">
        <v>1579564303</v>
      </c>
      <c r="G11" s="15">
        <f>Tabela3[[#This Row],[Lucro Líquido]]/Tabela3[[#This Row],[Total Ações]]</f>
        <v>4.931233242740609E-2</v>
      </c>
      <c r="H11" s="15">
        <f>Tabela3[[#This Row],[Lucro/Ação]]/Tabela3[[#This Row],[Ref]]*4</f>
        <v>6.5749776569874782E-2</v>
      </c>
      <c r="I11" s="19">
        <f>IF(GETPIVOTDATA("Payout",'Tabela LL'!$A$3,"Ativo",Tabela3[[#This Row],[PAPEL]])&gt;1,1,GETPIVOTDATA("Payout",'Tabela LL'!$A$3,"Ativo",Tabela3[[#This Row],[PAPEL]]))</f>
        <v>0.36351567797691797</v>
      </c>
      <c r="J11" s="6">
        <f>[Patrimônio Líquido]/[Total Ações]</f>
        <v>0.57099226558046623</v>
      </c>
      <c r="K11" s="52">
        <f>MAX(Tabela3[[#This Row],[Cotação 1]],Tabela3[[#This Row],[Cotação 2]])</f>
        <v>0.47</v>
      </c>
      <c r="L11" s="48">
        <f>[Cotação]/[VPA]</f>
        <v>0.8231284876025452</v>
      </c>
      <c r="M11" s="44">
        <f>IF(Tabela3[[#This Row],[Lucro/Ação Ano]]&gt;0,Tabela3[[#This Row],[Cotação]]/Tabela3[[#This Row],[Lucro/Ação Ano]],0)</f>
        <v>7.1483132646163918</v>
      </c>
      <c r="N11" s="6">
        <f>ROUND(Tabela3[[#This Row],[Lucro Prev]]/10%,2)</f>
        <v>0.24</v>
      </c>
      <c r="O11" s="61">
        <f>MIN(Tabela3[[#This Row],[10% Rent]],Tabela3[[#This Row],[VPA]]*2)</f>
        <v>0.24</v>
      </c>
      <c r="P11" s="19">
        <f>Tabela3[[#This Row],[P Compra]]/Tabela3[[#This Row],[Cotação]]-1</f>
        <v>-0.48936170212765961</v>
      </c>
      <c r="Q11" s="6">
        <f>Tabela3[[#This Row],[Lucro/Ação Ano]]*Tabela3[[#This Row],[Payout]]</f>
        <v>2.3901074606628908E-2</v>
      </c>
      <c r="R11" s="15" t="str">
        <f>IF(AND([% Yield]&gt;=10%,[PVPA]&lt;=2,[PL]&lt;=15,[PL]&gt;0),"Sim","Não")</f>
        <v>Não</v>
      </c>
      <c r="S11" s="46">
        <f>Tabela3[[#This Row],[Lucro Prev]]/Tabela3[[#This Row],[Cotação]]</f>
        <v>5.0853350226870021E-2</v>
      </c>
      <c r="T11" s="46">
        <f>(1+Tabela3[[#This Row],[% Yield]])^(1/12)-1</f>
        <v>4.1421005998347749E-3</v>
      </c>
      <c r="U11" s="14">
        <f>($AA$1/Tabela3[[#This Row],[Cotação]]-MOD($AA$1/Tabela3[[#This Row],[Cotação]],100))</f>
        <v>600</v>
      </c>
      <c r="V11" s="17">
        <f>Tabela3[[#This Row],[Ativos]]*Tabela3[[#This Row],[Lucro Prev]]</f>
        <v>14.340644763977345</v>
      </c>
      <c r="W11" s="5">
        <f>SUMPRODUCT(N(Tabela1[Código]=Tabela3[[#This Row],[PAPEL]]),Tabela1[Fechamento])</f>
        <v>0.47</v>
      </c>
      <c r="X11" s="5">
        <f>SUMPRODUCT(N(Tabela17[Código]=Tabela3[[#This Row],[PAPEL]]),Tabela17[Fechamento])</f>
        <v>0</v>
      </c>
    </row>
    <row r="12" spans="1:27">
      <c r="A12" s="4" t="s">
        <v>14</v>
      </c>
      <c r="B12" s="14" t="s">
        <v>61</v>
      </c>
      <c r="C12" s="15">
        <v>3</v>
      </c>
      <c r="D12" s="6">
        <v>901919000</v>
      </c>
      <c r="E12" s="6">
        <v>77892000</v>
      </c>
      <c r="F12" s="42">
        <v>1579564303</v>
      </c>
      <c r="G12" s="15">
        <f>Tabela3[[#This Row],[Lucro Líquido]]/Tabela3[[#This Row],[Total Ações]]</f>
        <v>4.931233242740609E-2</v>
      </c>
      <c r="H12" s="15">
        <f>Tabela3[[#This Row],[Lucro/Ação]]/Tabela3[[#This Row],[Ref]]*4</f>
        <v>6.5749776569874782E-2</v>
      </c>
      <c r="I12" s="19">
        <f>IF(GETPIVOTDATA("Payout",'Tabela LL'!$A$3,"Ativo",Tabela3[[#This Row],[PAPEL]])&gt;1,1,GETPIVOTDATA("Payout",'Tabela LL'!$A$3,"Ativo",Tabela3[[#This Row],[PAPEL]]))</f>
        <v>0.36351567797691797</v>
      </c>
      <c r="J12" s="6">
        <f>[Patrimônio Líquido]/[Total Ações]</f>
        <v>0.57099226558046623</v>
      </c>
      <c r="K12" s="52">
        <f>MAX(Tabela3[[#This Row],[Cotação 1]],Tabela3[[#This Row],[Cotação 2]])</f>
        <v>0.46</v>
      </c>
      <c r="L12" s="48">
        <f>[Cotação]/[VPA]</f>
        <v>0.80561511552589538</v>
      </c>
      <c r="M12" s="44">
        <f>IF(Tabela3[[#This Row],[Lucro/Ação Ano]]&gt;0,Tabela3[[#This Row],[Cotação]]/Tabela3[[#This Row],[Lucro/Ação Ano]],0)</f>
        <v>6.99622149302881</v>
      </c>
      <c r="N12" s="6">
        <f>ROUND(Tabela3[[#This Row],[Lucro Prev]]/10%,2)</f>
        <v>0.24</v>
      </c>
      <c r="O12" s="61">
        <f>MIN(Tabela3[[#This Row],[10% Rent]],Tabela3[[#This Row],[VPA]]*2)</f>
        <v>0.24</v>
      </c>
      <c r="P12" s="19">
        <f>Tabela3[[#This Row],[P Compra]]/Tabela3[[#This Row],[Cotação]]-1</f>
        <v>-0.47826086956521741</v>
      </c>
      <c r="Q12" s="6">
        <f>Tabela3[[#This Row],[Lucro/Ação Ano]]*Tabela3[[#This Row],[Payout]]</f>
        <v>2.3901074606628908E-2</v>
      </c>
      <c r="R12" s="15" t="str">
        <f>IF(AND([% Yield]&gt;=10%,[PVPA]&lt;=2,[PL]&lt;=15,[PL]&gt;0),"Sim","Não")</f>
        <v>Não</v>
      </c>
      <c r="S12" s="46">
        <f>Tabela3[[#This Row],[Lucro Prev]]/Tabela3[[#This Row],[Cotação]]</f>
        <v>5.1958857840497627E-2</v>
      </c>
      <c r="T12" s="46">
        <f>(1+Tabela3[[#This Row],[% Yield]])^(1/12)-1</f>
        <v>4.2300887608377469E-3</v>
      </c>
      <c r="U12" s="14">
        <f>($AA$1/Tabela3[[#This Row],[Cotação]]-MOD($AA$1/Tabela3[[#This Row],[Cotação]],100))</f>
        <v>600</v>
      </c>
      <c r="V12" s="17">
        <f>Tabela3[[#This Row],[Ativos]]*Tabela3[[#This Row],[Lucro Prev]]</f>
        <v>14.340644763977345</v>
      </c>
      <c r="W12" s="5">
        <f>SUMPRODUCT(N(Tabela1[Código]=Tabela3[[#This Row],[PAPEL]]),Tabela1[Fechamento])</f>
        <v>0.46</v>
      </c>
      <c r="X12" s="5">
        <f>SUMPRODUCT(N(Tabela17[Código]=Tabela3[[#This Row],[PAPEL]]),Tabela17[Fechamento])</f>
        <v>0</v>
      </c>
    </row>
    <row r="13" spans="1:27">
      <c r="A13" s="4" t="s">
        <v>14</v>
      </c>
      <c r="B13" s="14" t="s">
        <v>227</v>
      </c>
      <c r="C13" s="15">
        <v>3</v>
      </c>
      <c r="D13" s="6">
        <v>273287000</v>
      </c>
      <c r="E13" s="6">
        <v>47071000</v>
      </c>
      <c r="F13" s="42">
        <v>10541442</v>
      </c>
      <c r="G13" s="15">
        <f>Tabela3[[#This Row],[Lucro Líquido]]/Tabela3[[#This Row],[Total Ações]]</f>
        <v>4.4653283677887714</v>
      </c>
      <c r="H13" s="15">
        <f>Tabela3[[#This Row],[Lucro/Ação]]/Tabela3[[#This Row],[Ref]]*4</f>
        <v>5.9537711570516949</v>
      </c>
      <c r="I13" s="19">
        <f>IF(GETPIVOTDATA("Payout",'Tabela LL'!$A$3,"Ativo",Tabela3[[#This Row],[PAPEL]])&gt;1,1,GETPIVOTDATA("Payout",'Tabela LL'!$A$3,"Ativo",Tabela3[[#This Row],[PAPEL]]))</f>
        <v>0.55210929465239156</v>
      </c>
      <c r="J13" s="6">
        <f>[Patrimônio Líquido]/[Total Ações]</f>
        <v>25.925011018416644</v>
      </c>
      <c r="K13" s="52">
        <f>MAX(Tabela3[[#This Row],[Cotação 1]],Tabela3[[#This Row],[Cotação 2]])</f>
        <v>43.25</v>
      </c>
      <c r="L13" s="48">
        <f>[Cotação]/[VPA]</f>
        <v>1.6682731578889594</v>
      </c>
      <c r="M13" s="44">
        <f>IF(Tabela3[[#This Row],[Lucro/Ação Ano]]&gt;0,Tabela3[[#This Row],[Cotação]]/Tabela3[[#This Row],[Lucro/Ação Ano]],0)</f>
        <v>7.2643033900915635</v>
      </c>
      <c r="N13" s="6">
        <f>ROUND(Tabela3[[#This Row],[Lucro Prev]]/10%,2)</f>
        <v>32.869999999999997</v>
      </c>
      <c r="O13" s="61">
        <f>MIN(Tabela3[[#This Row],[10% Rent]],Tabela3[[#This Row],[VPA]]*2)</f>
        <v>32.869999999999997</v>
      </c>
      <c r="P13" s="19">
        <f>Tabela3[[#This Row],[P Compra]]/Tabela3[[#This Row],[Cotação]]-1</f>
        <v>-0.2400000000000001</v>
      </c>
      <c r="Q13" s="6">
        <f>Tabela3[[#This Row],[Lucro/Ação Ano]]*Tabela3[[#This Row],[Payout]]</f>
        <v>3.2871323940415644</v>
      </c>
      <c r="R13" s="15" t="str">
        <f>IF(AND([% Yield]&gt;=10%,[PVPA]&lt;=2,[PL]&lt;=15,[PL]&gt;0),"Sim","Não")</f>
        <v>Não</v>
      </c>
      <c r="S13" s="46">
        <f>Tabela3[[#This Row],[Lucro Prev]]/Tabela3[[#This Row],[Cotação]]</f>
        <v>7.6003061133909006E-2</v>
      </c>
      <c r="T13" s="46">
        <f>(1+Tabela3[[#This Row],[% Yield]])^(1/12)-1</f>
        <v>6.1231122995155651E-3</v>
      </c>
      <c r="U13" s="14">
        <f>($AA$1/Tabela3[[#This Row],[Cotação]]-MOD($AA$1/Tabela3[[#This Row],[Cotação]],100))</f>
        <v>0</v>
      </c>
      <c r="V13" s="17">
        <f>Tabela3[[#This Row],[Ativos]]*Tabela3[[#This Row],[Lucro Prev]]</f>
        <v>0</v>
      </c>
      <c r="W13" s="5">
        <f>SUMPRODUCT(N(Tabela1[Código]=Tabela3[[#This Row],[PAPEL]]),Tabela1[Fechamento])</f>
        <v>43.25</v>
      </c>
      <c r="X13" s="5">
        <f>SUMPRODUCT(N(Tabela17[Código]=Tabela3[[#This Row],[PAPEL]]),Tabela17[Fechamento])</f>
        <v>0</v>
      </c>
    </row>
    <row r="14" spans="1:27">
      <c r="A14" s="4" t="s">
        <v>14</v>
      </c>
      <c r="B14" s="14" t="s">
        <v>228</v>
      </c>
      <c r="C14" s="15">
        <v>3</v>
      </c>
      <c r="D14" s="6">
        <v>273287000</v>
      </c>
      <c r="E14" s="6">
        <v>47071000</v>
      </c>
      <c r="F14" s="42">
        <v>10541442</v>
      </c>
      <c r="G14" s="15">
        <f>Tabela3[[#This Row],[Lucro Líquido]]/Tabela3[[#This Row],[Total Ações]]</f>
        <v>4.4653283677887714</v>
      </c>
      <c r="H14" s="15">
        <f>Tabela3[[#This Row],[Lucro/Ação]]/Tabela3[[#This Row],[Ref]]*4</f>
        <v>5.9537711570516949</v>
      </c>
      <c r="I14" s="19">
        <f>IF(GETPIVOTDATA("Payout",'Tabela LL'!$A$3,"Ativo",Tabela3[[#This Row],[PAPEL]])&gt;1,1,GETPIVOTDATA("Payout",'Tabela LL'!$A$3,"Ativo",Tabela3[[#This Row],[PAPEL]]))</f>
        <v>0.60740107618893502</v>
      </c>
      <c r="J14" s="6">
        <f>[Patrimônio Líquido]/[Total Ações]</f>
        <v>25.925011018416644</v>
      </c>
      <c r="K14" s="52">
        <f>MAX(Tabela3[[#This Row],[Cotação 1]],Tabela3[[#This Row],[Cotação 2]])</f>
        <v>45</v>
      </c>
      <c r="L14" s="48">
        <f>[Cotação]/[VPA]</f>
        <v>1.7357755400000734</v>
      </c>
      <c r="M14" s="44">
        <f>IF(Tabela3[[#This Row],[Lucro/Ação Ano]]&gt;0,Tabela3[[#This Row],[Cotação]]/Tabela3[[#This Row],[Lucro/Ação Ano]],0)</f>
        <v>7.5582347411357311</v>
      </c>
      <c r="N14" s="6">
        <f>ROUND(Tabela3[[#This Row],[Lucro Prev]]/10%,2)</f>
        <v>36.159999999999997</v>
      </c>
      <c r="O14" s="61">
        <f>MIN(Tabela3[[#This Row],[10% Rent]],Tabela3[[#This Row],[VPA]]*2)</f>
        <v>36.159999999999997</v>
      </c>
      <c r="P14" s="19">
        <f>Tabela3[[#This Row],[P Compra]]/Tabela3[[#This Row],[Cotação]]-1</f>
        <v>-0.19644444444444453</v>
      </c>
      <c r="Q14" s="6">
        <f>Tabela3[[#This Row],[Lucro/Ação Ano]]*Tabela3[[#This Row],[Payout]]</f>
        <v>3.6163270081758405</v>
      </c>
      <c r="R14" s="15" t="str">
        <f>IF(AND([% Yield]&gt;=10%,[PVPA]&lt;=2,[PL]&lt;=15,[PL]&gt;0),"Sim","Não")</f>
        <v>Não</v>
      </c>
      <c r="S14" s="46">
        <f>Tabela3[[#This Row],[Lucro Prev]]/Tabela3[[#This Row],[Cotação]]</f>
        <v>8.0362822403907561E-2</v>
      </c>
      <c r="T14" s="46">
        <f>(1+Tabela3[[#This Row],[% Yield]])^(1/12)-1</f>
        <v>6.4622014526747318E-3</v>
      </c>
      <c r="U14" s="14">
        <f>($AA$1/Tabela3[[#This Row],[Cotação]]-MOD($AA$1/Tabela3[[#This Row],[Cotação]],100))</f>
        <v>0</v>
      </c>
      <c r="V14" s="17">
        <f>Tabela3[[#This Row],[Ativos]]*Tabela3[[#This Row],[Lucro Prev]]</f>
        <v>0</v>
      </c>
      <c r="W14" s="5">
        <f>SUMPRODUCT(N(Tabela1[Código]=Tabela3[[#This Row],[PAPEL]]),Tabela1[Fechamento])</f>
        <v>45</v>
      </c>
      <c r="X14" s="5">
        <f>SUMPRODUCT(N(Tabela17[Código]=Tabela3[[#This Row],[PAPEL]]),Tabela17[Fechamento])</f>
        <v>0</v>
      </c>
    </row>
    <row r="15" spans="1:27">
      <c r="A15" s="4" t="s">
        <v>14</v>
      </c>
      <c r="B15" s="14" t="s">
        <v>234</v>
      </c>
      <c r="C15" s="15">
        <v>3</v>
      </c>
      <c r="D15" s="6">
        <v>1922945000</v>
      </c>
      <c r="E15" s="6">
        <v>22434000</v>
      </c>
      <c r="F15" s="42">
        <v>252903569</v>
      </c>
      <c r="G15" s="15">
        <f>Tabela3[[#This Row],[Lucro Líquido]]/Tabela3[[#This Row],[Total Ações]]</f>
        <v>8.8705746971882396E-2</v>
      </c>
      <c r="H15" s="15">
        <f>Tabela3[[#This Row],[Lucro/Ação]]/Tabela3[[#This Row],[Ref]]*4</f>
        <v>0.11827432929584319</v>
      </c>
      <c r="I15" s="19">
        <f>IF(GETPIVOTDATA("Payout",'Tabela LL'!$A$3,"Ativo",Tabela3[[#This Row],[PAPEL]])&gt;1,1,GETPIVOTDATA("Payout",'Tabela LL'!$A$3,"Ativo",Tabela3[[#This Row],[PAPEL]]))</f>
        <v>0.69029873873004899</v>
      </c>
      <c r="J15" s="6">
        <f>[Patrimônio Líquido]/[Total Ações]</f>
        <v>7.60347118707526</v>
      </c>
      <c r="K15" s="52">
        <f>MAX(Tabela3[[#This Row],[Cotação 1]],Tabela3[[#This Row],[Cotação 2]])</f>
        <v>9.65</v>
      </c>
      <c r="L15" s="48">
        <f>[Cotação]/[VPA]</f>
        <v>1.269157173424097</v>
      </c>
      <c r="M15" s="44">
        <f>IF(Tabela3[[#This Row],[Lucro/Ação Ano]]&gt;0,Tabela3[[#This Row],[Cotação]]/Tabela3[[#This Row],[Lucro/Ação Ano]],0)</f>
        <v>81.589978632321476</v>
      </c>
      <c r="N15" s="6">
        <f>ROUND(Tabela3[[#This Row],[Lucro Prev]]/10%,2)</f>
        <v>0.82</v>
      </c>
      <c r="O15" s="61">
        <f>MIN(Tabela3[[#This Row],[10% Rent]],Tabela3[[#This Row],[VPA]]*2)</f>
        <v>0.82</v>
      </c>
      <c r="P15" s="19">
        <f>Tabela3[[#This Row],[P Compra]]/Tabela3[[#This Row],[Cotação]]-1</f>
        <v>-0.91502590673575135</v>
      </c>
      <c r="Q15" s="6">
        <f>Tabela3[[#This Row],[Lucro/Ação Ano]]*Tabela3[[#This Row],[Payout]]</f>
        <v>8.1644620337063045E-2</v>
      </c>
      <c r="R15" s="15" t="str">
        <f>IF(AND([% Yield]&gt;=10%,[PVPA]&lt;=2,[PL]&lt;=15,[PL]&gt;0),"Sim","Não")</f>
        <v>Não</v>
      </c>
      <c r="S15" s="46">
        <f>Tabela3[[#This Row],[Lucro Prev]]/Tabela3[[#This Row],[Cotação]]</f>
        <v>8.4605824183485012E-3</v>
      </c>
      <c r="T15" s="46">
        <f>(1+Tabela3[[#This Row],[% Yield]])^(1/12)-1</f>
        <v>7.0232920875379357E-4</v>
      </c>
      <c r="U15" s="14">
        <f>($AA$1/Tabela3[[#This Row],[Cotação]]-MOD($AA$1/Tabela3[[#This Row],[Cotação]],100))</f>
        <v>0</v>
      </c>
      <c r="V15" s="17">
        <f>Tabela3[[#This Row],[Ativos]]*Tabela3[[#This Row],[Lucro Prev]]</f>
        <v>0</v>
      </c>
      <c r="W15" s="5">
        <f>SUMPRODUCT(N(Tabela1[Código]=Tabela3[[#This Row],[PAPEL]]),Tabela1[Fechamento])</f>
        <v>9.65</v>
      </c>
      <c r="X15" s="5">
        <f>SUMPRODUCT(N(Tabela17[Código]=Tabela3[[#This Row],[PAPEL]]),Tabela17[Fechamento])</f>
        <v>0</v>
      </c>
    </row>
    <row r="16" spans="1:27">
      <c r="A16" s="4" t="s">
        <v>14</v>
      </c>
      <c r="B16" s="14" t="s">
        <v>10</v>
      </c>
      <c r="C16" s="15">
        <v>3</v>
      </c>
      <c r="D16" s="6">
        <v>1922945000</v>
      </c>
      <c r="E16" s="6">
        <v>22434000</v>
      </c>
      <c r="F16" s="42">
        <v>252903569</v>
      </c>
      <c r="G16" s="15">
        <f>Tabela3[[#This Row],[Lucro Líquido]]/Tabela3[[#This Row],[Total Ações]]</f>
        <v>8.8705746971882396E-2</v>
      </c>
      <c r="H16" s="15">
        <f>Tabela3[[#This Row],[Lucro/Ação]]/Tabela3[[#This Row],[Ref]]*4</f>
        <v>0.11827432929584319</v>
      </c>
      <c r="I16" s="19">
        <f>IF(GETPIVOTDATA("Payout",'Tabela LL'!$A$3,"Ativo",Tabela3[[#This Row],[PAPEL]])&gt;1,1,GETPIVOTDATA("Payout",'Tabela LL'!$A$3,"Ativo",Tabela3[[#This Row],[PAPEL]]))</f>
        <v>0.69029873873004899</v>
      </c>
      <c r="J16" s="6">
        <f>[Patrimônio Líquido]/[Total Ações]</f>
        <v>7.60347118707526</v>
      </c>
      <c r="K16" s="52">
        <f>MAX(Tabela3[[#This Row],[Cotação 1]],Tabela3[[#This Row],[Cotação 2]])</f>
        <v>7.4</v>
      </c>
      <c r="L16" s="48">
        <f>[Cotação]/[VPA]</f>
        <v>0.97323969775526609</v>
      </c>
      <c r="M16" s="44">
        <f>IF(Tabela3[[#This Row],[Lucro/Ação Ano]]&gt;0,Tabela3[[#This Row],[Cotação]]/Tabela3[[#This Row],[Lucro/Ação Ano]],0)</f>
        <v>62.56640848488901</v>
      </c>
      <c r="N16" s="6">
        <f>ROUND(Tabela3[[#This Row],[Lucro Prev]]/10%,2)</f>
        <v>0.82</v>
      </c>
      <c r="O16" s="61">
        <f>MIN(Tabela3[[#This Row],[10% Rent]],Tabela3[[#This Row],[VPA]]*2)</f>
        <v>0.82</v>
      </c>
      <c r="P16" s="19">
        <f>Tabela3[[#This Row],[P Compra]]/Tabela3[[#This Row],[Cotação]]-1</f>
        <v>-0.88918918918918921</v>
      </c>
      <c r="Q16" s="6">
        <f>Tabela3[[#This Row],[Lucro/Ação Ano]]*Tabela3[[#This Row],[Payout]]</f>
        <v>8.1644620337063045E-2</v>
      </c>
      <c r="R16" s="15" t="str">
        <f>IF(AND([% Yield]&gt;=10%,[PVPA]&lt;=2,[PL]&lt;=15,[PL]&gt;0),"Sim","Não")</f>
        <v>Não</v>
      </c>
      <c r="S16" s="46">
        <f>Tabela3[[#This Row],[Lucro Prev]]/Tabela3[[#This Row],[Cotação]]</f>
        <v>1.1033056802305817E-2</v>
      </c>
      <c r="T16" s="46">
        <f>(1+Tabela3[[#This Row],[% Yield]])^(1/12)-1</f>
        <v>9.1480456515014019E-4</v>
      </c>
      <c r="U16" s="14">
        <f>($AA$1/Tabela3[[#This Row],[Cotação]]-MOD($AA$1/Tabela3[[#This Row],[Cotação]],100))</f>
        <v>0</v>
      </c>
      <c r="V16" s="17">
        <f>Tabela3[[#This Row],[Ativos]]*Tabela3[[#This Row],[Lucro Prev]]</f>
        <v>0</v>
      </c>
      <c r="W16" s="5">
        <f>SUMPRODUCT(N(Tabela1[Código]=Tabela3[[#This Row],[PAPEL]]),Tabela1[Fechamento])</f>
        <v>7.4</v>
      </c>
      <c r="X16" s="5">
        <f>SUMPRODUCT(N(Tabela17[Código]=Tabela3[[#This Row],[PAPEL]]),Tabela17[Fechamento])</f>
        <v>0</v>
      </c>
    </row>
    <row r="17" spans="1:24">
      <c r="A17" s="4" t="s">
        <v>14</v>
      </c>
      <c r="B17" s="14" t="s">
        <v>238</v>
      </c>
      <c r="C17" s="15">
        <v>3</v>
      </c>
      <c r="D17" s="6">
        <v>56483000</v>
      </c>
      <c r="E17" s="6">
        <v>1359000</v>
      </c>
      <c r="F17" s="42">
        <v>182520000</v>
      </c>
      <c r="G17" s="15">
        <f>Tabela3[[#This Row],[Lucro Líquido]]/Tabela3[[#This Row],[Total Ações]]</f>
        <v>7.4457593688362919E-3</v>
      </c>
      <c r="H17" s="15">
        <f>Tabela3[[#This Row],[Lucro/Ação]]/Tabela3[[#This Row],[Ref]]*4</f>
        <v>9.9276791584483898E-3</v>
      </c>
      <c r="I17" s="19">
        <f>IF(GETPIVOTDATA("Payout",'Tabela LL'!$A$3,"Ativo",Tabela3[[#This Row],[PAPEL]])&gt;1,1,GETPIVOTDATA("Payout",'Tabela LL'!$A$3,"Ativo",Tabela3[[#This Row],[PAPEL]]))</f>
        <v>0.29293027940656419</v>
      </c>
      <c r="J17" s="6">
        <f>[Patrimônio Líquido]/[Total Ações]</f>
        <v>0.30946197676966908</v>
      </c>
      <c r="K17" s="52">
        <f>MAX(Tabela3[[#This Row],[Cotação 1]],Tabela3[[#This Row],[Cotação 2]])</f>
        <v>1.1000000000000001</v>
      </c>
      <c r="L17" s="48">
        <f>[Cotação]/[VPA]</f>
        <v>3.5545562381601545</v>
      </c>
      <c r="M17" s="44">
        <f>IF(Tabela3[[#This Row],[Lucro/Ação Ano]]&gt;0,Tabela3[[#This Row],[Cotação]]/Tabela3[[#This Row],[Lucro/Ação Ano]],0)</f>
        <v>110.80132450331126</v>
      </c>
      <c r="N17" s="6">
        <f>ROUND(Tabela3[[#This Row],[Lucro Prev]]/10%,2)</f>
        <v>0.03</v>
      </c>
      <c r="O17" s="61">
        <f>MIN(Tabela3[[#This Row],[10% Rent]],Tabela3[[#This Row],[VPA]]*2)</f>
        <v>0.03</v>
      </c>
      <c r="P17" s="19">
        <f>Tabela3[[#This Row],[P Compra]]/Tabela3[[#This Row],[Cotação]]-1</f>
        <v>-0.97272727272727277</v>
      </c>
      <c r="Q17" s="6">
        <f>Tabela3[[#This Row],[Lucro/Ação Ano]]*Tabela3[[#This Row],[Payout]]</f>
        <v>2.9081178297430108E-3</v>
      </c>
      <c r="R17" s="15" t="str">
        <f>IF(AND([% Yield]&gt;=10%,[PVPA]&lt;=2,[PL]&lt;=15,[PL]&gt;0),"Sim","Não")</f>
        <v>Não</v>
      </c>
      <c r="S17" s="46">
        <f>Tabela3[[#This Row],[Lucro Prev]]/Tabela3[[#This Row],[Cotação]]</f>
        <v>2.6437434815845553E-3</v>
      </c>
      <c r="T17" s="46">
        <f>(1+Tabela3[[#This Row],[% Yield]])^(1/12)-1</f>
        <v>2.2004545136389275E-4</v>
      </c>
      <c r="U17" s="14">
        <f>($AA$1/Tabela3[[#This Row],[Cotação]]-MOD($AA$1/Tabela3[[#This Row],[Cotação]],100))</f>
        <v>200</v>
      </c>
      <c r="V17" s="17">
        <f>Tabela3[[#This Row],[Ativos]]*Tabela3[[#This Row],[Lucro Prev]]</f>
        <v>0.58162356594860221</v>
      </c>
      <c r="W17" s="5">
        <f>SUMPRODUCT(N(Tabela1[Código]=Tabela3[[#This Row],[PAPEL]]),Tabela1[Fechamento])</f>
        <v>1.1000000000000001</v>
      </c>
      <c r="X17" s="5">
        <f>SUMPRODUCT(N(Tabela17[Código]=Tabela3[[#This Row],[PAPEL]]),Tabela17[Fechamento])</f>
        <v>0</v>
      </c>
    </row>
    <row r="18" spans="1:24">
      <c r="A18" s="4" t="s">
        <v>14</v>
      </c>
      <c r="B18" s="14" t="s">
        <v>63</v>
      </c>
      <c r="C18" s="15">
        <v>3</v>
      </c>
      <c r="D18" s="6">
        <v>56483000</v>
      </c>
      <c r="E18" s="6">
        <v>1359000</v>
      </c>
      <c r="F18" s="42">
        <v>182520000</v>
      </c>
      <c r="G18" s="15">
        <f>Tabela3[[#This Row],[Lucro Líquido]]/Tabela3[[#This Row],[Total Ações]]</f>
        <v>7.4457593688362919E-3</v>
      </c>
      <c r="H18" s="15">
        <f>Tabela3[[#This Row],[Lucro/Ação]]/Tabela3[[#This Row],[Ref]]*4</f>
        <v>9.9276791584483898E-3</v>
      </c>
      <c r="I18" s="19">
        <f>IF(GETPIVOTDATA("Payout",'Tabela LL'!$A$3,"Ativo",Tabela3[[#This Row],[PAPEL]])&gt;1,1,GETPIVOTDATA("Payout",'Tabela LL'!$A$3,"Ativo",Tabela3[[#This Row],[PAPEL]]))</f>
        <v>0.49690562667042543</v>
      </c>
      <c r="J18" s="6">
        <f>[Patrimônio Líquido]/[Total Ações]</f>
        <v>0.30946197676966908</v>
      </c>
      <c r="K18" s="52">
        <f>MAX(Tabela3[[#This Row],[Cotação 1]],Tabela3[[#This Row],[Cotação 2]])</f>
        <v>0.26</v>
      </c>
      <c r="L18" s="48">
        <f>[Cotação]/[VPA]</f>
        <v>0.84016783811058193</v>
      </c>
      <c r="M18" s="44">
        <f>IF(Tabela3[[#This Row],[Lucro/Ação Ano]]&gt;0,Tabela3[[#This Row],[Cotação]]/Tabela3[[#This Row],[Lucro/Ação Ano]],0)</f>
        <v>26.189403973509933</v>
      </c>
      <c r="N18" s="6">
        <f>ROUND(Tabela3[[#This Row],[Lucro Prev]]/10%,2)</f>
        <v>0.05</v>
      </c>
      <c r="O18" s="61">
        <f>MIN(Tabela3[[#This Row],[10% Rent]],Tabela3[[#This Row],[VPA]]*2)</f>
        <v>0.05</v>
      </c>
      <c r="P18" s="19">
        <f>Tabela3[[#This Row],[P Compra]]/Tabela3[[#This Row],[Cotação]]-1</f>
        <v>-0.80769230769230771</v>
      </c>
      <c r="Q18" s="6">
        <f>Tabela3[[#This Row],[Lucro/Ação Ano]]*Tabela3[[#This Row],[Payout]]</f>
        <v>4.9331196336117192E-3</v>
      </c>
      <c r="R18" s="15" t="str">
        <f>IF(AND([% Yield]&gt;=10%,[PVPA]&lt;=2,[PL]&lt;=15,[PL]&gt;0),"Sim","Não")</f>
        <v>Não</v>
      </c>
      <c r="S18" s="46">
        <f>Tabela3[[#This Row],[Lucro Prev]]/Tabela3[[#This Row],[Cotação]]</f>
        <v>1.8973537052352767E-2</v>
      </c>
      <c r="T18" s="46">
        <f>(1+Tabela3[[#This Row],[% Yield]])^(1/12)-1</f>
        <v>1.5675426773411605E-3</v>
      </c>
      <c r="U18" s="14">
        <f>($AA$1/Tabela3[[#This Row],[Cotação]]-MOD($AA$1/Tabela3[[#This Row],[Cotação]],100))</f>
        <v>1100</v>
      </c>
      <c r="V18" s="17">
        <f>Tabela3[[#This Row],[Ativos]]*Tabela3[[#This Row],[Lucro Prev]]</f>
        <v>5.4264315969728916</v>
      </c>
      <c r="W18" s="5">
        <f>SUMPRODUCT(N(Tabela1[Código]=Tabela3[[#This Row],[PAPEL]]),Tabela1[Fechamento])</f>
        <v>0.26</v>
      </c>
      <c r="X18" s="5">
        <f>SUMPRODUCT(N(Tabela17[Código]=Tabela3[[#This Row],[PAPEL]]),Tabela17[Fechamento])</f>
        <v>0</v>
      </c>
    </row>
    <row r="19" spans="1:24">
      <c r="A19" s="4" t="s">
        <v>14</v>
      </c>
      <c r="B19" s="14" t="s">
        <v>240</v>
      </c>
      <c r="C19" s="15">
        <v>3</v>
      </c>
      <c r="D19" s="6">
        <v>2513911000</v>
      </c>
      <c r="E19" s="6">
        <v>303723000</v>
      </c>
      <c r="F19" s="42">
        <v>87001901</v>
      </c>
      <c r="G19" s="15">
        <f>Tabela3[[#This Row],[Lucro Líquido]]/Tabela3[[#This Row],[Total Ações]]</f>
        <v>3.4909926853207494</v>
      </c>
      <c r="H19" s="15">
        <f>Tabela3[[#This Row],[Lucro/Ação]]/Tabela3[[#This Row],[Ref]]*4</f>
        <v>4.6546569137609994</v>
      </c>
      <c r="I19" s="19">
        <f>IF(GETPIVOTDATA("Payout",'Tabela LL'!$A$3,"Ativo",Tabela3[[#This Row],[PAPEL]])&gt;1,1,GETPIVOTDATA("Payout",'Tabela LL'!$A$3,"Ativo",Tabela3[[#This Row],[PAPEL]]))</f>
        <v>0.50160075598307408</v>
      </c>
      <c r="J19" s="6">
        <f>[Patrimônio Líquido]/[Total Ações]</f>
        <v>28.894897365518485</v>
      </c>
      <c r="K19" s="52">
        <f>MAX(Tabela3[[#This Row],[Cotação 1]],Tabela3[[#This Row],[Cotação 2]])</f>
        <v>28.74</v>
      </c>
      <c r="L19" s="48">
        <f>[Cotação]/[VPA]</f>
        <v>0.99463928306928917</v>
      </c>
      <c r="M19" s="44">
        <f>IF(Tabela3[[#This Row],[Lucro/Ação Ano]]&gt;0,Tabela3[[#This Row],[Cotação]]/Tabela3[[#This Row],[Lucro/Ação Ano]],0)</f>
        <v>6.174461519394316</v>
      </c>
      <c r="N19" s="6">
        <f>ROUND(Tabela3[[#This Row],[Lucro Prev]]/10%,2)</f>
        <v>23.35</v>
      </c>
      <c r="O19" s="61">
        <f>MIN(Tabela3[[#This Row],[10% Rent]],Tabela3[[#This Row],[VPA]]*2)</f>
        <v>23.35</v>
      </c>
      <c r="P19" s="19">
        <f>Tabela3[[#This Row],[P Compra]]/Tabela3[[#This Row],[Cotação]]-1</f>
        <v>-0.18754349338900478</v>
      </c>
      <c r="Q19" s="6">
        <f>Tabela3[[#This Row],[Lucro/Ação Ano]]*Tabela3[[#This Row],[Payout]]</f>
        <v>2.3347794267843596</v>
      </c>
      <c r="R19" s="15" t="str">
        <f>IF(AND([% Yield]&gt;=10%,[PVPA]&lt;=2,[PL]&lt;=15,[PL]&gt;0),"Sim","Não")</f>
        <v>Não</v>
      </c>
      <c r="S19" s="46">
        <f>Tabela3[[#This Row],[Lucro Prev]]/Tabela3[[#This Row],[Cotação]]</f>
        <v>8.1237975879761989E-2</v>
      </c>
      <c r="T19" s="46">
        <f>(1+Tabela3[[#This Row],[% Yield]])^(1/12)-1</f>
        <v>6.5301170657010577E-3</v>
      </c>
      <c r="U19" s="14">
        <f>($AA$1/Tabela3[[#This Row],[Cotação]]-MOD($AA$1/Tabela3[[#This Row],[Cotação]],100))</f>
        <v>0</v>
      </c>
      <c r="V19" s="17">
        <f>Tabela3[[#This Row],[Ativos]]*Tabela3[[#This Row],[Lucro Prev]]</f>
        <v>0</v>
      </c>
      <c r="W19" s="5">
        <f>SUMPRODUCT(N(Tabela1[Código]=Tabela3[[#This Row],[PAPEL]]),Tabela1[Fechamento])</f>
        <v>28.74</v>
      </c>
      <c r="X19" s="5">
        <f>SUMPRODUCT(N(Tabela17[Código]=Tabela3[[#This Row],[PAPEL]]),Tabela17[Fechamento])</f>
        <v>0</v>
      </c>
    </row>
    <row r="20" spans="1:24">
      <c r="A20" s="4" t="s">
        <v>14</v>
      </c>
      <c r="B20" s="14" t="s">
        <v>241</v>
      </c>
      <c r="C20" s="15">
        <v>3</v>
      </c>
      <c r="D20" s="6">
        <v>2513911000</v>
      </c>
      <c r="E20" s="6">
        <v>303723000</v>
      </c>
      <c r="F20" s="42">
        <v>87001901</v>
      </c>
      <c r="G20" s="15">
        <f>Tabela3[[#This Row],[Lucro Líquido]]/Tabela3[[#This Row],[Total Ações]]</f>
        <v>3.4909926853207494</v>
      </c>
      <c r="H20" s="15">
        <f>Tabela3[[#This Row],[Lucro/Ação]]/Tabela3[[#This Row],[Ref]]*4</f>
        <v>4.6546569137609994</v>
      </c>
      <c r="I20" s="19">
        <f>IF(GETPIVOTDATA("Payout",'Tabela LL'!$A$3,"Ativo",Tabela3[[#This Row],[PAPEL]])&gt;1,1,GETPIVOTDATA("Payout",'Tabela LL'!$A$3,"Ativo",Tabela3[[#This Row],[PAPEL]]))</f>
        <v>0.55176083148968624</v>
      </c>
      <c r="J20" s="6">
        <f>[Patrimônio Líquido]/[Total Ações]</f>
        <v>28.894897365518485</v>
      </c>
      <c r="K20" s="52">
        <f>MAX(Tabela3[[#This Row],[Cotação 1]],Tabela3[[#This Row],[Cotação 2]])</f>
        <v>23.54</v>
      </c>
      <c r="L20" s="48">
        <f>[Cotação]/[VPA]</f>
        <v>0.81467671271576436</v>
      </c>
      <c r="M20" s="44">
        <f>IF(Tabela3[[#This Row],[Lucro/Ação Ano]]&gt;0,Tabela3[[#This Row],[Cotação]]/Tabela3[[#This Row],[Lucro/Ação Ano]],0)</f>
        <v>5.0573007712784346</v>
      </c>
      <c r="N20" s="6">
        <f>ROUND(Tabela3[[#This Row],[Lucro Prev]]/10%,2)</f>
        <v>25.68</v>
      </c>
      <c r="O20" s="61">
        <f>MIN(Tabela3[[#This Row],[10% Rent]],Tabela3[[#This Row],[VPA]]*2)</f>
        <v>25.68</v>
      </c>
      <c r="P20" s="19">
        <f>Tabela3[[#This Row],[P Compra]]/Tabela3[[#This Row],[Cotação]]-1</f>
        <v>9.0909090909090828E-2</v>
      </c>
      <c r="Q20" s="6">
        <f>Tabela3[[#This Row],[Lucro/Ação Ano]]*Tabela3[[#This Row],[Payout]]</f>
        <v>2.5682573690359858</v>
      </c>
      <c r="R20" s="15" t="str">
        <f>IF(AND([% Yield]&gt;=10%,[PVPA]&lt;=2,[PL]&lt;=15,[PL]&gt;0),"Sim","Não")</f>
        <v>Sim</v>
      </c>
      <c r="S20" s="46">
        <f>Tabela3[[#This Row],[Lucro Prev]]/Tabela3[[#This Row],[Cotação]]</f>
        <v>0.10910184235496967</v>
      </c>
      <c r="T20" s="97">
        <f>(1+Tabela3[[#This Row],[% Yield]])^(1/12)-1</f>
        <v>8.6665503654428377E-3</v>
      </c>
      <c r="U20" s="14">
        <f>($AA$1/Tabela3[[#This Row],[Cotação]]-MOD($AA$1/Tabela3[[#This Row],[Cotação]],100))</f>
        <v>0</v>
      </c>
      <c r="V20" s="17">
        <f>Tabela3[[#This Row],[Ativos]]*Tabela3[[#This Row],[Lucro Prev]]</f>
        <v>0</v>
      </c>
      <c r="W20" s="5">
        <f>SUMPRODUCT(N(Tabela1[Código]=Tabela3[[#This Row],[PAPEL]]),Tabela1[Fechamento])</f>
        <v>23.54</v>
      </c>
      <c r="X20" s="5">
        <f>SUMPRODUCT(N(Tabela17[Código]=Tabela3[[#This Row],[PAPEL]]),Tabela17[Fechamento])</f>
        <v>0</v>
      </c>
    </row>
    <row r="21" spans="1:24">
      <c r="A21" s="3" t="s">
        <v>337</v>
      </c>
      <c r="B21" s="73" t="s">
        <v>335</v>
      </c>
      <c r="C21" s="16">
        <v>3</v>
      </c>
      <c r="D21" s="5">
        <v>10031194000</v>
      </c>
      <c r="E21" s="5">
        <v>852679000</v>
      </c>
      <c r="F21" s="21">
        <v>349547945</v>
      </c>
      <c r="G21" s="71">
        <f>Tabela3[[#This Row],[Lucro Líquido]]/Tabela3[[#This Row],[Total Ações]]</f>
        <v>2.439376377967263</v>
      </c>
      <c r="H21" s="16">
        <f>Tabela3[[#This Row],[Lucro/Ação]]/Tabela3[[#This Row],[Ref]]*4</f>
        <v>3.2525018372896839</v>
      </c>
      <c r="I21" s="18">
        <f>IF(GETPIVOTDATA("Payout",'Tabela LL'!$A$3,"Ativo",Tabela3[[#This Row],[PAPEL]])&gt;1,1,GETPIVOTDATA("Payout",'Tabela LL'!$A$3,"Ativo",Tabela3[[#This Row],[PAPEL]]))</f>
        <v>0.33996836443315553</v>
      </c>
      <c r="J21" s="5">
        <f>[Patrimônio Líquido]/[Total Ações]</f>
        <v>28.697619721380423</v>
      </c>
      <c r="K21" s="58">
        <f>MAX(Tabela3[[#This Row],[Cotação 1]],Tabela3[[#This Row],[Cotação 2]])</f>
        <v>18.16</v>
      </c>
      <c r="L21" s="59">
        <f>[Cotação]/[VPA]</f>
        <v>0.6328050959038376</v>
      </c>
      <c r="M21" s="40">
        <f>IF(Tabela3[[#This Row],[Lucro/Ação Ano]]&gt;0,Tabela3[[#This Row],[Cotação]]/Tabela3[[#This Row],[Lucro/Ação Ano]],0)</f>
        <v>5.5833942326479251</v>
      </c>
      <c r="N21" s="7">
        <f>ROUND(Tabela3[[#This Row],[Lucro Prev]]/10%,2)</f>
        <v>11.06</v>
      </c>
      <c r="O21" s="51">
        <f>MIN(Tabela3[[#This Row],[10% Rent]],Tabela3[[#This Row],[VPA]]*2)</f>
        <v>11.06</v>
      </c>
      <c r="P21" s="18">
        <f>Tabela3[[#This Row],[P Compra]]/Tabela3[[#This Row],[Cotação]]-1</f>
        <v>-0.3909691629955947</v>
      </c>
      <c r="Q21" s="5">
        <f>Tabela3[[#This Row],[Lucro/Ação Ano]]*Tabela3[[#This Row],[Payout]]</f>
        <v>1.1057477299392071</v>
      </c>
      <c r="R21" s="16" t="str">
        <f>IF(AND([% Yield]&gt;=10%,[PVPA]&lt;=2,[PL]&lt;=15,[PL]&gt;0),"Sim","Não")</f>
        <v>Não</v>
      </c>
      <c r="S21" s="22">
        <f>Tabela3[[#This Row],[Lucro Prev]]/Tabela3[[#This Row],[Cotação]]</f>
        <v>6.0889192177269111E-2</v>
      </c>
      <c r="T21" s="22">
        <f>(1+Tabela3[[#This Row],[% Yield]])^(1/12)-1</f>
        <v>4.9377688837752842E-3</v>
      </c>
      <c r="U21" s="10">
        <f>($AA$1/Tabela3[[#This Row],[Cotação]]-MOD($AA$1/Tabela3[[#This Row],[Cotação]],100))</f>
        <v>0</v>
      </c>
      <c r="V21" s="7">
        <f>Tabela3[[#This Row],[Ativos]]*Tabela3[[#This Row],[Lucro Prev]]</f>
        <v>0</v>
      </c>
      <c r="W21" s="51">
        <f>SUMPRODUCT(N(Tabela1[Código]=Tabela3[[#This Row],[PAPEL]]),Tabela1[Fechamento])</f>
        <v>0</v>
      </c>
      <c r="X21" s="60">
        <f>SUMPRODUCT(N(Tabela17[Código]=Tabela3[[#This Row],[PAPEL]]),Tabela17[Fechamento])</f>
        <v>18.16</v>
      </c>
    </row>
    <row r="22" spans="1:24">
      <c r="A22" s="3" t="s">
        <v>337</v>
      </c>
      <c r="B22" s="76" t="s">
        <v>336</v>
      </c>
      <c r="C22" s="16">
        <v>3</v>
      </c>
      <c r="D22" s="5">
        <v>10031194000</v>
      </c>
      <c r="E22" s="5">
        <v>852679000</v>
      </c>
      <c r="F22" s="21">
        <v>349547945</v>
      </c>
      <c r="G22" s="71">
        <f>Tabela3[[#This Row],[Lucro Líquido]]/Tabela3[[#This Row],[Total Ações]]</f>
        <v>2.439376377967263</v>
      </c>
      <c r="H22" s="16">
        <f>Tabela3[[#This Row],[Lucro/Ação]]/Tabela3[[#This Row],[Ref]]*4</f>
        <v>3.2525018372896839</v>
      </c>
      <c r="I22" s="18">
        <f>IF(GETPIVOTDATA("Payout",'Tabela LL'!$A$3,"Ativo",Tabela3[[#This Row],[PAPEL]])&gt;1,1,GETPIVOTDATA("Payout",'Tabela LL'!$A$3,"Ativo",Tabela3[[#This Row],[PAPEL]]))</f>
        <v>0.37396520131393723</v>
      </c>
      <c r="J22" s="5">
        <f>[Patrimônio Líquido]/[Total Ações]</f>
        <v>28.697619721380423</v>
      </c>
      <c r="K22" s="58">
        <f>MAX(Tabela3[[#This Row],[Cotação 1]],Tabela3[[#This Row],[Cotação 2]])</f>
        <v>22.41</v>
      </c>
      <c r="L22" s="59">
        <f>[Cotação]/[VPA]</f>
        <v>0.78090100215886571</v>
      </c>
      <c r="M22" s="40">
        <f>IF(Tabela3[[#This Row],[Lucro/Ação Ano]]&gt;0,Tabela3[[#This Row],[Cotação]]/Tabela3[[#This Row],[Lucro/Ação Ano]],0)</f>
        <v>6.8900806582400875</v>
      </c>
      <c r="N22" s="7">
        <f>ROUND(Tabela3[[#This Row],[Lucro Prev]]/10%,2)</f>
        <v>12.16</v>
      </c>
      <c r="O22" s="51">
        <f>MIN(Tabela3[[#This Row],[10% Rent]],Tabela3[[#This Row],[VPA]]*2)</f>
        <v>12.16</v>
      </c>
      <c r="P22" s="18">
        <f>Tabela3[[#This Row],[P Compra]]/Tabela3[[#This Row],[Cotação]]-1</f>
        <v>-0.45738509593931276</v>
      </c>
      <c r="Q22" s="5">
        <f>Tabela3[[#This Row],[Lucro/Ação Ano]]*Tabela3[[#This Row],[Payout]]</f>
        <v>1.2163225043559873</v>
      </c>
      <c r="R22" s="16" t="str">
        <f>IF(AND([% Yield]&gt;=10%,[PVPA]&lt;=2,[PL]&lt;=15,[PL]&gt;0),"Sim","Não")</f>
        <v>Não</v>
      </c>
      <c r="S22" s="22">
        <f>Tabela3[[#This Row],[Lucro Prev]]/Tabela3[[#This Row],[Cotação]]</f>
        <v>5.4275881497366681E-2</v>
      </c>
      <c r="T22" s="22">
        <f>(1+Tabela3[[#This Row],[% Yield]])^(1/12)-1</f>
        <v>4.414227711772023E-3</v>
      </c>
      <c r="U22" s="10">
        <f>($AA$1/Tabela3[[#This Row],[Cotação]]-MOD($AA$1/Tabela3[[#This Row],[Cotação]],100))</f>
        <v>0</v>
      </c>
      <c r="V22" s="7">
        <f>Tabela3[[#This Row],[Ativos]]*Tabela3[[#This Row],[Lucro Prev]]</f>
        <v>0</v>
      </c>
      <c r="W22" s="51">
        <f>SUMPRODUCT(N(Tabela1[Código]=Tabela3[[#This Row],[PAPEL]]),Tabela1[Fechamento])</f>
        <v>0</v>
      </c>
      <c r="X22" s="60">
        <f>SUMPRODUCT(N(Tabela17[Código]=Tabela3[[#This Row],[PAPEL]]),Tabela17[Fechamento])</f>
        <v>22.41</v>
      </c>
    </row>
    <row r="23" spans="1:24">
      <c r="A23" s="3" t="s">
        <v>318</v>
      </c>
      <c r="B23" s="73" t="s">
        <v>317</v>
      </c>
      <c r="C23" s="16">
        <v>3</v>
      </c>
      <c r="D23" s="5">
        <v>14822624000</v>
      </c>
      <c r="E23" s="5">
        <v>853987000</v>
      </c>
      <c r="F23" s="21">
        <v>872473246</v>
      </c>
      <c r="G23" s="71">
        <f>Tabela3[[#This Row],[Lucro Líquido]]/Tabela3[[#This Row],[Total Ações]]</f>
        <v>0.97881167579091588</v>
      </c>
      <c r="H23" s="16">
        <f>Tabela3[[#This Row],[Lucro/Ação]]/Tabela3[[#This Row],[Ref]]*4</f>
        <v>1.3050822343878878</v>
      </c>
      <c r="I23" s="18">
        <f>IF(GETPIVOTDATA("Payout",'Tabela LL'!$A$3,"Ativo",Tabela3[[#This Row],[PAPEL]])&gt;1,1,GETPIVOTDATA("Payout",'Tabela LL'!$A$3,"Ativo",Tabela3[[#This Row],[PAPEL]]))</f>
        <v>0.37734950584130339</v>
      </c>
      <c r="J23" s="5">
        <f>[Patrimônio Líquido]/[Total Ações]</f>
        <v>16.989201752554369</v>
      </c>
      <c r="K23" s="58">
        <f>MAX(Tabela3[[#This Row],[Cotação 1]],Tabela3[[#This Row],[Cotação 2]])</f>
        <v>44.71</v>
      </c>
      <c r="L23" s="59">
        <f>[Cotação]/[VPA]</f>
        <v>2.6316716141932766</v>
      </c>
      <c r="M23" s="40">
        <f>IF(Tabela3[[#This Row],[Lucro/Ação Ano]]&gt;0,Tabela3[[#This Row],[Cotação]]/Tabela3[[#This Row],[Lucro/Ação Ano]],0)</f>
        <v>34.258377611714231</v>
      </c>
      <c r="N23" s="7">
        <f>ROUND(Tabela3[[#This Row],[Lucro Prev]]/10%,2)</f>
        <v>4.92</v>
      </c>
      <c r="O23" s="51">
        <f>MIN(Tabela3[[#This Row],[10% Rent]],Tabela3[[#This Row],[VPA]]*2)</f>
        <v>4.92</v>
      </c>
      <c r="P23" s="18">
        <f>Tabela3[[#This Row],[P Compra]]/Tabela3[[#This Row],[Cotação]]-1</f>
        <v>-0.88995750391411321</v>
      </c>
      <c r="Q23" s="5">
        <f>Tabela3[[#This Row],[Lucro/Ação Ano]]*Tabela3[[#This Row],[Payout]]</f>
        <v>0.49247213622853359</v>
      </c>
      <c r="R23" s="16" t="str">
        <f>IF(AND([% Yield]&gt;=10%,[PVPA]&lt;=2,[PL]&lt;=15,[PL]&gt;0),"Sim","Não")</f>
        <v>Não</v>
      </c>
      <c r="S23" s="22">
        <f>Tabela3[[#This Row],[Lucro Prev]]/Tabela3[[#This Row],[Cotação]]</f>
        <v>1.1014809577913969E-2</v>
      </c>
      <c r="T23" s="22">
        <f>(1+Tabela3[[#This Row],[% Yield]])^(1/12)-1</f>
        <v>9.1329916859939075E-4</v>
      </c>
      <c r="U23" s="10">
        <f>($AA$1/Tabela3[[#This Row],[Cotação]]-MOD($AA$1/Tabela3[[#This Row],[Cotação]],100))</f>
        <v>0</v>
      </c>
      <c r="V23" s="7">
        <f>Tabela3[[#This Row],[Ativos]]*Tabela3[[#This Row],[Lucro Prev]]</f>
        <v>0</v>
      </c>
      <c r="W23" s="51">
        <f>SUMPRODUCT(N(Tabela1[Código]=Tabela3[[#This Row],[PAPEL]]),Tabela1[Fechamento])</f>
        <v>0</v>
      </c>
      <c r="X23" s="60">
        <f>SUMPRODUCT(N(Tabela17[Código]=Tabela3[[#This Row],[PAPEL]]),Tabela17[Fechamento])</f>
        <v>44.71</v>
      </c>
    </row>
    <row r="24" spans="1:24">
      <c r="A24" s="4" t="s">
        <v>14</v>
      </c>
      <c r="B24" s="15" t="s">
        <v>253</v>
      </c>
      <c r="C24" s="16">
        <v>3</v>
      </c>
      <c r="D24" s="5">
        <v>843867000</v>
      </c>
      <c r="E24" s="5">
        <v>34502000</v>
      </c>
      <c r="F24" s="21">
        <v>73646388</v>
      </c>
      <c r="G24" s="16">
        <f>Tabela3[[#This Row],[Lucro Líquido]]/Tabela3[[#This Row],[Total Ações]]</f>
        <v>0.46848190300928266</v>
      </c>
      <c r="H24" s="16">
        <f>Tabela3[[#This Row],[Lucro/Ação]]/Tabela3[[#This Row],[Ref]]*4</f>
        <v>0.62464253734571018</v>
      </c>
      <c r="I24" s="18">
        <f>IF(GETPIVOTDATA("Payout",'Tabela LL'!$A$3,"Ativo",Tabela3[[#This Row],[PAPEL]])&gt;1,1,GETPIVOTDATA("Payout",'Tabela LL'!$A$3,"Ativo",Tabela3[[#This Row],[PAPEL]]))</f>
        <v>0.3043021650591613</v>
      </c>
      <c r="J24" s="5">
        <f>[Patrimônio Líquido]/[Total Ações]</f>
        <v>11.45836235716</v>
      </c>
      <c r="K24" s="58">
        <f>MAX(Tabela3[[#This Row],[Cotação 1]],Tabela3[[#This Row],[Cotação 2]])</f>
        <v>3.82</v>
      </c>
      <c r="L24" s="59">
        <f>[Cotação]/[VPA]</f>
        <v>0.33338097373164255</v>
      </c>
      <c r="M24" s="40">
        <f>IF(Tabela3[[#This Row],[Lucro/Ação Ano]]&gt;0,Tabela3[[#This Row],[Cotação]]/Tabela3[[#This Row],[Lucro/Ação Ano]],0)</f>
        <v>6.1154976992638108</v>
      </c>
      <c r="N24" s="5">
        <f>ROUND(Tabela3[[#This Row],[Lucro Prev]]/10%,2)</f>
        <v>1.9</v>
      </c>
      <c r="O24" s="60">
        <f>MIN(Tabela3[[#This Row],[10% Rent]],Tabela3[[#This Row],[VPA]]*2)</f>
        <v>1.9</v>
      </c>
      <c r="P24" s="18">
        <f>Tabela3[[#This Row],[P Compra]]/Tabela3[[#This Row],[Cotação]]-1</f>
        <v>-0.50261780104712039</v>
      </c>
      <c r="Q24" s="5">
        <f>Tabela3[[#This Row],[Lucro/Ação Ano]]*Tabela3[[#This Row],[Payout]]</f>
        <v>0.19008007650234762</v>
      </c>
      <c r="R24" s="16" t="str">
        <f>IF(AND([% Yield]&gt;=10%,[PVPA]&lt;=2,[PL]&lt;=15,[PL]&gt;0),"Sim","Não")</f>
        <v>Não</v>
      </c>
      <c r="S24" s="22">
        <f>Tabela3[[#This Row],[Lucro Prev]]/Tabela3[[#This Row],[Cotação]]</f>
        <v>4.9759182330457494E-2</v>
      </c>
      <c r="T24" s="22">
        <f>(1+Tabela3[[#This Row],[% Yield]])^(1/12)-1</f>
        <v>4.0549313858810887E-3</v>
      </c>
      <c r="U24" s="10">
        <f>($AA$1/Tabela3[[#This Row],[Cotação]]-MOD($AA$1/Tabela3[[#This Row],[Cotação]],100))</f>
        <v>0</v>
      </c>
      <c r="V24" s="7">
        <f>Tabela3[[#This Row],[Ativos]]*Tabela3[[#This Row],[Lucro Prev]]</f>
        <v>0</v>
      </c>
      <c r="W24" s="5">
        <f>SUMPRODUCT(N(Tabela1[Código]=Tabela3[[#This Row],[PAPEL]]),Tabela1[Fechamento])</f>
        <v>3.82</v>
      </c>
      <c r="X24" s="5">
        <f>SUMPRODUCT(N(Tabela17[Código]=Tabela3[[#This Row],[PAPEL]]),Tabela17[Fechamento])</f>
        <v>0</v>
      </c>
    </row>
    <row r="25" spans="1:24">
      <c r="A25" s="4" t="s">
        <v>14</v>
      </c>
      <c r="B25" s="14" t="s">
        <v>254</v>
      </c>
      <c r="C25" s="15">
        <v>3</v>
      </c>
      <c r="D25" s="5">
        <v>843867000</v>
      </c>
      <c r="E25" s="5">
        <v>34502000</v>
      </c>
      <c r="F25" s="21">
        <v>73646388</v>
      </c>
      <c r="G25" s="15">
        <f>Tabela3[[#This Row],[Lucro Líquido]]/Tabela3[[#This Row],[Total Ações]]</f>
        <v>0.46848190300928266</v>
      </c>
      <c r="H25" s="15">
        <f>Tabela3[[#This Row],[Lucro/Ação]]/Tabela3[[#This Row],[Ref]]*4</f>
        <v>0.62464253734571018</v>
      </c>
      <c r="I25" s="19">
        <f>IF(GETPIVOTDATA("Payout",'Tabela LL'!$A$3,"Ativo",Tabela3[[#This Row],[PAPEL]])&gt;1,1,GETPIVOTDATA("Payout",'Tabela LL'!$A$3,"Ativo",Tabela3[[#This Row],[PAPEL]]))</f>
        <v>5.4484299057845742E-2</v>
      </c>
      <c r="J25" s="6">
        <f>[Patrimônio Líquido]/[Total Ações]</f>
        <v>11.45836235716</v>
      </c>
      <c r="K25" s="52">
        <f>MAX(Tabela3[[#This Row],[Cotação 1]],Tabela3[[#This Row],[Cotação 2]])</f>
        <v>4</v>
      </c>
      <c r="L25" s="48">
        <f>[Cotação]/[VPA]</f>
        <v>0.34909002484988749</v>
      </c>
      <c r="M25" s="44">
        <f>IF(Tabela3[[#This Row],[Lucro/Ação Ano]]&gt;0,Tabela3[[#This Row],[Cotação]]/Tabela3[[#This Row],[Lucro/Ação Ano]],0)</f>
        <v>6.4036625123181272</v>
      </c>
      <c r="N25" s="6">
        <f>ROUND(Tabela3[[#This Row],[Lucro Prev]]/10%,2)</f>
        <v>0.34</v>
      </c>
      <c r="O25" s="61">
        <f>MIN(Tabela3[[#This Row],[10% Rent]],Tabela3[[#This Row],[VPA]]*2)</f>
        <v>0.34</v>
      </c>
      <c r="P25" s="19">
        <f>Tabela3[[#This Row],[P Compra]]/Tabela3[[#This Row],[Cotação]]-1</f>
        <v>-0.91500000000000004</v>
      </c>
      <c r="Q25" s="6">
        <f>Tabela3[[#This Row],[Lucro/Ação Ano]]*Tabela3[[#This Row],[Payout]]</f>
        <v>3.4033210808995254E-2</v>
      </c>
      <c r="R25" s="15" t="str">
        <f>IF(AND([% Yield]&gt;=10%,[PVPA]&lt;=2,[PL]&lt;=15,[PL]&gt;0),"Sim","Não")</f>
        <v>Não</v>
      </c>
      <c r="S25" s="46">
        <f>Tabela3[[#This Row],[Lucro Prev]]/Tabela3[[#This Row],[Cotação]]</f>
        <v>8.5083027022488135E-3</v>
      </c>
      <c r="T25" s="46">
        <f>(1+Tabela3[[#This Row],[% Yield]])^(1/12)-1</f>
        <v>7.0627522016430966E-4</v>
      </c>
      <c r="U25" s="14">
        <f>($AA$1/Tabela3[[#This Row],[Cotação]]-MOD($AA$1/Tabela3[[#This Row],[Cotação]],100))</f>
        <v>0</v>
      </c>
      <c r="V25" s="17">
        <f>Tabela3[[#This Row],[Ativos]]*Tabela3[[#This Row],[Lucro Prev]]</f>
        <v>0</v>
      </c>
      <c r="W25" s="5">
        <f>SUMPRODUCT(N(Tabela1[Código]=Tabela3[[#This Row],[PAPEL]]),Tabela1[Fechamento])</f>
        <v>4</v>
      </c>
      <c r="X25" s="5">
        <f>SUMPRODUCT(N(Tabela17[Código]=Tabela3[[#This Row],[PAPEL]]),Tabela17[Fechamento])</f>
        <v>0</v>
      </c>
    </row>
    <row r="26" spans="1:24">
      <c r="A26" s="4" t="s">
        <v>14</v>
      </c>
      <c r="B26" s="15" t="s">
        <v>249</v>
      </c>
      <c r="C26" s="16">
        <v>3</v>
      </c>
      <c r="D26" s="5">
        <v>843867000</v>
      </c>
      <c r="E26" s="5">
        <v>34502000</v>
      </c>
      <c r="F26" s="21">
        <v>73646388</v>
      </c>
      <c r="G26" s="16">
        <f>Tabela3[[#This Row],[Lucro Líquido]]/Tabela3[[#This Row],[Total Ações]]</f>
        <v>0.46848190300928266</v>
      </c>
      <c r="H26" s="16">
        <f>Tabela3[[#This Row],[Lucro/Ação]]/Tabela3[[#This Row],[Ref]]*4</f>
        <v>0.62464253734571018</v>
      </c>
      <c r="I26" s="18">
        <f>IF(GETPIVOTDATA("Payout",'Tabela LL'!$A$3,"Ativo",Tabela3[[#This Row],[PAPEL]])&gt;1,1,GETPIVOTDATA("Payout",'Tabela LL'!$A$3,"Ativo",Tabela3[[#This Row],[PAPEL]]))</f>
        <v>4.7361278676921532E-2</v>
      </c>
      <c r="J26" s="5">
        <f>[Patrimônio Líquido]/[Total Ações]</f>
        <v>11.45836235716</v>
      </c>
      <c r="K26" s="58">
        <f>MAX(Tabela3[[#This Row],[Cotação 1]],Tabela3[[#This Row],[Cotação 2]])</f>
        <v>4.2</v>
      </c>
      <c r="L26" s="59">
        <f>[Cotação]/[VPA]</f>
        <v>0.36654452609238186</v>
      </c>
      <c r="M26" s="40">
        <f>IF(Tabela3[[#This Row],[Lucro/Ação Ano]]&gt;0,Tabela3[[#This Row],[Cotação]]/Tabela3[[#This Row],[Lucro/Ação Ano]],0)</f>
        <v>6.7238456379340334</v>
      </c>
      <c r="N26" s="5">
        <f>ROUND(Tabela3[[#This Row],[Lucro Prev]]/10%,2)</f>
        <v>0.3</v>
      </c>
      <c r="O26" s="60">
        <f>MIN(Tabela3[[#This Row],[10% Rent]],Tabela3[[#This Row],[VPA]]*2)</f>
        <v>0.3</v>
      </c>
      <c r="P26" s="18">
        <f>Tabela3[[#This Row],[P Compra]]/Tabela3[[#This Row],[Cotação]]-1</f>
        <v>-0.9285714285714286</v>
      </c>
      <c r="Q26" s="5">
        <f>Tabela3[[#This Row],[Lucro/Ação Ano]]*Tabela3[[#This Row],[Payout]]</f>
        <v>2.9583869284689545E-2</v>
      </c>
      <c r="R26" s="16" t="str">
        <f>IF(AND([% Yield]&gt;=10%,[PVPA]&lt;=2,[PL]&lt;=15,[PL]&gt;0),"Sim","Não")</f>
        <v>Não</v>
      </c>
      <c r="S26" s="22">
        <f>Tabela3[[#This Row],[Lucro Prev]]/Tabela3[[#This Row],[Cotação]]</f>
        <v>7.043778401116558E-3</v>
      </c>
      <c r="T26" s="22">
        <f>(1+Tabela3[[#This Row],[% Yield]])^(1/12)-1</f>
        <v>5.8509500751302568E-4</v>
      </c>
      <c r="U26" s="10">
        <f>($AA$1/Tabela3[[#This Row],[Cotação]]-MOD($AA$1/Tabela3[[#This Row],[Cotação]],100))</f>
        <v>0</v>
      </c>
      <c r="V26" s="7">
        <f>Tabela3[[#This Row],[Ativos]]*Tabela3[[#This Row],[Lucro Prev]]</f>
        <v>0</v>
      </c>
      <c r="W26" s="5">
        <f>SUMPRODUCT(N(Tabela1[Código]=Tabela3[[#This Row],[PAPEL]]),Tabela1[Fechamento])</f>
        <v>4.2</v>
      </c>
      <c r="X26" s="5">
        <f>SUMPRODUCT(N(Tabela17[Código]=Tabela3[[#This Row],[PAPEL]]),Tabela17[Fechamento])</f>
        <v>0</v>
      </c>
    </row>
    <row r="27" spans="1:24">
      <c r="A27" s="4" t="s">
        <v>14</v>
      </c>
      <c r="B27" s="10" t="s">
        <v>250</v>
      </c>
      <c r="C27" s="16">
        <v>3</v>
      </c>
      <c r="D27" s="5">
        <v>843867000</v>
      </c>
      <c r="E27" s="5">
        <v>34502000</v>
      </c>
      <c r="F27" s="21">
        <v>73646388</v>
      </c>
      <c r="G27" s="16">
        <f>Tabela3[[#This Row],[Lucro Líquido]]/Tabela3[[#This Row],[Total Ações]]</f>
        <v>0.46848190300928266</v>
      </c>
      <c r="H27" s="16">
        <f>Tabela3[[#This Row],[Lucro/Ação]]/Tabela3[[#This Row],[Ref]]*4</f>
        <v>0.62464253734571018</v>
      </c>
      <c r="I27" s="18">
        <f>IF(GETPIVOTDATA("Payout",'Tabela LL'!$A$3,"Ativo",Tabela3[[#This Row],[PAPEL]])&gt;1,1,GETPIVOTDATA("Payout",'Tabela LL'!$A$3,"Ativo",Tabela3[[#This Row],[PAPEL]]))</f>
        <v>0.25370503766276303</v>
      </c>
      <c r="J27" s="5">
        <f>[Patrimônio Líquido]/[Total Ações]</f>
        <v>11.45836235716</v>
      </c>
      <c r="K27" s="58">
        <f>MAX(Tabela3[[#This Row],[Cotação 1]],Tabela3[[#This Row],[Cotação 2]])</f>
        <v>3.27</v>
      </c>
      <c r="L27" s="59">
        <f>[Cotação]/[VPA]</f>
        <v>0.28538109531478301</v>
      </c>
      <c r="M27" s="40">
        <f>IF(Tabela3[[#This Row],[Lucro/Ação Ano]]&gt;0,Tabela3[[#This Row],[Cotação]]/Tabela3[[#This Row],[Lucro/Ação Ano]],0)</f>
        <v>5.2349941038200694</v>
      </c>
      <c r="N27" s="5">
        <f>ROUND(Tabela3[[#This Row],[Lucro Prev]]/10%,2)</f>
        <v>1.58</v>
      </c>
      <c r="O27" s="60">
        <f>MIN(Tabela3[[#This Row],[10% Rent]],Tabela3[[#This Row],[VPA]]*2)</f>
        <v>1.58</v>
      </c>
      <c r="P27" s="18">
        <f>Tabela3[[#This Row],[P Compra]]/Tabela3[[#This Row],[Cotação]]-1</f>
        <v>-0.51681957186544336</v>
      </c>
      <c r="Q27" s="5">
        <f>Tabela3[[#This Row],[Lucro/Ação Ano]]*Tabela3[[#This Row],[Payout]]</f>
        <v>0.15847495846305726</v>
      </c>
      <c r="R27" s="16" t="str">
        <f>IF(AND([% Yield]&gt;=10%,[PVPA]&lt;=2,[PL]&lt;=15,[PL]&gt;0),"Sim","Não")</f>
        <v>Não</v>
      </c>
      <c r="S27" s="22">
        <f>Tabela3[[#This Row],[Lucro Prev]]/Tabela3[[#This Row],[Cotação]]</f>
        <v>4.8463290049864605E-2</v>
      </c>
      <c r="T27" s="22">
        <f>(1+Tabela3[[#This Row],[% Yield]])^(1/12)-1</f>
        <v>3.9515835718411108E-3</v>
      </c>
      <c r="U27" s="10">
        <f>($AA$1/Tabela3[[#This Row],[Cotação]]-MOD($AA$1/Tabela3[[#This Row],[Cotação]],100))</f>
        <v>0</v>
      </c>
      <c r="V27" s="7">
        <f>Tabela3[[#This Row],[Ativos]]*Tabela3[[#This Row],[Lucro Prev]]</f>
        <v>0</v>
      </c>
      <c r="W27" s="5">
        <f>SUMPRODUCT(N(Tabela1[Código]=Tabela3[[#This Row],[PAPEL]]),Tabela1[Fechamento])</f>
        <v>3.27</v>
      </c>
      <c r="X27" s="5">
        <f>SUMPRODUCT(N(Tabela17[Código]=Tabela3[[#This Row],[PAPEL]]),Tabela17[Fechamento])</f>
        <v>0</v>
      </c>
    </row>
    <row r="28" spans="1:24">
      <c r="A28" s="4" t="s">
        <v>14</v>
      </c>
      <c r="B28" s="15" t="s">
        <v>81</v>
      </c>
      <c r="C28" s="16">
        <v>3</v>
      </c>
      <c r="D28" s="5">
        <v>843867000</v>
      </c>
      <c r="E28" s="5">
        <v>34502000</v>
      </c>
      <c r="F28" s="21">
        <v>73646388</v>
      </c>
      <c r="G28" s="16">
        <f>Tabela3[[#This Row],[Lucro Líquido]]/Tabela3[[#This Row],[Total Ações]]</f>
        <v>0.46848190300928266</v>
      </c>
      <c r="H28" s="16">
        <f>Tabela3[[#This Row],[Lucro/Ação]]/Tabela3[[#This Row],[Ref]]*4</f>
        <v>0.62464253734571018</v>
      </c>
      <c r="I28" s="18">
        <f>IF(GETPIVOTDATA("Payout",'Tabela LL'!$A$3,"Ativo",Tabela3[[#This Row],[PAPEL]])&gt;1,1,GETPIVOTDATA("Payout",'Tabela LL'!$A$3,"Ativo",Tabela3[[#This Row],[PAPEL]]))</f>
        <v>0.60787593639212112</v>
      </c>
      <c r="J28" s="5">
        <f>[Patrimônio Líquido]/[Total Ações]</f>
        <v>11.45836235716</v>
      </c>
      <c r="K28" s="58">
        <f>MAX(Tabela3[[#This Row],[Cotação 1]],Tabela3[[#This Row],[Cotação 2]])</f>
        <v>5.97</v>
      </c>
      <c r="L28" s="59">
        <f>[Cotação]/[VPA]</f>
        <v>0.5210168620884571</v>
      </c>
      <c r="M28" s="40">
        <f>IF(Tabela3[[#This Row],[Lucro/Ação Ano]]&gt;0,Tabela3[[#This Row],[Cotação]]/Tabela3[[#This Row],[Lucro/Ação Ano]],0)</f>
        <v>9.5574662996348039</v>
      </c>
      <c r="N28" s="5">
        <f>ROUND(Tabela3[[#This Row],[Lucro Prev]]/10%,2)</f>
        <v>3.8</v>
      </c>
      <c r="O28" s="60">
        <f>MIN(Tabela3[[#This Row],[10% Rent]],Tabela3[[#This Row],[VPA]]*2)</f>
        <v>3.8</v>
      </c>
      <c r="P28" s="18">
        <f>Tabela3[[#This Row],[P Compra]]/Tabela3[[#This Row],[Cotação]]-1</f>
        <v>-0.36348408710217761</v>
      </c>
      <c r="Q28" s="5">
        <f>Tabela3[[#This Row],[Lucro/Ação Ano]]*Tabela3[[#This Row],[Payout]]</f>
        <v>0.37970516729937404</v>
      </c>
      <c r="R28" s="16" t="str">
        <f>IF(AND([% Yield]&gt;=10%,[PVPA]&lt;=2,[PL]&lt;=15,[PL]&gt;0),"Sim","Não")</f>
        <v>Não</v>
      </c>
      <c r="S28" s="22">
        <f>Tabela3[[#This Row],[Lucro Prev]]/Tabela3[[#This Row],[Cotação]]</f>
        <v>6.3602205577784593E-2</v>
      </c>
      <c r="T28" s="22">
        <f>(1+Tabela3[[#This Row],[% Yield]])^(1/12)-1</f>
        <v>5.151679005116927E-3</v>
      </c>
      <c r="U28" s="10">
        <f>($AA$1/Tabela3[[#This Row],[Cotação]]-MOD($AA$1/Tabela3[[#This Row],[Cotação]],100))</f>
        <v>0</v>
      </c>
      <c r="V28" s="7">
        <f>Tabela3[[#This Row],[Ativos]]*Tabela3[[#This Row],[Lucro Prev]]</f>
        <v>0</v>
      </c>
      <c r="W28" s="5">
        <f>SUMPRODUCT(N(Tabela1[Código]=Tabela3[[#This Row],[PAPEL]]),Tabela1[Fechamento])</f>
        <v>5.97</v>
      </c>
      <c r="X28" s="5">
        <f>SUMPRODUCT(N(Tabela17[Código]=Tabela3[[#This Row],[PAPEL]]),Tabela17[Fechamento])</f>
        <v>0</v>
      </c>
    </row>
    <row r="29" spans="1:24">
      <c r="A29" s="4" t="s">
        <v>14</v>
      </c>
      <c r="B29" s="15" t="s">
        <v>251</v>
      </c>
      <c r="C29" s="16">
        <v>3</v>
      </c>
      <c r="D29" s="5">
        <v>843867000</v>
      </c>
      <c r="E29" s="5">
        <v>34502000</v>
      </c>
      <c r="F29" s="21">
        <v>73646388</v>
      </c>
      <c r="G29" s="16">
        <f>Tabela3[[#This Row],[Lucro Líquido]]/Tabela3[[#This Row],[Total Ações]]</f>
        <v>0.46848190300928266</v>
      </c>
      <c r="H29" s="16">
        <f>Tabela3[[#This Row],[Lucro/Ação]]/Tabela3[[#This Row],[Ref]]*4</f>
        <v>0.62464253734571018</v>
      </c>
      <c r="I29" s="18">
        <f>IF(GETPIVOTDATA("Payout",'Tabela LL'!$A$3,"Ativo",Tabela3[[#This Row],[PAPEL]])&gt;1,1,GETPIVOTDATA("Payout",'Tabela LL'!$A$3,"Ativo",Tabela3[[#This Row],[PAPEL]]))</f>
        <v>0.35489823087446021</v>
      </c>
      <c r="J29" s="5">
        <f>[Patrimônio Líquido]/[Total Ações]</f>
        <v>11.45836235716</v>
      </c>
      <c r="K29" s="58">
        <f>MAX(Tabela3[[#This Row],[Cotação 1]],Tabela3[[#This Row],[Cotação 2]])</f>
        <v>3.6</v>
      </c>
      <c r="L29" s="59">
        <f>[Cotação]/[VPA]</f>
        <v>0.31418102236489875</v>
      </c>
      <c r="M29" s="40">
        <f>IF(Tabela3[[#This Row],[Lucro/Ação Ano]]&gt;0,Tabela3[[#This Row],[Cotação]]/Tabela3[[#This Row],[Lucro/Ação Ano]],0)</f>
        <v>5.7632962610863148</v>
      </c>
      <c r="N29" s="5">
        <f>ROUND(Tabela3[[#This Row],[Lucro Prev]]/10%,2)</f>
        <v>2.2200000000000002</v>
      </c>
      <c r="O29" s="60">
        <f>MIN(Tabela3[[#This Row],[10% Rent]],Tabela3[[#This Row],[VPA]]*2)</f>
        <v>2.2200000000000002</v>
      </c>
      <c r="P29" s="18">
        <f>Tabela3[[#This Row],[P Compra]]/Tabela3[[#This Row],[Cotação]]-1</f>
        <v>-0.3833333333333333</v>
      </c>
      <c r="Q29" s="5">
        <f>Tabela3[[#This Row],[Lucro/Ação Ano]]*Tabela3[[#This Row],[Payout]]</f>
        <v>0.22168453143292649</v>
      </c>
      <c r="R29" s="16" t="str">
        <f>IF(AND([% Yield]&gt;=10%,[PVPA]&lt;=2,[PL]&lt;=15,[PL]&gt;0),"Sim","Não")</f>
        <v>Não</v>
      </c>
      <c r="S29" s="22">
        <f>Tabela3[[#This Row],[Lucro Prev]]/Tabela3[[#This Row],[Cotação]]</f>
        <v>6.1579036509146243E-2</v>
      </c>
      <c r="T29" s="22">
        <f>(1+Tabela3[[#This Row],[% Yield]])^(1/12)-1</f>
        <v>4.9922078160695715E-3</v>
      </c>
      <c r="U29" s="10">
        <f>($AA$1/Tabela3[[#This Row],[Cotação]]-MOD($AA$1/Tabela3[[#This Row],[Cotação]],100))</f>
        <v>0</v>
      </c>
      <c r="V29" s="7">
        <f>Tabela3[[#This Row],[Ativos]]*Tabela3[[#This Row],[Lucro Prev]]</f>
        <v>0</v>
      </c>
      <c r="W29" s="5">
        <f>SUMPRODUCT(N(Tabela1[Código]=Tabela3[[#This Row],[PAPEL]]),Tabela1[Fechamento])</f>
        <v>3.6</v>
      </c>
      <c r="X29" s="5">
        <f>SUMPRODUCT(N(Tabela17[Código]=Tabela3[[#This Row],[PAPEL]]),Tabela17[Fechamento])</f>
        <v>0</v>
      </c>
    </row>
    <row r="30" spans="1:24">
      <c r="A30" s="4" t="s">
        <v>14</v>
      </c>
      <c r="B30" s="15" t="s">
        <v>252</v>
      </c>
      <c r="C30" s="16">
        <v>3</v>
      </c>
      <c r="D30" s="5">
        <v>843867000</v>
      </c>
      <c r="E30" s="5">
        <v>34502000</v>
      </c>
      <c r="F30" s="21">
        <v>73646388</v>
      </c>
      <c r="G30" s="16">
        <f>Tabela3[[#This Row],[Lucro Líquido]]/Tabela3[[#This Row],[Total Ações]]</f>
        <v>0.46848190300928266</v>
      </c>
      <c r="H30" s="16">
        <f>Tabela3[[#This Row],[Lucro/Ação]]/Tabela3[[#This Row],[Ref]]*4</f>
        <v>0.62464253734571018</v>
      </c>
      <c r="I30" s="18">
        <f>IF(GETPIVOTDATA("Payout",'Tabela LL'!$A$3,"Ativo",Tabela3[[#This Row],[PAPEL]])&gt;1,1,GETPIVOTDATA("Payout",'Tabela LL'!$A$3,"Ativo",Tabela3[[#This Row],[PAPEL]]))</f>
        <v>0.25370503766276303</v>
      </c>
      <c r="J30" s="5">
        <f>[Patrimônio Líquido]/[Total Ações]</f>
        <v>11.45836235716</v>
      </c>
      <c r="K30" s="58">
        <f>MAX(Tabela3[[#This Row],[Cotação 1]],Tabela3[[#This Row],[Cotação 2]])</f>
        <v>3.81</v>
      </c>
      <c r="L30" s="59">
        <f>[Cotação]/[VPA]</f>
        <v>0.33250824866951784</v>
      </c>
      <c r="M30" s="40">
        <f>IF(Tabela3[[#This Row],[Lucro/Ação Ano]]&gt;0,Tabela3[[#This Row],[Cotação]]/Tabela3[[#This Row],[Lucro/Ação Ano]],0)</f>
        <v>6.0994885429830159</v>
      </c>
      <c r="N30" s="5">
        <f>ROUND(Tabela3[[#This Row],[Lucro Prev]]/10%,2)</f>
        <v>1.58</v>
      </c>
      <c r="O30" s="60">
        <f>MIN(Tabela3[[#This Row],[10% Rent]],Tabela3[[#This Row],[VPA]]*2)</f>
        <v>1.58</v>
      </c>
      <c r="P30" s="18">
        <f>Tabela3[[#This Row],[P Compra]]/Tabela3[[#This Row],[Cotação]]-1</f>
        <v>-0.58530183727034113</v>
      </c>
      <c r="Q30" s="5">
        <f>Tabela3[[#This Row],[Lucro/Ação Ano]]*Tabela3[[#This Row],[Payout]]</f>
        <v>0.15847495846305726</v>
      </c>
      <c r="R30" s="16" t="str">
        <f>IF(AND([% Yield]&gt;=10%,[PVPA]&lt;=2,[PL]&lt;=15,[PL]&gt;0),"Sim","Não")</f>
        <v>Não</v>
      </c>
      <c r="S30" s="22">
        <f>Tabela3[[#This Row],[Lucro Prev]]/Tabela3[[#This Row],[Cotação]]</f>
        <v>4.1594477286891668E-2</v>
      </c>
      <c r="T30" s="22">
        <f>(1+Tabela3[[#This Row],[% Yield]])^(1/12)-1</f>
        <v>3.4018306629948203E-3</v>
      </c>
      <c r="U30" s="10">
        <f>($AA$1/Tabela3[[#This Row],[Cotação]]-MOD($AA$1/Tabela3[[#This Row],[Cotação]],100))</f>
        <v>0</v>
      </c>
      <c r="V30" s="7">
        <f>Tabela3[[#This Row],[Ativos]]*Tabela3[[#This Row],[Lucro Prev]]</f>
        <v>0</v>
      </c>
      <c r="W30" s="5">
        <f>SUMPRODUCT(N(Tabela1[Código]=Tabela3[[#This Row],[PAPEL]]),Tabela1[Fechamento])</f>
        <v>3.81</v>
      </c>
      <c r="X30" s="5">
        <f>SUMPRODUCT(N(Tabela17[Código]=Tabela3[[#This Row],[PAPEL]]),Tabela17[Fechamento])</f>
        <v>0</v>
      </c>
    </row>
    <row r="31" spans="1:24">
      <c r="A31" s="4" t="s">
        <v>439</v>
      </c>
      <c r="B31" s="70" t="s">
        <v>438</v>
      </c>
      <c r="C31" s="15">
        <v>3</v>
      </c>
      <c r="D31" s="6">
        <v>496428000</v>
      </c>
      <c r="E31" s="6">
        <v>88119000</v>
      </c>
      <c r="F31" s="42">
        <v>98312688</v>
      </c>
      <c r="G31" s="15">
        <f>Tabela3[[#This Row],[Lucro Líquido]]/Tabela3[[#This Row],[Total Ações]]</f>
        <v>0.89631360704937701</v>
      </c>
      <c r="H31" s="15">
        <f>Tabela3[[#This Row],[Lucro/Ação]]/Tabela3[[#This Row],[Ref]]*4</f>
        <v>1.1950848093991693</v>
      </c>
      <c r="I31" s="19">
        <f>IF(GETPIVOTDATA("Payout",'Tabela LL'!$A$3,"Ativo",Tabela3[[#This Row],[PAPEL]])&gt;1,1,GETPIVOTDATA("Payout",'Tabela LL'!$A$3,"Ativo",Tabela3[[#This Row],[PAPEL]]))</f>
        <v>0.61772022954134342</v>
      </c>
      <c r="J31" s="6">
        <f>[Patrimônio Líquido]/[Total Ações]</f>
        <v>5.0494804902496409</v>
      </c>
      <c r="K31" s="52">
        <f>MAX(Tabela3[[#This Row],[Cotação 1]],Tabela3[[#This Row],[Cotação 2]])</f>
        <v>18.2</v>
      </c>
      <c r="L31" s="48">
        <f>[Cotação]/[VPA]</f>
        <v>3.6043311851869757</v>
      </c>
      <c r="M31" s="44">
        <f>IF(Tabela3[[#This Row],[Lucro/Ação Ano]]&gt;0,Tabela3[[#This Row],[Cotação]]/Tabela3[[#This Row],[Lucro/Ação Ano]],0)</f>
        <v>15.229044714533755</v>
      </c>
      <c r="N31" s="17">
        <f>ROUND(Tabela3[[#This Row],[Lucro Prev]]/10%,2)</f>
        <v>7.38</v>
      </c>
      <c r="O31" s="13">
        <f>MIN(Tabela3[[#This Row],[10% Rent]],Tabela3[[#This Row],[VPA]]*2)</f>
        <v>7.38</v>
      </c>
      <c r="P31" s="19">
        <f>Tabela3[[#This Row],[P Compra]]/Tabela3[[#This Row],[Cotação]]-1</f>
        <v>-0.5945054945054945</v>
      </c>
      <c r="Q31" s="6">
        <f>Tabela3[[#This Row],[Lucro/Ação Ano]]*Tabela3[[#This Row],[Payout]]</f>
        <v>0.73822806278342745</v>
      </c>
      <c r="R31" s="15" t="str">
        <f>IF(AND([% Yield]&gt;=10%,[PVPA]&lt;=2,[PL]&lt;=15,[PL]&gt;0),"Sim","Não")</f>
        <v>Não</v>
      </c>
      <c r="S31" s="46">
        <f>Tabela3[[#This Row],[Lucro Prev]]/Tabela3[[#This Row],[Cotação]]</f>
        <v>4.0561981471616895E-2</v>
      </c>
      <c r="T31" s="46">
        <f>(1+Tabela3[[#This Row],[% Yield]])^(1/12)-1</f>
        <v>3.318906581907255E-3</v>
      </c>
      <c r="U31" s="14">
        <f>($AA$1/Tabela3[[#This Row],[Cotação]]-MOD($AA$1/Tabela3[[#This Row],[Cotação]],100))</f>
        <v>0</v>
      </c>
      <c r="V31" s="17">
        <f>Tabela3[[#This Row],[Ativos]]*Tabela3[[#This Row],[Lucro Prev]]</f>
        <v>0</v>
      </c>
      <c r="W31" s="13">
        <f>SUMPRODUCT(N(Tabela1[Código]=Tabela3[[#This Row],[PAPEL]]),Tabela1[Fechamento])</f>
        <v>0</v>
      </c>
      <c r="X31" s="61">
        <f>SUMPRODUCT(N(Tabela17[Código]=Tabela3[[#This Row],[PAPEL]]),Tabela17[Fechamento])</f>
        <v>18.2</v>
      </c>
    </row>
    <row r="32" spans="1:24">
      <c r="A32" s="4" t="s">
        <v>14</v>
      </c>
      <c r="B32" s="14" t="s">
        <v>218</v>
      </c>
      <c r="C32" s="15">
        <v>3</v>
      </c>
      <c r="D32" s="6">
        <v>1179411000</v>
      </c>
      <c r="E32" s="6">
        <v>46761000</v>
      </c>
      <c r="F32" s="42">
        <v>90224492</v>
      </c>
      <c r="G32" s="15">
        <f>Tabela3[[#This Row],[Lucro Líquido]]/Tabela3[[#This Row],[Total Ações]]</f>
        <v>0.51827390726677625</v>
      </c>
      <c r="H32" s="15">
        <f>Tabela3[[#This Row],[Lucro/Ação]]/Tabela3[[#This Row],[Ref]]*4</f>
        <v>0.69103187635570162</v>
      </c>
      <c r="I32" s="19">
        <f>IF(GETPIVOTDATA("Payout",'Tabela LL'!$A$3,"Ativo",Tabela3[[#This Row],[PAPEL]])&gt;1,1,GETPIVOTDATA("Payout",'Tabela LL'!$A$3,"Ativo",Tabela3[[#This Row],[PAPEL]]))</f>
        <v>0.16455420283136202</v>
      </c>
      <c r="J32" s="6">
        <f>[Patrimônio Líquido]/[Total Ações]</f>
        <v>13.071960549248645</v>
      </c>
      <c r="K32" s="52">
        <f>MAX(Tabela3[[#This Row],[Cotação 1]],Tabela3[[#This Row],[Cotação 2]])</f>
        <v>6.61</v>
      </c>
      <c r="L32" s="48">
        <f>[Cotação]/[VPA]</f>
        <v>0.50566248078066089</v>
      </c>
      <c r="M32" s="44">
        <f>IF(Tabela3[[#This Row],[Lucro/Ação Ano]]&gt;0,Tabela3[[#This Row],[Cotação]]/Tabela3[[#This Row],[Lucro/Ação Ano]],0)</f>
        <v>9.5654053397061674</v>
      </c>
      <c r="N32" s="6">
        <f>ROUND(Tabela3[[#This Row],[Lucro Prev]]/10%,2)</f>
        <v>1.1399999999999999</v>
      </c>
      <c r="O32" s="61">
        <f>MIN(Tabela3[[#This Row],[10% Rent]],Tabela3[[#This Row],[VPA]]*2)</f>
        <v>1.1399999999999999</v>
      </c>
      <c r="P32" s="19">
        <f>Tabela3[[#This Row],[P Compra]]/Tabela3[[#This Row],[Cotação]]-1</f>
        <v>-0.827534039334342</v>
      </c>
      <c r="Q32" s="6">
        <f>Tabela3[[#This Row],[Lucro/Ação Ano]]*Tabela3[[#This Row],[Payout]]</f>
        <v>0.11371219954477281</v>
      </c>
      <c r="R32" s="15" t="str">
        <f>IF(AND([% Yield]&gt;=10%,[PVPA]&lt;=2,[PL]&lt;=15,[PL]&gt;0),"Sim","Não")</f>
        <v>Não</v>
      </c>
      <c r="S32" s="46">
        <f>Tabela3[[#This Row],[Lucro Prev]]/Tabela3[[#This Row],[Cotação]]</f>
        <v>1.720305590692478E-2</v>
      </c>
      <c r="T32" s="46">
        <f>(1+Tabela3[[#This Row],[% Yield]])^(1/12)-1</f>
        <v>1.4224072291779688E-3</v>
      </c>
      <c r="U32" s="14">
        <f>($AA$1/Tabela3[[#This Row],[Cotação]]-MOD($AA$1/Tabela3[[#This Row],[Cotação]],100))</f>
        <v>0</v>
      </c>
      <c r="V32" s="17">
        <f>Tabela3[[#This Row],[Ativos]]*Tabela3[[#This Row],[Lucro Prev]]</f>
        <v>0</v>
      </c>
      <c r="W32" s="5">
        <f>SUMPRODUCT(N(Tabela1[Código]=Tabela3[[#This Row],[PAPEL]]),Tabela1[Fechamento])</f>
        <v>6.61</v>
      </c>
      <c r="X32" s="5">
        <f>SUMPRODUCT(N(Tabela17[Código]=Tabela3[[#This Row],[PAPEL]]),Tabela17[Fechamento])</f>
        <v>0</v>
      </c>
    </row>
    <row r="33" spans="1:24">
      <c r="A33" s="4" t="s">
        <v>14</v>
      </c>
      <c r="B33" s="14" t="s">
        <v>219</v>
      </c>
      <c r="C33" s="15">
        <v>3</v>
      </c>
      <c r="D33" s="6">
        <v>1179411000</v>
      </c>
      <c r="E33" s="6">
        <v>46761000</v>
      </c>
      <c r="F33" s="42">
        <v>90224492</v>
      </c>
      <c r="G33" s="15">
        <f>Tabela3[[#This Row],[Lucro Líquido]]/Tabela3[[#This Row],[Total Ações]]</f>
        <v>0.51827390726677625</v>
      </c>
      <c r="H33" s="15">
        <f>Tabela3[[#This Row],[Lucro/Ação]]/Tabela3[[#This Row],[Ref]]*4</f>
        <v>0.69103187635570162</v>
      </c>
      <c r="I33" s="19">
        <f>IF(GETPIVOTDATA("Payout",'Tabela LL'!$A$3,"Ativo",Tabela3[[#This Row],[PAPEL]])&gt;1,1,GETPIVOTDATA("Payout",'Tabela LL'!$A$3,"Ativo",Tabela3[[#This Row],[PAPEL]]))</f>
        <v>0.45013216229230024</v>
      </c>
      <c r="J33" s="6">
        <f>[Patrimônio Líquido]/[Total Ações]</f>
        <v>13.071960549248645</v>
      </c>
      <c r="K33" s="52">
        <f>MAX(Tabela3[[#This Row],[Cotação 1]],Tabela3[[#This Row],[Cotação 2]])</f>
        <v>5.64</v>
      </c>
      <c r="L33" s="48">
        <f>[Cotação]/[VPA]</f>
        <v>0.43145785046942919</v>
      </c>
      <c r="M33" s="44">
        <f>IF(Tabela3[[#This Row],[Lucro/Ação Ano]]&gt;0,Tabela3[[#This Row],[Cotação]]/Tabela3[[#This Row],[Lucro/Ação Ano]],0)</f>
        <v>8.1617074305511004</v>
      </c>
      <c r="N33" s="6">
        <f>ROUND(Tabela3[[#This Row],[Lucro Prev]]/10%,2)</f>
        <v>3.11</v>
      </c>
      <c r="O33" s="61">
        <f>MIN(Tabela3[[#This Row],[10% Rent]],Tabela3[[#This Row],[VPA]]*2)</f>
        <v>3.11</v>
      </c>
      <c r="P33" s="19">
        <f>Tabela3[[#This Row],[P Compra]]/Tabela3[[#This Row],[Cotação]]-1</f>
        <v>-0.4485815602836879</v>
      </c>
      <c r="Q33" s="6">
        <f>Tabela3[[#This Row],[Lucro/Ação Ano]]*Tabela3[[#This Row],[Payout]]</f>
        <v>0.31105567271689744</v>
      </c>
      <c r="R33" s="15" t="str">
        <f>IF(AND([% Yield]&gt;=10%,[PVPA]&lt;=2,[PL]&lt;=15,[PL]&gt;0),"Sim","Não")</f>
        <v>Não</v>
      </c>
      <c r="S33" s="46">
        <f>Tabela3[[#This Row],[Lucro Prev]]/Tabela3[[#This Row],[Cotação]]</f>
        <v>5.5151715020726501E-2</v>
      </c>
      <c r="T33" s="46">
        <f>(1+Tabela3[[#This Row],[% Yield]])^(1/12)-1</f>
        <v>4.4837355206091001E-3</v>
      </c>
      <c r="U33" s="14">
        <f>($AA$1/Tabela3[[#This Row],[Cotação]]-MOD($AA$1/Tabela3[[#This Row],[Cotação]],100))</f>
        <v>0</v>
      </c>
      <c r="V33" s="17">
        <f>Tabela3[[#This Row],[Ativos]]*Tabela3[[#This Row],[Lucro Prev]]</f>
        <v>0</v>
      </c>
      <c r="W33" s="5">
        <f>SUMPRODUCT(N(Tabela1[Código]=Tabela3[[#This Row],[PAPEL]]),Tabela1[Fechamento])</f>
        <v>5.64</v>
      </c>
      <c r="X33" s="5">
        <f>SUMPRODUCT(N(Tabela17[Código]=Tabela3[[#This Row],[PAPEL]]),Tabela17[Fechamento])</f>
        <v>0</v>
      </c>
    </row>
    <row r="34" spans="1:24">
      <c r="A34" s="4" t="s">
        <v>40</v>
      </c>
      <c r="B34" s="70" t="s">
        <v>302</v>
      </c>
      <c r="C34" s="16">
        <v>3</v>
      </c>
      <c r="D34" s="5">
        <v>8048177000</v>
      </c>
      <c r="E34" s="5">
        <v>485601000</v>
      </c>
      <c r="F34" s="21">
        <v>797265348</v>
      </c>
      <c r="G34" s="71">
        <f>Tabela3[[#This Row],[Lucro Líquido]]/Tabela3[[#This Row],[Total Ações]]</f>
        <v>0.60908328854147065</v>
      </c>
      <c r="H34" s="16">
        <f>Tabela3[[#This Row],[Lucro/Ação]]/Tabela3[[#This Row],[Ref]]*4</f>
        <v>0.81211105138862749</v>
      </c>
      <c r="I34" s="18">
        <f>IF(GETPIVOTDATA("Payout",'Tabela LL'!$A$3,"Ativo",Tabela3[[#This Row],[PAPEL]])&gt;1,1,GETPIVOTDATA("Payout",'Tabela LL'!$A$3,"Ativo",Tabela3[[#This Row],[PAPEL]]))</f>
        <v>0.35050699967240423</v>
      </c>
      <c r="J34" s="5">
        <f>[Patrimônio Líquido]/[Total Ações]</f>
        <v>10.094728210864121</v>
      </c>
      <c r="K34" s="58">
        <f>MAX(Tabela3[[#This Row],[Cotação 1]],Tabela3[[#This Row],[Cotação 2]])</f>
        <v>16</v>
      </c>
      <c r="L34" s="59">
        <f>[Cotação]/[VPA]</f>
        <v>1.5849857139076338</v>
      </c>
      <c r="M34" s="40">
        <f>IF(Tabela3[[#This Row],[Lucro/Ação Ano]]&gt;0,Tabela3[[#This Row],[Cotação]]/Tabela3[[#This Row],[Lucro/Ação Ano]],0)</f>
        <v>19.701739032662619</v>
      </c>
      <c r="N34" s="51">
        <f>ROUND(Tabela3[[#This Row],[Lucro Prev]]/10%,2)</f>
        <v>2.85</v>
      </c>
      <c r="O34" s="51">
        <f>MIN(Tabela3[[#This Row],[10% Rent]],Tabela3[[#This Row],[VPA]]*2)</f>
        <v>2.85</v>
      </c>
      <c r="P34" s="18">
        <f>Tabela3[[#This Row],[P Compra]]/Tabela3[[#This Row],[Cotação]]-1</f>
        <v>-0.82187500000000002</v>
      </c>
      <c r="Q34" s="5">
        <f>Tabela3[[#This Row],[Lucro/Ação Ano]]*Tabela3[[#This Row],[Payout]]</f>
        <v>0.28465060802302949</v>
      </c>
      <c r="R34" s="16" t="str">
        <f>IF(AND([% Yield]&gt;=10%,[PVPA]&lt;=2,[PL]&lt;=15,[PL]&gt;0),"Sim","Não")</f>
        <v>Não</v>
      </c>
      <c r="S34" s="22">
        <f>Tabela3[[#This Row],[Lucro Prev]]/Tabela3[[#This Row],[Cotação]]</f>
        <v>1.7790663001439343E-2</v>
      </c>
      <c r="T34" s="22">
        <f>(1+Tabela3[[#This Row],[% Yield]])^(1/12)-1</f>
        <v>1.4706020615649074E-3</v>
      </c>
      <c r="U34" s="10">
        <f>($AA$1/Tabela3[[#This Row],[Cotação]]-MOD($AA$1/Tabela3[[#This Row],[Cotação]],100))</f>
        <v>0</v>
      </c>
      <c r="V34" s="7">
        <f>Tabela3[[#This Row],[Ativos]]*Tabela3[[#This Row],[Lucro Prev]]</f>
        <v>0</v>
      </c>
      <c r="W34" s="51">
        <f>SUMPRODUCT(N(Tabela1[Código]=Tabela3[[#This Row],[PAPEL]]),Tabela1[Fechamento])</f>
        <v>0</v>
      </c>
      <c r="X34" s="51">
        <f>SUMPRODUCT(N(Tabela17[Código]=Tabela3[[#This Row],[PAPEL]]),Tabela17[Fechamento])</f>
        <v>16</v>
      </c>
    </row>
    <row r="35" spans="1:24">
      <c r="A35" s="4" t="s">
        <v>40</v>
      </c>
      <c r="B35" s="14" t="s">
        <v>303</v>
      </c>
      <c r="C35" s="16">
        <v>3</v>
      </c>
      <c r="D35" s="5">
        <v>8048177000</v>
      </c>
      <c r="E35" s="5">
        <v>485601000</v>
      </c>
      <c r="F35" s="21">
        <v>797265348</v>
      </c>
      <c r="G35" s="71">
        <f>Tabela3[[#This Row],[Lucro Líquido]]/Tabela3[[#This Row],[Total Ações]]</f>
        <v>0.60908328854147065</v>
      </c>
      <c r="H35" s="16">
        <f>Tabela3[[#This Row],[Lucro/Ação]]/Tabela3[[#This Row],[Ref]]*4</f>
        <v>0.81211105138862749</v>
      </c>
      <c r="I35" s="18">
        <f>IF(GETPIVOTDATA("Payout",'Tabela LL'!$A$3,"Ativo",Tabela3[[#This Row],[PAPEL]])&gt;1,1,GETPIVOTDATA("Payout",'Tabela LL'!$A$3,"Ativo",Tabela3[[#This Row],[PAPEL]]))</f>
        <v>0.35050699967240423</v>
      </c>
      <c r="J35" s="5">
        <f>[Patrimônio Líquido]/[Total Ações]</f>
        <v>10.094728210864121</v>
      </c>
      <c r="K35" s="58">
        <f>MAX(Tabela3[[#This Row],[Cotação 1]],Tabela3[[#This Row],[Cotação 2]])</f>
        <v>20.170000000000002</v>
      </c>
      <c r="L35" s="59">
        <f>[Cotação]/[VPA]</f>
        <v>1.9980726155948112</v>
      </c>
      <c r="M35" s="40">
        <f>IF(Tabela3[[#This Row],[Lucro/Ação Ano]]&gt;0,Tabela3[[#This Row],[Cotação]]/Tabela3[[#This Row],[Lucro/Ação Ano]],0)</f>
        <v>24.836504768050315</v>
      </c>
      <c r="N35" s="51">
        <f>ROUND(Tabela3[[#This Row],[Lucro Prev]]/10%,2)</f>
        <v>2.85</v>
      </c>
      <c r="O35" s="51">
        <f>MIN(Tabela3[[#This Row],[10% Rent]],Tabela3[[#This Row],[VPA]]*2)</f>
        <v>2.85</v>
      </c>
      <c r="P35" s="18">
        <f>Tabela3[[#This Row],[P Compra]]/Tabela3[[#This Row],[Cotação]]-1</f>
        <v>-0.85870104115022317</v>
      </c>
      <c r="Q35" s="5">
        <f>Tabela3[[#This Row],[Lucro/Ação Ano]]*Tabela3[[#This Row],[Payout]]</f>
        <v>0.28465060802302949</v>
      </c>
      <c r="R35" s="16" t="str">
        <f>IF(AND([% Yield]&gt;=10%,[PVPA]&lt;=2,[PL]&lt;=15,[PL]&gt;0),"Sim","Não")</f>
        <v>Não</v>
      </c>
      <c r="S35" s="22">
        <f>Tabela3[[#This Row],[Lucro Prev]]/Tabela3[[#This Row],[Cotação]]</f>
        <v>1.4112573526178953E-2</v>
      </c>
      <c r="T35" s="22">
        <f>(1+Tabela3[[#This Row],[% Yield]])^(1/12)-1</f>
        <v>1.1685086968704628E-3</v>
      </c>
      <c r="U35" s="10">
        <f>($AA$1/Tabela3[[#This Row],[Cotação]]-MOD($AA$1/Tabela3[[#This Row],[Cotação]],100))</f>
        <v>0</v>
      </c>
      <c r="V35" s="7">
        <f>Tabela3[[#This Row],[Ativos]]*Tabela3[[#This Row],[Lucro Prev]]</f>
        <v>0</v>
      </c>
      <c r="W35" s="51">
        <f>SUMPRODUCT(N(Tabela1[Código]=Tabela3[[#This Row],[PAPEL]]),Tabela1[Fechamento])</f>
        <v>0</v>
      </c>
      <c r="X35" s="51">
        <f>SUMPRODUCT(N(Tabela17[Código]=Tabela3[[#This Row],[PAPEL]]),Tabela17[Fechamento])</f>
        <v>20.170000000000002</v>
      </c>
    </row>
    <row r="36" spans="1:24">
      <c r="A36" s="4" t="s">
        <v>40</v>
      </c>
      <c r="B36" s="15" t="s">
        <v>304</v>
      </c>
      <c r="C36" s="15">
        <v>3</v>
      </c>
      <c r="D36" s="5">
        <v>8048177000</v>
      </c>
      <c r="E36" s="5">
        <v>485601000</v>
      </c>
      <c r="F36" s="21">
        <v>797265348</v>
      </c>
      <c r="G36" s="72">
        <f>Tabela3[[#This Row],[Lucro Líquido]]/Tabela3[[#This Row],[Total Ações]]</f>
        <v>0.60908328854147065</v>
      </c>
      <c r="H36" s="15">
        <f>Tabela3[[#This Row],[Lucro/Ação]]/Tabela3[[#This Row],[Ref]]*4</f>
        <v>0.81211105138862749</v>
      </c>
      <c r="I36" s="19">
        <f>IF(GETPIVOTDATA("Payout",'Tabela LL'!$A$3,"Ativo",Tabela3[[#This Row],[PAPEL]])&gt;1,1,GETPIVOTDATA("Payout",'Tabela LL'!$A$3,"Ativo",Tabela3[[#This Row],[PAPEL]]))</f>
        <v>0.25322752895727813</v>
      </c>
      <c r="J36" s="6">
        <f>[Patrimônio Líquido]/[Total Ações]</f>
        <v>10.094728210864121</v>
      </c>
      <c r="K36" s="52">
        <f>MAX(Tabela3[[#This Row],[Cotação 1]],Tabela3[[#This Row],[Cotação 2]])</f>
        <v>10.5</v>
      </c>
      <c r="L36" s="48">
        <f>[Cotação]/[VPA]</f>
        <v>1.0401468747518847</v>
      </c>
      <c r="M36" s="44">
        <f>IF(Tabela3[[#This Row],[Lucro/Ação Ano]]&gt;0,Tabela3[[#This Row],[Cotação]]/Tabela3[[#This Row],[Lucro/Ação Ano]],0)</f>
        <v>12.929266240184843</v>
      </c>
      <c r="N36" s="13">
        <f>ROUND(Tabela3[[#This Row],[Lucro Prev]]/10%,2)</f>
        <v>2.06</v>
      </c>
      <c r="O36" s="13">
        <f>MIN(Tabela3[[#This Row],[10% Rent]],Tabela3[[#This Row],[VPA]]*2)</f>
        <v>2.06</v>
      </c>
      <c r="P36" s="19">
        <f>Tabela3[[#This Row],[P Compra]]/Tabela3[[#This Row],[Cotação]]-1</f>
        <v>-0.80380952380952375</v>
      </c>
      <c r="Q36" s="6">
        <f>Tabela3[[#This Row],[Lucro/Ação Ano]]*Tabela3[[#This Row],[Payout]]</f>
        <v>0.20564887478203925</v>
      </c>
      <c r="R36" s="15" t="str">
        <f>IF(AND([% Yield]&gt;=10%,[PVPA]&lt;=2,[PL]&lt;=15,[PL]&gt;0),"Sim","Não")</f>
        <v>Não</v>
      </c>
      <c r="S36" s="46">
        <f>Tabela3[[#This Row],[Lucro Prev]]/Tabela3[[#This Row],[Cotação]]</f>
        <v>1.9585607122098975E-2</v>
      </c>
      <c r="T36" s="46">
        <f>(1+Tabela3[[#This Row],[% Yield]])^(1/12)-1</f>
        <v>1.6176634431492865E-3</v>
      </c>
      <c r="U36" s="14">
        <f>($AA$1/Tabela3[[#This Row],[Cotação]]-MOD($AA$1/Tabela3[[#This Row],[Cotação]],100))</f>
        <v>0</v>
      </c>
      <c r="V36" s="17">
        <f>Tabela3[[#This Row],[Ativos]]*Tabela3[[#This Row],[Lucro Prev]]</f>
        <v>0</v>
      </c>
      <c r="W36" s="13">
        <f>SUMPRODUCT(N(Tabela1[Código]=Tabela3[[#This Row],[PAPEL]]),Tabela1[Fechamento])</f>
        <v>0</v>
      </c>
      <c r="X36" s="13">
        <f>SUMPRODUCT(N(Tabela17[Código]=Tabela3[[#This Row],[PAPEL]]),Tabela17[Fechamento])</f>
        <v>10.5</v>
      </c>
    </row>
    <row r="37" spans="1:24">
      <c r="A37" s="3" t="s">
        <v>411</v>
      </c>
      <c r="B37" s="73" t="s">
        <v>414</v>
      </c>
      <c r="C37" s="16">
        <v>3</v>
      </c>
      <c r="D37" s="5">
        <v>8579316000</v>
      </c>
      <c r="E37" s="5">
        <v>334866000</v>
      </c>
      <c r="F37" s="21">
        <v>457066306</v>
      </c>
      <c r="G37" s="16">
        <f>Tabela3[[#This Row],[Lucro Líquido]]/Tabela3[[#This Row],[Total Ações]]</f>
        <v>0.73264206003406429</v>
      </c>
      <c r="H37" s="16">
        <f>Tabela3[[#This Row],[Lucro/Ação]]/Tabela3[[#This Row],[Ref]]*4</f>
        <v>0.97685608004541902</v>
      </c>
      <c r="I37" s="18">
        <f>IF(GETPIVOTDATA("Payout",'Tabela LL'!$A$3,"Ativo",Tabela3[[#This Row],[PAPEL]])&gt;1,1,GETPIVOTDATA("Payout",'Tabela LL'!$A$3,"Ativo",Tabela3[[#This Row],[PAPEL]]))</f>
        <v>0.11310764362768161</v>
      </c>
      <c r="J37" s="5">
        <f>[Patrimônio Líquido]/[Total Ações]</f>
        <v>18.770396958554194</v>
      </c>
      <c r="K37" s="58">
        <f>MAX(Tabela3[[#This Row],[Cotação 1]],Tabela3[[#This Row],[Cotação 2]])</f>
        <v>17.14</v>
      </c>
      <c r="L37" s="59">
        <f>[Cotação]/[VPA]</f>
        <v>0.91313998515033135</v>
      </c>
      <c r="M37" s="40">
        <f>IF(Tabela3[[#This Row],[Lucro/Ação Ano]]&gt;0,Tabela3[[#This Row],[Cotação]]/Tabela3[[#This Row],[Lucro/Ação Ano]],0)</f>
        <v>17.54608519118095</v>
      </c>
      <c r="N37" s="7">
        <f>ROUND(Tabela3[[#This Row],[Lucro Prev]]/10%,2)</f>
        <v>1.1000000000000001</v>
      </c>
      <c r="O37" s="51">
        <f>MIN(Tabela3[[#This Row],[10% Rent]],Tabela3[[#This Row],[VPA]]*2)</f>
        <v>1.1000000000000001</v>
      </c>
      <c r="P37" s="18">
        <f>Tabela3[[#This Row],[P Compra]]/Tabela3[[#This Row],[Cotação]]-1</f>
        <v>-0.93582263710618441</v>
      </c>
      <c r="Q37" s="5">
        <f>Tabela3[[#This Row],[Lucro/Ação Ano]]*Tabela3[[#This Row],[Payout]]</f>
        <v>0.11048988937731127</v>
      </c>
      <c r="R37" s="16" t="str">
        <f>IF(AND([% Yield]&gt;=10%,[PVPA]&lt;=2,[PL]&lt;=15,[PL]&gt;0),"Sim","Não")</f>
        <v>Não</v>
      </c>
      <c r="S37" s="22">
        <f>Tabela3[[#This Row],[Lucro Prev]]/Tabela3[[#This Row],[Cotação]]</f>
        <v>6.4463179333320462E-3</v>
      </c>
      <c r="T37" s="22">
        <f>(1+Tabela3[[#This Row],[% Yield]])^(1/12)-1</f>
        <v>5.3561249656408627E-4</v>
      </c>
      <c r="U37" s="10">
        <f>($AA$1/Tabela3[[#This Row],[Cotação]]-MOD($AA$1/Tabela3[[#This Row],[Cotação]],100))</f>
        <v>0</v>
      </c>
      <c r="V37" s="7">
        <f>Tabela3[[#This Row],[Ativos]]*Tabela3[[#This Row],[Lucro Prev]]</f>
        <v>0</v>
      </c>
      <c r="W37" s="51">
        <f>SUMPRODUCT(N(Tabela1[Código]=Tabela3[[#This Row],[PAPEL]]),Tabela1[Fechamento])</f>
        <v>0</v>
      </c>
      <c r="X37" s="60">
        <f>SUMPRODUCT(N(Tabela17[Código]=Tabela3[[#This Row],[PAPEL]]),Tabela17[Fechamento])</f>
        <v>17.14</v>
      </c>
    </row>
    <row r="38" spans="1:24">
      <c r="A38" s="3" t="s">
        <v>411</v>
      </c>
      <c r="B38" s="73" t="s">
        <v>416</v>
      </c>
      <c r="C38" s="16">
        <v>3</v>
      </c>
      <c r="D38" s="5">
        <v>8025139000</v>
      </c>
      <c r="E38" s="5">
        <v>230295000</v>
      </c>
      <c r="F38" s="21">
        <v>312653445</v>
      </c>
      <c r="G38" s="16">
        <f>Tabela3[[#This Row],[Lucro Líquido]]/Tabela3[[#This Row],[Total Ações]]</f>
        <v>0.73658232040270655</v>
      </c>
      <c r="H38" s="16">
        <f>Tabela3[[#This Row],[Lucro/Ação]]/Tabela3[[#This Row],[Ref]]*4</f>
        <v>0.9821097605369421</v>
      </c>
      <c r="I38" s="18">
        <f>IF(GETPIVOTDATA("Payout",'Tabela LL'!$A$3,"Ativo",Tabela3[[#This Row],[PAPEL]])&gt;1,1,GETPIVOTDATA("Payout",'Tabela LL'!$A$3,"Ativo",Tabela3[[#This Row],[PAPEL]]))</f>
        <v>0.11682654188083424</v>
      </c>
      <c r="J38" s="5">
        <f>[Patrimônio Líquido]/[Total Ações]</f>
        <v>25.667841273906323</v>
      </c>
      <c r="K38" s="58">
        <f>MAX(Tabela3[[#This Row],[Cotação 1]],Tabela3[[#This Row],[Cotação 2]])</f>
        <v>18</v>
      </c>
      <c r="L38" s="59">
        <f>[Cotação]/[VPA]</f>
        <v>0.70126660859082934</v>
      </c>
      <c r="M38" s="40">
        <f>IF(Tabela3[[#This Row],[Lucro/Ação Ano]]&gt;0,Tabela3[[#This Row],[Cotação]]/Tabela3[[#This Row],[Lucro/Ação Ano]],0)</f>
        <v>18.327890347163422</v>
      </c>
      <c r="N38" s="7">
        <f>ROUND(Tabela3[[#This Row],[Lucro Prev]]/10%,2)</f>
        <v>1.1499999999999999</v>
      </c>
      <c r="O38" s="51">
        <f>MIN(Tabela3[[#This Row],[10% Rent]],Tabela3[[#This Row],[VPA]]*2)</f>
        <v>1.1499999999999999</v>
      </c>
      <c r="P38" s="18">
        <f>Tabela3[[#This Row],[P Compra]]/Tabela3[[#This Row],[Cotação]]-1</f>
        <v>-0.93611111111111112</v>
      </c>
      <c r="Q38" s="5">
        <f>Tabela3[[#This Row],[Lucro/Ação Ano]]*Tabela3[[#This Row],[Payout]]</f>
        <v>0.11473648707094515</v>
      </c>
      <c r="R38" s="16" t="str">
        <f>IF(AND([% Yield]&gt;=10%,[PVPA]&lt;=2,[PL]&lt;=15,[PL]&gt;0),"Sim","Não")</f>
        <v>Não</v>
      </c>
      <c r="S38" s="22">
        <f>Tabela3[[#This Row],[Lucro Prev]]/Tabela3[[#This Row],[Cotação]]</f>
        <v>6.3742492817191751E-3</v>
      </c>
      <c r="T38" s="22">
        <f>(1+Tabela3[[#This Row],[% Yield]])^(1/12)-1</f>
        <v>5.2964185031934008E-4</v>
      </c>
      <c r="U38" s="10">
        <f>($AA$1/Tabela3[[#This Row],[Cotação]]-MOD($AA$1/Tabela3[[#This Row],[Cotação]],100))</f>
        <v>0</v>
      </c>
      <c r="V38" s="7">
        <f>Tabela3[[#This Row],[Ativos]]*Tabela3[[#This Row],[Lucro Prev]]</f>
        <v>0</v>
      </c>
      <c r="W38" s="51">
        <f>SUMPRODUCT(N(Tabela1[Código]=Tabela3[[#This Row],[PAPEL]]),Tabela1[Fechamento])</f>
        <v>0</v>
      </c>
      <c r="X38" s="60">
        <f>SUMPRODUCT(N(Tabela17[Código]=Tabela3[[#This Row],[PAPEL]]),Tabela17[Fechamento])</f>
        <v>18</v>
      </c>
    </row>
    <row r="39" spans="1:24">
      <c r="A39" s="4" t="s">
        <v>14</v>
      </c>
      <c r="B39" s="14" t="s">
        <v>229</v>
      </c>
      <c r="C39" s="15">
        <v>3</v>
      </c>
      <c r="D39" s="6">
        <v>5008604000</v>
      </c>
      <c r="E39" s="6">
        <v>602652000</v>
      </c>
      <c r="F39" s="42">
        <v>408974477</v>
      </c>
      <c r="G39" s="15">
        <f>Tabela3[[#This Row],[Lucro Líquido]]/Tabela3[[#This Row],[Total Ações]]</f>
        <v>1.4735687283487864</v>
      </c>
      <c r="H39" s="15">
        <f>Tabela3[[#This Row],[Lucro/Ação]]/Tabela3[[#This Row],[Ref]]*4</f>
        <v>1.9647583044650485</v>
      </c>
      <c r="I39" s="19">
        <f>IF(GETPIVOTDATA("Payout",'Tabela LL'!$A$3,"Ativo",Tabela3[[#This Row],[PAPEL]])&gt;1,1,GETPIVOTDATA("Payout",'Tabela LL'!$A$3,"Ativo",Tabela3[[#This Row],[PAPEL]]))</f>
        <v>0.38934546499886002</v>
      </c>
      <c r="J39" s="6">
        <f>[Patrimônio Líquido]/[Total Ações]</f>
        <v>12.246739788605439</v>
      </c>
      <c r="K39" s="52">
        <f>MAX(Tabela3[[#This Row],[Cotação 1]],Tabela3[[#This Row],[Cotação 2]])</f>
        <v>12.2</v>
      </c>
      <c r="L39" s="48">
        <f>[Cotação]/[VPA]</f>
        <v>0.99618349132812256</v>
      </c>
      <c r="M39" s="44">
        <f>IF(Tabela3[[#This Row],[Lucro/Ação Ano]]&gt;0,Tabela3[[#This Row],[Cotação]]/Tabela3[[#This Row],[Lucro/Ação Ano]],0)</f>
        <v>6.2094151592461317</v>
      </c>
      <c r="N39" s="6">
        <f>ROUND(Tabela3[[#This Row],[Lucro Prev]]/10%,2)</f>
        <v>7.65</v>
      </c>
      <c r="O39" s="61">
        <f>MIN(Tabela3[[#This Row],[10% Rent]],Tabela3[[#This Row],[VPA]]*2)</f>
        <v>7.65</v>
      </c>
      <c r="P39" s="19">
        <f>Tabela3[[#This Row],[P Compra]]/Tabela3[[#This Row],[Cotação]]-1</f>
        <v>-0.37295081967213106</v>
      </c>
      <c r="Q39" s="6">
        <f>Tabela3[[#This Row],[Lucro/Ação Ano]]*Tabela3[[#This Row],[Payout]]</f>
        <v>0.76496973566231607</v>
      </c>
      <c r="R39" s="15" t="str">
        <f>IF(AND([% Yield]&gt;=10%,[PVPA]&lt;=2,[PL]&lt;=15,[PL]&gt;0),"Sim","Não")</f>
        <v>Não</v>
      </c>
      <c r="S39" s="46">
        <f>Tabela3[[#This Row],[Lucro Prev]]/Tabela3[[#This Row],[Cotação]]</f>
        <v>6.2702437349370171E-2</v>
      </c>
      <c r="T39" s="46">
        <f>(1+Tabela3[[#This Row],[% Yield]])^(1/12)-1</f>
        <v>5.080791412181318E-3</v>
      </c>
      <c r="U39" s="14">
        <f>($AA$1/Tabela3[[#This Row],[Cotação]]-MOD($AA$1/Tabela3[[#This Row],[Cotação]],100))</f>
        <v>0</v>
      </c>
      <c r="V39" s="17">
        <f>Tabela3[[#This Row],[Ativos]]*Tabela3[[#This Row],[Lucro Prev]]</f>
        <v>0</v>
      </c>
      <c r="W39" s="5">
        <f>SUMPRODUCT(N(Tabela1[Código]=Tabela3[[#This Row],[PAPEL]]),Tabela1[Fechamento])</f>
        <v>12.2</v>
      </c>
      <c r="X39" s="5">
        <f>SUMPRODUCT(N(Tabela17[Código]=Tabela3[[#This Row],[PAPEL]]),Tabela17[Fechamento])</f>
        <v>0</v>
      </c>
    </row>
    <row r="40" spans="1:24">
      <c r="A40" s="4" t="s">
        <v>14</v>
      </c>
      <c r="B40" s="14" t="s">
        <v>230</v>
      </c>
      <c r="C40" s="15">
        <v>3</v>
      </c>
      <c r="D40" s="6">
        <v>5008604000</v>
      </c>
      <c r="E40" s="6">
        <v>602652000</v>
      </c>
      <c r="F40" s="42">
        <v>408974477</v>
      </c>
      <c r="G40" s="15">
        <f>Tabela3[[#This Row],[Lucro Líquido]]/Tabela3[[#This Row],[Total Ações]]</f>
        <v>1.4735687283487864</v>
      </c>
      <c r="H40" s="15">
        <f>Tabela3[[#This Row],[Lucro/Ação]]/Tabela3[[#This Row],[Ref]]*4</f>
        <v>1.9647583044650485</v>
      </c>
      <c r="I40" s="19">
        <f>IF(GETPIVOTDATA("Payout",'Tabela LL'!$A$3,"Ativo",Tabela3[[#This Row],[PAPEL]])&gt;1,1,GETPIVOTDATA("Payout",'Tabela LL'!$A$3,"Ativo",Tabela3[[#This Row],[PAPEL]]))</f>
        <v>0.39260782255861065</v>
      </c>
      <c r="J40" s="6">
        <f>[Patrimônio Líquido]/[Total Ações]</f>
        <v>12.246739788605439</v>
      </c>
      <c r="K40" s="52">
        <f>MAX(Tabela3[[#This Row],[Cotação 1]],Tabela3[[#This Row],[Cotação 2]])</f>
        <v>15.72</v>
      </c>
      <c r="L40" s="48">
        <f>[Cotação]/[VPA]</f>
        <v>1.2836069248916466</v>
      </c>
      <c r="M40" s="44">
        <f>IF(Tabela3[[#This Row],[Lucro/Ação Ano]]&gt;0,Tabela3[[#This Row],[Cotação]]/Tabela3[[#This Row],[Lucro/Ação Ano]],0)</f>
        <v>8.0009841232253454</v>
      </c>
      <c r="N40" s="6">
        <f>ROUND(Tabela3[[#This Row],[Lucro Prev]]/10%,2)</f>
        <v>7.71</v>
      </c>
      <c r="O40" s="61">
        <f>MIN(Tabela3[[#This Row],[10% Rent]],Tabela3[[#This Row],[VPA]]*2)</f>
        <v>7.71</v>
      </c>
      <c r="P40" s="19">
        <f>Tabela3[[#This Row],[P Compra]]/Tabela3[[#This Row],[Cotação]]-1</f>
        <v>-0.50954198473282442</v>
      </c>
      <c r="Q40" s="6">
        <f>Tabela3[[#This Row],[Lucro/Ação Ano]]*Tabela3[[#This Row],[Payout]]</f>
        <v>0.77137947976997046</v>
      </c>
      <c r="R40" s="15" t="str">
        <f>IF(AND([% Yield]&gt;=10%,[PVPA]&lt;=2,[PL]&lt;=15,[PL]&gt;0),"Sim","Não")</f>
        <v>Não</v>
      </c>
      <c r="S40" s="46">
        <f>Tabela3[[#This Row],[Lucro Prev]]/Tabela3[[#This Row],[Cotação]]</f>
        <v>4.9069941461194047E-2</v>
      </c>
      <c r="T40" s="46">
        <f>(1+Tabela3[[#This Row],[% Yield]])^(1/12)-1</f>
        <v>3.9999787797855291E-3</v>
      </c>
      <c r="U40" s="14">
        <f>($AA$1/Tabela3[[#This Row],[Cotação]]-MOD($AA$1/Tabela3[[#This Row],[Cotação]],100))</f>
        <v>0</v>
      </c>
      <c r="V40" s="17">
        <f>Tabela3[[#This Row],[Ativos]]*Tabela3[[#This Row],[Lucro Prev]]</f>
        <v>0</v>
      </c>
      <c r="W40" s="5">
        <f>SUMPRODUCT(N(Tabela1[Código]=Tabela3[[#This Row],[PAPEL]]),Tabela1[Fechamento])</f>
        <v>15.72</v>
      </c>
      <c r="X40" s="5">
        <f>SUMPRODUCT(N(Tabela17[Código]=Tabela3[[#This Row],[PAPEL]]),Tabela17[Fechamento])</f>
        <v>0</v>
      </c>
    </row>
    <row r="41" spans="1:24">
      <c r="A41" s="4" t="s">
        <v>14</v>
      </c>
      <c r="B41" s="14" t="s">
        <v>23</v>
      </c>
      <c r="C41" s="15">
        <v>3</v>
      </c>
      <c r="D41" s="6">
        <v>5008604000</v>
      </c>
      <c r="E41" s="6">
        <v>602652000</v>
      </c>
      <c r="F41" s="42">
        <v>408974477</v>
      </c>
      <c r="G41" s="15">
        <f>Tabela3[[#This Row],[Lucro Líquido]]/Tabela3[[#This Row],[Total Ações]]</f>
        <v>1.4735687283487864</v>
      </c>
      <c r="H41" s="15">
        <f>Tabela3[[#This Row],[Lucro/Ação]]/Tabela3[[#This Row],[Ref]]*4</f>
        <v>1.9647583044650485</v>
      </c>
      <c r="I41" s="19">
        <f>IF(GETPIVOTDATA("Payout",'Tabela LL'!$A$3,"Ativo",Tabela3[[#This Row],[PAPEL]])&gt;1,1,GETPIVOTDATA("Payout",'Tabela LL'!$A$3,"Ativo",Tabela3[[#This Row],[PAPEL]]))</f>
        <v>0.38941510854732531</v>
      </c>
      <c r="J41" s="6">
        <f>[Patrimônio Líquido]/[Total Ações]</f>
        <v>12.246739788605439</v>
      </c>
      <c r="K41" s="52">
        <f>MAX(Tabela3[[#This Row],[Cotação 1]],Tabela3[[#This Row],[Cotação 2]])</f>
        <v>11.85</v>
      </c>
      <c r="L41" s="48">
        <f>[Cotação]/[VPA]</f>
        <v>0.96760445674084039</v>
      </c>
      <c r="M41" s="44">
        <f>IF(Tabela3[[#This Row],[Lucro/Ação Ano]]&gt;0,Tabela3[[#This Row],[Cotação]]/Tabela3[[#This Row],[Lucro/Ação Ano]],0)</f>
        <v>6.0312761997595628</v>
      </c>
      <c r="N41" s="6">
        <f>ROUND(Tabela3[[#This Row],[Lucro Prev]]/10%,2)</f>
        <v>7.65</v>
      </c>
      <c r="O41" s="61">
        <f>MIN(Tabela3[[#This Row],[10% Rent]],Tabela3[[#This Row],[VPA]]*2)</f>
        <v>7.65</v>
      </c>
      <c r="P41" s="19">
        <f>Tabela3[[#This Row],[P Compra]]/Tabela3[[#This Row],[Cotação]]-1</f>
        <v>-0.35443037974683544</v>
      </c>
      <c r="Q41" s="6">
        <f>Tabela3[[#This Row],[Lucro/Ação Ano]]*Tabela3[[#This Row],[Payout]]</f>
        <v>0.76510656840251567</v>
      </c>
      <c r="R41" s="15" t="str">
        <f>IF(AND([% Yield]&gt;=10%,[PVPA]&lt;=2,[PL]&lt;=15,[PL]&gt;0),"Sim","Não")</f>
        <v>Não</v>
      </c>
      <c r="S41" s="46">
        <f>Tabela3[[#This Row],[Lucro Prev]]/Tabela3[[#This Row],[Cotação]]</f>
        <v>6.4565955139452805E-2</v>
      </c>
      <c r="T41" s="46">
        <f>(1+Tabela3[[#This Row],[% Yield]])^(1/12)-1</f>
        <v>5.22754637407985E-3</v>
      </c>
      <c r="U41" s="14">
        <f>($AA$1/Tabela3[[#This Row],[Cotação]]-MOD($AA$1/Tabela3[[#This Row],[Cotação]],100))</f>
        <v>0</v>
      </c>
      <c r="V41" s="17">
        <f>Tabela3[[#This Row],[Ativos]]*Tabela3[[#This Row],[Lucro Prev]]</f>
        <v>0</v>
      </c>
      <c r="W41" s="5">
        <f>SUMPRODUCT(N(Tabela1[Código]=Tabela3[[#This Row],[PAPEL]]),Tabela1[Fechamento])</f>
        <v>11.85</v>
      </c>
      <c r="X41" s="5">
        <f>SUMPRODUCT(N(Tabela17[Código]=Tabela3[[#This Row],[PAPEL]]),Tabela17[Fechamento])</f>
        <v>0</v>
      </c>
    </row>
    <row r="42" spans="1:24">
      <c r="A42" s="4" t="s">
        <v>14</v>
      </c>
      <c r="B42" s="15" t="s">
        <v>244</v>
      </c>
      <c r="C42" s="16">
        <v>3</v>
      </c>
      <c r="D42" s="5">
        <v>1002748000</v>
      </c>
      <c r="E42" s="5">
        <v>143437000</v>
      </c>
      <c r="F42" s="21">
        <v>36304650</v>
      </c>
      <c r="G42" s="16">
        <f>Tabela3[[#This Row],[Lucro Líquido]]/Tabela3[[#This Row],[Total Ações]]</f>
        <v>3.9509263964808916</v>
      </c>
      <c r="H42" s="16">
        <f>Tabela3[[#This Row],[Lucro/Ação]]/Tabela3[[#This Row],[Ref]]*4</f>
        <v>5.2679018619745221</v>
      </c>
      <c r="I42" s="18">
        <f>IF(GETPIVOTDATA("Payout",'Tabela LL'!$A$3,"Ativo",Tabela3[[#This Row],[PAPEL]])&gt;1,1,GETPIVOTDATA("Payout",'Tabela LL'!$A$3,"Ativo",Tabela3[[#This Row],[PAPEL]]))</f>
        <v>0.14691424979139903</v>
      </c>
      <c r="J42" s="5">
        <f>[Patrimônio Líquido]/[Total Ações]</f>
        <v>27.620373698685981</v>
      </c>
      <c r="K42" s="58">
        <f>MAX(Tabela3[[#This Row],[Cotação 1]],Tabela3[[#This Row],[Cotação 2]])</f>
        <v>27.5</v>
      </c>
      <c r="L42" s="59">
        <f>[Cotação]/[VPA]</f>
        <v>0.99564185119292181</v>
      </c>
      <c r="M42" s="40">
        <f>IF(Tabela3[[#This Row],[Lucro/Ação Ano]]&gt;0,Tabela3[[#This Row],[Cotação]]/Tabela3[[#This Row],[Lucro/Ação Ano]],0)</f>
        <v>5.2202946676938309</v>
      </c>
      <c r="N42" s="5">
        <f>ROUND(Tabela3[[#This Row],[Lucro Prev]]/10%,2)</f>
        <v>7.74</v>
      </c>
      <c r="O42" s="60">
        <f>MIN(Tabela3[[#This Row],[10% Rent]],Tabela3[[#This Row],[VPA]]*2)</f>
        <v>7.74</v>
      </c>
      <c r="P42" s="18">
        <f>Tabela3[[#This Row],[P Compra]]/Tabela3[[#This Row],[Cotação]]-1</f>
        <v>-0.7185454545454546</v>
      </c>
      <c r="Q42" s="5">
        <f>Tabela3[[#This Row],[Lucro/Ação Ano]]*Tabela3[[#This Row],[Payout]]</f>
        <v>0.77392985002670101</v>
      </c>
      <c r="R42" s="16" t="str">
        <f>IF(AND([% Yield]&gt;=10%,[PVPA]&lt;=2,[PL]&lt;=15,[PL]&gt;0),"Sim","Não")</f>
        <v>Não</v>
      </c>
      <c r="S42" s="22">
        <f>Tabela3[[#This Row],[Lucro Prev]]/Tabela3[[#This Row],[Cotação]]</f>
        <v>2.8142903637334581E-2</v>
      </c>
      <c r="T42" s="22">
        <f>(1+Tabela3[[#This Row],[% Yield]])^(1/12)-1</f>
        <v>2.3155240857379855E-3</v>
      </c>
      <c r="U42" s="10">
        <f>($AA$1/Tabela3[[#This Row],[Cotação]]-MOD($AA$1/Tabela3[[#This Row],[Cotação]],100))</f>
        <v>0</v>
      </c>
      <c r="V42" s="7">
        <f>Tabela3[[#This Row],[Ativos]]*Tabela3[[#This Row],[Lucro Prev]]</f>
        <v>0</v>
      </c>
      <c r="W42" s="5">
        <f>SUMPRODUCT(N(Tabela1[Código]=Tabela3[[#This Row],[PAPEL]]),Tabela1[Fechamento])</f>
        <v>27.5</v>
      </c>
      <c r="X42" s="5">
        <f>SUMPRODUCT(N(Tabela17[Código]=Tabela3[[#This Row],[PAPEL]]),Tabela17[Fechamento])</f>
        <v>0</v>
      </c>
    </row>
    <row r="43" spans="1:24">
      <c r="A43" s="4" t="s">
        <v>14</v>
      </c>
      <c r="B43" s="14" t="s">
        <v>245</v>
      </c>
      <c r="C43" s="15">
        <v>3</v>
      </c>
      <c r="D43" s="5">
        <v>1002748000</v>
      </c>
      <c r="E43" s="5">
        <v>143437000</v>
      </c>
      <c r="F43" s="21">
        <v>36304650</v>
      </c>
      <c r="G43" s="15">
        <f>Tabela3[[#This Row],[Lucro Líquido]]/Tabela3[[#This Row],[Total Ações]]</f>
        <v>3.9509263964808916</v>
      </c>
      <c r="H43" s="15">
        <f>Tabela3[[#This Row],[Lucro/Ação]]/Tabela3[[#This Row],[Ref]]*4</f>
        <v>5.2679018619745221</v>
      </c>
      <c r="I43" s="19">
        <f>IF(GETPIVOTDATA("Payout",'Tabela LL'!$A$3,"Ativo",Tabela3[[#This Row],[PAPEL]])&gt;1,1,GETPIVOTDATA("Payout",'Tabela LL'!$A$3,"Ativo",Tabela3[[#This Row],[PAPEL]]))</f>
        <v>0.28664546825986631</v>
      </c>
      <c r="J43" s="6">
        <f>[Patrimônio Líquido]/[Total Ações]</f>
        <v>27.620373698685981</v>
      </c>
      <c r="K43" s="52">
        <f>MAX(Tabela3[[#This Row],[Cotação 1]],Tabela3[[#This Row],[Cotação 2]])</f>
        <v>29.99</v>
      </c>
      <c r="L43" s="48">
        <f>[Cotação]/[VPA]</f>
        <v>1.0857926951736627</v>
      </c>
      <c r="M43" s="44">
        <f>IF(Tabela3[[#This Row],[Lucro/Ação Ano]]&gt;0,Tabela3[[#This Row],[Cotação]]/Tabela3[[#This Row],[Lucro/Ação Ano]],0)</f>
        <v>5.6929686212413806</v>
      </c>
      <c r="N43" s="6">
        <f>ROUND(Tabela3[[#This Row],[Lucro Prev]]/10%,2)</f>
        <v>15.1</v>
      </c>
      <c r="O43" s="61">
        <f>MIN(Tabela3[[#This Row],[10% Rent]],Tabela3[[#This Row],[VPA]]*2)</f>
        <v>15.1</v>
      </c>
      <c r="P43" s="19">
        <f>Tabela3[[#This Row],[P Compra]]/Tabela3[[#This Row],[Cotação]]-1</f>
        <v>-0.49649883294431474</v>
      </c>
      <c r="Q43" s="6">
        <f>Tabela3[[#This Row],[Lucro/Ação Ano]]*Tabela3[[#This Row],[Payout]]</f>
        <v>1.5100201959727084</v>
      </c>
      <c r="R43" s="15" t="str">
        <f>IF(AND([% Yield]&gt;=10%,[PVPA]&lt;=2,[PL]&lt;=15,[PL]&gt;0),"Sim","Não")</f>
        <v>Não</v>
      </c>
      <c r="S43" s="46">
        <f>Tabela3[[#This Row],[Lucro Prev]]/Tabela3[[#This Row],[Cotação]]</f>
        <v>5.0350790129133328E-2</v>
      </c>
      <c r="T43" s="46">
        <f>(1+Tabela3[[#This Row],[% Yield]])^(1/12)-1</f>
        <v>4.1020734162109385E-3</v>
      </c>
      <c r="U43" s="14">
        <f>($AA$1/Tabela3[[#This Row],[Cotação]]-MOD($AA$1/Tabela3[[#This Row],[Cotação]],100))</f>
        <v>0</v>
      </c>
      <c r="V43" s="17">
        <f>Tabela3[[#This Row],[Ativos]]*Tabela3[[#This Row],[Lucro Prev]]</f>
        <v>0</v>
      </c>
      <c r="W43" s="5">
        <f>SUMPRODUCT(N(Tabela1[Código]=Tabela3[[#This Row],[PAPEL]]),Tabela1[Fechamento])</f>
        <v>29.99</v>
      </c>
      <c r="X43" s="5">
        <f>SUMPRODUCT(N(Tabela17[Código]=Tabela3[[#This Row],[PAPEL]]),Tabela17[Fechamento])</f>
        <v>0</v>
      </c>
    </row>
    <row r="44" spans="1:24">
      <c r="A44" s="4" t="s">
        <v>445</v>
      </c>
      <c r="B44" s="70" t="s">
        <v>444</v>
      </c>
      <c r="C44" s="15">
        <v>3</v>
      </c>
      <c r="D44" s="6">
        <v>19321802000</v>
      </c>
      <c r="E44" s="6">
        <v>899387000</v>
      </c>
      <c r="F44" s="42">
        <v>1980000000</v>
      </c>
      <c r="G44" s="15">
        <f>Tabela3[[#This Row],[Lucro Líquido]]/Tabela3[[#This Row],[Total Ações]]</f>
        <v>0.45423585858585858</v>
      </c>
      <c r="H44" s="15">
        <f>Tabela3[[#This Row],[Lucro/Ação]]/Tabela3[[#This Row],[Ref]]*4</f>
        <v>0.60564781144781143</v>
      </c>
      <c r="I44" s="19">
        <f>IF(GETPIVOTDATA("Payout",'Tabela LL'!$A$3,"Ativo",Tabela3[[#This Row],[PAPEL]])&gt;1,1,GETPIVOTDATA("Payout",'Tabela LL'!$A$3,"Ativo",Tabela3[[#This Row],[PAPEL]]))</f>
        <v>0.84727522063961358</v>
      </c>
      <c r="J44" s="6">
        <f>[Patrimônio Líquido]/[Total Ações]</f>
        <v>9.7584858585858587</v>
      </c>
      <c r="K44" s="52">
        <f>MAX(Tabela3[[#This Row],[Cotação 1]],Tabela3[[#This Row],[Cotação 2]])</f>
        <v>10.34</v>
      </c>
      <c r="L44" s="48">
        <f>[Cotação]/[VPA]</f>
        <v>1.0595906116831131</v>
      </c>
      <c r="M44" s="44">
        <f>IF(Tabela3[[#This Row],[Lucro/Ação Ano]]&gt;0,Tabela3[[#This Row],[Cotação]]/Tabela3[[#This Row],[Lucro/Ação Ano]],0)</f>
        <v>17.072628356869735</v>
      </c>
      <c r="N44" s="17">
        <f>ROUND(Tabela3[[#This Row],[Lucro Prev]]/10%,2)</f>
        <v>5.13</v>
      </c>
      <c r="O44" s="13">
        <f>MIN(Tabela3[[#This Row],[10% Rent]],Tabela3[[#This Row],[VPA]]*2)</f>
        <v>5.13</v>
      </c>
      <c r="P44" s="19">
        <f>Tabela3[[#This Row],[P Compra]]/Tabela3[[#This Row],[Cotação]]-1</f>
        <v>-0.50386847195357842</v>
      </c>
      <c r="Q44" s="6">
        <f>Tabela3[[#This Row],[Lucro/Ação Ano]]*Tabela3[[#This Row],[Payout]]</f>
        <v>0.51315038307434346</v>
      </c>
      <c r="R44" s="15" t="str">
        <f>IF(AND([% Yield]&gt;=10%,[PVPA]&lt;=2,[PL]&lt;=15,[PL]&gt;0),"Sim","Não")</f>
        <v>Não</v>
      </c>
      <c r="S44" s="46">
        <f>Tabela3[[#This Row],[Lucro Prev]]/Tabela3[[#This Row],[Cotação]]</f>
        <v>4.962769662227693E-2</v>
      </c>
      <c r="T44" s="46">
        <f>(1+Tabela3[[#This Row],[% Yield]])^(1/12)-1</f>
        <v>4.0444506921946122E-3</v>
      </c>
      <c r="U44" s="14">
        <f>($AA$1/Tabela3[[#This Row],[Cotação]]-MOD($AA$1/Tabela3[[#This Row],[Cotação]],100))</f>
        <v>0</v>
      </c>
      <c r="V44" s="17">
        <f>Tabela3[[#This Row],[Ativos]]*Tabela3[[#This Row],[Lucro Prev]]</f>
        <v>0</v>
      </c>
      <c r="W44" s="13">
        <f>SUMPRODUCT(N(Tabela1[Código]=Tabela3[[#This Row],[PAPEL]]),Tabela1[Fechamento])</f>
        <v>0</v>
      </c>
      <c r="X44" s="61">
        <f>SUMPRODUCT(N(Tabela17[Código]=Tabela3[[#This Row],[PAPEL]]),Tabela17[Fechamento])</f>
        <v>10.34</v>
      </c>
    </row>
    <row r="45" spans="1:24">
      <c r="A45" s="4" t="s">
        <v>37</v>
      </c>
      <c r="B45" s="14" t="s">
        <v>198</v>
      </c>
      <c r="C45" s="15">
        <v>3</v>
      </c>
      <c r="D45" s="6">
        <v>1255450000</v>
      </c>
      <c r="E45" s="6">
        <v>19870000</v>
      </c>
      <c r="F45" s="42">
        <v>715094432</v>
      </c>
      <c r="G45" s="15">
        <f>Tabela3[[#This Row],[Lucro Líquido]]/Tabela3[[#This Row],[Total Ações]]</f>
        <v>2.7786539946097637E-2</v>
      </c>
      <c r="H45" s="15">
        <f>Tabela3[[#This Row],[Lucro/Ação]]/Tabela3[[#This Row],[Ref]]*4</f>
        <v>3.7048719928130185E-2</v>
      </c>
      <c r="I45" s="19">
        <f>IF(GETPIVOTDATA("Payout",'Tabela LL'!$A$3,"Ativo",Tabela3[[#This Row],[PAPEL]])&gt;1,1,GETPIVOTDATA("Payout",'Tabela LL'!$A$3,"Ativo",Tabela3[[#This Row],[PAPEL]]))</f>
        <v>0.26641697668818037</v>
      </c>
      <c r="J45" s="6">
        <f>[Patrimônio Líquido]/[Total Ações]</f>
        <v>1.7556422534136022</v>
      </c>
      <c r="K45" s="52">
        <f>MAX(Tabela3[[#This Row],[Cotação 1]],Tabela3[[#This Row],[Cotação 2]])</f>
        <v>4.12</v>
      </c>
      <c r="L45" s="48">
        <f>[Cotação]/[VPA]</f>
        <v>2.3467195506312479</v>
      </c>
      <c r="M45" s="44">
        <f>IF(Tabela3[[#This Row],[Lucro/Ação Ano]]&gt;0,Tabela3[[#This Row],[Cotação]]/Tabela3[[#This Row],[Lucro/Ação Ano]],0)</f>
        <v>111.20492173527931</v>
      </c>
      <c r="N45" s="6">
        <f>ROUND(Tabela3[[#This Row],[Lucro Prev]]/10%,2)</f>
        <v>0.1</v>
      </c>
      <c r="O45" s="61">
        <f>MIN(Tabela3[[#This Row],[10% Rent]],Tabela3[[#This Row],[VPA]]*2)</f>
        <v>0.1</v>
      </c>
      <c r="P45" s="19">
        <f>Tabela3[[#This Row],[P Compra]]/Tabela3[[#This Row],[Cotação]]-1</f>
        <v>-0.97572815533980584</v>
      </c>
      <c r="Q45" s="6">
        <f>Tabela3[[#This Row],[Lucro/Ação Ano]]*Tabela3[[#This Row],[Payout]]</f>
        <v>9.8704079534195823E-3</v>
      </c>
      <c r="R45" s="15" t="str">
        <f>IF(AND([% Yield]&gt;=10%,[PVPA]&lt;=2,[PL]&lt;=15,[PL]&gt;0),"Sim","Não")</f>
        <v>Não</v>
      </c>
      <c r="S45" s="46">
        <f>Tabela3[[#This Row],[Lucro Prev]]/Tabela3[[#This Row],[Cotação]]</f>
        <v>2.3957300857814518E-3</v>
      </c>
      <c r="T45" s="46">
        <f>(1+Tabela3[[#This Row],[% Yield]])^(1/12)-1</f>
        <v>1.9942529088745609E-4</v>
      </c>
      <c r="U45" s="14">
        <f>($AA$1/Tabela3[[#This Row],[Cotação]]-MOD($AA$1/Tabela3[[#This Row],[Cotação]],100))</f>
        <v>0</v>
      </c>
      <c r="V45" s="17">
        <f>Tabela3[[#This Row],[Ativos]]*Tabela3[[#This Row],[Lucro Prev]]</f>
        <v>0</v>
      </c>
      <c r="W45" s="5">
        <f>SUMPRODUCT(N(Tabela1[Código]=Tabela3[[#This Row],[PAPEL]]),Tabela1[Fechamento])</f>
        <v>4.12</v>
      </c>
      <c r="X45" s="5">
        <f>SUMPRODUCT(N(Tabela17[Código]=Tabela3[[#This Row],[PAPEL]]),Tabela17[Fechamento])</f>
        <v>0</v>
      </c>
    </row>
    <row r="46" spans="1:24">
      <c r="A46" s="3" t="s">
        <v>411</v>
      </c>
      <c r="B46" s="73" t="s">
        <v>418</v>
      </c>
      <c r="C46" s="16">
        <v>3</v>
      </c>
      <c r="D46" s="5">
        <v>709804000</v>
      </c>
      <c r="E46" s="5">
        <v>124200000</v>
      </c>
      <c r="F46" s="21">
        <v>83000000</v>
      </c>
      <c r="G46" s="16">
        <f>Tabela3[[#This Row],[Lucro Líquido]]/Tabela3[[#This Row],[Total Ações]]</f>
        <v>1.4963855421686747</v>
      </c>
      <c r="H46" s="16">
        <f>Tabela3[[#This Row],[Lucro/Ação]]/Tabela3[[#This Row],[Ref]]*4</f>
        <v>1.9951807228915663</v>
      </c>
      <c r="I46" s="18">
        <f>IF(GETPIVOTDATA("Payout",'Tabela LL'!$A$3,"Ativo",Tabela3[[#This Row],[PAPEL]])&gt;1,1,GETPIVOTDATA("Payout",'Tabela LL'!$A$3,"Ativo",Tabela3[[#This Row],[PAPEL]]))</f>
        <v>0.47701052442027075</v>
      </c>
      <c r="J46" s="5">
        <f>[Patrimônio Líquido]/[Total Ações]</f>
        <v>8.5518554216867475</v>
      </c>
      <c r="K46" s="58">
        <f>MAX(Tabela3[[#This Row],[Cotação 1]],Tabela3[[#This Row],[Cotação 2]])</f>
        <v>20.6</v>
      </c>
      <c r="L46" s="59">
        <f>[Cotação]/[VPA]</f>
        <v>2.4088339879741452</v>
      </c>
      <c r="M46" s="40">
        <f>IF(Tabela3[[#This Row],[Lucro/Ação Ano]]&gt;0,Tabela3[[#This Row],[Cotação]]/Tabela3[[#This Row],[Lucro/Ação Ano]],0)</f>
        <v>10.32487922705314</v>
      </c>
      <c r="N46" s="7">
        <f>ROUND(Tabela3[[#This Row],[Lucro Prev]]/10%,2)</f>
        <v>9.52</v>
      </c>
      <c r="O46" s="51">
        <f>MIN(Tabela3[[#This Row],[10% Rent]],Tabela3[[#This Row],[VPA]]*2)</f>
        <v>9.52</v>
      </c>
      <c r="P46" s="18">
        <f>Tabela3[[#This Row],[P Compra]]/Tabela3[[#This Row],[Cotação]]-1</f>
        <v>-0.53786407766990296</v>
      </c>
      <c r="Q46" s="5">
        <f>Tabela3[[#This Row],[Lucro/Ação Ano]]*Tabela3[[#This Row],[Payout]]</f>
        <v>0.95172220293972098</v>
      </c>
      <c r="R46" s="16" t="str">
        <f>IF(AND([% Yield]&gt;=10%,[PVPA]&lt;=2,[PL]&lt;=15,[PL]&gt;0),"Sim","Não")</f>
        <v>Não</v>
      </c>
      <c r="S46" s="22">
        <f>Tabela3[[#This Row],[Lucro Prev]]/Tabela3[[#This Row],[Cotação]]</f>
        <v>4.6200106938821407E-2</v>
      </c>
      <c r="T46" s="22">
        <f>(1+Tabela3[[#This Row],[% Yield]])^(1/12)-1</f>
        <v>3.7708128737232727E-3</v>
      </c>
      <c r="U46" s="10">
        <f>($AA$1/Tabela3[[#This Row],[Cotação]]-MOD($AA$1/Tabela3[[#This Row],[Cotação]],100))</f>
        <v>0</v>
      </c>
      <c r="V46" s="7">
        <f>Tabela3[[#This Row],[Ativos]]*Tabela3[[#This Row],[Lucro Prev]]</f>
        <v>0</v>
      </c>
      <c r="W46" s="51">
        <f>SUMPRODUCT(N(Tabela1[Código]=Tabela3[[#This Row],[PAPEL]]),Tabela1[Fechamento])</f>
        <v>0</v>
      </c>
      <c r="X46" s="60">
        <f>SUMPRODUCT(N(Tabela17[Código]=Tabela3[[#This Row],[PAPEL]]),Tabela17[Fechamento])</f>
        <v>20.6</v>
      </c>
    </row>
    <row r="47" spans="1:24">
      <c r="A47" s="4" t="s">
        <v>12</v>
      </c>
      <c r="B47" s="14" t="s">
        <v>98</v>
      </c>
      <c r="C47" s="15">
        <v>3</v>
      </c>
      <c r="D47" s="6">
        <v>465994000</v>
      </c>
      <c r="E47" s="6">
        <v>17904000</v>
      </c>
      <c r="F47" s="42">
        <v>9183458</v>
      </c>
      <c r="G47" s="15">
        <f>Tabela3[[#This Row],[Lucro Líquido]]/Tabela3[[#This Row],[Total Ações]]</f>
        <v>1.9495924084369962</v>
      </c>
      <c r="H47" s="15">
        <f>Tabela3[[#This Row],[Lucro/Ação]]/Tabela3[[#This Row],[Ref]]*4</f>
        <v>2.5994565445826616</v>
      </c>
      <c r="I47" s="19">
        <f>IF(GETPIVOTDATA("Payout",'Tabela LL'!$A$3,"Ativo",Tabela3[[#This Row],[PAPEL]])&gt;1,1,GETPIVOTDATA("Payout",'Tabela LL'!$A$3,"Ativo",Tabela3[[#This Row],[PAPEL]]))</f>
        <v>0.47419139568365454</v>
      </c>
      <c r="J47" s="6">
        <f>[Patrimônio Líquido]/[Total Ações]</f>
        <v>50.742759426786726</v>
      </c>
      <c r="K47" s="52">
        <f>MAX(Tabela3[[#This Row],[Cotação 1]],Tabela3[[#This Row],[Cotação 2]])</f>
        <v>16.510000000000002</v>
      </c>
      <c r="L47" s="48">
        <f>[Cotação]/[VPA]</f>
        <v>0.32536661755301577</v>
      </c>
      <c r="M47" s="44">
        <f>IF(Tabela3[[#This Row],[Lucro/Ação Ano]]&gt;0,Tabela3[[#This Row],[Cotação]]/Tabela3[[#This Row],[Lucro/Ação Ano]],0)</f>
        <v>6.3513275628351211</v>
      </c>
      <c r="N47" s="6">
        <f>ROUND(Tabela3[[#This Row],[Lucro Prev]]/10%,2)</f>
        <v>12.33</v>
      </c>
      <c r="O47" s="61">
        <f>MIN(Tabela3[[#This Row],[10% Rent]],Tabela3[[#This Row],[VPA]]*2)</f>
        <v>12.33</v>
      </c>
      <c r="P47" s="19">
        <f>Tabela3[[#This Row],[P Compra]]/Tabela3[[#This Row],[Cotação]]-1</f>
        <v>-0.25317989097516658</v>
      </c>
      <c r="Q47" s="6">
        <f>Tabela3[[#This Row],[Lucro/Ação Ano]]*Tabela3[[#This Row],[Payout]]</f>
        <v>1.2326399268946622</v>
      </c>
      <c r="R47" s="15" t="str">
        <f>IF(AND([% Yield]&gt;=10%,[PVPA]&lt;=2,[PL]&lt;=15,[PL]&gt;0),"Sim","Não")</f>
        <v>Não</v>
      </c>
      <c r="S47" s="46">
        <f>Tabela3[[#This Row],[Lucro Prev]]/Tabela3[[#This Row],[Cotação]]</f>
        <v>7.4660201507853546E-2</v>
      </c>
      <c r="T47" s="46">
        <f>(1+Tabela3[[#This Row],[% Yield]])^(1/12)-1</f>
        <v>6.018414986887155E-3</v>
      </c>
      <c r="U47" s="14">
        <f>($AA$1/Tabela3[[#This Row],[Cotação]]-MOD($AA$1/Tabela3[[#This Row],[Cotação]],100))</f>
        <v>0</v>
      </c>
      <c r="V47" s="17">
        <f>Tabela3[[#This Row],[Ativos]]*Tabela3[[#This Row],[Lucro Prev]]</f>
        <v>0</v>
      </c>
      <c r="W47" s="5">
        <f>SUMPRODUCT(N(Tabela1[Código]=Tabela3[[#This Row],[PAPEL]]),Tabela1[Fechamento])</f>
        <v>16.510000000000002</v>
      </c>
      <c r="X47" s="5">
        <f>SUMPRODUCT(N(Tabela17[Código]=Tabela3[[#This Row],[PAPEL]]),Tabela17[Fechamento])</f>
        <v>0</v>
      </c>
    </row>
    <row r="48" spans="1:24">
      <c r="A48" s="4" t="s">
        <v>12</v>
      </c>
      <c r="B48" s="14" t="s">
        <v>99</v>
      </c>
      <c r="C48" s="15">
        <v>3</v>
      </c>
      <c r="D48" s="6">
        <v>465994000</v>
      </c>
      <c r="E48" s="6">
        <v>17904000</v>
      </c>
      <c r="F48" s="42">
        <v>9183458</v>
      </c>
      <c r="G48" s="15">
        <f>Tabela3[[#This Row],[Lucro Líquido]]/Tabela3[[#This Row],[Total Ações]]</f>
        <v>1.9495924084369962</v>
      </c>
      <c r="H48" s="15">
        <f>Tabela3[[#This Row],[Lucro/Ação]]/Tabela3[[#This Row],[Ref]]*4</f>
        <v>2.5994565445826616</v>
      </c>
      <c r="I48" s="19">
        <f>IF(GETPIVOTDATA("Payout",'Tabela LL'!$A$3,"Ativo",Tabela3[[#This Row],[PAPEL]])&gt;1,1,GETPIVOTDATA("Payout",'Tabela LL'!$A$3,"Ativo",Tabela3[[#This Row],[PAPEL]]))</f>
        <v>0.76106388540309444</v>
      </c>
      <c r="J48" s="6">
        <f>[Patrimônio Líquido]/[Total Ações]</f>
        <v>50.742759426786726</v>
      </c>
      <c r="K48" s="52">
        <f>MAX(Tabela3[[#This Row],[Cotação 1]],Tabela3[[#This Row],[Cotação 2]])</f>
        <v>24</v>
      </c>
      <c r="L48" s="48">
        <f>[Cotação]/[VPA]</f>
        <v>0.47297388378391142</v>
      </c>
      <c r="M48" s="44">
        <f>IF(Tabela3[[#This Row],[Lucro/Ação Ano]]&gt;0,Tabela3[[#This Row],[Cotação]]/Tabela3[[#This Row],[Lucro/Ação Ano]],0)</f>
        <v>9.2326990616621973</v>
      </c>
      <c r="N48" s="6">
        <f>ROUND(Tabela3[[#This Row],[Lucro Prev]]/10%,2)</f>
        <v>19.78</v>
      </c>
      <c r="O48" s="61">
        <f>MIN(Tabela3[[#This Row],[10% Rent]],Tabela3[[#This Row],[VPA]]*2)</f>
        <v>19.78</v>
      </c>
      <c r="P48" s="19">
        <f>Tabela3[[#This Row],[P Compra]]/Tabela3[[#This Row],[Cotação]]-1</f>
        <v>-0.17583333333333329</v>
      </c>
      <c r="Q48" s="6">
        <f>Tabela3[[#This Row],[Lucro/Ação Ano]]*Tabela3[[#This Row],[Payout]]</f>
        <v>1.9783524977565827</v>
      </c>
      <c r="R48" s="15" t="str">
        <f>IF(AND([% Yield]&gt;=10%,[PVPA]&lt;=2,[PL]&lt;=15,[PL]&gt;0),"Sim","Não")</f>
        <v>Não</v>
      </c>
      <c r="S48" s="46">
        <f>Tabela3[[#This Row],[Lucro Prev]]/Tabela3[[#This Row],[Cotação]]</f>
        <v>8.2431354073190952E-2</v>
      </c>
      <c r="T48" s="46">
        <f>(1+Tabela3[[#This Row],[% Yield]])^(1/12)-1</f>
        <v>6.6226471031960443E-3</v>
      </c>
      <c r="U48" s="14">
        <f>($AA$1/Tabela3[[#This Row],[Cotação]]-MOD($AA$1/Tabela3[[#This Row],[Cotação]],100))</f>
        <v>0</v>
      </c>
      <c r="V48" s="17">
        <f>Tabela3[[#This Row],[Ativos]]*Tabela3[[#This Row],[Lucro Prev]]</f>
        <v>0</v>
      </c>
      <c r="W48" s="5">
        <f>SUMPRODUCT(N(Tabela1[Código]=Tabela3[[#This Row],[PAPEL]]),Tabela1[Fechamento])</f>
        <v>24</v>
      </c>
      <c r="X48" s="5">
        <f>SUMPRODUCT(N(Tabela17[Código]=Tabela3[[#This Row],[PAPEL]]),Tabela17[Fechamento])</f>
        <v>0</v>
      </c>
    </row>
    <row r="49" spans="1:24">
      <c r="A49" s="4" t="s">
        <v>12</v>
      </c>
      <c r="B49" s="14" t="s">
        <v>72</v>
      </c>
      <c r="C49" s="15">
        <v>3</v>
      </c>
      <c r="D49" s="6">
        <v>465994000</v>
      </c>
      <c r="E49" s="6">
        <v>17904000</v>
      </c>
      <c r="F49" s="42">
        <v>9183458</v>
      </c>
      <c r="G49" s="15">
        <f>Tabela3[[#This Row],[Lucro Líquido]]/Tabela3[[#This Row],[Total Ações]]</f>
        <v>1.9495924084369962</v>
      </c>
      <c r="H49" s="15">
        <f>Tabela3[[#This Row],[Lucro/Ação]]/Tabela3[[#This Row],[Ref]]*4</f>
        <v>2.5994565445826616</v>
      </c>
      <c r="I49" s="19">
        <f>IF(GETPIVOTDATA("Payout",'Tabela LL'!$A$3,"Ativo",Tabela3[[#This Row],[PAPEL]])&gt;1,1,GETPIVOTDATA("Payout",'Tabela LL'!$A$3,"Ativo",Tabela3[[#This Row],[PAPEL]]))</f>
        <v>0.7246803815404973</v>
      </c>
      <c r="J49" s="6">
        <f>[Patrimônio Líquido]/[Total Ações]</f>
        <v>50.742759426786726</v>
      </c>
      <c r="K49" s="52">
        <f>MAX(Tabela3[[#This Row],[Cotação 1]],Tabela3[[#This Row],[Cotação 2]])</f>
        <v>17.079999999999998</v>
      </c>
      <c r="L49" s="48">
        <f>[Cotação]/[VPA]</f>
        <v>0.33659974729288356</v>
      </c>
      <c r="M49" s="44">
        <f>IF(Tabela3[[#This Row],[Lucro/Ação Ano]]&gt;0,Tabela3[[#This Row],[Cotação]]/Tabela3[[#This Row],[Lucro/Ação Ano]],0)</f>
        <v>6.5706041655495975</v>
      </c>
      <c r="N49" s="6">
        <f>ROUND(Tabela3[[#This Row],[Lucro Prev]]/10%,2)</f>
        <v>18.84</v>
      </c>
      <c r="O49" s="17">
        <f>MIN(Tabela3[[#This Row],[10% Rent]],Tabela3[[#This Row],[VPA]]*2)</f>
        <v>18.84</v>
      </c>
      <c r="P49" s="19">
        <f>Tabela3[[#This Row],[P Compra]]/Tabela3[[#This Row],[Cotação]]-1</f>
        <v>0.10304449648711955</v>
      </c>
      <c r="Q49" s="6">
        <f>Tabela3[[#This Row],[Lucro/Ação Ano]]*Tabela3[[#This Row],[Payout]]</f>
        <v>1.8837751605261059</v>
      </c>
      <c r="R49" s="14" t="str">
        <f>IF(AND([% Yield]&gt;=10%,[PVPA]&lt;=2,[PL]&lt;=15,[PL]&gt;0),"Sim","Não")</f>
        <v>Sim</v>
      </c>
      <c r="S49" s="46">
        <f>Tabela3[[#This Row],[Lucro Prev]]/Tabela3[[#This Row],[Cotação]]</f>
        <v>0.11029128574508817</v>
      </c>
      <c r="T49" s="97">
        <f>(1+Tabela3[[#This Row],[% Yield]])^(1/12)-1</f>
        <v>8.7566504806906309E-3</v>
      </c>
      <c r="U49" s="14">
        <f>($AA$1/Tabela3[[#This Row],[Cotação]]-MOD($AA$1/Tabela3[[#This Row],[Cotação]],100))</f>
        <v>0</v>
      </c>
      <c r="V49" s="17">
        <f>Tabela3[[#This Row],[Ativos]]*Tabela3[[#This Row],[Lucro Prev]]</f>
        <v>0</v>
      </c>
      <c r="W49" s="5">
        <f>SUMPRODUCT(N(Tabela1[Código]=Tabela3[[#This Row],[PAPEL]]),Tabela1[Fechamento])</f>
        <v>17.079999999999998</v>
      </c>
      <c r="X49" s="5">
        <f>SUMPRODUCT(N(Tabela17[Código]=Tabela3[[#This Row],[PAPEL]]),Tabela17[Fechamento])</f>
        <v>0</v>
      </c>
    </row>
    <row r="50" spans="1:24">
      <c r="A50" s="4" t="s">
        <v>12</v>
      </c>
      <c r="B50" s="14" t="s">
        <v>96</v>
      </c>
      <c r="C50" s="15">
        <v>3</v>
      </c>
      <c r="D50" s="6">
        <v>2778571000</v>
      </c>
      <c r="E50" s="6">
        <v>434008000</v>
      </c>
      <c r="F50" s="42">
        <v>188177338</v>
      </c>
      <c r="G50" s="15">
        <f>Tabela3[[#This Row],[Lucro Líquido]]/Tabela3[[#This Row],[Total Ações]]</f>
        <v>2.3063776149283184</v>
      </c>
      <c r="H50" s="15">
        <f>Tabela3[[#This Row],[Lucro/Ação]]/Tabela3[[#This Row],[Ref]]*4</f>
        <v>3.075170153237758</v>
      </c>
      <c r="I50" s="19">
        <f>IF(GETPIVOTDATA("Payout",'Tabela LL'!$A$3,"Ativo",Tabela3[[#This Row],[PAPEL]])&gt;1,1,GETPIVOTDATA("Payout",'Tabela LL'!$A$3,"Ativo",Tabela3[[#This Row],[PAPEL]]))</f>
        <v>0.76692732207874426</v>
      </c>
      <c r="J50" s="6">
        <f>[Patrimônio Líquido]/[Total Ações]</f>
        <v>14.765704677999006</v>
      </c>
      <c r="K50" s="52">
        <f>MAX(Tabela3[[#This Row],[Cotação 1]],Tabela3[[#This Row],[Cotação 2]])</f>
        <v>31.98</v>
      </c>
      <c r="L50" s="48">
        <f>[Cotação]/[VPA]</f>
        <v>2.1658295826307841</v>
      </c>
      <c r="M50" s="44">
        <f>IF(Tabela3[[#This Row],[Lucro/Ação Ano]]&gt;0,Tabela3[[#This Row],[Cotação]]/Tabela3[[#This Row],[Lucro/Ação Ano]],0)</f>
        <v>10.399424554224806</v>
      </c>
      <c r="N50" s="6">
        <f>ROUND(Tabela3[[#This Row],[Lucro Prev]]/10%,2)</f>
        <v>23.58</v>
      </c>
      <c r="O50" s="61">
        <f>MIN(Tabela3[[#This Row],[10% Rent]],Tabela3[[#This Row],[VPA]]*2)</f>
        <v>23.58</v>
      </c>
      <c r="P50" s="19">
        <f>Tabela3[[#This Row],[P Compra]]/Tabela3[[#This Row],[Cotação]]-1</f>
        <v>-0.26266416510318957</v>
      </c>
      <c r="Q50" s="6">
        <f>Tabela3[[#This Row],[Lucro/Ação Ano]]*Tabela3[[#This Row],[Payout]]</f>
        <v>2.3584320105591154</v>
      </c>
      <c r="R50" s="15" t="str">
        <f>IF(AND([% Yield]&gt;=10%,[PVPA]&lt;=2,[PL]&lt;=15,[PL]&gt;0),"Sim","Não")</f>
        <v>Não</v>
      </c>
      <c r="S50" s="46">
        <f>Tabela3[[#This Row],[Lucro Prev]]/Tabela3[[#This Row],[Cotação]]</f>
        <v>7.374709226263651E-2</v>
      </c>
      <c r="T50" s="46">
        <f>(1+Tabela3[[#This Row],[% Yield]])^(1/12)-1</f>
        <v>5.9471550478680246E-3</v>
      </c>
      <c r="U50" s="14">
        <f>($AA$1/Tabela3[[#This Row],[Cotação]]-MOD($AA$1/Tabela3[[#This Row],[Cotação]],100))</f>
        <v>0</v>
      </c>
      <c r="V50" s="17">
        <f>Tabela3[[#This Row],[Ativos]]*Tabela3[[#This Row],[Lucro Prev]]</f>
        <v>0</v>
      </c>
      <c r="W50" s="5">
        <f>SUMPRODUCT(N(Tabela1[Código]=Tabela3[[#This Row],[PAPEL]]),Tabela1[Fechamento])</f>
        <v>31.98</v>
      </c>
      <c r="X50" s="5">
        <f>SUMPRODUCT(N(Tabela17[Código]=Tabela3[[#This Row],[PAPEL]]),Tabela17[Fechamento])</f>
        <v>0</v>
      </c>
    </row>
    <row r="51" spans="1:24">
      <c r="A51" s="4" t="s">
        <v>12</v>
      </c>
      <c r="B51" s="14" t="s">
        <v>97</v>
      </c>
      <c r="C51" s="15">
        <v>3</v>
      </c>
      <c r="D51" s="6">
        <v>2778571000</v>
      </c>
      <c r="E51" s="6">
        <v>434008000</v>
      </c>
      <c r="F51" s="42">
        <v>188177338</v>
      </c>
      <c r="G51" s="15">
        <f>Tabela3[[#This Row],[Lucro Líquido]]/Tabela3[[#This Row],[Total Ações]]</f>
        <v>2.3063776149283184</v>
      </c>
      <c r="H51" s="15">
        <f>Tabela3[[#This Row],[Lucro/Ação]]/Tabela3[[#This Row],[Ref]]*4</f>
        <v>3.075170153237758</v>
      </c>
      <c r="I51" s="19">
        <f>IF(GETPIVOTDATA("Payout",'Tabela LL'!$A$3,"Ativo",Tabela3[[#This Row],[PAPEL]])&gt;1,1,GETPIVOTDATA("Payout",'Tabela LL'!$A$3,"Ativo",Tabela3[[#This Row],[PAPEL]]))</f>
        <v>0.76692732207874426</v>
      </c>
      <c r="J51" s="6">
        <f>[Patrimônio Líquido]/[Total Ações]</f>
        <v>14.765704677999006</v>
      </c>
      <c r="K51" s="52">
        <f>MAX(Tabela3[[#This Row],[Cotação 1]],Tabela3[[#This Row],[Cotação 2]])</f>
        <v>32.01</v>
      </c>
      <c r="L51" s="48">
        <f>[Cotação]/[VPA]</f>
        <v>2.1678613176989177</v>
      </c>
      <c r="M51" s="44">
        <f>IF(Tabela3[[#This Row],[Lucro/Ação Ano]]&gt;0,Tabela3[[#This Row],[Cotação]]/Tabela3[[#This Row],[Lucro/Ação Ano]],0)</f>
        <v>10.409180111967981</v>
      </c>
      <c r="N51" s="6">
        <f>ROUND(Tabela3[[#This Row],[Lucro Prev]]/10%,2)</f>
        <v>23.58</v>
      </c>
      <c r="O51" s="61">
        <f>MIN(Tabela3[[#This Row],[10% Rent]],Tabela3[[#This Row],[VPA]]*2)</f>
        <v>23.58</v>
      </c>
      <c r="P51" s="19">
        <f>Tabela3[[#This Row],[P Compra]]/Tabela3[[#This Row],[Cotação]]-1</f>
        <v>-0.2633552014995314</v>
      </c>
      <c r="Q51" s="6">
        <f>Tabela3[[#This Row],[Lucro/Ação Ano]]*Tabela3[[#This Row],[Payout]]</f>
        <v>2.3584320105591154</v>
      </c>
      <c r="R51" s="15" t="str">
        <f>IF(AND([% Yield]&gt;=10%,[PVPA]&lt;=2,[PL]&lt;=15,[PL]&gt;0),"Sim","Não")</f>
        <v>Não</v>
      </c>
      <c r="S51" s="46">
        <f>Tabela3[[#This Row],[Lucro Prev]]/Tabela3[[#This Row],[Cotação]]</f>
        <v>7.3677975962484085E-2</v>
      </c>
      <c r="T51" s="46">
        <f>(1+Tabela3[[#This Row],[% Yield]])^(1/12)-1</f>
        <v>5.9417588829386858E-3</v>
      </c>
      <c r="U51" s="14">
        <f>($AA$1/Tabela3[[#This Row],[Cotação]]-MOD($AA$1/Tabela3[[#This Row],[Cotação]],100))</f>
        <v>0</v>
      </c>
      <c r="V51" s="17">
        <f>Tabela3[[#This Row],[Ativos]]*Tabela3[[#This Row],[Lucro Prev]]</f>
        <v>0</v>
      </c>
      <c r="W51" s="5">
        <f>SUMPRODUCT(N(Tabela1[Código]=Tabela3[[#This Row],[PAPEL]]),Tabela1[Fechamento])</f>
        <v>32.01</v>
      </c>
      <c r="X51" s="5">
        <f>SUMPRODUCT(N(Tabela17[Código]=Tabela3[[#This Row],[PAPEL]]),Tabela17[Fechamento])</f>
        <v>0</v>
      </c>
    </row>
    <row r="52" spans="1:24">
      <c r="A52" s="4" t="s">
        <v>12</v>
      </c>
      <c r="B52" s="14" t="s">
        <v>73</v>
      </c>
      <c r="C52" s="15">
        <v>3</v>
      </c>
      <c r="D52" s="6">
        <v>3707916000</v>
      </c>
      <c r="E52" s="6">
        <v>63180000</v>
      </c>
      <c r="F52" s="42">
        <v>74612388</v>
      </c>
      <c r="G52" s="15">
        <f>Tabela3[[#This Row],[Lucro Líquido]]/Tabela3[[#This Row],[Total Ações]]</f>
        <v>0.84677627527482435</v>
      </c>
      <c r="H52" s="15">
        <f>Tabela3[[#This Row],[Lucro/Ação]]/Tabela3[[#This Row],[Ref]]*4</f>
        <v>1.1290350336997659</v>
      </c>
      <c r="I52" s="45">
        <f>IF(GETPIVOTDATA("Payout",'Tabela LL'!$A$3,"Ativo",Tabela3[[#This Row],[PAPEL]])&gt;1,1,GETPIVOTDATA("Payout",'Tabela LL'!$A$3,"Ativo",Tabela3[[#This Row],[PAPEL]]))</f>
        <v>0.74283278628036531</v>
      </c>
      <c r="J52" s="6">
        <f>[Patrimônio Líquido]/[Total Ações]</f>
        <v>49.69571540854583</v>
      </c>
      <c r="K52" s="52">
        <f>MAX(Tabela3[[#This Row],[Cotação 1]],Tabela3[[#This Row],[Cotação 2]])</f>
        <v>18</v>
      </c>
      <c r="L52" s="48">
        <f>[Cotação]/[VPA]</f>
        <v>0.36220426352700547</v>
      </c>
      <c r="M52" s="44">
        <f>IF(Tabela3[[#This Row],[Lucro/Ação Ano]]&gt;0,Tabela3[[#This Row],[Cotação]]/Tabela3[[#This Row],[Lucro/Ação Ano]],0)</f>
        <v>15.942817948717947</v>
      </c>
      <c r="N52" s="6">
        <f>ROUND(Tabela3[[#This Row],[Lucro Prev]]/10%,2)</f>
        <v>8.39</v>
      </c>
      <c r="O52" s="17">
        <f>MIN(Tabela3[[#This Row],[10% Rent]],Tabela3[[#This Row],[VPA]]*2)</f>
        <v>8.39</v>
      </c>
      <c r="P52" s="19">
        <f>Tabela3[[#This Row],[P Compra]]/Tabela3[[#This Row],[Cotação]]-1</f>
        <v>-0.53388888888888886</v>
      </c>
      <c r="Q52" s="6">
        <f>Tabela3[[#This Row],[Lucro/Ação Ano]]*Tabela3[[#This Row],[Payout]]</f>
        <v>0.83868423989134322</v>
      </c>
      <c r="R52" s="14" t="str">
        <f>IF(AND([% Yield]&gt;=10%,[PVPA]&lt;=2,[PL]&lt;=15,[PL]&gt;0),"Sim","Não")</f>
        <v>Não</v>
      </c>
      <c r="S52" s="46">
        <f>Tabela3[[#This Row],[Lucro Prev]]/Tabela3[[#This Row],[Cotação]]</f>
        <v>4.6593568882852404E-2</v>
      </c>
      <c r="T52" s="46">
        <f>(1+Tabela3[[#This Row],[% Yield]])^(1/12)-1</f>
        <v>3.8022661899628218E-3</v>
      </c>
      <c r="U52" s="14">
        <f>($AA$1/Tabela3[[#This Row],[Cotação]]-MOD($AA$1/Tabela3[[#This Row],[Cotação]],100))</f>
        <v>0</v>
      </c>
      <c r="V52" s="17">
        <f>Tabela3[[#This Row],[Ativos]]*Tabela3[[#This Row],[Lucro Prev]]</f>
        <v>0</v>
      </c>
      <c r="W52" s="5">
        <f>SUMPRODUCT(N(Tabela1[Código]=Tabela3[[#This Row],[PAPEL]]),Tabela1[Fechamento])</f>
        <v>18</v>
      </c>
      <c r="X52" s="5">
        <f>SUMPRODUCT(N(Tabela17[Código]=Tabela3[[#This Row],[PAPEL]]),Tabela17[Fechamento])</f>
        <v>0</v>
      </c>
    </row>
    <row r="53" spans="1:24">
      <c r="A53" s="4" t="s">
        <v>12</v>
      </c>
      <c r="B53" s="14" t="s">
        <v>100</v>
      </c>
      <c r="C53" s="15">
        <v>3</v>
      </c>
      <c r="D53" s="6">
        <v>3707916000</v>
      </c>
      <c r="E53" s="6">
        <v>63180000</v>
      </c>
      <c r="F53" s="42">
        <v>74612388</v>
      </c>
      <c r="G53" s="15">
        <f>Tabela3[[#This Row],[Lucro Líquido]]/Tabela3[[#This Row],[Total Ações]]</f>
        <v>0.84677627527482435</v>
      </c>
      <c r="H53" s="15">
        <f>Tabela3[[#This Row],[Lucro/Ação]]/Tabela3[[#This Row],[Ref]]*4</f>
        <v>1.1290350336997659</v>
      </c>
      <c r="I53" s="19">
        <f>IF(GETPIVOTDATA("Payout",'Tabela LL'!$A$3,"Ativo",Tabela3[[#This Row],[PAPEL]])&gt;1,1,GETPIVOTDATA("Payout",'Tabela LL'!$A$3,"Ativo",Tabela3[[#This Row],[PAPEL]]))</f>
        <v>0.81719301958088741</v>
      </c>
      <c r="J53" s="6">
        <f>[Patrimônio Líquido]/[Total Ações]</f>
        <v>49.69571540854583</v>
      </c>
      <c r="K53" s="52">
        <f>MAX(Tabela3[[#This Row],[Cotação 1]],Tabela3[[#This Row],[Cotação 2]])</f>
        <v>21.51</v>
      </c>
      <c r="L53" s="48">
        <f>[Cotação]/[VPA]</f>
        <v>0.43283409491477154</v>
      </c>
      <c r="M53" s="44">
        <f>IF(Tabela3[[#This Row],[Lucro/Ação Ano]]&gt;0,Tabela3[[#This Row],[Cotação]]/Tabela3[[#This Row],[Lucro/Ação Ano]],0)</f>
        <v>19.05166744871795</v>
      </c>
      <c r="N53" s="6">
        <f>ROUND(Tabela3[[#This Row],[Lucro Prev]]/10%,2)</f>
        <v>9.23</v>
      </c>
      <c r="O53" s="61">
        <f>MIN(Tabela3[[#This Row],[10% Rent]],Tabela3[[#This Row],[VPA]]*2)</f>
        <v>9.23</v>
      </c>
      <c r="P53" s="19">
        <f>Tabela3[[#This Row],[P Compra]]/Tabela3[[#This Row],[Cotação]]-1</f>
        <v>-0.57089725708972572</v>
      </c>
      <c r="Q53" s="6">
        <f>Tabela3[[#This Row],[Lucro/Ação Ano]]*Tabela3[[#This Row],[Payout]]</f>
        <v>0.92263954840172069</v>
      </c>
      <c r="R53" s="15" t="str">
        <f>IF(AND([% Yield]&gt;=10%,[PVPA]&lt;=2,[PL]&lt;=15,[PL]&gt;0),"Sim","Não")</f>
        <v>Não</v>
      </c>
      <c r="S53" s="46">
        <f>Tabela3[[#This Row],[Lucro Prev]]/Tabela3[[#This Row],[Cotação]]</f>
        <v>4.2893516894547679E-2</v>
      </c>
      <c r="T53" s="46">
        <f>(1+Tabela3[[#This Row],[% Yield]])^(1/12)-1</f>
        <v>3.5060550246788225E-3</v>
      </c>
      <c r="U53" s="14">
        <f>($AA$1/Tabela3[[#This Row],[Cotação]]-MOD($AA$1/Tabela3[[#This Row],[Cotação]],100))</f>
        <v>0</v>
      </c>
      <c r="V53" s="17">
        <f>Tabela3[[#This Row],[Ativos]]*Tabela3[[#This Row],[Lucro Prev]]</f>
        <v>0</v>
      </c>
      <c r="W53" s="5">
        <f>SUMPRODUCT(N(Tabela1[Código]=Tabela3[[#This Row],[PAPEL]]),Tabela1[Fechamento])</f>
        <v>21.51</v>
      </c>
      <c r="X53" s="5">
        <f>SUMPRODUCT(N(Tabela17[Código]=Tabela3[[#This Row],[PAPEL]]),Tabela17[Fechamento])</f>
        <v>0</v>
      </c>
    </row>
    <row r="54" spans="1:24">
      <c r="A54" s="4" t="s">
        <v>12</v>
      </c>
      <c r="B54" s="70" t="s">
        <v>75</v>
      </c>
      <c r="C54" s="15">
        <v>3</v>
      </c>
      <c r="D54" s="6">
        <v>10479149000</v>
      </c>
      <c r="E54" s="6">
        <v>795212000</v>
      </c>
      <c r="F54" s="42">
        <v>327502673</v>
      </c>
      <c r="G54" s="15">
        <f>Tabela3[[#This Row],[Lucro Líquido]]/Tabela3[[#This Row],[Total Ações]]</f>
        <v>2.4281084264616064</v>
      </c>
      <c r="H54" s="15">
        <f>Tabela3[[#This Row],[Lucro/Ação]]/Tabela3[[#This Row],[Ref]]*4</f>
        <v>3.2374779019488087</v>
      </c>
      <c r="I54" s="19">
        <f>IF(GETPIVOTDATA("Payout",'Tabela LL'!$A$3,"Ativo",Tabela3[[#This Row],[PAPEL]])&gt;1,1,GETPIVOTDATA("Payout",'Tabela LL'!$A$3,"Ativo",Tabela3[[#This Row],[PAPEL]]))</f>
        <v>1</v>
      </c>
      <c r="J54" s="6">
        <f>[Patrimônio Líquido]/[Total Ações]</f>
        <v>31.99714037143141</v>
      </c>
      <c r="K54" s="52">
        <f>MAX(Tabela3[[#This Row],[Cotação 1]],Tabela3[[#This Row],[Cotação 2]])</f>
        <v>19.399999999999999</v>
      </c>
      <c r="L54" s="48">
        <f>[Cotação]/[VPA]</f>
        <v>0.60630418139869946</v>
      </c>
      <c r="M54" s="44">
        <f>IF(Tabela3[[#This Row],[Lucro/Ação Ano]]&gt;0,Tabela3[[#This Row],[Cotação]]/Tabela3[[#This Row],[Lucro/Ação Ano]],0)</f>
        <v>5.9923188937666927</v>
      </c>
      <c r="N54" s="6">
        <f>ROUND(Tabela3[[#This Row],[Lucro Prev]]/10%,2)</f>
        <v>32.369999999999997</v>
      </c>
      <c r="O54" s="17">
        <f>MIN(Tabela3[[#This Row],[10% Rent]],Tabela3[[#This Row],[VPA]]*2)</f>
        <v>32.369999999999997</v>
      </c>
      <c r="P54" s="19">
        <f>Tabela3[[#This Row],[P Compra]]/Tabela3[[#This Row],[Cotação]]-1</f>
        <v>0.6685567010309279</v>
      </c>
      <c r="Q54" s="6">
        <f>Tabela3[[#This Row],[Lucro/Ação Ano]]*Tabela3[[#This Row],[Payout]]</f>
        <v>3.2374779019488087</v>
      </c>
      <c r="R54" s="14" t="str">
        <f>IF(AND([% Yield]&gt;=10%,[PVPA]&lt;=2,[PL]&lt;=15,[PL]&gt;0),"Sim","Não")</f>
        <v>Sim</v>
      </c>
      <c r="S54" s="46">
        <f>Tabela3[[#This Row],[Lucro Prev]]/Tabela3[[#This Row],[Cotação]]</f>
        <v>0.16688030422416542</v>
      </c>
      <c r="T54" s="97">
        <f>(1+Tabela3[[#This Row],[% Yield]])^(1/12)-1</f>
        <v>1.2944208684928737E-2</v>
      </c>
      <c r="U54" s="14">
        <f>($AA$1/Tabela3[[#This Row],[Cotação]]-MOD($AA$1/Tabela3[[#This Row],[Cotação]],100))</f>
        <v>0</v>
      </c>
      <c r="V54" s="17">
        <f>Tabela3[[#This Row],[Ativos]]*Tabela3[[#This Row],[Lucro Prev]]</f>
        <v>0</v>
      </c>
      <c r="W54" s="5">
        <f>SUMPRODUCT(N(Tabela1[Código]=Tabela3[[#This Row],[PAPEL]]),Tabela1[Fechamento])</f>
        <v>19.399999999999999</v>
      </c>
      <c r="X54" s="5">
        <f>SUMPRODUCT(N(Tabela17[Código]=Tabela3[[#This Row],[PAPEL]]),Tabela17[Fechamento])</f>
        <v>0</v>
      </c>
    </row>
    <row r="55" spans="1:24">
      <c r="A55" s="4" t="s">
        <v>12</v>
      </c>
      <c r="B55" s="14" t="s">
        <v>94</v>
      </c>
      <c r="C55" s="15">
        <v>3</v>
      </c>
      <c r="D55" s="6">
        <v>10479149000</v>
      </c>
      <c r="E55" s="6">
        <v>795212000</v>
      </c>
      <c r="F55" s="42">
        <v>327502673</v>
      </c>
      <c r="G55" s="15">
        <f>Tabela3[[#This Row],[Lucro Líquido]]/Tabela3[[#This Row],[Total Ações]]</f>
        <v>2.4281084264616064</v>
      </c>
      <c r="H55" s="15">
        <f>Tabela3[[#This Row],[Lucro/Ação]]/Tabela3[[#This Row],[Ref]]*4</f>
        <v>3.2374779019488087</v>
      </c>
      <c r="I55" s="19">
        <f>IF(GETPIVOTDATA("Payout",'Tabela LL'!$A$3,"Ativo",Tabela3[[#This Row],[PAPEL]])&gt;1,1,GETPIVOTDATA("Payout",'Tabela LL'!$A$3,"Ativo",Tabela3[[#This Row],[PAPEL]]))</f>
        <v>1</v>
      </c>
      <c r="J55" s="6">
        <f>[Patrimônio Líquido]/[Total Ações]</f>
        <v>31.99714037143141</v>
      </c>
      <c r="K55" s="52">
        <f>MAX(Tabela3[[#This Row],[Cotação 1]],Tabela3[[#This Row],[Cotação 2]])</f>
        <v>21.64</v>
      </c>
      <c r="L55" s="48">
        <f>[Cotação]/[VPA]</f>
        <v>0.67631043739525032</v>
      </c>
      <c r="M55" s="44">
        <f>IF(Tabela3[[#This Row],[Lucro/Ação Ano]]&gt;0,Tabela3[[#This Row],[Cotação]]/Tabela3[[#This Row],[Lucro/Ação Ano]],0)</f>
        <v>6.6842155083047032</v>
      </c>
      <c r="N55" s="6">
        <f>ROUND(Tabela3[[#This Row],[Lucro Prev]]/10%,2)</f>
        <v>32.369999999999997</v>
      </c>
      <c r="O55" s="61">
        <f>MIN(Tabela3[[#This Row],[10% Rent]],Tabela3[[#This Row],[VPA]]*2)</f>
        <v>32.369999999999997</v>
      </c>
      <c r="P55" s="19">
        <f>Tabela3[[#This Row],[P Compra]]/Tabela3[[#This Row],[Cotação]]-1</f>
        <v>0.49584103512014766</v>
      </c>
      <c r="Q55" s="6">
        <f>Tabela3[[#This Row],[Lucro/Ação Ano]]*Tabela3[[#This Row],[Payout]]</f>
        <v>3.2374779019488087</v>
      </c>
      <c r="R55" s="15" t="str">
        <f>IF(AND([% Yield]&gt;=10%,[PVPA]&lt;=2,[PL]&lt;=15,[PL]&gt;0),"Sim","Não")</f>
        <v>Sim</v>
      </c>
      <c r="S55" s="46">
        <f>Tabela3[[#This Row],[Lucro Prev]]/Tabela3[[#This Row],[Cotação]]</f>
        <v>0.14960618770558265</v>
      </c>
      <c r="T55" s="97">
        <f>(1+Tabela3[[#This Row],[% Yield]])^(1/12)-1</f>
        <v>1.1686040954563159E-2</v>
      </c>
      <c r="U55" s="14">
        <f>($AA$1/Tabela3[[#This Row],[Cotação]]-MOD($AA$1/Tabela3[[#This Row],[Cotação]],100))</f>
        <v>0</v>
      </c>
      <c r="V55" s="17">
        <f>Tabela3[[#This Row],[Ativos]]*Tabela3[[#This Row],[Lucro Prev]]</f>
        <v>0</v>
      </c>
      <c r="W55" s="5">
        <f>SUMPRODUCT(N(Tabela1[Código]=Tabela3[[#This Row],[PAPEL]]),Tabela1[Fechamento])</f>
        <v>21.64</v>
      </c>
      <c r="X55" s="5">
        <f>SUMPRODUCT(N(Tabela17[Código]=Tabela3[[#This Row],[PAPEL]]),Tabela17[Fechamento])</f>
        <v>0</v>
      </c>
    </row>
    <row r="56" spans="1:24">
      <c r="A56" s="4" t="s">
        <v>12</v>
      </c>
      <c r="B56" s="14" t="s">
        <v>95</v>
      </c>
      <c r="C56" s="15">
        <v>3</v>
      </c>
      <c r="D56" s="6">
        <v>10479149000</v>
      </c>
      <c r="E56" s="6">
        <v>795212000</v>
      </c>
      <c r="F56" s="42">
        <v>327502673</v>
      </c>
      <c r="G56" s="15">
        <f>Tabela3[[#This Row],[Lucro Líquido]]/Tabela3[[#This Row],[Total Ações]]</f>
        <v>2.4281084264616064</v>
      </c>
      <c r="H56" s="15">
        <f>Tabela3[[#This Row],[Lucro/Ação]]/Tabela3[[#This Row],[Ref]]*4</f>
        <v>3.2374779019488087</v>
      </c>
      <c r="I56" s="19">
        <f>IF(GETPIVOTDATA("Payout",'Tabela LL'!$A$3,"Ativo",Tabela3[[#This Row],[PAPEL]])&gt;1,1,GETPIVOTDATA("Payout",'Tabela LL'!$A$3,"Ativo",Tabela3[[#This Row],[PAPEL]]))</f>
        <v>1</v>
      </c>
      <c r="J56" s="6">
        <f>[Patrimônio Líquido]/[Total Ações]</f>
        <v>31.99714037143141</v>
      </c>
      <c r="K56" s="52">
        <f>MAX(Tabela3[[#This Row],[Cotação 1]],Tabela3[[#This Row],[Cotação 2]])</f>
        <v>21.47</v>
      </c>
      <c r="L56" s="48">
        <f>[Cotação]/[VPA]</f>
        <v>0.67099746260979776</v>
      </c>
      <c r="M56" s="44">
        <f>IF(Tabela3[[#This Row],[Lucro/Ação Ano]]&gt;0,Tabela3[[#This Row],[Cotação]]/Tabela3[[#This Row],[Lucro/Ação Ano]],0)</f>
        <v>6.6317054973799427</v>
      </c>
      <c r="N56" s="6">
        <f>ROUND(Tabela3[[#This Row],[Lucro Prev]]/10%,2)</f>
        <v>32.369999999999997</v>
      </c>
      <c r="O56" s="61">
        <f>MIN(Tabela3[[#This Row],[10% Rent]],Tabela3[[#This Row],[VPA]]*2)</f>
        <v>32.369999999999997</v>
      </c>
      <c r="P56" s="19">
        <f>Tabela3[[#This Row],[P Compra]]/Tabela3[[#This Row],[Cotação]]-1</f>
        <v>0.50768514205868653</v>
      </c>
      <c r="Q56" s="6">
        <f>Tabela3[[#This Row],[Lucro/Ação Ano]]*Tabela3[[#This Row],[Payout]]</f>
        <v>3.2374779019488087</v>
      </c>
      <c r="R56" s="15" t="str">
        <f>IF(AND([% Yield]&gt;=10%,[PVPA]&lt;=2,[PL]&lt;=15,[PL]&gt;0),"Sim","Não")</f>
        <v>Sim</v>
      </c>
      <c r="S56" s="46">
        <f>Tabela3[[#This Row],[Lucro Prev]]/Tabela3[[#This Row],[Cotação]]</f>
        <v>0.15079077326263665</v>
      </c>
      <c r="T56" s="97">
        <f>(1+Tabela3[[#This Row],[% Yield]])^(1/12)-1</f>
        <v>1.1772872360007458E-2</v>
      </c>
      <c r="U56" s="14">
        <f>($AA$1/Tabela3[[#This Row],[Cotação]]-MOD($AA$1/Tabela3[[#This Row],[Cotação]],100))</f>
        <v>0</v>
      </c>
      <c r="V56" s="17">
        <f>Tabela3[[#This Row],[Ativos]]*Tabela3[[#This Row],[Lucro Prev]]</f>
        <v>0</v>
      </c>
      <c r="W56" s="5">
        <f>SUMPRODUCT(N(Tabela1[Código]=Tabela3[[#This Row],[PAPEL]]),Tabela1[Fechamento])</f>
        <v>21.47</v>
      </c>
      <c r="X56" s="5">
        <f>SUMPRODUCT(N(Tabela17[Código]=Tabela3[[#This Row],[PAPEL]]),Tabela17[Fechamento])</f>
        <v>0</v>
      </c>
    </row>
    <row r="57" spans="1:24">
      <c r="A57" s="4" t="s">
        <v>445</v>
      </c>
      <c r="B57" s="70" t="s">
        <v>448</v>
      </c>
      <c r="C57" s="15">
        <v>3</v>
      </c>
      <c r="D57" s="6">
        <v>2947112000</v>
      </c>
      <c r="E57" s="6">
        <v>1953406000</v>
      </c>
      <c r="F57" s="42">
        <v>786115469</v>
      </c>
      <c r="G57" s="15">
        <f>Tabela3[[#This Row],[Lucro Líquido]]/Tabela3[[#This Row],[Total Ações]]</f>
        <v>2.4848843166575572</v>
      </c>
      <c r="H57" s="15">
        <f>Tabela3[[#This Row],[Lucro/Ação]]/Tabela3[[#This Row],[Ref]]*4</f>
        <v>3.3131790888767427</v>
      </c>
      <c r="I57" s="19">
        <f>IF(GETPIVOTDATA("Payout",'Tabela LL'!$A$3,"Ativo",Tabela3[[#This Row],[PAPEL]])&gt;1,1,GETPIVOTDATA("Payout",'Tabela LL'!$A$3,"Ativo",Tabela3[[#This Row],[PAPEL]]))</f>
        <v>0.77123947523638092</v>
      </c>
      <c r="J57" s="6">
        <f>[Patrimônio Líquido]/[Total Ações]</f>
        <v>3.7489556130334845</v>
      </c>
      <c r="K57" s="52">
        <f>MAX(Tabela3[[#This Row],[Cotação 1]],Tabela3[[#This Row],[Cotação 2]])</f>
        <v>66.599999999999994</v>
      </c>
      <c r="L57" s="48">
        <f>[Cotação]/[VPA]</f>
        <v>17.7649475945943</v>
      </c>
      <c r="M57" s="44">
        <f>IF(Tabela3[[#This Row],[Lucro/Ação Ano]]&gt;0,Tabela3[[#This Row],[Cotação]]/Tabela3[[#This Row],[Lucro/Ação Ano]],0)</f>
        <v>20.101539401716796</v>
      </c>
      <c r="N57" s="17">
        <f>ROUND(Tabela3[[#This Row],[Lucro Prev]]/10%,2)</f>
        <v>25.55</v>
      </c>
      <c r="O57" s="13">
        <f>MIN(Tabela3[[#This Row],[10% Rent]],Tabela3[[#This Row],[VPA]]*2)</f>
        <v>7.4979112260669689</v>
      </c>
      <c r="P57" s="19">
        <f>Tabela3[[#This Row],[P Compra]]/Tabela3[[#This Row],[Cotação]]-1</f>
        <v>-0.8874187503593548</v>
      </c>
      <c r="Q57" s="6">
        <f>Tabela3[[#This Row],[Lucro/Ação Ano]]*Tabela3[[#This Row],[Payout]]</f>
        <v>2.5552545018694497</v>
      </c>
      <c r="R57" s="15" t="str">
        <f>IF(AND([% Yield]&gt;=10%,[PVPA]&lt;=2,[PL]&lt;=15,[PL]&gt;0),"Sim","Não")</f>
        <v>Não</v>
      </c>
      <c r="S57" s="46">
        <f>Tabela3[[#This Row],[Lucro Prev]]/Tabela3[[#This Row],[Cotação]]</f>
        <v>3.83671847127545E-2</v>
      </c>
      <c r="T57" s="46">
        <f>(1+Tabela3[[#This Row],[% Yield]])^(1/12)-1</f>
        <v>3.1423823553116126E-3</v>
      </c>
      <c r="U57" s="14">
        <f>($AA$1/Tabela3[[#This Row],[Cotação]]-MOD($AA$1/Tabela3[[#This Row],[Cotação]],100))</f>
        <v>0</v>
      </c>
      <c r="V57" s="17">
        <f>Tabela3[[#This Row],[Ativos]]*Tabela3[[#This Row],[Lucro Prev]]</f>
        <v>0</v>
      </c>
      <c r="W57" s="13">
        <f>SUMPRODUCT(N(Tabela1[Código]=Tabela3[[#This Row],[PAPEL]]),Tabela1[Fechamento])</f>
        <v>0</v>
      </c>
      <c r="X57" s="61">
        <f>SUMPRODUCT(N(Tabela17[Código]=Tabela3[[#This Row],[PAPEL]]),Tabela17[Fechamento])</f>
        <v>66.599999999999994</v>
      </c>
    </row>
    <row r="58" spans="1:24">
      <c r="A58" s="3" t="s">
        <v>316</v>
      </c>
      <c r="B58" s="73" t="s">
        <v>313</v>
      </c>
      <c r="C58" s="16">
        <v>3</v>
      </c>
      <c r="D58" s="5">
        <v>264517000</v>
      </c>
      <c r="E58" s="5">
        <v>37183000</v>
      </c>
      <c r="F58" s="21">
        <v>24948000</v>
      </c>
      <c r="G58" s="71">
        <f>Tabela3[[#This Row],[Lucro Líquido]]/Tabela3[[#This Row],[Total Ações]]</f>
        <v>1.490420073753407</v>
      </c>
      <c r="H58" s="16">
        <f>Tabela3[[#This Row],[Lucro/Ação]]/Tabela3[[#This Row],[Ref]]*4</f>
        <v>1.9872267650045428</v>
      </c>
      <c r="I58" s="18">
        <f>IF(GETPIVOTDATA("Payout",'Tabela LL'!$A$3,"Ativo",Tabela3[[#This Row],[PAPEL]])&gt;1,1,GETPIVOTDATA("Payout",'Tabela LL'!$A$3,"Ativo",Tabela3[[#This Row],[PAPEL]]))</f>
        <v>0.2032996796183045</v>
      </c>
      <c r="J58" s="5">
        <f>[Patrimônio Líquido]/[Total Ações]</f>
        <v>10.602733686067019</v>
      </c>
      <c r="K58" s="58">
        <f>MAX(Tabela3[[#This Row],[Cotação 1]],Tabela3[[#This Row],[Cotação 2]])</f>
        <v>7.08</v>
      </c>
      <c r="L58" s="59">
        <f>[Cotação]/[VPA]</f>
        <v>0.66775231837651272</v>
      </c>
      <c r="M58" s="40">
        <f>IF(Tabela3[[#This Row],[Lucro/Ação Ano]]&gt;0,Tabela3[[#This Row],[Cotação]]/Tabela3[[#This Row],[Lucro/Ação Ano]],0)</f>
        <v>3.5627539466960707</v>
      </c>
      <c r="N58" s="7">
        <f>ROUND(Tabela3[[#This Row],[Lucro Prev]]/10%,2)</f>
        <v>4.04</v>
      </c>
      <c r="O58" s="51">
        <f>MIN(Tabela3[[#This Row],[10% Rent]],Tabela3[[#This Row],[VPA]]*2)</f>
        <v>4.04</v>
      </c>
      <c r="P58" s="18">
        <f>Tabela3[[#This Row],[P Compra]]/Tabela3[[#This Row],[Cotação]]-1</f>
        <v>-0.42937853107344637</v>
      </c>
      <c r="Q58" s="5">
        <f>Tabela3[[#This Row],[Lucro/Ação Ano]]*Tabela3[[#This Row],[Payout]]</f>
        <v>0.40400256465434325</v>
      </c>
      <c r="R58" s="16" t="str">
        <f>IF(AND([% Yield]&gt;=10%,[PVPA]&lt;=2,[PL]&lt;=15,[PL]&gt;0),"Sim","Não")</f>
        <v>Não</v>
      </c>
      <c r="S58" s="22">
        <f>Tabela3[[#This Row],[Lucro Prev]]/Tabela3[[#This Row],[Cotação]]</f>
        <v>5.7062509131969384E-2</v>
      </c>
      <c r="T58" s="22">
        <f>(1+Tabela3[[#This Row],[% Yield]])^(1/12)-1</f>
        <v>4.6351963912270033E-3</v>
      </c>
      <c r="U58" s="10">
        <f>($AA$1/Tabela3[[#This Row],[Cotação]]-MOD($AA$1/Tabela3[[#This Row],[Cotação]],100))</f>
        <v>0</v>
      </c>
      <c r="V58" s="7">
        <f>Tabela3[[#This Row],[Ativos]]*Tabela3[[#This Row],[Lucro Prev]]</f>
        <v>0</v>
      </c>
      <c r="W58" s="51">
        <f>SUMPRODUCT(N(Tabela1[Código]=Tabela3[[#This Row],[PAPEL]]),Tabela1[Fechamento])</f>
        <v>0</v>
      </c>
      <c r="X58" s="60">
        <f>SUMPRODUCT(N(Tabela17[Código]=Tabela3[[#This Row],[PAPEL]]),Tabela17[Fechamento])</f>
        <v>7.08</v>
      </c>
    </row>
    <row r="59" spans="1:24">
      <c r="A59" s="3" t="s">
        <v>316</v>
      </c>
      <c r="B59" s="73" t="s">
        <v>314</v>
      </c>
      <c r="C59" s="16">
        <v>3</v>
      </c>
      <c r="D59" s="5">
        <v>264517000</v>
      </c>
      <c r="E59" s="5">
        <v>37183000</v>
      </c>
      <c r="F59" s="21">
        <v>24948000</v>
      </c>
      <c r="G59" s="71">
        <f>Tabela3[[#This Row],[Lucro Líquido]]/Tabela3[[#This Row],[Total Ações]]</f>
        <v>1.490420073753407</v>
      </c>
      <c r="H59" s="16">
        <f>Tabela3[[#This Row],[Lucro/Ação]]/Tabela3[[#This Row],[Ref]]*4</f>
        <v>1.9872267650045428</v>
      </c>
      <c r="I59" s="18">
        <f>IF(GETPIVOTDATA("Payout",'Tabela LL'!$A$3,"Ativo",Tabela3[[#This Row],[PAPEL]])&gt;1,1,GETPIVOTDATA("Payout",'Tabela LL'!$A$3,"Ativo",Tabela3[[#This Row],[PAPEL]]))</f>
        <v>0.22362663562799309</v>
      </c>
      <c r="J59" s="5">
        <f>[Patrimônio Líquido]/[Total Ações]</f>
        <v>10.602733686067019</v>
      </c>
      <c r="K59" s="58">
        <f>MAX(Tabela3[[#This Row],[Cotação 1]],Tabela3[[#This Row],[Cotação 2]])</f>
        <v>13.08</v>
      </c>
      <c r="L59" s="59">
        <f>[Cotação]/[VPA]</f>
        <v>1.2336441136108456</v>
      </c>
      <c r="M59" s="40">
        <f>IF(Tabela3[[#This Row],[Lucro/Ação Ano]]&gt;0,Tabela3[[#This Row],[Cotação]]/Tabela3[[#This Row],[Lucro/Ação Ano]],0)</f>
        <v>6.5820369523707072</v>
      </c>
      <c r="N59" s="7">
        <f>ROUND(Tabela3[[#This Row],[Lucro Prev]]/10%,2)</f>
        <v>4.4400000000000004</v>
      </c>
      <c r="O59" s="51">
        <f>MIN(Tabela3[[#This Row],[10% Rent]],Tabela3[[#This Row],[VPA]]*2)</f>
        <v>4.4400000000000004</v>
      </c>
      <c r="P59" s="18">
        <f>Tabela3[[#This Row],[P Compra]]/Tabela3[[#This Row],[Cotação]]-1</f>
        <v>-0.66055045871559637</v>
      </c>
      <c r="Q59" s="5">
        <f>Tabela3[[#This Row],[Lucro/Ação Ano]]*Tabela3[[#This Row],[Payout]]</f>
        <v>0.44439683568786637</v>
      </c>
      <c r="R59" s="16" t="str">
        <f>IF(AND([% Yield]&gt;=10%,[PVPA]&lt;=2,[PL]&lt;=15,[PL]&gt;0),"Sim","Não")</f>
        <v>Não</v>
      </c>
      <c r="S59" s="22">
        <f>Tabela3[[#This Row],[Lucro Prev]]/Tabela3[[#This Row],[Cotação]]</f>
        <v>3.3975293248307829E-2</v>
      </c>
      <c r="T59" s="22">
        <f>(1+Tabela3[[#This Row],[% Yield]])^(1/12)-1</f>
        <v>2.7881197176642392E-3</v>
      </c>
      <c r="U59" s="10">
        <f>($AA$1/Tabela3[[#This Row],[Cotação]]-MOD($AA$1/Tabela3[[#This Row],[Cotação]],100))</f>
        <v>0</v>
      </c>
      <c r="V59" s="7">
        <f>Tabela3[[#This Row],[Ativos]]*Tabela3[[#This Row],[Lucro Prev]]</f>
        <v>0</v>
      </c>
      <c r="W59" s="51">
        <f>SUMPRODUCT(N(Tabela1[Código]=Tabela3[[#This Row],[PAPEL]]),Tabela1[Fechamento])</f>
        <v>0</v>
      </c>
      <c r="X59" s="60">
        <f>SUMPRODUCT(N(Tabela17[Código]=Tabela3[[#This Row],[PAPEL]]),Tabela17[Fechamento])</f>
        <v>13.08</v>
      </c>
    </row>
    <row r="60" spans="1:24">
      <c r="A60" s="4" t="s">
        <v>12</v>
      </c>
      <c r="B60" s="14" t="s">
        <v>74</v>
      </c>
      <c r="C60" s="15">
        <v>3</v>
      </c>
      <c r="D60" s="6">
        <v>1927248000</v>
      </c>
      <c r="E60" s="6">
        <v>149553000</v>
      </c>
      <c r="F60" s="42">
        <v>38571591</v>
      </c>
      <c r="G60" s="15">
        <f>Tabela3[[#This Row],[Lucro Líquido]]/Tabela3[[#This Row],[Total Ações]]</f>
        <v>3.8772836723276467</v>
      </c>
      <c r="H60" s="15">
        <f>Tabela3[[#This Row],[Lucro/Ação]]/Tabela3[[#This Row],[Ref]]*4</f>
        <v>5.1697115631035286</v>
      </c>
      <c r="I60" s="19">
        <f>IF(GETPIVOTDATA("Payout",'Tabela LL'!$A$3,"Ativo",Tabela3[[#This Row],[PAPEL]])&gt;1,1,GETPIVOTDATA("Payout",'Tabela LL'!$A$3,"Ativo",Tabela3[[#This Row],[PAPEL]]))</f>
        <v>0.29963156324701223</v>
      </c>
      <c r="J60" s="6">
        <f>[Patrimônio Líquido]/[Total Ações]</f>
        <v>49.965478478707297</v>
      </c>
      <c r="K60" s="52">
        <f>MAX(Tabela3[[#This Row],[Cotação 1]],Tabela3[[#This Row],[Cotação 2]])</f>
        <v>15.9</v>
      </c>
      <c r="L60" s="48">
        <f>[Cotação]/[VPA]</f>
        <v>0.31821970856890242</v>
      </c>
      <c r="M60" s="44">
        <f>IF(Tabela3[[#This Row],[Lucro/Ação Ano]]&gt;0,Tabela3[[#This Row],[Cotação]]/Tabela3[[#This Row],[Lucro/Ação Ano]],0)</f>
        <v>3.0756067927423723</v>
      </c>
      <c r="N60" s="6">
        <f>ROUND(Tabela3[[#This Row],[Lucro Prev]]/10%,2)</f>
        <v>15.49</v>
      </c>
      <c r="O60" s="17">
        <f>MIN(Tabela3[[#This Row],[10% Rent]],Tabela3[[#This Row],[VPA]]*2)</f>
        <v>15.49</v>
      </c>
      <c r="P60" s="19">
        <f>Tabela3[[#This Row],[P Compra]]/Tabela3[[#This Row],[Cotação]]-1</f>
        <v>-2.5786163522012573E-2</v>
      </c>
      <c r="Q60" s="6">
        <f>Tabela3[[#This Row],[Lucro/Ação Ano]]*Tabela3[[#This Row],[Payout]]</f>
        <v>1.5490087571888653</v>
      </c>
      <c r="R60" s="14" t="str">
        <f>IF(AND([% Yield]&gt;=10%,[PVPA]&lt;=2,[PL]&lt;=15,[PL]&gt;0),"Sim","Não")</f>
        <v>Não</v>
      </c>
      <c r="S60" s="46">
        <f>Tabela3[[#This Row],[Lucro Prev]]/Tabela3[[#This Row],[Cotação]]</f>
        <v>9.7421934414394049E-2</v>
      </c>
      <c r="T60" s="46">
        <f>(1+Tabela3[[#This Row],[% Yield]])^(1/12)-1</f>
        <v>7.7770632277489593E-3</v>
      </c>
      <c r="U60" s="14">
        <f>($AA$1/Tabela3[[#This Row],[Cotação]]-MOD($AA$1/Tabela3[[#This Row],[Cotação]],100))</f>
        <v>0</v>
      </c>
      <c r="V60" s="17">
        <f>Tabela3[[#This Row],[Ativos]]*Tabela3[[#This Row],[Lucro Prev]]</f>
        <v>0</v>
      </c>
      <c r="W60" s="5">
        <f>SUMPRODUCT(N(Tabela1[Código]=Tabela3[[#This Row],[PAPEL]]),Tabela1[Fechamento])</f>
        <v>15.9</v>
      </c>
      <c r="X60" s="5">
        <f>SUMPRODUCT(N(Tabela17[Código]=Tabela3[[#This Row],[PAPEL]]),Tabela17[Fechamento])</f>
        <v>0</v>
      </c>
    </row>
    <row r="61" spans="1:24">
      <c r="A61" s="25" t="s">
        <v>12</v>
      </c>
      <c r="B61" s="15" t="s">
        <v>31</v>
      </c>
      <c r="C61" s="16">
        <v>3</v>
      </c>
      <c r="D61" s="31">
        <v>13197926000</v>
      </c>
      <c r="E61" s="31">
        <v>2271426000</v>
      </c>
      <c r="F61" s="28">
        <v>962672385</v>
      </c>
      <c r="G61" s="27">
        <f>Tabela3[[#This Row],[Lucro Líquido]]/Tabela3[[#This Row],[Total Ações]]</f>
        <v>2.3595005272743959</v>
      </c>
      <c r="H61" s="27">
        <f>Tabela3[[#This Row],[Lucro/Ação]]/Tabela3[[#This Row],[Ref]]*4</f>
        <v>3.1460007030325277</v>
      </c>
      <c r="I61" s="19">
        <f>IF(GETPIVOTDATA("Payout",'Tabela LL'!$A$3,"Ativo",Tabela3[[#This Row],[PAPEL]])&gt;1,1,GETPIVOTDATA("Payout",'Tabela LL'!$A$3,"Ativo",Tabela3[[#This Row],[PAPEL]]))</f>
        <v>0.65026428573600636</v>
      </c>
      <c r="J61" s="31">
        <f>[Patrimônio Líquido]/[Total Ações]</f>
        <v>13.709675488406162</v>
      </c>
      <c r="K61" s="32">
        <f>MAX(Tabela3[[#This Row],[Cotação 1]],Tabela3[[#This Row],[Cotação 2]])</f>
        <v>13.81</v>
      </c>
      <c r="L61" s="33">
        <f>[Cotação]/[VPA]</f>
        <v>1.0073177889351705</v>
      </c>
      <c r="M61" s="38">
        <f>IF(Tabela3[[#This Row],[Lucro/Ação Ano]]&gt;0,Tabela3[[#This Row],[Cotação]]/Tabela3[[#This Row],[Lucro/Ação Ano]],0)</f>
        <v>4.389700226922427</v>
      </c>
      <c r="N61" s="31">
        <f>ROUND(Tabela3[[#This Row],[Lucro Prev]]/10%,2)</f>
        <v>20.46</v>
      </c>
      <c r="O61" s="29">
        <f>MIN(Tabela3[[#This Row],[10% Rent]],Tabela3[[#This Row],[VPA]]*2)</f>
        <v>20.46</v>
      </c>
      <c r="P61" s="54">
        <f>Tabela3[[#This Row],[P Compra]]/Tabela3[[#This Row],[Cotação]]-1</f>
        <v>0.48153511947863858</v>
      </c>
      <c r="Q61" s="6">
        <f>Tabela3[[#This Row],[Lucro/Ação Ano]]*Tabela3[[#This Row],[Payout]]</f>
        <v>2.0457319000824206</v>
      </c>
      <c r="R61" s="26" t="str">
        <f>IF(AND([% Yield]&gt;=10%,[PVPA]&lt;=2,[PL]&lt;=15,[PL]&gt;0),"Sim","Não")</f>
        <v>Sim</v>
      </c>
      <c r="S61" s="30">
        <f>Tabela3[[#This Row],[Lucro Prev]]/Tabela3[[#This Row],[Cotação]]</f>
        <v>0.14813409848533096</v>
      </c>
      <c r="T61" s="99">
        <f>(1+Tabela3[[#This Row],[% Yield]])^(1/12)-1</f>
        <v>1.1578020854783544E-2</v>
      </c>
      <c r="U61" s="10">
        <f>($AA$1/Tabela3[[#This Row],[Cotação]]-MOD($AA$1/Tabela3[[#This Row],[Cotação]],100))</f>
        <v>0</v>
      </c>
      <c r="V61" s="7">
        <f>Tabela3[[#This Row],[Ativos]]*Tabela3[[#This Row],[Lucro Prev]]</f>
        <v>0</v>
      </c>
      <c r="W61" s="5">
        <f>SUMPRODUCT(N(Tabela1[Código]=Tabela3[[#This Row],[PAPEL]]),Tabela1[Fechamento])</f>
        <v>13.81</v>
      </c>
      <c r="X61" s="5">
        <f>SUMPRODUCT(N(Tabela17[Código]=Tabela3[[#This Row],[PAPEL]]),Tabela17[Fechamento])</f>
        <v>0</v>
      </c>
    </row>
    <row r="62" spans="1:24">
      <c r="A62" s="25" t="s">
        <v>12</v>
      </c>
      <c r="B62" s="70" t="s">
        <v>30</v>
      </c>
      <c r="C62" s="15">
        <v>3</v>
      </c>
      <c r="D62" s="31">
        <v>13197926000</v>
      </c>
      <c r="E62" s="31">
        <v>2271426000</v>
      </c>
      <c r="F62" s="28">
        <v>962672385</v>
      </c>
      <c r="G62" s="27">
        <f>Tabela3[[#This Row],[Lucro Líquido]]/Tabela3[[#This Row],[Total Ações]]</f>
        <v>2.3595005272743959</v>
      </c>
      <c r="H62" s="27">
        <f>Tabela3[[#This Row],[Lucro/Ação]]/Tabela3[[#This Row],[Ref]]*4</f>
        <v>3.1460007030325277</v>
      </c>
      <c r="I62" s="19">
        <f>IF(GETPIVOTDATA("Payout",'Tabela LL'!$A$3,"Ativo",Tabela3[[#This Row],[PAPEL]])&gt;1,1,GETPIVOTDATA("Payout",'Tabela LL'!$A$3,"Ativo",Tabela3[[#This Row],[PAPEL]]))</f>
        <v>0.65026428573600636</v>
      </c>
      <c r="J62" s="31">
        <f>[Patrimônio Líquido]/[Total Ações]</f>
        <v>13.709675488406162</v>
      </c>
      <c r="K62" s="32">
        <f>MAX(Tabela3[[#This Row],[Cotação 1]],Tabela3[[#This Row],[Cotação 2]])</f>
        <v>13.3</v>
      </c>
      <c r="L62" s="33">
        <f>[Cotação]/[VPA]</f>
        <v>0.970117783695711</v>
      </c>
      <c r="M62" s="38">
        <f>IF(Tabela3[[#This Row],[Lucro/Ação Ano]]&gt;0,Tabela3[[#This Row],[Cotação]]/Tabela3[[#This Row],[Lucro/Ação Ano]],0)</f>
        <v>4.2275896464929961</v>
      </c>
      <c r="N62" s="31">
        <f>ROUND(Tabela3[[#This Row],[Lucro Prev]]/10%,2)</f>
        <v>20.46</v>
      </c>
      <c r="O62" s="29">
        <f>MIN(Tabela3[[#This Row],[10% Rent]],Tabela3[[#This Row],[VPA]]*2)</f>
        <v>20.46</v>
      </c>
      <c r="P62" s="54">
        <f>Tabela3[[#This Row],[P Compra]]/Tabela3[[#This Row],[Cotação]]-1</f>
        <v>0.53834586466165413</v>
      </c>
      <c r="Q62" s="6">
        <f>Tabela3[[#This Row],[Lucro/Ação Ano]]*Tabela3[[#This Row],[Payout]]</f>
        <v>2.0457319000824206</v>
      </c>
      <c r="R62" s="26" t="str">
        <f>IF(AND([% Yield]&gt;=10%,[PVPA]&lt;=2,[PL]&lt;=15,[PL]&gt;0),"Sim","Não")</f>
        <v>Sim</v>
      </c>
      <c r="S62" s="30">
        <f>Tabela3[[#This Row],[Lucro Prev]]/Tabela3[[#This Row],[Cotação]]</f>
        <v>0.15381442857762559</v>
      </c>
      <c r="T62" s="99">
        <f>(1+Tabela3[[#This Row],[% Yield]])^(1/12)-1</f>
        <v>1.1994138651842512E-2</v>
      </c>
      <c r="U62" s="10">
        <f>($AA$1/Tabela3[[#This Row],[Cotação]]-MOD($AA$1/Tabela3[[#This Row],[Cotação]],100))</f>
        <v>0</v>
      </c>
      <c r="V62" s="7">
        <f>Tabela3[[#This Row],[Ativos]]*Tabela3[[#This Row],[Lucro Prev]]</f>
        <v>0</v>
      </c>
      <c r="W62" s="5">
        <f>SUMPRODUCT(N(Tabela1[Código]=Tabela3[[#This Row],[PAPEL]]),Tabela1[Fechamento])</f>
        <v>13.3</v>
      </c>
      <c r="X62" s="5">
        <f>SUMPRODUCT(N(Tabela17[Código]=Tabela3[[#This Row],[PAPEL]]),Tabela17[Fechamento])</f>
        <v>0</v>
      </c>
    </row>
    <row r="63" spans="1:24">
      <c r="A63" s="4" t="s">
        <v>12</v>
      </c>
      <c r="B63" s="14" t="s">
        <v>101</v>
      </c>
      <c r="C63" s="15">
        <v>3</v>
      </c>
      <c r="D63" s="5">
        <v>1597704000</v>
      </c>
      <c r="E63" s="5">
        <v>150604000</v>
      </c>
      <c r="F63" s="21">
        <v>77855299</v>
      </c>
      <c r="G63" s="15">
        <f>Tabela3[[#This Row],[Lucro Líquido]]/Tabela3[[#This Row],[Total Ações]]</f>
        <v>1.9344091145292499</v>
      </c>
      <c r="H63" s="15">
        <f>Tabela3[[#This Row],[Lucro/Ação]]/Tabela3[[#This Row],[Ref]]*4</f>
        <v>2.5792121527056664</v>
      </c>
      <c r="I63" s="19">
        <f>IF(GETPIVOTDATA("Payout",'Tabela LL'!$A$3,"Ativo",Tabela3[[#This Row],[PAPEL]])&gt;1,1,GETPIVOTDATA("Payout",'Tabela LL'!$A$3,"Ativo",Tabela3[[#This Row],[PAPEL]]))</f>
        <v>0.61566379005177641</v>
      </c>
      <c r="J63" s="6">
        <f>[Patrimônio Líquido]/[Total Ações]</f>
        <v>20.52145480810497</v>
      </c>
      <c r="K63" s="52">
        <f>MAX(Tabela3[[#This Row],[Cotação 1]],Tabela3[[#This Row],[Cotação 2]])</f>
        <v>48.35</v>
      </c>
      <c r="L63" s="48">
        <f>[Cotação]/[VPA]</f>
        <v>2.3560707782230002</v>
      </c>
      <c r="M63" s="44">
        <f>IF(Tabela3[[#This Row],[Lucro/Ação Ano]]&gt;0,Tabela3[[#This Row],[Cotação]]/Tabela3[[#This Row],[Lucro/Ação Ano]],0)</f>
        <v>18.746034500992671</v>
      </c>
      <c r="N63" s="6">
        <f>ROUND(Tabela3[[#This Row],[Lucro Prev]]/10%,2)</f>
        <v>15.88</v>
      </c>
      <c r="O63" s="61">
        <f>MIN(Tabela3[[#This Row],[10% Rent]],Tabela3[[#This Row],[VPA]]*2)</f>
        <v>15.88</v>
      </c>
      <c r="P63" s="19">
        <f>Tabela3[[#This Row],[P Compra]]/Tabela3[[#This Row],[Cotação]]-1</f>
        <v>-0.67156153050672174</v>
      </c>
      <c r="Q63" s="6">
        <f>Tabela3[[#This Row],[Lucro/Ação Ano]]*Tabela3[[#This Row],[Payout]]</f>
        <v>1.5879275292823716</v>
      </c>
      <c r="R63" s="15" t="str">
        <f>IF(AND([% Yield]&gt;=10%,[PVPA]&lt;=2,[PL]&lt;=15,[PL]&gt;0),"Sim","Não")</f>
        <v>Não</v>
      </c>
      <c r="S63" s="46">
        <f>Tabela3[[#This Row],[Lucro Prev]]/Tabela3[[#This Row],[Cotação]]</f>
        <v>3.2842348072024227E-2</v>
      </c>
      <c r="T63" s="46">
        <f>(1+Tabela3[[#This Row],[% Yield]])^(1/12)-1</f>
        <v>2.6965092986186434E-3</v>
      </c>
      <c r="U63" s="14">
        <f>($AA$1/Tabela3[[#This Row],[Cotação]]-MOD($AA$1/Tabela3[[#This Row],[Cotação]],100))</f>
        <v>0</v>
      </c>
      <c r="V63" s="17">
        <f>Tabela3[[#This Row],[Ativos]]*Tabela3[[#This Row],[Lucro Prev]]</f>
        <v>0</v>
      </c>
      <c r="W63" s="5">
        <f>SUMPRODUCT(N(Tabela1[Código]=Tabela3[[#This Row],[PAPEL]]),Tabela1[Fechamento])</f>
        <v>48.35</v>
      </c>
      <c r="X63" s="5">
        <f>SUMPRODUCT(N(Tabela17[Código]=Tabela3[[#This Row],[PAPEL]]),Tabela17[Fechamento])</f>
        <v>0</v>
      </c>
    </row>
    <row r="64" spans="1:24">
      <c r="A64" s="3" t="s">
        <v>12</v>
      </c>
      <c r="B64" s="10" t="s">
        <v>86</v>
      </c>
      <c r="C64" s="16">
        <v>3</v>
      </c>
      <c r="D64" s="5">
        <v>1597704000</v>
      </c>
      <c r="E64" s="5">
        <v>150604000</v>
      </c>
      <c r="F64" s="21">
        <v>77855299</v>
      </c>
      <c r="G64" s="16">
        <f>Tabela3[[#This Row],[Lucro Líquido]]/Tabela3[[#This Row],[Total Ações]]</f>
        <v>1.9344091145292499</v>
      </c>
      <c r="H64" s="16">
        <f>Tabela3[[#This Row],[Lucro/Ação]]/Tabela3[[#This Row],[Ref]]*4</f>
        <v>2.5792121527056664</v>
      </c>
      <c r="I64" s="18">
        <f>IF(GETPIVOTDATA("Payout",'Tabela LL'!$A$3,"Ativo",Tabela3[[#This Row],[PAPEL]])&gt;1,1,GETPIVOTDATA("Payout",'Tabela LL'!$A$3,"Ativo",Tabela3[[#This Row],[PAPEL]]))</f>
        <v>0.61566379005177641</v>
      </c>
      <c r="J64" s="5">
        <f>[Patrimônio Líquido]/[Total Ações]</f>
        <v>20.52145480810497</v>
      </c>
      <c r="K64" s="58">
        <f>MAX(Tabela3[[#This Row],[Cotação 1]],Tabela3[[#This Row],[Cotação 2]])</f>
        <v>48.1</v>
      </c>
      <c r="L64" s="59">
        <f>[Cotação]/[VPA]</f>
        <v>2.3438884060501821</v>
      </c>
      <c r="M64" s="40">
        <f>IF(Tabela3[[#This Row],[Lucro/Ação Ano]]&gt;0,Tabela3[[#This Row],[Cotação]]/Tabela3[[#This Row],[Lucro/Ação Ano]],0)</f>
        <v>18.64910567730605</v>
      </c>
      <c r="N64" s="5">
        <f>ROUND(Tabela3[[#This Row],[Lucro Prev]]/10%,2)</f>
        <v>15.88</v>
      </c>
      <c r="O64" s="60">
        <f>MIN(Tabela3[[#This Row],[10% Rent]],Tabela3[[#This Row],[VPA]]*2)</f>
        <v>15.88</v>
      </c>
      <c r="P64" s="18">
        <f>Tabela3[[#This Row],[P Compra]]/Tabela3[[#This Row],[Cotação]]-1</f>
        <v>-0.66985446985446984</v>
      </c>
      <c r="Q64" s="5">
        <f>Tabela3[[#This Row],[Lucro/Ação Ano]]*Tabela3[[#This Row],[Payout]]</f>
        <v>1.5879275292823716</v>
      </c>
      <c r="R64" s="10" t="str">
        <f>IF(AND([% Yield]&gt;=10%,[PVPA]&lt;=2,[PL]&lt;=15,[PL]&gt;0),"Sim","Não")</f>
        <v>Não</v>
      </c>
      <c r="S64" s="22">
        <f>Tabela3[[#This Row],[Lucro Prev]]/Tabela3[[#This Row],[Cotação]]</f>
        <v>3.3013046346826849E-2</v>
      </c>
      <c r="T64" s="22">
        <f>(1+Tabela3[[#This Row],[% Yield]])^(1/12)-1</f>
        <v>2.7103179243088693E-3</v>
      </c>
      <c r="U64" s="10">
        <f>($AA$1/Tabela3[[#This Row],[Cotação]]-MOD($AA$1/Tabela3[[#This Row],[Cotação]],100))</f>
        <v>0</v>
      </c>
      <c r="V64" s="7">
        <f>Tabela3[[#This Row],[Ativos]]*Tabela3[[#This Row],[Lucro Prev]]</f>
        <v>0</v>
      </c>
      <c r="W64" s="5">
        <f>SUMPRODUCT(N(Tabela1[Código]=Tabela3[[#This Row],[PAPEL]]),Tabela1[Fechamento])</f>
        <v>48.1</v>
      </c>
      <c r="X64" s="5">
        <f>SUMPRODUCT(N(Tabela17[Código]=Tabela3[[#This Row],[PAPEL]]),Tabela17[Fechamento])</f>
        <v>0</v>
      </c>
    </row>
    <row r="65" spans="1:24">
      <c r="A65" s="25" t="s">
        <v>12</v>
      </c>
      <c r="B65" s="15" t="s">
        <v>32</v>
      </c>
      <c r="C65" s="16">
        <v>3</v>
      </c>
      <c r="D65" s="31">
        <v>6763474000</v>
      </c>
      <c r="E65" s="31">
        <v>636489000</v>
      </c>
      <c r="F65" s="28">
        <v>962274260</v>
      </c>
      <c r="G65" s="27">
        <f>Tabela3[[#This Row],[Lucro Líquido]]/Tabela3[[#This Row],[Total Ações]]</f>
        <v>0.6614424041644843</v>
      </c>
      <c r="H65" s="27">
        <f>Tabela3[[#This Row],[Lucro/Ação]]/Tabela3[[#This Row],[Ref]]*4</f>
        <v>0.88192320555264569</v>
      </c>
      <c r="I65" s="53">
        <f>IF(GETPIVOTDATA("Payout",'Tabela LL'!$A$3,"Ativo",Tabela3[[#This Row],[PAPEL]])&gt;1,1,GETPIVOTDATA("Payout",'Tabela LL'!$A$3,"Ativo",Tabela3[[#This Row],[PAPEL]]))</f>
        <v>1</v>
      </c>
      <c r="J65" s="31">
        <f>[Patrimônio Líquido]/[Total Ações]</f>
        <v>7.0286344352596526</v>
      </c>
      <c r="K65" s="32">
        <f>MAX(Tabela3[[#This Row],[Cotação 1]],Tabela3[[#This Row],[Cotação 2]])</f>
        <v>18.73</v>
      </c>
      <c r="L65" s="33">
        <f>[Cotação]/[VPA]</f>
        <v>2.6648135100097967</v>
      </c>
      <c r="M65" s="38">
        <f>IF(Tabela3[[#This Row],[Lucro/Ação Ano]]&gt;0,Tabela3[[#This Row],[Cotação]]/Tabela3[[#This Row],[Lucro/Ação Ano]],0)</f>
        <v>21.237676797792265</v>
      </c>
      <c r="N65" s="31">
        <f>ROUND(Tabela3[[#This Row],[Lucro Prev]]/10%,2)</f>
        <v>8.82</v>
      </c>
      <c r="O65" s="29">
        <f>MIN(Tabela3[[#This Row],[10% Rent]],Tabela3[[#This Row],[VPA]]*2)</f>
        <v>8.82</v>
      </c>
      <c r="P65" s="54">
        <f>Tabela3[[#This Row],[P Compra]]/Tabela3[[#This Row],[Cotação]]-1</f>
        <v>-0.52909770421783242</v>
      </c>
      <c r="Q65" s="6">
        <f>Tabela3[[#This Row],[Lucro/Ação Ano]]*Tabela3[[#This Row],[Payout]]</f>
        <v>0.88192320555264569</v>
      </c>
      <c r="R65" s="26" t="str">
        <f>IF(AND([% Yield]&gt;=10%,[PVPA]&lt;=2,[PL]&lt;=15,[PL]&gt;0),"Sim","Não")</f>
        <v>Não</v>
      </c>
      <c r="S65" s="30">
        <f>Tabela3[[#This Row],[Lucro Prev]]/Tabela3[[#This Row],[Cotação]]</f>
        <v>4.7086129500942105E-2</v>
      </c>
      <c r="T65" s="30">
        <f>(1+Tabela3[[#This Row],[% Yield]])^(1/12)-1</f>
        <v>3.8416261716338607E-3</v>
      </c>
      <c r="U65" s="10">
        <f>($AA$1/Tabela3[[#This Row],[Cotação]]-MOD($AA$1/Tabela3[[#This Row],[Cotação]],100))</f>
        <v>0</v>
      </c>
      <c r="V65" s="7">
        <f>Tabela3[[#This Row],[Ativos]]*Tabela3[[#This Row],[Lucro Prev]]</f>
        <v>0</v>
      </c>
      <c r="W65" s="5">
        <f>SUMPRODUCT(N(Tabela1[Código]=Tabela3[[#This Row],[PAPEL]]),Tabela1[Fechamento])</f>
        <v>18.73</v>
      </c>
      <c r="X65" s="5">
        <f>SUMPRODUCT(N(Tabela17[Código]=Tabela3[[#This Row],[PAPEL]]),Tabela17[Fechamento])</f>
        <v>0</v>
      </c>
    </row>
    <row r="66" spans="1:24">
      <c r="A66" s="25" t="s">
        <v>12</v>
      </c>
      <c r="B66" s="15" t="s">
        <v>34</v>
      </c>
      <c r="C66" s="15">
        <v>3</v>
      </c>
      <c r="D66" s="31">
        <v>12828375000</v>
      </c>
      <c r="E66" s="31">
        <v>898498000</v>
      </c>
      <c r="F66" s="28">
        <v>273655375</v>
      </c>
      <c r="G66" s="27">
        <f>Tabela3[[#This Row],[Lucro Líquido]]/Tabela3[[#This Row],[Total Ações]]</f>
        <v>3.2833193939640322</v>
      </c>
      <c r="H66" s="27">
        <f>Tabela3[[#This Row],[Lucro/Ação]]/Tabela3[[#This Row],[Ref]]*4</f>
        <v>4.3777591919520429</v>
      </c>
      <c r="I66" s="19">
        <f>IF(GETPIVOTDATA("Payout",'Tabela LL'!$A$3,"Ativo",Tabela3[[#This Row],[PAPEL]])&gt;1,1,GETPIVOTDATA("Payout",'Tabela LL'!$A$3,"Ativo",Tabela3[[#This Row],[PAPEL]]))</f>
        <v>0.30524903922734314</v>
      </c>
      <c r="J66" s="31">
        <f>[Patrimônio Líquido]/[Total Ações]</f>
        <v>46.877847730927996</v>
      </c>
      <c r="K66" s="32">
        <f>MAX(Tabela3[[#This Row],[Cotação 1]],Tabela3[[#This Row],[Cotação 2]])</f>
        <v>22.2</v>
      </c>
      <c r="L66" s="33">
        <f>[Cotação]/[VPA]</f>
        <v>0.47357122979332922</v>
      </c>
      <c r="M66" s="38">
        <f>IF(Tabela3[[#This Row],[Lucro/Ação Ano]]&gt;0,Tabela3[[#This Row],[Cotação]]/Tabela3[[#This Row],[Lucro/Ação Ano]],0)</f>
        <v>5.0710875191152347</v>
      </c>
      <c r="N66" s="31">
        <f>ROUND(Tabela3[[#This Row],[Lucro Prev]]/10%,2)</f>
        <v>13.36</v>
      </c>
      <c r="O66" s="29">
        <f>MIN(Tabela3[[#This Row],[10% Rent]],Tabela3[[#This Row],[VPA]]*2)</f>
        <v>13.36</v>
      </c>
      <c r="P66" s="54">
        <f>Tabela3[[#This Row],[P Compra]]/Tabela3[[#This Row],[Cotação]]-1</f>
        <v>-0.39819819819819824</v>
      </c>
      <c r="Q66" s="6">
        <f>Tabela3[[#This Row],[Lucro/Ação Ano]]*Tabela3[[#This Row],[Payout]]</f>
        <v>1.3363067873120311</v>
      </c>
      <c r="R66" s="26" t="str">
        <f>IF(AND([% Yield]&gt;=10%,[PVPA]&lt;=2,[PL]&lt;=15,[PL]&gt;0),"Sim","Não")</f>
        <v>Não</v>
      </c>
      <c r="S66" s="30">
        <f>Tabela3[[#This Row],[Lucro Prev]]/Tabela3[[#This Row],[Cotação]]</f>
        <v>6.0193999428469869E-2</v>
      </c>
      <c r="T66" s="30">
        <f>(1+Tabela3[[#This Row],[% Yield]])^(1/12)-1</f>
        <v>4.8828750448923763E-3</v>
      </c>
      <c r="U66" s="10">
        <f>($AA$1/Tabela3[[#This Row],[Cotação]]-MOD($AA$1/Tabela3[[#This Row],[Cotação]],100))</f>
        <v>0</v>
      </c>
      <c r="V66" s="5">
        <f>Tabela3[[#This Row],[Ativos]]*Tabela3[[#This Row],[Lucro Prev]]</f>
        <v>0</v>
      </c>
      <c r="W66" s="5">
        <f>SUMPRODUCT(N(Tabela1[Código]=Tabela3[[#This Row],[PAPEL]]),Tabela1[Fechamento])</f>
        <v>22.2</v>
      </c>
      <c r="X66" s="5">
        <f>SUMPRODUCT(N(Tabela17[Código]=Tabela3[[#This Row],[PAPEL]]),Tabela17[Fechamento])</f>
        <v>0</v>
      </c>
    </row>
    <row r="67" spans="1:24">
      <c r="A67" s="4" t="s">
        <v>12</v>
      </c>
      <c r="B67" s="14" t="s">
        <v>107</v>
      </c>
      <c r="C67" s="15">
        <v>3</v>
      </c>
      <c r="D67" s="31">
        <v>12828375000</v>
      </c>
      <c r="E67" s="31">
        <v>898498000</v>
      </c>
      <c r="F67" s="42">
        <v>273655375</v>
      </c>
      <c r="G67" s="15">
        <f>Tabela3[[#This Row],[Lucro Líquido]]/Tabela3[[#This Row],[Total Ações]]</f>
        <v>3.2833193939640322</v>
      </c>
      <c r="H67" s="15">
        <f>Tabela3[[#This Row],[Lucro/Ação]]/Tabela3[[#This Row],[Ref]]*4</f>
        <v>4.3777591919520429</v>
      </c>
      <c r="I67" s="19">
        <f>IF(GETPIVOTDATA("Payout",'Tabela LL'!$A$3,"Ativo",Tabela3[[#This Row],[PAPEL]])&gt;1,1,GETPIVOTDATA("Payout",'Tabela LL'!$A$3,"Ativo",Tabela3[[#This Row],[PAPEL]]))</f>
        <v>0.67976520829611575</v>
      </c>
      <c r="J67" s="6">
        <f>[Patrimônio Líquido]/[Total Ações]</f>
        <v>46.877847730927996</v>
      </c>
      <c r="K67" s="52">
        <f>MAX(Tabela3[[#This Row],[Cotação 1]],Tabela3[[#This Row],[Cotação 2]])</f>
        <v>30</v>
      </c>
      <c r="L67" s="48">
        <f>[Cotação]/[VPA]</f>
        <v>0.63996112134233685</v>
      </c>
      <c r="M67" s="44">
        <f>IF(Tabela3[[#This Row],[Lucro/Ação Ano]]&gt;0,Tabela3[[#This Row],[Cotação]]/Tabela3[[#This Row],[Lucro/Ação Ano]],0)</f>
        <v>6.8528209717773443</v>
      </c>
      <c r="N67" s="6">
        <f>ROUND(Tabela3[[#This Row],[Lucro Prev]]/10%,2)</f>
        <v>29.76</v>
      </c>
      <c r="O67" s="61">
        <f>MIN(Tabela3[[#This Row],[10% Rent]],Tabela3[[#This Row],[VPA]]*2)</f>
        <v>29.76</v>
      </c>
      <c r="P67" s="19">
        <f>Tabela3[[#This Row],[P Compra]]/Tabela3[[#This Row],[Cotação]]-1</f>
        <v>-7.9999999999998961E-3</v>
      </c>
      <c r="Q67" s="6">
        <f>Tabela3[[#This Row],[Lucro/Ação Ano]]*Tabela3[[#This Row],[Payout]]</f>
        <v>2.975848388987516</v>
      </c>
      <c r="R67" s="15" t="str">
        <f>IF(AND([% Yield]&gt;=10%,[PVPA]&lt;=2,[PL]&lt;=15,[PL]&gt;0),"Sim","Não")</f>
        <v>Não</v>
      </c>
      <c r="S67" s="46">
        <f>Tabela3[[#This Row],[Lucro Prev]]/Tabela3[[#This Row],[Cotação]]</f>
        <v>9.9194946299583864E-2</v>
      </c>
      <c r="T67" s="46">
        <f>(1+Tabela3[[#This Row],[% Yield]])^(1/12)-1</f>
        <v>7.9126445471726647E-3</v>
      </c>
      <c r="U67" s="14">
        <f>($AA$1/Tabela3[[#This Row],[Cotação]]-MOD($AA$1/Tabela3[[#This Row],[Cotação]],100))</f>
        <v>0</v>
      </c>
      <c r="V67" s="17">
        <f>Tabela3[[#This Row],[Ativos]]*Tabela3[[#This Row],[Lucro Prev]]</f>
        <v>0</v>
      </c>
      <c r="W67" s="5">
        <f>SUMPRODUCT(N(Tabela1[Código]=Tabela3[[#This Row],[PAPEL]]),Tabela1[Fechamento])</f>
        <v>30</v>
      </c>
      <c r="X67" s="5">
        <f>SUMPRODUCT(N(Tabela17[Código]=Tabela3[[#This Row],[PAPEL]]),Tabela17[Fechamento])</f>
        <v>0</v>
      </c>
    </row>
    <row r="68" spans="1:24">
      <c r="A68" s="4" t="s">
        <v>12</v>
      </c>
      <c r="B68" s="14" t="s">
        <v>108</v>
      </c>
      <c r="C68" s="15">
        <v>3</v>
      </c>
      <c r="D68" s="6">
        <v>13116477000</v>
      </c>
      <c r="E68" s="6">
        <v>923222000</v>
      </c>
      <c r="F68" s="42">
        <v>273655375</v>
      </c>
      <c r="G68" s="15">
        <f>Tabela3[[#This Row],[Lucro Líquido]]/Tabela3[[#This Row],[Total Ações]]</f>
        <v>3.3736666053060351</v>
      </c>
      <c r="H68" s="15">
        <f>Tabela3[[#This Row],[Lucro/Ação]]/Tabela3[[#This Row],[Ref]]*4</f>
        <v>4.4982221404080471</v>
      </c>
      <c r="I68" s="19">
        <f>IF(GETPIVOTDATA("Payout",'Tabela LL'!$A$3,"Ativo",Tabela3[[#This Row],[PAPEL]])&gt;1,1,GETPIVOTDATA("Payout",'Tabela LL'!$A$3,"Ativo",Tabela3[[#This Row],[PAPEL]]))</f>
        <v>0.33582916423156933</v>
      </c>
      <c r="J68" s="6">
        <f>[Patrimônio Líquido]/[Total Ações]</f>
        <v>47.930639038242902</v>
      </c>
      <c r="K68" s="52">
        <f>MAX(Tabela3[[#This Row],[Cotação 1]],Tabela3[[#This Row],[Cotação 2]])</f>
        <v>30.83</v>
      </c>
      <c r="L68" s="48">
        <f>[Cotação]/[VPA]</f>
        <v>0.6432211340934002</v>
      </c>
      <c r="M68" s="44">
        <f>IF(Tabela3[[#This Row],[Lucro/Ação Ano]]&gt;0,Tabela3[[#This Row],[Cotação]]/Tabela3[[#This Row],[Lucro/Ação Ano]],0)</f>
        <v>6.8538189172674597</v>
      </c>
      <c r="N68" s="6">
        <f>ROUND(Tabela3[[#This Row],[Lucro Prev]]/10%,2)</f>
        <v>15.11</v>
      </c>
      <c r="O68" s="61">
        <f>MIN(Tabela3[[#This Row],[10% Rent]],Tabela3[[#This Row],[VPA]]*2)</f>
        <v>15.11</v>
      </c>
      <c r="P68" s="19">
        <f>Tabela3[[#This Row],[P Compra]]/Tabela3[[#This Row],[Cotação]]-1</f>
        <v>-0.50989296140123264</v>
      </c>
      <c r="Q68" s="6">
        <f>Tabela3[[#This Row],[Lucro/Ação Ano]]*Tabela3[[#This Row],[Payout]]</f>
        <v>1.5106341819411755</v>
      </c>
      <c r="R68" s="15" t="str">
        <f>IF(AND([% Yield]&gt;=10%,[PVPA]&lt;=2,[PL]&lt;=15,[PL]&gt;0),"Sim","Não")</f>
        <v>Não</v>
      </c>
      <c r="S68" s="46">
        <f>Tabela3[[#This Row],[Lucro Prev]]/Tabela3[[#This Row],[Cotação]]</f>
        <v>4.899883820762814E-2</v>
      </c>
      <c r="T68" s="46">
        <f>(1+Tabela3[[#This Row],[% Yield]])^(1/12)-1</f>
        <v>3.9943078929696174E-3</v>
      </c>
      <c r="U68" s="14">
        <f>($AA$1/Tabela3[[#This Row],[Cotação]]-MOD($AA$1/Tabela3[[#This Row],[Cotação]],100))</f>
        <v>0</v>
      </c>
      <c r="V68" s="17">
        <f>Tabela3[[#This Row],[Ativos]]*Tabela3[[#This Row],[Lucro Prev]]</f>
        <v>0</v>
      </c>
      <c r="W68" s="5">
        <f>SUMPRODUCT(N(Tabela1[Código]=Tabela3[[#This Row],[PAPEL]]),Tabela1[Fechamento])</f>
        <v>30.83</v>
      </c>
      <c r="X68" s="5">
        <f>SUMPRODUCT(N(Tabela17[Código]=Tabela3[[#This Row],[PAPEL]]),Tabela17[Fechamento])</f>
        <v>0</v>
      </c>
    </row>
    <row r="69" spans="1:24">
      <c r="A69" s="4" t="s">
        <v>430</v>
      </c>
      <c r="B69" s="70" t="s">
        <v>434</v>
      </c>
      <c r="C69" s="15">
        <v>3</v>
      </c>
      <c r="D69" s="6">
        <v>735745000</v>
      </c>
      <c r="E69" s="6">
        <v>39503000</v>
      </c>
      <c r="F69" s="42">
        <v>105765903</v>
      </c>
      <c r="G69" s="15">
        <f>Tabela3[[#This Row],[Lucro Líquido]]/Tabela3[[#This Row],[Total Ações]]</f>
        <v>0.37349466018363214</v>
      </c>
      <c r="H69" s="15">
        <f>Tabela3[[#This Row],[Lucro/Ação]]/Tabela3[[#This Row],[Ref]]*4</f>
        <v>0.49799288024484284</v>
      </c>
      <c r="I69" s="19">
        <f>IF(GETPIVOTDATA("Payout",'Tabela LL'!$A$3,"Ativo",Tabela3[[#This Row],[PAPEL]])&gt;1,1,GETPIVOTDATA("Payout",'Tabela LL'!$A$3,"Ativo",Tabela3[[#This Row],[PAPEL]]))</f>
        <v>0.2407568567064774</v>
      </c>
      <c r="J69" s="6">
        <f>[Patrimônio Líquido]/[Total Ações]</f>
        <v>6.9563534100399069</v>
      </c>
      <c r="K69" s="52">
        <f>MAX(Tabela3[[#This Row],[Cotação 1]],Tabela3[[#This Row],[Cotação 2]])</f>
        <v>3.85</v>
      </c>
      <c r="L69" s="48">
        <f>[Cotação]/[VPA]</f>
        <v>0.55345089202101272</v>
      </c>
      <c r="M69" s="44">
        <f>IF(Tabela3[[#This Row],[Lucro/Ação Ano]]&gt;0,Tabela3[[#This Row],[Cotação]]/Tabela3[[#This Row],[Lucro/Ação Ano]],0)</f>
        <v>7.7310342230336939</v>
      </c>
      <c r="N69" s="17">
        <f>ROUND(Tabela3[[#This Row],[Lucro Prev]]/10%,2)</f>
        <v>1.2</v>
      </c>
      <c r="O69" s="13">
        <f>MIN(Tabela3[[#This Row],[10% Rent]],Tabela3[[#This Row],[VPA]]*2)</f>
        <v>1.2</v>
      </c>
      <c r="P69" s="19">
        <f>Tabela3[[#This Row],[P Compra]]/Tabela3[[#This Row],[Cotação]]-1</f>
        <v>-0.68831168831168832</v>
      </c>
      <c r="Q69" s="6">
        <f>Tabela3[[#This Row],[Lucro/Ação Ano]]*Tabela3[[#This Row],[Payout]]</f>
        <v>0.11989520050995359</v>
      </c>
      <c r="R69" s="15" t="str">
        <f>IF(AND([% Yield]&gt;=10%,[PVPA]&lt;=2,[PL]&lt;=15,[PL]&gt;0),"Sim","Não")</f>
        <v>Não</v>
      </c>
      <c r="S69" s="46">
        <f>Tabela3[[#This Row],[Lucro Prev]]/Tabela3[[#This Row],[Cotação]]</f>
        <v>3.1141610522065866E-2</v>
      </c>
      <c r="T69" s="46">
        <f>(1+Tabela3[[#This Row],[% Yield]])^(1/12)-1</f>
        <v>2.5588138731573729E-3</v>
      </c>
      <c r="U69" s="14">
        <f>($AA$1/Tabela3[[#This Row],[Cotação]]-MOD($AA$1/Tabela3[[#This Row],[Cotação]],100))</f>
        <v>0</v>
      </c>
      <c r="V69" s="17">
        <f>Tabela3[[#This Row],[Ativos]]*Tabela3[[#This Row],[Lucro Prev]]</f>
        <v>0</v>
      </c>
      <c r="W69" s="13">
        <f>SUMPRODUCT(N(Tabela1[Código]=Tabela3[[#This Row],[PAPEL]]),Tabela1[Fechamento])</f>
        <v>0</v>
      </c>
      <c r="X69" s="61">
        <f>SUMPRODUCT(N(Tabela17[Código]=Tabela3[[#This Row],[PAPEL]]),Tabela17[Fechamento])</f>
        <v>3.85</v>
      </c>
    </row>
    <row r="70" spans="1:24">
      <c r="A70" s="4" t="s">
        <v>430</v>
      </c>
      <c r="B70" s="70" t="s">
        <v>435</v>
      </c>
      <c r="C70" s="15">
        <v>3</v>
      </c>
      <c r="D70" s="6">
        <v>735745000</v>
      </c>
      <c r="E70" s="6">
        <v>39503000</v>
      </c>
      <c r="F70" s="42">
        <v>105765903</v>
      </c>
      <c r="G70" s="15">
        <f>Tabela3[[#This Row],[Lucro Líquido]]/Tabela3[[#This Row],[Total Ações]]</f>
        <v>0.37349466018363214</v>
      </c>
      <c r="H70" s="15">
        <f>Tabela3[[#This Row],[Lucro/Ação]]/Tabela3[[#This Row],[Ref]]*4</f>
        <v>0.49799288024484284</v>
      </c>
      <c r="I70" s="19">
        <f>IF(GETPIVOTDATA("Payout",'Tabela LL'!$A$3,"Ativo",Tabela3[[#This Row],[PAPEL]])&gt;1,1,GETPIVOTDATA("Payout",'Tabela LL'!$A$3,"Ativo",Tabela3[[#This Row],[PAPEL]]))</f>
        <v>0.32895734501185681</v>
      </c>
      <c r="J70" s="6">
        <f>[Patrimônio Líquido]/[Total Ações]</f>
        <v>6.9563534100399069</v>
      </c>
      <c r="K70" s="52">
        <f>MAX(Tabela3[[#This Row],[Cotação 1]],Tabela3[[#This Row],[Cotação 2]])</f>
        <v>4.01</v>
      </c>
      <c r="L70" s="48">
        <f>[Cotação]/[VPA]</f>
        <v>0.57645144857253527</v>
      </c>
      <c r="M70" s="44">
        <f>IF(Tabela3[[#This Row],[Lucro/Ação Ano]]&gt;0,Tabela3[[#This Row],[Cotação]]/Tabela3[[#This Row],[Lucro/Ação Ano]],0)</f>
        <v>8.0523239569779506</v>
      </c>
      <c r="N70" s="17">
        <f>ROUND(Tabela3[[#This Row],[Lucro Prev]]/10%,2)</f>
        <v>1.64</v>
      </c>
      <c r="O70" s="13">
        <f>MIN(Tabela3[[#This Row],[10% Rent]],Tabela3[[#This Row],[VPA]]*2)</f>
        <v>1.64</v>
      </c>
      <c r="P70" s="19">
        <f>Tabela3[[#This Row],[P Compra]]/Tabela3[[#This Row],[Cotação]]-1</f>
        <v>-0.59102244389027425</v>
      </c>
      <c r="Q70" s="6">
        <f>Tabela3[[#This Row],[Lucro/Ação Ano]]*Tabela3[[#This Row],[Payout]]</f>
        <v>0.16381841572015104</v>
      </c>
      <c r="R70" s="15" t="str">
        <f>IF(AND([% Yield]&gt;=10%,[PVPA]&lt;=2,[PL]&lt;=15,[PL]&gt;0),"Sim","Não")</f>
        <v>Não</v>
      </c>
      <c r="S70" s="46">
        <f>Tabela3[[#This Row],[Lucro Prev]]/Tabela3[[#This Row],[Cotação]]</f>
        <v>4.0852472748167348E-2</v>
      </c>
      <c r="T70" s="46">
        <f>(1+Tabela3[[#This Row],[% Yield]])^(1/12)-1</f>
        <v>3.3422447803632682E-3</v>
      </c>
      <c r="U70" s="14">
        <f>($AA$1/Tabela3[[#This Row],[Cotação]]-MOD($AA$1/Tabela3[[#This Row],[Cotação]],100))</f>
        <v>0</v>
      </c>
      <c r="V70" s="17">
        <f>Tabela3[[#This Row],[Ativos]]*Tabela3[[#This Row],[Lucro Prev]]</f>
        <v>0</v>
      </c>
      <c r="W70" s="13">
        <f>SUMPRODUCT(N(Tabela1[Código]=Tabela3[[#This Row],[PAPEL]]),Tabela1[Fechamento])</f>
        <v>0</v>
      </c>
      <c r="X70" s="61">
        <f>SUMPRODUCT(N(Tabela17[Código]=Tabela3[[#This Row],[PAPEL]]),Tabela17[Fechamento])</f>
        <v>4.01</v>
      </c>
    </row>
    <row r="71" spans="1:24">
      <c r="A71" s="4" t="s">
        <v>26</v>
      </c>
      <c r="B71" s="70" t="s">
        <v>286</v>
      </c>
      <c r="C71" s="15">
        <v>3</v>
      </c>
      <c r="D71" s="6">
        <v>168049000</v>
      </c>
      <c r="E71" s="6">
        <v>901000</v>
      </c>
      <c r="F71" s="42">
        <v>7680000</v>
      </c>
      <c r="G71" s="72">
        <f>Tabela3[[#This Row],[Lucro Líquido]]/Tabela3[[#This Row],[Total Ações]]</f>
        <v>0.11731770833333334</v>
      </c>
      <c r="H71" s="15">
        <f>Tabela3[[#This Row],[Lucro/Ação]]/Tabela3[[#This Row],[Ref]]*4</f>
        <v>0.15642361111111111</v>
      </c>
      <c r="I71" s="19">
        <f>IF(GETPIVOTDATA("Payout",'Tabela LL'!$A$3,"Ativo",Tabela3[[#This Row],[PAPEL]])&gt;1,1,GETPIVOTDATA("Payout",'Tabela LL'!$A$3,"Ativo",Tabela3[[#This Row],[PAPEL]]))</f>
        <v>0.72895763504872801</v>
      </c>
      <c r="J71" s="6">
        <f>[Patrimônio Líquido]/[Total Ações]</f>
        <v>21.881380208333333</v>
      </c>
      <c r="K71" s="52">
        <f>MAX(Tabela3[[#This Row],[Cotação 1]],Tabela3[[#This Row],[Cotação 2]])</f>
        <v>30.01</v>
      </c>
      <c r="L71" s="48">
        <f>[Cotação]/[VPA]</f>
        <v>1.3714856976239074</v>
      </c>
      <c r="M71" s="44">
        <f>IF(Tabela3[[#This Row],[Lucro/Ação Ano]]&gt;0,Tabela3[[#This Row],[Cotação]]/Tabela3[[#This Row],[Lucro/Ação Ano]],0)</f>
        <v>191.85083240843508</v>
      </c>
      <c r="N71" s="13">
        <f>ROUND(Tabela3[[#This Row],[Lucro Prev]]/10%,2)</f>
        <v>1.1399999999999999</v>
      </c>
      <c r="O71" s="13">
        <f>MIN(Tabela3[[#This Row],[10% Rent]],Tabela3[[#This Row],[VPA]]*2)</f>
        <v>1.1399999999999999</v>
      </c>
      <c r="P71" s="19">
        <f>Tabela3[[#This Row],[P Compra]]/Tabela3[[#This Row],[Cotação]]-1</f>
        <v>-0.96201266244585137</v>
      </c>
      <c r="Q71" s="6">
        <f>Tabela3[[#This Row],[Lucro/Ação Ano]]*Tabela3[[#This Row],[Payout]]</f>
        <v>0.11402618562133748</v>
      </c>
      <c r="R71" s="15" t="str">
        <f>IF(AND([% Yield]&gt;=10%,[PVPA]&lt;=2,[PL]&lt;=15,[PL]&gt;0),"Sim","Não")</f>
        <v>Não</v>
      </c>
      <c r="S71" s="46">
        <f>Tabela3[[#This Row],[Lucro Prev]]/Tabela3[[#This Row],[Cotação]]</f>
        <v>3.7996063186050474E-3</v>
      </c>
      <c r="T71" s="46">
        <f>(1+Tabela3[[#This Row],[% Yield]])^(1/12)-1</f>
        <v>3.1608378125014269E-4</v>
      </c>
      <c r="U71" s="14">
        <f>($AA$1/Tabela3[[#This Row],[Cotação]]-MOD($AA$1/Tabela3[[#This Row],[Cotação]],100))</f>
        <v>0</v>
      </c>
      <c r="V71" s="17">
        <f>Tabela3[[#This Row],[Ativos]]*Tabela3[[#This Row],[Lucro Prev]]</f>
        <v>0</v>
      </c>
      <c r="W71" s="13">
        <f>SUMPRODUCT(N(Tabela1[Código]=Tabela3[[#This Row],[PAPEL]]),Tabela1[Fechamento])</f>
        <v>0</v>
      </c>
      <c r="X71" s="13">
        <f>SUMPRODUCT(N(Tabela17[Código]=Tabela3[[#This Row],[PAPEL]]),Tabela17[Fechamento])</f>
        <v>30.01</v>
      </c>
    </row>
    <row r="72" spans="1:24">
      <c r="A72" s="4" t="s">
        <v>26</v>
      </c>
      <c r="B72" s="70" t="s">
        <v>287</v>
      </c>
      <c r="C72" s="15">
        <v>3</v>
      </c>
      <c r="D72" s="6">
        <v>168049000</v>
      </c>
      <c r="E72" s="6">
        <v>901000</v>
      </c>
      <c r="F72" s="42">
        <v>7680000</v>
      </c>
      <c r="G72" s="72">
        <f>Tabela3[[#This Row],[Lucro Líquido]]/Tabela3[[#This Row],[Total Ações]]</f>
        <v>0.11731770833333334</v>
      </c>
      <c r="H72" s="15">
        <f>Tabela3[[#This Row],[Lucro/Ação]]/Tabela3[[#This Row],[Ref]]*4</f>
        <v>0.15642361111111111</v>
      </c>
      <c r="I72" s="19">
        <f>IF(GETPIVOTDATA("Payout",'Tabela LL'!$A$3,"Ativo",Tabela3[[#This Row],[PAPEL]])&gt;1,1,GETPIVOTDATA("Payout",'Tabela LL'!$A$3,"Ativo",Tabela3[[#This Row],[PAPEL]]))</f>
        <v>0.80406042099383901</v>
      </c>
      <c r="J72" s="6">
        <f>[Patrimônio Líquido]/[Total Ações]</f>
        <v>21.881380208333333</v>
      </c>
      <c r="K72" s="52">
        <f>MAX(Tabela3[[#This Row],[Cotação 1]],Tabela3[[#This Row],[Cotação 2]])</f>
        <v>30.05</v>
      </c>
      <c r="L72" s="48">
        <f>[Cotação]/[VPA]</f>
        <v>1.3733137358746557</v>
      </c>
      <c r="M72" s="44">
        <f>IF(Tabela3[[#This Row],[Lucro/Ação Ano]]&gt;0,Tabela3[[#This Row],[Cotação]]/Tabela3[[#This Row],[Lucro/Ação Ano]],0)</f>
        <v>192.10654827968924</v>
      </c>
      <c r="N72" s="13">
        <f>ROUND(Tabela3[[#This Row],[Lucro Prev]]/10%,2)</f>
        <v>1.26</v>
      </c>
      <c r="O72" s="13">
        <f>MIN(Tabela3[[#This Row],[10% Rent]],Tabela3[[#This Row],[VPA]]*2)</f>
        <v>1.26</v>
      </c>
      <c r="P72" s="19">
        <f>Tabela3[[#This Row],[P Compra]]/Tabela3[[#This Row],[Cotação]]-1</f>
        <v>-0.95806988352745426</v>
      </c>
      <c r="Q72" s="6">
        <f>Tabela3[[#This Row],[Lucro/Ação Ano]]*Tabela3[[#This Row],[Payout]]</f>
        <v>0.12577403460337655</v>
      </c>
      <c r="R72" s="15" t="str">
        <f>IF(AND([% Yield]&gt;=10%,[PVPA]&lt;=2,[PL]&lt;=15,[PL]&gt;0),"Sim","Não")</f>
        <v>Não</v>
      </c>
      <c r="S72" s="46">
        <f>Tabela3[[#This Row],[Lucro Prev]]/Tabela3[[#This Row],[Cotação]]</f>
        <v>4.185492000112364E-3</v>
      </c>
      <c r="T72" s="46">
        <f>(1+Tabela3[[#This Row],[% Yield]])^(1/12)-1</f>
        <v>3.4812368040282315E-4</v>
      </c>
      <c r="U72" s="14">
        <f>($AA$1/Tabela3[[#This Row],[Cotação]]-MOD($AA$1/Tabela3[[#This Row],[Cotação]],100))</f>
        <v>0</v>
      </c>
      <c r="V72" s="17">
        <f>Tabela3[[#This Row],[Ativos]]*Tabela3[[#This Row],[Lucro Prev]]</f>
        <v>0</v>
      </c>
      <c r="W72" s="13">
        <f>SUMPRODUCT(N(Tabela1[Código]=Tabela3[[#This Row],[PAPEL]]),Tabela1[Fechamento])</f>
        <v>0</v>
      </c>
      <c r="X72" s="13">
        <f>SUMPRODUCT(N(Tabela17[Código]=Tabela3[[#This Row],[PAPEL]]),Tabela17[Fechamento])</f>
        <v>30.05</v>
      </c>
    </row>
    <row r="73" spans="1:24">
      <c r="A73" s="3" t="s">
        <v>308</v>
      </c>
      <c r="B73" s="73" t="s">
        <v>309</v>
      </c>
      <c r="C73" s="16">
        <v>3</v>
      </c>
      <c r="D73" s="5">
        <v>9543805000</v>
      </c>
      <c r="E73" s="5">
        <v>10847000</v>
      </c>
      <c r="F73" s="21">
        <v>407214353</v>
      </c>
      <c r="G73" s="71">
        <f>Tabela3[[#This Row],[Lucro Líquido]]/Tabela3[[#This Row],[Total Ações]]</f>
        <v>2.6637076812466874E-2</v>
      </c>
      <c r="H73" s="16">
        <f>Tabela3[[#This Row],[Lucro/Ação]]/Tabela3[[#This Row],[Ref]]*4</f>
        <v>3.5516102416622501E-2</v>
      </c>
      <c r="I73" s="18">
        <f>IF(GETPIVOTDATA("Payout",'Tabela LL'!$A$3,"Ativo",Tabela3[[#This Row],[PAPEL]])&gt;1,1,GETPIVOTDATA("Payout",'Tabela LL'!$A$3,"Ativo",Tabela3[[#This Row],[PAPEL]]))</f>
        <v>0.27635601621607192</v>
      </c>
      <c r="J73" s="5">
        <f>[Patrimônio Líquido]/[Total Ações]</f>
        <v>23.436808967290993</v>
      </c>
      <c r="K73" s="58">
        <f>MAX(Tabela3[[#This Row],[Cotação 1]],Tabela3[[#This Row],[Cotação 2]])</f>
        <v>38.26</v>
      </c>
      <c r="L73" s="59">
        <f>[Cotação]/[VPA]</f>
        <v>1.6324747986552532</v>
      </c>
      <c r="M73" s="40">
        <f>IF(Tabela3[[#This Row],[Lucro/Ação Ano]]&gt;0,Tabela3[[#This Row],[Cotação]]/Tabela3[[#This Row],[Lucro/Ação Ano]],0)</f>
        <v>1077.257846347838</v>
      </c>
      <c r="N73" s="7">
        <f>ROUND(Tabela3[[#This Row],[Lucro Prev]]/10%,2)</f>
        <v>0.1</v>
      </c>
      <c r="O73" s="51">
        <f>MIN(Tabela3[[#This Row],[10% Rent]],Tabela3[[#This Row],[VPA]]*2)</f>
        <v>0.1</v>
      </c>
      <c r="P73" s="18">
        <f>Tabela3[[#This Row],[P Compra]]/Tabela3[[#This Row],[Cotação]]-1</f>
        <v>-0.99738630423418717</v>
      </c>
      <c r="Q73" s="5">
        <f>Tabela3[[#This Row],[Lucro/Ação Ano]]*Tabela3[[#This Row],[Payout]]</f>
        <v>9.815088575379799E-3</v>
      </c>
      <c r="R73" s="16" t="str">
        <f>IF(AND([% Yield]&gt;=10%,[PVPA]&lt;=2,[PL]&lt;=15,[PL]&gt;0),"Sim","Não")</f>
        <v>Não</v>
      </c>
      <c r="S73" s="22">
        <f>Tabela3[[#This Row],[Lucro Prev]]/Tabela3[[#This Row],[Cotação]]</f>
        <v>2.5653655450548349E-4</v>
      </c>
      <c r="T73" s="22">
        <f>(1+Tabela3[[#This Row],[% Yield]])^(1/12)-1</f>
        <v>2.1375533006073866E-5</v>
      </c>
      <c r="U73" s="10">
        <f>($AA$1/Tabela3[[#This Row],[Cotação]]-MOD($AA$1/Tabela3[[#This Row],[Cotação]],100))</f>
        <v>0</v>
      </c>
      <c r="V73" s="7">
        <f>Tabela3[[#This Row],[Ativos]]*Tabela3[[#This Row],[Lucro Prev]]</f>
        <v>0</v>
      </c>
      <c r="W73" s="51">
        <f>SUMPRODUCT(N(Tabela1[Código]=Tabela3[[#This Row],[PAPEL]]),Tabela1[Fechamento])</f>
        <v>0</v>
      </c>
      <c r="X73" s="60">
        <f>SUMPRODUCT(N(Tabela17[Código]=Tabela3[[#This Row],[PAPEL]]),Tabela17[Fechamento])</f>
        <v>38.26</v>
      </c>
    </row>
    <row r="74" spans="1:24">
      <c r="A74" s="4" t="s">
        <v>37</v>
      </c>
      <c r="B74" s="14" t="s">
        <v>200</v>
      </c>
      <c r="C74" s="15">
        <v>3</v>
      </c>
      <c r="D74" s="6">
        <v>5136809000</v>
      </c>
      <c r="E74" s="6">
        <v>318427000</v>
      </c>
      <c r="F74" s="42">
        <v>119684430</v>
      </c>
      <c r="G74" s="15">
        <f>Tabela3[[#This Row],[Lucro Líquido]]/Tabela3[[#This Row],[Total Ações]]</f>
        <v>2.6605549276543323</v>
      </c>
      <c r="H74" s="15">
        <f>Tabela3[[#This Row],[Lucro/Ação]]/Tabela3[[#This Row],[Ref]]*4</f>
        <v>3.5474065702057764</v>
      </c>
      <c r="I74" s="19">
        <f>IF(GETPIVOTDATA("Payout",'Tabela LL'!$A$3,"Ativo",Tabela3[[#This Row],[PAPEL]])&gt;1,1,GETPIVOTDATA("Payout",'Tabela LL'!$A$3,"Ativo",Tabela3[[#This Row],[PAPEL]]))</f>
        <v>0.33954720063196125</v>
      </c>
      <c r="J74" s="6">
        <f>[Patrimônio Líquido]/[Total Ações]</f>
        <v>42.919609509775</v>
      </c>
      <c r="K74" s="52">
        <f>MAX(Tabela3[[#This Row],[Cotação 1]],Tabela3[[#This Row],[Cotação 2]])</f>
        <v>32.880000000000003</v>
      </c>
      <c r="L74" s="48">
        <f>[Cotação]/[VPA]</f>
        <v>0.76608339114808433</v>
      </c>
      <c r="M74" s="44">
        <f>IF(Tabela3[[#This Row],[Lucro/Ação Ano]]&gt;0,Tabela3[[#This Row],[Cotação]]/Tabela3[[#This Row],[Lucro/Ação Ano]],0)</f>
        <v>9.2687430519396923</v>
      </c>
      <c r="N74" s="6">
        <f>ROUND(Tabela3[[#This Row],[Lucro Prev]]/10%,2)</f>
        <v>12.05</v>
      </c>
      <c r="O74" s="61">
        <f>MIN(Tabela3[[#This Row],[10% Rent]],Tabela3[[#This Row],[VPA]]*2)</f>
        <v>12.05</v>
      </c>
      <c r="P74" s="19">
        <f>Tabela3[[#This Row],[P Compra]]/Tabela3[[#This Row],[Cotação]]-1</f>
        <v>-0.63351581508515808</v>
      </c>
      <c r="Q74" s="6">
        <f>Tabela3[[#This Row],[Lucro/Ação Ano]]*Tabela3[[#This Row],[Payout]]</f>
        <v>1.2045119704167984</v>
      </c>
      <c r="R74" s="15" t="str">
        <f>IF(AND([% Yield]&gt;=10%,[PVPA]&lt;=2,[PL]&lt;=15,[PL]&gt;0),"Sim","Não")</f>
        <v>Não</v>
      </c>
      <c r="S74" s="46">
        <f>Tabela3[[#This Row],[Lucro Prev]]/Tabela3[[#This Row],[Cotação]]</f>
        <v>3.6633575742603355E-2</v>
      </c>
      <c r="T74" s="46">
        <f>(1+Tabela3[[#This Row],[% Yield]])^(1/12)-1</f>
        <v>3.0027088350499387E-3</v>
      </c>
      <c r="U74" s="14">
        <f>($AA$1/Tabela3[[#This Row],[Cotação]]-MOD($AA$1/Tabela3[[#This Row],[Cotação]],100))</f>
        <v>0</v>
      </c>
      <c r="V74" s="17">
        <f>Tabela3[[#This Row],[Ativos]]*Tabela3[[#This Row],[Lucro Prev]]</f>
        <v>0</v>
      </c>
      <c r="W74" s="5">
        <f>SUMPRODUCT(N(Tabela1[Código]=Tabela3[[#This Row],[PAPEL]]),Tabela1[Fechamento])</f>
        <v>32.880000000000003</v>
      </c>
      <c r="X74" s="5">
        <f>SUMPRODUCT(N(Tabela17[Código]=Tabela3[[#This Row],[PAPEL]]),Tabela17[Fechamento])</f>
        <v>0</v>
      </c>
    </row>
    <row r="75" spans="1:24">
      <c r="A75" s="4" t="s">
        <v>12</v>
      </c>
      <c r="B75" s="14" t="s">
        <v>103</v>
      </c>
      <c r="C75" s="15">
        <v>3</v>
      </c>
      <c r="D75" s="6">
        <v>884793000</v>
      </c>
      <c r="E75" s="6">
        <v>154604000</v>
      </c>
      <c r="F75" s="42">
        <v>168074028</v>
      </c>
      <c r="G75" s="15">
        <f>Tabela3[[#This Row],[Lucro Líquido]]/Tabela3[[#This Row],[Total Ações]]</f>
        <v>0.91985657653186015</v>
      </c>
      <c r="H75" s="15">
        <f>Tabela3[[#This Row],[Lucro/Ação]]/Tabela3[[#This Row],[Ref]]*4</f>
        <v>1.2264754353758136</v>
      </c>
      <c r="I75" s="19">
        <f>IF(GETPIVOTDATA("Payout",'Tabela LL'!$A$3,"Ativo",Tabela3[[#This Row],[PAPEL]])&gt;1,1,GETPIVOTDATA("Payout",'Tabela LL'!$A$3,"Ativo",Tabela3[[#This Row],[PAPEL]]))</f>
        <v>0.59725401518756449</v>
      </c>
      <c r="J75" s="6">
        <f>[Patrimônio Líquido]/[Total Ações]</f>
        <v>5.2643053214622784</v>
      </c>
      <c r="K75" s="52">
        <f>MAX(Tabela3[[#This Row],[Cotação 1]],Tabela3[[#This Row],[Cotação 2]])</f>
        <v>9.5</v>
      </c>
      <c r="L75" s="48">
        <f>[Cotação]/[VPA]</f>
        <v>1.8046065757753509</v>
      </c>
      <c r="M75" s="44">
        <f>IF(Tabela3[[#This Row],[Lucro/Ação Ano]]&gt;0,Tabela3[[#This Row],[Cotação]]/Tabela3[[#This Row],[Lucro/Ação Ano]],0)</f>
        <v>7.745772745207109</v>
      </c>
      <c r="N75" s="6">
        <f>ROUND(Tabela3[[#This Row],[Lucro Prev]]/10%,2)</f>
        <v>7.33</v>
      </c>
      <c r="O75" s="61">
        <f>MIN(Tabela3[[#This Row],[10% Rent]],Tabela3[[#This Row],[VPA]]*2)</f>
        <v>7.33</v>
      </c>
      <c r="P75" s="19">
        <f>Tabela3[[#This Row],[P Compra]]/Tabela3[[#This Row],[Cotação]]-1</f>
        <v>-0.22842105263157897</v>
      </c>
      <c r="Q75" s="6">
        <f>Tabela3[[#This Row],[Lucro/Ação Ano]]*Tabela3[[#This Row],[Payout]]</f>
        <v>0.73251737830712094</v>
      </c>
      <c r="R75" s="15" t="str">
        <f>IF(AND([% Yield]&gt;=10%,[PVPA]&lt;=2,[PL]&lt;=15,[PL]&gt;0),"Sim","Não")</f>
        <v>Não</v>
      </c>
      <c r="S75" s="46">
        <f>Tabela3[[#This Row],[Lucro Prev]]/Tabela3[[#This Row],[Cotação]]</f>
        <v>7.7107092453381154E-2</v>
      </c>
      <c r="T75" s="46">
        <f>(1+Tabela3[[#This Row],[% Yield]])^(1/12)-1</f>
        <v>6.2090994615682238E-3</v>
      </c>
      <c r="U75" s="14">
        <f>($AA$1/Tabela3[[#This Row],[Cotação]]-MOD($AA$1/Tabela3[[#This Row],[Cotação]],100))</f>
        <v>0</v>
      </c>
      <c r="V75" s="17">
        <f>Tabela3[[#This Row],[Ativos]]*Tabela3[[#This Row],[Lucro Prev]]</f>
        <v>0</v>
      </c>
      <c r="W75" s="5">
        <f>SUMPRODUCT(N(Tabela1[Código]=Tabela3[[#This Row],[PAPEL]]),Tabela1[Fechamento])</f>
        <v>9.5</v>
      </c>
      <c r="X75" s="5">
        <f>SUMPRODUCT(N(Tabela17[Código]=Tabela3[[#This Row],[PAPEL]]),Tabela17[Fechamento])</f>
        <v>0</v>
      </c>
    </row>
    <row r="76" spans="1:24">
      <c r="A76" s="4" t="s">
        <v>12</v>
      </c>
      <c r="B76" s="14" t="s">
        <v>104</v>
      </c>
      <c r="C76" s="15">
        <v>3</v>
      </c>
      <c r="D76" s="6">
        <v>884793000</v>
      </c>
      <c r="E76" s="6">
        <v>154604000</v>
      </c>
      <c r="F76" s="42">
        <v>168074028</v>
      </c>
      <c r="G76" s="15">
        <f>Tabela3[[#This Row],[Lucro Líquido]]/Tabela3[[#This Row],[Total Ações]]</f>
        <v>0.91985657653186015</v>
      </c>
      <c r="H76" s="15">
        <f>Tabela3[[#This Row],[Lucro/Ação]]/Tabela3[[#This Row],[Ref]]*4</f>
        <v>1.2264754353758136</v>
      </c>
      <c r="I76" s="19">
        <f>IF(GETPIVOTDATA("Payout",'Tabela LL'!$A$3,"Ativo",Tabela3[[#This Row],[PAPEL]])&gt;1,1,GETPIVOTDATA("Payout",'Tabela LL'!$A$3,"Ativo",Tabela3[[#This Row],[PAPEL]]))</f>
        <v>0.65697940671349686</v>
      </c>
      <c r="J76" s="6">
        <f>[Patrimônio Líquido]/[Total Ações]</f>
        <v>5.2643053214622784</v>
      </c>
      <c r="K76" s="52">
        <f>MAX(Tabela3[[#This Row],[Cotação 1]],Tabela3[[#This Row],[Cotação 2]])</f>
        <v>10.119999999999999</v>
      </c>
      <c r="L76" s="48">
        <f>[Cotação]/[VPA]</f>
        <v>1.9223808996680578</v>
      </c>
      <c r="M76" s="44">
        <f>IF(Tabela3[[#This Row],[Lucro/Ação Ano]]&gt;0,Tabela3[[#This Row],[Cotação]]/Tabela3[[#This Row],[Lucro/Ação Ano]],0)</f>
        <v>8.25128633489431</v>
      </c>
      <c r="N76" s="6">
        <f>ROUND(Tabela3[[#This Row],[Lucro Prev]]/10%,2)</f>
        <v>8.06</v>
      </c>
      <c r="O76" s="61">
        <f>MIN(Tabela3[[#This Row],[10% Rent]],Tabela3[[#This Row],[VPA]]*2)</f>
        <v>8.06</v>
      </c>
      <c r="P76" s="19">
        <f>Tabela3[[#This Row],[P Compra]]/Tabela3[[#This Row],[Cotação]]-1</f>
        <v>-0.20355731225296436</v>
      </c>
      <c r="Q76" s="6">
        <f>Tabela3[[#This Row],[Lucro/Ação Ano]]*Tabela3[[#This Row],[Payout]]</f>
        <v>0.80576910388187983</v>
      </c>
      <c r="R76" s="15" t="str">
        <f>IF(AND([% Yield]&gt;=10%,[PVPA]&lt;=2,[PL]&lt;=15,[PL]&gt;0),"Sim","Não")</f>
        <v>Não</v>
      </c>
      <c r="S76" s="46">
        <f>Tabela3[[#This Row],[Lucro Prev]]/Tabela3[[#This Row],[Cotação]]</f>
        <v>7.9621452952754926E-2</v>
      </c>
      <c r="T76" s="46">
        <f>(1+Tabela3[[#This Row],[% Yield]])^(1/12)-1</f>
        <v>6.4046285784860046E-3</v>
      </c>
      <c r="U76" s="14">
        <f>($AA$1/Tabela3[[#This Row],[Cotação]]-MOD($AA$1/Tabela3[[#This Row],[Cotação]],100))</f>
        <v>0</v>
      </c>
      <c r="V76" s="17">
        <f>Tabela3[[#This Row],[Ativos]]*Tabela3[[#This Row],[Lucro Prev]]</f>
        <v>0</v>
      </c>
      <c r="W76" s="5">
        <f>SUMPRODUCT(N(Tabela1[Código]=Tabela3[[#This Row],[PAPEL]]),Tabela1[Fechamento])</f>
        <v>10.119999999999999</v>
      </c>
      <c r="X76" s="5">
        <f>SUMPRODUCT(N(Tabela17[Código]=Tabela3[[#This Row],[PAPEL]]),Tabela17[Fechamento])</f>
        <v>0</v>
      </c>
    </row>
    <row r="77" spans="1:24">
      <c r="A77" s="4" t="s">
        <v>12</v>
      </c>
      <c r="B77" s="14" t="s">
        <v>71</v>
      </c>
      <c r="C77" s="15">
        <v>3</v>
      </c>
      <c r="D77" s="6">
        <v>884793000</v>
      </c>
      <c r="E77" s="6">
        <v>154604000</v>
      </c>
      <c r="F77" s="42">
        <v>168074028</v>
      </c>
      <c r="G77" s="15">
        <f>Tabela3[[#This Row],[Lucro Líquido]]/Tabela3[[#This Row],[Total Ações]]</f>
        <v>0.91985657653186015</v>
      </c>
      <c r="H77" s="15">
        <f>Tabela3[[#This Row],[Lucro/Ação]]/Tabela3[[#This Row],[Ref]]*4</f>
        <v>1.2264754353758136</v>
      </c>
      <c r="I77" s="19">
        <f>IF(GETPIVOTDATA("Payout",'Tabela LL'!$A$3,"Ativo",Tabela3[[#This Row],[PAPEL]])&gt;1,1,GETPIVOTDATA("Payout",'Tabela LL'!$A$3,"Ativo",Tabela3[[#This Row],[PAPEL]]))</f>
        <v>0.65697940671349686</v>
      </c>
      <c r="J77" s="6">
        <f>[Patrimônio Líquido]/[Total Ações]</f>
        <v>5.2643053214622784</v>
      </c>
      <c r="K77" s="52">
        <f>MAX(Tabela3[[#This Row],[Cotação 1]],Tabela3[[#This Row],[Cotação 2]])</f>
        <v>9</v>
      </c>
      <c r="L77" s="48">
        <f>[Cotação]/[VPA]</f>
        <v>1.7096272823134904</v>
      </c>
      <c r="M77" s="44">
        <f>IF(Tabela3[[#This Row],[Lucro/Ação Ano]]&gt;0,Tabela3[[#This Row],[Cotação]]/Tabela3[[#This Row],[Lucro/Ação Ano]],0)</f>
        <v>7.3381004954593667</v>
      </c>
      <c r="N77" s="6">
        <f>ROUND(Tabela3[[#This Row],[Lucro Prev]]/10%,2)</f>
        <v>8.06</v>
      </c>
      <c r="O77" s="17">
        <f>MIN(Tabela3[[#This Row],[10% Rent]],Tabela3[[#This Row],[VPA]]*2)</f>
        <v>8.06</v>
      </c>
      <c r="P77" s="19">
        <f>Tabela3[[#This Row],[P Compra]]/Tabela3[[#This Row],[Cotação]]-1</f>
        <v>-0.10444444444444434</v>
      </c>
      <c r="Q77" s="6">
        <f>Tabela3[[#This Row],[Lucro/Ação Ano]]*Tabela3[[#This Row],[Payout]]</f>
        <v>0.80576910388187983</v>
      </c>
      <c r="R77" s="14" t="str">
        <f>IF(AND([% Yield]&gt;=10%,[PVPA]&lt;=2,[PL]&lt;=15,[PL]&gt;0),"Sim","Não")</f>
        <v>Não</v>
      </c>
      <c r="S77" s="46">
        <f>Tabela3[[#This Row],[Lucro Prev]]/Tabela3[[#This Row],[Cotação]]</f>
        <v>8.9529900431319975E-2</v>
      </c>
      <c r="T77" s="46">
        <f>(1+Tabela3[[#This Row],[% Yield]])^(1/12)-1</f>
        <v>7.1711167909647155E-3</v>
      </c>
      <c r="U77" s="14">
        <f>($AA$1/Tabela3[[#This Row],[Cotação]]-MOD($AA$1/Tabela3[[#This Row],[Cotação]],100))</f>
        <v>0</v>
      </c>
      <c r="V77" s="17">
        <f>Tabela3[[#This Row],[Ativos]]*Tabela3[[#This Row],[Lucro Prev]]</f>
        <v>0</v>
      </c>
      <c r="W77" s="5">
        <f>SUMPRODUCT(N(Tabela1[Código]=Tabela3[[#This Row],[PAPEL]]),Tabela1[Fechamento])</f>
        <v>9</v>
      </c>
      <c r="X77" s="5">
        <f>SUMPRODUCT(N(Tabela17[Código]=Tabela3[[#This Row],[PAPEL]]),Tabela17[Fechamento])</f>
        <v>0</v>
      </c>
    </row>
    <row r="78" spans="1:24">
      <c r="A78" s="4" t="s">
        <v>445</v>
      </c>
      <c r="B78" s="70" t="s">
        <v>447</v>
      </c>
      <c r="C78" s="15">
        <v>3</v>
      </c>
      <c r="D78" s="6">
        <v>1632971000</v>
      </c>
      <c r="E78" s="6">
        <v>264743000</v>
      </c>
      <c r="F78" s="42">
        <v>260378479</v>
      </c>
      <c r="G78" s="15">
        <f>Tabela3[[#This Row],[Lucro Líquido]]/Tabela3[[#This Row],[Total Ações]]</f>
        <v>1.0167622186624725</v>
      </c>
      <c r="H78" s="15">
        <f>Tabela3[[#This Row],[Lucro/Ação]]/Tabela3[[#This Row],[Ref]]*4</f>
        <v>1.3556829582166301</v>
      </c>
      <c r="I78" s="19">
        <f>IF(GETPIVOTDATA("Payout",'Tabela LL'!$A$3,"Ativo",Tabela3[[#This Row],[PAPEL]])&gt;1,1,GETPIVOTDATA("Payout",'Tabela LL'!$A$3,"Ativo",Tabela3[[#This Row],[PAPEL]]))</f>
        <v>0.56851660076308341</v>
      </c>
      <c r="J78" s="6">
        <f>[Patrimônio Líquido]/[Total Ações]</f>
        <v>6.2715283009238254</v>
      </c>
      <c r="K78" s="52">
        <f>MAX(Tabela3[[#This Row],[Cotação 1]],Tabela3[[#This Row],[Cotação 2]])</f>
        <v>23.41</v>
      </c>
      <c r="L78" s="48">
        <f>[Cotação]/[VPA]</f>
        <v>3.7327424635158861</v>
      </c>
      <c r="M78" s="44">
        <f>IF(Tabela3[[#This Row],[Lucro/Ação Ano]]&gt;0,Tabela3[[#This Row],[Cotação]]/Tabela3[[#This Row],[Lucro/Ação Ano]],0)</f>
        <v>17.268049183708349</v>
      </c>
      <c r="N78" s="17">
        <f>ROUND(Tabela3[[#This Row],[Lucro Prev]]/10%,2)</f>
        <v>7.71</v>
      </c>
      <c r="O78" s="13">
        <f>MIN(Tabela3[[#This Row],[10% Rent]],Tabela3[[#This Row],[VPA]]*2)</f>
        <v>7.71</v>
      </c>
      <c r="P78" s="19">
        <f>Tabela3[[#This Row],[P Compra]]/Tabela3[[#This Row],[Cotação]]-1</f>
        <v>-0.6706535668517728</v>
      </c>
      <c r="Q78" s="6">
        <f>Tabela3[[#This Row],[Lucro/Ação Ano]]*Tabela3[[#This Row],[Payout]]</f>
        <v>0.77072826711775977</v>
      </c>
      <c r="R78" s="15" t="str">
        <f>IF(AND([% Yield]&gt;=10%,[PVPA]&lt;=2,[PL]&lt;=15,[PL]&gt;0),"Sim","Não")</f>
        <v>Não</v>
      </c>
      <c r="S78" s="46">
        <f>Tabela3[[#This Row],[Lucro Prev]]/Tabela3[[#This Row],[Cotação]]</f>
        <v>3.2923035758981624E-2</v>
      </c>
      <c r="T78" s="46">
        <f>(1+Tabela3[[#This Row],[% Yield]])^(1/12)-1</f>
        <v>2.7030367844336212E-3</v>
      </c>
      <c r="U78" s="14">
        <f>($AA$1/Tabela3[[#This Row],[Cotação]]-MOD($AA$1/Tabela3[[#This Row],[Cotação]],100))</f>
        <v>0</v>
      </c>
      <c r="V78" s="17">
        <f>Tabela3[[#This Row],[Ativos]]*Tabela3[[#This Row],[Lucro Prev]]</f>
        <v>0</v>
      </c>
      <c r="W78" s="13">
        <f>SUMPRODUCT(N(Tabela1[Código]=Tabela3[[#This Row],[PAPEL]]),Tabela1[Fechamento])</f>
        <v>0</v>
      </c>
      <c r="X78" s="61">
        <f>SUMPRODUCT(N(Tabela17[Código]=Tabela3[[#This Row],[PAPEL]]),Tabela17[Fechamento])</f>
        <v>23.41</v>
      </c>
    </row>
    <row r="79" spans="1:24">
      <c r="A79" s="4" t="s">
        <v>14</v>
      </c>
      <c r="B79" s="14" t="s">
        <v>15</v>
      </c>
      <c r="C79" s="15">
        <v>3</v>
      </c>
      <c r="D79" s="6">
        <v>2365276000</v>
      </c>
      <c r="E79" s="6">
        <v>168016000</v>
      </c>
      <c r="F79" s="42">
        <v>243051520</v>
      </c>
      <c r="G79" s="15">
        <f>Tabela3[[#This Row],[Lucro Líquido]]/Tabela3[[#This Row],[Total Ações]]</f>
        <v>0.6912773061448042</v>
      </c>
      <c r="H79" s="15">
        <f>Tabela3[[#This Row],[Lucro/Ação]]/Tabela3[[#This Row],[Ref]]*4</f>
        <v>0.9217030748597389</v>
      </c>
      <c r="I79" s="19">
        <f>IF(GETPIVOTDATA("Payout",'Tabela LL'!$A$3,"Ativo",Tabela3[[#This Row],[PAPEL]])&gt;1,1,GETPIVOTDATA("Payout",'Tabela LL'!$A$3,"Ativo",Tabela3[[#This Row],[PAPEL]]))</f>
        <v>0.50462500883942174</v>
      </c>
      <c r="J79" s="6">
        <f>[Patrimônio Líquido]/[Total Ações]</f>
        <v>9.7315828347833406</v>
      </c>
      <c r="K79" s="52">
        <f>MAX(Tabela3[[#This Row],[Cotação 1]],Tabela3[[#This Row],[Cotação 2]])</f>
        <v>7.78</v>
      </c>
      <c r="L79" s="48">
        <f>[Cotação]/[VPA]</f>
        <v>0.79945884776237541</v>
      </c>
      <c r="M79" s="44">
        <f>IF(Tabela3[[#This Row],[Lucro/Ação Ano]]&gt;0,Tabela3[[#This Row],[Cotação]]/Tabela3[[#This Row],[Lucro/Ação Ano]],0)</f>
        <v>8.4408962194076764</v>
      </c>
      <c r="N79" s="6">
        <f>ROUND(Tabela3[[#This Row],[Lucro Prev]]/10%,2)</f>
        <v>4.6500000000000004</v>
      </c>
      <c r="O79" s="61">
        <f>MIN(Tabela3[[#This Row],[10% Rent]],Tabela3[[#This Row],[VPA]]*2)</f>
        <v>4.6500000000000004</v>
      </c>
      <c r="P79" s="19">
        <f>Tabela3[[#This Row],[P Compra]]/Tabela3[[#This Row],[Cotação]]-1</f>
        <v>-0.40231362467866316</v>
      </c>
      <c r="Q79" s="6">
        <f>Tabela3[[#This Row],[Lucro/Ação Ano]]*Tabela3[[#This Row],[Payout]]</f>
        <v>0.46511442229841793</v>
      </c>
      <c r="R79" s="15" t="str">
        <f>IF(AND([% Yield]&gt;=10%,[PVPA]&lt;=2,[PL]&lt;=15,[PL]&gt;0),"Sim","Não")</f>
        <v>Não</v>
      </c>
      <c r="S79" s="46">
        <f>Tabela3[[#This Row],[Lucro Prev]]/Tabela3[[#This Row],[Cotação]]</f>
        <v>5.978334476843418E-2</v>
      </c>
      <c r="T79" s="46">
        <f>(1+Tabela3[[#This Row],[% Yield]])^(1/12)-1</f>
        <v>4.8504334105097247E-3</v>
      </c>
      <c r="U79" s="14">
        <f>($AA$1/Tabela3[[#This Row],[Cotação]]-MOD($AA$1/Tabela3[[#This Row],[Cotação]],100))</f>
        <v>0</v>
      </c>
      <c r="V79" s="17">
        <f>Tabela3[[#This Row],[Ativos]]*Tabela3[[#This Row],[Lucro Prev]]</f>
        <v>0</v>
      </c>
      <c r="W79" s="5">
        <f>SUMPRODUCT(N(Tabela1[Código]=Tabela3[[#This Row],[PAPEL]]),Tabela1[Fechamento])</f>
        <v>7.78</v>
      </c>
      <c r="X79" s="5">
        <f>SUMPRODUCT(N(Tabela17[Código]=Tabela3[[#This Row],[PAPEL]]),Tabela17[Fechamento])</f>
        <v>0</v>
      </c>
    </row>
    <row r="80" spans="1:24">
      <c r="A80" s="4" t="s">
        <v>369</v>
      </c>
      <c r="B80" s="70" t="s">
        <v>368</v>
      </c>
      <c r="C80" s="15">
        <v>3</v>
      </c>
      <c r="D80" s="6">
        <v>4373556000</v>
      </c>
      <c r="E80" s="6">
        <v>449642000</v>
      </c>
      <c r="F80" s="42">
        <v>605059489</v>
      </c>
      <c r="G80" s="72">
        <f>Tabela3[[#This Row],[Lucro Líquido]]/Tabela3[[#This Row],[Total Ações]]</f>
        <v>0.7431368455077646</v>
      </c>
      <c r="H80" s="15">
        <f>Tabela3[[#This Row],[Lucro/Ação]]/Tabela3[[#This Row],[Ref]]*4</f>
        <v>0.99084912734368613</v>
      </c>
      <c r="I80" s="19">
        <f>IF(GETPIVOTDATA("Payout",'Tabela LL'!$A$3,"Ativo",Tabela3[[#This Row],[PAPEL]])&gt;1,1,GETPIVOTDATA("Payout",'Tabela LL'!$A$3,"Ativo",Tabela3[[#This Row],[PAPEL]]))</f>
        <v>0.3688272793184682</v>
      </c>
      <c r="J80" s="6">
        <f>[Patrimônio Líquido]/[Total Ações]</f>
        <v>7.2283074301145289</v>
      </c>
      <c r="K80" s="52">
        <f>MAX(Tabela3[[#This Row],[Cotação 1]],Tabela3[[#This Row],[Cotação 2]])</f>
        <v>12.54</v>
      </c>
      <c r="L80" s="48">
        <f>[Cotação]/[VPA]</f>
        <v>1.7348459679171822</v>
      </c>
      <c r="M80" s="44">
        <f>IF(Tabela3[[#This Row],[Lucro/Ação Ano]]&gt;0,Tabela3[[#This Row],[Cotação]]/Tabela3[[#This Row],[Lucro/Ação Ano]],0)</f>
        <v>12.655811721425044</v>
      </c>
      <c r="N80" s="17">
        <f>ROUND(Tabela3[[#This Row],[Lucro Prev]]/10%,2)</f>
        <v>3.65</v>
      </c>
      <c r="O80" s="13">
        <f>MIN(Tabela3[[#This Row],[10% Rent]],Tabela3[[#This Row],[VPA]]*2)</f>
        <v>3.65</v>
      </c>
      <c r="P80" s="19">
        <f>Tabela3[[#This Row],[P Compra]]/Tabela3[[#This Row],[Cotação]]-1</f>
        <v>-0.70893141945773519</v>
      </c>
      <c r="Q80" s="6">
        <f>Tabela3[[#This Row],[Lucro/Ação Ano]]*Tabela3[[#This Row],[Payout]]</f>
        <v>0.36545218785325018</v>
      </c>
      <c r="R80" s="15" t="str">
        <f>IF(AND([% Yield]&gt;=10%,[PVPA]&lt;=2,[PL]&lt;=15,[PL]&gt;0),"Sim","Não")</f>
        <v>Não</v>
      </c>
      <c r="S80" s="46">
        <f>Tabela3[[#This Row],[Lucro Prev]]/Tabela3[[#This Row],[Cotação]]</f>
        <v>2.9142917691646748E-2</v>
      </c>
      <c r="T80" s="46">
        <f>(1+Tabela3[[#This Row],[% Yield]])^(1/12)-1</f>
        <v>2.3967289983768403E-3</v>
      </c>
      <c r="U80" s="14">
        <f>($AA$1/Tabela3[[#This Row],[Cotação]]-MOD($AA$1/Tabela3[[#This Row],[Cotação]],100))</f>
        <v>0</v>
      </c>
      <c r="V80" s="17">
        <f>Tabela3[[#This Row],[Ativos]]*Tabela3[[#This Row],[Lucro Prev]]</f>
        <v>0</v>
      </c>
      <c r="W80" s="13">
        <f>SUMPRODUCT(N(Tabela1[Código]=Tabela3[[#This Row],[PAPEL]]),Tabela1[Fechamento])</f>
        <v>0</v>
      </c>
      <c r="X80" s="61">
        <f>SUMPRODUCT(N(Tabela17[Código]=Tabela3[[#This Row],[PAPEL]]),Tabela17[Fechamento])</f>
        <v>12.54</v>
      </c>
    </row>
    <row r="81" spans="1:24">
      <c r="A81" s="4" t="s">
        <v>332</v>
      </c>
      <c r="B81" s="70" t="s">
        <v>456</v>
      </c>
      <c r="C81" s="15">
        <v>3</v>
      </c>
      <c r="D81" s="6">
        <v>11657711000</v>
      </c>
      <c r="E81" s="6">
        <v>411188000</v>
      </c>
      <c r="F81" s="42">
        <v>1231364363</v>
      </c>
      <c r="G81" s="15">
        <f>Tabela3[[#This Row],[Lucro Líquido]]/Tabela3[[#This Row],[Total Ações]]</f>
        <v>0.33392878042873814</v>
      </c>
      <c r="H81" s="15">
        <f>Tabela3[[#This Row],[Lucro/Ação]]/Tabela3[[#This Row],[Ref]]*4</f>
        <v>0.44523837390498416</v>
      </c>
      <c r="I81" s="19">
        <f>IF(GETPIVOTDATA("Payout",'Tabela LL'!$A$3,"Ativo",Tabela3[[#This Row],[PAPEL]])&gt;1,1,GETPIVOTDATA("Payout",'Tabela LL'!$A$3,"Ativo",Tabela3[[#This Row],[PAPEL]]))</f>
        <v>0.70741378984472159</v>
      </c>
      <c r="J81" s="6">
        <f>[Patrimônio Líquido]/[Total Ações]</f>
        <v>9.4673123165575976</v>
      </c>
      <c r="K81" s="52">
        <f>MAX(Tabela3[[#This Row],[Cotação 1]],Tabela3[[#This Row],[Cotação 2]])</f>
        <v>8.9600000000000009</v>
      </c>
      <c r="L81" s="48">
        <f>[Cotação]/[VPA]</f>
        <v>0.94641432546063298</v>
      </c>
      <c r="M81" s="44">
        <f>IF(Tabela3[[#This Row],[Lucro/Ação Ano]]&gt;0,Tabela3[[#This Row],[Cotação]]/Tabela3[[#This Row],[Lucro/Ação Ano]],0)</f>
        <v>20.1240515758242</v>
      </c>
      <c r="N81" s="17">
        <f>ROUND(Tabela3[[#This Row],[Lucro Prev]]/10%,2)</f>
        <v>3.15</v>
      </c>
      <c r="O81" s="13">
        <f>MIN(Tabela3[[#This Row],[10% Rent]],Tabela3[[#This Row],[VPA]]*2)</f>
        <v>3.15</v>
      </c>
      <c r="P81" s="19">
        <f>Tabela3[[#This Row],[P Compra]]/Tabela3[[#This Row],[Cotação]]-1</f>
        <v>-0.6484375</v>
      </c>
      <c r="Q81" s="6">
        <f>Tabela3[[#This Row],[Lucro/Ação Ano]]*Tabela3[[#This Row],[Payout]]</f>
        <v>0.31496776546842603</v>
      </c>
      <c r="R81" s="15" t="str">
        <f>IF(AND([% Yield]&gt;=10%,[PVPA]&lt;=2,[PL]&lt;=15,[PL]&gt;0),"Sim","Não")</f>
        <v>Não</v>
      </c>
      <c r="S81" s="46">
        <f>Tabela3[[#This Row],[Lucro Prev]]/Tabela3[[#This Row],[Cotação]]</f>
        <v>3.5152652396029688E-2</v>
      </c>
      <c r="T81" s="46">
        <f>(1+Tabela3[[#This Row],[% Yield]])^(1/12)-1</f>
        <v>2.8832240248488628E-3</v>
      </c>
      <c r="U81" s="14">
        <f>($AA$1/Tabela3[[#This Row],[Cotação]]-MOD($AA$1/Tabela3[[#This Row],[Cotação]],100))</f>
        <v>0</v>
      </c>
      <c r="V81" s="13">
        <f>Tabela3[[#This Row],[Ativos]]*Tabela3[[#This Row],[Lucro Prev]]</f>
        <v>0</v>
      </c>
      <c r="W81" s="61">
        <f>SUMPRODUCT(N(Tabela1[Código]=Tabela3[[#This Row],[PAPEL]]),Tabela1[Fechamento])</f>
        <v>0</v>
      </c>
      <c r="X81" s="17">
        <f>SUMPRODUCT(N(Tabela17[Código]=Tabela3[[#This Row],[PAPEL]]),Tabela17[Fechamento])</f>
        <v>8.9600000000000009</v>
      </c>
    </row>
    <row r="82" spans="1:24">
      <c r="A82" s="4" t="s">
        <v>12</v>
      </c>
      <c r="B82" s="14" t="s">
        <v>105</v>
      </c>
      <c r="C82" s="15">
        <v>3</v>
      </c>
      <c r="D82" s="6">
        <v>1791505000</v>
      </c>
      <c r="E82" s="6">
        <v>-38094000</v>
      </c>
      <c r="F82" s="42">
        <v>387229828</v>
      </c>
      <c r="G82" s="15">
        <f>Tabela3[[#This Row],[Lucro Líquido]]/Tabela3[[#This Row],[Total Ações]]</f>
        <v>-9.8375686079637439E-2</v>
      </c>
      <c r="H82" s="15">
        <f>Tabela3[[#This Row],[Lucro/Ação]]/Tabela3[[#This Row],[Ref]]*4</f>
        <v>-0.1311675814395166</v>
      </c>
      <c r="I82" s="19">
        <f>IF(GETPIVOTDATA("Payout",'Tabela LL'!$A$3,"Ativo",Tabela3[[#This Row],[PAPEL]])&gt;1,1,GETPIVOTDATA("Payout",'Tabela LL'!$A$3,"Ativo",Tabela3[[#This Row],[PAPEL]]))</f>
        <v>0.43917014853198871</v>
      </c>
      <c r="J82" s="6">
        <f>[Patrimônio Líquido]/[Total Ações]</f>
        <v>4.6264643642069849</v>
      </c>
      <c r="K82" s="52">
        <f>MAX(Tabela3[[#This Row],[Cotação 1]],Tabela3[[#This Row],[Cotação 2]])</f>
        <v>1.4</v>
      </c>
      <c r="L82" s="48">
        <f>[Cotação]/[VPA]</f>
        <v>0.30260689152416542</v>
      </c>
      <c r="M82" s="44">
        <f>IF(Tabela3[[#This Row],[Lucro/Ação Ano]]&gt;0,Tabela3[[#This Row],[Cotação]]/Tabela3[[#This Row],[Lucro/Ação Ano]],0)</f>
        <v>0</v>
      </c>
      <c r="N82" s="6">
        <f>ROUND(Tabela3[[#This Row],[Lucro Prev]]/10%,2)</f>
        <v>-0.57999999999999996</v>
      </c>
      <c r="O82" s="61">
        <f>MIN(Tabela3[[#This Row],[10% Rent]],Tabela3[[#This Row],[VPA]]*2)</f>
        <v>-0.57999999999999996</v>
      </c>
      <c r="P82" s="19">
        <f>Tabela3[[#This Row],[P Compra]]/Tabela3[[#This Row],[Cotação]]-1</f>
        <v>-1.4142857142857141</v>
      </c>
      <c r="Q82" s="6">
        <f>Tabela3[[#This Row],[Lucro/Ação Ano]]*Tabela3[[#This Row],[Payout]]</f>
        <v>-5.760488622337423E-2</v>
      </c>
      <c r="R82" s="15" t="str">
        <f>IF(AND([% Yield]&gt;=10%,[PVPA]&lt;=2,[PL]&lt;=15,[PL]&gt;0),"Sim","Não")</f>
        <v>Não</v>
      </c>
      <c r="S82" s="46">
        <f>Tabela3[[#This Row],[Lucro Prev]]/Tabela3[[#This Row],[Cotação]]</f>
        <v>-4.1146347302410166E-2</v>
      </c>
      <c r="T82" s="46">
        <f>(1+Tabela3[[#This Row],[% Yield]])^(1/12)-1</f>
        <v>-3.4952788924970113E-3</v>
      </c>
      <c r="U82" s="14">
        <f>($AA$1/Tabela3[[#This Row],[Cotação]]-MOD($AA$1/Tabela3[[#This Row],[Cotação]],100))</f>
        <v>200</v>
      </c>
      <c r="V82" s="17">
        <f>Tabela3[[#This Row],[Ativos]]*Tabela3[[#This Row],[Lucro Prev]]</f>
        <v>-11.520977244674846</v>
      </c>
      <c r="W82" s="5">
        <f>SUMPRODUCT(N(Tabela1[Código]=Tabela3[[#This Row],[PAPEL]]),Tabela1[Fechamento])</f>
        <v>1.4</v>
      </c>
      <c r="X82" s="5">
        <f>SUMPRODUCT(N(Tabela17[Código]=Tabela3[[#This Row],[PAPEL]]),Tabela17[Fechamento])</f>
        <v>0</v>
      </c>
    </row>
    <row r="83" spans="1:24">
      <c r="A83" s="4" t="s">
        <v>12</v>
      </c>
      <c r="B83" s="14" t="s">
        <v>106</v>
      </c>
      <c r="C83" s="15">
        <v>3</v>
      </c>
      <c r="D83" s="6">
        <v>1791505000</v>
      </c>
      <c r="E83" s="6">
        <v>-38094000</v>
      </c>
      <c r="F83" s="42">
        <v>387229828</v>
      </c>
      <c r="G83" s="15">
        <f>Tabela3[[#This Row],[Lucro Líquido]]/Tabela3[[#This Row],[Total Ações]]</f>
        <v>-9.8375686079637439E-2</v>
      </c>
      <c r="H83" s="15">
        <f>Tabela3[[#This Row],[Lucro/Ação]]/Tabela3[[#This Row],[Ref]]*4</f>
        <v>-0.1311675814395166</v>
      </c>
      <c r="I83" s="19">
        <f>IF(GETPIVOTDATA("Payout",'Tabela LL'!$A$3,"Ativo",Tabela3[[#This Row],[PAPEL]])&gt;1,1,GETPIVOTDATA("Payout",'Tabela LL'!$A$3,"Ativo",Tabela3[[#This Row],[PAPEL]]))</f>
        <v>0.43917014853198871</v>
      </c>
      <c r="J83" s="6">
        <f>[Patrimônio Líquido]/[Total Ações]</f>
        <v>4.6264643642069849</v>
      </c>
      <c r="K83" s="52">
        <f>MAX(Tabela3[[#This Row],[Cotação 1]],Tabela3[[#This Row],[Cotação 2]])</f>
        <v>1.85</v>
      </c>
      <c r="L83" s="48">
        <f>[Cotação]/[VPA]</f>
        <v>0.39987339237121861</v>
      </c>
      <c r="M83" s="44">
        <f>IF(Tabela3[[#This Row],[Lucro/Ação Ano]]&gt;0,Tabela3[[#This Row],[Cotação]]/Tabela3[[#This Row],[Lucro/Ação Ano]],0)</f>
        <v>0</v>
      </c>
      <c r="N83" s="6">
        <f>ROUND(Tabela3[[#This Row],[Lucro Prev]]/10%,2)</f>
        <v>-0.57999999999999996</v>
      </c>
      <c r="O83" s="61">
        <f>MIN(Tabela3[[#This Row],[10% Rent]],Tabela3[[#This Row],[VPA]]*2)</f>
        <v>-0.57999999999999996</v>
      </c>
      <c r="P83" s="19">
        <f>Tabela3[[#This Row],[P Compra]]/Tabela3[[#This Row],[Cotação]]-1</f>
        <v>-1.3135135135135134</v>
      </c>
      <c r="Q83" s="6">
        <f>Tabela3[[#This Row],[Lucro/Ação Ano]]*Tabela3[[#This Row],[Payout]]</f>
        <v>-5.760488622337423E-2</v>
      </c>
      <c r="R83" s="15" t="str">
        <f>IF(AND([% Yield]&gt;=10%,[PVPA]&lt;=2,[PL]&lt;=15,[PL]&gt;0),"Sim","Não")</f>
        <v>Não</v>
      </c>
      <c r="S83" s="46">
        <f>Tabela3[[#This Row],[Lucro Prev]]/Tabela3[[#This Row],[Cotação]]</f>
        <v>-3.1137776336959043E-2</v>
      </c>
      <c r="T83" s="46">
        <f>(1+Tabela3[[#This Row],[% Yield]])^(1/12)-1</f>
        <v>-2.6326003839846068E-3</v>
      </c>
      <c r="U83" s="14">
        <f>($AA$1/Tabela3[[#This Row],[Cotação]]-MOD($AA$1/Tabela3[[#This Row],[Cotação]],100))</f>
        <v>100</v>
      </c>
      <c r="V83" s="17">
        <f>Tabela3[[#This Row],[Ativos]]*Tabela3[[#This Row],[Lucro Prev]]</f>
        <v>-5.760488622337423</v>
      </c>
      <c r="W83" s="5">
        <f>SUMPRODUCT(N(Tabela1[Código]=Tabela3[[#This Row],[PAPEL]]),Tabela1[Fechamento])</f>
        <v>1.85</v>
      </c>
      <c r="X83" s="5">
        <f>SUMPRODUCT(N(Tabela17[Código]=Tabela3[[#This Row],[PAPEL]]),Tabela17[Fechamento])</f>
        <v>0</v>
      </c>
    </row>
    <row r="84" spans="1:24">
      <c r="A84" s="3" t="s">
        <v>40</v>
      </c>
      <c r="B84" s="14" t="s">
        <v>299</v>
      </c>
      <c r="C84" s="16">
        <v>3</v>
      </c>
      <c r="D84" s="5">
        <v>509526000</v>
      </c>
      <c r="E84" s="5">
        <v>33359000</v>
      </c>
      <c r="F84" s="21">
        <v>31485170</v>
      </c>
      <c r="G84" s="71">
        <f>Tabela3[[#This Row],[Lucro Líquido]]/Tabela3[[#This Row],[Total Ações]]</f>
        <v>1.0595146858028717</v>
      </c>
      <c r="H84" s="16">
        <f>Tabela3[[#This Row],[Lucro/Ação]]/Tabela3[[#This Row],[Ref]]*4</f>
        <v>1.4126862477371622</v>
      </c>
      <c r="I84" s="18">
        <f>IF(GETPIVOTDATA("Payout",'Tabela LL'!$A$3,"Ativo",Tabela3[[#This Row],[PAPEL]])&gt;1,1,GETPIVOTDATA("Payout",'Tabela LL'!$A$3,"Ativo",Tabela3[[#This Row],[PAPEL]]))</f>
        <v>0.27024411411752097</v>
      </c>
      <c r="J84" s="5">
        <f>[Patrimônio Líquido]/[Total Ações]</f>
        <v>16.183047447417309</v>
      </c>
      <c r="K84" s="58">
        <f>MAX(Tabela3[[#This Row],[Cotação 1]],Tabela3[[#This Row],[Cotação 2]])</f>
        <v>10</v>
      </c>
      <c r="L84" s="59">
        <f>[Cotação]/[VPA]</f>
        <v>0.61793058646663757</v>
      </c>
      <c r="M84" s="40">
        <f>IF(Tabela3[[#This Row],[Lucro/Ação Ano]]&gt;0,Tabela3[[#This Row],[Cotação]]/Tabela3[[#This Row],[Lucro/Ação Ano]],0)</f>
        <v>7.0787126412662245</v>
      </c>
      <c r="N84" s="51">
        <f>ROUND(Tabela3[[#This Row],[Lucro Prev]]/10%,2)</f>
        <v>3.82</v>
      </c>
      <c r="O84" s="51">
        <f>MIN(Tabela3[[#This Row],[10% Rent]],Tabela3[[#This Row],[VPA]]*2)</f>
        <v>3.82</v>
      </c>
      <c r="P84" s="18">
        <f>Tabela3[[#This Row],[P Compra]]/Tabela3[[#This Row],[Cotação]]-1</f>
        <v>-0.61799999999999999</v>
      </c>
      <c r="Q84" s="5">
        <f>Tabela3[[#This Row],[Lucro/Ação Ano]]*Tabela3[[#This Row],[Payout]]</f>
        <v>0.38177014354573419</v>
      </c>
      <c r="R84" s="16" t="str">
        <f>IF(AND([% Yield]&gt;=10%,[PVPA]&lt;=2,[PL]&lt;=15,[PL]&gt;0),"Sim","Não")</f>
        <v>Não</v>
      </c>
      <c r="S84" s="22">
        <f>Tabela3[[#This Row],[Lucro Prev]]/Tabela3[[#This Row],[Cotação]]</f>
        <v>3.8177014354573421E-2</v>
      </c>
      <c r="T84" s="22">
        <f>(1+Tabela3[[#This Row],[% Yield]])^(1/12)-1</f>
        <v>3.1270711400959161E-3</v>
      </c>
      <c r="U84" s="10">
        <f>($AA$1/Tabela3[[#This Row],[Cotação]]-MOD($AA$1/Tabela3[[#This Row],[Cotação]],100))</f>
        <v>0</v>
      </c>
      <c r="V84" s="7">
        <f>Tabela3[[#This Row],[Ativos]]*Tabela3[[#This Row],[Lucro Prev]]</f>
        <v>0</v>
      </c>
      <c r="W84" s="51">
        <f>SUMPRODUCT(N(Tabela1[Código]=Tabela3[[#This Row],[PAPEL]]),Tabela1[Fechamento])</f>
        <v>0</v>
      </c>
      <c r="X84" s="51">
        <f>SUMPRODUCT(N(Tabela17[Código]=Tabela3[[#This Row],[PAPEL]]),Tabela17[Fechamento])</f>
        <v>10</v>
      </c>
    </row>
    <row r="85" spans="1:24">
      <c r="A85" s="4" t="s">
        <v>40</v>
      </c>
      <c r="B85" s="14" t="s">
        <v>300</v>
      </c>
      <c r="C85" s="15">
        <v>3</v>
      </c>
      <c r="D85" s="5">
        <v>509526000</v>
      </c>
      <c r="E85" s="5">
        <v>33359000</v>
      </c>
      <c r="F85" s="21">
        <v>31485170</v>
      </c>
      <c r="G85" s="72">
        <f>Tabela3[[#This Row],[Lucro Líquido]]/Tabela3[[#This Row],[Total Ações]]</f>
        <v>1.0595146858028717</v>
      </c>
      <c r="H85" s="15">
        <f>Tabela3[[#This Row],[Lucro/Ação]]/Tabela3[[#This Row],[Ref]]*4</f>
        <v>1.4126862477371622</v>
      </c>
      <c r="I85" s="19">
        <f>IF(GETPIVOTDATA("Payout",'Tabela LL'!$A$3,"Ativo",Tabela3[[#This Row],[PAPEL]])&gt;1,1,GETPIVOTDATA("Payout",'Tabela LL'!$A$3,"Ativo",Tabela3[[#This Row],[PAPEL]]))</f>
        <v>0.23695478536753822</v>
      </c>
      <c r="J85" s="6">
        <f>[Patrimônio Líquido]/[Total Ações]</f>
        <v>16.183047447417309</v>
      </c>
      <c r="K85" s="52">
        <f>MAX(Tabela3[[#This Row],[Cotação 1]],Tabela3[[#This Row],[Cotação 2]])</f>
        <v>9.5</v>
      </c>
      <c r="L85" s="48">
        <f>[Cotação]/[VPA]</f>
        <v>0.5870340571433057</v>
      </c>
      <c r="M85" s="44">
        <f>IF(Tabela3[[#This Row],[Lucro/Ação Ano]]&gt;0,Tabela3[[#This Row],[Cotação]]/Tabela3[[#This Row],[Lucro/Ação Ano]],0)</f>
        <v>6.7247770092029135</v>
      </c>
      <c r="N85" s="13">
        <f>ROUND(Tabela3[[#This Row],[Lucro Prev]]/10%,2)</f>
        <v>3.35</v>
      </c>
      <c r="O85" s="13">
        <f>MIN(Tabela3[[#This Row],[10% Rent]],Tabela3[[#This Row],[VPA]]*2)</f>
        <v>3.35</v>
      </c>
      <c r="P85" s="19">
        <f>Tabela3[[#This Row],[P Compra]]/Tabela3[[#This Row],[Cotação]]-1</f>
        <v>-0.64736842105263159</v>
      </c>
      <c r="Q85" s="6">
        <f>Tabela3[[#This Row],[Lucro/Ação Ano]]*Tabela3[[#This Row],[Payout]]</f>
        <v>0.33474276662423219</v>
      </c>
      <c r="R85" s="15" t="str">
        <f>IF(AND([% Yield]&gt;=10%,[PVPA]&lt;=2,[PL]&lt;=15,[PL]&gt;0),"Sim","Não")</f>
        <v>Não</v>
      </c>
      <c r="S85" s="46">
        <f>Tabela3[[#This Row],[Lucro Prev]]/Tabela3[[#This Row],[Cotação]]</f>
        <v>3.5236080697287599E-2</v>
      </c>
      <c r="T85" s="46">
        <f>(1+Tabela3[[#This Row],[% Yield]])^(1/12)-1</f>
        <v>2.8899594044911048E-3</v>
      </c>
      <c r="U85" s="14">
        <f>($AA$1/Tabela3[[#This Row],[Cotação]]-MOD($AA$1/Tabela3[[#This Row],[Cotação]],100))</f>
        <v>0</v>
      </c>
      <c r="V85" s="17">
        <f>Tabela3[[#This Row],[Ativos]]*Tabela3[[#This Row],[Lucro Prev]]</f>
        <v>0</v>
      </c>
      <c r="W85" s="13">
        <f>SUMPRODUCT(N(Tabela1[Código]=Tabela3[[#This Row],[PAPEL]]),Tabela1[Fechamento])</f>
        <v>0</v>
      </c>
      <c r="X85" s="13">
        <f>SUMPRODUCT(N(Tabela17[Código]=Tabela3[[#This Row],[PAPEL]]),Tabela17[Fechamento])</f>
        <v>9.5</v>
      </c>
    </row>
    <row r="86" spans="1:24">
      <c r="A86" s="4" t="s">
        <v>12</v>
      </c>
      <c r="B86" s="15" t="s">
        <v>2</v>
      </c>
      <c r="C86" s="15">
        <v>3</v>
      </c>
      <c r="D86" s="6">
        <v>65493746000</v>
      </c>
      <c r="E86" s="6">
        <v>-787071000</v>
      </c>
      <c r="F86" s="8">
        <v>1352634100</v>
      </c>
      <c r="G86" s="41">
        <f>Tabela3[[#This Row],[Lucro Líquido]]/Tabela3[[#This Row],[Total Ações]]</f>
        <v>-0.58188019953067871</v>
      </c>
      <c r="H86" s="41">
        <f>Tabela3[[#This Row],[Lucro/Ação]]/Tabela3[[#This Row],[Ref]]*4</f>
        <v>-0.77584026604090495</v>
      </c>
      <c r="I86" s="55">
        <f>IF(GETPIVOTDATA("Payout",'Tabela LL'!$A$3,"Ativo",Tabela3[[#This Row],[PAPEL]])&gt;1,1,GETPIVOTDATA("Payout",'Tabela LL'!$A$3,"Ativo",Tabela3[[#This Row],[PAPEL]]))</f>
        <v>1</v>
      </c>
      <c r="J86" s="6">
        <f>[Patrimônio Líquido]/[Total Ações]</f>
        <v>48.419410689113931</v>
      </c>
      <c r="K86" s="11">
        <f>MAX(Tabela3[[#This Row],[Cotação 1]],Tabela3[[#This Row],[Cotação 2]])</f>
        <v>5.65</v>
      </c>
      <c r="L86" s="9">
        <f>[Cotação]/[VPA]</f>
        <v>0.11668873948666794</v>
      </c>
      <c r="M86" s="39">
        <f>IF(Tabela3[[#This Row],[Lucro/Ação Ano]]&gt;0,Tabela3[[#This Row],[Cotação]]/Tabela3[[#This Row],[Lucro/Ação Ano]],0)</f>
        <v>0</v>
      </c>
      <c r="N86" s="6">
        <f>ROUND(Tabela3[[#This Row],[Lucro Prev]]/10%,2)</f>
        <v>-7.76</v>
      </c>
      <c r="O86" s="13">
        <f>MIN(Tabela3[[#This Row],[10% Rent]],Tabela3[[#This Row],[VPA]]*2)</f>
        <v>-7.76</v>
      </c>
      <c r="P86" s="19">
        <f>Tabela3[[#This Row],[P Compra]]/Tabela3[[#This Row],[Cotação]]-1</f>
        <v>-2.373451327433628</v>
      </c>
      <c r="Q86" s="6">
        <f>Tabela3[[#This Row],[Lucro/Ação Ano]]*Tabela3[[#This Row],[Payout]]</f>
        <v>-0.77584026604090495</v>
      </c>
      <c r="R86" s="14" t="str">
        <f>IF(AND([% Yield]&gt;=10%,[PVPA]&lt;=2,[PL]&lt;=15,[PL]&gt;0),"Sim","Não")</f>
        <v>Não</v>
      </c>
      <c r="S86" s="19">
        <f>Tabela3[[#This Row],[Lucro Prev]]/Tabela3[[#This Row],[Cotação]]</f>
        <v>-0.13731686124617787</v>
      </c>
      <c r="T86" s="19">
        <f>(1+Tabela3[[#This Row],[% Yield]])^(1/12)-1</f>
        <v>-1.2233539135999005E-2</v>
      </c>
      <c r="U86" s="10">
        <f>($AA$1/Tabela3[[#This Row],[Cotação]]-MOD($AA$1/Tabela3[[#This Row],[Cotação]],100))</f>
        <v>0</v>
      </c>
      <c r="V86" s="5">
        <f>Tabela3[[#This Row],[Ativos]]*Tabela3[[#This Row],[Lucro Prev]]</f>
        <v>0</v>
      </c>
      <c r="W86" s="5">
        <f>SUMPRODUCT(N(Tabela1[Código]=Tabela3[[#This Row],[PAPEL]]),Tabela1[Fechamento])</f>
        <v>5.65</v>
      </c>
      <c r="X86" s="5">
        <f>SUMPRODUCT(N(Tabela17[Código]=Tabela3[[#This Row],[PAPEL]]),Tabela17[Fechamento])</f>
        <v>0</v>
      </c>
    </row>
    <row r="87" spans="1:24">
      <c r="A87" s="4" t="s">
        <v>12</v>
      </c>
      <c r="B87" s="15" t="s">
        <v>27</v>
      </c>
      <c r="C87" s="15">
        <v>3</v>
      </c>
      <c r="D87" s="6">
        <v>65493746000</v>
      </c>
      <c r="E87" s="6">
        <v>-787071000</v>
      </c>
      <c r="F87" s="8">
        <v>1352634100</v>
      </c>
      <c r="G87" s="41">
        <f>Tabela3[[#This Row],[Lucro Líquido]]/Tabela3[[#This Row],[Total Ações]]</f>
        <v>-0.58188019953067871</v>
      </c>
      <c r="H87" s="41">
        <f>Tabela3[[#This Row],[Lucro/Ação]]/Tabela3[[#This Row],[Ref]]*4</f>
        <v>-0.77584026604090495</v>
      </c>
      <c r="I87" s="55">
        <f>IF(GETPIVOTDATA("Payout",'Tabela LL'!$A$3,"Ativo",Tabela3[[#This Row],[PAPEL]])&gt;1,1,GETPIVOTDATA("Payout",'Tabela LL'!$A$3,"Ativo",Tabela3[[#This Row],[PAPEL]]))</f>
        <v>1</v>
      </c>
      <c r="J87" s="31">
        <f>[Patrimônio Líquido]/[Total Ações]</f>
        <v>48.419410689113931</v>
      </c>
      <c r="K87" s="32">
        <f>MAX(Tabela3[[#This Row],[Cotação 1]],Tabela3[[#This Row],[Cotação 2]])</f>
        <v>9.57</v>
      </c>
      <c r="L87" s="33">
        <f>[Cotação]/[VPA]</f>
        <v>0.19764800652874551</v>
      </c>
      <c r="M87" s="38">
        <f>IF(Tabela3[[#This Row],[Lucro/Ação Ano]]&gt;0,Tabela3[[#This Row],[Cotação]]/Tabela3[[#This Row],[Lucro/Ação Ano]],0)</f>
        <v>0</v>
      </c>
      <c r="N87" s="31">
        <f>ROUND(Tabela3[[#This Row],[Lucro Prev]]/10%,2)</f>
        <v>-7.76</v>
      </c>
      <c r="O87" s="29">
        <f>MIN(Tabela3[[#This Row],[10% Rent]],Tabela3[[#This Row],[VPA]]*2)</f>
        <v>-7.76</v>
      </c>
      <c r="P87" s="54">
        <f>Tabela3[[#This Row],[P Compra]]/Tabela3[[#This Row],[Cotação]]-1</f>
        <v>-1.8108672936259143</v>
      </c>
      <c r="Q87" s="6">
        <f>Tabela3[[#This Row],[Lucro/Ação Ano]]*Tabela3[[#This Row],[Payout]]</f>
        <v>-0.77584026604090495</v>
      </c>
      <c r="R87" s="26" t="str">
        <f>IF(AND([% Yield]&gt;=10%,[PVPA]&lt;=2,[PL]&lt;=15,[PL]&gt;0),"Sim","Não")</f>
        <v>Não</v>
      </c>
      <c r="S87" s="30">
        <f>Tabela3[[#This Row],[Lucro Prev]]/Tabela3[[#This Row],[Cotação]]</f>
        <v>-8.107003824878839E-2</v>
      </c>
      <c r="T87" s="30">
        <f>(1+Tabela3[[#This Row],[% Yield]])^(1/12)-1</f>
        <v>-7.0206865941252472E-3</v>
      </c>
      <c r="U87" s="10">
        <f>($AA$1/Tabela3[[#This Row],[Cotação]]-MOD($AA$1/Tabela3[[#This Row],[Cotação]],100))</f>
        <v>0</v>
      </c>
      <c r="V87" s="5">
        <f>Tabela3[[#This Row],[Ativos]]*Tabela3[[#This Row],[Lucro Prev]]</f>
        <v>0</v>
      </c>
      <c r="W87" s="5">
        <f>SUMPRODUCT(N(Tabela1[Código]=Tabela3[[#This Row],[PAPEL]]),Tabela1[Fechamento])</f>
        <v>9.57</v>
      </c>
      <c r="X87" s="5">
        <f>SUMPRODUCT(N(Tabela17[Código]=Tabela3[[#This Row],[PAPEL]]),Tabela17[Fechamento])</f>
        <v>0</v>
      </c>
    </row>
    <row r="88" spans="1:24">
      <c r="A88" s="4" t="s">
        <v>12</v>
      </c>
      <c r="B88" s="70" t="s">
        <v>186</v>
      </c>
      <c r="C88" s="15">
        <v>3</v>
      </c>
      <c r="D88" s="6">
        <v>2577741000</v>
      </c>
      <c r="E88" s="6">
        <v>271448000</v>
      </c>
      <c r="F88" s="8">
        <v>167343887</v>
      </c>
      <c r="G88" s="15">
        <f>Tabela3[[#This Row],[Lucro Líquido]]/Tabela3[[#This Row],[Total Ações]]</f>
        <v>1.6220968979882724</v>
      </c>
      <c r="H88" s="15">
        <f>Tabela3[[#This Row],[Lucro/Ação]]/Tabela3[[#This Row],[Ref]]*4</f>
        <v>2.1627958639843632</v>
      </c>
      <c r="I88" s="19">
        <f>IF(GETPIVOTDATA("Payout",'Tabela LL'!$A$3,"Ativo",Tabela3[[#This Row],[PAPEL]])&gt;1,1,GETPIVOTDATA("Payout",'Tabela LL'!$A$3,"Ativo",Tabela3[[#This Row],[PAPEL]]))</f>
        <v>0.76568194912363652</v>
      </c>
      <c r="J88" s="6">
        <f>[Patrimônio Líquido]/[Total Ações]</f>
        <v>15.403855176377013</v>
      </c>
      <c r="K88" s="52">
        <f>MAX(Tabela3[[#This Row],[Cotação 1]],Tabela3[[#This Row],[Cotação 2]])</f>
        <v>11</v>
      </c>
      <c r="L88" s="48">
        <f>[Cotação]/[VPA]</f>
        <v>0.71410694751722537</v>
      </c>
      <c r="M88" s="44">
        <f>IF(Tabela3[[#This Row],[Lucro/Ação Ano]]&gt;0,Tabela3[[#This Row],[Cotação]]/Tabela3[[#This Row],[Lucro/Ação Ano]],0)</f>
        <v>5.0860093563039701</v>
      </c>
      <c r="N88" s="6">
        <f>ROUND(Tabela3[[#This Row],[Lucro Prev]]/10%,2)</f>
        <v>16.559999999999999</v>
      </c>
      <c r="O88" s="61">
        <f>MIN(Tabela3[[#This Row],[10% Rent]],Tabela3[[#This Row],[VPA]]*2)</f>
        <v>16.559999999999999</v>
      </c>
      <c r="P88" s="19">
        <f>Tabela3[[#This Row],[P Compra]]/Tabela3[[#This Row],[Cotação]]-1</f>
        <v>0.50545454545454538</v>
      </c>
      <c r="Q88" s="6">
        <f>Tabela3[[#This Row],[Lucro/Ação Ano]]*Tabela3[[#This Row],[Payout]]</f>
        <v>1.6560137526920866</v>
      </c>
      <c r="R88" s="15" t="str">
        <f>IF(AND([% Yield]&gt;=10%,[PVPA]&lt;=2,[PL]&lt;=15,[PL]&gt;0),"Sim","Não")</f>
        <v>Sim</v>
      </c>
      <c r="S88" s="46">
        <f>Tabela3[[#This Row],[Lucro Prev]]/Tabela3[[#This Row],[Cotação]]</f>
        <v>0.15054670479018969</v>
      </c>
      <c r="T88" s="97">
        <f>(1+Tabela3[[#This Row],[% Yield]])^(1/12)-1</f>
        <v>1.1754988580085168E-2</v>
      </c>
      <c r="U88" s="14">
        <f>($AA$1/Tabela3[[#This Row],[Cotação]]-MOD($AA$1/Tabela3[[#This Row],[Cotação]],100))</f>
        <v>0</v>
      </c>
      <c r="V88" s="17">
        <f>Tabela3[[#This Row],[Ativos]]*Tabela3[[#This Row],[Lucro Prev]]</f>
        <v>0</v>
      </c>
      <c r="W88" s="5">
        <f>SUMPRODUCT(N(Tabela1[Código]=Tabela3[[#This Row],[PAPEL]]),Tabela1[Fechamento])</f>
        <v>11</v>
      </c>
      <c r="X88" s="5">
        <f>SUMPRODUCT(N(Tabela17[Código]=Tabela3[[#This Row],[PAPEL]]),Tabela17[Fechamento])</f>
        <v>0</v>
      </c>
    </row>
    <row r="89" spans="1:24">
      <c r="A89" s="4" t="s">
        <v>12</v>
      </c>
      <c r="B89" s="70" t="s">
        <v>1</v>
      </c>
      <c r="C89" s="16">
        <v>3</v>
      </c>
      <c r="D89" s="6">
        <v>2577741000</v>
      </c>
      <c r="E89" s="6">
        <v>271448000</v>
      </c>
      <c r="F89" s="8">
        <v>167343887</v>
      </c>
      <c r="G89" s="15">
        <f>Tabela3[[#This Row],[Lucro Líquido]]/Tabela3[[#This Row],[Total Ações]]</f>
        <v>1.6220968979882724</v>
      </c>
      <c r="H89" s="15">
        <f>Tabela3[[#This Row],[Lucro/Ação]]/Tabela3[[#This Row],[Ref]]*4</f>
        <v>2.1627958639843632</v>
      </c>
      <c r="I89" s="19">
        <f>IF(GETPIVOTDATA("Payout",'Tabela LL'!$A$3,"Ativo",Tabela3[[#This Row],[PAPEL]])&gt;1,1,GETPIVOTDATA("Payout",'Tabela LL'!$A$3,"Ativo",Tabela3[[#This Row],[PAPEL]]))</f>
        <v>0.84225014371489515</v>
      </c>
      <c r="J89" s="6">
        <f>[Patrimônio Líquido]/[Total Ações]</f>
        <v>15.403855176377013</v>
      </c>
      <c r="K89" s="11">
        <f>MAX(Tabela3[[#This Row],[Cotação 1]],Tabela3[[#This Row],[Cotação 2]])</f>
        <v>9.15</v>
      </c>
      <c r="L89" s="9">
        <f>[Cotação]/[VPA]</f>
        <v>0.59400714270751021</v>
      </c>
      <c r="M89" s="39">
        <f>IF(Tabela3[[#This Row],[Lucro/Ação Ano]]&gt;0,Tabela3[[#This Row],[Cotação]]/Tabela3[[#This Row],[Lucro/Ação Ano]],0)</f>
        <v>4.2306350554710299</v>
      </c>
      <c r="N89" s="6">
        <f>ROUND(Tabela3[[#This Row],[Lucro Prev]]/10%,2)</f>
        <v>18.22</v>
      </c>
      <c r="O89" s="13">
        <f>MIN(Tabela3[[#This Row],[10% Rent]],Tabela3[[#This Row],[VPA]]*2)</f>
        <v>18.22</v>
      </c>
      <c r="P89" s="19">
        <f>Tabela3[[#This Row],[P Compra]]/Tabela3[[#This Row],[Cotação]]-1</f>
        <v>0.99125683060109271</v>
      </c>
      <c r="Q89" s="6">
        <f>Tabela3[[#This Row],[Lucro/Ação Ano]]*Tabela3[[#This Row],[Payout]]</f>
        <v>1.8216151272668106</v>
      </c>
      <c r="R89" s="14" t="str">
        <f>IF(AND([% Yield]&gt;=10%,[PVPA]&lt;=2,[PL]&lt;=15,[PL]&gt;0),"Sim","Não")</f>
        <v>Sim</v>
      </c>
      <c r="S89" s="19">
        <f>Tabela3[[#This Row],[Lucro Prev]]/Tabela3[[#This Row],[Cotação]]</f>
        <v>0.19908362046631808</v>
      </c>
      <c r="T89" s="97">
        <f>(1+Tabela3[[#This Row],[% Yield]])^(1/12)-1</f>
        <v>1.5244836150646313E-2</v>
      </c>
      <c r="U89" s="10">
        <f>($AA$1/Tabela3[[#This Row],[Cotação]]-MOD($AA$1/Tabela3[[#This Row],[Cotação]],100))</f>
        <v>0</v>
      </c>
      <c r="V89" s="5">
        <f>Tabela3[[#This Row],[Ativos]]*Tabela3[[#This Row],[Lucro Prev]]</f>
        <v>0</v>
      </c>
      <c r="W89" s="5">
        <f>SUMPRODUCT(N(Tabela1[Código]=Tabela3[[#This Row],[PAPEL]]),Tabela1[Fechamento])</f>
        <v>9.15</v>
      </c>
      <c r="X89" s="5">
        <f>SUMPRODUCT(N(Tabela17[Código]=Tabela3[[#This Row],[PAPEL]]),Tabela17[Fechamento])</f>
        <v>0</v>
      </c>
    </row>
    <row r="90" spans="1:24">
      <c r="A90" s="4" t="s">
        <v>12</v>
      </c>
      <c r="B90" s="14" t="s">
        <v>188</v>
      </c>
      <c r="C90" s="15">
        <v>3</v>
      </c>
      <c r="D90" s="6">
        <v>672379000</v>
      </c>
      <c r="E90" s="6">
        <v>25747000</v>
      </c>
      <c r="F90" s="42">
        <v>36947084</v>
      </c>
      <c r="G90" s="15">
        <f>Tabela3[[#This Row],[Lucro Líquido]]/Tabela3[[#This Row],[Total Ações]]</f>
        <v>0.69686148979984452</v>
      </c>
      <c r="H90" s="15">
        <f>Tabela3[[#This Row],[Lucro/Ação]]/Tabela3[[#This Row],[Ref]]*4</f>
        <v>0.92914865306645933</v>
      </c>
      <c r="I90" s="19">
        <f>IF(GETPIVOTDATA("Payout",'Tabela LL'!$A$3,"Ativo",Tabela3[[#This Row],[PAPEL]])&gt;1,1,GETPIVOTDATA("Payout",'Tabela LL'!$A$3,"Ativo",Tabela3[[#This Row],[PAPEL]]))</f>
        <v>0.23175290878610291</v>
      </c>
      <c r="J90" s="6">
        <f>[Patrimônio Líquido]/[Total Ações]</f>
        <v>18.198432114426133</v>
      </c>
      <c r="K90" s="52">
        <f>MAX(Tabela3[[#This Row],[Cotação 1]],Tabela3[[#This Row],[Cotação 2]])</f>
        <v>5.67</v>
      </c>
      <c r="L90" s="48">
        <f>[Cotação]/[VPA]</f>
        <v>0.31156530212871014</v>
      </c>
      <c r="M90" s="44">
        <f>IF(Tabela3[[#This Row],[Lucro/Ação Ano]]&gt;0,Tabela3[[#This Row],[Cotação]]/Tabela3[[#This Row],[Lucro/Ação Ano]],0)</f>
        <v>6.1023604579174275</v>
      </c>
      <c r="N90" s="6">
        <f>ROUND(Tabela3[[#This Row],[Lucro Prev]]/10%,2)</f>
        <v>2.15</v>
      </c>
      <c r="O90" s="61">
        <f>MIN(Tabela3[[#This Row],[10% Rent]],Tabela3[[#This Row],[VPA]]*2)</f>
        <v>2.15</v>
      </c>
      <c r="P90" s="19">
        <f>Tabela3[[#This Row],[P Compra]]/Tabela3[[#This Row],[Cotação]]-1</f>
        <v>-0.62081128747795411</v>
      </c>
      <c r="Q90" s="6">
        <f>Tabela3[[#This Row],[Lucro/Ação Ano]]*Tabela3[[#This Row],[Payout]]</f>
        <v>0.21533290304284153</v>
      </c>
      <c r="R90" s="15" t="str">
        <f>IF(AND([% Yield]&gt;=10%,[PVPA]&lt;=2,[PL]&lt;=15,[PL]&gt;0),"Sim","Não")</f>
        <v>Não</v>
      </c>
      <c r="S90" s="46">
        <f>Tabela3[[#This Row],[Lucro Prev]]/Tabela3[[#This Row],[Cotação]]</f>
        <v>3.7977584310906795E-2</v>
      </c>
      <c r="T90" s="46">
        <f>(1+Tabela3[[#This Row],[% Yield]])^(1/12)-1</f>
        <v>3.1110116363892715E-3</v>
      </c>
      <c r="U90" s="14">
        <f>($AA$1/Tabela3[[#This Row],[Cotação]]-MOD($AA$1/Tabela3[[#This Row],[Cotação]],100))</f>
        <v>0</v>
      </c>
      <c r="V90" s="17">
        <f>Tabela3[[#This Row],[Ativos]]*Tabela3[[#This Row],[Lucro Prev]]</f>
        <v>0</v>
      </c>
      <c r="W90" s="5">
        <f>SUMPRODUCT(N(Tabela1[Código]=Tabela3[[#This Row],[PAPEL]]),Tabela1[Fechamento])</f>
        <v>5.67</v>
      </c>
      <c r="X90" s="5">
        <f>SUMPRODUCT(N(Tabela17[Código]=Tabela3[[#This Row],[PAPEL]]),Tabela17[Fechamento])</f>
        <v>0</v>
      </c>
    </row>
    <row r="91" spans="1:24">
      <c r="A91" s="4" t="s">
        <v>12</v>
      </c>
      <c r="B91" s="14" t="s">
        <v>28</v>
      </c>
      <c r="C91" s="15">
        <v>3</v>
      </c>
      <c r="D91" s="6">
        <v>6277330000</v>
      </c>
      <c r="E91" s="6">
        <v>451384000</v>
      </c>
      <c r="F91" s="42">
        <v>476415612</v>
      </c>
      <c r="G91" s="15">
        <f>Tabela3[[#This Row],[Lucro Líquido]]/Tabela3[[#This Row],[Total Ações]]</f>
        <v>0.94745845566454689</v>
      </c>
      <c r="H91" s="15">
        <f>Tabela3[[#This Row],[Lucro/Ação]]/Tabela3[[#This Row],[Ref]]*4</f>
        <v>1.2632779408860626</v>
      </c>
      <c r="I91" s="19">
        <f>IF(GETPIVOTDATA("Payout",'Tabela LL'!$A$3,"Ativo",Tabela3[[#This Row],[PAPEL]])&gt;1,1,GETPIVOTDATA("Payout",'Tabela LL'!$A$3,"Ativo",Tabela3[[#This Row],[PAPEL]]))</f>
        <v>1</v>
      </c>
      <c r="J91" s="6">
        <f>[Patrimônio Líquido]/[Total Ações]</f>
        <v>13.176163504902101</v>
      </c>
      <c r="K91" s="52">
        <f>MAX(Tabela3[[#This Row],[Cotação 1]],Tabela3[[#This Row],[Cotação 2]])</f>
        <v>10.25</v>
      </c>
      <c r="L91" s="48">
        <f>[Cotação]/[VPA]</f>
        <v>0.77791991547361705</v>
      </c>
      <c r="M91" s="44">
        <f>IF(Tabela3[[#This Row],[Lucro/Ação Ano]]&gt;0,Tabela3[[#This Row],[Cotação]]/Tabela3[[#This Row],[Lucro/Ação Ano]],0)</f>
        <v>8.1138122247354794</v>
      </c>
      <c r="N91" s="6">
        <f>ROUND(Tabela3[[#This Row],[Lucro Prev]]/10%,2)</f>
        <v>12.63</v>
      </c>
      <c r="O91" s="61">
        <f>MIN(Tabela3[[#This Row],[10% Rent]],Tabela3[[#This Row],[VPA]]*2)</f>
        <v>12.63</v>
      </c>
      <c r="P91" s="19">
        <f>Tabela3[[#This Row],[P Compra]]/Tabela3[[#This Row],[Cotação]]-1</f>
        <v>0.2321951219512195</v>
      </c>
      <c r="Q91" s="6">
        <f>Tabela3[[#This Row],[Lucro/Ação Ano]]*Tabela3[[#This Row],[Payout]]</f>
        <v>1.2632779408860626</v>
      </c>
      <c r="R91" s="15" t="str">
        <f>IF(AND([% Yield]&gt;=10%,[PVPA]&lt;=2,[PL]&lt;=15,[PL]&gt;0),"Sim","Não")</f>
        <v>Sim</v>
      </c>
      <c r="S91" s="46">
        <f>Tabela3[[#This Row],[Lucro Prev]]/Tabela3[[#This Row],[Cotação]]</f>
        <v>0.12324662837912806</v>
      </c>
      <c r="T91" s="97">
        <f>(1+Tabela3[[#This Row],[% Yield]])^(1/12)-1</f>
        <v>9.7323263120558945E-3</v>
      </c>
      <c r="U91" s="14">
        <f>($AA$1/Tabela3[[#This Row],[Cotação]]-MOD($AA$1/Tabela3[[#This Row],[Cotação]],100))</f>
        <v>0</v>
      </c>
      <c r="V91" s="17">
        <f>Tabela3[[#This Row],[Ativos]]*Tabela3[[#This Row],[Lucro Prev]]</f>
        <v>0</v>
      </c>
      <c r="W91" s="5">
        <f>SUMPRODUCT(N(Tabela1[Código]=Tabela3[[#This Row],[PAPEL]]),Tabela1[Fechamento])</f>
        <v>10.25</v>
      </c>
      <c r="X91" s="5">
        <f>SUMPRODUCT(N(Tabela17[Código]=Tabela3[[#This Row],[PAPEL]]),Tabela17[Fechamento])</f>
        <v>0</v>
      </c>
    </row>
    <row r="92" spans="1:24">
      <c r="A92" s="4" t="s">
        <v>12</v>
      </c>
      <c r="B92" s="14" t="s">
        <v>92</v>
      </c>
      <c r="C92" s="15">
        <v>3</v>
      </c>
      <c r="D92" s="6">
        <v>1825587000</v>
      </c>
      <c r="E92" s="6">
        <v>190026000</v>
      </c>
      <c r="F92" s="42">
        <v>1245690889</v>
      </c>
      <c r="G92" s="15">
        <f>Tabela3[[#This Row],[Lucro Líquido]]/Tabela3[[#This Row],[Total Ações]]</f>
        <v>0.15254667243536371</v>
      </c>
      <c r="H92" s="15">
        <f>Tabela3[[#This Row],[Lucro/Ação]]/Tabela3[[#This Row],[Ref]]*4</f>
        <v>0.20339556324715161</v>
      </c>
      <c r="I92" s="19">
        <f>IF(GETPIVOTDATA("Payout",'Tabela LL'!$A$3,"Ativo",Tabela3[[#This Row],[PAPEL]])&gt;1,1,GETPIVOTDATA("Payout",'Tabela LL'!$A$3,"Ativo",Tabela3[[#This Row],[PAPEL]]))</f>
        <v>1</v>
      </c>
      <c r="J92" s="6">
        <f>[Patrimônio Líquido]/[Total Ações]</f>
        <v>1.4655216764614227</v>
      </c>
      <c r="K92" s="52">
        <f>MAX(Tabela3[[#This Row],[Cotação 1]],Tabela3[[#This Row],[Cotação 2]])</f>
        <v>12.4</v>
      </c>
      <c r="L92" s="48">
        <f>[Cotação]/[VPA]</f>
        <v>8.4611508646807856</v>
      </c>
      <c r="M92" s="44">
        <f>IF(Tabela3[[#This Row],[Lucro/Ação Ano]]&gt;0,Tabela3[[#This Row],[Cotação]]/Tabela3[[#This Row],[Lucro/Ação Ano]],0)</f>
        <v>60.964948310757471</v>
      </c>
      <c r="N92" s="6">
        <f>ROUND(Tabela3[[#This Row],[Lucro Prev]]/10%,2)</f>
        <v>2.0299999999999998</v>
      </c>
      <c r="O92" s="61">
        <f>MIN(Tabela3[[#This Row],[10% Rent]],Tabela3[[#This Row],[VPA]]*2)</f>
        <v>2.0299999999999998</v>
      </c>
      <c r="P92" s="19">
        <f>Tabela3[[#This Row],[P Compra]]/Tabela3[[#This Row],[Cotação]]-1</f>
        <v>-0.83629032258064517</v>
      </c>
      <c r="Q92" s="6">
        <f>Tabela3[[#This Row],[Lucro/Ação Ano]]*Tabela3[[#This Row],[Payout]]</f>
        <v>0.20339556324715161</v>
      </c>
      <c r="R92" s="14" t="str">
        <f>IF(AND([% Yield]&gt;=10%,[PVPA]&lt;=2,[PL]&lt;=15,[PL]&gt;0),"Sim","Não")</f>
        <v>Não</v>
      </c>
      <c r="S92" s="46">
        <f>Tabela3[[#This Row],[Lucro Prev]]/Tabela3[[#This Row],[Cotação]]</f>
        <v>1.640286800380255E-2</v>
      </c>
      <c r="T92" s="46">
        <f>(1+Tabela3[[#This Row],[% Yield]])^(1/12)-1</f>
        <v>1.3567357165664706E-3</v>
      </c>
      <c r="U92" s="14">
        <f>($AA$1/Tabela3[[#This Row],[Cotação]]-MOD($AA$1/Tabela3[[#This Row],[Cotação]],100))</f>
        <v>0</v>
      </c>
      <c r="V92" s="17">
        <f>Tabela3[[#This Row],[Ativos]]*Tabela3[[#This Row],[Lucro Prev]]</f>
        <v>0</v>
      </c>
      <c r="W92" s="5">
        <f>SUMPRODUCT(N(Tabela1[Código]=Tabela3[[#This Row],[PAPEL]]),Tabela1[Fechamento])</f>
        <v>12.4</v>
      </c>
      <c r="X92" s="5">
        <f>SUMPRODUCT(N(Tabela17[Código]=Tabela3[[#This Row],[PAPEL]]),Tabela17[Fechamento])</f>
        <v>0</v>
      </c>
    </row>
    <row r="93" spans="1:24">
      <c r="A93" s="4" t="s">
        <v>12</v>
      </c>
      <c r="B93" s="14" t="s">
        <v>190</v>
      </c>
      <c r="C93" s="15">
        <v>3</v>
      </c>
      <c r="D93" s="6">
        <v>1825587000</v>
      </c>
      <c r="E93" s="6">
        <v>190026000</v>
      </c>
      <c r="F93" s="42">
        <v>1245690889</v>
      </c>
      <c r="G93" s="15">
        <f>Tabela3[[#This Row],[Lucro Líquido]]/Tabela3[[#This Row],[Total Ações]]</f>
        <v>0.15254667243536371</v>
      </c>
      <c r="H93" s="15">
        <f>Tabela3[[#This Row],[Lucro/Ação]]/Tabela3[[#This Row],[Ref]]*4</f>
        <v>0.20339556324715161</v>
      </c>
      <c r="I93" s="19">
        <f>IF(GETPIVOTDATA("Payout",'Tabela LL'!$A$3,"Ativo",Tabela3[[#This Row],[PAPEL]])&gt;1,1,GETPIVOTDATA("Payout",'Tabela LL'!$A$3,"Ativo",Tabela3[[#This Row],[PAPEL]]))</f>
        <v>0.58097440486745289</v>
      </c>
      <c r="J93" s="6">
        <f>[Patrimônio Líquido]/[Total Ações]</f>
        <v>1.4655216764614227</v>
      </c>
      <c r="K93" s="52">
        <f>MAX(Tabela3[[#This Row],[Cotação 1]],Tabela3[[#This Row],[Cotação 2]])</f>
        <v>3.4</v>
      </c>
      <c r="L93" s="48">
        <f>[Cotação]/[VPA]</f>
        <v>2.3199929790253764</v>
      </c>
      <c r="M93" s="44">
        <f>IF(Tabela3[[#This Row],[Lucro/Ação Ano]]&gt;0,Tabela3[[#This Row],[Cotação]]/Tabela3[[#This Row],[Lucro/Ação Ano]],0)</f>
        <v>16.716195504562531</v>
      </c>
      <c r="N93" s="6">
        <f>ROUND(Tabela3[[#This Row],[Lucro Prev]]/10%,2)</f>
        <v>1.18</v>
      </c>
      <c r="O93" s="61">
        <f>MIN(Tabela3[[#This Row],[10% Rent]],Tabela3[[#This Row],[VPA]]*2)</f>
        <v>1.18</v>
      </c>
      <c r="P93" s="19">
        <f>Tabela3[[#This Row],[P Compra]]/Tabela3[[#This Row],[Cotação]]-1</f>
        <v>-0.65294117647058825</v>
      </c>
      <c r="Q93" s="6">
        <f>Tabela3[[#This Row],[Lucro/Ação Ano]]*Tabela3[[#This Row],[Payout]]</f>
        <v>0.11816761631019428</v>
      </c>
      <c r="R93" s="15" t="str">
        <f>IF(AND([% Yield]&gt;=10%,[PVPA]&lt;=2,[PL]&lt;=15,[PL]&gt;0),"Sim","Não")</f>
        <v>Não</v>
      </c>
      <c r="S93" s="46">
        <f>Tabela3[[#This Row],[Lucro Prev]]/Tabela3[[#This Row],[Cotação]]</f>
        <v>3.4755181267704202E-2</v>
      </c>
      <c r="T93" s="46">
        <f>(1+Tabela3[[#This Row],[% Yield]])^(1/12)-1</f>
        <v>2.8511283322727454E-3</v>
      </c>
      <c r="U93" s="14">
        <f>($AA$1/Tabela3[[#This Row],[Cotação]]-MOD($AA$1/Tabela3[[#This Row],[Cotação]],100))</f>
        <v>0</v>
      </c>
      <c r="V93" s="17">
        <f>Tabela3[[#This Row],[Ativos]]*Tabela3[[#This Row],[Lucro Prev]]</f>
        <v>0</v>
      </c>
      <c r="W93" s="5">
        <f>SUMPRODUCT(N(Tabela1[Código]=Tabela3[[#This Row],[PAPEL]]),Tabela1[Fechamento])</f>
        <v>3.4</v>
      </c>
      <c r="X93" s="5">
        <f>SUMPRODUCT(N(Tabela17[Código]=Tabela3[[#This Row],[PAPEL]]),Tabela17[Fechamento])</f>
        <v>0</v>
      </c>
    </row>
    <row r="94" spans="1:24">
      <c r="A94" s="4" t="s">
        <v>12</v>
      </c>
      <c r="B94" s="14" t="s">
        <v>67</v>
      </c>
      <c r="C94" s="15">
        <v>3</v>
      </c>
      <c r="D94" s="6">
        <v>1825587000</v>
      </c>
      <c r="E94" s="6">
        <v>190026000</v>
      </c>
      <c r="F94" s="42">
        <v>1245690889</v>
      </c>
      <c r="G94" s="15">
        <f>Tabela3[[#This Row],[Lucro Líquido]]/Tabela3[[#This Row],[Total Ações]]</f>
        <v>0.15254667243536371</v>
      </c>
      <c r="H94" s="15">
        <f>Tabela3[[#This Row],[Lucro/Ação]]/Tabela3[[#This Row],[Ref]]*4</f>
        <v>0.20339556324715161</v>
      </c>
      <c r="I94" s="45">
        <f>IF(GETPIVOTDATA("Payout",'Tabela LL'!$A$3,"Ativo",Tabela3[[#This Row],[PAPEL]])&gt;1,1,GETPIVOTDATA("Payout",'Tabela LL'!$A$3,"Ativo",Tabela3[[#This Row],[PAPEL]]))</f>
        <v>0.58097440486745289</v>
      </c>
      <c r="J94" s="6">
        <f>[Patrimônio Líquido]/[Total Ações]</f>
        <v>1.4655216764614227</v>
      </c>
      <c r="K94" s="52">
        <f>MAX(Tabela3[[#This Row],[Cotação 1]],Tabela3[[#This Row],[Cotação 2]])</f>
        <v>2.1</v>
      </c>
      <c r="L94" s="48">
        <f>[Cotação]/[VPA]</f>
        <v>1.4329368399862619</v>
      </c>
      <c r="M94" s="44">
        <f>IF(Tabela3[[#This Row],[Lucro/Ação Ano]]&gt;0,Tabela3[[#This Row],[Cotação]]/Tabela3[[#This Row],[Lucro/Ação Ano]],0)</f>
        <v>10.324708988112153</v>
      </c>
      <c r="N94" s="6">
        <f>ROUND(Tabela3[[#This Row],[Lucro Prev]]/10%,2)</f>
        <v>1.18</v>
      </c>
      <c r="O94" s="17">
        <f>MIN(Tabela3[[#This Row],[10% Rent]],Tabela3[[#This Row],[VPA]]*2)</f>
        <v>1.18</v>
      </c>
      <c r="P94" s="19">
        <f>Tabela3[[#This Row],[P Compra]]/Tabela3[[#This Row],[Cotação]]-1</f>
        <v>-0.43809523809523809</v>
      </c>
      <c r="Q94" s="6">
        <f>Tabela3[[#This Row],[Lucro/Ação Ano]]*Tabela3[[#This Row],[Payout]]</f>
        <v>0.11816761631019428</v>
      </c>
      <c r="R94" s="14" t="str">
        <f>IF(AND([% Yield]&gt;=10%,[PVPA]&lt;=2,[PL]&lt;=15,[PL]&gt;0),"Sim","Não")</f>
        <v>Não</v>
      </c>
      <c r="S94" s="46">
        <f>Tabela3[[#This Row],[Lucro Prev]]/Tabela3[[#This Row],[Cotação]]</f>
        <v>5.627029348104489E-2</v>
      </c>
      <c r="T94" s="46">
        <f>(1+Tabela3[[#This Row],[% Yield]])^(1/12)-1</f>
        <v>4.5724311624306679E-3</v>
      </c>
      <c r="U94" s="14">
        <f>($AA$1/Tabela3[[#This Row],[Cotação]]-MOD($AA$1/Tabela3[[#This Row],[Cotação]],100))</f>
        <v>100</v>
      </c>
      <c r="V94" s="17">
        <f>Tabela3[[#This Row],[Ativos]]*Tabela3[[#This Row],[Lucro Prev]]</f>
        <v>11.816761631019428</v>
      </c>
      <c r="W94" s="5">
        <f>SUMPRODUCT(N(Tabela1[Código]=Tabela3[[#This Row],[PAPEL]]),Tabela1[Fechamento])</f>
        <v>2.1</v>
      </c>
      <c r="X94" s="5">
        <f>SUMPRODUCT(N(Tabela17[Código]=Tabela3[[#This Row],[PAPEL]]),Tabela17[Fechamento])</f>
        <v>0</v>
      </c>
    </row>
    <row r="95" spans="1:24">
      <c r="A95" s="4" t="s">
        <v>12</v>
      </c>
      <c r="B95" s="14" t="s">
        <v>102</v>
      </c>
      <c r="C95" s="15">
        <v>3</v>
      </c>
      <c r="D95" s="6">
        <v>1380983000</v>
      </c>
      <c r="E95" s="6">
        <v>154788000</v>
      </c>
      <c r="F95" s="42">
        <v>164183899</v>
      </c>
      <c r="G95" s="15">
        <f>Tabela3[[#This Row],[Lucro Líquido]]/Tabela3[[#This Row],[Total Ações]]</f>
        <v>0.94277210458986604</v>
      </c>
      <c r="H95" s="15">
        <f>Tabela3[[#This Row],[Lucro/Ação]]/Tabela3[[#This Row],[Ref]]*4</f>
        <v>1.2570294727864881</v>
      </c>
      <c r="I95" s="19">
        <f>IF(GETPIVOTDATA("Payout",'Tabela LL'!$A$3,"Ativo",Tabela3[[#This Row],[PAPEL]])&gt;1,1,GETPIVOTDATA("Payout",'Tabela LL'!$A$3,"Ativo",Tabela3[[#This Row],[PAPEL]]))</f>
        <v>0.49000251641148956</v>
      </c>
      <c r="J95" s="6">
        <f>[Patrimônio Líquido]/[Total Ações]</f>
        <v>8.4111962769260344</v>
      </c>
      <c r="K95" s="52">
        <f>MAX(Tabela3[[#This Row],[Cotação 1]],Tabela3[[#This Row],[Cotação 2]])</f>
        <v>15.4</v>
      </c>
      <c r="L95" s="48">
        <f>[Cotação]/[VPA]</f>
        <v>1.8308929542217391</v>
      </c>
      <c r="M95" s="44">
        <f>IF(Tabela3[[#This Row],[Lucro/Ação Ano]]&gt;0,Tabela3[[#This Row],[Cotação]]/Tabela3[[#This Row],[Lucro/Ação Ano]],0)</f>
        <v>12.251104952903326</v>
      </c>
      <c r="N95" s="6">
        <f>ROUND(Tabela3[[#This Row],[Lucro Prev]]/10%,2)</f>
        <v>6.16</v>
      </c>
      <c r="O95" s="61">
        <f>MIN(Tabela3[[#This Row],[10% Rent]],Tabela3[[#This Row],[VPA]]*2)</f>
        <v>6.16</v>
      </c>
      <c r="P95" s="19">
        <f>Tabela3[[#This Row],[P Compra]]/Tabela3[[#This Row],[Cotação]]-1</f>
        <v>-0.6</v>
      </c>
      <c r="Q95" s="6">
        <f>Tabela3[[#This Row],[Lucro/Ação Ano]]*Tabela3[[#This Row],[Payout]]</f>
        <v>0.61594760486878719</v>
      </c>
      <c r="R95" s="15" t="str">
        <f>IF(AND([% Yield]&gt;=10%,[PVPA]&lt;=2,[PL]&lt;=15,[PL]&gt;0),"Sim","Não")</f>
        <v>Não</v>
      </c>
      <c r="S95" s="46">
        <f>Tabela3[[#This Row],[Lucro Prev]]/Tabela3[[#This Row],[Cotação]]</f>
        <v>3.9996597718752414E-2</v>
      </c>
      <c r="T95" s="46">
        <f>(1+Tabela3[[#This Row],[% Yield]])^(1/12)-1</f>
        <v>3.2734662706164208E-3</v>
      </c>
      <c r="U95" s="14">
        <f>($AA$1/Tabela3[[#This Row],[Cotação]]-MOD($AA$1/Tabela3[[#This Row],[Cotação]],100))</f>
        <v>0</v>
      </c>
      <c r="V95" s="17">
        <f>Tabela3[[#This Row],[Ativos]]*Tabela3[[#This Row],[Lucro Prev]]</f>
        <v>0</v>
      </c>
      <c r="W95" s="5">
        <f>SUMPRODUCT(N(Tabela1[Código]=Tabela3[[#This Row],[PAPEL]]),Tabela1[Fechamento])</f>
        <v>15.4</v>
      </c>
      <c r="X95" s="5">
        <f>SUMPRODUCT(N(Tabela17[Código]=Tabela3[[#This Row],[PAPEL]]),Tabela17[Fechamento])</f>
        <v>0</v>
      </c>
    </row>
    <row r="96" spans="1:24">
      <c r="A96" s="25" t="s">
        <v>12</v>
      </c>
      <c r="B96" s="15" t="s">
        <v>35</v>
      </c>
      <c r="C96" s="16">
        <v>3</v>
      </c>
      <c r="D96" s="31">
        <v>2881205000</v>
      </c>
      <c r="E96" s="31">
        <v>130778000</v>
      </c>
      <c r="F96" s="28">
        <v>198447352</v>
      </c>
      <c r="G96" s="27">
        <f>Tabela3[[#This Row],[Lucro Líquido]]/Tabela3[[#This Row],[Total Ações]]</f>
        <v>0.65900602190952895</v>
      </c>
      <c r="H96" s="27">
        <f>Tabela3[[#This Row],[Lucro/Ação]]/Tabela3[[#This Row],[Ref]]*4</f>
        <v>0.87867469587937197</v>
      </c>
      <c r="I96" s="53">
        <f>IF(GETPIVOTDATA("Payout",'Tabela LL'!$A$3,"Ativo",Tabela3[[#This Row],[PAPEL]])&gt;1,1,GETPIVOTDATA("Payout",'Tabela LL'!$A$3,"Ativo",Tabela3[[#This Row],[PAPEL]]))</f>
        <v>0.90036243172799468</v>
      </c>
      <c r="J96" s="31">
        <f>[Patrimônio Líquido]/[Total Ações]</f>
        <v>14.518737443269083</v>
      </c>
      <c r="K96" s="32">
        <f>MAX(Tabela3[[#This Row],[Cotação 1]],Tabela3[[#This Row],[Cotação 2]])</f>
        <v>23.65</v>
      </c>
      <c r="L96" s="33">
        <f>[Cotação]/[VPA]</f>
        <v>1.6289295190033337</v>
      </c>
      <c r="M96" s="38">
        <f>IF(Tabela3[[#This Row],[Lucro/Ação Ano]]&gt;0,Tabela3[[#This Row],[Cotação]]/Tabela3[[#This Row],[Lucro/Ação Ano]],0)</f>
        <v>26.915535534264169</v>
      </c>
      <c r="N96" s="31">
        <f>ROUND(Tabela3[[#This Row],[Lucro Prev]]/10%,2)</f>
        <v>7.91</v>
      </c>
      <c r="O96" s="29">
        <f>MIN(Tabela3[[#This Row],[10% Rent]],Tabela3[[#This Row],[VPA]]*2)</f>
        <v>7.91</v>
      </c>
      <c r="P96" s="54">
        <f>Tabela3[[#This Row],[P Compra]]/Tabela3[[#This Row],[Cotação]]-1</f>
        <v>-0.6655391120507399</v>
      </c>
      <c r="Q96" s="6">
        <f>Tabela3[[#This Row],[Lucro/Ação Ano]]*Tabela3[[#This Row],[Payout]]</f>
        <v>0.79112568587980758</v>
      </c>
      <c r="R96" s="26" t="str">
        <f>IF(AND([% Yield]&gt;=10%,[PVPA]&lt;=2,[PL]&lt;=15,[PL]&gt;0),"Sim","Não")</f>
        <v>Não</v>
      </c>
      <c r="S96" s="30">
        <f>Tabela3[[#This Row],[Lucro Prev]]/Tabela3[[#This Row],[Cotação]]</f>
        <v>3.3451403208448527E-2</v>
      </c>
      <c r="T96" s="30">
        <f>(1+Tabela3[[#This Row],[% Yield]])^(1/12)-1</f>
        <v>2.7457691934944517E-3</v>
      </c>
      <c r="U96" s="10">
        <f>($AA$1/Tabela3[[#This Row],[Cotação]]-MOD($AA$1/Tabela3[[#This Row],[Cotação]],100))</f>
        <v>0</v>
      </c>
      <c r="V96" s="7">
        <f>Tabela3[[#This Row],[Ativos]]*Tabela3[[#This Row],[Lucro Prev]]</f>
        <v>0</v>
      </c>
      <c r="W96" s="5">
        <f>SUMPRODUCT(N(Tabela1[Código]=Tabela3[[#This Row],[PAPEL]]),Tabela1[Fechamento])</f>
        <v>23.65</v>
      </c>
      <c r="X96" s="5">
        <f>SUMPRODUCT(N(Tabela17[Código]=Tabela3[[#This Row],[PAPEL]]),Tabela17[Fechamento])</f>
        <v>0</v>
      </c>
    </row>
    <row r="97" spans="1:24">
      <c r="A97" s="4" t="s">
        <v>391</v>
      </c>
      <c r="B97" s="70" t="s">
        <v>390</v>
      </c>
      <c r="C97" s="15">
        <v>3</v>
      </c>
      <c r="D97" s="6">
        <v>502819000</v>
      </c>
      <c r="E97" s="6">
        <v>76981000</v>
      </c>
      <c r="F97" s="42">
        <v>89500000</v>
      </c>
      <c r="G97" s="72">
        <f>Tabela3[[#This Row],[Lucro Líquido]]/Tabela3[[#This Row],[Total Ações]]</f>
        <v>0.86012290502793298</v>
      </c>
      <c r="H97" s="15">
        <f>Tabela3[[#This Row],[Lucro/Ação]]/Tabela3[[#This Row],[Ref]]*4</f>
        <v>1.1468305400372441</v>
      </c>
      <c r="I97" s="19">
        <f>IF(GETPIVOTDATA("Payout",'Tabela LL'!$A$3,"Ativo",Tabela3[[#This Row],[PAPEL]])&gt;1,1,GETPIVOTDATA("Payout",'Tabela LL'!$A$3,"Ativo",Tabela3[[#This Row],[PAPEL]]))</f>
        <v>0.72124852747572954</v>
      </c>
      <c r="J97" s="6">
        <f>[Patrimônio Líquido]/[Total Ações]</f>
        <v>5.6180893854748604</v>
      </c>
      <c r="K97" s="52">
        <f>MAX(Tabela3[[#This Row],[Cotação 1]],Tabela3[[#This Row],[Cotação 2]])</f>
        <v>8.2799999999999994</v>
      </c>
      <c r="L97" s="48">
        <f>[Cotação]/[VPA]</f>
        <v>1.4738106555241548</v>
      </c>
      <c r="M97" s="44">
        <f>IF(Tabela3[[#This Row],[Lucro/Ação Ano]]&gt;0,Tabela3[[#This Row],[Cotação]]/Tabela3[[#This Row],[Lucro/Ação Ano]],0)</f>
        <v>7.2198984164923798</v>
      </c>
      <c r="N97" s="17">
        <f>ROUND(Tabela3[[#This Row],[Lucro Prev]]/10%,2)</f>
        <v>8.27</v>
      </c>
      <c r="O97" s="13">
        <f>MIN(Tabela3[[#This Row],[10% Rent]],Tabela3[[#This Row],[VPA]]*2)</f>
        <v>8.27</v>
      </c>
      <c r="P97" s="19">
        <f>Tabela3[[#This Row],[P Compra]]/Tabela3[[#This Row],[Cotação]]-1</f>
        <v>-1.2077294685990392E-3</v>
      </c>
      <c r="Q97" s="6">
        <f>Tabela3[[#This Row],[Lucro/Ação Ano]]*Tabela3[[#This Row],[Payout]]</f>
        <v>0.82714983826605792</v>
      </c>
      <c r="R97" s="15" t="str">
        <f>IF(AND([% Yield]&gt;=10%,[PVPA]&lt;=2,[PL]&lt;=15,[PL]&gt;0),"Sim","Não")</f>
        <v>Não</v>
      </c>
      <c r="S97" s="46">
        <f>Tabela3[[#This Row],[Lucro Prev]]/Tabela3[[#This Row],[Cotação]]</f>
        <v>9.9897323462084298E-2</v>
      </c>
      <c r="T97" s="46">
        <f>(1+Tabela3[[#This Row],[% Yield]])^(1/12)-1</f>
        <v>7.9662995407949744E-3</v>
      </c>
      <c r="U97" s="14">
        <f>($AA$1/Tabela3[[#This Row],[Cotação]]-MOD($AA$1/Tabela3[[#This Row],[Cotação]],100))</f>
        <v>0</v>
      </c>
      <c r="V97" s="17">
        <f>Tabela3[[#This Row],[Ativos]]*Tabela3[[#This Row],[Lucro Prev]]</f>
        <v>0</v>
      </c>
      <c r="W97" s="13">
        <f>SUMPRODUCT(N(Tabela1[Código]=Tabela3[[#This Row],[PAPEL]]),Tabela1[Fechamento])</f>
        <v>0</v>
      </c>
      <c r="X97" s="61">
        <f>SUMPRODUCT(N(Tabela17[Código]=Tabela3[[#This Row],[PAPEL]]),Tabela17[Fechamento])</f>
        <v>8.2799999999999994</v>
      </c>
    </row>
    <row r="98" spans="1:24">
      <c r="A98" s="4" t="s">
        <v>369</v>
      </c>
      <c r="B98" s="70" t="s">
        <v>371</v>
      </c>
      <c r="C98" s="15">
        <v>3</v>
      </c>
      <c r="D98" s="6">
        <v>1148966000</v>
      </c>
      <c r="E98" s="6">
        <v>80315000</v>
      </c>
      <c r="F98" s="42">
        <v>92619256</v>
      </c>
      <c r="G98" s="72">
        <f>Tabela3[[#This Row],[Lucro Líquido]]/Tabela3[[#This Row],[Total Ações]]</f>
        <v>0.86715229066404942</v>
      </c>
      <c r="H98" s="15">
        <f>Tabela3[[#This Row],[Lucro/Ação]]/Tabela3[[#This Row],[Ref]]*4</f>
        <v>1.1562030542187325</v>
      </c>
      <c r="I98" s="19">
        <f>IF(GETPIVOTDATA("Payout",'Tabela LL'!$A$3,"Ativo",Tabela3[[#This Row],[PAPEL]])&gt;1,1,GETPIVOTDATA("Payout",'Tabela LL'!$A$3,"Ativo",Tabela3[[#This Row],[PAPEL]]))</f>
        <v>0.2386150637582162</v>
      </c>
      <c r="J98" s="6">
        <f>[Patrimônio Líquido]/[Total Ações]</f>
        <v>12.40526052163494</v>
      </c>
      <c r="K98" s="52">
        <f>MAX(Tabela3[[#This Row],[Cotação 1]],Tabela3[[#This Row],[Cotação 2]])</f>
        <v>6.61</v>
      </c>
      <c r="L98" s="48">
        <f>[Cotação]/[VPA]</f>
        <v>0.53283846707387339</v>
      </c>
      <c r="M98" s="44">
        <f>IF(Tabela3[[#This Row],[Lucro/Ação Ano]]&gt;0,Tabela3[[#This Row],[Cotação]]/Tabela3[[#This Row],[Lucro/Ação Ano]],0)</f>
        <v>5.7169888765485908</v>
      </c>
      <c r="N98" s="17">
        <f>ROUND(Tabela3[[#This Row],[Lucro Prev]]/10%,2)</f>
        <v>2.76</v>
      </c>
      <c r="O98" s="13">
        <f>MIN(Tabela3[[#This Row],[10% Rent]],Tabela3[[#This Row],[VPA]]*2)</f>
        <v>2.76</v>
      </c>
      <c r="P98" s="19">
        <f>Tabela3[[#This Row],[P Compra]]/Tabela3[[#This Row],[Cotação]]-1</f>
        <v>-0.58245083207261727</v>
      </c>
      <c r="Q98" s="6">
        <f>Tabela3[[#This Row],[Lucro/Ação Ano]]*Tabela3[[#This Row],[Payout]]</f>
        <v>0.27588746549984716</v>
      </c>
      <c r="R98" s="15" t="str">
        <f>IF(AND([% Yield]&gt;=10%,[PVPA]&lt;=2,[PL]&lt;=15,[PL]&gt;0),"Sim","Não")</f>
        <v>Não</v>
      </c>
      <c r="S98" s="46">
        <f>Tabela3[[#This Row],[Lucro Prev]]/Tabela3[[#This Row],[Cotação]]</f>
        <v>4.1737891906179596E-2</v>
      </c>
      <c r="T98" s="46">
        <f>(1+Tabela3[[#This Row],[% Yield]])^(1/12)-1</f>
        <v>3.413342933704655E-3</v>
      </c>
      <c r="U98" s="14">
        <f>($AA$1/Tabela3[[#This Row],[Cotação]]-MOD($AA$1/Tabela3[[#This Row],[Cotação]],100))</f>
        <v>0</v>
      </c>
      <c r="V98" s="17">
        <f>Tabela3[[#This Row],[Ativos]]*Tabela3[[#This Row],[Lucro Prev]]</f>
        <v>0</v>
      </c>
      <c r="W98" s="13">
        <f>SUMPRODUCT(N(Tabela1[Código]=Tabela3[[#This Row],[PAPEL]]),Tabela1[Fechamento])</f>
        <v>0</v>
      </c>
      <c r="X98" s="61">
        <f>SUMPRODUCT(N(Tabela17[Código]=Tabela3[[#This Row],[PAPEL]]),Tabela17[Fechamento])</f>
        <v>6.61</v>
      </c>
    </row>
    <row r="99" spans="1:24">
      <c r="A99" s="3" t="s">
        <v>275</v>
      </c>
      <c r="B99" s="14" t="s">
        <v>272</v>
      </c>
      <c r="C99" s="16">
        <v>3</v>
      </c>
      <c r="D99" s="5">
        <v>1206918000</v>
      </c>
      <c r="E99" s="5">
        <v>49929000</v>
      </c>
      <c r="F99" s="21">
        <v>88320000</v>
      </c>
      <c r="G99" s="16">
        <f>Tabela3[[#This Row],[Lucro Líquido]]/Tabela3[[#This Row],[Total Ações]]</f>
        <v>0.56531929347826082</v>
      </c>
      <c r="H99" s="16">
        <f>Tabela3[[#This Row],[Lucro/Ação]]/Tabela3[[#This Row],[Ref]]*4</f>
        <v>0.75375905797101439</v>
      </c>
      <c r="I99" s="18">
        <f>IF(GETPIVOTDATA("Payout",'Tabela LL'!$A$3,"Ativo",Tabela3[[#This Row],[PAPEL]])&gt;1,1,GETPIVOTDATA("Payout",'Tabela LL'!$A$3,"Ativo",Tabela3[[#This Row],[PAPEL]]))</f>
        <v>0.22491646614074809</v>
      </c>
      <c r="J99" s="5">
        <f>[Patrimônio Líquido]/[Total Ações]</f>
        <v>13.665285326086957</v>
      </c>
      <c r="K99" s="58">
        <f>MAX(Tabela3[[#This Row],[Cotação 1]],Tabela3[[#This Row],[Cotação 2]])</f>
        <v>19</v>
      </c>
      <c r="L99" s="59">
        <f>[Cotação]/[VPA]</f>
        <v>1.3903844337394917</v>
      </c>
      <c r="M99" s="40">
        <f>IF(Tabela3[[#This Row],[Lucro/Ação Ano]]&gt;0,Tabela3[[#This Row],[Cotação]]/Tabela3[[#This Row],[Lucro/Ação Ano]],0)</f>
        <v>25.206993931382566</v>
      </c>
      <c r="N99" s="5">
        <f>ROUND(Tabela3[[#This Row],[Lucro Prev]]/10%,2)</f>
        <v>1.7</v>
      </c>
      <c r="O99" s="60">
        <f>MIN(Tabela3[[#This Row],[10% Rent]],Tabela3[[#This Row],[VPA]]*2)</f>
        <v>1.7</v>
      </c>
      <c r="P99" s="18">
        <f>Tabela3[[#This Row],[P Compra]]/Tabela3[[#This Row],[Cotação]]-1</f>
        <v>-0.91052631578947363</v>
      </c>
      <c r="Q99" s="5">
        <f>Tabela3[[#This Row],[Lucro/Ação Ano]]*Tabela3[[#This Row],[Payout]]</f>
        <v>0.16953282364041983</v>
      </c>
      <c r="R99" s="16" t="str">
        <f>IF(AND([% Yield]&gt;=10%,[PVPA]&lt;=2,[PL]&lt;=15,[PL]&gt;0),"Sim","Não")</f>
        <v>Não</v>
      </c>
      <c r="S99" s="22">
        <f>Tabela3[[#This Row],[Lucro Prev]]/Tabela3[[#This Row],[Cotação]]</f>
        <v>8.922780191601044E-3</v>
      </c>
      <c r="T99" s="22">
        <f>(1+Tabela3[[#This Row],[% Yield]])^(1/12)-1</f>
        <v>7.4054134992307397E-4</v>
      </c>
      <c r="U99" s="10">
        <f>($AA$1/Tabela3[[#This Row],[Cotação]]-MOD($AA$1/Tabela3[[#This Row],[Cotação]],100))</f>
        <v>0</v>
      </c>
      <c r="V99" s="7">
        <f>Tabela3[[#This Row],[Ativos]]*Tabela3[[#This Row],[Lucro Prev]]</f>
        <v>0</v>
      </c>
      <c r="W99" s="5">
        <f>SUMPRODUCT(N(Tabela1[Código]=Tabela3[[#This Row],[PAPEL]]),Tabela1[Fechamento])</f>
        <v>19</v>
      </c>
      <c r="X99" s="5">
        <f>SUMPRODUCT(N(Tabela17[Código]=Tabela3[[#This Row],[PAPEL]]),Tabela17[Fechamento])</f>
        <v>0</v>
      </c>
    </row>
    <row r="100" spans="1:24">
      <c r="A100" s="3" t="s">
        <v>275</v>
      </c>
      <c r="B100" s="15" t="s">
        <v>83</v>
      </c>
      <c r="C100" s="16">
        <v>3</v>
      </c>
      <c r="D100" s="5">
        <v>1206918000</v>
      </c>
      <c r="E100" s="5">
        <v>49929000</v>
      </c>
      <c r="F100" s="21">
        <v>88320000</v>
      </c>
      <c r="G100" s="16">
        <f>Tabela3[[#This Row],[Lucro Líquido]]/Tabela3[[#This Row],[Total Ações]]</f>
        <v>0.56531929347826082</v>
      </c>
      <c r="H100" s="16">
        <f>Tabela3[[#This Row],[Lucro/Ação]]/Tabela3[[#This Row],[Ref]]*4</f>
        <v>0.75375905797101439</v>
      </c>
      <c r="I100" s="18">
        <f>IF(GETPIVOTDATA("Payout",'Tabela LL'!$A$3,"Ativo",Tabela3[[#This Row],[PAPEL]])&gt;1,1,GETPIVOTDATA("Payout",'Tabela LL'!$A$3,"Ativo",Tabela3[[#This Row],[PAPEL]]))</f>
        <v>0.24741229164584114</v>
      </c>
      <c r="J100" s="5">
        <f>[Patrimônio Líquido]/[Total Ações]</f>
        <v>13.665285326086957</v>
      </c>
      <c r="K100" s="58">
        <f>MAX(Tabela3[[#This Row],[Cotação 1]],Tabela3[[#This Row],[Cotação 2]])</f>
        <v>12.35</v>
      </c>
      <c r="L100" s="59">
        <f>[Cotação]/[VPA]</f>
        <v>0.90374988193066963</v>
      </c>
      <c r="M100" s="40">
        <f>IF(Tabela3[[#This Row],[Lucro/Ação Ano]]&gt;0,Tabela3[[#This Row],[Cotação]]/Tabela3[[#This Row],[Lucro/Ação Ano]],0)</f>
        <v>16.384546055398669</v>
      </c>
      <c r="N100" s="5">
        <f>ROUND(Tabela3[[#This Row],[Lucro Prev]]/10%,2)</f>
        <v>1.86</v>
      </c>
      <c r="O100" s="60">
        <f>MIN(Tabela3[[#This Row],[10% Rent]],Tabela3[[#This Row],[VPA]]*2)</f>
        <v>1.86</v>
      </c>
      <c r="P100" s="18">
        <f>Tabela3[[#This Row],[P Compra]]/Tabela3[[#This Row],[Cotação]]-1</f>
        <v>-0.84939271255060733</v>
      </c>
      <c r="Q100" s="5">
        <f>Tabela3[[#This Row],[Lucro/Ação Ano]]*Tabela3[[#This Row],[Payout]]</f>
        <v>0.1864892558814191</v>
      </c>
      <c r="R100" s="16" t="str">
        <f>IF(AND([% Yield]&gt;=10%,[PVPA]&lt;=2,[PL]&lt;=15,[PL]&gt;0),"Sim","Não")</f>
        <v>Não</v>
      </c>
      <c r="S100" s="22">
        <f>Tabela3[[#This Row],[Lucro Prev]]/Tabela3[[#This Row],[Cotação]]</f>
        <v>1.5100344605782924E-2</v>
      </c>
      <c r="T100" s="22">
        <f>(1+Tabela3[[#This Row],[% Yield]])^(1/12)-1</f>
        <v>1.2497360440557603E-3</v>
      </c>
      <c r="U100" s="10">
        <f>($AA$1/Tabela3[[#This Row],[Cotação]]-MOD($AA$1/Tabela3[[#This Row],[Cotação]],100))</f>
        <v>0</v>
      </c>
      <c r="V100" s="7">
        <f>Tabela3[[#This Row],[Ativos]]*Tabela3[[#This Row],[Lucro Prev]]</f>
        <v>0</v>
      </c>
      <c r="W100" s="5">
        <f>SUMPRODUCT(N(Tabela1[Código]=Tabela3[[#This Row],[PAPEL]]),Tabela1[Fechamento])</f>
        <v>12.35</v>
      </c>
      <c r="X100" s="5">
        <f>SUMPRODUCT(N(Tabela17[Código]=Tabela3[[#This Row],[PAPEL]]),Tabela17[Fechamento])</f>
        <v>0</v>
      </c>
    </row>
    <row r="101" spans="1:24">
      <c r="A101" s="4" t="s">
        <v>12</v>
      </c>
      <c r="B101" s="14" t="s">
        <v>181</v>
      </c>
      <c r="C101" s="15">
        <v>3</v>
      </c>
      <c r="D101" s="6">
        <v>2745488000</v>
      </c>
      <c r="E101" s="6">
        <v>276732000</v>
      </c>
      <c r="F101" s="42">
        <v>94433283</v>
      </c>
      <c r="G101" s="15">
        <f>Tabela3[[#This Row],[Lucro Líquido]]/Tabela3[[#This Row],[Total Ações]]</f>
        <v>2.9304498499750347</v>
      </c>
      <c r="H101" s="15">
        <f>Tabela3[[#This Row],[Lucro/Ação]]/Tabela3[[#This Row],[Ref]]*4</f>
        <v>3.9072664666333794</v>
      </c>
      <c r="I101" s="19">
        <f>IF(GETPIVOTDATA("Payout",'Tabela LL'!$A$3,"Ativo",Tabela3[[#This Row],[PAPEL]])&gt;1,1,GETPIVOTDATA("Payout",'Tabela LL'!$A$3,"Ativo",Tabela3[[#This Row],[PAPEL]]))</f>
        <v>1</v>
      </c>
      <c r="J101" s="6">
        <f>[Patrimônio Líquido]/[Total Ações]</f>
        <v>29.073308824813388</v>
      </c>
      <c r="K101" s="52">
        <f>MAX(Tabela3[[#This Row],[Cotação 1]],Tabela3[[#This Row],[Cotação 2]])</f>
        <v>62.04</v>
      </c>
      <c r="L101" s="48">
        <f>[Cotação]/[VPA]</f>
        <v>2.1339160387224418</v>
      </c>
      <c r="M101" s="44">
        <f>IF(Tabela3[[#This Row],[Lucro/Ação Ano]]&gt;0,Tabela3[[#This Row],[Cotação]]/Tabela3[[#This Row],[Lucro/Ação Ano]],0)</f>
        <v>15.878108270781841</v>
      </c>
      <c r="N101" s="6">
        <f>ROUND(Tabela3[[#This Row],[Lucro Prev]]/10%,2)</f>
        <v>39.07</v>
      </c>
      <c r="O101" s="61">
        <f>MIN(Tabela3[[#This Row],[10% Rent]],Tabela3[[#This Row],[VPA]]*2)</f>
        <v>39.07</v>
      </c>
      <c r="P101" s="19">
        <f>Tabela3[[#This Row],[P Compra]]/Tabela3[[#This Row],[Cotação]]-1</f>
        <v>-0.37024500322372667</v>
      </c>
      <c r="Q101" s="6">
        <f>Tabela3[[#This Row],[Lucro/Ação Ano]]*Tabela3[[#This Row],[Payout]]</f>
        <v>3.9072664666333794</v>
      </c>
      <c r="R101" s="15" t="str">
        <f>IF(AND([% Yield]&gt;=10%,[PVPA]&lt;=2,[PL]&lt;=15,[PL]&gt;0),"Sim","Não")</f>
        <v>Não</v>
      </c>
      <c r="S101" s="46">
        <f>Tabela3[[#This Row],[Lucro Prev]]/Tabela3[[#This Row],[Cotação]]</f>
        <v>6.2979794755534807E-2</v>
      </c>
      <c r="T101" s="46">
        <f>(1+Tabela3[[#This Row],[% Yield]])^(1/12)-1</f>
        <v>5.1026486799163884E-3</v>
      </c>
      <c r="U101" s="14">
        <f>($AA$1/Tabela3[[#This Row],[Cotação]]-MOD($AA$1/Tabela3[[#This Row],[Cotação]],100))</f>
        <v>0</v>
      </c>
      <c r="V101" s="17">
        <f>Tabela3[[#This Row],[Ativos]]*Tabela3[[#This Row],[Lucro Prev]]</f>
        <v>0</v>
      </c>
      <c r="W101" s="5">
        <f>SUMPRODUCT(N(Tabela1[Código]=Tabela3[[#This Row],[PAPEL]]),Tabela1[Fechamento])</f>
        <v>62.04</v>
      </c>
      <c r="X101" s="5">
        <f>SUMPRODUCT(N(Tabela17[Código]=Tabela3[[#This Row],[PAPEL]]),Tabela17[Fechamento])</f>
        <v>0</v>
      </c>
    </row>
    <row r="102" spans="1:24">
      <c r="A102" s="25" t="s">
        <v>12</v>
      </c>
      <c r="B102" s="15" t="s">
        <v>38</v>
      </c>
      <c r="C102" s="15">
        <v>3</v>
      </c>
      <c r="D102" s="31">
        <v>2745488000</v>
      </c>
      <c r="E102" s="31">
        <v>276732000</v>
      </c>
      <c r="F102" s="28">
        <v>94433283</v>
      </c>
      <c r="G102" s="27">
        <f>Tabela3[[#This Row],[Lucro Líquido]]/Tabela3[[#This Row],[Total Ações]]</f>
        <v>2.9304498499750347</v>
      </c>
      <c r="H102" s="27">
        <f>Tabela3[[#This Row],[Lucro/Ação]]/Tabela3[[#This Row],[Ref]]*4</f>
        <v>3.9072664666333794</v>
      </c>
      <c r="I102" s="53">
        <f>IF(GETPIVOTDATA("Payout",'Tabela LL'!$A$3,"Ativo",Tabela3[[#This Row],[PAPEL]])&gt;1,1,GETPIVOTDATA("Payout",'Tabela LL'!$A$3,"Ativo",Tabela3[[#This Row],[PAPEL]]))</f>
        <v>1</v>
      </c>
      <c r="J102" s="31">
        <f>[Patrimônio Líquido]/[Total Ações]</f>
        <v>29.073308824813388</v>
      </c>
      <c r="K102" s="32">
        <f>MAX(Tabela3[[#This Row],[Cotação 1]],Tabela3[[#This Row],[Cotação 2]])</f>
        <v>61.99</v>
      </c>
      <c r="L102" s="33">
        <f>[Cotação]/[VPA]</f>
        <v>2.1321962482334653</v>
      </c>
      <c r="M102" s="38">
        <f>IF(Tabela3[[#This Row],[Lucro/Ação Ano]]&gt;0,Tabela3[[#This Row],[Cotação]]/Tabela3[[#This Row],[Lucro/Ação Ano]],0)</f>
        <v>15.865311600673216</v>
      </c>
      <c r="N102" s="31">
        <f>ROUND(Tabela3[[#This Row],[Lucro Prev]]/10%,2)</f>
        <v>39.07</v>
      </c>
      <c r="O102" s="29">
        <f>MIN(Tabela3[[#This Row],[10% Rent]],Tabela3[[#This Row],[VPA]]*2)</f>
        <v>39.07</v>
      </c>
      <c r="P102" s="54">
        <f>Tabela3[[#This Row],[P Compra]]/Tabela3[[#This Row],[Cotação]]-1</f>
        <v>-0.36973705436360704</v>
      </c>
      <c r="Q102" s="6">
        <f>Tabela3[[#This Row],[Lucro/Ação Ano]]*Tabela3[[#This Row],[Payout]]</f>
        <v>3.9072664666333794</v>
      </c>
      <c r="R102" s="26" t="str">
        <f>IF(AND([% Yield]&gt;=10%,[PVPA]&lt;=2,[PL]&lt;=15,[PL]&gt;0),"Sim","Não")</f>
        <v>Não</v>
      </c>
      <c r="S102" s="30">
        <f>Tabela3[[#This Row],[Lucro Prev]]/Tabela3[[#This Row],[Cotação]]</f>
        <v>6.3030593105878038E-2</v>
      </c>
      <c r="T102" s="30">
        <f>(1+Tabela3[[#This Row],[% Yield]])^(1/12)-1</f>
        <v>5.1066512989723645E-3</v>
      </c>
      <c r="U102" s="10">
        <f>($AA$1/Tabela3[[#This Row],[Cotação]]-MOD($AA$1/Tabela3[[#This Row],[Cotação]],100))</f>
        <v>0</v>
      </c>
      <c r="V102" s="7">
        <f>Tabela3[[#This Row],[Ativos]]*Tabela3[[#This Row],[Lucro Prev]]</f>
        <v>0</v>
      </c>
      <c r="W102" s="5">
        <f>SUMPRODUCT(N(Tabela1[Código]=Tabela3[[#This Row],[PAPEL]]),Tabela1[Fechamento])</f>
        <v>61.99</v>
      </c>
      <c r="X102" s="5">
        <f>SUMPRODUCT(N(Tabela17[Código]=Tabela3[[#This Row],[PAPEL]]),Tabela17[Fechamento])</f>
        <v>0</v>
      </c>
    </row>
    <row r="103" spans="1:24">
      <c r="A103" s="25" t="s">
        <v>12</v>
      </c>
      <c r="B103" s="15" t="s">
        <v>29</v>
      </c>
      <c r="C103" s="16">
        <v>3</v>
      </c>
      <c r="D103" s="31">
        <v>1813045000</v>
      </c>
      <c r="E103" s="31">
        <v>650993000</v>
      </c>
      <c r="F103" s="28">
        <v>381253493</v>
      </c>
      <c r="G103" s="27">
        <f>Tabela3[[#This Row],[Lucro Líquido]]/Tabela3[[#This Row],[Total Ações]]</f>
        <v>1.7075069788278634</v>
      </c>
      <c r="H103" s="27">
        <f>Tabela3[[#This Row],[Lucro/Ação]]/Tabela3[[#This Row],[Ref]]*4</f>
        <v>2.2766759717704845</v>
      </c>
      <c r="I103" s="53">
        <f>IF(GETPIVOTDATA("Payout",'Tabela LL'!$A$3,"Ativo",Tabela3[[#This Row],[PAPEL]])&gt;1,1,GETPIVOTDATA("Payout",'Tabela LL'!$A$3,"Ativo",Tabela3[[#This Row],[PAPEL]]))</f>
        <v>1</v>
      </c>
      <c r="J103" s="31">
        <f>[Patrimônio Líquido]/[Total Ações]</f>
        <v>4.7554842992612265</v>
      </c>
      <c r="K103" s="32">
        <f>MAX(Tabela3[[#This Row],[Cotação 1]],Tabela3[[#This Row],[Cotação 2]])</f>
        <v>17.239999999999998</v>
      </c>
      <c r="L103" s="33">
        <f>[Cotação]/[VPA]</f>
        <v>3.6252879654503887</v>
      </c>
      <c r="M103" s="38">
        <f>IF(Tabela3[[#This Row],[Lucro/Ação Ano]]&gt;0,Tabela3[[#This Row],[Cotação]]/Tabela3[[#This Row],[Lucro/Ação Ano]],0)</f>
        <v>7.5724434279477659</v>
      </c>
      <c r="N103" s="31">
        <f>ROUND(Tabela3[[#This Row],[Lucro Prev]]/10%,2)</f>
        <v>22.77</v>
      </c>
      <c r="O103" s="29">
        <f>MIN(Tabela3[[#This Row],[10% Rent]],Tabela3[[#This Row],[VPA]]*2)</f>
        <v>9.510968598522453</v>
      </c>
      <c r="P103" s="54">
        <f>Tabela3[[#This Row],[P Compra]]/Tabela3[[#This Row],[Cotação]]-1</f>
        <v>-0.44831968686064649</v>
      </c>
      <c r="Q103" s="6">
        <f>Tabela3[[#This Row],[Lucro/Ação Ano]]*Tabela3[[#This Row],[Payout]]</f>
        <v>2.2766759717704845</v>
      </c>
      <c r="R103" s="26" t="str">
        <f>IF(AND([% Yield]&gt;=10%,[PVPA]&lt;=2,[PL]&lt;=15,[PL]&gt;0),"Sim","Não")</f>
        <v>Não</v>
      </c>
      <c r="S103" s="30">
        <f>Tabela3[[#This Row],[Lucro Prev]]/Tabela3[[#This Row],[Cotação]]</f>
        <v>0.13205777098436686</v>
      </c>
      <c r="T103" s="30">
        <f>(1+Tabela3[[#This Row],[% Yield]])^(1/12)-1</f>
        <v>1.0390023045384167E-2</v>
      </c>
      <c r="U103" s="10">
        <f>($AA$1/Tabela3[[#This Row],[Cotação]]-MOD($AA$1/Tabela3[[#This Row],[Cotação]],100))</f>
        <v>0</v>
      </c>
      <c r="V103" s="7">
        <f>Tabela3[[#This Row],[Ativos]]*Tabela3[[#This Row],[Lucro Prev]]</f>
        <v>0</v>
      </c>
      <c r="W103" s="5">
        <f>SUMPRODUCT(N(Tabela1[Código]=Tabela3[[#This Row],[PAPEL]]),Tabela1[Fechamento])</f>
        <v>17.239999999999998</v>
      </c>
      <c r="X103" s="5">
        <f>SUMPRODUCT(N(Tabela17[Código]=Tabela3[[#This Row],[PAPEL]]),Tabela17[Fechamento])</f>
        <v>0</v>
      </c>
    </row>
    <row r="104" spans="1:24">
      <c r="A104" s="25" t="s">
        <v>12</v>
      </c>
      <c r="B104" s="15" t="s">
        <v>33</v>
      </c>
      <c r="C104" s="15">
        <v>3</v>
      </c>
      <c r="D104" s="31">
        <v>1813045000</v>
      </c>
      <c r="E104" s="31">
        <v>650993000</v>
      </c>
      <c r="F104" s="28">
        <v>381253493</v>
      </c>
      <c r="G104" s="27">
        <f>Tabela3[[#This Row],[Lucro Líquido]]/Tabela3[[#This Row],[Total Ações]]</f>
        <v>1.7075069788278634</v>
      </c>
      <c r="H104" s="27">
        <f>Tabela3[[#This Row],[Lucro/Ação]]/Tabela3[[#This Row],[Ref]]*4</f>
        <v>2.2766759717704845</v>
      </c>
      <c r="I104" s="53">
        <f>IF(GETPIVOTDATA("Payout",'Tabela LL'!$A$3,"Ativo",Tabela3[[#This Row],[PAPEL]])&gt;1,1,GETPIVOTDATA("Payout",'Tabela LL'!$A$3,"Ativo",Tabela3[[#This Row],[PAPEL]]))</f>
        <v>1</v>
      </c>
      <c r="J104" s="31">
        <f>[Patrimônio Líquido]/[Total Ações]</f>
        <v>4.7554842992612265</v>
      </c>
      <c r="K104" s="32">
        <f>MAX(Tabela3[[#This Row],[Cotação 1]],Tabela3[[#This Row],[Cotação 2]])</f>
        <v>18.760000000000002</v>
      </c>
      <c r="L104" s="33">
        <f>[Cotação]/[VPA]</f>
        <v>3.9449189229610964</v>
      </c>
      <c r="M104" s="38">
        <f>IF(Tabela3[[#This Row],[Lucro/Ação Ano]]&gt;0,Tabela3[[#This Row],[Cotação]]/Tabela3[[#This Row],[Lucro/Ação Ano]],0)</f>
        <v>8.2400834517575472</v>
      </c>
      <c r="N104" s="31">
        <f>ROUND(Tabela3[[#This Row],[Lucro Prev]]/10%,2)</f>
        <v>22.77</v>
      </c>
      <c r="O104" s="29">
        <f>MIN(Tabela3[[#This Row],[10% Rent]],Tabela3[[#This Row],[VPA]]*2)</f>
        <v>9.510968598522453</v>
      </c>
      <c r="P104" s="54">
        <f>Tabela3[[#This Row],[P Compra]]/Tabela3[[#This Row],[Cotação]]-1</f>
        <v>-0.49301873142204411</v>
      </c>
      <c r="Q104" s="6">
        <f>Tabela3[[#This Row],[Lucro/Ação Ano]]*Tabela3[[#This Row],[Payout]]</f>
        <v>2.2766759717704845</v>
      </c>
      <c r="R104" s="26" t="str">
        <f>IF(AND([% Yield]&gt;=10%,[PVPA]&lt;=2,[PL]&lt;=15,[PL]&gt;0),"Sim","Não")</f>
        <v>Não</v>
      </c>
      <c r="S104" s="30">
        <f>Tabela3[[#This Row],[Lucro Prev]]/Tabela3[[#This Row],[Cotação]]</f>
        <v>0.12135799423083606</v>
      </c>
      <c r="T104" s="30">
        <f>(1+Tabela3[[#This Row],[% Yield]])^(1/12)-1</f>
        <v>9.5907362911151761E-3</v>
      </c>
      <c r="U104" s="10">
        <f>($AA$1/Tabela3[[#This Row],[Cotação]]-MOD($AA$1/Tabela3[[#This Row],[Cotação]],100))</f>
        <v>0</v>
      </c>
      <c r="V104" s="7">
        <f>Tabela3[[#This Row],[Ativos]]*Tabela3[[#This Row],[Lucro Prev]]</f>
        <v>0</v>
      </c>
      <c r="W104" s="5">
        <f>SUMPRODUCT(N(Tabela1[Código]=Tabela3[[#This Row],[PAPEL]]),Tabela1[Fechamento])</f>
        <v>18.760000000000002</v>
      </c>
      <c r="X104" s="5">
        <f>SUMPRODUCT(N(Tabela17[Código]=Tabela3[[#This Row],[PAPEL]]),Tabela17[Fechamento])</f>
        <v>0</v>
      </c>
    </row>
    <row r="105" spans="1:24">
      <c r="A105" s="4" t="s">
        <v>12</v>
      </c>
      <c r="B105" s="14" t="s">
        <v>192</v>
      </c>
      <c r="C105" s="15">
        <v>3</v>
      </c>
      <c r="D105" s="6">
        <v>20809000</v>
      </c>
      <c r="E105" s="6">
        <v>1860000</v>
      </c>
      <c r="F105" s="42">
        <v>166355563</v>
      </c>
      <c r="G105" s="15">
        <f>Tabela3[[#This Row],[Lucro Líquido]]/Tabela3[[#This Row],[Total Ações]]</f>
        <v>1.1180870458777505E-2</v>
      </c>
      <c r="H105" s="15">
        <f>Tabela3[[#This Row],[Lucro/Ação]]/Tabela3[[#This Row],[Ref]]*4</f>
        <v>1.4907827278370006E-2</v>
      </c>
      <c r="I105" s="19">
        <f>IF(GETPIVOTDATA("Payout",'Tabela LL'!$A$3,"Ativo",Tabela3[[#This Row],[PAPEL]])&gt;1,1,GETPIVOTDATA("Payout",'Tabela LL'!$A$3,"Ativo",Tabela3[[#This Row],[PAPEL]]))</f>
        <v>0.74850005072085457</v>
      </c>
      <c r="J105" s="6">
        <f>[Patrimônio Líquido]/[Total Ações]</f>
        <v>0.12508749106274253</v>
      </c>
      <c r="K105" s="52">
        <f>MAX(Tabela3[[#This Row],[Cotação 1]],Tabela3[[#This Row],[Cotação 2]])</f>
        <v>0.13</v>
      </c>
      <c r="L105" s="48">
        <f>[Cotação]/[VPA]</f>
        <v>1.0392725834975252</v>
      </c>
      <c r="M105" s="44">
        <f>IF(Tabela3[[#This Row],[Lucro/Ação Ano]]&gt;0,Tabela3[[#This Row],[Cotação]]/Tabela3[[#This Row],[Lucro/Ação Ano]],0)</f>
        <v>8.7202512862903223</v>
      </c>
      <c r="N105" s="6">
        <f>ROUND(Tabela3[[#This Row],[Lucro Prev]]/10%,2)</f>
        <v>0.11</v>
      </c>
      <c r="O105" s="61">
        <f>MIN(Tabela3[[#This Row],[10% Rent]],Tabela3[[#This Row],[VPA]]*2)</f>
        <v>0.11</v>
      </c>
      <c r="P105" s="19">
        <f>Tabela3[[#This Row],[P Compra]]/Tabela3[[#This Row],[Cotação]]-1</f>
        <v>-0.15384615384615385</v>
      </c>
      <c r="Q105" s="6">
        <f>Tabela3[[#This Row],[Lucro/Ação Ano]]*Tabela3[[#This Row],[Payout]]</f>
        <v>1.1158509473997689E-2</v>
      </c>
      <c r="R105" s="15" t="str">
        <f>IF(AND([% Yield]&gt;=10%,[PVPA]&lt;=2,[PL]&lt;=15,[PL]&gt;0),"Sim","Não")</f>
        <v>Não</v>
      </c>
      <c r="S105" s="46">
        <f>Tabela3[[#This Row],[Lucro Prev]]/Tabela3[[#This Row],[Cotação]]</f>
        <v>8.5834688261520686E-2</v>
      </c>
      <c r="T105" s="46">
        <f>(1+Tabela3[[#This Row],[% Yield]])^(1/12)-1</f>
        <v>6.8860160935420023E-3</v>
      </c>
      <c r="U105" s="14">
        <f>($AA$1/Tabela3[[#This Row],[Cotação]]-MOD($AA$1/Tabela3[[#This Row],[Cotação]],100))</f>
        <v>2300</v>
      </c>
      <c r="V105" s="17">
        <f>Tabela3[[#This Row],[Ativos]]*Tabela3[[#This Row],[Lucro Prev]]</f>
        <v>25.664571790194685</v>
      </c>
      <c r="W105" s="5">
        <f>SUMPRODUCT(N(Tabela1[Código]=Tabela3[[#This Row],[PAPEL]]),Tabela1[Fechamento])</f>
        <v>0.13</v>
      </c>
      <c r="X105" s="5">
        <f>SUMPRODUCT(N(Tabela17[Código]=Tabela3[[#This Row],[PAPEL]]),Tabela17[Fechamento])</f>
        <v>0</v>
      </c>
    </row>
    <row r="106" spans="1:24">
      <c r="A106" s="4" t="s">
        <v>12</v>
      </c>
      <c r="B106" s="70" t="s">
        <v>193</v>
      </c>
      <c r="C106" s="15">
        <v>3</v>
      </c>
      <c r="D106" s="6">
        <v>20809000</v>
      </c>
      <c r="E106" s="6">
        <v>1860000</v>
      </c>
      <c r="F106" s="42">
        <v>166355563</v>
      </c>
      <c r="G106" s="6">
        <f>Tabela3[[#This Row],[Lucro Líquido]]/Tabela3[[#This Row],[Total Ações]]</f>
        <v>1.1180870458777505E-2</v>
      </c>
      <c r="H106" s="6">
        <f>Tabela3[[#This Row],[Lucro/Ação]]/Tabela3[[#This Row],[Ref]]*4</f>
        <v>1.4907827278370006E-2</v>
      </c>
      <c r="I106" s="19">
        <f>IF(GETPIVOTDATA("Payout",'Tabela LL'!$A$3,"Ativo",Tabela3[[#This Row],[PAPEL]])&gt;1,1,GETPIVOTDATA("Payout",'Tabela LL'!$A$3,"Ativo",Tabela3[[#This Row],[PAPEL]]))</f>
        <v>0.8237247935120684</v>
      </c>
      <c r="J106" s="6">
        <f>[Patrimônio Líquido]/[Total Ações]</f>
        <v>0.12508749106274253</v>
      </c>
      <c r="K106" s="52">
        <f>MAX(Tabela3[[#This Row],[Cotação 1]],Tabela3[[#This Row],[Cotação 2]])</f>
        <v>0.12</v>
      </c>
      <c r="L106" s="48">
        <f>[Cotação]/[VPA]</f>
        <v>0.95932853861309997</v>
      </c>
      <c r="M106" s="44">
        <f>IF(Tabela3[[#This Row],[Lucro/Ação Ano]]&gt;0,Tabela3[[#This Row],[Cotação]]/Tabela3[[#This Row],[Lucro/Ação Ano]],0)</f>
        <v>8.0494627258064515</v>
      </c>
      <c r="N106" s="6">
        <f>ROUND(Tabela3[[#This Row],[Lucro Prev]]/10%,2)</f>
        <v>0.12</v>
      </c>
      <c r="O106" s="61">
        <f>MIN(Tabela3[[#This Row],[10% Rent]],Tabela3[[#This Row],[VPA]]*2)</f>
        <v>0.12</v>
      </c>
      <c r="P106" s="19">
        <f>Tabela3[[#This Row],[P Compra]]/Tabela3[[#This Row],[Cotação]]-1</f>
        <v>0</v>
      </c>
      <c r="Q106" s="6">
        <f>Tabela3[[#This Row],[Lucro/Ação Ano]]*Tabela3[[#This Row],[Payout]]</f>
        <v>1.2279946946588913E-2</v>
      </c>
      <c r="R106" s="15" t="str">
        <f>IF(AND([% Yield]&gt;=10%,[PVPA]&lt;=2,[PL]&lt;=15,[PL]&gt;0),"Sim","Não")</f>
        <v>Sim</v>
      </c>
      <c r="S106" s="46">
        <f>Tabela3[[#This Row],[Lucro Prev]]/Tabela3[[#This Row],[Cotação]]</f>
        <v>0.10233289122157428</v>
      </c>
      <c r="T106" s="97">
        <f>(1+Tabela3[[#This Row],[% Yield]])^(1/12)-1</f>
        <v>8.1521109875797304E-3</v>
      </c>
      <c r="U106" s="14">
        <f>($AA$1/Tabela3[[#This Row],[Cotação]]-MOD($AA$1/Tabela3[[#This Row],[Cotação]],100))</f>
        <v>2500</v>
      </c>
      <c r="V106" s="17">
        <f>Tabela3[[#This Row],[Ativos]]*Tabela3[[#This Row],[Lucro Prev]]</f>
        <v>30.699867366472283</v>
      </c>
      <c r="W106" s="5">
        <f>SUMPRODUCT(N(Tabela1[Código]=Tabela3[[#This Row],[PAPEL]]),Tabela1[Fechamento])</f>
        <v>0.12</v>
      </c>
      <c r="X106" s="5">
        <f>SUMPRODUCT(N(Tabela17[Código]=Tabela3[[#This Row],[PAPEL]]),Tabela17[Fechamento])</f>
        <v>0</v>
      </c>
    </row>
    <row r="107" spans="1:24">
      <c r="A107" s="3" t="s">
        <v>337</v>
      </c>
      <c r="B107" s="73" t="s">
        <v>344</v>
      </c>
      <c r="C107" s="16">
        <v>3</v>
      </c>
      <c r="D107" s="5">
        <v>500173000</v>
      </c>
      <c r="E107" s="5">
        <v>5129000</v>
      </c>
      <c r="F107" s="21">
        <v>9133687</v>
      </c>
      <c r="G107" s="71">
        <f>Tabela3[[#This Row],[Lucro Líquido]]/Tabela3[[#This Row],[Total Ações]]</f>
        <v>0.56154759846708124</v>
      </c>
      <c r="H107" s="16">
        <f>Tabela3[[#This Row],[Lucro/Ação]]/Tabela3[[#This Row],[Ref]]*4</f>
        <v>0.74873013128944166</v>
      </c>
      <c r="I107" s="18">
        <f>IF(GETPIVOTDATA("Payout",'Tabela LL'!$A$3,"Ativo",Tabela3[[#This Row],[PAPEL]])&gt;1,1,GETPIVOTDATA("Payout",'Tabela LL'!$A$3,"Ativo",Tabela3[[#This Row],[PAPEL]]))</f>
        <v>1</v>
      </c>
      <c r="J107" s="5">
        <f>[Patrimônio Líquido]/[Total Ações]</f>
        <v>54.761346650043954</v>
      </c>
      <c r="K107" s="58">
        <f>MAX(Tabela3[[#This Row],[Cotação 1]],Tabela3[[#This Row],[Cotação 2]])</f>
        <v>17.97</v>
      </c>
      <c r="L107" s="59">
        <f>[Cotação]/[VPA]</f>
        <v>0.32815117047501563</v>
      </c>
      <c r="M107" s="40">
        <f>IF(Tabela3[[#This Row],[Lucro/Ação Ano]]&gt;0,Tabela3[[#This Row],[Cotação]]/Tabela3[[#This Row],[Lucro/Ação Ano]],0)</f>
        <v>24.000636877071553</v>
      </c>
      <c r="N107" s="7">
        <f>ROUND(Tabela3[[#This Row],[Lucro Prev]]/10%,2)</f>
        <v>7.49</v>
      </c>
      <c r="O107" s="51">
        <f>MIN(Tabela3[[#This Row],[10% Rent]],Tabela3[[#This Row],[VPA]]*2)</f>
        <v>7.49</v>
      </c>
      <c r="P107" s="18">
        <f>Tabela3[[#This Row],[P Compra]]/Tabela3[[#This Row],[Cotação]]-1</f>
        <v>-0.58319421257651638</v>
      </c>
      <c r="Q107" s="5">
        <f>Tabela3[[#This Row],[Lucro/Ação Ano]]*Tabela3[[#This Row],[Payout]]</f>
        <v>0.74873013128944166</v>
      </c>
      <c r="R107" s="16" t="str">
        <f>IF(AND([% Yield]&gt;=10%,[PVPA]&lt;=2,[PL]&lt;=15,[PL]&gt;0),"Sim","Não")</f>
        <v>Não</v>
      </c>
      <c r="S107" s="22">
        <f>Tabela3[[#This Row],[Lucro Prev]]/Tabela3[[#This Row],[Cotação]]</f>
        <v>4.1665561006646729E-2</v>
      </c>
      <c r="T107" s="22">
        <f>(1+Tabela3[[#This Row],[% Yield]])^(1/12)-1</f>
        <v>3.4075369227397623E-3</v>
      </c>
      <c r="U107" s="10">
        <f>($AA$1/Tabela3[[#This Row],[Cotação]]-MOD($AA$1/Tabela3[[#This Row],[Cotação]],100))</f>
        <v>0</v>
      </c>
      <c r="V107" s="7">
        <f>Tabela3[[#This Row],[Ativos]]*Tabela3[[#This Row],[Lucro Prev]]</f>
        <v>0</v>
      </c>
      <c r="W107" s="51">
        <f>SUMPRODUCT(N(Tabela1[Código]=Tabela3[[#This Row],[PAPEL]]),Tabela1[Fechamento])</f>
        <v>0</v>
      </c>
      <c r="X107" s="60">
        <f>SUMPRODUCT(N(Tabela17[Código]=Tabela3[[#This Row],[PAPEL]]),Tabela17[Fechamento])</f>
        <v>17.97</v>
      </c>
    </row>
    <row r="108" spans="1:24">
      <c r="A108" s="3" t="s">
        <v>411</v>
      </c>
      <c r="B108" s="73" t="s">
        <v>420</v>
      </c>
      <c r="C108" s="16">
        <v>3</v>
      </c>
      <c r="D108" s="5">
        <v>2302519000</v>
      </c>
      <c r="E108" s="5">
        <v>128087000</v>
      </c>
      <c r="F108" s="21">
        <v>176611578</v>
      </c>
      <c r="G108" s="16">
        <f>Tabela3[[#This Row],[Lucro Líquido]]/Tabela3[[#This Row],[Total Ações]]</f>
        <v>0.72524690312205919</v>
      </c>
      <c r="H108" s="16">
        <f>Tabela3[[#This Row],[Lucro/Ação]]/Tabela3[[#This Row],[Ref]]*4</f>
        <v>0.9669958708294123</v>
      </c>
      <c r="I108" s="18">
        <f>IF(GETPIVOTDATA("Payout",'Tabela LL'!$A$3,"Ativo",Tabela3[[#This Row],[PAPEL]])&gt;1,1,GETPIVOTDATA("Payout",'Tabela LL'!$A$3,"Ativo",Tabela3[[#This Row],[PAPEL]]))</f>
        <v>0.43259017108800807</v>
      </c>
      <c r="J108" s="5">
        <f>[Patrimônio Líquido]/[Total Ações]</f>
        <v>13.037191706650173</v>
      </c>
      <c r="K108" s="58">
        <f>MAX(Tabela3[[#This Row],[Cotação 1]],Tabela3[[#This Row],[Cotação 2]])</f>
        <v>21.35</v>
      </c>
      <c r="L108" s="59">
        <f>[Cotação]/[VPA]</f>
        <v>1.6376226169252024</v>
      </c>
      <c r="M108" s="40">
        <f>IF(Tabela3[[#This Row],[Lucro/Ação Ano]]&gt;0,Tabela3[[#This Row],[Cotação]]/Tabela3[[#This Row],[Lucro/Ação Ano]],0)</f>
        <v>22.078687866254967</v>
      </c>
      <c r="N108" s="7">
        <f>ROUND(Tabela3[[#This Row],[Lucro Prev]]/10%,2)</f>
        <v>4.18</v>
      </c>
      <c r="O108" s="51">
        <f>MIN(Tabela3[[#This Row],[10% Rent]],Tabela3[[#This Row],[VPA]]*2)</f>
        <v>4.18</v>
      </c>
      <c r="P108" s="18">
        <f>Tabela3[[#This Row],[P Compra]]/Tabela3[[#This Row],[Cotação]]-1</f>
        <v>-0.80421545667447303</v>
      </c>
      <c r="Q108" s="5">
        <f>Tabela3[[#This Row],[Lucro/Ação Ano]]*Tabela3[[#This Row],[Payout]]</f>
        <v>0.41831290920349279</v>
      </c>
      <c r="R108" s="16" t="str">
        <f>IF(AND([% Yield]&gt;=10%,[PVPA]&lt;=2,[PL]&lt;=15,[PL]&gt;0),"Sim","Não")</f>
        <v>Não</v>
      </c>
      <c r="S108" s="22">
        <f>Tabela3[[#This Row],[Lucro Prev]]/Tabela3[[#This Row],[Cotação]]</f>
        <v>1.9593110501334554E-2</v>
      </c>
      <c r="T108" s="22">
        <f>(1+Tabela3[[#This Row],[% Yield]])^(1/12)-1</f>
        <v>1.6182777034734475E-3</v>
      </c>
      <c r="U108" s="10">
        <f>($AA$1/Tabela3[[#This Row],[Cotação]]-MOD($AA$1/Tabela3[[#This Row],[Cotação]],100))</f>
        <v>0</v>
      </c>
      <c r="V108" s="7">
        <f>Tabela3[[#This Row],[Ativos]]*Tabela3[[#This Row],[Lucro Prev]]</f>
        <v>0</v>
      </c>
      <c r="W108" s="51">
        <f>SUMPRODUCT(N(Tabela1[Código]=Tabela3[[#This Row],[PAPEL]]),Tabela1[Fechamento])</f>
        <v>0</v>
      </c>
      <c r="X108" s="60">
        <f>SUMPRODUCT(N(Tabela17[Código]=Tabela3[[#This Row],[PAPEL]]),Tabela17[Fechamento])</f>
        <v>21.35</v>
      </c>
    </row>
    <row r="109" spans="1:24">
      <c r="A109" s="4" t="s">
        <v>14</v>
      </c>
      <c r="B109" s="15" t="s">
        <v>266</v>
      </c>
      <c r="C109" s="16">
        <v>3</v>
      </c>
      <c r="D109" s="6">
        <v>32199000000</v>
      </c>
      <c r="E109" s="5">
        <v>3922000000</v>
      </c>
      <c r="F109" s="21">
        <v>5470667261</v>
      </c>
      <c r="G109" s="16">
        <f>Tabela3[[#This Row],[Lucro Líquido]]/Tabela3[[#This Row],[Total Ações]]</f>
        <v>0.71691437495379418</v>
      </c>
      <c r="H109" s="16">
        <f>Tabela3[[#This Row],[Lucro/Ação]]/Tabela3[[#This Row],[Ref]]*4</f>
        <v>0.9558858332717256</v>
      </c>
      <c r="I109" s="18">
        <f>IF(GETPIVOTDATA("Payout",'Tabela LL'!$A$3,"Ativo",Tabela3[[#This Row],[PAPEL]])&gt;1,1,GETPIVOTDATA("Payout",'Tabela LL'!$A$3,"Ativo",Tabela3[[#This Row],[PAPEL]]))</f>
        <v>0.41787587719990676</v>
      </c>
      <c r="J109" s="5">
        <f>[Patrimônio Líquido]/[Total Ações]</f>
        <v>5.8857536866744562</v>
      </c>
      <c r="K109" s="58">
        <f>MAX(Tabela3[[#This Row],[Cotação 1]],Tabela3[[#This Row],[Cotação 2]])</f>
        <v>10.56</v>
      </c>
      <c r="L109" s="59">
        <f>[Cotação]/[VPA]</f>
        <v>1.7941627465498931</v>
      </c>
      <c r="M109" s="40">
        <f>IF(Tabela3[[#This Row],[Lucro/Ação Ano]]&gt;0,Tabela3[[#This Row],[Cotação]]/Tabela3[[#This Row],[Lucro/Ação Ano]],0)</f>
        <v>11.047344392432432</v>
      </c>
      <c r="N109" s="5">
        <f>ROUND(Tabela3[[#This Row],[Lucro Prev]]/10%,2)</f>
        <v>3.99</v>
      </c>
      <c r="O109" s="60">
        <f>MIN(Tabela3[[#This Row],[10% Rent]],Tabela3[[#This Row],[VPA]]*2)</f>
        <v>3.99</v>
      </c>
      <c r="P109" s="18">
        <f>Tabela3[[#This Row],[P Compra]]/Tabela3[[#This Row],[Cotação]]-1</f>
        <v>-0.62215909090909083</v>
      </c>
      <c r="Q109" s="5">
        <f>Tabela3[[#This Row],[Lucro/Ação Ano]]*Tabela3[[#This Row],[Payout]]</f>
        <v>0.39944163108138614</v>
      </c>
      <c r="R109" s="16" t="str">
        <f>IF(AND([% Yield]&gt;=10%,[PVPA]&lt;=2,[PL]&lt;=15,[PL]&gt;0),"Sim","Não")</f>
        <v>Não</v>
      </c>
      <c r="S109" s="22">
        <f>Tabela3[[#This Row],[Lucro Prev]]/Tabela3[[#This Row],[Cotação]]</f>
        <v>3.782591203422217E-2</v>
      </c>
      <c r="T109" s="22">
        <f>(1+Tabela3[[#This Row],[% Yield]])^(1/12)-1</f>
        <v>3.0987960288704208E-3</v>
      </c>
      <c r="U109" s="10">
        <f>($AA$1/Tabela3[[#This Row],[Cotação]]-MOD($AA$1/Tabela3[[#This Row],[Cotação]],100))</f>
        <v>0</v>
      </c>
      <c r="V109" s="7">
        <f>Tabela3[[#This Row],[Ativos]]*Tabela3[[#This Row],[Lucro Prev]]</f>
        <v>0</v>
      </c>
      <c r="W109" s="5">
        <f>SUMPRODUCT(N(Tabela1[Código]=Tabela3[[#This Row],[PAPEL]]),Tabela1[Fechamento])</f>
        <v>10.56</v>
      </c>
      <c r="X109" s="5">
        <f>SUMPRODUCT(N(Tabela17[Código]=Tabela3[[#This Row],[PAPEL]]),Tabela17[Fechamento])</f>
        <v>0</v>
      </c>
    </row>
    <row r="110" spans="1:24">
      <c r="A110" s="4" t="s">
        <v>14</v>
      </c>
      <c r="B110" s="15" t="s">
        <v>16</v>
      </c>
      <c r="C110" s="15">
        <v>3</v>
      </c>
      <c r="D110" s="6">
        <v>32199000000</v>
      </c>
      <c r="E110" s="5">
        <v>3922000000</v>
      </c>
      <c r="F110" s="21">
        <v>5470667261</v>
      </c>
      <c r="G110" s="15">
        <f>Tabela3[[#This Row],[Lucro Líquido]]/Tabela3[[#This Row],[Total Ações]]</f>
        <v>0.71691437495379418</v>
      </c>
      <c r="H110" s="15">
        <f>Tabela3[[#This Row],[Lucro/Ação]]/Tabela3[[#This Row],[Ref]]*4</f>
        <v>0.9558858332717256</v>
      </c>
      <c r="I110" s="19">
        <f>IF(GETPIVOTDATA("Payout",'Tabela LL'!$A$3,"Ativo",Tabela3[[#This Row],[PAPEL]])&gt;1,1,GETPIVOTDATA("Payout",'Tabela LL'!$A$3,"Ativo",Tabela3[[#This Row],[PAPEL]]))</f>
        <v>0.41787587719990676</v>
      </c>
      <c r="J110" s="6">
        <f>[Patrimônio Líquido]/[Total Ações]</f>
        <v>5.8857536866744562</v>
      </c>
      <c r="K110" s="52">
        <f>MAX(Tabela3[[#This Row],[Cotação 1]],Tabela3[[#This Row],[Cotação 2]])</f>
        <v>8.6199999999999992</v>
      </c>
      <c r="L110" s="48">
        <f>[Cotação]/[VPA]</f>
        <v>1.4645533025814466</v>
      </c>
      <c r="M110" s="44">
        <f>IF(Tabela3[[#This Row],[Lucro/Ação Ano]]&gt;0,Tabela3[[#This Row],[Cotação]]/Tabela3[[#This Row],[Lucro/Ação Ano]],0)</f>
        <v>9.0178133203378366</v>
      </c>
      <c r="N110" s="6">
        <f>ROUND(Tabela3[[#This Row],[Lucro Prev]]/10%,2)</f>
        <v>3.99</v>
      </c>
      <c r="O110" s="61">
        <f>MIN(Tabela3[[#This Row],[10% Rent]],Tabela3[[#This Row],[VPA]]*2)</f>
        <v>3.99</v>
      </c>
      <c r="P110" s="19">
        <f>Tabela3[[#This Row],[P Compra]]/Tabela3[[#This Row],[Cotação]]-1</f>
        <v>-0.53712296983758701</v>
      </c>
      <c r="Q110" s="6">
        <f>Tabela3[[#This Row],[Lucro/Ação Ano]]*Tabela3[[#This Row],[Payout]]</f>
        <v>0.39944163108138614</v>
      </c>
      <c r="R110" s="15" t="str">
        <f>IF(AND([% Yield]&gt;=10%,[PVPA]&lt;=2,[PL]&lt;=15,[PL]&gt;0),"Sim","Não")</f>
        <v>Não</v>
      </c>
      <c r="S110" s="46">
        <f>Tabela3[[#This Row],[Lucro Prev]]/Tabela3[[#This Row],[Cotação]]</f>
        <v>4.6338936320346427E-2</v>
      </c>
      <c r="T110" s="46">
        <f>(1+Tabela3[[#This Row],[% Yield]])^(1/12)-1</f>
        <v>3.7819121211699613E-3</v>
      </c>
      <c r="U110" s="14">
        <f>($AA$1/Tabela3[[#This Row],[Cotação]]-MOD($AA$1/Tabela3[[#This Row],[Cotação]],100))</f>
        <v>0</v>
      </c>
      <c r="V110" s="17">
        <f>Tabela3[[#This Row],[Ativos]]*Tabela3[[#This Row],[Lucro Prev]]</f>
        <v>0</v>
      </c>
      <c r="W110" s="5">
        <f>SUMPRODUCT(N(Tabela1[Código]=Tabela3[[#This Row],[PAPEL]]),Tabela1[Fechamento])</f>
        <v>8.6199999999999992</v>
      </c>
      <c r="X110" s="5">
        <f>SUMPRODUCT(N(Tabela17[Código]=Tabela3[[#This Row],[PAPEL]]),Tabela17[Fechamento])</f>
        <v>0</v>
      </c>
    </row>
    <row r="111" spans="1:24">
      <c r="A111" s="4" t="s">
        <v>14</v>
      </c>
      <c r="B111" s="14" t="s">
        <v>264</v>
      </c>
      <c r="C111" s="15">
        <v>3</v>
      </c>
      <c r="D111" s="6">
        <v>80340000000</v>
      </c>
      <c r="E111" s="6">
        <v>11516000000</v>
      </c>
      <c r="F111" s="42">
        <v>5028029710</v>
      </c>
      <c r="G111" s="15">
        <f>Tabela3[[#This Row],[Lucro Líquido]]/Tabela3[[#This Row],[Total Ações]]</f>
        <v>2.2903603725921502</v>
      </c>
      <c r="H111" s="15">
        <f>Tabela3[[#This Row],[Lucro/Ação]]/Tabela3[[#This Row],[Ref]]*4</f>
        <v>3.0538138301228668</v>
      </c>
      <c r="I111" s="19">
        <f>IF(GETPIVOTDATA("Payout",'Tabela LL'!$A$3,"Ativo",Tabela3[[#This Row],[PAPEL]])&gt;1,1,GETPIVOTDATA("Payout",'Tabela LL'!$A$3,"Ativo",Tabela3[[#This Row],[PAPEL]]))</f>
        <v>0.43273605067700688</v>
      </c>
      <c r="J111" s="6">
        <f>[Patrimônio Líquido]/[Total Ações]</f>
        <v>15.978425871314114</v>
      </c>
      <c r="K111" s="52">
        <f>MAX(Tabela3[[#This Row],[Cotação 1]],Tabela3[[#This Row],[Cotação 2]])</f>
        <v>28.99</v>
      </c>
      <c r="L111" s="48">
        <f>[Cotação]/[VPA]</f>
        <v>1.8143214002103558</v>
      </c>
      <c r="M111" s="44">
        <f>IF(Tabela3[[#This Row],[Lucro/Ação Ano]]&gt;0,Tabela3[[#This Row],[Cotação]]/Tabela3[[#This Row],[Lucro/Ação Ano]],0)</f>
        <v>9.4930475833340555</v>
      </c>
      <c r="N111" s="6">
        <f>ROUND(Tabela3[[#This Row],[Lucro Prev]]/10%,2)</f>
        <v>13.21</v>
      </c>
      <c r="O111" s="61">
        <f>MIN(Tabela3[[#This Row],[10% Rent]],Tabela3[[#This Row],[VPA]]*2)</f>
        <v>13.21</v>
      </c>
      <c r="P111" s="19">
        <f>Tabela3[[#This Row],[P Compra]]/Tabela3[[#This Row],[Cotação]]-1</f>
        <v>-0.54432562952742325</v>
      </c>
      <c r="Q111" s="6">
        <f>Tabela3[[#This Row],[Lucro/Ação Ano]]*Tabela3[[#This Row],[Payout]]</f>
        <v>1.3214953363501933</v>
      </c>
      <c r="R111" s="15" t="str">
        <f>IF(AND([% Yield]&gt;=10%,[PVPA]&lt;=2,[PL]&lt;=15,[PL]&gt;0),"Sim","Não")</f>
        <v>Não</v>
      </c>
      <c r="S111" s="46">
        <f>Tabela3[[#This Row],[Lucro Prev]]/Tabela3[[#This Row],[Cotação]]</f>
        <v>4.558452350293872E-2</v>
      </c>
      <c r="T111" s="46">
        <f>(1+Tabela3[[#This Row],[% Yield]])^(1/12)-1</f>
        <v>3.721581423098419E-3</v>
      </c>
      <c r="U111" s="14">
        <f>($AA$1/Tabela3[[#This Row],[Cotação]]-MOD($AA$1/Tabela3[[#This Row],[Cotação]],100))</f>
        <v>0</v>
      </c>
      <c r="V111" s="17">
        <f>Tabela3[[#This Row],[Ativos]]*Tabela3[[#This Row],[Lucro Prev]]</f>
        <v>0</v>
      </c>
      <c r="W111" s="5">
        <f>SUMPRODUCT(N(Tabela1[Código]=Tabela3[[#This Row],[PAPEL]]),Tabela1[Fechamento])</f>
        <v>28.99</v>
      </c>
      <c r="X111" s="5">
        <f>SUMPRODUCT(N(Tabela17[Código]=Tabela3[[#This Row],[PAPEL]]),Tabela17[Fechamento])</f>
        <v>0</v>
      </c>
    </row>
    <row r="112" spans="1:24">
      <c r="A112" s="4" t="s">
        <v>14</v>
      </c>
      <c r="B112" s="14" t="s">
        <v>85</v>
      </c>
      <c r="C112" s="15">
        <v>3</v>
      </c>
      <c r="D112" s="6">
        <v>80340000000</v>
      </c>
      <c r="E112" s="6">
        <v>11516000000</v>
      </c>
      <c r="F112" s="42">
        <v>5028029710</v>
      </c>
      <c r="G112" s="15">
        <f>Tabela3[[#This Row],[Lucro Líquido]]/Tabela3[[#This Row],[Total Ações]]</f>
        <v>2.2903603725921502</v>
      </c>
      <c r="H112" s="15">
        <f>Tabela3[[#This Row],[Lucro/Ação]]/Tabela3[[#This Row],[Ref]]*4</f>
        <v>3.0538138301228668</v>
      </c>
      <c r="I112" s="19">
        <f>IF(GETPIVOTDATA("Payout",'Tabela LL'!$A$3,"Ativo",Tabela3[[#This Row],[PAPEL]])&gt;1,1,GETPIVOTDATA("Payout",'Tabela LL'!$A$3,"Ativo",Tabela3[[#This Row],[PAPEL]]))</f>
        <v>0.43273605067700688</v>
      </c>
      <c r="J112" s="6">
        <f>[Patrimônio Líquido]/[Total Ações]</f>
        <v>15.978425871314114</v>
      </c>
      <c r="K112" s="52">
        <f>MAX(Tabela3[[#This Row],[Cotação 1]],Tabela3[[#This Row],[Cotação 2]])</f>
        <v>31.25</v>
      </c>
      <c r="L112" s="48">
        <f>[Cotação]/[VPA]</f>
        <v>1.9557621164737367</v>
      </c>
      <c r="M112" s="44">
        <f>IF(Tabela3[[#This Row],[Lucro/Ação Ano]]&gt;0,Tabela3[[#This Row],[Cotação]]/Tabela3[[#This Row],[Lucro/Ação Ano]],0)</f>
        <v>10.233105794383901</v>
      </c>
      <c r="N112" s="6">
        <f>ROUND(Tabela3[[#This Row],[Lucro Prev]]/10%,2)</f>
        <v>13.21</v>
      </c>
      <c r="O112" s="61">
        <f>MIN(Tabela3[[#This Row],[10% Rent]],Tabela3[[#This Row],[VPA]]*2)</f>
        <v>13.21</v>
      </c>
      <c r="P112" s="19">
        <f>Tabela3[[#This Row],[P Compra]]/Tabela3[[#This Row],[Cotação]]-1</f>
        <v>-0.57728000000000002</v>
      </c>
      <c r="Q112" s="6">
        <f>Tabela3[[#This Row],[Lucro/Ação Ano]]*Tabela3[[#This Row],[Payout]]</f>
        <v>1.3214953363501933</v>
      </c>
      <c r="R112" s="15" t="str">
        <f>IF(AND([% Yield]&gt;=10%,[PVPA]&lt;=2,[PL]&lt;=15,[PL]&gt;0),"Sim","Não")</f>
        <v>Não</v>
      </c>
      <c r="S112" s="46">
        <f>Tabela3[[#This Row],[Lucro Prev]]/Tabela3[[#This Row],[Cotação]]</f>
        <v>4.2287850763206188E-2</v>
      </c>
      <c r="T112" s="46">
        <f>(1+Tabela3[[#This Row],[% Yield]])^(1/12)-1</f>
        <v>3.4574761220449446E-3</v>
      </c>
      <c r="U112" s="14">
        <f>($AA$1/Tabela3[[#This Row],[Cotação]]-MOD($AA$1/Tabela3[[#This Row],[Cotação]],100))</f>
        <v>0</v>
      </c>
      <c r="V112" s="17">
        <f>Tabela3[[#This Row],[Ativos]]*Tabela3[[#This Row],[Lucro Prev]]</f>
        <v>0</v>
      </c>
      <c r="W112" s="5">
        <f>SUMPRODUCT(N(Tabela1[Código]=Tabela3[[#This Row],[PAPEL]]),Tabela1[Fechamento])</f>
        <v>31.25</v>
      </c>
      <c r="X112" s="5">
        <f>SUMPRODUCT(N(Tabela17[Código]=Tabela3[[#This Row],[PAPEL]]),Tabela17[Fechamento])</f>
        <v>0</v>
      </c>
    </row>
    <row r="113" spans="1:24">
      <c r="A113" s="3" t="s">
        <v>318</v>
      </c>
      <c r="B113" s="73" t="s">
        <v>320</v>
      </c>
      <c r="C113" s="16">
        <v>3</v>
      </c>
      <c r="D113" s="5">
        <v>21913989000</v>
      </c>
      <c r="E113" s="5">
        <v>786184000</v>
      </c>
      <c r="F113" s="21">
        <v>2943644008</v>
      </c>
      <c r="G113" s="71">
        <f>Tabela3[[#This Row],[Lucro Líquido]]/Tabela3[[#This Row],[Total Ações]]</f>
        <v>0.26707849110265103</v>
      </c>
      <c r="H113" s="16">
        <f>Tabela3[[#This Row],[Lucro/Ação]]/Tabela3[[#This Row],[Ref]]*4</f>
        <v>0.3561046548035347</v>
      </c>
      <c r="I113" s="18">
        <f>IF(GETPIVOTDATA("Payout",'Tabela LL'!$A$3,"Ativo",Tabela3[[#This Row],[PAPEL]])&gt;1,1,GETPIVOTDATA("Payout",'Tabela LL'!$A$3,"Ativo",Tabela3[[#This Row],[PAPEL]]))</f>
        <v>0.23749999886663223</v>
      </c>
      <c r="J113" s="5">
        <f>[Patrimônio Líquido]/[Total Ações]</f>
        <v>7.4445105931437077</v>
      </c>
      <c r="K113" s="58">
        <f>MAX(Tabela3[[#This Row],[Cotação 1]],Tabela3[[#This Row],[Cotação 2]])</f>
        <v>8.9</v>
      </c>
      <c r="L113" s="59">
        <f>[Cotação]/[VPA]</f>
        <v>1.1955117651651646</v>
      </c>
      <c r="M113" s="40">
        <f>IF(Tabela3[[#This Row],[Lucro/Ação Ano]]&gt;0,Tabela3[[#This Row],[Cotação]]/Tabela3[[#This Row],[Lucro/Ação Ano]],0)</f>
        <v>24.992652805704516</v>
      </c>
      <c r="N113" s="7">
        <f>ROUND(Tabela3[[#This Row],[Lucro Prev]]/10%,2)</f>
        <v>0.85</v>
      </c>
      <c r="O113" s="51">
        <f>MIN(Tabela3[[#This Row],[10% Rent]],Tabela3[[#This Row],[VPA]]*2)</f>
        <v>0.85</v>
      </c>
      <c r="P113" s="18">
        <f>Tabela3[[#This Row],[P Compra]]/Tabela3[[#This Row],[Cotação]]-1</f>
        <v>-0.9044943820224719</v>
      </c>
      <c r="Q113" s="5">
        <f>Tabela3[[#This Row],[Lucro/Ação Ano]]*Tabela3[[#This Row],[Payout]]</f>
        <v>8.4574855112241956E-2</v>
      </c>
      <c r="R113" s="16" t="str">
        <f>IF(AND([% Yield]&gt;=10%,[PVPA]&lt;=2,[PL]&lt;=15,[PL]&gt;0),"Sim","Não")</f>
        <v>Não</v>
      </c>
      <c r="S113" s="22">
        <f>Tabela3[[#This Row],[Lucro Prev]]/Tabela3[[#This Row],[Cotação]]</f>
        <v>9.5027927092406692E-3</v>
      </c>
      <c r="T113" s="22">
        <f>(1+Tabela3[[#This Row],[% Yield]])^(1/12)-1</f>
        <v>7.8847111297575267E-4</v>
      </c>
      <c r="U113" s="10">
        <f>($AA$1/Tabela3[[#This Row],[Cotação]]-MOD($AA$1/Tabela3[[#This Row],[Cotação]],100))</f>
        <v>0</v>
      </c>
      <c r="V113" s="7">
        <f>Tabela3[[#This Row],[Ativos]]*Tabela3[[#This Row],[Lucro Prev]]</f>
        <v>0</v>
      </c>
      <c r="W113" s="51">
        <f>SUMPRODUCT(N(Tabela1[Código]=Tabela3[[#This Row],[PAPEL]]),Tabela1[Fechamento])</f>
        <v>0</v>
      </c>
      <c r="X113" s="60">
        <f>SUMPRODUCT(N(Tabela17[Código]=Tabela3[[#This Row],[PAPEL]]),Tabela17[Fechamento])</f>
        <v>8.9</v>
      </c>
    </row>
    <row r="114" spans="1:24">
      <c r="A114" s="4" t="s">
        <v>19</v>
      </c>
      <c r="B114" s="14" t="s">
        <v>208</v>
      </c>
      <c r="C114" s="15">
        <v>3</v>
      </c>
      <c r="D114" s="6">
        <v>5466325000</v>
      </c>
      <c r="E114" s="6">
        <v>268577000</v>
      </c>
      <c r="F114" s="42">
        <v>917683296</v>
      </c>
      <c r="G114" s="15">
        <f>Tabela3[[#This Row],[Lucro Líquido]]/Tabela3[[#This Row],[Total Ações]]</f>
        <v>0.29266850684835827</v>
      </c>
      <c r="H114" s="15">
        <f>Tabela3[[#This Row],[Lucro/Ação]]/Tabela3[[#This Row],[Ref]]*4</f>
        <v>0.390224675797811</v>
      </c>
      <c r="I114" s="19">
        <f>IF(GETPIVOTDATA("Payout",'Tabela LL'!$A$3,"Ativo",Tabela3[[#This Row],[PAPEL]])&gt;1,1,GETPIVOTDATA("Payout",'Tabela LL'!$A$3,"Ativo",Tabela3[[#This Row],[PAPEL]]))</f>
        <v>0.39457960469026815</v>
      </c>
      <c r="J114" s="6">
        <f>[Patrimônio Líquido]/[Total Ações]</f>
        <v>5.9566574043862728</v>
      </c>
      <c r="K114" s="52">
        <f>MAX(Tabela3[[#This Row],[Cotação 1]],Tabela3[[#This Row],[Cotação 2]])</f>
        <v>11</v>
      </c>
      <c r="L114" s="48">
        <f>[Cotação]/[VPA]</f>
        <v>1.8466732687866163</v>
      </c>
      <c r="M114" s="44">
        <f>IF(Tabela3[[#This Row],[Lucro/Ação Ano]]&gt;0,Tabela3[[#This Row],[Cotação]]/Tabela3[[#This Row],[Lucro/Ação Ano]],0)</f>
        <v>28.188888817731975</v>
      </c>
      <c r="N114" s="6">
        <f>ROUND(Tabela3[[#This Row],[Lucro Prev]]/10%,2)</f>
        <v>1.54</v>
      </c>
      <c r="O114" s="61">
        <f>MIN(Tabela3[[#This Row],[10% Rent]],Tabela3[[#This Row],[VPA]]*2)</f>
        <v>1.54</v>
      </c>
      <c r="P114" s="19">
        <f>Tabela3[[#This Row],[P Compra]]/Tabela3[[#This Row],[Cotação]]-1</f>
        <v>-0.86</v>
      </c>
      <c r="Q114" s="6">
        <f>Tabela3[[#This Row],[Lucro/Ação Ano]]*Tabela3[[#This Row],[Payout]]</f>
        <v>0.15397469831668831</v>
      </c>
      <c r="R114" s="15" t="str">
        <f>IF(AND([% Yield]&gt;=10%,[PVPA]&lt;=2,[PL]&lt;=15,[PL]&gt;0),"Sim","Não")</f>
        <v>Não</v>
      </c>
      <c r="S114" s="46">
        <f>Tabela3[[#This Row],[Lucro Prev]]/Tabela3[[#This Row],[Cotação]]</f>
        <v>1.3997699846971664E-2</v>
      </c>
      <c r="T114" s="46">
        <f>(1+Tabela3[[#This Row],[% Yield]])^(1/12)-1</f>
        <v>1.159057586240575E-3</v>
      </c>
      <c r="U114" s="14">
        <f>($AA$1/Tabela3[[#This Row],[Cotação]]-MOD($AA$1/Tabela3[[#This Row],[Cotação]],100))</f>
        <v>0</v>
      </c>
      <c r="V114" s="17">
        <f>Tabela3[[#This Row],[Ativos]]*Tabela3[[#This Row],[Lucro Prev]]</f>
        <v>0</v>
      </c>
      <c r="W114" s="5">
        <f>SUMPRODUCT(N(Tabela1[Código]=Tabela3[[#This Row],[PAPEL]]),Tabela1[Fechamento])</f>
        <v>11</v>
      </c>
      <c r="X114" s="5">
        <f>SUMPRODUCT(N(Tabela17[Código]=Tabela3[[#This Row],[PAPEL]]),Tabela17[Fechamento])</f>
        <v>0</v>
      </c>
    </row>
    <row r="115" spans="1:24">
      <c r="A115" s="4" t="s">
        <v>19</v>
      </c>
      <c r="B115" s="14" t="s">
        <v>55</v>
      </c>
      <c r="C115" s="15">
        <v>3</v>
      </c>
      <c r="D115" s="6">
        <v>5466325000</v>
      </c>
      <c r="E115" s="6">
        <v>268577000</v>
      </c>
      <c r="F115" s="42">
        <v>917683296</v>
      </c>
      <c r="G115" s="15">
        <f>Tabela3[[#This Row],[Lucro Líquido]]/Tabela3[[#This Row],[Total Ações]]</f>
        <v>0.29266850684835827</v>
      </c>
      <c r="H115" s="15">
        <f>Tabela3[[#This Row],[Lucro/Ação]]/Tabela3[[#This Row],[Ref]]*4</f>
        <v>0.390224675797811</v>
      </c>
      <c r="I115" s="19">
        <f>IF(GETPIVOTDATA("Payout",'Tabela LL'!$A$3,"Ativo",Tabela3[[#This Row],[PAPEL]])&gt;1,1,GETPIVOTDATA("Payout",'Tabela LL'!$A$3,"Ativo",Tabela3[[#This Row],[PAPEL]]))</f>
        <v>0.43406605496565737</v>
      </c>
      <c r="J115" s="6">
        <f>[Patrimônio Líquido]/[Total Ações]</f>
        <v>5.9566574043862728</v>
      </c>
      <c r="K115" s="52">
        <f>MAX(Tabela3[[#This Row],[Cotação 1]],Tabela3[[#This Row],[Cotação 2]])</f>
        <v>12.71</v>
      </c>
      <c r="L115" s="48">
        <f>[Cotação]/[VPA]</f>
        <v>2.1337470223888997</v>
      </c>
      <c r="M115" s="44">
        <f>IF(Tabela3[[#This Row],[Lucro/Ação Ano]]&gt;0,Tabela3[[#This Row],[Cotação]]/Tabela3[[#This Row],[Lucro/Ação Ano]],0)</f>
        <v>32.570979715761219</v>
      </c>
      <c r="N115" s="6">
        <f>ROUND(Tabela3[[#This Row],[Lucro Prev]]/10%,2)</f>
        <v>1.69</v>
      </c>
      <c r="O115" s="61">
        <f>MIN(Tabela3[[#This Row],[10% Rent]],Tabela3[[#This Row],[VPA]]*2)</f>
        <v>1.69</v>
      </c>
      <c r="P115" s="19">
        <f>Tabela3[[#This Row],[P Compra]]/Tabela3[[#This Row],[Cotação]]-1</f>
        <v>-0.8670338316286389</v>
      </c>
      <c r="Q115" s="6">
        <f>Tabela3[[#This Row],[Lucro/Ação Ano]]*Tabela3[[#This Row],[Payout]]</f>
        <v>0.16938328557380847</v>
      </c>
      <c r="R115" s="15" t="str">
        <f>IF(AND([% Yield]&gt;=10%,[PVPA]&lt;=2,[PL]&lt;=15,[PL]&gt;0),"Sim","Não")</f>
        <v>Não</v>
      </c>
      <c r="S115" s="46">
        <f>Tabela3[[#This Row],[Lucro Prev]]/Tabela3[[#This Row],[Cotação]]</f>
        <v>1.3326773058521516E-2</v>
      </c>
      <c r="T115" s="46">
        <f>(1+Tabela3[[#This Row],[% Yield]])^(1/12)-1</f>
        <v>1.1038381792114471E-3</v>
      </c>
      <c r="U115" s="14">
        <f>($AA$1/Tabela3[[#This Row],[Cotação]]-MOD($AA$1/Tabela3[[#This Row],[Cotação]],100))</f>
        <v>0</v>
      </c>
      <c r="V115" s="17">
        <f>Tabela3[[#This Row],[Ativos]]*Tabela3[[#This Row],[Lucro Prev]]</f>
        <v>0</v>
      </c>
      <c r="W115" s="5">
        <f>SUMPRODUCT(N(Tabela1[Código]=Tabela3[[#This Row],[PAPEL]]),Tabela1[Fechamento])</f>
        <v>12.71</v>
      </c>
      <c r="X115" s="5">
        <f>SUMPRODUCT(N(Tabela17[Código]=Tabela3[[#This Row],[PAPEL]]),Tabela17[Fechamento])</f>
        <v>0</v>
      </c>
    </row>
    <row r="116" spans="1:24">
      <c r="A116" s="3" t="s">
        <v>358</v>
      </c>
      <c r="B116" s="73" t="s">
        <v>359</v>
      </c>
      <c r="C116" s="16">
        <v>3</v>
      </c>
      <c r="D116" s="5">
        <v>314080000</v>
      </c>
      <c r="E116" s="5">
        <v>22535000</v>
      </c>
      <c r="F116" s="21">
        <v>65075322</v>
      </c>
      <c r="G116" s="71">
        <f>Tabela3[[#This Row],[Lucro Líquido]]/Tabela3[[#This Row],[Total Ações]]</f>
        <v>0.34629102565178238</v>
      </c>
      <c r="H116" s="16">
        <f>Tabela3[[#This Row],[Lucro/Ação]]/Tabela3[[#This Row],[Ref]]*4</f>
        <v>0.46172136753570986</v>
      </c>
      <c r="I116" s="18">
        <f>IF(GETPIVOTDATA("Payout",'Tabela LL'!$A$3,"Ativo",Tabela3[[#This Row],[PAPEL]])&gt;1,1,GETPIVOTDATA("Payout",'Tabela LL'!$A$3,"Ativo",Tabela3[[#This Row],[PAPEL]]))</f>
        <v>1</v>
      </c>
      <c r="J116" s="5">
        <f>[Patrimônio Líquido]/[Total Ações]</f>
        <v>4.8264071593837059</v>
      </c>
      <c r="K116" s="58">
        <f>MAX(Tabela3[[#This Row],[Cotação 1]],Tabela3[[#This Row],[Cotação 2]])</f>
        <v>6.5</v>
      </c>
      <c r="L116" s="59">
        <f>[Cotação]/[VPA]</f>
        <v>1.3467574917218543</v>
      </c>
      <c r="M116" s="40">
        <f>IF(Tabela3[[#This Row],[Lucro/Ação Ano]]&gt;0,Tabela3[[#This Row],[Cotação]]/Tabela3[[#This Row],[Lucro/Ação Ano]],0)</f>
        <v>14.077754370978479</v>
      </c>
      <c r="N116" s="7">
        <f>ROUND(Tabela3[[#This Row],[Lucro Prev]]/10%,2)</f>
        <v>4.62</v>
      </c>
      <c r="O116" s="51">
        <f>MIN(Tabela3[[#This Row],[10% Rent]],Tabela3[[#This Row],[VPA]]*2)</f>
        <v>4.62</v>
      </c>
      <c r="P116" s="18">
        <f>Tabela3[[#This Row],[P Compra]]/Tabela3[[#This Row],[Cotação]]-1</f>
        <v>-0.28923076923076918</v>
      </c>
      <c r="Q116" s="5">
        <f>Tabela3[[#This Row],[Lucro/Ação Ano]]*Tabela3[[#This Row],[Payout]]</f>
        <v>0.46172136753570986</v>
      </c>
      <c r="R116" s="16" t="str">
        <f>IF(AND([% Yield]&gt;=10%,[PVPA]&lt;=2,[PL]&lt;=15,[PL]&gt;0),"Sim","Não")</f>
        <v>Não</v>
      </c>
      <c r="S116" s="22">
        <f>Tabela3[[#This Row],[Lucro Prev]]/Tabela3[[#This Row],[Cotação]]</f>
        <v>7.1034056543955365E-2</v>
      </c>
      <c r="T116" s="22">
        <f>(1+Tabela3[[#This Row],[% Yield]])^(1/12)-1</f>
        <v>5.7350988860476182E-3</v>
      </c>
      <c r="U116" s="10">
        <f>($AA$1/Tabela3[[#This Row],[Cotação]]-MOD($AA$1/Tabela3[[#This Row],[Cotação]],100))</f>
        <v>0</v>
      </c>
      <c r="V116" s="7">
        <f>Tabela3[[#This Row],[Ativos]]*Tabela3[[#This Row],[Lucro Prev]]</f>
        <v>0</v>
      </c>
      <c r="W116" s="51">
        <f>SUMPRODUCT(N(Tabela1[Código]=Tabela3[[#This Row],[PAPEL]]),Tabela1[Fechamento])</f>
        <v>0</v>
      </c>
      <c r="X116" s="60">
        <f>SUMPRODUCT(N(Tabela17[Código]=Tabela3[[#This Row],[PAPEL]]),Tabela17[Fechamento])</f>
        <v>6.5</v>
      </c>
    </row>
    <row r="117" spans="1:24">
      <c r="A117" s="4" t="s">
        <v>12</v>
      </c>
      <c r="B117" s="47" t="s">
        <v>56</v>
      </c>
      <c r="C117" s="16">
        <v>3</v>
      </c>
      <c r="D117" s="6">
        <v>3392238000</v>
      </c>
      <c r="E117" s="6">
        <v>458325000</v>
      </c>
      <c r="F117" s="42">
        <v>203934060</v>
      </c>
      <c r="G117" s="15">
        <f>Tabela3[[#This Row],[Lucro Líquido]]/Tabela3[[#This Row],[Total Ações]]</f>
        <v>2.2474176211663712</v>
      </c>
      <c r="H117" s="15">
        <f>Tabela3[[#This Row],[Lucro/Ação]]/Tabela3[[#This Row],[Ref]]*4</f>
        <v>2.9965568282218285</v>
      </c>
      <c r="I117" s="19">
        <f>IF(GETPIVOTDATA("Payout",'Tabela LL'!$A$3,"Ativo",Tabela3[[#This Row],[PAPEL]])&gt;1,1,GETPIVOTDATA("Payout",'Tabela LL'!$A$3,"Ativo",Tabela3[[#This Row],[PAPEL]]))</f>
        <v>0.79479552403967901</v>
      </c>
      <c r="J117" s="6">
        <f>[Patrimônio Líquido]/[Total Ações]</f>
        <v>16.633994341112025</v>
      </c>
      <c r="K117" s="43">
        <f>MAX(Tabela3[[#This Row],[Cotação 1]],Tabela3[[#This Row],[Cotação 2]])</f>
        <v>20.61</v>
      </c>
      <c r="L117" s="48">
        <f>[Cotação]/[VPA]</f>
        <v>1.2390289173695948</v>
      </c>
      <c r="M117" s="44">
        <f>IF(Tabela3[[#This Row],[Lucro/Ação Ano]]&gt;0,Tabela3[[#This Row],[Cotação]]/Tabela3[[#This Row],[Lucro/Ação Ano]],0)</f>
        <v>6.8778939234167886</v>
      </c>
      <c r="N117" s="6">
        <f>ROUND(Tabela3[[#This Row],[Lucro Prev]]/10%,2)</f>
        <v>23.82</v>
      </c>
      <c r="O117" s="17">
        <f>MIN(Tabela3[[#This Row],[10% Rent]],Tabela3[[#This Row],[VPA]]*2)</f>
        <v>23.82</v>
      </c>
      <c r="P117" s="19">
        <f>Tabela3[[#This Row],[P Compra]]/Tabela3[[#This Row],[Cotação]]-1</f>
        <v>0.15574963609898118</v>
      </c>
      <c r="Q117" s="6">
        <f>Tabela3[[#This Row],[Lucro/Ação Ano]]*Tabela3[[#This Row],[Payout]]</f>
        <v>2.3816499546012464</v>
      </c>
      <c r="R117" s="14" t="str">
        <f>IF(AND([% Yield]&gt;=10%,[PVPA]&lt;=2,[PL]&lt;=15,[PL]&gt;0),"Sim","Não")</f>
        <v>Sim</v>
      </c>
      <c r="S117" s="45">
        <f>Tabela3[[#This Row],[Lucro Prev]]/Tabela3[[#This Row],[Cotação]]</f>
        <v>0.11555797935959468</v>
      </c>
      <c r="T117" s="97">
        <f>(1+Tabela3[[#This Row],[% Yield]])^(1/12)-1</f>
        <v>9.1545412936862025E-3</v>
      </c>
      <c r="U117" s="14">
        <f>($AA$1/Tabela3[[#This Row],[Cotação]]-MOD($AA$1/Tabela3[[#This Row],[Cotação]],100))</f>
        <v>0</v>
      </c>
      <c r="V117" s="17">
        <f>Tabela3[[#This Row],[Ativos]]*Tabela3[[#This Row],[Lucro Prev]]</f>
        <v>0</v>
      </c>
      <c r="W117" s="5">
        <f>SUMPRODUCT(N(Tabela1[Código]=Tabela3[[#This Row],[PAPEL]]),Tabela1[Fechamento])</f>
        <v>20.61</v>
      </c>
      <c r="X117" s="5">
        <f>SUMPRODUCT(N(Tabela17[Código]=Tabela3[[#This Row],[PAPEL]]),Tabela17[Fechamento])</f>
        <v>0</v>
      </c>
    </row>
    <row r="118" spans="1:24">
      <c r="A118" s="4" t="s">
        <v>12</v>
      </c>
      <c r="B118" s="14" t="s">
        <v>183</v>
      </c>
      <c r="C118" s="15">
        <v>3</v>
      </c>
      <c r="D118" s="6">
        <v>143016000</v>
      </c>
      <c r="E118" s="6">
        <v>5000000</v>
      </c>
      <c r="F118" s="42">
        <v>11764889</v>
      </c>
      <c r="G118" s="15">
        <f>Tabela3[[#This Row],[Lucro Líquido]]/Tabela3[[#This Row],[Total Ações]]</f>
        <v>0.4249933849779628</v>
      </c>
      <c r="H118" s="15">
        <f>Tabela3[[#This Row],[Lucro/Ação]]/Tabela3[[#This Row],[Ref]]*4</f>
        <v>0.56665784663728369</v>
      </c>
      <c r="I118" s="19">
        <f>IF(GETPIVOTDATA("Payout",'Tabela LL'!$A$3,"Ativo",Tabela3[[#This Row],[PAPEL]])&gt;1,1,GETPIVOTDATA("Payout",'Tabela LL'!$A$3,"Ativo",Tabela3[[#This Row],[PAPEL]]))</f>
        <v>0.43168732302801038</v>
      </c>
      <c r="J118" s="6">
        <f>[Patrimônio Líquido]/[Total Ações]</f>
        <v>12.156170789201665</v>
      </c>
      <c r="K118" s="52">
        <f>MAX(Tabela3[[#This Row],[Cotação 1]],Tabela3[[#This Row],[Cotação 2]])</f>
        <v>49.6</v>
      </c>
      <c r="L118" s="48">
        <f>[Cotação]/[VPA]</f>
        <v>4.0802322425462894</v>
      </c>
      <c r="M118" s="44">
        <f>IF(Tabela3[[#This Row],[Lucro/Ação Ano]]&gt;0,Tabela3[[#This Row],[Cotação]]/Tabela3[[#This Row],[Lucro/Ação Ano]],0)</f>
        <v>87.530774160000007</v>
      </c>
      <c r="N118" s="6">
        <f>ROUND(Tabela3[[#This Row],[Lucro Prev]]/10%,2)</f>
        <v>2.4500000000000002</v>
      </c>
      <c r="O118" s="61">
        <f>MIN(Tabela3[[#This Row],[10% Rent]],Tabela3[[#This Row],[VPA]]*2)</f>
        <v>2.4500000000000002</v>
      </c>
      <c r="P118" s="19">
        <f>Tabela3[[#This Row],[P Compra]]/Tabela3[[#This Row],[Cotação]]-1</f>
        <v>-0.95060483870967738</v>
      </c>
      <c r="Q118" s="6">
        <f>Tabela3[[#This Row],[Lucro/Ação Ano]]*Tabela3[[#This Row],[Payout]]</f>
        <v>0.24461900888766586</v>
      </c>
      <c r="R118" s="15" t="str">
        <f>IF(AND([% Yield]&gt;=10%,[PVPA]&lt;=2,[PL]&lt;=15,[PL]&gt;0),"Sim","Não")</f>
        <v>Não</v>
      </c>
      <c r="S118" s="46">
        <f>Tabela3[[#This Row],[Lucro Prev]]/Tabela3[[#This Row],[Cotação]]</f>
        <v>4.9318348566061666E-3</v>
      </c>
      <c r="T118" s="46">
        <f>(1+Tabela3[[#This Row],[% Yield]])^(1/12)-1</f>
        <v>4.1006015147249109E-4</v>
      </c>
      <c r="U118" s="14">
        <f>($AA$1/Tabela3[[#This Row],[Cotação]]-MOD($AA$1/Tabela3[[#This Row],[Cotação]],100))</f>
        <v>0</v>
      </c>
      <c r="V118" s="17">
        <f>Tabela3[[#This Row],[Ativos]]*Tabela3[[#This Row],[Lucro Prev]]</f>
        <v>0</v>
      </c>
      <c r="W118" s="5">
        <f>SUMPRODUCT(N(Tabela1[Código]=Tabela3[[#This Row],[PAPEL]]),Tabela1[Fechamento])</f>
        <v>49.6</v>
      </c>
      <c r="X118" s="5">
        <f>SUMPRODUCT(N(Tabela17[Código]=Tabela3[[#This Row],[PAPEL]]),Tabela17[Fechamento])</f>
        <v>0</v>
      </c>
    </row>
    <row r="119" spans="1:24">
      <c r="A119" s="4" t="s">
        <v>373</v>
      </c>
      <c r="B119" s="70" t="s">
        <v>376</v>
      </c>
      <c r="C119" s="15">
        <v>3</v>
      </c>
      <c r="D119" s="6">
        <v>2907030000</v>
      </c>
      <c r="E119" s="6">
        <v>25088000</v>
      </c>
      <c r="F119" s="42">
        <v>290677834</v>
      </c>
      <c r="G119" s="72">
        <f>Tabela3[[#This Row],[Lucro Líquido]]/Tabela3[[#This Row],[Total Ações]]</f>
        <v>8.6308610652437986E-2</v>
      </c>
      <c r="H119" s="15">
        <f>Tabela3[[#This Row],[Lucro/Ação]]/Tabela3[[#This Row],[Ref]]*4</f>
        <v>0.11507814753658398</v>
      </c>
      <c r="I119" s="19">
        <f>IF(GETPIVOTDATA("Payout",'Tabela LL'!$A$3,"Ativo",Tabela3[[#This Row],[PAPEL]])&gt;1,1,GETPIVOTDATA("Payout",'Tabela LL'!$A$3,"Ativo",Tabela3[[#This Row],[PAPEL]]))</f>
        <v>0.16275155588949558</v>
      </c>
      <c r="J119" s="6">
        <f>[Patrimônio Líquido]/[Total Ações]</f>
        <v>10.000865769489668</v>
      </c>
      <c r="K119" s="52">
        <f>MAX(Tabela3[[#This Row],[Cotação 1]],Tabela3[[#This Row],[Cotação 2]])</f>
        <v>5.65</v>
      </c>
      <c r="L119" s="48">
        <f>[Cotação]/[VPA]</f>
        <v>0.56495108825846319</v>
      </c>
      <c r="M119" s="44">
        <f>IF(Tabela3[[#This Row],[Lucro/Ação Ano]]&gt;0,Tabela3[[#This Row],[Cotação]]/Tabela3[[#This Row],[Lucro/Ação Ano]],0)</f>
        <v>49.097071172472901</v>
      </c>
      <c r="N119" s="17">
        <f>ROUND(Tabela3[[#This Row],[Lucro Prev]]/10%,2)</f>
        <v>0.19</v>
      </c>
      <c r="O119" s="13">
        <f>MIN(Tabela3[[#This Row],[10% Rent]],Tabela3[[#This Row],[VPA]]*2)</f>
        <v>0.19</v>
      </c>
      <c r="P119" s="19">
        <f>Tabela3[[#This Row],[P Compra]]/Tabela3[[#This Row],[Cotação]]-1</f>
        <v>-0.96637168141592922</v>
      </c>
      <c r="Q119" s="6">
        <f>Tabela3[[#This Row],[Lucro/Ação Ano]]*Tabela3[[#This Row],[Payout]]</f>
        <v>1.8729147560459965E-2</v>
      </c>
      <c r="R119" s="15" t="str">
        <f>IF(AND([% Yield]&gt;=10%,[PVPA]&lt;=2,[PL]&lt;=15,[PL]&gt;0),"Sim","Não")</f>
        <v>Não</v>
      </c>
      <c r="S119" s="46">
        <f>Tabela3[[#This Row],[Lucro Prev]]/Tabela3[[#This Row],[Cotação]]</f>
        <v>3.314893373532737E-3</v>
      </c>
      <c r="T119" s="46">
        <f>(1+Tabela3[[#This Row],[% Yield]])^(1/12)-1</f>
        <v>2.7582230083655901E-4</v>
      </c>
      <c r="U119" s="14">
        <f>($AA$1/Tabela3[[#This Row],[Cotação]]-MOD($AA$1/Tabela3[[#This Row],[Cotação]],100))</f>
        <v>0</v>
      </c>
      <c r="V119" s="17">
        <f>Tabela3[[#This Row],[Ativos]]*Tabela3[[#This Row],[Lucro Prev]]</f>
        <v>0</v>
      </c>
      <c r="W119" s="13">
        <f>SUMPRODUCT(N(Tabela1[Código]=Tabela3[[#This Row],[PAPEL]]),Tabela1[Fechamento])</f>
        <v>0</v>
      </c>
      <c r="X119" s="61">
        <f>SUMPRODUCT(N(Tabela17[Código]=Tabela3[[#This Row],[PAPEL]]),Tabela17[Fechamento])</f>
        <v>5.65</v>
      </c>
    </row>
    <row r="120" spans="1:24">
      <c r="A120" s="3" t="s">
        <v>430</v>
      </c>
      <c r="B120" s="73" t="s">
        <v>428</v>
      </c>
      <c r="C120" s="16">
        <v>3</v>
      </c>
      <c r="D120" s="5">
        <v>162348000</v>
      </c>
      <c r="E120" s="5">
        <v>18569000</v>
      </c>
      <c r="F120" s="21">
        <v>11759999</v>
      </c>
      <c r="G120" s="16">
        <f>Tabela3[[#This Row],[Lucro Líquido]]/Tabela3[[#This Row],[Total Ações]]</f>
        <v>1.5789967329078856</v>
      </c>
      <c r="H120" s="16">
        <f>Tabela3[[#This Row],[Lucro/Ação]]/Tabela3[[#This Row],[Ref]]*4</f>
        <v>2.1053289772105139</v>
      </c>
      <c r="I120" s="18">
        <f>IF(GETPIVOTDATA("Payout",'Tabela LL'!$A$3,"Ativo",Tabela3[[#This Row],[PAPEL]])&gt;1,1,GETPIVOTDATA("Payout",'Tabela LL'!$A$3,"Ativo",Tabela3[[#This Row],[PAPEL]]))</f>
        <v>0.27169719418566168</v>
      </c>
      <c r="J120" s="5">
        <f>[Patrimônio Líquido]/[Total Ações]</f>
        <v>13.805103214719662</v>
      </c>
      <c r="K120" s="58">
        <f>MAX(Tabela3[[#This Row],[Cotação 1]],Tabela3[[#This Row],[Cotação 2]])</f>
        <v>83.91</v>
      </c>
      <c r="L120" s="59">
        <f>[Cotação]/[VPA]</f>
        <v>6.0781870801611353</v>
      </c>
      <c r="M120" s="40">
        <f>IF(Tabela3[[#This Row],[Lucro/Ação Ano]]&gt;0,Tabela3[[#This Row],[Cotação]]/Tabela3[[#This Row],[Lucro/Ação Ano]],0)</f>
        <v>39.856003934918412</v>
      </c>
      <c r="N120" s="7">
        <f>ROUND(Tabela3[[#This Row],[Lucro Prev]]/10%,2)</f>
        <v>5.72</v>
      </c>
      <c r="O120" s="51">
        <f>MIN(Tabela3[[#This Row],[10% Rent]],Tabela3[[#This Row],[VPA]]*2)</f>
        <v>5.72</v>
      </c>
      <c r="P120" s="18">
        <f>Tabela3[[#This Row],[P Compra]]/Tabela3[[#This Row],[Cotação]]-1</f>
        <v>-0.93183172446669049</v>
      </c>
      <c r="Q120" s="5">
        <f>Tabela3[[#This Row],[Lucro/Ação Ano]]*Tabela3[[#This Row],[Payout]]</f>
        <v>0.5720119759458655</v>
      </c>
      <c r="R120" s="16" t="str">
        <f>IF(AND([% Yield]&gt;=10%,[PVPA]&lt;=2,[PL]&lt;=15,[PL]&gt;0),"Sim","Não")</f>
        <v>Não</v>
      </c>
      <c r="S120" s="22">
        <f>Tabela3[[#This Row],[Lucro Prev]]/Tabela3[[#This Row],[Cotação]]</f>
        <v>6.8169702770333159E-3</v>
      </c>
      <c r="T120" s="22">
        <f>(1+Tabela3[[#This Row],[% Yield]])^(1/12)-1</f>
        <v>5.6631361133163693E-4</v>
      </c>
      <c r="U120" s="10">
        <f>($AA$1/Tabela3[[#This Row],[Cotação]]-MOD($AA$1/Tabela3[[#This Row],[Cotação]],100))</f>
        <v>0</v>
      </c>
      <c r="V120" s="7">
        <f>Tabela3[[#This Row],[Ativos]]*Tabela3[[#This Row],[Lucro Prev]]</f>
        <v>0</v>
      </c>
      <c r="W120" s="51">
        <f>SUMPRODUCT(N(Tabela1[Código]=Tabela3[[#This Row],[PAPEL]]),Tabela1[Fechamento])</f>
        <v>0</v>
      </c>
      <c r="X120" s="60">
        <f>SUMPRODUCT(N(Tabela17[Código]=Tabela3[[#This Row],[PAPEL]]),Tabela17[Fechamento])</f>
        <v>83.91</v>
      </c>
    </row>
    <row r="121" spans="1:24">
      <c r="A121" s="4" t="s">
        <v>430</v>
      </c>
      <c r="B121" s="70" t="s">
        <v>429</v>
      </c>
      <c r="C121" s="15">
        <v>3</v>
      </c>
      <c r="D121" s="5">
        <v>162348000</v>
      </c>
      <c r="E121" s="5">
        <v>18569000</v>
      </c>
      <c r="F121" s="21">
        <v>11759999</v>
      </c>
      <c r="G121" s="15">
        <f>Tabela3[[#This Row],[Lucro Líquido]]/Tabela3[[#This Row],[Total Ações]]</f>
        <v>1.5789967329078856</v>
      </c>
      <c r="H121" s="15">
        <f>Tabela3[[#This Row],[Lucro/Ação]]/Tabela3[[#This Row],[Ref]]*4</f>
        <v>2.1053289772105139</v>
      </c>
      <c r="I121" s="19">
        <f>IF(GETPIVOTDATA("Payout",'Tabela LL'!$A$3,"Ativo",Tabela3[[#This Row],[PAPEL]])&gt;1,1,GETPIVOTDATA("Payout",'Tabela LL'!$A$3,"Ativo",Tabela3[[#This Row],[PAPEL]]))</f>
        <v>0.3971899422750666</v>
      </c>
      <c r="J121" s="6">
        <f>[Patrimônio Líquido]/[Total Ações]</f>
        <v>13.805103214719662</v>
      </c>
      <c r="K121" s="52">
        <f>MAX(Tabela3[[#This Row],[Cotação 1]],Tabela3[[#This Row],[Cotação 2]])</f>
        <v>6.58</v>
      </c>
      <c r="L121" s="48">
        <f>[Cotação]/[VPA]</f>
        <v>0.47663533532904623</v>
      </c>
      <c r="M121" s="44">
        <f>IF(Tabela3[[#This Row],[Lucro/Ação Ano]]&gt;0,Tabela3[[#This Row],[Cotação]]/Tabela3[[#This Row],[Lucro/Ação Ano]],0)</f>
        <v>3.1254022868759761</v>
      </c>
      <c r="N121" s="17">
        <f>ROUND(Tabela3[[#This Row],[Lucro Prev]]/10%,2)</f>
        <v>8.36</v>
      </c>
      <c r="O121" s="13">
        <f>MIN(Tabela3[[#This Row],[10% Rent]],Tabela3[[#This Row],[VPA]]*2)</f>
        <v>8.36</v>
      </c>
      <c r="P121" s="19">
        <f>Tabela3[[#This Row],[P Compra]]/Tabela3[[#This Row],[Cotação]]-1</f>
        <v>0.27051671732522786</v>
      </c>
      <c r="Q121" s="6">
        <f>Tabela3[[#This Row],[Lucro/Ação Ano]]*Tabela3[[#This Row],[Payout]]</f>
        <v>0.83621549492826908</v>
      </c>
      <c r="R121" s="15" t="str">
        <f>IF(AND([% Yield]&gt;=10%,[PVPA]&lt;=2,[PL]&lt;=15,[PL]&gt;0),"Sim","Não")</f>
        <v>Sim</v>
      </c>
      <c r="S121" s="46">
        <f>Tabela3[[#This Row],[Lucro Prev]]/Tabela3[[#This Row],[Cotação]]</f>
        <v>0.12708442172162143</v>
      </c>
      <c r="T121" s="97">
        <f>(1+Tabela3[[#This Row],[% Yield]])^(1/12)-1</f>
        <v>1.0019372858942166E-2</v>
      </c>
      <c r="U121" s="14">
        <f>($AA$1/Tabela3[[#This Row],[Cotação]]-MOD($AA$1/Tabela3[[#This Row],[Cotação]],100))</f>
        <v>0</v>
      </c>
      <c r="V121" s="17">
        <f>Tabela3[[#This Row],[Ativos]]*Tabela3[[#This Row],[Lucro Prev]]</f>
        <v>0</v>
      </c>
      <c r="W121" s="13">
        <f>SUMPRODUCT(N(Tabela1[Código]=Tabela3[[#This Row],[PAPEL]]),Tabela1[Fechamento])</f>
        <v>0</v>
      </c>
      <c r="X121" s="61">
        <f>SUMPRODUCT(N(Tabela17[Código]=Tabela3[[#This Row],[PAPEL]]),Tabela17[Fechamento])</f>
        <v>6.58</v>
      </c>
    </row>
    <row r="122" spans="1:24">
      <c r="A122" s="3" t="s">
        <v>337</v>
      </c>
      <c r="B122" s="73" t="s">
        <v>346</v>
      </c>
      <c r="C122" s="16">
        <v>3</v>
      </c>
      <c r="D122" s="5">
        <v>1185190000</v>
      </c>
      <c r="E122" s="5">
        <v>90444000</v>
      </c>
      <c r="F122" s="21">
        <v>12251221</v>
      </c>
      <c r="G122" s="71">
        <f>Tabela3[[#This Row],[Lucro Líquido]]/Tabela3[[#This Row],[Total Ações]]</f>
        <v>7.3824478392806725</v>
      </c>
      <c r="H122" s="16">
        <f>Tabela3[[#This Row],[Lucro/Ação]]/Tabela3[[#This Row],[Ref]]*4</f>
        <v>9.8432637857075633</v>
      </c>
      <c r="I122" s="18">
        <f>IF(GETPIVOTDATA("Payout",'Tabela LL'!$A$3,"Ativo",Tabela3[[#This Row],[PAPEL]])&gt;1,1,GETPIVOTDATA("Payout",'Tabela LL'!$A$3,"Ativo",Tabela3[[#This Row],[PAPEL]]))</f>
        <v>0.42680662187286622</v>
      </c>
      <c r="J122" s="5">
        <f>[Patrimônio Líquido]/[Total Ações]</f>
        <v>96.740561614226039</v>
      </c>
      <c r="K122" s="58">
        <f>MAX(Tabela3[[#This Row],[Cotação 1]],Tabela3[[#This Row],[Cotação 2]])</f>
        <v>158.99</v>
      </c>
      <c r="L122" s="59">
        <f>[Cotação]/[VPA]</f>
        <v>1.6434678210160398</v>
      </c>
      <c r="M122" s="40">
        <f>IF(Tabela3[[#This Row],[Lucro/Ação Ano]]&gt;0,Tabela3[[#This Row],[Cotação]]/Tabela3[[#This Row],[Lucro/Ação Ano]],0)</f>
        <v>16.152162886344037</v>
      </c>
      <c r="N122" s="7">
        <f>ROUND(Tabela3[[#This Row],[Lucro Prev]]/10%,2)</f>
        <v>42.01</v>
      </c>
      <c r="O122" s="51">
        <f>MIN(Tabela3[[#This Row],[10% Rent]],Tabela3[[#This Row],[VPA]]*2)</f>
        <v>42.01</v>
      </c>
      <c r="P122" s="18">
        <f>Tabela3[[#This Row],[P Compra]]/Tabela3[[#This Row],[Cotação]]-1</f>
        <v>-0.73576954525441862</v>
      </c>
      <c r="Q122" s="5">
        <f>Tabela3[[#This Row],[Lucro/Ação Ano]]*Tabela3[[#This Row],[Payout]]</f>
        <v>4.2011701645813657</v>
      </c>
      <c r="R122" s="16" t="str">
        <f>IF(AND([% Yield]&gt;=10%,[PVPA]&lt;=2,[PL]&lt;=15,[PL]&gt;0),"Sim","Não")</f>
        <v>Não</v>
      </c>
      <c r="S122" s="22">
        <f>Tabela3[[#This Row],[Lucro Prev]]/Tabela3[[#This Row],[Cotação]]</f>
        <v>2.6424115759364524E-2</v>
      </c>
      <c r="T122" s="22">
        <f>(1+Tabela3[[#This Row],[% Yield]])^(1/12)-1</f>
        <v>2.1757827142290243E-3</v>
      </c>
      <c r="U122" s="10">
        <f>($AA$1/Tabela3[[#This Row],[Cotação]]-MOD($AA$1/Tabela3[[#This Row],[Cotação]],100))</f>
        <v>0</v>
      </c>
      <c r="V122" s="7">
        <f>Tabela3[[#This Row],[Ativos]]*Tabela3[[#This Row],[Lucro Prev]]</f>
        <v>0</v>
      </c>
      <c r="W122" s="51">
        <f>SUMPRODUCT(N(Tabela1[Código]=Tabela3[[#This Row],[PAPEL]]),Tabela1[Fechamento])</f>
        <v>0</v>
      </c>
      <c r="X122" s="60">
        <f>SUMPRODUCT(N(Tabela17[Código]=Tabela3[[#This Row],[PAPEL]]),Tabela17[Fechamento])</f>
        <v>158.99</v>
      </c>
    </row>
    <row r="123" spans="1:24">
      <c r="A123" s="3" t="s">
        <v>411</v>
      </c>
      <c r="B123" s="73" t="s">
        <v>422</v>
      </c>
      <c r="C123" s="16">
        <v>3</v>
      </c>
      <c r="D123" s="5">
        <v>3824504000</v>
      </c>
      <c r="E123" s="5">
        <v>227417000</v>
      </c>
      <c r="F123" s="21">
        <v>189997214</v>
      </c>
      <c r="G123" s="16">
        <f>Tabela3[[#This Row],[Lucro Líquido]]/Tabela3[[#This Row],[Total Ações]]</f>
        <v>1.1969491300014536</v>
      </c>
      <c r="H123" s="16">
        <f>Tabela3[[#This Row],[Lucro/Ação]]/Tabela3[[#This Row],[Ref]]*4</f>
        <v>1.5959321733352716</v>
      </c>
      <c r="I123" s="18">
        <f>IF(GETPIVOTDATA("Payout",'Tabela LL'!$A$3,"Ativo",Tabela3[[#This Row],[PAPEL]])&gt;1,1,GETPIVOTDATA("Payout",'Tabela LL'!$A$3,"Ativo",Tabela3[[#This Row],[PAPEL]]))</f>
        <v>0.46005623926256656</v>
      </c>
      <c r="J123" s="5">
        <f>[Patrimônio Líquido]/[Total Ações]</f>
        <v>20.129263579622805</v>
      </c>
      <c r="K123" s="58">
        <f>MAX(Tabela3[[#This Row],[Cotação 1]],Tabela3[[#This Row],[Cotação 2]])</f>
        <v>47.25</v>
      </c>
      <c r="L123" s="59">
        <f>[Cotação]/[VPA]</f>
        <v>2.3473287938775851</v>
      </c>
      <c r="M123" s="40">
        <f>IF(Tabela3[[#This Row],[Lucro/Ação Ano]]&gt;0,Tabela3[[#This Row],[Cotação]]/Tabela3[[#This Row],[Lucro/Ação Ano]],0)</f>
        <v>29.6065213731823</v>
      </c>
      <c r="N123" s="7">
        <f>ROUND(Tabela3[[#This Row],[Lucro Prev]]/10%,2)</f>
        <v>7.34</v>
      </c>
      <c r="O123" s="51">
        <f>MIN(Tabela3[[#This Row],[10% Rent]],Tabela3[[#This Row],[VPA]]*2)</f>
        <v>7.34</v>
      </c>
      <c r="P123" s="18">
        <f>Tabela3[[#This Row],[P Compra]]/Tabela3[[#This Row],[Cotação]]-1</f>
        <v>-0.84465608465608466</v>
      </c>
      <c r="Q123" s="5">
        <f>Tabela3[[#This Row],[Lucro/Ação Ano]]*Tabela3[[#This Row],[Payout]]</f>
        <v>0.73421855378275958</v>
      </c>
      <c r="R123" s="16" t="str">
        <f>IF(AND([% Yield]&gt;=10%,[PVPA]&lt;=2,[PL]&lt;=15,[PL]&gt;0),"Sim","Não")</f>
        <v>Não</v>
      </c>
      <c r="S123" s="22">
        <f>Tabela3[[#This Row],[Lucro Prev]]/Tabela3[[#This Row],[Cotação]]</f>
        <v>1.5539017011275335E-2</v>
      </c>
      <c r="T123" s="22">
        <f>(1+Tabela3[[#This Row],[% Yield]])^(1/12)-1</f>
        <v>1.2857861466646359E-3</v>
      </c>
      <c r="U123" s="10">
        <f>($AA$1/Tabela3[[#This Row],[Cotação]]-MOD($AA$1/Tabela3[[#This Row],[Cotação]],100))</f>
        <v>0</v>
      </c>
      <c r="V123" s="7">
        <f>Tabela3[[#This Row],[Ativos]]*Tabela3[[#This Row],[Lucro Prev]]</f>
        <v>0</v>
      </c>
      <c r="W123" s="51">
        <f>SUMPRODUCT(N(Tabela1[Código]=Tabela3[[#This Row],[PAPEL]]),Tabela1[Fechamento])</f>
        <v>0</v>
      </c>
      <c r="X123" s="60">
        <f>SUMPRODUCT(N(Tabela17[Código]=Tabela3[[#This Row],[PAPEL]]),Tabela17[Fechamento])</f>
        <v>47.25</v>
      </c>
    </row>
    <row r="124" spans="1:24">
      <c r="A124" s="3" t="s">
        <v>332</v>
      </c>
      <c r="B124" s="70" t="s">
        <v>328</v>
      </c>
      <c r="C124" s="16">
        <v>3</v>
      </c>
      <c r="D124" s="5">
        <v>10322490000</v>
      </c>
      <c r="E124" s="5">
        <v>310353000</v>
      </c>
      <c r="F124" s="21">
        <v>1797086404</v>
      </c>
      <c r="G124" s="71">
        <f>Tabela3[[#This Row],[Lucro Líquido]]/Tabela3[[#This Row],[Total Ações]]</f>
        <v>0.17269787324037872</v>
      </c>
      <c r="H124" s="16">
        <f>Tabela3[[#This Row],[Lucro/Ação]]/Tabela3[[#This Row],[Ref]]*4</f>
        <v>0.23026383098717162</v>
      </c>
      <c r="I124" s="18">
        <f>IF(GETPIVOTDATA("Payout",'Tabela LL'!$A$3,"Ativo",Tabela3[[#This Row],[PAPEL]])&gt;1,1,GETPIVOTDATA("Payout",'Tabela LL'!$A$3,"Ativo",Tabela3[[#This Row],[PAPEL]]))</f>
        <v>1</v>
      </c>
      <c r="J124" s="5">
        <f>[Patrimônio Líquido]/[Total Ações]</f>
        <v>5.7440142983798346</v>
      </c>
      <c r="K124" s="58">
        <f>MAX(Tabela3[[#This Row],[Cotação 1]],Tabela3[[#This Row],[Cotação 2]])</f>
        <v>4.6900000000000004</v>
      </c>
      <c r="L124" s="59">
        <f>[Cotação]/[VPA]</f>
        <v>0.81650214577684266</v>
      </c>
      <c r="M124" s="40">
        <f>IF(Tabela3[[#This Row],[Lucro/Ação Ano]]&gt;0,Tabela3[[#This Row],[Cotação]]/Tabela3[[#This Row],[Lucro/Ação Ano]],0)</f>
        <v>20.36794046157118</v>
      </c>
      <c r="N124" s="7">
        <f>ROUND(Tabela3[[#This Row],[Lucro Prev]]/10%,2)</f>
        <v>2.2999999999999998</v>
      </c>
      <c r="O124" s="51">
        <f>MIN(Tabela3[[#This Row],[10% Rent]],Tabela3[[#This Row],[VPA]]*2)</f>
        <v>2.2999999999999998</v>
      </c>
      <c r="P124" s="18">
        <f>Tabela3[[#This Row],[P Compra]]/Tabela3[[#This Row],[Cotação]]-1</f>
        <v>-0.50959488272921116</v>
      </c>
      <c r="Q124" s="5">
        <f>Tabela3[[#This Row],[Lucro/Ação Ano]]*Tabela3[[#This Row],[Payout]]</f>
        <v>0.23026383098717162</v>
      </c>
      <c r="R124" s="16" t="str">
        <f>IF(AND([% Yield]&gt;=10%,[PVPA]&lt;=2,[PL]&lt;=15,[PL]&gt;0),"Sim","Não")</f>
        <v>Não</v>
      </c>
      <c r="S124" s="22">
        <f>Tabela3[[#This Row],[Lucro Prev]]/Tabela3[[#This Row],[Cotação]]</f>
        <v>4.9096765668906528E-2</v>
      </c>
      <c r="T124" s="22">
        <f>(1+Tabela3[[#This Row],[% Yield]])^(1/12)-1</f>
        <v>4.0021180706069082E-3</v>
      </c>
      <c r="U124" s="10">
        <f>($AA$1/Tabela3[[#This Row],[Cotação]]-MOD($AA$1/Tabela3[[#This Row],[Cotação]],100))</f>
        <v>0</v>
      </c>
      <c r="V124" s="7">
        <f>Tabela3[[#This Row],[Ativos]]*Tabela3[[#This Row],[Lucro Prev]]</f>
        <v>0</v>
      </c>
      <c r="W124" s="51">
        <f>SUMPRODUCT(N(Tabela1[Código]=Tabela3[[#This Row],[PAPEL]]),Tabela1[Fechamento])</f>
        <v>0</v>
      </c>
      <c r="X124" s="60">
        <f>SUMPRODUCT(N(Tabela17[Código]=Tabela3[[#This Row],[PAPEL]]),Tabela17[Fechamento])</f>
        <v>4.6900000000000004</v>
      </c>
    </row>
    <row r="125" spans="1:24">
      <c r="A125" s="3" t="s">
        <v>332</v>
      </c>
      <c r="B125" s="73" t="s">
        <v>329</v>
      </c>
      <c r="C125" s="16">
        <v>3</v>
      </c>
      <c r="D125" s="5">
        <v>10322490000</v>
      </c>
      <c r="E125" s="5">
        <v>310353000</v>
      </c>
      <c r="F125" s="21">
        <v>1797086404</v>
      </c>
      <c r="G125" s="71">
        <f>Tabela3[[#This Row],[Lucro Líquido]]/Tabela3[[#This Row],[Total Ações]]</f>
        <v>0.17269787324037872</v>
      </c>
      <c r="H125" s="16">
        <f>Tabela3[[#This Row],[Lucro/Ação]]/Tabela3[[#This Row],[Ref]]*4</f>
        <v>0.23026383098717162</v>
      </c>
      <c r="I125" s="18">
        <f>IF(GETPIVOTDATA("Payout",'Tabela LL'!$A$3,"Ativo",Tabela3[[#This Row],[PAPEL]])&gt;1,1,GETPIVOTDATA("Payout",'Tabela LL'!$A$3,"Ativo",Tabela3[[#This Row],[PAPEL]]))</f>
        <v>1</v>
      </c>
      <c r="J125" s="5">
        <f>[Patrimônio Líquido]/[Total Ações]</f>
        <v>5.7440142983798346</v>
      </c>
      <c r="K125" s="58">
        <f>MAX(Tabela3[[#This Row],[Cotação 1]],Tabela3[[#This Row],[Cotação 2]])</f>
        <v>4.37</v>
      </c>
      <c r="L125" s="59">
        <f>[Cotação]/[VPA]</f>
        <v>0.7607919780479323</v>
      </c>
      <c r="M125" s="40">
        <f>IF(Tabela3[[#This Row],[Lucro/Ação Ano]]&gt;0,Tabela3[[#This Row],[Cotação]]/Tabela3[[#This Row],[Lucro/Ação Ano]],0)</f>
        <v>18.978230238180394</v>
      </c>
      <c r="N125" s="7">
        <f>ROUND(Tabela3[[#This Row],[Lucro Prev]]/10%,2)</f>
        <v>2.2999999999999998</v>
      </c>
      <c r="O125" s="51">
        <f>MIN(Tabela3[[#This Row],[10% Rent]],Tabela3[[#This Row],[VPA]]*2)</f>
        <v>2.2999999999999998</v>
      </c>
      <c r="P125" s="18">
        <f>Tabela3[[#This Row],[P Compra]]/Tabela3[[#This Row],[Cotação]]-1</f>
        <v>-0.47368421052631582</v>
      </c>
      <c r="Q125" s="5">
        <f>Tabela3[[#This Row],[Lucro/Ação Ano]]*Tabela3[[#This Row],[Payout]]</f>
        <v>0.23026383098717162</v>
      </c>
      <c r="R125" s="16" t="str">
        <f>IF(AND([% Yield]&gt;=10%,[PVPA]&lt;=2,[PL]&lt;=15,[PL]&gt;0),"Sim","Não")</f>
        <v>Não</v>
      </c>
      <c r="S125" s="22">
        <f>Tabela3[[#This Row],[Lucro Prev]]/Tabela3[[#This Row],[Cotação]]</f>
        <v>5.2691952170977489E-2</v>
      </c>
      <c r="T125" s="22">
        <f>(1+Tabela3[[#This Row],[% Yield]])^(1/12)-1</f>
        <v>4.2883895472534128E-3</v>
      </c>
      <c r="U125" s="10">
        <f>($AA$1/Tabela3[[#This Row],[Cotação]]-MOD($AA$1/Tabela3[[#This Row],[Cotação]],100))</f>
        <v>0</v>
      </c>
      <c r="V125" s="7">
        <f>Tabela3[[#This Row],[Ativos]]*Tabela3[[#This Row],[Lucro Prev]]</f>
        <v>0</v>
      </c>
      <c r="W125" s="51">
        <f>SUMPRODUCT(N(Tabela1[Código]=Tabela3[[#This Row],[PAPEL]]),Tabela1[Fechamento])</f>
        <v>0</v>
      </c>
      <c r="X125" s="60">
        <f>SUMPRODUCT(N(Tabela17[Código]=Tabela3[[#This Row],[PAPEL]]),Tabela17[Fechamento])</f>
        <v>4.37</v>
      </c>
    </row>
    <row r="126" spans="1:24">
      <c r="A126" s="4" t="s">
        <v>384</v>
      </c>
      <c r="B126" s="70" t="s">
        <v>383</v>
      </c>
      <c r="C126" s="15">
        <v>3</v>
      </c>
      <c r="D126" s="6">
        <v>241884000</v>
      </c>
      <c r="E126" s="6">
        <v>56208000</v>
      </c>
      <c r="F126" s="42">
        <v>12587262</v>
      </c>
      <c r="G126" s="15">
        <f>Tabela3[[#This Row],[Lucro Líquido]]/Tabela3[[#This Row],[Total Ações]]</f>
        <v>4.4654667552006151</v>
      </c>
      <c r="H126" s="15">
        <f>Tabela3[[#This Row],[Lucro/Ação]]/Tabela3[[#This Row],[Ref]]*4</f>
        <v>5.9539556736008201</v>
      </c>
      <c r="I126" s="19">
        <f>IF(GETPIVOTDATA("Payout",'Tabela LL'!$A$3,"Ativo",Tabela3[[#This Row],[PAPEL]])&gt;1,1,GETPIVOTDATA("Payout",'Tabela LL'!$A$3,"Ativo",Tabela3[[#This Row],[PAPEL]]))</f>
        <v>0.90821522332465576</v>
      </c>
      <c r="J126" s="6">
        <f>[Patrimônio Líquido]/[Total Ações]</f>
        <v>19.216569894231167</v>
      </c>
      <c r="K126" s="52">
        <f>MAX(Tabela3[[#This Row],[Cotação 1]],Tabela3[[#This Row],[Cotação 2]])</f>
        <v>20</v>
      </c>
      <c r="L126" s="48">
        <f>[Cotação]/[VPA]</f>
        <v>1.0407684675298905</v>
      </c>
      <c r="M126" s="44">
        <f>IF(Tabela3[[#This Row],[Lucro/Ação Ano]]&gt;0,Tabela3[[#This Row],[Cotação]]/Tabela3[[#This Row],[Lucro/Ação Ano]],0)</f>
        <v>3.3591113364645597</v>
      </c>
      <c r="N126" s="17">
        <f>ROUND(Tabela3[[#This Row],[Lucro Prev]]/10%,2)</f>
        <v>54.07</v>
      </c>
      <c r="O126" s="13">
        <f>MIN(Tabela3[[#This Row],[10% Rent]],Tabela3[[#This Row],[VPA]]*2)</f>
        <v>38.433139788462334</v>
      </c>
      <c r="P126" s="19">
        <f>Tabela3[[#This Row],[P Compra]]/Tabela3[[#This Row],[Cotação]]-1</f>
        <v>0.9216569894231168</v>
      </c>
      <c r="Q126" s="6">
        <f>Tabela3[[#This Row],[Lucro/Ação Ano]]*Tabela3[[#This Row],[Payout]]</f>
        <v>5.4074731817644697</v>
      </c>
      <c r="R126" s="15" t="str">
        <f>IF(AND([% Yield]&gt;=10%,[PVPA]&lt;=2,[PL]&lt;=15,[PL]&gt;0),"Sim","Não")</f>
        <v>Sim</v>
      </c>
      <c r="S126" s="46">
        <f>Tabela3[[#This Row],[Lucro Prev]]/Tabela3[[#This Row],[Cotação]]</f>
        <v>0.27037365908822347</v>
      </c>
      <c r="T126" s="97">
        <f>(1+Tabela3[[#This Row],[% Yield]])^(1/12)-1</f>
        <v>2.014277168982459E-2</v>
      </c>
      <c r="U126" s="14">
        <f>($AA$1/Tabela3[[#This Row],[Cotação]]-MOD($AA$1/Tabela3[[#This Row],[Cotação]],100))</f>
        <v>0</v>
      </c>
      <c r="V126" s="17">
        <f>Tabela3[[#This Row],[Ativos]]*Tabela3[[#This Row],[Lucro Prev]]</f>
        <v>0</v>
      </c>
      <c r="W126" s="13">
        <f>SUMPRODUCT(N(Tabela1[Código]=Tabela3[[#This Row],[PAPEL]]),Tabela1[Fechamento])</f>
        <v>0</v>
      </c>
      <c r="X126" s="61">
        <f>SUMPRODUCT(N(Tabela17[Código]=Tabela3[[#This Row],[PAPEL]]),Tabela17[Fechamento])</f>
        <v>20</v>
      </c>
    </row>
    <row r="127" spans="1:24">
      <c r="A127" s="4" t="s">
        <v>282</v>
      </c>
      <c r="B127" s="14" t="s">
        <v>20</v>
      </c>
      <c r="C127" s="15">
        <v>3</v>
      </c>
      <c r="D127" s="6">
        <v>341312244000</v>
      </c>
      <c r="E127" s="6">
        <v>17288839000</v>
      </c>
      <c r="F127" s="42">
        <v>13044496930</v>
      </c>
      <c r="G127" s="72">
        <f>Tabela3[[#This Row],[Lucro Líquido]]/Tabela3[[#This Row],[Total Ações]]</f>
        <v>1.3253741476406633</v>
      </c>
      <c r="H127" s="15">
        <f>Tabela3[[#This Row],[Lucro/Ação]]/Tabela3[[#This Row],[Ref]]*4</f>
        <v>1.7671655301875511</v>
      </c>
      <c r="I127" s="19">
        <f>IF(GETPIVOTDATA("Payout",'Tabela LL'!$A$3,"Ativo",Tabela3[[#This Row],[PAPEL]])&gt;1,1,GETPIVOTDATA("Payout",'Tabela LL'!$A$3,"Ativo",Tabela3[[#This Row],[PAPEL]]))</f>
        <v>0.30588500522710332</v>
      </c>
      <c r="J127" s="6">
        <f>[Patrimônio Líquido]/[Total Ações]</f>
        <v>26.165228588849843</v>
      </c>
      <c r="K127" s="52">
        <f>MAX(Tabela3[[#This Row],[Cotação 1]],Tabela3[[#This Row],[Cotação 2]])</f>
        <v>15.12</v>
      </c>
      <c r="L127" s="48">
        <f>[Cotação]/[VPA]</f>
        <v>0.57786615349667914</v>
      </c>
      <c r="M127" s="44">
        <f>IF(Tabela3[[#This Row],[Lucro/Ação Ano]]&gt;0,Tabela3[[#This Row],[Cotação]]/Tabela3[[#This Row],[Lucro/Ação Ano]],0)</f>
        <v>8.5560745395454258</v>
      </c>
      <c r="N127" s="13">
        <f>ROUND(Tabela3[[#This Row],[Lucro Prev]]/10%,2)</f>
        <v>5.41</v>
      </c>
      <c r="O127" s="13">
        <f>MIN(Tabela3[[#This Row],[10% Rent]],Tabela3[[#This Row],[VPA]]*2)</f>
        <v>5.41</v>
      </c>
      <c r="P127" s="19">
        <f>Tabela3[[#This Row],[P Compra]]/Tabela3[[#This Row],[Cotação]]-1</f>
        <v>-0.64219576719576721</v>
      </c>
      <c r="Q127" s="6">
        <f>Tabela3[[#This Row],[Lucro/Ação Ano]]*Tabela3[[#This Row],[Payout]]</f>
        <v>0.54054943743857586</v>
      </c>
      <c r="R127" s="15" t="str">
        <f>IF(AND([% Yield]&gt;=10%,[PVPA]&lt;=2,[PL]&lt;=15,[PL]&gt;0),"Sim","Não")</f>
        <v>Não</v>
      </c>
      <c r="S127" s="46">
        <f>Tabela3[[#This Row],[Lucro Prev]]/Tabela3[[#This Row],[Cotação]]</f>
        <v>3.5750624169217982E-2</v>
      </c>
      <c r="T127" s="46">
        <f>(1+Tabela3[[#This Row],[% Yield]])^(1/12)-1</f>
        <v>2.9314888177698339E-3</v>
      </c>
      <c r="U127" s="14">
        <f>($AA$1/Tabela3[[#This Row],[Cotação]]-MOD($AA$1/Tabela3[[#This Row],[Cotação]],100))</f>
        <v>0</v>
      </c>
      <c r="V127" s="17">
        <f>Tabela3[[#This Row],[Ativos]]*Tabela3[[#This Row],[Lucro Prev]]</f>
        <v>0</v>
      </c>
      <c r="W127" s="13">
        <f>SUMPRODUCT(N(Tabela1[Código]=Tabela3[[#This Row],[PAPEL]]),Tabela1[Fechamento])</f>
        <v>0</v>
      </c>
      <c r="X127" s="13">
        <f>SUMPRODUCT(N(Tabela17[Código]=Tabela3[[#This Row],[PAPEL]]),Tabela17[Fechamento])</f>
        <v>15.12</v>
      </c>
    </row>
    <row r="128" spans="1:24">
      <c r="A128" s="4" t="s">
        <v>282</v>
      </c>
      <c r="B128" s="14" t="s">
        <v>21</v>
      </c>
      <c r="C128" s="15">
        <v>3</v>
      </c>
      <c r="D128" s="6">
        <v>341312244000</v>
      </c>
      <c r="E128" s="6">
        <v>17288839000</v>
      </c>
      <c r="F128" s="42">
        <v>13044496930</v>
      </c>
      <c r="G128" s="72">
        <f>Tabela3[[#This Row],[Lucro Líquido]]/Tabela3[[#This Row],[Total Ações]]</f>
        <v>1.3253741476406633</v>
      </c>
      <c r="H128" s="15">
        <f>Tabela3[[#This Row],[Lucro/Ação]]/Tabela3[[#This Row],[Ref]]*4</f>
        <v>1.7671655301875511</v>
      </c>
      <c r="I128" s="19">
        <f>IF(GETPIVOTDATA("Payout",'Tabela LL'!$A$3,"Ativo",Tabela3[[#This Row],[PAPEL]])&gt;1,1,GETPIVOTDATA("Payout",'Tabela LL'!$A$3,"Ativo",Tabela3[[#This Row],[PAPEL]]))</f>
        <v>0.38236062761569822</v>
      </c>
      <c r="J128" s="6">
        <f>[Patrimônio Líquido]/[Total Ações]</f>
        <v>26.165228588849843</v>
      </c>
      <c r="K128" s="52">
        <f>MAX(Tabela3[[#This Row],[Cotação 1]],Tabela3[[#This Row],[Cotação 2]])</f>
        <v>16.04</v>
      </c>
      <c r="L128" s="48">
        <f>[Cotação]/[VPA]</f>
        <v>0.61302732156658279</v>
      </c>
      <c r="M128" s="44">
        <f>IF(Tabela3[[#This Row],[Lucro/Ação Ano]]&gt;0,Tabela3[[#This Row],[Cotação]]/Tabela3[[#This Row],[Lucro/Ação Ano]],0)</f>
        <v>9.0766822496235857</v>
      </c>
      <c r="N128" s="13">
        <f>ROUND(Tabela3[[#This Row],[Lucro Prev]]/10%,2)</f>
        <v>6.76</v>
      </c>
      <c r="O128" s="13">
        <f>MIN(Tabela3[[#This Row],[10% Rent]],Tabela3[[#This Row],[VPA]]*2)</f>
        <v>6.76</v>
      </c>
      <c r="P128" s="19">
        <f>Tabela3[[#This Row],[P Compra]]/Tabela3[[#This Row],[Cotação]]-1</f>
        <v>-0.57855361596009969</v>
      </c>
      <c r="Q128" s="6">
        <f>Tabela3[[#This Row],[Lucro/Ação Ano]]*Tabela3[[#This Row],[Payout]]</f>
        <v>0.67569452122334017</v>
      </c>
      <c r="R128" s="15" t="str">
        <f>IF(AND([% Yield]&gt;=10%,[PVPA]&lt;=2,[PL]&lt;=15,[PL]&gt;0),"Sim","Não")</f>
        <v>Não</v>
      </c>
      <c r="S128" s="46">
        <f>Tabela3[[#This Row],[Lucro Prev]]/Tabela3[[#This Row],[Cotação]]</f>
        <v>4.212559359247757E-2</v>
      </c>
      <c r="T128" s="46">
        <f>(1+Tabela3[[#This Row],[% Yield]])^(1/12)-1</f>
        <v>3.4444575023779844E-3</v>
      </c>
      <c r="U128" s="14">
        <f>($AA$1/Tabela3[[#This Row],[Cotação]]-MOD($AA$1/Tabela3[[#This Row],[Cotação]],100))</f>
        <v>0</v>
      </c>
      <c r="V128" s="17">
        <f>Tabela3[[#This Row],[Ativos]]*Tabela3[[#This Row],[Lucro Prev]]</f>
        <v>0</v>
      </c>
      <c r="W128" s="13">
        <f>SUMPRODUCT(N(Tabela1[Código]=Tabela3[[#This Row],[PAPEL]]),Tabela1[Fechamento])</f>
        <v>0</v>
      </c>
      <c r="X128" s="13">
        <f>SUMPRODUCT(N(Tabela17[Código]=Tabela3[[#This Row],[PAPEL]]),Tabela17[Fechamento])</f>
        <v>16.04</v>
      </c>
    </row>
    <row r="129" spans="1:24">
      <c r="A129" s="4" t="s">
        <v>14</v>
      </c>
      <c r="B129" s="14" t="s">
        <v>78</v>
      </c>
      <c r="C129" s="15">
        <v>3</v>
      </c>
      <c r="D129" s="6">
        <v>1277111000</v>
      </c>
      <c r="E129" s="6">
        <v>116149000</v>
      </c>
      <c r="F129" s="42">
        <v>110842313</v>
      </c>
      <c r="G129" s="15">
        <f>Tabela3[[#This Row],[Lucro Líquido]]/Tabela3[[#This Row],[Total Ações]]</f>
        <v>1.0478760038145361</v>
      </c>
      <c r="H129" s="15">
        <f>Tabela3[[#This Row],[Lucro/Ação]]/Tabela3[[#This Row],[Ref]]*4</f>
        <v>1.397168005086048</v>
      </c>
      <c r="I129" s="19">
        <f>IF(GETPIVOTDATA("Payout",'Tabela LL'!$A$3,"Ativo",Tabela3[[#This Row],[PAPEL]])&gt;1,1,GETPIVOTDATA("Payout",'Tabela LL'!$A$3,"Ativo",Tabela3[[#This Row],[PAPEL]]))</f>
        <v>0.66880124529726692</v>
      </c>
      <c r="J129" s="6">
        <f>[Patrimônio Líquido]/[Total Ações]</f>
        <v>11.521872518124013</v>
      </c>
      <c r="K129" s="52">
        <f>MAX(Tabela3[[#This Row],[Cotação 1]],Tabela3[[#This Row],[Cotação 2]])</f>
        <v>8.6999999999999993</v>
      </c>
      <c r="L129" s="48">
        <f>[Cotação]/[VPA]</f>
        <v>0.75508559796290209</v>
      </c>
      <c r="M129" s="44">
        <f>IF(Tabela3[[#This Row],[Lucro/Ação Ano]]&gt;0,Tabela3[[#This Row],[Cotação]]/Tabela3[[#This Row],[Lucro/Ação Ano]],0)</f>
        <v>6.226881783958536</v>
      </c>
      <c r="N129" s="6">
        <f>ROUND(Tabela3[[#This Row],[Lucro Prev]]/10%,2)</f>
        <v>9.34</v>
      </c>
      <c r="O129" s="61">
        <f>MIN(Tabela3[[#This Row],[10% Rent]],Tabela3[[#This Row],[VPA]]*2)</f>
        <v>9.34</v>
      </c>
      <c r="P129" s="19">
        <f>Tabela3[[#This Row],[P Compra]]/Tabela3[[#This Row],[Cotação]]-1</f>
        <v>7.3563218390804597E-2</v>
      </c>
      <c r="Q129" s="6">
        <f>Tabela3[[#This Row],[Lucro/Ação Ano]]*Tabela3[[#This Row],[Payout]]</f>
        <v>0.93442770169104705</v>
      </c>
      <c r="R129" s="15" t="str">
        <f>IF(AND([% Yield]&gt;=10%,[PVPA]&lt;=2,[PL]&lt;=15,[PL]&gt;0),"Sim","Não")</f>
        <v>Sim</v>
      </c>
      <c r="S129" s="46">
        <f>Tabela3[[#This Row],[Lucro Prev]]/Tabela3[[#This Row],[Cotação]]</f>
        <v>0.10740548295299392</v>
      </c>
      <c r="T129" s="97">
        <f>(1+Tabela3[[#This Row],[% Yield]])^(1/12)-1</f>
        <v>8.5378980951102967E-3</v>
      </c>
      <c r="U129" s="14">
        <f>($AA$1/Tabela3[[#This Row],[Cotação]]-MOD($AA$1/Tabela3[[#This Row],[Cotação]],100))</f>
        <v>0</v>
      </c>
      <c r="V129" s="17">
        <f>Tabela3[[#This Row],[Ativos]]*Tabela3[[#This Row],[Lucro Prev]]</f>
        <v>0</v>
      </c>
      <c r="W129" s="5">
        <f>SUMPRODUCT(N(Tabela1[Código]=Tabela3[[#This Row],[PAPEL]]),Tabela1[Fechamento])</f>
        <v>8.6999999999999993</v>
      </c>
      <c r="X129" s="5">
        <f>SUMPRODUCT(N(Tabela17[Código]=Tabela3[[#This Row],[PAPEL]]),Tabela17[Fechamento])</f>
        <v>0</v>
      </c>
    </row>
    <row r="130" spans="1:24">
      <c r="A130" s="4" t="s">
        <v>14</v>
      </c>
      <c r="B130" s="15" t="s">
        <v>87</v>
      </c>
      <c r="C130" s="15">
        <v>3</v>
      </c>
      <c r="D130" s="6">
        <v>1279731000</v>
      </c>
      <c r="E130" s="6">
        <v>103137000</v>
      </c>
      <c r="F130" s="42">
        <v>87289932</v>
      </c>
      <c r="G130" s="15">
        <f>Tabela3[[#This Row],[Lucro Líquido]]/Tabela3[[#This Row],[Total Ações]]</f>
        <v>1.181545198133503</v>
      </c>
      <c r="H130" s="15">
        <f>Tabela3[[#This Row],[Lucro/Ação]]/Tabela3[[#This Row],[Ref]]*4</f>
        <v>1.5753935975113373</v>
      </c>
      <c r="I130" s="19">
        <f>IF(GETPIVOTDATA("Payout",'Tabela LL'!$A$3,"Ativo",Tabela3[[#This Row],[PAPEL]])&gt;1,1,GETPIVOTDATA("Payout",'Tabela LL'!$A$3,"Ativo",Tabela3[[#This Row],[PAPEL]]))</f>
        <v>0.32355722757326899</v>
      </c>
      <c r="J130" s="6">
        <f>[Patrimônio Líquido]/[Total Ações]</f>
        <v>14.660694202396675</v>
      </c>
      <c r="K130" s="52">
        <f>MAX(Tabela3[[#This Row],[Cotação 1]],Tabela3[[#This Row],[Cotação 2]])</f>
        <v>11.32</v>
      </c>
      <c r="L130" s="48">
        <f>[Cotação]/[VPA]</f>
        <v>0.77213260461768918</v>
      </c>
      <c r="M130" s="44">
        <f>IF(Tabela3[[#This Row],[Lucro/Ação Ano]]&gt;0,Tabela3[[#This Row],[Cotação]]/Tabela3[[#This Row],[Lucro/Ação Ano]],0)</f>
        <v>7.1855059065126969</v>
      </c>
      <c r="N130" s="6">
        <f>ROUND(Tabela3[[#This Row],[Lucro Prev]]/10%,2)</f>
        <v>5.0999999999999996</v>
      </c>
      <c r="O130" s="61">
        <f>MIN(Tabela3[[#This Row],[10% Rent]],Tabela3[[#This Row],[VPA]]*2)</f>
        <v>5.0999999999999996</v>
      </c>
      <c r="P130" s="19">
        <f>Tabela3[[#This Row],[P Compra]]/Tabela3[[#This Row],[Cotação]]-1</f>
        <v>-0.54946996466431097</v>
      </c>
      <c r="Q130" s="6">
        <f>Tabela3[[#This Row],[Lucro/Ação Ano]]*Tabela3[[#This Row],[Payout]]</f>
        <v>0.50972998474744668</v>
      </c>
      <c r="R130" s="15" t="str">
        <f>IF(AND([% Yield]&gt;=10%,[PVPA]&lt;=2,[PL]&lt;=15,[PL]&gt;0),"Sim","Não")</f>
        <v>Não</v>
      </c>
      <c r="S130" s="46">
        <f>Tabela3[[#This Row],[Lucro Prev]]/Tabela3[[#This Row],[Cotação]]</f>
        <v>4.5029150596064195E-2</v>
      </c>
      <c r="T130" s="46">
        <f>(1+Tabela3[[#This Row],[% Yield]])^(1/12)-1</f>
        <v>3.6771425220385456E-3</v>
      </c>
      <c r="U130" s="14">
        <f>($AA$1/Tabela3[[#This Row],[Cotação]]-MOD($AA$1/Tabela3[[#This Row],[Cotação]],100))</f>
        <v>0</v>
      </c>
      <c r="V130" s="17">
        <f>Tabela3[[#This Row],[Ativos]]*Tabela3[[#This Row],[Lucro Prev]]</f>
        <v>0</v>
      </c>
      <c r="W130" s="5">
        <f>SUMPRODUCT(N(Tabela1[Código]=Tabela3[[#This Row],[PAPEL]]),Tabela1[Fechamento])</f>
        <v>11.32</v>
      </c>
      <c r="X130" s="5">
        <f>SUMPRODUCT(N(Tabela17[Código]=Tabela3[[#This Row],[PAPEL]]),Tabela17[Fechamento])</f>
        <v>0</v>
      </c>
    </row>
    <row r="131" spans="1:24">
      <c r="A131" s="4" t="s">
        <v>373</v>
      </c>
      <c r="B131" s="70" t="s">
        <v>374</v>
      </c>
      <c r="C131" s="15">
        <v>3</v>
      </c>
      <c r="D131" s="6">
        <v>662099000</v>
      </c>
      <c r="E131" s="6">
        <v>23239000</v>
      </c>
      <c r="F131" s="42">
        <v>80041132</v>
      </c>
      <c r="G131" s="72">
        <f>Tabela3[[#This Row],[Lucro Líquido]]/Tabela3[[#This Row],[Total Ações]]</f>
        <v>0.29033822260284875</v>
      </c>
      <c r="H131" s="15">
        <f>Tabela3[[#This Row],[Lucro/Ação]]/Tabela3[[#This Row],[Ref]]*4</f>
        <v>0.38711763013713169</v>
      </c>
      <c r="I131" s="19">
        <f>IF(GETPIVOTDATA("Payout",'Tabela LL'!$A$3,"Ativo",Tabela3[[#This Row],[PAPEL]])&gt;1,1,GETPIVOTDATA("Payout",'Tabela LL'!$A$3,"Ativo",Tabela3[[#This Row],[PAPEL]]))</f>
        <v>1</v>
      </c>
      <c r="J131" s="6">
        <f>[Patrimônio Líquido]/[Total Ações]</f>
        <v>8.2719844591903069</v>
      </c>
      <c r="K131" s="52">
        <f>MAX(Tabela3[[#This Row],[Cotação 1]],Tabela3[[#This Row],[Cotação 2]])</f>
        <v>7.7</v>
      </c>
      <c r="L131" s="48">
        <f>[Cotação]/[VPA]</f>
        <v>0.93085281264584308</v>
      </c>
      <c r="M131" s="44">
        <f>IF(Tabela3[[#This Row],[Lucro/Ação Ano]]&gt;0,Tabela3[[#This Row],[Cotação]]/Tabela3[[#This Row],[Lucro/Ação Ano]],0)</f>
        <v>19.890595004087956</v>
      </c>
      <c r="N131" s="17">
        <f>ROUND(Tabela3[[#This Row],[Lucro Prev]]/10%,2)</f>
        <v>3.87</v>
      </c>
      <c r="O131" s="13">
        <f>MIN(Tabela3[[#This Row],[10% Rent]],Tabela3[[#This Row],[VPA]]*2)</f>
        <v>3.87</v>
      </c>
      <c r="P131" s="19">
        <f>Tabela3[[#This Row],[P Compra]]/Tabela3[[#This Row],[Cotação]]-1</f>
        <v>-0.4974025974025974</v>
      </c>
      <c r="Q131" s="6">
        <f>Tabela3[[#This Row],[Lucro/Ação Ano]]*Tabela3[[#This Row],[Payout]]</f>
        <v>0.38711763013713169</v>
      </c>
      <c r="R131" s="15" t="str">
        <f>IF(AND([% Yield]&gt;=10%,[PVPA]&lt;=2,[PL]&lt;=15,[PL]&gt;0),"Sim","Não")</f>
        <v>Não</v>
      </c>
      <c r="S131" s="46">
        <f>Tabela3[[#This Row],[Lucro Prev]]/Tabela3[[#This Row],[Cotação]]</f>
        <v>5.0275016900926194E-2</v>
      </c>
      <c r="T131" s="46">
        <f>(1+Tabela3[[#This Row],[% Yield]])^(1/12)-1</f>
        <v>4.0960368161793159E-3</v>
      </c>
      <c r="U131" s="14">
        <f>($AA$1/Tabela3[[#This Row],[Cotação]]-MOD($AA$1/Tabela3[[#This Row],[Cotação]],100))</f>
        <v>0</v>
      </c>
      <c r="V131" s="17">
        <f>Tabela3[[#This Row],[Ativos]]*Tabela3[[#This Row],[Lucro Prev]]</f>
        <v>0</v>
      </c>
      <c r="W131" s="13">
        <f>SUMPRODUCT(N(Tabela1[Código]=Tabela3[[#This Row],[PAPEL]]),Tabela1[Fechamento])</f>
        <v>0</v>
      </c>
      <c r="X131" s="61">
        <f>SUMPRODUCT(N(Tabela17[Código]=Tabela3[[#This Row],[PAPEL]]),Tabela17[Fechamento])</f>
        <v>7.7</v>
      </c>
    </row>
    <row r="132" spans="1:24">
      <c r="A132" s="4" t="s">
        <v>26</v>
      </c>
      <c r="B132" s="14" t="s">
        <v>268</v>
      </c>
      <c r="C132" s="15">
        <v>3</v>
      </c>
      <c r="D132" s="6">
        <v>5318159000</v>
      </c>
      <c r="E132" s="6">
        <v>472452000</v>
      </c>
      <c r="F132" s="42">
        <v>323293030</v>
      </c>
      <c r="G132" s="15">
        <f>Tabela3[[#This Row],[Lucro Líquido]]/Tabela3[[#This Row],[Total Ações]]</f>
        <v>1.4613739120821752</v>
      </c>
      <c r="H132" s="15">
        <f>Tabela3[[#This Row],[Lucro/Ação]]/Tabela3[[#This Row],[Ref]]*4</f>
        <v>1.9484985494429001</v>
      </c>
      <c r="I132" s="19">
        <f>IF(GETPIVOTDATA("Payout",'Tabela LL'!$A$3,"Ativo",Tabela3[[#This Row],[PAPEL]])&gt;1,1,GETPIVOTDATA("Payout",'Tabela LL'!$A$3,"Ativo",Tabela3[[#This Row],[PAPEL]]))</f>
        <v>0.43307716407622709</v>
      </c>
      <c r="J132" s="6">
        <f>[Patrimônio Líquido]/[Total Ações]</f>
        <v>16.449964912636688</v>
      </c>
      <c r="K132" s="52">
        <f>MAX(Tabela3[[#This Row],[Cotação 1]],Tabela3[[#This Row],[Cotação 2]])</f>
        <v>29</v>
      </c>
      <c r="L132" s="48">
        <f>[Cotação]/[VPA]</f>
        <v>1.7629216933905134</v>
      </c>
      <c r="M132" s="44">
        <f>IF(Tabela3[[#This Row],[Lucro/Ação Ano]]&gt;0,Tabela3[[#This Row],[Cotação]]/Tabela3[[#This Row],[Lucro/Ação Ano]],0)</f>
        <v>14.88325460046735</v>
      </c>
      <c r="N132" s="6">
        <f>ROUND(Tabela3[[#This Row],[Lucro Prev]]/10%,2)</f>
        <v>8.44</v>
      </c>
      <c r="O132" s="61">
        <f>MIN(Tabela3[[#This Row],[10% Rent]],Tabela3[[#This Row],[VPA]]*2)</f>
        <v>8.44</v>
      </c>
      <c r="P132" s="19">
        <f>Tabela3[[#This Row],[P Compra]]/Tabela3[[#This Row],[Cotação]]-1</f>
        <v>-0.70896551724137935</v>
      </c>
      <c r="Q132" s="6">
        <f>Tabela3[[#This Row],[Lucro/Ação Ano]]*Tabela3[[#This Row],[Payout]]</f>
        <v>0.84385022599937332</v>
      </c>
      <c r="R132" s="15" t="str">
        <f>IF(AND([% Yield]&gt;=10%,[PVPA]&lt;=2,[PL]&lt;=15,[PL]&gt;0),"Sim","Não")</f>
        <v>Não</v>
      </c>
      <c r="S132" s="46">
        <f>Tabela3[[#This Row],[Lucro Prev]]/Tabela3[[#This Row],[Cotação]]</f>
        <v>2.9098283655150804E-2</v>
      </c>
      <c r="T132" s="46">
        <f>(1+Tabela3[[#This Row],[% Yield]])^(1/12)-1</f>
        <v>2.3931060887367739E-3</v>
      </c>
      <c r="U132" s="14">
        <f>($AA$1/Tabela3[[#This Row],[Cotação]]-MOD($AA$1/Tabela3[[#This Row],[Cotação]],100))</f>
        <v>0</v>
      </c>
      <c r="V132" s="17">
        <f>Tabela3[[#This Row],[Ativos]]*Tabela3[[#This Row],[Lucro Prev]]</f>
        <v>0</v>
      </c>
      <c r="W132" s="5">
        <f>SUMPRODUCT(N(Tabela1[Código]=Tabela3[[#This Row],[PAPEL]]),Tabela1[Fechamento])</f>
        <v>29</v>
      </c>
      <c r="X132" s="5">
        <f>SUMPRODUCT(N(Tabela17[Código]=Tabela3[[#This Row],[PAPEL]]),Tabela17[Fechamento])</f>
        <v>0</v>
      </c>
    </row>
    <row r="133" spans="1:24">
      <c r="A133" s="4" t="s">
        <v>365</v>
      </c>
      <c r="B133" s="70" t="s">
        <v>364</v>
      </c>
      <c r="C133" s="15">
        <v>3</v>
      </c>
      <c r="D133" s="6">
        <v>719118000</v>
      </c>
      <c r="E133" s="6">
        <v>53337000</v>
      </c>
      <c r="F133" s="42">
        <v>17887362</v>
      </c>
      <c r="G133" s="72">
        <f>Tabela3[[#This Row],[Lucro Líquido]]/Tabela3[[#This Row],[Total Ações]]</f>
        <v>2.9818259394537887</v>
      </c>
      <c r="H133" s="15">
        <f>Tabela3[[#This Row],[Lucro/Ação]]/Tabela3[[#This Row],[Ref]]*4</f>
        <v>3.9757679192717181</v>
      </c>
      <c r="I133" s="19">
        <f>IF(GETPIVOTDATA("Payout",'Tabela LL'!$A$3,"Ativo",Tabela3[[#This Row],[PAPEL]])&gt;1,1,GETPIVOTDATA("Payout",'Tabela LL'!$A$3,"Ativo",Tabela3[[#This Row],[PAPEL]]))</f>
        <v>0.29704620053272746</v>
      </c>
      <c r="J133" s="6">
        <f>[Patrimônio Líquido]/[Total Ações]</f>
        <v>40.202574309168675</v>
      </c>
      <c r="K133" s="52">
        <f>MAX(Tabela3[[#This Row],[Cotação 1]],Tabela3[[#This Row],[Cotação 2]])</f>
        <v>58</v>
      </c>
      <c r="L133" s="48">
        <f>[Cotação]/[VPA]</f>
        <v>1.4426936830951249</v>
      </c>
      <c r="M133" s="44">
        <f>IF(Tabela3[[#This Row],[Lucro/Ação Ano]]&gt;0,Tabela3[[#This Row],[Cotação]]/Tabela3[[#This Row],[Lucro/Ação Ano]],0)</f>
        <v>14.588376680353226</v>
      </c>
      <c r="N133" s="17">
        <f>ROUND(Tabela3[[#This Row],[Lucro Prev]]/10%,2)</f>
        <v>11.81</v>
      </c>
      <c r="O133" s="13">
        <f>MIN(Tabela3[[#This Row],[10% Rent]],Tabela3[[#This Row],[VPA]]*2)</f>
        <v>11.81</v>
      </c>
      <c r="P133" s="19">
        <f>Tabela3[[#This Row],[P Compra]]/Tabela3[[#This Row],[Cotação]]-1</f>
        <v>-0.79637931034482756</v>
      </c>
      <c r="Q133" s="6">
        <f>Tabela3[[#This Row],[Lucro/Ação Ano]]*Tabela3[[#This Row],[Payout]]</f>
        <v>1.1809867546195714</v>
      </c>
      <c r="R133" s="15" t="str">
        <f>IF(AND([% Yield]&gt;=10%,[PVPA]&lt;=2,[PL]&lt;=15,[PL]&gt;0),"Sim","Não")</f>
        <v>Não</v>
      </c>
      <c r="S133" s="46">
        <f>Tabela3[[#This Row],[Lucro Prev]]/Tabela3[[#This Row],[Cotação]]</f>
        <v>2.0361840596889162E-2</v>
      </c>
      <c r="T133" s="46">
        <f>(1+Tabela3[[#This Row],[% Yield]])^(1/12)-1</f>
        <v>1.6811874530586746E-3</v>
      </c>
      <c r="U133" s="14">
        <f>($AA$1/Tabela3[[#This Row],[Cotação]]-MOD($AA$1/Tabela3[[#This Row],[Cotação]],100))</f>
        <v>0</v>
      </c>
      <c r="V133" s="17">
        <f>Tabela3[[#This Row],[Ativos]]*Tabela3[[#This Row],[Lucro Prev]]</f>
        <v>0</v>
      </c>
      <c r="W133" s="13">
        <f>SUMPRODUCT(N(Tabela1[Código]=Tabela3[[#This Row],[PAPEL]]),Tabela1[Fechamento])</f>
        <v>0</v>
      </c>
      <c r="X133" s="61">
        <f>SUMPRODUCT(N(Tabela17[Código]=Tabela3[[#This Row],[PAPEL]]),Tabela17[Fechamento])</f>
        <v>58</v>
      </c>
    </row>
    <row r="134" spans="1:24">
      <c r="A134" s="4" t="s">
        <v>282</v>
      </c>
      <c r="B134" s="70" t="s">
        <v>283</v>
      </c>
      <c r="C134" s="15">
        <v>3</v>
      </c>
      <c r="D134" s="6">
        <v>2384232000</v>
      </c>
      <c r="E134" s="6">
        <v>171061000</v>
      </c>
      <c r="F134" s="42">
        <v>265806905</v>
      </c>
      <c r="G134" s="72">
        <f>Tabela3[[#This Row],[Lucro Líquido]]/Tabela3[[#This Row],[Total Ações]]</f>
        <v>0.64355363529777376</v>
      </c>
      <c r="H134" s="15">
        <f>Tabela3[[#This Row],[Lucro/Ação]]/Tabela3[[#This Row],[Ref]]*4</f>
        <v>0.85807151373036505</v>
      </c>
      <c r="I134" s="19">
        <f>IF(GETPIVOTDATA("Payout",'Tabela LL'!$A$3,"Ativo",Tabela3[[#This Row],[PAPEL]])&gt;1,1,GETPIVOTDATA("Payout",'Tabela LL'!$A$3,"Ativo",Tabela3[[#This Row],[PAPEL]]))</f>
        <v>0.45238397622744686</v>
      </c>
      <c r="J134" s="6">
        <f>[Patrimônio Líquido]/[Total Ações]</f>
        <v>8.9697895545640538</v>
      </c>
      <c r="K134" s="52">
        <f>MAX(Tabela3[[#This Row],[Cotação 1]],Tabela3[[#This Row],[Cotação 2]])</f>
        <v>9.6999999999999993</v>
      </c>
      <c r="L134" s="48">
        <f>[Cotação]/[VPA]</f>
        <v>1.0814077566696529</v>
      </c>
      <c r="M134" s="44">
        <f>IF(Tabela3[[#This Row],[Lucro/Ação Ano]]&gt;0,Tabela3[[#This Row],[Cotação]]/Tabela3[[#This Row],[Lucro/Ação Ano]],0)</f>
        <v>11.30441908953531</v>
      </c>
      <c r="N134" s="13">
        <f>ROUND(Tabela3[[#This Row],[Lucro Prev]]/10%,2)</f>
        <v>3.88</v>
      </c>
      <c r="O134" s="13">
        <f>MIN(Tabela3[[#This Row],[10% Rent]],Tabela3[[#This Row],[VPA]]*2)</f>
        <v>3.88</v>
      </c>
      <c r="P134" s="19">
        <f>Tabela3[[#This Row],[P Compra]]/Tabela3[[#This Row],[Cotação]]-1</f>
        <v>-0.6</v>
      </c>
      <c r="Q134" s="6">
        <f>Tabela3[[#This Row],[Lucro/Ação Ano]]*Tabela3[[#This Row],[Payout]]</f>
        <v>0.38817780326884682</v>
      </c>
      <c r="R134" s="15" t="str">
        <f>IF(AND([% Yield]&gt;=10%,[PVPA]&lt;=2,[PL]&lt;=15,[PL]&gt;0),"Sim","Não")</f>
        <v>Não</v>
      </c>
      <c r="S134" s="46">
        <f>Tabela3[[#This Row],[Lucro Prev]]/Tabela3[[#This Row],[Cotação]]</f>
        <v>4.0018330233901736E-2</v>
      </c>
      <c r="T134" s="46">
        <f>(1+Tabela3[[#This Row],[% Yield]])^(1/12)-1</f>
        <v>3.2752133474038825E-3</v>
      </c>
      <c r="U134" s="14">
        <f>($AA$1/Tabela3[[#This Row],[Cotação]]-MOD($AA$1/Tabela3[[#This Row],[Cotação]],100))</f>
        <v>0</v>
      </c>
      <c r="V134" s="17">
        <f>Tabela3[[#This Row],[Ativos]]*Tabela3[[#This Row],[Lucro Prev]]</f>
        <v>0</v>
      </c>
      <c r="W134" s="13">
        <f>SUMPRODUCT(N(Tabela1[Código]=Tabela3[[#This Row],[PAPEL]]),Tabela1[Fechamento])</f>
        <v>0</v>
      </c>
      <c r="X134" s="13">
        <f>SUMPRODUCT(N(Tabela17[Código]=Tabela3[[#This Row],[PAPEL]]),Tabela17[Fechamento])</f>
        <v>9.6999999999999993</v>
      </c>
    </row>
    <row r="135" spans="1:24">
      <c r="A135" s="4" t="s">
        <v>19</v>
      </c>
      <c r="B135" s="14" t="s">
        <v>204</v>
      </c>
      <c r="C135" s="15">
        <v>3</v>
      </c>
      <c r="D135" s="6">
        <v>460223000</v>
      </c>
      <c r="E135" s="6">
        <v>24584000</v>
      </c>
      <c r="F135" s="42">
        <v>166720235</v>
      </c>
      <c r="G135" s="15">
        <f>Tabela3[[#This Row],[Lucro Líquido]]/Tabela3[[#This Row],[Total Ações]]</f>
        <v>0.14745660597227445</v>
      </c>
      <c r="H135" s="15">
        <f>Tabela3[[#This Row],[Lucro/Ação]]/Tabela3[[#This Row],[Ref]]*4</f>
        <v>0.19660880796303259</v>
      </c>
      <c r="I135" s="19">
        <f>IF(GETPIVOTDATA("Payout",'Tabela LL'!$A$3,"Ativo",Tabela3[[#This Row],[PAPEL]])&gt;1,1,GETPIVOTDATA("Payout",'Tabela LL'!$A$3,"Ativo",Tabela3[[#This Row],[PAPEL]]))</f>
        <v>0.5857126326415365</v>
      </c>
      <c r="J135" s="6">
        <f>[Patrimônio Líquido]/[Total Ações]</f>
        <v>2.760450763520097</v>
      </c>
      <c r="K135" s="52">
        <f>MAX(Tabela3[[#This Row],[Cotação 1]],Tabela3[[#This Row],[Cotação 2]])</f>
        <v>3.25</v>
      </c>
      <c r="L135" s="48">
        <f>[Cotação]/[VPA]</f>
        <v>1.1773439479339365</v>
      </c>
      <c r="M135" s="44">
        <f>IF(Tabela3[[#This Row],[Lucro/Ação Ano]]&gt;0,Tabela3[[#This Row],[Cotação]]/Tabela3[[#This Row],[Lucro/Ação Ano]],0)</f>
        <v>16.530286886287829</v>
      </c>
      <c r="N135" s="6">
        <f>ROUND(Tabela3[[#This Row],[Lucro Prev]]/10%,2)</f>
        <v>1.1499999999999999</v>
      </c>
      <c r="O135" s="61">
        <f>MIN(Tabela3[[#This Row],[10% Rent]],Tabela3[[#This Row],[VPA]]*2)</f>
        <v>1.1499999999999999</v>
      </c>
      <c r="P135" s="19">
        <f>Tabela3[[#This Row],[P Compra]]/Tabela3[[#This Row],[Cotação]]-1</f>
        <v>-0.64615384615384619</v>
      </c>
      <c r="Q135" s="6">
        <f>Tabela3[[#This Row],[Lucro/Ação Ano]]*Tabela3[[#This Row],[Payout]]</f>
        <v>0.1151562625125421</v>
      </c>
      <c r="R135" s="15" t="str">
        <f>IF(AND([% Yield]&gt;=10%,[PVPA]&lt;=2,[PL]&lt;=15,[PL]&gt;0),"Sim","Não")</f>
        <v>Não</v>
      </c>
      <c r="S135" s="46">
        <f>Tabela3[[#This Row],[Lucro Prev]]/Tabela3[[#This Row],[Cotação]]</f>
        <v>3.5432696157705265E-2</v>
      </c>
      <c r="T135" s="46">
        <f>(1+Tabela3[[#This Row],[% Yield]])^(1/12)-1</f>
        <v>2.9058307044773635E-3</v>
      </c>
      <c r="U135" s="14">
        <f>($AA$1/Tabela3[[#This Row],[Cotação]]-MOD($AA$1/Tabela3[[#This Row],[Cotação]],100))</f>
        <v>0</v>
      </c>
      <c r="V135" s="17">
        <f>Tabela3[[#This Row],[Ativos]]*Tabela3[[#This Row],[Lucro Prev]]</f>
        <v>0</v>
      </c>
      <c r="W135" s="5">
        <f>SUMPRODUCT(N(Tabela1[Código]=Tabela3[[#This Row],[PAPEL]]),Tabela1[Fechamento])</f>
        <v>3.25</v>
      </c>
      <c r="X135" s="5">
        <f>SUMPRODUCT(N(Tabela17[Código]=Tabela3[[#This Row],[PAPEL]]),Tabela17[Fechamento])</f>
        <v>0</v>
      </c>
    </row>
    <row r="136" spans="1:24">
      <c r="A136" s="4" t="s">
        <v>19</v>
      </c>
      <c r="B136" s="14" t="s">
        <v>205</v>
      </c>
      <c r="C136" s="15">
        <v>3</v>
      </c>
      <c r="D136" s="6">
        <v>460223000</v>
      </c>
      <c r="E136" s="6">
        <v>24584000</v>
      </c>
      <c r="F136" s="42">
        <v>166720235</v>
      </c>
      <c r="G136" s="15">
        <f>Tabela3[[#This Row],[Lucro Líquido]]/Tabela3[[#This Row],[Total Ações]]</f>
        <v>0.14745660597227445</v>
      </c>
      <c r="H136" s="15">
        <f>Tabela3[[#This Row],[Lucro/Ação]]/Tabela3[[#This Row],[Ref]]*4</f>
        <v>0.19660880796303259</v>
      </c>
      <c r="I136" s="19">
        <f>IF(GETPIVOTDATA("Payout",'Tabela LL'!$A$3,"Ativo",Tabela3[[#This Row],[PAPEL]])&gt;1,1,GETPIVOTDATA("Payout",'Tabela LL'!$A$3,"Ativo",Tabela3[[#This Row],[PAPEL]]))</f>
        <v>0.63120967245066673</v>
      </c>
      <c r="J136" s="6">
        <f>[Patrimônio Líquido]/[Total Ações]</f>
        <v>2.760450763520097</v>
      </c>
      <c r="K136" s="52">
        <f>MAX(Tabela3[[#This Row],[Cotação 1]],Tabela3[[#This Row],[Cotação 2]])</f>
        <v>3.36</v>
      </c>
      <c r="L136" s="48">
        <f>[Cotação]/[VPA]</f>
        <v>1.2171925123255465</v>
      </c>
      <c r="M136" s="44">
        <f>IF(Tabela3[[#This Row],[Lucro/Ação Ano]]&gt;0,Tabela3[[#This Row],[Cotação]]/Tabela3[[#This Row],[Lucro/Ação Ano]],0)</f>
        <v>17.089773519362186</v>
      </c>
      <c r="N136" s="6">
        <f>ROUND(Tabela3[[#This Row],[Lucro Prev]]/10%,2)</f>
        <v>1.24</v>
      </c>
      <c r="O136" s="61">
        <f>MIN(Tabela3[[#This Row],[10% Rent]],Tabela3[[#This Row],[VPA]]*2)</f>
        <v>1.24</v>
      </c>
      <c r="P136" s="19">
        <f>Tabela3[[#This Row],[P Compra]]/Tabela3[[#This Row],[Cotação]]-1</f>
        <v>-0.63095238095238093</v>
      </c>
      <c r="Q136" s="6">
        <f>Tabela3[[#This Row],[Lucro/Ação Ano]]*Tabela3[[#This Row],[Payout]]</f>
        <v>0.12410138127526184</v>
      </c>
      <c r="R136" s="15" t="str">
        <f>IF(AND([% Yield]&gt;=10%,[PVPA]&lt;=2,[PL]&lt;=15,[PL]&gt;0),"Sim","Não")</f>
        <v>Não</v>
      </c>
      <c r="S136" s="46">
        <f>Tabela3[[#This Row],[Lucro Prev]]/Tabela3[[#This Row],[Cotação]]</f>
        <v>3.6934934903351736E-2</v>
      </c>
      <c r="T136" s="46">
        <f>(1+Tabela3[[#This Row],[% Yield]])^(1/12)-1</f>
        <v>3.027004127274413E-3</v>
      </c>
      <c r="U136" s="14">
        <f>($AA$1/Tabela3[[#This Row],[Cotação]]-MOD($AA$1/Tabela3[[#This Row],[Cotação]],100))</f>
        <v>0</v>
      </c>
      <c r="V136" s="17">
        <f>Tabela3[[#This Row],[Ativos]]*Tabela3[[#This Row],[Lucro Prev]]</f>
        <v>0</v>
      </c>
      <c r="W136" s="5">
        <f>SUMPRODUCT(N(Tabela1[Código]=Tabela3[[#This Row],[PAPEL]]),Tabela1[Fechamento])</f>
        <v>3.36</v>
      </c>
      <c r="X136" s="5">
        <f>SUMPRODUCT(N(Tabela17[Código]=Tabela3[[#This Row],[PAPEL]]),Tabela17[Fechamento])</f>
        <v>0</v>
      </c>
    </row>
    <row r="137" spans="1:24">
      <c r="A137" s="4" t="s">
        <v>12</v>
      </c>
      <c r="B137" s="14" t="s">
        <v>68</v>
      </c>
      <c r="C137" s="15">
        <v>3</v>
      </c>
      <c r="D137" s="6">
        <v>463367000</v>
      </c>
      <c r="E137" s="6">
        <v>59974000</v>
      </c>
      <c r="F137" s="42">
        <v>108480828</v>
      </c>
      <c r="G137" s="15">
        <f>Tabela3[[#This Row],[Lucro Líquido]]/Tabela3[[#This Row],[Total Ações]]</f>
        <v>0.55285344982801943</v>
      </c>
      <c r="H137" s="15">
        <f>Tabela3[[#This Row],[Lucro/Ação]]/Tabela3[[#This Row],[Ref]]*4</f>
        <v>0.73713793310402587</v>
      </c>
      <c r="I137" s="19">
        <f>IF(GETPIVOTDATA("Payout",'Tabela LL'!$A$3,"Ativo",Tabela3[[#This Row],[PAPEL]])&gt;1,1,GETPIVOTDATA("Payout",'Tabela LL'!$A$3,"Ativo",Tabela3[[#This Row],[PAPEL]]))</f>
        <v>0.74003580825491566</v>
      </c>
      <c r="J137" s="6">
        <f>[Patrimônio Líquido]/[Total Ações]</f>
        <v>4.2714183560619574</v>
      </c>
      <c r="K137" s="52">
        <f>MAX(Tabela3[[#This Row],[Cotação 1]],Tabela3[[#This Row],[Cotação 2]])</f>
        <v>5.96</v>
      </c>
      <c r="L137" s="48">
        <f>[Cotação]/[VPA]</f>
        <v>1.3953210627429231</v>
      </c>
      <c r="M137" s="44">
        <f>IF(Tabela3[[#This Row],[Lucro/Ação Ano]]&gt;0,Tabela3[[#This Row],[Cotação]]/Tabela3[[#This Row],[Lucro/Ação Ano]],0)</f>
        <v>8.0853253269750223</v>
      </c>
      <c r="N137" s="6">
        <f>ROUND(Tabela3[[#This Row],[Lucro Prev]]/10%,2)</f>
        <v>5.46</v>
      </c>
      <c r="O137" s="17">
        <f>MIN(Tabela3[[#This Row],[10% Rent]],Tabela3[[#This Row],[VPA]]*2)</f>
        <v>5.46</v>
      </c>
      <c r="P137" s="19">
        <f>Tabela3[[#This Row],[P Compra]]/Tabela3[[#This Row],[Cotação]]-1</f>
        <v>-8.3892617449664475E-2</v>
      </c>
      <c r="Q137" s="6">
        <f>Tabela3[[#This Row],[Lucro/Ação Ano]]*Tabela3[[#This Row],[Payout]]</f>
        <v>0.54550846611999571</v>
      </c>
      <c r="R137" s="14" t="str">
        <f>IF(AND([% Yield]&gt;=10%,[PVPA]&lt;=2,[PL]&lt;=15,[PL]&gt;0),"Sim","Não")</f>
        <v>Não</v>
      </c>
      <c r="S137" s="46">
        <f>Tabela3[[#This Row],[Lucro Prev]]/Tabela3[[#This Row],[Cotação]]</f>
        <v>9.1528266127516064E-2</v>
      </c>
      <c r="T137" s="46">
        <f>(1+Tabela3[[#This Row],[% Yield]])^(1/12)-1</f>
        <v>7.3249297801138979E-3</v>
      </c>
      <c r="U137" s="14">
        <f>($AA$1/Tabela3[[#This Row],[Cotação]]-MOD($AA$1/Tabela3[[#This Row],[Cotação]],100))</f>
        <v>0</v>
      </c>
      <c r="V137" s="17">
        <f>Tabela3[[#This Row],[Ativos]]*Tabela3[[#This Row],[Lucro Prev]]</f>
        <v>0</v>
      </c>
      <c r="W137" s="5">
        <f>SUMPRODUCT(N(Tabela1[Código]=Tabela3[[#This Row],[PAPEL]]),Tabela1[Fechamento])</f>
        <v>5.96</v>
      </c>
      <c r="X137" s="5">
        <f>SUMPRODUCT(N(Tabela17[Código]=Tabela3[[#This Row],[PAPEL]]),Tabela17[Fechamento])</f>
        <v>0</v>
      </c>
    </row>
    <row r="138" spans="1:24">
      <c r="A138" s="4" t="s">
        <v>14</v>
      </c>
      <c r="B138" s="14" t="s">
        <v>213</v>
      </c>
      <c r="C138" s="15">
        <v>3</v>
      </c>
      <c r="D138" s="6">
        <v>727021000</v>
      </c>
      <c r="E138" s="6">
        <v>31097000</v>
      </c>
      <c r="F138" s="42">
        <v>84682269</v>
      </c>
      <c r="G138" s="15">
        <f>Tabela3[[#This Row],[Lucro Líquido]]/Tabela3[[#This Row],[Total Ações]]</f>
        <v>0.36721973049635692</v>
      </c>
      <c r="H138" s="15">
        <f>Tabela3[[#This Row],[Lucro/Ação]]/Tabela3[[#This Row],[Ref]]*4</f>
        <v>0.4896263073284759</v>
      </c>
      <c r="I138" s="19">
        <f>IF(GETPIVOTDATA("Payout",'Tabela LL'!$A$3,"Ativo",Tabela3[[#This Row],[PAPEL]])&gt;1,1,GETPIVOTDATA("Payout",'Tabela LL'!$A$3,"Ativo",Tabela3[[#This Row],[PAPEL]]))</f>
        <v>2.6538214988206538E-2</v>
      </c>
      <c r="J138" s="6">
        <f>[Patrimônio Líquido]/[Total Ações]</f>
        <v>8.5852801133611578</v>
      </c>
      <c r="K138" s="52">
        <f>MAX(Tabela3[[#This Row],[Cotação 1]],Tabela3[[#This Row],[Cotação 2]])</f>
        <v>3.08</v>
      </c>
      <c r="L138" s="48">
        <f>[Cotação]/[VPA]</f>
        <v>0.35875358279884623</v>
      </c>
      <c r="M138" s="44">
        <f>IF(Tabela3[[#This Row],[Lucro/Ação Ano]]&gt;0,Tabela3[[#This Row],[Cotação]]/Tabela3[[#This Row],[Lucro/Ação Ano]],0)</f>
        <v>6.2905116696144328</v>
      </c>
      <c r="N138" s="6">
        <f>ROUND(Tabela3[[#This Row],[Lucro Prev]]/10%,2)</f>
        <v>0.13</v>
      </c>
      <c r="O138" s="61">
        <f>MIN(Tabela3[[#This Row],[10% Rent]],Tabela3[[#This Row],[VPA]]*2)</f>
        <v>0.13</v>
      </c>
      <c r="P138" s="19">
        <f>Tabela3[[#This Row],[P Compra]]/Tabela3[[#This Row],[Cotação]]-1</f>
        <v>-0.95779220779220775</v>
      </c>
      <c r="Q138" s="6">
        <f>Tabela3[[#This Row],[Lucro/Ação Ano]]*Tabela3[[#This Row],[Payout]]</f>
        <v>1.299380820776478E-2</v>
      </c>
      <c r="R138" s="15" t="str">
        <f>IF(AND([% Yield]&gt;=10%,[PVPA]&lt;=2,[PL]&lt;=15,[PL]&gt;0),"Sim","Não")</f>
        <v>Não</v>
      </c>
      <c r="S138" s="46">
        <f>Tabela3[[#This Row],[Lucro Prev]]/Tabela3[[#This Row],[Cotação]]</f>
        <v>4.2187688986249283E-3</v>
      </c>
      <c r="T138" s="46">
        <f>(1+Tabela3[[#This Row],[% Yield]])^(1/12)-1</f>
        <v>3.5088611636613365E-4</v>
      </c>
      <c r="U138" s="14">
        <f>($AA$1/Tabela3[[#This Row],[Cotação]]-MOD($AA$1/Tabela3[[#This Row],[Cotação]],100))</f>
        <v>0</v>
      </c>
      <c r="V138" s="17">
        <f>Tabela3[[#This Row],[Ativos]]*Tabela3[[#This Row],[Lucro Prev]]</f>
        <v>0</v>
      </c>
      <c r="W138" s="5">
        <f>SUMPRODUCT(N(Tabela1[Código]=Tabela3[[#This Row],[PAPEL]]),Tabela1[Fechamento])</f>
        <v>3.08</v>
      </c>
      <c r="X138" s="5">
        <f>SUMPRODUCT(N(Tabela17[Código]=Tabela3[[#This Row],[PAPEL]]),Tabela17[Fechamento])</f>
        <v>0</v>
      </c>
    </row>
    <row r="139" spans="1:24">
      <c r="A139" s="4" t="s">
        <v>14</v>
      </c>
      <c r="B139" s="14" t="s">
        <v>80</v>
      </c>
      <c r="C139" s="15">
        <v>3</v>
      </c>
      <c r="D139" s="6">
        <v>727021000</v>
      </c>
      <c r="E139" s="6">
        <v>31097000</v>
      </c>
      <c r="F139" s="42">
        <v>84682269</v>
      </c>
      <c r="G139" s="15">
        <f>Tabela3[[#This Row],[Lucro Líquido]]/Tabela3[[#This Row],[Total Ações]]</f>
        <v>0.36721973049635692</v>
      </c>
      <c r="H139" s="15">
        <f>Tabela3[[#This Row],[Lucro/Ação]]/Tabela3[[#This Row],[Ref]]*4</f>
        <v>0.4896263073284759</v>
      </c>
      <c r="I139" s="19">
        <f>IF(GETPIVOTDATA("Payout",'Tabela LL'!$A$3,"Ativo",Tabela3[[#This Row],[PAPEL]])&gt;1,1,GETPIVOTDATA("Payout",'Tabela LL'!$A$3,"Ativo",Tabela3[[#This Row],[PAPEL]]))</f>
        <v>0.63014566270033845</v>
      </c>
      <c r="J139" s="6">
        <f>[Patrimônio Líquido]/[Total Ações]</f>
        <v>8.5852801133611578</v>
      </c>
      <c r="K139" s="52">
        <f>MAX(Tabela3[[#This Row],[Cotação 1]],Tabela3[[#This Row],[Cotação 2]])</f>
        <v>6.8</v>
      </c>
      <c r="L139" s="48">
        <f>[Cotação]/[VPA]</f>
        <v>0.79205336462082931</v>
      </c>
      <c r="M139" s="44">
        <f>IF(Tabela3[[#This Row],[Lucro/Ação Ano]]&gt;0,Tabela3[[#This Row],[Cotação]]/Tabela3[[#This Row],[Lucro/Ação Ano]],0)</f>
        <v>13.888142647200693</v>
      </c>
      <c r="N139" s="6">
        <f>ROUND(Tabela3[[#This Row],[Lucro Prev]]/10%,2)</f>
        <v>3.09</v>
      </c>
      <c r="O139" s="61">
        <f>MIN(Tabela3[[#This Row],[10% Rent]],Tabela3[[#This Row],[VPA]]*2)</f>
        <v>3.09</v>
      </c>
      <c r="P139" s="19">
        <f>Tabela3[[#This Row],[P Compra]]/Tabela3[[#This Row],[Cotação]]-1</f>
        <v>-0.54558823529411771</v>
      </c>
      <c r="Q139" s="6">
        <f>Tabela3[[#This Row],[Lucro/Ação Ano]]*Tabela3[[#This Row],[Payout]]</f>
        <v>0.30853589390702202</v>
      </c>
      <c r="R139" s="15" t="str">
        <f>IF(AND([% Yield]&gt;=10%,[PVPA]&lt;=2,[PL]&lt;=15,[PL]&gt;0),"Sim","Não")</f>
        <v>Não</v>
      </c>
      <c r="S139" s="46">
        <f>Tabela3[[#This Row],[Lucro Prev]]/Tabela3[[#This Row],[Cotação]]</f>
        <v>4.5372925574562066E-2</v>
      </c>
      <c r="T139" s="46">
        <f>(1+Tabela3[[#This Row],[% Yield]])^(1/12)-1</f>
        <v>3.7046526857340556E-3</v>
      </c>
      <c r="U139" s="14">
        <f>($AA$1/Tabela3[[#This Row],[Cotação]]-MOD($AA$1/Tabela3[[#This Row],[Cotação]],100))</f>
        <v>0</v>
      </c>
      <c r="V139" s="17">
        <f>Tabela3[[#This Row],[Ativos]]*Tabela3[[#This Row],[Lucro Prev]]</f>
        <v>0</v>
      </c>
      <c r="W139" s="5">
        <f>SUMPRODUCT(N(Tabela1[Código]=Tabela3[[#This Row],[PAPEL]]),Tabela1[Fechamento])</f>
        <v>6.8</v>
      </c>
      <c r="X139" s="5">
        <f>SUMPRODUCT(N(Tabela17[Código]=Tabela3[[#This Row],[PAPEL]]),Tabela17[Fechamento])</f>
        <v>0</v>
      </c>
    </row>
    <row r="140" spans="1:24">
      <c r="A140" s="4" t="s">
        <v>14</v>
      </c>
      <c r="B140" s="14" t="s">
        <v>214</v>
      </c>
      <c r="C140" s="15">
        <v>3</v>
      </c>
      <c r="D140" s="6">
        <v>727021000</v>
      </c>
      <c r="E140" s="6">
        <v>31097000</v>
      </c>
      <c r="F140" s="42">
        <v>84682269</v>
      </c>
      <c r="G140" s="15">
        <f>Tabela3[[#This Row],[Lucro Líquido]]/Tabela3[[#This Row],[Total Ações]]</f>
        <v>0.36721973049635692</v>
      </c>
      <c r="H140" s="15">
        <f>Tabela3[[#This Row],[Lucro/Ação]]/Tabela3[[#This Row],[Ref]]*4</f>
        <v>0.4896263073284759</v>
      </c>
      <c r="I140" s="19">
        <f>IF(GETPIVOTDATA("Payout",'Tabela LL'!$A$3,"Ativo",Tabela3[[#This Row],[PAPEL]])&gt;1,1,GETPIVOTDATA("Payout",'Tabela LL'!$A$3,"Ativo",Tabela3[[#This Row],[PAPEL]]))</f>
        <v>2.9204663914363771E-2</v>
      </c>
      <c r="J140" s="6">
        <f>[Patrimônio Líquido]/[Total Ações]</f>
        <v>8.5852801133611578</v>
      </c>
      <c r="K140" s="52">
        <f>MAX(Tabela3[[#This Row],[Cotação 1]],Tabela3[[#This Row],[Cotação 2]])</f>
        <v>2.99</v>
      </c>
      <c r="L140" s="48">
        <f>[Cotação]/[VPA]</f>
        <v>0.34827052356121763</v>
      </c>
      <c r="M140" s="44">
        <f>IF(Tabela3[[#This Row],[Lucro/Ação Ano]]&gt;0,Tabela3[[#This Row],[Cotação]]/Tabela3[[#This Row],[Lucro/Ação Ano]],0)</f>
        <v>6.1066980169308938</v>
      </c>
      <c r="N140" s="6">
        <f>ROUND(Tabela3[[#This Row],[Lucro Prev]]/10%,2)</f>
        <v>0.14000000000000001</v>
      </c>
      <c r="O140" s="61">
        <f>MIN(Tabela3[[#This Row],[10% Rent]],Tabela3[[#This Row],[VPA]]*2)</f>
        <v>0.14000000000000001</v>
      </c>
      <c r="P140" s="19">
        <f>Tabela3[[#This Row],[P Compra]]/Tabela3[[#This Row],[Cotação]]-1</f>
        <v>-0.95317725752508364</v>
      </c>
      <c r="Q140" s="6">
        <f>Tabela3[[#This Row],[Lucro/Ação Ano]]*Tabela3[[#This Row],[Payout]]</f>
        <v>1.4299371749159125E-2</v>
      </c>
      <c r="R140" s="15" t="str">
        <f>IF(AND([% Yield]&gt;=10%,[PVPA]&lt;=2,[PL]&lt;=15,[PL]&gt;0),"Sim","Não")</f>
        <v>Não</v>
      </c>
      <c r="S140" s="46">
        <f>Tabela3[[#This Row],[Lucro Prev]]/Tabela3[[#This Row],[Cotação]]</f>
        <v>4.7823985783140887E-3</v>
      </c>
      <c r="T140" s="46">
        <f>(1+Tabela3[[#This Row],[% Yield]])^(1/12)-1</f>
        <v>3.9766231669591257E-4</v>
      </c>
      <c r="U140" s="14">
        <f>($AA$1/Tabela3[[#This Row],[Cotação]]-MOD($AA$1/Tabela3[[#This Row],[Cotação]],100))</f>
        <v>100</v>
      </c>
      <c r="V140" s="17">
        <f>Tabela3[[#This Row],[Ativos]]*Tabela3[[#This Row],[Lucro Prev]]</f>
        <v>1.4299371749159124</v>
      </c>
      <c r="W140" s="5">
        <f>SUMPRODUCT(N(Tabela1[Código]=Tabela3[[#This Row],[PAPEL]]),Tabela1[Fechamento])</f>
        <v>2.99</v>
      </c>
      <c r="X140" s="5">
        <f>SUMPRODUCT(N(Tabela17[Código]=Tabela3[[#This Row],[PAPEL]]),Tabela17[Fechamento])</f>
        <v>0</v>
      </c>
    </row>
    <row r="141" spans="1:24">
      <c r="A141" s="4" t="s">
        <v>37</v>
      </c>
      <c r="B141" s="14" t="s">
        <v>202</v>
      </c>
      <c r="C141" s="15">
        <v>3</v>
      </c>
      <c r="D141" s="6">
        <v>3403126000</v>
      </c>
      <c r="E141" s="6">
        <v>314887000</v>
      </c>
      <c r="F141" s="42">
        <v>476620206</v>
      </c>
      <c r="G141" s="15">
        <f>Tabela3[[#This Row],[Lucro Líquido]]/Tabela3[[#This Row],[Total Ações]]</f>
        <v>0.66066649301897196</v>
      </c>
      <c r="H141" s="15">
        <f>Tabela3[[#This Row],[Lucro/Ação]]/Tabela3[[#This Row],[Ref]]*4</f>
        <v>0.88088865735862931</v>
      </c>
      <c r="I141" s="19">
        <f>IF(GETPIVOTDATA("Payout",'Tabela LL'!$A$3,"Ativo",Tabela3[[#This Row],[PAPEL]])&gt;1,1,GETPIVOTDATA("Payout",'Tabela LL'!$A$3,"Ativo",Tabela3[[#This Row],[PAPEL]]))</f>
        <v>0.42096174698699207</v>
      </c>
      <c r="J141" s="6">
        <f>[Patrimônio Líquido]/[Total Ações]</f>
        <v>7.1401211219316201</v>
      </c>
      <c r="K141" s="52">
        <f>MAX(Tabela3[[#This Row],[Cotação 1]],Tabela3[[#This Row],[Cotação 2]])</f>
        <v>8.19</v>
      </c>
      <c r="L141" s="48">
        <f>[Cotação]/[VPA]</f>
        <v>1.1470393653188273</v>
      </c>
      <c r="M141" s="44">
        <f>IF(Tabela3[[#This Row],[Lucro/Ação Ano]]&gt;0,Tabela3[[#This Row],[Cotação]]/Tabela3[[#This Row],[Lucro/Ação Ano]],0)</f>
        <v>9.2974292852832914</v>
      </c>
      <c r="N141" s="6">
        <f>ROUND(Tabela3[[#This Row],[Lucro Prev]]/10%,2)</f>
        <v>3.71</v>
      </c>
      <c r="O141" s="61">
        <f>MIN(Tabela3[[#This Row],[10% Rent]],Tabela3[[#This Row],[VPA]]*2)</f>
        <v>3.71</v>
      </c>
      <c r="P141" s="19">
        <f>Tabela3[[#This Row],[P Compra]]/Tabela3[[#This Row],[Cotação]]-1</f>
        <v>-0.54700854700854706</v>
      </c>
      <c r="Q141" s="6">
        <f>Tabela3[[#This Row],[Lucro/Ação Ano]]*Tabela3[[#This Row],[Payout]]</f>
        <v>0.37082042810271448</v>
      </c>
      <c r="R141" s="15" t="str">
        <f>IF(AND([% Yield]&gt;=10%,[PVPA]&lt;=2,[PL]&lt;=15,[PL]&gt;0),"Sim","Não")</f>
        <v>Não</v>
      </c>
      <c r="S141" s="46">
        <f>Tabela3[[#This Row],[Lucro Prev]]/Tabela3[[#This Row],[Cotação]]</f>
        <v>4.5277219548560989E-2</v>
      </c>
      <c r="T141" s="46">
        <f>(1+Tabela3[[#This Row],[% Yield]])^(1/12)-1</f>
        <v>3.6969947635143718E-3</v>
      </c>
      <c r="U141" s="14">
        <f>($AA$1/Tabela3[[#This Row],[Cotação]]-MOD($AA$1/Tabela3[[#This Row],[Cotação]],100))</f>
        <v>0</v>
      </c>
      <c r="V141" s="17">
        <f>Tabela3[[#This Row],[Ativos]]*Tabela3[[#This Row],[Lucro Prev]]</f>
        <v>0</v>
      </c>
      <c r="W141" s="5">
        <f>SUMPRODUCT(N(Tabela1[Código]=Tabela3[[#This Row],[PAPEL]]),Tabela1[Fechamento])</f>
        <v>8.19</v>
      </c>
      <c r="X141" s="5">
        <f>SUMPRODUCT(N(Tabela17[Código]=Tabela3[[#This Row],[PAPEL]]),Tabela17[Fechamento])</f>
        <v>0</v>
      </c>
    </row>
    <row r="142" spans="1:24">
      <c r="A142" s="4" t="s">
        <v>37</v>
      </c>
      <c r="B142" s="14" t="s">
        <v>69</v>
      </c>
      <c r="C142" s="15">
        <v>3</v>
      </c>
      <c r="D142" s="6">
        <v>3403126000</v>
      </c>
      <c r="E142" s="6">
        <v>314887000</v>
      </c>
      <c r="F142" s="42">
        <v>476620206</v>
      </c>
      <c r="G142" s="15">
        <f>Tabela3[[#This Row],[Lucro Líquido]]/Tabela3[[#This Row],[Total Ações]]</f>
        <v>0.66066649301897196</v>
      </c>
      <c r="H142" s="15">
        <f>Tabela3[[#This Row],[Lucro/Ação]]/Tabela3[[#This Row],[Ref]]*4</f>
        <v>0.88088865735862931</v>
      </c>
      <c r="I142" s="19">
        <f>IF(GETPIVOTDATA("Payout",'Tabela LL'!$A$3,"Ativo",Tabela3[[#This Row],[PAPEL]])&gt;1,1,GETPIVOTDATA("Payout",'Tabela LL'!$A$3,"Ativo",Tabela3[[#This Row],[PAPEL]]))</f>
        <v>0.46297228112835515</v>
      </c>
      <c r="J142" s="6">
        <f>[Patrimônio Líquido]/[Total Ações]</f>
        <v>7.1401211219316201</v>
      </c>
      <c r="K142" s="52">
        <f>MAX(Tabela3[[#This Row],[Cotação 1]],Tabela3[[#This Row],[Cotação 2]])</f>
        <v>5.8</v>
      </c>
      <c r="L142" s="48">
        <f>[Cotação]/[VPA]</f>
        <v>0.81231115004263732</v>
      </c>
      <c r="M142" s="44">
        <f>IF(Tabela3[[#This Row],[Lucro/Ação Ano]]&gt;0,Tabela3[[#This Row],[Cotação]]/Tabela3[[#This Row],[Lucro/Ação Ano]],0)</f>
        <v>6.5842600555119777</v>
      </c>
      <c r="N142" s="6">
        <f>ROUND(Tabela3[[#This Row],[Lucro Prev]]/10%,2)</f>
        <v>4.08</v>
      </c>
      <c r="O142" s="61">
        <f>MIN(Tabela3[[#This Row],[10% Rent]],Tabela3[[#This Row],[VPA]]*2)</f>
        <v>4.08</v>
      </c>
      <c r="P142" s="19">
        <f>Tabela3[[#This Row],[P Compra]]/Tabela3[[#This Row],[Cotação]]-1</f>
        <v>-0.29655172413793096</v>
      </c>
      <c r="Q142" s="6">
        <f>Tabela3[[#This Row],[Lucro/Ação Ano]]*Tabela3[[#This Row],[Payout]]</f>
        <v>0.40782703111741864</v>
      </c>
      <c r="R142" s="15" t="str">
        <f>IF(AND([% Yield]&gt;=10%,[PVPA]&lt;=2,[PL]&lt;=15,[PL]&gt;0),"Sim","Não")</f>
        <v>Não</v>
      </c>
      <c r="S142" s="46">
        <f>Tabela3[[#This Row],[Lucro Prev]]/Tabela3[[#This Row],[Cotação]]</f>
        <v>7.0315005365072181E-2</v>
      </c>
      <c r="T142" s="46">
        <f>(1+Tabela3[[#This Row],[% Yield]])^(1/12)-1</f>
        <v>5.6788139009993355E-3</v>
      </c>
      <c r="U142" s="14">
        <f>($AA$1/Tabela3[[#This Row],[Cotação]]-MOD($AA$1/Tabela3[[#This Row],[Cotação]],100))</f>
        <v>0</v>
      </c>
      <c r="V142" s="17">
        <f>Tabela3[[#This Row],[Ativos]]*Tabela3[[#This Row],[Lucro Prev]]</f>
        <v>0</v>
      </c>
      <c r="W142" s="5">
        <f>SUMPRODUCT(N(Tabela1[Código]=Tabela3[[#This Row],[PAPEL]]),Tabela1[Fechamento])</f>
        <v>5.8</v>
      </c>
      <c r="X142" s="5">
        <f>SUMPRODUCT(N(Tabela17[Código]=Tabela3[[#This Row],[PAPEL]]),Tabela17[Fechamento])</f>
        <v>0</v>
      </c>
    </row>
    <row r="143" spans="1:24">
      <c r="A143" s="4" t="s">
        <v>37</v>
      </c>
      <c r="B143" s="14" t="s">
        <v>36</v>
      </c>
      <c r="C143" s="15">
        <v>3</v>
      </c>
      <c r="D143" s="6">
        <v>12509395000</v>
      </c>
      <c r="E143" s="6">
        <v>1332834000</v>
      </c>
      <c r="F143" s="42">
        <v>683509869</v>
      </c>
      <c r="G143" s="15">
        <f>Tabela3[[#This Row],[Lucro Líquido]]/Tabela3[[#This Row],[Total Ações]]</f>
        <v>1.9499850118477222</v>
      </c>
      <c r="H143" s="15">
        <f>Tabela3[[#This Row],[Lucro/Ação]]/Tabela3[[#This Row],[Ref]]*4</f>
        <v>2.5999800157969628</v>
      </c>
      <c r="I143" s="19">
        <f>IF(GETPIVOTDATA("Payout",'Tabela LL'!$A$3,"Ativo",Tabela3[[#This Row],[PAPEL]])&gt;1,1,GETPIVOTDATA("Payout",'Tabela LL'!$A$3,"Ativo",Tabela3[[#This Row],[PAPEL]]))</f>
        <v>1</v>
      </c>
      <c r="J143" s="6">
        <f>[Patrimônio Líquido]/[Total Ações]</f>
        <v>18.301703555943828</v>
      </c>
      <c r="K143" s="52">
        <f>MAX(Tabela3[[#This Row],[Cotação 1]],Tabela3[[#This Row],[Cotação 2]])</f>
        <v>23.46</v>
      </c>
      <c r="L143" s="48">
        <f>[Cotação]/[VPA]</f>
        <v>1.2818478852686321</v>
      </c>
      <c r="M143" s="44">
        <f>IF(Tabela3[[#This Row],[Lucro/Ação Ano]]&gt;0,Tabela3[[#This Row],[Cotação]]/Tabela3[[#This Row],[Lucro/Ação Ano]],0)</f>
        <v>9.0231462770720139</v>
      </c>
      <c r="N143" s="6">
        <f>ROUND(Tabela3[[#This Row],[Lucro Prev]]/10%,2)</f>
        <v>26</v>
      </c>
      <c r="O143" s="61">
        <f>MIN(Tabela3[[#This Row],[10% Rent]],Tabela3[[#This Row],[VPA]]*2)</f>
        <v>26</v>
      </c>
      <c r="P143" s="19">
        <f>Tabela3[[#This Row],[P Compra]]/Tabela3[[#This Row],[Cotação]]-1</f>
        <v>0.10826939471440755</v>
      </c>
      <c r="Q143" s="6">
        <f>Tabela3[[#This Row],[Lucro/Ação Ano]]*Tabela3[[#This Row],[Payout]]</f>
        <v>2.5999800157969628</v>
      </c>
      <c r="R143" s="15" t="str">
        <f>IF(AND([% Yield]&gt;=10%,[PVPA]&lt;=2,[PL]&lt;=15,[PL]&gt;0),"Sim","Não")</f>
        <v>Sim</v>
      </c>
      <c r="S143" s="46">
        <f>Tabela3[[#This Row],[Lucro Prev]]/Tabela3[[#This Row],[Cotação]]</f>
        <v>0.11082608762987906</v>
      </c>
      <c r="T143" s="97">
        <f>(1+Tabela3[[#This Row],[% Yield]])^(1/12)-1</f>
        <v>8.797132792266682E-3</v>
      </c>
      <c r="U143" s="14">
        <f>($AA$1/Tabela3[[#This Row],[Cotação]]-MOD($AA$1/Tabela3[[#This Row],[Cotação]],100))</f>
        <v>0</v>
      </c>
      <c r="V143" s="17">
        <f>Tabela3[[#This Row],[Ativos]]*Tabela3[[#This Row],[Lucro Prev]]</f>
        <v>0</v>
      </c>
      <c r="W143" s="5">
        <f>SUMPRODUCT(N(Tabela1[Código]=Tabela3[[#This Row],[PAPEL]]),Tabela1[Fechamento])</f>
        <v>23.46</v>
      </c>
      <c r="X143" s="5">
        <f>SUMPRODUCT(N(Tabela17[Código]=Tabela3[[#This Row],[PAPEL]]),Tabela17[Fechamento])</f>
        <v>0</v>
      </c>
    </row>
    <row r="144" spans="1:24">
      <c r="A144" s="3" t="s">
        <v>411</v>
      </c>
      <c r="B144" s="70" t="s">
        <v>425</v>
      </c>
      <c r="C144" s="16">
        <v>3</v>
      </c>
      <c r="D144" s="5">
        <v>984644000</v>
      </c>
      <c r="E144" s="5">
        <v>94588000</v>
      </c>
      <c r="F144" s="21">
        <v>57737317</v>
      </c>
      <c r="G144" s="16">
        <f>Tabela3[[#This Row],[Lucro Líquido]]/Tabela3[[#This Row],[Total Ações]]</f>
        <v>1.6382472361852214</v>
      </c>
      <c r="H144" s="16">
        <f>Tabela3[[#This Row],[Lucro/Ação]]/Tabela3[[#This Row],[Ref]]*4</f>
        <v>2.1843296482469619</v>
      </c>
      <c r="I144" s="18">
        <f>IF(GETPIVOTDATA("Payout",'Tabela LL'!$A$3,"Ativo",Tabela3[[#This Row],[PAPEL]])&gt;1,1,GETPIVOTDATA("Payout",'Tabela LL'!$A$3,"Ativo",Tabela3[[#This Row],[PAPEL]]))</f>
        <v>0.36698912893465502</v>
      </c>
      <c r="J144" s="5">
        <f>[Patrimônio Líquido]/[Total Ações]</f>
        <v>17.053857906144131</v>
      </c>
      <c r="K144" s="58">
        <f>MAX(Tabela3[[#This Row],[Cotação 1]],Tabela3[[#This Row],[Cotação 2]])</f>
        <v>34.28</v>
      </c>
      <c r="L144" s="59">
        <f>[Cotação]/[VPA]</f>
        <v>2.0101023585783291</v>
      </c>
      <c r="M144" s="40">
        <f>IF(Tabela3[[#This Row],[Lucro/Ação Ano]]&gt;0,Tabela3[[#This Row],[Cotação]]/Tabela3[[#This Row],[Lucro/Ação Ano]],0)</f>
        <v>15.693601937560791</v>
      </c>
      <c r="N144" s="7">
        <f>ROUND(Tabela3[[#This Row],[Lucro Prev]]/10%,2)</f>
        <v>8.02</v>
      </c>
      <c r="O144" s="51">
        <f>MIN(Tabela3[[#This Row],[10% Rent]],Tabela3[[#This Row],[VPA]]*2)</f>
        <v>8.02</v>
      </c>
      <c r="P144" s="18">
        <f>Tabela3[[#This Row],[P Compra]]/Tabela3[[#This Row],[Cotação]]-1</f>
        <v>-0.76604434072345395</v>
      </c>
      <c r="Q144" s="5">
        <f>Tabela3[[#This Row],[Lucro/Ação Ano]]*Tabela3[[#This Row],[Payout]]</f>
        <v>0.80162523491629389</v>
      </c>
      <c r="R144" s="16" t="str">
        <f>IF(AND([% Yield]&gt;=10%,[PVPA]&lt;=2,[PL]&lt;=15,[PL]&gt;0),"Sim","Não")</f>
        <v>Não</v>
      </c>
      <c r="S144" s="22">
        <f>Tabela3[[#This Row],[Lucro Prev]]/Tabela3[[#This Row],[Cotação]]</f>
        <v>2.3384633457301456E-2</v>
      </c>
      <c r="T144" s="22">
        <f>(1+Tabela3[[#This Row],[% Yield]])^(1/12)-1</f>
        <v>1.928139983317978E-3</v>
      </c>
      <c r="U144" s="10">
        <f>($AA$1/Tabela3[[#This Row],[Cotação]]-MOD($AA$1/Tabela3[[#This Row],[Cotação]],100))</f>
        <v>0</v>
      </c>
      <c r="V144" s="7">
        <f>Tabela3[[#This Row],[Ativos]]*Tabela3[[#This Row],[Lucro Prev]]</f>
        <v>0</v>
      </c>
      <c r="W144" s="51">
        <f>SUMPRODUCT(N(Tabela1[Código]=Tabela3[[#This Row],[PAPEL]]),Tabela1[Fechamento])</f>
        <v>0</v>
      </c>
      <c r="X144" s="60">
        <f>SUMPRODUCT(N(Tabela17[Código]=Tabela3[[#This Row],[PAPEL]]),Tabela17[Fechamento])</f>
        <v>34.28</v>
      </c>
    </row>
    <row r="145" spans="1:24">
      <c r="A145" s="4" t="s">
        <v>14</v>
      </c>
      <c r="B145" s="14" t="s">
        <v>79</v>
      </c>
      <c r="C145" s="15">
        <v>3</v>
      </c>
      <c r="D145" s="6">
        <v>699911000</v>
      </c>
      <c r="E145" s="6">
        <v>6746000</v>
      </c>
      <c r="F145" s="42">
        <v>137747421</v>
      </c>
      <c r="G145" s="15">
        <f>Tabela3[[#This Row],[Lucro Líquido]]/Tabela3[[#This Row],[Total Ações]]</f>
        <v>4.8973693670823791E-2</v>
      </c>
      <c r="H145" s="15">
        <f>Tabela3[[#This Row],[Lucro/Ação]]/Tabela3[[#This Row],[Ref]]*4</f>
        <v>6.5298258227765055E-2</v>
      </c>
      <c r="I145" s="19">
        <f>IF(GETPIVOTDATA("Payout",'Tabela LL'!$A$3,"Ativo",Tabela3[[#This Row],[PAPEL]])&gt;1,1,GETPIVOTDATA("Payout",'Tabela LL'!$A$3,"Ativo",Tabela3[[#This Row],[PAPEL]]))</f>
        <v>1</v>
      </c>
      <c r="J145" s="6">
        <f>[Patrimônio Líquido]/[Total Ações]</f>
        <v>5.0811187238126223</v>
      </c>
      <c r="K145" s="52">
        <f>MAX(Tabela3[[#This Row],[Cotação 1]],Tabela3[[#This Row],[Cotação 2]])</f>
        <v>2.85</v>
      </c>
      <c r="L145" s="48">
        <f>[Cotação]/[VPA]</f>
        <v>0.56090009994127821</v>
      </c>
      <c r="M145" s="44">
        <f>IF(Tabela3[[#This Row],[Lucro/Ação Ano]]&gt;0,Tabela3[[#This Row],[Cotação]]/Tabela3[[#This Row],[Lucro/Ação Ano]],0)</f>
        <v>43.645880875704123</v>
      </c>
      <c r="N145" s="6">
        <f>ROUND(Tabela3[[#This Row],[Lucro Prev]]/10%,2)</f>
        <v>0.65</v>
      </c>
      <c r="O145" s="61">
        <f>MIN(Tabela3[[#This Row],[10% Rent]],Tabela3[[#This Row],[VPA]]*2)</f>
        <v>0.65</v>
      </c>
      <c r="P145" s="19">
        <f>Tabela3[[#This Row],[P Compra]]/Tabela3[[#This Row],[Cotação]]-1</f>
        <v>-0.77192982456140347</v>
      </c>
      <c r="Q145" s="6">
        <f>Tabela3[[#This Row],[Lucro/Ação Ano]]*Tabela3[[#This Row],[Payout]]</f>
        <v>6.5298258227765055E-2</v>
      </c>
      <c r="R145" s="15" t="str">
        <f>IF(AND([% Yield]&gt;=10%,[PVPA]&lt;=2,[PL]&lt;=15,[PL]&gt;0),"Sim","Não")</f>
        <v>Não</v>
      </c>
      <c r="S145" s="46">
        <f>Tabela3[[#This Row],[Lucro Prev]]/Tabela3[[#This Row],[Cotação]]</f>
        <v>2.2911669553601771E-2</v>
      </c>
      <c r="T145" s="46">
        <f>(1+Tabela3[[#This Row],[% Yield]])^(1/12)-1</f>
        <v>1.8895445035347347E-3</v>
      </c>
      <c r="U145" s="14">
        <f>($AA$1/Tabela3[[#This Row],[Cotação]]-MOD($AA$1/Tabela3[[#This Row],[Cotação]],100))</f>
        <v>100</v>
      </c>
      <c r="V145" s="17">
        <f>Tabela3[[#This Row],[Ativos]]*Tabela3[[#This Row],[Lucro Prev]]</f>
        <v>6.5298258227765054</v>
      </c>
      <c r="W145" s="5">
        <f>SUMPRODUCT(N(Tabela1[Código]=Tabela3[[#This Row],[PAPEL]]),Tabela1[Fechamento])</f>
        <v>2.85</v>
      </c>
      <c r="X145" s="5">
        <f>SUMPRODUCT(N(Tabela17[Código]=Tabela3[[#This Row],[PAPEL]]),Tabela17[Fechamento])</f>
        <v>0</v>
      </c>
    </row>
    <row r="146" spans="1:24">
      <c r="A146" s="3" t="s">
        <v>308</v>
      </c>
      <c r="B146" s="73" t="s">
        <v>311</v>
      </c>
      <c r="C146" s="16">
        <v>3</v>
      </c>
      <c r="D146" s="5">
        <v>2075419000</v>
      </c>
      <c r="E146" s="5">
        <v>95615000</v>
      </c>
      <c r="F146" s="21">
        <v>113000000</v>
      </c>
      <c r="G146" s="71">
        <f>Tabela3[[#This Row],[Lucro Líquido]]/Tabela3[[#This Row],[Total Ações]]</f>
        <v>0.84615044247787607</v>
      </c>
      <c r="H146" s="16">
        <f>Tabela3[[#This Row],[Lucro/Ação]]/Tabela3[[#This Row],[Ref]]*4</f>
        <v>1.1282005899705014</v>
      </c>
      <c r="I146" s="18">
        <f>IF(GETPIVOTDATA("Payout",'Tabela LL'!$A$3,"Ativo",Tabela3[[#This Row],[PAPEL]])&gt;1,1,GETPIVOTDATA("Payout",'Tabela LL'!$A$3,"Ativo",Tabela3[[#This Row],[PAPEL]]))</f>
        <v>0.3337402763144719</v>
      </c>
      <c r="J146" s="5">
        <f>[Patrimônio Líquido]/[Total Ações]</f>
        <v>18.36653982300885</v>
      </c>
      <c r="K146" s="58">
        <f>MAX(Tabela3[[#This Row],[Cotação 1]],Tabela3[[#This Row],[Cotação 2]])</f>
        <v>26.8</v>
      </c>
      <c r="L146" s="59">
        <f>[Cotação]/[VPA]</f>
        <v>1.4591752316038351</v>
      </c>
      <c r="M146" s="40">
        <f>IF(Tabela3[[#This Row],[Lucro/Ação Ano]]&gt;0,Tabela3[[#This Row],[Cotação]]/Tabela3[[#This Row],[Lucro/Ação Ano]],0)</f>
        <v>23.754641008210012</v>
      </c>
      <c r="N146" s="7">
        <f>ROUND(Tabela3[[#This Row],[Lucro Prev]]/10%,2)</f>
        <v>3.77</v>
      </c>
      <c r="O146" s="51">
        <f>MIN(Tabela3[[#This Row],[10% Rent]],Tabela3[[#This Row],[VPA]]*2)</f>
        <v>3.77</v>
      </c>
      <c r="P146" s="18">
        <f>Tabela3[[#This Row],[P Compra]]/Tabela3[[#This Row],[Cotação]]-1</f>
        <v>-0.85932835820895526</v>
      </c>
      <c r="Q146" s="5">
        <f>Tabela3[[#This Row],[Lucro/Ação Ano]]*Tabela3[[#This Row],[Payout]]</f>
        <v>0.37652597663490533</v>
      </c>
      <c r="R146" s="16" t="str">
        <f>IF(AND([% Yield]&gt;=10%,[PVPA]&lt;=2,[PL]&lt;=15,[PL]&gt;0),"Sim","Não")</f>
        <v>Não</v>
      </c>
      <c r="S146" s="22">
        <f>Tabela3[[#This Row],[Lucro Prev]]/Tabela3[[#This Row],[Cotação]]</f>
        <v>1.4049476740108407E-2</v>
      </c>
      <c r="T146" s="22">
        <f>(1+Tabela3[[#This Row],[% Yield]])^(1/12)-1</f>
        <v>1.1633175969241183E-3</v>
      </c>
      <c r="U146" s="10">
        <f>($AA$1/Tabela3[[#This Row],[Cotação]]-MOD($AA$1/Tabela3[[#This Row],[Cotação]],100))</f>
        <v>0</v>
      </c>
      <c r="V146" s="7">
        <f>Tabela3[[#This Row],[Ativos]]*Tabela3[[#This Row],[Lucro Prev]]</f>
        <v>0</v>
      </c>
      <c r="W146" s="51">
        <f>SUMPRODUCT(N(Tabela1[Código]=Tabela3[[#This Row],[PAPEL]]),Tabela1[Fechamento])</f>
        <v>0</v>
      </c>
      <c r="X146" s="60">
        <f>SUMPRODUCT(N(Tabela17[Código]=Tabela3[[#This Row],[PAPEL]]),Tabela17[Fechamento])</f>
        <v>26.8</v>
      </c>
    </row>
    <row r="147" spans="1:24">
      <c r="A147" s="3" t="s">
        <v>411</v>
      </c>
      <c r="B147" s="70" t="s">
        <v>424</v>
      </c>
      <c r="C147" s="16">
        <v>3</v>
      </c>
      <c r="D147" s="5">
        <v>2243051000</v>
      </c>
      <c r="E147" s="5">
        <v>151349000</v>
      </c>
      <c r="F147" s="21">
        <v>76423831</v>
      </c>
      <c r="G147" s="16">
        <f>Tabela3[[#This Row],[Lucro Líquido]]/Tabela3[[#This Row],[Total Ações]]</f>
        <v>1.9803901220288211</v>
      </c>
      <c r="H147" s="16">
        <f>Tabela3[[#This Row],[Lucro/Ação]]/Tabela3[[#This Row],[Ref]]*4</f>
        <v>2.6405201627050947</v>
      </c>
      <c r="I147" s="18">
        <f>IF(GETPIVOTDATA("Payout",'Tabela LL'!$A$3,"Ativo",Tabela3[[#This Row],[PAPEL]])&gt;1,1,GETPIVOTDATA("Payout",'Tabela LL'!$A$3,"Ativo",Tabela3[[#This Row],[PAPEL]]))</f>
        <v>0.11521495903029355</v>
      </c>
      <c r="J147" s="5">
        <f>[Patrimônio Líquido]/[Total Ações]</f>
        <v>29.350151263681088</v>
      </c>
      <c r="K147" s="58">
        <f>MAX(Tabela3[[#This Row],[Cotação 1]],Tabela3[[#This Row],[Cotação 2]])</f>
        <v>17.350000000000001</v>
      </c>
      <c r="L147" s="59">
        <f>[Cotação]/[VPA]</f>
        <v>0.59113835033175799</v>
      </c>
      <c r="M147" s="40">
        <f>IF(Tabela3[[#This Row],[Lucro/Ação Ano]]&gt;0,Tabela3[[#This Row],[Cotação]]/Tabela3[[#This Row],[Lucro/Ação Ano]],0)</f>
        <v>6.5706750681372199</v>
      </c>
      <c r="N147" s="7">
        <f>ROUND(Tabela3[[#This Row],[Lucro Prev]]/10%,2)</f>
        <v>3.04</v>
      </c>
      <c r="O147" s="51">
        <f>MIN(Tabela3[[#This Row],[10% Rent]],Tabela3[[#This Row],[VPA]]*2)</f>
        <v>3.04</v>
      </c>
      <c r="P147" s="18">
        <f>Tabela3[[#This Row],[P Compra]]/Tabela3[[#This Row],[Cotação]]-1</f>
        <v>-0.82478386167146978</v>
      </c>
      <c r="Q147" s="5">
        <f>Tabela3[[#This Row],[Lucro/Ação Ano]]*Tabela3[[#This Row],[Payout]]</f>
        <v>0.30422742236473155</v>
      </c>
      <c r="R147" s="16" t="str">
        <f>IF(AND([% Yield]&gt;=10%,[PVPA]&lt;=2,[PL]&lt;=15,[PL]&gt;0),"Sim","Não")</f>
        <v>Não</v>
      </c>
      <c r="S147" s="22">
        <f>Tabela3[[#This Row],[Lucro Prev]]/Tabela3[[#This Row],[Cotação]]</f>
        <v>1.7534721750128619E-2</v>
      </c>
      <c r="T147" s="22">
        <f>(1+Tabela3[[#This Row],[% Yield]])^(1/12)-1</f>
        <v>1.4496132018027019E-3</v>
      </c>
      <c r="U147" s="10">
        <f>($AA$1/Tabela3[[#This Row],[Cotação]]-MOD($AA$1/Tabela3[[#This Row],[Cotação]],100))</f>
        <v>0</v>
      </c>
      <c r="V147" s="7">
        <f>Tabela3[[#This Row],[Ativos]]*Tabela3[[#This Row],[Lucro Prev]]</f>
        <v>0</v>
      </c>
      <c r="W147" s="51">
        <f>SUMPRODUCT(N(Tabela1[Código]=Tabela3[[#This Row],[PAPEL]]),Tabela1[Fechamento])</f>
        <v>0</v>
      </c>
      <c r="X147" s="60">
        <f>SUMPRODUCT(N(Tabela17[Código]=Tabela3[[#This Row],[PAPEL]]),Tabela17[Fechamento])</f>
        <v>17.350000000000001</v>
      </c>
    </row>
    <row r="148" spans="1:24">
      <c r="A148" s="4" t="s">
        <v>26</v>
      </c>
      <c r="B148" s="70" t="s">
        <v>58</v>
      </c>
      <c r="C148" s="15">
        <v>3</v>
      </c>
      <c r="D148" s="6">
        <v>3411209000</v>
      </c>
      <c r="E148" s="6">
        <v>191254000</v>
      </c>
      <c r="F148" s="42">
        <v>1022205493</v>
      </c>
      <c r="G148" s="72">
        <f>Tabela3[[#This Row],[Lucro Líquido]]/Tabela3[[#This Row],[Total Ações]]</f>
        <v>0.18709936633064053</v>
      </c>
      <c r="H148" s="15">
        <f>Tabela3[[#This Row],[Lucro/Ação]]/Tabela3[[#This Row],[Ref]]*4</f>
        <v>0.24946582177418739</v>
      </c>
      <c r="I148" s="19">
        <f>IF(GETPIVOTDATA("Payout",'Tabela LL'!$A$3,"Ativo",Tabela3[[#This Row],[PAPEL]])&gt;1,1,GETPIVOTDATA("Payout",'Tabela LL'!$A$3,"Ativo",Tabela3[[#This Row],[PAPEL]]))</f>
        <v>1</v>
      </c>
      <c r="J148" s="6">
        <f>[Patrimônio Líquido]/[Total Ações]</f>
        <v>3.3371068961766968</v>
      </c>
      <c r="K148" s="52">
        <f>MAX(Tabela3[[#This Row],[Cotação 1]],Tabela3[[#This Row],[Cotação 2]])</f>
        <v>14.07</v>
      </c>
      <c r="L148" s="48">
        <f>[Cotação]/[VPA]</f>
        <v>4.2162269408030992</v>
      </c>
      <c r="M148" s="44">
        <f>IF(Tabela3[[#This Row],[Lucro/Ação Ano]]&gt;0,Tabela3[[#This Row],[Cotação]]/Tabela3[[#This Row],[Lucro/Ação Ano]],0)</f>
        <v>56.400511701101671</v>
      </c>
      <c r="N148" s="13">
        <f>ROUND(Tabela3[[#This Row],[Lucro Prev]]/10%,2)</f>
        <v>2.4900000000000002</v>
      </c>
      <c r="O148" s="13">
        <f>MIN(Tabela3[[#This Row],[10% Rent]],Tabela3[[#This Row],[VPA]]*2)</f>
        <v>2.4900000000000002</v>
      </c>
      <c r="P148" s="19">
        <f>Tabela3[[#This Row],[P Compra]]/Tabela3[[#This Row],[Cotação]]-1</f>
        <v>-0.82302771855010659</v>
      </c>
      <c r="Q148" s="6">
        <f>Tabela3[[#This Row],[Lucro/Ação Ano]]*Tabela3[[#This Row],[Payout]]</f>
        <v>0.24946582177418739</v>
      </c>
      <c r="R148" s="15" t="str">
        <f>IF(AND([% Yield]&gt;=10%,[PVPA]&lt;=2,[PL]&lt;=15,[PL]&gt;0),"Sim","Não")</f>
        <v>Não</v>
      </c>
      <c r="S148" s="46">
        <f>Tabela3[[#This Row],[Lucro Prev]]/Tabela3[[#This Row],[Cotação]]</f>
        <v>1.7730335591626678E-2</v>
      </c>
      <c r="T148" s="46">
        <f>(1+Tabela3[[#This Row],[% Yield]])^(1/12)-1</f>
        <v>1.4656552544762835E-3</v>
      </c>
      <c r="U148" s="14">
        <f>($AA$1/Tabela3[[#This Row],[Cotação]]-MOD($AA$1/Tabela3[[#This Row],[Cotação]],100))</f>
        <v>0</v>
      </c>
      <c r="V148" s="17">
        <f>Tabela3[[#This Row],[Ativos]]*Tabela3[[#This Row],[Lucro Prev]]</f>
        <v>0</v>
      </c>
      <c r="W148" s="13">
        <f>SUMPRODUCT(N(Tabela1[Código]=Tabela3[[#This Row],[PAPEL]]),Tabela1[Fechamento])</f>
        <v>0</v>
      </c>
      <c r="X148" s="13">
        <f>SUMPRODUCT(N(Tabela17[Código]=Tabela3[[#This Row],[PAPEL]]),Tabela17[Fechamento])</f>
        <v>14.07</v>
      </c>
    </row>
    <row r="149" spans="1:24">
      <c r="A149" s="4" t="s">
        <v>19</v>
      </c>
      <c r="B149" s="14" t="s">
        <v>18</v>
      </c>
      <c r="C149" s="15">
        <v>3</v>
      </c>
      <c r="D149" s="6">
        <v>10702169000</v>
      </c>
      <c r="E149" s="6">
        <v>-162427000</v>
      </c>
      <c r="F149" s="42">
        <v>1107677313</v>
      </c>
      <c r="G149" s="15">
        <f>Tabela3[[#This Row],[Lucro Líquido]]/Tabela3[[#This Row],[Total Ações]]</f>
        <v>-0.14663747112422804</v>
      </c>
      <c r="H149" s="15">
        <f>Tabela3[[#This Row],[Lucro/Ação]]/Tabela3[[#This Row],[Ref]]*4</f>
        <v>-0.19551662816563739</v>
      </c>
      <c r="I149" s="19">
        <f>IF(GETPIVOTDATA("Payout",'Tabela LL'!$A$3,"Ativo",Tabela3[[#This Row],[PAPEL]])&gt;1,1,GETPIVOTDATA("Payout",'Tabela LL'!$A$3,"Ativo",Tabela3[[#This Row],[PAPEL]]))</f>
        <v>1</v>
      </c>
      <c r="J149" s="6">
        <f>[Patrimônio Líquido]/[Total Ações]</f>
        <v>9.6618111379518705</v>
      </c>
      <c r="K149" s="52">
        <f>MAX(Tabela3[[#This Row],[Cotação 1]],Tabela3[[#This Row],[Cotação 2]])</f>
        <v>9.43</v>
      </c>
      <c r="L149" s="48">
        <f>[Cotação]/[VPA]</f>
        <v>0.97600748610772259</v>
      </c>
      <c r="M149" s="44">
        <f>IF(Tabela3[[#This Row],[Lucro/Ação Ano]]&gt;0,Tabela3[[#This Row],[Cotação]]/Tabela3[[#This Row],[Lucro/Ação Ano]],0)</f>
        <v>0</v>
      </c>
      <c r="N149" s="6">
        <f>ROUND(Tabela3[[#This Row],[Lucro Prev]]/10%,2)</f>
        <v>-1.96</v>
      </c>
      <c r="O149" s="61">
        <f>MIN(Tabela3[[#This Row],[10% Rent]],Tabela3[[#This Row],[VPA]]*2)</f>
        <v>-1.96</v>
      </c>
      <c r="P149" s="19">
        <f>Tabela3[[#This Row],[P Compra]]/Tabela3[[#This Row],[Cotação]]-1</f>
        <v>-1.207847295864263</v>
      </c>
      <c r="Q149" s="6">
        <f>Tabela3[[#This Row],[Lucro/Ação Ano]]*Tabela3[[#This Row],[Payout]]</f>
        <v>-0.19551662816563739</v>
      </c>
      <c r="R149" s="15" t="str">
        <f>IF(AND([% Yield]&gt;=10%,[PVPA]&lt;=2,[PL]&lt;=15,[PL]&gt;0),"Sim","Não")</f>
        <v>Não</v>
      </c>
      <c r="S149" s="46">
        <f>Tabela3[[#This Row],[Lucro Prev]]/Tabela3[[#This Row],[Cotação]]</f>
        <v>-2.0733470643227718E-2</v>
      </c>
      <c r="T149" s="46">
        <f>(1+Tabela3[[#This Row],[% Yield]])^(1/12)-1</f>
        <v>-1.7444289595333062E-3</v>
      </c>
      <c r="U149" s="14">
        <f>($AA$1/Tabela3[[#This Row],[Cotação]]-MOD($AA$1/Tabela3[[#This Row],[Cotação]],100))</f>
        <v>0</v>
      </c>
      <c r="V149" s="17">
        <f>Tabela3[[#This Row],[Ativos]]*Tabela3[[#This Row],[Lucro Prev]]</f>
        <v>0</v>
      </c>
      <c r="W149" s="5">
        <f>SUMPRODUCT(N(Tabela1[Código]=Tabela3[[#This Row],[PAPEL]]),Tabela1[Fechamento])</f>
        <v>9.43</v>
      </c>
      <c r="X149" s="5">
        <f>SUMPRODUCT(N(Tabela17[Código]=Tabela3[[#This Row],[PAPEL]]),Tabela17[Fechamento])</f>
        <v>0</v>
      </c>
    </row>
    <row r="150" spans="1:24">
      <c r="A150" s="4" t="s">
        <v>19</v>
      </c>
      <c r="B150" s="14" t="s">
        <v>210</v>
      </c>
      <c r="C150" s="15">
        <v>3</v>
      </c>
      <c r="D150" s="6">
        <v>10702169000</v>
      </c>
      <c r="E150" s="6">
        <v>-162427000</v>
      </c>
      <c r="F150" s="42">
        <v>1107677313</v>
      </c>
      <c r="G150" s="15">
        <f>Tabela3[[#This Row],[Lucro Líquido]]/Tabela3[[#This Row],[Total Ações]]</f>
        <v>-0.14663747112422804</v>
      </c>
      <c r="H150" s="15">
        <f>Tabela3[[#This Row],[Lucro/Ação]]/Tabela3[[#This Row],[Ref]]*4</f>
        <v>-0.19551662816563739</v>
      </c>
      <c r="I150" s="19">
        <f>IF(GETPIVOTDATA("Payout",'Tabela LL'!$A$3,"Ativo",Tabela3[[#This Row],[PAPEL]])&gt;1,1,GETPIVOTDATA("Payout",'Tabela LL'!$A$3,"Ativo",Tabela3[[#This Row],[PAPEL]]))</f>
        <v>1</v>
      </c>
      <c r="J150" s="6">
        <f>[Patrimônio Líquido]/[Total Ações]</f>
        <v>9.6618111379518705</v>
      </c>
      <c r="K150" s="52">
        <f>MAX(Tabela3[[#This Row],[Cotação 1]],Tabela3[[#This Row],[Cotação 2]])</f>
        <v>5.7</v>
      </c>
      <c r="L150" s="48">
        <f>[Cotação]/[VPA]</f>
        <v>0.5899515027374358</v>
      </c>
      <c r="M150" s="44">
        <f>IF(Tabela3[[#This Row],[Lucro/Ação Ano]]&gt;0,Tabela3[[#This Row],[Cotação]]/Tabela3[[#This Row],[Lucro/Ação Ano]],0)</f>
        <v>0</v>
      </c>
      <c r="N150" s="6">
        <f>ROUND(Tabela3[[#This Row],[Lucro Prev]]/10%,2)</f>
        <v>-1.96</v>
      </c>
      <c r="O150" s="61">
        <f>MIN(Tabela3[[#This Row],[10% Rent]],Tabela3[[#This Row],[VPA]]*2)</f>
        <v>-1.96</v>
      </c>
      <c r="P150" s="19">
        <f>Tabela3[[#This Row],[P Compra]]/Tabela3[[#This Row],[Cotação]]-1</f>
        <v>-1.343859649122807</v>
      </c>
      <c r="Q150" s="6">
        <f>Tabela3[[#This Row],[Lucro/Ação Ano]]*Tabela3[[#This Row],[Payout]]</f>
        <v>-0.19551662816563739</v>
      </c>
      <c r="R150" s="15" t="str">
        <f>IF(AND([% Yield]&gt;=10%,[PVPA]&lt;=2,[PL]&lt;=15,[PL]&gt;0),"Sim","Não")</f>
        <v>Não</v>
      </c>
      <c r="S150" s="46">
        <f>Tabela3[[#This Row],[Lucro Prev]]/Tabela3[[#This Row],[Cotação]]</f>
        <v>-3.4301162836076732E-2</v>
      </c>
      <c r="T150" s="46">
        <f>(1+Tabela3[[#This Row],[% Yield]])^(1/12)-1</f>
        <v>-2.9043787865536963E-3</v>
      </c>
      <c r="U150" s="14">
        <f>($AA$1/Tabela3[[#This Row],[Cotação]]-MOD($AA$1/Tabela3[[#This Row],[Cotação]],100))</f>
        <v>0</v>
      </c>
      <c r="V150" s="17">
        <f>Tabela3[[#This Row],[Ativos]]*Tabela3[[#This Row],[Lucro Prev]]</f>
        <v>0</v>
      </c>
      <c r="W150" s="5">
        <f>SUMPRODUCT(N(Tabela1[Código]=Tabela3[[#This Row],[PAPEL]]),Tabela1[Fechamento])</f>
        <v>5.7</v>
      </c>
      <c r="X150" s="5">
        <f>SUMPRODUCT(N(Tabela17[Código]=Tabela3[[#This Row],[PAPEL]]),Tabela17[Fechamento])</f>
        <v>0</v>
      </c>
    </row>
    <row r="151" spans="1:24">
      <c r="A151" s="4" t="s">
        <v>12</v>
      </c>
      <c r="B151" s="14" t="s">
        <v>57</v>
      </c>
      <c r="C151" s="15">
        <v>3</v>
      </c>
      <c r="D151" s="6">
        <v>4589097000</v>
      </c>
      <c r="E151" s="6">
        <v>751496000</v>
      </c>
      <c r="F151" s="42">
        <v>1033496721</v>
      </c>
      <c r="G151" s="15">
        <f>Tabela3[[#This Row],[Lucro Líquido]]/Tabela3[[#This Row],[Total Ações]]</f>
        <v>0.72713922040590584</v>
      </c>
      <c r="H151" s="15">
        <f>Tabela3[[#This Row],[Lucro/Ação]]/Tabela3[[#This Row],[Ref]]*4</f>
        <v>0.96951896054120779</v>
      </c>
      <c r="I151" s="19">
        <f>IF(GETPIVOTDATA("Payout",'Tabela LL'!$A$3,"Ativo",Tabela3[[#This Row],[PAPEL]])&gt;1,1,GETPIVOTDATA("Payout",'Tabela LL'!$A$3,"Ativo",Tabela3[[#This Row],[PAPEL]]))</f>
        <v>1</v>
      </c>
      <c r="J151" s="6">
        <f>[Patrimônio Líquido]/[Total Ações]</f>
        <v>4.4403595161478986</v>
      </c>
      <c r="K151" s="52">
        <f>MAX(Tabela3[[#This Row],[Cotação 1]],Tabela3[[#This Row],[Cotação 2]])</f>
        <v>17.95</v>
      </c>
      <c r="L151" s="48">
        <f>[Cotação]/[VPA]</f>
        <v>4.0424654658530859</v>
      </c>
      <c r="M151" s="44">
        <f>IF(Tabela3[[#This Row],[Lucro/Ação Ano]]&gt;0,Tabela3[[#This Row],[Cotação]]/Tabela3[[#This Row],[Lucro/Ação Ano]],0)</f>
        <v>18.514336212651166</v>
      </c>
      <c r="N151" s="6">
        <f>ROUND(Tabela3[[#This Row],[Lucro Prev]]/10%,2)</f>
        <v>9.6999999999999993</v>
      </c>
      <c r="O151" s="61">
        <f>MIN(Tabela3[[#This Row],[10% Rent]],Tabela3[[#This Row],[VPA]]*2)</f>
        <v>8.8807190322957972</v>
      </c>
      <c r="P151" s="19">
        <f>Tabela3[[#This Row],[P Compra]]/Tabela3[[#This Row],[Cotação]]-1</f>
        <v>-0.50525242159911987</v>
      </c>
      <c r="Q151" s="6">
        <f>Tabela3[[#This Row],[Lucro/Ação Ano]]*Tabela3[[#This Row],[Payout]]</f>
        <v>0.96951896054120779</v>
      </c>
      <c r="R151" s="15" t="str">
        <f>IF(AND([% Yield]&gt;=10%,[PVPA]&lt;=2,[PL]&lt;=15,[PL]&gt;0),"Sim","Não")</f>
        <v>Não</v>
      </c>
      <c r="S151" s="46">
        <f>Tabela3[[#This Row],[Lucro Prev]]/Tabela3[[#This Row],[Cotação]]</f>
        <v>5.4012198358841662E-2</v>
      </c>
      <c r="T151" s="46">
        <f>(1+Tabela3[[#This Row],[% Yield]])^(1/12)-1</f>
        <v>4.3932909511599227E-3</v>
      </c>
      <c r="U151" s="14">
        <f>($AA$1/Tabela3[[#This Row],[Cotação]]-MOD($AA$1/Tabela3[[#This Row],[Cotação]],100))</f>
        <v>0</v>
      </c>
      <c r="V151" s="17">
        <f>Tabela3[[#This Row],[Ativos]]*Tabela3[[#This Row],[Lucro Prev]]</f>
        <v>0</v>
      </c>
      <c r="W151" s="5">
        <f>SUMPRODUCT(N(Tabela1[Código]=Tabela3[[#This Row],[PAPEL]]),Tabela1[Fechamento])</f>
        <v>17.95</v>
      </c>
      <c r="X151" s="5">
        <f>SUMPRODUCT(N(Tabela17[Código]=Tabela3[[#This Row],[PAPEL]]),Tabela17[Fechamento])</f>
        <v>0</v>
      </c>
    </row>
    <row r="152" spans="1:24">
      <c r="A152" s="4" t="s">
        <v>12</v>
      </c>
      <c r="B152" s="14" t="s">
        <v>196</v>
      </c>
      <c r="C152" s="15">
        <v>3</v>
      </c>
      <c r="D152" s="6">
        <v>5308688000</v>
      </c>
      <c r="E152" s="6">
        <v>1150434000</v>
      </c>
      <c r="F152" s="42">
        <v>652742192</v>
      </c>
      <c r="G152" s="15">
        <f>Tabela3[[#This Row],[Lucro Líquido]]/Tabela3[[#This Row],[Total Ações]]</f>
        <v>1.7624630583095509</v>
      </c>
      <c r="H152" s="15">
        <f>Tabela3[[#This Row],[Lucro/Ação]]/Tabela3[[#This Row],[Ref]]*4</f>
        <v>2.3499507444127343</v>
      </c>
      <c r="I152" s="19">
        <f>IF(GETPIVOTDATA("Payout",'Tabela LL'!$A$3,"Ativo",Tabela3[[#This Row],[PAPEL]])&gt;1,1,GETPIVOTDATA("Payout",'Tabela LL'!$A$3,"Ativo",Tabela3[[#This Row],[PAPEL]]))</f>
        <v>0.85565136305393408</v>
      </c>
      <c r="J152" s="6">
        <f>[Patrimônio Líquido]/[Total Ações]</f>
        <v>8.1329015728770297</v>
      </c>
      <c r="K152" s="52">
        <f>MAX(Tabela3[[#This Row],[Cotação 1]],Tabela3[[#This Row],[Cotação 2]])</f>
        <v>35.17</v>
      </c>
      <c r="L152" s="48">
        <f>[Cotação]/[VPA]</f>
        <v>4.3244098904738797</v>
      </c>
      <c r="M152" s="44">
        <f>IF(Tabela3[[#This Row],[Lucro/Ação Ano]]&gt;0,Tabela3[[#This Row],[Cotação]]/Tabela3[[#This Row],[Lucro/Ação Ano]],0)</f>
        <v>14.966271137222996</v>
      </c>
      <c r="N152" s="6">
        <f>ROUND(Tabela3[[#This Row],[Lucro Prev]]/10%,2)</f>
        <v>20.11</v>
      </c>
      <c r="O152" s="61">
        <f>MIN(Tabela3[[#This Row],[10% Rent]],Tabela3[[#This Row],[VPA]]*2)</f>
        <v>16.265803145754059</v>
      </c>
      <c r="P152" s="19">
        <f>Tabela3[[#This Row],[P Compra]]/Tabela3[[#This Row],[Cotação]]-1</f>
        <v>-0.53750915138600908</v>
      </c>
      <c r="Q152" s="6">
        <f>Tabela3[[#This Row],[Lucro/Ação Ano]]*Tabela3[[#This Row],[Payout]]</f>
        <v>2.0107385575663632</v>
      </c>
      <c r="R152" s="15" t="str">
        <f>IF(AND([% Yield]&gt;=10%,[PVPA]&lt;=2,[PL]&lt;=15,[PL]&gt;0),"Sim","Não")</f>
        <v>Não</v>
      </c>
      <c r="S152" s="46">
        <f>Tabela3[[#This Row],[Lucro Prev]]/Tabela3[[#This Row],[Cotação]]</f>
        <v>5.7171980596143396E-2</v>
      </c>
      <c r="T152" s="46">
        <f>(1+Tabela3[[#This Row],[% Yield]])^(1/12)-1</f>
        <v>4.6438661454641927E-3</v>
      </c>
      <c r="U152" s="14">
        <f>($AA$1/Tabela3[[#This Row],[Cotação]]-MOD($AA$1/Tabela3[[#This Row],[Cotação]],100))</f>
        <v>0</v>
      </c>
      <c r="V152" s="17">
        <f>Tabela3[[#This Row],[Ativos]]*Tabela3[[#This Row],[Lucro Prev]]</f>
        <v>0</v>
      </c>
      <c r="W152" s="5">
        <f>SUMPRODUCT(N(Tabela1[Código]=Tabela3[[#This Row],[PAPEL]]),Tabela1[Fechamento])</f>
        <v>35.17</v>
      </c>
      <c r="X152" s="5">
        <f>SUMPRODUCT(N(Tabela17[Código]=Tabela3[[#This Row],[PAPEL]]),Tabela17[Fechamento])</f>
        <v>0</v>
      </c>
    </row>
    <row r="153" spans="1:24">
      <c r="A153" s="4" t="s">
        <v>298</v>
      </c>
      <c r="B153" s="15" t="s">
        <v>82</v>
      </c>
      <c r="C153" s="15">
        <v>3</v>
      </c>
      <c r="D153" s="6">
        <v>3566000000</v>
      </c>
      <c r="E153" s="6">
        <v>22000000</v>
      </c>
      <c r="F153" s="42">
        <v>817720079</v>
      </c>
      <c r="G153" s="72">
        <f>Tabela3[[#This Row],[Lucro Líquido]]/Tabela3[[#This Row],[Total Ações]]</f>
        <v>2.6904072145206549E-2</v>
      </c>
      <c r="H153" s="15">
        <f>Tabela3[[#This Row],[Lucro/Ação]]/Tabela3[[#This Row],[Ref]]*4</f>
        <v>3.5872096193608732E-2</v>
      </c>
      <c r="I153" s="19">
        <f>IF(GETPIVOTDATA("Payout",'Tabela LL'!$A$3,"Ativo",Tabela3[[#This Row],[PAPEL]])&gt;1,1,GETPIVOTDATA("Payout",'Tabela LL'!$A$3,"Ativo",Tabela3[[#This Row],[PAPEL]]))</f>
        <v>0.27744555988769093</v>
      </c>
      <c r="J153" s="6">
        <f>[Patrimônio Líquido]/[Total Ações]</f>
        <v>4.3609055122639342</v>
      </c>
      <c r="K153" s="52">
        <f>MAX(Tabela3[[#This Row],[Cotação 1]],Tabela3[[#This Row],[Cotação 2]])</f>
        <v>2.41</v>
      </c>
      <c r="L153" s="48">
        <f>[Cotação]/[VPA]</f>
        <v>0.55263751833707242</v>
      </c>
      <c r="M153" s="44">
        <f>IF(Tabela3[[#This Row],[Lucro/Ação Ano]]&gt;0,Tabela3[[#This Row],[Cotação]]/Tabela3[[#This Row],[Lucro/Ação Ano]],0)</f>
        <v>67.183138308750003</v>
      </c>
      <c r="N153" s="13">
        <f>ROUND(Tabela3[[#This Row],[Lucro Prev]]/10%,2)</f>
        <v>0.1</v>
      </c>
      <c r="O153" s="13">
        <f>MIN(Tabela3[[#This Row],[10% Rent]],Tabela3[[#This Row],[VPA]]*2)</f>
        <v>0.1</v>
      </c>
      <c r="P153" s="19">
        <f>Tabela3[[#This Row],[P Compra]]/Tabela3[[#This Row],[Cotação]]-1</f>
        <v>-0.95850622406639008</v>
      </c>
      <c r="Q153" s="6">
        <f>Tabela3[[#This Row],[Lucro/Ação Ano]]*Tabela3[[#This Row],[Payout]]</f>
        <v>9.9525538127808819E-3</v>
      </c>
      <c r="R153" s="15" t="str">
        <f>IF(AND([% Yield]&gt;=10%,[PVPA]&lt;=2,[PL]&lt;=15,[PL]&gt;0),"Sim","Não")</f>
        <v>Não</v>
      </c>
      <c r="S153" s="46">
        <f>Tabela3[[#This Row],[Lucro Prev]]/Tabela3[[#This Row],[Cotação]]</f>
        <v>4.1296903787472533E-3</v>
      </c>
      <c r="T153" s="46">
        <f>(1+Tabela3[[#This Row],[% Yield]])^(1/12)-1</f>
        <v>3.4349119720800125E-4</v>
      </c>
      <c r="U153" s="14">
        <f>($AA$1/Tabela3[[#This Row],[Cotação]]-MOD($AA$1/Tabela3[[#This Row],[Cotação]],100))</f>
        <v>100</v>
      </c>
      <c r="V153" s="17">
        <f>Tabela3[[#This Row],[Ativos]]*Tabela3[[#This Row],[Lucro Prev]]</f>
        <v>0.99525538127808821</v>
      </c>
      <c r="W153" s="13">
        <f>SUMPRODUCT(N(Tabela1[Código]=Tabela3[[#This Row],[PAPEL]]),Tabela1[Fechamento])</f>
        <v>0</v>
      </c>
      <c r="X153" s="13">
        <f>SUMPRODUCT(N(Tabela17[Código]=Tabela3[[#This Row],[PAPEL]]),Tabela17[Fechamento])</f>
        <v>2.41</v>
      </c>
    </row>
    <row r="154" spans="1:24">
      <c r="A154" s="3" t="s">
        <v>326</v>
      </c>
      <c r="B154" s="73" t="s">
        <v>325</v>
      </c>
      <c r="C154" s="16">
        <v>3</v>
      </c>
      <c r="D154" s="5">
        <v>14444342000</v>
      </c>
      <c r="E154" s="5">
        <v>1006640000</v>
      </c>
      <c r="F154" s="21">
        <v>2417632647</v>
      </c>
      <c r="G154" s="71">
        <f>Tabela3[[#This Row],[Lucro Líquido]]/Tabela3[[#This Row],[Total Ações]]</f>
        <v>0.41637425820218088</v>
      </c>
      <c r="H154" s="16">
        <f>Tabela3[[#This Row],[Lucro/Ação]]/Tabela3[[#This Row],[Ref]]*4</f>
        <v>0.5551656776029078</v>
      </c>
      <c r="I154" s="18">
        <f>IF(GETPIVOTDATA("Payout",'Tabela LL'!$A$3,"Ativo",Tabela3[[#This Row],[PAPEL]])&gt;1,1,GETPIVOTDATA("Payout",'Tabela LL'!$A$3,"Ativo",Tabela3[[#This Row],[PAPEL]]))</f>
        <v>0.31662042253674527</v>
      </c>
      <c r="J154" s="5">
        <f>[Patrimônio Líquido]/[Total Ações]</f>
        <v>5.974580967842134</v>
      </c>
      <c r="K154" s="58">
        <f>MAX(Tabela3[[#This Row],[Cotação 1]],Tabela3[[#This Row],[Cotação 2]])</f>
        <v>13.46</v>
      </c>
      <c r="L154" s="59">
        <f>[Cotação]/[VPA]</f>
        <v>2.2528776616214157</v>
      </c>
      <c r="M154" s="40">
        <f>IF(Tabela3[[#This Row],[Lucro/Ação Ano]]&gt;0,Tabela3[[#This Row],[Cotação]]/Tabela3[[#This Row],[Lucro/Ação Ano]],0)</f>
        <v>24.245014674029449</v>
      </c>
      <c r="N154" s="7">
        <f>ROUND(Tabela3[[#This Row],[Lucro Prev]]/10%,2)</f>
        <v>1.76</v>
      </c>
      <c r="O154" s="51">
        <f>MIN(Tabela3[[#This Row],[10% Rent]],Tabela3[[#This Row],[VPA]]*2)</f>
        <v>1.76</v>
      </c>
      <c r="P154" s="18">
        <f>Tabela3[[#This Row],[P Compra]]/Tabela3[[#This Row],[Cotação]]-1</f>
        <v>-0.86924219910846956</v>
      </c>
      <c r="Q154" s="5">
        <f>Tabela3[[#This Row],[Lucro/Ação Ano]]*Tabela3[[#This Row],[Payout]]</f>
        <v>0.17577679142053118</v>
      </c>
      <c r="R154" s="16" t="str">
        <f>IF(AND([% Yield]&gt;=10%,[PVPA]&lt;=2,[PL]&lt;=15,[PL]&gt;0),"Sim","Não")</f>
        <v>Não</v>
      </c>
      <c r="S154" s="22">
        <f>Tabela3[[#This Row],[Lucro Prev]]/Tabela3[[#This Row],[Cotação]]</f>
        <v>1.3059196985180621E-2</v>
      </c>
      <c r="T154" s="22">
        <f>(1+Tabela3[[#This Row],[% Yield]])^(1/12)-1</f>
        <v>1.0818064692319496E-3</v>
      </c>
      <c r="U154" s="10">
        <f>($AA$1/Tabela3[[#This Row],[Cotação]]-MOD($AA$1/Tabela3[[#This Row],[Cotação]],100))</f>
        <v>0</v>
      </c>
      <c r="V154" s="7">
        <f>Tabela3[[#This Row],[Ativos]]*Tabela3[[#This Row],[Lucro Prev]]</f>
        <v>0</v>
      </c>
      <c r="W154" s="51">
        <f>SUMPRODUCT(N(Tabela1[Código]=Tabela3[[#This Row],[PAPEL]]),Tabela1[Fechamento])</f>
        <v>0</v>
      </c>
      <c r="X154" s="60">
        <f>SUMPRODUCT(N(Tabela17[Código]=Tabela3[[#This Row],[PAPEL]]),Tabela17[Fechamento])</f>
        <v>13.46</v>
      </c>
    </row>
    <row r="155" spans="1:24">
      <c r="A155" s="4" t="s">
        <v>384</v>
      </c>
      <c r="B155" s="70" t="s">
        <v>387</v>
      </c>
      <c r="C155" s="15">
        <v>3</v>
      </c>
      <c r="D155" s="6">
        <v>222307000</v>
      </c>
      <c r="E155" s="6">
        <v>18125000</v>
      </c>
      <c r="F155" s="42">
        <v>2857301</v>
      </c>
      <c r="G155" s="72">
        <f>Tabela3[[#This Row],[Lucro Líquido]]/Tabela3[[#This Row],[Total Ações]]</f>
        <v>6.3433988928712797</v>
      </c>
      <c r="H155" s="15">
        <f>Tabela3[[#This Row],[Lucro/Ação]]/Tabela3[[#This Row],[Ref]]*4</f>
        <v>8.4578651904950402</v>
      </c>
      <c r="I155" s="19">
        <f>IF(GETPIVOTDATA("Payout",'Tabela LL'!$A$3,"Ativo",Tabela3[[#This Row],[PAPEL]])&gt;1,1,GETPIVOTDATA("Payout",'Tabela LL'!$A$3,"Ativo",Tabela3[[#This Row],[PAPEL]]))</f>
        <v>0.72745804302911377</v>
      </c>
      <c r="J155" s="6">
        <f>[Patrimônio Líquido]/[Total Ações]</f>
        <v>77.803143596001959</v>
      </c>
      <c r="K155" s="52">
        <f>MAX(Tabela3[[#This Row],[Cotação 1]],Tabela3[[#This Row],[Cotação 2]])</f>
        <v>88</v>
      </c>
      <c r="L155" s="48">
        <f>[Cotação]/[VPA]</f>
        <v>1.1310596967256992</v>
      </c>
      <c r="M155" s="44">
        <f>IF(Tabela3[[#This Row],[Lucro/Ação Ano]]&gt;0,Tabela3[[#This Row],[Cotação]]/Tabela3[[#This Row],[Lucro/Ação Ano]],0)</f>
        <v>10.404516744827585</v>
      </c>
      <c r="N155" s="17">
        <f>ROUND(Tabela3[[#This Row],[Lucro Prev]]/10%,2)</f>
        <v>61.53</v>
      </c>
      <c r="O155" s="13">
        <f>MIN(Tabela3[[#This Row],[10% Rent]],Tabela3[[#This Row],[VPA]]*2)</f>
        <v>61.53</v>
      </c>
      <c r="P155" s="19">
        <f>Tabela3[[#This Row],[P Compra]]/Tabela3[[#This Row],[Cotação]]-1</f>
        <v>-0.30079545454545453</v>
      </c>
      <c r="Q155" s="6">
        <f>Tabela3[[#This Row],[Lucro/Ação Ano]]*Tabela3[[#This Row],[Payout]]</f>
        <v>6.1527420596815841</v>
      </c>
      <c r="R155" s="15" t="str">
        <f>IF(AND([% Yield]&gt;=10%,[PVPA]&lt;=2,[PL]&lt;=15,[PL]&gt;0),"Sim","Não")</f>
        <v>Não</v>
      </c>
      <c r="S155" s="46">
        <f>Tabela3[[#This Row],[Lucro Prev]]/Tabela3[[#This Row],[Cotação]]</f>
        <v>6.991752340547254E-2</v>
      </c>
      <c r="T155" s="46">
        <f>(1+Tabela3[[#This Row],[% Yield]])^(1/12)-1</f>
        <v>5.647685429492677E-3</v>
      </c>
      <c r="U155" s="14">
        <f>($AA$1/Tabela3[[#This Row],[Cotação]]-MOD($AA$1/Tabela3[[#This Row],[Cotação]],100))</f>
        <v>0</v>
      </c>
      <c r="V155" s="17">
        <f>Tabela3[[#This Row],[Ativos]]*Tabela3[[#This Row],[Lucro Prev]]</f>
        <v>0</v>
      </c>
      <c r="W155" s="13">
        <f>SUMPRODUCT(N(Tabela1[Código]=Tabela3[[#This Row],[PAPEL]]),Tabela1[Fechamento])</f>
        <v>0</v>
      </c>
      <c r="X155" s="61">
        <f>SUMPRODUCT(N(Tabela17[Código]=Tabela3[[#This Row],[PAPEL]]),Tabela17[Fechamento])</f>
        <v>88</v>
      </c>
    </row>
    <row r="156" spans="1:24">
      <c r="A156" s="4" t="s">
        <v>12</v>
      </c>
      <c r="B156" s="14" t="s">
        <v>173</v>
      </c>
      <c r="C156" s="15">
        <v>3</v>
      </c>
      <c r="D156" s="6">
        <v>4953037000</v>
      </c>
      <c r="E156" s="6">
        <v>-126863000</v>
      </c>
      <c r="F156" s="42">
        <v>152661565</v>
      </c>
      <c r="G156" s="15">
        <f>Tabela3[[#This Row],[Lucro Líquido]]/Tabela3[[#This Row],[Total Ações]]</f>
        <v>-0.83100811916869843</v>
      </c>
      <c r="H156" s="15">
        <f>Tabela3[[#This Row],[Lucro/Ação]]/Tabela3[[#This Row],[Ref]]*4</f>
        <v>-1.1080108255582646</v>
      </c>
      <c r="I156" s="19">
        <f>IF(GETPIVOTDATA("Payout",'Tabela LL'!$A$3,"Ativo",Tabela3[[#This Row],[PAPEL]])&gt;1,1,GETPIVOTDATA("Payout",'Tabela LL'!$A$3,"Ativo",Tabela3[[#This Row],[PAPEL]]))</f>
        <v>0.70044394399833187</v>
      </c>
      <c r="J156" s="6">
        <f>[Patrimônio Líquido]/[Total Ações]</f>
        <v>32.444557999913073</v>
      </c>
      <c r="K156" s="52">
        <f>MAX(Tabela3[[#This Row],[Cotação 1]],Tabela3[[#This Row],[Cotação 2]])</f>
        <v>42</v>
      </c>
      <c r="L156" s="48">
        <f>[Cotação]/[VPA]</f>
        <v>1.2945160171426138</v>
      </c>
      <c r="M156" s="44">
        <f>IF(Tabela3[[#This Row],[Lucro/Ação Ano]]&gt;0,Tabela3[[#This Row],[Cotação]]/Tabela3[[#This Row],[Lucro/Ação Ano]],0)</f>
        <v>0</v>
      </c>
      <c r="N156" s="6">
        <f>ROUND(Tabela3[[#This Row],[Lucro Prev]]/10%,2)</f>
        <v>-7.76</v>
      </c>
      <c r="O156" s="61">
        <f>MIN(Tabela3[[#This Row],[10% Rent]],Tabela3[[#This Row],[VPA]]*2)</f>
        <v>-7.76</v>
      </c>
      <c r="P156" s="19">
        <f>Tabela3[[#This Row],[P Compra]]/Tabela3[[#This Row],[Cotação]]-1</f>
        <v>-1.1847619047619047</v>
      </c>
      <c r="Q156" s="6">
        <f>Tabela3[[#This Row],[Lucro/Ação Ano]]*Tabela3[[#This Row],[Payout]]</f>
        <v>-0.77609947264687851</v>
      </c>
      <c r="R156" s="15" t="str">
        <f>IF(AND([% Yield]&gt;=10%,[PVPA]&lt;=2,[PL]&lt;=15,[PL]&gt;0),"Sim","Não")</f>
        <v>Não</v>
      </c>
      <c r="S156" s="46">
        <f>Tabela3[[#This Row],[Lucro Prev]]/Tabela3[[#This Row],[Cotação]]</f>
        <v>-1.8478558872544727E-2</v>
      </c>
      <c r="T156" s="46">
        <f>(1+Tabela3[[#This Row],[% Yield]])^(1/12)-1</f>
        <v>-1.5530777445502686E-3</v>
      </c>
      <c r="U156" s="14">
        <f>($AA$1/Tabela3[[#This Row],[Cotação]]-MOD($AA$1/Tabela3[[#This Row],[Cotação]],100))</f>
        <v>0</v>
      </c>
      <c r="V156" s="17">
        <f>Tabela3[[#This Row],[Ativos]]*Tabela3[[#This Row],[Lucro Prev]]</f>
        <v>0</v>
      </c>
      <c r="W156" s="5">
        <f>SUMPRODUCT(N(Tabela1[Código]=Tabela3[[#This Row],[PAPEL]]),Tabela1[Fechamento])</f>
        <v>42</v>
      </c>
      <c r="X156" s="5">
        <f>SUMPRODUCT(N(Tabela17[Código]=Tabela3[[#This Row],[PAPEL]]),Tabela17[Fechamento])</f>
        <v>0</v>
      </c>
    </row>
    <row r="157" spans="1:24">
      <c r="A157" s="4" t="s">
        <v>12</v>
      </c>
      <c r="B157" s="14" t="s">
        <v>174</v>
      </c>
      <c r="C157" s="15">
        <v>3</v>
      </c>
      <c r="D157" s="6">
        <v>4953037000</v>
      </c>
      <c r="E157" s="6">
        <v>-126863000</v>
      </c>
      <c r="F157" s="42">
        <v>152661565</v>
      </c>
      <c r="G157" s="15">
        <f>Tabela3[[#This Row],[Lucro Líquido]]/Tabela3[[#This Row],[Total Ações]]</f>
        <v>-0.83100811916869843</v>
      </c>
      <c r="H157" s="15">
        <f>Tabela3[[#This Row],[Lucro/Ação]]/Tabela3[[#This Row],[Ref]]*4</f>
        <v>-1.1080108255582646</v>
      </c>
      <c r="I157" s="19">
        <f>IF(GETPIVOTDATA("Payout",'Tabela LL'!$A$3,"Ativo",Tabela3[[#This Row],[PAPEL]])&gt;1,1,GETPIVOTDATA("Payout",'Tabela LL'!$A$3,"Ativo",Tabela3[[#This Row],[PAPEL]]))</f>
        <v>0.70044394399833187</v>
      </c>
      <c r="J157" s="6">
        <f>[Patrimônio Líquido]/[Total Ações]</f>
        <v>32.444557999913073</v>
      </c>
      <c r="K157" s="52">
        <f>MAX(Tabela3[[#This Row],[Cotação 1]],Tabela3[[#This Row],[Cotação 2]])</f>
        <v>26.83</v>
      </c>
      <c r="L157" s="48">
        <f>[Cotação]/[VPA]</f>
        <v>0.82694916047467448</v>
      </c>
      <c r="M157" s="44">
        <f>IF(Tabela3[[#This Row],[Lucro/Ação Ano]]&gt;0,Tabela3[[#This Row],[Cotação]]/Tabela3[[#This Row],[Lucro/Ação Ano]],0)</f>
        <v>0</v>
      </c>
      <c r="N157" s="6">
        <f>ROUND(Tabela3[[#This Row],[Lucro Prev]]/10%,2)</f>
        <v>-7.76</v>
      </c>
      <c r="O157" s="61">
        <f>MIN(Tabela3[[#This Row],[10% Rent]],Tabela3[[#This Row],[VPA]]*2)</f>
        <v>-7.76</v>
      </c>
      <c r="P157" s="19">
        <f>Tabela3[[#This Row],[P Compra]]/Tabela3[[#This Row],[Cotação]]-1</f>
        <v>-1.2892284755870294</v>
      </c>
      <c r="Q157" s="6">
        <f>Tabela3[[#This Row],[Lucro/Ação Ano]]*Tabela3[[#This Row],[Payout]]</f>
        <v>-0.77609947264687851</v>
      </c>
      <c r="R157" s="15" t="str">
        <f>IF(AND([% Yield]&gt;=10%,[PVPA]&lt;=2,[PL]&lt;=15,[PL]&gt;0),"Sim","Não")</f>
        <v>Não</v>
      </c>
      <c r="S157" s="46">
        <f>Tabela3[[#This Row],[Lucro Prev]]/Tabela3[[#This Row],[Cotação]]</f>
        <v>-2.8926555074427079E-2</v>
      </c>
      <c r="T157" s="46">
        <f>(1+Tabela3[[#This Row],[% Yield]])^(1/12)-1</f>
        <v>-2.4431086662151102E-3</v>
      </c>
      <c r="U157" s="14">
        <f>($AA$1/Tabela3[[#This Row],[Cotação]]-MOD($AA$1/Tabela3[[#This Row],[Cotação]],100))</f>
        <v>0</v>
      </c>
      <c r="V157" s="17">
        <f>Tabela3[[#This Row],[Ativos]]*Tabela3[[#This Row],[Lucro Prev]]</f>
        <v>0</v>
      </c>
      <c r="W157" s="5">
        <f>SUMPRODUCT(N(Tabela1[Código]=Tabela3[[#This Row],[PAPEL]]),Tabela1[Fechamento])</f>
        <v>26.83</v>
      </c>
      <c r="X157" s="5">
        <f>SUMPRODUCT(N(Tabela17[Código]=Tabela3[[#This Row],[PAPEL]]),Tabela17[Fechamento])</f>
        <v>0</v>
      </c>
    </row>
    <row r="158" spans="1:24">
      <c r="A158" s="4" t="s">
        <v>442</v>
      </c>
      <c r="B158" s="70" t="s">
        <v>441</v>
      </c>
      <c r="C158" s="15">
        <v>3</v>
      </c>
      <c r="D158" s="6">
        <v>39041000</v>
      </c>
      <c r="E158" s="6">
        <v>38084000</v>
      </c>
      <c r="F158" s="42">
        <v>46288258</v>
      </c>
      <c r="G158" s="15">
        <f>Tabela3[[#This Row],[Lucro Líquido]]/Tabela3[[#This Row],[Total Ações]]</f>
        <v>0.82275725303812475</v>
      </c>
      <c r="H158" s="15">
        <f>Tabela3[[#This Row],[Lucro/Ação]]/Tabela3[[#This Row],[Ref]]*4</f>
        <v>1.0970096707174997</v>
      </c>
      <c r="I158" s="19">
        <f>IF(GETPIVOTDATA("Payout",'Tabela LL'!$A$3,"Ativo",Tabela3[[#This Row],[PAPEL]])&gt;1,1,GETPIVOTDATA("Payout",'Tabela LL'!$A$3,"Ativo",Tabela3[[#This Row],[PAPEL]]))</f>
        <v>0.88025940606631048</v>
      </c>
      <c r="J158" s="6">
        <f>[Patrimônio Líquido]/[Total Ações]</f>
        <v>0.84343204274397188</v>
      </c>
      <c r="K158" s="52">
        <f>MAX(Tabela3[[#This Row],[Cotação 1]],Tabela3[[#This Row],[Cotação 2]])</f>
        <v>15.1</v>
      </c>
      <c r="L158" s="48">
        <f>[Cotação]/[VPA]</f>
        <v>17.903042847263134</v>
      </c>
      <c r="M158" s="44">
        <f>IF(Tabela3[[#This Row],[Lucro/Ação Ano]]&gt;0,Tabela3[[#This Row],[Cotação]]/Tabela3[[#This Row],[Lucro/Ação Ano]],0)</f>
        <v>13.764691782638376</v>
      </c>
      <c r="N158" s="17">
        <f>ROUND(Tabela3[[#This Row],[Lucro Prev]]/10%,2)</f>
        <v>9.66</v>
      </c>
      <c r="O158" s="13">
        <f>MIN(Tabela3[[#This Row],[10% Rent]],Tabela3[[#This Row],[VPA]]*2)</f>
        <v>1.6868640854879438</v>
      </c>
      <c r="P158" s="19">
        <f>Tabela3[[#This Row],[P Compra]]/Tabela3[[#This Row],[Cotação]]-1</f>
        <v>-0.88828714665642761</v>
      </c>
      <c r="Q158" s="6">
        <f>Tabela3[[#This Row],[Lucro/Ação Ano]]*Tabela3[[#This Row],[Payout]]</f>
        <v>0.9656530811947851</v>
      </c>
      <c r="R158" s="15" t="str">
        <f>IF(AND([% Yield]&gt;=10%,[PVPA]&lt;=2,[PL]&lt;=15,[PL]&gt;0),"Sim","Não")</f>
        <v>Não</v>
      </c>
      <c r="S158" s="46">
        <f>Tabela3[[#This Row],[Lucro Prev]]/Tabela3[[#This Row],[Cotação]]</f>
        <v>6.3950535178462595E-2</v>
      </c>
      <c r="T158" s="46">
        <f>(1+Tabela3[[#This Row],[% Yield]])^(1/12)-1</f>
        <v>5.1791071432765179E-3</v>
      </c>
      <c r="U158" s="14">
        <f>($AA$1/Tabela3[[#This Row],[Cotação]]-MOD($AA$1/Tabela3[[#This Row],[Cotação]],100))</f>
        <v>0</v>
      </c>
      <c r="V158" s="17">
        <f>Tabela3[[#This Row],[Ativos]]*Tabela3[[#This Row],[Lucro Prev]]</f>
        <v>0</v>
      </c>
      <c r="W158" s="13">
        <f>SUMPRODUCT(N(Tabela1[Código]=Tabela3[[#This Row],[PAPEL]]),Tabela1[Fechamento])</f>
        <v>0</v>
      </c>
      <c r="X158" s="61">
        <f>SUMPRODUCT(N(Tabela17[Código]=Tabela3[[#This Row],[PAPEL]]),Tabela17[Fechamento])</f>
        <v>15.1</v>
      </c>
    </row>
    <row r="159" spans="1:24">
      <c r="A159" s="3" t="s">
        <v>337</v>
      </c>
      <c r="B159" s="73" t="s">
        <v>349</v>
      </c>
      <c r="C159" s="16">
        <v>3</v>
      </c>
      <c r="D159" s="5">
        <v>6332530000</v>
      </c>
      <c r="E159" s="5">
        <v>852330000</v>
      </c>
      <c r="F159" s="21">
        <v>544383996</v>
      </c>
      <c r="G159" s="71">
        <f>Tabela3[[#This Row],[Lucro Líquido]]/Tabela3[[#This Row],[Total Ações]]</f>
        <v>1.5656779153368057</v>
      </c>
      <c r="H159" s="16">
        <f>Tabela3[[#This Row],[Lucro/Ação]]/Tabela3[[#This Row],[Ref]]*4</f>
        <v>2.0875705537824074</v>
      </c>
      <c r="I159" s="18">
        <f>IF(GETPIVOTDATA("Payout",'Tabela LL'!$A$3,"Ativo",Tabela3[[#This Row],[PAPEL]])&gt;1,1,GETPIVOTDATA("Payout",'Tabela LL'!$A$3,"Ativo",Tabela3[[#This Row],[PAPEL]]))</f>
        <v>0.60454237373323505</v>
      </c>
      <c r="J159" s="5">
        <f>[Patrimônio Líquido]/[Total Ações]</f>
        <v>11.632469077948427</v>
      </c>
      <c r="K159" s="58">
        <f>MAX(Tabela3[[#This Row],[Cotação 1]],Tabela3[[#This Row],[Cotação 2]])</f>
        <v>53.92</v>
      </c>
      <c r="L159" s="59">
        <f>[Cotação]/[VPA]</f>
        <v>4.635301382594319</v>
      </c>
      <c r="M159" s="40">
        <f>IF(Tabela3[[#This Row],[Lucro/Ação Ano]]&gt;0,Tabela3[[#This Row],[Cotação]]/Tabela3[[#This Row],[Lucro/Ação Ano]],0)</f>
        <v>25.829067143289574</v>
      </c>
      <c r="N159" s="7">
        <f>ROUND(Tabela3[[#This Row],[Lucro Prev]]/10%,2)</f>
        <v>12.62</v>
      </c>
      <c r="O159" s="51">
        <f>MIN(Tabela3[[#This Row],[10% Rent]],Tabela3[[#This Row],[VPA]]*2)</f>
        <v>12.62</v>
      </c>
      <c r="P159" s="18">
        <f>Tabela3[[#This Row],[P Compra]]/Tabela3[[#This Row],[Cotação]]-1</f>
        <v>-0.76594955489614247</v>
      </c>
      <c r="Q159" s="5">
        <f>Tabela3[[#This Row],[Lucro/Ação Ano]]*Tabela3[[#This Row],[Payout]]</f>
        <v>1.2620248579192206</v>
      </c>
      <c r="R159" s="16" t="str">
        <f>IF(AND([% Yield]&gt;=10%,[PVPA]&lt;=2,[PL]&lt;=15,[PL]&gt;0),"Sim","Não")</f>
        <v>Não</v>
      </c>
      <c r="S159" s="22">
        <f>Tabela3[[#This Row],[Lucro Prev]]/Tabela3[[#This Row],[Cotação]]</f>
        <v>2.3405505525208096E-2</v>
      </c>
      <c r="T159" s="22">
        <f>(1+Tabela3[[#This Row],[% Yield]])^(1/12)-1</f>
        <v>1.929842839051954E-3</v>
      </c>
      <c r="U159" s="10">
        <f>($AA$1/Tabela3[[#This Row],[Cotação]]-MOD($AA$1/Tabela3[[#This Row],[Cotação]],100))</f>
        <v>0</v>
      </c>
      <c r="V159" s="7">
        <f>Tabela3[[#This Row],[Ativos]]*Tabela3[[#This Row],[Lucro Prev]]</f>
        <v>0</v>
      </c>
      <c r="W159" s="51">
        <f>SUMPRODUCT(N(Tabela1[Código]=Tabela3[[#This Row],[PAPEL]]),Tabela1[Fechamento])</f>
        <v>0</v>
      </c>
      <c r="X159" s="60">
        <f>SUMPRODUCT(N(Tabela17[Código]=Tabela3[[#This Row],[PAPEL]]),Tabela17[Fechamento])</f>
        <v>53.92</v>
      </c>
    </row>
    <row r="160" spans="1:24">
      <c r="A160" s="25" t="s">
        <v>40</v>
      </c>
      <c r="B160" s="70" t="s">
        <v>39</v>
      </c>
      <c r="C160" s="15">
        <v>3</v>
      </c>
      <c r="D160" s="31">
        <v>740932000</v>
      </c>
      <c r="E160" s="31">
        <v>342727000</v>
      </c>
      <c r="F160" s="28">
        <v>835502072</v>
      </c>
      <c r="G160" s="15">
        <f>Tabela3[[#This Row],[Lucro Líquido]]/Tabela3[[#This Row],[Total Ações]]</f>
        <v>0.4102048474632628</v>
      </c>
      <c r="H160" s="15">
        <f>Tabela3[[#This Row],[Lucro/Ação]]/Tabela3[[#This Row],[Ref]]*4</f>
        <v>0.54693979661768377</v>
      </c>
      <c r="I160" s="19">
        <f>IF(GETPIVOTDATA("Payout",'Tabela LL'!$A$3,"Ativo",Tabela3[[#This Row],[PAPEL]])&gt;1,1,GETPIVOTDATA("Payout",'Tabela LL'!$A$3,"Ativo",Tabela3[[#This Row],[PAPEL]]))</f>
        <v>0.20588880617740807</v>
      </c>
      <c r="J160" s="6">
        <f>[Patrimônio Líquido]/[Total Ações]</f>
        <v>0.88681048776621108</v>
      </c>
      <c r="K160" s="52">
        <f>MAX(Tabela3[[#This Row],[Cotação 1]],Tabela3[[#This Row],[Cotação 2]])</f>
        <v>0.51</v>
      </c>
      <c r="L160" s="48">
        <f>[Cotação]/[VPA]</f>
        <v>0.57509468712378464</v>
      </c>
      <c r="M160" s="44">
        <f>IF(Tabela3[[#This Row],[Lucro/Ação Ano]]&gt;0,Tabela3[[#This Row],[Cotação]]/Tabela3[[#This Row],[Lucro/Ação Ano]],0)</f>
        <v>0.93246094570897531</v>
      </c>
      <c r="N160" s="6">
        <f>ROUND(Tabela3[[#This Row],[Lucro Prev]]/10%,2)</f>
        <v>1.1299999999999999</v>
      </c>
      <c r="O160" s="61">
        <f>MIN(Tabela3[[#This Row],[10% Rent]],Tabela3[[#This Row],[VPA]]*2)</f>
        <v>1.1299999999999999</v>
      </c>
      <c r="P160" s="19">
        <f>Tabela3[[#This Row],[P Compra]]/Tabela3[[#This Row],[Cotação]]-1</f>
        <v>1.2156862745098036</v>
      </c>
      <c r="Q160" s="6">
        <f>Tabela3[[#This Row],[Lucro/Ação Ano]]*Tabela3[[#This Row],[Payout]]</f>
        <v>0.11260878177652928</v>
      </c>
      <c r="R160" s="14" t="str">
        <f>IF(AND([% Yield]&gt;=10%,[PVPA]&lt;=2,[PL]&lt;=15,[PL]&gt;0),"Sim","Não")</f>
        <v>Sim</v>
      </c>
      <c r="S160" s="46">
        <f>Tabela3[[#This Row],[Lucro Prev]]/Tabela3[[#This Row],[Cotação]]</f>
        <v>0.22080153289515544</v>
      </c>
      <c r="T160" s="97">
        <f>(1+Tabela3[[#This Row],[% Yield]])^(1/12)-1</f>
        <v>1.6764611440749588E-2</v>
      </c>
      <c r="U160" s="14">
        <f>($AA$1/Tabela3[[#This Row],[Cotação]]-MOD($AA$1/Tabela3[[#This Row],[Cotação]],100))</f>
        <v>500</v>
      </c>
      <c r="V160" s="17">
        <f>Tabela3[[#This Row],[Ativos]]*Tabela3[[#This Row],[Lucro Prev]]</f>
        <v>56.304390888264635</v>
      </c>
      <c r="W160" s="17">
        <f>SUMPRODUCT(N(Tabela1[Código]=Tabela3[[#This Row],[PAPEL]]),Tabela1[Fechamento])</f>
        <v>0.51</v>
      </c>
      <c r="X160" s="17">
        <f>SUMPRODUCT(N(Tabela17[Código]=Tabela3[[#This Row],[PAPEL]]),Tabela17[Fechamento])</f>
        <v>0</v>
      </c>
    </row>
    <row r="161" spans="1:24">
      <c r="A161" s="4" t="s">
        <v>378</v>
      </c>
      <c r="B161" s="70" t="s">
        <v>379</v>
      </c>
      <c r="C161" s="15">
        <v>3</v>
      </c>
      <c r="D161" s="6">
        <v>165456334000</v>
      </c>
      <c r="E161" s="6">
        <v>14982201000</v>
      </c>
      <c r="F161" s="42">
        <v>5365304100</v>
      </c>
      <c r="G161" s="72">
        <f>Tabela3[[#This Row],[Lucro Líquido]]/Tabela3[[#This Row],[Total Ações]]</f>
        <v>2.7924234527545231</v>
      </c>
      <c r="H161" s="15">
        <f>Tabela3[[#This Row],[Lucro/Ação]]/Tabela3[[#This Row],[Ref]]*4</f>
        <v>3.723231270339364</v>
      </c>
      <c r="I161" s="19">
        <f>IF(GETPIVOTDATA("Payout",'Tabela LL'!$A$3,"Ativo",Tabela3[[#This Row],[PAPEL]])&gt;1,1,GETPIVOTDATA("Payout",'Tabela LL'!$A$3,"Ativo",Tabela3[[#This Row],[PAPEL]]))</f>
        <v>0.50530256504079152</v>
      </c>
      <c r="J161" s="6">
        <f>[Patrimônio Líquido]/[Total Ações]</f>
        <v>30.838202442243674</v>
      </c>
      <c r="K161" s="52">
        <f>MAX(Tabela3[[#This Row],[Cotação 1]],Tabela3[[#This Row],[Cotação 2]])</f>
        <v>30.23</v>
      </c>
      <c r="L161" s="48">
        <f>[Cotação]/[VPA]</f>
        <v>0.98027762988511524</v>
      </c>
      <c r="M161" s="44">
        <f>IF(Tabela3[[#This Row],[Lucro/Ação Ano]]&gt;0,Tabela3[[#This Row],[Cotação]]/Tabela3[[#This Row],[Lucro/Ação Ano]],0)</f>
        <v>8.1192914984420526</v>
      </c>
      <c r="N161" s="17">
        <f>ROUND(Tabela3[[#This Row],[Lucro Prev]]/10%,2)</f>
        <v>18.809999999999999</v>
      </c>
      <c r="O161" s="13">
        <f>MIN(Tabela3[[#This Row],[10% Rent]],Tabela3[[#This Row],[VPA]]*2)</f>
        <v>18.809999999999999</v>
      </c>
      <c r="P161" s="19">
        <f>Tabela3[[#This Row],[P Compra]]/Tabela3[[#This Row],[Cotação]]-1</f>
        <v>-0.37777042672841554</v>
      </c>
      <c r="Q161" s="6">
        <f>Tabela3[[#This Row],[Lucro/Ação Ano]]*Tabela3[[#This Row],[Payout]]</f>
        <v>1.8813583111425654</v>
      </c>
      <c r="R161" s="15" t="str">
        <f>IF(AND([% Yield]&gt;=10%,[PVPA]&lt;=2,[PL]&lt;=15,[PL]&gt;0),"Sim","Não")</f>
        <v>Não</v>
      </c>
      <c r="S161" s="46">
        <f>Tabela3[[#This Row],[Lucro Prev]]/Tabela3[[#This Row],[Cotação]]</f>
        <v>6.2234810160190716E-2</v>
      </c>
      <c r="T161" s="46">
        <f>(1+Tabela3[[#This Row],[% Yield]])^(1/12)-1</f>
        <v>5.043928010347587E-3</v>
      </c>
      <c r="U161" s="14">
        <f>($AA$1/Tabela3[[#This Row],[Cotação]]-MOD($AA$1/Tabela3[[#This Row],[Cotação]],100))</f>
        <v>0</v>
      </c>
      <c r="V161" s="17">
        <f>Tabela3[[#This Row],[Ativos]]*Tabela3[[#This Row],[Lucro Prev]]</f>
        <v>0</v>
      </c>
      <c r="W161" s="13">
        <f>SUMPRODUCT(N(Tabela1[Código]=Tabela3[[#This Row],[PAPEL]]),Tabela1[Fechamento])</f>
        <v>0</v>
      </c>
      <c r="X161" s="61">
        <f>SUMPRODUCT(N(Tabela17[Código]=Tabela3[[#This Row],[PAPEL]]),Tabela17[Fechamento])</f>
        <v>30.23</v>
      </c>
    </row>
    <row r="162" spans="1:24">
      <c r="A162" s="3" t="s">
        <v>324</v>
      </c>
      <c r="B162" s="73" t="s">
        <v>322</v>
      </c>
      <c r="C162" s="16">
        <v>3</v>
      </c>
      <c r="D162" s="5">
        <v>1326579000</v>
      </c>
      <c r="E162" s="5">
        <v>106731000</v>
      </c>
      <c r="F162" s="21">
        <v>149714346</v>
      </c>
      <c r="G162" s="71">
        <f>Tabela3[[#This Row],[Lucro Líquido]]/Tabela3[[#This Row],[Total Ações]]</f>
        <v>0.71289761369962501</v>
      </c>
      <c r="H162" s="16">
        <f>Tabela3[[#This Row],[Lucro/Ação]]/Tabela3[[#This Row],[Ref]]*4</f>
        <v>0.95053015159950005</v>
      </c>
      <c r="I162" s="18">
        <f>IF(GETPIVOTDATA("Payout",'Tabela LL'!$A$3,"Ativo",Tabela3[[#This Row],[PAPEL]])&gt;1,1,GETPIVOTDATA("Payout",'Tabela LL'!$A$3,"Ativo",Tabela3[[#This Row],[PAPEL]]))</f>
        <v>0.23785571475872622</v>
      </c>
      <c r="J162" s="5">
        <f>[Patrimônio Líquido]/[Total Ações]</f>
        <v>8.8607340274525193</v>
      </c>
      <c r="K162" s="58">
        <f>MAX(Tabela3[[#This Row],[Cotação 1]],Tabela3[[#This Row],[Cotação 2]])</f>
        <v>9.15</v>
      </c>
      <c r="L162" s="59">
        <f>[Cotação]/[VPA]</f>
        <v>1.0326458250130599</v>
      </c>
      <c r="M162" s="40">
        <f>IF(Tabela3[[#This Row],[Lucro/Ação Ano]]&gt;0,Tabela3[[#This Row],[Cotação]]/Tabela3[[#This Row],[Lucro/Ação Ano]],0)</f>
        <v>9.6262070010118901</v>
      </c>
      <c r="N162" s="7">
        <f>ROUND(Tabela3[[#This Row],[Lucro Prev]]/10%,2)</f>
        <v>2.2599999999999998</v>
      </c>
      <c r="O162" s="51">
        <f>MIN(Tabela3[[#This Row],[10% Rent]],Tabela3[[#This Row],[VPA]]*2)</f>
        <v>2.2599999999999998</v>
      </c>
      <c r="P162" s="18">
        <f>Tabela3[[#This Row],[P Compra]]/Tabela3[[#This Row],[Cotação]]-1</f>
        <v>-0.75300546448087435</v>
      </c>
      <c r="Q162" s="5">
        <f>Tabela3[[#This Row],[Lucro/Ação Ano]]*Tabela3[[#This Row],[Payout]]</f>
        <v>0.22608902860841948</v>
      </c>
      <c r="R162" s="16" t="str">
        <f>IF(AND([% Yield]&gt;=10%,[PVPA]&lt;=2,[PL]&lt;=15,[PL]&gt;0),"Sim","Não")</f>
        <v>Não</v>
      </c>
      <c r="S162" s="22">
        <f>Tabela3[[#This Row],[Lucro Prev]]/Tabela3[[#This Row],[Cotação]]</f>
        <v>2.4709183454472074E-2</v>
      </c>
      <c r="T162" s="22">
        <f>(1+Tabela3[[#This Row],[% Yield]])^(1/12)-1</f>
        <v>2.0361408647595614E-3</v>
      </c>
      <c r="U162" s="10">
        <f>($AA$1/Tabela3[[#This Row],[Cotação]]-MOD($AA$1/Tabela3[[#This Row],[Cotação]],100))</f>
        <v>0</v>
      </c>
      <c r="V162" s="7">
        <f>Tabela3[[#This Row],[Ativos]]*Tabela3[[#This Row],[Lucro Prev]]</f>
        <v>0</v>
      </c>
      <c r="W162" s="51">
        <f>SUMPRODUCT(N(Tabela1[Código]=Tabela3[[#This Row],[PAPEL]]),Tabela1[Fechamento])</f>
        <v>0</v>
      </c>
      <c r="X162" s="60">
        <f>SUMPRODUCT(N(Tabela17[Código]=Tabela3[[#This Row],[PAPEL]]),Tabela17[Fechamento])</f>
        <v>9.15</v>
      </c>
    </row>
    <row r="163" spans="1:24">
      <c r="A163" s="3" t="s">
        <v>332</v>
      </c>
      <c r="B163" s="73" t="s">
        <v>333</v>
      </c>
      <c r="C163" s="16">
        <v>3</v>
      </c>
      <c r="D163" s="5">
        <v>43631075000</v>
      </c>
      <c r="E163" s="5">
        <v>2484629000</v>
      </c>
      <c r="F163" s="21">
        <v>1125601930</v>
      </c>
      <c r="G163" s="71">
        <f>Tabela3[[#This Row],[Lucro Líquido]]/Tabela3[[#This Row],[Total Ações]]</f>
        <v>2.2073780559349254</v>
      </c>
      <c r="H163" s="16">
        <f>Tabela3[[#This Row],[Lucro/Ação]]/Tabela3[[#This Row],[Ref]]*4</f>
        <v>2.9431707412465671</v>
      </c>
      <c r="I163" s="18">
        <f>IF(GETPIVOTDATA("Payout",'Tabela LL'!$A$3,"Ativo",Tabela3[[#This Row],[PAPEL]])&gt;1,1,GETPIVOTDATA("Payout",'Tabela LL'!$A$3,"Ativo",Tabela3[[#This Row],[PAPEL]]))</f>
        <v>0.96704817187555625</v>
      </c>
      <c r="J163" s="5">
        <f>[Patrimônio Líquido]/[Total Ações]</f>
        <v>38.762437978406808</v>
      </c>
      <c r="K163" s="58">
        <f>MAX(Tabela3[[#This Row],[Cotação 1]],Tabela3[[#This Row],[Cotação 2]])</f>
        <v>41.55</v>
      </c>
      <c r="L163" s="59">
        <f>[Cotação]/[VPA]</f>
        <v>1.0719140014656983</v>
      </c>
      <c r="M163" s="40">
        <f>IF(Tabela3[[#This Row],[Lucro/Ação Ano]]&gt;0,Tabela3[[#This Row],[Cotação]]/Tabela3[[#This Row],[Lucro/Ação Ano]],0)</f>
        <v>14.117427649610867</v>
      </c>
      <c r="N163" s="7">
        <f>ROUND(Tabela3[[#This Row],[Lucro Prev]]/10%,2)</f>
        <v>28.46</v>
      </c>
      <c r="O163" s="51">
        <f>MIN(Tabela3[[#This Row],[10% Rent]],Tabela3[[#This Row],[VPA]]*2)</f>
        <v>28.46</v>
      </c>
      <c r="P163" s="18">
        <f>Tabela3[[#This Row],[P Compra]]/Tabela3[[#This Row],[Cotação]]-1</f>
        <v>-0.31504211793020453</v>
      </c>
      <c r="Q163" s="5">
        <f>Tabela3[[#This Row],[Lucro/Ação Ano]]*Tabela3[[#This Row],[Payout]]</f>
        <v>2.8461878848401185</v>
      </c>
      <c r="R163" s="16" t="str">
        <f>IF(AND([% Yield]&gt;=10%,[PVPA]&lt;=2,[PL]&lt;=15,[PL]&gt;0),"Sim","Não")</f>
        <v>Não</v>
      </c>
      <c r="S163" s="22">
        <f>Tabela3[[#This Row],[Lucro Prev]]/Tabela3[[#This Row],[Cotação]]</f>
        <v>6.8500310104455328E-2</v>
      </c>
      <c r="T163" s="22">
        <f>(1+Tabela3[[#This Row],[% Yield]])^(1/12)-1</f>
        <v>5.5366111925143624E-3</v>
      </c>
      <c r="U163" s="10">
        <f>($AA$1/Tabela3[[#This Row],[Cotação]]-MOD($AA$1/Tabela3[[#This Row],[Cotação]],100))</f>
        <v>0</v>
      </c>
      <c r="V163" s="7">
        <f>Tabela3[[#This Row],[Ativos]]*Tabela3[[#This Row],[Lucro Prev]]</f>
        <v>0</v>
      </c>
      <c r="W163" s="51">
        <f>SUMPRODUCT(N(Tabela1[Código]=Tabela3[[#This Row],[PAPEL]]),Tabela1[Fechamento])</f>
        <v>0</v>
      </c>
      <c r="X163" s="60">
        <f>SUMPRODUCT(N(Tabela17[Código]=Tabela3[[#This Row],[PAPEL]]),Tabela17[Fechamento])</f>
        <v>41.55</v>
      </c>
    </row>
    <row r="164" spans="1:24">
      <c r="A164" s="3" t="s">
        <v>332</v>
      </c>
      <c r="B164" s="73" t="s">
        <v>334</v>
      </c>
      <c r="C164" s="16">
        <v>3</v>
      </c>
      <c r="D164" s="5">
        <v>43631075000</v>
      </c>
      <c r="E164" s="5">
        <v>2484629000</v>
      </c>
      <c r="F164" s="21">
        <v>1125601930</v>
      </c>
      <c r="G164" s="71">
        <f>Tabela3[[#This Row],[Lucro Líquido]]/Tabela3[[#This Row],[Total Ações]]</f>
        <v>2.2073780559349254</v>
      </c>
      <c r="H164" s="16">
        <f>Tabela3[[#This Row],[Lucro/Ação]]/Tabela3[[#This Row],[Ref]]*4</f>
        <v>2.9431707412465671</v>
      </c>
      <c r="I164" s="18">
        <f>IF(GETPIVOTDATA("Payout",'Tabela LL'!$A$3,"Ativo",Tabela3[[#This Row],[PAPEL]])&gt;1,1,GETPIVOTDATA("Payout",'Tabela LL'!$A$3,"Ativo",Tabela3[[#This Row],[PAPEL]]))</f>
        <v>1</v>
      </c>
      <c r="J164" s="5">
        <f>[Patrimônio Líquido]/[Total Ações]</f>
        <v>38.762437978406808</v>
      </c>
      <c r="K164" s="58">
        <f>MAX(Tabela3[[#This Row],[Cotação 1]],Tabela3[[#This Row],[Cotação 2]])</f>
        <v>46.9</v>
      </c>
      <c r="L164" s="59">
        <f>[Cotação]/[VPA]</f>
        <v>1.2099342158541819</v>
      </c>
      <c r="M164" s="40">
        <f>IF(Tabela3[[#This Row],[Lucro/Ação Ano]]&gt;0,Tabela3[[#This Row],[Cotação]]/Tabela3[[#This Row],[Lucro/Ação Ano]],0)</f>
        <v>15.93519510870637</v>
      </c>
      <c r="N164" s="7">
        <f>ROUND(Tabela3[[#This Row],[Lucro Prev]]/10%,2)</f>
        <v>29.43</v>
      </c>
      <c r="O164" s="51">
        <f>MIN(Tabela3[[#This Row],[10% Rent]],Tabela3[[#This Row],[VPA]]*2)</f>
        <v>29.43</v>
      </c>
      <c r="P164" s="18">
        <f>Tabela3[[#This Row],[P Compra]]/Tabela3[[#This Row],[Cotação]]-1</f>
        <v>-0.37249466950959487</v>
      </c>
      <c r="Q164" s="5">
        <f>Tabela3[[#This Row],[Lucro/Ação Ano]]*Tabela3[[#This Row],[Payout]]</f>
        <v>2.9431707412465671</v>
      </c>
      <c r="R164" s="16" t="str">
        <f>IF(AND([% Yield]&gt;=10%,[PVPA]&lt;=2,[PL]&lt;=15,[PL]&gt;0),"Sim","Não")</f>
        <v>Não</v>
      </c>
      <c r="S164" s="22">
        <f>Tabela3[[#This Row],[Lucro Prev]]/Tabela3[[#This Row],[Cotação]]</f>
        <v>6.2754173587346848E-2</v>
      </c>
      <c r="T164" s="22">
        <f>(1+Tabela3[[#This Row],[% Yield]])^(1/12)-1</f>
        <v>5.0848689050071449E-3</v>
      </c>
      <c r="U164" s="10">
        <f>($AA$1/Tabela3[[#This Row],[Cotação]]-MOD($AA$1/Tabela3[[#This Row],[Cotação]],100))</f>
        <v>0</v>
      </c>
      <c r="V164" s="7">
        <f>Tabela3[[#This Row],[Ativos]]*Tabela3[[#This Row],[Lucro Prev]]</f>
        <v>0</v>
      </c>
      <c r="W164" s="51">
        <f>SUMPRODUCT(N(Tabela1[Código]=Tabela3[[#This Row],[PAPEL]]),Tabela1[Fechamento])</f>
        <v>0</v>
      </c>
      <c r="X164" s="60">
        <f>SUMPRODUCT(N(Tabela17[Código]=Tabela3[[#This Row],[PAPEL]]),Tabela17[Fechamento])</f>
        <v>46.9</v>
      </c>
    </row>
  </sheetData>
  <hyperlinks>
    <hyperlink ref="B160" r:id="rId1"/>
    <hyperlink ref="B134" r:id="rId2"/>
    <hyperlink ref="B148" r:id="rId3"/>
    <hyperlink ref="B71" r:id="rId4"/>
    <hyperlink ref="B72" r:id="rId5"/>
    <hyperlink ref="B10" r:id="rId6"/>
    <hyperlink ref="B34" r:id="rId7"/>
    <hyperlink ref="B73" r:id="rId8"/>
    <hyperlink ref="B146" r:id="rId9"/>
    <hyperlink ref="B58" r:id="rId10"/>
    <hyperlink ref="B59" r:id="rId11"/>
    <hyperlink ref="B23" r:id="rId12"/>
    <hyperlink ref="B113" r:id="rId13"/>
    <hyperlink ref="B162" r:id="rId14"/>
    <hyperlink ref="B154" r:id="rId15"/>
    <hyperlink ref="B124" r:id="rId16"/>
    <hyperlink ref="B125" r:id="rId17"/>
    <hyperlink ref="B163" r:id="rId18"/>
    <hyperlink ref="B164" r:id="rId19"/>
    <hyperlink ref="B21" r:id="rId20"/>
    <hyperlink ref="B22" r:id="rId21"/>
    <hyperlink ref="B107" r:id="rId22"/>
    <hyperlink ref="B122" r:id="rId23"/>
    <hyperlink ref="B159" r:id="rId24"/>
    <hyperlink ref="B5" r:id="rId25"/>
    <hyperlink ref="B116" r:id="rId26"/>
    <hyperlink ref="B89" r:id="rId27"/>
    <hyperlink ref="B88" r:id="rId28"/>
    <hyperlink ref="B54" r:id="rId29"/>
    <hyperlink ref="B62" r:id="rId30"/>
    <hyperlink ref="B106" r:id="rId31"/>
    <hyperlink ref="B3" r:id="rId32"/>
    <hyperlink ref="B133" r:id="rId33"/>
    <hyperlink ref="B80" r:id="rId34"/>
    <hyperlink ref="B98" r:id="rId35"/>
    <hyperlink ref="B131" r:id="rId36"/>
    <hyperlink ref="B119" r:id="rId37"/>
    <hyperlink ref="B161" r:id="rId38"/>
    <hyperlink ref="B126" r:id="rId39"/>
    <hyperlink ref="B155" r:id="rId40"/>
    <hyperlink ref="B97" r:id="rId41"/>
    <hyperlink ref="B4" r:id="rId42"/>
    <hyperlink ref="B37" r:id="rId43"/>
    <hyperlink ref="B38" r:id="rId44"/>
    <hyperlink ref="B46" r:id="rId45"/>
    <hyperlink ref="B108" r:id="rId46"/>
    <hyperlink ref="B123" r:id="rId47"/>
    <hyperlink ref="B147" r:id="rId48"/>
    <hyperlink ref="B144" r:id="rId49"/>
    <hyperlink ref="B120" r:id="rId50"/>
    <hyperlink ref="B121" r:id="rId51"/>
    <hyperlink ref="B69" r:id="rId52"/>
    <hyperlink ref="B70" r:id="rId53"/>
    <hyperlink ref="B31" r:id="rId54"/>
    <hyperlink ref="B158" r:id="rId55"/>
    <hyperlink ref="B44" r:id="rId56"/>
    <hyperlink ref="B57" r:id="rId57"/>
    <hyperlink ref="B78" r:id="rId58"/>
    <hyperlink ref="B81" r:id="rId59"/>
  </hyperlinks>
  <pageMargins left="0.7" right="0.7" top="0.75" bottom="0.75" header="0.3" footer="0.3"/>
  <pageSetup paperSize="9" orientation="portrait" r:id="rId60"/>
  <tableParts count="1">
    <tablePart r:id="rId6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277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6" t="str">
        <f>IF(Tabela1[[#This Row],[Código]]="IBOV","^BVSP",IF(Tabela1[[#This Row],[Código]]="","",CONCATENATE(LEFT(Tabela1[[#This Row],[Código]],6),".SA")))</f>
        <v>ABCB4.SA</v>
      </c>
      <c r="C7" s="3" t="s">
        <v>110</v>
      </c>
      <c r="D7" s="3" t="s">
        <v>505</v>
      </c>
      <c r="E7" s="3" t="s">
        <v>548</v>
      </c>
      <c r="F7" s="3" t="s">
        <v>521</v>
      </c>
      <c r="G7" s="3" t="s">
        <v>702</v>
      </c>
      <c r="H7" s="20">
        <v>41654</v>
      </c>
      <c r="J7" s="3">
        <f>IF($A7="",0,VALUE(CONCATENATE(LEFT(D7,LEN(D7)-3),",",RIGHT(D7,2))))</f>
        <v>12.25</v>
      </c>
      <c r="K7" s="3">
        <f t="shared" ref="K7:M22" si="0">IF($A7="",0,VALUE(CONCATENATE(LEFT(E7,LEN(E7)-3),",",RIGHT(E7,2))))</f>
        <v>12.19</v>
      </c>
      <c r="L7" s="3">
        <f t="shared" si="0"/>
        <v>12.28</v>
      </c>
      <c r="M7" s="3">
        <f t="shared" si="0"/>
        <v>12.05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41654</v>
      </c>
      <c r="S7" s="5">
        <f t="shared" ref="S7:S38" si="3">J7</f>
        <v>12.25</v>
      </c>
      <c r="T7" s="5">
        <f t="shared" ref="T7:T38" si="4">K7</f>
        <v>12.19</v>
      </c>
      <c r="U7" s="5">
        <f t="shared" ref="U7:U38" si="5">L7</f>
        <v>12.28</v>
      </c>
      <c r="V7" s="5">
        <f t="shared" ref="V7:V38" si="6">M7</f>
        <v>12.05</v>
      </c>
    </row>
    <row r="8" spans="1:22">
      <c r="A8" s="36" t="str">
        <f>IF(Tabela1[[#This Row],[Código]]="IBOV","^BVSP",IF(Tabela1[[#This Row],[Código]]="","",CONCATENATE(LEFT(Tabela1[[#This Row],[Código]],6),".SA")))</f>
        <v>AELP3.SA</v>
      </c>
      <c r="C8" s="3" t="s">
        <v>111</v>
      </c>
      <c r="D8" s="3" t="s">
        <v>739</v>
      </c>
      <c r="E8" s="3" t="s">
        <v>740</v>
      </c>
      <c r="F8" s="3" t="s">
        <v>739</v>
      </c>
      <c r="G8" s="3" t="s">
        <v>740</v>
      </c>
      <c r="H8" s="20">
        <v>41654</v>
      </c>
      <c r="J8" s="3">
        <f t="shared" ref="J8:M71" si="7">IF($A8="",0,VALUE(CONCATENATE(LEFT(D8,LEN(D8)-3),",",RIGHT(D8,2))))</f>
        <v>8.34</v>
      </c>
      <c r="K8" s="3">
        <f t="shared" si="0"/>
        <v>8.3000000000000007</v>
      </c>
      <c r="L8" s="3">
        <f t="shared" si="0"/>
        <v>8.34</v>
      </c>
      <c r="M8" s="3">
        <f t="shared" si="0"/>
        <v>8.3000000000000007</v>
      </c>
      <c r="P8" s="14" t="s">
        <v>70</v>
      </c>
      <c r="Q8" s="10" t="str">
        <f t="shared" si="1"/>
        <v>AES ELPA    -ON</v>
      </c>
      <c r="R8" s="20">
        <f t="shared" si="2"/>
        <v>41654</v>
      </c>
      <c r="S8" s="5">
        <f t="shared" si="3"/>
        <v>8.34</v>
      </c>
      <c r="T8" s="5">
        <f t="shared" si="4"/>
        <v>8.3000000000000007</v>
      </c>
      <c r="U8" s="5">
        <f t="shared" si="5"/>
        <v>8.34</v>
      </c>
      <c r="V8" s="5">
        <f t="shared" si="6"/>
        <v>8.3000000000000007</v>
      </c>
    </row>
    <row r="9" spans="1:22">
      <c r="A9" s="36" t="str">
        <f>IF(Tabela1[[#This Row],[Código]]="IBOV","^BVSP",IF(Tabela1[[#This Row],[Código]]="","",CONCATENATE(LEFT(Tabela1[[#This Row],[Código]],6),".SA")))</f>
        <v>BAZA3.SA</v>
      </c>
      <c r="C9" s="3" t="s">
        <v>112</v>
      </c>
      <c r="D9" s="3" t="s">
        <v>492</v>
      </c>
      <c r="E9" s="3" t="s">
        <v>533</v>
      </c>
      <c r="F9" s="3" t="s">
        <v>533</v>
      </c>
      <c r="G9" s="3" t="s">
        <v>492</v>
      </c>
      <c r="H9" s="20">
        <v>41653</v>
      </c>
      <c r="J9" s="3">
        <f t="shared" si="7"/>
        <v>0.31</v>
      </c>
      <c r="K9" s="3">
        <f t="shared" si="0"/>
        <v>0.33</v>
      </c>
      <c r="L9" s="3">
        <f t="shared" si="0"/>
        <v>0.33</v>
      </c>
      <c r="M9" s="3">
        <f t="shared" si="0"/>
        <v>0.31</v>
      </c>
      <c r="P9" s="15" t="s">
        <v>64</v>
      </c>
      <c r="Q9" s="10" t="str">
        <f t="shared" si="1"/>
        <v>AMAZONIA    -ON</v>
      </c>
      <c r="R9" s="20">
        <f t="shared" si="2"/>
        <v>41653</v>
      </c>
      <c r="S9" s="5">
        <f t="shared" si="3"/>
        <v>0.31</v>
      </c>
      <c r="T9" s="5">
        <f t="shared" si="4"/>
        <v>0.33</v>
      </c>
      <c r="U9" s="5">
        <f t="shared" si="5"/>
        <v>0.33</v>
      </c>
      <c r="V9" s="5">
        <f t="shared" si="6"/>
        <v>0.31</v>
      </c>
    </row>
    <row r="10" spans="1:22">
      <c r="A10" s="36" t="str">
        <f>IF(Tabela1[[#This Row],[Código]]="IBOV","^BVSP",IF(Tabela1[[#This Row],[Código]]="","",CONCATENATE(LEFT(Tabela1[[#This Row],[Código]],6),".SA")))</f>
        <v>BBAS3.SA</v>
      </c>
      <c r="C10" s="3" t="s">
        <v>113</v>
      </c>
      <c r="D10" s="3" t="s">
        <v>550</v>
      </c>
      <c r="E10" s="3" t="s">
        <v>741</v>
      </c>
      <c r="F10" s="3" t="s">
        <v>551</v>
      </c>
      <c r="G10" s="3" t="s">
        <v>742</v>
      </c>
      <c r="H10" s="20">
        <v>41654</v>
      </c>
      <c r="J10" s="3">
        <f t="shared" si="7"/>
        <v>23.41</v>
      </c>
      <c r="K10" s="3">
        <f t="shared" si="0"/>
        <v>23.17</v>
      </c>
      <c r="L10" s="3">
        <f t="shared" si="0"/>
        <v>23.55</v>
      </c>
      <c r="M10" s="3">
        <f t="shared" si="0"/>
        <v>23.02</v>
      </c>
      <c r="P10" s="15" t="s">
        <v>24</v>
      </c>
      <c r="Q10" s="10" t="str">
        <f t="shared" si="1"/>
        <v xml:space="preserve">BRASIL      -ON  </v>
      </c>
      <c r="R10" s="20">
        <f t="shared" si="2"/>
        <v>41654</v>
      </c>
      <c r="S10" s="5">
        <f t="shared" si="3"/>
        <v>23.41</v>
      </c>
      <c r="T10" s="5">
        <f t="shared" si="4"/>
        <v>23.17</v>
      </c>
      <c r="U10" s="5">
        <f t="shared" si="5"/>
        <v>23.55</v>
      </c>
      <c r="V10" s="5">
        <f t="shared" si="6"/>
        <v>23.02</v>
      </c>
    </row>
    <row r="11" spans="1:22">
      <c r="A11" s="36" t="str">
        <f>IF(Tabela1[[#This Row],[Código]]="IBOV","^BVSP",IF(Tabela1[[#This Row],[Código]]="","",CONCATENATE(LEFT(Tabela1[[#This Row],[Código]],6),".SA")))</f>
        <v>BBDC3.SA</v>
      </c>
      <c r="C11" s="3" t="s">
        <v>224</v>
      </c>
      <c r="D11" s="3" t="s">
        <v>552</v>
      </c>
      <c r="E11" s="3" t="s">
        <v>743</v>
      </c>
      <c r="F11" s="3" t="s">
        <v>553</v>
      </c>
      <c r="G11" s="3" t="s">
        <v>554</v>
      </c>
      <c r="H11" s="20">
        <v>41654</v>
      </c>
      <c r="J11" s="3">
        <f t="shared" si="7"/>
        <v>30.07</v>
      </c>
      <c r="K11" s="3">
        <f t="shared" si="0"/>
        <v>30.03</v>
      </c>
      <c r="L11" s="3">
        <f t="shared" si="0"/>
        <v>30.28</v>
      </c>
      <c r="M11" s="3">
        <f t="shared" si="0"/>
        <v>29.81</v>
      </c>
      <c r="P11" s="14" t="s">
        <v>222</v>
      </c>
      <c r="Q11" s="10" t="str">
        <f t="shared" si="1"/>
        <v xml:space="preserve">BRADESCO    -ON  </v>
      </c>
      <c r="R11" s="20">
        <f t="shared" si="2"/>
        <v>41654</v>
      </c>
      <c r="S11" s="5">
        <f t="shared" si="3"/>
        <v>30.07</v>
      </c>
      <c r="T11" s="5">
        <f t="shared" si="4"/>
        <v>30.03</v>
      </c>
      <c r="U11" s="5">
        <f t="shared" si="5"/>
        <v>30.28</v>
      </c>
      <c r="V11" s="5">
        <f t="shared" si="6"/>
        <v>29.81</v>
      </c>
    </row>
    <row r="12" spans="1:22">
      <c r="A12" s="36" t="str">
        <f>IF(Tabela1[[#This Row],[Código]]="IBOV","^BVSP",IF(Tabela1[[#This Row],[Código]]="","",CONCATENATE(LEFT(Tabela1[[#This Row],[Código]],6),".SA")))</f>
        <v>BBDC4.SA</v>
      </c>
      <c r="C12" s="3" t="s">
        <v>225</v>
      </c>
      <c r="D12" s="3" t="s">
        <v>540</v>
      </c>
      <c r="E12" s="3" t="s">
        <v>744</v>
      </c>
      <c r="F12" s="3" t="s">
        <v>745</v>
      </c>
      <c r="G12" s="3" t="s">
        <v>555</v>
      </c>
      <c r="H12" s="20">
        <v>41654</v>
      </c>
      <c r="J12" s="3">
        <f t="shared" si="7"/>
        <v>27.8</v>
      </c>
      <c r="K12" s="3">
        <f t="shared" si="0"/>
        <v>27.83</v>
      </c>
      <c r="L12" s="3">
        <f t="shared" si="0"/>
        <v>27.99</v>
      </c>
      <c r="M12" s="3">
        <f t="shared" si="0"/>
        <v>27.64</v>
      </c>
      <c r="P12" s="14" t="s">
        <v>223</v>
      </c>
      <c r="Q12" s="10" t="str">
        <f t="shared" si="1"/>
        <v xml:space="preserve">BRADESCO    -PN  </v>
      </c>
      <c r="R12" s="57">
        <f t="shared" si="2"/>
        <v>41654</v>
      </c>
      <c r="S12" s="5">
        <f t="shared" si="3"/>
        <v>27.8</v>
      </c>
      <c r="T12" s="5">
        <f t="shared" si="4"/>
        <v>27.83</v>
      </c>
      <c r="U12" s="5">
        <f t="shared" si="5"/>
        <v>27.99</v>
      </c>
      <c r="V12" s="5">
        <f t="shared" si="6"/>
        <v>27.64</v>
      </c>
    </row>
    <row r="13" spans="1:22">
      <c r="A13" s="36" t="str">
        <f>IF(Tabela1[[#This Row],[Código]]="IBOV","^BVSP",IF(Tabela1[[#This Row],[Código]]="","",CONCATENATE(LEFT(Tabela1[[#This Row],[Código]],6),".SA")))</f>
        <v>BEES3.SA</v>
      </c>
      <c r="C13" s="3" t="s">
        <v>399</v>
      </c>
      <c r="D13" s="3" t="s">
        <v>452</v>
      </c>
      <c r="E13" s="3" t="s">
        <v>479</v>
      </c>
      <c r="F13" s="3" t="s">
        <v>479</v>
      </c>
      <c r="G13" s="3" t="s">
        <v>452</v>
      </c>
      <c r="H13" s="20">
        <v>41654</v>
      </c>
      <c r="J13" s="3">
        <f t="shared" si="7"/>
        <v>0.46</v>
      </c>
      <c r="K13" s="3">
        <f t="shared" si="0"/>
        <v>0.47</v>
      </c>
      <c r="L13" s="3">
        <f t="shared" si="0"/>
        <v>0.47</v>
      </c>
      <c r="M13" s="3">
        <f t="shared" si="0"/>
        <v>0.46</v>
      </c>
      <c r="P13" s="15" t="s">
        <v>60</v>
      </c>
      <c r="Q13" s="10" t="str">
        <f t="shared" si="1"/>
        <v xml:space="preserve">BANESTES    -ON  </v>
      </c>
      <c r="R13" s="57">
        <f t="shared" si="2"/>
        <v>41654</v>
      </c>
      <c r="S13" s="5">
        <f t="shared" si="3"/>
        <v>0.46</v>
      </c>
      <c r="T13" s="5">
        <f t="shared" si="4"/>
        <v>0.47</v>
      </c>
      <c r="U13" s="5">
        <f t="shared" si="5"/>
        <v>0.47</v>
      </c>
      <c r="V13" s="5">
        <f t="shared" si="6"/>
        <v>0.46</v>
      </c>
    </row>
    <row r="14" spans="1:22">
      <c r="A14" s="36" t="str">
        <f>IF(Tabela1[[#This Row],[Código]]="IBOV","^BVSP",IF(Tabela1[[#This Row],[Código]]="","",CONCATENATE(LEFT(Tabela1[[#This Row],[Código]],6),".SA")))</f>
        <v>BEES4.SA</v>
      </c>
      <c r="C14" s="3" t="s">
        <v>400</v>
      </c>
      <c r="D14" s="3" t="s">
        <v>452</v>
      </c>
      <c r="E14" s="3" t="s">
        <v>452</v>
      </c>
      <c r="F14" s="3" t="s">
        <v>452</v>
      </c>
      <c r="G14" s="3" t="s">
        <v>452</v>
      </c>
      <c r="H14" s="20">
        <v>41653</v>
      </c>
      <c r="J14" s="3">
        <f t="shared" si="7"/>
        <v>0.46</v>
      </c>
      <c r="K14" s="3">
        <f t="shared" si="0"/>
        <v>0.46</v>
      </c>
      <c r="L14" s="3">
        <f t="shared" si="0"/>
        <v>0.46</v>
      </c>
      <c r="M14" s="3">
        <f t="shared" si="0"/>
        <v>0.46</v>
      </c>
      <c r="P14" s="15" t="s">
        <v>61</v>
      </c>
      <c r="Q14" s="10" t="str">
        <f t="shared" si="1"/>
        <v xml:space="preserve">BANESTES    -PN  </v>
      </c>
      <c r="R14" s="20">
        <f t="shared" si="2"/>
        <v>41653</v>
      </c>
      <c r="S14" s="5">
        <f t="shared" si="3"/>
        <v>0.46</v>
      </c>
      <c r="T14" s="5">
        <f t="shared" si="4"/>
        <v>0.46</v>
      </c>
      <c r="U14" s="5">
        <f t="shared" si="5"/>
        <v>0.46</v>
      </c>
      <c r="V14" s="5">
        <f t="shared" si="6"/>
        <v>0.46</v>
      </c>
    </row>
    <row r="15" spans="1:22">
      <c r="A15" s="36" t="str">
        <f>IF(Tabela1[[#This Row],[Código]]="IBOV","^BVSP",IF(Tabela1[[#This Row],[Código]]="","",CONCATENATE(LEFT(Tabela1[[#This Row],[Código]],6),".SA")))</f>
        <v>BGIP3.SA</v>
      </c>
      <c r="C15" s="3" t="s">
        <v>493</v>
      </c>
      <c r="D15" s="3" t="s">
        <v>480</v>
      </c>
      <c r="E15" s="3" t="s">
        <v>482</v>
      </c>
      <c r="F15" s="3" t="s">
        <v>482</v>
      </c>
      <c r="G15" s="3" t="s">
        <v>480</v>
      </c>
      <c r="H15" s="20">
        <v>41648</v>
      </c>
      <c r="J15" s="3">
        <f t="shared" si="7"/>
        <v>43.24</v>
      </c>
      <c r="K15" s="3">
        <f t="shared" si="0"/>
        <v>43.25</v>
      </c>
      <c r="L15" s="3">
        <f t="shared" si="0"/>
        <v>43.25</v>
      </c>
      <c r="M15" s="3">
        <f t="shared" si="0"/>
        <v>43.24</v>
      </c>
      <c r="P15" s="10" t="s">
        <v>227</v>
      </c>
      <c r="Q15" s="10" t="str">
        <f t="shared" si="1"/>
        <v>BANESE      -ON</v>
      </c>
      <c r="R15" s="57">
        <f t="shared" si="2"/>
        <v>41648</v>
      </c>
      <c r="S15" s="5">
        <f t="shared" si="3"/>
        <v>43.24</v>
      </c>
      <c r="T15" s="5">
        <f t="shared" si="4"/>
        <v>43.25</v>
      </c>
      <c r="U15" s="5">
        <f t="shared" si="5"/>
        <v>43.25</v>
      </c>
      <c r="V15" s="5">
        <f t="shared" si="6"/>
        <v>43.24</v>
      </c>
    </row>
    <row r="16" spans="1:22">
      <c r="A16" s="36" t="str">
        <f>IF(Tabela1[[#This Row],[Código]]="IBOV","^BVSP",IF(Tabela1[[#This Row],[Código]]="","",CONCATENATE(LEFT(Tabela1[[#This Row],[Código]],6),".SA")))</f>
        <v>BGIP4.SA</v>
      </c>
      <c r="C16" s="3" t="s">
        <v>494</v>
      </c>
      <c r="D16" s="3" t="s">
        <v>556</v>
      </c>
      <c r="E16" s="3" t="s">
        <v>703</v>
      </c>
      <c r="F16" s="3" t="s">
        <v>556</v>
      </c>
      <c r="G16" s="3" t="s">
        <v>703</v>
      </c>
      <c r="H16" s="20">
        <v>41654</v>
      </c>
      <c r="J16" s="3">
        <f t="shared" si="7"/>
        <v>45.05</v>
      </c>
      <c r="K16" s="3">
        <f t="shared" si="0"/>
        <v>45</v>
      </c>
      <c r="L16" s="3">
        <f t="shared" si="0"/>
        <v>45.05</v>
      </c>
      <c r="M16" s="3">
        <f t="shared" si="0"/>
        <v>45</v>
      </c>
      <c r="P16" s="15" t="s">
        <v>228</v>
      </c>
      <c r="Q16" s="10" t="str">
        <f t="shared" si="1"/>
        <v>BANESE      -PN</v>
      </c>
      <c r="R16" s="57">
        <f t="shared" si="2"/>
        <v>41654</v>
      </c>
      <c r="S16" s="5">
        <f t="shared" si="3"/>
        <v>45.05</v>
      </c>
      <c r="T16" s="5">
        <f t="shared" si="4"/>
        <v>45</v>
      </c>
      <c r="U16" s="5">
        <f t="shared" si="5"/>
        <v>45.05</v>
      </c>
      <c r="V16" s="5">
        <f t="shared" si="6"/>
        <v>45</v>
      </c>
    </row>
    <row r="17" spans="1:22">
      <c r="A17" s="36" t="str">
        <f>IF(Tabela1[[#This Row],[Código]]="IBOV","^BVSP",IF(Tabela1[[#This Row],[Código]]="","",CONCATENATE(LEFT(Tabela1[[#This Row],[Código]],6),".SA")))</f>
        <v>BICB3.SA</v>
      </c>
      <c r="C17" s="3" t="s">
        <v>235</v>
      </c>
      <c r="D17" s="3" t="s">
        <v>236</v>
      </c>
      <c r="E17" s="3" t="s">
        <v>237</v>
      </c>
      <c r="F17" s="3" t="s">
        <v>236</v>
      </c>
      <c r="G17" s="3" t="s">
        <v>237</v>
      </c>
      <c r="H17" s="20">
        <v>41631</v>
      </c>
      <c r="J17" s="3">
        <f t="shared" si="7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234</v>
      </c>
      <c r="Q17" s="10" t="str">
        <f t="shared" si="1"/>
        <v xml:space="preserve">BICBANCO    -ON  </v>
      </c>
      <c r="R17" s="57">
        <f t="shared" si="2"/>
        <v>41631</v>
      </c>
      <c r="S17" s="5">
        <f t="shared" si="3"/>
        <v>9.69</v>
      </c>
      <c r="T17" s="5">
        <f t="shared" si="4"/>
        <v>9.65</v>
      </c>
      <c r="U17" s="5">
        <f t="shared" si="5"/>
        <v>9.69</v>
      </c>
      <c r="V17" s="5">
        <f t="shared" si="6"/>
        <v>9.65</v>
      </c>
    </row>
    <row r="18" spans="1:22">
      <c r="A18" s="36" t="str">
        <f>IF(Tabela1[[#This Row],[Código]]="IBOV","^BVSP",IF(Tabela1[[#This Row],[Código]]="","",CONCATENATE(LEFT(Tabela1[[#This Row],[Código]],6),".SA")))</f>
        <v>BICB4.SA</v>
      </c>
      <c r="C18" s="3" t="s">
        <v>115</v>
      </c>
      <c r="D18" s="3" t="s">
        <v>535</v>
      </c>
      <c r="E18" s="3" t="s">
        <v>534</v>
      </c>
      <c r="F18" s="3" t="s">
        <v>746</v>
      </c>
      <c r="G18" s="3" t="s">
        <v>534</v>
      </c>
      <c r="H18" s="20">
        <v>41654</v>
      </c>
      <c r="J18" s="3">
        <f t="shared" si="7"/>
        <v>7.41</v>
      </c>
      <c r="K18" s="3">
        <f t="shared" si="0"/>
        <v>7.4</v>
      </c>
      <c r="L18" s="3">
        <f t="shared" si="0"/>
        <v>7.45</v>
      </c>
      <c r="M18" s="3">
        <f t="shared" si="0"/>
        <v>7.4</v>
      </c>
      <c r="P18" s="14" t="s">
        <v>10</v>
      </c>
      <c r="Q18" s="10" t="str">
        <f t="shared" si="1"/>
        <v xml:space="preserve">BICBANCO    -PN  </v>
      </c>
      <c r="R18" s="57">
        <f t="shared" si="2"/>
        <v>41654</v>
      </c>
      <c r="S18" s="5">
        <f t="shared" si="3"/>
        <v>7.41</v>
      </c>
      <c r="T18" s="5">
        <f t="shared" si="4"/>
        <v>7.4</v>
      </c>
      <c r="U18" s="5">
        <f t="shared" si="5"/>
        <v>7.45</v>
      </c>
      <c r="V18" s="5">
        <f t="shared" si="6"/>
        <v>7.4</v>
      </c>
    </row>
    <row r="19" spans="1:22">
      <c r="A19" s="36" t="str">
        <f>IF(Tabela1[[#This Row],[Código]]="IBOV","^BVSP",IF(Tabela1[[#This Row],[Código]]="","",CONCATENATE(LEFT(Tabela1[[#This Row],[Código]],6),".SA")))</f>
        <v>BMIN3.SA</v>
      </c>
      <c r="C19" s="3" t="s">
        <v>239</v>
      </c>
      <c r="D19" s="3" t="s">
        <v>175</v>
      </c>
      <c r="E19" s="3" t="s">
        <v>175</v>
      </c>
      <c r="F19" s="3" t="s">
        <v>175</v>
      </c>
      <c r="G19" s="3" t="s">
        <v>175</v>
      </c>
      <c r="H19" s="20">
        <v>41638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238</v>
      </c>
      <c r="Q19" s="10" t="str">
        <f t="shared" si="1"/>
        <v>MERC INVEST -ON</v>
      </c>
      <c r="R19" s="57">
        <f t="shared" si="2"/>
        <v>41638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>
      <c r="A20" s="36" t="str">
        <f>IF(Tabela1[[#This Row],[Código]]="IBOV","^BVSP",IF(Tabela1[[#This Row],[Código]]="","",CONCATENATE(LEFT(Tabela1[[#This Row],[Código]],6),".SA")))</f>
        <v>BMIN4.SA</v>
      </c>
      <c r="C20" s="3" t="s">
        <v>116</v>
      </c>
      <c r="D20" s="3" t="s">
        <v>117</v>
      </c>
      <c r="E20" s="3" t="s">
        <v>117</v>
      </c>
      <c r="F20" s="3" t="s">
        <v>117</v>
      </c>
      <c r="G20" s="3" t="s">
        <v>117</v>
      </c>
      <c r="H20" s="20">
        <v>41654</v>
      </c>
      <c r="J20" s="3">
        <f t="shared" si="7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63</v>
      </c>
      <c r="Q20" s="10" t="str">
        <f t="shared" si="1"/>
        <v>MERC INVEST -PN</v>
      </c>
      <c r="R20" s="20">
        <f t="shared" si="2"/>
        <v>41654</v>
      </c>
      <c r="S20" s="5">
        <f t="shared" si="3"/>
        <v>0.26</v>
      </c>
      <c r="T20" s="5">
        <f t="shared" si="4"/>
        <v>0.26</v>
      </c>
      <c r="U20" s="5">
        <f t="shared" si="5"/>
        <v>0.26</v>
      </c>
      <c r="V20" s="5">
        <f t="shared" si="6"/>
        <v>0.26</v>
      </c>
    </row>
    <row r="21" spans="1:22">
      <c r="A21" s="36" t="str">
        <f>IF(Tabela1[[#This Row],[Código]]="IBOV","^BVSP",IF(Tabela1[[#This Row],[Código]]="","",CONCATENATE(LEFT(Tabela1[[#This Row],[Código]],6),".SA")))</f>
        <v>BNBR3.SA</v>
      </c>
      <c r="C21" s="3" t="s">
        <v>242</v>
      </c>
      <c r="D21" s="3" t="s">
        <v>226</v>
      </c>
      <c r="E21" s="3" t="s">
        <v>226</v>
      </c>
      <c r="F21" s="3" t="s">
        <v>226</v>
      </c>
      <c r="G21" s="3" t="s">
        <v>226</v>
      </c>
      <c r="H21" s="20">
        <v>41624</v>
      </c>
      <c r="J21" s="3">
        <f t="shared" si="7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5" t="s">
        <v>240</v>
      </c>
      <c r="Q21" s="10" t="str">
        <f t="shared" si="1"/>
        <v>NORD BRASIL -ON</v>
      </c>
      <c r="R21" s="57">
        <f t="shared" si="2"/>
        <v>41624</v>
      </c>
      <c r="S21" s="5">
        <f t="shared" si="3"/>
        <v>28.74</v>
      </c>
      <c r="T21" s="5">
        <f t="shared" si="4"/>
        <v>28.74</v>
      </c>
      <c r="U21" s="5">
        <f t="shared" si="5"/>
        <v>28.74</v>
      </c>
      <c r="V21" s="5">
        <f t="shared" si="6"/>
        <v>28.74</v>
      </c>
    </row>
    <row r="22" spans="1:22">
      <c r="A22" s="36" t="str">
        <f>IF(Tabela1[[#This Row],[Código]]="IBOV","^BVSP",IF(Tabela1[[#This Row],[Código]]="","",CONCATENATE(LEFT(Tabela1[[#This Row],[Código]],6),".SA")))</f>
        <v>BNBR4.SA</v>
      </c>
      <c r="C22" s="3" t="s">
        <v>243</v>
      </c>
      <c r="D22" s="3" t="s">
        <v>485</v>
      </c>
      <c r="E22" s="3" t="s">
        <v>485</v>
      </c>
      <c r="F22" s="3" t="s">
        <v>485</v>
      </c>
      <c r="G22" s="3" t="s">
        <v>485</v>
      </c>
      <c r="H22" s="20">
        <v>41648</v>
      </c>
      <c r="J22" s="3">
        <f t="shared" si="7"/>
        <v>23.54</v>
      </c>
      <c r="K22" s="3">
        <f t="shared" si="0"/>
        <v>23.54</v>
      </c>
      <c r="L22" s="3">
        <f t="shared" si="0"/>
        <v>23.54</v>
      </c>
      <c r="M22" s="3">
        <f t="shared" si="0"/>
        <v>23.54</v>
      </c>
      <c r="P22" s="14" t="s">
        <v>241</v>
      </c>
      <c r="Q22" s="10" t="str">
        <f t="shared" si="1"/>
        <v>NORD BRASIL -PN</v>
      </c>
      <c r="R22" s="57">
        <f t="shared" si="2"/>
        <v>41648</v>
      </c>
      <c r="S22" s="5">
        <f t="shared" si="3"/>
        <v>23.54</v>
      </c>
      <c r="T22" s="5">
        <f t="shared" si="4"/>
        <v>23.54</v>
      </c>
      <c r="U22" s="5">
        <f t="shared" si="5"/>
        <v>23.54</v>
      </c>
      <c r="V22" s="5">
        <f t="shared" si="6"/>
        <v>23.54</v>
      </c>
    </row>
    <row r="23" spans="1:22">
      <c r="A23" s="36" t="str">
        <f>IF(Tabela1[[#This Row],[Código]]="IBOV","^BVSP",IF(Tabela1[[#This Row],[Código]]="","",CONCATENATE(LEFT(Tabela1[[#This Row],[Código]],6),".SA")))</f>
        <v>BRGE11.SA</v>
      </c>
      <c r="C23" s="3" t="s">
        <v>262</v>
      </c>
      <c r="D23" s="3" t="s">
        <v>177</v>
      </c>
      <c r="E23" s="3" t="s">
        <v>177</v>
      </c>
      <c r="F23" s="3" t="s">
        <v>177</v>
      </c>
      <c r="G23" s="3" t="s">
        <v>177</v>
      </c>
      <c r="H23" s="20">
        <v>41624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7" t="s">
        <v>253</v>
      </c>
      <c r="Q23" s="10" t="str">
        <f t="shared" si="1"/>
        <v>ALFA CONSORC-PNE</v>
      </c>
      <c r="R23" s="57">
        <f t="shared" si="2"/>
        <v>41624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>
      <c r="A24" s="36" t="str">
        <f>IF(Tabela1[[#This Row],[Código]]="IBOV","^BVSP",IF(Tabela1[[#This Row],[Código]]="","",CONCATENATE(LEFT(Tabela1[[#This Row],[Código]],6),".SA")))</f>
        <v>BRGE12.SA</v>
      </c>
      <c r="C24" s="3" t="s">
        <v>263</v>
      </c>
      <c r="D24" s="3" t="s">
        <v>211</v>
      </c>
      <c r="E24" s="3" t="s">
        <v>211</v>
      </c>
      <c r="F24" s="3" t="s">
        <v>211</v>
      </c>
      <c r="G24" s="3" t="s">
        <v>211</v>
      </c>
      <c r="H24" s="20">
        <v>41642</v>
      </c>
      <c r="J24" s="3">
        <f t="shared" si="7"/>
        <v>4</v>
      </c>
      <c r="K24" s="3">
        <f t="shared" si="7"/>
        <v>4</v>
      </c>
      <c r="L24" s="3">
        <f t="shared" si="7"/>
        <v>4</v>
      </c>
      <c r="M24" s="3">
        <f t="shared" si="7"/>
        <v>4</v>
      </c>
      <c r="P24" s="10" t="s">
        <v>254</v>
      </c>
      <c r="Q24" s="10" t="str">
        <f t="shared" si="1"/>
        <v>ALFA CONSORC-PNF</v>
      </c>
      <c r="R24" s="57">
        <f t="shared" si="2"/>
        <v>41642</v>
      </c>
      <c r="S24" s="5">
        <f t="shared" si="3"/>
        <v>4</v>
      </c>
      <c r="T24" s="5">
        <f t="shared" si="4"/>
        <v>4</v>
      </c>
      <c r="U24" s="5">
        <f t="shared" si="5"/>
        <v>4</v>
      </c>
      <c r="V24" s="5">
        <f t="shared" si="6"/>
        <v>4</v>
      </c>
    </row>
    <row r="25" spans="1:22">
      <c r="A25" s="36" t="str">
        <f>IF(Tabela1[[#This Row],[Código]]="IBOV","^BVSP",IF(Tabela1[[#This Row],[Código]]="","",CONCATENATE(LEFT(Tabela1[[#This Row],[Código]],6),".SA")))</f>
        <v>BRGE3.SA</v>
      </c>
      <c r="C25" s="3" t="s">
        <v>255</v>
      </c>
      <c r="D25" s="3" t="s">
        <v>256</v>
      </c>
      <c r="E25" s="3" t="s">
        <v>256</v>
      </c>
      <c r="F25" s="3" t="s">
        <v>256</v>
      </c>
      <c r="G25" s="3" t="s">
        <v>256</v>
      </c>
      <c r="H25" s="20">
        <v>41583</v>
      </c>
      <c r="J25" s="3">
        <f t="shared" si="7"/>
        <v>4.2</v>
      </c>
      <c r="K25" s="3">
        <f t="shared" si="7"/>
        <v>4.2</v>
      </c>
      <c r="L25" s="3">
        <f t="shared" si="7"/>
        <v>4.2</v>
      </c>
      <c r="M25" s="3">
        <f t="shared" si="7"/>
        <v>4.2</v>
      </c>
      <c r="P25" s="15" t="s">
        <v>249</v>
      </c>
      <c r="Q25" s="10" t="str">
        <f t="shared" si="1"/>
        <v>ALFA CONSORC-ON</v>
      </c>
      <c r="R25" s="20">
        <f t="shared" si="2"/>
        <v>41583</v>
      </c>
      <c r="S25" s="5">
        <f t="shared" si="3"/>
        <v>4.2</v>
      </c>
      <c r="T25" s="5">
        <f t="shared" si="4"/>
        <v>4.2</v>
      </c>
      <c r="U25" s="5">
        <f t="shared" si="5"/>
        <v>4.2</v>
      </c>
      <c r="V25" s="5">
        <f t="shared" si="6"/>
        <v>4.2</v>
      </c>
    </row>
    <row r="26" spans="1:22">
      <c r="A26" s="36" t="str">
        <f>IF(Tabela1[[#This Row],[Código]]="IBOV","^BVSP",IF(Tabela1[[#This Row],[Código]]="","",CONCATENATE(LEFT(Tabela1[[#This Row],[Código]],6),".SA")))</f>
        <v>BRGE5.SA</v>
      </c>
      <c r="C26" s="3" t="s">
        <v>257</v>
      </c>
      <c r="D26" s="3" t="s">
        <v>258</v>
      </c>
      <c r="E26" s="3" t="s">
        <v>258</v>
      </c>
      <c r="F26" s="3" t="s">
        <v>258</v>
      </c>
      <c r="G26" s="3" t="s">
        <v>258</v>
      </c>
      <c r="H26" s="20">
        <v>41522</v>
      </c>
      <c r="J26" s="3">
        <f t="shared" si="7"/>
        <v>3.27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250</v>
      </c>
      <c r="Q26" s="10" t="str">
        <f t="shared" si="1"/>
        <v>ALFA CONSORC-PNA</v>
      </c>
      <c r="R26" s="20">
        <f t="shared" si="2"/>
        <v>41522</v>
      </c>
      <c r="S26" s="5">
        <f t="shared" si="3"/>
        <v>3.27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6" t="str">
        <f>IF(Tabela1[[#This Row],[Código]]="IBOV","^BVSP",IF(Tabela1[[#This Row],[Código]]="","",CONCATENATE(LEFT(Tabela1[[#This Row],[Código]],6),".SA")))</f>
        <v>BRGE6.SA</v>
      </c>
      <c r="C27" s="3" t="s">
        <v>118</v>
      </c>
      <c r="D27" s="3" t="s">
        <v>483</v>
      </c>
      <c r="E27" s="3" t="s">
        <v>483</v>
      </c>
      <c r="F27" s="3" t="s">
        <v>483</v>
      </c>
      <c r="G27" s="3" t="s">
        <v>483</v>
      </c>
      <c r="H27" s="20">
        <v>41648</v>
      </c>
      <c r="J27" s="3">
        <f t="shared" si="7"/>
        <v>5.97</v>
      </c>
      <c r="K27" s="3">
        <f t="shared" si="7"/>
        <v>5.97</v>
      </c>
      <c r="L27" s="3">
        <f t="shared" si="7"/>
        <v>5.97</v>
      </c>
      <c r="M27" s="3">
        <f t="shared" si="7"/>
        <v>5.97</v>
      </c>
      <c r="P27" s="15" t="s">
        <v>81</v>
      </c>
      <c r="Q27" s="10" t="str">
        <f t="shared" si="1"/>
        <v>ALFA CONSORC-PNB</v>
      </c>
      <c r="R27" s="20">
        <f t="shared" si="2"/>
        <v>41648</v>
      </c>
      <c r="S27" s="5">
        <f t="shared" si="3"/>
        <v>5.97</v>
      </c>
      <c r="T27" s="5">
        <f t="shared" si="4"/>
        <v>5.97</v>
      </c>
      <c r="U27" s="5">
        <f t="shared" si="5"/>
        <v>5.97</v>
      </c>
      <c r="V27" s="5">
        <f t="shared" si="6"/>
        <v>5.97</v>
      </c>
    </row>
    <row r="28" spans="1:22">
      <c r="A28" s="36" t="str">
        <f>IF(Tabela1[[#This Row],[Código]]="IBOV","^BVSP",IF(Tabela1[[#This Row],[Código]]="","",CONCATENATE(LEFT(Tabela1[[#This Row],[Código]],6),".SA")))</f>
        <v>BRGE7.SA</v>
      </c>
      <c r="C28" s="3" t="s">
        <v>259</v>
      </c>
      <c r="D28" s="3" t="s">
        <v>260</v>
      </c>
      <c r="E28" s="3" t="s">
        <v>260</v>
      </c>
      <c r="F28" s="3" t="s">
        <v>260</v>
      </c>
      <c r="G28" s="3" t="s">
        <v>260</v>
      </c>
      <c r="H28" s="20">
        <v>41451</v>
      </c>
      <c r="J28" s="3">
        <f t="shared" si="7"/>
        <v>3.6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7" t="s">
        <v>251</v>
      </c>
      <c r="Q28" s="10" t="str">
        <f t="shared" si="1"/>
        <v>ALFA CONSORC-PNC</v>
      </c>
      <c r="R28" s="20">
        <f t="shared" si="2"/>
        <v>41451</v>
      </c>
      <c r="S28" s="5">
        <f t="shared" si="3"/>
        <v>3.6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6" t="str">
        <f>IF(Tabela1[[#This Row],[Código]]="IBOV","^BVSP",IF(Tabela1[[#This Row],[Código]]="","",CONCATENATE(LEFT(Tabela1[[#This Row],[Código]],6),".SA")))</f>
        <v>BRGE8.SA</v>
      </c>
      <c r="C29" s="3" t="s">
        <v>261</v>
      </c>
      <c r="D29" s="3" t="s">
        <v>486</v>
      </c>
      <c r="E29" s="3" t="s">
        <v>486</v>
      </c>
      <c r="F29" s="3" t="s">
        <v>486</v>
      </c>
      <c r="G29" s="3" t="s">
        <v>486</v>
      </c>
      <c r="H29" s="20">
        <v>41648</v>
      </c>
      <c r="J29" s="3">
        <f>IF($A29="",0,VALUE(CONCATENATE(LEFT(D29,LEN(D29)-3),",",RIGHT(D29,2))))</f>
        <v>3.81</v>
      </c>
      <c r="K29" s="3">
        <f t="shared" si="7"/>
        <v>3.81</v>
      </c>
      <c r="L29" s="3">
        <f t="shared" si="7"/>
        <v>3.81</v>
      </c>
      <c r="M29" s="3">
        <f t="shared" si="7"/>
        <v>3.81</v>
      </c>
      <c r="P29" s="15" t="s">
        <v>252</v>
      </c>
      <c r="Q29" s="10" t="str">
        <f t="shared" si="1"/>
        <v>ALFA CONSORC-PND</v>
      </c>
      <c r="R29" s="20">
        <f t="shared" si="2"/>
        <v>41648</v>
      </c>
      <c r="S29" s="5">
        <f t="shared" si="3"/>
        <v>3.81</v>
      </c>
      <c r="T29" s="5">
        <f t="shared" si="4"/>
        <v>3.81</v>
      </c>
      <c r="U29" s="5">
        <f t="shared" si="5"/>
        <v>3.81</v>
      </c>
      <c r="V29" s="5">
        <f t="shared" si="6"/>
        <v>3.81</v>
      </c>
    </row>
    <row r="30" spans="1:22">
      <c r="A30" s="36" t="str">
        <f>IF(Tabela1[[#This Row],[Código]]="IBOV","^BVSP",IF(Tabela1[[#This Row],[Código]]="","",CONCATENATE(LEFT(Tabela1[[#This Row],[Código]],6),".SA")))</f>
        <v>BRIV3.SA</v>
      </c>
      <c r="C30" s="3" t="s">
        <v>220</v>
      </c>
      <c r="D30" s="3" t="s">
        <v>362</v>
      </c>
      <c r="E30" s="3" t="s">
        <v>362</v>
      </c>
      <c r="F30" s="3" t="s">
        <v>362</v>
      </c>
      <c r="G30" s="3" t="s">
        <v>362</v>
      </c>
      <c r="H30" s="20">
        <v>41654</v>
      </c>
      <c r="J30" s="3">
        <f t="shared" si="7"/>
        <v>6.61</v>
      </c>
      <c r="K30" s="3">
        <f t="shared" si="7"/>
        <v>6.61</v>
      </c>
      <c r="L30" s="3">
        <f t="shared" si="7"/>
        <v>6.61</v>
      </c>
      <c r="M30" s="3">
        <f t="shared" si="7"/>
        <v>6.61</v>
      </c>
      <c r="P30" s="14" t="s">
        <v>218</v>
      </c>
      <c r="Q30" s="10" t="str">
        <f t="shared" si="1"/>
        <v>ALFA INVEST -ON</v>
      </c>
      <c r="R30" s="20">
        <f t="shared" si="2"/>
        <v>41654</v>
      </c>
      <c r="S30" s="5">
        <f t="shared" si="3"/>
        <v>6.61</v>
      </c>
      <c r="T30" s="5">
        <f t="shared" si="4"/>
        <v>6.61</v>
      </c>
      <c r="U30" s="5">
        <f t="shared" si="5"/>
        <v>6.61</v>
      </c>
      <c r="V30" s="5">
        <f t="shared" si="6"/>
        <v>6.61</v>
      </c>
    </row>
    <row r="31" spans="1:22">
      <c r="A31" s="36" t="str">
        <f>IF(Tabela1[[#This Row],[Código]]="IBOV","^BVSP",IF(Tabela1[[#This Row],[Código]]="","",CONCATENATE(LEFT(Tabela1[[#This Row],[Código]],6),".SA")))</f>
        <v>BRIV4.SA</v>
      </c>
      <c r="C31" s="3" t="s">
        <v>221</v>
      </c>
      <c r="D31" s="3" t="s">
        <v>557</v>
      </c>
      <c r="E31" s="3" t="s">
        <v>487</v>
      </c>
      <c r="F31" s="3" t="s">
        <v>487</v>
      </c>
      <c r="G31" s="3" t="s">
        <v>557</v>
      </c>
      <c r="H31" s="20">
        <v>41654</v>
      </c>
      <c r="J31" s="3">
        <f t="shared" si="7"/>
        <v>5.5</v>
      </c>
      <c r="K31" s="3">
        <f t="shared" si="7"/>
        <v>5.64</v>
      </c>
      <c r="L31" s="3">
        <f t="shared" si="7"/>
        <v>5.64</v>
      </c>
      <c r="M31" s="3">
        <f t="shared" si="7"/>
        <v>5.5</v>
      </c>
      <c r="P31" s="10" t="s">
        <v>219</v>
      </c>
      <c r="Q31" s="10" t="str">
        <f t="shared" si="1"/>
        <v>ALFA INVEST -PN</v>
      </c>
      <c r="R31" s="20">
        <f t="shared" si="2"/>
        <v>41654</v>
      </c>
      <c r="S31" s="5">
        <f t="shared" si="3"/>
        <v>5.5</v>
      </c>
      <c r="T31" s="5">
        <f t="shared" si="4"/>
        <v>5.64</v>
      </c>
      <c r="U31" s="5">
        <f t="shared" si="5"/>
        <v>5.64</v>
      </c>
      <c r="V31" s="5">
        <f t="shared" si="6"/>
        <v>5.5</v>
      </c>
    </row>
    <row r="32" spans="1:22">
      <c r="A32" s="36" t="str">
        <f>IF(Tabela1[[#This Row],[Código]]="IBOV","^BVSP",IF(Tabela1[[#This Row],[Código]]="","",CONCATENATE(LEFT(Tabela1[[#This Row],[Código]],6),".SA")))</f>
        <v>BRSR3.SA</v>
      </c>
      <c r="C32" s="3" t="s">
        <v>231</v>
      </c>
      <c r="D32" s="3" t="s">
        <v>512</v>
      </c>
      <c r="E32" s="3" t="s">
        <v>512</v>
      </c>
      <c r="F32" s="3" t="s">
        <v>512</v>
      </c>
      <c r="G32" s="3" t="s">
        <v>512</v>
      </c>
      <c r="H32" s="20">
        <v>41653</v>
      </c>
      <c r="J32" s="3">
        <f t="shared" si="7"/>
        <v>12.2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229</v>
      </c>
      <c r="Q32" s="10" t="str">
        <f t="shared" si="1"/>
        <v xml:space="preserve">BANRISUL    -ON  </v>
      </c>
      <c r="R32" s="20">
        <f t="shared" si="2"/>
        <v>41653</v>
      </c>
      <c r="S32" s="5">
        <f t="shared" si="3"/>
        <v>12.2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6" t="str">
        <f>IF(Tabela1[[#This Row],[Código]]="IBOV","^BVSP",IF(Tabela1[[#This Row],[Código]]="","",CONCATENATE(LEFT(Tabela1[[#This Row],[Código]],6),".SA")))</f>
        <v>BRSR5.SA</v>
      </c>
      <c r="C33" s="3" t="s">
        <v>232</v>
      </c>
      <c r="D33" s="3" t="s">
        <v>233</v>
      </c>
      <c r="E33" s="3" t="s">
        <v>233</v>
      </c>
      <c r="F33" s="3" t="s">
        <v>233</v>
      </c>
      <c r="G33" s="3" t="s">
        <v>233</v>
      </c>
      <c r="H33" s="20">
        <v>41540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230</v>
      </c>
      <c r="Q33" s="10" t="str">
        <f t="shared" si="1"/>
        <v xml:space="preserve">BANRISUL    -PNA </v>
      </c>
      <c r="R33" s="57">
        <f t="shared" si="2"/>
        <v>41540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>
      <c r="A34" s="36" t="str">
        <f>IF(Tabela1[[#This Row],[Código]]="IBOV","^BVSP",IF(Tabela1[[#This Row],[Código]]="","",CONCATENATE(LEFT(Tabela1[[#This Row],[Código]],6),".SA")))</f>
        <v>BRSR6.SA</v>
      </c>
      <c r="C34" s="3" t="s">
        <v>120</v>
      </c>
      <c r="D34" s="3" t="s">
        <v>516</v>
      </c>
      <c r="E34" s="3" t="s">
        <v>747</v>
      </c>
      <c r="F34" s="3" t="s">
        <v>704</v>
      </c>
      <c r="G34" s="3" t="s">
        <v>558</v>
      </c>
      <c r="H34" s="20">
        <v>41654</v>
      </c>
      <c r="J34" s="3">
        <f t="shared" si="7"/>
        <v>11.8</v>
      </c>
      <c r="K34" s="3">
        <f t="shared" si="7"/>
        <v>11.85</v>
      </c>
      <c r="L34" s="3">
        <f t="shared" si="7"/>
        <v>12</v>
      </c>
      <c r="M34" s="3">
        <f t="shared" si="7"/>
        <v>11.7</v>
      </c>
      <c r="P34" s="10" t="s">
        <v>23</v>
      </c>
      <c r="Q34" s="10" t="str">
        <f t="shared" si="1"/>
        <v xml:space="preserve">BANRISUL    -PNB </v>
      </c>
      <c r="R34" s="20">
        <f t="shared" si="2"/>
        <v>41654</v>
      </c>
      <c r="S34" s="5">
        <f t="shared" si="3"/>
        <v>11.8</v>
      </c>
      <c r="T34" s="5">
        <f t="shared" si="4"/>
        <v>11.85</v>
      </c>
      <c r="U34" s="5">
        <f t="shared" si="5"/>
        <v>12</v>
      </c>
      <c r="V34" s="5">
        <f t="shared" si="6"/>
        <v>11.7</v>
      </c>
    </row>
    <row r="35" spans="1:22">
      <c r="A35" s="36" t="str">
        <f>IF(Tabela1[[#This Row],[Código]]="IBOV","^BVSP",IF(Tabela1[[#This Row],[Código]]="","",CONCATENATE(LEFT(Tabela1[[#This Row],[Código]],6),".SA")))</f>
        <v>BSLI3.SA</v>
      </c>
      <c r="C35" s="3" t="s">
        <v>246</v>
      </c>
      <c r="D35" s="3" t="s">
        <v>748</v>
      </c>
      <c r="E35" s="3" t="s">
        <v>748</v>
      </c>
      <c r="F35" s="3" t="s">
        <v>748</v>
      </c>
      <c r="G35" s="3" t="s">
        <v>748</v>
      </c>
      <c r="H35" s="20">
        <v>41654</v>
      </c>
      <c r="J35" s="3">
        <f t="shared" si="7"/>
        <v>27.5</v>
      </c>
      <c r="K35" s="3">
        <f t="shared" si="7"/>
        <v>27.5</v>
      </c>
      <c r="L35" s="3">
        <f t="shared" si="7"/>
        <v>27.5</v>
      </c>
      <c r="M35" s="3">
        <f t="shared" si="7"/>
        <v>27.5</v>
      </c>
      <c r="P35" s="15" t="s">
        <v>244</v>
      </c>
      <c r="Q35" s="10" t="str">
        <f t="shared" si="1"/>
        <v>BRB BANCO   -ON</v>
      </c>
      <c r="R35" s="20">
        <f t="shared" si="2"/>
        <v>41654</v>
      </c>
      <c r="S35" s="5">
        <f t="shared" si="3"/>
        <v>27.5</v>
      </c>
      <c r="T35" s="5">
        <f t="shared" si="4"/>
        <v>27.5</v>
      </c>
      <c r="U35" s="5">
        <f t="shared" si="5"/>
        <v>27.5</v>
      </c>
      <c r="V35" s="5">
        <f t="shared" si="6"/>
        <v>27.5</v>
      </c>
    </row>
    <row r="36" spans="1:22">
      <c r="A36" s="36" t="str">
        <f>IF(Tabela1[[#This Row],[Código]]="IBOV","^BVSP",IF(Tabela1[[#This Row],[Código]]="","",CONCATENATE(LEFT(Tabela1[[#This Row],[Código]],6),".SA")))</f>
        <v>BSLI4.SA</v>
      </c>
      <c r="C36" s="3" t="s">
        <v>247</v>
      </c>
      <c r="D36" s="3" t="s">
        <v>248</v>
      </c>
      <c r="E36" s="3" t="s">
        <v>248</v>
      </c>
      <c r="F36" s="3" t="s">
        <v>248</v>
      </c>
      <c r="G36" s="3" t="s">
        <v>248</v>
      </c>
      <c r="H36" s="20">
        <v>41597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245</v>
      </c>
      <c r="Q36" s="10" t="str">
        <f t="shared" si="1"/>
        <v>BRB BANCO   -PN</v>
      </c>
      <c r="R36" s="57">
        <f t="shared" si="2"/>
        <v>41597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>
      <c r="A37" s="36" t="str">
        <f>IF(Tabela1[[#This Row],[Código]]="IBOV","^BVSP",IF(Tabela1[[#This Row],[Código]]="","",CONCATENATE(LEFT(Tabela1[[#This Row],[Código]],6),".SA")))</f>
        <v>CASN3.SA</v>
      </c>
      <c r="C37" s="3" t="s">
        <v>199</v>
      </c>
      <c r="D37" s="3" t="s">
        <v>176</v>
      </c>
      <c r="E37" s="3" t="s">
        <v>176</v>
      </c>
      <c r="F37" s="3" t="s">
        <v>176</v>
      </c>
      <c r="G37" s="3" t="s">
        <v>176</v>
      </c>
      <c r="H37" s="20">
        <v>41383</v>
      </c>
      <c r="J37" s="3">
        <f t="shared" si="7"/>
        <v>4.12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198</v>
      </c>
      <c r="Q37" s="10" t="str">
        <f t="shared" si="1"/>
        <v>CASAN       -ON</v>
      </c>
      <c r="R37" s="57">
        <f t="shared" si="2"/>
        <v>41383</v>
      </c>
      <c r="S37" s="5">
        <f t="shared" si="3"/>
        <v>4.12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6" t="str">
        <f>IF(Tabela1[[#This Row],[Código]]="IBOV","^BVSP",IF(Tabela1[[#This Row],[Código]]="","",CONCATENATE(LEFT(Tabela1[[#This Row],[Código]],6),".SA")))</f>
        <v>CEBR3.SA</v>
      </c>
      <c r="C38" s="3" t="s">
        <v>121</v>
      </c>
      <c r="D38" s="3" t="s">
        <v>363</v>
      </c>
      <c r="E38" s="3" t="s">
        <v>363</v>
      </c>
      <c r="F38" s="3" t="s">
        <v>363</v>
      </c>
      <c r="G38" s="3" t="s">
        <v>363</v>
      </c>
      <c r="H38" s="20">
        <v>41642</v>
      </c>
      <c r="J38" s="3">
        <f t="shared" si="7"/>
        <v>16.510000000000002</v>
      </c>
      <c r="K38" s="3">
        <f t="shared" si="7"/>
        <v>16.510000000000002</v>
      </c>
      <c r="L38" s="3">
        <f t="shared" si="7"/>
        <v>16.510000000000002</v>
      </c>
      <c r="M38" s="3">
        <f t="shared" si="7"/>
        <v>16.510000000000002</v>
      </c>
      <c r="P38" s="14" t="s">
        <v>98</v>
      </c>
      <c r="Q38" s="10" t="str">
        <f t="shared" si="1"/>
        <v>CEB         -ON</v>
      </c>
      <c r="R38" s="57">
        <f t="shared" si="2"/>
        <v>41642</v>
      </c>
      <c r="S38" s="5">
        <f t="shared" si="3"/>
        <v>16.510000000000002</v>
      </c>
      <c r="T38" s="5">
        <f t="shared" si="4"/>
        <v>16.510000000000002</v>
      </c>
      <c r="U38" s="5">
        <f t="shared" si="5"/>
        <v>16.510000000000002</v>
      </c>
      <c r="V38" s="5">
        <f t="shared" si="6"/>
        <v>16.510000000000002</v>
      </c>
    </row>
    <row r="39" spans="1:22">
      <c r="A39" s="36" t="str">
        <f>IF(Tabela1[[#This Row],[Código]]="IBOV","^BVSP",IF(Tabela1[[#This Row],[Código]]="","",CONCATENATE(LEFT(Tabela1[[#This Row],[Código]],6),".SA")))</f>
        <v>CEBR5.SA</v>
      </c>
      <c r="C39" s="3" t="s">
        <v>122</v>
      </c>
      <c r="D39" s="3" t="s">
        <v>508</v>
      </c>
      <c r="E39" s="3" t="s">
        <v>508</v>
      </c>
      <c r="F39" s="3" t="s">
        <v>508</v>
      </c>
      <c r="G39" s="3" t="s">
        <v>508</v>
      </c>
      <c r="H39" s="20">
        <v>41652</v>
      </c>
      <c r="J39" s="3">
        <f t="shared" si="7"/>
        <v>24</v>
      </c>
      <c r="K39" s="3">
        <f t="shared" si="7"/>
        <v>24</v>
      </c>
      <c r="L39" s="3">
        <f t="shared" si="7"/>
        <v>24</v>
      </c>
      <c r="M39" s="3">
        <f t="shared" si="7"/>
        <v>24</v>
      </c>
      <c r="P39" s="14" t="s">
        <v>99</v>
      </c>
      <c r="Q39" s="10" t="str">
        <f t="shared" ref="Q39:Q70" si="8">IF(A39="","",C39)</f>
        <v>CEB         -PNA</v>
      </c>
      <c r="R39" s="57">
        <f t="shared" ref="R39:R70" si="9">IF(A39="","",H39)</f>
        <v>41652</v>
      </c>
      <c r="S39" s="5">
        <f t="shared" ref="S39:S70" si="10">J39</f>
        <v>24</v>
      </c>
      <c r="T39" s="5">
        <f t="shared" ref="T39:T70" si="11">K39</f>
        <v>24</v>
      </c>
      <c r="U39" s="5">
        <f t="shared" ref="U39:U70" si="12">L39</f>
        <v>24</v>
      </c>
      <c r="V39" s="5">
        <f t="shared" ref="V39:V70" si="13">M39</f>
        <v>24</v>
      </c>
    </row>
    <row r="40" spans="1:22">
      <c r="A40" s="36" t="str">
        <f>IF(Tabela1[[#This Row],[Código]]="IBOV","^BVSP",IF(Tabela1[[#This Row],[Código]]="","",CONCATENATE(LEFT(Tabela1[[#This Row],[Código]],6),".SA")))</f>
        <v>CEBR6.SA</v>
      </c>
      <c r="C40" s="3" t="s">
        <v>123</v>
      </c>
      <c r="D40" s="3" t="s">
        <v>124</v>
      </c>
      <c r="E40" s="3" t="s">
        <v>124</v>
      </c>
      <c r="F40" s="3" t="s">
        <v>124</v>
      </c>
      <c r="G40" s="3" t="s">
        <v>124</v>
      </c>
      <c r="H40" s="20">
        <v>41624</v>
      </c>
      <c r="J40" s="3">
        <f t="shared" si="7"/>
        <v>17.079999999999998</v>
      </c>
      <c r="K40" s="3">
        <f t="shared" si="7"/>
        <v>17.079999999999998</v>
      </c>
      <c r="L40" s="3">
        <f t="shared" si="7"/>
        <v>17.079999999999998</v>
      </c>
      <c r="M40" s="3">
        <f t="shared" si="7"/>
        <v>17.079999999999998</v>
      </c>
      <c r="P40" s="14" t="s">
        <v>72</v>
      </c>
      <c r="Q40" s="10" t="str">
        <f t="shared" si="8"/>
        <v>CEB         -PNB</v>
      </c>
      <c r="R40" s="20">
        <f t="shared" si="9"/>
        <v>41624</v>
      </c>
      <c r="S40" s="5">
        <f t="shared" si="10"/>
        <v>17.079999999999998</v>
      </c>
      <c r="T40" s="5">
        <f t="shared" si="11"/>
        <v>17.079999999999998</v>
      </c>
      <c r="U40" s="5">
        <f t="shared" si="12"/>
        <v>17.079999999999998</v>
      </c>
      <c r="V40" s="5">
        <f t="shared" si="13"/>
        <v>17.079999999999998</v>
      </c>
    </row>
    <row r="41" spans="1:22">
      <c r="A41" s="36" t="str">
        <f>IF(Tabela1[[#This Row],[Código]]="IBOV","^BVSP",IF(Tabela1[[#This Row],[Código]]="","",CONCATENATE(LEFT(Tabela1[[#This Row],[Código]],6),".SA")))</f>
        <v>CEEB3.SA</v>
      </c>
      <c r="C41" s="3" t="s">
        <v>401</v>
      </c>
      <c r="D41" s="3" t="s">
        <v>559</v>
      </c>
      <c r="E41" s="3" t="s">
        <v>559</v>
      </c>
      <c r="F41" s="3" t="s">
        <v>559</v>
      </c>
      <c r="G41" s="3" t="s">
        <v>559</v>
      </c>
      <c r="H41" s="20">
        <v>41653</v>
      </c>
      <c r="J41" s="3">
        <f t="shared" si="7"/>
        <v>31.98</v>
      </c>
      <c r="K41" s="3">
        <f t="shared" si="7"/>
        <v>31.98</v>
      </c>
      <c r="L41" s="3">
        <f t="shared" si="7"/>
        <v>31.98</v>
      </c>
      <c r="M41" s="3">
        <f t="shared" si="7"/>
        <v>31.98</v>
      </c>
      <c r="P41" s="14" t="s">
        <v>96</v>
      </c>
      <c r="Q41" s="10" t="str">
        <f t="shared" si="8"/>
        <v xml:space="preserve">COELBA      -ON  </v>
      </c>
      <c r="R41" s="50">
        <f t="shared" si="9"/>
        <v>41653</v>
      </c>
      <c r="S41" s="6">
        <f t="shared" si="10"/>
        <v>31.98</v>
      </c>
      <c r="T41" s="6">
        <f t="shared" si="11"/>
        <v>31.98</v>
      </c>
      <c r="U41" s="6">
        <f t="shared" si="12"/>
        <v>31.98</v>
      </c>
      <c r="V41" s="6">
        <f t="shared" si="13"/>
        <v>31.98</v>
      </c>
    </row>
    <row r="42" spans="1:22">
      <c r="A42" s="36" t="str">
        <f>IF(Tabela1[[#This Row],[Código]]="IBOV","^BVSP",IF(Tabela1[[#This Row],[Código]]="","",CONCATENATE(LEFT(Tabela1[[#This Row],[Código]],6),".SA")))</f>
        <v>CEEB5.SA</v>
      </c>
      <c r="C42" s="3" t="s">
        <v>402</v>
      </c>
      <c r="D42" s="3" t="s">
        <v>125</v>
      </c>
      <c r="E42" s="3" t="s">
        <v>125</v>
      </c>
      <c r="F42" s="3" t="s">
        <v>125</v>
      </c>
      <c r="G42" s="3" t="s">
        <v>125</v>
      </c>
      <c r="H42" s="20">
        <v>41597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97</v>
      </c>
      <c r="Q42" s="10" t="str">
        <f t="shared" si="8"/>
        <v xml:space="preserve">COELBA      -PNA </v>
      </c>
      <c r="R42" s="57">
        <f t="shared" si="9"/>
        <v>41597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6" t="str">
        <f>IF(Tabela1[[#This Row],[Código]]="IBOV","^BVSP",IF(Tabela1[[#This Row],[Código]]="","",CONCATENATE(LEFT(Tabela1[[#This Row],[Código]],6),".SA")))</f>
        <v>CEPE5.SA</v>
      </c>
      <c r="C43" s="3" t="s">
        <v>126</v>
      </c>
      <c r="D43" s="3" t="s">
        <v>127</v>
      </c>
      <c r="E43" s="3" t="s">
        <v>128</v>
      </c>
      <c r="F43" s="3" t="s">
        <v>128</v>
      </c>
      <c r="G43" s="3" t="s">
        <v>127</v>
      </c>
      <c r="H43" s="20">
        <v>41619</v>
      </c>
      <c r="J43" s="3">
        <f t="shared" si="7"/>
        <v>17.559999999999999</v>
      </c>
      <c r="K43" s="3">
        <f t="shared" si="7"/>
        <v>18</v>
      </c>
      <c r="L43" s="3">
        <f t="shared" si="7"/>
        <v>18</v>
      </c>
      <c r="M43" s="3">
        <f t="shared" si="7"/>
        <v>17.559999999999999</v>
      </c>
      <c r="P43" s="14" t="s">
        <v>73</v>
      </c>
      <c r="Q43" s="10" t="str">
        <f t="shared" si="8"/>
        <v>CELPE       -PNA</v>
      </c>
      <c r="R43" s="57">
        <f t="shared" si="9"/>
        <v>41619</v>
      </c>
      <c r="S43" s="5">
        <f t="shared" si="10"/>
        <v>17.559999999999999</v>
      </c>
      <c r="T43" s="5">
        <f t="shared" si="11"/>
        <v>18</v>
      </c>
      <c r="U43" s="5">
        <f t="shared" si="12"/>
        <v>18</v>
      </c>
      <c r="V43" s="5">
        <f t="shared" si="13"/>
        <v>17.559999999999999</v>
      </c>
    </row>
    <row r="44" spans="1:22">
      <c r="A44" s="36" t="str">
        <f>IF(Tabela1[[#This Row],[Código]]="IBOV","^BVSP",IF(Tabela1[[#This Row],[Código]]="","",CONCATENATE(LEFT(Tabela1[[#This Row],[Código]],6),".SA")))</f>
        <v>CEPE6.SA</v>
      </c>
      <c r="C44" s="3" t="s">
        <v>129</v>
      </c>
      <c r="D44" s="3" t="s">
        <v>130</v>
      </c>
      <c r="E44" s="3" t="s">
        <v>130</v>
      </c>
      <c r="F44" s="3" t="s">
        <v>130</v>
      </c>
      <c r="G44" s="3" t="s">
        <v>130</v>
      </c>
      <c r="H44" s="20">
        <v>41380</v>
      </c>
      <c r="J44" s="3">
        <f t="shared" si="7"/>
        <v>21.51</v>
      </c>
      <c r="K44" s="3">
        <f t="shared" si="7"/>
        <v>21.51</v>
      </c>
      <c r="L44" s="3">
        <f t="shared" si="7"/>
        <v>21.51</v>
      </c>
      <c r="M44" s="3">
        <f t="shared" si="7"/>
        <v>21.51</v>
      </c>
      <c r="P44" s="14" t="s">
        <v>100</v>
      </c>
      <c r="Q44" s="10" t="str">
        <f t="shared" si="8"/>
        <v>CELPE       -PNB</v>
      </c>
      <c r="R44" s="20">
        <f t="shared" si="9"/>
        <v>41380</v>
      </c>
      <c r="S44" s="5">
        <f t="shared" si="10"/>
        <v>21.51</v>
      </c>
      <c r="T44" s="5">
        <f t="shared" si="11"/>
        <v>21.51</v>
      </c>
      <c r="U44" s="5">
        <f t="shared" si="12"/>
        <v>21.51</v>
      </c>
      <c r="V44" s="5">
        <f t="shared" si="13"/>
        <v>21.51</v>
      </c>
    </row>
    <row r="45" spans="1:22">
      <c r="A45" s="36" t="str">
        <f>IF(Tabela1[[#This Row],[Código]]="IBOV","^BVSP",IF(Tabela1[[#This Row],[Código]]="","",CONCATENATE(LEFT(Tabela1[[#This Row],[Código]],6),".SA")))</f>
        <v>CESP3.SA</v>
      </c>
      <c r="C45" s="3" t="s">
        <v>131</v>
      </c>
      <c r="D45" s="3" t="s">
        <v>749</v>
      </c>
      <c r="E45" s="3" t="s">
        <v>749</v>
      </c>
      <c r="F45" s="3" t="s">
        <v>749</v>
      </c>
      <c r="G45" s="3" t="s">
        <v>749</v>
      </c>
      <c r="H45" s="20">
        <v>41654</v>
      </c>
      <c r="J45" s="3">
        <f t="shared" si="7"/>
        <v>19.399999999999999</v>
      </c>
      <c r="K45" s="3">
        <f t="shared" si="7"/>
        <v>19.399999999999999</v>
      </c>
      <c r="L45" s="3">
        <f t="shared" si="7"/>
        <v>19.399999999999999</v>
      </c>
      <c r="M45" s="3">
        <f t="shared" si="7"/>
        <v>19.399999999999999</v>
      </c>
      <c r="P45" s="14" t="s">
        <v>75</v>
      </c>
      <c r="Q45" s="10" t="str">
        <f t="shared" si="8"/>
        <v xml:space="preserve">CESP        -ON  </v>
      </c>
      <c r="R45" s="50">
        <f t="shared" si="9"/>
        <v>41654</v>
      </c>
      <c r="S45" s="6">
        <f t="shared" si="10"/>
        <v>19.399999999999999</v>
      </c>
      <c r="T45" s="6">
        <f t="shared" si="11"/>
        <v>19.399999999999999</v>
      </c>
      <c r="U45" s="6">
        <f t="shared" si="12"/>
        <v>19.399999999999999</v>
      </c>
      <c r="V45" s="6">
        <f t="shared" si="13"/>
        <v>19.399999999999999</v>
      </c>
    </row>
    <row r="46" spans="1:22">
      <c r="A46" s="36" t="str">
        <f>IF(Tabela1[[#This Row],[Código]]="IBOV","^BVSP",IF(Tabela1[[#This Row],[Código]]="","",CONCATENATE(LEFT(Tabela1[[#This Row],[Código]],6),".SA")))</f>
        <v>CESP5.SA</v>
      </c>
      <c r="C46" s="3" t="s">
        <v>132</v>
      </c>
      <c r="D46" s="3" t="s">
        <v>517</v>
      </c>
      <c r="E46" s="3" t="s">
        <v>560</v>
      </c>
      <c r="F46" s="3" t="s">
        <v>517</v>
      </c>
      <c r="G46" s="3" t="s">
        <v>560</v>
      </c>
      <c r="H46" s="20">
        <v>41653</v>
      </c>
      <c r="J46" s="3">
        <f t="shared" si="7"/>
        <v>21.8</v>
      </c>
      <c r="K46" s="3">
        <f t="shared" si="7"/>
        <v>21.64</v>
      </c>
      <c r="L46" s="3">
        <f t="shared" si="7"/>
        <v>21.8</v>
      </c>
      <c r="M46" s="3">
        <f t="shared" si="7"/>
        <v>21.64</v>
      </c>
      <c r="P46" s="14" t="s">
        <v>94</v>
      </c>
      <c r="Q46" s="10" t="str">
        <f t="shared" si="8"/>
        <v xml:space="preserve">CESP        -PNA </v>
      </c>
      <c r="R46" s="50">
        <f t="shared" si="9"/>
        <v>41653</v>
      </c>
      <c r="S46" s="6">
        <f t="shared" si="10"/>
        <v>21.8</v>
      </c>
      <c r="T46" s="6">
        <f t="shared" si="11"/>
        <v>21.64</v>
      </c>
      <c r="U46" s="6">
        <f t="shared" si="12"/>
        <v>21.8</v>
      </c>
      <c r="V46" s="6">
        <f t="shared" si="13"/>
        <v>21.64</v>
      </c>
    </row>
    <row r="47" spans="1:22">
      <c r="A47" s="36" t="str">
        <f>IF(Tabela1[[#This Row],[Código]]="IBOV","^BVSP",IF(Tabela1[[#This Row],[Código]]="","",CONCATENATE(LEFT(Tabela1[[#This Row],[Código]],6),".SA")))</f>
        <v>CESP6.SA</v>
      </c>
      <c r="C47" s="3" t="s">
        <v>133</v>
      </c>
      <c r="D47" s="3" t="s">
        <v>561</v>
      </c>
      <c r="E47" s="3" t="s">
        <v>750</v>
      </c>
      <c r="F47" s="3" t="s">
        <v>562</v>
      </c>
      <c r="G47" s="3" t="s">
        <v>750</v>
      </c>
      <c r="H47" s="20">
        <v>41654</v>
      </c>
      <c r="J47" s="3">
        <f t="shared" si="7"/>
        <v>21.52</v>
      </c>
      <c r="K47" s="3">
        <f t="shared" si="7"/>
        <v>21.47</v>
      </c>
      <c r="L47" s="3">
        <f t="shared" si="7"/>
        <v>21.82</v>
      </c>
      <c r="M47" s="3">
        <f t="shared" si="7"/>
        <v>21.47</v>
      </c>
      <c r="P47" s="14" t="s">
        <v>95</v>
      </c>
      <c r="Q47" s="10" t="str">
        <f t="shared" si="8"/>
        <v xml:space="preserve">CESP        -PNB </v>
      </c>
      <c r="R47" s="20">
        <f t="shared" si="9"/>
        <v>41654</v>
      </c>
      <c r="S47" s="5">
        <f t="shared" si="10"/>
        <v>21.52</v>
      </c>
      <c r="T47" s="5">
        <f t="shared" si="11"/>
        <v>21.47</v>
      </c>
      <c r="U47" s="5">
        <f t="shared" si="12"/>
        <v>21.82</v>
      </c>
      <c r="V47" s="5">
        <f t="shared" si="13"/>
        <v>21.47</v>
      </c>
    </row>
    <row r="48" spans="1:22">
      <c r="A48" s="36" t="str">
        <f>IF(Tabela1[[#This Row],[Código]]="IBOV","^BVSP",IF(Tabela1[[#This Row],[Código]]="","",CONCATENATE(LEFT(Tabela1[[#This Row],[Código]],6),".SA")))</f>
        <v>CLSC4.SA</v>
      </c>
      <c r="C48" s="3" t="s">
        <v>134</v>
      </c>
      <c r="D48" s="3" t="s">
        <v>564</v>
      </c>
      <c r="E48" s="3" t="s">
        <v>565</v>
      </c>
      <c r="F48" s="3" t="s">
        <v>723</v>
      </c>
      <c r="G48" s="3" t="s">
        <v>566</v>
      </c>
      <c r="H48" s="20">
        <v>41654</v>
      </c>
      <c r="J48" s="3">
        <f t="shared" si="7"/>
        <v>16.09</v>
      </c>
      <c r="K48" s="3">
        <f t="shared" si="7"/>
        <v>15.9</v>
      </c>
      <c r="L48" s="3">
        <f t="shared" si="7"/>
        <v>16.149999999999999</v>
      </c>
      <c r="M48" s="3">
        <f t="shared" si="7"/>
        <v>15.85</v>
      </c>
      <c r="P48" s="14" t="s">
        <v>74</v>
      </c>
      <c r="Q48" s="10" t="str">
        <f t="shared" si="8"/>
        <v xml:space="preserve">CELESC      -PN  </v>
      </c>
      <c r="R48" s="20">
        <f t="shared" si="9"/>
        <v>41654</v>
      </c>
      <c r="S48" s="5">
        <f t="shared" si="10"/>
        <v>16.09</v>
      </c>
      <c r="T48" s="5">
        <f t="shared" si="11"/>
        <v>15.9</v>
      </c>
      <c r="U48" s="5">
        <f t="shared" si="12"/>
        <v>16.149999999999999</v>
      </c>
      <c r="V48" s="5">
        <f t="shared" si="13"/>
        <v>15.85</v>
      </c>
    </row>
    <row r="49" spans="1:22">
      <c r="A49" s="36" t="str">
        <f>IF(Tabela1[[#This Row],[Código]]="IBOV","^BVSP",IF(Tabela1[[#This Row],[Código]]="","",CONCATENATE(LEFT(Tabela1[[#This Row],[Código]],6),".SA")))</f>
        <v>CMIG3.SA</v>
      </c>
      <c r="C49" s="3" t="s">
        <v>135</v>
      </c>
      <c r="D49" s="3" t="s">
        <v>567</v>
      </c>
      <c r="E49" s="3" t="s">
        <v>751</v>
      </c>
      <c r="F49" s="3" t="s">
        <v>705</v>
      </c>
      <c r="G49" s="3" t="s">
        <v>751</v>
      </c>
      <c r="H49" s="20">
        <v>41654</v>
      </c>
      <c r="J49" s="3">
        <f t="shared" si="7"/>
        <v>13.83</v>
      </c>
      <c r="K49" s="3">
        <f t="shared" si="7"/>
        <v>13.81</v>
      </c>
      <c r="L49" s="3">
        <f t="shared" si="7"/>
        <v>14.39</v>
      </c>
      <c r="M49" s="3">
        <f t="shared" si="7"/>
        <v>13.81</v>
      </c>
      <c r="P49" s="27" t="s">
        <v>31</v>
      </c>
      <c r="Q49" s="10" t="str">
        <f t="shared" si="8"/>
        <v xml:space="preserve">CEMIG       -ON  </v>
      </c>
      <c r="R49" s="20">
        <f t="shared" si="9"/>
        <v>41654</v>
      </c>
      <c r="S49" s="5">
        <f t="shared" si="10"/>
        <v>13.83</v>
      </c>
      <c r="T49" s="5">
        <f t="shared" si="11"/>
        <v>13.81</v>
      </c>
      <c r="U49" s="5">
        <f t="shared" si="12"/>
        <v>14.39</v>
      </c>
      <c r="V49" s="5">
        <f t="shared" si="13"/>
        <v>13.81</v>
      </c>
    </row>
    <row r="50" spans="1:22">
      <c r="A50" s="36" t="str">
        <f>IF(Tabela1[[#This Row],[Código]]="IBOV","^BVSP",IF(Tabela1[[#This Row],[Código]]="","",CONCATENATE(LEFT(Tabela1[[#This Row],[Código]],6),".SA")))</f>
        <v>CMIG4.SA</v>
      </c>
      <c r="C50" s="3" t="s">
        <v>136</v>
      </c>
      <c r="D50" s="3" t="s">
        <v>568</v>
      </c>
      <c r="E50" s="3" t="s">
        <v>752</v>
      </c>
      <c r="F50" s="3" t="s">
        <v>569</v>
      </c>
      <c r="G50" s="3" t="s">
        <v>752</v>
      </c>
      <c r="H50" s="20">
        <v>41654</v>
      </c>
      <c r="J50" s="3">
        <f t="shared" si="7"/>
        <v>13.57</v>
      </c>
      <c r="K50" s="3">
        <f t="shared" si="7"/>
        <v>13.3</v>
      </c>
      <c r="L50" s="3">
        <f t="shared" si="7"/>
        <v>13.6</v>
      </c>
      <c r="M50" s="3">
        <f t="shared" si="7"/>
        <v>13.3</v>
      </c>
      <c r="P50" s="27" t="s">
        <v>30</v>
      </c>
      <c r="Q50" s="10" t="str">
        <f t="shared" si="8"/>
        <v xml:space="preserve">CEMIG       -PN  </v>
      </c>
      <c r="R50" s="50">
        <f t="shared" si="9"/>
        <v>41654</v>
      </c>
      <c r="S50" s="6">
        <f t="shared" si="10"/>
        <v>13.57</v>
      </c>
      <c r="T50" s="6">
        <f t="shared" si="11"/>
        <v>13.3</v>
      </c>
      <c r="U50" s="6">
        <f t="shared" si="12"/>
        <v>13.6</v>
      </c>
      <c r="V50" s="6">
        <f t="shared" si="13"/>
        <v>13.3</v>
      </c>
    </row>
    <row r="51" spans="1:22">
      <c r="A51" s="36" t="str">
        <f>IF(Tabela1[[#This Row],[Código]]="IBOV","^BVSP",IF(Tabela1[[#This Row],[Código]]="","",CONCATENATE(LEFT(Tabela1[[#This Row],[Código]],6),".SA")))</f>
        <v>COCE3.SA</v>
      </c>
      <c r="C51" s="3" t="s">
        <v>137</v>
      </c>
      <c r="D51" s="3" t="s">
        <v>570</v>
      </c>
      <c r="E51" s="3" t="s">
        <v>573</v>
      </c>
      <c r="F51" s="3" t="s">
        <v>706</v>
      </c>
      <c r="G51" s="3" t="s">
        <v>571</v>
      </c>
      <c r="H51" s="20">
        <v>41654</v>
      </c>
      <c r="J51" s="3">
        <f t="shared" si="7"/>
        <v>48.31</v>
      </c>
      <c r="K51" s="3">
        <f t="shared" si="7"/>
        <v>48.35</v>
      </c>
      <c r="L51" s="3">
        <f t="shared" si="7"/>
        <v>48.5</v>
      </c>
      <c r="M51" s="3">
        <f t="shared" si="7"/>
        <v>48.01</v>
      </c>
      <c r="P51" s="14" t="s">
        <v>101</v>
      </c>
      <c r="Q51" s="10" t="str">
        <f t="shared" si="8"/>
        <v>COELCE      -ON</v>
      </c>
      <c r="R51" s="50">
        <f t="shared" si="9"/>
        <v>41654</v>
      </c>
      <c r="S51" s="6">
        <f t="shared" si="10"/>
        <v>48.31</v>
      </c>
      <c r="T51" s="6">
        <f t="shared" si="11"/>
        <v>48.35</v>
      </c>
      <c r="U51" s="6">
        <f t="shared" si="12"/>
        <v>48.5</v>
      </c>
      <c r="V51" s="6">
        <f t="shared" si="13"/>
        <v>48.01</v>
      </c>
    </row>
    <row r="52" spans="1:22">
      <c r="A52" s="36" t="str">
        <f>IF(Tabela1[[#This Row],[Código]]="IBOV","^BVSP",IF(Tabela1[[#This Row],[Código]]="","",CONCATENATE(LEFT(Tabela1[[#This Row],[Código]],6),".SA")))</f>
        <v>COCE5.SA</v>
      </c>
      <c r="C52" s="3" t="s">
        <v>138</v>
      </c>
      <c r="D52" s="3" t="s">
        <v>572</v>
      </c>
      <c r="E52" s="3" t="s">
        <v>753</v>
      </c>
      <c r="F52" s="3" t="s">
        <v>707</v>
      </c>
      <c r="G52" s="3" t="s">
        <v>574</v>
      </c>
      <c r="H52" s="20">
        <v>41654</v>
      </c>
      <c r="J52" s="3">
        <f t="shared" si="7"/>
        <v>48.2</v>
      </c>
      <c r="K52" s="3">
        <f t="shared" si="7"/>
        <v>48.1</v>
      </c>
      <c r="L52" s="3">
        <f t="shared" si="7"/>
        <v>48.41</v>
      </c>
      <c r="M52" s="3">
        <f t="shared" si="7"/>
        <v>48.08</v>
      </c>
      <c r="P52" s="10" t="s">
        <v>86</v>
      </c>
      <c r="Q52" s="10" t="str">
        <f t="shared" si="8"/>
        <v>COELCE      -PNA</v>
      </c>
      <c r="R52" s="57">
        <f t="shared" si="9"/>
        <v>41654</v>
      </c>
      <c r="S52" s="5">
        <f t="shared" si="10"/>
        <v>48.2</v>
      </c>
      <c r="T52" s="5">
        <f t="shared" si="11"/>
        <v>48.1</v>
      </c>
      <c r="U52" s="5">
        <f t="shared" si="12"/>
        <v>48.41</v>
      </c>
      <c r="V52" s="5">
        <f t="shared" si="13"/>
        <v>48.08</v>
      </c>
    </row>
    <row r="53" spans="1:22">
      <c r="A53" s="36" t="str">
        <f>IF(Tabela1[[#This Row],[Código]]="IBOV","^BVSP",IF(Tabela1[[#This Row],[Código]]="","",CONCATENATE(LEFT(Tabela1[[#This Row],[Código]],6),".SA")))</f>
        <v>CPFE3.SA</v>
      </c>
      <c r="C53" s="3" t="s">
        <v>139</v>
      </c>
      <c r="D53" s="3" t="s">
        <v>575</v>
      </c>
      <c r="E53" s="3" t="s">
        <v>754</v>
      </c>
      <c r="F53" s="3" t="s">
        <v>386</v>
      </c>
      <c r="G53" s="3" t="s">
        <v>576</v>
      </c>
      <c r="H53" s="20">
        <v>41654</v>
      </c>
      <c r="J53" s="3">
        <f t="shared" si="7"/>
        <v>18.489999999999998</v>
      </c>
      <c r="K53" s="3">
        <f t="shared" si="7"/>
        <v>18.73</v>
      </c>
      <c r="L53" s="3">
        <f t="shared" si="7"/>
        <v>18.75</v>
      </c>
      <c r="M53" s="3">
        <f t="shared" si="7"/>
        <v>18.350000000000001</v>
      </c>
      <c r="P53" s="27" t="s">
        <v>32</v>
      </c>
      <c r="Q53" s="10" t="str">
        <f t="shared" si="8"/>
        <v xml:space="preserve">CPFL ENERGIA-ON  </v>
      </c>
      <c r="R53" s="57">
        <f t="shared" si="9"/>
        <v>41654</v>
      </c>
      <c r="S53" s="5">
        <f t="shared" si="10"/>
        <v>18.489999999999998</v>
      </c>
      <c r="T53" s="5">
        <f t="shared" si="11"/>
        <v>18.73</v>
      </c>
      <c r="U53" s="5">
        <f t="shared" si="12"/>
        <v>18.75</v>
      </c>
      <c r="V53" s="5">
        <f t="shared" si="13"/>
        <v>18.350000000000001</v>
      </c>
    </row>
    <row r="54" spans="1:22">
      <c r="A54" s="36" t="str">
        <f>IF(Tabela1[[#This Row],[Código]]="IBOV","^BVSP",IF(Tabela1[[#This Row],[Código]]="","",CONCATENATE(LEFT(Tabela1[[#This Row],[Código]],6),".SA")))</f>
        <v>CPLE3.SA</v>
      </c>
      <c r="C54" s="3" t="s">
        <v>140</v>
      </c>
      <c r="D54" s="3" t="s">
        <v>577</v>
      </c>
      <c r="E54" s="3" t="s">
        <v>578</v>
      </c>
      <c r="F54" s="3" t="s">
        <v>544</v>
      </c>
      <c r="G54" s="3" t="s">
        <v>579</v>
      </c>
      <c r="H54" s="20">
        <v>41654</v>
      </c>
      <c r="J54" s="3">
        <f t="shared" si="7"/>
        <v>22.34</v>
      </c>
      <c r="K54" s="3">
        <f t="shared" si="7"/>
        <v>22.2</v>
      </c>
      <c r="L54" s="3">
        <f t="shared" si="7"/>
        <v>22.39</v>
      </c>
      <c r="M54" s="3">
        <f t="shared" si="7"/>
        <v>22</v>
      </c>
      <c r="P54" s="27" t="s">
        <v>34</v>
      </c>
      <c r="Q54" s="10" t="str">
        <f t="shared" si="8"/>
        <v xml:space="preserve">COPEL       -ON  </v>
      </c>
      <c r="R54" s="57">
        <f t="shared" si="9"/>
        <v>41654</v>
      </c>
      <c r="S54" s="5">
        <f t="shared" si="10"/>
        <v>22.34</v>
      </c>
      <c r="T54" s="5">
        <f t="shared" si="11"/>
        <v>22.2</v>
      </c>
      <c r="U54" s="5">
        <f t="shared" si="12"/>
        <v>22.39</v>
      </c>
      <c r="V54" s="5">
        <f t="shared" si="13"/>
        <v>22</v>
      </c>
    </row>
    <row r="55" spans="1:22">
      <c r="A55" s="36" t="str">
        <f>IF(Tabela1[[#This Row],[Código]]="IBOV","^BVSP",IF(Tabela1[[#This Row],[Código]]="","",CONCATENATE(LEFT(Tabela1[[#This Row],[Código]],6),".SA")))</f>
        <v>CPLE5.SA</v>
      </c>
      <c r="C55" s="3" t="s">
        <v>141</v>
      </c>
      <c r="D55" s="3" t="s">
        <v>142</v>
      </c>
      <c r="E55" s="3" t="s">
        <v>142</v>
      </c>
      <c r="F55" s="3" t="s">
        <v>142</v>
      </c>
      <c r="G55" s="3" t="s">
        <v>142</v>
      </c>
      <c r="H55" s="20">
        <v>41529</v>
      </c>
      <c r="J55" s="3">
        <f t="shared" si="7"/>
        <v>30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107</v>
      </c>
      <c r="Q55" s="10" t="str">
        <f t="shared" si="8"/>
        <v xml:space="preserve">COPEL       -PNA </v>
      </c>
      <c r="R55" s="20">
        <f t="shared" si="9"/>
        <v>41529</v>
      </c>
      <c r="S55" s="5">
        <f t="shared" si="10"/>
        <v>30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6" t="str">
        <f>IF(Tabela1[[#This Row],[Código]]="IBOV","^BVSP",IF(Tabela1[[#This Row],[Código]]="","",CONCATENATE(LEFT(Tabela1[[#This Row],[Código]],6),".SA")))</f>
        <v>CPLE6.SA</v>
      </c>
      <c r="C56" s="3" t="s">
        <v>143</v>
      </c>
      <c r="D56" s="3" t="s">
        <v>580</v>
      </c>
      <c r="E56" s="3" t="s">
        <v>755</v>
      </c>
      <c r="F56" s="3" t="s">
        <v>581</v>
      </c>
      <c r="G56" s="3" t="s">
        <v>582</v>
      </c>
      <c r="H56" s="20">
        <v>41654</v>
      </c>
      <c r="J56" s="3">
        <f t="shared" si="7"/>
        <v>31.16</v>
      </c>
      <c r="K56" s="3">
        <f t="shared" si="7"/>
        <v>30.83</v>
      </c>
      <c r="L56" s="3">
        <f t="shared" si="7"/>
        <v>31.18</v>
      </c>
      <c r="M56" s="3">
        <f t="shared" si="7"/>
        <v>30.81</v>
      </c>
      <c r="P56" s="14" t="s">
        <v>108</v>
      </c>
      <c r="Q56" s="10" t="str">
        <f t="shared" si="8"/>
        <v xml:space="preserve">COPEL       -PNB </v>
      </c>
      <c r="R56" s="57">
        <f t="shared" si="9"/>
        <v>41654</v>
      </c>
      <c r="S56" s="5">
        <f t="shared" si="10"/>
        <v>31.16</v>
      </c>
      <c r="T56" s="5">
        <f t="shared" si="11"/>
        <v>30.83</v>
      </c>
      <c r="U56" s="5">
        <f t="shared" si="12"/>
        <v>31.18</v>
      </c>
      <c r="V56" s="5">
        <f t="shared" si="13"/>
        <v>30.81</v>
      </c>
    </row>
    <row r="57" spans="1:22">
      <c r="A57" s="36" t="str">
        <f>IF(Tabela1[[#This Row],[Código]]="IBOV","^BVSP",IF(Tabela1[[#This Row],[Código]]="","",CONCATENATE(LEFT(Tabela1[[#This Row],[Código]],6),".SA")))</f>
        <v>CSMG3.SA</v>
      </c>
      <c r="C57" s="3" t="s">
        <v>201</v>
      </c>
      <c r="D57" s="3" t="s">
        <v>583</v>
      </c>
      <c r="E57" s="3" t="s">
        <v>756</v>
      </c>
      <c r="F57" s="3" t="s">
        <v>708</v>
      </c>
      <c r="G57" s="3" t="s">
        <v>756</v>
      </c>
      <c r="H57" s="20">
        <v>41654</v>
      </c>
      <c r="J57" s="3">
        <f t="shared" si="7"/>
        <v>33.700000000000003</v>
      </c>
      <c r="K57" s="3">
        <f t="shared" si="7"/>
        <v>32.880000000000003</v>
      </c>
      <c r="L57" s="3">
        <f t="shared" si="7"/>
        <v>33.770000000000003</v>
      </c>
      <c r="M57" s="3">
        <f t="shared" si="7"/>
        <v>32.880000000000003</v>
      </c>
      <c r="P57" s="14" t="s">
        <v>200</v>
      </c>
      <c r="Q57" s="10" t="str">
        <f t="shared" si="8"/>
        <v xml:space="preserve">COPASA      -ON  </v>
      </c>
      <c r="R57" s="20">
        <f t="shared" si="9"/>
        <v>41654</v>
      </c>
      <c r="S57" s="5">
        <f t="shared" si="10"/>
        <v>33.700000000000003</v>
      </c>
      <c r="T57" s="5">
        <f t="shared" si="11"/>
        <v>32.880000000000003</v>
      </c>
      <c r="U57" s="5">
        <f t="shared" si="12"/>
        <v>33.770000000000003</v>
      </c>
      <c r="V57" s="5">
        <f t="shared" si="13"/>
        <v>32.880000000000003</v>
      </c>
    </row>
    <row r="58" spans="1:22">
      <c r="A58" s="36" t="str">
        <f>IF(Tabela1[[#This Row],[Código]]="IBOV","^BVSP",IF(Tabela1[[#This Row],[Código]]="","",CONCATENATE(LEFT(Tabela1[[#This Row],[Código]],6),".SA")))</f>
        <v>CSRN3.SA</v>
      </c>
      <c r="C58" s="3" t="s">
        <v>403</v>
      </c>
      <c r="D58" s="3" t="s">
        <v>393</v>
      </c>
      <c r="E58" s="3" t="s">
        <v>393</v>
      </c>
      <c r="F58" s="3" t="s">
        <v>393</v>
      </c>
      <c r="G58" s="3" t="s">
        <v>393</v>
      </c>
      <c r="H58" s="20">
        <v>41642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103</v>
      </c>
      <c r="Q58" s="10" t="str">
        <f t="shared" si="8"/>
        <v xml:space="preserve">COSERN      -ON  </v>
      </c>
      <c r="R58" s="57">
        <f t="shared" si="9"/>
        <v>41642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6" t="str">
        <f>IF(Tabela1[[#This Row],[Código]]="IBOV","^BVSP",IF(Tabela1[[#This Row],[Código]]="","",CONCATENATE(LEFT(Tabela1[[#This Row],[Código]],6),".SA")))</f>
        <v>CSRN5.SA</v>
      </c>
      <c r="C59" s="3" t="s">
        <v>404</v>
      </c>
      <c r="D59" s="3" t="s">
        <v>144</v>
      </c>
      <c r="E59" s="3" t="s">
        <v>144</v>
      </c>
      <c r="F59" s="3" t="s">
        <v>144</v>
      </c>
      <c r="G59" s="3" t="s">
        <v>144</v>
      </c>
      <c r="H59" s="20">
        <v>41582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104</v>
      </c>
      <c r="Q59" s="10" t="str">
        <f t="shared" si="8"/>
        <v xml:space="preserve">COSERN      -PNA </v>
      </c>
      <c r="R59" s="57">
        <f t="shared" si="9"/>
        <v>41582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6" t="str">
        <f>IF(Tabela1[[#This Row],[Código]]="IBOV","^BVSP",IF(Tabela1[[#This Row],[Código]]="","",CONCATENATE(LEFT(Tabela1[[#This Row],[Código]],6),".SA")))</f>
        <v>CSRN6.SA</v>
      </c>
      <c r="C60" s="3" t="s">
        <v>405</v>
      </c>
      <c r="D60" s="3" t="s">
        <v>114</v>
      </c>
      <c r="E60" s="3" t="s">
        <v>114</v>
      </c>
      <c r="F60" s="3" t="s">
        <v>114</v>
      </c>
      <c r="G60" s="3" t="s">
        <v>114</v>
      </c>
      <c r="H60" s="20">
        <v>41584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71</v>
      </c>
      <c r="Q60" s="10" t="str">
        <f t="shared" si="8"/>
        <v xml:space="preserve">COSERN      -PNB </v>
      </c>
      <c r="R60" s="57">
        <f t="shared" si="9"/>
        <v>41584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6" t="str">
        <f>IF(Tabela1[[#This Row],[Código]]="IBOV","^BVSP",IF(Tabela1[[#This Row],[Código]]="","",CONCATENATE(LEFT(Tabela1[[#This Row],[Código]],6),".SA")))</f>
        <v>DAYC4.SA</v>
      </c>
      <c r="C61" s="3" t="s">
        <v>145</v>
      </c>
      <c r="D61" s="3" t="s">
        <v>584</v>
      </c>
      <c r="E61" s="3" t="s">
        <v>586</v>
      </c>
      <c r="F61" s="3" t="s">
        <v>585</v>
      </c>
      <c r="G61" s="3" t="s">
        <v>673</v>
      </c>
      <c r="H61" s="20">
        <v>41654</v>
      </c>
      <c r="J61" s="3">
        <f t="shared" si="7"/>
        <v>7.86</v>
      </c>
      <c r="K61" s="3">
        <f t="shared" si="7"/>
        <v>7.78</v>
      </c>
      <c r="L61" s="3">
        <f t="shared" si="7"/>
        <v>7.89</v>
      </c>
      <c r="M61" s="3">
        <f t="shared" si="7"/>
        <v>7.75</v>
      </c>
      <c r="P61" s="10" t="s">
        <v>15</v>
      </c>
      <c r="Q61" s="10" t="str">
        <f t="shared" si="8"/>
        <v xml:space="preserve">DAYCOVAL    -PN  </v>
      </c>
      <c r="R61" s="57">
        <f t="shared" si="9"/>
        <v>41654</v>
      </c>
      <c r="S61" s="5">
        <f t="shared" si="10"/>
        <v>7.86</v>
      </c>
      <c r="T61" s="5">
        <f t="shared" si="11"/>
        <v>7.78</v>
      </c>
      <c r="U61" s="5">
        <f t="shared" si="12"/>
        <v>7.89</v>
      </c>
      <c r="V61" s="5">
        <f t="shared" si="13"/>
        <v>7.75</v>
      </c>
    </row>
    <row r="62" spans="1:22">
      <c r="A62" s="36" t="str">
        <f>IF(Tabela1[[#This Row],[Código]]="IBOV","^BVSP",IF(Tabela1[[#This Row],[Código]]="","",CONCATENATE(LEFT(Tabela1[[#This Row],[Código]],6),".SA")))</f>
        <v>EEEL3.SA</v>
      </c>
      <c r="C62" s="3" t="s">
        <v>146</v>
      </c>
      <c r="D62" s="3" t="s">
        <v>451</v>
      </c>
      <c r="E62" s="3" t="s">
        <v>451</v>
      </c>
      <c r="F62" s="3" t="s">
        <v>451</v>
      </c>
      <c r="G62" s="3" t="s">
        <v>451</v>
      </c>
      <c r="H62" s="20">
        <v>41645</v>
      </c>
      <c r="J62" s="3">
        <f t="shared" si="7"/>
        <v>1.4</v>
      </c>
      <c r="K62" s="3">
        <f t="shared" si="7"/>
        <v>1.4</v>
      </c>
      <c r="L62" s="3">
        <f t="shared" si="7"/>
        <v>1.4</v>
      </c>
      <c r="M62" s="3">
        <f t="shared" si="7"/>
        <v>1.4</v>
      </c>
      <c r="P62" s="14" t="s">
        <v>105</v>
      </c>
      <c r="Q62" s="10" t="str">
        <f t="shared" si="8"/>
        <v xml:space="preserve">CEEE-GT     -ON  </v>
      </c>
      <c r="R62" s="57">
        <f t="shared" si="9"/>
        <v>41645</v>
      </c>
      <c r="S62" s="5">
        <f t="shared" si="10"/>
        <v>1.4</v>
      </c>
      <c r="T62" s="5">
        <f t="shared" si="11"/>
        <v>1.4</v>
      </c>
      <c r="U62" s="5">
        <f t="shared" si="12"/>
        <v>1.4</v>
      </c>
      <c r="V62" s="5">
        <f t="shared" si="13"/>
        <v>1.4</v>
      </c>
    </row>
    <row r="63" spans="1:22">
      <c r="A63" s="36" t="str">
        <f>IF(Tabela1[[#This Row],[Código]]="IBOV","^BVSP",IF(Tabela1[[#This Row],[Código]]="","",CONCATENATE(LEFT(Tabela1[[#This Row],[Código]],6),".SA")))</f>
        <v>EEEL4.SA</v>
      </c>
      <c r="C63" s="3" t="s">
        <v>147</v>
      </c>
      <c r="D63" s="3" t="s">
        <v>504</v>
      </c>
      <c r="E63" s="3" t="s">
        <v>504</v>
      </c>
      <c r="F63" s="3" t="s">
        <v>504</v>
      </c>
      <c r="G63" s="3" t="s">
        <v>504</v>
      </c>
      <c r="H63" s="20">
        <v>41652</v>
      </c>
      <c r="J63" s="3">
        <f t="shared" si="7"/>
        <v>1.85</v>
      </c>
      <c r="K63" s="3">
        <f t="shared" si="7"/>
        <v>1.85</v>
      </c>
      <c r="L63" s="3">
        <f t="shared" si="7"/>
        <v>1.85</v>
      </c>
      <c r="M63" s="3">
        <f t="shared" si="7"/>
        <v>1.85</v>
      </c>
      <c r="P63" s="14" t="s">
        <v>106</v>
      </c>
      <c r="Q63" s="10" t="str">
        <f t="shared" si="8"/>
        <v xml:space="preserve">CEEE-GT     -PN  </v>
      </c>
      <c r="R63" s="57">
        <f t="shared" si="9"/>
        <v>41652</v>
      </c>
      <c r="S63" s="5">
        <f t="shared" si="10"/>
        <v>1.85</v>
      </c>
      <c r="T63" s="5">
        <f t="shared" si="11"/>
        <v>1.85</v>
      </c>
      <c r="U63" s="5">
        <f t="shared" si="12"/>
        <v>1.85</v>
      </c>
      <c r="V63" s="5">
        <f t="shared" si="13"/>
        <v>1.85</v>
      </c>
    </row>
    <row r="64" spans="1:22">
      <c r="A64" s="36" t="str">
        <f>IF(Tabela1[[#This Row],[Código]]="IBOV","^BVSP",IF(Tabela1[[#This Row],[Código]]="","",CONCATENATE(LEFT(Tabela1[[#This Row],[Código]],6),".SA")))</f>
        <v>ELET3.SA</v>
      </c>
      <c r="C64" s="3" t="s">
        <v>148</v>
      </c>
      <c r="D64" s="3" t="s">
        <v>587</v>
      </c>
      <c r="E64" s="3" t="s">
        <v>484</v>
      </c>
      <c r="F64" s="3" t="s">
        <v>588</v>
      </c>
      <c r="G64" s="3" t="s">
        <v>589</v>
      </c>
      <c r="H64" s="20">
        <v>41654</v>
      </c>
      <c r="J64" s="3">
        <f t="shared" si="7"/>
        <v>5.74</v>
      </c>
      <c r="K64" s="3">
        <f t="shared" si="7"/>
        <v>5.65</v>
      </c>
      <c r="L64" s="3">
        <f t="shared" si="7"/>
        <v>5.76</v>
      </c>
      <c r="M64" s="3">
        <f t="shared" si="7"/>
        <v>5.6</v>
      </c>
      <c r="P64" s="15" t="s">
        <v>2</v>
      </c>
      <c r="Q64" s="10" t="str">
        <f t="shared" si="8"/>
        <v xml:space="preserve">ELETROBRAS  -ON  </v>
      </c>
      <c r="R64" s="57">
        <f t="shared" si="9"/>
        <v>41654</v>
      </c>
      <c r="S64" s="5">
        <f t="shared" si="10"/>
        <v>5.74</v>
      </c>
      <c r="T64" s="5">
        <f t="shared" si="11"/>
        <v>5.65</v>
      </c>
      <c r="U64" s="5">
        <f t="shared" si="12"/>
        <v>5.76</v>
      </c>
      <c r="V64" s="5">
        <f t="shared" si="13"/>
        <v>5.6</v>
      </c>
    </row>
    <row r="65" spans="1:22">
      <c r="A65" s="36" t="str">
        <f>IF(Tabela1[[#This Row],[Código]]="IBOV","^BVSP",IF(Tabela1[[#This Row],[Código]]="","",CONCATENATE(LEFT(Tabela1[[#This Row],[Código]],6),".SA")))</f>
        <v>ELET6.SA</v>
      </c>
      <c r="C65" s="3" t="s">
        <v>149</v>
      </c>
      <c r="D65" s="3" t="s">
        <v>590</v>
      </c>
      <c r="E65" s="3" t="s">
        <v>757</v>
      </c>
      <c r="F65" s="3" t="s">
        <v>301</v>
      </c>
      <c r="G65" s="3" t="s">
        <v>591</v>
      </c>
      <c r="H65" s="20">
        <v>41654</v>
      </c>
      <c r="J65" s="3">
        <f t="shared" si="7"/>
        <v>9.99</v>
      </c>
      <c r="K65" s="3">
        <f t="shared" si="7"/>
        <v>9.57</v>
      </c>
      <c r="L65" s="3">
        <f t="shared" si="7"/>
        <v>10</v>
      </c>
      <c r="M65" s="3">
        <f t="shared" si="7"/>
        <v>9.4600000000000009</v>
      </c>
      <c r="P65" s="27" t="s">
        <v>27</v>
      </c>
      <c r="Q65" s="10" t="str">
        <f t="shared" si="8"/>
        <v xml:space="preserve">ELETROBRAS  -PNB </v>
      </c>
      <c r="R65" s="57">
        <f t="shared" si="9"/>
        <v>41654</v>
      </c>
      <c r="S65" s="5">
        <f t="shared" si="10"/>
        <v>9.99</v>
      </c>
      <c r="T65" s="5">
        <f t="shared" si="11"/>
        <v>9.57</v>
      </c>
      <c r="U65" s="5">
        <f t="shared" si="12"/>
        <v>10</v>
      </c>
      <c r="V65" s="5">
        <f t="shared" si="13"/>
        <v>9.4600000000000009</v>
      </c>
    </row>
    <row r="66" spans="1:22">
      <c r="A66" s="36" t="str">
        <f>IF(Tabela1[[#This Row],[Código]]="IBOV","^BVSP",IF(Tabela1[[#This Row],[Código]]="","",CONCATENATE(LEFT(Tabela1[[#This Row],[Código]],6),".SA")))</f>
        <v>ELPL3.SA</v>
      </c>
      <c r="C66" s="3" t="s">
        <v>187</v>
      </c>
      <c r="D66" s="3" t="s">
        <v>151</v>
      </c>
      <c r="E66" s="3" t="s">
        <v>151</v>
      </c>
      <c r="F66" s="3" t="s">
        <v>151</v>
      </c>
      <c r="G66" s="3" t="s">
        <v>151</v>
      </c>
      <c r="H66" s="20">
        <v>41590</v>
      </c>
      <c r="J66" s="3">
        <f t="shared" si="7"/>
        <v>11</v>
      </c>
      <c r="K66" s="3">
        <f t="shared" si="7"/>
        <v>11</v>
      </c>
      <c r="L66" s="3">
        <f t="shared" si="7"/>
        <v>11</v>
      </c>
      <c r="M66" s="3">
        <f t="shared" si="7"/>
        <v>11</v>
      </c>
      <c r="P66" s="14" t="s">
        <v>186</v>
      </c>
      <c r="Q66" s="10" t="str">
        <f t="shared" si="8"/>
        <v xml:space="preserve">ELETROPAULO -ON  </v>
      </c>
      <c r="R66" s="57">
        <f t="shared" si="9"/>
        <v>41590</v>
      </c>
      <c r="S66" s="5">
        <f t="shared" si="10"/>
        <v>11</v>
      </c>
      <c r="T66" s="5">
        <f t="shared" si="11"/>
        <v>11</v>
      </c>
      <c r="U66" s="5">
        <f t="shared" si="12"/>
        <v>11</v>
      </c>
      <c r="V66" s="5">
        <f t="shared" si="13"/>
        <v>11</v>
      </c>
    </row>
    <row r="67" spans="1:22">
      <c r="A67" s="36" t="str">
        <f>IF(Tabela1[[#This Row],[Código]]="IBOV","^BVSP",IF(Tabela1[[#This Row],[Código]]="","",CONCATENATE(LEFT(Tabela1[[#This Row],[Código]],6),".SA")))</f>
        <v>ELPL4.SA</v>
      </c>
      <c r="C67" s="3" t="s">
        <v>150</v>
      </c>
      <c r="D67" s="3" t="s">
        <v>592</v>
      </c>
      <c r="E67" s="3" t="s">
        <v>727</v>
      </c>
      <c r="F67" s="3" t="s">
        <v>758</v>
      </c>
      <c r="G67" s="3" t="s">
        <v>594</v>
      </c>
      <c r="H67" s="20">
        <v>41654</v>
      </c>
      <c r="J67" s="3">
        <f t="shared" si="7"/>
        <v>8.9</v>
      </c>
      <c r="K67" s="3">
        <f t="shared" si="7"/>
        <v>9.15</v>
      </c>
      <c r="L67" s="3">
        <f t="shared" si="7"/>
        <v>9.19</v>
      </c>
      <c r="M67" s="3">
        <f t="shared" si="7"/>
        <v>8.89</v>
      </c>
      <c r="P67" s="47" t="s">
        <v>1</v>
      </c>
      <c r="Q67" s="10" t="str">
        <f t="shared" si="8"/>
        <v xml:space="preserve">ELETROPAULO -PN  </v>
      </c>
      <c r="R67" s="57">
        <f t="shared" si="9"/>
        <v>41654</v>
      </c>
      <c r="S67" s="5">
        <f t="shared" si="10"/>
        <v>8.9</v>
      </c>
      <c r="T67" s="5">
        <f t="shared" si="11"/>
        <v>9.15</v>
      </c>
      <c r="U67" s="5">
        <f t="shared" si="12"/>
        <v>9.19</v>
      </c>
      <c r="V67" s="5">
        <f t="shared" si="13"/>
        <v>8.89</v>
      </c>
    </row>
    <row r="68" spans="1:22">
      <c r="A68" s="36" t="str">
        <f>IF(Tabela1[[#This Row],[Código]]="IBOV","^BVSP",IF(Tabela1[[#This Row],[Código]]="","",CONCATENATE(LEFT(Tabela1[[#This Row],[Código]],6),".SA")))</f>
        <v>EMAE4.SA</v>
      </c>
      <c r="C68" s="3" t="s">
        <v>189</v>
      </c>
      <c r="D68" s="3" t="s">
        <v>495</v>
      </c>
      <c r="E68" s="3" t="s">
        <v>495</v>
      </c>
      <c r="F68" s="3" t="s">
        <v>495</v>
      </c>
      <c r="G68" s="3" t="s">
        <v>495</v>
      </c>
      <c r="H68" s="20">
        <v>41654</v>
      </c>
      <c r="J68" s="3">
        <f t="shared" si="7"/>
        <v>5.67</v>
      </c>
      <c r="K68" s="3">
        <f t="shared" si="7"/>
        <v>5.67</v>
      </c>
      <c r="L68" s="3">
        <f t="shared" si="7"/>
        <v>5.67</v>
      </c>
      <c r="M68" s="3">
        <f t="shared" si="7"/>
        <v>5.67</v>
      </c>
      <c r="P68" s="14" t="s">
        <v>188</v>
      </c>
      <c r="Q68" s="10" t="str">
        <f t="shared" si="8"/>
        <v>EMAE        -PN</v>
      </c>
      <c r="R68" s="50">
        <f t="shared" si="9"/>
        <v>41654</v>
      </c>
      <c r="S68" s="6">
        <f t="shared" si="10"/>
        <v>5.67</v>
      </c>
      <c r="T68" s="6">
        <f t="shared" si="11"/>
        <v>5.67</v>
      </c>
      <c r="U68" s="6">
        <f t="shared" si="12"/>
        <v>5.67</v>
      </c>
      <c r="V68" s="6">
        <f t="shared" si="13"/>
        <v>5.67</v>
      </c>
    </row>
    <row r="69" spans="1:22">
      <c r="A69" s="36" t="str">
        <f>IF(Tabela1[[#This Row],[Código]]="IBOV","^BVSP",IF(Tabela1[[#This Row],[Código]]="","",CONCATENATE(LEFT(Tabela1[[#This Row],[Código]],6),".SA")))</f>
        <v>ENBR3.SA</v>
      </c>
      <c r="C69" s="3" t="s">
        <v>152</v>
      </c>
      <c r="D69" s="3" t="s">
        <v>595</v>
      </c>
      <c r="E69" s="3" t="s">
        <v>759</v>
      </c>
      <c r="F69" s="3" t="s">
        <v>596</v>
      </c>
      <c r="G69" s="3" t="s">
        <v>597</v>
      </c>
      <c r="H69" s="20">
        <v>41654</v>
      </c>
      <c r="J69" s="3">
        <f t="shared" si="7"/>
        <v>10.39</v>
      </c>
      <c r="K69" s="3">
        <f t="shared" si="7"/>
        <v>10.25</v>
      </c>
      <c r="L69" s="3">
        <f t="shared" si="7"/>
        <v>10.43</v>
      </c>
      <c r="M69" s="3">
        <f t="shared" si="7"/>
        <v>10.220000000000001</v>
      </c>
      <c r="P69" s="14" t="s">
        <v>28</v>
      </c>
      <c r="Q69" s="10" t="str">
        <f t="shared" si="8"/>
        <v xml:space="preserve">ENERGIAS BR -ON  </v>
      </c>
      <c r="R69" s="57">
        <f t="shared" si="9"/>
        <v>41654</v>
      </c>
      <c r="S69" s="5">
        <f t="shared" si="10"/>
        <v>10.39</v>
      </c>
      <c r="T69" s="5">
        <f t="shared" si="11"/>
        <v>10.25</v>
      </c>
      <c r="U69" s="5">
        <f t="shared" si="12"/>
        <v>10.43</v>
      </c>
      <c r="V69" s="5">
        <f t="shared" si="13"/>
        <v>10.220000000000001</v>
      </c>
    </row>
    <row r="70" spans="1:22">
      <c r="A70" s="36" t="str">
        <f>IF(Tabela1[[#This Row],[Código]]="IBOV","^BVSP",IF(Tabela1[[#This Row],[Código]]="","",CONCATENATE(LEFT(Tabela1[[#This Row],[Código]],6),".SA")))</f>
        <v>ENGI11.SA</v>
      </c>
      <c r="C70" s="3" t="s">
        <v>153</v>
      </c>
      <c r="D70" s="3" t="s">
        <v>509</v>
      </c>
      <c r="E70" s="3" t="s">
        <v>509</v>
      </c>
      <c r="F70" s="3" t="s">
        <v>669</v>
      </c>
      <c r="G70" s="3" t="s">
        <v>509</v>
      </c>
      <c r="H70" s="20">
        <v>41654</v>
      </c>
      <c r="J70" s="3">
        <f t="shared" si="7"/>
        <v>12.4</v>
      </c>
      <c r="K70" s="3">
        <f t="shared" si="7"/>
        <v>12.4</v>
      </c>
      <c r="L70" s="3">
        <f t="shared" si="7"/>
        <v>12.49</v>
      </c>
      <c r="M70" s="3">
        <f t="shared" si="7"/>
        <v>12.4</v>
      </c>
      <c r="P70" s="14" t="s">
        <v>92</v>
      </c>
      <c r="Q70" s="10" t="str">
        <f t="shared" si="8"/>
        <v>ENERGISA    -UNT</v>
      </c>
      <c r="R70" s="57">
        <f t="shared" si="9"/>
        <v>41654</v>
      </c>
      <c r="S70" s="5">
        <f t="shared" si="10"/>
        <v>12.4</v>
      </c>
      <c r="T70" s="5">
        <f t="shared" si="11"/>
        <v>12.4</v>
      </c>
      <c r="U70" s="5">
        <f t="shared" si="12"/>
        <v>12.49</v>
      </c>
      <c r="V70" s="5">
        <f t="shared" si="13"/>
        <v>12.4</v>
      </c>
    </row>
    <row r="71" spans="1:22">
      <c r="A71" s="36" t="str">
        <f>IF(Tabela1[[#This Row],[Código]]="IBOV","^BVSP",IF(Tabela1[[#This Row],[Código]]="","",CONCATENATE(LEFT(Tabela1[[#This Row],[Código]],6),".SA")))</f>
        <v>ENGI3.SA</v>
      </c>
      <c r="C71" s="3" t="s">
        <v>191</v>
      </c>
      <c r="D71" s="3" t="s">
        <v>710</v>
      </c>
      <c r="E71" s="3" t="s">
        <v>711</v>
      </c>
      <c r="F71" s="3" t="s">
        <v>711</v>
      </c>
      <c r="G71" s="3" t="s">
        <v>710</v>
      </c>
      <c r="H71" s="20">
        <v>41654</v>
      </c>
      <c r="J71" s="3">
        <f t="shared" si="7"/>
        <v>3.15</v>
      </c>
      <c r="K71" s="3">
        <f t="shared" si="7"/>
        <v>3.4</v>
      </c>
      <c r="L71" s="3">
        <f t="shared" si="7"/>
        <v>3.4</v>
      </c>
      <c r="M71" s="3">
        <f t="shared" si="7"/>
        <v>3.15</v>
      </c>
      <c r="P71" s="14" t="s">
        <v>190</v>
      </c>
      <c r="Q71" s="10" t="str">
        <f t="shared" ref="Q71:Q102" si="14">IF(A71="","",C71)</f>
        <v>ENERGISA    -ON</v>
      </c>
      <c r="R71" s="57">
        <f t="shared" ref="R71:R102" si="15">IF(A71="","",H71)</f>
        <v>41654</v>
      </c>
      <c r="S71" s="5">
        <f t="shared" ref="S71:S102" si="16">J71</f>
        <v>3.15</v>
      </c>
      <c r="T71" s="5">
        <f t="shared" ref="T71:T102" si="17">K71</f>
        <v>3.4</v>
      </c>
      <c r="U71" s="5">
        <f t="shared" ref="U71:U102" si="18">L71</f>
        <v>3.4</v>
      </c>
      <c r="V71" s="5">
        <f t="shared" ref="V71:V102" si="19">M71</f>
        <v>3.15</v>
      </c>
    </row>
    <row r="72" spans="1:22">
      <c r="A72" s="36" t="str">
        <f>IF(Tabela1[[#This Row],[Código]]="IBOV","^BVSP",IF(Tabela1[[#This Row],[Código]]="","",CONCATENATE(LEFT(Tabela1[[#This Row],[Código]],6),".SA")))</f>
        <v>ENGI4.SA</v>
      </c>
      <c r="C72" s="3" t="s">
        <v>154</v>
      </c>
      <c r="D72" s="3" t="s">
        <v>712</v>
      </c>
      <c r="E72" s="3" t="s">
        <v>536</v>
      </c>
      <c r="F72" s="3" t="s">
        <v>712</v>
      </c>
      <c r="G72" s="3" t="s">
        <v>536</v>
      </c>
      <c r="H72" s="20">
        <v>41654</v>
      </c>
      <c r="J72" s="3">
        <f t="shared" ref="J72:M135" si="20">IF($A72="",0,VALUE(CONCATENATE(LEFT(D72,LEN(D72)-3),",",RIGHT(D72,2))))</f>
        <v>2.21</v>
      </c>
      <c r="K72" s="3">
        <f t="shared" si="20"/>
        <v>2.1</v>
      </c>
      <c r="L72" s="3">
        <f t="shared" si="20"/>
        <v>2.21</v>
      </c>
      <c r="M72" s="3">
        <f t="shared" si="20"/>
        <v>2.1</v>
      </c>
      <c r="P72" s="14" t="s">
        <v>67</v>
      </c>
      <c r="Q72" s="10" t="str">
        <f t="shared" si="14"/>
        <v>ENERGISA    -PN</v>
      </c>
      <c r="R72" s="50">
        <f t="shared" si="15"/>
        <v>41654</v>
      </c>
      <c r="S72" s="6">
        <f t="shared" si="16"/>
        <v>2.21</v>
      </c>
      <c r="T72" s="6">
        <f t="shared" si="17"/>
        <v>2.1</v>
      </c>
      <c r="U72" s="5">
        <f t="shared" si="18"/>
        <v>2.21</v>
      </c>
      <c r="V72" s="5">
        <f t="shared" si="19"/>
        <v>2.1</v>
      </c>
    </row>
    <row r="73" spans="1:22">
      <c r="A73" s="36" t="str">
        <f>IF(Tabela1[[#This Row],[Código]]="IBOV","^BVSP",IF(Tabela1[[#This Row],[Código]]="","",CONCATENATE(LEFT(Tabela1[[#This Row],[Código]],6),".SA")))</f>
        <v>ENMA3B.SA</v>
      </c>
      <c r="C73" s="3" t="s">
        <v>155</v>
      </c>
      <c r="D73" s="3" t="s">
        <v>598</v>
      </c>
      <c r="E73" s="3" t="s">
        <v>760</v>
      </c>
      <c r="F73" s="3" t="s">
        <v>760</v>
      </c>
      <c r="G73" s="3" t="s">
        <v>598</v>
      </c>
      <c r="H73" s="20">
        <v>41654</v>
      </c>
      <c r="J73" s="3">
        <f t="shared" si="20"/>
        <v>15</v>
      </c>
      <c r="K73" s="3">
        <f t="shared" si="20"/>
        <v>15.4</v>
      </c>
      <c r="L73" s="3">
        <f t="shared" si="20"/>
        <v>15.4</v>
      </c>
      <c r="M73" s="3">
        <f t="shared" si="20"/>
        <v>15</v>
      </c>
      <c r="P73" s="14" t="s">
        <v>102</v>
      </c>
      <c r="Q73" s="10" t="str">
        <f t="shared" si="14"/>
        <v xml:space="preserve">CEMAR       -ON  </v>
      </c>
      <c r="R73" s="57">
        <f t="shared" si="15"/>
        <v>41654</v>
      </c>
      <c r="S73" s="5">
        <f t="shared" si="16"/>
        <v>15</v>
      </c>
      <c r="T73" s="5">
        <f t="shared" si="17"/>
        <v>15.4</v>
      </c>
      <c r="U73" s="5">
        <f t="shared" si="18"/>
        <v>15.4</v>
      </c>
      <c r="V73" s="5">
        <f t="shared" si="19"/>
        <v>15</v>
      </c>
    </row>
    <row r="74" spans="1:22">
      <c r="A74" s="36" t="str">
        <f>IF(Tabela1[[#This Row],[Código]]="IBOV","^BVSP",IF(Tabela1[[#This Row],[Código]]="","",CONCATENATE(LEFT(Tabela1[[#This Row],[Código]],6),".SA")))</f>
        <v>EQTL3.SA</v>
      </c>
      <c r="C74" s="3" t="s">
        <v>156</v>
      </c>
      <c r="D74" s="3" t="s">
        <v>599</v>
      </c>
      <c r="E74" s="3" t="s">
        <v>761</v>
      </c>
      <c r="F74" s="3" t="s">
        <v>762</v>
      </c>
      <c r="G74" s="3" t="s">
        <v>599</v>
      </c>
      <c r="H74" s="20">
        <v>41654</v>
      </c>
      <c r="J74" s="3">
        <f t="shared" si="20"/>
        <v>22.9</v>
      </c>
      <c r="K74" s="3">
        <f t="shared" si="20"/>
        <v>23.65</v>
      </c>
      <c r="L74" s="3">
        <f t="shared" si="20"/>
        <v>23.8</v>
      </c>
      <c r="M74" s="3">
        <f t="shared" si="20"/>
        <v>22.9</v>
      </c>
      <c r="P74" s="27" t="s">
        <v>35</v>
      </c>
      <c r="Q74" s="10" t="str">
        <f t="shared" si="14"/>
        <v xml:space="preserve">EQUATORIAL  -ON  </v>
      </c>
      <c r="R74" s="57">
        <f t="shared" si="15"/>
        <v>41654</v>
      </c>
      <c r="S74" s="5">
        <f t="shared" si="16"/>
        <v>22.9</v>
      </c>
      <c r="T74" s="5">
        <f t="shared" si="17"/>
        <v>23.65</v>
      </c>
      <c r="U74" s="5">
        <f t="shared" si="18"/>
        <v>23.8</v>
      </c>
      <c r="V74" s="5">
        <f t="shared" si="19"/>
        <v>22.9</v>
      </c>
    </row>
    <row r="75" spans="1:22">
      <c r="A75" s="36" t="str">
        <f>IF(Tabela1[[#This Row],[Código]]="IBOV","^BVSP",IF(Tabela1[[#This Row],[Código]]="","",CONCATENATE(LEFT(Tabela1[[#This Row],[Código]],6),".SA")))</f>
        <v>FESA3.SA</v>
      </c>
      <c r="C75" s="3" t="s">
        <v>274</v>
      </c>
      <c r="D75" s="3" t="s">
        <v>271</v>
      </c>
      <c r="E75" s="3" t="s">
        <v>271</v>
      </c>
      <c r="F75" s="3" t="s">
        <v>271</v>
      </c>
      <c r="G75" s="3" t="s">
        <v>271</v>
      </c>
      <c r="H75" s="20">
        <v>41628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272</v>
      </c>
      <c r="Q75" s="10" t="str">
        <f t="shared" si="14"/>
        <v xml:space="preserve">FERBASA     -ON  </v>
      </c>
      <c r="R75" s="57">
        <f t="shared" si="15"/>
        <v>41628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6" t="str">
        <f>IF(Tabela1[[#This Row],[Código]]="IBOV","^BVSP",IF(Tabela1[[#This Row],[Código]]="","",CONCATENATE(LEFT(Tabela1[[#This Row],[Código]],6),".SA")))</f>
        <v>FESA4.SA</v>
      </c>
      <c r="C76" s="3" t="s">
        <v>273</v>
      </c>
      <c r="D76" s="3" t="s">
        <v>713</v>
      </c>
      <c r="E76" s="3" t="s">
        <v>714</v>
      </c>
      <c r="F76" s="3" t="s">
        <v>763</v>
      </c>
      <c r="G76" s="3" t="s">
        <v>715</v>
      </c>
      <c r="H76" s="20">
        <v>41654</v>
      </c>
      <c r="J76" s="3">
        <f t="shared" si="20"/>
        <v>12.23</v>
      </c>
      <c r="K76" s="3">
        <f t="shared" si="20"/>
        <v>12.35</v>
      </c>
      <c r="L76" s="3">
        <f t="shared" si="20"/>
        <v>12.38</v>
      </c>
      <c r="M76" s="3">
        <f t="shared" si="20"/>
        <v>12.22</v>
      </c>
      <c r="P76" s="15" t="s">
        <v>83</v>
      </c>
      <c r="Q76" s="10" t="str">
        <f t="shared" si="14"/>
        <v xml:space="preserve">FERBASA     -PN  </v>
      </c>
      <c r="R76" s="57">
        <f t="shared" si="15"/>
        <v>41654</v>
      </c>
      <c r="S76" s="5">
        <f t="shared" si="16"/>
        <v>12.23</v>
      </c>
      <c r="T76" s="5">
        <f t="shared" si="17"/>
        <v>12.35</v>
      </c>
      <c r="U76" s="5">
        <f t="shared" si="18"/>
        <v>12.38</v>
      </c>
      <c r="V76" s="5">
        <f t="shared" si="19"/>
        <v>12.22</v>
      </c>
    </row>
    <row r="77" spans="1:22">
      <c r="A77" s="36" t="str">
        <f>IF(Tabela1[[#This Row],[Código]]="IBOV","^BVSP",IF(Tabela1[[#This Row],[Código]]="","",CONCATENATE(LEFT(Tabela1[[#This Row],[Código]],6),".SA")))</f>
        <v>GEPA3.SA</v>
      </c>
      <c r="C77" s="3" t="s">
        <v>406</v>
      </c>
      <c r="D77" s="3" t="s">
        <v>182</v>
      </c>
      <c r="E77" s="3" t="s">
        <v>182</v>
      </c>
      <c r="F77" s="3" t="s">
        <v>182</v>
      </c>
      <c r="G77" s="3" t="s">
        <v>182</v>
      </c>
      <c r="H77" s="20">
        <v>41612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181</v>
      </c>
      <c r="Q77" s="10" t="str">
        <f t="shared" si="14"/>
        <v>GER PARANAP -ON</v>
      </c>
      <c r="R77" s="57">
        <f t="shared" si="15"/>
        <v>41612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6" t="str">
        <f>IF(Tabela1[[#This Row],[Código]]="IBOV","^BVSP",IF(Tabela1[[#This Row],[Código]]="","",CONCATENATE(LEFT(Tabela1[[#This Row],[Código]],6),".SA")))</f>
        <v>GEPA4.SA</v>
      </c>
      <c r="C78" s="3" t="s">
        <v>407</v>
      </c>
      <c r="D78" s="3" t="s">
        <v>510</v>
      </c>
      <c r="E78" s="3" t="s">
        <v>511</v>
      </c>
      <c r="F78" s="3" t="s">
        <v>511</v>
      </c>
      <c r="G78" s="3" t="s">
        <v>510</v>
      </c>
      <c r="H78" s="20">
        <v>41652</v>
      </c>
      <c r="J78" s="3">
        <f t="shared" si="20"/>
        <v>59.5</v>
      </c>
      <c r="K78" s="3">
        <f t="shared" si="20"/>
        <v>61.99</v>
      </c>
      <c r="L78" s="3">
        <f t="shared" si="20"/>
        <v>61.99</v>
      </c>
      <c r="M78" s="3">
        <f t="shared" si="20"/>
        <v>59.5</v>
      </c>
      <c r="P78" s="27" t="s">
        <v>38</v>
      </c>
      <c r="Q78" s="10" t="str">
        <f t="shared" si="14"/>
        <v>GER PARANAP -PN</v>
      </c>
      <c r="R78" s="57">
        <f t="shared" si="15"/>
        <v>41652</v>
      </c>
      <c r="S78" s="5">
        <f t="shared" si="16"/>
        <v>59.5</v>
      </c>
      <c r="T78" s="5">
        <f t="shared" si="17"/>
        <v>61.99</v>
      </c>
      <c r="U78" s="5">
        <f t="shared" si="18"/>
        <v>61.99</v>
      </c>
      <c r="V78" s="5">
        <f t="shared" si="19"/>
        <v>59.5</v>
      </c>
    </row>
    <row r="79" spans="1:22">
      <c r="A79" s="36" t="str">
        <f>IF(Tabela1[[#This Row],[Código]]="IBOV","^BVSP",IF(Tabela1[[#This Row],[Código]]="","",CONCATENATE(LEFT(Tabela1[[#This Row],[Código]],6),".SA")))</f>
        <v>GETI3.SA</v>
      </c>
      <c r="C79" s="3" t="s">
        <v>157</v>
      </c>
      <c r="D79" s="3" t="s">
        <v>528</v>
      </c>
      <c r="E79" s="3" t="s">
        <v>764</v>
      </c>
      <c r="F79" s="3" t="s">
        <v>537</v>
      </c>
      <c r="G79" s="3" t="s">
        <v>692</v>
      </c>
      <c r="H79" s="20">
        <v>41654</v>
      </c>
      <c r="J79" s="3">
        <f t="shared" si="20"/>
        <v>17.23</v>
      </c>
      <c r="K79" s="3">
        <f t="shared" si="20"/>
        <v>17.239999999999998</v>
      </c>
      <c r="L79" s="3">
        <f t="shared" si="20"/>
        <v>17.39</v>
      </c>
      <c r="M79" s="3">
        <f t="shared" si="20"/>
        <v>17.149999999999999</v>
      </c>
      <c r="P79" s="27" t="s">
        <v>29</v>
      </c>
      <c r="Q79" s="10" t="str">
        <f t="shared" si="14"/>
        <v>AES TIETE   -ON</v>
      </c>
      <c r="R79" s="57">
        <f t="shared" si="15"/>
        <v>41654</v>
      </c>
      <c r="S79" s="5">
        <f t="shared" si="16"/>
        <v>17.23</v>
      </c>
      <c r="T79" s="5">
        <f t="shared" si="17"/>
        <v>17.239999999999998</v>
      </c>
      <c r="U79" s="5">
        <f t="shared" si="18"/>
        <v>17.39</v>
      </c>
      <c r="V79" s="5">
        <f t="shared" si="19"/>
        <v>17.149999999999999</v>
      </c>
    </row>
    <row r="80" spans="1:22">
      <c r="A80" s="36" t="str">
        <f>IF(Tabela1[[#This Row],[Código]]="IBOV","^BVSP",IF(Tabela1[[#This Row],[Código]]="","",CONCATENATE(LEFT(Tabela1[[#This Row],[Código]],6),".SA")))</f>
        <v>GETI4.SA</v>
      </c>
      <c r="C80" s="3" t="s">
        <v>158</v>
      </c>
      <c r="D80" s="3" t="s">
        <v>600</v>
      </c>
      <c r="E80" s="3" t="s">
        <v>601</v>
      </c>
      <c r="F80" s="3" t="s">
        <v>765</v>
      </c>
      <c r="G80" s="3" t="s">
        <v>602</v>
      </c>
      <c r="H80" s="20">
        <v>41654</v>
      </c>
      <c r="J80" s="3">
        <f t="shared" si="20"/>
        <v>18.68</v>
      </c>
      <c r="K80" s="3">
        <f t="shared" si="20"/>
        <v>18.760000000000002</v>
      </c>
      <c r="L80" s="3">
        <f t="shared" si="20"/>
        <v>19.05</v>
      </c>
      <c r="M80" s="3">
        <f t="shared" si="20"/>
        <v>18.670000000000002</v>
      </c>
      <c r="P80" s="27" t="s">
        <v>33</v>
      </c>
      <c r="Q80" s="10" t="str">
        <f t="shared" si="14"/>
        <v>AES TIETE   -PN</v>
      </c>
      <c r="R80" s="57">
        <f t="shared" si="15"/>
        <v>41654</v>
      </c>
      <c r="S80" s="5">
        <f t="shared" si="16"/>
        <v>18.68</v>
      </c>
      <c r="T80" s="5">
        <f t="shared" si="17"/>
        <v>18.760000000000002</v>
      </c>
      <c r="U80" s="5">
        <f t="shared" si="18"/>
        <v>19.05</v>
      </c>
      <c r="V80" s="5">
        <f t="shared" si="19"/>
        <v>18.670000000000002</v>
      </c>
    </row>
    <row r="81" spans="1:22">
      <c r="A81" s="36" t="str">
        <f>IF(Tabela1[[#This Row],[Código]]="IBOV","^BVSP",IF(Tabela1[[#This Row],[Código]]="","",CONCATENATE(LEFT(Tabela1[[#This Row],[Código]],6),".SA")))</f>
        <v>GTDP3B.SA</v>
      </c>
      <c r="C81" s="3" t="s">
        <v>194</v>
      </c>
      <c r="D81" s="3" t="s">
        <v>361</v>
      </c>
      <c r="E81" s="3" t="s">
        <v>361</v>
      </c>
      <c r="F81" s="3" t="s">
        <v>361</v>
      </c>
      <c r="G81" s="3" t="s">
        <v>361</v>
      </c>
      <c r="H81" s="20">
        <v>41654</v>
      </c>
      <c r="J81" s="3">
        <f t="shared" si="20"/>
        <v>0.13</v>
      </c>
      <c r="K81" s="3">
        <f t="shared" si="20"/>
        <v>0.13</v>
      </c>
      <c r="L81" s="3">
        <f t="shared" si="20"/>
        <v>0.13</v>
      </c>
      <c r="M81" s="3">
        <f t="shared" si="20"/>
        <v>0.13</v>
      </c>
      <c r="P81" s="14" t="s">
        <v>192</v>
      </c>
      <c r="Q81" s="10" t="str">
        <f t="shared" si="14"/>
        <v xml:space="preserve">GTD PART    -ON  </v>
      </c>
      <c r="R81" s="57">
        <f t="shared" si="15"/>
        <v>41654</v>
      </c>
      <c r="S81" s="5">
        <f t="shared" si="16"/>
        <v>0.13</v>
      </c>
      <c r="T81" s="5">
        <f t="shared" si="17"/>
        <v>0.13</v>
      </c>
      <c r="U81" s="5">
        <f t="shared" si="18"/>
        <v>0.13</v>
      </c>
      <c r="V81" s="5">
        <f t="shared" si="19"/>
        <v>0.13</v>
      </c>
    </row>
    <row r="82" spans="1:22">
      <c r="A82" s="36" t="str">
        <f>IF(Tabela1[[#This Row],[Código]]="IBOV","^BVSP",IF(Tabela1[[#This Row],[Código]]="","",CONCATENATE(LEFT(Tabela1[[#This Row],[Código]],6),".SA")))</f>
        <v>GTDP4B.SA</v>
      </c>
      <c r="C82" s="3" t="s">
        <v>195</v>
      </c>
      <c r="D82" s="3" t="s">
        <v>361</v>
      </c>
      <c r="E82" s="3" t="s">
        <v>603</v>
      </c>
      <c r="F82" s="3" t="s">
        <v>361</v>
      </c>
      <c r="G82" s="3" t="s">
        <v>603</v>
      </c>
      <c r="H82" s="20">
        <v>41654</v>
      </c>
      <c r="J82" s="3">
        <f t="shared" si="20"/>
        <v>0.13</v>
      </c>
      <c r="K82" s="3">
        <f t="shared" si="20"/>
        <v>0.12</v>
      </c>
      <c r="L82" s="3">
        <f t="shared" si="20"/>
        <v>0.13</v>
      </c>
      <c r="M82" s="3">
        <f t="shared" si="20"/>
        <v>0.12</v>
      </c>
      <c r="P82" s="14" t="s">
        <v>193</v>
      </c>
      <c r="Q82" s="10" t="str">
        <f t="shared" si="14"/>
        <v xml:space="preserve">GTD PART    -PN  </v>
      </c>
      <c r="R82" s="57">
        <f t="shared" si="15"/>
        <v>41654</v>
      </c>
      <c r="S82" s="5">
        <f t="shared" si="16"/>
        <v>0.13</v>
      </c>
      <c r="T82" s="5">
        <f t="shared" si="17"/>
        <v>0.12</v>
      </c>
      <c r="U82" s="5">
        <f t="shared" si="18"/>
        <v>0.13</v>
      </c>
      <c r="V82" s="5">
        <f t="shared" si="19"/>
        <v>0.12</v>
      </c>
    </row>
    <row r="83" spans="1:22">
      <c r="A83" s="36" t="str">
        <f>IF(Tabela1[[#This Row],[Código]]="IBOV","^BVSP",IF(Tabela1[[#This Row],[Código]]="","",CONCATENATE(LEFT(Tabela1[[#This Row],[Código]],6),".SA")))</f>
        <v>ITSA3.SA</v>
      </c>
      <c r="C83" s="3" t="s">
        <v>267</v>
      </c>
      <c r="D83" s="3" t="s">
        <v>709</v>
      </c>
      <c r="E83" s="3" t="s">
        <v>766</v>
      </c>
      <c r="F83" s="3" t="s">
        <v>766</v>
      </c>
      <c r="G83" s="3" t="s">
        <v>716</v>
      </c>
      <c r="H83" s="20">
        <v>41654</v>
      </c>
      <c r="J83" s="3">
        <f t="shared" si="20"/>
        <v>10.33</v>
      </c>
      <c r="K83" s="3">
        <f t="shared" si="20"/>
        <v>10.56</v>
      </c>
      <c r="L83" s="3">
        <f t="shared" si="20"/>
        <v>10.56</v>
      </c>
      <c r="M83" s="3">
        <f t="shared" si="20"/>
        <v>10.14</v>
      </c>
      <c r="P83" s="15" t="s">
        <v>266</v>
      </c>
      <c r="Q83" s="10" t="str">
        <f t="shared" si="14"/>
        <v xml:space="preserve">ITAUSA      -ON  </v>
      </c>
      <c r="R83" s="57">
        <f t="shared" si="15"/>
        <v>41654</v>
      </c>
      <c r="S83" s="5">
        <f t="shared" si="16"/>
        <v>10.33</v>
      </c>
      <c r="T83" s="5">
        <f t="shared" si="17"/>
        <v>10.56</v>
      </c>
      <c r="U83" s="5">
        <f t="shared" si="18"/>
        <v>10.56</v>
      </c>
      <c r="V83" s="5">
        <f t="shared" si="19"/>
        <v>10.14</v>
      </c>
    </row>
    <row r="84" spans="1:22">
      <c r="A84" s="36" t="str">
        <f>IF(Tabela1[[#This Row],[Código]]="IBOV","^BVSP",IF(Tabela1[[#This Row],[Código]]="","",CONCATENATE(LEFT(Tabela1[[#This Row],[Código]],6),".SA")))</f>
        <v>ITSA4.SA</v>
      </c>
      <c r="C84" s="3" t="s">
        <v>159</v>
      </c>
      <c r="D84" s="3" t="s">
        <v>604</v>
      </c>
      <c r="E84" s="3" t="s">
        <v>717</v>
      </c>
      <c r="F84" s="3" t="s">
        <v>541</v>
      </c>
      <c r="G84" s="3" t="s">
        <v>717</v>
      </c>
      <c r="H84" s="49">
        <v>41654</v>
      </c>
      <c r="J84" s="3">
        <f t="shared" si="20"/>
        <v>8.73</v>
      </c>
      <c r="K84" s="3">
        <f t="shared" si="20"/>
        <v>8.6199999999999992</v>
      </c>
      <c r="L84" s="3">
        <f t="shared" si="20"/>
        <v>8.74</v>
      </c>
      <c r="M84" s="3">
        <f t="shared" si="20"/>
        <v>8.6199999999999992</v>
      </c>
      <c r="P84" s="15" t="s">
        <v>16</v>
      </c>
      <c r="Q84" s="10" t="str">
        <f t="shared" si="14"/>
        <v xml:space="preserve">ITAUSA      -PN  </v>
      </c>
      <c r="R84" s="57">
        <f t="shared" si="15"/>
        <v>41654</v>
      </c>
      <c r="S84" s="5">
        <f t="shared" si="16"/>
        <v>8.73</v>
      </c>
      <c r="T84" s="5">
        <f t="shared" si="17"/>
        <v>8.6199999999999992</v>
      </c>
      <c r="U84" s="5">
        <f t="shared" si="18"/>
        <v>8.74</v>
      </c>
      <c r="V84" s="5">
        <f t="shared" si="19"/>
        <v>8.6199999999999992</v>
      </c>
    </row>
    <row r="85" spans="1:22">
      <c r="A85" s="36" t="str">
        <f>IF(Tabela1[[#This Row],[Código]]="IBOV","^BVSP",IF(Tabela1[[#This Row],[Código]]="","",CONCATENATE(LEFT(Tabela1[[#This Row],[Código]],6),".SA")))</f>
        <v>ITUB3.SA</v>
      </c>
      <c r="C85" s="3" t="s">
        <v>265</v>
      </c>
      <c r="D85" s="3" t="s">
        <v>605</v>
      </c>
      <c r="E85" s="3" t="s">
        <v>605</v>
      </c>
      <c r="F85" s="3" t="s">
        <v>606</v>
      </c>
      <c r="G85" s="3" t="s">
        <v>767</v>
      </c>
      <c r="H85" s="49">
        <v>41654</v>
      </c>
      <c r="J85" s="3">
        <f t="shared" si="20"/>
        <v>28.99</v>
      </c>
      <c r="K85" s="3">
        <f t="shared" si="20"/>
        <v>28.99</v>
      </c>
      <c r="L85" s="3">
        <f t="shared" si="20"/>
        <v>29.05</v>
      </c>
      <c r="M85" s="3">
        <f t="shared" si="20"/>
        <v>28.75</v>
      </c>
      <c r="P85" s="10" t="s">
        <v>264</v>
      </c>
      <c r="Q85" s="10" t="str">
        <f t="shared" si="14"/>
        <v xml:space="preserve">ITAUUNIBANCO-ON  </v>
      </c>
      <c r="R85" s="57">
        <f t="shared" si="15"/>
        <v>41654</v>
      </c>
      <c r="S85" s="5">
        <f t="shared" si="16"/>
        <v>28.99</v>
      </c>
      <c r="T85" s="5">
        <f t="shared" si="17"/>
        <v>28.99</v>
      </c>
      <c r="U85" s="5">
        <f t="shared" si="18"/>
        <v>29.05</v>
      </c>
      <c r="V85" s="5">
        <f t="shared" si="19"/>
        <v>28.75</v>
      </c>
    </row>
    <row r="86" spans="1:22">
      <c r="A86" s="36" t="str">
        <f>IF(Tabela1[[#This Row],[Código]]="IBOV","^BVSP",IF(Tabela1[[#This Row],[Código]]="","",CONCATENATE(LEFT(Tabela1[[#This Row],[Código]],6),".SA")))</f>
        <v>ITUB4.SA</v>
      </c>
      <c r="C86" s="3" t="s">
        <v>160</v>
      </c>
      <c r="D86" s="3" t="s">
        <v>607</v>
      </c>
      <c r="E86" s="3" t="s">
        <v>768</v>
      </c>
      <c r="F86" s="3" t="s">
        <v>607</v>
      </c>
      <c r="G86" s="3" t="s">
        <v>769</v>
      </c>
      <c r="H86" s="49">
        <v>41654</v>
      </c>
      <c r="J86" s="3">
        <f t="shared" si="20"/>
        <v>31.5</v>
      </c>
      <c r="K86" s="3">
        <f t="shared" si="20"/>
        <v>31.25</v>
      </c>
      <c r="L86" s="3">
        <f t="shared" si="20"/>
        <v>31.5</v>
      </c>
      <c r="M86" s="3">
        <f t="shared" si="20"/>
        <v>31.17</v>
      </c>
      <c r="P86" s="10" t="s">
        <v>85</v>
      </c>
      <c r="Q86" s="10" t="str">
        <f t="shared" si="14"/>
        <v xml:space="preserve">ITAUUNIBANCO-PN  </v>
      </c>
      <c r="R86" s="57">
        <f t="shared" si="15"/>
        <v>41654</v>
      </c>
      <c r="S86" s="5">
        <f t="shared" si="16"/>
        <v>31.5</v>
      </c>
      <c r="T86" s="5">
        <f t="shared" si="17"/>
        <v>31.25</v>
      </c>
      <c r="U86" s="5">
        <f t="shared" si="18"/>
        <v>31.5</v>
      </c>
      <c r="V86" s="5">
        <f t="shared" si="19"/>
        <v>31.17</v>
      </c>
    </row>
    <row r="87" spans="1:22">
      <c r="A87" s="36" t="str">
        <f>IF(Tabela1[[#This Row],[Código]]="IBOV","^BVSP",IF(Tabela1[[#This Row],[Código]]="","",CONCATENATE(LEFT(Tabela1[[#This Row],[Código]],6),".SA")))</f>
        <v>KLBN3.SA</v>
      </c>
      <c r="C87" s="3" t="s">
        <v>209</v>
      </c>
      <c r="D87" s="3" t="s">
        <v>151</v>
      </c>
      <c r="E87" s="3" t="s">
        <v>151</v>
      </c>
      <c r="F87" s="3" t="s">
        <v>151</v>
      </c>
      <c r="G87" s="3" t="s">
        <v>151</v>
      </c>
      <c r="H87" s="49">
        <v>41613</v>
      </c>
      <c r="J87" s="3">
        <f t="shared" si="20"/>
        <v>11</v>
      </c>
      <c r="K87" s="3">
        <f t="shared" si="20"/>
        <v>11</v>
      </c>
      <c r="L87" s="3">
        <f t="shared" si="20"/>
        <v>11</v>
      </c>
      <c r="M87" s="3">
        <f t="shared" si="20"/>
        <v>11</v>
      </c>
      <c r="P87" s="15" t="s">
        <v>208</v>
      </c>
      <c r="Q87" s="10" t="str">
        <f t="shared" si="14"/>
        <v xml:space="preserve">KLABIN S/A  -ON  </v>
      </c>
      <c r="R87" s="57">
        <f t="shared" si="15"/>
        <v>41613</v>
      </c>
      <c r="S87" s="5">
        <f t="shared" si="16"/>
        <v>11</v>
      </c>
      <c r="T87" s="5">
        <f t="shared" si="17"/>
        <v>11</v>
      </c>
      <c r="U87" s="5">
        <f t="shared" si="18"/>
        <v>11</v>
      </c>
      <c r="V87" s="5">
        <f t="shared" si="19"/>
        <v>11</v>
      </c>
    </row>
    <row r="88" spans="1:22">
      <c r="A88" s="36" t="str">
        <f>IF(Tabela1[[#This Row],[Código]]="IBOV","^BVSP",IF(Tabela1[[#This Row],[Código]]="","",CONCATENATE(LEFT(Tabela1[[#This Row],[Código]],6),".SA")))</f>
        <v>KLBN4.SA</v>
      </c>
      <c r="C88" s="3" t="s">
        <v>161</v>
      </c>
      <c r="D88" s="3" t="s">
        <v>538</v>
      </c>
      <c r="E88" s="3" t="s">
        <v>608</v>
      </c>
      <c r="F88" s="3" t="s">
        <v>718</v>
      </c>
      <c r="G88" s="3" t="s">
        <v>538</v>
      </c>
      <c r="H88" s="49">
        <v>41654</v>
      </c>
      <c r="J88" s="3">
        <f t="shared" si="20"/>
        <v>12.53</v>
      </c>
      <c r="K88" s="3">
        <f t="shared" si="20"/>
        <v>12.71</v>
      </c>
      <c r="L88" s="3">
        <f t="shared" si="20"/>
        <v>12.84</v>
      </c>
      <c r="M88" s="3">
        <f t="shared" si="20"/>
        <v>12.53</v>
      </c>
      <c r="P88" s="15" t="s">
        <v>55</v>
      </c>
      <c r="Q88" s="10" t="str">
        <f t="shared" si="14"/>
        <v xml:space="preserve">KLABIN S/A  -PN  </v>
      </c>
      <c r="R88" s="57">
        <f t="shared" si="15"/>
        <v>41654</v>
      </c>
      <c r="S88" s="5">
        <f t="shared" si="16"/>
        <v>12.53</v>
      </c>
      <c r="T88" s="5">
        <f t="shared" si="17"/>
        <v>12.71</v>
      </c>
      <c r="U88" s="5">
        <f t="shared" si="18"/>
        <v>12.84</v>
      </c>
      <c r="V88" s="5">
        <f t="shared" si="19"/>
        <v>12.53</v>
      </c>
    </row>
    <row r="89" spans="1:22">
      <c r="A89" s="36" t="str">
        <f>IF(Tabela1[[#This Row],[Código]]="IBOV","^BVSP",IF(Tabela1[[#This Row],[Código]]="","",CONCATENATE(LEFT(Tabela1[[#This Row],[Código]],6),".SA")))</f>
        <v>LIGT3.SA</v>
      </c>
      <c r="C89" s="3" t="s">
        <v>162</v>
      </c>
      <c r="D89" s="3" t="s">
        <v>489</v>
      </c>
      <c r="E89" s="3" t="s">
        <v>770</v>
      </c>
      <c r="F89" s="3" t="s">
        <v>609</v>
      </c>
      <c r="G89" s="3" t="s">
        <v>610</v>
      </c>
      <c r="H89" s="49">
        <v>41654</v>
      </c>
      <c r="J89" s="3">
        <f t="shared" si="20"/>
        <v>20.8</v>
      </c>
      <c r="K89" s="3">
        <f t="shared" si="20"/>
        <v>20.61</v>
      </c>
      <c r="L89" s="3">
        <f t="shared" si="20"/>
        <v>20.97</v>
      </c>
      <c r="M89" s="3">
        <f t="shared" si="20"/>
        <v>20.55</v>
      </c>
      <c r="P89" s="47" t="s">
        <v>56</v>
      </c>
      <c r="Q89" s="10" t="str">
        <f t="shared" si="14"/>
        <v xml:space="preserve">LIGHT S/A   -ON  </v>
      </c>
      <c r="R89" s="57">
        <f t="shared" si="15"/>
        <v>41654</v>
      </c>
      <c r="S89" s="5">
        <f t="shared" si="16"/>
        <v>20.8</v>
      </c>
      <c r="T89" s="5">
        <f t="shared" si="17"/>
        <v>20.61</v>
      </c>
      <c r="U89" s="5">
        <f t="shared" si="18"/>
        <v>20.97</v>
      </c>
      <c r="V89" s="5">
        <f t="shared" si="19"/>
        <v>20.55</v>
      </c>
    </row>
    <row r="90" spans="1:22">
      <c r="A90" s="36" t="str">
        <f>IF(Tabela1[[#This Row],[Código]]="IBOV","^BVSP",IF(Tabela1[[#This Row],[Código]]="","",CONCATENATE(LEFT(Tabela1[[#This Row],[Código]],6),".SA")))</f>
        <v>LIPR3.SA</v>
      </c>
      <c r="C90" s="3" t="s">
        <v>184</v>
      </c>
      <c r="D90" s="3" t="s">
        <v>185</v>
      </c>
      <c r="E90" s="3" t="s">
        <v>394</v>
      </c>
      <c r="F90" s="3" t="s">
        <v>394</v>
      </c>
      <c r="G90" s="3" t="s">
        <v>185</v>
      </c>
      <c r="H90" s="49">
        <v>41642</v>
      </c>
      <c r="J90" s="3">
        <f t="shared" si="20"/>
        <v>49.45</v>
      </c>
      <c r="K90" s="3">
        <f t="shared" si="20"/>
        <v>49.6</v>
      </c>
      <c r="L90" s="3">
        <f t="shared" si="20"/>
        <v>49.6</v>
      </c>
      <c r="M90" s="3">
        <f t="shared" si="20"/>
        <v>49.45</v>
      </c>
      <c r="P90" s="14" t="s">
        <v>183</v>
      </c>
      <c r="Q90" s="10" t="str">
        <f t="shared" si="14"/>
        <v>ELETROPAR   -ON</v>
      </c>
      <c r="R90" s="57">
        <f t="shared" si="15"/>
        <v>41642</v>
      </c>
      <c r="S90" s="5">
        <f t="shared" si="16"/>
        <v>49.45</v>
      </c>
      <c r="T90" s="5">
        <f t="shared" si="17"/>
        <v>49.6</v>
      </c>
      <c r="U90" s="5">
        <f t="shared" si="18"/>
        <v>49.6</v>
      </c>
      <c r="V90" s="5">
        <f t="shared" si="19"/>
        <v>49.45</v>
      </c>
    </row>
    <row r="91" spans="1:22">
      <c r="A91" s="36" t="str">
        <f>IF(Tabela1[[#This Row],[Código]]="IBOV","^BVSP",IF(Tabela1[[#This Row],[Código]]="","",CONCATENATE(LEFT(Tabela1[[#This Row],[Código]],6),".SA")))</f>
        <v>PINE4.SA</v>
      </c>
      <c r="C91" s="3" t="s">
        <v>163</v>
      </c>
      <c r="D91" s="3" t="s">
        <v>611</v>
      </c>
      <c r="E91" s="80" t="s">
        <v>531</v>
      </c>
      <c r="F91" s="80" t="s">
        <v>539</v>
      </c>
      <c r="G91" s="3" t="s">
        <v>717</v>
      </c>
      <c r="H91" s="49">
        <v>41654</v>
      </c>
      <c r="J91" s="3">
        <f t="shared" si="20"/>
        <v>8.7200000000000006</v>
      </c>
      <c r="K91" s="3">
        <f t="shared" si="20"/>
        <v>8.6999999999999993</v>
      </c>
      <c r="L91" s="3">
        <f t="shared" si="20"/>
        <v>8.76</v>
      </c>
      <c r="M91" s="3">
        <f t="shared" si="20"/>
        <v>8.6199999999999992</v>
      </c>
      <c r="P91" s="10" t="s">
        <v>78</v>
      </c>
      <c r="Q91" s="10" t="str">
        <f t="shared" si="14"/>
        <v xml:space="preserve">PINE        -PN  </v>
      </c>
      <c r="R91" s="57">
        <f t="shared" si="15"/>
        <v>41654</v>
      </c>
      <c r="S91" s="5">
        <f t="shared" si="16"/>
        <v>8.7200000000000006</v>
      </c>
      <c r="T91" s="5">
        <f t="shared" si="17"/>
        <v>8.6999999999999993</v>
      </c>
      <c r="U91" s="5">
        <f t="shared" si="18"/>
        <v>8.76</v>
      </c>
      <c r="V91" s="5">
        <f t="shared" si="19"/>
        <v>8.6199999999999992</v>
      </c>
    </row>
    <row r="92" spans="1:22">
      <c r="A92" s="36" t="str">
        <f>IF(Tabela1[[#This Row],[Código]]="IBOV","^BVSP",IF(Tabela1[[#This Row],[Código]]="","",CONCATENATE(LEFT(Tabela1[[#This Row],[Código]],6),".SA")))</f>
        <v>PRBC4.SA</v>
      </c>
      <c r="C92" s="3" t="s">
        <v>164</v>
      </c>
      <c r="D92" s="3" t="s">
        <v>612</v>
      </c>
      <c r="E92" s="3" t="s">
        <v>771</v>
      </c>
      <c r="F92" s="3" t="s">
        <v>516</v>
      </c>
      <c r="G92" s="3" t="s">
        <v>771</v>
      </c>
      <c r="H92" s="49">
        <v>41654</v>
      </c>
      <c r="J92" s="3">
        <f t="shared" si="20"/>
        <v>11.66</v>
      </c>
      <c r="K92" s="3">
        <f t="shared" si="20"/>
        <v>11.32</v>
      </c>
      <c r="L92" s="3">
        <f t="shared" si="20"/>
        <v>11.8</v>
      </c>
      <c r="M92" s="3">
        <f t="shared" si="20"/>
        <v>11.32</v>
      </c>
      <c r="P92" s="16" t="s">
        <v>87</v>
      </c>
      <c r="Q92" s="10" t="str">
        <f t="shared" si="14"/>
        <v xml:space="preserve">PARANA      -PN  </v>
      </c>
      <c r="R92" s="57">
        <f t="shared" si="15"/>
        <v>41654</v>
      </c>
      <c r="S92" s="5">
        <f t="shared" si="16"/>
        <v>11.66</v>
      </c>
      <c r="T92" s="5">
        <f t="shared" si="17"/>
        <v>11.32</v>
      </c>
      <c r="U92" s="5">
        <f t="shared" si="18"/>
        <v>11.8</v>
      </c>
      <c r="V92" s="5">
        <f t="shared" si="19"/>
        <v>11.32</v>
      </c>
    </row>
    <row r="93" spans="1:22">
      <c r="A93" s="36" t="str">
        <f>IF(Tabela1[[#This Row],[Código]]="IBOV","^BVSP",IF(Tabela1[[#This Row],[Código]]="","",CONCATENATE(LEFT(Tabela1[[#This Row],[Código]],6),".SA")))</f>
        <v>PSSA3.SA</v>
      </c>
      <c r="C93" s="3" t="s">
        <v>269</v>
      </c>
      <c r="D93" s="3" t="s">
        <v>520</v>
      </c>
      <c r="E93" s="3" t="s">
        <v>772</v>
      </c>
      <c r="F93" s="3" t="s">
        <v>773</v>
      </c>
      <c r="G93" s="3" t="s">
        <v>520</v>
      </c>
      <c r="H93" s="49">
        <v>41654</v>
      </c>
      <c r="J93" s="3">
        <f t="shared" si="20"/>
        <v>28.35</v>
      </c>
      <c r="K93" s="3">
        <f t="shared" si="20"/>
        <v>29</v>
      </c>
      <c r="L93" s="3">
        <f t="shared" si="20"/>
        <v>29.34</v>
      </c>
      <c r="M93" s="3">
        <f t="shared" si="20"/>
        <v>28.35</v>
      </c>
      <c r="P93" s="16" t="s">
        <v>268</v>
      </c>
      <c r="Q93" s="10" t="str">
        <f t="shared" si="14"/>
        <v xml:space="preserve">PORTO SEGURO-ON  </v>
      </c>
      <c r="R93" s="57">
        <f t="shared" si="15"/>
        <v>41654</v>
      </c>
      <c r="S93" s="5">
        <f t="shared" si="16"/>
        <v>28.35</v>
      </c>
      <c r="T93" s="5">
        <f t="shared" si="17"/>
        <v>29</v>
      </c>
      <c r="U93" s="5">
        <f t="shared" si="18"/>
        <v>29.34</v>
      </c>
      <c r="V93" s="5">
        <f t="shared" si="19"/>
        <v>28.35</v>
      </c>
    </row>
    <row r="94" spans="1:22">
      <c r="A94" s="36" t="str">
        <f>IF(Tabela1[[#This Row],[Código]]="IBOV","^BVSP",IF(Tabela1[[#This Row],[Código]]="","",CONCATENATE(LEFT(Tabela1[[#This Row],[Código]],6),".SA")))</f>
        <v>RANI3.SA</v>
      </c>
      <c r="C94" s="3" t="s">
        <v>206</v>
      </c>
      <c r="D94" s="3" t="s">
        <v>613</v>
      </c>
      <c r="E94" s="3" t="s">
        <v>774</v>
      </c>
      <c r="F94" s="3" t="s">
        <v>476</v>
      </c>
      <c r="G94" s="3" t="s">
        <v>613</v>
      </c>
      <c r="H94" s="49">
        <v>41654</v>
      </c>
      <c r="J94" s="3">
        <f t="shared" si="20"/>
        <v>3.2</v>
      </c>
      <c r="K94" s="3">
        <f t="shared" si="20"/>
        <v>3.25</v>
      </c>
      <c r="L94" s="3">
        <f t="shared" si="20"/>
        <v>3.3</v>
      </c>
      <c r="M94" s="3">
        <f t="shared" si="20"/>
        <v>3.2</v>
      </c>
      <c r="P94" s="14" t="s">
        <v>204</v>
      </c>
      <c r="Q94" s="10" t="str">
        <f t="shared" si="14"/>
        <v>CELUL IRANI -ON</v>
      </c>
      <c r="R94" s="57">
        <f t="shared" si="15"/>
        <v>41654</v>
      </c>
      <c r="S94" s="5">
        <f t="shared" si="16"/>
        <v>3.2</v>
      </c>
      <c r="T94" s="5">
        <f t="shared" si="17"/>
        <v>3.25</v>
      </c>
      <c r="U94" s="5">
        <f t="shared" si="18"/>
        <v>3.3</v>
      </c>
      <c r="V94" s="5">
        <f t="shared" si="19"/>
        <v>3.2</v>
      </c>
    </row>
    <row r="95" spans="1:22">
      <c r="A95" s="36" t="str">
        <f>IF(Tabela1[[#This Row],[Código]]="IBOV","^BVSP",IF(Tabela1[[#This Row],[Código]]="","",CONCATENATE(LEFT(Tabela1[[#This Row],[Código]],6),".SA")))</f>
        <v>RANI4.SA</v>
      </c>
      <c r="C95" s="3" t="s">
        <v>207</v>
      </c>
      <c r="D95" s="3" t="s">
        <v>719</v>
      </c>
      <c r="E95" s="3" t="s">
        <v>719</v>
      </c>
      <c r="F95" s="3" t="s">
        <v>719</v>
      </c>
      <c r="G95" s="3" t="s">
        <v>719</v>
      </c>
      <c r="H95" s="49">
        <v>41654</v>
      </c>
      <c r="J95" s="3">
        <f t="shared" si="20"/>
        <v>3.36</v>
      </c>
      <c r="K95" s="3">
        <f t="shared" si="20"/>
        <v>3.36</v>
      </c>
      <c r="L95" s="3">
        <f t="shared" si="20"/>
        <v>3.36</v>
      </c>
      <c r="M95" s="3">
        <f t="shared" si="20"/>
        <v>3.36</v>
      </c>
      <c r="P95" s="14" t="s">
        <v>205</v>
      </c>
      <c r="Q95" s="10" t="str">
        <f t="shared" si="14"/>
        <v>CELUL IRANI -PN</v>
      </c>
      <c r="R95" s="57">
        <f t="shared" si="15"/>
        <v>41654</v>
      </c>
      <c r="S95" s="5">
        <f t="shared" si="16"/>
        <v>3.36</v>
      </c>
      <c r="T95" s="5">
        <f t="shared" si="17"/>
        <v>3.36</v>
      </c>
      <c r="U95" s="5">
        <f t="shared" si="18"/>
        <v>3.36</v>
      </c>
      <c r="V95" s="5">
        <f t="shared" si="19"/>
        <v>3.36</v>
      </c>
    </row>
    <row r="96" spans="1:22">
      <c r="A96" s="36" t="str">
        <f>IF(Tabela1[[#This Row],[Código]]="IBOV","^BVSP",IF(Tabela1[[#This Row],[Código]]="","",CONCATENATE(LEFT(Tabela1[[#This Row],[Código]],6),".SA")))</f>
        <v>RDTR3.SA</v>
      </c>
      <c r="C96" s="3" t="s">
        <v>165</v>
      </c>
      <c r="D96" s="3" t="s">
        <v>453</v>
      </c>
      <c r="E96" s="3" t="s">
        <v>119</v>
      </c>
      <c r="F96" s="3" t="s">
        <v>119</v>
      </c>
      <c r="G96" s="3" t="s">
        <v>453</v>
      </c>
      <c r="H96" s="57">
        <v>41646</v>
      </c>
      <c r="J96" s="3">
        <f t="shared" si="20"/>
        <v>5.95</v>
      </c>
      <c r="K96" s="3">
        <f t="shared" si="20"/>
        <v>5.96</v>
      </c>
      <c r="L96" s="3">
        <f t="shared" si="20"/>
        <v>5.96</v>
      </c>
      <c r="M96" s="3">
        <f t="shared" si="20"/>
        <v>5.95</v>
      </c>
      <c r="P96" s="14" t="s">
        <v>68</v>
      </c>
      <c r="Q96" s="10" t="str">
        <f t="shared" si="14"/>
        <v>REDENTOR    -ON</v>
      </c>
      <c r="R96" s="57">
        <f t="shared" si="15"/>
        <v>41646</v>
      </c>
      <c r="S96" s="5">
        <f t="shared" si="16"/>
        <v>5.95</v>
      </c>
      <c r="T96" s="5">
        <f t="shared" si="17"/>
        <v>5.96</v>
      </c>
      <c r="U96" s="5">
        <f t="shared" si="18"/>
        <v>5.96</v>
      </c>
      <c r="V96" s="5">
        <f t="shared" si="19"/>
        <v>5.95</v>
      </c>
    </row>
    <row r="97" spans="1:22">
      <c r="A97" s="36" t="str">
        <f>IF(Tabela1[[#This Row],[Código]]="IBOV","^BVSP",IF(Tabela1[[#This Row],[Código]]="","",CONCATENATE(LEFT(Tabela1[[#This Row],[Código]],6),".SA")))</f>
        <v>RPAD3.SA</v>
      </c>
      <c r="C97" s="3" t="s">
        <v>215</v>
      </c>
      <c r="D97" s="3" t="s">
        <v>216</v>
      </c>
      <c r="E97" s="3" t="s">
        <v>216</v>
      </c>
      <c r="F97" s="3" t="s">
        <v>216</v>
      </c>
      <c r="G97" s="3" t="s">
        <v>216</v>
      </c>
      <c r="H97" s="57">
        <v>41619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213</v>
      </c>
      <c r="Q97" s="10" t="str">
        <f t="shared" si="14"/>
        <v>ALFA HOLDING-ON</v>
      </c>
      <c r="R97" s="57">
        <f t="shared" si="15"/>
        <v>41619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>
      <c r="A98" s="36" t="str">
        <f>IF(Tabela1[[#This Row],[Código]]="IBOV","^BVSP",IF(Tabela1[[#This Row],[Código]]="","",CONCATENATE(LEFT(Tabela1[[#This Row],[Código]],6),".SA")))</f>
        <v>RPAD5.SA</v>
      </c>
      <c r="C98" s="3" t="s">
        <v>166</v>
      </c>
      <c r="D98" s="3" t="s">
        <v>506</v>
      </c>
      <c r="E98" s="3" t="s">
        <v>513</v>
      </c>
      <c r="F98" s="3" t="s">
        <v>513</v>
      </c>
      <c r="G98" s="3" t="s">
        <v>506</v>
      </c>
      <c r="H98" s="57">
        <v>41652</v>
      </c>
      <c r="J98" s="3">
        <f t="shared" si="20"/>
        <v>5.26</v>
      </c>
      <c r="K98" s="3">
        <f t="shared" si="20"/>
        <v>6.8</v>
      </c>
      <c r="L98" s="3">
        <f t="shared" si="20"/>
        <v>6.8</v>
      </c>
      <c r="M98" s="3">
        <f t="shared" si="20"/>
        <v>5.26</v>
      </c>
      <c r="P98" s="15" t="s">
        <v>80</v>
      </c>
      <c r="Q98" s="10" t="str">
        <f t="shared" si="14"/>
        <v>ALFA HOLDING-PNA</v>
      </c>
      <c r="R98" s="57">
        <f t="shared" si="15"/>
        <v>41652</v>
      </c>
      <c r="S98" s="5">
        <f t="shared" si="16"/>
        <v>5.26</v>
      </c>
      <c r="T98" s="5">
        <f t="shared" si="17"/>
        <v>6.8</v>
      </c>
      <c r="U98" s="5">
        <f t="shared" si="18"/>
        <v>6.8</v>
      </c>
      <c r="V98" s="5">
        <f t="shared" si="19"/>
        <v>5.26</v>
      </c>
    </row>
    <row r="99" spans="1:22">
      <c r="A99" s="36" t="str">
        <f>IF(Tabela1[[#This Row],[Código]]="IBOV","^BVSP",IF(Tabela1[[#This Row],[Código]]="","",CONCATENATE(LEFT(Tabela1[[#This Row],[Código]],6),".SA")))</f>
        <v>RPAD6.SA</v>
      </c>
      <c r="C99" s="3" t="s">
        <v>217</v>
      </c>
      <c r="D99" s="3" t="s">
        <v>491</v>
      </c>
      <c r="E99" s="3" t="s">
        <v>491</v>
      </c>
      <c r="F99" s="3" t="s">
        <v>491</v>
      </c>
      <c r="G99" s="3" t="s">
        <v>491</v>
      </c>
      <c r="H99" s="57">
        <v>41652</v>
      </c>
      <c r="J99" s="3">
        <f t="shared" si="20"/>
        <v>2.99</v>
      </c>
      <c r="K99" s="3">
        <f t="shared" si="20"/>
        <v>2.99</v>
      </c>
      <c r="L99" s="3">
        <f t="shared" si="20"/>
        <v>2.99</v>
      </c>
      <c r="M99" s="3">
        <f t="shared" si="20"/>
        <v>2.99</v>
      </c>
      <c r="P99" s="15" t="s">
        <v>214</v>
      </c>
      <c r="Q99" s="10" t="str">
        <f t="shared" si="14"/>
        <v>ALFA HOLDING-PNB</v>
      </c>
      <c r="R99" s="57">
        <f t="shared" si="15"/>
        <v>41652</v>
      </c>
      <c r="S99" s="5">
        <f t="shared" si="16"/>
        <v>2.99</v>
      </c>
      <c r="T99" s="5">
        <f t="shared" si="17"/>
        <v>2.99</v>
      </c>
      <c r="U99" s="5">
        <f t="shared" si="18"/>
        <v>2.99</v>
      </c>
      <c r="V99" s="5">
        <f t="shared" si="19"/>
        <v>2.99</v>
      </c>
    </row>
    <row r="100" spans="1:22">
      <c r="A100" s="36" t="str">
        <f>IF(Tabela1[[#This Row],[Código]]="IBOV","^BVSP",IF(Tabela1[[#This Row],[Código]]="","",CONCATENATE(LEFT(Tabela1[[#This Row],[Código]],6),".SA")))</f>
        <v>SAPR3.SA</v>
      </c>
      <c r="C100" s="3" t="s">
        <v>408</v>
      </c>
      <c r="D100" s="3" t="s">
        <v>203</v>
      </c>
      <c r="E100" s="3" t="s">
        <v>203</v>
      </c>
      <c r="F100" s="3" t="s">
        <v>203</v>
      </c>
      <c r="G100" s="3" t="s">
        <v>203</v>
      </c>
      <c r="H100" s="57">
        <v>41556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202</v>
      </c>
      <c r="Q100" s="10" t="str">
        <f t="shared" si="14"/>
        <v xml:space="preserve">SANEPAR     -ON  </v>
      </c>
      <c r="R100" s="57">
        <f t="shared" si="15"/>
        <v>41556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6" t="str">
        <f>IF(Tabela1[[#This Row],[Código]]="IBOV","^BVSP",IF(Tabela1[[#This Row],[Código]]="","",CONCATENATE(LEFT(Tabela1[[#This Row],[Código]],6),".SA")))</f>
        <v>SAPR4.SA</v>
      </c>
      <c r="C101" s="3" t="s">
        <v>409</v>
      </c>
      <c r="D101" s="3" t="s">
        <v>483</v>
      </c>
      <c r="E101" s="3" t="s">
        <v>518</v>
      </c>
      <c r="F101" s="3" t="s">
        <v>483</v>
      </c>
      <c r="G101" s="3" t="s">
        <v>518</v>
      </c>
      <c r="H101" s="57">
        <v>41654</v>
      </c>
      <c r="J101" s="3">
        <f t="shared" si="20"/>
        <v>5.97</v>
      </c>
      <c r="K101" s="3">
        <f t="shared" si="20"/>
        <v>5.8</v>
      </c>
      <c r="L101" s="3">
        <f t="shared" si="20"/>
        <v>5.97</v>
      </c>
      <c r="M101" s="3">
        <f t="shared" si="20"/>
        <v>5.8</v>
      </c>
      <c r="P101" s="14" t="s">
        <v>69</v>
      </c>
      <c r="Q101" s="10" t="str">
        <f t="shared" si="14"/>
        <v xml:space="preserve">SANEPAR     -PN  </v>
      </c>
      <c r="R101" s="57">
        <f t="shared" si="15"/>
        <v>41654</v>
      </c>
      <c r="S101" s="5">
        <f t="shared" si="16"/>
        <v>5.97</v>
      </c>
      <c r="T101" s="5">
        <f t="shared" si="17"/>
        <v>5.8</v>
      </c>
      <c r="U101" s="5">
        <f t="shared" si="18"/>
        <v>5.97</v>
      </c>
      <c r="V101" s="5">
        <f t="shared" si="19"/>
        <v>5.8</v>
      </c>
    </row>
    <row r="102" spans="1:22">
      <c r="A102" s="36" t="str">
        <f>IF(Tabela1[[#This Row],[Código]]="IBOV","^BVSP",IF(Tabela1[[#This Row],[Código]]="","",CONCATENATE(LEFT(Tabela1[[#This Row],[Código]],6),".SA")))</f>
        <v>SBSP3.SA</v>
      </c>
      <c r="C102" s="3" t="s">
        <v>167</v>
      </c>
      <c r="D102" s="3" t="s">
        <v>614</v>
      </c>
      <c r="E102" s="3" t="s">
        <v>637</v>
      </c>
      <c r="F102" s="3" t="s">
        <v>615</v>
      </c>
      <c r="G102" s="3" t="s">
        <v>616</v>
      </c>
      <c r="H102" s="57">
        <v>41654</v>
      </c>
      <c r="J102" s="3">
        <f t="shared" si="20"/>
        <v>23.5</v>
      </c>
      <c r="K102" s="3">
        <f t="shared" si="20"/>
        <v>23.46</v>
      </c>
      <c r="L102" s="3">
        <f t="shared" si="20"/>
        <v>24.06</v>
      </c>
      <c r="M102" s="3">
        <f t="shared" si="20"/>
        <v>23.25</v>
      </c>
      <c r="P102" s="14" t="s">
        <v>36</v>
      </c>
      <c r="Q102" s="10" t="str">
        <f t="shared" si="14"/>
        <v xml:space="preserve">SABESP      -ON  </v>
      </c>
      <c r="R102" s="57">
        <f t="shared" si="15"/>
        <v>41654</v>
      </c>
      <c r="S102" s="5">
        <f t="shared" si="16"/>
        <v>23.5</v>
      </c>
      <c r="T102" s="5">
        <f t="shared" si="17"/>
        <v>23.46</v>
      </c>
      <c r="U102" s="5">
        <f t="shared" si="18"/>
        <v>24.06</v>
      </c>
      <c r="V102" s="5">
        <f t="shared" si="19"/>
        <v>23.25</v>
      </c>
    </row>
    <row r="103" spans="1:22">
      <c r="A103" s="36" t="str">
        <f>IF(Tabela1[[#This Row],[Código]]="IBOV","^BVSP",IF(Tabela1[[#This Row],[Código]]="","",CONCATENATE(LEFT(Tabela1[[#This Row],[Código]],6),".SA")))</f>
        <v>SFSA4.SA</v>
      </c>
      <c r="C103" s="3" t="s">
        <v>168</v>
      </c>
      <c r="D103" s="3" t="s">
        <v>617</v>
      </c>
      <c r="E103" s="3" t="s">
        <v>775</v>
      </c>
      <c r="F103" s="3" t="s">
        <v>776</v>
      </c>
      <c r="G103" s="3" t="s">
        <v>617</v>
      </c>
      <c r="H103" s="57">
        <v>41654</v>
      </c>
      <c r="J103" s="3">
        <f t="shared" si="20"/>
        <v>2.7</v>
      </c>
      <c r="K103" s="3">
        <f t="shared" si="20"/>
        <v>2.85</v>
      </c>
      <c r="L103" s="3">
        <f t="shared" si="20"/>
        <v>2.97</v>
      </c>
      <c r="M103" s="3">
        <f t="shared" si="20"/>
        <v>2.7</v>
      </c>
      <c r="P103" s="15" t="s">
        <v>79</v>
      </c>
      <c r="Q103" s="10" t="str">
        <f t="shared" ref="Q103:Q112" si="21">IF(A103="","",C103)</f>
        <v xml:space="preserve">SOFISA      -PN  </v>
      </c>
      <c r="R103" s="57">
        <f t="shared" ref="R103:R112" si="22">IF(A103="","",H103)</f>
        <v>41654</v>
      </c>
      <c r="S103" s="5">
        <f t="shared" ref="S103:S112" si="23">J103</f>
        <v>2.7</v>
      </c>
      <c r="T103" s="5">
        <f t="shared" ref="T103:T112" si="24">K103</f>
        <v>2.85</v>
      </c>
      <c r="U103" s="5">
        <f t="shared" ref="U103:U112" si="25">L103</f>
        <v>2.97</v>
      </c>
      <c r="V103" s="5">
        <f t="shared" ref="V103:V112" si="26">M103</f>
        <v>2.7</v>
      </c>
    </row>
    <row r="104" spans="1:22">
      <c r="A104" s="36" t="str">
        <f>IF(Tabela1[[#This Row],[Código]]="IBOV","^BVSP",IF(Tabela1[[#This Row],[Código]]="","",CONCATENATE(LEFT(Tabela1[[#This Row],[Código]],6),".SA")))</f>
        <v>SUZB5.SA</v>
      </c>
      <c r="C104" s="3" t="s">
        <v>169</v>
      </c>
      <c r="D104" s="3" t="s">
        <v>618</v>
      </c>
      <c r="E104" s="3" t="s">
        <v>777</v>
      </c>
      <c r="F104" s="3" t="s">
        <v>720</v>
      </c>
      <c r="G104" s="3" t="s">
        <v>619</v>
      </c>
      <c r="H104" s="57">
        <v>41654</v>
      </c>
      <c r="J104" s="3">
        <f t="shared" si="20"/>
        <v>9.2799999999999994</v>
      </c>
      <c r="K104" s="3">
        <f t="shared" si="20"/>
        <v>9.43</v>
      </c>
      <c r="L104" s="3">
        <f t="shared" si="20"/>
        <v>9.49</v>
      </c>
      <c r="M104" s="3">
        <f t="shared" si="20"/>
        <v>9.27</v>
      </c>
      <c r="P104" s="15" t="s">
        <v>18</v>
      </c>
      <c r="Q104" s="10" t="str">
        <f t="shared" si="21"/>
        <v xml:space="preserve">SUZANO PAPEL-PNA </v>
      </c>
      <c r="R104" s="57">
        <f t="shared" si="22"/>
        <v>41654</v>
      </c>
      <c r="S104" s="5">
        <f t="shared" si="23"/>
        <v>9.2799999999999994</v>
      </c>
      <c r="T104" s="5">
        <f t="shared" si="24"/>
        <v>9.43</v>
      </c>
      <c r="U104" s="5">
        <f t="shared" si="25"/>
        <v>9.49</v>
      </c>
      <c r="V104" s="5">
        <f t="shared" si="26"/>
        <v>9.27</v>
      </c>
    </row>
    <row r="105" spans="1:22">
      <c r="A105" s="36" t="str">
        <f>IF(Tabela1[[#This Row],[Código]]="IBOV","^BVSP",IF(Tabela1[[#This Row],[Código]]="","",CONCATENATE(LEFT(Tabela1[[#This Row],[Código]],6),".SA")))</f>
        <v>SUZB6.SA</v>
      </c>
      <c r="C105" s="3" t="s">
        <v>212</v>
      </c>
      <c r="D105" s="3" t="s">
        <v>180</v>
      </c>
      <c r="E105" s="3" t="s">
        <v>180</v>
      </c>
      <c r="F105" s="3" t="s">
        <v>180</v>
      </c>
      <c r="G105" s="3" t="s">
        <v>180</v>
      </c>
      <c r="H105" s="57">
        <v>41576</v>
      </c>
      <c r="J105" s="3">
        <f t="shared" si="20"/>
        <v>5.7</v>
      </c>
      <c r="K105" s="3">
        <f t="shared" si="20"/>
        <v>5.7</v>
      </c>
      <c r="L105" s="3">
        <f t="shared" si="20"/>
        <v>5.7</v>
      </c>
      <c r="M105" s="3">
        <f t="shared" si="20"/>
        <v>5.7</v>
      </c>
      <c r="P105" s="15" t="s">
        <v>210</v>
      </c>
      <c r="Q105" s="10" t="str">
        <f t="shared" si="21"/>
        <v xml:space="preserve">SUZANO PAPEL-PNB </v>
      </c>
      <c r="R105" s="57">
        <f t="shared" si="22"/>
        <v>41576</v>
      </c>
      <c r="S105" s="5">
        <f t="shared" si="23"/>
        <v>5.7</v>
      </c>
      <c r="T105" s="5">
        <f t="shared" si="24"/>
        <v>5.7</v>
      </c>
      <c r="U105" s="5">
        <f t="shared" si="25"/>
        <v>5.7</v>
      </c>
      <c r="V105" s="5">
        <f t="shared" si="26"/>
        <v>5.7</v>
      </c>
    </row>
    <row r="106" spans="1:22">
      <c r="A106" s="36" t="str">
        <f>IF(Tabela1[[#This Row],[Código]]="IBOV","^BVSP",IF(Tabela1[[#This Row],[Código]]="","",CONCATENATE(LEFT(Tabela1[[#This Row],[Código]],6),".SA")))</f>
        <v>TAEE11.SA</v>
      </c>
      <c r="C106" s="3" t="s">
        <v>170</v>
      </c>
      <c r="D106" s="3" t="s">
        <v>620</v>
      </c>
      <c r="E106" s="3" t="s">
        <v>686</v>
      </c>
      <c r="F106" s="3" t="s">
        <v>621</v>
      </c>
      <c r="G106" s="3" t="s">
        <v>686</v>
      </c>
      <c r="H106" s="57">
        <v>41654</v>
      </c>
      <c r="J106" s="3">
        <f t="shared" si="20"/>
        <v>17.96</v>
      </c>
      <c r="K106" s="3">
        <f t="shared" si="20"/>
        <v>17.95</v>
      </c>
      <c r="L106" s="3">
        <f t="shared" si="20"/>
        <v>18.16</v>
      </c>
      <c r="M106" s="3">
        <f t="shared" si="20"/>
        <v>17.95</v>
      </c>
      <c r="P106" s="14" t="s">
        <v>57</v>
      </c>
      <c r="Q106" s="10" t="str">
        <f t="shared" si="21"/>
        <v xml:space="preserve">TAESA       -UNT </v>
      </c>
      <c r="R106" s="57">
        <f t="shared" si="22"/>
        <v>41654</v>
      </c>
      <c r="S106" s="5">
        <f t="shared" si="23"/>
        <v>17.96</v>
      </c>
      <c r="T106" s="5">
        <f t="shared" si="24"/>
        <v>17.95</v>
      </c>
      <c r="U106" s="5">
        <f t="shared" si="25"/>
        <v>18.16</v>
      </c>
      <c r="V106" s="5">
        <f t="shared" si="26"/>
        <v>17.95</v>
      </c>
    </row>
    <row r="107" spans="1:22">
      <c r="A107" s="36" t="str">
        <f>IF(Tabela1[[#This Row],[Código]]="IBOV","^BVSP",IF(Tabela1[[#This Row],[Código]]="","",CONCATENATE(LEFT(Tabela1[[#This Row],[Código]],6),".SA")))</f>
        <v>TBLE3.SA</v>
      </c>
      <c r="C107" s="3" t="s">
        <v>197</v>
      </c>
      <c r="D107" s="3" t="s">
        <v>622</v>
      </c>
      <c r="E107" s="3" t="s">
        <v>778</v>
      </c>
      <c r="F107" s="3" t="s">
        <v>721</v>
      </c>
      <c r="G107" s="3" t="s">
        <v>623</v>
      </c>
      <c r="H107" s="57">
        <v>41654</v>
      </c>
      <c r="J107" s="3">
        <f t="shared" si="20"/>
        <v>35.28</v>
      </c>
      <c r="K107" s="3">
        <f t="shared" si="20"/>
        <v>35.17</v>
      </c>
      <c r="L107" s="3">
        <f t="shared" si="20"/>
        <v>35.71</v>
      </c>
      <c r="M107" s="3">
        <f t="shared" si="20"/>
        <v>34.93</v>
      </c>
      <c r="P107" s="14" t="s">
        <v>196</v>
      </c>
      <c r="Q107" s="10" t="str">
        <f t="shared" si="21"/>
        <v xml:space="preserve">TRACTEBEL   -ON  </v>
      </c>
      <c r="R107" s="57">
        <f t="shared" si="22"/>
        <v>41654</v>
      </c>
      <c r="S107" s="5">
        <f t="shared" si="23"/>
        <v>35.28</v>
      </c>
      <c r="T107" s="5">
        <f t="shared" si="24"/>
        <v>35.17</v>
      </c>
      <c r="U107" s="5">
        <f t="shared" si="25"/>
        <v>35.71</v>
      </c>
      <c r="V107" s="5">
        <f t="shared" si="26"/>
        <v>34.93</v>
      </c>
    </row>
    <row r="108" spans="1:22">
      <c r="A108" s="36" t="str">
        <f>IF(Tabela1[[#This Row],[Código]]="IBOV","^BVSP",IF(Tabela1[[#This Row],[Código]]="","",CONCATENATE(LEFT(Tabela1[[#This Row],[Código]],6),".SA")))</f>
        <v>TRPL3.SA</v>
      </c>
      <c r="C108" s="3" t="s">
        <v>178</v>
      </c>
      <c r="D108" s="3" t="s">
        <v>779</v>
      </c>
      <c r="E108" s="3" t="s">
        <v>780</v>
      </c>
      <c r="F108" s="3" t="s">
        <v>780</v>
      </c>
      <c r="G108" s="3" t="s">
        <v>779</v>
      </c>
      <c r="H108" s="57">
        <v>41654</v>
      </c>
      <c r="J108" s="3">
        <f t="shared" si="20"/>
        <v>41.5</v>
      </c>
      <c r="K108" s="3">
        <f t="shared" si="20"/>
        <v>42</v>
      </c>
      <c r="L108" s="3">
        <f t="shared" si="20"/>
        <v>42</v>
      </c>
      <c r="M108" s="3">
        <f t="shared" si="20"/>
        <v>41.5</v>
      </c>
      <c r="P108" s="14" t="s">
        <v>173</v>
      </c>
      <c r="Q108" s="10" t="str">
        <f t="shared" si="21"/>
        <v xml:space="preserve">TRAN PAULIST-ON  </v>
      </c>
      <c r="R108" s="57">
        <f t="shared" si="22"/>
        <v>41654</v>
      </c>
      <c r="S108" s="5">
        <f t="shared" si="23"/>
        <v>41.5</v>
      </c>
      <c r="T108" s="5">
        <f t="shared" si="24"/>
        <v>42</v>
      </c>
      <c r="U108" s="5">
        <f t="shared" si="25"/>
        <v>42</v>
      </c>
      <c r="V108" s="5">
        <f t="shared" si="26"/>
        <v>41.5</v>
      </c>
    </row>
    <row r="109" spans="1:22">
      <c r="A109" s="36" t="str">
        <f>IF(Tabela1[[#This Row],[Código]]="IBOV","^BVSP",IF(Tabela1[[#This Row],[Código]]="","",CONCATENATE(LEFT(Tabela1[[#This Row],[Código]],6),".SA")))</f>
        <v>TRPL4.SA</v>
      </c>
      <c r="C109" s="3" t="s">
        <v>179</v>
      </c>
      <c r="D109" s="3" t="s">
        <v>624</v>
      </c>
      <c r="E109" s="3" t="s">
        <v>781</v>
      </c>
      <c r="F109" s="3" t="s">
        <v>532</v>
      </c>
      <c r="G109" s="3" t="s">
        <v>625</v>
      </c>
      <c r="H109" s="57">
        <v>41654</v>
      </c>
      <c r="J109" s="3">
        <f t="shared" si="20"/>
        <v>26.44</v>
      </c>
      <c r="K109" s="3">
        <f t="shared" si="20"/>
        <v>26.83</v>
      </c>
      <c r="L109" s="3">
        <f t="shared" si="20"/>
        <v>26.95</v>
      </c>
      <c r="M109" s="3">
        <f t="shared" si="20"/>
        <v>26.42</v>
      </c>
      <c r="P109" s="14" t="s">
        <v>174</v>
      </c>
      <c r="Q109" s="10" t="str">
        <f t="shared" si="21"/>
        <v xml:space="preserve">TRAN PAULIST-PN  </v>
      </c>
      <c r="R109" s="57">
        <f t="shared" si="22"/>
        <v>41654</v>
      </c>
      <c r="S109" s="5">
        <f t="shared" si="23"/>
        <v>26.44</v>
      </c>
      <c r="T109" s="5">
        <f t="shared" si="24"/>
        <v>26.83</v>
      </c>
      <c r="U109" s="5">
        <f t="shared" si="25"/>
        <v>26.95</v>
      </c>
      <c r="V109" s="5">
        <f t="shared" si="26"/>
        <v>26.42</v>
      </c>
    </row>
    <row r="110" spans="1:22">
      <c r="A110" s="36" t="str">
        <f>IF(Tabela1[[#This Row],[Código]]="IBOV","^BVSP",IF(Tabela1[[#This Row],[Código]]="","",CONCATENATE(LEFT(Tabela1[[#This Row],[Código]],6),".SA")))</f>
        <v>UNIP5.SA</v>
      </c>
      <c r="C110" s="3" t="s">
        <v>171</v>
      </c>
      <c r="D110" s="3" t="s">
        <v>507</v>
      </c>
      <c r="E110" s="3" t="s">
        <v>507</v>
      </c>
      <c r="F110" s="3" t="s">
        <v>626</v>
      </c>
      <c r="G110" s="3" t="s">
        <v>522</v>
      </c>
      <c r="H110" s="57">
        <v>41654</v>
      </c>
      <c r="J110" s="3">
        <f t="shared" si="20"/>
        <v>0.65</v>
      </c>
      <c r="K110" s="3">
        <f t="shared" si="20"/>
        <v>0.65</v>
      </c>
      <c r="L110" s="3">
        <f t="shared" si="20"/>
        <v>0.66</v>
      </c>
      <c r="M110" s="3">
        <f t="shared" si="20"/>
        <v>0.63</v>
      </c>
      <c r="P110" s="15" t="s">
        <v>77</v>
      </c>
      <c r="Q110" s="10" t="str">
        <f t="shared" si="21"/>
        <v>UNIPAR      -PNA</v>
      </c>
      <c r="R110" s="57">
        <f t="shared" si="22"/>
        <v>41654</v>
      </c>
      <c r="S110" s="5">
        <f t="shared" si="23"/>
        <v>0.65</v>
      </c>
      <c r="T110" s="5">
        <f t="shared" si="24"/>
        <v>0.65</v>
      </c>
      <c r="U110" s="5">
        <f t="shared" si="25"/>
        <v>0.66</v>
      </c>
      <c r="V110" s="5">
        <f t="shared" si="26"/>
        <v>0.63</v>
      </c>
    </row>
    <row r="111" spans="1:22">
      <c r="A111" s="36" t="str">
        <f>IF(Tabela1[[#This Row],[Código]]="IBOV","^BVSP",IF(Tabela1[[#This Row],[Código]]="","",CONCATENATE(LEFT(Tabela1[[#This Row],[Código]],6),".SA")))</f>
        <v>UNIP6.SA</v>
      </c>
      <c r="C111" s="3" t="s">
        <v>172</v>
      </c>
      <c r="D111" s="3" t="s">
        <v>497</v>
      </c>
      <c r="E111" s="3" t="s">
        <v>410</v>
      </c>
      <c r="F111" s="3" t="s">
        <v>410</v>
      </c>
      <c r="G111" s="3" t="s">
        <v>627</v>
      </c>
      <c r="H111" s="57">
        <v>41654</v>
      </c>
      <c r="J111" s="3">
        <f t="shared" si="20"/>
        <v>0.5</v>
      </c>
      <c r="K111" s="3">
        <f t="shared" si="20"/>
        <v>0.51</v>
      </c>
      <c r="L111" s="3">
        <f t="shared" si="20"/>
        <v>0.51</v>
      </c>
      <c r="M111" s="3">
        <f t="shared" si="20"/>
        <v>0.49</v>
      </c>
      <c r="P111" s="14" t="s">
        <v>39</v>
      </c>
      <c r="Q111" s="10" t="str">
        <f t="shared" si="21"/>
        <v>UNIPAR      -PNB</v>
      </c>
      <c r="R111" s="57">
        <f t="shared" si="22"/>
        <v>41654</v>
      </c>
      <c r="S111" s="5">
        <f t="shared" si="23"/>
        <v>0.5</v>
      </c>
      <c r="T111" s="5">
        <f t="shared" si="24"/>
        <v>0.51</v>
      </c>
      <c r="U111" s="5">
        <f t="shared" si="25"/>
        <v>0.51</v>
      </c>
      <c r="V111" s="5">
        <f t="shared" si="26"/>
        <v>0.49</v>
      </c>
    </row>
    <row r="112" spans="1:22">
      <c r="A112" s="36" t="str">
        <f>IF(Tabela1[[#This Row],[Código]]="IBOV","^BVSP",IF(Tabela1[[#This Row],[Código]]="","",CONCATENATE(LEFT(Tabela1[[#This Row],[Código]],6),".SA")))</f>
        <v/>
      </c>
      <c r="C112" s="3" t="s">
        <v>109</v>
      </c>
      <c r="H112" s="57"/>
      <c r="J112" s="3">
        <f t="shared" ref="J112:J121" si="27">IF($A112="",0,VALUE(CONCATENATE(LEFT(D112,LEN(D112)-3),",",RIGHT(D112,2))))</f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7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6"/>
      <c r="H113" s="57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7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6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7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6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7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6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7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6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7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6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7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6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7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6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7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6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7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6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7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6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7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6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7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6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7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6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7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6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7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6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7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6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7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6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7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6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7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6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6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6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6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6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6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6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6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6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6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6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6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6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6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6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6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6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6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6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6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6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6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6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6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6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6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6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6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6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6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6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6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6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6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6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6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6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6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6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6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6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6"/>
    </row>
    <row r="174" spans="1:13">
      <c r="A174" s="36"/>
    </row>
    <row r="175" spans="1:13">
      <c r="A175" s="36"/>
    </row>
    <row r="176" spans="1:13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457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6" t="str">
        <f>IF(Tabela17[[#This Row],[Código]]="IBOV","^BVSP",IF(Tabela17[[#This Row],[Código]]="","",CONCATENATE(LEFT(Tabela17[[#This Row],[Código]],6),".SA")))</f>
        <v>PETR3.SA</v>
      </c>
      <c r="C7" s="3" t="s">
        <v>281</v>
      </c>
      <c r="D7" s="3" t="s">
        <v>628</v>
      </c>
      <c r="E7" s="3" t="s">
        <v>735</v>
      </c>
      <c r="F7" s="3" t="s">
        <v>722</v>
      </c>
      <c r="G7" s="3" t="s">
        <v>630</v>
      </c>
      <c r="H7" s="57">
        <v>41654</v>
      </c>
      <c r="J7" s="3">
        <f>IF($A7="",0,VALUE(CONCATENATE(LEFT(D7,LEN(D7)-3),",",RIGHT(D7,2))))</f>
        <v>14.74</v>
      </c>
      <c r="K7" s="3">
        <f t="shared" ref="K7:M22" si="0">IF($A7="",0,VALUE(CONCATENATE(LEFT(E7,LEN(E7)-3),",",RIGHT(E7,2))))</f>
        <v>15.12</v>
      </c>
      <c r="L7" s="3">
        <f t="shared" si="0"/>
        <v>15.18</v>
      </c>
      <c r="M7" s="3">
        <f t="shared" si="0"/>
        <v>14.65</v>
      </c>
      <c r="P7" s="14" t="s">
        <v>20</v>
      </c>
      <c r="Q7" s="10" t="str">
        <f t="shared" ref="Q7:Q70" si="1">IF(A7="","",C7)</f>
        <v>PETROBRAS   -ON</v>
      </c>
      <c r="R7" s="57">
        <f t="shared" ref="R7:R70" si="2">IF(A7="","",H7)</f>
        <v>41654</v>
      </c>
      <c r="S7" s="5">
        <f t="shared" ref="S7:V38" si="3">J7</f>
        <v>14.74</v>
      </c>
      <c r="T7" s="5">
        <f t="shared" si="3"/>
        <v>15.12</v>
      </c>
      <c r="U7" s="5">
        <f t="shared" si="3"/>
        <v>15.18</v>
      </c>
      <c r="V7" s="5">
        <f t="shared" si="3"/>
        <v>14.65</v>
      </c>
    </row>
    <row r="8" spans="1:22">
      <c r="A8" s="36" t="str">
        <f>IF(Tabela17[[#This Row],[Código]]="IBOV","^BVSP",IF(Tabela17[[#This Row],[Código]]="","",CONCATENATE(LEFT(Tabela17[[#This Row],[Código]],6),".SA")))</f>
        <v>PETR4.SA</v>
      </c>
      <c r="C8" s="3" t="s">
        <v>278</v>
      </c>
      <c r="D8" s="3" t="s">
        <v>631</v>
      </c>
      <c r="E8" s="3" t="s">
        <v>782</v>
      </c>
      <c r="F8" s="3" t="s">
        <v>723</v>
      </c>
      <c r="G8" s="3" t="s">
        <v>632</v>
      </c>
      <c r="H8" s="57">
        <v>41654</v>
      </c>
      <c r="J8" s="3">
        <f t="shared" ref="J8:M71" si="4">IF($A8="",0,VALUE(CONCATENATE(LEFT(D8,LEN(D8)-3),",",RIGHT(D8,2))))</f>
        <v>15.79</v>
      </c>
      <c r="K8" s="3">
        <f t="shared" si="0"/>
        <v>16.04</v>
      </c>
      <c r="L8" s="3">
        <f t="shared" si="0"/>
        <v>16.149999999999999</v>
      </c>
      <c r="M8" s="3">
        <f t="shared" si="0"/>
        <v>15.69</v>
      </c>
      <c r="P8" s="14" t="s">
        <v>21</v>
      </c>
      <c r="Q8" s="10" t="str">
        <f t="shared" si="1"/>
        <v>PETROBRAS   -PN</v>
      </c>
      <c r="R8" s="57">
        <f t="shared" si="2"/>
        <v>41654</v>
      </c>
      <c r="S8" s="5">
        <f t="shared" si="3"/>
        <v>15.79</v>
      </c>
      <c r="T8" s="5">
        <f t="shared" si="3"/>
        <v>16.04</v>
      </c>
      <c r="U8" s="5">
        <f t="shared" si="3"/>
        <v>16.149999999999999</v>
      </c>
      <c r="V8" s="5">
        <f t="shared" si="3"/>
        <v>15.69</v>
      </c>
    </row>
    <row r="9" spans="1:22">
      <c r="A9" s="36" t="str">
        <f>IF(Tabela17[[#This Row],[Código]]="IBOV","^BVSP",IF(Tabela17[[#This Row],[Código]]="","",CONCATENATE(LEFT(Tabela17[[#This Row],[Código]],6),".SA")))</f>
        <v>QGEP3.SA</v>
      </c>
      <c r="C9" s="3" t="s">
        <v>284</v>
      </c>
      <c r="D9" s="3" t="s">
        <v>519</v>
      </c>
      <c r="E9" s="3" t="s">
        <v>519</v>
      </c>
      <c r="F9" s="3" t="s">
        <v>633</v>
      </c>
      <c r="G9" s="3" t="s">
        <v>634</v>
      </c>
      <c r="H9" s="57">
        <v>41654</v>
      </c>
      <c r="J9" s="3">
        <f t="shared" si="4"/>
        <v>9.6999999999999993</v>
      </c>
      <c r="K9" s="3">
        <f t="shared" si="0"/>
        <v>9.6999999999999993</v>
      </c>
      <c r="L9" s="3">
        <f t="shared" si="0"/>
        <v>9.74</v>
      </c>
      <c r="M9" s="3">
        <f t="shared" si="0"/>
        <v>9.5399999999999991</v>
      </c>
      <c r="P9" s="15" t="s">
        <v>283</v>
      </c>
      <c r="Q9" s="10" t="str">
        <f t="shared" si="1"/>
        <v xml:space="preserve">QGEP PART   -ON  </v>
      </c>
      <c r="R9" s="57">
        <f t="shared" si="2"/>
        <v>41654</v>
      </c>
      <c r="S9" s="5">
        <f t="shared" si="3"/>
        <v>9.6999999999999993</v>
      </c>
      <c r="T9" s="5">
        <f t="shared" si="3"/>
        <v>9.6999999999999993</v>
      </c>
      <c r="U9" s="5">
        <f t="shared" si="3"/>
        <v>9.74</v>
      </c>
      <c r="V9" s="5">
        <f t="shared" si="3"/>
        <v>9.5399999999999991</v>
      </c>
    </row>
    <row r="10" spans="1:22">
      <c r="A10" s="36" t="str">
        <f>IF(Tabela17[[#This Row],[Código]]="IBOV","^BVSP",IF(Tabela17[[#This Row],[Código]]="","",CONCATENATE(LEFT(Tabela17[[#This Row],[Código]],6),".SA")))</f>
        <v>SULA11.SA</v>
      </c>
      <c r="C10" s="3" t="s">
        <v>285</v>
      </c>
      <c r="D10" s="3" t="s">
        <v>635</v>
      </c>
      <c r="E10" s="3" t="s">
        <v>783</v>
      </c>
      <c r="F10" s="3" t="s">
        <v>784</v>
      </c>
      <c r="G10" s="3" t="s">
        <v>636</v>
      </c>
      <c r="H10" s="57">
        <v>41654</v>
      </c>
      <c r="J10" s="3">
        <f t="shared" si="4"/>
        <v>14.08</v>
      </c>
      <c r="K10" s="3">
        <f t="shared" si="0"/>
        <v>14.07</v>
      </c>
      <c r="L10" s="3">
        <f t="shared" si="0"/>
        <v>14.19</v>
      </c>
      <c r="M10" s="3">
        <f t="shared" si="0"/>
        <v>13.87</v>
      </c>
      <c r="P10" s="14" t="s">
        <v>58</v>
      </c>
      <c r="Q10" s="10" t="str">
        <f t="shared" si="1"/>
        <v xml:space="preserve">SUL AMERICA -UNT </v>
      </c>
      <c r="R10" s="57">
        <f t="shared" si="2"/>
        <v>41654</v>
      </c>
      <c r="S10" s="5">
        <f t="shared" si="3"/>
        <v>14.08</v>
      </c>
      <c r="T10" s="5">
        <f t="shared" si="3"/>
        <v>14.07</v>
      </c>
      <c r="U10" s="5">
        <f t="shared" si="3"/>
        <v>14.19</v>
      </c>
      <c r="V10" s="5">
        <f t="shared" si="3"/>
        <v>13.87</v>
      </c>
    </row>
    <row r="11" spans="1:22">
      <c r="A11" s="36" t="str">
        <f>IF(Tabela17[[#This Row],[Código]]="IBOV","^BVSP",IF(Tabela17[[#This Row],[Código]]="","",CONCATENATE(LEFT(Tabela17[[#This Row],[Código]],6),".SA")))</f>
        <v>CSAB3.SA</v>
      </c>
      <c r="C11" s="3" t="s">
        <v>288</v>
      </c>
      <c r="D11" s="3" t="s">
        <v>289</v>
      </c>
      <c r="E11" s="3" t="s">
        <v>289</v>
      </c>
      <c r="F11" s="3" t="s">
        <v>289</v>
      </c>
      <c r="G11" s="3" t="s">
        <v>289</v>
      </c>
      <c r="H11" s="57">
        <v>41619</v>
      </c>
      <c r="J11" s="3">
        <f t="shared" si="4"/>
        <v>30.01</v>
      </c>
      <c r="K11" s="3">
        <f t="shared" si="0"/>
        <v>30.01</v>
      </c>
      <c r="L11" s="3">
        <f t="shared" si="0"/>
        <v>30.01</v>
      </c>
      <c r="M11" s="3">
        <f t="shared" si="0"/>
        <v>30.01</v>
      </c>
      <c r="P11" s="14" t="s">
        <v>286</v>
      </c>
      <c r="Q11" s="10" t="str">
        <f t="shared" si="1"/>
        <v>SEG AL BAHIA-ON</v>
      </c>
      <c r="R11" s="57">
        <f t="shared" si="2"/>
        <v>41619</v>
      </c>
      <c r="S11" s="5">
        <f t="shared" si="3"/>
        <v>30.01</v>
      </c>
      <c r="T11" s="5">
        <f t="shared" si="3"/>
        <v>30.01</v>
      </c>
      <c r="U11" s="5">
        <f t="shared" si="3"/>
        <v>30.01</v>
      </c>
      <c r="V11" s="5">
        <f t="shared" si="3"/>
        <v>30.01</v>
      </c>
    </row>
    <row r="12" spans="1:22">
      <c r="A12" s="36" t="str">
        <f>IF(Tabela17[[#This Row],[Código]]="IBOV","^BVSP",IF(Tabela17[[#This Row],[Código]]="","",CONCATENATE(LEFT(Tabela17[[#This Row],[Código]],6),".SA")))</f>
        <v>CSAB4.SA</v>
      </c>
      <c r="C12" s="3" t="s">
        <v>290</v>
      </c>
      <c r="D12" s="3" t="s">
        <v>477</v>
      </c>
      <c r="E12" s="3" t="s">
        <v>477</v>
      </c>
      <c r="F12" s="3" t="s">
        <v>477</v>
      </c>
      <c r="G12" s="3" t="s">
        <v>477</v>
      </c>
      <c r="H12" s="57">
        <v>41648</v>
      </c>
      <c r="J12" s="3">
        <f t="shared" si="4"/>
        <v>30.05</v>
      </c>
      <c r="K12" s="3">
        <f t="shared" si="0"/>
        <v>30.05</v>
      </c>
      <c r="L12" s="3">
        <f t="shared" si="0"/>
        <v>30.05</v>
      </c>
      <c r="M12" s="3">
        <f t="shared" si="0"/>
        <v>30.05</v>
      </c>
      <c r="P12" s="14" t="s">
        <v>287</v>
      </c>
      <c r="Q12" s="10" t="str">
        <f t="shared" si="1"/>
        <v>SEG AL BAHIA-PN</v>
      </c>
      <c r="R12" s="57">
        <f t="shared" si="2"/>
        <v>41648</v>
      </c>
      <c r="S12" s="5">
        <f t="shared" si="3"/>
        <v>30.05</v>
      </c>
      <c r="T12" s="5">
        <f t="shared" si="3"/>
        <v>30.05</v>
      </c>
      <c r="U12" s="5">
        <f t="shared" si="3"/>
        <v>30.05</v>
      </c>
      <c r="V12" s="5">
        <f t="shared" si="3"/>
        <v>30.05</v>
      </c>
    </row>
    <row r="13" spans="1:22">
      <c r="A13" s="36" t="str">
        <f>IF(Tabela17[[#This Row],[Código]]="IBOV","^BVSP",IF(Tabela17[[#This Row],[Código]]="","",CONCATENATE(LEFT(Tabela17[[#This Row],[Código]],6),".SA")))</f>
        <v>BBSE3.SA</v>
      </c>
      <c r="C13" s="3" t="s">
        <v>291</v>
      </c>
      <c r="D13" s="3" t="s">
        <v>523</v>
      </c>
      <c r="E13" s="3" t="s">
        <v>785</v>
      </c>
      <c r="F13" s="3" t="s">
        <v>615</v>
      </c>
      <c r="G13" s="3" t="s">
        <v>637</v>
      </c>
      <c r="H13" s="57">
        <v>41654</v>
      </c>
      <c r="J13" s="3">
        <f t="shared" si="4"/>
        <v>23.47</v>
      </c>
      <c r="K13" s="3">
        <f t="shared" si="0"/>
        <v>23.96</v>
      </c>
      <c r="L13" s="3">
        <f t="shared" si="0"/>
        <v>24.06</v>
      </c>
      <c r="M13" s="3">
        <f t="shared" si="0"/>
        <v>23.46</v>
      </c>
      <c r="P13" s="15" t="s">
        <v>25</v>
      </c>
      <c r="Q13" s="10" t="str">
        <f t="shared" si="1"/>
        <v xml:space="preserve">BBSEGURIDADE-ON  </v>
      </c>
      <c r="R13" s="57">
        <f t="shared" si="2"/>
        <v>41654</v>
      </c>
      <c r="S13" s="5">
        <f t="shared" si="3"/>
        <v>23.47</v>
      </c>
      <c r="T13" s="5">
        <f t="shared" si="3"/>
        <v>23.96</v>
      </c>
      <c r="U13" s="5">
        <f t="shared" si="3"/>
        <v>24.06</v>
      </c>
      <c r="V13" s="5">
        <f t="shared" si="3"/>
        <v>23.46</v>
      </c>
    </row>
    <row r="14" spans="1:22">
      <c r="A14" s="36" t="str">
        <f>IF(Tabela17[[#This Row],[Código]]="IBOV","^BVSP",IF(Tabela17[[#This Row],[Código]]="","",CONCATENATE(LEFT(Tabela17[[#This Row],[Código]],6),".SA")))</f>
        <v>JOPA3.SA</v>
      </c>
      <c r="C14" s="3" t="s">
        <v>294</v>
      </c>
      <c r="D14" s="3" t="s">
        <v>295</v>
      </c>
      <c r="E14" s="3" t="s">
        <v>295</v>
      </c>
      <c r="F14" s="3" t="s">
        <v>295</v>
      </c>
      <c r="G14" s="3" t="s">
        <v>295</v>
      </c>
      <c r="H14" s="57">
        <v>41631</v>
      </c>
      <c r="J14" s="3">
        <f t="shared" si="4"/>
        <v>17</v>
      </c>
      <c r="K14" s="3">
        <f t="shared" si="0"/>
        <v>17</v>
      </c>
      <c r="L14" s="3">
        <f t="shared" si="0"/>
        <v>17</v>
      </c>
      <c r="M14" s="3">
        <f t="shared" si="0"/>
        <v>17</v>
      </c>
      <c r="P14" s="15" t="s">
        <v>292</v>
      </c>
      <c r="Q14" s="10" t="str">
        <f t="shared" si="1"/>
        <v>JOSAPAR     -ON</v>
      </c>
      <c r="R14" s="57">
        <f t="shared" si="2"/>
        <v>41631</v>
      </c>
      <c r="S14" s="5">
        <f t="shared" si="3"/>
        <v>17</v>
      </c>
      <c r="T14" s="5">
        <f t="shared" si="3"/>
        <v>17</v>
      </c>
      <c r="U14" s="5">
        <f t="shared" si="3"/>
        <v>17</v>
      </c>
      <c r="V14" s="5">
        <f t="shared" si="3"/>
        <v>17</v>
      </c>
    </row>
    <row r="15" spans="1:22">
      <c r="A15" s="36" t="str">
        <f>IF(Tabela17[[#This Row],[Código]]="IBOV","^BVSP",IF(Tabela17[[#This Row],[Código]]="","",CONCATENATE(LEFT(Tabela17[[#This Row],[Código]],6),".SA")))</f>
        <v>JOPA4.SA</v>
      </c>
      <c r="C15" s="3" t="s">
        <v>296</v>
      </c>
      <c r="D15" s="3" t="s">
        <v>488</v>
      </c>
      <c r="E15" s="3" t="s">
        <v>488</v>
      </c>
      <c r="F15" s="3" t="s">
        <v>488</v>
      </c>
      <c r="G15" s="3" t="s">
        <v>488</v>
      </c>
      <c r="H15" s="57">
        <v>41653</v>
      </c>
      <c r="J15" s="3">
        <f t="shared" si="4"/>
        <v>19.5</v>
      </c>
      <c r="K15" s="3">
        <f t="shared" si="0"/>
        <v>19.5</v>
      </c>
      <c r="L15" s="3">
        <f t="shared" si="0"/>
        <v>19.5</v>
      </c>
      <c r="M15" s="3">
        <f t="shared" si="0"/>
        <v>19.5</v>
      </c>
      <c r="P15" s="10" t="s">
        <v>293</v>
      </c>
      <c r="Q15" s="10" t="str">
        <f t="shared" si="1"/>
        <v>JOSAPAR     -PN</v>
      </c>
      <c r="R15" s="57">
        <f t="shared" si="2"/>
        <v>41653</v>
      </c>
      <c r="S15" s="5">
        <f t="shared" si="3"/>
        <v>19.5</v>
      </c>
      <c r="T15" s="5">
        <f t="shared" si="3"/>
        <v>19.5</v>
      </c>
      <c r="U15" s="5">
        <f t="shared" si="3"/>
        <v>19.5</v>
      </c>
      <c r="V15" s="5">
        <f t="shared" si="3"/>
        <v>19.5</v>
      </c>
    </row>
    <row r="16" spans="1:22">
      <c r="A16" s="36" t="str">
        <f>IF(Tabela17[[#This Row],[Código]]="IBOV","^BVSP",IF(Tabela17[[#This Row],[Código]]="","",CONCATENATE(LEFT(Tabela17[[#This Row],[Código]],6),".SA")))</f>
        <v>TERI3.SA</v>
      </c>
      <c r="C16" s="3" t="s">
        <v>297</v>
      </c>
      <c r="D16" s="3" t="s">
        <v>524</v>
      </c>
      <c r="E16" s="3" t="s">
        <v>724</v>
      </c>
      <c r="F16" s="3" t="s">
        <v>524</v>
      </c>
      <c r="G16" s="3" t="s">
        <v>638</v>
      </c>
      <c r="H16" s="57">
        <v>41654</v>
      </c>
      <c r="J16" s="3">
        <f t="shared" si="4"/>
        <v>2.46</v>
      </c>
      <c r="K16" s="3">
        <f t="shared" si="0"/>
        <v>2.41</v>
      </c>
      <c r="L16" s="3">
        <f t="shared" si="0"/>
        <v>2.46</v>
      </c>
      <c r="M16" s="3">
        <f t="shared" si="0"/>
        <v>2.39</v>
      </c>
      <c r="P16" s="15" t="s">
        <v>82</v>
      </c>
      <c r="Q16" s="10" t="str">
        <f t="shared" si="1"/>
        <v xml:space="preserve">TEREOS      -ON  </v>
      </c>
      <c r="R16" s="57">
        <f t="shared" si="2"/>
        <v>41654</v>
      </c>
      <c r="S16" s="5">
        <f t="shared" si="3"/>
        <v>2.46</v>
      </c>
      <c r="T16" s="5">
        <f t="shared" si="3"/>
        <v>2.41</v>
      </c>
      <c r="U16" s="5">
        <f t="shared" si="3"/>
        <v>2.46</v>
      </c>
      <c r="V16" s="5">
        <f t="shared" si="3"/>
        <v>2.39</v>
      </c>
    </row>
    <row r="17" spans="1:22">
      <c r="A17" s="36" t="str">
        <f>IF(Tabela17[[#This Row],[Código]]="IBOV","^BVSP",IF(Tabela17[[#This Row],[Código]]="","",CONCATENATE(LEFT(Tabela17[[#This Row],[Código]],6),".SA")))</f>
        <v>ELEK3.SA</v>
      </c>
      <c r="C17" s="3" t="s">
        <v>498</v>
      </c>
      <c r="D17" s="3" t="s">
        <v>301</v>
      </c>
      <c r="E17" s="3" t="s">
        <v>301</v>
      </c>
      <c r="F17" s="3" t="s">
        <v>301</v>
      </c>
      <c r="G17" s="3" t="s">
        <v>301</v>
      </c>
      <c r="H17" s="57">
        <v>41617</v>
      </c>
      <c r="J17" s="3">
        <f t="shared" si="4"/>
        <v>10</v>
      </c>
      <c r="K17" s="3">
        <f t="shared" si="0"/>
        <v>10</v>
      </c>
      <c r="L17" s="3">
        <f t="shared" si="0"/>
        <v>10</v>
      </c>
      <c r="M17" s="3">
        <f t="shared" si="0"/>
        <v>10</v>
      </c>
      <c r="P17" s="14" t="s">
        <v>299</v>
      </c>
      <c r="Q17" s="10" t="str">
        <f t="shared" si="1"/>
        <v>ELEKEIROZ   -ON</v>
      </c>
      <c r="R17" s="57">
        <f t="shared" si="2"/>
        <v>41617</v>
      </c>
      <c r="S17" s="5">
        <f t="shared" si="3"/>
        <v>10</v>
      </c>
      <c r="T17" s="5">
        <f t="shared" si="3"/>
        <v>10</v>
      </c>
      <c r="U17" s="5">
        <f t="shared" si="3"/>
        <v>10</v>
      </c>
      <c r="V17" s="5">
        <f t="shared" si="3"/>
        <v>10</v>
      </c>
    </row>
    <row r="18" spans="1:22">
      <c r="A18" s="36" t="str">
        <f>IF(Tabela17[[#This Row],[Código]]="IBOV","^BVSP",IF(Tabela17[[#This Row],[Código]]="","",CONCATENATE(LEFT(Tabela17[[#This Row],[Código]],6),".SA")))</f>
        <v>ELEK4.SA</v>
      </c>
      <c r="C18" s="3" t="s">
        <v>499</v>
      </c>
      <c r="D18" s="3" t="s">
        <v>114</v>
      </c>
      <c r="E18" s="3" t="s">
        <v>393</v>
      </c>
      <c r="F18" s="3" t="s">
        <v>459</v>
      </c>
      <c r="G18" s="3" t="s">
        <v>114</v>
      </c>
      <c r="H18" s="57">
        <v>41646</v>
      </c>
      <c r="J18" s="3">
        <f t="shared" si="4"/>
        <v>9</v>
      </c>
      <c r="K18" s="3">
        <f t="shared" si="0"/>
        <v>9.5</v>
      </c>
      <c r="L18" s="3">
        <f t="shared" si="0"/>
        <v>9.89</v>
      </c>
      <c r="M18" s="3">
        <f t="shared" si="0"/>
        <v>9</v>
      </c>
      <c r="P18" s="14" t="s">
        <v>300</v>
      </c>
      <c r="Q18" s="10" t="str">
        <f t="shared" si="1"/>
        <v>ELEKEIROZ   -PN</v>
      </c>
      <c r="R18" s="57">
        <f t="shared" si="2"/>
        <v>41646</v>
      </c>
      <c r="S18" s="5">
        <f t="shared" si="3"/>
        <v>9</v>
      </c>
      <c r="T18" s="5">
        <f t="shared" si="3"/>
        <v>9.5</v>
      </c>
      <c r="U18" s="5">
        <f t="shared" si="3"/>
        <v>9.89</v>
      </c>
      <c r="V18" s="5">
        <f t="shared" si="3"/>
        <v>9</v>
      </c>
    </row>
    <row r="19" spans="1:22">
      <c r="A19" s="36" t="str">
        <f>IF(Tabela17[[#This Row],[Código]]="IBOV","^BVSP",IF(Tabela17[[#This Row],[Código]]="","",CONCATENATE(LEFT(Tabela17[[#This Row],[Código]],6),".SA")))</f>
        <v>BRKM3.SA</v>
      </c>
      <c r="C19" s="3" t="s">
        <v>305</v>
      </c>
      <c r="D19" s="3" t="s">
        <v>471</v>
      </c>
      <c r="E19" s="3" t="s">
        <v>471</v>
      </c>
      <c r="F19" s="3" t="s">
        <v>639</v>
      </c>
      <c r="G19" s="3" t="s">
        <v>471</v>
      </c>
      <c r="H19" s="57">
        <v>41654</v>
      </c>
      <c r="J19" s="3">
        <f t="shared" si="4"/>
        <v>16</v>
      </c>
      <c r="K19" s="3">
        <f t="shared" si="0"/>
        <v>16</v>
      </c>
      <c r="L19" s="3">
        <f t="shared" si="0"/>
        <v>16.440000000000001</v>
      </c>
      <c r="M19" s="3">
        <f t="shared" si="0"/>
        <v>16</v>
      </c>
      <c r="P19" s="14" t="s">
        <v>302</v>
      </c>
      <c r="Q19" s="10" t="str">
        <f t="shared" si="1"/>
        <v xml:space="preserve">BRASKEM     -ON  </v>
      </c>
      <c r="R19" s="57">
        <f t="shared" si="2"/>
        <v>41654</v>
      </c>
      <c r="S19" s="5">
        <f t="shared" si="3"/>
        <v>16</v>
      </c>
      <c r="T19" s="5">
        <f t="shared" si="3"/>
        <v>16</v>
      </c>
      <c r="U19" s="5">
        <f t="shared" si="3"/>
        <v>16.440000000000001</v>
      </c>
      <c r="V19" s="5">
        <f t="shared" si="3"/>
        <v>16</v>
      </c>
    </row>
    <row r="20" spans="1:22">
      <c r="A20" s="36" t="str">
        <f>IF(Tabela17[[#This Row],[Código]]="IBOV","^BVSP",IF(Tabela17[[#This Row],[Código]]="","",CONCATENATE(LEFT(Tabela17[[#This Row],[Código]],6),".SA")))</f>
        <v>BRKM5.SA</v>
      </c>
      <c r="C20" s="3" t="s">
        <v>306</v>
      </c>
      <c r="D20" s="3" t="s">
        <v>640</v>
      </c>
      <c r="E20" s="3" t="s">
        <v>725</v>
      </c>
      <c r="F20" s="3" t="s">
        <v>640</v>
      </c>
      <c r="G20" s="3" t="s">
        <v>496</v>
      </c>
      <c r="H20" s="57">
        <v>41654</v>
      </c>
      <c r="J20" s="3">
        <f t="shared" si="4"/>
        <v>20.309999999999999</v>
      </c>
      <c r="K20" s="3">
        <f t="shared" si="0"/>
        <v>20.170000000000002</v>
      </c>
      <c r="L20" s="3">
        <f t="shared" si="0"/>
        <v>20.309999999999999</v>
      </c>
      <c r="M20" s="3">
        <f t="shared" si="0"/>
        <v>19.899999999999999</v>
      </c>
      <c r="P20" s="14" t="s">
        <v>303</v>
      </c>
      <c r="Q20" s="10" t="str">
        <f t="shared" si="1"/>
        <v xml:space="preserve">BRASKEM     -PNA </v>
      </c>
      <c r="R20" s="57">
        <f t="shared" si="2"/>
        <v>41654</v>
      </c>
      <c r="S20" s="5">
        <f t="shared" si="3"/>
        <v>20.309999999999999</v>
      </c>
      <c r="T20" s="5">
        <f t="shared" si="3"/>
        <v>20.170000000000002</v>
      </c>
      <c r="U20" s="5">
        <f t="shared" si="3"/>
        <v>20.309999999999999</v>
      </c>
      <c r="V20" s="5">
        <f t="shared" si="3"/>
        <v>19.899999999999999</v>
      </c>
    </row>
    <row r="21" spans="1:22">
      <c r="A21" s="36" t="str">
        <f>IF(Tabela17[[#This Row],[Código]]="IBOV","^BVSP",IF(Tabela17[[#This Row],[Código]]="","",CONCATENATE(LEFT(Tabela17[[#This Row],[Código]],6),".SA")))</f>
        <v>BRKM6.SA</v>
      </c>
      <c r="C21" s="3" t="s">
        <v>307</v>
      </c>
      <c r="D21" s="3" t="s">
        <v>478</v>
      </c>
      <c r="E21" s="3" t="s">
        <v>478</v>
      </c>
      <c r="F21" s="3" t="s">
        <v>478</v>
      </c>
      <c r="G21" s="3" t="s">
        <v>478</v>
      </c>
      <c r="H21" s="57">
        <v>41647</v>
      </c>
      <c r="J21" s="3">
        <f t="shared" si="4"/>
        <v>10.5</v>
      </c>
      <c r="K21" s="3">
        <f t="shared" si="0"/>
        <v>10.5</v>
      </c>
      <c r="L21" s="3">
        <f t="shared" si="0"/>
        <v>10.5</v>
      </c>
      <c r="M21" s="3">
        <f t="shared" si="0"/>
        <v>10.5</v>
      </c>
      <c r="P21" s="15" t="s">
        <v>304</v>
      </c>
      <c r="Q21" s="10" t="str">
        <f t="shared" si="1"/>
        <v xml:space="preserve">BRASKEM     -PNB </v>
      </c>
      <c r="R21" s="57">
        <f t="shared" si="2"/>
        <v>41647</v>
      </c>
      <c r="S21" s="5">
        <f t="shared" si="3"/>
        <v>10.5</v>
      </c>
      <c r="T21" s="5">
        <f t="shared" si="3"/>
        <v>10.5</v>
      </c>
      <c r="U21" s="5">
        <f t="shared" si="3"/>
        <v>10.5</v>
      </c>
      <c r="V21" s="5">
        <f t="shared" si="3"/>
        <v>10.5</v>
      </c>
    </row>
    <row r="22" spans="1:22">
      <c r="A22" s="36" t="str">
        <f>IF(Tabela17[[#This Row],[Código]]="IBOV","^BVSP",IF(Tabela17[[#This Row],[Código]]="","",CONCATENATE(LEFT(Tabela17[[#This Row],[Código]],6),".SA")))</f>
        <v>CSAN3.SA</v>
      </c>
      <c r="C22" s="3" t="s">
        <v>310</v>
      </c>
      <c r="D22" s="3" t="s">
        <v>642</v>
      </c>
      <c r="E22" s="3" t="s">
        <v>786</v>
      </c>
      <c r="F22" s="3" t="s">
        <v>643</v>
      </c>
      <c r="G22" s="3" t="s">
        <v>644</v>
      </c>
      <c r="H22" s="57">
        <v>41654</v>
      </c>
      <c r="J22" s="3">
        <f t="shared" si="4"/>
        <v>38.729999999999997</v>
      </c>
      <c r="K22" s="3">
        <f t="shared" si="0"/>
        <v>38.26</v>
      </c>
      <c r="L22" s="3">
        <f t="shared" si="0"/>
        <v>38.9</v>
      </c>
      <c r="M22" s="3">
        <f t="shared" si="0"/>
        <v>38.1</v>
      </c>
      <c r="P22" s="14" t="s">
        <v>309</v>
      </c>
      <c r="Q22" s="10" t="str">
        <f t="shared" si="1"/>
        <v xml:space="preserve">COSAN       -ON  </v>
      </c>
      <c r="R22" s="57">
        <f t="shared" si="2"/>
        <v>41654</v>
      </c>
      <c r="S22" s="5">
        <f t="shared" si="3"/>
        <v>38.729999999999997</v>
      </c>
      <c r="T22" s="5">
        <f t="shared" si="3"/>
        <v>38.26</v>
      </c>
      <c r="U22" s="5">
        <f t="shared" si="3"/>
        <v>38.9</v>
      </c>
      <c r="V22" s="5">
        <f t="shared" si="3"/>
        <v>38.1</v>
      </c>
    </row>
    <row r="23" spans="1:22">
      <c r="A23" s="36" t="str">
        <f>IF(Tabela17[[#This Row],[Código]]="IBOV","^BVSP",IF(Tabela17[[#This Row],[Código]]="","",CONCATENATE(LEFT(Tabela17[[#This Row],[Código]],6),".SA")))</f>
        <v>SMTO3.SA</v>
      </c>
      <c r="C23" s="3" t="s">
        <v>312</v>
      </c>
      <c r="D23" s="3" t="s">
        <v>645</v>
      </c>
      <c r="E23" s="3" t="s">
        <v>530</v>
      </c>
      <c r="F23" s="3" t="s">
        <v>646</v>
      </c>
      <c r="G23" s="3" t="s">
        <v>647</v>
      </c>
      <c r="H23" s="57">
        <v>41654</v>
      </c>
      <c r="J23" s="3">
        <f t="shared" si="4"/>
        <v>27.37</v>
      </c>
      <c r="K23" s="3">
        <f t="shared" si="4"/>
        <v>26.8</v>
      </c>
      <c r="L23" s="3">
        <f t="shared" si="4"/>
        <v>27.47</v>
      </c>
      <c r="M23" s="3">
        <f t="shared" si="4"/>
        <v>26.53</v>
      </c>
      <c r="P23" s="15" t="s">
        <v>311</v>
      </c>
      <c r="Q23" s="10" t="str">
        <f t="shared" si="1"/>
        <v xml:space="preserve">SAO MARTINHO-ON  </v>
      </c>
      <c r="R23" s="57">
        <f t="shared" si="2"/>
        <v>41654</v>
      </c>
      <c r="S23" s="5">
        <f t="shared" si="3"/>
        <v>27.37</v>
      </c>
      <c r="T23" s="5">
        <f t="shared" si="3"/>
        <v>26.8</v>
      </c>
      <c r="U23" s="5">
        <f t="shared" si="3"/>
        <v>27.47</v>
      </c>
      <c r="V23" s="5">
        <f t="shared" si="3"/>
        <v>26.53</v>
      </c>
    </row>
    <row r="24" spans="1:22">
      <c r="A24" s="36" t="str">
        <f>IF(Tabela17[[#This Row],[Código]]="IBOV","^BVSP",IF(Tabela17[[#This Row],[Código]]="","",CONCATENATE(LEFT(Tabela17[[#This Row],[Código]],6),".SA")))</f>
        <v>CIQU3.SA</v>
      </c>
      <c r="C24" s="3" t="s">
        <v>395</v>
      </c>
      <c r="D24" s="3" t="s">
        <v>315</v>
      </c>
      <c r="E24" s="3" t="s">
        <v>315</v>
      </c>
      <c r="F24" s="3" t="s">
        <v>315</v>
      </c>
      <c r="G24" s="3" t="s">
        <v>315</v>
      </c>
      <c r="H24" s="57">
        <v>41605</v>
      </c>
      <c r="J24" s="3">
        <f t="shared" si="4"/>
        <v>7.08</v>
      </c>
      <c r="K24" s="3">
        <f t="shared" si="4"/>
        <v>7.08</v>
      </c>
      <c r="L24" s="3">
        <f t="shared" si="4"/>
        <v>7.08</v>
      </c>
      <c r="M24" s="3">
        <f t="shared" si="4"/>
        <v>7.08</v>
      </c>
      <c r="P24" s="10" t="s">
        <v>313</v>
      </c>
      <c r="Q24" s="10" t="str">
        <f t="shared" si="1"/>
        <v xml:space="preserve">CACIQUE     -ON  </v>
      </c>
      <c r="R24" s="57">
        <f t="shared" si="2"/>
        <v>41605</v>
      </c>
      <c r="S24" s="5">
        <f t="shared" si="3"/>
        <v>7.08</v>
      </c>
      <c r="T24" s="5">
        <f t="shared" si="3"/>
        <v>7.08</v>
      </c>
      <c r="U24" s="5">
        <f t="shared" si="3"/>
        <v>7.08</v>
      </c>
      <c r="V24" s="5">
        <f t="shared" si="3"/>
        <v>7.08</v>
      </c>
    </row>
    <row r="25" spans="1:22">
      <c r="A25" s="36" t="str">
        <f>IF(Tabela17[[#This Row],[Código]]="IBOV","^BVSP",IF(Tabela17[[#This Row],[Código]]="","",CONCATENATE(LEFT(Tabela17[[#This Row],[Código]],6),".SA")))</f>
        <v>CIQU4.SA</v>
      </c>
      <c r="C25" s="3" t="s">
        <v>396</v>
      </c>
      <c r="D25" s="3" t="s">
        <v>490</v>
      </c>
      <c r="E25" s="3" t="s">
        <v>490</v>
      </c>
      <c r="F25" s="3" t="s">
        <v>490</v>
      </c>
      <c r="G25" s="3" t="s">
        <v>490</v>
      </c>
      <c r="H25" s="57">
        <v>41649</v>
      </c>
      <c r="J25" s="3">
        <f t="shared" si="4"/>
        <v>13.08</v>
      </c>
      <c r="K25" s="3">
        <f t="shared" si="4"/>
        <v>13.08</v>
      </c>
      <c r="L25" s="3">
        <f t="shared" si="4"/>
        <v>13.08</v>
      </c>
      <c r="M25" s="3">
        <f t="shared" si="4"/>
        <v>13.08</v>
      </c>
      <c r="P25" s="15" t="s">
        <v>314</v>
      </c>
      <c r="Q25" s="10" t="str">
        <f t="shared" si="1"/>
        <v xml:space="preserve">CACIQUE     -PN  </v>
      </c>
      <c r="R25" s="57">
        <f t="shared" si="2"/>
        <v>41649</v>
      </c>
      <c r="S25" s="5">
        <f t="shared" si="3"/>
        <v>13.08</v>
      </c>
      <c r="T25" s="5">
        <f t="shared" si="3"/>
        <v>13.08</v>
      </c>
      <c r="U25" s="5">
        <f t="shared" si="3"/>
        <v>13.08</v>
      </c>
      <c r="V25" s="5">
        <f t="shared" si="3"/>
        <v>13.08</v>
      </c>
    </row>
    <row r="26" spans="1:22">
      <c r="A26" s="36" t="str">
        <f>IF(Tabela17[[#This Row],[Código]]="IBOV","^BVSP",IF(Tabela17[[#This Row],[Código]]="","",CONCATENATE(LEFT(Tabela17[[#This Row],[Código]],6),".SA")))</f>
        <v>BRFS3.SA</v>
      </c>
      <c r="C26" s="3" t="s">
        <v>319</v>
      </c>
      <c r="D26" s="3" t="s">
        <v>648</v>
      </c>
      <c r="E26" s="3" t="s">
        <v>787</v>
      </c>
      <c r="F26" s="3" t="s">
        <v>726</v>
      </c>
      <c r="G26" s="3" t="s">
        <v>649</v>
      </c>
      <c r="H26" s="57">
        <v>41654</v>
      </c>
      <c r="J26" s="3">
        <f t="shared" si="4"/>
        <v>44.83</v>
      </c>
      <c r="K26" s="3">
        <f t="shared" si="4"/>
        <v>44.71</v>
      </c>
      <c r="L26" s="3">
        <f t="shared" si="4"/>
        <v>45.2</v>
      </c>
      <c r="M26" s="3">
        <f t="shared" si="4"/>
        <v>44.42</v>
      </c>
      <c r="P26" s="10" t="s">
        <v>317</v>
      </c>
      <c r="Q26" s="10" t="str">
        <f t="shared" si="1"/>
        <v xml:space="preserve">BRF SA      -ON  </v>
      </c>
      <c r="R26" s="57">
        <f t="shared" si="2"/>
        <v>41654</v>
      </c>
      <c r="S26" s="5">
        <f t="shared" si="3"/>
        <v>44.83</v>
      </c>
      <c r="T26" s="5">
        <f t="shared" si="3"/>
        <v>44.71</v>
      </c>
      <c r="U26" s="5">
        <f t="shared" si="3"/>
        <v>45.2</v>
      </c>
      <c r="V26" s="5">
        <f t="shared" si="3"/>
        <v>44.42</v>
      </c>
    </row>
    <row r="27" spans="1:22">
      <c r="A27" s="36" t="str">
        <f>IF(Tabela17[[#This Row],[Código]]="IBOV","^BVSP",IF(Tabela17[[#This Row],[Código]]="","",CONCATENATE(LEFT(Tabela17[[#This Row],[Código]],6),".SA")))</f>
        <v>JBSS3.SA</v>
      </c>
      <c r="C27" s="3" t="s">
        <v>321</v>
      </c>
      <c r="D27" s="3" t="s">
        <v>541</v>
      </c>
      <c r="E27" s="3" t="s">
        <v>592</v>
      </c>
      <c r="F27" s="3" t="s">
        <v>593</v>
      </c>
      <c r="G27" s="3" t="s">
        <v>531</v>
      </c>
      <c r="H27" s="57">
        <v>41654</v>
      </c>
      <c r="J27" s="3">
        <f t="shared" si="4"/>
        <v>8.74</v>
      </c>
      <c r="K27" s="3">
        <f t="shared" si="4"/>
        <v>8.9</v>
      </c>
      <c r="L27" s="3">
        <f t="shared" si="4"/>
        <v>9.08</v>
      </c>
      <c r="M27" s="3">
        <f t="shared" si="4"/>
        <v>8.6999999999999993</v>
      </c>
      <c r="P27" s="47" t="s">
        <v>320</v>
      </c>
      <c r="Q27" s="10" t="str">
        <f t="shared" si="1"/>
        <v xml:space="preserve">JBS         -ON  </v>
      </c>
      <c r="R27" s="57">
        <f t="shared" si="2"/>
        <v>41654</v>
      </c>
      <c r="S27" s="5">
        <f t="shared" si="3"/>
        <v>8.74</v>
      </c>
      <c r="T27" s="5">
        <f t="shared" si="3"/>
        <v>8.9</v>
      </c>
      <c r="U27" s="5">
        <f t="shared" si="3"/>
        <v>9.08</v>
      </c>
      <c r="V27" s="5">
        <f t="shared" si="3"/>
        <v>8.6999999999999993</v>
      </c>
    </row>
    <row r="28" spans="1:22">
      <c r="A28" s="36" t="str">
        <f>IF(Tabela17[[#This Row],[Código]]="IBOV","^BVSP",IF(Tabela17[[#This Row],[Código]]="","",CONCATENATE(LEFT(Tabela17[[#This Row],[Código]],6),".SA")))</f>
        <v>VIGR3.SA</v>
      </c>
      <c r="C28" s="3" t="s">
        <v>323</v>
      </c>
      <c r="D28" s="3" t="s">
        <v>651</v>
      </c>
      <c r="E28" s="3" t="s">
        <v>727</v>
      </c>
      <c r="F28" s="3" t="s">
        <v>727</v>
      </c>
      <c r="G28" s="3" t="s">
        <v>651</v>
      </c>
      <c r="H28" s="57">
        <v>41654</v>
      </c>
      <c r="J28" s="3">
        <f t="shared" si="4"/>
        <v>9.01</v>
      </c>
      <c r="K28" s="3">
        <f t="shared" si="4"/>
        <v>9.15</v>
      </c>
      <c r="L28" s="3">
        <f t="shared" si="4"/>
        <v>9.15</v>
      </c>
      <c r="M28" s="3">
        <f t="shared" si="4"/>
        <v>9.01</v>
      </c>
      <c r="P28" s="47" t="s">
        <v>322</v>
      </c>
      <c r="Q28" s="10" t="str">
        <f t="shared" si="1"/>
        <v xml:space="preserve">VIGOR FOOD  -ON  </v>
      </c>
      <c r="R28" s="57">
        <f t="shared" si="2"/>
        <v>41654</v>
      </c>
      <c r="S28" s="5">
        <f t="shared" si="3"/>
        <v>9.01</v>
      </c>
      <c r="T28" s="5">
        <f t="shared" si="3"/>
        <v>9.15</v>
      </c>
      <c r="U28" s="5">
        <f t="shared" si="3"/>
        <v>9.15</v>
      </c>
      <c r="V28" s="5">
        <f t="shared" si="3"/>
        <v>9.01</v>
      </c>
    </row>
    <row r="29" spans="1:22">
      <c r="A29" s="36" t="str">
        <f>IF(Tabela17[[#This Row],[Código]]="IBOV","^BVSP",IF(Tabela17[[#This Row],[Código]]="","",CONCATENATE(LEFT(Tabela17[[#This Row],[Código]],6),".SA")))</f>
        <v>TIMP3.SA</v>
      </c>
      <c r="C29" s="3" t="s">
        <v>327</v>
      </c>
      <c r="D29" s="3" t="s">
        <v>542</v>
      </c>
      <c r="E29" s="3" t="s">
        <v>788</v>
      </c>
      <c r="F29" s="3" t="s">
        <v>652</v>
      </c>
      <c r="G29" s="3" t="s">
        <v>789</v>
      </c>
      <c r="H29" s="57">
        <v>41654</v>
      </c>
      <c r="J29" s="3">
        <f>IF($A29="",0,VALUE(CONCATENATE(LEFT(D29,LEN(D29)-3),",",RIGHT(D29,2))))</f>
        <v>13.45</v>
      </c>
      <c r="K29" s="3">
        <f t="shared" si="4"/>
        <v>13.46</v>
      </c>
      <c r="L29" s="3">
        <f t="shared" si="4"/>
        <v>13.47</v>
      </c>
      <c r="M29" s="3">
        <f t="shared" si="4"/>
        <v>13.27</v>
      </c>
      <c r="P29" s="15" t="s">
        <v>325</v>
      </c>
      <c r="Q29" s="10" t="str">
        <f t="shared" si="1"/>
        <v xml:space="preserve">TIM PART S/A-ON  </v>
      </c>
      <c r="R29" s="57">
        <f t="shared" si="2"/>
        <v>41654</v>
      </c>
      <c r="S29" s="5">
        <f t="shared" si="3"/>
        <v>13.45</v>
      </c>
      <c r="T29" s="5">
        <f t="shared" si="3"/>
        <v>13.46</v>
      </c>
      <c r="U29" s="5">
        <f t="shared" si="3"/>
        <v>13.47</v>
      </c>
      <c r="V29" s="5">
        <f t="shared" si="3"/>
        <v>13.27</v>
      </c>
    </row>
    <row r="30" spans="1:22">
      <c r="A30" s="36" t="str">
        <f>IF(Tabela17[[#This Row],[Código]]="IBOV","^BVSP",IF(Tabela17[[#This Row],[Código]]="","",CONCATENATE(LEFT(Tabela17[[#This Row],[Código]],6),".SA")))</f>
        <v>OIBR3.SA</v>
      </c>
      <c r="C30" s="3" t="s">
        <v>330</v>
      </c>
      <c r="D30" s="3" t="s">
        <v>653</v>
      </c>
      <c r="E30" s="3" t="s">
        <v>790</v>
      </c>
      <c r="F30" s="3" t="s">
        <v>728</v>
      </c>
      <c r="G30" s="3" t="s">
        <v>654</v>
      </c>
      <c r="H30" s="57">
        <v>41654</v>
      </c>
      <c r="J30" s="3">
        <f t="shared" si="4"/>
        <v>4.63</v>
      </c>
      <c r="K30" s="3">
        <f t="shared" si="4"/>
        <v>4.6900000000000004</v>
      </c>
      <c r="L30" s="3">
        <f t="shared" si="4"/>
        <v>4.72</v>
      </c>
      <c r="M30" s="3">
        <f t="shared" si="4"/>
        <v>4.57</v>
      </c>
      <c r="P30" s="14" t="s">
        <v>328</v>
      </c>
      <c r="Q30" s="10" t="str">
        <f t="shared" si="1"/>
        <v xml:space="preserve">OI          -ON  </v>
      </c>
      <c r="R30" s="57">
        <f t="shared" si="2"/>
        <v>41654</v>
      </c>
      <c r="S30" s="5">
        <f t="shared" si="3"/>
        <v>4.63</v>
      </c>
      <c r="T30" s="5">
        <f t="shared" si="3"/>
        <v>4.6900000000000004</v>
      </c>
      <c r="U30" s="5">
        <f t="shared" si="3"/>
        <v>4.72</v>
      </c>
      <c r="V30" s="5">
        <f t="shared" si="3"/>
        <v>4.57</v>
      </c>
    </row>
    <row r="31" spans="1:22">
      <c r="A31" s="36" t="str">
        <f>IF(Tabela17[[#This Row],[Código]]="IBOV","^BVSP",IF(Tabela17[[#This Row],[Código]]="","",CONCATENATE(LEFT(Tabela17[[#This Row],[Código]],6),".SA")))</f>
        <v>OIBR4.SA</v>
      </c>
      <c r="C31" s="3" t="s">
        <v>331</v>
      </c>
      <c r="D31" s="3" t="s">
        <v>655</v>
      </c>
      <c r="E31" s="3" t="s">
        <v>656</v>
      </c>
      <c r="F31" s="3" t="s">
        <v>543</v>
      </c>
      <c r="G31" s="3" t="s">
        <v>656</v>
      </c>
      <c r="H31" s="57">
        <v>41654</v>
      </c>
      <c r="J31" s="3">
        <f t="shared" si="4"/>
        <v>4.45</v>
      </c>
      <c r="K31" s="3">
        <f t="shared" si="4"/>
        <v>4.37</v>
      </c>
      <c r="L31" s="3">
        <f t="shared" si="4"/>
        <v>4.53</v>
      </c>
      <c r="M31" s="3">
        <f t="shared" si="4"/>
        <v>4.37</v>
      </c>
      <c r="P31" s="10" t="s">
        <v>329</v>
      </c>
      <c r="Q31" s="10" t="str">
        <f t="shared" si="1"/>
        <v xml:space="preserve">OI          -PN  </v>
      </c>
      <c r="R31" s="57">
        <f t="shared" si="2"/>
        <v>41654</v>
      </c>
      <c r="S31" s="5">
        <f t="shared" si="3"/>
        <v>4.45</v>
      </c>
      <c r="T31" s="5">
        <f t="shared" si="3"/>
        <v>4.37</v>
      </c>
      <c r="U31" s="5">
        <f t="shared" si="3"/>
        <v>4.53</v>
      </c>
      <c r="V31" s="5">
        <f t="shared" si="3"/>
        <v>4.37</v>
      </c>
    </row>
    <row r="32" spans="1:22">
      <c r="A32" s="36" t="str">
        <f>IF(Tabela17[[#This Row],[Código]]="IBOV","^BVSP",IF(Tabela17[[#This Row],[Código]]="","",CONCATENATE(LEFT(Tabela17[[#This Row],[Código]],6),".SA")))</f>
        <v>VIVT3.SA</v>
      </c>
      <c r="C32" s="3" t="s">
        <v>397</v>
      </c>
      <c r="D32" s="3" t="s">
        <v>657</v>
      </c>
      <c r="E32" s="3" t="s">
        <v>791</v>
      </c>
      <c r="F32" s="3" t="s">
        <v>792</v>
      </c>
      <c r="G32" s="3" t="s">
        <v>657</v>
      </c>
      <c r="H32" s="57">
        <v>41654</v>
      </c>
      <c r="J32" s="3">
        <f t="shared" si="4"/>
        <v>40.85</v>
      </c>
      <c r="K32" s="3">
        <f t="shared" si="4"/>
        <v>41.55</v>
      </c>
      <c r="L32" s="3">
        <f t="shared" si="4"/>
        <v>41.77</v>
      </c>
      <c r="M32" s="3">
        <f t="shared" si="4"/>
        <v>40.85</v>
      </c>
      <c r="P32" s="15" t="s">
        <v>333</v>
      </c>
      <c r="Q32" s="10" t="str">
        <f t="shared" si="1"/>
        <v xml:space="preserve">TELEF BRASIL-ON  </v>
      </c>
      <c r="R32" s="57">
        <f t="shared" si="2"/>
        <v>41654</v>
      </c>
      <c r="S32" s="5">
        <f t="shared" si="3"/>
        <v>40.85</v>
      </c>
      <c r="T32" s="5">
        <f t="shared" si="3"/>
        <v>41.55</v>
      </c>
      <c r="U32" s="5">
        <f t="shared" si="3"/>
        <v>41.77</v>
      </c>
      <c r="V32" s="5">
        <f t="shared" si="3"/>
        <v>40.85</v>
      </c>
    </row>
    <row r="33" spans="1:22">
      <c r="A33" s="36" t="str">
        <f>IF(Tabela17[[#This Row],[Código]]="IBOV","^BVSP",IF(Tabela17[[#This Row],[Código]]="","",CONCATENATE(LEFT(Tabela17[[#This Row],[Código]],6),".SA")))</f>
        <v>VIVT4.SA</v>
      </c>
      <c r="C33" s="3" t="s">
        <v>398</v>
      </c>
      <c r="D33" s="3" t="s">
        <v>658</v>
      </c>
      <c r="E33" s="3" t="s">
        <v>793</v>
      </c>
      <c r="F33" s="3" t="s">
        <v>659</v>
      </c>
      <c r="G33" s="3" t="s">
        <v>658</v>
      </c>
      <c r="H33" s="57">
        <v>41654</v>
      </c>
      <c r="J33" s="3">
        <f t="shared" si="4"/>
        <v>46.12</v>
      </c>
      <c r="K33" s="3">
        <f t="shared" si="4"/>
        <v>46.9</v>
      </c>
      <c r="L33" s="3">
        <f t="shared" si="4"/>
        <v>47.26</v>
      </c>
      <c r="M33" s="3">
        <f t="shared" si="4"/>
        <v>46.12</v>
      </c>
      <c r="P33" s="15" t="s">
        <v>334</v>
      </c>
      <c r="Q33" s="10" t="str">
        <f t="shared" si="1"/>
        <v xml:space="preserve">TELEF BRASIL-PN  </v>
      </c>
      <c r="R33" s="57">
        <f t="shared" si="2"/>
        <v>41654</v>
      </c>
      <c r="S33" s="5">
        <f t="shared" si="3"/>
        <v>46.12</v>
      </c>
      <c r="T33" s="5">
        <f t="shared" si="3"/>
        <v>46.9</v>
      </c>
      <c r="U33" s="5">
        <f t="shared" si="3"/>
        <v>47.26</v>
      </c>
      <c r="V33" s="5">
        <f t="shared" si="3"/>
        <v>46.12</v>
      </c>
    </row>
    <row r="34" spans="1:22">
      <c r="A34" s="36" t="str">
        <f>IF(Tabela17[[#This Row],[Código]]="IBOV","^BVSP",IF(Tabela17[[#This Row],[Código]]="","",CONCATENATE(LEFT(Tabela17[[#This Row],[Código]],6),".SA")))</f>
        <v>BRAP3.SA</v>
      </c>
      <c r="C34" s="3" t="s">
        <v>338</v>
      </c>
      <c r="D34" s="3" t="s">
        <v>128</v>
      </c>
      <c r="E34" s="3" t="s">
        <v>621</v>
      </c>
      <c r="F34" s="3" t="s">
        <v>729</v>
      </c>
      <c r="G34" s="3" t="s">
        <v>128</v>
      </c>
      <c r="H34" s="57">
        <v>41654</v>
      </c>
      <c r="J34" s="3">
        <f t="shared" si="4"/>
        <v>18</v>
      </c>
      <c r="K34" s="3">
        <f t="shared" si="4"/>
        <v>18.16</v>
      </c>
      <c r="L34" s="3">
        <f t="shared" si="4"/>
        <v>18.2</v>
      </c>
      <c r="M34" s="3">
        <f t="shared" si="4"/>
        <v>18</v>
      </c>
      <c r="P34" s="10" t="s">
        <v>335</v>
      </c>
      <c r="Q34" s="10" t="str">
        <f t="shared" si="1"/>
        <v xml:space="preserve">BRADESPAR   -ON  </v>
      </c>
      <c r="R34" s="57">
        <f t="shared" si="2"/>
        <v>41654</v>
      </c>
      <c r="S34" s="5">
        <f t="shared" si="3"/>
        <v>18</v>
      </c>
      <c r="T34" s="5">
        <f t="shared" si="3"/>
        <v>18.16</v>
      </c>
      <c r="U34" s="5">
        <f t="shared" si="3"/>
        <v>18.2</v>
      </c>
      <c r="V34" s="5">
        <f t="shared" si="3"/>
        <v>18</v>
      </c>
    </row>
    <row r="35" spans="1:22">
      <c r="A35" s="36" t="str">
        <f>IF(Tabela17[[#This Row],[Código]]="IBOV","^BVSP",IF(Tabela17[[#This Row],[Código]]="","",CONCATENATE(LEFT(Tabela17[[#This Row],[Código]],6),".SA")))</f>
        <v>BRAP4.SA</v>
      </c>
      <c r="C35" s="3" t="s">
        <v>339</v>
      </c>
      <c r="D35" s="3" t="s">
        <v>661</v>
      </c>
      <c r="E35" s="3" t="s">
        <v>794</v>
      </c>
      <c r="F35" s="3" t="s">
        <v>795</v>
      </c>
      <c r="G35" s="3" t="s">
        <v>662</v>
      </c>
      <c r="H35" s="57">
        <v>41654</v>
      </c>
      <c r="J35" s="3">
        <f t="shared" si="4"/>
        <v>22.38</v>
      </c>
      <c r="K35" s="3">
        <f t="shared" si="4"/>
        <v>22.41</v>
      </c>
      <c r="L35" s="3">
        <f t="shared" si="4"/>
        <v>22.52</v>
      </c>
      <c r="M35" s="3">
        <f t="shared" si="4"/>
        <v>22.19</v>
      </c>
      <c r="P35" s="10" t="s">
        <v>336</v>
      </c>
      <c r="Q35" s="10" t="str">
        <f t="shared" si="1"/>
        <v xml:space="preserve">BRADESPAR   -PN  </v>
      </c>
      <c r="R35" s="57">
        <f t="shared" si="2"/>
        <v>41654</v>
      </c>
      <c r="S35" s="5">
        <f t="shared" si="3"/>
        <v>22.38</v>
      </c>
      <c r="T35" s="5">
        <f t="shared" si="3"/>
        <v>22.41</v>
      </c>
      <c r="U35" s="5">
        <f t="shared" si="3"/>
        <v>22.52</v>
      </c>
      <c r="V35" s="5">
        <f t="shared" si="3"/>
        <v>22.19</v>
      </c>
    </row>
    <row r="36" spans="1:22">
      <c r="A36" s="36" t="str">
        <f>IF(Tabela17[[#This Row],[Código]]="IBOV","^BVSP",IF(Tabela17[[#This Row],[Código]]="","",CONCATENATE(LEFT(Tabela17[[#This Row],[Código]],6),".SA")))</f>
        <v>HBTS5.SA</v>
      </c>
      <c r="C36" s="3" t="s">
        <v>345</v>
      </c>
      <c r="D36" s="3" t="s">
        <v>663</v>
      </c>
      <c r="E36" s="3" t="s">
        <v>527</v>
      </c>
      <c r="F36" s="3" t="s">
        <v>527</v>
      </c>
      <c r="G36" s="3" t="s">
        <v>663</v>
      </c>
      <c r="H36" s="57">
        <v>41654</v>
      </c>
      <c r="J36" s="3">
        <f t="shared" si="4"/>
        <v>15.95</v>
      </c>
      <c r="K36" s="3">
        <f t="shared" si="4"/>
        <v>17.97</v>
      </c>
      <c r="L36" s="3">
        <f t="shared" si="4"/>
        <v>17.97</v>
      </c>
      <c r="M36" s="3">
        <f t="shared" si="4"/>
        <v>15.95</v>
      </c>
      <c r="P36" s="14" t="s">
        <v>344</v>
      </c>
      <c r="Q36" s="10" t="str">
        <f t="shared" si="1"/>
        <v>HABITASUL   -PNA</v>
      </c>
      <c r="R36" s="57">
        <f t="shared" si="2"/>
        <v>41654</v>
      </c>
      <c r="S36" s="5">
        <f t="shared" si="3"/>
        <v>15.95</v>
      </c>
      <c r="T36" s="5">
        <f t="shared" si="3"/>
        <v>17.97</v>
      </c>
      <c r="U36" s="5">
        <f t="shared" si="3"/>
        <v>17.97</v>
      </c>
      <c r="V36" s="5">
        <f t="shared" si="3"/>
        <v>15.95</v>
      </c>
    </row>
    <row r="37" spans="1:22">
      <c r="A37" s="36" t="str">
        <f>IF(Tabela17[[#This Row],[Código]]="IBOV","^BVSP",IF(Tabela17[[#This Row],[Código]]="","",CONCATENATE(LEFT(Tabela17[[#This Row],[Código]],6),".SA")))</f>
        <v>MOAR3.SA</v>
      </c>
      <c r="C37" s="3" t="s">
        <v>500</v>
      </c>
      <c r="D37" s="3" t="s">
        <v>347</v>
      </c>
      <c r="E37" s="3" t="s">
        <v>348</v>
      </c>
      <c r="F37" s="3" t="s">
        <v>347</v>
      </c>
      <c r="G37" s="3" t="s">
        <v>348</v>
      </c>
      <c r="H37" s="57">
        <v>41634</v>
      </c>
      <c r="J37" s="3">
        <f t="shared" si="4"/>
        <v>159</v>
      </c>
      <c r="K37" s="3">
        <f t="shared" si="4"/>
        <v>158.99</v>
      </c>
      <c r="L37" s="3">
        <f t="shared" si="4"/>
        <v>159</v>
      </c>
      <c r="M37" s="3">
        <f t="shared" si="4"/>
        <v>158.99</v>
      </c>
      <c r="P37" s="14" t="s">
        <v>346</v>
      </c>
      <c r="Q37" s="10" t="str">
        <f t="shared" si="1"/>
        <v>MONT ARANHA -ON</v>
      </c>
      <c r="R37" s="57">
        <f t="shared" si="2"/>
        <v>41634</v>
      </c>
      <c r="S37" s="5">
        <f t="shared" si="3"/>
        <v>159</v>
      </c>
      <c r="T37" s="5">
        <f t="shared" si="3"/>
        <v>158.99</v>
      </c>
      <c r="U37" s="5">
        <f t="shared" si="3"/>
        <v>159</v>
      </c>
      <c r="V37" s="5">
        <f t="shared" si="3"/>
        <v>158.99</v>
      </c>
    </row>
    <row r="38" spans="1:22">
      <c r="A38" s="36" t="str">
        <f>IF(Tabela17[[#This Row],[Código]]="IBOV","^BVSP",IF(Tabela17[[#This Row],[Código]]="","",CONCATENATE(LEFT(Tabela17[[#This Row],[Código]],6),".SA")))</f>
        <v>UGPA3.SA</v>
      </c>
      <c r="C38" s="3" t="s">
        <v>350</v>
      </c>
      <c r="D38" s="3" t="s">
        <v>664</v>
      </c>
      <c r="E38" s="3" t="s">
        <v>796</v>
      </c>
      <c r="F38" s="3" t="s">
        <v>665</v>
      </c>
      <c r="G38" s="3" t="s">
        <v>736</v>
      </c>
      <c r="H38" s="57">
        <v>41654</v>
      </c>
      <c r="J38" s="3">
        <f t="shared" si="4"/>
        <v>54.7</v>
      </c>
      <c r="K38" s="3">
        <f t="shared" si="4"/>
        <v>53.92</v>
      </c>
      <c r="L38" s="3">
        <f t="shared" si="4"/>
        <v>54.74</v>
      </c>
      <c r="M38" s="3">
        <f t="shared" si="4"/>
        <v>53.55</v>
      </c>
      <c r="P38" s="14" t="s">
        <v>349</v>
      </c>
      <c r="Q38" s="10" t="str">
        <f t="shared" si="1"/>
        <v xml:space="preserve">ULTRAPAR    -ON  </v>
      </c>
      <c r="R38" s="57">
        <f t="shared" si="2"/>
        <v>41654</v>
      </c>
      <c r="S38" s="5">
        <f t="shared" si="3"/>
        <v>54.7</v>
      </c>
      <c r="T38" s="5">
        <f t="shared" si="3"/>
        <v>53.92</v>
      </c>
      <c r="U38" s="5">
        <f t="shared" si="3"/>
        <v>54.74</v>
      </c>
      <c r="V38" s="5">
        <f t="shared" si="3"/>
        <v>53.55</v>
      </c>
    </row>
    <row r="39" spans="1:22">
      <c r="A39" s="36" t="str">
        <f>IF(Tabela17[[#This Row],[Código]]="IBOV","^BVSP",IF(Tabela17[[#This Row],[Código]]="","",CONCATENATE(LEFT(Tabela17[[#This Row],[Código]],6),".SA")))</f>
        <v>BAHI3.SA</v>
      </c>
      <c r="C39" s="3" t="s">
        <v>352</v>
      </c>
      <c r="D39" s="3" t="s">
        <v>666</v>
      </c>
      <c r="E39" s="3" t="s">
        <v>797</v>
      </c>
      <c r="F39" s="3" t="s">
        <v>666</v>
      </c>
      <c r="G39" s="3" t="s">
        <v>797</v>
      </c>
      <c r="H39" s="57">
        <v>41654</v>
      </c>
      <c r="J39" s="3">
        <f t="shared" si="4"/>
        <v>5.3</v>
      </c>
      <c r="K39" s="3">
        <f t="shared" si="4"/>
        <v>4.8099999999999996</v>
      </c>
      <c r="L39" s="3">
        <f t="shared" si="4"/>
        <v>5.3</v>
      </c>
      <c r="M39" s="3">
        <f t="shared" si="4"/>
        <v>4.8099999999999996</v>
      </c>
      <c r="P39" s="14" t="s">
        <v>351</v>
      </c>
      <c r="Q39" s="10" t="str">
        <f t="shared" si="1"/>
        <v>BAHEMA      -ON</v>
      </c>
      <c r="R39" s="57">
        <f t="shared" si="2"/>
        <v>41654</v>
      </c>
      <c r="S39" s="5">
        <f t="shared" ref="S39:V70" si="5">J39</f>
        <v>5.3</v>
      </c>
      <c r="T39" s="5">
        <f t="shared" si="5"/>
        <v>4.8099999999999996</v>
      </c>
      <c r="U39" s="5">
        <f t="shared" si="5"/>
        <v>5.3</v>
      </c>
      <c r="V39" s="5">
        <f t="shared" si="5"/>
        <v>4.8099999999999996</v>
      </c>
    </row>
    <row r="40" spans="1:22">
      <c r="A40" s="36" t="str">
        <f>IF(Tabela17[[#This Row],[Código]]="IBOV","^BVSP",IF(Tabela17[[#This Row],[Código]]="","",CONCATENATE(LEFT(Tabela17[[#This Row],[Código]],6),".SA")))</f>
        <v>LCAM3.SA</v>
      </c>
      <c r="C40" s="3" t="s">
        <v>360</v>
      </c>
      <c r="D40" s="3" t="s">
        <v>667</v>
      </c>
      <c r="E40" s="3" t="s">
        <v>667</v>
      </c>
      <c r="F40" s="3" t="s">
        <v>545</v>
      </c>
      <c r="G40" s="3" t="s">
        <v>798</v>
      </c>
      <c r="H40" s="57">
        <v>41654</v>
      </c>
      <c r="J40" s="3">
        <f t="shared" si="4"/>
        <v>6.5</v>
      </c>
      <c r="K40" s="3">
        <f t="shared" si="4"/>
        <v>6.5</v>
      </c>
      <c r="L40" s="3">
        <f t="shared" si="4"/>
        <v>6.55</v>
      </c>
      <c r="M40" s="3">
        <f t="shared" si="4"/>
        <v>6.42</v>
      </c>
      <c r="P40" s="14" t="s">
        <v>359</v>
      </c>
      <c r="Q40" s="10" t="str">
        <f t="shared" si="1"/>
        <v xml:space="preserve">LOCAMERICA  -ON  </v>
      </c>
      <c r="R40" s="57">
        <f t="shared" si="2"/>
        <v>41654</v>
      </c>
      <c r="S40" s="5">
        <f t="shared" si="5"/>
        <v>6.5</v>
      </c>
      <c r="T40" s="5">
        <f t="shared" si="5"/>
        <v>6.5</v>
      </c>
      <c r="U40" s="5">
        <f t="shared" si="5"/>
        <v>6.55</v>
      </c>
      <c r="V40" s="5">
        <f t="shared" si="5"/>
        <v>6.42</v>
      </c>
    </row>
    <row r="41" spans="1:22">
      <c r="A41" s="36" t="str">
        <f>IF(Tabela17[[#This Row],[Código]]="IBOV","^BVSP",IF(Tabela17[[#This Row],[Código]]="","",CONCATENATE(LEFT(Tabela17[[#This Row],[Código]],6),".SA")))</f>
        <v>PTPA4.SA</v>
      </c>
      <c r="C41" s="3" t="s">
        <v>501</v>
      </c>
      <c r="D41" s="3" t="s">
        <v>270</v>
      </c>
      <c r="E41" s="3" t="s">
        <v>270</v>
      </c>
      <c r="F41" s="3" t="s">
        <v>270</v>
      </c>
      <c r="G41" s="3" t="s">
        <v>270</v>
      </c>
      <c r="H41" s="57">
        <v>41647</v>
      </c>
      <c r="J41" s="3">
        <f t="shared" si="4"/>
        <v>58</v>
      </c>
      <c r="K41" s="3">
        <f t="shared" si="4"/>
        <v>58</v>
      </c>
      <c r="L41" s="3">
        <f t="shared" si="4"/>
        <v>58</v>
      </c>
      <c r="M41" s="3">
        <f t="shared" si="4"/>
        <v>58</v>
      </c>
      <c r="P41" s="14" t="s">
        <v>364</v>
      </c>
      <c r="Q41" s="10" t="str">
        <f t="shared" si="1"/>
        <v>EVORA       -PN</v>
      </c>
      <c r="R41" s="50">
        <f t="shared" si="2"/>
        <v>41647</v>
      </c>
      <c r="S41" s="6">
        <f t="shared" si="5"/>
        <v>58</v>
      </c>
      <c r="T41" s="6">
        <f t="shared" si="5"/>
        <v>58</v>
      </c>
      <c r="U41" s="6">
        <f t="shared" si="5"/>
        <v>58</v>
      </c>
      <c r="V41" s="6">
        <f t="shared" si="5"/>
        <v>58</v>
      </c>
    </row>
    <row r="42" spans="1:22">
      <c r="A42" s="36" t="str">
        <f>IF(Tabela17[[#This Row],[Código]]="IBOV","^BVSP",IF(Tabela17[[#This Row],[Código]]="","",CONCATENATE(LEFT(Tabela17[[#This Row],[Código]],6),".SA")))</f>
        <v>DTEX3.SA</v>
      </c>
      <c r="C42" s="3" t="s">
        <v>370</v>
      </c>
      <c r="D42" s="3" t="s">
        <v>668</v>
      </c>
      <c r="E42" s="3" t="s">
        <v>799</v>
      </c>
      <c r="F42" s="3" t="s">
        <v>799</v>
      </c>
      <c r="G42" s="3" t="s">
        <v>670</v>
      </c>
      <c r="H42" s="57">
        <v>41654</v>
      </c>
      <c r="J42" s="3">
        <f t="shared" si="4"/>
        <v>12.26</v>
      </c>
      <c r="K42" s="3">
        <f t="shared" si="4"/>
        <v>12.54</v>
      </c>
      <c r="L42" s="3">
        <f t="shared" si="4"/>
        <v>12.54</v>
      </c>
      <c r="M42" s="3">
        <f t="shared" si="4"/>
        <v>12.15</v>
      </c>
      <c r="P42" s="14" t="s">
        <v>368</v>
      </c>
      <c r="Q42" s="10" t="str">
        <f t="shared" si="1"/>
        <v xml:space="preserve">DURATEX     -ON  </v>
      </c>
      <c r="R42" s="57">
        <f t="shared" si="2"/>
        <v>41654</v>
      </c>
      <c r="S42" s="5">
        <f t="shared" si="5"/>
        <v>12.26</v>
      </c>
      <c r="T42" s="5">
        <f t="shared" si="5"/>
        <v>12.54</v>
      </c>
      <c r="U42" s="5">
        <f t="shared" si="5"/>
        <v>12.54</v>
      </c>
      <c r="V42" s="5">
        <f t="shared" si="5"/>
        <v>12.15</v>
      </c>
    </row>
    <row r="43" spans="1:22">
      <c r="A43" s="36" t="str">
        <f>IF(Tabela17[[#This Row],[Código]]="IBOV","^BVSP",IF(Tabela17[[#This Row],[Código]]="","",CONCATENATE(LEFT(Tabela17[[#This Row],[Código]],6),".SA")))</f>
        <v>EUCA4.SA</v>
      </c>
      <c r="C43" s="3" t="s">
        <v>372</v>
      </c>
      <c r="D43" s="3" t="s">
        <v>671</v>
      </c>
      <c r="E43" s="3" t="s">
        <v>362</v>
      </c>
      <c r="F43" s="3" t="s">
        <v>730</v>
      </c>
      <c r="G43" s="3" t="s">
        <v>545</v>
      </c>
      <c r="H43" s="57">
        <v>41654</v>
      </c>
      <c r="J43" s="3">
        <f t="shared" si="4"/>
        <v>6.59</v>
      </c>
      <c r="K43" s="3">
        <f t="shared" si="4"/>
        <v>6.61</v>
      </c>
      <c r="L43" s="3">
        <f t="shared" si="4"/>
        <v>6.62</v>
      </c>
      <c r="M43" s="3">
        <f t="shared" si="4"/>
        <v>6.55</v>
      </c>
      <c r="P43" s="14" t="s">
        <v>371</v>
      </c>
      <c r="Q43" s="10" t="str">
        <f t="shared" si="1"/>
        <v xml:space="preserve">EUCATEX     -PN  </v>
      </c>
      <c r="R43" s="57">
        <f t="shared" si="2"/>
        <v>41654</v>
      </c>
      <c r="S43" s="5">
        <f t="shared" si="5"/>
        <v>6.59</v>
      </c>
      <c r="T43" s="5">
        <f t="shared" si="5"/>
        <v>6.61</v>
      </c>
      <c r="U43" s="5">
        <f t="shared" si="5"/>
        <v>6.62</v>
      </c>
      <c r="V43" s="5">
        <f t="shared" si="5"/>
        <v>6.55</v>
      </c>
    </row>
    <row r="44" spans="1:22">
      <c r="A44" s="36" t="str">
        <f>IF(Tabela17[[#This Row],[Código]]="IBOV","^BVSP",IF(Tabela17[[#This Row],[Código]]="","",CONCATENATE(LEFT(Tabela17[[#This Row],[Código]],6),".SA")))</f>
        <v>PRVI3.SA</v>
      </c>
      <c r="C44" s="3" t="s">
        <v>375</v>
      </c>
      <c r="D44" s="3" t="s">
        <v>672</v>
      </c>
      <c r="E44" s="3" t="s">
        <v>515</v>
      </c>
      <c r="F44" s="3" t="s">
        <v>674</v>
      </c>
      <c r="G44" s="3" t="s">
        <v>675</v>
      </c>
      <c r="H44" s="57">
        <v>41654</v>
      </c>
      <c r="J44" s="3">
        <f t="shared" si="4"/>
        <v>7.71</v>
      </c>
      <c r="K44" s="3">
        <f t="shared" si="4"/>
        <v>7.7</v>
      </c>
      <c r="L44" s="3">
        <f t="shared" si="4"/>
        <v>7.76</v>
      </c>
      <c r="M44" s="3">
        <f t="shared" si="4"/>
        <v>7.67</v>
      </c>
      <c r="P44" s="14" t="s">
        <v>374</v>
      </c>
      <c r="Q44" s="10" t="str">
        <f t="shared" si="1"/>
        <v xml:space="preserve">PROVIDENCIA -ON  </v>
      </c>
      <c r="R44" s="57">
        <f t="shared" si="2"/>
        <v>41654</v>
      </c>
      <c r="S44" s="5">
        <f t="shared" si="5"/>
        <v>7.71</v>
      </c>
      <c r="T44" s="5">
        <f t="shared" si="5"/>
        <v>7.7</v>
      </c>
      <c r="U44" s="5">
        <f t="shared" si="5"/>
        <v>7.76</v>
      </c>
      <c r="V44" s="5">
        <f t="shared" si="5"/>
        <v>7.67</v>
      </c>
    </row>
    <row r="45" spans="1:22">
      <c r="A45" s="36" t="str">
        <f>IF(Tabela17[[#This Row],[Código]]="IBOV","^BVSP",IF(Tabela17[[#This Row],[Código]]="","",CONCATENATE(LEFT(Tabela17[[#This Row],[Código]],6),".SA")))</f>
        <v>MAGG3.SA</v>
      </c>
      <c r="C45" s="3" t="s">
        <v>377</v>
      </c>
      <c r="D45" s="3" t="s">
        <v>676</v>
      </c>
      <c r="E45" s="3" t="s">
        <v>484</v>
      </c>
      <c r="F45" s="3" t="s">
        <v>677</v>
      </c>
      <c r="G45" s="3" t="s">
        <v>589</v>
      </c>
      <c r="H45" s="57">
        <v>41654</v>
      </c>
      <c r="J45" s="3">
        <f t="shared" si="4"/>
        <v>5.68</v>
      </c>
      <c r="K45" s="3">
        <f t="shared" si="4"/>
        <v>5.65</v>
      </c>
      <c r="L45" s="3">
        <f t="shared" si="4"/>
        <v>5.75</v>
      </c>
      <c r="M45" s="3">
        <f t="shared" si="4"/>
        <v>5.6</v>
      </c>
      <c r="P45" s="14" t="s">
        <v>376</v>
      </c>
      <c r="Q45" s="10" t="str">
        <f t="shared" si="1"/>
        <v xml:space="preserve">MAGNESITA SA-ON  </v>
      </c>
      <c r="R45" s="50">
        <f t="shared" si="2"/>
        <v>41654</v>
      </c>
      <c r="S45" s="6">
        <f t="shared" si="5"/>
        <v>5.68</v>
      </c>
      <c r="T45" s="6">
        <f t="shared" si="5"/>
        <v>5.65</v>
      </c>
      <c r="U45" s="6">
        <f t="shared" si="5"/>
        <v>5.75</v>
      </c>
      <c r="V45" s="6">
        <f t="shared" si="5"/>
        <v>5.6</v>
      </c>
    </row>
    <row r="46" spans="1:22">
      <c r="A46" s="36" t="str">
        <f>IF(Tabela17[[#This Row],[Código]]="IBOV","^BVSP",IF(Tabela17[[#This Row],[Código]]="","",CONCATENATE(LEFT(Tabela17[[#This Row],[Código]],6),".SA")))</f>
        <v>VALE5.SA</v>
      </c>
      <c r="C46" s="3" t="s">
        <v>380</v>
      </c>
      <c r="D46" s="3" t="s">
        <v>678</v>
      </c>
      <c r="E46" s="3" t="s">
        <v>800</v>
      </c>
      <c r="F46" s="3" t="s">
        <v>800</v>
      </c>
      <c r="G46" s="3" t="s">
        <v>679</v>
      </c>
      <c r="H46" s="57">
        <v>41654</v>
      </c>
      <c r="J46" s="3">
        <f t="shared" si="4"/>
        <v>29.93</v>
      </c>
      <c r="K46" s="3">
        <f t="shared" si="4"/>
        <v>30.23</v>
      </c>
      <c r="L46" s="3">
        <f t="shared" si="4"/>
        <v>30.23</v>
      </c>
      <c r="M46" s="3">
        <f t="shared" si="4"/>
        <v>29.74</v>
      </c>
      <c r="P46" s="14" t="s">
        <v>379</v>
      </c>
      <c r="Q46" s="10" t="str">
        <f t="shared" si="1"/>
        <v xml:space="preserve">VALE        -PNA </v>
      </c>
      <c r="R46" s="50">
        <f t="shared" si="2"/>
        <v>41654</v>
      </c>
      <c r="S46" s="6">
        <f t="shared" si="5"/>
        <v>29.93</v>
      </c>
      <c r="T46" s="6">
        <f t="shared" si="5"/>
        <v>30.23</v>
      </c>
      <c r="U46" s="6">
        <f t="shared" si="5"/>
        <v>30.23</v>
      </c>
      <c r="V46" s="6">
        <f t="shared" si="5"/>
        <v>29.74</v>
      </c>
    </row>
    <row r="47" spans="1:22">
      <c r="A47" s="36" t="str">
        <f>IF(Tabela17[[#This Row],[Código]]="IBOV","^BVSP",IF(Tabela17[[#This Row],[Código]]="","",CONCATENATE(LEFT(Tabela17[[#This Row],[Código]],6),".SA")))</f>
        <v>NUTR3M.SA</v>
      </c>
      <c r="C47" s="3" t="s">
        <v>382</v>
      </c>
      <c r="D47" s="3" t="s">
        <v>731</v>
      </c>
      <c r="E47" s="3" t="s">
        <v>737</v>
      </c>
      <c r="F47" s="3" t="s">
        <v>731</v>
      </c>
      <c r="G47" s="3" t="s">
        <v>737</v>
      </c>
      <c r="H47" s="57">
        <v>41654</v>
      </c>
      <c r="J47" s="3">
        <f t="shared" si="4"/>
        <v>1.52</v>
      </c>
      <c r="K47" s="3">
        <f t="shared" si="4"/>
        <v>1.51</v>
      </c>
      <c r="L47" s="3">
        <f t="shared" si="4"/>
        <v>1.52</v>
      </c>
      <c r="M47" s="3">
        <f t="shared" si="4"/>
        <v>1.51</v>
      </c>
      <c r="P47" s="14" t="s">
        <v>381</v>
      </c>
      <c r="Q47" s="10" t="str">
        <f t="shared" si="1"/>
        <v xml:space="preserve">NUTRIPLANT  -ON  </v>
      </c>
      <c r="R47" s="57">
        <f t="shared" si="2"/>
        <v>41654</v>
      </c>
      <c r="S47" s="5">
        <f t="shared" si="5"/>
        <v>1.52</v>
      </c>
      <c r="T47" s="5">
        <f t="shared" si="5"/>
        <v>1.51</v>
      </c>
      <c r="U47" s="5">
        <f t="shared" si="5"/>
        <v>1.52</v>
      </c>
      <c r="V47" s="5">
        <f t="shared" si="5"/>
        <v>1.51</v>
      </c>
    </row>
    <row r="48" spans="1:22">
      <c r="A48" s="36" t="str">
        <f>IF(Tabela17[[#This Row],[Código]]="IBOV","^BVSP",IF(Tabela17[[#This Row],[Código]]="","",CONCATENATE(LEFT(Tabela17[[#This Row],[Código]],6),".SA")))</f>
        <v>PATI4.SA</v>
      </c>
      <c r="C48" s="3" t="s">
        <v>385</v>
      </c>
      <c r="D48" s="3" t="s">
        <v>641</v>
      </c>
      <c r="E48" s="3" t="s">
        <v>641</v>
      </c>
      <c r="F48" s="3" t="s">
        <v>641</v>
      </c>
      <c r="G48" s="3" t="s">
        <v>641</v>
      </c>
      <c r="H48" s="57">
        <v>41654</v>
      </c>
      <c r="J48" s="3">
        <f t="shared" si="4"/>
        <v>20</v>
      </c>
      <c r="K48" s="3">
        <f t="shared" si="4"/>
        <v>20</v>
      </c>
      <c r="L48" s="3">
        <f t="shared" si="4"/>
        <v>20</v>
      </c>
      <c r="M48" s="3">
        <f t="shared" si="4"/>
        <v>20</v>
      </c>
      <c r="P48" s="14" t="s">
        <v>383</v>
      </c>
      <c r="Q48" s="10" t="str">
        <f t="shared" si="1"/>
        <v>PANATLANTICA-PN</v>
      </c>
      <c r="R48" s="57">
        <f t="shared" si="2"/>
        <v>41654</v>
      </c>
      <c r="S48" s="5">
        <f t="shared" si="5"/>
        <v>20</v>
      </c>
      <c r="T48" s="5">
        <f t="shared" si="5"/>
        <v>20</v>
      </c>
      <c r="U48" s="5">
        <f t="shared" si="5"/>
        <v>20</v>
      </c>
      <c r="V48" s="5">
        <f t="shared" si="5"/>
        <v>20</v>
      </c>
    </row>
    <row r="49" spans="1:22">
      <c r="A49" s="36" t="str">
        <f>IF(Tabela17[[#This Row],[Código]]="IBOV","^BVSP",IF(Tabela17[[#This Row],[Código]]="","",CONCATENATE(LEFT(Tabela17[[#This Row],[Código]],6),".SA")))</f>
        <v>TKNO4.SA</v>
      </c>
      <c r="C49" s="3" t="s">
        <v>388</v>
      </c>
      <c r="D49" s="3" t="s">
        <v>389</v>
      </c>
      <c r="E49" s="3" t="s">
        <v>389</v>
      </c>
      <c r="F49" s="3" t="s">
        <v>389</v>
      </c>
      <c r="G49" s="3" t="s">
        <v>389</v>
      </c>
      <c r="H49" s="57">
        <v>41654</v>
      </c>
      <c r="J49" s="3">
        <f t="shared" si="4"/>
        <v>88</v>
      </c>
      <c r="K49" s="3">
        <f t="shared" si="4"/>
        <v>88</v>
      </c>
      <c r="L49" s="3">
        <f t="shared" si="4"/>
        <v>88</v>
      </c>
      <c r="M49" s="3">
        <f t="shared" si="4"/>
        <v>88</v>
      </c>
      <c r="P49" s="15" t="s">
        <v>387</v>
      </c>
      <c r="Q49" s="10" t="str">
        <f t="shared" si="1"/>
        <v>TEKNO       -PN</v>
      </c>
      <c r="R49" s="57">
        <f t="shared" si="2"/>
        <v>41654</v>
      </c>
      <c r="S49" s="5">
        <f t="shared" si="5"/>
        <v>88</v>
      </c>
      <c r="T49" s="5">
        <f t="shared" si="5"/>
        <v>88</v>
      </c>
      <c r="U49" s="5">
        <f t="shared" si="5"/>
        <v>88</v>
      </c>
      <c r="V49" s="5">
        <f t="shared" si="5"/>
        <v>88</v>
      </c>
    </row>
    <row r="50" spans="1:22">
      <c r="A50" s="36" t="str">
        <f>IF(Tabela17[[#This Row],[Código]]="IBOV","^BVSP",IF(Tabela17[[#This Row],[Código]]="","",CONCATENATE(LEFT(Tabela17[[#This Row],[Código]],6),".SA")))</f>
        <v>ETER3.SA</v>
      </c>
      <c r="C50" s="3" t="s">
        <v>392</v>
      </c>
      <c r="D50" s="3" t="s">
        <v>526</v>
      </c>
      <c r="E50" s="3" t="s">
        <v>549</v>
      </c>
      <c r="F50" s="3" t="s">
        <v>680</v>
      </c>
      <c r="G50" s="3" t="s">
        <v>681</v>
      </c>
      <c r="H50" s="57">
        <v>41654</v>
      </c>
      <c r="J50" s="3">
        <f t="shared" si="4"/>
        <v>8.4</v>
      </c>
      <c r="K50" s="3">
        <f t="shared" si="4"/>
        <v>8.2799999999999994</v>
      </c>
      <c r="L50" s="3">
        <f t="shared" si="4"/>
        <v>8.44</v>
      </c>
      <c r="M50" s="3">
        <f t="shared" si="4"/>
        <v>8.27</v>
      </c>
      <c r="P50" s="15" t="s">
        <v>390</v>
      </c>
      <c r="Q50" s="10" t="str">
        <f t="shared" si="1"/>
        <v xml:space="preserve">ETERNIT     -ON  </v>
      </c>
      <c r="R50" s="50">
        <f t="shared" si="2"/>
        <v>41654</v>
      </c>
      <c r="S50" s="6">
        <f t="shared" si="5"/>
        <v>8.4</v>
      </c>
      <c r="T50" s="6">
        <f t="shared" si="5"/>
        <v>8.2799999999999994</v>
      </c>
      <c r="U50" s="6">
        <f t="shared" si="5"/>
        <v>8.44</v>
      </c>
      <c r="V50" s="6">
        <f t="shared" si="5"/>
        <v>8.27</v>
      </c>
    </row>
    <row r="51" spans="1:22">
      <c r="A51" s="36" t="str">
        <f>IF(Tabela17[[#This Row],[Código]]="IBOV","^BVSP",IF(Tabela17[[#This Row],[Código]]="","",CONCATENATE(LEFT(Tabela17[[#This Row],[Código]],6),".SA")))</f>
        <v>ALSC3.SA</v>
      </c>
      <c r="C51" s="3" t="s">
        <v>413</v>
      </c>
      <c r="D51" s="3" t="s">
        <v>682</v>
      </c>
      <c r="E51" s="3" t="s">
        <v>128</v>
      </c>
      <c r="F51" s="3" t="s">
        <v>801</v>
      </c>
      <c r="G51" s="3" t="s">
        <v>683</v>
      </c>
      <c r="H51" s="57">
        <v>41654</v>
      </c>
      <c r="J51" s="3">
        <f t="shared" si="4"/>
        <v>18.05</v>
      </c>
      <c r="K51" s="3">
        <f t="shared" si="4"/>
        <v>18</v>
      </c>
      <c r="L51" s="3">
        <f t="shared" si="4"/>
        <v>18.18</v>
      </c>
      <c r="M51" s="3">
        <f t="shared" si="4"/>
        <v>17.66</v>
      </c>
      <c r="P51" s="14" t="s">
        <v>412</v>
      </c>
      <c r="Q51" s="10" t="str">
        <f t="shared" si="1"/>
        <v xml:space="preserve">ALIANSCE    -ON  </v>
      </c>
      <c r="R51" s="50">
        <f t="shared" si="2"/>
        <v>41654</v>
      </c>
      <c r="S51" s="6">
        <f t="shared" si="5"/>
        <v>18.05</v>
      </c>
      <c r="T51" s="6">
        <f t="shared" si="5"/>
        <v>18</v>
      </c>
      <c r="U51" s="6">
        <f t="shared" si="5"/>
        <v>18.18</v>
      </c>
      <c r="V51" s="6">
        <f t="shared" si="5"/>
        <v>17.66</v>
      </c>
    </row>
    <row r="52" spans="1:22">
      <c r="A52" s="36" t="str">
        <f>IF(Tabela17[[#This Row],[Código]]="IBOV","^BVSP",IF(Tabela17[[#This Row],[Código]]="","",CONCATENATE(LEFT(Tabela17[[#This Row],[Código]],6),".SA")))</f>
        <v>BRML3.SA</v>
      </c>
      <c r="C52" s="3" t="s">
        <v>415</v>
      </c>
      <c r="D52" s="3" t="s">
        <v>684</v>
      </c>
      <c r="E52" s="3" t="s">
        <v>732</v>
      </c>
      <c r="F52" s="3" t="s">
        <v>529</v>
      </c>
      <c r="G52" s="3" t="s">
        <v>685</v>
      </c>
      <c r="H52" s="57">
        <v>41654</v>
      </c>
      <c r="J52" s="3">
        <f t="shared" si="4"/>
        <v>16.82</v>
      </c>
      <c r="K52" s="3">
        <f t="shared" si="4"/>
        <v>17.14</v>
      </c>
      <c r="L52" s="3">
        <f t="shared" si="4"/>
        <v>17.18</v>
      </c>
      <c r="M52" s="3">
        <f t="shared" si="4"/>
        <v>16.690000000000001</v>
      </c>
      <c r="P52" s="10" t="s">
        <v>414</v>
      </c>
      <c r="Q52" s="10" t="str">
        <f t="shared" si="1"/>
        <v xml:space="preserve">BR MALLS PAR-ON  </v>
      </c>
      <c r="R52" s="57">
        <f t="shared" si="2"/>
        <v>41654</v>
      </c>
      <c r="S52" s="5">
        <f t="shared" si="5"/>
        <v>16.82</v>
      </c>
      <c r="T52" s="5">
        <f t="shared" si="5"/>
        <v>17.14</v>
      </c>
      <c r="U52" s="5">
        <f t="shared" si="5"/>
        <v>17.18</v>
      </c>
      <c r="V52" s="5">
        <f t="shared" si="5"/>
        <v>16.690000000000001</v>
      </c>
    </row>
    <row r="53" spans="1:22">
      <c r="A53" s="36" t="str">
        <f>IF(Tabela17[[#This Row],[Código]]="IBOV","^BVSP",IF(Tabela17[[#This Row],[Código]]="","",CONCATENATE(LEFT(Tabela17[[#This Row],[Código]],6),".SA")))</f>
        <v>BRPR3.SA</v>
      </c>
      <c r="C53" s="3" t="s">
        <v>417</v>
      </c>
      <c r="D53" s="3" t="s">
        <v>514</v>
      </c>
      <c r="E53" s="3" t="s">
        <v>128</v>
      </c>
      <c r="F53" s="3" t="s">
        <v>514</v>
      </c>
      <c r="G53" s="3" t="s">
        <v>686</v>
      </c>
      <c r="H53" s="57">
        <v>41654</v>
      </c>
      <c r="J53" s="3">
        <f t="shared" si="4"/>
        <v>18.190000000000001</v>
      </c>
      <c r="K53" s="3">
        <f t="shared" si="4"/>
        <v>18</v>
      </c>
      <c r="L53" s="3">
        <f t="shared" si="4"/>
        <v>18.190000000000001</v>
      </c>
      <c r="M53" s="3">
        <f t="shared" si="4"/>
        <v>17.95</v>
      </c>
      <c r="P53" s="15" t="s">
        <v>416</v>
      </c>
      <c r="Q53" s="10" t="str">
        <f t="shared" si="1"/>
        <v xml:space="preserve">BR PROPERT  -ON  </v>
      </c>
      <c r="R53" s="57">
        <f t="shared" si="2"/>
        <v>41654</v>
      </c>
      <c r="S53" s="5">
        <f t="shared" si="5"/>
        <v>18.190000000000001</v>
      </c>
      <c r="T53" s="5">
        <f t="shared" si="5"/>
        <v>18</v>
      </c>
      <c r="U53" s="5">
        <f t="shared" si="5"/>
        <v>18.190000000000001</v>
      </c>
      <c r="V53" s="5">
        <f t="shared" si="5"/>
        <v>17.95</v>
      </c>
    </row>
    <row r="54" spans="1:22">
      <c r="A54" s="36" t="str">
        <f>IF(Tabela17[[#This Row],[Código]]="IBOV","^BVSP",IF(Tabela17[[#This Row],[Código]]="","",CONCATENATE(LEFT(Tabela17[[#This Row],[Código]],6),".SA")))</f>
        <v>CCPR3.SA</v>
      </c>
      <c r="C54" s="3" t="s">
        <v>419</v>
      </c>
      <c r="D54" s="3" t="s">
        <v>687</v>
      </c>
      <c r="E54" s="3" t="s">
        <v>687</v>
      </c>
      <c r="F54" s="3" t="s">
        <v>687</v>
      </c>
      <c r="G54" s="3" t="s">
        <v>687</v>
      </c>
      <c r="H54" s="57">
        <v>41654</v>
      </c>
      <c r="J54" s="3">
        <f t="shared" si="4"/>
        <v>20.6</v>
      </c>
      <c r="K54" s="3">
        <f t="shared" si="4"/>
        <v>20.6</v>
      </c>
      <c r="L54" s="3">
        <f t="shared" si="4"/>
        <v>20.6</v>
      </c>
      <c r="M54" s="3">
        <f t="shared" si="4"/>
        <v>20.6</v>
      </c>
      <c r="P54" s="15" t="s">
        <v>418</v>
      </c>
      <c r="Q54" s="10" t="str">
        <f t="shared" si="1"/>
        <v xml:space="preserve">CYRE COM-CCP-ON  </v>
      </c>
      <c r="R54" s="57">
        <f t="shared" si="2"/>
        <v>41654</v>
      </c>
      <c r="S54" s="5">
        <f t="shared" si="5"/>
        <v>20.6</v>
      </c>
      <c r="T54" s="5">
        <f t="shared" si="5"/>
        <v>20.6</v>
      </c>
      <c r="U54" s="5">
        <f t="shared" si="5"/>
        <v>20.6</v>
      </c>
      <c r="V54" s="5">
        <f t="shared" si="5"/>
        <v>20.6</v>
      </c>
    </row>
    <row r="55" spans="1:22">
      <c r="A55" s="36" t="str">
        <f>IF(Tabela17[[#This Row],[Código]]="IBOV","^BVSP",IF(Tabela17[[#This Row],[Código]]="","",CONCATENATE(LEFT(Tabela17[[#This Row],[Código]],6),".SA")))</f>
        <v>IGTA3.SA</v>
      </c>
      <c r="C55" s="3" t="s">
        <v>421</v>
      </c>
      <c r="D55" s="3" t="s">
        <v>563</v>
      </c>
      <c r="E55" s="3" t="s">
        <v>802</v>
      </c>
      <c r="F55" s="3" t="s">
        <v>738</v>
      </c>
      <c r="G55" s="3" t="s">
        <v>688</v>
      </c>
      <c r="H55" s="57">
        <v>41654</v>
      </c>
      <c r="J55" s="3">
        <f t="shared" si="4"/>
        <v>21.5</v>
      </c>
      <c r="K55" s="3">
        <f t="shared" si="4"/>
        <v>21.35</v>
      </c>
      <c r="L55" s="3">
        <f t="shared" si="4"/>
        <v>21.67</v>
      </c>
      <c r="M55" s="3">
        <f t="shared" si="4"/>
        <v>21.22</v>
      </c>
      <c r="P55" s="14" t="s">
        <v>420</v>
      </c>
      <c r="Q55" s="10" t="str">
        <f t="shared" si="1"/>
        <v xml:space="preserve">IGUATEMI    -ON  </v>
      </c>
      <c r="R55" s="57">
        <f t="shared" si="2"/>
        <v>41654</v>
      </c>
      <c r="S55" s="5">
        <f t="shared" si="5"/>
        <v>21.5</v>
      </c>
      <c r="T55" s="5">
        <f t="shared" si="5"/>
        <v>21.35</v>
      </c>
      <c r="U55" s="5">
        <f t="shared" si="5"/>
        <v>21.67</v>
      </c>
      <c r="V55" s="5">
        <f t="shared" si="5"/>
        <v>21.22</v>
      </c>
    </row>
    <row r="56" spans="1:22">
      <c r="A56" s="36" t="str">
        <f>IF(Tabela17[[#This Row],[Código]]="IBOV","^BVSP",IF(Tabela17[[#This Row],[Código]]="","",CONCATENATE(LEFT(Tabela17[[#This Row],[Código]],6),".SA")))</f>
        <v>MULT3.SA</v>
      </c>
      <c r="C56" s="3" t="s">
        <v>423</v>
      </c>
      <c r="D56" s="3" t="s">
        <v>689</v>
      </c>
      <c r="E56" s="3" t="s">
        <v>803</v>
      </c>
      <c r="F56" s="3" t="s">
        <v>804</v>
      </c>
      <c r="G56" s="3" t="s">
        <v>689</v>
      </c>
      <c r="H56" s="57">
        <v>41654</v>
      </c>
      <c r="J56" s="3">
        <f t="shared" si="4"/>
        <v>47.05</v>
      </c>
      <c r="K56" s="3">
        <f t="shared" si="4"/>
        <v>47.25</v>
      </c>
      <c r="L56" s="3">
        <f t="shared" si="4"/>
        <v>47.81</v>
      </c>
      <c r="M56" s="3">
        <f t="shared" si="4"/>
        <v>47.05</v>
      </c>
      <c r="P56" s="14" t="s">
        <v>422</v>
      </c>
      <c r="Q56" s="10" t="str">
        <f t="shared" si="1"/>
        <v xml:space="preserve">MULTIPLAN   -ON  </v>
      </c>
      <c r="R56" s="57">
        <f t="shared" si="2"/>
        <v>41654</v>
      </c>
      <c r="S56" s="5">
        <f t="shared" si="5"/>
        <v>47.05</v>
      </c>
      <c r="T56" s="5">
        <f t="shared" si="5"/>
        <v>47.25</v>
      </c>
      <c r="U56" s="5">
        <f t="shared" si="5"/>
        <v>47.81</v>
      </c>
      <c r="V56" s="5">
        <f t="shared" si="5"/>
        <v>47.05</v>
      </c>
    </row>
    <row r="57" spans="1:22">
      <c r="A57" s="36" t="str">
        <f>IF(Tabela17[[#This Row],[Código]]="IBOV","^BVSP",IF(Tabela17[[#This Row],[Código]]="","",CONCATENATE(LEFT(Tabela17[[#This Row],[Código]],6),".SA")))</f>
        <v>SSBR3.SA</v>
      </c>
      <c r="C57" s="3" t="s">
        <v>426</v>
      </c>
      <c r="D57" s="3" t="s">
        <v>690</v>
      </c>
      <c r="E57" s="3" t="s">
        <v>690</v>
      </c>
      <c r="F57" s="3" t="s">
        <v>691</v>
      </c>
      <c r="G57" s="3" t="s">
        <v>692</v>
      </c>
      <c r="H57" s="57">
        <v>41654</v>
      </c>
      <c r="J57" s="3">
        <f t="shared" si="4"/>
        <v>17.350000000000001</v>
      </c>
      <c r="K57" s="3">
        <f t="shared" si="4"/>
        <v>17.350000000000001</v>
      </c>
      <c r="L57" s="3">
        <f t="shared" si="4"/>
        <v>17.36</v>
      </c>
      <c r="M57" s="3">
        <f t="shared" si="4"/>
        <v>17.149999999999999</v>
      </c>
      <c r="P57" s="14" t="s">
        <v>424</v>
      </c>
      <c r="Q57" s="10" t="str">
        <f t="shared" si="1"/>
        <v xml:space="preserve">SIERRABRASIL-ON  </v>
      </c>
      <c r="R57" s="57">
        <f t="shared" si="2"/>
        <v>41654</v>
      </c>
      <c r="S57" s="5">
        <f t="shared" si="5"/>
        <v>17.350000000000001</v>
      </c>
      <c r="T57" s="5">
        <f t="shared" si="5"/>
        <v>17.350000000000001</v>
      </c>
      <c r="U57" s="5">
        <f t="shared" si="5"/>
        <v>17.36</v>
      </c>
      <c r="V57" s="5">
        <f t="shared" si="5"/>
        <v>17.149999999999999</v>
      </c>
    </row>
    <row r="58" spans="1:22">
      <c r="A58" s="36" t="str">
        <f>IF(Tabela17[[#This Row],[Código]]="IBOV","^BVSP",IF(Tabela17[[#This Row],[Código]]="","",CONCATENATE(LEFT(Tabela17[[#This Row],[Código]],6),".SA")))</f>
        <v>SCAR3.SA</v>
      </c>
      <c r="C58" s="3" t="s">
        <v>427</v>
      </c>
      <c r="D58" s="3" t="s">
        <v>693</v>
      </c>
      <c r="E58" s="3" t="s">
        <v>805</v>
      </c>
      <c r="F58" s="3" t="s">
        <v>806</v>
      </c>
      <c r="G58" s="3" t="s">
        <v>694</v>
      </c>
      <c r="H58" s="57">
        <v>41654</v>
      </c>
      <c r="J58" s="3">
        <f t="shared" si="4"/>
        <v>34.51</v>
      </c>
      <c r="K58" s="3">
        <f t="shared" si="4"/>
        <v>34.28</v>
      </c>
      <c r="L58" s="3">
        <f t="shared" si="4"/>
        <v>34.799999999999997</v>
      </c>
      <c r="M58" s="3">
        <f t="shared" si="4"/>
        <v>34.200000000000003</v>
      </c>
      <c r="P58" s="14" t="s">
        <v>425</v>
      </c>
      <c r="Q58" s="10" t="str">
        <f t="shared" si="1"/>
        <v xml:space="preserve">SAO CARLOS  -ON  </v>
      </c>
      <c r="R58" s="57">
        <f t="shared" si="2"/>
        <v>41654</v>
      </c>
      <c r="S58" s="5">
        <f t="shared" si="5"/>
        <v>34.51</v>
      </c>
      <c r="T58" s="5">
        <f t="shared" si="5"/>
        <v>34.28</v>
      </c>
      <c r="U58" s="5">
        <f t="shared" si="5"/>
        <v>34.799999999999997</v>
      </c>
      <c r="V58" s="5">
        <f t="shared" si="5"/>
        <v>34.200000000000003</v>
      </c>
    </row>
    <row r="59" spans="1:22">
      <c r="A59" s="36" t="str">
        <f>IF(Tabela17[[#This Row],[Código]]="IBOV","^BVSP",IF(Tabela17[[#This Row],[Código]]="","",CONCATENATE(LEFT(Tabela17[[#This Row],[Código]],6),".SA")))</f>
        <v>MERC3.SA</v>
      </c>
      <c r="C59" s="3" t="s">
        <v>431</v>
      </c>
      <c r="D59" s="3" t="s">
        <v>432</v>
      </c>
      <c r="E59" s="80">
        <v>83591</v>
      </c>
      <c r="F59" s="80">
        <v>83591</v>
      </c>
      <c r="G59" s="80">
        <v>83591</v>
      </c>
      <c r="H59" s="57">
        <v>41603</v>
      </c>
      <c r="J59" s="3">
        <f t="shared" si="4"/>
        <v>8.5500000000000007</v>
      </c>
      <c r="K59" s="3">
        <f t="shared" si="4"/>
        <v>83.91</v>
      </c>
      <c r="L59" s="3">
        <f t="shared" si="4"/>
        <v>83.91</v>
      </c>
      <c r="M59" s="3">
        <f t="shared" si="4"/>
        <v>83.91</v>
      </c>
      <c r="P59" s="14" t="s">
        <v>428</v>
      </c>
      <c r="Q59" s="10" t="str">
        <f t="shared" si="1"/>
        <v>MERC FINANC -ON</v>
      </c>
      <c r="R59" s="57">
        <f t="shared" si="2"/>
        <v>41603</v>
      </c>
      <c r="S59" s="5">
        <f t="shared" si="5"/>
        <v>8.5500000000000007</v>
      </c>
      <c r="T59" s="5">
        <f t="shared" si="5"/>
        <v>83.91</v>
      </c>
      <c r="U59" s="5">
        <f t="shared" si="5"/>
        <v>83.91</v>
      </c>
      <c r="V59" s="5">
        <f t="shared" si="5"/>
        <v>83.91</v>
      </c>
    </row>
    <row r="60" spans="1:22">
      <c r="A60" s="36" t="str">
        <f>IF(Tabela17[[#This Row],[Código]]="IBOV","^BVSP",IF(Tabela17[[#This Row],[Código]]="","",CONCATENATE(LEFT(Tabela17[[#This Row],[Código]],6),".SA")))</f>
        <v>MERC4.SA</v>
      </c>
      <c r="C60" s="3" t="s">
        <v>433</v>
      </c>
      <c r="D60" s="3" t="s">
        <v>481</v>
      </c>
      <c r="E60" s="3" t="s">
        <v>481</v>
      </c>
      <c r="F60" s="3" t="s">
        <v>481</v>
      </c>
      <c r="G60" s="3" t="s">
        <v>481</v>
      </c>
      <c r="H60" s="57">
        <v>41649</v>
      </c>
      <c r="J60" s="3">
        <f t="shared" si="4"/>
        <v>6.58</v>
      </c>
      <c r="K60" s="3">
        <f t="shared" si="4"/>
        <v>6.58</v>
      </c>
      <c r="L60" s="3">
        <f t="shared" si="4"/>
        <v>6.58</v>
      </c>
      <c r="M60" s="3">
        <f t="shared" si="4"/>
        <v>6.58</v>
      </c>
      <c r="P60" s="14" t="s">
        <v>429</v>
      </c>
      <c r="Q60" s="10" t="str">
        <f t="shared" si="1"/>
        <v>MERC FINANC -PN</v>
      </c>
      <c r="R60" s="57">
        <f t="shared" si="2"/>
        <v>41649</v>
      </c>
      <c r="S60" s="5">
        <f t="shared" si="5"/>
        <v>6.58</v>
      </c>
      <c r="T60" s="5">
        <f t="shared" si="5"/>
        <v>6.58</v>
      </c>
      <c r="U60" s="5">
        <f t="shared" si="5"/>
        <v>6.58</v>
      </c>
      <c r="V60" s="5">
        <f t="shared" si="5"/>
        <v>6.58</v>
      </c>
    </row>
    <row r="61" spans="1:22">
      <c r="A61" s="36" t="str">
        <f>IF(Tabela17[[#This Row],[Código]]="IBOV","^BVSP",IF(Tabela17[[#This Row],[Código]]="","",CONCATENATE(LEFT(Tabela17[[#This Row],[Código]],6),".SA")))</f>
        <v>CRIV3.SA</v>
      </c>
      <c r="C61" s="3" t="s">
        <v>436</v>
      </c>
      <c r="D61" s="3" t="s">
        <v>502</v>
      </c>
      <c r="E61" s="3" t="s">
        <v>502</v>
      </c>
      <c r="F61" s="3" t="s">
        <v>502</v>
      </c>
      <c r="G61" s="3" t="s">
        <v>502</v>
      </c>
      <c r="H61" s="57">
        <v>41652</v>
      </c>
      <c r="J61" s="3">
        <f t="shared" si="4"/>
        <v>3.85</v>
      </c>
      <c r="K61" s="3">
        <f t="shared" si="4"/>
        <v>3.85</v>
      </c>
      <c r="L61" s="3">
        <f t="shared" si="4"/>
        <v>3.85</v>
      </c>
      <c r="M61" s="3">
        <f t="shared" si="4"/>
        <v>3.85</v>
      </c>
      <c r="P61" s="10" t="s">
        <v>434</v>
      </c>
      <c r="Q61" s="10" t="str">
        <f t="shared" si="1"/>
        <v>ALFA FINANC -ON</v>
      </c>
      <c r="R61" s="57">
        <f t="shared" si="2"/>
        <v>41652</v>
      </c>
      <c r="S61" s="5">
        <f t="shared" si="5"/>
        <v>3.85</v>
      </c>
      <c r="T61" s="5">
        <f t="shared" si="5"/>
        <v>3.85</v>
      </c>
      <c r="U61" s="5">
        <f t="shared" si="5"/>
        <v>3.85</v>
      </c>
      <c r="V61" s="5">
        <f t="shared" si="5"/>
        <v>3.85</v>
      </c>
    </row>
    <row r="62" spans="1:22">
      <c r="A62" s="36" t="str">
        <f>IF(Tabela17[[#This Row],[Código]]="IBOV","^BVSP",IF(Tabela17[[#This Row],[Código]]="","",CONCATENATE(LEFT(Tabela17[[#This Row],[Código]],6),".SA")))</f>
        <v>CRIV4.SA</v>
      </c>
      <c r="C62" s="3" t="s">
        <v>437</v>
      </c>
      <c r="D62" s="3" t="s">
        <v>546</v>
      </c>
      <c r="E62" s="3" t="s">
        <v>695</v>
      </c>
      <c r="F62" s="3" t="s">
        <v>695</v>
      </c>
      <c r="G62" s="3" t="s">
        <v>547</v>
      </c>
      <c r="H62" s="57">
        <v>41653</v>
      </c>
      <c r="J62" s="3">
        <f t="shared" si="4"/>
        <v>3.88</v>
      </c>
      <c r="K62" s="3">
        <f t="shared" si="4"/>
        <v>4.01</v>
      </c>
      <c r="L62" s="3">
        <f t="shared" si="4"/>
        <v>4.01</v>
      </c>
      <c r="M62" s="3">
        <f t="shared" si="4"/>
        <v>3.84</v>
      </c>
      <c r="P62" s="14" t="s">
        <v>435</v>
      </c>
      <c r="Q62" s="10" t="str">
        <f t="shared" si="1"/>
        <v>ALFA FINANC -PN</v>
      </c>
      <c r="R62" s="57">
        <f t="shared" si="2"/>
        <v>41653</v>
      </c>
      <c r="S62" s="5">
        <f t="shared" si="5"/>
        <v>3.88</v>
      </c>
      <c r="T62" s="5">
        <f t="shared" si="5"/>
        <v>4.01</v>
      </c>
      <c r="U62" s="5">
        <f t="shared" si="5"/>
        <v>4.01</v>
      </c>
      <c r="V62" s="5">
        <f t="shared" si="5"/>
        <v>3.84</v>
      </c>
    </row>
    <row r="63" spans="1:22">
      <c r="A63" s="36" t="str">
        <f>IF(Tabela17[[#This Row],[Código]]="IBOV","^BVSP",IF(Tabela17[[#This Row],[Código]]="","",CONCATENATE(LEFT(Tabela17[[#This Row],[Código]],6),".SA")))</f>
        <v>BRIN3.SA</v>
      </c>
      <c r="C63" s="3" t="s">
        <v>440</v>
      </c>
      <c r="D63" s="3" t="s">
        <v>660</v>
      </c>
      <c r="E63" s="3" t="s">
        <v>729</v>
      </c>
      <c r="F63" s="3" t="s">
        <v>696</v>
      </c>
      <c r="G63" s="3" t="s">
        <v>660</v>
      </c>
      <c r="H63" s="57">
        <v>41654</v>
      </c>
      <c r="J63" s="3">
        <f t="shared" si="4"/>
        <v>18.100000000000001</v>
      </c>
      <c r="K63" s="3">
        <f t="shared" si="4"/>
        <v>18.2</v>
      </c>
      <c r="L63" s="3">
        <f t="shared" si="4"/>
        <v>18.66</v>
      </c>
      <c r="M63" s="3">
        <f t="shared" si="4"/>
        <v>18.100000000000001</v>
      </c>
      <c r="P63" s="14" t="s">
        <v>438</v>
      </c>
      <c r="Q63" s="10" t="str">
        <f t="shared" si="1"/>
        <v xml:space="preserve">BR INSURANCE-ON  </v>
      </c>
      <c r="R63" s="57">
        <f t="shared" si="2"/>
        <v>41654</v>
      </c>
      <c r="S63" s="5">
        <f t="shared" si="5"/>
        <v>18.100000000000001</v>
      </c>
      <c r="T63" s="5">
        <f t="shared" si="5"/>
        <v>18.2</v>
      </c>
      <c r="U63" s="5">
        <f t="shared" si="5"/>
        <v>18.66</v>
      </c>
      <c r="V63" s="5">
        <f t="shared" si="5"/>
        <v>18.100000000000001</v>
      </c>
    </row>
    <row r="64" spans="1:22">
      <c r="A64" s="36" t="str">
        <f>IF(Tabela17[[#This Row],[Código]]="IBOV","^BVSP",IF(Tabela17[[#This Row],[Código]]="","",CONCATENATE(LEFT(Tabela17[[#This Row],[Código]],6),".SA")))</f>
        <v>TRPN3.SA</v>
      </c>
      <c r="C64" s="3" t="s">
        <v>443</v>
      </c>
      <c r="D64" s="3" t="s">
        <v>629</v>
      </c>
      <c r="E64" s="3" t="s">
        <v>807</v>
      </c>
      <c r="F64" s="3" t="s">
        <v>503</v>
      </c>
      <c r="G64" s="3" t="s">
        <v>629</v>
      </c>
      <c r="H64" s="57">
        <v>41654</v>
      </c>
      <c r="J64" s="3">
        <f t="shared" si="4"/>
        <v>14.95</v>
      </c>
      <c r="K64" s="3">
        <f t="shared" si="4"/>
        <v>15.1</v>
      </c>
      <c r="L64" s="3">
        <f t="shared" si="4"/>
        <v>15.5</v>
      </c>
      <c r="M64" s="3">
        <f t="shared" si="4"/>
        <v>14.95</v>
      </c>
      <c r="P64" s="15" t="s">
        <v>441</v>
      </c>
      <c r="Q64" s="10" t="str">
        <f t="shared" si="1"/>
        <v xml:space="preserve">TARPON INV  -ON  </v>
      </c>
      <c r="R64" s="57">
        <f t="shared" si="2"/>
        <v>41654</v>
      </c>
      <c r="S64" s="5">
        <f t="shared" si="5"/>
        <v>14.95</v>
      </c>
      <c r="T64" s="5">
        <f t="shared" si="5"/>
        <v>15.1</v>
      </c>
      <c r="U64" s="5">
        <f t="shared" si="5"/>
        <v>15.5</v>
      </c>
      <c r="V64" s="5">
        <f t="shared" si="5"/>
        <v>14.95</v>
      </c>
    </row>
    <row r="65" spans="1:22">
      <c r="A65" s="36" t="str">
        <f>IF(Tabela17[[#This Row],[Código]]="IBOV","^BVSP",IF(Tabela17[[#This Row],[Código]]="","",CONCATENATE(LEFT(Tabela17[[#This Row],[Código]],6),".SA")))</f>
        <v>BVMF3.SA</v>
      </c>
      <c r="C65" s="3" t="s">
        <v>446</v>
      </c>
      <c r="D65" s="3" t="s">
        <v>697</v>
      </c>
      <c r="E65" s="3" t="s">
        <v>697</v>
      </c>
      <c r="F65" s="3" t="s">
        <v>596</v>
      </c>
      <c r="G65" s="3" t="s">
        <v>733</v>
      </c>
      <c r="H65" s="57">
        <v>41654</v>
      </c>
      <c r="J65" s="3">
        <f t="shared" si="4"/>
        <v>10.34</v>
      </c>
      <c r="K65" s="3">
        <f t="shared" si="4"/>
        <v>10.34</v>
      </c>
      <c r="L65" s="3">
        <f t="shared" si="4"/>
        <v>10.43</v>
      </c>
      <c r="M65" s="3">
        <f t="shared" si="4"/>
        <v>10.27</v>
      </c>
      <c r="P65" s="15" t="s">
        <v>444</v>
      </c>
      <c r="Q65" s="10" t="str">
        <f t="shared" si="1"/>
        <v xml:space="preserve">BMFBOVESPA  -ON  </v>
      </c>
      <c r="R65" s="57">
        <f t="shared" si="2"/>
        <v>41654</v>
      </c>
      <c r="S65" s="5">
        <f t="shared" si="5"/>
        <v>10.34</v>
      </c>
      <c r="T65" s="5">
        <f t="shared" si="5"/>
        <v>10.34</v>
      </c>
      <c r="U65" s="5">
        <f t="shared" si="5"/>
        <v>10.43</v>
      </c>
      <c r="V65" s="5">
        <f t="shared" si="5"/>
        <v>10.27</v>
      </c>
    </row>
    <row r="66" spans="1:22">
      <c r="A66" s="36" t="str">
        <f>IF(Tabela17[[#This Row],[Código]]="IBOV","^BVSP",IF(Tabela17[[#This Row],[Código]]="","",CONCATENATE(LEFT(Tabela17[[#This Row],[Código]],6),".SA")))</f>
        <v>CTIP3.SA</v>
      </c>
      <c r="C66" s="3" t="s">
        <v>449</v>
      </c>
      <c r="D66" s="3" t="s">
        <v>698</v>
      </c>
      <c r="E66" s="3" t="s">
        <v>550</v>
      </c>
      <c r="F66" s="3" t="s">
        <v>699</v>
      </c>
      <c r="G66" s="3" t="s">
        <v>616</v>
      </c>
      <c r="H66" s="57">
        <v>41654</v>
      </c>
      <c r="J66" s="3">
        <f t="shared" si="4"/>
        <v>23.26</v>
      </c>
      <c r="K66" s="3">
        <f t="shared" si="4"/>
        <v>23.41</v>
      </c>
      <c r="L66" s="3">
        <f t="shared" si="4"/>
        <v>23.64</v>
      </c>
      <c r="M66" s="3">
        <f t="shared" si="4"/>
        <v>23.25</v>
      </c>
      <c r="P66" s="14" t="s">
        <v>447</v>
      </c>
      <c r="Q66" s="10" t="str">
        <f t="shared" si="1"/>
        <v xml:space="preserve">CETIP       -ON  </v>
      </c>
      <c r="R66" s="57">
        <f t="shared" si="2"/>
        <v>41654</v>
      </c>
      <c r="S66" s="5">
        <f t="shared" si="5"/>
        <v>23.26</v>
      </c>
      <c r="T66" s="5">
        <f t="shared" si="5"/>
        <v>23.41</v>
      </c>
      <c r="U66" s="5">
        <f t="shared" si="5"/>
        <v>23.64</v>
      </c>
      <c r="V66" s="5">
        <f t="shared" si="5"/>
        <v>23.25</v>
      </c>
    </row>
    <row r="67" spans="1:22">
      <c r="A67" s="36" t="str">
        <f>IF(Tabela17[[#This Row],[Código]]="IBOV","^BVSP",IF(Tabela17[[#This Row],[Código]]="","",CONCATENATE(LEFT(Tabela17[[#This Row],[Código]],6),".SA")))</f>
        <v>CIEL3.SA</v>
      </c>
      <c r="C67" s="3" t="s">
        <v>450</v>
      </c>
      <c r="D67" s="3" t="s">
        <v>700</v>
      </c>
      <c r="E67" s="3" t="s">
        <v>808</v>
      </c>
      <c r="F67" s="3" t="s">
        <v>701</v>
      </c>
      <c r="G67" s="3" t="s">
        <v>734</v>
      </c>
      <c r="H67" s="57">
        <v>41654</v>
      </c>
      <c r="J67" s="3">
        <f t="shared" si="4"/>
        <v>66.989999999999995</v>
      </c>
      <c r="K67" s="3">
        <f t="shared" si="4"/>
        <v>66.599999999999994</v>
      </c>
      <c r="L67" s="3">
        <f t="shared" si="4"/>
        <v>67.17</v>
      </c>
      <c r="M67" s="3">
        <f t="shared" si="4"/>
        <v>66.55</v>
      </c>
      <c r="P67" s="47" t="s">
        <v>448</v>
      </c>
      <c r="Q67" s="10" t="str">
        <f t="shared" si="1"/>
        <v xml:space="preserve">CIELO       -ON  </v>
      </c>
      <c r="R67" s="57">
        <f t="shared" si="2"/>
        <v>41654</v>
      </c>
      <c r="S67" s="5">
        <f t="shared" si="5"/>
        <v>66.989999999999995</v>
      </c>
      <c r="T67" s="5">
        <f t="shared" si="5"/>
        <v>66.599999999999994</v>
      </c>
      <c r="U67" s="5">
        <f t="shared" si="5"/>
        <v>67.17</v>
      </c>
      <c r="V67" s="5">
        <f t="shared" si="5"/>
        <v>66.55</v>
      </c>
    </row>
    <row r="68" spans="1:22">
      <c r="A68" s="36" t="str">
        <f>IF(Tabela17[[#This Row],[Código]]="IBOV","^BVSP",IF(Tabela17[[#This Row],[Código]]="","",CONCATENATE(LEFT(Tabela17[[#This Row],[Código]],6),".SA")))</f>
        <v>EBTP4.SA</v>
      </c>
      <c r="C68" s="3" t="s">
        <v>458</v>
      </c>
      <c r="D68" s="3" t="s">
        <v>650</v>
      </c>
      <c r="E68" s="3" t="s">
        <v>525</v>
      </c>
      <c r="F68" s="3" t="s">
        <v>650</v>
      </c>
      <c r="G68" s="3" t="s">
        <v>525</v>
      </c>
      <c r="H68" s="57">
        <v>41654</v>
      </c>
      <c r="J68" s="3">
        <f t="shared" si="4"/>
        <v>8.99</v>
      </c>
      <c r="K68" s="3">
        <f t="shared" si="4"/>
        <v>8.9600000000000009</v>
      </c>
      <c r="L68" s="3">
        <f t="shared" si="4"/>
        <v>8.99</v>
      </c>
      <c r="M68" s="3">
        <f t="shared" si="4"/>
        <v>8.9600000000000009</v>
      </c>
      <c r="P68" s="14" t="s">
        <v>456</v>
      </c>
      <c r="Q68" s="10" t="str">
        <f t="shared" si="1"/>
        <v>EMBRATEL PAR-PN *</v>
      </c>
      <c r="R68" s="50">
        <f t="shared" si="2"/>
        <v>41654</v>
      </c>
      <c r="S68" s="6">
        <f t="shared" si="5"/>
        <v>8.99</v>
      </c>
      <c r="T68" s="6">
        <f t="shared" si="5"/>
        <v>8.9600000000000009</v>
      </c>
      <c r="U68" s="6">
        <f t="shared" si="5"/>
        <v>8.99</v>
      </c>
      <c r="V68" s="6">
        <f t="shared" si="5"/>
        <v>8.9600000000000009</v>
      </c>
    </row>
    <row r="69" spans="1:22">
      <c r="A69" s="36" t="str">
        <f>IF(Tabela17[[#This Row],[Código]]="IBOV","^BVSP",IF(Tabela17[[#This Row],[Código]]="","",CONCATENATE(LEFT(Tabela17[[#This Row],[Código]],6),".SA")))</f>
        <v/>
      </c>
      <c r="C69" s="3" t="s">
        <v>109</v>
      </c>
      <c r="H69" s="57"/>
      <c r="J69" s="3">
        <f t="shared" si="4"/>
        <v>0</v>
      </c>
      <c r="K69" s="3">
        <f t="shared" si="4"/>
        <v>0</v>
      </c>
      <c r="L69" s="3">
        <f t="shared" si="4"/>
        <v>0</v>
      </c>
      <c r="M69" s="3">
        <f t="shared" si="4"/>
        <v>0</v>
      </c>
      <c r="P69" s="14"/>
      <c r="Q69" s="10" t="str">
        <f t="shared" si="1"/>
        <v/>
      </c>
      <c r="R69" s="57" t="str">
        <f t="shared" si="2"/>
        <v/>
      </c>
      <c r="S69" s="5">
        <f t="shared" si="5"/>
        <v>0</v>
      </c>
      <c r="T69" s="5">
        <f t="shared" si="5"/>
        <v>0</v>
      </c>
      <c r="U69" s="5">
        <f t="shared" si="5"/>
        <v>0</v>
      </c>
      <c r="V69" s="5">
        <f t="shared" si="5"/>
        <v>0</v>
      </c>
    </row>
    <row r="70" spans="1:22">
      <c r="A70" s="36" t="str">
        <f>IF(Tabela17[[#This Row],[Código]]="IBOV","^BVSP",IF(Tabela17[[#This Row],[Código]]="","",CONCATENATE(LEFT(Tabela17[[#This Row],[Código]],6),".SA")))</f>
        <v/>
      </c>
      <c r="H70" s="57"/>
      <c r="J70" s="3">
        <f t="shared" si="4"/>
        <v>0</v>
      </c>
      <c r="K70" s="3">
        <f t="shared" si="4"/>
        <v>0</v>
      </c>
      <c r="L70" s="3">
        <f t="shared" si="4"/>
        <v>0</v>
      </c>
      <c r="M70" s="3">
        <f t="shared" si="4"/>
        <v>0</v>
      </c>
      <c r="P70" s="14"/>
      <c r="Q70" s="10" t="str">
        <f t="shared" si="1"/>
        <v/>
      </c>
      <c r="R70" s="57" t="str">
        <f t="shared" si="2"/>
        <v/>
      </c>
      <c r="S70" s="5">
        <f t="shared" si="5"/>
        <v>0</v>
      </c>
      <c r="T70" s="5">
        <f t="shared" si="5"/>
        <v>0</v>
      </c>
      <c r="U70" s="5">
        <f t="shared" si="5"/>
        <v>0</v>
      </c>
      <c r="V70" s="5">
        <f t="shared" si="5"/>
        <v>0</v>
      </c>
    </row>
    <row r="71" spans="1:22">
      <c r="A71" s="36" t="str">
        <f>IF(Tabela17[[#This Row],[Código]]="IBOV","^BVSP",IF(Tabela17[[#This Row],[Código]]="","",CONCATENATE(LEFT(Tabela17[[#This Row],[Código]],6),".SA")))</f>
        <v/>
      </c>
      <c r="H71" s="57"/>
      <c r="J71" s="3">
        <f t="shared" si="4"/>
        <v>0</v>
      </c>
      <c r="K71" s="3">
        <f t="shared" si="4"/>
        <v>0</v>
      </c>
      <c r="L71" s="3">
        <f t="shared" si="4"/>
        <v>0</v>
      </c>
      <c r="M71" s="3">
        <f t="shared" si="4"/>
        <v>0</v>
      </c>
      <c r="P71" s="14"/>
      <c r="Q71" s="10" t="str">
        <f t="shared" ref="Q71:Q112" si="6">IF(A71="","",C71)</f>
        <v/>
      </c>
      <c r="R71" s="57" t="str">
        <f t="shared" ref="R71:R112" si="7">IF(A71="","",H71)</f>
        <v/>
      </c>
      <c r="S71" s="5">
        <f t="shared" ref="S71:V102" si="8">J71</f>
        <v>0</v>
      </c>
      <c r="T71" s="5">
        <f t="shared" si="8"/>
        <v>0</v>
      </c>
      <c r="U71" s="5">
        <f t="shared" si="8"/>
        <v>0</v>
      </c>
      <c r="V71" s="5">
        <f t="shared" si="8"/>
        <v>0</v>
      </c>
    </row>
    <row r="72" spans="1:22">
      <c r="A72" s="36" t="str">
        <f>IF(Tabela17[[#This Row],[Código]]="IBOV","^BVSP",IF(Tabela17[[#This Row],[Código]]="","",CONCATENATE(LEFT(Tabela17[[#This Row],[Código]],6),".SA")))</f>
        <v/>
      </c>
      <c r="H72" s="57"/>
      <c r="J72" s="3">
        <f t="shared" ref="J72:M135" si="9">IF($A72="",0,VALUE(CONCATENATE(LEFT(D72,LEN(D72)-3),",",RIGHT(D72,2))))</f>
        <v>0</v>
      </c>
      <c r="K72" s="3">
        <f t="shared" si="9"/>
        <v>0</v>
      </c>
      <c r="L72" s="3">
        <f t="shared" si="9"/>
        <v>0</v>
      </c>
      <c r="M72" s="3">
        <f t="shared" si="9"/>
        <v>0</v>
      </c>
      <c r="P72" s="14"/>
      <c r="Q72" s="10" t="str">
        <f t="shared" si="6"/>
        <v/>
      </c>
      <c r="R72" s="50" t="str">
        <f t="shared" si="7"/>
        <v/>
      </c>
      <c r="S72" s="6">
        <f t="shared" si="8"/>
        <v>0</v>
      </c>
      <c r="T72" s="6">
        <f t="shared" si="8"/>
        <v>0</v>
      </c>
      <c r="U72" s="5">
        <f t="shared" si="8"/>
        <v>0</v>
      </c>
      <c r="V72" s="5">
        <f t="shared" si="8"/>
        <v>0</v>
      </c>
    </row>
    <row r="73" spans="1:22">
      <c r="A73" s="36" t="str">
        <f>IF(Tabela17[[#This Row],[Código]]="IBOV","^BVSP",IF(Tabela17[[#This Row],[Código]]="","",CONCATENATE(LEFT(Tabela17[[#This Row],[Código]],6),".SA")))</f>
        <v/>
      </c>
      <c r="H73" s="57"/>
      <c r="J73" s="3">
        <f t="shared" si="9"/>
        <v>0</v>
      </c>
      <c r="K73" s="3">
        <f t="shared" si="9"/>
        <v>0</v>
      </c>
      <c r="L73" s="3">
        <f t="shared" si="9"/>
        <v>0</v>
      </c>
      <c r="M73" s="3">
        <f t="shared" si="9"/>
        <v>0</v>
      </c>
      <c r="P73" s="14"/>
      <c r="Q73" s="10" t="str">
        <f t="shared" si="6"/>
        <v/>
      </c>
      <c r="R73" s="57" t="str">
        <f t="shared" si="7"/>
        <v/>
      </c>
      <c r="S73" s="5">
        <f t="shared" si="8"/>
        <v>0</v>
      </c>
      <c r="T73" s="5">
        <f t="shared" si="8"/>
        <v>0</v>
      </c>
      <c r="U73" s="5">
        <f t="shared" si="8"/>
        <v>0</v>
      </c>
      <c r="V73" s="5">
        <f t="shared" si="8"/>
        <v>0</v>
      </c>
    </row>
    <row r="74" spans="1:22">
      <c r="A74" s="36" t="str">
        <f>IF(Tabela17[[#This Row],[Código]]="IBOV","^BVSP",IF(Tabela17[[#This Row],[Código]]="","",CONCATENATE(LEFT(Tabela17[[#This Row],[Código]],6),".SA")))</f>
        <v/>
      </c>
      <c r="H74" s="57"/>
      <c r="J74" s="3">
        <f t="shared" si="9"/>
        <v>0</v>
      </c>
      <c r="K74" s="3">
        <f t="shared" si="9"/>
        <v>0</v>
      </c>
      <c r="L74" s="3">
        <f t="shared" si="9"/>
        <v>0</v>
      </c>
      <c r="M74" s="3">
        <f t="shared" si="9"/>
        <v>0</v>
      </c>
      <c r="P74" s="27"/>
      <c r="Q74" s="10" t="str">
        <f t="shared" si="6"/>
        <v/>
      </c>
      <c r="R74" s="57" t="str">
        <f t="shared" si="7"/>
        <v/>
      </c>
      <c r="S74" s="5">
        <f t="shared" si="8"/>
        <v>0</v>
      </c>
      <c r="T74" s="5">
        <f t="shared" si="8"/>
        <v>0</v>
      </c>
      <c r="U74" s="5">
        <f t="shared" si="8"/>
        <v>0</v>
      </c>
      <c r="V74" s="5">
        <f t="shared" si="8"/>
        <v>0</v>
      </c>
    </row>
    <row r="75" spans="1:22">
      <c r="A75" s="36" t="str">
        <f>IF(Tabela17[[#This Row],[Código]]="IBOV","^BVSP",IF(Tabela17[[#This Row],[Código]]="","",CONCATENATE(LEFT(Tabela17[[#This Row],[Código]],6),".SA")))</f>
        <v/>
      </c>
      <c r="H75" s="57"/>
      <c r="J75" s="3">
        <f t="shared" si="9"/>
        <v>0</v>
      </c>
      <c r="K75" s="3">
        <f t="shared" si="9"/>
        <v>0</v>
      </c>
      <c r="L75" s="3">
        <f t="shared" si="9"/>
        <v>0</v>
      </c>
      <c r="M75" s="3">
        <f t="shared" si="9"/>
        <v>0</v>
      </c>
      <c r="P75" s="14"/>
      <c r="Q75" s="10" t="str">
        <f t="shared" si="6"/>
        <v/>
      </c>
      <c r="R75" s="57" t="str">
        <f t="shared" si="7"/>
        <v/>
      </c>
      <c r="S75" s="5">
        <f t="shared" si="8"/>
        <v>0</v>
      </c>
      <c r="T75" s="5">
        <f t="shared" si="8"/>
        <v>0</v>
      </c>
      <c r="U75" s="5">
        <f t="shared" si="8"/>
        <v>0</v>
      </c>
      <c r="V75" s="5">
        <f t="shared" si="8"/>
        <v>0</v>
      </c>
    </row>
    <row r="76" spans="1:22">
      <c r="A76" s="36" t="str">
        <f>IF(Tabela17[[#This Row],[Código]]="IBOV","^BVSP",IF(Tabela17[[#This Row],[Código]]="","",CONCATENATE(LEFT(Tabela17[[#This Row],[Código]],6),".SA")))</f>
        <v/>
      </c>
      <c r="H76" s="57"/>
      <c r="J76" s="3">
        <f t="shared" si="9"/>
        <v>0</v>
      </c>
      <c r="K76" s="3">
        <f t="shared" si="9"/>
        <v>0</v>
      </c>
      <c r="L76" s="3">
        <f t="shared" si="9"/>
        <v>0</v>
      </c>
      <c r="M76" s="3">
        <f t="shared" si="9"/>
        <v>0</v>
      </c>
      <c r="P76" s="15"/>
      <c r="Q76" s="10" t="str">
        <f t="shared" si="6"/>
        <v/>
      </c>
      <c r="R76" s="57" t="str">
        <f t="shared" si="7"/>
        <v/>
      </c>
      <c r="S76" s="5">
        <f t="shared" si="8"/>
        <v>0</v>
      </c>
      <c r="T76" s="5">
        <f t="shared" si="8"/>
        <v>0</v>
      </c>
      <c r="U76" s="5">
        <f t="shared" si="8"/>
        <v>0</v>
      </c>
      <c r="V76" s="5">
        <f t="shared" si="8"/>
        <v>0</v>
      </c>
    </row>
    <row r="77" spans="1:22">
      <c r="A77" s="36" t="str">
        <f>IF(Tabela17[[#This Row],[Código]]="IBOV","^BVSP",IF(Tabela17[[#This Row],[Código]]="","",CONCATENATE(LEFT(Tabela17[[#This Row],[Código]],6),".SA")))</f>
        <v/>
      </c>
      <c r="H77" s="57"/>
      <c r="J77" s="3">
        <f t="shared" si="9"/>
        <v>0</v>
      </c>
      <c r="K77" s="3">
        <f t="shared" si="9"/>
        <v>0</v>
      </c>
      <c r="L77" s="3">
        <f t="shared" si="9"/>
        <v>0</v>
      </c>
      <c r="M77" s="3">
        <f t="shared" si="9"/>
        <v>0</v>
      </c>
      <c r="P77" s="14"/>
      <c r="Q77" s="10" t="str">
        <f t="shared" si="6"/>
        <v/>
      </c>
      <c r="R77" s="57" t="str">
        <f t="shared" si="7"/>
        <v/>
      </c>
      <c r="S77" s="5">
        <f t="shared" si="8"/>
        <v>0</v>
      </c>
      <c r="T77" s="5">
        <f t="shared" si="8"/>
        <v>0</v>
      </c>
      <c r="U77" s="5">
        <f t="shared" si="8"/>
        <v>0</v>
      </c>
      <c r="V77" s="5">
        <f t="shared" si="8"/>
        <v>0</v>
      </c>
    </row>
    <row r="78" spans="1:22">
      <c r="A78" s="36" t="str">
        <f>IF(Tabela17[[#This Row],[Código]]="IBOV","^BVSP",IF(Tabela17[[#This Row],[Código]]="","",CONCATENATE(LEFT(Tabela17[[#This Row],[Código]],6),".SA")))</f>
        <v/>
      </c>
      <c r="H78" s="57"/>
      <c r="J78" s="3">
        <f t="shared" si="9"/>
        <v>0</v>
      </c>
      <c r="K78" s="3">
        <f t="shared" si="9"/>
        <v>0</v>
      </c>
      <c r="L78" s="3">
        <f t="shared" si="9"/>
        <v>0</v>
      </c>
      <c r="M78" s="3">
        <f t="shared" si="9"/>
        <v>0</v>
      </c>
      <c r="P78" s="27"/>
      <c r="Q78" s="10" t="str">
        <f t="shared" si="6"/>
        <v/>
      </c>
      <c r="R78" s="57" t="str">
        <f t="shared" si="7"/>
        <v/>
      </c>
      <c r="S78" s="5">
        <f t="shared" si="8"/>
        <v>0</v>
      </c>
      <c r="T78" s="5">
        <f t="shared" si="8"/>
        <v>0</v>
      </c>
      <c r="U78" s="5">
        <f t="shared" si="8"/>
        <v>0</v>
      </c>
      <c r="V78" s="5">
        <f t="shared" si="8"/>
        <v>0</v>
      </c>
    </row>
    <row r="79" spans="1:22">
      <c r="A79" s="36" t="str">
        <f>IF(Tabela17[[#This Row],[Código]]="IBOV","^BVSP",IF(Tabela17[[#This Row],[Código]]="","",CONCATENATE(LEFT(Tabela17[[#This Row],[Código]],6),".SA")))</f>
        <v/>
      </c>
      <c r="H79" s="57"/>
      <c r="J79" s="3">
        <f t="shared" si="9"/>
        <v>0</v>
      </c>
      <c r="K79" s="3">
        <f t="shared" si="9"/>
        <v>0</v>
      </c>
      <c r="L79" s="3">
        <f t="shared" si="9"/>
        <v>0</v>
      </c>
      <c r="M79" s="3">
        <f t="shared" si="9"/>
        <v>0</v>
      </c>
      <c r="P79" s="27"/>
      <c r="Q79" s="10" t="str">
        <f t="shared" si="6"/>
        <v/>
      </c>
      <c r="R79" s="57" t="str">
        <f t="shared" si="7"/>
        <v/>
      </c>
      <c r="S79" s="5">
        <f t="shared" si="8"/>
        <v>0</v>
      </c>
      <c r="T79" s="5">
        <f t="shared" si="8"/>
        <v>0</v>
      </c>
      <c r="U79" s="5">
        <f t="shared" si="8"/>
        <v>0</v>
      </c>
      <c r="V79" s="5">
        <f t="shared" si="8"/>
        <v>0</v>
      </c>
    </row>
    <row r="80" spans="1:22">
      <c r="A80" s="36" t="str">
        <f>IF(Tabela17[[#This Row],[Código]]="IBOV","^BVSP",IF(Tabela17[[#This Row],[Código]]="","",CONCATENATE(LEFT(Tabela17[[#This Row],[Código]],6),".SA")))</f>
        <v/>
      </c>
      <c r="H80" s="57"/>
      <c r="J80" s="3">
        <f t="shared" si="9"/>
        <v>0</v>
      </c>
      <c r="K80" s="3">
        <f t="shared" si="9"/>
        <v>0</v>
      </c>
      <c r="L80" s="3">
        <f t="shared" si="9"/>
        <v>0</v>
      </c>
      <c r="M80" s="3">
        <f t="shared" si="9"/>
        <v>0</v>
      </c>
      <c r="P80" s="27"/>
      <c r="Q80" s="10" t="str">
        <f t="shared" si="6"/>
        <v/>
      </c>
      <c r="R80" s="57" t="str">
        <f t="shared" si="7"/>
        <v/>
      </c>
      <c r="S80" s="5">
        <f t="shared" si="8"/>
        <v>0</v>
      </c>
      <c r="T80" s="5">
        <f t="shared" si="8"/>
        <v>0</v>
      </c>
      <c r="U80" s="5">
        <f t="shared" si="8"/>
        <v>0</v>
      </c>
      <c r="V80" s="5">
        <f t="shared" si="8"/>
        <v>0</v>
      </c>
    </row>
    <row r="81" spans="1:22">
      <c r="A81" s="36" t="str">
        <f>IF(Tabela17[[#This Row],[Código]]="IBOV","^BVSP",IF(Tabela17[[#This Row],[Código]]="","",CONCATENATE(LEFT(Tabela17[[#This Row],[Código]],6),".SA")))</f>
        <v/>
      </c>
      <c r="H81" s="57"/>
      <c r="J81" s="3">
        <f t="shared" si="9"/>
        <v>0</v>
      </c>
      <c r="K81" s="3">
        <f t="shared" si="9"/>
        <v>0</v>
      </c>
      <c r="L81" s="3">
        <f t="shared" si="9"/>
        <v>0</v>
      </c>
      <c r="M81" s="3">
        <f t="shared" si="9"/>
        <v>0</v>
      </c>
      <c r="P81" s="14"/>
      <c r="Q81" s="10" t="str">
        <f t="shared" si="6"/>
        <v/>
      </c>
      <c r="R81" s="57" t="str">
        <f t="shared" si="7"/>
        <v/>
      </c>
      <c r="S81" s="5">
        <f t="shared" si="8"/>
        <v>0</v>
      </c>
      <c r="T81" s="5">
        <f t="shared" si="8"/>
        <v>0</v>
      </c>
      <c r="U81" s="5">
        <f t="shared" si="8"/>
        <v>0</v>
      </c>
      <c r="V81" s="5">
        <f t="shared" si="8"/>
        <v>0</v>
      </c>
    </row>
    <row r="82" spans="1:22">
      <c r="A82" s="36" t="str">
        <f>IF(Tabela17[[#This Row],[Código]]="IBOV","^BVSP",IF(Tabela17[[#This Row],[Código]]="","",CONCATENATE(LEFT(Tabela17[[#This Row],[Código]],6),".SA")))</f>
        <v/>
      </c>
      <c r="H82" s="57"/>
      <c r="J82" s="3">
        <f t="shared" si="9"/>
        <v>0</v>
      </c>
      <c r="K82" s="3">
        <f t="shared" si="9"/>
        <v>0</v>
      </c>
      <c r="L82" s="3">
        <f t="shared" si="9"/>
        <v>0</v>
      </c>
      <c r="M82" s="3">
        <f t="shared" si="9"/>
        <v>0</v>
      </c>
      <c r="P82" s="14"/>
      <c r="Q82" s="10" t="str">
        <f t="shared" si="6"/>
        <v/>
      </c>
      <c r="R82" s="57" t="str">
        <f t="shared" si="7"/>
        <v/>
      </c>
      <c r="S82" s="5">
        <f t="shared" si="8"/>
        <v>0</v>
      </c>
      <c r="T82" s="5">
        <f t="shared" si="8"/>
        <v>0</v>
      </c>
      <c r="U82" s="5">
        <f t="shared" si="8"/>
        <v>0</v>
      </c>
      <c r="V82" s="5">
        <f t="shared" si="8"/>
        <v>0</v>
      </c>
    </row>
    <row r="83" spans="1:22">
      <c r="A83" s="36" t="str">
        <f>IF(Tabela17[[#This Row],[Código]]="IBOV","^BVSP",IF(Tabela17[[#This Row],[Código]]="","",CONCATENATE(LEFT(Tabela17[[#This Row],[Código]],6),".SA")))</f>
        <v/>
      </c>
      <c r="H83" s="57"/>
      <c r="J83" s="3">
        <f t="shared" si="9"/>
        <v>0</v>
      </c>
      <c r="K83" s="3">
        <f t="shared" si="9"/>
        <v>0</v>
      </c>
      <c r="L83" s="3">
        <f t="shared" si="9"/>
        <v>0</v>
      </c>
      <c r="M83" s="3">
        <f t="shared" si="9"/>
        <v>0</v>
      </c>
      <c r="P83" s="15"/>
      <c r="Q83" s="10" t="str">
        <f t="shared" si="6"/>
        <v/>
      </c>
      <c r="R83" s="57" t="str">
        <f t="shared" si="7"/>
        <v/>
      </c>
      <c r="S83" s="5">
        <f t="shared" si="8"/>
        <v>0</v>
      </c>
      <c r="T83" s="5">
        <f t="shared" si="8"/>
        <v>0</v>
      </c>
      <c r="U83" s="5">
        <f t="shared" si="8"/>
        <v>0</v>
      </c>
      <c r="V83" s="5">
        <f t="shared" si="8"/>
        <v>0</v>
      </c>
    </row>
    <row r="84" spans="1:22">
      <c r="A84" s="36" t="str">
        <f>IF(Tabela17[[#This Row],[Código]]="IBOV","^BVSP",IF(Tabela17[[#This Row],[Código]]="","",CONCATENATE(LEFT(Tabela17[[#This Row],[Código]],6),".SA")))</f>
        <v/>
      </c>
      <c r="H84" s="57"/>
      <c r="J84" s="3">
        <f t="shared" si="9"/>
        <v>0</v>
      </c>
      <c r="K84" s="3">
        <f t="shared" si="9"/>
        <v>0</v>
      </c>
      <c r="L84" s="3">
        <f t="shared" si="9"/>
        <v>0</v>
      </c>
      <c r="M84" s="3">
        <f t="shared" si="9"/>
        <v>0</v>
      </c>
      <c r="P84" s="15"/>
      <c r="Q84" s="10" t="str">
        <f t="shared" si="6"/>
        <v/>
      </c>
      <c r="R84" s="57" t="str">
        <f t="shared" si="7"/>
        <v/>
      </c>
      <c r="S84" s="5">
        <f t="shared" si="8"/>
        <v>0</v>
      </c>
      <c r="T84" s="5">
        <f t="shared" si="8"/>
        <v>0</v>
      </c>
      <c r="U84" s="5">
        <f t="shared" si="8"/>
        <v>0</v>
      </c>
      <c r="V84" s="5">
        <f t="shared" si="8"/>
        <v>0</v>
      </c>
    </row>
    <row r="85" spans="1:22">
      <c r="A85" s="36" t="str">
        <f>IF(Tabela17[[#This Row],[Código]]="IBOV","^BVSP",IF(Tabela17[[#This Row],[Código]]="","",CONCATENATE(LEFT(Tabela17[[#This Row],[Código]],6),".SA")))</f>
        <v/>
      </c>
      <c r="H85" s="57"/>
      <c r="J85" s="3">
        <f t="shared" si="9"/>
        <v>0</v>
      </c>
      <c r="K85" s="3">
        <f t="shared" si="9"/>
        <v>0</v>
      </c>
      <c r="L85" s="3">
        <f t="shared" si="9"/>
        <v>0</v>
      </c>
      <c r="M85" s="3">
        <f t="shared" si="9"/>
        <v>0</v>
      </c>
      <c r="P85" s="10"/>
      <c r="Q85" s="10" t="str">
        <f t="shared" si="6"/>
        <v/>
      </c>
      <c r="R85" s="57" t="str">
        <f t="shared" si="7"/>
        <v/>
      </c>
      <c r="S85" s="5">
        <f t="shared" si="8"/>
        <v>0</v>
      </c>
      <c r="T85" s="5">
        <f t="shared" si="8"/>
        <v>0</v>
      </c>
      <c r="U85" s="5">
        <f t="shared" si="8"/>
        <v>0</v>
      </c>
      <c r="V85" s="5">
        <f t="shared" si="8"/>
        <v>0</v>
      </c>
    </row>
    <row r="86" spans="1:22">
      <c r="A86" s="36" t="str">
        <f>IF(Tabela17[[#This Row],[Código]]="IBOV","^BVSP",IF(Tabela17[[#This Row],[Código]]="","",CONCATENATE(LEFT(Tabela17[[#This Row],[Código]],6),".SA")))</f>
        <v/>
      </c>
      <c r="H86" s="57"/>
      <c r="J86" s="3">
        <f t="shared" si="9"/>
        <v>0</v>
      </c>
      <c r="K86" s="3">
        <f t="shared" si="9"/>
        <v>0</v>
      </c>
      <c r="L86" s="3">
        <f t="shared" si="9"/>
        <v>0</v>
      </c>
      <c r="M86" s="3">
        <f t="shared" si="9"/>
        <v>0</v>
      </c>
      <c r="P86" s="10"/>
      <c r="Q86" s="10" t="str">
        <f t="shared" si="6"/>
        <v/>
      </c>
      <c r="R86" s="57" t="str">
        <f t="shared" si="7"/>
        <v/>
      </c>
      <c r="S86" s="5">
        <f t="shared" si="8"/>
        <v>0</v>
      </c>
      <c r="T86" s="5">
        <f t="shared" si="8"/>
        <v>0</v>
      </c>
      <c r="U86" s="5">
        <f t="shared" si="8"/>
        <v>0</v>
      </c>
      <c r="V86" s="5">
        <f t="shared" si="8"/>
        <v>0</v>
      </c>
    </row>
    <row r="87" spans="1:22">
      <c r="A87" s="36" t="str">
        <f>IF(Tabela17[[#This Row],[Código]]="IBOV","^BVSP",IF(Tabela17[[#This Row],[Código]]="","",CONCATENATE(LEFT(Tabela17[[#This Row],[Código]],6),".SA")))</f>
        <v/>
      </c>
      <c r="H87" s="57"/>
      <c r="J87" s="3">
        <f t="shared" si="9"/>
        <v>0</v>
      </c>
      <c r="K87" s="3">
        <f t="shared" si="9"/>
        <v>0</v>
      </c>
      <c r="L87" s="3">
        <f t="shared" si="9"/>
        <v>0</v>
      </c>
      <c r="M87" s="3">
        <f t="shared" si="9"/>
        <v>0</v>
      </c>
      <c r="P87" s="15"/>
      <c r="Q87" s="10" t="str">
        <f t="shared" si="6"/>
        <v/>
      </c>
      <c r="R87" s="57" t="str">
        <f t="shared" si="7"/>
        <v/>
      </c>
      <c r="S87" s="5">
        <f t="shared" si="8"/>
        <v>0</v>
      </c>
      <c r="T87" s="5">
        <f t="shared" si="8"/>
        <v>0</v>
      </c>
      <c r="U87" s="5">
        <f t="shared" si="8"/>
        <v>0</v>
      </c>
      <c r="V87" s="5">
        <f t="shared" si="8"/>
        <v>0</v>
      </c>
    </row>
    <row r="88" spans="1:22">
      <c r="A88" s="36" t="str">
        <f>IF(Tabela17[[#This Row],[Código]]="IBOV","^BVSP",IF(Tabela17[[#This Row],[Código]]="","",CONCATENATE(LEFT(Tabela17[[#This Row],[Código]],6),".SA")))</f>
        <v/>
      </c>
      <c r="H88" s="57"/>
      <c r="J88" s="3">
        <f t="shared" si="9"/>
        <v>0</v>
      </c>
      <c r="K88" s="3">
        <f t="shared" si="9"/>
        <v>0</v>
      </c>
      <c r="L88" s="3">
        <f t="shared" si="9"/>
        <v>0</v>
      </c>
      <c r="M88" s="3">
        <f t="shared" si="9"/>
        <v>0</v>
      </c>
      <c r="P88" s="15"/>
      <c r="Q88" s="10" t="str">
        <f t="shared" si="6"/>
        <v/>
      </c>
      <c r="R88" s="57" t="str">
        <f t="shared" si="7"/>
        <v/>
      </c>
      <c r="S88" s="5">
        <f t="shared" si="8"/>
        <v>0</v>
      </c>
      <c r="T88" s="5">
        <f t="shared" si="8"/>
        <v>0</v>
      </c>
      <c r="U88" s="5">
        <f t="shared" si="8"/>
        <v>0</v>
      </c>
      <c r="V88" s="5">
        <f t="shared" si="8"/>
        <v>0</v>
      </c>
    </row>
    <row r="89" spans="1:22">
      <c r="A89" s="36" t="str">
        <f>IF(Tabela17[[#This Row],[Código]]="IBOV","^BVSP",IF(Tabela17[[#This Row],[Código]]="","",CONCATENATE(LEFT(Tabela17[[#This Row],[Código]],6),".SA")))</f>
        <v/>
      </c>
      <c r="H89" s="57"/>
      <c r="J89" s="3">
        <f t="shared" si="9"/>
        <v>0</v>
      </c>
      <c r="K89" s="3">
        <f t="shared" si="9"/>
        <v>0</v>
      </c>
      <c r="L89" s="3">
        <f t="shared" si="9"/>
        <v>0</v>
      </c>
      <c r="M89" s="3">
        <f t="shared" si="9"/>
        <v>0</v>
      </c>
      <c r="P89" s="47"/>
      <c r="Q89" s="10" t="str">
        <f t="shared" si="6"/>
        <v/>
      </c>
      <c r="R89" s="57" t="str">
        <f t="shared" si="7"/>
        <v/>
      </c>
      <c r="S89" s="5">
        <f t="shared" si="8"/>
        <v>0</v>
      </c>
      <c r="T89" s="5">
        <f t="shared" si="8"/>
        <v>0</v>
      </c>
      <c r="U89" s="5">
        <f t="shared" si="8"/>
        <v>0</v>
      </c>
      <c r="V89" s="5">
        <f t="shared" si="8"/>
        <v>0</v>
      </c>
    </row>
    <row r="90" spans="1:22">
      <c r="A90" s="36" t="str">
        <f>IF(Tabela17[[#This Row],[Código]]="IBOV","^BVSP",IF(Tabela17[[#This Row],[Código]]="","",CONCATENATE(LEFT(Tabela17[[#This Row],[Código]],6),".SA")))</f>
        <v/>
      </c>
      <c r="H90" s="57"/>
      <c r="J90" s="3">
        <f t="shared" si="9"/>
        <v>0</v>
      </c>
      <c r="K90" s="3">
        <f t="shared" si="9"/>
        <v>0</v>
      </c>
      <c r="L90" s="3">
        <f t="shared" si="9"/>
        <v>0</v>
      </c>
      <c r="M90" s="3">
        <f t="shared" si="9"/>
        <v>0</v>
      </c>
      <c r="P90" s="14"/>
      <c r="Q90" s="10" t="str">
        <f t="shared" si="6"/>
        <v/>
      </c>
      <c r="R90" s="57" t="str">
        <f t="shared" si="7"/>
        <v/>
      </c>
      <c r="S90" s="5">
        <f t="shared" si="8"/>
        <v>0</v>
      </c>
      <c r="T90" s="5">
        <f t="shared" si="8"/>
        <v>0</v>
      </c>
      <c r="U90" s="5">
        <f t="shared" si="8"/>
        <v>0</v>
      </c>
      <c r="V90" s="5">
        <f t="shared" si="8"/>
        <v>0</v>
      </c>
    </row>
    <row r="91" spans="1:22">
      <c r="A91" s="36" t="str">
        <f>IF(Tabela17[[#This Row],[Código]]="IBOV","^BVSP",IF(Tabela17[[#This Row],[Código]]="","",CONCATENATE(LEFT(Tabela17[[#This Row],[Código]],6),".SA")))</f>
        <v/>
      </c>
      <c r="H91" s="57"/>
      <c r="J91" s="3">
        <f t="shared" si="9"/>
        <v>0</v>
      </c>
      <c r="K91" s="3">
        <f t="shared" si="9"/>
        <v>0</v>
      </c>
      <c r="L91" s="3">
        <f t="shared" si="9"/>
        <v>0</v>
      </c>
      <c r="M91" s="3">
        <f t="shared" si="9"/>
        <v>0</v>
      </c>
      <c r="P91" s="10"/>
      <c r="Q91" s="10" t="str">
        <f t="shared" si="6"/>
        <v/>
      </c>
      <c r="R91" s="57" t="str">
        <f t="shared" si="7"/>
        <v/>
      </c>
      <c r="S91" s="5">
        <f t="shared" si="8"/>
        <v>0</v>
      </c>
      <c r="T91" s="5">
        <f t="shared" si="8"/>
        <v>0</v>
      </c>
      <c r="U91" s="5">
        <f t="shared" si="8"/>
        <v>0</v>
      </c>
      <c r="V91" s="5">
        <f t="shared" si="8"/>
        <v>0</v>
      </c>
    </row>
    <row r="92" spans="1:22">
      <c r="A92" s="36" t="str">
        <f>IF(Tabela17[[#This Row],[Código]]="IBOV","^BVSP",IF(Tabela17[[#This Row],[Código]]="","",CONCATENATE(LEFT(Tabela17[[#This Row],[Código]],6),".SA")))</f>
        <v/>
      </c>
      <c r="H92" s="57"/>
      <c r="J92" s="3">
        <f t="shared" si="9"/>
        <v>0</v>
      </c>
      <c r="K92" s="3">
        <f t="shared" si="9"/>
        <v>0</v>
      </c>
      <c r="L92" s="3">
        <f t="shared" si="9"/>
        <v>0</v>
      </c>
      <c r="M92" s="3">
        <f t="shared" si="9"/>
        <v>0</v>
      </c>
      <c r="P92" s="16"/>
      <c r="Q92" s="10" t="str">
        <f t="shared" si="6"/>
        <v/>
      </c>
      <c r="R92" s="57" t="str">
        <f t="shared" si="7"/>
        <v/>
      </c>
      <c r="S92" s="5">
        <f t="shared" si="8"/>
        <v>0</v>
      </c>
      <c r="T92" s="5">
        <f t="shared" si="8"/>
        <v>0</v>
      </c>
      <c r="U92" s="5">
        <f t="shared" si="8"/>
        <v>0</v>
      </c>
      <c r="V92" s="5">
        <f t="shared" si="8"/>
        <v>0</v>
      </c>
    </row>
    <row r="93" spans="1:22">
      <c r="A93" s="36" t="str">
        <f>IF(Tabela17[[#This Row],[Código]]="IBOV","^BVSP",IF(Tabela17[[#This Row],[Código]]="","",CONCATENATE(LEFT(Tabela17[[#This Row],[Código]],6),".SA")))</f>
        <v/>
      </c>
      <c r="H93" s="57"/>
      <c r="J93" s="3">
        <f t="shared" si="9"/>
        <v>0</v>
      </c>
      <c r="K93" s="3">
        <f t="shared" si="9"/>
        <v>0</v>
      </c>
      <c r="L93" s="3">
        <f t="shared" si="9"/>
        <v>0</v>
      </c>
      <c r="M93" s="3">
        <f t="shared" si="9"/>
        <v>0</v>
      </c>
      <c r="P93" s="16"/>
      <c r="Q93" s="10" t="str">
        <f t="shared" si="6"/>
        <v/>
      </c>
      <c r="R93" s="57" t="str">
        <f t="shared" si="7"/>
        <v/>
      </c>
      <c r="S93" s="5">
        <f t="shared" si="8"/>
        <v>0</v>
      </c>
      <c r="T93" s="5">
        <f t="shared" si="8"/>
        <v>0</v>
      </c>
      <c r="U93" s="5">
        <f t="shared" si="8"/>
        <v>0</v>
      </c>
      <c r="V93" s="5">
        <f t="shared" si="8"/>
        <v>0</v>
      </c>
    </row>
    <row r="94" spans="1:22">
      <c r="A94" s="36" t="str">
        <f>IF(Tabela17[[#This Row],[Código]]="IBOV","^BVSP",IF(Tabela17[[#This Row],[Código]]="","",CONCATENATE(LEFT(Tabela17[[#This Row],[Código]],6),".SA")))</f>
        <v/>
      </c>
      <c r="H94" s="57"/>
      <c r="J94" s="3">
        <f t="shared" si="9"/>
        <v>0</v>
      </c>
      <c r="K94" s="3">
        <f t="shared" si="9"/>
        <v>0</v>
      </c>
      <c r="L94" s="3">
        <f t="shared" si="9"/>
        <v>0</v>
      </c>
      <c r="M94" s="3">
        <f t="shared" si="9"/>
        <v>0</v>
      </c>
      <c r="P94" s="14"/>
      <c r="Q94" s="10" t="str">
        <f t="shared" si="6"/>
        <v/>
      </c>
      <c r="R94" s="57" t="str">
        <f t="shared" si="7"/>
        <v/>
      </c>
      <c r="S94" s="5">
        <f t="shared" si="8"/>
        <v>0</v>
      </c>
      <c r="T94" s="5">
        <f t="shared" si="8"/>
        <v>0</v>
      </c>
      <c r="U94" s="5">
        <f t="shared" si="8"/>
        <v>0</v>
      </c>
      <c r="V94" s="5">
        <f t="shared" si="8"/>
        <v>0</v>
      </c>
    </row>
    <row r="95" spans="1:22">
      <c r="A95" s="36" t="str">
        <f>IF(Tabela17[[#This Row],[Código]]="IBOV","^BVSP",IF(Tabela17[[#This Row],[Código]]="","",CONCATENATE(LEFT(Tabela17[[#This Row],[Código]],6),".SA")))</f>
        <v/>
      </c>
      <c r="H95" s="57"/>
      <c r="J95" s="3">
        <f t="shared" si="9"/>
        <v>0</v>
      </c>
      <c r="K95" s="3">
        <f t="shared" si="9"/>
        <v>0</v>
      </c>
      <c r="L95" s="3">
        <f t="shared" si="9"/>
        <v>0</v>
      </c>
      <c r="M95" s="3">
        <f t="shared" si="9"/>
        <v>0</v>
      </c>
      <c r="P95" s="14"/>
      <c r="Q95" s="10" t="str">
        <f t="shared" si="6"/>
        <v/>
      </c>
      <c r="R95" s="57" t="str">
        <f t="shared" si="7"/>
        <v/>
      </c>
      <c r="S95" s="5">
        <f t="shared" si="8"/>
        <v>0</v>
      </c>
      <c r="T95" s="5">
        <f t="shared" si="8"/>
        <v>0</v>
      </c>
      <c r="U95" s="5">
        <f t="shared" si="8"/>
        <v>0</v>
      </c>
      <c r="V95" s="5">
        <f t="shared" si="8"/>
        <v>0</v>
      </c>
    </row>
    <row r="96" spans="1:22">
      <c r="A96" s="36" t="str">
        <f>IF(Tabela17[[#This Row],[Código]]="IBOV","^BVSP",IF(Tabela17[[#This Row],[Código]]="","",CONCATENATE(LEFT(Tabela17[[#This Row],[Código]],6),".SA")))</f>
        <v/>
      </c>
      <c r="H96" s="57"/>
      <c r="J96" s="3">
        <f t="shared" si="9"/>
        <v>0</v>
      </c>
      <c r="K96" s="3">
        <f t="shared" si="9"/>
        <v>0</v>
      </c>
      <c r="L96" s="3">
        <f t="shared" si="9"/>
        <v>0</v>
      </c>
      <c r="M96" s="3">
        <f t="shared" si="9"/>
        <v>0</v>
      </c>
      <c r="P96" s="14"/>
      <c r="Q96" s="10" t="str">
        <f t="shared" si="6"/>
        <v/>
      </c>
      <c r="R96" s="57" t="str">
        <f t="shared" si="7"/>
        <v/>
      </c>
      <c r="S96" s="5">
        <f t="shared" si="8"/>
        <v>0</v>
      </c>
      <c r="T96" s="5">
        <f t="shared" si="8"/>
        <v>0</v>
      </c>
      <c r="U96" s="5">
        <f t="shared" si="8"/>
        <v>0</v>
      </c>
      <c r="V96" s="5">
        <f t="shared" si="8"/>
        <v>0</v>
      </c>
    </row>
    <row r="97" spans="1:22">
      <c r="A97" s="36" t="str">
        <f>IF(Tabela17[[#This Row],[Código]]="IBOV","^BVSP",IF(Tabela17[[#This Row],[Código]]="","",CONCATENATE(LEFT(Tabela17[[#This Row],[Código]],6),".SA")))</f>
        <v/>
      </c>
      <c r="H97" s="57"/>
      <c r="J97" s="3">
        <f t="shared" si="9"/>
        <v>0</v>
      </c>
      <c r="K97" s="3">
        <f t="shared" si="9"/>
        <v>0</v>
      </c>
      <c r="L97" s="3">
        <f t="shared" si="9"/>
        <v>0</v>
      </c>
      <c r="M97" s="3">
        <f t="shared" si="9"/>
        <v>0</v>
      </c>
      <c r="P97" s="15"/>
      <c r="Q97" s="10" t="str">
        <f t="shared" si="6"/>
        <v/>
      </c>
      <c r="R97" s="57" t="str">
        <f t="shared" si="7"/>
        <v/>
      </c>
      <c r="S97" s="5">
        <f t="shared" si="8"/>
        <v>0</v>
      </c>
      <c r="T97" s="5">
        <f t="shared" si="8"/>
        <v>0</v>
      </c>
      <c r="U97" s="5">
        <f t="shared" si="8"/>
        <v>0</v>
      </c>
      <c r="V97" s="5">
        <f t="shared" si="8"/>
        <v>0</v>
      </c>
    </row>
    <row r="98" spans="1:22">
      <c r="A98" s="36" t="str">
        <f>IF(Tabela17[[#This Row],[Código]]="IBOV","^BVSP",IF(Tabela17[[#This Row],[Código]]="","",CONCATENATE(LEFT(Tabela17[[#This Row],[Código]],6),".SA")))</f>
        <v/>
      </c>
      <c r="H98" s="57"/>
      <c r="J98" s="3">
        <f t="shared" si="9"/>
        <v>0</v>
      </c>
      <c r="K98" s="3">
        <f t="shared" si="9"/>
        <v>0</v>
      </c>
      <c r="L98" s="3">
        <f t="shared" si="9"/>
        <v>0</v>
      </c>
      <c r="M98" s="3">
        <f t="shared" si="9"/>
        <v>0</v>
      </c>
      <c r="P98" s="15"/>
      <c r="Q98" s="10" t="str">
        <f t="shared" si="6"/>
        <v/>
      </c>
      <c r="R98" s="57" t="str">
        <f t="shared" si="7"/>
        <v/>
      </c>
      <c r="S98" s="5">
        <f t="shared" si="8"/>
        <v>0</v>
      </c>
      <c r="T98" s="5">
        <f t="shared" si="8"/>
        <v>0</v>
      </c>
      <c r="U98" s="5">
        <f t="shared" si="8"/>
        <v>0</v>
      </c>
      <c r="V98" s="5">
        <f t="shared" si="8"/>
        <v>0</v>
      </c>
    </row>
    <row r="99" spans="1:22">
      <c r="A99" s="36" t="str">
        <f>IF(Tabela17[[#This Row],[Código]]="IBOV","^BVSP",IF(Tabela17[[#This Row],[Código]]="","",CONCATENATE(LEFT(Tabela17[[#This Row],[Código]],6),".SA")))</f>
        <v/>
      </c>
      <c r="H99" s="57"/>
      <c r="J99" s="3">
        <f t="shared" si="9"/>
        <v>0</v>
      </c>
      <c r="K99" s="3">
        <f t="shared" si="9"/>
        <v>0</v>
      </c>
      <c r="L99" s="3">
        <f t="shared" si="9"/>
        <v>0</v>
      </c>
      <c r="M99" s="3">
        <f t="shared" si="9"/>
        <v>0</v>
      </c>
      <c r="P99" s="15"/>
      <c r="Q99" s="10" t="str">
        <f t="shared" si="6"/>
        <v/>
      </c>
      <c r="R99" s="57" t="str">
        <f t="shared" si="7"/>
        <v/>
      </c>
      <c r="S99" s="5">
        <f t="shared" si="8"/>
        <v>0</v>
      </c>
      <c r="T99" s="5">
        <f t="shared" si="8"/>
        <v>0</v>
      </c>
      <c r="U99" s="5">
        <f t="shared" si="8"/>
        <v>0</v>
      </c>
      <c r="V99" s="5">
        <f t="shared" si="8"/>
        <v>0</v>
      </c>
    </row>
    <row r="100" spans="1:22">
      <c r="A100" s="36" t="str">
        <f>IF(Tabela17[[#This Row],[Código]]="IBOV","^BVSP",IF(Tabela17[[#This Row],[Código]]="","",CONCATENATE(LEFT(Tabela17[[#This Row],[Código]],6),".SA")))</f>
        <v/>
      </c>
      <c r="H100" s="57"/>
      <c r="J100" s="3">
        <f t="shared" si="9"/>
        <v>0</v>
      </c>
      <c r="K100" s="3">
        <f t="shared" si="9"/>
        <v>0</v>
      </c>
      <c r="L100" s="3">
        <f t="shared" si="9"/>
        <v>0</v>
      </c>
      <c r="M100" s="3">
        <f t="shared" si="9"/>
        <v>0</v>
      </c>
      <c r="P100" s="14"/>
      <c r="Q100" s="10" t="str">
        <f t="shared" si="6"/>
        <v/>
      </c>
      <c r="R100" s="57" t="str">
        <f t="shared" si="7"/>
        <v/>
      </c>
      <c r="S100" s="5">
        <f t="shared" si="8"/>
        <v>0</v>
      </c>
      <c r="T100" s="5">
        <f t="shared" si="8"/>
        <v>0</v>
      </c>
      <c r="U100" s="5">
        <f t="shared" si="8"/>
        <v>0</v>
      </c>
      <c r="V100" s="5">
        <f t="shared" si="8"/>
        <v>0</v>
      </c>
    </row>
    <row r="101" spans="1:22">
      <c r="A101" s="36" t="str">
        <f>IF(Tabela17[[#This Row],[Código]]="IBOV","^BVSP",IF(Tabela17[[#This Row],[Código]]="","",CONCATENATE(LEFT(Tabela17[[#This Row],[Código]],6),".SA")))</f>
        <v/>
      </c>
      <c r="H101" s="57"/>
      <c r="J101" s="3">
        <f t="shared" si="9"/>
        <v>0</v>
      </c>
      <c r="K101" s="3">
        <f t="shared" si="9"/>
        <v>0</v>
      </c>
      <c r="L101" s="3">
        <f t="shared" si="9"/>
        <v>0</v>
      </c>
      <c r="M101" s="3">
        <f t="shared" si="9"/>
        <v>0</v>
      </c>
      <c r="P101" s="14"/>
      <c r="Q101" s="10" t="str">
        <f t="shared" si="6"/>
        <v/>
      </c>
      <c r="R101" s="57" t="str">
        <f t="shared" si="7"/>
        <v/>
      </c>
      <c r="S101" s="5">
        <f t="shared" si="8"/>
        <v>0</v>
      </c>
      <c r="T101" s="5">
        <f t="shared" si="8"/>
        <v>0</v>
      </c>
      <c r="U101" s="5">
        <f t="shared" si="8"/>
        <v>0</v>
      </c>
      <c r="V101" s="5">
        <f t="shared" si="8"/>
        <v>0</v>
      </c>
    </row>
    <row r="102" spans="1:22">
      <c r="A102" s="36" t="str">
        <f>IF(Tabela17[[#This Row],[Código]]="IBOV","^BVSP",IF(Tabela17[[#This Row],[Código]]="","",CONCATENATE(LEFT(Tabela17[[#This Row],[Código]],6),".SA")))</f>
        <v/>
      </c>
      <c r="H102" s="57"/>
      <c r="J102" s="3">
        <f t="shared" si="9"/>
        <v>0</v>
      </c>
      <c r="K102" s="3">
        <f t="shared" si="9"/>
        <v>0</v>
      </c>
      <c r="L102" s="3">
        <f t="shared" si="9"/>
        <v>0</v>
      </c>
      <c r="M102" s="3">
        <f t="shared" si="9"/>
        <v>0</v>
      </c>
      <c r="P102" s="14"/>
      <c r="Q102" s="10" t="str">
        <f t="shared" si="6"/>
        <v/>
      </c>
      <c r="R102" s="57" t="str">
        <f t="shared" si="7"/>
        <v/>
      </c>
      <c r="S102" s="5">
        <f t="shared" si="8"/>
        <v>0</v>
      </c>
      <c r="T102" s="5">
        <f t="shared" si="8"/>
        <v>0</v>
      </c>
      <c r="U102" s="5">
        <f t="shared" si="8"/>
        <v>0</v>
      </c>
      <c r="V102" s="5">
        <f t="shared" si="8"/>
        <v>0</v>
      </c>
    </row>
    <row r="103" spans="1:22">
      <c r="A103" s="36" t="str">
        <f>IF(Tabela17[[#This Row],[Código]]="IBOV","^BVSP",IF(Tabela17[[#This Row],[Código]]="","",CONCATENATE(LEFT(Tabela17[[#This Row],[Código]],6),".SA")))</f>
        <v/>
      </c>
      <c r="H103" s="57"/>
      <c r="J103" s="3">
        <f t="shared" si="9"/>
        <v>0</v>
      </c>
      <c r="K103" s="3">
        <f t="shared" si="9"/>
        <v>0</v>
      </c>
      <c r="L103" s="3">
        <f t="shared" si="9"/>
        <v>0</v>
      </c>
      <c r="M103" s="3">
        <f t="shared" si="9"/>
        <v>0</v>
      </c>
      <c r="P103" s="15"/>
      <c r="Q103" s="10" t="str">
        <f t="shared" si="6"/>
        <v/>
      </c>
      <c r="R103" s="57" t="str">
        <f t="shared" si="7"/>
        <v/>
      </c>
      <c r="S103" s="5">
        <f t="shared" ref="S103:V112" si="10">J103</f>
        <v>0</v>
      </c>
      <c r="T103" s="5">
        <f t="shared" si="10"/>
        <v>0</v>
      </c>
      <c r="U103" s="5">
        <f t="shared" si="10"/>
        <v>0</v>
      </c>
      <c r="V103" s="5">
        <f t="shared" si="10"/>
        <v>0</v>
      </c>
    </row>
    <row r="104" spans="1:22">
      <c r="A104" s="36" t="str">
        <f>IF(Tabela17[[#This Row],[Código]]="IBOV","^BVSP",IF(Tabela17[[#This Row],[Código]]="","",CONCATENATE(LEFT(Tabela17[[#This Row],[Código]],6),".SA")))</f>
        <v/>
      </c>
      <c r="H104" s="57"/>
      <c r="J104" s="3">
        <f t="shared" si="9"/>
        <v>0</v>
      </c>
      <c r="K104" s="3">
        <f t="shared" si="9"/>
        <v>0</v>
      </c>
      <c r="L104" s="3">
        <f t="shared" si="9"/>
        <v>0</v>
      </c>
      <c r="M104" s="3">
        <f t="shared" si="9"/>
        <v>0</v>
      </c>
      <c r="P104" s="15"/>
      <c r="Q104" s="10" t="str">
        <f t="shared" si="6"/>
        <v/>
      </c>
      <c r="R104" s="57" t="str">
        <f t="shared" si="7"/>
        <v/>
      </c>
      <c r="S104" s="5">
        <f t="shared" si="10"/>
        <v>0</v>
      </c>
      <c r="T104" s="5">
        <f t="shared" si="10"/>
        <v>0</v>
      </c>
      <c r="U104" s="5">
        <f t="shared" si="10"/>
        <v>0</v>
      </c>
      <c r="V104" s="5">
        <f t="shared" si="10"/>
        <v>0</v>
      </c>
    </row>
    <row r="105" spans="1:22">
      <c r="A105" s="36" t="str">
        <f>IF(Tabela17[[#This Row],[Código]]="IBOV","^BVSP",IF(Tabela17[[#This Row],[Código]]="","",CONCATENATE(LEFT(Tabela17[[#This Row],[Código]],6),".SA")))</f>
        <v/>
      </c>
      <c r="H105" s="57"/>
      <c r="J105" s="3">
        <f t="shared" si="9"/>
        <v>0</v>
      </c>
      <c r="K105" s="3">
        <f t="shared" si="9"/>
        <v>0</v>
      </c>
      <c r="L105" s="3">
        <f t="shared" si="9"/>
        <v>0</v>
      </c>
      <c r="M105" s="3">
        <f t="shared" si="9"/>
        <v>0</v>
      </c>
      <c r="P105" s="15"/>
      <c r="Q105" s="10" t="str">
        <f t="shared" si="6"/>
        <v/>
      </c>
      <c r="R105" s="57" t="str">
        <f t="shared" si="7"/>
        <v/>
      </c>
      <c r="S105" s="5">
        <f t="shared" si="10"/>
        <v>0</v>
      </c>
      <c r="T105" s="5">
        <f t="shared" si="10"/>
        <v>0</v>
      </c>
      <c r="U105" s="5">
        <f t="shared" si="10"/>
        <v>0</v>
      </c>
      <c r="V105" s="5">
        <f t="shared" si="10"/>
        <v>0</v>
      </c>
    </row>
    <row r="106" spans="1:22">
      <c r="A106" s="36" t="str">
        <f>IF(Tabela17[[#This Row],[Código]]="IBOV","^BVSP",IF(Tabela17[[#This Row],[Código]]="","",CONCATENATE(LEFT(Tabela17[[#This Row],[Código]],6),".SA")))</f>
        <v/>
      </c>
      <c r="H106" s="57"/>
      <c r="J106" s="3">
        <f t="shared" si="9"/>
        <v>0</v>
      </c>
      <c r="K106" s="3">
        <f t="shared" si="9"/>
        <v>0</v>
      </c>
      <c r="L106" s="3">
        <f t="shared" si="9"/>
        <v>0</v>
      </c>
      <c r="M106" s="3">
        <f t="shared" si="9"/>
        <v>0</v>
      </c>
      <c r="P106" s="14"/>
      <c r="Q106" s="10" t="str">
        <f t="shared" si="6"/>
        <v/>
      </c>
      <c r="R106" s="57" t="str">
        <f t="shared" si="7"/>
        <v/>
      </c>
      <c r="S106" s="5">
        <f t="shared" si="10"/>
        <v>0</v>
      </c>
      <c r="T106" s="5">
        <f t="shared" si="10"/>
        <v>0</v>
      </c>
      <c r="U106" s="5">
        <f t="shared" si="10"/>
        <v>0</v>
      </c>
      <c r="V106" s="5">
        <f t="shared" si="10"/>
        <v>0</v>
      </c>
    </row>
    <row r="107" spans="1:22">
      <c r="A107" s="36" t="str">
        <f>IF(Tabela17[[#This Row],[Código]]="IBOV","^BVSP",IF(Tabela17[[#This Row],[Código]]="","",CONCATENATE(LEFT(Tabela17[[#This Row],[Código]],6),".SA")))</f>
        <v/>
      </c>
      <c r="H107" s="57"/>
      <c r="J107" s="3">
        <f t="shared" si="9"/>
        <v>0</v>
      </c>
      <c r="K107" s="3">
        <f t="shared" si="9"/>
        <v>0</v>
      </c>
      <c r="L107" s="3">
        <f t="shared" si="9"/>
        <v>0</v>
      </c>
      <c r="M107" s="3">
        <f t="shared" si="9"/>
        <v>0</v>
      </c>
      <c r="P107" s="14"/>
      <c r="Q107" s="10" t="str">
        <f t="shared" si="6"/>
        <v/>
      </c>
      <c r="R107" s="57" t="str">
        <f t="shared" si="7"/>
        <v/>
      </c>
      <c r="S107" s="5">
        <f t="shared" si="10"/>
        <v>0</v>
      </c>
      <c r="T107" s="5">
        <f t="shared" si="10"/>
        <v>0</v>
      </c>
      <c r="U107" s="5">
        <f t="shared" si="10"/>
        <v>0</v>
      </c>
      <c r="V107" s="5">
        <f t="shared" si="10"/>
        <v>0</v>
      </c>
    </row>
    <row r="108" spans="1:22">
      <c r="A108" s="36" t="str">
        <f>IF(Tabela17[[#This Row],[Código]]="IBOV","^BVSP",IF(Tabela17[[#This Row],[Código]]="","",CONCATENATE(LEFT(Tabela17[[#This Row],[Código]],6),".SA")))</f>
        <v/>
      </c>
      <c r="H108" s="57"/>
      <c r="J108" s="3">
        <f t="shared" si="9"/>
        <v>0</v>
      </c>
      <c r="K108" s="3">
        <f t="shared" si="9"/>
        <v>0</v>
      </c>
      <c r="L108" s="3">
        <f t="shared" si="9"/>
        <v>0</v>
      </c>
      <c r="M108" s="3">
        <f t="shared" si="9"/>
        <v>0</v>
      </c>
      <c r="P108" s="14"/>
      <c r="Q108" s="10" t="str">
        <f t="shared" si="6"/>
        <v/>
      </c>
      <c r="R108" s="57" t="str">
        <f t="shared" si="7"/>
        <v/>
      </c>
      <c r="S108" s="5">
        <f t="shared" si="10"/>
        <v>0</v>
      </c>
      <c r="T108" s="5">
        <f t="shared" si="10"/>
        <v>0</v>
      </c>
      <c r="U108" s="5">
        <f t="shared" si="10"/>
        <v>0</v>
      </c>
      <c r="V108" s="5">
        <f t="shared" si="10"/>
        <v>0</v>
      </c>
    </row>
    <row r="109" spans="1:22">
      <c r="A109" s="36" t="str">
        <f>IF(Tabela17[[#This Row],[Código]]="IBOV","^BVSP",IF(Tabela17[[#This Row],[Código]]="","",CONCATENATE(LEFT(Tabela17[[#This Row],[Código]],6),".SA")))</f>
        <v/>
      </c>
      <c r="H109" s="57"/>
      <c r="J109" s="3">
        <f t="shared" si="9"/>
        <v>0</v>
      </c>
      <c r="K109" s="3">
        <f t="shared" si="9"/>
        <v>0</v>
      </c>
      <c r="L109" s="3">
        <f t="shared" si="9"/>
        <v>0</v>
      </c>
      <c r="M109" s="3">
        <f t="shared" si="9"/>
        <v>0</v>
      </c>
      <c r="P109" s="14"/>
      <c r="Q109" s="10" t="str">
        <f t="shared" si="6"/>
        <v/>
      </c>
      <c r="R109" s="57" t="str">
        <f t="shared" si="7"/>
        <v/>
      </c>
      <c r="S109" s="5">
        <f t="shared" si="10"/>
        <v>0</v>
      </c>
      <c r="T109" s="5">
        <f t="shared" si="10"/>
        <v>0</v>
      </c>
      <c r="U109" s="5">
        <f t="shared" si="10"/>
        <v>0</v>
      </c>
      <c r="V109" s="5">
        <f t="shared" si="10"/>
        <v>0</v>
      </c>
    </row>
    <row r="110" spans="1:22">
      <c r="A110" s="36" t="str">
        <f>IF(Tabela17[[#This Row],[Código]]="IBOV","^BVSP",IF(Tabela17[[#This Row],[Código]]="","",CONCATENATE(LEFT(Tabela17[[#This Row],[Código]],6),".SA")))</f>
        <v/>
      </c>
      <c r="H110" s="57"/>
      <c r="J110" s="3">
        <f t="shared" si="9"/>
        <v>0</v>
      </c>
      <c r="K110" s="3">
        <f t="shared" si="9"/>
        <v>0</v>
      </c>
      <c r="L110" s="3">
        <f t="shared" si="9"/>
        <v>0</v>
      </c>
      <c r="M110" s="3">
        <f t="shared" si="9"/>
        <v>0</v>
      </c>
      <c r="P110" s="15"/>
      <c r="Q110" s="10" t="str">
        <f t="shared" si="6"/>
        <v/>
      </c>
      <c r="R110" s="57" t="str">
        <f t="shared" si="7"/>
        <v/>
      </c>
      <c r="S110" s="5">
        <f t="shared" si="10"/>
        <v>0</v>
      </c>
      <c r="T110" s="5">
        <f t="shared" si="10"/>
        <v>0</v>
      </c>
      <c r="U110" s="5">
        <f t="shared" si="10"/>
        <v>0</v>
      </c>
      <c r="V110" s="5">
        <f t="shared" si="10"/>
        <v>0</v>
      </c>
    </row>
    <row r="111" spans="1:22">
      <c r="A111" s="36" t="str">
        <f>IF(Tabela17[[#This Row],[Código]]="IBOV","^BVSP",IF(Tabela17[[#This Row],[Código]]="","",CONCATENATE(LEFT(Tabela17[[#This Row],[Código]],6),".SA")))</f>
        <v/>
      </c>
      <c r="H111" s="57"/>
      <c r="J111" s="3">
        <f t="shared" si="9"/>
        <v>0</v>
      </c>
      <c r="K111" s="3">
        <f t="shared" si="9"/>
        <v>0</v>
      </c>
      <c r="L111" s="3">
        <f t="shared" si="9"/>
        <v>0</v>
      </c>
      <c r="M111" s="3">
        <f t="shared" si="9"/>
        <v>0</v>
      </c>
      <c r="P111" s="14"/>
      <c r="Q111" s="10" t="str">
        <f t="shared" si="6"/>
        <v/>
      </c>
      <c r="R111" s="57" t="str">
        <f t="shared" si="7"/>
        <v/>
      </c>
      <c r="S111" s="5">
        <f t="shared" si="10"/>
        <v>0</v>
      </c>
      <c r="T111" s="5">
        <f t="shared" si="10"/>
        <v>0</v>
      </c>
      <c r="U111" s="5">
        <f t="shared" si="10"/>
        <v>0</v>
      </c>
      <c r="V111" s="5">
        <f t="shared" si="10"/>
        <v>0</v>
      </c>
    </row>
    <row r="112" spans="1:22">
      <c r="A112" s="36" t="str">
        <f>IF(Tabela17[[#This Row],[Código]]="IBOV","^BVSP",IF(Tabela17[[#This Row],[Código]]="","",CONCATENATE(LEFT(Tabela17[[#This Row],[Código]],6),".SA")))</f>
        <v/>
      </c>
      <c r="H112" s="57"/>
      <c r="J112" s="3">
        <f t="shared" si="9"/>
        <v>0</v>
      </c>
      <c r="K112" s="3">
        <f t="shared" si="9"/>
        <v>0</v>
      </c>
      <c r="L112" s="3">
        <f t="shared" si="9"/>
        <v>0</v>
      </c>
      <c r="M112" s="3">
        <f t="shared" si="9"/>
        <v>0</v>
      </c>
      <c r="Q112" s="10" t="str">
        <f t="shared" si="6"/>
        <v/>
      </c>
      <c r="R112" s="57" t="str">
        <f t="shared" si="7"/>
        <v/>
      </c>
      <c r="S112" s="5">
        <f t="shared" si="10"/>
        <v>0</v>
      </c>
      <c r="T112" s="5">
        <f t="shared" si="10"/>
        <v>0</v>
      </c>
      <c r="U112" s="5">
        <f t="shared" si="10"/>
        <v>0</v>
      </c>
      <c r="V112" s="5">
        <f t="shared" si="10"/>
        <v>0</v>
      </c>
    </row>
    <row r="113" spans="1:22">
      <c r="A113" s="36"/>
      <c r="H113" s="57"/>
      <c r="J113" s="3">
        <f t="shared" si="9"/>
        <v>0</v>
      </c>
      <c r="K113" s="3">
        <f t="shared" si="9"/>
        <v>0</v>
      </c>
      <c r="L113" s="3">
        <f t="shared" si="9"/>
        <v>0</v>
      </c>
      <c r="M113" s="3">
        <f t="shared" si="9"/>
        <v>0</v>
      </c>
      <c r="Q113" s="10" t="str">
        <f t="shared" ref="Q113:Q131" si="11">IF(A117="","",C117)</f>
        <v/>
      </c>
      <c r="R113" s="57" t="str">
        <f t="shared" ref="R113:R131" si="12">IF(A117="","",H117)</f>
        <v/>
      </c>
      <c r="S113" s="5">
        <f t="shared" ref="S113:V131" si="13">J117</f>
        <v>0</v>
      </c>
      <c r="T113" s="5">
        <f t="shared" si="13"/>
        <v>0</v>
      </c>
      <c r="U113" s="5">
        <f t="shared" si="13"/>
        <v>0</v>
      </c>
      <c r="V113" s="5">
        <f t="shared" si="13"/>
        <v>0</v>
      </c>
    </row>
    <row r="114" spans="1:22">
      <c r="A114" s="36"/>
      <c r="J114" s="3">
        <f t="shared" si="9"/>
        <v>0</v>
      </c>
      <c r="K114" s="3">
        <f>IF($A114="",0,VALUE(CONCATENATE(LEFT(E114,LEN(E114)-3),",",RIGHT(E114,2))))</f>
        <v>0</v>
      </c>
      <c r="L114" s="3">
        <f t="shared" si="9"/>
        <v>0</v>
      </c>
      <c r="M114" s="3">
        <f t="shared" si="9"/>
        <v>0</v>
      </c>
      <c r="Q114" s="10" t="str">
        <f t="shared" si="11"/>
        <v/>
      </c>
      <c r="R114" s="57" t="str">
        <f t="shared" si="12"/>
        <v/>
      </c>
      <c r="S114" s="5">
        <f t="shared" si="13"/>
        <v>0</v>
      </c>
      <c r="T114" s="5">
        <f t="shared" si="13"/>
        <v>0</v>
      </c>
      <c r="U114" s="5">
        <f t="shared" si="13"/>
        <v>0</v>
      </c>
      <c r="V114" s="5">
        <f t="shared" si="13"/>
        <v>0</v>
      </c>
    </row>
    <row r="115" spans="1:22">
      <c r="A115" s="36"/>
      <c r="J115" s="3">
        <f t="shared" si="9"/>
        <v>0</v>
      </c>
      <c r="K115" s="3">
        <f t="shared" si="9"/>
        <v>0</v>
      </c>
      <c r="L115" s="3">
        <f t="shared" si="9"/>
        <v>0</v>
      </c>
      <c r="M115" s="3">
        <f t="shared" si="9"/>
        <v>0</v>
      </c>
      <c r="Q115" s="10" t="str">
        <f t="shared" si="11"/>
        <v/>
      </c>
      <c r="R115" s="57" t="str">
        <f t="shared" si="12"/>
        <v/>
      </c>
      <c r="S115" s="5">
        <f t="shared" si="13"/>
        <v>0</v>
      </c>
      <c r="T115" s="5">
        <f t="shared" si="13"/>
        <v>0</v>
      </c>
      <c r="U115" s="5">
        <f t="shared" si="13"/>
        <v>0</v>
      </c>
      <c r="V115" s="5">
        <f t="shared" si="13"/>
        <v>0</v>
      </c>
    </row>
    <row r="116" spans="1:22">
      <c r="A116" s="36"/>
      <c r="J116" s="3">
        <f t="shared" si="9"/>
        <v>0</v>
      </c>
      <c r="K116" s="3">
        <f t="shared" si="9"/>
        <v>0</v>
      </c>
      <c r="L116" s="3">
        <f t="shared" si="9"/>
        <v>0</v>
      </c>
      <c r="M116" s="3">
        <f t="shared" si="9"/>
        <v>0</v>
      </c>
      <c r="Q116" s="10" t="str">
        <f t="shared" si="11"/>
        <v/>
      </c>
      <c r="R116" s="57" t="str">
        <f t="shared" si="12"/>
        <v/>
      </c>
      <c r="S116" s="5">
        <f t="shared" si="13"/>
        <v>0</v>
      </c>
      <c r="T116" s="5">
        <f t="shared" si="13"/>
        <v>0</v>
      </c>
      <c r="U116" s="5">
        <f t="shared" si="13"/>
        <v>0</v>
      </c>
      <c r="V116" s="5">
        <f t="shared" si="13"/>
        <v>0</v>
      </c>
    </row>
    <row r="117" spans="1:22">
      <c r="A117" s="36"/>
      <c r="J117" s="3">
        <f t="shared" si="9"/>
        <v>0</v>
      </c>
      <c r="K117" s="3">
        <f t="shared" si="9"/>
        <v>0</v>
      </c>
      <c r="L117" s="3">
        <f t="shared" si="9"/>
        <v>0</v>
      </c>
      <c r="M117" s="3">
        <f t="shared" si="9"/>
        <v>0</v>
      </c>
      <c r="Q117" s="10" t="e">
        <f t="shared" si="11"/>
        <v>#VALUE!</v>
      </c>
      <c r="R117" s="57" t="e">
        <f t="shared" si="12"/>
        <v>#VALUE!</v>
      </c>
      <c r="S117" s="5" t="e">
        <f t="shared" si="13"/>
        <v>#VALUE!</v>
      </c>
      <c r="T117" s="5" t="e">
        <f t="shared" si="13"/>
        <v>#VALUE!</v>
      </c>
      <c r="U117" s="5" t="e">
        <f t="shared" si="13"/>
        <v>#VALUE!</v>
      </c>
      <c r="V117" s="5" t="e">
        <f t="shared" si="13"/>
        <v>#VALUE!</v>
      </c>
    </row>
    <row r="118" spans="1:22">
      <c r="A118" s="36"/>
      <c r="J118" s="3">
        <f t="shared" si="9"/>
        <v>0</v>
      </c>
      <c r="K118" s="3">
        <f t="shared" si="9"/>
        <v>0</v>
      </c>
      <c r="L118" s="3">
        <f t="shared" si="9"/>
        <v>0</v>
      </c>
      <c r="M118" s="3">
        <f t="shared" si="9"/>
        <v>0</v>
      </c>
      <c r="Q118" s="10" t="e">
        <f t="shared" si="11"/>
        <v>#VALUE!</v>
      </c>
      <c r="R118" s="57" t="e">
        <f t="shared" si="12"/>
        <v>#VALUE!</v>
      </c>
      <c r="S118" s="5" t="e">
        <f t="shared" si="13"/>
        <v>#VALUE!</v>
      </c>
      <c r="T118" s="5" t="e">
        <f t="shared" si="13"/>
        <v>#VALUE!</v>
      </c>
      <c r="U118" s="5" t="e">
        <f t="shared" si="13"/>
        <v>#VALUE!</v>
      </c>
      <c r="V118" s="5" t="e">
        <f t="shared" si="13"/>
        <v>#VALUE!</v>
      </c>
    </row>
    <row r="119" spans="1:22">
      <c r="A119" s="36"/>
      <c r="J119" s="3">
        <f t="shared" si="9"/>
        <v>0</v>
      </c>
      <c r="K119" s="3">
        <f t="shared" si="9"/>
        <v>0</v>
      </c>
      <c r="L119" s="3">
        <f t="shared" si="9"/>
        <v>0</v>
      </c>
      <c r="M119" s="3">
        <f t="shared" si="9"/>
        <v>0</v>
      </c>
      <c r="Q119" s="10" t="e">
        <f t="shared" si="11"/>
        <v>#VALUE!</v>
      </c>
      <c r="R119" s="57" t="e">
        <f t="shared" si="12"/>
        <v>#VALUE!</v>
      </c>
      <c r="S119" s="5" t="e">
        <f t="shared" si="13"/>
        <v>#VALUE!</v>
      </c>
      <c r="T119" s="5" t="e">
        <f t="shared" si="13"/>
        <v>#VALUE!</v>
      </c>
      <c r="U119" s="5" t="e">
        <f t="shared" si="13"/>
        <v>#VALUE!</v>
      </c>
      <c r="V119" s="5" t="e">
        <f t="shared" si="13"/>
        <v>#VALUE!</v>
      </c>
    </row>
    <row r="120" spans="1:22">
      <c r="A120" s="36"/>
      <c r="J120" s="3">
        <f t="shared" si="9"/>
        <v>0</v>
      </c>
      <c r="K120" s="3">
        <f t="shared" si="9"/>
        <v>0</v>
      </c>
      <c r="L120" s="3">
        <f t="shared" si="9"/>
        <v>0</v>
      </c>
      <c r="M120" s="3">
        <f t="shared" si="9"/>
        <v>0</v>
      </c>
      <c r="Q120" s="10" t="e">
        <f t="shared" si="11"/>
        <v>#VALUE!</v>
      </c>
      <c r="R120" s="57" t="e">
        <f t="shared" si="12"/>
        <v>#VALUE!</v>
      </c>
      <c r="S120" s="5" t="e">
        <f t="shared" si="13"/>
        <v>#VALUE!</v>
      </c>
      <c r="T120" s="5" t="e">
        <f t="shared" si="13"/>
        <v>#VALUE!</v>
      </c>
      <c r="U120" s="5" t="e">
        <f t="shared" si="13"/>
        <v>#VALUE!</v>
      </c>
      <c r="V120" s="5" t="e">
        <f t="shared" si="13"/>
        <v>#VALUE!</v>
      </c>
    </row>
    <row r="121" spans="1:22">
      <c r="A121" s="36" t="e">
        <f>IF(Tabela17[[#This Row],[Código]]="IBOV","^BVSP",IF(Tabela17[[#This Row],[Código]]="","",CONCATENATE(LEFT(Tabela17[[#This Row],[Código]],6),".SA")))</f>
        <v>#VALUE!</v>
      </c>
      <c r="J121" s="3" t="e">
        <f t="shared" si="9"/>
        <v>#VALUE!</v>
      </c>
      <c r="K121" s="3" t="e">
        <f t="shared" si="9"/>
        <v>#VALUE!</v>
      </c>
      <c r="L121" s="3" t="e">
        <f t="shared" si="9"/>
        <v>#VALUE!</v>
      </c>
      <c r="M121" s="3" t="e">
        <f t="shared" si="9"/>
        <v>#VALUE!</v>
      </c>
      <c r="Q121" s="10" t="e">
        <f t="shared" si="11"/>
        <v>#VALUE!</v>
      </c>
      <c r="R121" s="57" t="e">
        <f t="shared" si="12"/>
        <v>#VALUE!</v>
      </c>
      <c r="S121" s="5" t="e">
        <f t="shared" si="13"/>
        <v>#VALUE!</v>
      </c>
      <c r="T121" s="5" t="e">
        <f t="shared" si="13"/>
        <v>#VALUE!</v>
      </c>
      <c r="U121" s="5" t="e">
        <f t="shared" si="13"/>
        <v>#VALUE!</v>
      </c>
      <c r="V121" s="5" t="e">
        <f t="shared" si="13"/>
        <v>#VALUE!</v>
      </c>
    </row>
    <row r="122" spans="1:22">
      <c r="A122" s="36" t="e">
        <f>IF(Tabela17[[#This Row],[Código]]="IBOV","^BVSP",IF(Tabela17[[#This Row],[Código]]="","",CONCATENATE(LEFT(Tabela17[[#This Row],[Código]],6),".SA")))</f>
        <v>#VALUE!</v>
      </c>
      <c r="J122" s="3" t="e">
        <f t="shared" si="9"/>
        <v>#VALUE!</v>
      </c>
      <c r="K122" s="3" t="e">
        <f t="shared" si="9"/>
        <v>#VALUE!</v>
      </c>
      <c r="L122" s="3" t="e">
        <f t="shared" si="9"/>
        <v>#VALUE!</v>
      </c>
      <c r="M122" s="3" t="e">
        <f t="shared" si="9"/>
        <v>#VALUE!</v>
      </c>
      <c r="Q122" s="10" t="e">
        <f t="shared" si="11"/>
        <v>#VALUE!</v>
      </c>
      <c r="R122" s="57" t="e">
        <f t="shared" si="12"/>
        <v>#VALUE!</v>
      </c>
      <c r="S122" s="5" t="e">
        <f t="shared" si="13"/>
        <v>#VALUE!</v>
      </c>
      <c r="T122" s="5" t="e">
        <f t="shared" si="13"/>
        <v>#VALUE!</v>
      </c>
      <c r="U122" s="5" t="e">
        <f t="shared" si="13"/>
        <v>#VALUE!</v>
      </c>
      <c r="V122" s="5" t="e">
        <f t="shared" si="13"/>
        <v>#VALUE!</v>
      </c>
    </row>
    <row r="123" spans="1:22">
      <c r="A123" s="36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9"/>
        <v>#VALUE!</v>
      </c>
      <c r="L123" s="3" t="e">
        <f t="shared" si="9"/>
        <v>#VALUE!</v>
      </c>
      <c r="M123" s="3" t="e">
        <f t="shared" si="9"/>
        <v>#VALUE!</v>
      </c>
      <c r="Q123" s="10" t="e">
        <f t="shared" si="11"/>
        <v>#VALUE!</v>
      </c>
      <c r="R123" s="57" t="e">
        <f t="shared" si="12"/>
        <v>#VALUE!</v>
      </c>
      <c r="S123" s="5" t="e">
        <f t="shared" si="13"/>
        <v>#VALUE!</v>
      </c>
      <c r="T123" s="5" t="e">
        <f t="shared" si="13"/>
        <v>#VALUE!</v>
      </c>
      <c r="U123" s="5" t="e">
        <f t="shared" si="13"/>
        <v>#VALUE!</v>
      </c>
      <c r="V123" s="5" t="e">
        <f t="shared" si="13"/>
        <v>#VALUE!</v>
      </c>
    </row>
    <row r="124" spans="1:22">
      <c r="A124" s="36" t="e">
        <f>IF(Tabela17[[#This Row],[Código]]="IBOV","^BVSP",IF(Tabela17[[#This Row],[Código]]="","",CONCATENATE(LEFT(Tabela17[[#This Row],[Código]],6),".SA")))</f>
        <v>#VALUE!</v>
      </c>
      <c r="J124" s="3" t="e">
        <f t="shared" si="9"/>
        <v>#VALUE!</v>
      </c>
      <c r="K124" s="3" t="e">
        <f t="shared" si="9"/>
        <v>#VALUE!</v>
      </c>
      <c r="L124" s="3" t="e">
        <f t="shared" si="9"/>
        <v>#VALUE!</v>
      </c>
      <c r="M124" s="3" t="e">
        <f t="shared" si="9"/>
        <v>#VALUE!</v>
      </c>
      <c r="Q124" s="10" t="e">
        <f t="shared" si="11"/>
        <v>#VALUE!</v>
      </c>
      <c r="R124" s="57" t="e">
        <f t="shared" si="12"/>
        <v>#VALUE!</v>
      </c>
      <c r="S124" s="5" t="e">
        <f t="shared" si="13"/>
        <v>#VALUE!</v>
      </c>
      <c r="T124" s="5" t="e">
        <f t="shared" si="13"/>
        <v>#VALUE!</v>
      </c>
      <c r="U124" s="5" t="e">
        <f t="shared" si="13"/>
        <v>#VALUE!</v>
      </c>
      <c r="V124" s="5" t="e">
        <f t="shared" si="13"/>
        <v>#VALUE!</v>
      </c>
    </row>
    <row r="125" spans="1:22">
      <c r="A125" s="36" t="e">
        <f>IF(Tabela17[[#This Row],[Código]]="IBOV","^BVSP",IF(Tabela17[[#This Row],[Código]]="","",CONCATENATE(LEFT(Tabela17[[#This Row],[Código]],6),".SA")))</f>
        <v>#VALUE!</v>
      </c>
      <c r="J125" s="3" t="e">
        <f t="shared" si="9"/>
        <v>#VALUE!</v>
      </c>
      <c r="K125" s="3" t="e">
        <f t="shared" si="9"/>
        <v>#VALUE!</v>
      </c>
      <c r="L125" s="3" t="e">
        <f t="shared" si="9"/>
        <v>#VALUE!</v>
      </c>
      <c r="M125" s="3" t="e">
        <f t="shared" si="9"/>
        <v>#VALUE!</v>
      </c>
      <c r="Q125" s="10" t="e">
        <f t="shared" si="11"/>
        <v>#VALUE!</v>
      </c>
      <c r="R125" s="57" t="e">
        <f t="shared" si="12"/>
        <v>#VALUE!</v>
      </c>
      <c r="S125" s="5" t="e">
        <f t="shared" si="13"/>
        <v>#VALUE!</v>
      </c>
      <c r="T125" s="5" t="e">
        <f t="shared" si="13"/>
        <v>#VALUE!</v>
      </c>
      <c r="U125" s="5" t="e">
        <f t="shared" si="13"/>
        <v>#VALUE!</v>
      </c>
      <c r="V125" s="5" t="e">
        <f t="shared" si="13"/>
        <v>#VALUE!</v>
      </c>
    </row>
    <row r="126" spans="1:22">
      <c r="A126" s="36" t="e">
        <f>IF(Tabela17[[#This Row],[Código]]="IBOV","^BVSP",IF(Tabela17[[#This Row],[Código]]="","",CONCATENATE(LEFT(Tabela17[[#This Row],[Código]],6),".SA")))</f>
        <v>#VALUE!</v>
      </c>
      <c r="J126" s="3" t="e">
        <f t="shared" si="9"/>
        <v>#VALUE!</v>
      </c>
      <c r="K126" s="3" t="e">
        <f t="shared" si="9"/>
        <v>#VALUE!</v>
      </c>
      <c r="L126" s="3" t="e">
        <f t="shared" si="9"/>
        <v>#VALUE!</v>
      </c>
      <c r="M126" s="3" t="e">
        <f t="shared" si="9"/>
        <v>#VALUE!</v>
      </c>
      <c r="Q126" s="10" t="e">
        <f t="shared" si="11"/>
        <v>#VALUE!</v>
      </c>
      <c r="R126" s="57" t="e">
        <f t="shared" si="12"/>
        <v>#VALUE!</v>
      </c>
      <c r="S126" s="5" t="e">
        <f t="shared" si="13"/>
        <v>#VALUE!</v>
      </c>
      <c r="T126" s="5" t="e">
        <f t="shared" si="13"/>
        <v>#VALUE!</v>
      </c>
      <c r="U126" s="5" t="e">
        <f t="shared" si="13"/>
        <v>#VALUE!</v>
      </c>
      <c r="V126" s="5" t="e">
        <f t="shared" si="13"/>
        <v>#VALUE!</v>
      </c>
    </row>
    <row r="127" spans="1:22">
      <c r="A127" s="36" t="e">
        <f>IF(Tabela17[[#This Row],[Código]]="IBOV","^BVSP",IF(Tabela17[[#This Row],[Código]]="","",CONCATENATE(LEFT(Tabela17[[#This Row],[Código]],6),".SA")))</f>
        <v>#VALUE!</v>
      </c>
      <c r="J127" s="3" t="e">
        <f t="shared" si="9"/>
        <v>#VALUE!</v>
      </c>
      <c r="K127" s="3" t="e">
        <f t="shared" si="9"/>
        <v>#VALUE!</v>
      </c>
      <c r="L127" s="3" t="e">
        <f t="shared" si="9"/>
        <v>#VALUE!</v>
      </c>
      <c r="M127" s="3" t="e">
        <f t="shared" si="9"/>
        <v>#VALUE!</v>
      </c>
      <c r="Q127" s="10" t="e">
        <f t="shared" si="11"/>
        <v>#VALUE!</v>
      </c>
      <c r="R127" s="57" t="e">
        <f t="shared" si="12"/>
        <v>#VALUE!</v>
      </c>
      <c r="S127" s="5" t="e">
        <f t="shared" si="13"/>
        <v>#VALUE!</v>
      </c>
      <c r="T127" s="5" t="e">
        <f t="shared" si="13"/>
        <v>#VALUE!</v>
      </c>
      <c r="U127" s="5" t="e">
        <f t="shared" si="13"/>
        <v>#VALUE!</v>
      </c>
      <c r="V127" s="5" t="e">
        <f t="shared" si="13"/>
        <v>#VALUE!</v>
      </c>
    </row>
    <row r="128" spans="1:22">
      <c r="A128" s="36" t="e">
        <f>IF(Tabela17[[#This Row],[Código]]="IBOV","^BVSP",IF(Tabela17[[#This Row],[Código]]="","",CONCATENATE(LEFT(Tabela17[[#This Row],[Código]],6),".SA")))</f>
        <v>#VALUE!</v>
      </c>
      <c r="J128" s="3" t="e">
        <f t="shared" si="9"/>
        <v>#VALUE!</v>
      </c>
      <c r="K128" s="3" t="e">
        <f t="shared" si="9"/>
        <v>#VALUE!</v>
      </c>
      <c r="L128" s="3" t="e">
        <f t="shared" si="9"/>
        <v>#VALUE!</v>
      </c>
      <c r="M128" s="3" t="e">
        <f t="shared" si="9"/>
        <v>#VALUE!</v>
      </c>
      <c r="Q128" s="10" t="e">
        <f t="shared" si="11"/>
        <v>#VALUE!</v>
      </c>
      <c r="R128" s="57" t="e">
        <f t="shared" si="12"/>
        <v>#VALUE!</v>
      </c>
      <c r="S128" s="5" t="e">
        <f t="shared" si="13"/>
        <v>#VALUE!</v>
      </c>
      <c r="T128" s="5" t="e">
        <f t="shared" si="13"/>
        <v>#VALUE!</v>
      </c>
      <c r="U128" s="5" t="e">
        <f t="shared" si="13"/>
        <v>#VALUE!</v>
      </c>
      <c r="V128" s="5" t="e">
        <f t="shared" si="13"/>
        <v>#VALUE!</v>
      </c>
    </row>
    <row r="129" spans="1:22">
      <c r="A129" s="36" t="e">
        <f>IF(Tabela17[[#This Row],[Código]]="IBOV","^BVSP",IF(Tabela17[[#This Row],[Código]]="","",CONCATENATE(LEFT(Tabela17[[#This Row],[Código]],6),".SA")))</f>
        <v>#VALUE!</v>
      </c>
      <c r="J129" s="3" t="e">
        <f t="shared" si="9"/>
        <v>#VALUE!</v>
      </c>
      <c r="K129" s="3" t="e">
        <f t="shared" si="9"/>
        <v>#VALUE!</v>
      </c>
      <c r="L129" s="3" t="e">
        <f t="shared" si="9"/>
        <v>#VALUE!</v>
      </c>
      <c r="M129" s="3" t="e">
        <f t="shared" si="9"/>
        <v>#VALUE!</v>
      </c>
      <c r="P129" s="4"/>
      <c r="Q129" s="10" t="e">
        <f t="shared" si="11"/>
        <v>#VALUE!</v>
      </c>
      <c r="R129" s="57" t="e">
        <f t="shared" si="12"/>
        <v>#VALUE!</v>
      </c>
      <c r="S129" s="5" t="e">
        <f t="shared" si="13"/>
        <v>#VALUE!</v>
      </c>
      <c r="T129" s="5" t="e">
        <f t="shared" si="13"/>
        <v>#VALUE!</v>
      </c>
      <c r="U129" s="5" t="e">
        <f t="shared" si="13"/>
        <v>#VALUE!</v>
      </c>
      <c r="V129" s="5" t="e">
        <f t="shared" si="13"/>
        <v>#VALUE!</v>
      </c>
    </row>
    <row r="130" spans="1:22">
      <c r="A130" s="36" t="e">
        <f>IF(Tabela17[[#This Row],[Código]]="IBOV","^BVSP",IF(Tabela17[[#This Row],[Código]]="","",CONCATENATE(LEFT(Tabela17[[#This Row],[Código]],6),".SA")))</f>
        <v>#VALUE!</v>
      </c>
      <c r="J130" s="3" t="e">
        <f t="shared" si="9"/>
        <v>#VALUE!</v>
      </c>
      <c r="K130" s="3" t="e">
        <f t="shared" si="9"/>
        <v>#VALUE!</v>
      </c>
      <c r="L130" s="3" t="e">
        <f t="shared" si="9"/>
        <v>#VALUE!</v>
      </c>
      <c r="M130" s="3" t="e">
        <f t="shared" si="9"/>
        <v>#VALUE!</v>
      </c>
      <c r="P130" s="10"/>
      <c r="Q130" s="10" t="str">
        <f t="shared" si="11"/>
        <v/>
      </c>
      <c r="R130" s="57" t="str">
        <f t="shared" si="12"/>
        <v/>
      </c>
      <c r="S130" s="5">
        <f t="shared" si="13"/>
        <v>0</v>
      </c>
      <c r="T130" s="5">
        <f t="shared" si="13"/>
        <v>0</v>
      </c>
      <c r="U130" s="5">
        <f t="shared" si="13"/>
        <v>0</v>
      </c>
      <c r="V130" s="5">
        <f t="shared" si="13"/>
        <v>0</v>
      </c>
    </row>
    <row r="131" spans="1:22">
      <c r="A131" s="36" t="e">
        <f>IF(Tabela17[[#This Row],[Código]]="IBOV","^BVSP",IF(Tabela17[[#This Row],[Código]]="","",CONCATENATE(LEFT(Tabela17[[#This Row],[Código]],6),".SA")))</f>
        <v>#VALUE!</v>
      </c>
      <c r="J131" s="3" t="e">
        <f t="shared" si="9"/>
        <v>#VALUE!</v>
      </c>
      <c r="K131" s="3" t="e">
        <f t="shared" si="9"/>
        <v>#VALUE!</v>
      </c>
      <c r="L131" s="3" t="e">
        <f t="shared" si="9"/>
        <v>#VALUE!</v>
      </c>
      <c r="M131" s="3" t="e">
        <f t="shared" si="9"/>
        <v>#VALUE!</v>
      </c>
      <c r="Q131" s="10" t="str">
        <f t="shared" si="11"/>
        <v/>
      </c>
      <c r="R131" s="57" t="str">
        <f t="shared" si="12"/>
        <v/>
      </c>
      <c r="S131" s="5">
        <f t="shared" si="13"/>
        <v>0</v>
      </c>
      <c r="T131" s="5">
        <f t="shared" si="13"/>
        <v>0</v>
      </c>
      <c r="U131" s="5">
        <f t="shared" si="13"/>
        <v>0</v>
      </c>
      <c r="V131" s="5">
        <f t="shared" si="13"/>
        <v>0</v>
      </c>
    </row>
    <row r="132" spans="1:22">
      <c r="A132" s="36" t="e">
        <f>IF(Tabela17[[#This Row],[Código]]="IBOV","^BVSP",IF(Tabela17[[#This Row],[Código]]="","",CONCATENATE(LEFT(Tabela17[[#This Row],[Código]],6),".SA")))</f>
        <v>#VALUE!</v>
      </c>
      <c r="J132" s="3" t="e">
        <f t="shared" si="9"/>
        <v>#VALUE!</v>
      </c>
      <c r="K132" s="3" t="e">
        <f t="shared" si="9"/>
        <v>#VALUE!</v>
      </c>
      <c r="L132" s="3" t="e">
        <f t="shared" si="9"/>
        <v>#VALUE!</v>
      </c>
      <c r="M132" s="3" t="e">
        <f t="shared" si="9"/>
        <v>#VALUE!</v>
      </c>
      <c r="P132" s="3" t="str">
        <f>IF([1]Patrimonio!C143="","",[1]Patrimonio!C143)</f>
        <v/>
      </c>
      <c r="Q132" s="3" t="str">
        <f t="shared" ref="Q132:Q158" si="14">IF(A148="","",C149)</f>
        <v/>
      </c>
      <c r="R132" s="57" t="str">
        <f t="shared" ref="R132:R158" si="15">IF(A148="","",H148)</f>
        <v/>
      </c>
      <c r="S132" s="5">
        <f t="shared" ref="S132:V147" si="16">J148</f>
        <v>0</v>
      </c>
      <c r="T132" s="5">
        <f t="shared" si="16"/>
        <v>0</v>
      </c>
      <c r="U132" s="5">
        <f t="shared" si="16"/>
        <v>0</v>
      </c>
      <c r="V132" s="5">
        <f t="shared" si="16"/>
        <v>0</v>
      </c>
    </row>
    <row r="133" spans="1:22">
      <c r="A133" s="36" t="e">
        <f>IF(Tabela17[[#This Row],[Código]]="IBOV","^BVSP",IF(Tabela17[[#This Row],[Código]]="","",CONCATENATE(LEFT(Tabela17[[#This Row],[Código]],6),".SA")))</f>
        <v>#VALUE!</v>
      </c>
      <c r="J133" s="3" t="e">
        <f t="shared" si="9"/>
        <v>#VALUE!</v>
      </c>
      <c r="K133" s="3" t="e">
        <f t="shared" si="9"/>
        <v>#VALUE!</v>
      </c>
      <c r="L133" s="3" t="e">
        <f t="shared" si="9"/>
        <v>#VALUE!</v>
      </c>
      <c r="M133" s="3" t="e">
        <f t="shared" si="9"/>
        <v>#VALUE!</v>
      </c>
      <c r="P133" s="3" t="str">
        <f>IF([1]Patrimonio!C144="","",[1]Patrimonio!C144)</f>
        <v/>
      </c>
      <c r="Q133" s="3" t="str">
        <f t="shared" si="14"/>
        <v/>
      </c>
      <c r="R133" s="57" t="str">
        <f t="shared" si="15"/>
        <v/>
      </c>
      <c r="S133" s="5">
        <f t="shared" si="16"/>
        <v>0</v>
      </c>
      <c r="T133" s="5">
        <f t="shared" si="16"/>
        <v>0</v>
      </c>
      <c r="U133" s="5">
        <f t="shared" si="16"/>
        <v>0</v>
      </c>
      <c r="V133" s="5">
        <f t="shared" si="16"/>
        <v>0</v>
      </c>
    </row>
    <row r="134" spans="1:22">
      <c r="A134" s="36"/>
      <c r="J134" s="3">
        <f t="shared" si="9"/>
        <v>0</v>
      </c>
      <c r="K134" s="3">
        <f t="shared" si="9"/>
        <v>0</v>
      </c>
      <c r="L134" s="3">
        <f t="shared" si="9"/>
        <v>0</v>
      </c>
      <c r="M134" s="3">
        <f t="shared" si="9"/>
        <v>0</v>
      </c>
      <c r="P134" s="3" t="str">
        <f>IF([1]Patrimonio!C145="","",[1]Patrimonio!C145)</f>
        <v/>
      </c>
      <c r="Q134" s="3" t="str">
        <f t="shared" si="14"/>
        <v/>
      </c>
      <c r="R134" s="57" t="str">
        <f t="shared" si="15"/>
        <v/>
      </c>
      <c r="S134" s="5">
        <f t="shared" si="16"/>
        <v>0</v>
      </c>
      <c r="T134" s="5">
        <f t="shared" si="16"/>
        <v>0</v>
      </c>
      <c r="U134" s="5">
        <f t="shared" si="16"/>
        <v>0</v>
      </c>
      <c r="V134" s="5">
        <f t="shared" si="16"/>
        <v>0</v>
      </c>
    </row>
    <row r="135" spans="1:22">
      <c r="A135" s="36"/>
      <c r="J135" s="3">
        <f t="shared" si="9"/>
        <v>0</v>
      </c>
      <c r="K135" s="3">
        <f t="shared" si="9"/>
        <v>0</v>
      </c>
      <c r="L135" s="3">
        <f t="shared" si="9"/>
        <v>0</v>
      </c>
      <c r="M135" s="3">
        <f t="shared" si="9"/>
        <v>0</v>
      </c>
      <c r="P135" s="3" t="str">
        <f>IF([1]Patrimonio!C146="","",[1]Patrimonio!C146)</f>
        <v/>
      </c>
      <c r="Q135" s="3" t="str">
        <f t="shared" si="14"/>
        <v/>
      </c>
      <c r="R135" s="57" t="str">
        <f t="shared" si="15"/>
        <v/>
      </c>
      <c r="S135" s="5">
        <f t="shared" si="16"/>
        <v>0</v>
      </c>
      <c r="T135" s="5">
        <f t="shared" si="16"/>
        <v>0</v>
      </c>
      <c r="U135" s="5">
        <f t="shared" si="16"/>
        <v>0</v>
      </c>
      <c r="V135" s="5">
        <f t="shared" si="16"/>
        <v>0</v>
      </c>
    </row>
    <row r="136" spans="1:22">
      <c r="A136" s="36"/>
      <c r="J136" s="3">
        <f t="shared" ref="J136:M172" si="17">IF($A136="",0,VALUE(CONCATENATE(LEFT(D136,LEN(D136)-3),",",RIGHT(D136,2))))</f>
        <v>0</v>
      </c>
      <c r="K136" s="3">
        <f t="shared" si="17"/>
        <v>0</v>
      </c>
      <c r="L136" s="3">
        <f t="shared" si="17"/>
        <v>0</v>
      </c>
      <c r="M136" s="3">
        <f t="shared" si="17"/>
        <v>0</v>
      </c>
      <c r="P136" s="3" t="str">
        <f>IF([1]Patrimonio!C147="","",[1]Patrimonio!C147)</f>
        <v/>
      </c>
      <c r="Q136" s="3" t="str">
        <f t="shared" si="14"/>
        <v/>
      </c>
      <c r="R136" s="57" t="str">
        <f t="shared" si="15"/>
        <v/>
      </c>
      <c r="S136" s="5">
        <f t="shared" si="16"/>
        <v>0</v>
      </c>
      <c r="T136" s="5">
        <f t="shared" si="16"/>
        <v>0</v>
      </c>
      <c r="U136" s="5">
        <f t="shared" si="16"/>
        <v>0</v>
      </c>
      <c r="V136" s="5">
        <f t="shared" si="16"/>
        <v>0</v>
      </c>
    </row>
    <row r="137" spans="1:22">
      <c r="A137" s="36"/>
      <c r="J137" s="3">
        <f t="shared" si="17"/>
        <v>0</v>
      </c>
      <c r="K137" s="3">
        <f t="shared" si="17"/>
        <v>0</v>
      </c>
      <c r="L137" s="3">
        <f t="shared" si="17"/>
        <v>0</v>
      </c>
      <c r="M137" s="3">
        <f t="shared" si="17"/>
        <v>0</v>
      </c>
      <c r="P137" s="3" t="str">
        <f>IF([1]Patrimonio!C148="","",[1]Patrimonio!C148)</f>
        <v/>
      </c>
      <c r="Q137" s="3" t="str">
        <f t="shared" si="14"/>
        <v/>
      </c>
      <c r="R137" s="57" t="str">
        <f t="shared" si="15"/>
        <v/>
      </c>
      <c r="S137" s="5">
        <f t="shared" si="16"/>
        <v>0</v>
      </c>
      <c r="T137" s="5">
        <f t="shared" si="16"/>
        <v>0</v>
      </c>
      <c r="U137" s="5">
        <f t="shared" si="16"/>
        <v>0</v>
      </c>
      <c r="V137" s="5">
        <f t="shared" si="16"/>
        <v>0</v>
      </c>
    </row>
    <row r="138" spans="1:22">
      <c r="A138" s="36"/>
      <c r="J138" s="3">
        <f t="shared" si="17"/>
        <v>0</v>
      </c>
      <c r="K138" s="3">
        <f t="shared" si="17"/>
        <v>0</v>
      </c>
      <c r="L138" s="3">
        <f t="shared" si="17"/>
        <v>0</v>
      </c>
      <c r="M138" s="3">
        <f t="shared" si="17"/>
        <v>0</v>
      </c>
      <c r="P138" s="3" t="str">
        <f>IF([1]Patrimonio!C149="","",[1]Patrimonio!C149)</f>
        <v/>
      </c>
      <c r="Q138" s="3" t="str">
        <f t="shared" si="14"/>
        <v/>
      </c>
      <c r="R138" s="57" t="str">
        <f t="shared" si="15"/>
        <v/>
      </c>
      <c r="S138" s="5">
        <f t="shared" si="16"/>
        <v>0</v>
      </c>
      <c r="T138" s="5">
        <f t="shared" si="16"/>
        <v>0</v>
      </c>
      <c r="U138" s="5">
        <f t="shared" si="16"/>
        <v>0</v>
      </c>
      <c r="V138" s="5">
        <f t="shared" si="16"/>
        <v>0</v>
      </c>
    </row>
    <row r="139" spans="1:22">
      <c r="A139" s="36"/>
      <c r="J139" s="3">
        <f t="shared" si="17"/>
        <v>0</v>
      </c>
      <c r="K139" s="3">
        <f t="shared" si="17"/>
        <v>0</v>
      </c>
      <c r="L139" s="3">
        <f t="shared" si="17"/>
        <v>0</v>
      </c>
      <c r="M139" s="3">
        <f t="shared" si="17"/>
        <v>0</v>
      </c>
      <c r="P139" s="3" t="str">
        <f>IF([1]Patrimonio!C150="","",[1]Patrimonio!C150)</f>
        <v/>
      </c>
      <c r="Q139" s="3" t="str">
        <f t="shared" si="14"/>
        <v/>
      </c>
      <c r="R139" s="57" t="str">
        <f t="shared" si="15"/>
        <v/>
      </c>
      <c r="S139" s="5">
        <f t="shared" si="16"/>
        <v>0</v>
      </c>
      <c r="T139" s="5">
        <f t="shared" si="16"/>
        <v>0</v>
      </c>
      <c r="U139" s="5">
        <f t="shared" si="16"/>
        <v>0</v>
      </c>
      <c r="V139" s="5">
        <f t="shared" si="16"/>
        <v>0</v>
      </c>
    </row>
    <row r="140" spans="1:22">
      <c r="A140" s="36"/>
      <c r="J140" s="3">
        <f t="shared" si="17"/>
        <v>0</v>
      </c>
      <c r="K140" s="3">
        <f t="shared" si="17"/>
        <v>0</v>
      </c>
      <c r="L140" s="3">
        <f t="shared" si="17"/>
        <v>0</v>
      </c>
      <c r="M140" s="3">
        <f t="shared" si="17"/>
        <v>0</v>
      </c>
      <c r="P140" s="3" t="str">
        <f>IF([1]Patrimonio!C151="","",[1]Patrimonio!C151)</f>
        <v/>
      </c>
      <c r="Q140" s="3" t="str">
        <f t="shared" si="14"/>
        <v/>
      </c>
      <c r="R140" s="57" t="str">
        <f t="shared" si="15"/>
        <v/>
      </c>
      <c r="S140" s="5">
        <f t="shared" si="16"/>
        <v>0</v>
      </c>
      <c r="T140" s="5">
        <f t="shared" si="16"/>
        <v>0</v>
      </c>
      <c r="U140" s="5">
        <f t="shared" si="16"/>
        <v>0</v>
      </c>
      <c r="V140" s="5">
        <f t="shared" si="16"/>
        <v>0</v>
      </c>
    </row>
    <row r="141" spans="1:22">
      <c r="A141" s="36"/>
      <c r="J141" s="3">
        <f t="shared" si="17"/>
        <v>0</v>
      </c>
      <c r="K141" s="3">
        <f t="shared" si="17"/>
        <v>0</v>
      </c>
      <c r="L141" s="3">
        <f t="shared" si="17"/>
        <v>0</v>
      </c>
      <c r="M141" s="3">
        <f t="shared" si="17"/>
        <v>0</v>
      </c>
      <c r="P141" s="3" t="str">
        <f>IF([1]Patrimonio!C152="","",[1]Patrimonio!C152)</f>
        <v/>
      </c>
      <c r="Q141" s="3" t="str">
        <f t="shared" si="14"/>
        <v/>
      </c>
      <c r="R141" s="57" t="str">
        <f t="shared" si="15"/>
        <v/>
      </c>
      <c r="S141" s="5">
        <f t="shared" si="16"/>
        <v>0</v>
      </c>
      <c r="T141" s="5">
        <f t="shared" si="16"/>
        <v>0</v>
      </c>
      <c r="U141" s="5">
        <f t="shared" si="16"/>
        <v>0</v>
      </c>
      <c r="V141" s="5">
        <f t="shared" si="16"/>
        <v>0</v>
      </c>
    </row>
    <row r="142" spans="1:22">
      <c r="A142" s="36"/>
      <c r="J142" s="3">
        <f t="shared" si="17"/>
        <v>0</v>
      </c>
      <c r="K142" s="3">
        <f t="shared" si="17"/>
        <v>0</v>
      </c>
      <c r="L142" s="3">
        <f t="shared" si="17"/>
        <v>0</v>
      </c>
      <c r="M142" s="3">
        <f t="shared" si="17"/>
        <v>0</v>
      </c>
      <c r="P142" s="3" t="str">
        <f>IF([1]Patrimonio!C153="","",[1]Patrimonio!C153)</f>
        <v/>
      </c>
      <c r="Q142" s="3" t="str">
        <f t="shared" si="14"/>
        <v/>
      </c>
      <c r="R142" s="57" t="str">
        <f t="shared" si="15"/>
        <v/>
      </c>
      <c r="S142" s="5">
        <f t="shared" si="16"/>
        <v>0</v>
      </c>
      <c r="T142" s="5">
        <f t="shared" si="16"/>
        <v>0</v>
      </c>
      <c r="U142" s="5">
        <f t="shared" si="16"/>
        <v>0</v>
      </c>
      <c r="V142" s="5">
        <f t="shared" si="16"/>
        <v>0</v>
      </c>
    </row>
    <row r="143" spans="1:22">
      <c r="A143" s="36"/>
      <c r="J143" s="3">
        <f t="shared" si="17"/>
        <v>0</v>
      </c>
      <c r="K143" s="3">
        <f t="shared" si="17"/>
        <v>0</v>
      </c>
      <c r="L143" s="3">
        <f t="shared" si="17"/>
        <v>0</v>
      </c>
      <c r="M143" s="3">
        <f t="shared" si="17"/>
        <v>0</v>
      </c>
      <c r="P143" s="3" t="str">
        <f>IF([1]Patrimonio!C154="","",[1]Patrimonio!C154)</f>
        <v/>
      </c>
      <c r="Q143" s="3" t="str">
        <f t="shared" si="14"/>
        <v/>
      </c>
      <c r="R143" s="57" t="str">
        <f t="shared" si="15"/>
        <v/>
      </c>
      <c r="S143" s="5">
        <f t="shared" si="16"/>
        <v>0</v>
      </c>
      <c r="T143" s="5">
        <f t="shared" si="16"/>
        <v>0</v>
      </c>
      <c r="U143" s="5">
        <f t="shared" si="16"/>
        <v>0</v>
      </c>
      <c r="V143" s="5">
        <f t="shared" si="16"/>
        <v>0</v>
      </c>
    </row>
    <row r="144" spans="1:22">
      <c r="A144" s="36"/>
      <c r="J144" s="3">
        <f t="shared" si="17"/>
        <v>0</v>
      </c>
      <c r="K144" s="3">
        <f t="shared" si="17"/>
        <v>0</v>
      </c>
      <c r="L144" s="3">
        <f t="shared" si="17"/>
        <v>0</v>
      </c>
      <c r="M144" s="3">
        <f t="shared" si="17"/>
        <v>0</v>
      </c>
      <c r="P144" s="3" t="str">
        <f>IF([1]Patrimonio!C155="","",[1]Patrimonio!C155)</f>
        <v/>
      </c>
      <c r="Q144" s="3" t="str">
        <f t="shared" si="14"/>
        <v/>
      </c>
      <c r="R144" s="57" t="str">
        <f t="shared" si="15"/>
        <v/>
      </c>
      <c r="S144" s="5">
        <f t="shared" si="16"/>
        <v>0</v>
      </c>
      <c r="T144" s="5">
        <f t="shared" si="16"/>
        <v>0</v>
      </c>
      <c r="U144" s="5">
        <f t="shared" si="16"/>
        <v>0</v>
      </c>
      <c r="V144" s="5">
        <f t="shared" si="16"/>
        <v>0</v>
      </c>
    </row>
    <row r="145" spans="1:22">
      <c r="A145" s="36"/>
      <c r="J145" s="3">
        <f t="shared" si="17"/>
        <v>0</v>
      </c>
      <c r="K145" s="3">
        <f t="shared" si="17"/>
        <v>0</v>
      </c>
      <c r="L145" s="3">
        <f t="shared" si="17"/>
        <v>0</v>
      </c>
      <c r="M145" s="3">
        <f t="shared" si="17"/>
        <v>0</v>
      </c>
      <c r="P145" s="3" t="str">
        <f>IF([1]Patrimonio!C156="","",[1]Patrimonio!C156)</f>
        <v/>
      </c>
      <c r="Q145" s="3" t="str">
        <f t="shared" si="14"/>
        <v/>
      </c>
      <c r="R145" s="57" t="str">
        <f t="shared" si="15"/>
        <v/>
      </c>
      <c r="S145" s="5">
        <f t="shared" si="16"/>
        <v>0</v>
      </c>
      <c r="T145" s="5">
        <f t="shared" si="16"/>
        <v>0</v>
      </c>
      <c r="U145" s="5">
        <f t="shared" si="16"/>
        <v>0</v>
      </c>
      <c r="V145" s="5">
        <f t="shared" si="16"/>
        <v>0</v>
      </c>
    </row>
    <row r="146" spans="1:22">
      <c r="A146" s="36"/>
      <c r="J146" s="3">
        <f t="shared" si="17"/>
        <v>0</v>
      </c>
      <c r="K146" s="3">
        <f t="shared" si="17"/>
        <v>0</v>
      </c>
      <c r="L146" s="3">
        <f t="shared" si="17"/>
        <v>0</v>
      </c>
      <c r="M146" s="3">
        <f t="shared" si="17"/>
        <v>0</v>
      </c>
      <c r="P146" s="3" t="str">
        <f>IF([1]Patrimonio!C157="","",[1]Patrimonio!C157)</f>
        <v/>
      </c>
      <c r="Q146" s="3" t="str">
        <f t="shared" si="14"/>
        <v/>
      </c>
      <c r="R146" s="57" t="str">
        <f t="shared" si="15"/>
        <v/>
      </c>
      <c r="S146" s="5">
        <f t="shared" si="16"/>
        <v>0</v>
      </c>
      <c r="T146" s="5">
        <f t="shared" si="16"/>
        <v>0</v>
      </c>
      <c r="U146" s="5">
        <f t="shared" si="16"/>
        <v>0</v>
      </c>
      <c r="V146" s="5">
        <f t="shared" si="16"/>
        <v>0</v>
      </c>
    </row>
    <row r="147" spans="1:22">
      <c r="A147" s="36"/>
      <c r="J147" s="3">
        <f t="shared" si="17"/>
        <v>0</v>
      </c>
      <c r="K147" s="3">
        <f t="shared" si="17"/>
        <v>0</v>
      </c>
      <c r="L147" s="3">
        <f t="shared" si="17"/>
        <v>0</v>
      </c>
      <c r="M147" s="3">
        <f t="shared" si="17"/>
        <v>0</v>
      </c>
      <c r="P147" s="3" t="str">
        <f>IF([1]Patrimonio!C158="","",[1]Patrimonio!C158)</f>
        <v/>
      </c>
      <c r="Q147" s="3" t="str">
        <f t="shared" si="14"/>
        <v/>
      </c>
      <c r="R147" s="57" t="str">
        <f t="shared" si="15"/>
        <v/>
      </c>
      <c r="S147" s="5">
        <f t="shared" si="16"/>
        <v>0</v>
      </c>
      <c r="T147" s="5">
        <f t="shared" si="16"/>
        <v>0</v>
      </c>
      <c r="U147" s="5">
        <f t="shared" si="16"/>
        <v>0</v>
      </c>
      <c r="V147" s="5">
        <f t="shared" si="16"/>
        <v>0</v>
      </c>
    </row>
    <row r="148" spans="1:22">
      <c r="A148" s="36"/>
      <c r="J148" s="3">
        <f t="shared" si="17"/>
        <v>0</v>
      </c>
      <c r="K148" s="3">
        <f t="shared" si="17"/>
        <v>0</v>
      </c>
      <c r="L148" s="3">
        <f t="shared" si="17"/>
        <v>0</v>
      </c>
      <c r="M148" s="3">
        <f t="shared" si="17"/>
        <v>0</v>
      </c>
      <c r="P148" s="3" t="str">
        <f>IF([1]Patrimonio!C159="","",[1]Patrimonio!C159)</f>
        <v/>
      </c>
      <c r="Q148" s="3" t="str">
        <f t="shared" si="14"/>
        <v/>
      </c>
      <c r="R148" s="57" t="str">
        <f t="shared" si="15"/>
        <v/>
      </c>
      <c r="S148" s="5">
        <f t="shared" ref="S148:V158" si="18">J164</f>
        <v>0</v>
      </c>
      <c r="T148" s="5">
        <f t="shared" si="18"/>
        <v>0</v>
      </c>
      <c r="U148" s="5">
        <f t="shared" si="18"/>
        <v>0</v>
      </c>
      <c r="V148" s="5">
        <f t="shared" si="18"/>
        <v>0</v>
      </c>
    </row>
    <row r="149" spans="1:22">
      <c r="A149" s="36"/>
      <c r="J149" s="3">
        <f t="shared" si="17"/>
        <v>0</v>
      </c>
      <c r="K149" s="3">
        <f t="shared" si="17"/>
        <v>0</v>
      </c>
      <c r="L149" s="3">
        <f t="shared" si="17"/>
        <v>0</v>
      </c>
      <c r="M149" s="3">
        <f t="shared" si="17"/>
        <v>0</v>
      </c>
      <c r="P149" s="3" t="str">
        <f>IF([1]Patrimonio!C160="","",[1]Patrimonio!C160)</f>
        <v/>
      </c>
      <c r="Q149" s="3" t="str">
        <f t="shared" si="14"/>
        <v/>
      </c>
      <c r="R149" s="57" t="str">
        <f t="shared" si="15"/>
        <v/>
      </c>
      <c r="S149" s="5">
        <f t="shared" si="18"/>
        <v>0</v>
      </c>
      <c r="T149" s="5">
        <f t="shared" si="18"/>
        <v>0</v>
      </c>
      <c r="U149" s="5">
        <f t="shared" si="18"/>
        <v>0</v>
      </c>
      <c r="V149" s="5">
        <f t="shared" si="18"/>
        <v>0</v>
      </c>
    </row>
    <row r="150" spans="1:22">
      <c r="A150" s="36"/>
      <c r="J150" s="3">
        <f t="shared" si="17"/>
        <v>0</v>
      </c>
      <c r="K150" s="3">
        <f t="shared" si="17"/>
        <v>0</v>
      </c>
      <c r="L150" s="3">
        <f t="shared" si="17"/>
        <v>0</v>
      </c>
      <c r="M150" s="3">
        <f t="shared" si="17"/>
        <v>0</v>
      </c>
      <c r="P150" s="3" t="str">
        <f>IF([1]Patrimonio!C161="","",[1]Patrimonio!C161)</f>
        <v/>
      </c>
      <c r="Q150" s="3" t="str">
        <f t="shared" si="14"/>
        <v/>
      </c>
      <c r="R150" s="57" t="str">
        <f t="shared" si="15"/>
        <v/>
      </c>
      <c r="S150" s="5">
        <f t="shared" si="18"/>
        <v>0</v>
      </c>
      <c r="T150" s="5">
        <f t="shared" si="18"/>
        <v>0</v>
      </c>
      <c r="U150" s="5">
        <f t="shared" si="18"/>
        <v>0</v>
      </c>
      <c r="V150" s="5">
        <f t="shared" si="18"/>
        <v>0</v>
      </c>
    </row>
    <row r="151" spans="1:22">
      <c r="A151" s="36"/>
      <c r="J151" s="3">
        <f t="shared" si="17"/>
        <v>0</v>
      </c>
      <c r="K151" s="3">
        <f t="shared" si="17"/>
        <v>0</v>
      </c>
      <c r="L151" s="3">
        <f t="shared" si="17"/>
        <v>0</v>
      </c>
      <c r="M151" s="3">
        <f t="shared" si="17"/>
        <v>0</v>
      </c>
      <c r="P151" s="3" t="str">
        <f>IF([1]Patrimonio!C162="","",[1]Patrimonio!C162)</f>
        <v/>
      </c>
      <c r="Q151" s="3" t="str">
        <f t="shared" si="14"/>
        <v/>
      </c>
      <c r="R151" s="57" t="str">
        <f t="shared" si="15"/>
        <v/>
      </c>
      <c r="S151" s="5">
        <f t="shared" si="18"/>
        <v>0</v>
      </c>
      <c r="T151" s="5">
        <f t="shared" si="18"/>
        <v>0</v>
      </c>
      <c r="U151" s="5">
        <f t="shared" si="18"/>
        <v>0</v>
      </c>
      <c r="V151" s="5">
        <f t="shared" si="18"/>
        <v>0</v>
      </c>
    </row>
    <row r="152" spans="1:22">
      <c r="A152" s="36"/>
      <c r="J152" s="3">
        <f t="shared" si="17"/>
        <v>0</v>
      </c>
      <c r="K152" s="3">
        <f t="shared" si="17"/>
        <v>0</v>
      </c>
      <c r="L152" s="3">
        <f t="shared" si="17"/>
        <v>0</v>
      </c>
      <c r="M152" s="3">
        <f t="shared" si="17"/>
        <v>0</v>
      </c>
      <c r="P152" s="3" t="str">
        <f>IF([1]Patrimonio!C163="","",[1]Patrimonio!C163)</f>
        <v/>
      </c>
      <c r="Q152" s="3" t="str">
        <f t="shared" si="14"/>
        <v/>
      </c>
      <c r="R152" s="57" t="str">
        <f t="shared" si="15"/>
        <v/>
      </c>
      <c r="S152" s="5">
        <f t="shared" si="18"/>
        <v>0</v>
      </c>
      <c r="T152" s="5">
        <f t="shared" si="18"/>
        <v>0</v>
      </c>
      <c r="U152" s="5">
        <f t="shared" si="18"/>
        <v>0</v>
      </c>
      <c r="V152" s="5">
        <f t="shared" si="18"/>
        <v>0</v>
      </c>
    </row>
    <row r="153" spans="1:22">
      <c r="A153" s="36"/>
      <c r="J153" s="3">
        <f t="shared" si="17"/>
        <v>0</v>
      </c>
      <c r="K153" s="3">
        <f t="shared" si="17"/>
        <v>0</v>
      </c>
      <c r="L153" s="3">
        <f t="shared" si="17"/>
        <v>0</v>
      </c>
      <c r="M153" s="3">
        <f t="shared" si="17"/>
        <v>0</v>
      </c>
      <c r="P153" s="3" t="str">
        <f>IF([1]Patrimonio!C164="","",[1]Patrimonio!C164)</f>
        <v/>
      </c>
      <c r="Q153" s="3" t="str">
        <f t="shared" si="14"/>
        <v/>
      </c>
      <c r="R153" s="57" t="str">
        <f t="shared" si="15"/>
        <v/>
      </c>
      <c r="S153" s="5">
        <f t="shared" si="18"/>
        <v>0</v>
      </c>
      <c r="T153" s="5">
        <f t="shared" si="18"/>
        <v>0</v>
      </c>
      <c r="U153" s="5">
        <f t="shared" si="18"/>
        <v>0</v>
      </c>
      <c r="V153" s="5">
        <f t="shared" si="18"/>
        <v>0</v>
      </c>
    </row>
    <row r="154" spans="1:22">
      <c r="A154" s="36"/>
      <c r="J154" s="3">
        <f t="shared" si="17"/>
        <v>0</v>
      </c>
      <c r="K154" s="3">
        <f t="shared" si="17"/>
        <v>0</v>
      </c>
      <c r="L154" s="3">
        <f t="shared" si="17"/>
        <v>0</v>
      </c>
      <c r="M154" s="3">
        <f t="shared" si="17"/>
        <v>0</v>
      </c>
      <c r="P154" s="3" t="str">
        <f>IF([1]Patrimonio!C165="","",[1]Patrimonio!C165)</f>
        <v/>
      </c>
      <c r="Q154" s="3" t="str">
        <f t="shared" si="14"/>
        <v/>
      </c>
      <c r="R154" s="57" t="str">
        <f t="shared" si="15"/>
        <v/>
      </c>
      <c r="S154" s="5">
        <f t="shared" si="18"/>
        <v>0</v>
      </c>
      <c r="T154" s="5">
        <f t="shared" si="18"/>
        <v>0</v>
      </c>
      <c r="U154" s="5">
        <f t="shared" si="18"/>
        <v>0</v>
      </c>
      <c r="V154" s="5">
        <f t="shared" si="18"/>
        <v>0</v>
      </c>
    </row>
    <row r="155" spans="1:22">
      <c r="A155" s="36"/>
      <c r="J155" s="3">
        <f t="shared" si="17"/>
        <v>0</v>
      </c>
      <c r="K155" s="3">
        <f t="shared" si="17"/>
        <v>0</v>
      </c>
      <c r="L155" s="3">
        <f t="shared" si="17"/>
        <v>0</v>
      </c>
      <c r="M155" s="3">
        <f t="shared" si="17"/>
        <v>0</v>
      </c>
      <c r="P155" s="3" t="str">
        <f>IF([1]Patrimonio!C166="","",[1]Patrimonio!C166)</f>
        <v/>
      </c>
      <c r="Q155" s="3" t="str">
        <f t="shared" si="14"/>
        <v/>
      </c>
      <c r="R155" s="57" t="str">
        <f t="shared" si="15"/>
        <v/>
      </c>
      <c r="S155" s="5">
        <f t="shared" si="18"/>
        <v>0</v>
      </c>
      <c r="T155" s="5">
        <f t="shared" si="18"/>
        <v>0</v>
      </c>
      <c r="U155" s="5">
        <f t="shared" si="18"/>
        <v>0</v>
      </c>
      <c r="V155" s="5">
        <f t="shared" si="18"/>
        <v>0</v>
      </c>
    </row>
    <row r="156" spans="1:22">
      <c r="A156" s="36"/>
      <c r="J156" s="3">
        <f t="shared" si="17"/>
        <v>0</v>
      </c>
      <c r="K156" s="3">
        <f t="shared" si="17"/>
        <v>0</v>
      </c>
      <c r="L156" s="3">
        <f t="shared" si="17"/>
        <v>0</v>
      </c>
      <c r="M156" s="3">
        <f t="shared" si="17"/>
        <v>0</v>
      </c>
      <c r="P156" s="3" t="str">
        <f>IF([1]Patrimonio!C167="","",[1]Patrimonio!C167)</f>
        <v/>
      </c>
      <c r="Q156" s="3" t="str">
        <f t="shared" si="14"/>
        <v/>
      </c>
      <c r="R156" s="57" t="str">
        <f t="shared" si="15"/>
        <v/>
      </c>
      <c r="S156" s="5">
        <f t="shared" si="18"/>
        <v>0</v>
      </c>
      <c r="T156" s="5">
        <f t="shared" si="18"/>
        <v>0</v>
      </c>
      <c r="U156" s="5">
        <f t="shared" si="18"/>
        <v>0</v>
      </c>
      <c r="V156" s="5">
        <f t="shared" si="18"/>
        <v>0</v>
      </c>
    </row>
    <row r="157" spans="1:22">
      <c r="A157" s="36"/>
      <c r="J157" s="3">
        <f t="shared" si="17"/>
        <v>0</v>
      </c>
      <c r="K157" s="3">
        <f t="shared" si="17"/>
        <v>0</v>
      </c>
      <c r="L157" s="3">
        <f t="shared" si="17"/>
        <v>0</v>
      </c>
      <c r="M157" s="3">
        <f t="shared" si="17"/>
        <v>0</v>
      </c>
      <c r="P157" s="3" t="str">
        <f>IF([1]Patrimonio!C168="","",[1]Patrimonio!C168)</f>
        <v/>
      </c>
      <c r="Q157" s="3" t="str">
        <f t="shared" si="14"/>
        <v/>
      </c>
      <c r="R157" s="57" t="str">
        <f t="shared" si="15"/>
        <v/>
      </c>
      <c r="S157" s="5">
        <f t="shared" si="18"/>
        <v>0</v>
      </c>
      <c r="T157" s="5">
        <f t="shared" si="18"/>
        <v>0</v>
      </c>
      <c r="U157" s="5">
        <f t="shared" si="18"/>
        <v>0</v>
      </c>
      <c r="V157" s="5">
        <f t="shared" si="18"/>
        <v>0</v>
      </c>
    </row>
    <row r="158" spans="1:22">
      <c r="A158" s="36"/>
      <c r="J158" s="3">
        <f t="shared" si="17"/>
        <v>0</v>
      </c>
      <c r="K158" s="3">
        <f t="shared" si="17"/>
        <v>0</v>
      </c>
      <c r="L158" s="3">
        <f t="shared" si="17"/>
        <v>0</v>
      </c>
      <c r="M158" s="3">
        <f t="shared" si="17"/>
        <v>0</v>
      </c>
      <c r="P158" s="3" t="str">
        <f>IF([1]Patrimonio!C169="","",[1]Patrimonio!C169)</f>
        <v/>
      </c>
      <c r="Q158" s="3" t="str">
        <f t="shared" si="14"/>
        <v/>
      </c>
      <c r="R158" s="57" t="str">
        <f t="shared" si="15"/>
        <v/>
      </c>
      <c r="S158" s="5">
        <f t="shared" si="18"/>
        <v>0</v>
      </c>
      <c r="T158" s="5">
        <f t="shared" si="18"/>
        <v>0</v>
      </c>
      <c r="U158" s="5">
        <f t="shared" si="18"/>
        <v>0</v>
      </c>
      <c r="V158" s="5">
        <f t="shared" si="18"/>
        <v>0</v>
      </c>
    </row>
    <row r="159" spans="1:22">
      <c r="A159" s="36"/>
      <c r="J159" s="3">
        <f t="shared" si="17"/>
        <v>0</v>
      </c>
      <c r="K159" s="3">
        <f t="shared" si="17"/>
        <v>0</v>
      </c>
      <c r="L159" s="3">
        <f t="shared" si="17"/>
        <v>0</v>
      </c>
      <c r="M159" s="3">
        <f t="shared" si="17"/>
        <v>0</v>
      </c>
    </row>
    <row r="160" spans="1:22">
      <c r="A160" s="36"/>
      <c r="J160" s="3">
        <f t="shared" si="17"/>
        <v>0</v>
      </c>
      <c r="K160" s="3">
        <f t="shared" si="17"/>
        <v>0</v>
      </c>
      <c r="L160" s="3">
        <f t="shared" si="17"/>
        <v>0</v>
      </c>
      <c r="M160" s="3">
        <f t="shared" si="17"/>
        <v>0</v>
      </c>
    </row>
    <row r="161" spans="1:13">
      <c r="A161" s="36"/>
      <c r="J161" s="3">
        <f t="shared" si="17"/>
        <v>0</v>
      </c>
      <c r="K161" s="3">
        <f t="shared" si="17"/>
        <v>0</v>
      </c>
      <c r="L161" s="3">
        <f t="shared" si="17"/>
        <v>0</v>
      </c>
      <c r="M161" s="3">
        <f t="shared" si="17"/>
        <v>0</v>
      </c>
    </row>
    <row r="162" spans="1:13">
      <c r="A162" s="36"/>
      <c r="J162" s="3">
        <f t="shared" si="17"/>
        <v>0</v>
      </c>
      <c r="K162" s="3">
        <f t="shared" si="17"/>
        <v>0</v>
      </c>
      <c r="L162" s="3">
        <f t="shared" si="17"/>
        <v>0</v>
      </c>
      <c r="M162" s="3">
        <f t="shared" si="17"/>
        <v>0</v>
      </c>
    </row>
    <row r="163" spans="1:13">
      <c r="A163" s="36"/>
      <c r="J163" s="3">
        <f t="shared" si="17"/>
        <v>0</v>
      </c>
      <c r="K163" s="3">
        <f t="shared" si="17"/>
        <v>0</v>
      </c>
      <c r="L163" s="3">
        <f t="shared" si="17"/>
        <v>0</v>
      </c>
      <c r="M163" s="3">
        <f t="shared" si="17"/>
        <v>0</v>
      </c>
    </row>
    <row r="164" spans="1:13">
      <c r="A164" s="36"/>
      <c r="J164" s="3">
        <f t="shared" si="17"/>
        <v>0</v>
      </c>
      <c r="K164" s="3">
        <f t="shared" si="17"/>
        <v>0</v>
      </c>
      <c r="L164" s="3">
        <f t="shared" si="17"/>
        <v>0</v>
      </c>
      <c r="M164" s="3">
        <f t="shared" si="17"/>
        <v>0</v>
      </c>
    </row>
    <row r="165" spans="1:13">
      <c r="A165" s="36"/>
      <c r="J165" s="3">
        <f t="shared" si="17"/>
        <v>0</v>
      </c>
      <c r="K165" s="3">
        <f t="shared" si="17"/>
        <v>0</v>
      </c>
      <c r="L165" s="3">
        <f t="shared" si="17"/>
        <v>0</v>
      </c>
      <c r="M165" s="3">
        <f t="shared" si="17"/>
        <v>0</v>
      </c>
    </row>
    <row r="166" spans="1:13">
      <c r="A166" s="36"/>
      <c r="J166" s="3">
        <f t="shared" si="17"/>
        <v>0</v>
      </c>
      <c r="K166" s="3">
        <f t="shared" si="17"/>
        <v>0</v>
      </c>
      <c r="L166" s="3">
        <f t="shared" si="17"/>
        <v>0</v>
      </c>
      <c r="M166" s="3">
        <f t="shared" si="17"/>
        <v>0</v>
      </c>
    </row>
    <row r="167" spans="1:13">
      <c r="A167" s="36"/>
      <c r="J167" s="3">
        <f t="shared" si="17"/>
        <v>0</v>
      </c>
      <c r="K167" s="3">
        <f t="shared" si="17"/>
        <v>0</v>
      </c>
      <c r="L167" s="3">
        <f t="shared" si="17"/>
        <v>0</v>
      </c>
      <c r="M167" s="3">
        <f t="shared" si="17"/>
        <v>0</v>
      </c>
    </row>
    <row r="168" spans="1:13">
      <c r="A168" s="36"/>
      <c r="J168" s="3">
        <f t="shared" si="17"/>
        <v>0</v>
      </c>
      <c r="K168" s="3">
        <f t="shared" si="17"/>
        <v>0</v>
      </c>
      <c r="L168" s="3">
        <f t="shared" si="17"/>
        <v>0</v>
      </c>
      <c r="M168" s="3">
        <f t="shared" si="17"/>
        <v>0</v>
      </c>
    </row>
    <row r="169" spans="1:13">
      <c r="A169" s="36"/>
      <c r="J169" s="3">
        <f t="shared" si="17"/>
        <v>0</v>
      </c>
      <c r="K169" s="3">
        <f t="shared" si="17"/>
        <v>0</v>
      </c>
      <c r="L169" s="3">
        <f t="shared" si="17"/>
        <v>0</v>
      </c>
      <c r="M169" s="3">
        <f t="shared" si="17"/>
        <v>0</v>
      </c>
    </row>
    <row r="170" spans="1:13">
      <c r="A170" s="36"/>
      <c r="J170" s="3">
        <f t="shared" si="17"/>
        <v>0</v>
      </c>
      <c r="K170" s="3">
        <f t="shared" si="17"/>
        <v>0</v>
      </c>
      <c r="L170" s="3">
        <f t="shared" si="17"/>
        <v>0</v>
      </c>
      <c r="M170" s="3">
        <f t="shared" si="17"/>
        <v>0</v>
      </c>
    </row>
    <row r="171" spans="1:13">
      <c r="A171" s="36"/>
      <c r="J171" s="3">
        <f t="shared" si="17"/>
        <v>0</v>
      </c>
      <c r="K171" s="3">
        <f t="shared" si="17"/>
        <v>0</v>
      </c>
      <c r="L171" s="3">
        <f t="shared" si="17"/>
        <v>0</v>
      </c>
      <c r="M171" s="3">
        <f t="shared" si="17"/>
        <v>0</v>
      </c>
    </row>
    <row r="172" spans="1:13">
      <c r="A172" s="36"/>
      <c r="J172" s="3">
        <f t="shared" si="17"/>
        <v>0</v>
      </c>
      <c r="K172" s="3">
        <f t="shared" si="17"/>
        <v>0</v>
      </c>
      <c r="L172" s="3">
        <f t="shared" si="17"/>
        <v>0</v>
      </c>
      <c r="M172" s="3">
        <f t="shared" si="17"/>
        <v>0</v>
      </c>
    </row>
    <row r="173" spans="1:13">
      <c r="A173" s="36"/>
    </row>
    <row r="174" spans="1:13">
      <c r="A174" s="36"/>
    </row>
    <row r="175" spans="1:13">
      <c r="A175" s="36"/>
    </row>
    <row r="176" spans="1:13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6"/>
  <dimension ref="A1:M582"/>
  <sheetViews>
    <sheetView tabSelected="1" workbookViewId="0">
      <selection activeCell="L13" sqref="L13"/>
    </sheetView>
  </sheetViews>
  <sheetFormatPr defaultRowHeight="11.25"/>
  <cols>
    <col min="1" max="1" width="6.7109375" style="3" bestFit="1" customWidth="1"/>
    <col min="2" max="2" width="9.140625" style="3"/>
    <col min="3" max="3" width="16.85546875" style="5" bestFit="1" customWidth="1"/>
    <col min="4" max="4" width="12.5703125" style="3" bestFit="1" customWidth="1"/>
    <col min="5" max="6" width="15.7109375" style="3" bestFit="1" customWidth="1"/>
    <col min="7" max="7" width="7.85546875" style="5" bestFit="1" customWidth="1"/>
    <col min="8" max="8" width="9.140625" style="18"/>
    <col min="9" max="9" width="9.140625" style="3" customWidth="1"/>
    <col min="10" max="11" width="9.5703125" style="3" hidden="1" customWidth="1"/>
    <col min="12" max="12" width="12.85546875" style="3" bestFit="1" customWidth="1"/>
    <col min="13" max="13" width="11.5703125" style="18" bestFit="1" customWidth="1"/>
    <col min="14" max="14" width="14.85546875" style="3" bestFit="1" customWidth="1"/>
    <col min="15" max="16384" width="9.140625" style="3"/>
  </cols>
  <sheetData>
    <row r="1" spans="1:13">
      <c r="A1" s="3" t="s">
        <v>0</v>
      </c>
      <c r="B1" s="3" t="s">
        <v>88</v>
      </c>
      <c r="C1" s="5" t="s">
        <v>53</v>
      </c>
      <c r="D1" s="62" t="s">
        <v>4</v>
      </c>
      <c r="E1" s="63" t="s">
        <v>90</v>
      </c>
      <c r="F1" s="63" t="s">
        <v>91</v>
      </c>
      <c r="G1" s="18" t="s">
        <v>76</v>
      </c>
      <c r="H1" s="5" t="s">
        <v>6</v>
      </c>
      <c r="I1" s="18" t="s">
        <v>93</v>
      </c>
      <c r="J1" s="18" t="s">
        <v>279</v>
      </c>
      <c r="K1" s="18" t="s">
        <v>280</v>
      </c>
      <c r="M1" s="3"/>
    </row>
    <row r="2" spans="1:13">
      <c r="A2" s="4" t="s">
        <v>22</v>
      </c>
      <c r="B2" s="4">
        <v>2012</v>
      </c>
      <c r="C2" s="6">
        <v>226618835.09</v>
      </c>
      <c r="D2" s="8">
        <f>SUMPRODUCT(N(Tabela3[PAPEL]=Tabela2[[#This Row],[Ativo]]),Tabela3[Total Ações])</f>
        <v>147232649</v>
      </c>
      <c r="E2" s="66">
        <f>(Tabela2[[#This Row],[Lucro Líquido]])/Tabela2[[#This Row],[Total Ações]]</f>
        <v>1.5391887372073296</v>
      </c>
      <c r="F2" s="66">
        <v>0.62</v>
      </c>
      <c r="G2" s="46">
        <f>IF(AND(Tabela2[[#This Row],[Dividendo / Ação]]&gt;0,Tabela2[[#This Row],[Lucro por ação]]&gt;0),Tabela2[[#This Row],[Dividendo / Ação]]/Tabela2[[#This Row],[Lucro por ação]],"")</f>
        <v>0.40280960028652135</v>
      </c>
      <c r="H2" s="6">
        <f>MAX(Tabela2[[#This Row],[Cotação 1]],Tabela2[[#This Row],[Cotação 2]])</f>
        <v>12.19</v>
      </c>
      <c r="I2" s="19">
        <f>IF(Tabela2[[#This Row],[Dividendo / Ação]]&gt;0,Tabela2[[#This Row],[Dividendo / Ação]]/Tabela2[[#This Row],[Cotação]],"")</f>
        <v>5.0861361771944218E-2</v>
      </c>
      <c r="J2" s="6">
        <f>SUMPRODUCT(N(Tabela1[Código]=Tabela2[[#This Row],[Ativo]]),Tabela1[Fechamento])</f>
        <v>12.19</v>
      </c>
      <c r="K2" s="6">
        <f>SUMPRODUCT(N(Tabela17[Código]=Tabela2[[#This Row],[Ativo]]),Tabela17[Fechamento])</f>
        <v>0</v>
      </c>
      <c r="M2" s="3"/>
    </row>
    <row r="3" spans="1:13">
      <c r="A3" s="4" t="s">
        <v>22</v>
      </c>
      <c r="B3" s="4">
        <v>2011</v>
      </c>
      <c r="C3" s="6">
        <v>259319392</v>
      </c>
      <c r="D3" s="8">
        <f>SUMPRODUCT(N(Tabela3[PAPEL]=Tabela2[[#This Row],[Ativo]]),Tabela3[Total Ações])</f>
        <v>147232649</v>
      </c>
      <c r="E3" s="66">
        <f>(Tabela2[[#This Row],[Lucro Líquido]])/Tabela2[[#This Row],[Total Ações]]</f>
        <v>1.7612899975738399</v>
      </c>
      <c r="F3" s="66">
        <v>0.6</v>
      </c>
      <c r="G3" s="46">
        <f>IF(AND(Tabela2[[#This Row],[Dividendo / Ação]]&gt;0,Tabela2[[#This Row],[Lucro por ação]]&gt;0),Tabela2[[#This Row],[Dividendo / Ação]]/Tabela2[[#This Row],[Lucro por ação]],"")</f>
        <v>0.34065940352042778</v>
      </c>
      <c r="H3" s="6">
        <f>MAX(Tabela2[[#This Row],[Cotação 1]],Tabela2[[#This Row],[Cotação 2]])</f>
        <v>12.19</v>
      </c>
      <c r="I3" s="19">
        <f>IF(Tabela2[[#This Row],[Dividendo / Ação]]&gt;0,Tabela2[[#This Row],[Dividendo / Ação]]/Tabela2[[#This Row],[Cotação]],"")</f>
        <v>4.922067268252666E-2</v>
      </c>
      <c r="J3" s="61">
        <f>SUMPRODUCT(N(Tabela1[Código]=Tabela2[[#This Row],[Ativo]]),Tabela1[Fechamento])</f>
        <v>12.19</v>
      </c>
      <c r="K3" s="61">
        <f>SUMPRODUCT(N(Tabela17[Código]=Tabela2[[#This Row],[Ativo]]),Tabela17[Fechamento])</f>
        <v>0</v>
      </c>
      <c r="M3" s="3"/>
    </row>
    <row r="4" spans="1:13">
      <c r="A4" s="4" t="s">
        <v>22</v>
      </c>
      <c r="B4" s="4">
        <v>2010</v>
      </c>
      <c r="C4" s="6">
        <v>221437904</v>
      </c>
      <c r="D4" s="8">
        <f>SUMPRODUCT(N(Tabela3[PAPEL]=Tabela2[[#This Row],[Ativo]]),Tabela3[Total Ações])</f>
        <v>147232649</v>
      </c>
      <c r="E4" s="66">
        <f>(Tabela2[[#This Row],[Lucro Líquido]])/Tabela2[[#This Row],[Total Ações]]</f>
        <v>1.5039999993479707</v>
      </c>
      <c r="F4" s="66">
        <v>0.54</v>
      </c>
      <c r="G4" s="46">
        <f>IF(AND(Tabela2[[#This Row],[Dividendo / Ação]]&gt;0,Tabela2[[#This Row],[Lucro por ação]]&gt;0),Tabela2[[#This Row],[Dividendo / Ação]]/Tabela2[[#This Row],[Lucro por ação]],"")</f>
        <v>0.35904255334714513</v>
      </c>
      <c r="H4" s="6">
        <f>MAX(Tabela2[[#This Row],[Cotação 1]],Tabela2[[#This Row],[Cotação 2]])</f>
        <v>12.19</v>
      </c>
      <c r="I4" s="19">
        <f>IF(Tabela2[[#This Row],[Dividendo / Ação]]&gt;0,Tabela2[[#This Row],[Dividendo / Ação]]/Tabela2[[#This Row],[Cotação]],"")</f>
        <v>4.4298605414274002E-2</v>
      </c>
      <c r="J4" s="61">
        <f>SUMPRODUCT(N(Tabela1[Código]=Tabela2[[#This Row],[Ativo]]),Tabela1[Fechamento])</f>
        <v>12.19</v>
      </c>
      <c r="K4" s="61">
        <f>SUMPRODUCT(N(Tabela17[Código]=Tabela2[[#This Row],[Ativo]]),Tabela17[Fechamento])</f>
        <v>0</v>
      </c>
      <c r="M4" s="3"/>
    </row>
    <row r="5" spans="1:13">
      <c r="A5" s="4" t="s">
        <v>22</v>
      </c>
      <c r="B5" s="4">
        <v>2009</v>
      </c>
      <c r="C5" s="6">
        <v>165523361</v>
      </c>
      <c r="D5" s="8">
        <f>SUMPRODUCT(N(Tabela3[PAPEL]=Tabela2[[#This Row],[Ativo]]),Tabela3[Total Ações])</f>
        <v>147232649</v>
      </c>
      <c r="E5" s="66">
        <f>(Tabela2[[#This Row],[Lucro Líquido]])/Tabela2[[#This Row],[Total Ações]]</f>
        <v>1.1242300001000458</v>
      </c>
      <c r="F5" s="66">
        <v>0.51</v>
      </c>
      <c r="G5" s="46">
        <f>IF(AND(Tabela2[[#This Row],[Dividendo / Ação]]&gt;0,Tabela2[[#This Row],[Lucro por ação]]&gt;0),Tabela2[[#This Row],[Dividendo / Ação]]/Tabela2[[#This Row],[Lucro por ação]],"")</f>
        <v>0.45364382729033637</v>
      </c>
      <c r="H5" s="6">
        <f>MAX(Tabela2[[#This Row],[Cotação 1]],Tabela2[[#This Row],[Cotação 2]])</f>
        <v>12.19</v>
      </c>
      <c r="I5" s="19">
        <f>IF(Tabela2[[#This Row],[Dividendo / Ação]]&gt;0,Tabela2[[#This Row],[Dividendo / Ação]]/Tabela2[[#This Row],[Cotação]],"")</f>
        <v>4.1837571780147666E-2</v>
      </c>
      <c r="J5" s="61">
        <f>SUMPRODUCT(N(Tabela1[Código]=Tabela2[[#This Row],[Ativo]]),Tabela1[Fechamento])</f>
        <v>12.19</v>
      </c>
      <c r="K5" s="61">
        <f>SUMPRODUCT(N(Tabela17[Código]=Tabela2[[#This Row],[Ativo]]),Tabela17[Fechamento])</f>
        <v>0</v>
      </c>
      <c r="M5" s="3"/>
    </row>
    <row r="6" spans="1:13">
      <c r="A6" s="4" t="s">
        <v>70</v>
      </c>
      <c r="B6" s="4">
        <v>2012</v>
      </c>
      <c r="C6" s="6">
        <v>-30675397.18</v>
      </c>
      <c r="D6" s="8">
        <f>SUMPRODUCT(N(Tabela3[PAPEL]=Tabela2[[#This Row],[Ativo]]),Tabela3[Total Ações])</f>
        <v>95061053</v>
      </c>
      <c r="E6" s="66">
        <f>(Tabela2[[#This Row],[Lucro Líquido]])/Tabela2[[#This Row],[Total Ações]]</f>
        <v>-0.32269153572283699</v>
      </c>
      <c r="F6" s="66">
        <v>0</v>
      </c>
      <c r="G6" s="46" t="str">
        <f>IF(AND(Tabela2[[#This Row],[Dividendo / Ação]]&gt;0,Tabela2[[#This Row],[Lucro por ação]]&gt;0),Tabela2[[#This Row],[Dividendo / Ação]]/Tabela2[[#This Row],[Lucro por ação]],"")</f>
        <v/>
      </c>
      <c r="H6" s="6">
        <f>MAX(Tabela2[[#This Row],[Cotação 1]],Tabela2[[#This Row],[Cotação 2]])</f>
        <v>8.3000000000000007</v>
      </c>
      <c r="I6" s="19" t="str">
        <f>IF(Tabela2[[#This Row],[Dividendo / Ação]]&gt;0,Tabela2[[#This Row],[Dividendo / Ação]]/Tabela2[[#This Row],[Cotação]],"")</f>
        <v/>
      </c>
      <c r="J6" s="61">
        <f>SUMPRODUCT(N(Tabela1[Código]=Tabela2[[#This Row],[Ativo]]),Tabela1[Fechamento])</f>
        <v>8.3000000000000007</v>
      </c>
      <c r="K6" s="61">
        <f>SUMPRODUCT(N(Tabela17[Código]=Tabela2[[#This Row],[Ativo]]),Tabela17[Fechamento])</f>
        <v>0</v>
      </c>
      <c r="M6" s="3"/>
    </row>
    <row r="7" spans="1:13">
      <c r="A7" s="4" t="s">
        <v>70</v>
      </c>
      <c r="B7" s="4">
        <v>2011</v>
      </c>
      <c r="C7" s="6">
        <v>436885000</v>
      </c>
      <c r="D7" s="8">
        <f>SUMPRODUCT(N(Tabela3[PAPEL]=Tabela2[[#This Row],[Ativo]]),Tabela3[Total Ações])</f>
        <v>95061053</v>
      </c>
      <c r="E7" s="64">
        <f>(Tabela2[[#This Row],[Lucro Líquido]])/Tabela2[[#This Row],[Total Ações]]</f>
        <v>4.5958358992720187</v>
      </c>
      <c r="F7" s="64">
        <v>3.2228539679999999</v>
      </c>
      <c r="G7" s="19">
        <f>IF(AND(Tabela2[[#This Row],[Dividendo / Ação]]&gt;0,Tabela2[[#This Row],[Lucro por ação]]&gt;0),Tabela2[[#This Row],[Dividendo / Ação]]/Tabela2[[#This Row],[Lucro por ação]],"")</f>
        <v>0.70125523161314363</v>
      </c>
      <c r="H7" s="6">
        <f>MAX(Tabela2[[#This Row],[Cotação 1]],Tabela2[[#This Row],[Cotação 2]])</f>
        <v>8.3000000000000007</v>
      </c>
      <c r="I7" s="18">
        <f>IF(Tabela2[[#This Row],[Dividendo / Ação]]&gt;0,Tabela2[[#This Row],[Dividendo / Ação]]/Tabela2[[#This Row],[Cotação]],"")</f>
        <v>0.38829565879518069</v>
      </c>
      <c r="J7" s="60">
        <f>SUMPRODUCT(N(Tabela1[Código]=Tabela2[[#This Row],[Ativo]]),Tabela1[Fechamento])</f>
        <v>8.3000000000000007</v>
      </c>
      <c r="K7" s="60">
        <f>SUMPRODUCT(N(Tabela17[Código]=Tabela2[[#This Row],[Ativo]]),Tabela17[Fechamento])</f>
        <v>0</v>
      </c>
      <c r="M7" s="3"/>
    </row>
    <row r="8" spans="1:13">
      <c r="A8" s="4" t="s">
        <v>70</v>
      </c>
      <c r="B8" s="4">
        <v>2010</v>
      </c>
      <c r="C8" s="5">
        <v>376137000</v>
      </c>
      <c r="D8" s="62">
        <f>SUMPRODUCT(N(Tabela3[PAPEL]=Tabela2[[#This Row],[Ativo]]),Tabela3[Total Ações])</f>
        <v>95061053</v>
      </c>
      <c r="E8" s="63">
        <f>(Tabela2[[#This Row],[Lucro Líquido]])/Tabela2[[#This Row],[Total Ações]]</f>
        <v>3.9567939564061003</v>
      </c>
      <c r="F8" s="63">
        <v>3.5129712419999999</v>
      </c>
      <c r="G8" s="18">
        <f>IF(AND(Tabela2[[#This Row],[Dividendo / Ação]]&gt;0,Tabela2[[#This Row],[Lucro por ação]]&gt;0),Tabela2[[#This Row],[Dividendo / Ação]]/Tabela2[[#This Row],[Lucro por ação]],"")</f>
        <v>0.8878327455773769</v>
      </c>
      <c r="H8" s="5">
        <f>MAX(Tabela2[[#This Row],[Cotação 1]],Tabela2[[#This Row],[Cotação 2]])</f>
        <v>8.3000000000000007</v>
      </c>
      <c r="I8" s="18">
        <f>IF(Tabela2[[#This Row],[Dividendo / Ação]]&gt;0,Tabela2[[#This Row],[Dividendo / Ação]]/Tabela2[[#This Row],[Cotação]],"")</f>
        <v>0.42324954722891561</v>
      </c>
      <c r="J8" s="60">
        <f>SUMPRODUCT(N(Tabela1[Código]=Tabela2[[#This Row],[Ativo]]),Tabela1[Fechamento])</f>
        <v>8.3000000000000007</v>
      </c>
      <c r="K8" s="60">
        <f>SUMPRODUCT(N(Tabela17[Código]=Tabela2[[#This Row],[Ativo]]),Tabela17[Fechamento])</f>
        <v>0</v>
      </c>
      <c r="M8" s="3"/>
    </row>
    <row r="9" spans="1:13">
      <c r="A9" s="4" t="s">
        <v>70</v>
      </c>
      <c r="B9" s="4">
        <v>2009</v>
      </c>
      <c r="C9" s="5">
        <v>335010000</v>
      </c>
      <c r="D9" s="62">
        <f>SUMPRODUCT(N(Tabela3[PAPEL]=Tabela2[[#This Row],[Ativo]]),Tabela3[Total Ações])</f>
        <v>95061053</v>
      </c>
      <c r="E9" s="63">
        <f>(Tabela2[[#This Row],[Lucro Líquido]])/Tabela2[[#This Row],[Total Ações]]</f>
        <v>3.5241562072744976</v>
      </c>
      <c r="F9" s="63">
        <v>3.1989132250000001</v>
      </c>
      <c r="G9" s="18">
        <f>IF(AND(Tabela2[[#This Row],[Dividendo / Ação]]&gt;0,Tabela2[[#This Row],[Lucro por ação]]&gt;0),Tabela2[[#This Row],[Dividendo / Ação]]/Tabela2[[#This Row],[Lucro por ação]],"")</f>
        <v>0.90771039558259736</v>
      </c>
      <c r="H9" s="5">
        <f>MAX(Tabela2[[#This Row],[Cotação 1]],Tabela2[[#This Row],[Cotação 2]])</f>
        <v>8.3000000000000007</v>
      </c>
      <c r="I9" s="18">
        <f>IF(Tabela2[[#This Row],[Dividendo / Ação]]&gt;0,Tabela2[[#This Row],[Dividendo / Ação]]/Tabela2[[#This Row],[Cotação]],"")</f>
        <v>0.38541123192771082</v>
      </c>
      <c r="J9" s="60">
        <f>SUMPRODUCT(N(Tabela1[Código]=Tabela2[[#This Row],[Ativo]]),Tabela1[Fechamento])</f>
        <v>8.3000000000000007</v>
      </c>
      <c r="K9" s="60">
        <f>SUMPRODUCT(N(Tabela17[Código]=Tabela2[[#This Row],[Ativo]]),Tabela17[Fechamento])</f>
        <v>0</v>
      </c>
      <c r="M9" s="3"/>
    </row>
    <row r="10" spans="1:13">
      <c r="A10" s="4" t="s">
        <v>412</v>
      </c>
      <c r="B10" s="4">
        <v>2012</v>
      </c>
      <c r="C10" s="6">
        <v>127417790.75</v>
      </c>
      <c r="D10" s="78">
        <f>SUMPRODUCT(N(Tabela3[PAPEL]=Tabela2[[#This Row],[Ativo]]),Tabela3[Total Ações])</f>
        <v>159025920</v>
      </c>
      <c r="E10" s="66">
        <f>(Tabela2[[#This Row],[Lucro Líquido]])/Tabela2[[#This Row],[Total Ações]]</f>
        <v>0.80123913604775876</v>
      </c>
      <c r="F10" s="66">
        <v>0.346085953</v>
      </c>
      <c r="G10" s="45">
        <f>IF(AND(Tabela2[[#This Row],[Dividendo / Ação]]&gt;0,Tabela2[[#This Row],[Lucro por ação]]&gt;0),Tabela2[[#This Row],[Dividendo / Ação]]/Tabela2[[#This Row],[Lucro por ação]],"")</f>
        <v>0.43193840319274063</v>
      </c>
      <c r="H10" s="61">
        <f>MAX(Tabela2[[#This Row],[Cotação 1]],Tabela2[[#This Row],[Cotação 2]])</f>
        <v>18</v>
      </c>
      <c r="I10" s="46">
        <f>IF(Tabela2[[#This Row],[Dividendo / Ação]]&gt;0,Tabela2[[#This Row],[Dividendo / Ação]]/Tabela2[[#This Row],[Cotação]],"")</f>
        <v>1.9226997388888889E-2</v>
      </c>
      <c r="J10" s="17">
        <f>SUMPRODUCT(N(Tabela1[Código]=Tabela2[[#This Row],[Ativo]]),Tabela1[Fechamento])</f>
        <v>0</v>
      </c>
      <c r="K10" s="17">
        <f>SUMPRODUCT(N(Tabela17[Código]=Tabela2[[#This Row],[Ativo]]),Tabela17[Fechamento])</f>
        <v>18</v>
      </c>
      <c r="M10" s="3"/>
    </row>
    <row r="11" spans="1:13">
      <c r="A11" s="4" t="s">
        <v>412</v>
      </c>
      <c r="B11" s="4">
        <v>2011</v>
      </c>
      <c r="C11" s="6">
        <v>101417617.86</v>
      </c>
      <c r="D11" s="78">
        <f>SUMPRODUCT(N(Tabela3[PAPEL]=Tabela2[[#This Row],[Ativo]]),Tabela3[Total Ações])</f>
        <v>159025920</v>
      </c>
      <c r="E11" s="66">
        <f>(Tabela2[[#This Row],[Lucro Líquido]])/Tabela2[[#This Row],[Total Ações]]</f>
        <v>0.63774268911634024</v>
      </c>
      <c r="F11" s="66">
        <v>0.18179478700000001</v>
      </c>
      <c r="G11" s="45">
        <f>IF(AND(Tabela2[[#This Row],[Dividendo / Ação]]&gt;0,Tabela2[[#This Row],[Lucro por ação]]&gt;0),Tabela2[[#This Row],[Dividendo / Ação]]/Tabela2[[#This Row],[Lucro por ação]],"")</f>
        <v>0.28505977426710427</v>
      </c>
      <c r="H11" s="61">
        <f>MAX(Tabela2[[#This Row],[Cotação 1]],Tabela2[[#This Row],[Cotação 2]])</f>
        <v>18</v>
      </c>
      <c r="I11" s="46">
        <f>IF(Tabela2[[#This Row],[Dividendo / Ação]]&gt;0,Tabela2[[#This Row],[Dividendo / Ação]]/Tabela2[[#This Row],[Cotação]],"")</f>
        <v>1.0099710388888889E-2</v>
      </c>
      <c r="J11" s="17">
        <f>SUMPRODUCT(N(Tabela1[Código]=Tabela2[[#This Row],[Ativo]]),Tabela1[Fechamento])</f>
        <v>0</v>
      </c>
      <c r="K11" s="17">
        <f>SUMPRODUCT(N(Tabela17[Código]=Tabela2[[#This Row],[Ativo]]),Tabela17[Fechamento])</f>
        <v>18</v>
      </c>
      <c r="M11" s="3"/>
    </row>
    <row r="12" spans="1:13">
      <c r="A12" s="4" t="s">
        <v>412</v>
      </c>
      <c r="B12" s="4">
        <v>2010</v>
      </c>
      <c r="C12" s="6">
        <v>54564689.799999997</v>
      </c>
      <c r="D12" s="78">
        <f>SUMPRODUCT(N(Tabela3[PAPEL]=Tabela2[[#This Row],[Ativo]]),Tabela3[Total Ações])</f>
        <v>159025920</v>
      </c>
      <c r="E12" s="66">
        <f>(Tabela2[[#This Row],[Lucro Líquido]])/Tabela2[[#This Row],[Total Ações]]</f>
        <v>0.34311821494257033</v>
      </c>
      <c r="F12" s="66">
        <v>9.2918793E-2</v>
      </c>
      <c r="G12" s="45">
        <f>IF(AND(Tabela2[[#This Row],[Dividendo / Ação]]&gt;0,Tabela2[[#This Row],[Lucro por ação]]&gt;0),Tabela2[[#This Row],[Dividendo / Ação]]/Tabela2[[#This Row],[Lucro por ação]],"")</f>
        <v>0.27080693753187179</v>
      </c>
      <c r="H12" s="61">
        <f>MAX(Tabela2[[#This Row],[Cotação 1]],Tabela2[[#This Row],[Cotação 2]])</f>
        <v>18</v>
      </c>
      <c r="I12" s="46">
        <f>IF(Tabela2[[#This Row],[Dividendo / Ação]]&gt;0,Tabela2[[#This Row],[Dividendo / Ação]]/Tabela2[[#This Row],[Cotação]],"")</f>
        <v>5.1621551666666664E-3</v>
      </c>
      <c r="J12" s="17">
        <f>SUMPRODUCT(N(Tabela1[Código]=Tabela2[[#This Row],[Ativo]]),Tabela1[Fechamento])</f>
        <v>0</v>
      </c>
      <c r="K12" s="17">
        <f>SUMPRODUCT(N(Tabela17[Código]=Tabela2[[#This Row],[Ativo]]),Tabela17[Fechamento])</f>
        <v>18</v>
      </c>
      <c r="M12" s="3"/>
    </row>
    <row r="13" spans="1:13">
      <c r="A13" s="4" t="s">
        <v>412</v>
      </c>
      <c r="B13" s="4">
        <v>2009</v>
      </c>
      <c r="C13" s="6">
        <v>47715454.25</v>
      </c>
      <c r="D13" s="78">
        <f>SUMPRODUCT(N(Tabela3[PAPEL]=Tabela2[[#This Row],[Ativo]]),Tabela3[Total Ações])</f>
        <v>159025920</v>
      </c>
      <c r="E13" s="66">
        <f>(Tabela2[[#This Row],[Lucro Líquido]])/Tabela2[[#This Row],[Total Ações]]</f>
        <v>0.30004828300946162</v>
      </c>
      <c r="F13" s="66">
        <v>8.036008E-2</v>
      </c>
      <c r="G13" s="45">
        <f>IF(AND(Tabela2[[#This Row],[Dividendo / Ação]]&gt;0,Tabela2[[#This Row],[Lucro por ação]]&gt;0),Tabela2[[#This Row],[Dividendo / Ação]]/Tabela2[[#This Row],[Lucro por ação]],"")</f>
        <v>0.26782382886512285</v>
      </c>
      <c r="H13" s="61">
        <f>MAX(Tabela2[[#This Row],[Cotação 1]],Tabela2[[#This Row],[Cotação 2]])</f>
        <v>18</v>
      </c>
      <c r="I13" s="46">
        <f>IF(Tabela2[[#This Row],[Dividendo / Ação]]&gt;0,Tabela2[[#This Row],[Dividendo / Ação]]/Tabela2[[#This Row],[Cotação]],"")</f>
        <v>4.4644488888888889E-3</v>
      </c>
      <c r="J13" s="17">
        <f>SUMPRODUCT(N(Tabela1[Código]=Tabela2[[#This Row],[Ativo]]),Tabela1[Fechamento])</f>
        <v>0</v>
      </c>
      <c r="K13" s="17">
        <f>SUMPRODUCT(N(Tabela17[Código]=Tabela2[[#This Row],[Ativo]]),Tabela17[Fechamento])</f>
        <v>18</v>
      </c>
      <c r="M13" s="3"/>
    </row>
    <row r="14" spans="1:13">
      <c r="A14" s="3" t="s">
        <v>351</v>
      </c>
      <c r="B14" s="3">
        <v>2012</v>
      </c>
      <c r="C14" s="5">
        <v>-2048000</v>
      </c>
      <c r="D14" s="62">
        <f>SUMPRODUCT(N(Tabela3[PAPEL]=Tabela2[[#This Row],[Ativo]]),Tabela3[Total Ações])</f>
        <v>5996334</v>
      </c>
      <c r="E14" s="65">
        <f>(Tabela2[[#This Row],[Lucro Líquido]])/Tabela2[[#This Row],[Total Ações]]</f>
        <v>-0.34154201550480678</v>
      </c>
      <c r="F14" s="65">
        <v>1</v>
      </c>
      <c r="G14" s="22" t="str">
        <f>IF(AND(Tabela2[[#This Row],[Dividendo / Ação]]&gt;0,Tabela2[[#This Row],[Lucro por ação]]&gt;0),Tabela2[[#This Row],[Dividendo / Ação]]/Tabela2[[#This Row],[Lucro por ação]],"")</f>
        <v/>
      </c>
      <c r="H14" s="51">
        <f>MAX(Tabela2[[#This Row],[Cotação 1]],Tabela2[[#This Row],[Cotação 2]])</f>
        <v>4.8099999999999996</v>
      </c>
      <c r="I14" s="18">
        <f>IF(Tabela2[[#This Row],[Dividendo / Ação]]&gt;0,Tabela2[[#This Row],[Dividendo / Ação]]/Tabela2[[#This Row],[Cotação]],"")</f>
        <v>0.20790020790020791</v>
      </c>
      <c r="J14" s="7">
        <f>SUMPRODUCT(N(Tabela1[Código]=Tabela2[[#This Row],[Ativo]]),Tabela1[Fechamento])</f>
        <v>0</v>
      </c>
      <c r="K14" s="7">
        <f>SUMPRODUCT(N(Tabela17[Código]=Tabela2[[#This Row],[Ativo]]),Tabela17[Fechamento])</f>
        <v>4.8099999999999996</v>
      </c>
      <c r="M14" s="3"/>
    </row>
    <row r="15" spans="1:13">
      <c r="A15" s="3" t="s">
        <v>351</v>
      </c>
      <c r="B15" s="3">
        <v>2011</v>
      </c>
      <c r="C15" s="5">
        <v>-2767000</v>
      </c>
      <c r="D15" s="62">
        <f>SUMPRODUCT(N(Tabela3[PAPEL]=Tabela2[[#This Row],[Ativo]]),Tabela3[Total Ações])</f>
        <v>5996334</v>
      </c>
      <c r="E15" s="65">
        <f>(Tabela2[[#This Row],[Lucro Líquido]])/Tabela2[[#This Row],[Total Ações]]</f>
        <v>-0.4614486117684572</v>
      </c>
      <c r="F15" s="65">
        <v>1</v>
      </c>
      <c r="G15" s="22" t="str">
        <f>IF(AND(Tabela2[[#This Row],[Dividendo / Ação]]&gt;0,Tabela2[[#This Row],[Lucro por ação]]&gt;0),Tabela2[[#This Row],[Dividendo / Ação]]/Tabela2[[#This Row],[Lucro por ação]],"")</f>
        <v/>
      </c>
      <c r="H15" s="51">
        <f>MAX(Tabela2[[#This Row],[Cotação 1]],Tabela2[[#This Row],[Cotação 2]])</f>
        <v>4.8099999999999996</v>
      </c>
      <c r="I15" s="18">
        <f>IF(Tabela2[[#This Row],[Dividendo / Ação]]&gt;0,Tabela2[[#This Row],[Dividendo / Ação]]/Tabela2[[#This Row],[Cotação]],"")</f>
        <v>0.20790020790020791</v>
      </c>
      <c r="J15" s="7">
        <f>SUMPRODUCT(N(Tabela1[Código]=Tabela2[[#This Row],[Ativo]]),Tabela1[Fechamento])</f>
        <v>0</v>
      </c>
      <c r="K15" s="7">
        <f>SUMPRODUCT(N(Tabela17[Código]=Tabela2[[#This Row],[Ativo]]),Tabela17[Fechamento])</f>
        <v>4.8099999999999996</v>
      </c>
      <c r="M15" s="3"/>
    </row>
    <row r="16" spans="1:13">
      <c r="A16" s="3" t="s">
        <v>351</v>
      </c>
      <c r="B16" s="3">
        <v>2010</v>
      </c>
      <c r="C16" s="5">
        <v>47518888.590000004</v>
      </c>
      <c r="D16" s="62">
        <f>SUMPRODUCT(N(Tabela3[PAPEL]=Tabela2[[#This Row],[Ativo]]),Tabela3[Total Ações])</f>
        <v>5996334</v>
      </c>
      <c r="E16" s="65">
        <f>(Tabela2[[#This Row],[Lucro Líquido]])/Tabela2[[#This Row],[Total Ações]]</f>
        <v>7.9246567302621909</v>
      </c>
      <c r="F16" s="65">
        <v>1.5139</v>
      </c>
      <c r="G16" s="22">
        <f>IF(AND(Tabela2[[#This Row],[Dividendo / Ação]]&gt;0,Tabela2[[#This Row],[Lucro por ação]]&gt;0),Tabela2[[#This Row],[Dividendo / Ação]]/Tabela2[[#This Row],[Lucro por ação]],"")</f>
        <v>0.19103666588090965</v>
      </c>
      <c r="H16" s="51">
        <f>MAX(Tabela2[[#This Row],[Cotação 1]],Tabela2[[#This Row],[Cotação 2]])</f>
        <v>4.8099999999999996</v>
      </c>
      <c r="I16" s="18">
        <f>IF(Tabela2[[#This Row],[Dividendo / Ação]]&gt;0,Tabela2[[#This Row],[Dividendo / Ação]]/Tabela2[[#This Row],[Cotação]],"")</f>
        <v>0.31474012474012475</v>
      </c>
      <c r="J16" s="7">
        <f>SUMPRODUCT(N(Tabela1[Código]=Tabela2[[#This Row],[Ativo]]),Tabela1[Fechamento])</f>
        <v>0</v>
      </c>
      <c r="K16" s="7">
        <f>SUMPRODUCT(N(Tabela17[Código]=Tabela2[[#This Row],[Ativo]]),Tabela17[Fechamento])</f>
        <v>4.8099999999999996</v>
      </c>
      <c r="M16" s="3"/>
    </row>
    <row r="17" spans="1:13">
      <c r="A17" s="4" t="s">
        <v>64</v>
      </c>
      <c r="B17" s="4">
        <v>2012</v>
      </c>
      <c r="C17" s="6">
        <v>165948458.28999999</v>
      </c>
      <c r="D17" s="8">
        <f>SUMPRODUCT(N(Tabela3[PAPEL]=Tabela2[[#This Row],[Ativo]]),Tabela3[Total Ações])</f>
        <v>2964596762</v>
      </c>
      <c r="E17" s="66">
        <f>(Tabela2[[#This Row],[Lucro Líquido]])/Tabela2[[#This Row],[Total Ações]]</f>
        <v>5.5976738697524085E-2</v>
      </c>
      <c r="F17" s="66">
        <v>2.6766000000000002E-2</v>
      </c>
      <c r="G17" s="46">
        <f>IF(AND(Tabela2[[#This Row],[Dividendo / Ação]]&gt;0,Tabela2[[#This Row],[Lucro por ação]]&gt;0),Tabela2[[#This Row],[Dividendo / Ação]]/Tabela2[[#This Row],[Lucro por ação]],"")</f>
        <v>0.47816290521376681</v>
      </c>
      <c r="H17" s="6">
        <f>MAX(Tabela2[[#This Row],[Cotação 1]],Tabela2[[#This Row],[Cotação 2]])</f>
        <v>0.33</v>
      </c>
      <c r="I17" s="19">
        <f>IF(Tabela2[[#This Row],[Dividendo / Ação]]&gt;0,Tabela2[[#This Row],[Dividendo / Ação]]/Tabela2[[#This Row],[Cotação]],"")</f>
        <v>8.1109090909090908E-2</v>
      </c>
      <c r="J17" s="61">
        <f>SUMPRODUCT(N(Tabela1[Código]=Tabela2[[#This Row],[Ativo]]),Tabela1[Fechamento])</f>
        <v>0.33</v>
      </c>
      <c r="K17" s="61">
        <f>SUMPRODUCT(N(Tabela17[Código]=Tabela2[[#This Row],[Ativo]]),Tabela17[Fechamento])</f>
        <v>0</v>
      </c>
      <c r="M17" s="3"/>
    </row>
    <row r="18" spans="1:13">
      <c r="A18" s="4" t="s">
        <v>64</v>
      </c>
      <c r="B18" s="4">
        <v>2011</v>
      </c>
      <c r="C18" s="6">
        <v>78567508.840000004</v>
      </c>
      <c r="D18" s="8">
        <f>SUMPRODUCT(N(Tabela3[PAPEL]=Tabela2[[#This Row],[Ativo]]),Tabela3[Total Ações])</f>
        <v>2964596762</v>
      </c>
      <c r="E18" s="66">
        <f>(Tabela2[[#This Row],[Lucro Líquido]])/Tabela2[[#This Row],[Total Ações]]</f>
        <v>2.6501920884173184E-2</v>
      </c>
      <c r="F18" s="66">
        <v>2.648E-2</v>
      </c>
      <c r="G18" s="46">
        <f>IF(AND(Tabela2[[#This Row],[Dividendo / Ação]]&gt;0,Tabela2[[#This Row],[Lucro por ação]]&gt;0),Tabela2[[#This Row],[Dividendo / Ação]]/Tabela2[[#This Row],[Lucro por ação]],"")</f>
        <v>0.99917285678011836</v>
      </c>
      <c r="H18" s="6">
        <f>MAX(Tabela2[[#This Row],[Cotação 1]],Tabela2[[#This Row],[Cotação 2]])</f>
        <v>0.33</v>
      </c>
      <c r="I18" s="19">
        <f>IF(Tabela2[[#This Row],[Dividendo / Ação]]&gt;0,Tabela2[[#This Row],[Dividendo / Ação]]/Tabela2[[#This Row],[Cotação]],"")</f>
        <v>8.024242424242424E-2</v>
      </c>
      <c r="J18" s="61">
        <f>SUMPRODUCT(N(Tabela1[Código]=Tabela2[[#This Row],[Ativo]]),Tabela1[Fechamento])</f>
        <v>0.33</v>
      </c>
      <c r="K18" s="61">
        <f>SUMPRODUCT(N(Tabela17[Código]=Tabela2[[#This Row],[Ativo]]),Tabela17[Fechamento])</f>
        <v>0</v>
      </c>
      <c r="M18" s="3"/>
    </row>
    <row r="19" spans="1:13">
      <c r="A19" s="4" t="s">
        <v>64</v>
      </c>
      <c r="B19" s="4">
        <v>2010</v>
      </c>
      <c r="C19" s="6">
        <v>142163159.71000001</v>
      </c>
      <c r="D19" s="8">
        <f>SUMPRODUCT(N(Tabela3[PAPEL]=Tabela2[[#This Row],[Ativo]]),Tabela3[Total Ações])</f>
        <v>2964596762</v>
      </c>
      <c r="E19" s="66">
        <f>(Tabela2[[#This Row],[Lucro Líquido]])/Tabela2[[#This Row],[Total Ações]]</f>
        <v>4.7953624429547294E-2</v>
      </c>
      <c r="F19" s="66">
        <v>3.7429999999999998E-2</v>
      </c>
      <c r="G19" s="46">
        <f>IF(AND(Tabela2[[#This Row],[Dividendo / Ação]]&gt;0,Tabela2[[#This Row],[Lucro por ação]]&gt;0),Tabela2[[#This Row],[Dividendo / Ação]]/Tabela2[[#This Row],[Lucro por ação]],"")</f>
        <v>0.78054579701251903</v>
      </c>
      <c r="H19" s="6">
        <f>MAX(Tabela2[[#This Row],[Cotação 1]],Tabela2[[#This Row],[Cotação 2]])</f>
        <v>0.33</v>
      </c>
      <c r="I19" s="19">
        <f>IF(Tabela2[[#This Row],[Dividendo / Ação]]&gt;0,Tabela2[[#This Row],[Dividendo / Ação]]/Tabela2[[#This Row],[Cotação]],"")</f>
        <v>0.11342424242424241</v>
      </c>
      <c r="J19" s="61">
        <f>SUMPRODUCT(N(Tabela1[Código]=Tabela2[[#This Row],[Ativo]]),Tabela1[Fechamento])</f>
        <v>0.33</v>
      </c>
      <c r="K19" s="61">
        <f>SUMPRODUCT(N(Tabela17[Código]=Tabela2[[#This Row],[Ativo]]),Tabela17[Fechamento])</f>
        <v>0</v>
      </c>
      <c r="M19" s="3"/>
    </row>
    <row r="20" spans="1:13">
      <c r="A20" s="4" t="s">
        <v>24</v>
      </c>
      <c r="B20" s="4">
        <v>2012</v>
      </c>
      <c r="C20" s="6">
        <v>12309870442.799999</v>
      </c>
      <c r="D20" s="8">
        <f>SUMPRODUCT(N(Tabela3[PAPEL]=Tabela2[[#This Row],[Ativo]]),Tabela3[Total Ações])</f>
        <v>2865417020</v>
      </c>
      <c r="E20" s="66">
        <f>(Tabela2[[#This Row],[Lucro Líquido]])/Tabela2[[#This Row],[Total Ações]]</f>
        <v>4.2960135843682536</v>
      </c>
      <c r="F20" s="66">
        <v>1.722</v>
      </c>
      <c r="G20" s="46">
        <f>IF(AND(Tabela2[[#This Row],[Dividendo / Ação]]&gt;0,Tabela2[[#This Row],[Lucro por ação]]&gt;0),Tabela2[[#This Row],[Dividendo / Ação]]/Tabela2[[#This Row],[Lucro por ação]],"")</f>
        <v>0.40083672134226433</v>
      </c>
      <c r="H20" s="6">
        <f>MAX(Tabela2[[#This Row],[Cotação 1]],Tabela2[[#This Row],[Cotação 2]])</f>
        <v>23.17</v>
      </c>
      <c r="I20" s="19">
        <f>IF(Tabela2[[#This Row],[Dividendo / Ação]]&gt;0,Tabela2[[#This Row],[Dividendo / Ação]]/Tabela2[[#This Row],[Cotação]],"")</f>
        <v>7.4320241691842898E-2</v>
      </c>
      <c r="J20" s="61">
        <f>SUMPRODUCT(N(Tabela1[Código]=Tabela2[[#This Row],[Ativo]]),Tabela1[Fechamento])</f>
        <v>23.17</v>
      </c>
      <c r="K20" s="61">
        <f>SUMPRODUCT(N(Tabela17[Código]=Tabela2[[#This Row],[Ativo]]),Tabela17[Fechamento])</f>
        <v>0</v>
      </c>
      <c r="M20" s="3"/>
    </row>
    <row r="21" spans="1:13">
      <c r="A21" s="4" t="s">
        <v>24</v>
      </c>
      <c r="B21" s="4">
        <v>2011</v>
      </c>
      <c r="C21" s="6">
        <v>12247330314.43</v>
      </c>
      <c r="D21" s="8">
        <f>SUMPRODUCT(N(Tabela3[PAPEL]=Tabela2[[#This Row],[Ativo]]),Tabela3[Total Ações])</f>
        <v>2865417020</v>
      </c>
      <c r="E21" s="66">
        <f>(Tabela2[[#This Row],[Lucro Líquido]])/Tabela2[[#This Row],[Total Ações]]</f>
        <v>4.2741877461277875</v>
      </c>
      <c r="F21" s="66">
        <v>1.7096750979999999</v>
      </c>
      <c r="G21" s="46">
        <f>IF(AND(Tabela2[[#This Row],[Dividendo / Ação]]&gt;0,Tabela2[[#This Row],[Lucro por ação]]&gt;0),Tabela2[[#This Row],[Dividendo / Ação]]/Tabela2[[#This Row],[Lucro por ação]],"")</f>
        <v>0.39999999989445595</v>
      </c>
      <c r="H21" s="6">
        <f>MAX(Tabela2[[#This Row],[Cotação 1]],Tabela2[[#This Row],[Cotação 2]])</f>
        <v>23.17</v>
      </c>
      <c r="I21" s="19">
        <f>IF(Tabela2[[#This Row],[Dividendo / Ação]]&gt;0,Tabela2[[#This Row],[Dividendo / Ação]]/Tabela2[[#This Row],[Cotação]],"")</f>
        <v>7.3788308070781169E-2</v>
      </c>
      <c r="J21" s="61">
        <f>SUMPRODUCT(N(Tabela1[Código]=Tabela2[[#This Row],[Ativo]]),Tabela1[Fechamento])</f>
        <v>23.17</v>
      </c>
      <c r="K21" s="61">
        <f>SUMPRODUCT(N(Tabela17[Código]=Tabela2[[#This Row],[Ativo]]),Tabela17[Fechamento])</f>
        <v>0</v>
      </c>
      <c r="M21" s="3"/>
    </row>
    <row r="22" spans="1:13">
      <c r="A22" s="4" t="s">
        <v>24</v>
      </c>
      <c r="B22" s="4">
        <v>2010</v>
      </c>
      <c r="C22" s="6">
        <v>11758093384.549999</v>
      </c>
      <c r="D22" s="8">
        <f>SUMPRODUCT(N(Tabela3[PAPEL]=Tabela2[[#This Row],[Ativo]]),Tabela3[Total Ações])</f>
        <v>2865417020</v>
      </c>
      <c r="E22" s="66">
        <f>(Tabela2[[#This Row],[Lucro Líquido]])/Tabela2[[#This Row],[Total Ações]]</f>
        <v>4.1034492719492537</v>
      </c>
      <c r="F22" s="66">
        <v>1.6421960419999999</v>
      </c>
      <c r="G22" s="46">
        <f>IF(AND(Tabela2[[#This Row],[Dividendo / Ação]]&gt;0,Tabela2[[#This Row],[Lucro por ação]]&gt;0),Tabela2[[#This Row],[Dividendo / Ação]]/Tabela2[[#This Row],[Lucro por ação]],"")</f>
        <v>0.40019893829951275</v>
      </c>
      <c r="H22" s="6">
        <f>MAX(Tabela2[[#This Row],[Cotação 1]],Tabela2[[#This Row],[Cotação 2]])</f>
        <v>23.17</v>
      </c>
      <c r="I22" s="19">
        <f>IF(Tabela2[[#This Row],[Dividendo / Ação]]&gt;0,Tabela2[[#This Row],[Dividendo / Ação]]/Tabela2[[#This Row],[Cotação]],"")</f>
        <v>7.0875962106171767E-2</v>
      </c>
      <c r="J22" s="61">
        <f>SUMPRODUCT(N(Tabela1[Código]=Tabela2[[#This Row],[Ativo]]),Tabela1[Fechamento])</f>
        <v>23.17</v>
      </c>
      <c r="K22" s="61">
        <f>SUMPRODUCT(N(Tabela17[Código]=Tabela2[[#This Row],[Ativo]]),Tabela17[Fechamento])</f>
        <v>0</v>
      </c>
      <c r="M22" s="3"/>
    </row>
    <row r="23" spans="1:13">
      <c r="A23" s="4" t="s">
        <v>24</v>
      </c>
      <c r="B23" s="4">
        <v>2009</v>
      </c>
      <c r="C23" s="6">
        <v>10147521914.51</v>
      </c>
      <c r="D23" s="8">
        <f>SUMPRODUCT(N(Tabela3[PAPEL]=Tabela2[[#This Row],[Ativo]]),Tabela3[Total Ações])</f>
        <v>2865417020</v>
      </c>
      <c r="E23" s="66">
        <f>(Tabela2[[#This Row],[Lucro Líquido]])/Tabela2[[#This Row],[Total Ações]]</f>
        <v>3.5413769945814031</v>
      </c>
      <c r="F23" s="66">
        <v>1.4165507980000001</v>
      </c>
      <c r="G23" s="46">
        <f>IF(AND(Tabela2[[#This Row],[Dividendo / Ação]]&gt;0,Tabela2[[#This Row],[Lucro por ação]]&gt;0),Tabela2[[#This Row],[Dividendo / Ação]]/Tabela2[[#This Row],[Lucro por ação]],"")</f>
        <v>0.4000000000472807</v>
      </c>
      <c r="H23" s="6">
        <f>MAX(Tabela2[[#This Row],[Cotação 1]],Tabela2[[#This Row],[Cotação 2]])</f>
        <v>23.17</v>
      </c>
      <c r="I23" s="19">
        <f>IF(Tabela2[[#This Row],[Dividendo / Ação]]&gt;0,Tabela2[[#This Row],[Dividendo / Ação]]/Tabela2[[#This Row],[Cotação]],"")</f>
        <v>6.1137280880448855E-2</v>
      </c>
      <c r="J23" s="61">
        <f>SUMPRODUCT(N(Tabela1[Código]=Tabela2[[#This Row],[Ativo]]),Tabela1[Fechamento])</f>
        <v>23.17</v>
      </c>
      <c r="K23" s="61">
        <f>SUMPRODUCT(N(Tabela17[Código]=Tabela2[[#This Row],[Ativo]]),Tabela17[Fechamento])</f>
        <v>0</v>
      </c>
      <c r="M23" s="3"/>
    </row>
    <row r="24" spans="1:13">
      <c r="A24" s="4" t="s">
        <v>222</v>
      </c>
      <c r="B24" s="4">
        <v>2012</v>
      </c>
      <c r="C24" s="6">
        <v>11381244459.27</v>
      </c>
      <c r="D24" s="8">
        <f>SUMPRODUCT(N(Tabela3[PAPEL]=Tabela2[[#This Row],[Ativo]]),Tabela3[Total Ações])</f>
        <v>4207274039</v>
      </c>
      <c r="E24" s="66">
        <f>(Tabela2[[#This Row],[Lucro Líquido]])/Tabela2[[#This Row],[Total Ações]]</f>
        <v>2.705135047959732</v>
      </c>
      <c r="F24" s="66">
        <v>0.97174542699999999</v>
      </c>
      <c r="G24" s="46">
        <f>IF(AND(Tabela2[[#This Row],[Dividendo / Ação]]&gt;0,Tabela2[[#This Row],[Lucro por ação]]&gt;0),Tabela2[[#This Row],[Dividendo / Ação]]/Tabela2[[#This Row],[Lucro por ação]],"")</f>
        <v>0.35922251930930776</v>
      </c>
      <c r="H24" s="6">
        <f>MAX(Tabela2[[#This Row],[Cotação 1]],Tabela2[[#This Row],[Cotação 2]])</f>
        <v>30.03</v>
      </c>
      <c r="I24" s="19">
        <f>IF(Tabela2[[#This Row],[Dividendo / Ação]]&gt;0,Tabela2[[#This Row],[Dividendo / Ação]]/Tabela2[[#This Row],[Cotação]],"")</f>
        <v>3.2359155078255077E-2</v>
      </c>
      <c r="J24" s="61">
        <f>SUMPRODUCT(N(Tabela1[Código]=Tabela2[[#This Row],[Ativo]]),Tabela1[Fechamento])</f>
        <v>30.03</v>
      </c>
      <c r="K24" s="61">
        <f>SUMPRODUCT(N(Tabela17[Código]=Tabela2[[#This Row],[Ativo]]),Tabela17[Fechamento])</f>
        <v>0</v>
      </c>
      <c r="M24" s="3"/>
    </row>
    <row r="25" spans="1:13">
      <c r="A25" s="4" t="s">
        <v>222</v>
      </c>
      <c r="B25" s="3">
        <v>2011</v>
      </c>
      <c r="C25" s="5">
        <v>11037515599</v>
      </c>
      <c r="D25" s="62">
        <f>SUMPRODUCT(N(Tabela3[PAPEL]=Tabela2[[#This Row],[Ativo]]),Tabela3[Total Ações])</f>
        <v>4207274039</v>
      </c>
      <c r="E25" s="65">
        <f>(Tabela2[[#This Row],[Lucro Líquido]])/Tabela2[[#This Row],[Total Ações]]</f>
        <v>2.6234363382765142</v>
      </c>
      <c r="F25" s="65">
        <v>0.933388</v>
      </c>
      <c r="G25" s="22">
        <f>IF(AND(Tabela2[[#This Row],[Dividendo / Ação]]&gt;0,Tabela2[[#This Row],[Lucro por ação]]&gt;0),Tabela2[[#This Row],[Dividendo / Ação]]/Tabela2[[#This Row],[Lucro por ação]],"")</f>
        <v>0.35578831717075171</v>
      </c>
      <c r="H25" s="5">
        <f>MAX(Tabela2[[#This Row],[Cotação 1]],Tabela2[[#This Row],[Cotação 2]])</f>
        <v>30.03</v>
      </c>
      <c r="I25" s="18">
        <f>IF(Tabela2[[#This Row],[Dividendo / Ação]]&gt;0,Tabela2[[#This Row],[Dividendo / Ação]]/Tabela2[[#This Row],[Cotação]],"")</f>
        <v>3.1081851481851479E-2</v>
      </c>
      <c r="J25" s="60">
        <f>SUMPRODUCT(N(Tabela1[Código]=Tabela2[[#This Row],[Ativo]]),Tabela1[Fechamento])</f>
        <v>30.03</v>
      </c>
      <c r="K25" s="60">
        <f>SUMPRODUCT(N(Tabela17[Código]=Tabela2[[#This Row],[Ativo]]),Tabela17[Fechamento])</f>
        <v>0</v>
      </c>
      <c r="M25" s="3"/>
    </row>
    <row r="26" spans="1:13">
      <c r="A26" s="4" t="s">
        <v>222</v>
      </c>
      <c r="B26" s="3">
        <v>2010</v>
      </c>
      <c r="C26" s="5">
        <v>10159097403</v>
      </c>
      <c r="D26" s="62">
        <f>SUMPRODUCT(N(Tabela3[PAPEL]=Tabela2[[#This Row],[Ativo]]),Tabela3[Total Ações])</f>
        <v>4207274039</v>
      </c>
      <c r="E26" s="65">
        <f>(Tabela2[[#This Row],[Lucro Líquido]])/Tabela2[[#This Row],[Total Ações]]</f>
        <v>2.4146507474503967</v>
      </c>
      <c r="F26" s="65">
        <v>0.87638400000000005</v>
      </c>
      <c r="G26" s="22">
        <f>IF(AND(Tabela2[[#This Row],[Dividendo / Ação]]&gt;0,Tabela2[[#This Row],[Lucro por ação]]&gt;0),Tabela2[[#This Row],[Dividendo / Ação]]/Tabela2[[#This Row],[Lucro por ação]],"")</f>
        <v>0.36294441377303294</v>
      </c>
      <c r="H26" s="5">
        <f>MAX(Tabela2[[#This Row],[Cotação 1]],Tabela2[[#This Row],[Cotação 2]])</f>
        <v>30.03</v>
      </c>
      <c r="I26" s="18">
        <f>IF(Tabela2[[#This Row],[Dividendo / Ação]]&gt;0,Tabela2[[#This Row],[Dividendo / Ação]]/Tabela2[[#This Row],[Cotação]],"")</f>
        <v>2.9183616383616384E-2</v>
      </c>
      <c r="J26" s="60">
        <f>SUMPRODUCT(N(Tabela1[Código]=Tabela2[[#This Row],[Ativo]]),Tabela1[Fechamento])</f>
        <v>30.03</v>
      </c>
      <c r="K26" s="60">
        <f>SUMPRODUCT(N(Tabela17[Código]=Tabela2[[#This Row],[Ativo]]),Tabela17[Fechamento])</f>
        <v>0</v>
      </c>
      <c r="M26" s="3"/>
    </row>
    <row r="27" spans="1:13">
      <c r="A27" s="4" t="s">
        <v>222</v>
      </c>
      <c r="B27" s="3">
        <v>2009</v>
      </c>
      <c r="C27" s="5">
        <v>8134916341</v>
      </c>
      <c r="D27" s="62">
        <f>SUMPRODUCT(N(Tabela3[PAPEL]=Tabela2[[#This Row],[Ativo]]),Tabela3[Total Ações])</f>
        <v>4207274039</v>
      </c>
      <c r="E27" s="65">
        <f>(Tabela2[[#This Row],[Lucro Líquido]])/Tabela2[[#This Row],[Total Ações]]</f>
        <v>1.933536124719258</v>
      </c>
      <c r="F27" s="65">
        <v>0.834144</v>
      </c>
      <c r="G27" s="22">
        <f>IF(AND(Tabela2[[#This Row],[Dividendo / Ação]]&gt;0,Tabela2[[#This Row],[Lucro por ação]]&gt;0),Tabela2[[#This Row],[Dividendo / Ação]]/Tabela2[[#This Row],[Lucro por ação]],"")</f>
        <v>0.43140854175719862</v>
      </c>
      <c r="H27" s="5">
        <f>MAX(Tabela2[[#This Row],[Cotação 1]],Tabela2[[#This Row],[Cotação 2]])</f>
        <v>30.03</v>
      </c>
      <c r="I27" s="18">
        <f>IF(Tabela2[[#This Row],[Dividendo / Ação]]&gt;0,Tabela2[[#This Row],[Dividendo / Ação]]/Tabela2[[#This Row],[Cotação]],"")</f>
        <v>2.7777022977022975E-2</v>
      </c>
      <c r="J27" s="60">
        <f>SUMPRODUCT(N(Tabela1[Código]=Tabela2[[#This Row],[Ativo]]),Tabela1[Fechamento])</f>
        <v>30.03</v>
      </c>
      <c r="K27" s="60">
        <f>SUMPRODUCT(N(Tabela17[Código]=Tabela2[[#This Row],[Ativo]]),Tabela17[Fechamento])</f>
        <v>0</v>
      </c>
      <c r="M27" s="3"/>
    </row>
    <row r="28" spans="1:13">
      <c r="A28" s="4" t="s">
        <v>223</v>
      </c>
      <c r="B28" s="4">
        <v>2012</v>
      </c>
      <c r="C28" s="6">
        <v>11381244459.27</v>
      </c>
      <c r="D28" s="8">
        <f>SUMPRODUCT(N(Tabela3[PAPEL]=Tabela2[[#This Row],[Ativo]]),Tabela3[Total Ações])</f>
        <v>4207274039</v>
      </c>
      <c r="E28" s="66">
        <f>(Tabela2[[#This Row],[Lucro Líquido]])/Tabela2[[#This Row],[Total Ações]]</f>
        <v>2.705135047959732</v>
      </c>
      <c r="F28" s="66">
        <v>1.0689199700000001</v>
      </c>
      <c r="G28" s="46">
        <f>IF(AND(Tabela2[[#This Row],[Dividendo / Ação]]&gt;0,Tabela2[[#This Row],[Lucro por ação]]&gt;0),Tabela2[[#This Row],[Dividendo / Ação]]/Tabela2[[#This Row],[Lucro por ação]],"")</f>
        <v>0.39514477135113873</v>
      </c>
      <c r="H28" s="6">
        <f>MAX(Tabela2[[#This Row],[Cotação 1]],Tabela2[[#This Row],[Cotação 2]])</f>
        <v>27.83</v>
      </c>
      <c r="I28" s="19">
        <f>IF(Tabela2[[#This Row],[Dividendo / Ação]]&gt;0,Tabela2[[#This Row],[Dividendo / Ação]]/Tabela2[[#This Row],[Cotação]],"")</f>
        <v>3.8408910168882503E-2</v>
      </c>
      <c r="J28" s="61">
        <f>SUMPRODUCT(N(Tabela1[Código]=Tabela2[[#This Row],[Ativo]]),Tabela1[Fechamento])</f>
        <v>27.83</v>
      </c>
      <c r="K28" s="61">
        <f>SUMPRODUCT(N(Tabela17[Código]=Tabela2[[#This Row],[Ativo]]),Tabela17[Fechamento])</f>
        <v>0</v>
      </c>
      <c r="M28" s="3"/>
    </row>
    <row r="29" spans="1:13">
      <c r="A29" s="4" t="s">
        <v>223</v>
      </c>
      <c r="B29" s="4">
        <v>2011</v>
      </c>
      <c r="C29" s="5">
        <v>11037515599</v>
      </c>
      <c r="D29" s="8">
        <f>SUMPRODUCT(N(Tabela3[PAPEL]=Tabela2[[#This Row],[Ativo]]),Tabela3[Total Ações])</f>
        <v>4207274039</v>
      </c>
      <c r="E29" s="66">
        <f>(Tabela2[[#This Row],[Lucro Líquido]])/Tabela2[[#This Row],[Total Ações]]</f>
        <v>2.6234363382765142</v>
      </c>
      <c r="F29" s="66">
        <v>1.0267269999999999</v>
      </c>
      <c r="G29" s="46">
        <f>IF(AND(Tabela2[[#This Row],[Dividendo / Ação]]&gt;0,Tabela2[[#This Row],[Lucro por ação]]&gt;0),Tabela2[[#This Row],[Dividendo / Ação]]/Tabela2[[#This Row],[Lucro por ação]],"")</f>
        <v>0.3913672251237153</v>
      </c>
      <c r="H29" s="6">
        <f>MAX(Tabela2[[#This Row],[Cotação 1]],Tabela2[[#This Row],[Cotação 2]])</f>
        <v>27.83</v>
      </c>
      <c r="I29" s="19">
        <f>IF(Tabela2[[#This Row],[Dividendo / Ação]]&gt;0,Tabela2[[#This Row],[Dividendo / Ação]]/Tabela2[[#This Row],[Cotação]],"")</f>
        <v>3.6892813510600073E-2</v>
      </c>
      <c r="J29" s="61">
        <f>SUMPRODUCT(N(Tabela1[Código]=Tabela2[[#This Row],[Ativo]]),Tabela1[Fechamento])</f>
        <v>27.83</v>
      </c>
      <c r="K29" s="61">
        <f>SUMPRODUCT(N(Tabela17[Código]=Tabela2[[#This Row],[Ativo]]),Tabela17[Fechamento])</f>
        <v>0</v>
      </c>
      <c r="M29" s="3"/>
    </row>
    <row r="30" spans="1:13">
      <c r="A30" s="4" t="s">
        <v>223</v>
      </c>
      <c r="B30" s="4">
        <v>2010</v>
      </c>
      <c r="C30" s="5">
        <v>10159097403</v>
      </c>
      <c r="D30" s="8">
        <f>SUMPRODUCT(N(Tabela3[PAPEL]=Tabela2[[#This Row],[Ativo]]),Tabela3[Total Ações])</f>
        <v>4207274039</v>
      </c>
      <c r="E30" s="66">
        <f>(Tabela2[[#This Row],[Lucro Líquido]])/Tabela2[[#This Row],[Total Ações]]</f>
        <v>2.4146507474503967</v>
      </c>
      <c r="F30" s="66">
        <v>0.96402200000000005</v>
      </c>
      <c r="G30" s="46">
        <f>IF(AND(Tabela2[[#This Row],[Dividendo / Ação]]&gt;0,Tabela2[[#This Row],[Lucro por ação]]&gt;0),Tabela2[[#This Row],[Dividendo / Ação]]/Tabela2[[#This Row],[Lucro por ação]],"")</f>
        <v>0.39923868949490948</v>
      </c>
      <c r="H30" s="6">
        <f>MAX(Tabela2[[#This Row],[Cotação 1]],Tabela2[[#This Row],[Cotação 2]])</f>
        <v>27.83</v>
      </c>
      <c r="I30" s="19">
        <f>IF(Tabela2[[#This Row],[Dividendo / Ação]]&gt;0,Tabela2[[#This Row],[Dividendo / Ação]]/Tabela2[[#This Row],[Cotação]],"")</f>
        <v>3.4639669421487607E-2</v>
      </c>
      <c r="J30" s="61">
        <f>SUMPRODUCT(N(Tabela1[Código]=Tabela2[[#This Row],[Ativo]]),Tabela1[Fechamento])</f>
        <v>27.83</v>
      </c>
      <c r="K30" s="61">
        <f>SUMPRODUCT(N(Tabela17[Código]=Tabela2[[#This Row],[Ativo]]),Tabela17[Fechamento])</f>
        <v>0</v>
      </c>
      <c r="M30" s="3"/>
    </row>
    <row r="31" spans="1:13">
      <c r="A31" s="4" t="s">
        <v>223</v>
      </c>
      <c r="B31" s="4">
        <v>2009</v>
      </c>
      <c r="C31" s="5">
        <v>8134916341</v>
      </c>
      <c r="D31" s="8">
        <f>SUMPRODUCT(N(Tabela3[PAPEL]=Tabela2[[#This Row],[Ativo]]),Tabela3[Total Ações])</f>
        <v>4207274039</v>
      </c>
      <c r="E31" s="66">
        <f>(Tabela2[[#This Row],[Lucro Líquido]])/Tabela2[[#This Row],[Total Ações]]</f>
        <v>1.933536124719258</v>
      </c>
      <c r="F31" s="66">
        <v>0.91755799999999998</v>
      </c>
      <c r="G31" s="46">
        <f>IF(AND(Tabela2[[#This Row],[Dividendo / Ação]]&gt;0,Tabela2[[#This Row],[Lucro por ação]]&gt;0),Tabela2[[#This Row],[Dividendo / Ação]]/Tabela2[[#This Row],[Lucro por ação]],"")</f>
        <v>0.47454918905806631</v>
      </c>
      <c r="H31" s="6">
        <f>MAX(Tabela2[[#This Row],[Cotação 1]],Tabela2[[#This Row],[Cotação 2]])</f>
        <v>27.83</v>
      </c>
      <c r="I31" s="19">
        <f>IF(Tabela2[[#This Row],[Dividendo / Ação]]&gt;0,Tabela2[[#This Row],[Dividendo / Ação]]/Tabela2[[#This Row],[Cotação]],"")</f>
        <v>3.2970104204096302E-2</v>
      </c>
      <c r="J31" s="61">
        <f>SUMPRODUCT(N(Tabela1[Código]=Tabela2[[#This Row],[Ativo]]),Tabela1[Fechamento])</f>
        <v>27.83</v>
      </c>
      <c r="K31" s="61">
        <f>SUMPRODUCT(N(Tabela17[Código]=Tabela2[[#This Row],[Ativo]]),Tabela17[Fechamento])</f>
        <v>0</v>
      </c>
      <c r="M31" s="3"/>
    </row>
    <row r="32" spans="1:13">
      <c r="A32" s="4" t="s">
        <v>25</v>
      </c>
      <c r="B32" s="4">
        <v>2012</v>
      </c>
      <c r="C32" s="6">
        <v>2000000000</v>
      </c>
      <c r="D32" s="8">
        <f>SUMPRODUCT(N(Tabela3[PAPEL]=Tabela2[[#This Row],[Ativo]]),Tabela3[Total Ações])</f>
        <v>2000000000</v>
      </c>
      <c r="E32" s="66">
        <f>(Tabela2[[#This Row],[Lucro Líquido]])/Tabela2[[#This Row],[Total Ações]]</f>
        <v>1</v>
      </c>
      <c r="F32" s="66">
        <v>0.25</v>
      </c>
      <c r="G32" s="46">
        <f>IF(AND(Tabela2[[#This Row],[Dividendo / Ação]]&gt;0,Tabela2[[#This Row],[Lucro por ação]]&gt;0),Tabela2[[#This Row],[Dividendo / Ação]]/Tabela2[[#This Row],[Lucro por ação]],"")</f>
        <v>0.25</v>
      </c>
      <c r="H32" s="13">
        <f>MAX(Tabela2[[#This Row],[Cotação 1]],Tabela2[[#This Row],[Cotação 2]])</f>
        <v>23.96</v>
      </c>
      <c r="I32" s="19">
        <f>IF(Tabela2[[#This Row],[Dividendo / Ação]]&gt;0,Tabela2[[#This Row],[Dividendo / Ação]]/Tabela2[[#This Row],[Cotação]],"")</f>
        <v>1.0434056761268781E-2</v>
      </c>
      <c r="J32" s="17">
        <f>SUMPRODUCT(N(Tabela1[Código]=Tabela2[[#This Row],[Ativo]]),Tabela1[Fechamento])</f>
        <v>0</v>
      </c>
      <c r="K32" s="17">
        <f>SUMPRODUCT(N(Tabela17[Código]=Tabela2[[#This Row],[Ativo]]),Tabela17[Fechamento])</f>
        <v>23.96</v>
      </c>
      <c r="M32" s="3"/>
    </row>
    <row r="33" spans="1:13">
      <c r="A33" s="4" t="s">
        <v>60</v>
      </c>
      <c r="B33" s="4">
        <v>2012</v>
      </c>
      <c r="C33" s="6">
        <v>81395000</v>
      </c>
      <c r="D33" s="8">
        <f>SUMPRODUCT(N(Tabela3[PAPEL]=Tabela2[[#This Row],[Ativo]]),Tabela3[Total Ações])</f>
        <v>1579564303</v>
      </c>
      <c r="E33" s="66">
        <f>(Tabela2[[#This Row],[Lucro Líquido]])/Tabela2[[#This Row],[Total Ações]]</f>
        <v>5.153003258266213E-2</v>
      </c>
      <c r="F33" s="66">
        <v>2.0200094799999999E-2</v>
      </c>
      <c r="G33" s="46">
        <f>IF(AND(Tabela2[[#This Row],[Dividendo / Ação]]&gt;0,Tabela2[[#This Row],[Lucro por ação]]&gt;0),Tabela2[[#This Row],[Dividendo / Ação]]/Tabela2[[#This Row],[Lucro por ação]],"")</f>
        <v>0.39200624931870415</v>
      </c>
      <c r="H33" s="6">
        <f>MAX(Tabela2[[#This Row],[Cotação 1]],Tabela2[[#This Row],[Cotação 2]])</f>
        <v>0.47</v>
      </c>
      <c r="I33" s="19">
        <f>IF(Tabela2[[#This Row],[Dividendo / Ação]]&gt;0,Tabela2[[#This Row],[Dividendo / Ação]]/Tabela2[[#This Row],[Cotação]],"")</f>
        <v>4.297892510638298E-2</v>
      </c>
      <c r="J33" s="61">
        <f>SUMPRODUCT(N(Tabela1[Código]=Tabela2[[#This Row],[Ativo]]),Tabela1[Fechamento])</f>
        <v>0.47</v>
      </c>
      <c r="K33" s="61">
        <f>SUMPRODUCT(N(Tabela17[Código]=Tabela2[[#This Row],[Ativo]]),Tabela17[Fechamento])</f>
        <v>0</v>
      </c>
      <c r="M33" s="3"/>
    </row>
    <row r="34" spans="1:13">
      <c r="A34" s="4" t="s">
        <v>60</v>
      </c>
      <c r="B34" s="3">
        <v>2011</v>
      </c>
      <c r="C34" s="5">
        <v>87892000</v>
      </c>
      <c r="D34" s="62">
        <f>SUMPRODUCT(N(Tabela3[PAPEL]=Tabela2[[#This Row],[Ativo]]),Tabela3[Total Ações])</f>
        <v>1579564303</v>
      </c>
      <c r="E34" s="65">
        <f>(Tabela2[[#This Row],[Lucro Líquido]])/Tabela2[[#This Row],[Total Ações]]</f>
        <v>5.5643192134103327E-2</v>
      </c>
      <c r="F34" s="65">
        <v>3.1132696000000001E-2</v>
      </c>
      <c r="G34" s="22">
        <f>IF(AND(Tabela2[[#This Row],[Dividendo / Ação]]&gt;0,Tabela2[[#This Row],[Lucro por ação]]&gt;0),Tabela2[[#This Row],[Dividendo / Ação]]/Tabela2[[#This Row],[Lucro por ação]],"")</f>
        <v>0.55950593066207266</v>
      </c>
      <c r="H34" s="5">
        <f>MAX(Tabela2[[#This Row],[Cotação 1]],Tabela2[[#This Row],[Cotação 2]])</f>
        <v>0.47</v>
      </c>
      <c r="I34" s="18">
        <f>IF(Tabela2[[#This Row],[Dividendo / Ação]]&gt;0,Tabela2[[#This Row],[Dividendo / Ação]]/Tabela2[[#This Row],[Cotação]],"")</f>
        <v>6.6239778723404266E-2</v>
      </c>
      <c r="J34" s="60">
        <f>SUMPRODUCT(N(Tabela1[Código]=Tabela2[[#This Row],[Ativo]]),Tabela1[Fechamento])</f>
        <v>0.47</v>
      </c>
      <c r="K34" s="60">
        <f>SUMPRODUCT(N(Tabela17[Código]=Tabela2[[#This Row],[Ativo]]),Tabela17[Fechamento])</f>
        <v>0</v>
      </c>
      <c r="M34" s="3"/>
    </row>
    <row r="35" spans="1:13">
      <c r="A35" s="4" t="s">
        <v>60</v>
      </c>
      <c r="B35" s="3">
        <v>2010</v>
      </c>
      <c r="C35" s="5">
        <v>167023000</v>
      </c>
      <c r="D35" s="62">
        <f>SUMPRODUCT(N(Tabela3[PAPEL]=Tabela2[[#This Row],[Ativo]]),Tabela3[Total Ações])</f>
        <v>1579564303</v>
      </c>
      <c r="E35" s="65">
        <f>(Tabela2[[#This Row],[Lucro Líquido]])/Tabela2[[#This Row],[Total Ações]]</f>
        <v>0.1057399180791692</v>
      </c>
      <c r="F35" s="65">
        <v>2.6446688999999999E-2</v>
      </c>
      <c r="G35" s="22">
        <f>IF(AND(Tabela2[[#This Row],[Dividendo / Ação]]&gt;0,Tabela2[[#This Row],[Lucro por ação]]&gt;0),Tabela2[[#This Row],[Dividendo / Ação]]/Tabela2[[#This Row],[Lucro por ação]],"")</f>
        <v>0.25011073850273774</v>
      </c>
      <c r="H35" s="5">
        <f>MAX(Tabela2[[#This Row],[Cotação 1]],Tabela2[[#This Row],[Cotação 2]])</f>
        <v>0.47</v>
      </c>
      <c r="I35" s="18">
        <f>IF(Tabela2[[#This Row],[Dividendo / Ação]]&gt;0,Tabela2[[#This Row],[Dividendo / Ação]]/Tabela2[[#This Row],[Cotação]],"")</f>
        <v>5.626955106382979E-2</v>
      </c>
      <c r="J35" s="60">
        <f>SUMPRODUCT(N(Tabela1[Código]=Tabela2[[#This Row],[Ativo]]),Tabela1[Fechamento])</f>
        <v>0.47</v>
      </c>
      <c r="K35" s="60">
        <f>SUMPRODUCT(N(Tabela17[Código]=Tabela2[[#This Row],[Ativo]]),Tabela17[Fechamento])</f>
        <v>0</v>
      </c>
      <c r="M35" s="3"/>
    </row>
    <row r="36" spans="1:13">
      <c r="A36" s="4" t="s">
        <v>60</v>
      </c>
      <c r="B36" s="3">
        <v>2009</v>
      </c>
      <c r="C36" s="5">
        <v>132496000</v>
      </c>
      <c r="D36" s="62">
        <f>SUMPRODUCT(N(Tabela3[PAPEL]=Tabela2[[#This Row],[Ativo]]),Tabela3[Total Ações])</f>
        <v>1579564303</v>
      </c>
      <c r="E36" s="65">
        <f>(Tabela2[[#This Row],[Lucro Líquido]])/Tabela2[[#This Row],[Total Ações]]</f>
        <v>8.3881358769855668E-2</v>
      </c>
      <c r="F36" s="65">
        <v>2.117499288E-2</v>
      </c>
      <c r="G36" s="22">
        <f>IF(AND(Tabela2[[#This Row],[Dividendo / Ação]]&gt;0,Tabela2[[#This Row],[Lucro por ação]]&gt;0),Tabela2[[#This Row],[Dividendo / Ação]]/Tabela2[[#This Row],[Lucro por ação]],"")</f>
        <v>0.2524397934241574</v>
      </c>
      <c r="H36" s="5">
        <f>MAX(Tabela2[[#This Row],[Cotação 1]],Tabela2[[#This Row],[Cotação 2]])</f>
        <v>0.47</v>
      </c>
      <c r="I36" s="18">
        <f>IF(Tabela2[[#This Row],[Dividendo / Ação]]&gt;0,Tabela2[[#This Row],[Dividendo / Ação]]/Tabela2[[#This Row],[Cotação]],"")</f>
        <v>4.5053176340425535E-2</v>
      </c>
      <c r="J36" s="60">
        <f>SUMPRODUCT(N(Tabela1[Código]=Tabela2[[#This Row],[Ativo]]),Tabela1[Fechamento])</f>
        <v>0.47</v>
      </c>
      <c r="K36" s="60">
        <f>SUMPRODUCT(N(Tabela17[Código]=Tabela2[[#This Row],[Ativo]]),Tabela17[Fechamento])</f>
        <v>0</v>
      </c>
      <c r="M36" s="3"/>
    </row>
    <row r="37" spans="1:13">
      <c r="A37" s="4" t="s">
        <v>61</v>
      </c>
      <c r="B37" s="4">
        <v>2012</v>
      </c>
      <c r="C37" s="6">
        <v>81395000</v>
      </c>
      <c r="D37" s="8">
        <f>SUMPRODUCT(N(Tabela3[PAPEL]=Tabela2[[#This Row],[Ativo]]),Tabela3[Total Ações])</f>
        <v>1579564303</v>
      </c>
      <c r="E37" s="66">
        <f>(Tabela2[[#This Row],[Lucro Líquido]])/Tabela2[[#This Row],[Total Ações]]</f>
        <v>5.153003258266213E-2</v>
      </c>
      <c r="F37" s="66">
        <v>2.0200094799999999E-2</v>
      </c>
      <c r="G37" s="46">
        <f>IF(AND(Tabela2[[#This Row],[Dividendo / Ação]]&gt;0,Tabela2[[#This Row],[Lucro por ação]]&gt;0),Tabela2[[#This Row],[Dividendo / Ação]]/Tabela2[[#This Row],[Lucro por ação]],"")</f>
        <v>0.39200624931870415</v>
      </c>
      <c r="H37" s="6">
        <f>MAX(Tabela2[[#This Row],[Cotação 1]],Tabela2[[#This Row],[Cotação 2]])</f>
        <v>0.46</v>
      </c>
      <c r="I37" s="19">
        <f>IF(Tabela2[[#This Row],[Dividendo / Ação]]&gt;0,Tabela2[[#This Row],[Dividendo / Ação]]/Tabela2[[#This Row],[Cotação]],"")</f>
        <v>4.3913249565217388E-2</v>
      </c>
      <c r="J37" s="61">
        <f>SUMPRODUCT(N(Tabela1[Código]=Tabela2[[#This Row],[Ativo]]),Tabela1[Fechamento])</f>
        <v>0.46</v>
      </c>
      <c r="K37" s="61">
        <f>SUMPRODUCT(N(Tabela17[Código]=Tabela2[[#This Row],[Ativo]]),Tabela17[Fechamento])</f>
        <v>0</v>
      </c>
      <c r="M37" s="3"/>
    </row>
    <row r="38" spans="1:13">
      <c r="A38" s="4" t="s">
        <v>61</v>
      </c>
      <c r="B38" s="4">
        <v>2011</v>
      </c>
      <c r="C38" s="5">
        <v>87892000</v>
      </c>
      <c r="D38" s="8">
        <f>SUMPRODUCT(N(Tabela3[PAPEL]=Tabela2[[#This Row],[Ativo]]),Tabela3[Total Ações])</f>
        <v>1579564303</v>
      </c>
      <c r="E38" s="66">
        <f>(Tabela2[[#This Row],[Lucro Líquido]])/Tabela2[[#This Row],[Total Ações]]</f>
        <v>5.5643192134103327E-2</v>
      </c>
      <c r="F38" s="65">
        <v>3.1132696000000001E-2</v>
      </c>
      <c r="G38" s="46">
        <f>IF(AND(Tabela2[[#This Row],[Dividendo / Ação]]&gt;0,Tabela2[[#This Row],[Lucro por ação]]&gt;0),Tabela2[[#This Row],[Dividendo / Ação]]/Tabela2[[#This Row],[Lucro por ação]],"")</f>
        <v>0.55950593066207266</v>
      </c>
      <c r="H38" s="6">
        <f>MAX(Tabela2[[#This Row],[Cotação 1]],Tabela2[[#This Row],[Cotação 2]])</f>
        <v>0.46</v>
      </c>
      <c r="I38" s="19">
        <f>IF(Tabela2[[#This Row],[Dividendo / Ação]]&gt;0,Tabela2[[#This Row],[Dividendo / Ação]]/Tabela2[[#This Row],[Cotação]],"")</f>
        <v>6.7679773913043473E-2</v>
      </c>
      <c r="J38" s="61">
        <f>SUMPRODUCT(N(Tabela1[Código]=Tabela2[[#This Row],[Ativo]]),Tabela1[Fechamento])</f>
        <v>0.46</v>
      </c>
      <c r="K38" s="61">
        <f>SUMPRODUCT(N(Tabela17[Código]=Tabela2[[#This Row],[Ativo]]),Tabela17[Fechamento])</f>
        <v>0</v>
      </c>
      <c r="M38" s="3"/>
    </row>
    <row r="39" spans="1:13">
      <c r="A39" s="4" t="s">
        <v>61</v>
      </c>
      <c r="B39" s="4">
        <v>2010</v>
      </c>
      <c r="C39" s="5">
        <v>167023000</v>
      </c>
      <c r="D39" s="8">
        <f>SUMPRODUCT(N(Tabela3[PAPEL]=Tabela2[[#This Row],[Ativo]]),Tabela3[Total Ações])</f>
        <v>1579564303</v>
      </c>
      <c r="E39" s="66">
        <f>(Tabela2[[#This Row],[Lucro Líquido]])/Tabela2[[#This Row],[Total Ações]]</f>
        <v>0.1057399180791692</v>
      </c>
      <c r="F39" s="65">
        <v>2.6446688999999999E-2</v>
      </c>
      <c r="G39" s="46">
        <f>IF(AND(Tabela2[[#This Row],[Dividendo / Ação]]&gt;0,Tabela2[[#This Row],[Lucro por ação]]&gt;0),Tabela2[[#This Row],[Dividendo / Ação]]/Tabela2[[#This Row],[Lucro por ação]],"")</f>
        <v>0.25011073850273774</v>
      </c>
      <c r="H39" s="6">
        <f>MAX(Tabela2[[#This Row],[Cotação 1]],Tabela2[[#This Row],[Cotação 2]])</f>
        <v>0.46</v>
      </c>
      <c r="I39" s="19">
        <f>IF(Tabela2[[#This Row],[Dividendo / Ação]]&gt;0,Tabela2[[#This Row],[Dividendo / Ação]]/Tabela2[[#This Row],[Cotação]],"")</f>
        <v>5.7492802173913039E-2</v>
      </c>
      <c r="J39" s="61">
        <f>SUMPRODUCT(N(Tabela1[Código]=Tabela2[[#This Row],[Ativo]]),Tabela1[Fechamento])</f>
        <v>0.46</v>
      </c>
      <c r="K39" s="61">
        <f>SUMPRODUCT(N(Tabela17[Código]=Tabela2[[#This Row],[Ativo]]),Tabela17[Fechamento])</f>
        <v>0</v>
      </c>
      <c r="M39" s="3"/>
    </row>
    <row r="40" spans="1:13">
      <c r="A40" s="4" t="s">
        <v>61</v>
      </c>
      <c r="B40" s="4">
        <v>2009</v>
      </c>
      <c r="C40" s="5">
        <v>132496000</v>
      </c>
      <c r="D40" s="8">
        <f>SUMPRODUCT(N(Tabela3[PAPEL]=Tabela2[[#This Row],[Ativo]]),Tabela3[Total Ações])</f>
        <v>1579564303</v>
      </c>
      <c r="E40" s="66">
        <f>(Tabela2[[#This Row],[Lucro Líquido]])/Tabela2[[#This Row],[Total Ações]]</f>
        <v>8.3881358769855668E-2</v>
      </c>
      <c r="F40" s="65">
        <v>2.117499288E-2</v>
      </c>
      <c r="G40" s="46">
        <f>IF(AND(Tabela2[[#This Row],[Dividendo / Ação]]&gt;0,Tabela2[[#This Row],[Lucro por ação]]&gt;0),Tabela2[[#This Row],[Dividendo / Ação]]/Tabela2[[#This Row],[Lucro por ação]],"")</f>
        <v>0.2524397934241574</v>
      </c>
      <c r="H40" s="6">
        <f>MAX(Tabela2[[#This Row],[Cotação 1]],Tabela2[[#This Row],[Cotação 2]])</f>
        <v>0.46</v>
      </c>
      <c r="I40" s="19">
        <f>IF(Tabela2[[#This Row],[Dividendo / Ação]]&gt;0,Tabela2[[#This Row],[Dividendo / Ação]]/Tabela2[[#This Row],[Cotação]],"")</f>
        <v>4.6032593217391303E-2</v>
      </c>
      <c r="J40" s="61">
        <f>SUMPRODUCT(N(Tabela1[Código]=Tabela2[[#This Row],[Ativo]]),Tabela1[Fechamento])</f>
        <v>0.46</v>
      </c>
      <c r="K40" s="61">
        <f>SUMPRODUCT(N(Tabela17[Código]=Tabela2[[#This Row],[Ativo]]),Tabela17[Fechamento])</f>
        <v>0</v>
      </c>
      <c r="M40" s="3"/>
    </row>
    <row r="41" spans="1:13">
      <c r="A41" s="14" t="s">
        <v>227</v>
      </c>
      <c r="B41" s="3">
        <v>2012</v>
      </c>
      <c r="C41" s="5">
        <v>87990976.469999999</v>
      </c>
      <c r="D41" s="62">
        <f>SUMPRODUCT(N(Tabela3[PAPEL]=Tabela2[[#This Row],[Ativo]]),Tabela3[Total Ações])</f>
        <v>10541442</v>
      </c>
      <c r="E41" s="65">
        <f>(Tabela2[[#This Row],[Lucro Líquido]])/Tabela2[[#This Row],[Total Ações]]</f>
        <v>8.3471479964505804</v>
      </c>
      <c r="F41" s="65">
        <v>4.946395323</v>
      </c>
      <c r="G41" s="22">
        <f>IF(AND(Tabela2[[#This Row],[Dividendo / Ação]]&gt;0,Tabela2[[#This Row],[Lucro por ação]]&gt;0),Tabela2[[#This Row],[Dividendo / Ação]]/Tabela2[[#This Row],[Lucro por ação]],"")</f>
        <v>0.5925850751781726</v>
      </c>
      <c r="H41" s="5">
        <f>MAX(Tabela2[[#This Row],[Cotação 1]],Tabela2[[#This Row],[Cotação 2]])</f>
        <v>43.25</v>
      </c>
      <c r="I41" s="18">
        <f>IF(Tabela2[[#This Row],[Dividendo / Ação]]&gt;0,Tabela2[[#This Row],[Dividendo / Ação]]/Tabela2[[#This Row],[Cotação]],"")</f>
        <v>0.11436752191907515</v>
      </c>
      <c r="J41" s="60">
        <f>SUMPRODUCT(N(Tabela1[Código]=Tabela2[[#This Row],[Ativo]]),Tabela1[Fechamento])</f>
        <v>43.25</v>
      </c>
      <c r="K41" s="60">
        <f>SUMPRODUCT(N(Tabela17[Código]=Tabela2[[#This Row],[Ativo]]),Tabela17[Fechamento])</f>
        <v>0</v>
      </c>
      <c r="M41" s="3"/>
    </row>
    <row r="42" spans="1:13">
      <c r="A42" s="14" t="s">
        <v>227</v>
      </c>
      <c r="B42" s="3">
        <v>2011</v>
      </c>
      <c r="C42" s="5">
        <v>90962523.890000001</v>
      </c>
      <c r="D42" s="62">
        <f>SUMPRODUCT(N(Tabela3[PAPEL]=Tabela2[[#This Row],[Ativo]]),Tabela3[Total Ações])</f>
        <v>10541442</v>
      </c>
      <c r="E42" s="65">
        <f>(Tabela2[[#This Row],[Lucro Líquido]])/Tabela2[[#This Row],[Total Ações]]</f>
        <v>8.6290399254675023</v>
      </c>
      <c r="F42" s="65">
        <v>5.5438895290000003</v>
      </c>
      <c r="G42" s="22">
        <f>IF(AND(Tabela2[[#This Row],[Dividendo / Ação]]&gt;0,Tabela2[[#This Row],[Lucro por ação]]&gt;0),Tabela2[[#This Row],[Dividendo / Ação]]/Tabela2[[#This Row],[Lucro por ação]],"")</f>
        <v>0.64246886987252461</v>
      </c>
      <c r="H42" s="5">
        <f>MAX(Tabela2[[#This Row],[Cotação 1]],Tabela2[[#This Row],[Cotação 2]])</f>
        <v>43.25</v>
      </c>
      <c r="I42" s="18">
        <f>IF(Tabela2[[#This Row],[Dividendo / Ação]]&gt;0,Tabela2[[#This Row],[Dividendo / Ação]]/Tabela2[[#This Row],[Cotação]],"")</f>
        <v>0.12818241685549134</v>
      </c>
      <c r="J42" s="60">
        <f>SUMPRODUCT(N(Tabela1[Código]=Tabela2[[#This Row],[Ativo]]),Tabela1[Fechamento])</f>
        <v>43.25</v>
      </c>
      <c r="K42" s="60">
        <f>SUMPRODUCT(N(Tabela17[Código]=Tabela2[[#This Row],[Ativo]]),Tabela17[Fechamento])</f>
        <v>0</v>
      </c>
      <c r="M42" s="3"/>
    </row>
    <row r="43" spans="1:13">
      <c r="A43" s="14" t="s">
        <v>227</v>
      </c>
      <c r="B43" s="3">
        <v>2010</v>
      </c>
      <c r="C43" s="5">
        <v>54465018.079999998</v>
      </c>
      <c r="D43" s="62">
        <f>SUMPRODUCT(N(Tabela3[PAPEL]=Tabela2[[#This Row],[Ativo]]),Tabela3[Total Ações])</f>
        <v>10541442</v>
      </c>
      <c r="E43" s="65">
        <f>(Tabela2[[#This Row],[Lucro Líquido]])/Tabela2[[#This Row],[Total Ações]]</f>
        <v>5.1667521464330965</v>
      </c>
      <c r="F43" s="65">
        <v>2.2723217359999999</v>
      </c>
      <c r="G43" s="22">
        <f>IF(AND(Tabela2[[#This Row],[Dividendo / Ação]]&gt;0,Tabela2[[#This Row],[Lucro por ação]]&gt;0),Tabela2[[#This Row],[Dividendo / Ação]]/Tabela2[[#This Row],[Lucro por ação]],"")</f>
        <v>0.43979693076020943</v>
      </c>
      <c r="H43" s="5">
        <f>MAX(Tabela2[[#This Row],[Cotação 1]],Tabela2[[#This Row],[Cotação 2]])</f>
        <v>43.25</v>
      </c>
      <c r="I43" s="18">
        <f>IF(Tabela2[[#This Row],[Dividendo / Ação]]&gt;0,Tabela2[[#This Row],[Dividendo / Ação]]/Tabela2[[#This Row],[Cotação]],"")</f>
        <v>5.2539230890173406E-2</v>
      </c>
      <c r="J43" s="60">
        <f>SUMPRODUCT(N(Tabela1[Código]=Tabela2[[#This Row],[Ativo]]),Tabela1[Fechamento])</f>
        <v>43.25</v>
      </c>
      <c r="K43" s="60">
        <f>SUMPRODUCT(N(Tabela17[Código]=Tabela2[[#This Row],[Ativo]]),Tabela17[Fechamento])</f>
        <v>0</v>
      </c>
      <c r="M43" s="3"/>
    </row>
    <row r="44" spans="1:13">
      <c r="A44" s="14" t="s">
        <v>227</v>
      </c>
      <c r="B44" s="3">
        <v>2009</v>
      </c>
      <c r="C44" s="5">
        <v>39114199.380000003</v>
      </c>
      <c r="D44" s="62">
        <f>SUMPRODUCT(N(Tabela3[PAPEL]=Tabela2[[#This Row],[Ativo]]),Tabela3[Total Ações])</f>
        <v>10541442</v>
      </c>
      <c r="E44" s="65">
        <f>(Tabela2[[#This Row],[Lucro Líquido]])/Tabela2[[#This Row],[Total Ações]]</f>
        <v>3.7105169653259966</v>
      </c>
      <c r="F44" s="65">
        <v>1.979881029</v>
      </c>
      <c r="G44" s="22">
        <f>IF(AND(Tabela2[[#This Row],[Dividendo / Ação]]&gt;0,Tabela2[[#This Row],[Lucro por ação]]&gt;0),Tabela2[[#This Row],[Dividendo / Ação]]/Tabela2[[#This Row],[Lucro por ação]],"")</f>
        <v>0.53358630279865937</v>
      </c>
      <c r="H44" s="5">
        <f>MAX(Tabela2[[#This Row],[Cotação 1]],Tabela2[[#This Row],[Cotação 2]])</f>
        <v>43.25</v>
      </c>
      <c r="I44" s="18">
        <f>IF(Tabela2[[#This Row],[Dividendo / Ação]]&gt;0,Tabela2[[#This Row],[Dividendo / Ação]]/Tabela2[[#This Row],[Cotação]],"")</f>
        <v>4.577759604624277E-2</v>
      </c>
      <c r="J44" s="60">
        <f>SUMPRODUCT(N(Tabela1[Código]=Tabela2[[#This Row],[Ativo]]),Tabela1[Fechamento])</f>
        <v>43.25</v>
      </c>
      <c r="K44" s="60">
        <f>SUMPRODUCT(N(Tabela17[Código]=Tabela2[[#This Row],[Ativo]]),Tabela17[Fechamento])</f>
        <v>0</v>
      </c>
      <c r="M44" s="3"/>
    </row>
    <row r="45" spans="1:13">
      <c r="A45" s="14" t="s">
        <v>228</v>
      </c>
      <c r="B45" s="4">
        <v>2012</v>
      </c>
      <c r="C45" s="5">
        <v>87990976.469999999</v>
      </c>
      <c r="D45" s="8">
        <f>SUMPRODUCT(N(Tabela3[PAPEL]=Tabela2[[#This Row],[Ativo]]),Tabela3[Total Ações])</f>
        <v>10541442</v>
      </c>
      <c r="E45" s="66">
        <f>(Tabela2[[#This Row],[Lucro Líquido]])/Tabela2[[#This Row],[Total Ações]]</f>
        <v>8.3471479964505804</v>
      </c>
      <c r="F45" s="66">
        <v>5.4410348859999997</v>
      </c>
      <c r="G45" s="46">
        <f>IF(AND(Tabela2[[#This Row],[Dividendo / Ação]]&gt;0,Tabela2[[#This Row],[Lucro por ação]]&gt;0),Tabela2[[#This Row],[Dividendo / Ação]]/Tabela2[[#This Row],[Lucro por ação]],"")</f>
        <v>0.65184358637389272</v>
      </c>
      <c r="H45" s="6">
        <f>MAX(Tabela2[[#This Row],[Cotação 1]],Tabela2[[#This Row],[Cotação 2]])</f>
        <v>45</v>
      </c>
      <c r="I45" s="19">
        <f>IF(Tabela2[[#This Row],[Dividendo / Ação]]&gt;0,Tabela2[[#This Row],[Dividendo / Ação]]/Tabela2[[#This Row],[Cotação]],"")</f>
        <v>0.12091188635555555</v>
      </c>
      <c r="J45" s="61">
        <f>SUMPRODUCT(N(Tabela1[Código]=Tabela2[[#This Row],[Ativo]]),Tabela1[Fechamento])</f>
        <v>45</v>
      </c>
      <c r="K45" s="61">
        <f>SUMPRODUCT(N(Tabela17[Código]=Tabela2[[#This Row],[Ativo]]),Tabela17[Fechamento])</f>
        <v>0</v>
      </c>
      <c r="M45" s="3"/>
    </row>
    <row r="46" spans="1:13">
      <c r="A46" s="14" t="s">
        <v>228</v>
      </c>
      <c r="B46" s="4">
        <v>2011</v>
      </c>
      <c r="C46" s="5">
        <v>90962523.890000001</v>
      </c>
      <c r="D46" s="8">
        <f>SUMPRODUCT(N(Tabela3[PAPEL]=Tabela2[[#This Row],[Ativo]]),Tabela3[Total Ações])</f>
        <v>10541442</v>
      </c>
      <c r="E46" s="66">
        <f>(Tabela2[[#This Row],[Lucro Líquido]])/Tabela2[[#This Row],[Total Ações]]</f>
        <v>8.6290399254675023</v>
      </c>
      <c r="F46" s="66">
        <v>6.0982784810000004</v>
      </c>
      <c r="G46" s="46">
        <f>IF(AND(Tabela2[[#This Row],[Dividendo / Ação]]&gt;0,Tabela2[[#This Row],[Lucro por ação]]&gt;0),Tabela2[[#This Row],[Dividendo / Ação]]/Tabela2[[#This Row],[Lucro por ação]],"")</f>
        <v>0.70671575675547815</v>
      </c>
      <c r="H46" s="6">
        <f>MAX(Tabela2[[#This Row],[Cotação 1]],Tabela2[[#This Row],[Cotação 2]])</f>
        <v>45</v>
      </c>
      <c r="I46" s="19">
        <f>IF(Tabela2[[#This Row],[Dividendo / Ação]]&gt;0,Tabela2[[#This Row],[Dividendo / Ação]]/Tabela2[[#This Row],[Cotação]],"")</f>
        <v>0.13551729957777778</v>
      </c>
      <c r="J46" s="61">
        <f>SUMPRODUCT(N(Tabela1[Código]=Tabela2[[#This Row],[Ativo]]),Tabela1[Fechamento])</f>
        <v>45</v>
      </c>
      <c r="K46" s="61">
        <f>SUMPRODUCT(N(Tabela17[Código]=Tabela2[[#This Row],[Ativo]]),Tabela17[Fechamento])</f>
        <v>0</v>
      </c>
      <c r="M46" s="3"/>
    </row>
    <row r="47" spans="1:13">
      <c r="A47" s="14" t="s">
        <v>228</v>
      </c>
      <c r="B47" s="4">
        <v>2010</v>
      </c>
      <c r="C47" s="5">
        <v>54465018.079999998</v>
      </c>
      <c r="D47" s="8">
        <f>SUMPRODUCT(N(Tabela3[PAPEL]=Tabela2[[#This Row],[Ativo]]),Tabela3[Total Ações])</f>
        <v>10541442</v>
      </c>
      <c r="E47" s="66">
        <f>(Tabela2[[#This Row],[Lucro Líquido]])/Tabela2[[#This Row],[Total Ações]]</f>
        <v>5.1667521464330965</v>
      </c>
      <c r="F47" s="66">
        <v>2.4995539089999999</v>
      </c>
      <c r="G47" s="46">
        <f>IF(AND(Tabela2[[#This Row],[Dividendo / Ação]]&gt;0,Tabela2[[#This Row],[Lucro por ação]]&gt;0),Tabela2[[#This Row],[Dividendo / Ação]]/Tabela2[[#This Row],[Lucro por ação]],"")</f>
        <v>0.48377662372010322</v>
      </c>
      <c r="H47" s="6">
        <f>MAX(Tabela2[[#This Row],[Cotação 1]],Tabela2[[#This Row],[Cotação 2]])</f>
        <v>45</v>
      </c>
      <c r="I47" s="19">
        <f>IF(Tabela2[[#This Row],[Dividendo / Ação]]&gt;0,Tabela2[[#This Row],[Dividendo / Ação]]/Tabela2[[#This Row],[Cotação]],"")</f>
        <v>5.5545642422222222E-2</v>
      </c>
      <c r="J47" s="61">
        <f>SUMPRODUCT(N(Tabela1[Código]=Tabela2[[#This Row],[Ativo]]),Tabela1[Fechamento])</f>
        <v>45</v>
      </c>
      <c r="K47" s="61">
        <f>SUMPRODUCT(N(Tabela17[Código]=Tabela2[[#This Row],[Ativo]]),Tabela17[Fechamento])</f>
        <v>0</v>
      </c>
      <c r="M47" s="3"/>
    </row>
    <row r="48" spans="1:13">
      <c r="A48" s="14" t="s">
        <v>228</v>
      </c>
      <c r="B48" s="4">
        <v>2009</v>
      </c>
      <c r="C48" s="5">
        <v>39114199.380000003</v>
      </c>
      <c r="D48" s="8">
        <f>SUMPRODUCT(N(Tabela3[PAPEL]=Tabela2[[#This Row],[Ativo]]),Tabela3[Total Ações])</f>
        <v>10541442</v>
      </c>
      <c r="E48" s="66">
        <f>(Tabela2[[#This Row],[Lucro Líquido]])/Tabela2[[#This Row],[Total Ações]]</f>
        <v>3.7105169653259966</v>
      </c>
      <c r="F48" s="66">
        <v>2.1790691309999999</v>
      </c>
      <c r="G48" s="46">
        <f>IF(AND(Tabela2[[#This Row],[Dividendo / Ação]]&gt;0,Tabela2[[#This Row],[Lucro por ação]]&gt;0),Tabela2[[#This Row],[Dividendo / Ação]]/Tabela2[[#This Row],[Lucro por ação]],"")</f>
        <v>0.58726833790626598</v>
      </c>
      <c r="H48" s="6">
        <f>MAX(Tabela2[[#This Row],[Cotação 1]],Tabela2[[#This Row],[Cotação 2]])</f>
        <v>45</v>
      </c>
      <c r="I48" s="19">
        <f>IF(Tabela2[[#This Row],[Dividendo / Ação]]&gt;0,Tabela2[[#This Row],[Dividendo / Ação]]/Tabela2[[#This Row],[Cotação]],"")</f>
        <v>4.8423758466666661E-2</v>
      </c>
      <c r="J48" s="61">
        <f>SUMPRODUCT(N(Tabela1[Código]=Tabela2[[#This Row],[Ativo]]),Tabela1[Fechamento])</f>
        <v>45</v>
      </c>
      <c r="K48" s="61">
        <f>SUMPRODUCT(N(Tabela17[Código]=Tabela2[[#This Row],[Ativo]]),Tabela17[Fechamento])</f>
        <v>0</v>
      </c>
      <c r="M48" s="3"/>
    </row>
    <row r="49" spans="1:13">
      <c r="A49" s="4" t="s">
        <v>234</v>
      </c>
      <c r="B49" s="4">
        <v>2012</v>
      </c>
      <c r="C49" s="6">
        <v>108819511.64</v>
      </c>
      <c r="D49" s="8">
        <f>SUMPRODUCT(N(Tabela3[PAPEL]=Tabela2[[#This Row],[Ativo]]),Tabela3[Total Ações])</f>
        <v>252903569</v>
      </c>
      <c r="E49" s="66">
        <f>(Tabela2[[#This Row],[Lucro Líquido]])/Tabela2[[#This Row],[Total Ações]]</f>
        <v>0.43028064835257424</v>
      </c>
      <c r="F49" s="66">
        <v>0.48572491200000001</v>
      </c>
      <c r="G49" s="46">
        <f>IF(AND(Tabela2[[#This Row],[Dividendo / Ação]]&gt;0,Tabela2[[#This Row],[Lucro por ação]]&gt;0),Tabela2[[#This Row],[Dividendo / Ação]]/Tabela2[[#This Row],[Lucro por ação]],"")</f>
        <v>1.1288560474650824</v>
      </c>
      <c r="H49" s="6">
        <f>MAX(Tabela2[[#This Row],[Cotação 1]],Tabela2[[#This Row],[Cotação 2]])</f>
        <v>9.65</v>
      </c>
      <c r="I49" s="19">
        <f>IF(Tabela2[[#This Row],[Dividendo / Ação]]&gt;0,Tabela2[[#This Row],[Dividendo / Ação]]/Tabela2[[#This Row],[Cotação]],"")</f>
        <v>5.0334187772020728E-2</v>
      </c>
      <c r="J49" s="61">
        <f>SUMPRODUCT(N(Tabela1[Código]=Tabela2[[#This Row],[Ativo]]),Tabela1[Fechamento])</f>
        <v>9.65</v>
      </c>
      <c r="K49" s="61">
        <f>SUMPRODUCT(N(Tabela17[Código]=Tabela2[[#This Row],[Ativo]]),Tabela17[Fechamento])</f>
        <v>0</v>
      </c>
      <c r="M49" s="3"/>
    </row>
    <row r="50" spans="1:13">
      <c r="A50" s="4" t="s">
        <v>234</v>
      </c>
      <c r="B50" s="3">
        <v>2011</v>
      </c>
      <c r="C50" s="5">
        <v>232542541</v>
      </c>
      <c r="D50" s="62">
        <f>SUMPRODUCT(N(Tabela3[PAPEL]=Tabela2[[#This Row],[Ativo]]),Tabela3[Total Ações])</f>
        <v>252903569</v>
      </c>
      <c r="E50" s="66">
        <f>(Tabela2[[#This Row],[Lucro Líquido]])/Tabela2[[#This Row],[Total Ações]]</f>
        <v>0.91949094241528873</v>
      </c>
      <c r="F50" s="65">
        <v>0.46371743599999998</v>
      </c>
      <c r="G50" s="22">
        <f>IF(AND(Tabela2[[#This Row],[Dividendo / Ação]]&gt;0,Tabela2[[#This Row],[Lucro por ação]]&gt;0),Tabela2[[#This Row],[Dividendo / Ação]]/Tabela2[[#This Row],[Lucro por ação]],"")</f>
        <v>0.50431974325045792</v>
      </c>
      <c r="H50" s="5">
        <f>MAX(Tabela2[[#This Row],[Cotação 1]],Tabela2[[#This Row],[Cotação 2]])</f>
        <v>9.65</v>
      </c>
      <c r="I50" s="18">
        <f>IF(Tabela2[[#This Row],[Dividendo / Ação]]&gt;0,Tabela2[[#This Row],[Dividendo / Ação]]/Tabela2[[#This Row],[Cotação]],"")</f>
        <v>4.8053620310880826E-2</v>
      </c>
      <c r="J50" s="60">
        <f>SUMPRODUCT(N(Tabela1[Código]=Tabela2[[#This Row],[Ativo]]),Tabela1[Fechamento])</f>
        <v>9.65</v>
      </c>
      <c r="K50" s="60">
        <f>SUMPRODUCT(N(Tabela17[Código]=Tabela2[[#This Row],[Ativo]]),Tabela17[Fechamento])</f>
        <v>0</v>
      </c>
      <c r="M50" s="3"/>
    </row>
    <row r="51" spans="1:13">
      <c r="A51" s="4" t="s">
        <v>234</v>
      </c>
      <c r="B51" s="3">
        <v>2010</v>
      </c>
      <c r="C51" s="5">
        <v>348395895.98000002</v>
      </c>
      <c r="D51" s="62">
        <f>SUMPRODUCT(N(Tabela3[PAPEL]=Tabela2[[#This Row],[Ativo]]),Tabela3[Total Ações])</f>
        <v>252903569</v>
      </c>
      <c r="E51" s="66">
        <f>(Tabela2[[#This Row],[Lucro Líquido]])/Tabela2[[#This Row],[Total Ações]]</f>
        <v>1.3775839437837274</v>
      </c>
      <c r="F51" s="65">
        <v>0.60299663000000003</v>
      </c>
      <c r="G51" s="22">
        <f>IF(AND(Tabela2[[#This Row],[Dividendo / Ação]]&gt;0,Tabela2[[#This Row],[Lucro por ação]]&gt;0),Tabela2[[#This Row],[Dividendo / Ação]]/Tabela2[[#This Row],[Lucro por ação]],"")</f>
        <v>0.43772042547460682</v>
      </c>
      <c r="H51" s="5">
        <f>MAX(Tabela2[[#This Row],[Cotação 1]],Tabela2[[#This Row],[Cotação 2]])</f>
        <v>9.65</v>
      </c>
      <c r="I51" s="18">
        <f>IF(Tabela2[[#This Row],[Dividendo / Ação]]&gt;0,Tabela2[[#This Row],[Dividendo / Ação]]/Tabela2[[#This Row],[Cotação]],"")</f>
        <v>6.2486697409326428E-2</v>
      </c>
      <c r="J51" s="60">
        <f>SUMPRODUCT(N(Tabela1[Código]=Tabela2[[#This Row],[Ativo]]),Tabela1[Fechamento])</f>
        <v>9.65</v>
      </c>
      <c r="K51" s="60">
        <f>SUMPRODUCT(N(Tabela17[Código]=Tabela2[[#This Row],[Ativo]]),Tabela17[Fechamento])</f>
        <v>0</v>
      </c>
      <c r="M51" s="3"/>
    </row>
    <row r="52" spans="1:13">
      <c r="A52" s="4" t="s">
        <v>10</v>
      </c>
      <c r="B52" s="4">
        <v>2012</v>
      </c>
      <c r="C52" s="6">
        <v>108819511.64</v>
      </c>
      <c r="D52" s="8">
        <f>SUMPRODUCT(N(Tabela3[PAPEL]=Tabela2[[#This Row],[Ativo]]),Tabela3[Total Ações])</f>
        <v>252903569</v>
      </c>
      <c r="E52" s="66">
        <f>(Tabela2[[#This Row],[Lucro Líquido]])/Tabela2[[#This Row],[Total Ações]]</f>
        <v>0.43028064835257424</v>
      </c>
      <c r="F52" s="66">
        <v>0.48572491200000001</v>
      </c>
      <c r="G52" s="46">
        <f>IF(AND(Tabela2[[#This Row],[Dividendo / Ação]]&gt;0,Tabela2[[#This Row],[Lucro por ação]]&gt;0),Tabela2[[#This Row],[Dividendo / Ação]]/Tabela2[[#This Row],[Lucro por ação]],"")</f>
        <v>1.1288560474650824</v>
      </c>
      <c r="H52" s="6">
        <f>MAX(Tabela2[[#This Row],[Cotação 1]],Tabela2[[#This Row],[Cotação 2]])</f>
        <v>7.4</v>
      </c>
      <c r="I52" s="19">
        <f>IF(Tabela2[[#This Row],[Dividendo / Ação]]&gt;0,Tabela2[[#This Row],[Dividendo / Ação]]/Tabela2[[#This Row],[Cotação]],"")</f>
        <v>6.5638501621621617E-2</v>
      </c>
      <c r="J52" s="61">
        <f>SUMPRODUCT(N(Tabela1[Código]=Tabela2[[#This Row],[Ativo]]),Tabela1[Fechamento])</f>
        <v>7.4</v>
      </c>
      <c r="K52" s="61">
        <f>SUMPRODUCT(N(Tabela17[Código]=Tabela2[[#This Row],[Ativo]]),Tabela17[Fechamento])</f>
        <v>0</v>
      </c>
      <c r="M52" s="3"/>
    </row>
    <row r="53" spans="1:13">
      <c r="A53" s="4" t="s">
        <v>10</v>
      </c>
      <c r="B53" s="4">
        <v>2011</v>
      </c>
      <c r="C53" s="5">
        <v>232542541</v>
      </c>
      <c r="D53" s="8">
        <f>SUMPRODUCT(N(Tabela3[PAPEL]=Tabela2[[#This Row],[Ativo]]),Tabela3[Total Ações])</f>
        <v>252903569</v>
      </c>
      <c r="E53" s="66">
        <f>(Tabela2[[#This Row],[Lucro Líquido]])/Tabela2[[#This Row],[Total Ações]]</f>
        <v>0.91949094241528873</v>
      </c>
      <c r="F53" s="65">
        <v>0.46371743599999998</v>
      </c>
      <c r="G53" s="46">
        <f>IF(AND(Tabela2[[#This Row],[Dividendo / Ação]]&gt;0,Tabela2[[#This Row],[Lucro por ação]]&gt;0),Tabela2[[#This Row],[Dividendo / Ação]]/Tabela2[[#This Row],[Lucro por ação]],"")</f>
        <v>0.50431974325045792</v>
      </c>
      <c r="H53" s="6">
        <f>MAX(Tabela2[[#This Row],[Cotação 1]],Tabela2[[#This Row],[Cotação 2]])</f>
        <v>7.4</v>
      </c>
      <c r="I53" s="19">
        <f>IF(Tabela2[[#This Row],[Dividendo / Ação]]&gt;0,Tabela2[[#This Row],[Dividendo / Ação]]/Tabela2[[#This Row],[Cotação]],"")</f>
        <v>6.2664518378378373E-2</v>
      </c>
      <c r="J53" s="61">
        <f>SUMPRODUCT(N(Tabela1[Código]=Tabela2[[#This Row],[Ativo]]),Tabela1[Fechamento])</f>
        <v>7.4</v>
      </c>
      <c r="K53" s="61">
        <f>SUMPRODUCT(N(Tabela17[Código]=Tabela2[[#This Row],[Ativo]]),Tabela17[Fechamento])</f>
        <v>0</v>
      </c>
      <c r="M53" s="3"/>
    </row>
    <row r="54" spans="1:13">
      <c r="A54" s="4" t="s">
        <v>10</v>
      </c>
      <c r="B54" s="4">
        <v>2010</v>
      </c>
      <c r="C54" s="5">
        <v>348395895.98000002</v>
      </c>
      <c r="D54" s="8">
        <f>SUMPRODUCT(N(Tabela3[PAPEL]=Tabela2[[#This Row],[Ativo]]),Tabela3[Total Ações])</f>
        <v>252903569</v>
      </c>
      <c r="E54" s="66">
        <f>(Tabela2[[#This Row],[Lucro Líquido]])/Tabela2[[#This Row],[Total Ações]]</f>
        <v>1.3775839437837274</v>
      </c>
      <c r="F54" s="65">
        <v>0.60299663000000003</v>
      </c>
      <c r="G54" s="46">
        <f>IF(AND(Tabela2[[#This Row],[Dividendo / Ação]]&gt;0,Tabela2[[#This Row],[Lucro por ação]]&gt;0),Tabela2[[#This Row],[Dividendo / Ação]]/Tabela2[[#This Row],[Lucro por ação]],"")</f>
        <v>0.43772042547460682</v>
      </c>
      <c r="H54" s="6">
        <f>MAX(Tabela2[[#This Row],[Cotação 1]],Tabela2[[#This Row],[Cotação 2]])</f>
        <v>7.4</v>
      </c>
      <c r="I54" s="19">
        <f>IF(Tabela2[[#This Row],[Dividendo / Ação]]&gt;0,Tabela2[[#This Row],[Dividendo / Ação]]/Tabela2[[#This Row],[Cotação]],"")</f>
        <v>8.1486031081081087E-2</v>
      </c>
      <c r="J54" s="61">
        <f>SUMPRODUCT(N(Tabela1[Código]=Tabela2[[#This Row],[Ativo]]),Tabela1[Fechamento])</f>
        <v>7.4</v>
      </c>
      <c r="K54" s="61">
        <f>SUMPRODUCT(N(Tabela17[Código]=Tabela2[[#This Row],[Ativo]]),Tabela17[Fechamento])</f>
        <v>0</v>
      </c>
      <c r="M54" s="3"/>
    </row>
    <row r="55" spans="1:13">
      <c r="A55" s="4" t="s">
        <v>238</v>
      </c>
      <c r="B55" s="4">
        <v>2012</v>
      </c>
      <c r="C55" s="6">
        <v>5431000</v>
      </c>
      <c r="D55" s="8">
        <f>SUMPRODUCT(N(Tabela3[PAPEL]=Tabela2[[#This Row],[Ativo]]),Tabela3[Total Ações])</f>
        <v>182520000</v>
      </c>
      <c r="E55" s="66">
        <f>(Tabela2[[#This Row],[Lucro Líquido]])/Tabela2[[#This Row],[Total Ações]]</f>
        <v>2.9755643217181677E-2</v>
      </c>
      <c r="F55" s="66">
        <v>8.9999999999999993E-3</v>
      </c>
      <c r="G55" s="46">
        <f>IF(AND(Tabela2[[#This Row],[Dividendo / Ação]]&gt;0,Tabela2[[#This Row],[Lucro por ação]]&gt;0),Tabela2[[#This Row],[Dividendo / Ação]]/Tabela2[[#This Row],[Lucro por ação]],"")</f>
        <v>0.30246363468974408</v>
      </c>
      <c r="H55" s="6">
        <f>MAX(Tabela2[[#This Row],[Cotação 1]],Tabela2[[#This Row],[Cotação 2]])</f>
        <v>1.1000000000000001</v>
      </c>
      <c r="I55" s="19">
        <f>IF(Tabela2[[#This Row],[Dividendo / Ação]]&gt;0,Tabela2[[#This Row],[Dividendo / Ação]]/Tabela2[[#This Row],[Cotação]],"")</f>
        <v>8.1818181818181807E-3</v>
      </c>
      <c r="J55" s="61">
        <f>SUMPRODUCT(N(Tabela1[Código]=Tabela2[[#This Row],[Ativo]]),Tabela1[Fechamento])</f>
        <v>1.1000000000000001</v>
      </c>
      <c r="K55" s="61">
        <f>SUMPRODUCT(N(Tabela17[Código]=Tabela2[[#This Row],[Ativo]]),Tabela17[Fechamento])</f>
        <v>0</v>
      </c>
      <c r="M55" s="3"/>
    </row>
    <row r="56" spans="1:13">
      <c r="A56" s="4" t="s">
        <v>238</v>
      </c>
      <c r="B56" s="3">
        <v>2011</v>
      </c>
      <c r="C56" s="5">
        <v>5361000</v>
      </c>
      <c r="D56" s="62">
        <f>SUMPRODUCT(N(Tabela3[PAPEL]=Tabela2[[#This Row],[Ativo]]),Tabela3[Total Ações])</f>
        <v>182520000</v>
      </c>
      <c r="E56" s="65">
        <f>(Tabela2[[#This Row],[Lucro Líquido]])/Tabela2[[#This Row],[Total Ações]]</f>
        <v>2.9372123602892833E-2</v>
      </c>
      <c r="F56" s="65">
        <v>8.9999999999999993E-3</v>
      </c>
      <c r="G56" s="22">
        <f>IF(AND(Tabela2[[#This Row],[Dividendo / Ação]]&gt;0,Tabela2[[#This Row],[Lucro por ação]]&gt;0),Tabela2[[#This Row],[Dividendo / Ação]]/Tabela2[[#This Row],[Lucro por ação]],"")</f>
        <v>0.30641298265249017</v>
      </c>
      <c r="H56" s="5">
        <f>MAX(Tabela2[[#This Row],[Cotação 1]],Tabela2[[#This Row],[Cotação 2]])</f>
        <v>1.1000000000000001</v>
      </c>
      <c r="I56" s="18">
        <f>IF(Tabela2[[#This Row],[Dividendo / Ação]]&gt;0,Tabela2[[#This Row],[Dividendo / Ação]]/Tabela2[[#This Row],[Cotação]],"")</f>
        <v>8.1818181818181807E-3</v>
      </c>
      <c r="J56" s="60">
        <f>SUMPRODUCT(N(Tabela1[Código]=Tabela2[[#This Row],[Ativo]]),Tabela1[Fechamento])</f>
        <v>1.1000000000000001</v>
      </c>
      <c r="K56" s="60">
        <f>SUMPRODUCT(N(Tabela17[Código]=Tabela2[[#This Row],[Ativo]]),Tabela17[Fechamento])</f>
        <v>0</v>
      </c>
      <c r="M56" s="3"/>
    </row>
    <row r="57" spans="1:13">
      <c r="A57" s="4" t="s">
        <v>238</v>
      </c>
      <c r="B57" s="3">
        <v>2010</v>
      </c>
      <c r="C57" s="5">
        <v>2644000</v>
      </c>
      <c r="D57" s="62">
        <f>SUMPRODUCT(N(Tabela3[PAPEL]=Tabela2[[#This Row],[Ativo]]),Tabela3[Total Ações])</f>
        <v>182520000</v>
      </c>
      <c r="E57" s="65">
        <f>(Tabela2[[#This Row],[Lucro Líquido]])/Tabela2[[#This Row],[Total Ações]]</f>
        <v>1.4486083716852947E-2</v>
      </c>
      <c r="F57" s="65">
        <v>3.9100000000000003E-3</v>
      </c>
      <c r="G57" s="22">
        <f>IF(AND(Tabela2[[#This Row],[Dividendo / Ação]]&gt;0,Tabela2[[#This Row],[Lucro por ação]]&gt;0),Tabela2[[#This Row],[Dividendo / Ação]]/Tabela2[[#This Row],[Lucro por ação]],"")</f>
        <v>0.26991422087745842</v>
      </c>
      <c r="H57" s="5">
        <f>MAX(Tabela2[[#This Row],[Cotação 1]],Tabela2[[#This Row],[Cotação 2]])</f>
        <v>1.1000000000000001</v>
      </c>
      <c r="I57" s="18">
        <f>IF(Tabela2[[#This Row],[Dividendo / Ação]]&gt;0,Tabela2[[#This Row],[Dividendo / Ação]]/Tabela2[[#This Row],[Cotação]],"")</f>
        <v>3.5545454545454543E-3</v>
      </c>
      <c r="J57" s="60">
        <f>SUMPRODUCT(N(Tabela1[Código]=Tabela2[[#This Row],[Ativo]]),Tabela1[Fechamento])</f>
        <v>1.1000000000000001</v>
      </c>
      <c r="K57" s="60">
        <f>SUMPRODUCT(N(Tabela17[Código]=Tabela2[[#This Row],[Ativo]]),Tabela17[Fechamento])</f>
        <v>0</v>
      </c>
      <c r="M57" s="3"/>
    </row>
    <row r="58" spans="1:13">
      <c r="A58" s="4" t="s">
        <v>63</v>
      </c>
      <c r="B58" s="4">
        <v>2012</v>
      </c>
      <c r="C58" s="6">
        <v>5431000</v>
      </c>
      <c r="D58" s="8">
        <f>SUMPRODUCT(N(Tabela3[PAPEL]=Tabela2[[#This Row],[Ativo]]),Tabela3[Total Ações])</f>
        <v>182520000</v>
      </c>
      <c r="E58" s="66">
        <f>(Tabela2[[#This Row],[Lucro Líquido]])/Tabela2[[#This Row],[Total Ações]]</f>
        <v>2.9755643217181677E-2</v>
      </c>
      <c r="F58" s="66">
        <v>1.2352500000000001E-2</v>
      </c>
      <c r="G58" s="46">
        <f>IF(AND(Tabela2[[#This Row],[Dividendo / Ação]]&gt;0,Tabela2[[#This Row],[Lucro por ação]]&gt;0),Tabela2[[#This Row],[Dividendo / Ação]]/Tabela2[[#This Row],[Lucro por ação]],"")</f>
        <v>0.41513133861167378</v>
      </c>
      <c r="H58" s="6">
        <f>MAX(Tabela2[[#This Row],[Cotação 1]],Tabela2[[#This Row],[Cotação 2]])</f>
        <v>0.26</v>
      </c>
      <c r="I58" s="19">
        <f>IF(Tabela2[[#This Row],[Dividendo / Ação]]&gt;0,Tabela2[[#This Row],[Dividendo / Ação]]/Tabela2[[#This Row],[Cotação]],"")</f>
        <v>4.7509615384615386E-2</v>
      </c>
      <c r="J58" s="61">
        <f>SUMPRODUCT(N(Tabela1[Código]=Tabela2[[#This Row],[Ativo]]),Tabela1[Fechamento])</f>
        <v>0.26</v>
      </c>
      <c r="K58" s="61">
        <f>SUMPRODUCT(N(Tabela17[Código]=Tabela2[[#This Row],[Ativo]]),Tabela17[Fechamento])</f>
        <v>0</v>
      </c>
      <c r="M58" s="3"/>
    </row>
    <row r="59" spans="1:13">
      <c r="A59" s="4" t="s">
        <v>63</v>
      </c>
      <c r="B59" s="4">
        <v>2011</v>
      </c>
      <c r="C59" s="5">
        <v>5361000</v>
      </c>
      <c r="D59" s="8">
        <f>SUMPRODUCT(N(Tabela3[PAPEL]=Tabela2[[#This Row],[Ativo]]),Tabela3[Total Ações])</f>
        <v>182520000</v>
      </c>
      <c r="E59" s="66">
        <f>(Tabela2[[#This Row],[Lucro Líquido]])/Tabela2[[#This Row],[Total Ações]]</f>
        <v>2.9372123602892833E-2</v>
      </c>
      <c r="F59" s="66">
        <v>1.1599999999999999E-2</v>
      </c>
      <c r="G59" s="46">
        <f>IF(AND(Tabela2[[#This Row],[Dividendo / Ação]]&gt;0,Tabela2[[#This Row],[Lucro por ação]]&gt;0),Tabela2[[#This Row],[Dividendo / Ação]]/Tabela2[[#This Row],[Lucro por ação]],"")</f>
        <v>0.39493228875209846</v>
      </c>
      <c r="H59" s="6">
        <f>MAX(Tabela2[[#This Row],[Cotação 1]],Tabela2[[#This Row],[Cotação 2]])</f>
        <v>0.26</v>
      </c>
      <c r="I59" s="19">
        <f>IF(Tabela2[[#This Row],[Dividendo / Ação]]&gt;0,Tabela2[[#This Row],[Dividendo / Ação]]/Tabela2[[#This Row],[Cotação]],"")</f>
        <v>4.4615384615384612E-2</v>
      </c>
      <c r="J59" s="61">
        <f>SUMPRODUCT(N(Tabela1[Código]=Tabela2[[#This Row],[Ativo]]),Tabela1[Fechamento])</f>
        <v>0.26</v>
      </c>
      <c r="K59" s="61">
        <f>SUMPRODUCT(N(Tabela17[Código]=Tabela2[[#This Row],[Ativo]]),Tabela17[Fechamento])</f>
        <v>0</v>
      </c>
      <c r="M59" s="3"/>
    </row>
    <row r="60" spans="1:13">
      <c r="A60" s="4" t="s">
        <v>63</v>
      </c>
      <c r="B60" s="4">
        <v>2010</v>
      </c>
      <c r="C60" s="5">
        <v>2644000</v>
      </c>
      <c r="D60" s="8">
        <f>SUMPRODUCT(N(Tabela3[PAPEL]=Tabela2[[#This Row],[Ativo]]),Tabela3[Total Ações])</f>
        <v>182520000</v>
      </c>
      <c r="E60" s="66">
        <f>(Tabela2[[#This Row],[Lucro Líquido]])/Tabela2[[#This Row],[Total Ações]]</f>
        <v>1.4486083716852947E-2</v>
      </c>
      <c r="F60" s="66">
        <v>9.8600000000000007E-3</v>
      </c>
      <c r="G60" s="46">
        <f>IF(AND(Tabela2[[#This Row],[Dividendo / Ação]]&gt;0,Tabela2[[#This Row],[Lucro por ação]]&gt;0),Tabela2[[#This Row],[Dividendo / Ação]]/Tabela2[[#This Row],[Lucro por ação]],"")</f>
        <v>0.68065325264750387</v>
      </c>
      <c r="H60" s="6">
        <f>MAX(Tabela2[[#This Row],[Cotação 1]],Tabela2[[#This Row],[Cotação 2]])</f>
        <v>0.26</v>
      </c>
      <c r="I60" s="19">
        <f>IF(Tabela2[[#This Row],[Dividendo / Ação]]&gt;0,Tabela2[[#This Row],[Dividendo / Ação]]/Tabela2[[#This Row],[Cotação]],"")</f>
        <v>3.7923076923076927E-2</v>
      </c>
      <c r="J60" s="61">
        <f>SUMPRODUCT(N(Tabela1[Código]=Tabela2[[#This Row],[Ativo]]),Tabela1[Fechamento])</f>
        <v>0.26</v>
      </c>
      <c r="K60" s="61">
        <f>SUMPRODUCT(N(Tabela17[Código]=Tabela2[[#This Row],[Ativo]]),Tabela17[Fechamento])</f>
        <v>0</v>
      </c>
      <c r="M60" s="3"/>
    </row>
    <row r="61" spans="1:13">
      <c r="A61" s="14" t="s">
        <v>240</v>
      </c>
      <c r="B61" s="3">
        <v>2012</v>
      </c>
      <c r="C61" s="5">
        <v>508363303.81999999</v>
      </c>
      <c r="D61" s="62">
        <f>SUMPRODUCT(N(Tabela3[PAPEL]=Tabela2[[#This Row],[Ativo]]),Tabela3[Total Ações])</f>
        <v>87001901</v>
      </c>
      <c r="E61" s="65">
        <f>(Tabela2[[#This Row],[Lucro Líquido]])/Tabela2[[#This Row],[Total Ações]]</f>
        <v>5.8431286900271298</v>
      </c>
      <c r="F61" s="65">
        <v>2.09879358938</v>
      </c>
      <c r="G61" s="22">
        <f>IF(AND(Tabela2[[#This Row],[Dividendo / Ação]]&gt;0,Tabela2[[#This Row],[Lucro por ação]]&gt;0),Tabela2[[#This Row],[Dividendo / Ação]]/Tabela2[[#This Row],[Lucro por ação]],"")</f>
        <v>0.35919003340832723</v>
      </c>
      <c r="H61" s="5">
        <f>MAX(Tabela2[[#This Row],[Cotação 1]],Tabela2[[#This Row],[Cotação 2]])</f>
        <v>28.74</v>
      </c>
      <c r="I61" s="18">
        <f>IF(Tabela2[[#This Row],[Dividendo / Ação]]&gt;0,Tabela2[[#This Row],[Dividendo / Ação]]/Tabela2[[#This Row],[Cotação]],"")</f>
        <v>7.3026916819067506E-2</v>
      </c>
      <c r="J61" s="60">
        <f>SUMPRODUCT(N(Tabela1[Código]=Tabela2[[#This Row],[Ativo]]),Tabela1[Fechamento])</f>
        <v>28.74</v>
      </c>
      <c r="K61" s="60">
        <f>SUMPRODUCT(N(Tabela17[Código]=Tabela2[[#This Row],[Ativo]]),Tabela17[Fechamento])</f>
        <v>0</v>
      </c>
      <c r="M61" s="3"/>
    </row>
    <row r="62" spans="1:13">
      <c r="A62" s="14" t="s">
        <v>240</v>
      </c>
      <c r="B62" s="4">
        <v>2011</v>
      </c>
      <c r="C62" s="6">
        <v>314799260.60000002</v>
      </c>
      <c r="D62" s="8">
        <f>SUMPRODUCT(N(Tabela3[PAPEL]=Tabela2[[#This Row],[Ativo]]),Tabela3[Total Ações])</f>
        <v>87001901</v>
      </c>
      <c r="E62" s="66">
        <f>(Tabela2[[#This Row],[Lucro Líquido]])/Tabela2[[#This Row],[Total Ações]]</f>
        <v>3.6183032437417664</v>
      </c>
      <c r="F62" s="66">
        <v>1.8628371749999999</v>
      </c>
      <c r="G62" s="46">
        <f>IF(AND(Tabela2[[#This Row],[Dividendo / Ação]]&gt;0,Tabela2[[#This Row],[Lucro por ação]]&gt;0),Tabela2[[#This Row],[Dividendo / Ação]]/Tabela2[[#This Row],[Lucro por ação]],"")</f>
        <v>0.51483721775447411</v>
      </c>
      <c r="H62" s="6">
        <f>MAX(Tabela2[[#This Row],[Cotação 1]],Tabela2[[#This Row],[Cotação 2]])</f>
        <v>28.74</v>
      </c>
      <c r="I62" s="19">
        <f>IF(Tabela2[[#This Row],[Dividendo / Ação]]&gt;0,Tabela2[[#This Row],[Dividendo / Ação]]/Tabela2[[#This Row],[Cotação]],"")</f>
        <v>6.4816881524008357E-2</v>
      </c>
      <c r="J62" s="61">
        <f>SUMPRODUCT(N(Tabela1[Código]=Tabela2[[#This Row],[Ativo]]),Tabela1[Fechamento])</f>
        <v>28.74</v>
      </c>
      <c r="K62" s="61">
        <f>SUMPRODUCT(N(Tabela17[Código]=Tabela2[[#This Row],[Ativo]]),Tabela17[Fechamento])</f>
        <v>0</v>
      </c>
      <c r="M62" s="3"/>
    </row>
    <row r="63" spans="1:13">
      <c r="A63" s="14" t="s">
        <v>240</v>
      </c>
      <c r="B63" s="4">
        <v>2010</v>
      </c>
      <c r="C63" s="6">
        <v>313589945.75999999</v>
      </c>
      <c r="D63" s="8">
        <f>SUMPRODUCT(N(Tabela3[PAPEL]=Tabela2[[#This Row],[Ativo]]),Tabela3[Total Ações])</f>
        <v>87001901</v>
      </c>
      <c r="E63" s="66">
        <f>(Tabela2[[#This Row],[Lucro Líquido]])/Tabela2[[#This Row],[Total Ações]]</f>
        <v>3.6044033768871326</v>
      </c>
      <c r="F63" s="66">
        <v>2.2732746009999998</v>
      </c>
      <c r="G63" s="46">
        <f>IF(AND(Tabela2[[#This Row],[Dividendo / Ação]]&gt;0,Tabela2[[#This Row],[Lucro por ação]]&gt;0),Tabela2[[#This Row],[Dividendo / Ação]]/Tabela2[[#This Row],[Lucro por ação]],"")</f>
        <v>0.63069372744935825</v>
      </c>
      <c r="H63" s="6">
        <f>MAX(Tabela2[[#This Row],[Cotação 1]],Tabela2[[#This Row],[Cotação 2]])</f>
        <v>28.74</v>
      </c>
      <c r="I63" s="19">
        <f>IF(Tabela2[[#This Row],[Dividendo / Ação]]&gt;0,Tabela2[[#This Row],[Dividendo / Ação]]/Tabela2[[#This Row],[Cotação]],"")</f>
        <v>7.9097933228949202E-2</v>
      </c>
      <c r="J63" s="61">
        <f>SUMPRODUCT(N(Tabela1[Código]=Tabela2[[#This Row],[Ativo]]),Tabela1[Fechamento])</f>
        <v>28.74</v>
      </c>
      <c r="K63" s="61">
        <f>SUMPRODUCT(N(Tabela17[Código]=Tabela2[[#This Row],[Ativo]]),Tabela17[Fechamento])</f>
        <v>0</v>
      </c>
      <c r="M63" s="3"/>
    </row>
    <row r="64" spans="1:13">
      <c r="A64" s="14" t="s">
        <v>240</v>
      </c>
      <c r="B64" s="3">
        <v>2009</v>
      </c>
      <c r="C64" s="5">
        <v>459012514.60000002</v>
      </c>
      <c r="D64" s="62">
        <f>SUMPRODUCT(N(Tabela3[PAPEL]=Tabela2[[#This Row],[Ativo]]),Tabela3[Total Ações])</f>
        <v>87001901</v>
      </c>
      <c r="E64" s="65">
        <f>(Tabela2[[#This Row],[Lucro Líquido]])/Tabela2[[#This Row],[Total Ações]]</f>
        <v>5.2758906337000617</v>
      </c>
      <c r="F64" s="65">
        <v>2.646819604</v>
      </c>
      <c r="G64" s="22">
        <f>IF(AND(Tabela2[[#This Row],[Dividendo / Ação]]&gt;0,Tabela2[[#This Row],[Lucro por ação]]&gt;0),Tabela2[[#This Row],[Dividendo / Ação]]/Tabela2[[#This Row],[Lucro por ação]],"")</f>
        <v>0.50168204532013683</v>
      </c>
      <c r="H64" s="5">
        <f>MAX(Tabela2[[#This Row],[Cotação 1]],Tabela2[[#This Row],[Cotação 2]])</f>
        <v>28.74</v>
      </c>
      <c r="I64" s="18">
        <f>IF(Tabela2[[#This Row],[Dividendo / Ação]]&gt;0,Tabela2[[#This Row],[Dividendo / Ação]]/Tabela2[[#This Row],[Cotação]],"")</f>
        <v>9.2095323729993045E-2</v>
      </c>
      <c r="J64" s="60">
        <f>SUMPRODUCT(N(Tabela1[Código]=Tabela2[[#This Row],[Ativo]]),Tabela1[Fechamento])</f>
        <v>28.74</v>
      </c>
      <c r="K64" s="60">
        <f>SUMPRODUCT(N(Tabela17[Código]=Tabela2[[#This Row],[Ativo]]),Tabela17[Fechamento])</f>
        <v>0</v>
      </c>
      <c r="M64" s="3"/>
    </row>
    <row r="65" spans="1:13">
      <c r="A65" s="14" t="s">
        <v>241</v>
      </c>
      <c r="B65" s="4">
        <v>2012</v>
      </c>
      <c r="C65" s="5">
        <v>508363303.81999999</v>
      </c>
      <c r="D65" s="8">
        <f>SUMPRODUCT(N(Tabela3[PAPEL]=Tabela2[[#This Row],[Ativo]]),Tabela3[Total Ações])</f>
        <v>87001901</v>
      </c>
      <c r="E65" s="66">
        <f>(Tabela2[[#This Row],[Lucro Líquido]])/Tabela2[[#This Row],[Total Ações]]</f>
        <v>5.8431286900271298</v>
      </c>
      <c r="F65" s="66">
        <v>2.308672948101</v>
      </c>
      <c r="G65" s="46">
        <f>IF(AND(Tabela2[[#This Row],[Dividendo / Ação]]&gt;0,Tabela2[[#This Row],[Lucro por ação]]&gt;0),Tabela2[[#This Row],[Dividendo / Ação]]/Tabela2[[#This Row],[Lucro por ação]],"")</f>
        <v>0.3951090367120223</v>
      </c>
      <c r="H65" s="6">
        <f>MAX(Tabela2[[#This Row],[Cotação 1]],Tabela2[[#This Row],[Cotação 2]])</f>
        <v>23.54</v>
      </c>
      <c r="I65" s="19">
        <f>IF(Tabela2[[#This Row],[Dividendo / Ação]]&gt;0,Tabela2[[#This Row],[Dividendo / Ação]]/Tabela2[[#This Row],[Cotação]],"")</f>
        <v>9.8074466784239589E-2</v>
      </c>
      <c r="J65" s="61">
        <f>SUMPRODUCT(N(Tabela1[Código]=Tabela2[[#This Row],[Ativo]]),Tabela1[Fechamento])</f>
        <v>23.54</v>
      </c>
      <c r="K65" s="61">
        <f>SUMPRODUCT(N(Tabela17[Código]=Tabela2[[#This Row],[Ativo]]),Tabela17[Fechamento])</f>
        <v>0</v>
      </c>
      <c r="M65" s="3"/>
    </row>
    <row r="66" spans="1:13">
      <c r="A66" s="14" t="s">
        <v>241</v>
      </c>
      <c r="B66" s="4">
        <v>2011</v>
      </c>
      <c r="C66" s="6">
        <v>314799260.60000002</v>
      </c>
      <c r="D66" s="8">
        <f>SUMPRODUCT(N(Tabela3[PAPEL]=Tabela2[[#This Row],[Ativo]]),Tabela3[Total Ações])</f>
        <v>87001901</v>
      </c>
      <c r="E66" s="66">
        <f>(Tabela2[[#This Row],[Lucro Líquido]])/Tabela2[[#This Row],[Total Ações]]</f>
        <v>3.6183032437417664</v>
      </c>
      <c r="F66" s="66">
        <v>2.0491208919999999</v>
      </c>
      <c r="G66" s="46">
        <f>IF(AND(Tabela2[[#This Row],[Dividendo / Ação]]&gt;0,Tabela2[[#This Row],[Lucro por ação]]&gt;0),Tabela2[[#This Row],[Dividendo / Ação]]/Tabela2[[#This Row],[Lucro por ação]],"")</f>
        <v>0.56632093939173522</v>
      </c>
      <c r="H66" s="6">
        <f>MAX(Tabela2[[#This Row],[Cotação 1]],Tabela2[[#This Row],[Cotação 2]])</f>
        <v>23.54</v>
      </c>
      <c r="I66" s="19">
        <f>IF(Tabela2[[#This Row],[Dividendo / Ação]]&gt;0,Tabela2[[#This Row],[Dividendo / Ação]]/Tabela2[[#This Row],[Cotação]],"")</f>
        <v>8.7048466100254879E-2</v>
      </c>
      <c r="J66" s="61">
        <f>SUMPRODUCT(N(Tabela1[Código]=Tabela2[[#This Row],[Ativo]]),Tabela1[Fechamento])</f>
        <v>23.54</v>
      </c>
      <c r="K66" s="61">
        <f>SUMPRODUCT(N(Tabela17[Código]=Tabela2[[#This Row],[Ativo]]),Tabela17[Fechamento])</f>
        <v>0</v>
      </c>
      <c r="M66" s="3"/>
    </row>
    <row r="67" spans="1:13">
      <c r="A67" s="14" t="s">
        <v>241</v>
      </c>
      <c r="B67" s="4">
        <v>2010</v>
      </c>
      <c r="C67" s="6">
        <v>313589945.75999999</v>
      </c>
      <c r="D67" s="8">
        <f>SUMPRODUCT(N(Tabela3[PAPEL]=Tabela2[[#This Row],[Ativo]]),Tabela3[Total Ações])</f>
        <v>87001901</v>
      </c>
      <c r="E67" s="66">
        <f>(Tabela2[[#This Row],[Lucro Líquido]])/Tabela2[[#This Row],[Total Ações]]</f>
        <v>3.6044033768871326</v>
      </c>
      <c r="F67" s="66">
        <v>2.5006020599999998</v>
      </c>
      <c r="G67" s="46">
        <f>IF(AND(Tabela2[[#This Row],[Dividendo / Ação]]&gt;0,Tabela2[[#This Row],[Lucro por ação]]&gt;0),Tabela2[[#This Row],[Dividendo / Ação]]/Tabela2[[#This Row],[Lucro por ação]],"")</f>
        <v>0.69376309988911189</v>
      </c>
      <c r="H67" s="6">
        <f>MAX(Tabela2[[#This Row],[Cotação 1]],Tabela2[[#This Row],[Cotação 2]])</f>
        <v>23.54</v>
      </c>
      <c r="I67" s="19">
        <f>IF(Tabela2[[#This Row],[Dividendo / Ação]]&gt;0,Tabela2[[#This Row],[Dividendo / Ação]]/Tabela2[[#This Row],[Cotação]],"")</f>
        <v>0.10622778504672897</v>
      </c>
      <c r="J67" s="61">
        <f>SUMPRODUCT(N(Tabela1[Código]=Tabela2[[#This Row],[Ativo]]),Tabela1[Fechamento])</f>
        <v>23.54</v>
      </c>
      <c r="K67" s="61">
        <f>SUMPRODUCT(N(Tabela17[Código]=Tabela2[[#This Row],[Ativo]]),Tabela17[Fechamento])</f>
        <v>0</v>
      </c>
      <c r="M67" s="3"/>
    </row>
    <row r="68" spans="1:13">
      <c r="A68" s="14" t="s">
        <v>241</v>
      </c>
      <c r="B68" s="4">
        <v>2009</v>
      </c>
      <c r="C68" s="5">
        <v>459012514.60000002</v>
      </c>
      <c r="D68" s="8">
        <f>SUMPRODUCT(N(Tabela3[PAPEL]=Tabela2[[#This Row],[Ativo]]),Tabela3[Total Ações])</f>
        <v>87001901</v>
      </c>
      <c r="E68" s="66">
        <f>(Tabela2[[#This Row],[Lucro Líquido]])/Tabela2[[#This Row],[Total Ações]]</f>
        <v>5.2758906337000617</v>
      </c>
      <c r="F68" s="66">
        <v>2.911501565</v>
      </c>
      <c r="G68" s="46">
        <f>IF(AND(Tabela2[[#This Row],[Dividendo / Ação]]&gt;0,Tabela2[[#This Row],[Lucro por ação]]&gt;0),Tabela2[[#This Row],[Dividendo / Ação]]/Tabela2[[#This Row],[Lucro por ação]],"")</f>
        <v>0.55185024996587539</v>
      </c>
      <c r="H68" s="6">
        <f>MAX(Tabela2[[#This Row],[Cotação 1]],Tabela2[[#This Row],[Cotação 2]])</f>
        <v>23.54</v>
      </c>
      <c r="I68" s="19">
        <f>IF(Tabela2[[#This Row],[Dividendo / Ação]]&gt;0,Tabela2[[#This Row],[Dividendo / Ação]]/Tabela2[[#This Row],[Cotação]],"")</f>
        <v>0.1236831590909091</v>
      </c>
      <c r="J68" s="61">
        <f>SUMPRODUCT(N(Tabela1[Código]=Tabela2[[#This Row],[Ativo]]),Tabela1[Fechamento])</f>
        <v>23.54</v>
      </c>
      <c r="K68" s="61">
        <f>SUMPRODUCT(N(Tabela17[Código]=Tabela2[[#This Row],[Ativo]]),Tabela17[Fechamento])</f>
        <v>0</v>
      </c>
      <c r="L68" s="3">
        <v>0.51486764249999994</v>
      </c>
      <c r="M68" s="3"/>
    </row>
    <row r="69" spans="1:13">
      <c r="A69" s="10" t="s">
        <v>335</v>
      </c>
      <c r="B69" s="3">
        <v>2012</v>
      </c>
      <c r="C69" s="5">
        <v>476737173.38</v>
      </c>
      <c r="D69" s="62">
        <f>SUMPRODUCT(N(Tabela3[PAPEL]=Tabela2[[#This Row],[Ativo]]),Tabela3[Total Ações])</f>
        <v>349547945</v>
      </c>
      <c r="E69" s="65">
        <f>(Tabela2[[#This Row],[Lucro Líquido]])/Tabela2[[#This Row],[Total Ações]]</f>
        <v>1.3638677617744255</v>
      </c>
      <c r="F69" s="65">
        <v>0.59109131800000003</v>
      </c>
      <c r="G69" s="22">
        <f>IF(AND(Tabela2[[#This Row],[Dividendo / Ação]]&gt;0,Tabela2[[#This Row],[Lucro por ação]]&gt;0),Tabela2[[#This Row],[Dividendo / Ação]]/Tabela2[[#This Row],[Lucro por ação]],"")</f>
        <v>0.43339342315047885</v>
      </c>
      <c r="H69" s="51">
        <f>MAX(Tabela2[[#This Row],[Cotação 1]],Tabela2[[#This Row],[Cotação 2]])</f>
        <v>18.16</v>
      </c>
      <c r="I69" s="18">
        <f>IF(Tabela2[[#This Row],[Dividendo / Ação]]&gt;0,Tabela2[[#This Row],[Dividendo / Ação]]/Tabela2[[#This Row],[Cotação]],"")</f>
        <v>3.2549081387665199E-2</v>
      </c>
      <c r="J69" s="7">
        <f>SUMPRODUCT(N(Tabela1[Código]=Tabela2[[#This Row],[Ativo]]),Tabela1[Fechamento])</f>
        <v>0</v>
      </c>
      <c r="K69" s="7">
        <f>SUMPRODUCT(N(Tabela17[Código]=Tabela2[[#This Row],[Ativo]]),Tabela17[Fechamento])</f>
        <v>18.16</v>
      </c>
      <c r="L69" s="3">
        <v>3.1891227100000002E-2</v>
      </c>
      <c r="M69" s="3"/>
    </row>
    <row r="70" spans="1:13">
      <c r="A70" s="10" t="s">
        <v>335</v>
      </c>
      <c r="B70" s="3">
        <v>2011</v>
      </c>
      <c r="C70" s="5">
        <v>2023882601.55</v>
      </c>
      <c r="D70" s="62">
        <f>SUMPRODUCT(N(Tabela3[PAPEL]=Tabela2[[#This Row],[Ativo]]),Tabela3[Total Ações])</f>
        <v>349547945</v>
      </c>
      <c r="E70" s="65">
        <f>(Tabela2[[#This Row],[Lucro Líquido]])/Tabela2[[#This Row],[Total Ações]]</f>
        <v>5.79</v>
      </c>
      <c r="F70" s="65">
        <v>1.7780234450000001</v>
      </c>
      <c r="G70" s="22">
        <f>IF(AND(Tabela2[[#This Row],[Dividendo / Ação]]&gt;0,Tabela2[[#This Row],[Lucro por ação]]&gt;0),Tabela2[[#This Row],[Dividendo / Ação]]/Tabela2[[#This Row],[Lucro por ação]],"")</f>
        <v>0.30708522366148533</v>
      </c>
      <c r="H70" s="51">
        <f>MAX(Tabela2[[#This Row],[Cotação 1]],Tabela2[[#This Row],[Cotação 2]])</f>
        <v>18.16</v>
      </c>
      <c r="I70" s="18">
        <f>IF(Tabela2[[#This Row],[Dividendo / Ação]]&gt;0,Tabela2[[#This Row],[Dividendo / Ação]]/Tabela2[[#This Row],[Cotação]],"")</f>
        <v>9.7908780011013219E-2</v>
      </c>
      <c r="J70" s="7">
        <f>SUMPRODUCT(N(Tabela1[Código]=Tabela2[[#This Row],[Ativo]]),Tabela1[Fechamento])</f>
        <v>0</v>
      </c>
      <c r="K70" s="7">
        <f>SUMPRODUCT(N(Tabela17[Código]=Tabela2[[#This Row],[Ativo]]),Tabela17[Fechamento])</f>
        <v>18.16</v>
      </c>
      <c r="L70" s="3">
        <v>7.8275895100000006E-2</v>
      </c>
      <c r="M70" s="3"/>
    </row>
    <row r="71" spans="1:13">
      <c r="A71" s="10" t="s">
        <v>335</v>
      </c>
      <c r="B71" s="3">
        <v>2010</v>
      </c>
      <c r="C71" s="5">
        <v>1758226163.3499999</v>
      </c>
      <c r="D71" s="62">
        <f>SUMPRODUCT(N(Tabela3[PAPEL]=Tabela2[[#This Row],[Ativo]]),Tabela3[Total Ações])</f>
        <v>349547945</v>
      </c>
      <c r="E71" s="65">
        <f>(Tabela2[[#This Row],[Lucro Líquido]])/Tabela2[[#This Row],[Total Ações]]</f>
        <v>5.0299999999999994</v>
      </c>
      <c r="F71" s="65">
        <v>1.5299646339999999</v>
      </c>
      <c r="G71" s="22">
        <f>IF(AND(Tabela2[[#This Row],[Dividendo / Ação]]&gt;0,Tabela2[[#This Row],[Lucro por ação]]&gt;0),Tabela2[[#This Row],[Dividendo / Ação]]/Tabela2[[#This Row],[Lucro por ação]],"")</f>
        <v>0.30416791928429426</v>
      </c>
      <c r="H71" s="51">
        <f>MAX(Tabela2[[#This Row],[Cotação 1]],Tabela2[[#This Row],[Cotação 2]])</f>
        <v>18.16</v>
      </c>
      <c r="I71" s="18">
        <f>IF(Tabela2[[#This Row],[Dividendo / Ação]]&gt;0,Tabela2[[#This Row],[Dividendo / Ação]]/Tabela2[[#This Row],[Cotação]],"")</f>
        <v>8.4249153854625544E-2</v>
      </c>
      <c r="J71" s="7">
        <f>SUMPRODUCT(N(Tabela1[Código]=Tabela2[[#This Row],[Ativo]]),Tabela1[Fechamento])</f>
        <v>0</v>
      </c>
      <c r="K71" s="7">
        <f>SUMPRODUCT(N(Tabela17[Código]=Tabela2[[#This Row],[Ativo]]),Tabela17[Fechamento])</f>
        <v>18.16</v>
      </c>
      <c r="L71" s="3">
        <v>7.8275895100000006E-2</v>
      </c>
      <c r="M71" s="3"/>
    </row>
    <row r="72" spans="1:13">
      <c r="A72" s="10" t="s">
        <v>335</v>
      </c>
      <c r="B72" s="3">
        <v>2009</v>
      </c>
      <c r="C72" s="5">
        <v>961256848.75</v>
      </c>
      <c r="D72" s="67">
        <f>SUMPRODUCT(N(Tabela3[PAPEL]=Tabela2[[#This Row],[Ativo]]),Tabela3[Total Ações])</f>
        <v>349547945</v>
      </c>
      <c r="E72" s="65">
        <f>(Tabela2[[#This Row],[Lucro Líquido]])/Tabela2[[#This Row],[Total Ações]]</f>
        <v>2.75</v>
      </c>
      <c r="F72" s="65">
        <v>0.86687395199999995</v>
      </c>
      <c r="G72" s="75">
        <f>IF(AND(Tabela2[[#This Row],[Dividendo / Ação]]&gt;0,Tabela2[[#This Row],[Lucro por ação]]&gt;0),Tabela2[[#This Row],[Dividendo / Ação]]/Tabela2[[#This Row],[Lucro por ação]],"")</f>
        <v>0.31522689163636364</v>
      </c>
      <c r="H72" s="60">
        <f>MAX(Tabela2[[#This Row],[Cotação 1]],Tabela2[[#This Row],[Cotação 2]])</f>
        <v>18.16</v>
      </c>
      <c r="I72" s="22">
        <f>IF(Tabela2[[#This Row],[Dividendo / Ação]]&gt;0,Tabela2[[#This Row],[Dividendo / Ação]]/Tabela2[[#This Row],[Cotação]],"")</f>
        <v>4.7735349779735682E-2</v>
      </c>
      <c r="J72" s="7">
        <f>SUMPRODUCT(N(Tabela1[Código]=Tabela2[[#This Row],[Ativo]]),Tabela1[Fechamento])</f>
        <v>0</v>
      </c>
      <c r="K72" s="7">
        <f>SUMPRODUCT(N(Tabela17[Código]=Tabela2[[#This Row],[Ativo]]),Tabela17[Fechamento])</f>
        <v>18.16</v>
      </c>
      <c r="L72" s="3">
        <f>SUM(L68:L71)</f>
        <v>0.70331065979999996</v>
      </c>
      <c r="M72" s="3"/>
    </row>
    <row r="73" spans="1:13">
      <c r="A73" s="10" t="s">
        <v>336</v>
      </c>
      <c r="B73" s="3">
        <v>2012</v>
      </c>
      <c r="C73" s="5">
        <v>476737173.38</v>
      </c>
      <c r="D73" s="62">
        <f>SUMPRODUCT(N(Tabela3[PAPEL]=Tabela2[[#This Row],[Ativo]]),Tabela3[Total Ações])</f>
        <v>349547945</v>
      </c>
      <c r="E73" s="65">
        <f>(Tabela2[[#This Row],[Lucro Líquido]])/Tabela2[[#This Row],[Total Ações]]</f>
        <v>1.3638677617744255</v>
      </c>
      <c r="F73" s="65">
        <v>0.65020045000000004</v>
      </c>
      <c r="G73" s="22">
        <f>IF(AND(Tabela2[[#This Row],[Dividendo / Ação]]&gt;0,Tabela2[[#This Row],[Lucro por ação]]&gt;0),Tabela2[[#This Row],[Dividendo / Ação]]/Tabela2[[#This Row],[Lucro por ação]],"")</f>
        <v>0.47673276561216849</v>
      </c>
      <c r="H73" s="51">
        <f>MAX(Tabela2[[#This Row],[Cotação 1]],Tabela2[[#This Row],[Cotação 2]])</f>
        <v>22.41</v>
      </c>
      <c r="I73" s="18">
        <f>IF(Tabela2[[#This Row],[Dividendo / Ação]]&gt;0,Tabela2[[#This Row],[Dividendo / Ação]]/Tabela2[[#This Row],[Cotação]],"")</f>
        <v>2.9013853190539941E-2</v>
      </c>
      <c r="J73" s="7">
        <f>SUMPRODUCT(N(Tabela1[Código]=Tabela2[[#This Row],[Ativo]]),Tabela1[Fechamento])</f>
        <v>0</v>
      </c>
      <c r="K73" s="7">
        <f>SUMPRODUCT(N(Tabela17[Código]=Tabela2[[#This Row],[Ativo]]),Tabela17[Fechamento])</f>
        <v>22.41</v>
      </c>
      <c r="M73" s="3"/>
    </row>
    <row r="74" spans="1:13">
      <c r="A74" s="10" t="s">
        <v>336</v>
      </c>
      <c r="B74" s="3">
        <v>2011</v>
      </c>
      <c r="C74" s="5">
        <v>2023882601.55</v>
      </c>
      <c r="D74" s="62">
        <f>SUMPRODUCT(N(Tabela3[PAPEL]=Tabela2[[#This Row],[Ativo]]),Tabela3[Total Ações])</f>
        <v>349547945</v>
      </c>
      <c r="E74" s="65">
        <f>(Tabela2[[#This Row],[Lucro Líquido]])/Tabela2[[#This Row],[Total Ações]]</f>
        <v>5.79</v>
      </c>
      <c r="F74" s="65">
        <v>1.955825792</v>
      </c>
      <c r="G74" s="22">
        <f>IF(AND(Tabela2[[#This Row],[Dividendo / Ação]]&gt;0,Tabela2[[#This Row],[Lucro por ação]]&gt;0),Tabela2[[#This Row],[Dividendo / Ação]]/Tabela2[[#This Row],[Lucro por ação]],"")</f>
        <v>0.33779374645941279</v>
      </c>
      <c r="H74" s="51">
        <f>MAX(Tabela2[[#This Row],[Cotação 1]],Tabela2[[#This Row],[Cotação 2]])</f>
        <v>22.41</v>
      </c>
      <c r="I74" s="18">
        <f>IF(Tabela2[[#This Row],[Dividendo / Ação]]&gt;0,Tabela2[[#This Row],[Dividendo / Ação]]/Tabela2[[#This Row],[Cotação]],"")</f>
        <v>8.727468951360999E-2</v>
      </c>
      <c r="J74" s="7">
        <f>SUMPRODUCT(N(Tabela1[Código]=Tabela2[[#This Row],[Ativo]]),Tabela1[Fechamento])</f>
        <v>0</v>
      </c>
      <c r="K74" s="7">
        <f>SUMPRODUCT(N(Tabela17[Código]=Tabela2[[#This Row],[Ativo]]),Tabela17[Fechamento])</f>
        <v>22.41</v>
      </c>
      <c r="M74" s="3"/>
    </row>
    <row r="75" spans="1:13">
      <c r="A75" s="10" t="s">
        <v>336</v>
      </c>
      <c r="B75" s="3">
        <v>2010</v>
      </c>
      <c r="C75" s="5">
        <v>1758226163.3499999</v>
      </c>
      <c r="D75" s="62">
        <f>SUMPRODUCT(N(Tabela3[PAPEL]=Tabela2[[#This Row],[Ativo]]),Tabela3[Total Ações])</f>
        <v>349547945</v>
      </c>
      <c r="E75" s="65">
        <f>(Tabela2[[#This Row],[Lucro Líquido]])/Tabela2[[#This Row],[Total Ações]]</f>
        <v>5.0299999999999994</v>
      </c>
      <c r="F75" s="65">
        <v>1.6829611</v>
      </c>
      <c r="G75" s="22">
        <f>IF(AND(Tabela2[[#This Row],[Dividendo / Ação]]&gt;0,Tabela2[[#This Row],[Lucro por ação]]&gt;0),Tabela2[[#This Row],[Dividendo / Ação]]/Tabela2[[#This Row],[Lucro por ação]],"")</f>
        <v>0.33458471172962229</v>
      </c>
      <c r="H75" s="51">
        <f>MAX(Tabela2[[#This Row],[Cotação 1]],Tabela2[[#This Row],[Cotação 2]])</f>
        <v>22.41</v>
      </c>
      <c r="I75" s="18">
        <f>IF(Tabela2[[#This Row],[Dividendo / Ação]]&gt;0,Tabela2[[#This Row],[Dividendo / Ação]]/Tabela2[[#This Row],[Cotação]],"")</f>
        <v>7.5098665774207943E-2</v>
      </c>
      <c r="J75" s="7">
        <f>SUMPRODUCT(N(Tabela1[Código]=Tabela2[[#This Row],[Ativo]]),Tabela1[Fechamento])</f>
        <v>0</v>
      </c>
      <c r="K75" s="7">
        <f>SUMPRODUCT(N(Tabela17[Código]=Tabela2[[#This Row],[Ativo]]),Tabela17[Fechamento])</f>
        <v>22.41</v>
      </c>
      <c r="M75" s="3"/>
    </row>
    <row r="76" spans="1:13">
      <c r="A76" s="10" t="s">
        <v>336</v>
      </c>
      <c r="B76" s="3">
        <v>2009</v>
      </c>
      <c r="C76" s="5">
        <v>961256848.75</v>
      </c>
      <c r="D76" s="67">
        <f>SUMPRODUCT(N(Tabela3[PAPEL]=Tabela2[[#This Row],[Ativo]]),Tabela3[Total Ações])</f>
        <v>349547945</v>
      </c>
      <c r="E76" s="65">
        <f>(Tabela2[[#This Row],[Lucro Líquido]])/Tabela2[[#This Row],[Total Ações]]</f>
        <v>2.75</v>
      </c>
      <c r="F76" s="65">
        <v>0.953561349</v>
      </c>
      <c r="G76" s="75">
        <f>IF(AND(Tabela2[[#This Row],[Dividendo / Ação]]&gt;0,Tabela2[[#This Row],[Lucro por ação]]&gt;0),Tabela2[[#This Row],[Dividendo / Ação]]/Tabela2[[#This Row],[Lucro por ação]],"")</f>
        <v>0.34674958145454543</v>
      </c>
      <c r="H76" s="60">
        <f>MAX(Tabela2[[#This Row],[Cotação 1]],Tabela2[[#This Row],[Cotação 2]])</f>
        <v>22.41</v>
      </c>
      <c r="I76" s="22">
        <f>IF(Tabela2[[#This Row],[Dividendo / Ação]]&gt;0,Tabela2[[#This Row],[Dividendo / Ação]]/Tabela2[[#This Row],[Cotação]],"")</f>
        <v>4.2550707228915664E-2</v>
      </c>
      <c r="J76" s="7">
        <f>SUMPRODUCT(N(Tabela1[Código]=Tabela2[[#This Row],[Ativo]]),Tabela1[Fechamento])</f>
        <v>0</v>
      </c>
      <c r="K76" s="7">
        <f>SUMPRODUCT(N(Tabela17[Código]=Tabela2[[#This Row],[Ativo]]),Tabela17[Fechamento])</f>
        <v>22.41</v>
      </c>
      <c r="M76" s="3"/>
    </row>
    <row r="77" spans="1:13">
      <c r="A77" s="10" t="s">
        <v>317</v>
      </c>
      <c r="B77" s="3">
        <v>2012</v>
      </c>
      <c r="C77" s="5">
        <v>813227000</v>
      </c>
      <c r="D77" s="62">
        <f>SUMPRODUCT(N(Tabela3[PAPEL]=Tabela2[[#This Row],[Ativo]]),Tabela3[Total Ações])</f>
        <v>872473246</v>
      </c>
      <c r="E77" s="65">
        <f>(Tabela2[[#This Row],[Lucro Líquido]])/Tabela2[[#This Row],[Total Ações]]</f>
        <v>0.93209391087735427</v>
      </c>
      <c r="F77" s="65">
        <v>0.32</v>
      </c>
      <c r="G77" s="22">
        <f>IF(AND(Tabela2[[#This Row],[Dividendo / Ação]]&gt;0,Tabela2[[#This Row],[Lucro por ação]]&gt;0),Tabela2[[#This Row],[Dividendo / Ação]]/Tabela2[[#This Row],[Lucro por ação]],"")</f>
        <v>0.34331304632040011</v>
      </c>
      <c r="H77" s="51">
        <f>MAX(Tabela2[[#This Row],[Cotação 1]],Tabela2[[#This Row],[Cotação 2]])</f>
        <v>44.71</v>
      </c>
      <c r="I77" s="18">
        <f>IF(Tabela2[[#This Row],[Dividendo / Ação]]&gt;0,Tabela2[[#This Row],[Dividendo / Ação]]/Tabela2[[#This Row],[Cotação]],"")</f>
        <v>7.1572355177812567E-3</v>
      </c>
      <c r="J77" s="7">
        <f>SUMPRODUCT(N(Tabela1[Código]=Tabela2[[#This Row],[Ativo]]),Tabela1[Fechamento])</f>
        <v>0</v>
      </c>
      <c r="K77" s="7">
        <f>SUMPRODUCT(N(Tabela17[Código]=Tabela2[[#This Row],[Ativo]]),Tabela17[Fechamento])</f>
        <v>44.71</v>
      </c>
      <c r="M77" s="3"/>
    </row>
    <row r="78" spans="1:13">
      <c r="A78" s="3" t="s">
        <v>317</v>
      </c>
      <c r="B78" s="3">
        <v>2011</v>
      </c>
      <c r="C78" s="5">
        <v>1367409000</v>
      </c>
      <c r="D78" s="62">
        <f>SUMPRODUCT(N(Tabela3[PAPEL]=Tabela2[[#This Row],[Ativo]]),Tabela3[Total Ações])</f>
        <v>872473246</v>
      </c>
      <c r="E78" s="65">
        <f>(Tabela2[[#This Row],[Lucro Líquido]])/Tabela2[[#This Row],[Total Ações]]</f>
        <v>1.5672790039913729</v>
      </c>
      <c r="F78" s="65">
        <v>0.72453109900000001</v>
      </c>
      <c r="G78" s="22">
        <f>IF(AND(Tabela2[[#This Row],[Dividendo / Ação]]&gt;0,Tabela2[[#This Row],[Lucro por ação]]&gt;0),Tabela2[[#This Row],[Dividendo / Ação]]/Tabela2[[#This Row],[Lucro por ação]],"")</f>
        <v>0.46228597279415107</v>
      </c>
      <c r="H78" s="51">
        <f>MAX(Tabela2[[#This Row],[Cotação 1]],Tabela2[[#This Row],[Cotação 2]])</f>
        <v>44.71</v>
      </c>
      <c r="I78" s="18">
        <f>IF(Tabela2[[#This Row],[Dividendo / Ação]]&gt;0,Tabela2[[#This Row],[Dividendo / Ação]]/Tabela2[[#This Row],[Cotação]],"")</f>
        <v>1.620512411093715E-2</v>
      </c>
      <c r="J78" s="7">
        <f>SUMPRODUCT(N(Tabela1[Código]=Tabela2[[#This Row],[Ativo]]),Tabela1[Fechamento])</f>
        <v>0</v>
      </c>
      <c r="K78" s="7">
        <f>SUMPRODUCT(N(Tabela17[Código]=Tabela2[[#This Row],[Ativo]]),Tabela17[Fechamento])</f>
        <v>44.71</v>
      </c>
      <c r="M78" s="3"/>
    </row>
    <row r="79" spans="1:13">
      <c r="A79" s="10" t="s">
        <v>317</v>
      </c>
      <c r="B79" s="3">
        <v>2010</v>
      </c>
      <c r="C79" s="5">
        <v>804106000</v>
      </c>
      <c r="D79" s="62">
        <f>SUMPRODUCT(N(Tabela3[PAPEL]=Tabela2[[#This Row],[Ativo]]),Tabela3[Total Ações])</f>
        <v>872473246</v>
      </c>
      <c r="E79" s="65">
        <f>(Tabela2[[#This Row],[Lucro Líquido]])/Tabela2[[#This Row],[Total Ações]]</f>
        <v>0.92163972211934164</v>
      </c>
      <c r="F79" s="65">
        <v>0.30086882500000001</v>
      </c>
      <c r="G79" s="22">
        <f>IF(AND(Tabela2[[#This Row],[Dividendo / Ação]]&gt;0,Tabela2[[#This Row],[Lucro por ação]]&gt;0),Tabela2[[#This Row],[Dividendo / Ação]]/Tabela2[[#This Row],[Lucro por ação]],"")</f>
        <v>0.32644949840935888</v>
      </c>
      <c r="H79" s="51">
        <f>MAX(Tabela2[[#This Row],[Cotação 1]],Tabela2[[#This Row],[Cotação 2]])</f>
        <v>44.71</v>
      </c>
      <c r="I79" s="18">
        <f>IF(Tabela2[[#This Row],[Dividendo / Ação]]&gt;0,Tabela2[[#This Row],[Dividendo / Ação]]/Tabela2[[#This Row],[Cotação]],"")</f>
        <v>6.7293407515097298E-3</v>
      </c>
      <c r="J79" s="7">
        <f>SUMPRODUCT(N(Tabela1[Código]=Tabela2[[#This Row],[Ativo]]),Tabela1[Fechamento])</f>
        <v>0</v>
      </c>
      <c r="K79" s="7">
        <f>SUMPRODUCT(N(Tabela17[Código]=Tabela2[[#This Row],[Ativo]]),Tabela17[Fechamento])</f>
        <v>44.71</v>
      </c>
      <c r="M79" s="3"/>
    </row>
    <row r="80" spans="1:13">
      <c r="A80" s="15" t="s">
        <v>253</v>
      </c>
      <c r="B80" s="3">
        <v>2012</v>
      </c>
      <c r="C80" s="5">
        <v>63154000</v>
      </c>
      <c r="D80" s="62">
        <f>SUMPRODUCT(N(Tabela3[PAPEL]=Tabela2[[#This Row],[Ativo]]),Tabela3[Total Ações])</f>
        <v>73646388</v>
      </c>
      <c r="E80" s="65">
        <f>(Tabela2[[#This Row],[Lucro Líquido]])/Tabela2[[#This Row],[Total Ações]]</f>
        <v>0.85753017513907126</v>
      </c>
      <c r="F80" s="65">
        <v>0.24782000000000001</v>
      </c>
      <c r="G80" s="22">
        <f>IF(AND(Tabela2[[#This Row],[Dividendo / Ação]]&gt;0,Tabela2[[#This Row],[Lucro por ação]]&gt;0),Tabela2[[#This Row],[Dividendo / Ação]]/Tabela2[[#This Row],[Lucro por ação]],"")</f>
        <v>0.28899274589353013</v>
      </c>
      <c r="H80" s="5">
        <f>MAX(Tabela2[[#This Row],[Cotação 1]],Tabela2[[#This Row],[Cotação 2]])</f>
        <v>3.82</v>
      </c>
      <c r="I80" s="18">
        <f>IF(Tabela2[[#This Row],[Dividendo / Ação]]&gt;0,Tabela2[[#This Row],[Dividendo / Ação]]/Tabela2[[#This Row],[Cotação]],"")</f>
        <v>6.4874345549738227E-2</v>
      </c>
      <c r="J80" s="60">
        <f>SUMPRODUCT(N(Tabela1[Código]=Tabela2[[#This Row],[Ativo]]),Tabela1[Fechamento])</f>
        <v>3.82</v>
      </c>
      <c r="K80" s="60">
        <f>SUMPRODUCT(N(Tabela17[Código]=Tabela2[[#This Row],[Ativo]]),Tabela17[Fechamento])</f>
        <v>0</v>
      </c>
      <c r="M80" s="3"/>
    </row>
    <row r="81" spans="1:13">
      <c r="A81" s="15" t="s">
        <v>253</v>
      </c>
      <c r="B81" s="3">
        <v>2011</v>
      </c>
      <c r="C81" s="5">
        <v>56638000</v>
      </c>
      <c r="D81" s="62">
        <f>SUMPRODUCT(N(Tabela3[PAPEL]=Tabela2[[#This Row],[Ativo]]),Tabela3[Total Ações])</f>
        <v>73646388</v>
      </c>
      <c r="E81" s="65">
        <f>(Tabela2[[#This Row],[Lucro Líquido]])/Tabela2[[#This Row],[Total Ações]]</f>
        <v>0.76905333089791184</v>
      </c>
      <c r="F81" s="65">
        <v>0.22899</v>
      </c>
      <c r="G81" s="22">
        <f>IF(AND(Tabela2[[#This Row],[Dividendo / Ação]]&gt;0,Tabela2[[#This Row],[Lucro por ação]]&gt;0),Tabela2[[#This Row],[Dividendo / Ação]]/Tabela2[[#This Row],[Lucro por ação]],"")</f>
        <v>0.29775568325364593</v>
      </c>
      <c r="H81" s="5">
        <f>MAX(Tabela2[[#This Row],[Cotação 1]],Tabela2[[#This Row],[Cotação 2]])</f>
        <v>3.82</v>
      </c>
      <c r="I81" s="18">
        <f>IF(Tabela2[[#This Row],[Dividendo / Ação]]&gt;0,Tabela2[[#This Row],[Dividendo / Ação]]/Tabela2[[#This Row],[Cotação]],"")</f>
        <v>5.9945026178010473E-2</v>
      </c>
      <c r="J81" s="60">
        <f>SUMPRODUCT(N(Tabela1[Código]=Tabela2[[#This Row],[Ativo]]),Tabela1[Fechamento])</f>
        <v>3.82</v>
      </c>
      <c r="K81" s="60">
        <f>SUMPRODUCT(N(Tabela17[Código]=Tabela2[[#This Row],[Ativo]]),Tabela17[Fechamento])</f>
        <v>0</v>
      </c>
      <c r="M81" s="3"/>
    </row>
    <row r="82" spans="1:13">
      <c r="A82" s="15" t="s">
        <v>253</v>
      </c>
      <c r="B82" s="3">
        <v>2010</v>
      </c>
      <c r="C82" s="5">
        <v>50724000</v>
      </c>
      <c r="D82" s="62">
        <f>SUMPRODUCT(N(Tabela3[PAPEL]=Tabela2[[#This Row],[Ativo]]),Tabela3[Total Ações])</f>
        <v>73646388</v>
      </c>
      <c r="E82" s="65">
        <f>(Tabela2[[#This Row],[Lucro Líquido]])/Tabela2[[#This Row],[Total Ações]]</f>
        <v>0.6887506825181976</v>
      </c>
      <c r="F82" s="65">
        <v>0.22311</v>
      </c>
      <c r="G82" s="22">
        <f>IF(AND(Tabela2[[#This Row],[Dividendo / Ação]]&gt;0,Tabela2[[#This Row],[Lucro por ação]]&gt;0),Tabela2[[#This Row],[Dividendo / Ação]]/Tabela2[[#This Row],[Lucro por ação]],"")</f>
        <v>0.32393434324343506</v>
      </c>
      <c r="H82" s="5">
        <f>MAX(Tabela2[[#This Row],[Cotação 1]],Tabela2[[#This Row],[Cotação 2]])</f>
        <v>3.82</v>
      </c>
      <c r="I82" s="18">
        <f>IF(Tabela2[[#This Row],[Dividendo / Ação]]&gt;0,Tabela2[[#This Row],[Dividendo / Ação]]/Tabela2[[#This Row],[Cotação]],"")</f>
        <v>5.8405759162303665E-2</v>
      </c>
      <c r="J82" s="60">
        <f>SUMPRODUCT(N(Tabela1[Código]=Tabela2[[#This Row],[Ativo]]),Tabela1[Fechamento])</f>
        <v>3.82</v>
      </c>
      <c r="K82" s="60">
        <f>SUMPRODUCT(N(Tabela17[Código]=Tabela2[[#This Row],[Ativo]]),Tabela17[Fechamento])</f>
        <v>0</v>
      </c>
      <c r="M82" s="3"/>
    </row>
    <row r="83" spans="1:13">
      <c r="A83" s="15" t="s">
        <v>253</v>
      </c>
      <c r="B83" s="3">
        <v>2009</v>
      </c>
      <c r="C83" s="5">
        <v>46296000</v>
      </c>
      <c r="D83" s="62">
        <f>SUMPRODUCT(N(Tabela3[PAPEL]=Tabela2[[#This Row],[Ativo]]),Tabela3[Total Ações])</f>
        <v>73646388</v>
      </c>
      <c r="E83" s="65">
        <f>(Tabela2[[#This Row],[Lucro Líquido]])/Tabela2[[#This Row],[Total Ações]]</f>
        <v>0.62862553422171907</v>
      </c>
      <c r="F83" s="65">
        <v>0.19269</v>
      </c>
      <c r="G83" s="22">
        <f>IF(AND(Tabela2[[#This Row],[Dividendo / Ação]]&gt;0,Tabela2[[#This Row],[Lucro por ação]]&gt;0),Tabela2[[#This Row],[Dividendo / Ação]]/Tabela2[[#This Row],[Lucro por ação]],"")</f>
        <v>0.30652588784603418</v>
      </c>
      <c r="H83" s="5">
        <f>MAX(Tabela2[[#This Row],[Cotação 1]],Tabela2[[#This Row],[Cotação 2]])</f>
        <v>3.82</v>
      </c>
      <c r="I83" s="18">
        <f>IF(Tabela2[[#This Row],[Dividendo / Ação]]&gt;0,Tabela2[[#This Row],[Dividendo / Ação]]/Tabela2[[#This Row],[Cotação]],"")</f>
        <v>5.0442408376963351E-2</v>
      </c>
      <c r="J83" s="60">
        <f>SUMPRODUCT(N(Tabela1[Código]=Tabela2[[#This Row],[Ativo]]),Tabela1[Fechamento])</f>
        <v>3.82</v>
      </c>
      <c r="K83" s="60">
        <f>SUMPRODUCT(N(Tabela17[Código]=Tabela2[[#This Row],[Ativo]]),Tabela17[Fechamento])</f>
        <v>0</v>
      </c>
      <c r="M83" s="3"/>
    </row>
    <row r="84" spans="1:13">
      <c r="A84" s="14" t="s">
        <v>254</v>
      </c>
      <c r="B84" s="3">
        <v>2012</v>
      </c>
      <c r="C84" s="5">
        <v>63154000</v>
      </c>
      <c r="D84" s="8">
        <f>SUMPRODUCT(N(Tabela3[PAPEL]=Tabela2[[#This Row],[Ativo]]),Tabela3[Total Ações])</f>
        <v>73646388</v>
      </c>
      <c r="E84" s="66">
        <f>(Tabela2[[#This Row],[Lucro Líquido]])/Tabela2[[#This Row],[Total Ações]]</f>
        <v>0.85753017513907126</v>
      </c>
      <c r="F84" s="66">
        <v>3.3640000000000003E-2</v>
      </c>
      <c r="G84" s="46">
        <f>IF(AND(Tabela2[[#This Row],[Dividendo / Ação]]&gt;0,Tabela2[[#This Row],[Lucro por ação]]&gt;0),Tabela2[[#This Row],[Dividendo / Ação]]/Tabela2[[#This Row],[Lucro por ação]],"")</f>
        <v>3.9228940246381863E-2</v>
      </c>
      <c r="H84" s="6">
        <f>MAX(Tabela2[[#This Row],[Cotação 1]],Tabela2[[#This Row],[Cotação 2]])</f>
        <v>4</v>
      </c>
      <c r="I84" s="19">
        <f>IF(Tabela2[[#This Row],[Dividendo / Ação]]&gt;0,Tabela2[[#This Row],[Dividendo / Ação]]/Tabela2[[#This Row],[Cotação]],"")</f>
        <v>8.4100000000000008E-3</v>
      </c>
      <c r="J84" s="61">
        <f>SUMPRODUCT(N(Tabela1[Código]=Tabela2[[#This Row],[Ativo]]),Tabela1[Fechamento])</f>
        <v>4</v>
      </c>
      <c r="K84" s="61">
        <f>SUMPRODUCT(N(Tabela17[Código]=Tabela2[[#This Row],[Ativo]]),Tabela17[Fechamento])</f>
        <v>0</v>
      </c>
      <c r="M84" s="3"/>
    </row>
    <row r="85" spans="1:13">
      <c r="A85" s="14" t="s">
        <v>254</v>
      </c>
      <c r="B85" s="3">
        <v>2011</v>
      </c>
      <c r="C85" s="5">
        <v>56638000</v>
      </c>
      <c r="D85" s="8">
        <f>SUMPRODUCT(N(Tabela3[PAPEL]=Tabela2[[#This Row],[Ativo]]),Tabela3[Total Ações])</f>
        <v>73646388</v>
      </c>
      <c r="E85" s="66">
        <f>(Tabela2[[#This Row],[Lucro Líquido]])/Tabela2[[#This Row],[Total Ações]]</f>
        <v>0.76905333089791184</v>
      </c>
      <c r="F85" s="66">
        <v>1.0189999999999999E-2</v>
      </c>
      <c r="G85" s="46">
        <f>IF(AND(Tabela2[[#This Row],[Dividendo / Ação]]&gt;0,Tabela2[[#This Row],[Lucro por ação]]&gt;0),Tabela2[[#This Row],[Dividendo / Ação]]/Tabela2[[#This Row],[Lucro por ação]],"")</f>
        <v>1.3250056388290545E-2</v>
      </c>
      <c r="H85" s="6">
        <f>MAX(Tabela2[[#This Row],[Cotação 1]],Tabela2[[#This Row],[Cotação 2]])</f>
        <v>4</v>
      </c>
      <c r="I85" s="19">
        <f>IF(Tabela2[[#This Row],[Dividendo / Ação]]&gt;0,Tabela2[[#This Row],[Dividendo / Ação]]/Tabela2[[#This Row],[Cotação]],"")</f>
        <v>2.5474999999999999E-3</v>
      </c>
      <c r="J85" s="61">
        <f>SUMPRODUCT(N(Tabela1[Código]=Tabela2[[#This Row],[Ativo]]),Tabela1[Fechamento])</f>
        <v>4</v>
      </c>
      <c r="K85" s="61">
        <f>SUMPRODUCT(N(Tabela17[Código]=Tabela2[[#This Row],[Ativo]]),Tabela17[Fechamento])</f>
        <v>0</v>
      </c>
      <c r="M85" s="3"/>
    </row>
    <row r="86" spans="1:13">
      <c r="A86" s="14" t="s">
        <v>254</v>
      </c>
      <c r="B86" s="3">
        <v>2010</v>
      </c>
      <c r="C86" s="5">
        <v>50724000</v>
      </c>
      <c r="D86" s="8">
        <f>SUMPRODUCT(N(Tabela3[PAPEL]=Tabela2[[#This Row],[Ativo]]),Tabela3[Total Ações])</f>
        <v>73646388</v>
      </c>
      <c r="E86" s="66">
        <f>(Tabela2[[#This Row],[Lucro Líquido]])/Tabela2[[#This Row],[Total Ações]]</f>
        <v>0.6887506825181976</v>
      </c>
      <c r="F86" s="66">
        <v>3.8589999999999999E-2</v>
      </c>
      <c r="G86" s="46">
        <f>IF(AND(Tabela2[[#This Row],[Dividendo / Ação]]&gt;0,Tabela2[[#This Row],[Lucro por ação]]&gt;0),Tabela2[[#This Row],[Dividendo / Ação]]/Tabela2[[#This Row],[Lucro por ação]],"")</f>
        <v>5.6028982590489711E-2</v>
      </c>
      <c r="H86" s="6">
        <f>MAX(Tabela2[[#This Row],[Cotação 1]],Tabela2[[#This Row],[Cotação 2]])</f>
        <v>4</v>
      </c>
      <c r="I86" s="19">
        <f>IF(Tabela2[[#This Row],[Dividendo / Ação]]&gt;0,Tabela2[[#This Row],[Dividendo / Ação]]/Tabela2[[#This Row],[Cotação]],"")</f>
        <v>9.6474999999999998E-3</v>
      </c>
      <c r="J86" s="61">
        <f>SUMPRODUCT(N(Tabela1[Código]=Tabela2[[#This Row],[Ativo]]),Tabela1[Fechamento])</f>
        <v>4</v>
      </c>
      <c r="K86" s="61">
        <f>SUMPRODUCT(N(Tabela17[Código]=Tabela2[[#This Row],[Ativo]]),Tabela17[Fechamento])</f>
        <v>0</v>
      </c>
      <c r="M86" s="3"/>
    </row>
    <row r="87" spans="1:13">
      <c r="A87" s="14" t="s">
        <v>254</v>
      </c>
      <c r="B87" s="3">
        <v>2009</v>
      </c>
      <c r="C87" s="5">
        <v>46296000</v>
      </c>
      <c r="D87" s="8">
        <f>SUMPRODUCT(N(Tabela3[PAPEL]=Tabela2[[#This Row],[Ativo]]),Tabela3[Total Ações])</f>
        <v>73646388</v>
      </c>
      <c r="E87" s="66">
        <f>(Tabela2[[#This Row],[Lucro Líquido]])/Tabela2[[#This Row],[Total Ações]]</f>
        <v>0.62862553422171907</v>
      </c>
      <c r="F87" s="65">
        <v>6.8790000000000004E-2</v>
      </c>
      <c r="G87" s="46">
        <f>IF(AND(Tabela2[[#This Row],[Dividendo / Ação]]&gt;0,Tabela2[[#This Row],[Lucro por ação]]&gt;0),Tabela2[[#This Row],[Dividendo / Ação]]/Tabela2[[#This Row],[Lucro por ação]],"")</f>
        <v>0.10942921700622084</v>
      </c>
      <c r="H87" s="6">
        <f>MAX(Tabela2[[#This Row],[Cotação 1]],Tabela2[[#This Row],[Cotação 2]])</f>
        <v>4</v>
      </c>
      <c r="I87" s="19">
        <f>IF(Tabela2[[#This Row],[Dividendo / Ação]]&gt;0,Tabela2[[#This Row],[Dividendo / Ação]]/Tabela2[[#This Row],[Cotação]],"")</f>
        <v>1.7197500000000001E-2</v>
      </c>
      <c r="J87" s="61">
        <f>SUMPRODUCT(N(Tabela1[Código]=Tabela2[[#This Row],[Ativo]]),Tabela1[Fechamento])</f>
        <v>4</v>
      </c>
      <c r="K87" s="61">
        <f>SUMPRODUCT(N(Tabela17[Código]=Tabela2[[#This Row],[Ativo]]),Tabela17[Fechamento])</f>
        <v>0</v>
      </c>
      <c r="M87" s="3"/>
    </row>
    <row r="88" spans="1:13">
      <c r="A88" s="15" t="s">
        <v>249</v>
      </c>
      <c r="B88" s="3">
        <v>2012</v>
      </c>
      <c r="C88" s="5">
        <v>63154000</v>
      </c>
      <c r="D88" s="62">
        <f>SUMPRODUCT(N(Tabela3[PAPEL]=Tabela2[[#This Row],[Ativo]]),Tabela3[Total Ações])</f>
        <v>73646388</v>
      </c>
      <c r="E88" s="65">
        <f>(Tabela2[[#This Row],[Lucro Líquido]])/Tabela2[[#This Row],[Total Ações]]</f>
        <v>0.85753017513907126</v>
      </c>
      <c r="F88" s="65">
        <v>3.058E-2</v>
      </c>
      <c r="G88" s="22">
        <f>IF(AND(Tabela2[[#This Row],[Dividendo / Ação]]&gt;0,Tabela2[[#This Row],[Lucro por ação]]&gt;0),Tabela2[[#This Row],[Dividendo / Ação]]/Tabela2[[#This Row],[Lucro por ação]],"")</f>
        <v>3.5660552697216331E-2</v>
      </c>
      <c r="H88" s="5">
        <f>MAX(Tabela2[[#This Row],[Cotação 1]],Tabela2[[#This Row],[Cotação 2]])</f>
        <v>4.2</v>
      </c>
      <c r="I88" s="18">
        <f>IF(Tabela2[[#This Row],[Dividendo / Ação]]&gt;0,Tabela2[[#This Row],[Dividendo / Ação]]/Tabela2[[#This Row],[Cotação]],"")</f>
        <v>7.2809523809523801E-3</v>
      </c>
      <c r="J88" s="60">
        <f>SUMPRODUCT(N(Tabela1[Código]=Tabela2[[#This Row],[Ativo]]),Tabela1[Fechamento])</f>
        <v>4.2</v>
      </c>
      <c r="K88" s="60">
        <f>SUMPRODUCT(N(Tabela17[Código]=Tabela2[[#This Row],[Ativo]]),Tabela17[Fechamento])</f>
        <v>0</v>
      </c>
      <c r="M88" s="3"/>
    </row>
    <row r="89" spans="1:13">
      <c r="A89" s="15" t="s">
        <v>249</v>
      </c>
      <c r="B89" s="3">
        <v>2011</v>
      </c>
      <c r="C89" s="5">
        <v>56638000</v>
      </c>
      <c r="D89" s="62">
        <f>SUMPRODUCT(N(Tabela3[PAPEL]=Tabela2[[#This Row],[Ativo]]),Tabela3[Total Ações])</f>
        <v>73646388</v>
      </c>
      <c r="E89" s="65">
        <f>(Tabela2[[#This Row],[Lucro Líquido]])/Tabela2[[#This Row],[Total Ações]]</f>
        <v>0.76905333089791184</v>
      </c>
      <c r="F89" s="65">
        <v>2.5999999999999999E-3</v>
      </c>
      <c r="G89" s="22">
        <f>IF(AND(Tabela2[[#This Row],[Dividendo / Ação]]&gt;0,Tabela2[[#This Row],[Lucro por ação]]&gt;0),Tabela2[[#This Row],[Dividendo / Ação]]/Tabela2[[#This Row],[Lucro por ação]],"")</f>
        <v>3.380779843921042E-3</v>
      </c>
      <c r="H89" s="5">
        <f>MAX(Tabela2[[#This Row],[Cotação 1]],Tabela2[[#This Row],[Cotação 2]])</f>
        <v>4.2</v>
      </c>
      <c r="I89" s="18">
        <f>IF(Tabela2[[#This Row],[Dividendo / Ação]]&gt;0,Tabela2[[#This Row],[Dividendo / Ação]]/Tabela2[[#This Row],[Cotação]],"")</f>
        <v>6.19047619047619E-4</v>
      </c>
      <c r="J89" s="60">
        <f>SUMPRODUCT(N(Tabela1[Código]=Tabela2[[#This Row],[Ativo]]),Tabela1[Fechamento])</f>
        <v>4.2</v>
      </c>
      <c r="K89" s="60">
        <f>SUMPRODUCT(N(Tabela17[Código]=Tabela2[[#This Row],[Ativo]]),Tabela17[Fechamento])</f>
        <v>0</v>
      </c>
      <c r="M89" s="3"/>
    </row>
    <row r="90" spans="1:13">
      <c r="A90" s="15" t="s">
        <v>249</v>
      </c>
      <c r="B90" s="3">
        <v>2010</v>
      </c>
      <c r="C90" s="5">
        <v>50724000</v>
      </c>
      <c r="D90" s="62">
        <f>SUMPRODUCT(N(Tabela3[PAPEL]=Tabela2[[#This Row],[Ativo]]),Tabela3[Total Ações])</f>
        <v>73646388</v>
      </c>
      <c r="E90" s="65">
        <f>(Tabela2[[#This Row],[Lucro Líquido]])/Tabela2[[#This Row],[Total Ações]]</f>
        <v>0.6887506825181976</v>
      </c>
      <c r="F90" s="65">
        <v>3.508E-2</v>
      </c>
      <c r="G90" s="22">
        <f>IF(AND(Tabela2[[#This Row],[Dividendo / Ação]]&gt;0,Tabela2[[#This Row],[Lucro por ação]]&gt;0),Tabela2[[#This Row],[Dividendo / Ação]]/Tabela2[[#This Row],[Lucro por ação]],"")</f>
        <v>5.0932798892831796E-2</v>
      </c>
      <c r="H90" s="5">
        <f>MAX(Tabela2[[#This Row],[Cotação 1]],Tabela2[[#This Row],[Cotação 2]])</f>
        <v>4.2</v>
      </c>
      <c r="I90" s="18">
        <f>IF(Tabela2[[#This Row],[Dividendo / Ação]]&gt;0,Tabela2[[#This Row],[Dividendo / Ação]]/Tabela2[[#This Row],[Cotação]],"")</f>
        <v>8.3523809523809514E-3</v>
      </c>
      <c r="J90" s="60">
        <f>SUMPRODUCT(N(Tabela1[Código]=Tabela2[[#This Row],[Ativo]]),Tabela1[Fechamento])</f>
        <v>4.2</v>
      </c>
      <c r="K90" s="60">
        <f>SUMPRODUCT(N(Tabela17[Código]=Tabela2[[#This Row],[Ativo]]),Tabela17[Fechamento])</f>
        <v>0</v>
      </c>
      <c r="M90" s="3"/>
    </row>
    <row r="91" spans="1:13">
      <c r="A91" s="15" t="s">
        <v>249</v>
      </c>
      <c r="B91" s="3">
        <v>2009</v>
      </c>
      <c r="C91" s="5">
        <v>46296000</v>
      </c>
      <c r="D91" s="62">
        <f>SUMPRODUCT(N(Tabela3[PAPEL]=Tabela2[[#This Row],[Ativo]]),Tabela3[Total Ações])</f>
        <v>73646388</v>
      </c>
      <c r="E91" s="65">
        <f>(Tabela2[[#This Row],[Lucro Líquido]])/Tabela2[[#This Row],[Total Ações]]</f>
        <v>0.62862553422171907</v>
      </c>
      <c r="F91" s="65">
        <v>6.2530000000000002E-2</v>
      </c>
      <c r="G91" s="22">
        <f>IF(AND(Tabela2[[#This Row],[Dividendo / Ação]]&gt;0,Tabela2[[#This Row],[Lucro por ação]]&gt;0),Tabela2[[#This Row],[Dividendo / Ação]]/Tabela2[[#This Row],[Lucro por ação]],"")</f>
        <v>9.9470983273716951E-2</v>
      </c>
      <c r="H91" s="5">
        <f>MAX(Tabela2[[#This Row],[Cotação 1]],Tabela2[[#This Row],[Cotação 2]])</f>
        <v>4.2</v>
      </c>
      <c r="I91" s="18">
        <f>IF(Tabela2[[#This Row],[Dividendo / Ação]]&gt;0,Tabela2[[#This Row],[Dividendo / Ação]]/Tabela2[[#This Row],[Cotação]],"")</f>
        <v>1.4888095238095238E-2</v>
      </c>
      <c r="J91" s="60">
        <f>SUMPRODUCT(N(Tabela1[Código]=Tabela2[[#This Row],[Ativo]]),Tabela1[Fechamento])</f>
        <v>4.2</v>
      </c>
      <c r="K91" s="60">
        <f>SUMPRODUCT(N(Tabela17[Código]=Tabela2[[#This Row],[Ativo]]),Tabela17[Fechamento])</f>
        <v>0</v>
      </c>
      <c r="M91" s="3"/>
    </row>
    <row r="92" spans="1:13">
      <c r="A92" s="10" t="s">
        <v>250</v>
      </c>
      <c r="B92" s="3">
        <v>2012</v>
      </c>
      <c r="C92" s="5">
        <v>63154000</v>
      </c>
      <c r="D92" s="62">
        <f>SUMPRODUCT(N(Tabela3[PAPEL]=Tabela2[[#This Row],[Ativo]]),Tabela3[Total Ações])</f>
        <v>73646388</v>
      </c>
      <c r="E92" s="65">
        <f>(Tabela2[[#This Row],[Lucro Líquido]])/Tabela2[[#This Row],[Total Ações]]</f>
        <v>0.85753017513907126</v>
      </c>
      <c r="F92" s="65">
        <v>0.20652000000000001</v>
      </c>
      <c r="G92" s="22">
        <f>IF(AND(Tabela2[[#This Row],[Dividendo / Ação]]&gt;0,Tabela2[[#This Row],[Lucro por ação]]&gt;0),Tabela2[[#This Row],[Dividendo / Ação]]/Tabela2[[#This Row],[Lucro por ação]],"")</f>
        <v>0.24083117537701496</v>
      </c>
      <c r="H92" s="5">
        <f>MAX(Tabela2[[#This Row],[Cotação 1]],Tabela2[[#This Row],[Cotação 2]])</f>
        <v>3.27</v>
      </c>
      <c r="I92" s="18">
        <f>IF(Tabela2[[#This Row],[Dividendo / Ação]]&gt;0,Tabela2[[#This Row],[Dividendo / Ação]]/Tabela2[[#This Row],[Cotação]],"")</f>
        <v>6.3155963302752291E-2</v>
      </c>
      <c r="J92" s="60">
        <f>SUMPRODUCT(N(Tabela1[Código]=Tabela2[[#This Row],[Ativo]]),Tabela1[Fechamento])</f>
        <v>3.27</v>
      </c>
      <c r="K92" s="60">
        <f>SUMPRODUCT(N(Tabela17[Código]=Tabela2[[#This Row],[Ativo]]),Tabela17[Fechamento])</f>
        <v>0</v>
      </c>
      <c r="M92" s="3"/>
    </row>
    <row r="93" spans="1:13">
      <c r="A93" s="10" t="s">
        <v>250</v>
      </c>
      <c r="B93" s="3">
        <v>2011</v>
      </c>
      <c r="C93" s="5">
        <v>56638000</v>
      </c>
      <c r="D93" s="62">
        <f>SUMPRODUCT(N(Tabela3[PAPEL]=Tabela2[[#This Row],[Ativo]]),Tabela3[Total Ações])</f>
        <v>73646388</v>
      </c>
      <c r="E93" s="65">
        <f>(Tabela2[[#This Row],[Lucro Líquido]])/Tabela2[[#This Row],[Total Ações]]</f>
        <v>0.76905333089791184</v>
      </c>
      <c r="F93" s="65">
        <v>0.19086</v>
      </c>
      <c r="G93" s="22">
        <f>IF(AND(Tabela2[[#This Row],[Dividendo / Ação]]&gt;0,Tabela2[[#This Row],[Lucro por ação]]&gt;0),Tabela2[[#This Row],[Dividendo / Ação]]/Tabela2[[#This Row],[Lucro por ação]],"")</f>
        <v>0.24817524654260389</v>
      </c>
      <c r="H93" s="5">
        <f>MAX(Tabela2[[#This Row],[Cotação 1]],Tabela2[[#This Row],[Cotação 2]])</f>
        <v>3.27</v>
      </c>
      <c r="I93" s="18">
        <f>IF(Tabela2[[#This Row],[Dividendo / Ação]]&gt;0,Tabela2[[#This Row],[Dividendo / Ação]]/Tabela2[[#This Row],[Cotação]],"")</f>
        <v>5.8366972477064218E-2</v>
      </c>
      <c r="J93" s="60">
        <f>SUMPRODUCT(N(Tabela1[Código]=Tabela2[[#This Row],[Ativo]]),Tabela1[Fechamento])</f>
        <v>3.27</v>
      </c>
      <c r="K93" s="60">
        <f>SUMPRODUCT(N(Tabela17[Código]=Tabela2[[#This Row],[Ativo]]),Tabela17[Fechamento])</f>
        <v>0</v>
      </c>
      <c r="M93" s="3"/>
    </row>
    <row r="94" spans="1:13">
      <c r="A94" s="10" t="s">
        <v>250</v>
      </c>
      <c r="B94" s="3">
        <v>2010</v>
      </c>
      <c r="C94" s="5">
        <v>50724000</v>
      </c>
      <c r="D94" s="62">
        <f>SUMPRODUCT(N(Tabela3[PAPEL]=Tabela2[[#This Row],[Ativo]]),Tabela3[Total Ações])</f>
        <v>73646388</v>
      </c>
      <c r="E94" s="65">
        <f>(Tabela2[[#This Row],[Lucro Líquido]])/Tabela2[[#This Row],[Total Ações]]</f>
        <v>0.6887506825181976</v>
      </c>
      <c r="F94" s="65">
        <v>0.18592</v>
      </c>
      <c r="G94" s="22">
        <f>IF(AND(Tabela2[[#This Row],[Dividendo / Ação]]&gt;0,Tabela2[[#This Row],[Lucro por ação]]&gt;0),Tabela2[[#This Row],[Dividendo / Ação]]/Tabela2[[#This Row],[Lucro por ação]],"")</f>
        <v>0.26993802651525906</v>
      </c>
      <c r="H94" s="5">
        <f>MAX(Tabela2[[#This Row],[Cotação 1]],Tabela2[[#This Row],[Cotação 2]])</f>
        <v>3.27</v>
      </c>
      <c r="I94" s="18">
        <f>IF(Tabela2[[#This Row],[Dividendo / Ação]]&gt;0,Tabela2[[#This Row],[Dividendo / Ação]]/Tabela2[[#This Row],[Cotação]],"")</f>
        <v>5.6856269113149845E-2</v>
      </c>
      <c r="J94" s="60">
        <f>SUMPRODUCT(N(Tabela1[Código]=Tabela2[[#This Row],[Ativo]]),Tabela1[Fechamento])</f>
        <v>3.27</v>
      </c>
      <c r="K94" s="60">
        <f>SUMPRODUCT(N(Tabela17[Código]=Tabela2[[#This Row],[Ativo]]),Tabela17[Fechamento])</f>
        <v>0</v>
      </c>
      <c r="M94" s="3"/>
    </row>
    <row r="95" spans="1:13">
      <c r="A95" s="10" t="s">
        <v>250</v>
      </c>
      <c r="B95" s="3">
        <v>2009</v>
      </c>
      <c r="C95" s="5">
        <v>46296000</v>
      </c>
      <c r="D95" s="62">
        <f>SUMPRODUCT(N(Tabela3[PAPEL]=Tabela2[[#This Row],[Ativo]]),Tabela3[Total Ações])</f>
        <v>73646388</v>
      </c>
      <c r="E95" s="65">
        <f>(Tabela2[[#This Row],[Lucro Líquido]])/Tabela2[[#This Row],[Total Ações]]</f>
        <v>0.62862553422171907</v>
      </c>
      <c r="F95" s="65">
        <v>0.16084999999999999</v>
      </c>
      <c r="G95" s="22">
        <f>IF(AND(Tabela2[[#This Row],[Dividendo / Ação]]&gt;0,Tabela2[[#This Row],[Lucro por ação]]&gt;0),Tabela2[[#This Row],[Dividendo / Ação]]/Tabela2[[#This Row],[Lucro por ação]],"")</f>
        <v>0.25587570221617417</v>
      </c>
      <c r="H95" s="5">
        <f>MAX(Tabela2[[#This Row],[Cotação 1]],Tabela2[[#This Row],[Cotação 2]])</f>
        <v>3.27</v>
      </c>
      <c r="I95" s="18">
        <f>IF(Tabela2[[#This Row],[Dividendo / Ação]]&gt;0,Tabela2[[#This Row],[Dividendo / Ação]]/Tabela2[[#This Row],[Cotação]],"")</f>
        <v>4.9189602446483176E-2</v>
      </c>
      <c r="J95" s="60">
        <f>SUMPRODUCT(N(Tabela1[Código]=Tabela2[[#This Row],[Ativo]]),Tabela1[Fechamento])</f>
        <v>3.27</v>
      </c>
      <c r="K95" s="60">
        <f>SUMPRODUCT(N(Tabela17[Código]=Tabela2[[#This Row],[Ativo]]),Tabela17[Fechamento])</f>
        <v>0</v>
      </c>
      <c r="M95" s="3"/>
    </row>
    <row r="96" spans="1:13">
      <c r="A96" s="15" t="s">
        <v>81</v>
      </c>
      <c r="B96" s="3">
        <v>2012</v>
      </c>
      <c r="C96" s="5">
        <v>63154000</v>
      </c>
      <c r="D96" s="62">
        <f>SUMPRODUCT(N(Tabela3[PAPEL]=Tabela2[[#This Row],[Ativo]]),Tabela3[Total Ações])</f>
        <v>73646388</v>
      </c>
      <c r="E96" s="65">
        <f>(Tabela2[[#This Row],[Lucro Líquido]])/Tabela2[[#This Row],[Total Ações]]</f>
        <v>0.85753017513907126</v>
      </c>
      <c r="F96" s="65">
        <v>0.49564999999999998</v>
      </c>
      <c r="G96" s="22">
        <f>IF(AND(Tabela2[[#This Row],[Dividendo / Ação]]&gt;0,Tabela2[[#This Row],[Lucro por ação]]&gt;0),Tabela2[[#This Row],[Dividendo / Ação]]/Tabela2[[#This Row],[Lucro por ação]],"")</f>
        <v>0.57799715318427969</v>
      </c>
      <c r="H96" s="5">
        <f>MAX(Tabela2[[#This Row],[Cotação 1]],Tabela2[[#This Row],[Cotação 2]])</f>
        <v>5.97</v>
      </c>
      <c r="I96" s="18">
        <f>IF(Tabela2[[#This Row],[Dividendo / Ação]]&gt;0,Tabela2[[#This Row],[Dividendo / Ação]]/Tabela2[[#This Row],[Cotação]],"")</f>
        <v>8.302345058626466E-2</v>
      </c>
      <c r="J96" s="60">
        <f>SUMPRODUCT(N(Tabela1[Código]=Tabela2[[#This Row],[Ativo]]),Tabela1[Fechamento])</f>
        <v>5.97</v>
      </c>
      <c r="K96" s="60">
        <f>SUMPRODUCT(N(Tabela17[Código]=Tabela2[[#This Row],[Ativo]]),Tabela17[Fechamento])</f>
        <v>0</v>
      </c>
      <c r="M96" s="3"/>
    </row>
    <row r="97" spans="1:13">
      <c r="A97" s="15" t="s">
        <v>81</v>
      </c>
      <c r="B97" s="3">
        <v>2011</v>
      </c>
      <c r="C97" s="5">
        <v>56638000</v>
      </c>
      <c r="D97" s="62">
        <f>SUMPRODUCT(N(Tabela3[PAPEL]=Tabela2[[#This Row],[Ativo]]),Tabela3[Total Ações])</f>
        <v>73646388</v>
      </c>
      <c r="E97" s="65">
        <f>(Tabela2[[#This Row],[Lucro Líquido]])/Tabela2[[#This Row],[Total Ações]]</f>
        <v>0.76905333089791184</v>
      </c>
      <c r="F97" s="65">
        <v>0.45779999999999998</v>
      </c>
      <c r="G97" s="22">
        <f>IF(AND(Tabela2[[#This Row],[Dividendo / Ação]]&gt;0,Tabela2[[#This Row],[Lucro por ação]]&gt;0),Tabela2[[#This Row],[Dividendo / Ação]]/Tabela2[[#This Row],[Lucro por ação]],"")</f>
        <v>0.59527731251809735</v>
      </c>
      <c r="H97" s="5">
        <f>MAX(Tabela2[[#This Row],[Cotação 1]],Tabela2[[#This Row],[Cotação 2]])</f>
        <v>5.97</v>
      </c>
      <c r="I97" s="18">
        <f>IF(Tabela2[[#This Row],[Dividendo / Ação]]&gt;0,Tabela2[[#This Row],[Dividendo / Ação]]/Tabela2[[#This Row],[Cotação]],"")</f>
        <v>7.6683417085427141E-2</v>
      </c>
      <c r="J97" s="60">
        <f>SUMPRODUCT(N(Tabela1[Código]=Tabela2[[#This Row],[Ativo]]),Tabela1[Fechamento])</f>
        <v>5.97</v>
      </c>
      <c r="K97" s="60">
        <f>SUMPRODUCT(N(Tabela17[Código]=Tabela2[[#This Row],[Ativo]]),Tabela17[Fechamento])</f>
        <v>0</v>
      </c>
      <c r="M97" s="3"/>
    </row>
    <row r="98" spans="1:13">
      <c r="A98" s="15" t="s">
        <v>81</v>
      </c>
      <c r="B98" s="3">
        <v>2010</v>
      </c>
      <c r="C98" s="5">
        <v>50724000</v>
      </c>
      <c r="D98" s="62">
        <f>SUMPRODUCT(N(Tabela3[PAPEL]=Tabela2[[#This Row],[Ativo]]),Tabela3[Total Ações])</f>
        <v>73646388</v>
      </c>
      <c r="E98" s="65">
        <f>(Tabela2[[#This Row],[Lucro Líquido]])/Tabela2[[#This Row],[Total Ações]]</f>
        <v>0.6887506825181976</v>
      </c>
      <c r="F98" s="65">
        <v>0.44624000000000003</v>
      </c>
      <c r="G98" s="22">
        <f>IF(AND(Tabela2[[#This Row],[Dividendo / Ação]]&gt;0,Tabela2[[#This Row],[Lucro por ação]]&gt;0),Tabela2[[#This Row],[Dividendo / Ação]]/Tabela2[[#This Row],[Lucro por ação]],"")</f>
        <v>0.64789772457061756</v>
      </c>
      <c r="H98" s="5">
        <f>MAX(Tabela2[[#This Row],[Cotação 1]],Tabela2[[#This Row],[Cotação 2]])</f>
        <v>5.97</v>
      </c>
      <c r="I98" s="18">
        <f>IF(Tabela2[[#This Row],[Dividendo / Ação]]&gt;0,Tabela2[[#This Row],[Dividendo / Ação]]/Tabela2[[#This Row],[Cotação]],"")</f>
        <v>7.4747068676716918E-2</v>
      </c>
      <c r="J98" s="60">
        <f>SUMPRODUCT(N(Tabela1[Código]=Tabela2[[#This Row],[Ativo]]),Tabela1[Fechamento])</f>
        <v>5.97</v>
      </c>
      <c r="K98" s="60">
        <f>SUMPRODUCT(N(Tabela17[Código]=Tabela2[[#This Row],[Ativo]]),Tabela17[Fechamento])</f>
        <v>0</v>
      </c>
      <c r="M98" s="3"/>
    </row>
    <row r="99" spans="1:13">
      <c r="A99" s="15" t="s">
        <v>81</v>
      </c>
      <c r="B99" s="3">
        <v>2009</v>
      </c>
      <c r="C99" s="5">
        <v>46296000</v>
      </c>
      <c r="D99" s="62">
        <f>SUMPRODUCT(N(Tabela3[PAPEL]=Tabela2[[#This Row],[Ativo]]),Tabela3[Total Ações])</f>
        <v>73646388</v>
      </c>
      <c r="E99" s="65">
        <f>(Tabela2[[#This Row],[Lucro Líquido]])/Tabela2[[#This Row],[Total Ações]]</f>
        <v>0.62862553422171907</v>
      </c>
      <c r="F99" s="65">
        <v>0.38367000000000001</v>
      </c>
      <c r="G99" s="22">
        <f>IF(AND(Tabela2[[#This Row],[Dividendo / Ação]]&gt;0,Tabela2[[#This Row],[Lucro por ação]]&gt;0),Tabela2[[#This Row],[Dividendo / Ação]]/Tabela2[[#This Row],[Lucro por ação]],"")</f>
        <v>0.61033155529548988</v>
      </c>
      <c r="H99" s="5">
        <f>MAX(Tabela2[[#This Row],[Cotação 1]],Tabela2[[#This Row],[Cotação 2]])</f>
        <v>5.97</v>
      </c>
      <c r="I99" s="18">
        <f>IF(Tabela2[[#This Row],[Dividendo / Ação]]&gt;0,Tabela2[[#This Row],[Dividendo / Ação]]/Tabela2[[#This Row],[Cotação]],"")</f>
        <v>6.4266331658291459E-2</v>
      </c>
      <c r="J99" s="60">
        <f>SUMPRODUCT(N(Tabela1[Código]=Tabela2[[#This Row],[Ativo]]),Tabela1[Fechamento])</f>
        <v>5.97</v>
      </c>
      <c r="K99" s="60">
        <f>SUMPRODUCT(N(Tabela17[Código]=Tabela2[[#This Row],[Ativo]]),Tabela17[Fechamento])</f>
        <v>0</v>
      </c>
      <c r="M99" s="3"/>
    </row>
    <row r="100" spans="1:13">
      <c r="A100" s="15" t="s">
        <v>251</v>
      </c>
      <c r="B100" s="3">
        <v>2012</v>
      </c>
      <c r="C100" s="5">
        <v>63154000</v>
      </c>
      <c r="D100" s="62">
        <f>SUMPRODUCT(N(Tabela3[PAPEL]=Tabela2[[#This Row],[Ativo]]),Tabela3[Total Ações])</f>
        <v>73646388</v>
      </c>
      <c r="E100" s="65">
        <f>(Tabela2[[#This Row],[Lucro Líquido]])/Tabela2[[#This Row],[Total Ações]]</f>
        <v>0.85753017513907126</v>
      </c>
      <c r="F100" s="65">
        <v>0.28913</v>
      </c>
      <c r="G100" s="22">
        <f>IF(AND(Tabela2[[#This Row],[Dividendo / Ação]]&gt;0,Tabela2[[#This Row],[Lucro por ação]]&gt;0),Tabela2[[#This Row],[Dividendo / Ação]]/Tabela2[[#This Row],[Lucro por ação]],"")</f>
        <v>0.33716597780726482</v>
      </c>
      <c r="H100" s="5">
        <f>MAX(Tabela2[[#This Row],[Cotação 1]],Tabela2[[#This Row],[Cotação 2]])</f>
        <v>3.6</v>
      </c>
      <c r="I100" s="18">
        <f>IF(Tabela2[[#This Row],[Dividendo / Ação]]&gt;0,Tabela2[[#This Row],[Dividendo / Ação]]/Tabela2[[#This Row],[Cotação]],"")</f>
        <v>8.0313888888888893E-2</v>
      </c>
      <c r="J100" s="60">
        <f>SUMPRODUCT(N(Tabela1[Código]=Tabela2[[#This Row],[Ativo]]),Tabela1[Fechamento])</f>
        <v>3.6</v>
      </c>
      <c r="K100" s="60">
        <f>SUMPRODUCT(N(Tabela17[Código]=Tabela2[[#This Row],[Ativo]]),Tabela17[Fechamento])</f>
        <v>0</v>
      </c>
      <c r="M100" s="3"/>
    </row>
    <row r="101" spans="1:13">
      <c r="A101" s="15" t="s">
        <v>251</v>
      </c>
      <c r="B101" s="3">
        <v>2011</v>
      </c>
      <c r="C101" s="5">
        <v>56638000</v>
      </c>
      <c r="D101" s="62">
        <f>SUMPRODUCT(N(Tabela3[PAPEL]=Tabela2[[#This Row],[Ativo]]),Tabela3[Total Ações])</f>
        <v>73646388</v>
      </c>
      <c r="E101" s="65">
        <f>(Tabela2[[#This Row],[Lucro Líquido]])/Tabela2[[#This Row],[Total Ações]]</f>
        <v>0.76905333089791184</v>
      </c>
      <c r="F101" s="65">
        <v>0.26712000000000002</v>
      </c>
      <c r="G101" s="22">
        <f>IF(AND(Tabela2[[#This Row],[Dividendo / Ação]]&gt;0,Tabela2[[#This Row],[Lucro por ação]]&gt;0),Tabela2[[#This Row],[Dividendo / Ação]]/Tabela2[[#This Row],[Lucro por ação]],"")</f>
        <v>0.34733611996468805</v>
      </c>
      <c r="H101" s="5">
        <f>MAX(Tabela2[[#This Row],[Cotação 1]],Tabela2[[#This Row],[Cotação 2]])</f>
        <v>3.6</v>
      </c>
      <c r="I101" s="18">
        <f>IF(Tabela2[[#This Row],[Dividendo / Ação]]&gt;0,Tabela2[[#This Row],[Dividendo / Ação]]/Tabela2[[#This Row],[Cotação]],"")</f>
        <v>7.4200000000000002E-2</v>
      </c>
      <c r="J101" s="60">
        <f>SUMPRODUCT(N(Tabela1[Código]=Tabela2[[#This Row],[Ativo]]),Tabela1[Fechamento])</f>
        <v>3.6</v>
      </c>
      <c r="K101" s="60">
        <f>SUMPRODUCT(N(Tabela17[Código]=Tabela2[[#This Row],[Ativo]]),Tabela17[Fechamento])</f>
        <v>0</v>
      </c>
      <c r="M101" s="3"/>
    </row>
    <row r="102" spans="1:13">
      <c r="A102" s="15" t="s">
        <v>251</v>
      </c>
      <c r="B102" s="3">
        <v>2010</v>
      </c>
      <c r="C102" s="5">
        <v>50724000</v>
      </c>
      <c r="D102" s="62">
        <f>SUMPRODUCT(N(Tabela3[PAPEL]=Tabela2[[#This Row],[Ativo]]),Tabela3[Total Ações])</f>
        <v>73646388</v>
      </c>
      <c r="E102" s="65">
        <f>(Tabela2[[#This Row],[Lucro Líquido]])/Tabela2[[#This Row],[Total Ações]]</f>
        <v>0.6887506825181976</v>
      </c>
      <c r="F102" s="65">
        <v>0.26029999999999998</v>
      </c>
      <c r="G102" s="22">
        <f>IF(AND(Tabela2[[#This Row],[Dividendo / Ação]]&gt;0,Tabela2[[#This Row],[Lucro por ação]]&gt;0),Tabela2[[#This Row],[Dividendo / Ação]]/Tabela2[[#This Row],[Lucro por ação]],"")</f>
        <v>0.37793065997161107</v>
      </c>
      <c r="H102" s="5">
        <f>MAX(Tabela2[[#This Row],[Cotação 1]],Tabela2[[#This Row],[Cotação 2]])</f>
        <v>3.6</v>
      </c>
      <c r="I102" s="18">
        <f>IF(Tabela2[[#This Row],[Dividendo / Ação]]&gt;0,Tabela2[[#This Row],[Dividendo / Ação]]/Tabela2[[#This Row],[Cotação]],"")</f>
        <v>7.2305555555555553E-2</v>
      </c>
      <c r="J102" s="60">
        <f>SUMPRODUCT(N(Tabela1[Código]=Tabela2[[#This Row],[Ativo]]),Tabela1[Fechamento])</f>
        <v>3.6</v>
      </c>
      <c r="K102" s="60">
        <f>SUMPRODUCT(N(Tabela17[Código]=Tabela2[[#This Row],[Ativo]]),Tabela17[Fechamento])</f>
        <v>0</v>
      </c>
      <c r="M102" s="3"/>
    </row>
    <row r="103" spans="1:13">
      <c r="A103" s="15" t="s">
        <v>251</v>
      </c>
      <c r="B103" s="3">
        <v>2009</v>
      </c>
      <c r="C103" s="5">
        <v>46296000</v>
      </c>
      <c r="D103" s="62">
        <f>SUMPRODUCT(N(Tabela3[PAPEL]=Tabela2[[#This Row],[Ativo]]),Tabela3[Total Ações])</f>
        <v>73646388</v>
      </c>
      <c r="E103" s="65">
        <f>(Tabela2[[#This Row],[Lucro Líquido]])/Tabela2[[#This Row],[Total Ações]]</f>
        <v>0.62862553422171907</v>
      </c>
      <c r="F103" s="65">
        <v>0.22452</v>
      </c>
      <c r="G103" s="22">
        <f>IF(AND(Tabela2[[#This Row],[Dividendo / Ação]]&gt;0,Tabela2[[#This Row],[Lucro por ação]]&gt;0),Tabela2[[#This Row],[Dividendo / Ação]]/Tabela2[[#This Row],[Lucro por ação]],"")</f>
        <v>0.35716016575427684</v>
      </c>
      <c r="H103" s="5">
        <f>MAX(Tabela2[[#This Row],[Cotação 1]],Tabela2[[#This Row],[Cotação 2]])</f>
        <v>3.6</v>
      </c>
      <c r="I103" s="18">
        <f>IF(Tabela2[[#This Row],[Dividendo / Ação]]&gt;0,Tabela2[[#This Row],[Dividendo / Ação]]/Tabela2[[#This Row],[Cotação]],"")</f>
        <v>6.2366666666666667E-2</v>
      </c>
      <c r="J103" s="60">
        <f>SUMPRODUCT(N(Tabela1[Código]=Tabela2[[#This Row],[Ativo]]),Tabela1[Fechamento])</f>
        <v>3.6</v>
      </c>
      <c r="K103" s="60">
        <f>SUMPRODUCT(N(Tabela17[Código]=Tabela2[[#This Row],[Ativo]]),Tabela17[Fechamento])</f>
        <v>0</v>
      </c>
      <c r="M103" s="3"/>
    </row>
    <row r="104" spans="1:13">
      <c r="A104" s="15" t="s">
        <v>252</v>
      </c>
      <c r="B104" s="3">
        <v>2012</v>
      </c>
      <c r="C104" s="5">
        <v>63154000</v>
      </c>
      <c r="D104" s="62">
        <f>SUMPRODUCT(N(Tabela3[PAPEL]=Tabela2[[#This Row],[Ativo]]),Tabela3[Total Ações])</f>
        <v>73646388</v>
      </c>
      <c r="E104" s="65">
        <f>(Tabela2[[#This Row],[Lucro Líquido]])/Tabela2[[#This Row],[Total Ações]]</f>
        <v>0.85753017513907126</v>
      </c>
      <c r="F104" s="65">
        <v>0.20652000000000001</v>
      </c>
      <c r="G104" s="22">
        <f>IF(AND(Tabela2[[#This Row],[Dividendo / Ação]]&gt;0,Tabela2[[#This Row],[Lucro por ação]]&gt;0),Tabela2[[#This Row],[Dividendo / Ação]]/Tabela2[[#This Row],[Lucro por ação]],"")</f>
        <v>0.24083117537701496</v>
      </c>
      <c r="H104" s="5">
        <f>MAX(Tabela2[[#This Row],[Cotação 1]],Tabela2[[#This Row],[Cotação 2]])</f>
        <v>3.81</v>
      </c>
      <c r="I104" s="18">
        <f>IF(Tabela2[[#This Row],[Dividendo / Ação]]&gt;0,Tabela2[[#This Row],[Dividendo / Ação]]/Tabela2[[#This Row],[Cotação]],"")</f>
        <v>5.4204724409448818E-2</v>
      </c>
      <c r="J104" s="60">
        <f>SUMPRODUCT(N(Tabela1[Código]=Tabela2[[#This Row],[Ativo]]),Tabela1[Fechamento])</f>
        <v>3.81</v>
      </c>
      <c r="K104" s="60">
        <f>SUMPRODUCT(N(Tabela17[Código]=Tabela2[[#This Row],[Ativo]]),Tabela17[Fechamento])</f>
        <v>0</v>
      </c>
      <c r="M104" s="3"/>
    </row>
    <row r="105" spans="1:13">
      <c r="A105" s="15" t="s">
        <v>252</v>
      </c>
      <c r="B105" s="3">
        <v>2011</v>
      </c>
      <c r="C105" s="5">
        <v>56638000</v>
      </c>
      <c r="D105" s="62">
        <f>SUMPRODUCT(N(Tabela3[PAPEL]=Tabela2[[#This Row],[Ativo]]),Tabela3[Total Ações])</f>
        <v>73646388</v>
      </c>
      <c r="E105" s="65">
        <f>(Tabela2[[#This Row],[Lucro Líquido]])/Tabela2[[#This Row],[Total Ações]]</f>
        <v>0.76905333089791184</v>
      </c>
      <c r="F105" s="65">
        <v>0.19086</v>
      </c>
      <c r="G105" s="22">
        <f>IF(AND(Tabela2[[#This Row],[Dividendo / Ação]]&gt;0,Tabela2[[#This Row],[Lucro por ação]]&gt;0),Tabela2[[#This Row],[Dividendo / Ação]]/Tabela2[[#This Row],[Lucro por ação]],"")</f>
        <v>0.24817524654260389</v>
      </c>
      <c r="H105" s="5">
        <f>MAX(Tabela2[[#This Row],[Cotação 1]],Tabela2[[#This Row],[Cotação 2]])</f>
        <v>3.81</v>
      </c>
      <c r="I105" s="18">
        <f>IF(Tabela2[[#This Row],[Dividendo / Ação]]&gt;0,Tabela2[[#This Row],[Dividendo / Ação]]/Tabela2[[#This Row],[Cotação]],"")</f>
        <v>5.0094488188976376E-2</v>
      </c>
      <c r="J105" s="60">
        <f>SUMPRODUCT(N(Tabela1[Código]=Tabela2[[#This Row],[Ativo]]),Tabela1[Fechamento])</f>
        <v>3.81</v>
      </c>
      <c r="K105" s="60">
        <f>SUMPRODUCT(N(Tabela17[Código]=Tabela2[[#This Row],[Ativo]]),Tabela17[Fechamento])</f>
        <v>0</v>
      </c>
      <c r="M105" s="3"/>
    </row>
    <row r="106" spans="1:13">
      <c r="A106" s="15" t="s">
        <v>252</v>
      </c>
      <c r="B106" s="3">
        <v>2010</v>
      </c>
      <c r="C106" s="5">
        <v>50724000</v>
      </c>
      <c r="D106" s="62">
        <f>SUMPRODUCT(N(Tabela3[PAPEL]=Tabela2[[#This Row],[Ativo]]),Tabela3[Total Ações])</f>
        <v>73646388</v>
      </c>
      <c r="E106" s="65">
        <f>(Tabela2[[#This Row],[Lucro Líquido]])/Tabela2[[#This Row],[Total Ações]]</f>
        <v>0.6887506825181976</v>
      </c>
      <c r="F106" s="65">
        <v>0.18592</v>
      </c>
      <c r="G106" s="22">
        <f>IF(AND(Tabela2[[#This Row],[Dividendo / Ação]]&gt;0,Tabela2[[#This Row],[Lucro por ação]]&gt;0),Tabela2[[#This Row],[Dividendo / Ação]]/Tabela2[[#This Row],[Lucro por ação]],"")</f>
        <v>0.26993802651525906</v>
      </c>
      <c r="H106" s="5">
        <f>MAX(Tabela2[[#This Row],[Cotação 1]],Tabela2[[#This Row],[Cotação 2]])</f>
        <v>3.81</v>
      </c>
      <c r="I106" s="18">
        <f>IF(Tabela2[[#This Row],[Dividendo / Ação]]&gt;0,Tabela2[[#This Row],[Dividendo / Ação]]/Tabela2[[#This Row],[Cotação]],"")</f>
        <v>4.8797900262467192E-2</v>
      </c>
      <c r="J106" s="60">
        <f>SUMPRODUCT(N(Tabela1[Código]=Tabela2[[#This Row],[Ativo]]),Tabela1[Fechamento])</f>
        <v>3.81</v>
      </c>
      <c r="K106" s="60">
        <f>SUMPRODUCT(N(Tabela17[Código]=Tabela2[[#This Row],[Ativo]]),Tabela17[Fechamento])</f>
        <v>0</v>
      </c>
      <c r="M106" s="3"/>
    </row>
    <row r="107" spans="1:13">
      <c r="A107" s="15" t="s">
        <v>252</v>
      </c>
      <c r="B107" s="3">
        <v>2009</v>
      </c>
      <c r="C107" s="5">
        <v>46296000</v>
      </c>
      <c r="D107" s="62">
        <f>SUMPRODUCT(N(Tabela3[PAPEL]=Tabela2[[#This Row],[Ativo]]),Tabela3[Total Ações])</f>
        <v>73646388</v>
      </c>
      <c r="E107" s="65">
        <f>(Tabela2[[#This Row],[Lucro Líquido]])/Tabela2[[#This Row],[Total Ações]]</f>
        <v>0.62862553422171907</v>
      </c>
      <c r="F107" s="65">
        <v>0.16084999999999999</v>
      </c>
      <c r="G107" s="22">
        <f>IF(AND(Tabela2[[#This Row],[Dividendo / Ação]]&gt;0,Tabela2[[#This Row],[Lucro por ação]]&gt;0),Tabela2[[#This Row],[Dividendo / Ação]]/Tabela2[[#This Row],[Lucro por ação]],"")</f>
        <v>0.25587570221617417</v>
      </c>
      <c r="H107" s="5">
        <f>MAX(Tabela2[[#This Row],[Cotação 1]],Tabela2[[#This Row],[Cotação 2]])</f>
        <v>3.81</v>
      </c>
      <c r="I107" s="18">
        <f>IF(Tabela2[[#This Row],[Dividendo / Ação]]&gt;0,Tabela2[[#This Row],[Dividendo / Ação]]/Tabela2[[#This Row],[Cotação]],"")</f>
        <v>4.2217847769028871E-2</v>
      </c>
      <c r="J107" s="60">
        <f>SUMPRODUCT(N(Tabela1[Código]=Tabela2[[#This Row],[Ativo]]),Tabela1[Fechamento])</f>
        <v>3.81</v>
      </c>
      <c r="K107" s="60">
        <f>SUMPRODUCT(N(Tabela17[Código]=Tabela2[[#This Row],[Ativo]]),Tabela17[Fechamento])</f>
        <v>0</v>
      </c>
      <c r="M107" s="3"/>
    </row>
    <row r="108" spans="1:13">
      <c r="A108" s="4" t="s">
        <v>218</v>
      </c>
      <c r="B108" s="4">
        <v>2012</v>
      </c>
      <c r="C108" s="6">
        <v>66187000</v>
      </c>
      <c r="D108" s="8">
        <f>SUMPRODUCT(N(Tabela3[PAPEL]=Tabela2[[#This Row],[Ativo]]),Tabela3[Total Ações])</f>
        <v>90224492</v>
      </c>
      <c r="E108" s="66">
        <f>(Tabela2[[#This Row],[Lucro Líquido]])/Tabela2[[#This Row],[Total Ações]]</f>
        <v>0.73358129852368692</v>
      </c>
      <c r="F108" s="66">
        <v>7.9699999999999993E-2</v>
      </c>
      <c r="G108" s="46">
        <f>IF(AND(Tabela2[[#This Row],[Dividendo / Ação]]&gt;0,Tabela2[[#This Row],[Lucro por ação]]&gt;0),Tabela2[[#This Row],[Dividendo / Ação]]/Tabela2[[#This Row],[Lucro por ação]],"")</f>
        <v>0.10864508154773594</v>
      </c>
      <c r="H108" s="6">
        <f>MAX(Tabela2[[#This Row],[Cotação 1]],Tabela2[[#This Row],[Cotação 2]])</f>
        <v>6.61</v>
      </c>
      <c r="I108" s="19">
        <f>IF(Tabela2[[#This Row],[Dividendo / Ação]]&gt;0,Tabela2[[#This Row],[Dividendo / Ação]]/Tabela2[[#This Row],[Cotação]],"")</f>
        <v>1.2057488653555219E-2</v>
      </c>
      <c r="J108" s="61">
        <f>SUMPRODUCT(N(Tabela1[Código]=Tabela2[[#This Row],[Ativo]]),Tabela1[Fechamento])</f>
        <v>6.61</v>
      </c>
      <c r="K108" s="61">
        <f>SUMPRODUCT(N(Tabela17[Código]=Tabela2[[#This Row],[Ativo]]),Tabela17[Fechamento])</f>
        <v>0</v>
      </c>
      <c r="M108" s="3"/>
    </row>
    <row r="109" spans="1:13">
      <c r="A109" s="4" t="s">
        <v>218</v>
      </c>
      <c r="B109" s="3">
        <v>2011</v>
      </c>
      <c r="C109" s="5">
        <v>67513447</v>
      </c>
      <c r="D109" s="62">
        <f>SUMPRODUCT(N(Tabela3[PAPEL]=Tabela2[[#This Row],[Ativo]]),Tabela3[Total Ações])</f>
        <v>90224492</v>
      </c>
      <c r="E109" s="65">
        <f>(Tabela2[[#This Row],[Lucro Líquido]])/Tabela2[[#This Row],[Total Ações]]</f>
        <v>0.74828292743393887</v>
      </c>
      <c r="F109" s="65">
        <v>9.9199999999999997E-2</v>
      </c>
      <c r="G109" s="22">
        <f>IF(AND(Tabela2[[#This Row],[Dividendo / Ação]]&gt;0,Tabela2[[#This Row],[Lucro por ação]]&gt;0),Tabela2[[#This Row],[Dividendo / Ação]]/Tabela2[[#This Row],[Lucro por ação]],"")</f>
        <v>0.13257017681825667</v>
      </c>
      <c r="H109" s="5">
        <f>MAX(Tabela2[[#This Row],[Cotação 1]],Tabela2[[#This Row],[Cotação 2]])</f>
        <v>6.61</v>
      </c>
      <c r="I109" s="18">
        <f>IF(Tabela2[[#This Row],[Dividendo / Ação]]&gt;0,Tabela2[[#This Row],[Dividendo / Ação]]/Tabela2[[#This Row],[Cotação]],"")</f>
        <v>1.5007564296520422E-2</v>
      </c>
      <c r="J109" s="60">
        <f>SUMPRODUCT(N(Tabela1[Código]=Tabela2[[#This Row],[Ativo]]),Tabela1[Fechamento])</f>
        <v>6.61</v>
      </c>
      <c r="K109" s="60">
        <f>SUMPRODUCT(N(Tabela17[Código]=Tabela2[[#This Row],[Ativo]]),Tabela17[Fechamento])</f>
        <v>0</v>
      </c>
      <c r="M109" s="3"/>
    </row>
    <row r="110" spans="1:13">
      <c r="A110" s="4" t="s">
        <v>218</v>
      </c>
      <c r="B110" s="3">
        <v>2010</v>
      </c>
      <c r="C110" s="5">
        <v>82086317</v>
      </c>
      <c r="D110" s="62">
        <f>SUMPRODUCT(N(Tabela3[PAPEL]=Tabela2[[#This Row],[Ativo]]),Tabela3[Total Ações])</f>
        <v>90224492</v>
      </c>
      <c r="E110" s="65">
        <f>(Tabela2[[#This Row],[Lucro Líquido]])/Tabela2[[#This Row],[Total Ações]]</f>
        <v>0.90980082215370084</v>
      </c>
      <c r="F110" s="65">
        <v>0.1905</v>
      </c>
      <c r="G110" s="22">
        <f>IF(AND(Tabela2[[#This Row],[Dividendo / Ação]]&gt;0,Tabela2[[#This Row],[Lucro por ação]]&gt;0),Tabela2[[#This Row],[Dividendo / Ação]]/Tabela2[[#This Row],[Lucro por ação]],"")</f>
        <v>0.20938648917577821</v>
      </c>
      <c r="H110" s="5">
        <f>MAX(Tabela2[[#This Row],[Cotação 1]],Tabela2[[#This Row],[Cotação 2]])</f>
        <v>6.61</v>
      </c>
      <c r="I110" s="18">
        <f>IF(Tabela2[[#This Row],[Dividendo / Ação]]&gt;0,Tabela2[[#This Row],[Dividendo / Ação]]/Tabela2[[#This Row],[Cotação]],"")</f>
        <v>2.8819969742813919E-2</v>
      </c>
      <c r="J110" s="60">
        <f>SUMPRODUCT(N(Tabela1[Código]=Tabela2[[#This Row],[Ativo]]),Tabela1[Fechamento])</f>
        <v>6.61</v>
      </c>
      <c r="K110" s="60">
        <f>SUMPRODUCT(N(Tabela17[Código]=Tabela2[[#This Row],[Ativo]]),Tabela17[Fechamento])</f>
        <v>0</v>
      </c>
      <c r="M110" s="3"/>
    </row>
    <row r="111" spans="1:13">
      <c r="A111" s="4" t="s">
        <v>218</v>
      </c>
      <c r="B111" s="3">
        <v>2009</v>
      </c>
      <c r="C111" s="5">
        <v>76789552</v>
      </c>
      <c r="D111" s="62">
        <f>SUMPRODUCT(N(Tabela3[PAPEL]=Tabela2[[#This Row],[Ativo]]),Tabela3[Total Ações])</f>
        <v>90224492</v>
      </c>
      <c r="E111" s="65">
        <f>(Tabela2[[#This Row],[Lucro Líquido]])/Tabela2[[#This Row],[Total Ações]]</f>
        <v>0.85109431261746538</v>
      </c>
      <c r="F111" s="65">
        <v>0.1767</v>
      </c>
      <c r="G111" s="22">
        <f>IF(AND(Tabela2[[#This Row],[Dividendo / Ação]]&gt;0,Tabela2[[#This Row],[Lucro por ação]]&gt;0),Tabela2[[#This Row],[Dividendo / Ação]]/Tabela2[[#This Row],[Lucro por ação]],"")</f>
        <v>0.20761506378367722</v>
      </c>
      <c r="H111" s="5">
        <f>MAX(Tabela2[[#This Row],[Cotação 1]],Tabela2[[#This Row],[Cotação 2]])</f>
        <v>6.61</v>
      </c>
      <c r="I111" s="18">
        <f>IF(Tabela2[[#This Row],[Dividendo / Ação]]&gt;0,Tabela2[[#This Row],[Dividendo / Ação]]/Tabela2[[#This Row],[Cotação]],"")</f>
        <v>2.6732223903177001E-2</v>
      </c>
      <c r="J111" s="60">
        <f>SUMPRODUCT(N(Tabela1[Código]=Tabela2[[#This Row],[Ativo]]),Tabela1[Fechamento])</f>
        <v>6.61</v>
      </c>
      <c r="K111" s="60">
        <f>SUMPRODUCT(N(Tabela17[Código]=Tabela2[[#This Row],[Ativo]]),Tabela17[Fechamento])</f>
        <v>0</v>
      </c>
      <c r="M111" s="3"/>
    </row>
    <row r="112" spans="1:13">
      <c r="A112" s="4" t="s">
        <v>219</v>
      </c>
      <c r="B112" s="4">
        <v>2012</v>
      </c>
      <c r="C112" s="6">
        <v>66187000</v>
      </c>
      <c r="D112" s="8">
        <f>SUMPRODUCT(N(Tabela3[PAPEL]=Tabela2[[#This Row],[Ativo]]),Tabela3[Total Ações])</f>
        <v>90224492</v>
      </c>
      <c r="E112" s="66">
        <f>(Tabela2[[#This Row],[Lucro Líquido]])/Tabela2[[#This Row],[Total Ações]]</f>
        <v>0.73358129852368692</v>
      </c>
      <c r="F112" s="66">
        <v>0.39119999999999999</v>
      </c>
      <c r="G112" s="46">
        <f>IF(AND(Tabela2[[#This Row],[Dividendo / Ação]]&gt;0,Tabela2[[#This Row],[Lucro por ação]]&gt;0),Tabela2[[#This Row],[Dividendo / Ação]]/Tabela2[[#This Row],[Lucro por ação]],"")</f>
        <v>0.53327422712012928</v>
      </c>
      <c r="H112" s="6">
        <f>MAX(Tabela2[[#This Row],[Cotação 1]],Tabela2[[#This Row],[Cotação 2]])</f>
        <v>5.64</v>
      </c>
      <c r="I112" s="19">
        <f>IF(Tabela2[[#This Row],[Dividendo / Ação]]&gt;0,Tabela2[[#This Row],[Dividendo / Ação]]/Tabela2[[#This Row],[Cotação]],"")</f>
        <v>6.9361702127659575E-2</v>
      </c>
      <c r="J112" s="61">
        <f>SUMPRODUCT(N(Tabela1[Código]=Tabela2[[#This Row],[Ativo]]),Tabela1[Fechamento])</f>
        <v>5.64</v>
      </c>
      <c r="K112" s="61">
        <f>SUMPRODUCT(N(Tabela17[Código]=Tabela2[[#This Row],[Ativo]]),Tabela17[Fechamento])</f>
        <v>0</v>
      </c>
      <c r="M112" s="3"/>
    </row>
    <row r="113" spans="1:13">
      <c r="A113" s="4" t="s">
        <v>219</v>
      </c>
      <c r="B113" s="4">
        <v>2011</v>
      </c>
      <c r="C113" s="5">
        <v>67513447</v>
      </c>
      <c r="D113" s="8">
        <f>SUMPRODUCT(N(Tabela3[PAPEL]=Tabela2[[#This Row],[Ativo]]),Tabela3[Total Ações])</f>
        <v>90224492</v>
      </c>
      <c r="E113" s="66">
        <f>(Tabela2[[#This Row],[Lucro Líquido]])/Tabela2[[#This Row],[Total Ações]]</f>
        <v>0.74828292743393887</v>
      </c>
      <c r="F113" s="66">
        <v>0.37240000000000001</v>
      </c>
      <c r="G113" s="46">
        <f>IF(AND(Tabela2[[#This Row],[Dividendo / Ação]]&gt;0,Tabela2[[#This Row],[Lucro por ação]]&gt;0),Tabela2[[#This Row],[Dividendo / Ação]]/Tabela2[[#This Row],[Lucro por ação]],"")</f>
        <v>0.49767272023305226</v>
      </c>
      <c r="H113" s="6">
        <f>MAX(Tabela2[[#This Row],[Cotação 1]],Tabela2[[#This Row],[Cotação 2]])</f>
        <v>5.64</v>
      </c>
      <c r="I113" s="19">
        <f>IF(Tabela2[[#This Row],[Dividendo / Ação]]&gt;0,Tabela2[[#This Row],[Dividendo / Ação]]/Tabela2[[#This Row],[Cotação]],"")</f>
        <v>6.6028368794326248E-2</v>
      </c>
      <c r="J113" s="61">
        <f>SUMPRODUCT(N(Tabela1[Código]=Tabela2[[#This Row],[Ativo]]),Tabela1[Fechamento])</f>
        <v>5.64</v>
      </c>
      <c r="K113" s="61">
        <f>SUMPRODUCT(N(Tabela17[Código]=Tabela2[[#This Row],[Ativo]]),Tabela17[Fechamento])</f>
        <v>0</v>
      </c>
      <c r="M113" s="3"/>
    </row>
    <row r="114" spans="1:13">
      <c r="A114" s="4" t="s">
        <v>219</v>
      </c>
      <c r="B114" s="4">
        <v>2010</v>
      </c>
      <c r="C114" s="5">
        <v>82086317</v>
      </c>
      <c r="D114" s="8">
        <f>SUMPRODUCT(N(Tabela3[PAPEL]=Tabela2[[#This Row],[Ativo]]),Tabela3[Total Ações])</f>
        <v>90224492</v>
      </c>
      <c r="E114" s="66">
        <f>(Tabela2[[#This Row],[Lucro Líquido]])/Tabela2[[#This Row],[Total Ações]]</f>
        <v>0.90980082215370084</v>
      </c>
      <c r="F114" s="66">
        <v>0.34889999999999999</v>
      </c>
      <c r="G114" s="46">
        <f>IF(AND(Tabela2[[#This Row],[Dividendo / Ação]]&gt;0,Tabela2[[#This Row],[Lucro por ação]]&gt;0),Tabela2[[#This Row],[Dividendo / Ação]]/Tabela2[[#This Row],[Lucro por ação]],"")</f>
        <v>0.3834905305691812</v>
      </c>
      <c r="H114" s="6">
        <f>MAX(Tabela2[[#This Row],[Cotação 1]],Tabela2[[#This Row],[Cotação 2]])</f>
        <v>5.64</v>
      </c>
      <c r="I114" s="19">
        <f>IF(Tabela2[[#This Row],[Dividendo / Ação]]&gt;0,Tabela2[[#This Row],[Dividendo / Ação]]/Tabela2[[#This Row],[Cotação]],"")</f>
        <v>6.1861702127659575E-2</v>
      </c>
      <c r="J114" s="61">
        <f>SUMPRODUCT(N(Tabela1[Código]=Tabela2[[#This Row],[Ativo]]),Tabela1[Fechamento])</f>
        <v>5.64</v>
      </c>
      <c r="K114" s="61">
        <f>SUMPRODUCT(N(Tabela17[Código]=Tabela2[[#This Row],[Ativo]]),Tabela17[Fechamento])</f>
        <v>0</v>
      </c>
      <c r="M114" s="3"/>
    </row>
    <row r="115" spans="1:13">
      <c r="A115" s="4" t="s">
        <v>219</v>
      </c>
      <c r="B115" s="4">
        <v>2009</v>
      </c>
      <c r="C115" s="5">
        <v>76789552</v>
      </c>
      <c r="D115" s="8">
        <f>SUMPRODUCT(N(Tabela3[PAPEL]=Tabela2[[#This Row],[Ativo]]),Tabela3[Total Ações])</f>
        <v>90224492</v>
      </c>
      <c r="E115" s="66">
        <f>(Tabela2[[#This Row],[Lucro Líquido]])/Tabela2[[#This Row],[Total Ações]]</f>
        <v>0.85109431261746538</v>
      </c>
      <c r="F115" s="66">
        <v>0.3286</v>
      </c>
      <c r="G115" s="46">
        <f>IF(AND(Tabela2[[#This Row],[Dividendo / Ação]]&gt;0,Tabela2[[#This Row],[Lucro por ação]]&gt;0),Tabela2[[#This Row],[Dividendo / Ação]]/Tabela2[[#This Row],[Lucro por ação]],"")</f>
        <v>0.38609117124683834</v>
      </c>
      <c r="H115" s="6">
        <f>MAX(Tabela2[[#This Row],[Cotação 1]],Tabela2[[#This Row],[Cotação 2]])</f>
        <v>5.64</v>
      </c>
      <c r="I115" s="19">
        <f>IF(Tabela2[[#This Row],[Dividendo / Ação]]&gt;0,Tabela2[[#This Row],[Dividendo / Ação]]/Tabela2[[#This Row],[Cotação]],"")</f>
        <v>5.8262411347517737E-2</v>
      </c>
      <c r="J115" s="61">
        <f>SUMPRODUCT(N(Tabela1[Código]=Tabela2[[#This Row],[Ativo]]),Tabela1[Fechamento])</f>
        <v>5.64</v>
      </c>
      <c r="K115" s="61">
        <f>SUMPRODUCT(N(Tabela17[Código]=Tabela2[[#This Row],[Ativo]]),Tabela17[Fechamento])</f>
        <v>0</v>
      </c>
      <c r="M115" s="3"/>
    </row>
    <row r="116" spans="1:13">
      <c r="A116" s="14" t="s">
        <v>302</v>
      </c>
      <c r="B116" s="3">
        <v>2012</v>
      </c>
      <c r="C116" s="5">
        <v>-731143033.12</v>
      </c>
      <c r="D116" s="62">
        <f>SUMPRODUCT(N(Tabela3[PAPEL]=Tabela2[[#This Row],[Ativo]]),Tabela3[Total Ações])</f>
        <v>797265348</v>
      </c>
      <c r="E116" s="65">
        <f>(Tabela2[[#This Row],[Lucro Líquido]])/Tabela2[[#This Row],[Total Ações]]</f>
        <v>-0.91706360367238737</v>
      </c>
      <c r="F116" s="65">
        <v>0</v>
      </c>
      <c r="G116" s="22" t="str">
        <f>IF(AND(Tabela2[[#This Row],[Dividendo / Ação]]&gt;0,Tabela2[[#This Row],[Lucro por ação]]&gt;0),Tabela2[[#This Row],[Dividendo / Ação]]/Tabela2[[#This Row],[Lucro por ação]],"")</f>
        <v/>
      </c>
      <c r="H116" s="51">
        <f>MAX(Tabela2[[#This Row],[Cotação 1]],Tabela2[[#This Row],[Cotação 2]])</f>
        <v>16</v>
      </c>
      <c r="I116" s="18" t="str">
        <f>IF(Tabela2[[#This Row],[Dividendo / Ação]]&gt;0,Tabela2[[#This Row],[Dividendo / Ação]]/Tabela2[[#This Row],[Cotação]],"")</f>
        <v/>
      </c>
      <c r="J116" s="7">
        <f>SUMPRODUCT(N(Tabela1[Código]=Tabela2[[#This Row],[Ativo]]),Tabela1[Fechamento])</f>
        <v>0</v>
      </c>
      <c r="K116" s="7">
        <f>SUMPRODUCT(N(Tabela17[Código]=Tabela2[[#This Row],[Ativo]]),Tabela17[Fechamento])</f>
        <v>16</v>
      </c>
      <c r="M116" s="3"/>
    </row>
    <row r="117" spans="1:13">
      <c r="A117" s="14" t="s">
        <v>302</v>
      </c>
      <c r="B117" s="3">
        <v>2011</v>
      </c>
      <c r="C117" s="5">
        <v>-525142000</v>
      </c>
      <c r="D117" s="62">
        <f>SUMPRODUCT(N(Tabela3[PAPEL]=Tabela2[[#This Row],[Ativo]]),Tabela3[Total Ações])</f>
        <v>797265348</v>
      </c>
      <c r="E117" s="65">
        <f>(Tabela2[[#This Row],[Lucro Líquido]])/Tabela2[[#This Row],[Total Ações]]</f>
        <v>-0.65867907255389713</v>
      </c>
      <c r="F117" s="65">
        <v>0</v>
      </c>
      <c r="G117" s="22" t="str">
        <f>IF(AND(Tabela2[[#This Row],[Dividendo / Ação]]&gt;0,Tabela2[[#This Row],[Lucro por ação]]&gt;0),Tabela2[[#This Row],[Dividendo / Ação]]/Tabela2[[#This Row],[Lucro por ação]],"")</f>
        <v/>
      </c>
      <c r="H117" s="51">
        <f>MAX(Tabela2[[#This Row],[Cotação 1]],Tabela2[[#This Row],[Cotação 2]])</f>
        <v>16</v>
      </c>
      <c r="I117" s="18" t="str">
        <f>IF(Tabela2[[#This Row],[Dividendo / Ação]]&gt;0,Tabela2[[#This Row],[Dividendo / Ação]]/Tabela2[[#This Row],[Cotação]],"")</f>
        <v/>
      </c>
      <c r="J117" s="7">
        <f>SUMPRODUCT(N(Tabela1[Código]=Tabela2[[#This Row],[Ativo]]),Tabela1[Fechamento])</f>
        <v>0</v>
      </c>
      <c r="K117" s="7">
        <f>SUMPRODUCT(N(Tabela17[Código]=Tabela2[[#This Row],[Ativo]]),Tabela17[Fechamento])</f>
        <v>16</v>
      </c>
      <c r="M117" s="3"/>
    </row>
    <row r="118" spans="1:13">
      <c r="A118" s="14" t="s">
        <v>302</v>
      </c>
      <c r="B118" s="3">
        <v>2010</v>
      </c>
      <c r="C118" s="5">
        <v>1895309000</v>
      </c>
      <c r="D118" s="62">
        <f>SUMPRODUCT(N(Tabela3[PAPEL]=Tabela2[[#This Row],[Ativo]]),Tabela3[Total Ações])</f>
        <v>797265348</v>
      </c>
      <c r="E118" s="65">
        <f>(Tabela2[[#This Row],[Lucro Líquido]])/Tabela2[[#This Row],[Total Ações]]</f>
        <v>2.3772624820011616</v>
      </c>
      <c r="F118" s="65">
        <v>0.83324714</v>
      </c>
      <c r="G118" s="22">
        <f>IF(AND(Tabela2[[#This Row],[Dividendo / Ação]]&gt;0,Tabela2[[#This Row],[Lucro por ação]]&gt;0),Tabela2[[#This Row],[Dividendo / Ação]]/Tabela2[[#This Row],[Lucro por ação]],"")</f>
        <v>0.35050699967240423</v>
      </c>
      <c r="H118" s="51">
        <f>MAX(Tabela2[[#This Row],[Cotação 1]],Tabela2[[#This Row],[Cotação 2]])</f>
        <v>16</v>
      </c>
      <c r="I118" s="18">
        <f>IF(Tabela2[[#This Row],[Dividendo / Ação]]&gt;0,Tabela2[[#This Row],[Dividendo / Ação]]/Tabela2[[#This Row],[Cotação]],"")</f>
        <v>5.207794625E-2</v>
      </c>
      <c r="J118" s="7">
        <f>SUMPRODUCT(N(Tabela1[Código]=Tabela2[[#This Row],[Ativo]]),Tabela1[Fechamento])</f>
        <v>0</v>
      </c>
      <c r="K118" s="7">
        <f>SUMPRODUCT(N(Tabela17[Código]=Tabela2[[#This Row],[Ativo]]),Tabela17[Fechamento])</f>
        <v>16</v>
      </c>
      <c r="M118" s="3"/>
    </row>
    <row r="119" spans="1:13">
      <c r="A119" s="14" t="s">
        <v>302</v>
      </c>
      <c r="B119" s="3">
        <v>2009</v>
      </c>
      <c r="C119" s="5">
        <v>398491000</v>
      </c>
      <c r="D119" s="62">
        <f>SUMPRODUCT(N(Tabela3[PAPEL]=Tabela2[[#This Row],[Ativo]]),Tabela3[Total Ações])</f>
        <v>797265348</v>
      </c>
      <c r="E119" s="65">
        <f>(Tabela2[[#This Row],[Lucro Líquido]])/Tabela2[[#This Row],[Total Ações]]</f>
        <v>0.49982230006564893</v>
      </c>
      <c r="F119" s="65">
        <v>0</v>
      </c>
      <c r="G119" s="22" t="str">
        <f>IF(AND(Tabela2[[#This Row],[Dividendo / Ação]]&gt;0,Tabela2[[#This Row],[Lucro por ação]]&gt;0),Tabela2[[#This Row],[Dividendo / Ação]]/Tabela2[[#This Row],[Lucro por ação]],"")</f>
        <v/>
      </c>
      <c r="H119" s="51">
        <f>MAX(Tabela2[[#This Row],[Cotação 1]],Tabela2[[#This Row],[Cotação 2]])</f>
        <v>16</v>
      </c>
      <c r="I119" s="18" t="str">
        <f>IF(Tabela2[[#This Row],[Dividendo / Ação]]&gt;0,Tabela2[[#This Row],[Dividendo / Ação]]/Tabela2[[#This Row],[Cotação]],"")</f>
        <v/>
      </c>
      <c r="J119" s="7">
        <f>SUMPRODUCT(N(Tabela1[Código]=Tabela2[[#This Row],[Ativo]]),Tabela1[Fechamento])</f>
        <v>0</v>
      </c>
      <c r="K119" s="7">
        <f>SUMPRODUCT(N(Tabela17[Código]=Tabela2[[#This Row],[Ativo]]),Tabela17[Fechamento])</f>
        <v>16</v>
      </c>
      <c r="M119" s="3"/>
    </row>
    <row r="120" spans="1:13">
      <c r="A120" s="14" t="s">
        <v>303</v>
      </c>
      <c r="B120" s="3">
        <v>2012</v>
      </c>
      <c r="C120" s="5">
        <v>-731143033.12</v>
      </c>
      <c r="D120" s="62">
        <f>SUMPRODUCT(N(Tabela3[PAPEL]=Tabela2[[#This Row],[Ativo]]),Tabela3[Total Ações])</f>
        <v>797265348</v>
      </c>
      <c r="E120" s="65">
        <f>(Tabela2[[#This Row],[Lucro Líquido]])/Tabela2[[#This Row],[Total Ações]]</f>
        <v>-0.91706360367238737</v>
      </c>
      <c r="F120" s="65">
        <v>0</v>
      </c>
      <c r="G120" s="22" t="str">
        <f>IF(AND(Tabela2[[#This Row],[Dividendo / Ação]]&gt;0,Tabela2[[#This Row],[Lucro por ação]]&gt;0),Tabela2[[#This Row],[Dividendo / Ação]]/Tabela2[[#This Row],[Lucro por ação]],"")</f>
        <v/>
      </c>
      <c r="H120" s="51">
        <f>MAX(Tabela2[[#This Row],[Cotação 1]],Tabela2[[#This Row],[Cotação 2]])</f>
        <v>20.170000000000002</v>
      </c>
      <c r="I120" s="18" t="str">
        <f>IF(Tabela2[[#This Row],[Dividendo / Ação]]&gt;0,Tabela2[[#This Row],[Dividendo / Ação]]/Tabela2[[#This Row],[Cotação]],"")</f>
        <v/>
      </c>
      <c r="J120" s="7">
        <f>SUMPRODUCT(N(Tabela1[Código]=Tabela2[[#This Row],[Ativo]]),Tabela1[Fechamento])</f>
        <v>0</v>
      </c>
      <c r="K120" s="7">
        <f>SUMPRODUCT(N(Tabela17[Código]=Tabela2[[#This Row],[Ativo]]),Tabela17[Fechamento])</f>
        <v>20.170000000000002</v>
      </c>
      <c r="M120" s="3"/>
    </row>
    <row r="121" spans="1:13">
      <c r="A121" s="14" t="s">
        <v>303</v>
      </c>
      <c r="B121" s="3">
        <v>2011</v>
      </c>
      <c r="C121" s="5">
        <v>-525142000</v>
      </c>
      <c r="D121" s="62">
        <f>SUMPRODUCT(N(Tabela3[PAPEL]=Tabela2[[#This Row],[Ativo]]),Tabela3[Total Ações])</f>
        <v>797265348</v>
      </c>
      <c r="E121" s="65">
        <f>(Tabela2[[#This Row],[Lucro Líquido]])/Tabela2[[#This Row],[Total Ações]]</f>
        <v>-0.65867907255389713</v>
      </c>
      <c r="F121" s="65">
        <v>0</v>
      </c>
      <c r="G121" s="22" t="str">
        <f>IF(AND(Tabela2[[#This Row],[Dividendo / Ação]]&gt;0,Tabela2[[#This Row],[Lucro por ação]]&gt;0),Tabela2[[#This Row],[Dividendo / Ação]]/Tabela2[[#This Row],[Lucro por ação]],"")</f>
        <v/>
      </c>
      <c r="H121" s="51">
        <f>MAX(Tabela2[[#This Row],[Cotação 1]],Tabela2[[#This Row],[Cotação 2]])</f>
        <v>20.170000000000002</v>
      </c>
      <c r="I121" s="18" t="str">
        <f>IF(Tabela2[[#This Row],[Dividendo / Ação]]&gt;0,Tabela2[[#This Row],[Dividendo / Ação]]/Tabela2[[#This Row],[Cotação]],"")</f>
        <v/>
      </c>
      <c r="J121" s="7">
        <f>SUMPRODUCT(N(Tabela1[Código]=Tabela2[[#This Row],[Ativo]]),Tabela1[Fechamento])</f>
        <v>0</v>
      </c>
      <c r="K121" s="7">
        <f>SUMPRODUCT(N(Tabela17[Código]=Tabela2[[#This Row],[Ativo]]),Tabela17[Fechamento])</f>
        <v>20.170000000000002</v>
      </c>
      <c r="M121" s="3"/>
    </row>
    <row r="122" spans="1:13">
      <c r="A122" s="14" t="s">
        <v>303</v>
      </c>
      <c r="B122" s="3">
        <v>2010</v>
      </c>
      <c r="C122" s="5">
        <v>1895309000</v>
      </c>
      <c r="D122" s="62">
        <f>SUMPRODUCT(N(Tabela3[PAPEL]=Tabela2[[#This Row],[Ativo]]),Tabela3[Total Ações])</f>
        <v>797265348</v>
      </c>
      <c r="E122" s="65">
        <f>(Tabela2[[#This Row],[Lucro Líquido]])/Tabela2[[#This Row],[Total Ações]]</f>
        <v>2.3772624820011616</v>
      </c>
      <c r="F122" s="65">
        <v>0.83324714</v>
      </c>
      <c r="G122" s="22">
        <f>IF(AND(Tabela2[[#This Row],[Dividendo / Ação]]&gt;0,Tabela2[[#This Row],[Lucro por ação]]&gt;0),Tabela2[[#This Row],[Dividendo / Ação]]/Tabela2[[#This Row],[Lucro por ação]],"")</f>
        <v>0.35050699967240423</v>
      </c>
      <c r="H122" s="51">
        <f>MAX(Tabela2[[#This Row],[Cotação 1]],Tabela2[[#This Row],[Cotação 2]])</f>
        <v>20.170000000000002</v>
      </c>
      <c r="I122" s="18">
        <f>IF(Tabela2[[#This Row],[Dividendo / Ação]]&gt;0,Tabela2[[#This Row],[Dividendo / Ação]]/Tabela2[[#This Row],[Cotação]],"")</f>
        <v>4.1311211700545358E-2</v>
      </c>
      <c r="J122" s="7">
        <f>SUMPRODUCT(N(Tabela1[Código]=Tabela2[[#This Row],[Ativo]]),Tabela1[Fechamento])</f>
        <v>0</v>
      </c>
      <c r="K122" s="7">
        <f>SUMPRODUCT(N(Tabela17[Código]=Tabela2[[#This Row],[Ativo]]),Tabela17[Fechamento])</f>
        <v>20.170000000000002</v>
      </c>
      <c r="M122" s="3"/>
    </row>
    <row r="123" spans="1:13">
      <c r="A123" s="14" t="s">
        <v>303</v>
      </c>
      <c r="B123" s="3">
        <v>2009</v>
      </c>
      <c r="C123" s="5">
        <v>398491000</v>
      </c>
      <c r="D123" s="62">
        <f>SUMPRODUCT(N(Tabela3[PAPEL]=Tabela2[[#This Row],[Ativo]]),Tabela3[Total Ações])</f>
        <v>797265348</v>
      </c>
      <c r="E123" s="65">
        <f>(Tabela2[[#This Row],[Lucro Líquido]])/Tabela2[[#This Row],[Total Ações]]</f>
        <v>0.49982230006564893</v>
      </c>
      <c r="F123" s="65">
        <v>0</v>
      </c>
      <c r="G123" s="22" t="str">
        <f>IF(AND(Tabela2[[#This Row],[Dividendo / Ação]]&gt;0,Tabela2[[#This Row],[Lucro por ação]]&gt;0),Tabela2[[#This Row],[Dividendo / Ação]]/Tabela2[[#This Row],[Lucro por ação]],"")</f>
        <v/>
      </c>
      <c r="H123" s="51">
        <f>MAX(Tabela2[[#This Row],[Cotação 1]],Tabela2[[#This Row],[Cotação 2]])</f>
        <v>20.170000000000002</v>
      </c>
      <c r="I123" s="18" t="str">
        <f>IF(Tabela2[[#This Row],[Dividendo / Ação]]&gt;0,Tabela2[[#This Row],[Dividendo / Ação]]/Tabela2[[#This Row],[Cotação]],"")</f>
        <v/>
      </c>
      <c r="J123" s="7">
        <f>SUMPRODUCT(N(Tabela1[Código]=Tabela2[[#This Row],[Ativo]]),Tabela1[Fechamento])</f>
        <v>0</v>
      </c>
      <c r="K123" s="7">
        <f>SUMPRODUCT(N(Tabela17[Código]=Tabela2[[#This Row],[Ativo]]),Tabela17[Fechamento])</f>
        <v>20.170000000000002</v>
      </c>
      <c r="M123" s="3"/>
    </row>
    <row r="124" spans="1:13">
      <c r="A124" s="15" t="s">
        <v>304</v>
      </c>
      <c r="B124" s="4">
        <v>2012</v>
      </c>
      <c r="C124" s="5">
        <v>-731143033.12</v>
      </c>
      <c r="D124" s="8">
        <f>SUMPRODUCT(N(Tabela3[PAPEL]=Tabela2[[#This Row],[Ativo]]),Tabela3[Total Ações])</f>
        <v>797265348</v>
      </c>
      <c r="E124" s="66">
        <f>(Tabela2[[#This Row],[Lucro Líquido]])/Tabela2[[#This Row],[Total Ações]]</f>
        <v>-0.91706360367238737</v>
      </c>
      <c r="F124" s="66">
        <v>0</v>
      </c>
      <c r="G124" s="46" t="str">
        <f>IF(AND(Tabela2[[#This Row],[Dividendo / Ação]]&gt;0,Tabela2[[#This Row],[Lucro por ação]]&gt;0),Tabela2[[#This Row],[Dividendo / Ação]]/Tabela2[[#This Row],[Lucro por ação]],"")</f>
        <v/>
      </c>
      <c r="H124" s="13">
        <f>MAX(Tabela2[[#This Row],[Cotação 1]],Tabela2[[#This Row],[Cotação 2]])</f>
        <v>10.5</v>
      </c>
      <c r="I124" s="19" t="str">
        <f>IF(Tabela2[[#This Row],[Dividendo / Ação]]&gt;0,Tabela2[[#This Row],[Dividendo / Ação]]/Tabela2[[#This Row],[Cotação]],"")</f>
        <v/>
      </c>
      <c r="J124" s="17">
        <f>SUMPRODUCT(N(Tabela1[Código]=Tabela2[[#This Row],[Ativo]]),Tabela1[Fechamento])</f>
        <v>0</v>
      </c>
      <c r="K124" s="17">
        <f>SUMPRODUCT(N(Tabela17[Código]=Tabela2[[#This Row],[Ativo]]),Tabela17[Fechamento])</f>
        <v>10.5</v>
      </c>
      <c r="M124" s="3"/>
    </row>
    <row r="125" spans="1:13">
      <c r="A125" s="15" t="s">
        <v>304</v>
      </c>
      <c r="B125" s="4">
        <v>2011</v>
      </c>
      <c r="C125" s="5">
        <v>-525142000</v>
      </c>
      <c r="D125" s="8">
        <f>SUMPRODUCT(N(Tabela3[PAPEL]=Tabela2[[#This Row],[Ativo]]),Tabela3[Total Ações])</f>
        <v>797265348</v>
      </c>
      <c r="E125" s="66">
        <f>(Tabela2[[#This Row],[Lucro Líquido]])/Tabela2[[#This Row],[Total Ações]]</f>
        <v>-0.65867907255389713</v>
      </c>
      <c r="F125" s="66">
        <v>0</v>
      </c>
      <c r="G125" s="46" t="str">
        <f>IF(AND(Tabela2[[#This Row],[Dividendo / Ação]]&gt;0,Tabela2[[#This Row],[Lucro por ação]]&gt;0),Tabela2[[#This Row],[Dividendo / Ação]]/Tabela2[[#This Row],[Lucro por ação]],"")</f>
        <v/>
      </c>
      <c r="H125" s="13">
        <f>MAX(Tabela2[[#This Row],[Cotação 1]],Tabela2[[#This Row],[Cotação 2]])</f>
        <v>10.5</v>
      </c>
      <c r="I125" s="19" t="str">
        <f>IF(Tabela2[[#This Row],[Dividendo / Ação]]&gt;0,Tabela2[[#This Row],[Dividendo / Ação]]/Tabela2[[#This Row],[Cotação]],"")</f>
        <v/>
      </c>
      <c r="J125" s="17">
        <f>SUMPRODUCT(N(Tabela1[Código]=Tabela2[[#This Row],[Ativo]]),Tabela1[Fechamento])</f>
        <v>0</v>
      </c>
      <c r="K125" s="17">
        <f>SUMPRODUCT(N(Tabela17[Código]=Tabela2[[#This Row],[Ativo]]),Tabela17[Fechamento])</f>
        <v>10.5</v>
      </c>
      <c r="M125" s="3"/>
    </row>
    <row r="126" spans="1:13">
      <c r="A126" s="15" t="s">
        <v>304</v>
      </c>
      <c r="B126" s="4">
        <v>2010</v>
      </c>
      <c r="C126" s="5">
        <v>1895309000</v>
      </c>
      <c r="D126" s="8">
        <f>SUMPRODUCT(N(Tabela3[PAPEL]=Tabela2[[#This Row],[Ativo]]),Tabela3[Total Ações])</f>
        <v>797265348</v>
      </c>
      <c r="E126" s="66">
        <f>(Tabela2[[#This Row],[Lucro Líquido]])/Tabela2[[#This Row],[Total Ações]]</f>
        <v>2.3772624820011616</v>
      </c>
      <c r="F126" s="66">
        <v>0.60198830400000003</v>
      </c>
      <c r="G126" s="46">
        <f>IF(AND(Tabela2[[#This Row],[Dividendo / Ação]]&gt;0,Tabela2[[#This Row],[Lucro por ação]]&gt;0),Tabela2[[#This Row],[Dividendo / Ação]]/Tabela2[[#This Row],[Lucro por ação]],"")</f>
        <v>0.25322752895727813</v>
      </c>
      <c r="H126" s="13">
        <f>MAX(Tabela2[[#This Row],[Cotação 1]],Tabela2[[#This Row],[Cotação 2]])</f>
        <v>10.5</v>
      </c>
      <c r="I126" s="19">
        <f>IF(Tabela2[[#This Row],[Dividendo / Ação]]&gt;0,Tabela2[[#This Row],[Dividendo / Ação]]/Tabela2[[#This Row],[Cotação]],"")</f>
        <v>5.7332219428571432E-2</v>
      </c>
      <c r="J126" s="17">
        <f>SUMPRODUCT(N(Tabela1[Código]=Tabela2[[#This Row],[Ativo]]),Tabela1[Fechamento])</f>
        <v>0</v>
      </c>
      <c r="K126" s="17">
        <f>SUMPRODUCT(N(Tabela17[Código]=Tabela2[[#This Row],[Ativo]]),Tabela17[Fechamento])</f>
        <v>10.5</v>
      </c>
      <c r="M126" s="3"/>
    </row>
    <row r="127" spans="1:13">
      <c r="A127" s="15" t="s">
        <v>304</v>
      </c>
      <c r="B127" s="4">
        <v>2009</v>
      </c>
      <c r="C127" s="5">
        <v>398491000</v>
      </c>
      <c r="D127" s="8">
        <f>SUMPRODUCT(N(Tabela3[PAPEL]=Tabela2[[#This Row],[Ativo]]),Tabela3[Total Ações])</f>
        <v>797265348</v>
      </c>
      <c r="E127" s="66">
        <f>(Tabela2[[#This Row],[Lucro Líquido]])/Tabela2[[#This Row],[Total Ações]]</f>
        <v>0.49982230006564893</v>
      </c>
      <c r="F127" s="66">
        <v>0</v>
      </c>
      <c r="G127" s="46" t="str">
        <f>IF(AND(Tabela2[[#This Row],[Dividendo / Ação]]&gt;0,Tabela2[[#This Row],[Lucro por ação]]&gt;0),Tabela2[[#This Row],[Dividendo / Ação]]/Tabela2[[#This Row],[Lucro por ação]],"")</f>
        <v/>
      </c>
      <c r="H127" s="13">
        <f>MAX(Tabela2[[#This Row],[Cotação 1]],Tabela2[[#This Row],[Cotação 2]])</f>
        <v>10.5</v>
      </c>
      <c r="I127" s="19" t="str">
        <f>IF(Tabela2[[#This Row],[Dividendo / Ação]]&gt;0,Tabela2[[#This Row],[Dividendo / Ação]]/Tabela2[[#This Row],[Cotação]],"")</f>
        <v/>
      </c>
      <c r="J127" s="17">
        <f>SUMPRODUCT(N(Tabela1[Código]=Tabela2[[#This Row],[Ativo]]),Tabela1[Fechamento])</f>
        <v>0</v>
      </c>
      <c r="K127" s="17">
        <f>SUMPRODUCT(N(Tabela17[Código]=Tabela2[[#This Row],[Ativo]]),Tabela17[Fechamento])</f>
        <v>10.5</v>
      </c>
      <c r="M127" s="3"/>
    </row>
    <row r="128" spans="1:13">
      <c r="A128" s="4" t="s">
        <v>414</v>
      </c>
      <c r="B128" s="4">
        <v>2012</v>
      </c>
      <c r="C128" s="6">
        <v>1741995406.21</v>
      </c>
      <c r="D128" s="78">
        <f>SUMPRODUCT(N(Tabela3[PAPEL]=Tabela2[[#This Row],[Ativo]]),Tabela3[Total Ações])</f>
        <v>457066306</v>
      </c>
      <c r="E128" s="66">
        <f>(Tabela2[[#This Row],[Lucro Líquido]])/Tabela2[[#This Row],[Total Ações]]</f>
        <v>3.8112531668654657</v>
      </c>
      <c r="F128" s="66">
        <v>0.47533848406620999</v>
      </c>
      <c r="G128" s="45">
        <f>IF(AND(Tabela2[[#This Row],[Dividendo / Ação]]&gt;0,Tabela2[[#This Row],[Lucro por ação]]&gt;0),Tabela2[[#This Row],[Dividendo / Ação]]/Tabela2[[#This Row],[Lucro por ação]],"")</f>
        <v>0.12471973475778002</v>
      </c>
      <c r="H128" s="61">
        <f>MAX(Tabela2[[#This Row],[Cotação 1]],Tabela2[[#This Row],[Cotação 2]])</f>
        <v>17.14</v>
      </c>
      <c r="I128" s="46">
        <f>IF(Tabela2[[#This Row],[Dividendo / Ação]]&gt;0,Tabela2[[#This Row],[Dividendo / Ação]]/Tabela2[[#This Row],[Cotação]],"")</f>
        <v>2.7732700353921235E-2</v>
      </c>
      <c r="J128" s="17">
        <f>SUMPRODUCT(N(Tabela1[Código]=Tabela2[[#This Row],[Ativo]]),Tabela1[Fechamento])</f>
        <v>0</v>
      </c>
      <c r="K128" s="17">
        <f>SUMPRODUCT(N(Tabela17[Código]=Tabela2[[#This Row],[Ativo]]),Tabela17[Fechamento])</f>
        <v>17.14</v>
      </c>
      <c r="M128" s="3"/>
    </row>
    <row r="129" spans="1:13">
      <c r="A129" s="4" t="s">
        <v>414</v>
      </c>
      <c r="B129" s="4">
        <v>2011</v>
      </c>
      <c r="C129" s="6">
        <v>478868368.80000001</v>
      </c>
      <c r="D129" s="78">
        <f>SUMPRODUCT(N(Tabela3[PAPEL]=Tabela2[[#This Row],[Ativo]]),Tabela3[Total Ações])</f>
        <v>457066306</v>
      </c>
      <c r="E129" s="66">
        <f>(Tabela2[[#This Row],[Lucro Líquido]])/Tabela2[[#This Row],[Total Ações]]</f>
        <v>1.0477000000083139</v>
      </c>
      <c r="F129" s="66">
        <v>0.15065705026321699</v>
      </c>
      <c r="G129" s="45">
        <f>IF(AND(Tabela2[[#This Row],[Dividendo / Ação]]&gt;0,Tabela2[[#This Row],[Lucro por ação]]&gt;0),Tabela2[[#This Row],[Dividendo / Ação]]/Tabela2[[#This Row],[Lucro por ação]],"")</f>
        <v>0.14379789086763528</v>
      </c>
      <c r="H129" s="61">
        <f>MAX(Tabela2[[#This Row],[Cotação 1]],Tabela2[[#This Row],[Cotação 2]])</f>
        <v>17.14</v>
      </c>
      <c r="I129" s="46">
        <f>IF(Tabela2[[#This Row],[Dividendo / Ação]]&gt;0,Tabela2[[#This Row],[Dividendo / Ação]]/Tabela2[[#This Row],[Cotação]],"")</f>
        <v>8.7897928975039074E-3</v>
      </c>
      <c r="J129" s="17">
        <f>SUMPRODUCT(N(Tabela1[Código]=Tabela2[[#This Row],[Ativo]]),Tabela1[Fechamento])</f>
        <v>0</v>
      </c>
      <c r="K129" s="17">
        <f>SUMPRODUCT(N(Tabela17[Código]=Tabela2[[#This Row],[Ativo]]),Tabela17[Fechamento])</f>
        <v>17.14</v>
      </c>
      <c r="M129" s="3"/>
    </row>
    <row r="130" spans="1:13">
      <c r="A130" s="4" t="s">
        <v>414</v>
      </c>
      <c r="B130" s="4">
        <v>2010</v>
      </c>
      <c r="C130" s="6">
        <v>562602916.05999994</v>
      </c>
      <c r="D130" s="78">
        <f>SUMPRODUCT(N(Tabela3[PAPEL]=Tabela2[[#This Row],[Ativo]]),Tabela3[Total Ações])</f>
        <v>457066306</v>
      </c>
      <c r="E130" s="66">
        <f>(Tabela2[[#This Row],[Lucro Líquido]])/Tabela2[[#This Row],[Total Ações]]</f>
        <v>1.2309000000100641</v>
      </c>
      <c r="F130" s="66">
        <v>0.16521896199328401</v>
      </c>
      <c r="G130" s="45">
        <f>IF(AND(Tabela2[[#This Row],[Dividendo / Ação]]&gt;0,Tabela2[[#This Row],[Lucro por ação]]&gt;0),Tabela2[[#This Row],[Dividendo / Ação]]/Tabela2[[#This Row],[Lucro por ação]],"")</f>
        <v>0.13422614509052982</v>
      </c>
      <c r="H130" s="61">
        <f>MAX(Tabela2[[#This Row],[Cotação 1]],Tabela2[[#This Row],[Cotação 2]])</f>
        <v>17.14</v>
      </c>
      <c r="I130" s="46">
        <f>IF(Tabela2[[#This Row],[Dividendo / Ação]]&gt;0,Tabela2[[#This Row],[Dividendo / Ação]]/Tabela2[[#This Row],[Cotação]],"")</f>
        <v>9.6393793461659275E-3</v>
      </c>
      <c r="J130" s="17">
        <f>SUMPRODUCT(N(Tabela1[Código]=Tabela2[[#This Row],[Ativo]]),Tabela1[Fechamento])</f>
        <v>0</v>
      </c>
      <c r="K130" s="17">
        <f>SUMPRODUCT(N(Tabela17[Código]=Tabela2[[#This Row],[Ativo]]),Tabela17[Fechamento])</f>
        <v>17.14</v>
      </c>
      <c r="M130" s="3"/>
    </row>
    <row r="131" spans="1:13">
      <c r="A131" s="4" t="s">
        <v>414</v>
      </c>
      <c r="B131" s="4">
        <v>2009</v>
      </c>
      <c r="C131" s="6">
        <v>2228426774.9000001</v>
      </c>
      <c r="D131" s="78">
        <f>SUMPRODUCT(N(Tabela3[PAPEL]=Tabela2[[#This Row],[Ativo]]),Tabela3[Total Ações])</f>
        <v>457066306</v>
      </c>
      <c r="E131" s="66">
        <f>(Tabela2[[#This Row],[Lucro Líquido]])/Tabela2[[#This Row],[Total Ações]]</f>
        <v>4.875499999993437</v>
      </c>
      <c r="F131" s="66">
        <v>0.24224801190112999</v>
      </c>
      <c r="G131" s="45">
        <f>IF(AND(Tabela2[[#This Row],[Dividendo / Ação]]&gt;0,Tabela2[[#This Row],[Lucro por ação]]&gt;0),Tabela2[[#This Row],[Dividendo / Ação]]/Tabela2[[#This Row],[Lucro por ação]],"")</f>
        <v>4.968680379478127E-2</v>
      </c>
      <c r="H131" s="61">
        <f>MAX(Tabela2[[#This Row],[Cotação 1]],Tabela2[[#This Row],[Cotação 2]])</f>
        <v>17.14</v>
      </c>
      <c r="I131" s="46">
        <f>IF(Tabela2[[#This Row],[Dividendo / Ação]]&gt;0,Tabela2[[#This Row],[Dividendo / Ação]]/Tabela2[[#This Row],[Cotação]],"")</f>
        <v>1.4133489609167443E-2</v>
      </c>
      <c r="J131" s="17">
        <f>SUMPRODUCT(N(Tabela1[Código]=Tabela2[[#This Row],[Ativo]]),Tabela1[Fechamento])</f>
        <v>0</v>
      </c>
      <c r="K131" s="17">
        <f>SUMPRODUCT(N(Tabela17[Código]=Tabela2[[#This Row],[Ativo]]),Tabela17[Fechamento])</f>
        <v>17.14</v>
      </c>
      <c r="M131" s="3"/>
    </row>
    <row r="132" spans="1:13">
      <c r="A132" s="4" t="s">
        <v>416</v>
      </c>
      <c r="B132" s="4">
        <v>2012</v>
      </c>
      <c r="C132" s="6">
        <v>1216399447.4000001</v>
      </c>
      <c r="D132" s="78">
        <f>SUMPRODUCT(N(Tabela3[PAPEL]=Tabela2[[#This Row],[Ativo]]),Tabela3[Total Ações])</f>
        <v>312653445</v>
      </c>
      <c r="E132" s="66">
        <f>(Tabela2[[#This Row],[Lucro Líquido]])/Tabela2[[#This Row],[Total Ações]]</f>
        <v>3.8905678694824557</v>
      </c>
      <c r="F132" s="66">
        <v>0.51</v>
      </c>
      <c r="G132" s="45">
        <f>IF(AND(Tabela2[[#This Row],[Dividendo / Ação]]&gt;0,Tabela2[[#This Row],[Lucro por ação]]&gt;0),Tabela2[[#This Row],[Dividendo / Ação]]/Tabela2[[#This Row],[Lucro por ação]],"")</f>
        <v>0.13108626223961567</v>
      </c>
      <c r="H132" s="61">
        <f>MAX(Tabela2[[#This Row],[Cotação 1]],Tabela2[[#This Row],[Cotação 2]])</f>
        <v>18</v>
      </c>
      <c r="I132" s="46">
        <f>IF(Tabela2[[#This Row],[Dividendo / Ação]]&gt;0,Tabela2[[#This Row],[Dividendo / Ação]]/Tabela2[[#This Row],[Cotação]],"")</f>
        <v>2.8333333333333335E-2</v>
      </c>
      <c r="J132" s="17">
        <f>SUMPRODUCT(N(Tabela1[Código]=Tabela2[[#This Row],[Ativo]]),Tabela1[Fechamento])</f>
        <v>0</v>
      </c>
      <c r="K132" s="17">
        <f>SUMPRODUCT(N(Tabela17[Código]=Tabela2[[#This Row],[Ativo]]),Tabela17[Fechamento])</f>
        <v>18</v>
      </c>
      <c r="M132" s="3"/>
    </row>
    <row r="133" spans="1:13">
      <c r="A133" s="4" t="s">
        <v>416</v>
      </c>
      <c r="B133" s="4">
        <v>2011</v>
      </c>
      <c r="C133" s="13">
        <v>335408130.56999999</v>
      </c>
      <c r="D133" s="78">
        <f>SUMPRODUCT(N(Tabela3[PAPEL]=Tabela2[[#This Row],[Ativo]]),Tabela3[Total Ações])</f>
        <v>312653445</v>
      </c>
      <c r="E133" s="66">
        <f>(Tabela2[[#This Row],[Lucro Líquido]])/Tabela2[[#This Row],[Total Ações]]</f>
        <v>1.072779257461884</v>
      </c>
      <c r="F133" s="66">
        <v>0.19</v>
      </c>
      <c r="G133" s="45">
        <f>IF(AND(Tabela2[[#This Row],[Dividendo / Ação]]&gt;0,Tabela2[[#This Row],[Lucro por ação]]&gt;0),Tabela2[[#This Row],[Dividendo / Ação]]/Tabela2[[#This Row],[Lucro por ação]],"")</f>
        <v>0.17711006125297937</v>
      </c>
      <c r="H133" s="61">
        <f>MAX(Tabela2[[#This Row],[Cotação 1]],Tabela2[[#This Row],[Cotação 2]])</f>
        <v>18</v>
      </c>
      <c r="I133" s="46">
        <f>IF(Tabela2[[#This Row],[Dividendo / Ação]]&gt;0,Tabela2[[#This Row],[Dividendo / Ação]]/Tabela2[[#This Row],[Cotação]],"")</f>
        <v>1.0555555555555556E-2</v>
      </c>
      <c r="J133" s="17">
        <f>SUMPRODUCT(N(Tabela1[Código]=Tabela2[[#This Row],[Ativo]]),Tabela1[Fechamento])</f>
        <v>0</v>
      </c>
      <c r="K133" s="17">
        <f>SUMPRODUCT(N(Tabela17[Código]=Tabela2[[#This Row],[Ativo]]),Tabela17[Fechamento])</f>
        <v>18</v>
      </c>
      <c r="M133" s="3"/>
    </row>
    <row r="134" spans="1:13">
      <c r="A134" s="4" t="s">
        <v>416</v>
      </c>
      <c r="B134" s="4">
        <v>2010</v>
      </c>
      <c r="C134" s="6">
        <v>813367859.21000004</v>
      </c>
      <c r="D134" s="78">
        <f>SUMPRODUCT(N(Tabela3[PAPEL]=Tabela2[[#This Row],[Ativo]]),Tabela3[Total Ações])</f>
        <v>312653445</v>
      </c>
      <c r="E134" s="66">
        <f>(Tabela2[[#This Row],[Lucro Líquido]])/Tabela2[[#This Row],[Total Ações]]</f>
        <v>2.6014997506584328</v>
      </c>
      <c r="F134" s="66">
        <v>0.11</v>
      </c>
      <c r="G134" s="45">
        <f>IF(AND(Tabela2[[#This Row],[Dividendo / Ação]]&gt;0,Tabela2[[#This Row],[Lucro por ação]]&gt;0),Tabela2[[#This Row],[Dividendo / Ação]]/Tabela2[[#This Row],[Lucro por ação]],"")</f>
        <v>4.2283302149907678E-2</v>
      </c>
      <c r="H134" s="61">
        <f>MAX(Tabela2[[#This Row],[Cotação 1]],Tabela2[[#This Row],[Cotação 2]])</f>
        <v>18</v>
      </c>
      <c r="I134" s="46">
        <f>IF(Tabela2[[#This Row],[Dividendo / Ação]]&gt;0,Tabela2[[#This Row],[Dividendo / Ação]]/Tabela2[[#This Row],[Cotação]],"")</f>
        <v>6.1111111111111114E-3</v>
      </c>
      <c r="J134" s="17">
        <f>SUMPRODUCT(N(Tabela1[Código]=Tabela2[[#This Row],[Ativo]]),Tabela1[Fechamento])</f>
        <v>0</v>
      </c>
      <c r="K134" s="17">
        <f>SUMPRODUCT(N(Tabela17[Código]=Tabela2[[#This Row],[Ativo]]),Tabela17[Fechamento])</f>
        <v>18</v>
      </c>
      <c r="M134" s="3"/>
    </row>
    <row r="135" spans="1:13">
      <c r="A135" s="14" t="s">
        <v>229</v>
      </c>
      <c r="B135" s="3">
        <v>2012</v>
      </c>
      <c r="C135" s="5">
        <v>818590368.54999995</v>
      </c>
      <c r="D135" s="62">
        <f>SUMPRODUCT(N(Tabela3[PAPEL]=Tabela2[[#This Row],[Ativo]]),Tabela3[Total Ações])</f>
        <v>408974477</v>
      </c>
      <c r="E135" s="65">
        <f>(Tabela2[[#This Row],[Lucro Líquido]])/Tabela2[[#This Row],[Total Ações]]</f>
        <v>2.0015683486038176</v>
      </c>
      <c r="F135" s="65">
        <v>0.79800700000000002</v>
      </c>
      <c r="G135" s="22">
        <f>IF(AND(Tabela2[[#This Row],[Dividendo / Ação]]&gt;0,Tabela2[[#This Row],[Lucro por ação]]&gt;0),Tabela2[[#This Row],[Dividendo / Ação]]/Tabela2[[#This Row],[Lucro por ação]],"")</f>
        <v>0.39869085687563216</v>
      </c>
      <c r="H135" s="5">
        <f>MAX(Tabela2[[#This Row],[Cotação 1]],Tabela2[[#This Row],[Cotação 2]])</f>
        <v>12.2</v>
      </c>
      <c r="I135" s="18">
        <f>IF(Tabela2[[#This Row],[Dividendo / Ação]]&gt;0,Tabela2[[#This Row],[Dividendo / Ação]]/Tabela2[[#This Row],[Cotação]],"")</f>
        <v>6.5410409836065581E-2</v>
      </c>
      <c r="J135" s="60">
        <f>SUMPRODUCT(N(Tabela1[Código]=Tabela2[[#This Row],[Ativo]]),Tabela1[Fechamento])</f>
        <v>12.2</v>
      </c>
      <c r="K135" s="60">
        <f>SUMPRODUCT(N(Tabela17[Código]=Tabela2[[#This Row],[Ativo]]),Tabela17[Fechamento])</f>
        <v>0</v>
      </c>
      <c r="M135" s="3"/>
    </row>
    <row r="136" spans="1:13">
      <c r="A136" s="14" t="s">
        <v>229</v>
      </c>
      <c r="B136" s="3">
        <v>2011</v>
      </c>
      <c r="C136" s="5">
        <v>904348943.24000001</v>
      </c>
      <c r="D136" s="62">
        <f>SUMPRODUCT(N(Tabela3[PAPEL]=Tabela2[[#This Row],[Ativo]]),Tabela3[Total Ações])</f>
        <v>408974477</v>
      </c>
      <c r="E136" s="65">
        <f>(Tabela2[[#This Row],[Lucro Líquido]])/Tabela2[[#This Row],[Total Ações]]</f>
        <v>2.2112601008106432</v>
      </c>
      <c r="F136" s="65">
        <v>0.840279</v>
      </c>
      <c r="G136" s="22">
        <f>IF(AND(Tabela2[[#This Row],[Dividendo / Ação]]&gt;0,Tabela2[[#This Row],[Lucro por ação]]&gt;0),Tabela2[[#This Row],[Dividendo / Ação]]/Tabela2[[#This Row],[Lucro por ação]],"")</f>
        <v>0.38000007312208794</v>
      </c>
      <c r="H136" s="5">
        <f>MAX(Tabela2[[#This Row],[Cotação 1]],Tabela2[[#This Row],[Cotação 2]])</f>
        <v>12.2</v>
      </c>
      <c r="I136" s="18">
        <f>IF(Tabela2[[#This Row],[Dividendo / Ação]]&gt;0,Tabela2[[#This Row],[Dividendo / Ação]]/Tabela2[[#This Row],[Cotação]],"")</f>
        <v>6.8875327868852462E-2</v>
      </c>
      <c r="J136" s="60">
        <f>SUMPRODUCT(N(Tabela1[Código]=Tabela2[[#This Row],[Ativo]]),Tabela1[Fechamento])</f>
        <v>12.2</v>
      </c>
      <c r="K136" s="60">
        <f>SUMPRODUCT(N(Tabela17[Código]=Tabela2[[#This Row],[Ativo]]),Tabela17[Fechamento])</f>
        <v>0</v>
      </c>
      <c r="M136" s="3"/>
    </row>
    <row r="137" spans="1:13">
      <c r="A137" s="14" t="s">
        <v>230</v>
      </c>
      <c r="B137" s="3">
        <v>2012</v>
      </c>
      <c r="C137" s="5">
        <v>818590368.54999995</v>
      </c>
      <c r="D137" s="62">
        <f>SUMPRODUCT(N(Tabela3[PAPEL]=Tabela2[[#This Row],[Ativo]]),Tabela3[Total Ações])</f>
        <v>408974477</v>
      </c>
      <c r="E137" s="65">
        <f>(Tabela2[[#This Row],[Lucro Líquido]])/Tabela2[[#This Row],[Total Ações]]</f>
        <v>2.0015683486038176</v>
      </c>
      <c r="F137" s="65">
        <v>0.82645999999999997</v>
      </c>
      <c r="G137" s="22">
        <f>IF(AND(Tabela2[[#This Row],[Dividendo / Ação]]&gt;0,Tabela2[[#This Row],[Lucro por ação]]&gt;0),Tabela2[[#This Row],[Dividendo / Ação]]/Tabela2[[#This Row],[Lucro por ação]],"")</f>
        <v>0.41290620956136337</v>
      </c>
      <c r="H137" s="5">
        <f>MAX(Tabela2[[#This Row],[Cotação 1]],Tabela2[[#This Row],[Cotação 2]])</f>
        <v>15.72</v>
      </c>
      <c r="I137" s="18">
        <f>IF(Tabela2[[#This Row],[Dividendo / Ação]]&gt;0,Tabela2[[#This Row],[Dividendo / Ação]]/Tabela2[[#This Row],[Cotação]],"")</f>
        <v>5.2573791348600504E-2</v>
      </c>
      <c r="J137" s="60">
        <f>SUMPRODUCT(N(Tabela1[Código]=Tabela2[[#This Row],[Ativo]]),Tabela1[Fechamento])</f>
        <v>15.72</v>
      </c>
      <c r="K137" s="60">
        <f>SUMPRODUCT(N(Tabela17[Código]=Tabela2[[#This Row],[Ativo]]),Tabela17[Fechamento])</f>
        <v>0</v>
      </c>
      <c r="M137" s="3"/>
    </row>
    <row r="138" spans="1:13">
      <c r="A138" s="14" t="s">
        <v>230</v>
      </c>
      <c r="B138" s="3">
        <v>2011</v>
      </c>
      <c r="C138" s="5">
        <v>904348943.24000001</v>
      </c>
      <c r="D138" s="62">
        <f>SUMPRODUCT(N(Tabela3[PAPEL]=Tabela2[[#This Row],[Ativo]]),Tabela3[Total Ações])</f>
        <v>408974477</v>
      </c>
      <c r="E138" s="65">
        <f>(Tabela2[[#This Row],[Lucro Líquido]])/Tabela2[[#This Row],[Total Ações]]</f>
        <v>2.2112601008106432</v>
      </c>
      <c r="F138" s="65">
        <v>0.82327300000000003</v>
      </c>
      <c r="G138" s="22">
        <f>IF(AND(Tabela2[[#This Row],[Dividendo / Ação]]&gt;0,Tabela2[[#This Row],[Lucro por ação]]&gt;0),Tabela2[[#This Row],[Dividendo / Ação]]/Tabela2[[#This Row],[Lucro por ação]],"")</f>
        <v>0.37230943555585794</v>
      </c>
      <c r="H138" s="5">
        <f>MAX(Tabela2[[#This Row],[Cotação 1]],Tabela2[[#This Row],[Cotação 2]])</f>
        <v>15.72</v>
      </c>
      <c r="I138" s="18">
        <f>IF(Tabela2[[#This Row],[Dividendo / Ação]]&gt;0,Tabela2[[#This Row],[Dividendo / Ação]]/Tabela2[[#This Row],[Cotação]],"")</f>
        <v>5.2371055979643769E-2</v>
      </c>
      <c r="J138" s="60">
        <f>SUMPRODUCT(N(Tabela1[Código]=Tabela2[[#This Row],[Ativo]]),Tabela1[Fechamento])</f>
        <v>15.72</v>
      </c>
      <c r="K138" s="60">
        <f>SUMPRODUCT(N(Tabela17[Código]=Tabela2[[#This Row],[Ativo]]),Tabela17[Fechamento])</f>
        <v>0</v>
      </c>
      <c r="M138" s="3"/>
    </row>
    <row r="139" spans="1:13">
      <c r="A139" s="14" t="s">
        <v>23</v>
      </c>
      <c r="B139" s="4">
        <v>2012</v>
      </c>
      <c r="C139" s="5">
        <v>818590368.54999995</v>
      </c>
      <c r="D139" s="8">
        <f>SUMPRODUCT(N(Tabela3[PAPEL]=Tabela2[[#This Row],[Ativo]]),Tabela3[Total Ações])</f>
        <v>408974477</v>
      </c>
      <c r="E139" s="66">
        <f>(Tabela2[[#This Row],[Lucro Líquido]])/Tabela2[[#This Row],[Total Ações]]</f>
        <v>2.0015683486038176</v>
      </c>
      <c r="F139" s="66">
        <v>0.79800700000000002</v>
      </c>
      <c r="G139" s="46">
        <f>IF(AND(Tabela2[[#This Row],[Dividendo / Ação]]&gt;0,Tabela2[[#This Row],[Lucro por ação]]&gt;0),Tabela2[[#This Row],[Dividendo / Ação]]/Tabela2[[#This Row],[Lucro por ação]],"")</f>
        <v>0.39869085687563216</v>
      </c>
      <c r="H139" s="6">
        <f>MAX(Tabela2[[#This Row],[Cotação 1]],Tabela2[[#This Row],[Cotação 2]])</f>
        <v>11.85</v>
      </c>
      <c r="I139" s="19">
        <f>IF(Tabela2[[#This Row],[Dividendo / Ação]]&gt;0,Tabela2[[#This Row],[Dividendo / Ação]]/Tabela2[[#This Row],[Cotação]],"")</f>
        <v>6.7342362869198313E-2</v>
      </c>
      <c r="J139" s="61">
        <f>SUMPRODUCT(N(Tabela1[Código]=Tabela2[[#This Row],[Ativo]]),Tabela1[Fechamento])</f>
        <v>11.85</v>
      </c>
      <c r="K139" s="61">
        <f>SUMPRODUCT(N(Tabela17[Código]=Tabela2[[#This Row],[Ativo]]),Tabela17[Fechamento])</f>
        <v>0</v>
      </c>
      <c r="M139" s="3"/>
    </row>
    <row r="140" spans="1:13">
      <c r="A140" s="14" t="s">
        <v>23</v>
      </c>
      <c r="B140" s="4">
        <v>2011</v>
      </c>
      <c r="C140" s="5">
        <v>904348943.24000001</v>
      </c>
      <c r="D140" s="8">
        <f>SUMPRODUCT(N(Tabela3[PAPEL]=Tabela2[[#This Row],[Ativo]]),Tabela3[Total Ações])</f>
        <v>408974477</v>
      </c>
      <c r="E140" s="66">
        <f>(Tabela2[[#This Row],[Lucro Líquido]])/Tabela2[[#This Row],[Total Ações]]</f>
        <v>2.2112601008106432</v>
      </c>
      <c r="F140" s="66">
        <v>0.84058699999999997</v>
      </c>
      <c r="G140" s="46">
        <f>IF(AND(Tabela2[[#This Row],[Dividendo / Ação]]&gt;0,Tabela2[[#This Row],[Lucro por ação]]&gt;0),Tabela2[[#This Row],[Dividendo / Ação]]/Tabela2[[#This Row],[Lucro por ação]],"")</f>
        <v>0.3801393602190184</v>
      </c>
      <c r="H140" s="6">
        <f>MAX(Tabela2[[#This Row],[Cotação 1]],Tabela2[[#This Row],[Cotação 2]])</f>
        <v>11.85</v>
      </c>
      <c r="I140" s="19">
        <f>IF(Tabela2[[#This Row],[Dividendo / Ação]]&gt;0,Tabela2[[#This Row],[Dividendo / Ação]]/Tabela2[[#This Row],[Cotação]],"")</f>
        <v>7.0935611814345989E-2</v>
      </c>
      <c r="J140" s="61">
        <f>SUMPRODUCT(N(Tabela1[Código]=Tabela2[[#This Row],[Ativo]]),Tabela1[Fechamento])</f>
        <v>11.85</v>
      </c>
      <c r="K140" s="61">
        <f>SUMPRODUCT(N(Tabela17[Código]=Tabela2[[#This Row],[Ativo]]),Tabela17[Fechamento])</f>
        <v>0</v>
      </c>
      <c r="M140" s="3"/>
    </row>
    <row r="141" spans="1:13">
      <c r="A141" s="15" t="s">
        <v>244</v>
      </c>
      <c r="B141" s="3">
        <v>2012</v>
      </c>
      <c r="C141" s="5">
        <v>215388793.88999999</v>
      </c>
      <c r="D141" s="62">
        <f>SUMPRODUCT(N(Tabela3[PAPEL]=Tabela2[[#This Row],[Ativo]]),Tabela3[Total Ações])</f>
        <v>36304650</v>
      </c>
      <c r="E141" s="65">
        <f>(Tabela2[[#This Row],[Lucro Líquido]])/Tabela2[[#This Row],[Total Ações]]</f>
        <v>5.9328156004809296</v>
      </c>
      <c r="F141" s="65">
        <v>1.375</v>
      </c>
      <c r="G141" s="22">
        <f>IF(AND(Tabela2[[#This Row],[Dividendo / Ação]]&gt;0,Tabela2[[#This Row],[Lucro por ação]]&gt;0),Tabela2[[#This Row],[Dividendo / Ação]]/Tabela2[[#This Row],[Lucro por ação]],"")</f>
        <v>0.23176179618468826</v>
      </c>
      <c r="H141" s="5">
        <f>MAX(Tabela2[[#This Row],[Cotação 1]],Tabela2[[#This Row],[Cotação 2]])</f>
        <v>27.5</v>
      </c>
      <c r="I141" s="18">
        <f>IF(Tabela2[[#This Row],[Dividendo / Ação]]&gt;0,Tabela2[[#This Row],[Dividendo / Ação]]/Tabela2[[#This Row],[Cotação]],"")</f>
        <v>0.05</v>
      </c>
      <c r="J141" s="60">
        <f>SUMPRODUCT(N(Tabela1[Código]=Tabela2[[#This Row],[Ativo]]),Tabela1[Fechamento])</f>
        <v>27.5</v>
      </c>
      <c r="K141" s="60">
        <f>SUMPRODUCT(N(Tabela17[Código]=Tabela2[[#This Row],[Ativo]]),Tabela17[Fechamento])</f>
        <v>0</v>
      </c>
      <c r="M141" s="3"/>
    </row>
    <row r="142" spans="1:13">
      <c r="A142" s="15" t="s">
        <v>244</v>
      </c>
      <c r="B142" s="3">
        <v>2011</v>
      </c>
      <c r="C142" s="5">
        <v>96039575.989999995</v>
      </c>
      <c r="D142" s="62">
        <f>SUMPRODUCT(N(Tabela3[PAPEL]=Tabela2[[#This Row],[Ativo]]),Tabela3[Total Ações])</f>
        <v>36304650</v>
      </c>
      <c r="E142" s="65">
        <f>(Tabela2[[#This Row],[Lucro Líquido]])/Tabela2[[#This Row],[Total Ações]]</f>
        <v>2.6453794759073559</v>
      </c>
      <c r="F142" s="65">
        <v>0.59060447900000002</v>
      </c>
      <c r="G142" s="22">
        <f>IF(AND(Tabela2[[#This Row],[Dividendo / Ação]]&gt;0,Tabela2[[#This Row],[Lucro por ação]]&gt;0),Tabela2[[#This Row],[Dividendo / Ação]]/Tabela2[[#This Row],[Lucro por ação]],"")</f>
        <v>0.22325888757318069</v>
      </c>
      <c r="H142" s="5">
        <f>MAX(Tabela2[[#This Row],[Cotação 1]],Tabela2[[#This Row],[Cotação 2]])</f>
        <v>27.5</v>
      </c>
      <c r="I142" s="18">
        <f>IF(Tabela2[[#This Row],[Dividendo / Ação]]&gt;0,Tabela2[[#This Row],[Dividendo / Ação]]/Tabela2[[#This Row],[Cotação]],"")</f>
        <v>2.1476526509090911E-2</v>
      </c>
      <c r="J142" s="60">
        <f>SUMPRODUCT(N(Tabela1[Código]=Tabela2[[#This Row],[Ativo]]),Tabela1[Fechamento])</f>
        <v>27.5</v>
      </c>
      <c r="K142" s="60">
        <f>SUMPRODUCT(N(Tabela17[Código]=Tabela2[[#This Row],[Ativo]]),Tabela17[Fechamento])</f>
        <v>0</v>
      </c>
      <c r="M142" s="3"/>
    </row>
    <row r="143" spans="1:13">
      <c r="A143" s="15" t="s">
        <v>244</v>
      </c>
      <c r="B143" s="3">
        <v>2010</v>
      </c>
      <c r="C143" s="6">
        <v>196040834.49000001</v>
      </c>
      <c r="D143" s="62">
        <f>SUMPRODUCT(N(Tabela3[PAPEL]=Tabela2[[#This Row],[Ativo]]),Tabela3[Total Ações])</f>
        <v>36304650</v>
      </c>
      <c r="E143" s="65">
        <f>(Tabela2[[#This Row],[Lucro Líquido]])/Tabela2[[#This Row],[Total Ações]]</f>
        <v>5.3998822324412989</v>
      </c>
      <c r="F143" s="65">
        <v>0.52209249599999996</v>
      </c>
      <c r="G143" s="22">
        <f>IF(AND(Tabela2[[#This Row],[Dividendo / Ação]]&gt;0,Tabela2[[#This Row],[Lucro por ação]]&gt;0),Tabela2[[#This Row],[Dividendo / Ação]]/Tabela2[[#This Row],[Lucro por ação]],"")</f>
        <v>9.6685904159795125E-2</v>
      </c>
      <c r="H143" s="5">
        <f>MAX(Tabela2[[#This Row],[Cotação 1]],Tabela2[[#This Row],[Cotação 2]])</f>
        <v>27.5</v>
      </c>
      <c r="I143" s="18">
        <f>IF(Tabela2[[#This Row],[Dividendo / Ação]]&gt;0,Tabela2[[#This Row],[Dividendo / Ação]]/Tabela2[[#This Row],[Cotação]],"")</f>
        <v>1.898518167272727E-2</v>
      </c>
      <c r="J143" s="60">
        <f>SUMPRODUCT(N(Tabela1[Código]=Tabela2[[#This Row],[Ativo]]),Tabela1[Fechamento])</f>
        <v>27.5</v>
      </c>
      <c r="K143" s="60">
        <f>SUMPRODUCT(N(Tabela17[Código]=Tabela2[[#This Row],[Ativo]]),Tabela17[Fechamento])</f>
        <v>0</v>
      </c>
      <c r="M143" s="3"/>
    </row>
    <row r="144" spans="1:13">
      <c r="A144" s="15" t="s">
        <v>244</v>
      </c>
      <c r="B144" s="3">
        <v>2009</v>
      </c>
      <c r="C144" s="5">
        <v>190454809.5</v>
      </c>
      <c r="D144" s="62">
        <f>SUMPRODUCT(N(Tabela3[PAPEL]=Tabela2[[#This Row],[Ativo]]),Tabela3[Total Ações])</f>
        <v>36304650</v>
      </c>
      <c r="E144" s="65">
        <f>(Tabela2[[#This Row],[Lucro Líquido]])/Tabela2[[#This Row],[Total Ações]]</f>
        <v>5.2460169565055716</v>
      </c>
      <c r="F144" s="65">
        <v>0.18859646699999999</v>
      </c>
      <c r="G144" s="22">
        <f>IF(AND(Tabela2[[#This Row],[Dividendo / Ação]]&gt;0,Tabela2[[#This Row],[Lucro por ação]]&gt;0),Tabela2[[#This Row],[Dividendo / Ação]]/Tabela2[[#This Row],[Lucro por ação]],"")</f>
        <v>3.5950411247932017E-2</v>
      </c>
      <c r="H144" s="5">
        <f>MAX(Tabela2[[#This Row],[Cotação 1]],Tabela2[[#This Row],[Cotação 2]])</f>
        <v>27.5</v>
      </c>
      <c r="I144" s="18">
        <f>IF(Tabela2[[#This Row],[Dividendo / Ação]]&gt;0,Tabela2[[#This Row],[Dividendo / Ação]]/Tabela2[[#This Row],[Cotação]],"")</f>
        <v>6.8580533454545454E-3</v>
      </c>
      <c r="J144" s="60">
        <f>SUMPRODUCT(N(Tabela1[Código]=Tabela2[[#This Row],[Ativo]]),Tabela1[Fechamento])</f>
        <v>27.5</v>
      </c>
      <c r="K144" s="60">
        <f>SUMPRODUCT(N(Tabela17[Código]=Tabela2[[#This Row],[Ativo]]),Tabela17[Fechamento])</f>
        <v>0</v>
      </c>
      <c r="M144" s="3"/>
    </row>
    <row r="145" spans="1:13">
      <c r="A145" s="14" t="s">
        <v>245</v>
      </c>
      <c r="B145" s="4">
        <v>2012</v>
      </c>
      <c r="C145" s="5">
        <v>215388793.88999999</v>
      </c>
      <c r="D145" s="8">
        <f>SUMPRODUCT(N(Tabela3[PAPEL]=Tabela2[[#This Row],[Ativo]]),Tabela3[Total Ações])</f>
        <v>36304650</v>
      </c>
      <c r="E145" s="66">
        <f>(Tabela2[[#This Row],[Lucro Líquido]])/Tabela2[[#This Row],[Total Ações]]</f>
        <v>5.9328156004809296</v>
      </c>
      <c r="F145" s="66">
        <v>1.5129999999999999</v>
      </c>
      <c r="G145" s="46">
        <f>IF(AND(Tabela2[[#This Row],[Dividendo / Ação]]&gt;0,Tabela2[[#This Row],[Lucro por ação]]&gt;0),Tabela2[[#This Row],[Dividendo / Ação]]/Tabela2[[#This Row],[Lucro por ação]],"")</f>
        <v>0.2550222528199515</v>
      </c>
      <c r="H145" s="6">
        <f>MAX(Tabela2[[#This Row],[Cotação 1]],Tabela2[[#This Row],[Cotação 2]])</f>
        <v>29.99</v>
      </c>
      <c r="I145" s="19">
        <f>IF(Tabela2[[#This Row],[Dividendo / Ação]]&gt;0,Tabela2[[#This Row],[Dividendo / Ação]]/Tabela2[[#This Row],[Cotação]],"")</f>
        <v>5.0450150050016671E-2</v>
      </c>
      <c r="J145" s="61">
        <f>SUMPRODUCT(N(Tabela1[Código]=Tabela2[[#This Row],[Ativo]]),Tabela1[Fechamento])</f>
        <v>29.99</v>
      </c>
      <c r="K145" s="61">
        <f>SUMPRODUCT(N(Tabela17[Código]=Tabela2[[#This Row],[Ativo]]),Tabela17[Fechamento])</f>
        <v>0</v>
      </c>
      <c r="M145" s="3"/>
    </row>
    <row r="146" spans="1:13">
      <c r="A146" s="14" t="s">
        <v>245</v>
      </c>
      <c r="B146" s="4">
        <v>2011</v>
      </c>
      <c r="C146" s="5">
        <v>96039575.989999995</v>
      </c>
      <c r="D146" s="8">
        <f>SUMPRODUCT(N(Tabela3[PAPEL]=Tabela2[[#This Row],[Ativo]]),Tabela3[Total Ações])</f>
        <v>36304650</v>
      </c>
      <c r="E146" s="66">
        <f>(Tabela2[[#This Row],[Lucro Líquido]])/Tabela2[[#This Row],[Total Ações]]</f>
        <v>2.6453794759073559</v>
      </c>
      <c r="F146" s="66">
        <v>0.649664927</v>
      </c>
      <c r="G146" s="46">
        <f>IF(AND(Tabela2[[#This Row],[Dividendo / Ação]]&gt;0,Tabela2[[#This Row],[Lucro por ação]]&gt;0),Tabela2[[#This Row],[Dividendo / Ação]]/Tabela2[[#This Row],[Lucro por ação]],"")</f>
        <v>0.24558477636830051</v>
      </c>
      <c r="H146" s="6">
        <f>MAX(Tabela2[[#This Row],[Cotação 1]],Tabela2[[#This Row],[Cotação 2]])</f>
        <v>29.99</v>
      </c>
      <c r="I146" s="19">
        <f>IF(Tabela2[[#This Row],[Dividendo / Ação]]&gt;0,Tabela2[[#This Row],[Dividendo / Ação]]/Tabela2[[#This Row],[Cotação]],"")</f>
        <v>2.1662718472824277E-2</v>
      </c>
      <c r="J146" s="61">
        <f>SUMPRODUCT(N(Tabela1[Código]=Tabela2[[#This Row],[Ativo]]),Tabela1[Fechamento])</f>
        <v>29.99</v>
      </c>
      <c r="K146" s="61">
        <f>SUMPRODUCT(N(Tabela17[Código]=Tabela2[[#This Row],[Ativo]]),Tabela17[Fechamento])</f>
        <v>0</v>
      </c>
      <c r="M146" s="3"/>
    </row>
    <row r="147" spans="1:13">
      <c r="A147" s="14" t="s">
        <v>245</v>
      </c>
      <c r="B147" s="4">
        <v>2010</v>
      </c>
      <c r="C147" s="6">
        <v>196040834.49000001</v>
      </c>
      <c r="D147" s="8">
        <f>SUMPRODUCT(N(Tabela3[PAPEL]=Tabela2[[#This Row],[Ativo]]),Tabela3[Total Ações])</f>
        <v>36304650</v>
      </c>
      <c r="E147" s="66">
        <f>(Tabela2[[#This Row],[Lucro Líquido]])/Tabela2[[#This Row],[Total Ações]]</f>
        <v>5.3998822324412989</v>
      </c>
      <c r="F147" s="66">
        <v>1.954906128</v>
      </c>
      <c r="G147" s="46">
        <f>IF(AND(Tabela2[[#This Row],[Dividendo / Ação]]&gt;0,Tabela2[[#This Row],[Lucro por ação]]&gt;0),Tabela2[[#This Row],[Dividendo / Ação]]/Tabela2[[#This Row],[Lucro por ação]],"")</f>
        <v>0.3620275487223325</v>
      </c>
      <c r="H147" s="6">
        <f>MAX(Tabela2[[#This Row],[Cotação 1]],Tabela2[[#This Row],[Cotação 2]])</f>
        <v>29.99</v>
      </c>
      <c r="I147" s="19">
        <f>IF(Tabela2[[#This Row],[Dividendo / Ação]]&gt;0,Tabela2[[#This Row],[Dividendo / Ação]]/Tabela2[[#This Row],[Cotação]],"")</f>
        <v>6.5185266022007332E-2</v>
      </c>
      <c r="J147" s="61">
        <f>SUMPRODUCT(N(Tabela1[Código]=Tabela2[[#This Row],[Ativo]]),Tabela1[Fechamento])</f>
        <v>29.99</v>
      </c>
      <c r="K147" s="61">
        <f>SUMPRODUCT(N(Tabela17[Código]=Tabela2[[#This Row],[Ativo]]),Tabela17[Fechamento])</f>
        <v>0</v>
      </c>
      <c r="M147" s="3"/>
    </row>
    <row r="148" spans="1:13">
      <c r="A148" s="14" t="s">
        <v>245</v>
      </c>
      <c r="B148" s="4">
        <v>2009</v>
      </c>
      <c r="C148" s="5">
        <v>190454809.5</v>
      </c>
      <c r="D148" s="8">
        <f>SUMPRODUCT(N(Tabela3[PAPEL]=Tabela2[[#This Row],[Ativo]]),Tabela3[Total Ações])</f>
        <v>36304650</v>
      </c>
      <c r="E148" s="66">
        <f>(Tabela2[[#This Row],[Lucro Líquido]])/Tabela2[[#This Row],[Total Ações]]</f>
        <v>5.2460169565055716</v>
      </c>
      <c r="F148" s="66">
        <v>1.4895923250000001</v>
      </c>
      <c r="G148" s="46">
        <f>IF(AND(Tabela2[[#This Row],[Dividendo / Ação]]&gt;0,Tabela2[[#This Row],[Lucro por ação]]&gt;0),Tabela2[[#This Row],[Dividendo / Ação]]/Tabela2[[#This Row],[Lucro por ação]],"")</f>
        <v>0.28394729512888067</v>
      </c>
      <c r="H148" s="6">
        <f>MAX(Tabela2[[#This Row],[Cotação 1]],Tabela2[[#This Row],[Cotação 2]])</f>
        <v>29.99</v>
      </c>
      <c r="I148" s="19">
        <f>IF(Tabela2[[#This Row],[Dividendo / Ação]]&gt;0,Tabela2[[#This Row],[Dividendo / Ação]]/Tabela2[[#This Row],[Cotação]],"")</f>
        <v>4.9669634044681568E-2</v>
      </c>
      <c r="J148" s="61">
        <f>SUMPRODUCT(N(Tabela1[Código]=Tabela2[[#This Row],[Ativo]]),Tabela1[Fechamento])</f>
        <v>29.99</v>
      </c>
      <c r="K148" s="61">
        <f>SUMPRODUCT(N(Tabela17[Código]=Tabela2[[#This Row],[Ativo]]),Tabela17[Fechamento])</f>
        <v>0</v>
      </c>
      <c r="M148" s="3"/>
    </row>
    <row r="149" spans="1:13">
      <c r="A149" s="4" t="s">
        <v>198</v>
      </c>
      <c r="B149" s="4">
        <v>2012</v>
      </c>
      <c r="C149" s="6">
        <v>21418024.760000002</v>
      </c>
      <c r="D149" s="8">
        <f>SUMPRODUCT(N(Tabela3[PAPEL]=Tabela2[[#This Row],[Ativo]]),Tabela3[Total Ações])</f>
        <v>715094432</v>
      </c>
      <c r="E149" s="66">
        <f>(Tabela2[[#This Row],[Lucro Líquido]])/Tabela2[[#This Row],[Total Ações]]</f>
        <v>2.995132363161793E-2</v>
      </c>
      <c r="F149" s="66">
        <v>7.6962999999999997E-3</v>
      </c>
      <c r="G149" s="46">
        <f>IF(AND(Tabela2[[#This Row],[Dividendo / Ação]]&gt;0,Tabela2[[#This Row],[Lucro por ação]]&gt;0),Tabela2[[#This Row],[Dividendo / Ação]]/Tabela2[[#This Row],[Lucro por ação]],"")</f>
        <v>0.25696026308084252</v>
      </c>
      <c r="H149" s="6">
        <f>MAX(Tabela2[[#This Row],[Cotação 1]],Tabela2[[#This Row],[Cotação 2]])</f>
        <v>4.12</v>
      </c>
      <c r="I149" s="19">
        <f>IF(Tabela2[[#This Row],[Dividendo / Ação]]&gt;0,Tabela2[[#This Row],[Dividendo / Ação]]/Tabela2[[#This Row],[Cotação]],"")</f>
        <v>1.8680339805825241E-3</v>
      </c>
      <c r="J149" s="61">
        <f>SUMPRODUCT(N(Tabela1[Código]=Tabela2[[#This Row],[Ativo]]),Tabela1[Fechamento])</f>
        <v>4.12</v>
      </c>
      <c r="K149" s="61">
        <f>SUMPRODUCT(N(Tabela17[Código]=Tabela2[[#This Row],[Ativo]]),Tabela17[Fechamento])</f>
        <v>0</v>
      </c>
      <c r="M149" s="3"/>
    </row>
    <row r="150" spans="1:13">
      <c r="A150" s="4" t="s">
        <v>198</v>
      </c>
      <c r="B150" s="4">
        <v>2011</v>
      </c>
      <c r="C150" s="6">
        <v>7903625</v>
      </c>
      <c r="D150" s="8">
        <f>SUMPRODUCT(N(Tabela3[PAPEL]=Tabela2[[#This Row],[Ativo]]),Tabela3[Total Ações])</f>
        <v>715094432</v>
      </c>
      <c r="E150" s="66">
        <f>(Tabela2[[#This Row],[Lucro Líquido]])/Tabela2[[#This Row],[Total Ações]]</f>
        <v>1.1052561237115044E-2</v>
      </c>
      <c r="F150" s="66">
        <v>3.2377399999999998E-3</v>
      </c>
      <c r="G150" s="46">
        <f>IF(AND(Tabela2[[#This Row],[Dividendo / Ação]]&gt;0,Tabela2[[#This Row],[Lucro por ação]]&gt;0),Tabela2[[#This Row],[Dividendo / Ação]]/Tabela2[[#This Row],[Lucro por ação]],"")</f>
        <v>0.29294024530056523</v>
      </c>
      <c r="H150" s="6">
        <f>MAX(Tabela2[[#This Row],[Cotação 1]],Tabela2[[#This Row],[Cotação 2]])</f>
        <v>4.12</v>
      </c>
      <c r="I150" s="19">
        <f>IF(Tabela2[[#This Row],[Dividendo / Ação]]&gt;0,Tabela2[[#This Row],[Dividendo / Ação]]/Tabela2[[#This Row],[Cotação]],"")</f>
        <v>7.8585922330097078E-4</v>
      </c>
      <c r="J150" s="61">
        <f>SUMPRODUCT(N(Tabela1[Código]=Tabela2[[#This Row],[Ativo]]),Tabela1[Fechamento])</f>
        <v>4.12</v>
      </c>
      <c r="K150" s="61">
        <f>SUMPRODUCT(N(Tabela17[Código]=Tabela2[[#This Row],[Ativo]]),Tabela17[Fechamento])</f>
        <v>0</v>
      </c>
      <c r="M150" s="3"/>
    </row>
    <row r="151" spans="1:13">
      <c r="A151" s="4" t="s">
        <v>198</v>
      </c>
      <c r="B151" s="4">
        <v>2010</v>
      </c>
      <c r="C151" s="6">
        <v>-11477601</v>
      </c>
      <c r="D151" s="8">
        <f>SUMPRODUCT(N(Tabela3[PAPEL]=Tabela2[[#This Row],[Ativo]]),Tabela3[Total Ações])</f>
        <v>715094432</v>
      </c>
      <c r="E151" s="66">
        <f>(Tabela2[[#This Row],[Lucro Líquido]])/Tabela2[[#This Row],[Total Ações]]</f>
        <v>-1.6050468981976356E-2</v>
      </c>
      <c r="F151" s="66">
        <v>0</v>
      </c>
      <c r="G151" s="46" t="str">
        <f>IF(AND(Tabela2[[#This Row],[Dividendo / Ação]]&gt;0,Tabela2[[#This Row],[Lucro por ação]]&gt;0),Tabela2[[#This Row],[Dividendo / Ação]]/Tabela2[[#This Row],[Lucro por ação]],"")</f>
        <v/>
      </c>
      <c r="H151" s="6">
        <f>MAX(Tabela2[[#This Row],[Cotação 1]],Tabela2[[#This Row],[Cotação 2]])</f>
        <v>4.12</v>
      </c>
      <c r="I151" s="19" t="str">
        <f>IF(Tabela2[[#This Row],[Dividendo / Ação]]&gt;0,Tabela2[[#This Row],[Dividendo / Ação]]/Tabela2[[#This Row],[Cotação]],"")</f>
        <v/>
      </c>
      <c r="J151" s="61">
        <f>SUMPRODUCT(N(Tabela1[Código]=Tabela2[[#This Row],[Ativo]]),Tabela1[Fechamento])</f>
        <v>4.12</v>
      </c>
      <c r="K151" s="61">
        <f>SUMPRODUCT(N(Tabela17[Código]=Tabela2[[#This Row],[Ativo]]),Tabela17[Fechamento])</f>
        <v>0</v>
      </c>
      <c r="M151" s="3"/>
    </row>
    <row r="152" spans="1:13">
      <c r="A152" s="4" t="s">
        <v>198</v>
      </c>
      <c r="B152" s="4">
        <v>2009</v>
      </c>
      <c r="C152" s="6">
        <v>32515448</v>
      </c>
      <c r="D152" s="8">
        <f>SUMPRODUCT(N(Tabela3[PAPEL]=Tabela2[[#This Row],[Ativo]]),Tabela3[Total Ações])</f>
        <v>715094432</v>
      </c>
      <c r="E152" s="66">
        <f>(Tabela2[[#This Row],[Lucro Líquido]])/Tabela2[[#This Row],[Total Ações]]</f>
        <v>4.5470145682801236E-2</v>
      </c>
      <c r="F152" s="66">
        <v>1.1338000000000001E-2</v>
      </c>
      <c r="G152" s="46">
        <f>IF(AND(Tabela2[[#This Row],[Dividendo / Ação]]&gt;0,Tabela2[[#This Row],[Lucro por ação]]&gt;0),Tabela2[[#This Row],[Dividendo / Ação]]/Tabela2[[#This Row],[Lucro por ação]],"")</f>
        <v>0.24935042168313351</v>
      </c>
      <c r="H152" s="6">
        <f>MAX(Tabela2[[#This Row],[Cotação 1]],Tabela2[[#This Row],[Cotação 2]])</f>
        <v>4.12</v>
      </c>
      <c r="I152" s="19">
        <f>IF(Tabela2[[#This Row],[Dividendo / Ação]]&gt;0,Tabela2[[#This Row],[Dividendo / Ação]]/Tabela2[[#This Row],[Cotação]],"")</f>
        <v>2.7519417475728157E-3</v>
      </c>
      <c r="J152" s="61">
        <f>SUMPRODUCT(N(Tabela1[Código]=Tabela2[[#This Row],[Ativo]]),Tabela1[Fechamento])</f>
        <v>4.12</v>
      </c>
      <c r="K152" s="61">
        <f>SUMPRODUCT(N(Tabela17[Código]=Tabela2[[#This Row],[Ativo]]),Tabela17[Fechamento])</f>
        <v>0</v>
      </c>
      <c r="M152" s="3"/>
    </row>
    <row r="153" spans="1:13">
      <c r="A153" s="4" t="s">
        <v>418</v>
      </c>
      <c r="B153" s="4">
        <v>2012</v>
      </c>
      <c r="C153" s="82">
        <v>153035960.99000001</v>
      </c>
      <c r="D153" s="78">
        <f>SUMPRODUCT(N(Tabela3[PAPEL]=Tabela2[[#This Row],[Ativo]]),Tabela3[Total Ações])</f>
        <v>83000000</v>
      </c>
      <c r="E153" s="66">
        <f>(Tabela2[[#This Row],[Lucro Líquido]])/Tabela2[[#This Row],[Total Ações]]</f>
        <v>1.8438067589156628</v>
      </c>
      <c r="F153" s="66">
        <v>0.87951522900000001</v>
      </c>
      <c r="G153" s="45">
        <f>IF(AND(Tabela2[[#This Row],[Dividendo / Ação]]&gt;0,Tabela2[[#This Row],[Lucro por ação]]&gt;0),Tabela2[[#This Row],[Dividendo / Ação]]/Tabela2[[#This Row],[Lucro por ação]],"")</f>
        <v>0.47701052442027075</v>
      </c>
      <c r="H153" s="61">
        <f>MAX(Tabela2[[#This Row],[Cotação 1]],Tabela2[[#This Row],[Cotação 2]])</f>
        <v>20.6</v>
      </c>
      <c r="I153" s="46">
        <f>IF(Tabela2[[#This Row],[Dividendo / Ação]]&gt;0,Tabela2[[#This Row],[Dividendo / Ação]]/Tabela2[[#This Row],[Cotação]],"")</f>
        <v>4.2694914029126209E-2</v>
      </c>
      <c r="J153" s="17">
        <f>SUMPRODUCT(N(Tabela1[Código]=Tabela2[[#This Row],[Ativo]]),Tabela1[Fechamento])</f>
        <v>0</v>
      </c>
      <c r="K153" s="17">
        <f>SUMPRODUCT(N(Tabela17[Código]=Tabela2[[#This Row],[Ativo]]),Tabela17[Fechamento])</f>
        <v>20.6</v>
      </c>
      <c r="M153" s="3"/>
    </row>
    <row r="154" spans="1:13">
      <c r="A154" s="4" t="s">
        <v>418</v>
      </c>
      <c r="B154" s="4">
        <v>2011</v>
      </c>
      <c r="C154" s="6">
        <v>113733898.18000001</v>
      </c>
      <c r="D154" s="78">
        <f>SUMPRODUCT(N(Tabela3[PAPEL]=Tabela2[[#This Row],[Ativo]]),Tabela3[Total Ações])</f>
        <v>83000000</v>
      </c>
      <c r="E154" s="66">
        <f>(Tabela2[[#This Row],[Lucro Líquido]])/Tabela2[[#This Row],[Total Ações]]</f>
        <v>1.3702879298795181</v>
      </c>
      <c r="F154" s="66">
        <v>0</v>
      </c>
      <c r="G154" s="45" t="str">
        <f>IF(AND(Tabela2[[#This Row],[Dividendo / Ação]]&gt;0,Tabela2[[#This Row],[Lucro por ação]]&gt;0),Tabela2[[#This Row],[Dividendo / Ação]]/Tabela2[[#This Row],[Lucro por ação]],"")</f>
        <v/>
      </c>
      <c r="H154" s="61">
        <f>MAX(Tabela2[[#This Row],[Cotação 1]],Tabela2[[#This Row],[Cotação 2]])</f>
        <v>20.6</v>
      </c>
      <c r="I154" s="46" t="str">
        <f>IF(Tabela2[[#This Row],[Dividendo / Ação]]&gt;0,Tabela2[[#This Row],[Dividendo / Ação]]/Tabela2[[#This Row],[Cotação]],"")</f>
        <v/>
      </c>
      <c r="J154" s="17">
        <f>SUMPRODUCT(N(Tabela1[Código]=Tabela2[[#This Row],[Ativo]]),Tabela1[Fechamento])</f>
        <v>0</v>
      </c>
      <c r="K154" s="17">
        <f>SUMPRODUCT(N(Tabela17[Código]=Tabela2[[#This Row],[Ativo]]),Tabela17[Fechamento])</f>
        <v>20.6</v>
      </c>
      <c r="M154" s="3"/>
    </row>
    <row r="155" spans="1:13">
      <c r="A155" s="4" t="s">
        <v>418</v>
      </c>
      <c r="B155" s="4">
        <v>2010</v>
      </c>
      <c r="C155" s="6">
        <v>93892304.709999993</v>
      </c>
      <c r="D155" s="78">
        <f>SUMPRODUCT(N(Tabela3[PAPEL]=Tabela2[[#This Row],[Ativo]]),Tabela3[Total Ações])</f>
        <v>83000000</v>
      </c>
      <c r="E155" s="66">
        <f>(Tabela2[[#This Row],[Lucro Líquido]])/Tabela2[[#This Row],[Total Ações]]</f>
        <v>1.1312325868674697</v>
      </c>
      <c r="F155" s="66">
        <v>0</v>
      </c>
      <c r="G155" s="45" t="str">
        <f>IF(AND(Tabela2[[#This Row],[Dividendo / Ação]]&gt;0,Tabela2[[#This Row],[Lucro por ação]]&gt;0),Tabela2[[#This Row],[Dividendo / Ação]]/Tabela2[[#This Row],[Lucro por ação]],"")</f>
        <v/>
      </c>
      <c r="H155" s="61">
        <f>MAX(Tabela2[[#This Row],[Cotação 1]],Tabela2[[#This Row],[Cotação 2]])</f>
        <v>20.6</v>
      </c>
      <c r="I155" s="46" t="str">
        <f>IF(Tabela2[[#This Row],[Dividendo / Ação]]&gt;0,Tabela2[[#This Row],[Dividendo / Ação]]/Tabela2[[#This Row],[Cotação]],"")</f>
        <v/>
      </c>
      <c r="J155" s="17">
        <f>SUMPRODUCT(N(Tabela1[Código]=Tabela2[[#This Row],[Ativo]]),Tabela1[Fechamento])</f>
        <v>0</v>
      </c>
      <c r="K155" s="17">
        <f>SUMPRODUCT(N(Tabela17[Código]=Tabela2[[#This Row],[Ativo]]),Tabela17[Fechamento])</f>
        <v>20.6</v>
      </c>
      <c r="M155" s="3"/>
    </row>
    <row r="156" spans="1:13">
      <c r="A156" s="4" t="s">
        <v>98</v>
      </c>
      <c r="B156" s="4">
        <v>2012</v>
      </c>
      <c r="C156" s="6">
        <v>55498182.030000001</v>
      </c>
      <c r="D156" s="8">
        <f>SUMPRODUCT(N(Tabela3[PAPEL]=Tabela2[[#This Row],[Ativo]]),Tabela3[Total Ações])</f>
        <v>9183458</v>
      </c>
      <c r="E156" s="66">
        <f>(Tabela2[[#This Row],[Lucro Líquido]])/Tabela2[[#This Row],[Total Ações]]</f>
        <v>6.0432771653118031</v>
      </c>
      <c r="F156" s="66">
        <v>2.4664000000000001</v>
      </c>
      <c r="G156" s="46">
        <f>IF(AND(Tabela2[[#This Row],[Dividendo / Ação]]&gt;0,Tabela2[[#This Row],[Lucro por ação]]&gt;0),Tabela2[[#This Row],[Dividendo / Ação]]/Tabela2[[#This Row],[Lucro por ação]],"")</f>
        <v>0.40812293272879302</v>
      </c>
      <c r="H156" s="6">
        <f>MAX(Tabela2[[#This Row],[Cotação 1]],Tabela2[[#This Row],[Cotação 2]])</f>
        <v>16.510000000000002</v>
      </c>
      <c r="I156" s="19">
        <f>IF(Tabela2[[#This Row],[Dividendo / Ação]]&gt;0,Tabela2[[#This Row],[Dividendo / Ação]]/Tabela2[[#This Row],[Cotação]],"")</f>
        <v>0.14938824954572985</v>
      </c>
      <c r="J156" s="61">
        <f>SUMPRODUCT(N(Tabela1[Código]=Tabela2[[#This Row],[Ativo]]),Tabela1[Fechamento])</f>
        <v>16.510000000000002</v>
      </c>
      <c r="K156" s="61">
        <f>SUMPRODUCT(N(Tabela17[Código]=Tabela2[[#This Row],[Ativo]]),Tabela17[Fechamento])</f>
        <v>0</v>
      </c>
      <c r="M156" s="3"/>
    </row>
    <row r="157" spans="1:13">
      <c r="A157" s="4" t="s">
        <v>98</v>
      </c>
      <c r="B157" s="3">
        <v>2011</v>
      </c>
      <c r="C157" s="5">
        <v>26190000</v>
      </c>
      <c r="D157" s="62">
        <f>SUMPRODUCT(N(Tabela3[PAPEL]=Tabela2[[#This Row],[Ativo]]),Tabela3[Total Ações])</f>
        <v>9183458</v>
      </c>
      <c r="E157" s="65">
        <f>(Tabela2[[#This Row],[Lucro Líquido]])/Tabela2[[#This Row],[Total Ações]]</f>
        <v>2.8518669111352173</v>
      </c>
      <c r="F157" s="65">
        <v>0</v>
      </c>
      <c r="G157" s="22" t="str">
        <f>IF(AND(Tabela2[[#This Row],[Dividendo / Ação]]&gt;0,Tabela2[[#This Row],[Lucro por ação]]&gt;0),Tabela2[[#This Row],[Dividendo / Ação]]/Tabela2[[#This Row],[Lucro por ação]],"")</f>
        <v/>
      </c>
      <c r="H157" s="5">
        <f>MAX(Tabela2[[#This Row],[Cotação 1]],Tabela2[[#This Row],[Cotação 2]])</f>
        <v>16.510000000000002</v>
      </c>
      <c r="I157" s="18" t="str">
        <f>IF(Tabela2[[#This Row],[Dividendo / Ação]]&gt;0,Tabela2[[#This Row],[Dividendo / Ação]]/Tabela2[[#This Row],[Cotação]],"")</f>
        <v/>
      </c>
      <c r="J157" s="60">
        <f>SUMPRODUCT(N(Tabela1[Código]=Tabela2[[#This Row],[Ativo]]),Tabela1[Fechamento])</f>
        <v>16.510000000000002</v>
      </c>
      <c r="K157" s="60">
        <f>SUMPRODUCT(N(Tabela17[Código]=Tabela2[[#This Row],[Ativo]]),Tabela17[Fechamento])</f>
        <v>0</v>
      </c>
      <c r="M157" s="3"/>
    </row>
    <row r="158" spans="1:13">
      <c r="A158" s="4" t="s">
        <v>98</v>
      </c>
      <c r="B158" s="3">
        <v>2010</v>
      </c>
      <c r="C158" s="5">
        <v>2049000</v>
      </c>
      <c r="D158" s="62">
        <f>SUMPRODUCT(N(Tabela3[PAPEL]=Tabela2[[#This Row],[Ativo]]),Tabela3[Total Ações])</f>
        <v>9183458</v>
      </c>
      <c r="E158" s="65">
        <f>(Tabela2[[#This Row],[Lucro Líquido]])/Tabela2[[#This Row],[Total Ações]]</f>
        <v>0.22311856819076212</v>
      </c>
      <c r="F158" s="65">
        <v>0</v>
      </c>
      <c r="G158" s="22" t="str">
        <f>IF(AND(Tabela2[[#This Row],[Dividendo / Ação]]&gt;0,Tabela2[[#This Row],[Lucro por ação]]&gt;0),Tabela2[[#This Row],[Dividendo / Ação]]/Tabela2[[#This Row],[Lucro por ação]],"")</f>
        <v/>
      </c>
      <c r="H158" s="5">
        <f>MAX(Tabela2[[#This Row],[Cotação 1]],Tabela2[[#This Row],[Cotação 2]])</f>
        <v>16.510000000000002</v>
      </c>
      <c r="I158" s="18" t="str">
        <f>IF(Tabela2[[#This Row],[Dividendo / Ação]]&gt;0,Tabela2[[#This Row],[Dividendo / Ação]]/Tabela2[[#This Row],[Cotação]],"")</f>
        <v/>
      </c>
      <c r="J158" s="60">
        <f>SUMPRODUCT(N(Tabela1[Código]=Tabela2[[#This Row],[Ativo]]),Tabela1[Fechamento])</f>
        <v>16.510000000000002</v>
      </c>
      <c r="K158" s="60">
        <f>SUMPRODUCT(N(Tabela17[Código]=Tabela2[[#This Row],[Ativo]]),Tabela17[Fechamento])</f>
        <v>0</v>
      </c>
      <c r="L158" s="67"/>
      <c r="M158" s="3"/>
    </row>
    <row r="159" spans="1:13">
      <c r="A159" s="4" t="s">
        <v>98</v>
      </c>
      <c r="B159" s="3">
        <v>2009</v>
      </c>
      <c r="C159" s="5">
        <v>48919970.259999998</v>
      </c>
      <c r="D159" s="62">
        <f>SUMPRODUCT(N(Tabela3[PAPEL]=Tabela2[[#This Row],[Ativo]]),Tabela3[Total Ações])</f>
        <v>9183458</v>
      </c>
      <c r="E159" s="65">
        <f>(Tabela2[[#This Row],[Lucro Líquido]])/Tabela2[[#This Row],[Total Ações]]</f>
        <v>5.3269661885533743</v>
      </c>
      <c r="F159" s="65">
        <v>2.8779460000000001</v>
      </c>
      <c r="G159" s="22">
        <f>IF(AND(Tabela2[[#This Row],[Dividendo / Ação]]&gt;0,Tabela2[[#This Row],[Lucro por ação]]&gt;0),Tabela2[[#This Row],[Dividendo / Ação]]/Tabela2[[#This Row],[Lucro por ação]],"")</f>
        <v>0.540259858638516</v>
      </c>
      <c r="H159" s="5">
        <f>MAX(Tabela2[[#This Row],[Cotação 1]],Tabela2[[#This Row],[Cotação 2]])</f>
        <v>16.510000000000002</v>
      </c>
      <c r="I159" s="18">
        <f>IF(Tabela2[[#This Row],[Dividendo / Ação]]&gt;0,Tabela2[[#This Row],[Dividendo / Ação]]/Tabela2[[#This Row],[Cotação]],"")</f>
        <v>0.1743153240460327</v>
      </c>
      <c r="J159" s="60">
        <f>SUMPRODUCT(N(Tabela1[Código]=Tabela2[[#This Row],[Ativo]]),Tabela1[Fechamento])</f>
        <v>16.510000000000002</v>
      </c>
      <c r="K159" s="60">
        <f>SUMPRODUCT(N(Tabela17[Código]=Tabela2[[#This Row],[Ativo]]),Tabela17[Fechamento])</f>
        <v>0</v>
      </c>
      <c r="M159" s="3"/>
    </row>
    <row r="160" spans="1:13">
      <c r="A160" s="4" t="s">
        <v>99</v>
      </c>
      <c r="B160" s="4">
        <v>2012</v>
      </c>
      <c r="C160" s="6">
        <v>55498182.030000001</v>
      </c>
      <c r="D160" s="8">
        <f>SUMPRODUCT(N(Tabela3[PAPEL]=Tabela2[[#This Row],[Ativo]]),Tabela3[Total Ações])</f>
        <v>9183458</v>
      </c>
      <c r="E160" s="66">
        <f>(Tabela2[[#This Row],[Lucro Líquido]])/Tabela2[[#This Row],[Total Ações]]</f>
        <v>6.0432771653118031</v>
      </c>
      <c r="F160" s="66">
        <v>4.5993199999999996</v>
      </c>
      <c r="G160" s="46">
        <f>IF(AND(Tabela2[[#This Row],[Dividendo / Ação]]&gt;0,Tabela2[[#This Row],[Lucro por ação]]&gt;0),Tabela2[[#This Row],[Dividendo / Ação]]/Tabela2[[#This Row],[Lucro por ação]],"")</f>
        <v>0.76106388540309444</v>
      </c>
      <c r="H160" s="6">
        <f>MAX(Tabela2[[#This Row],[Cotação 1]],Tabela2[[#This Row],[Cotação 2]])</f>
        <v>24</v>
      </c>
      <c r="I160" s="19">
        <f>IF(Tabela2[[#This Row],[Dividendo / Ação]]&gt;0,Tabela2[[#This Row],[Dividendo / Ação]]/Tabela2[[#This Row],[Cotação]],"")</f>
        <v>0.19163833333333333</v>
      </c>
      <c r="J160" s="61">
        <f>SUMPRODUCT(N(Tabela1[Código]=Tabela2[[#This Row],[Ativo]]),Tabela1[Fechamento])</f>
        <v>24</v>
      </c>
      <c r="K160" s="61">
        <f>SUMPRODUCT(N(Tabela17[Código]=Tabela2[[#This Row],[Ativo]]),Tabela17[Fechamento])</f>
        <v>0</v>
      </c>
      <c r="M160" s="3"/>
    </row>
    <row r="161" spans="1:13">
      <c r="A161" s="4" t="s">
        <v>99</v>
      </c>
      <c r="B161" s="3">
        <v>2011</v>
      </c>
      <c r="C161" s="5">
        <v>26190000</v>
      </c>
      <c r="D161" s="62">
        <f>SUMPRODUCT(N(Tabela3[PAPEL]=Tabela2[[#This Row],[Ativo]]),Tabela3[Total Ações])</f>
        <v>9183458</v>
      </c>
      <c r="E161" s="65">
        <f>(Tabela2[[#This Row],[Lucro Líquido]])/Tabela2[[#This Row],[Total Ações]]</f>
        <v>2.8518669111352173</v>
      </c>
      <c r="F161" s="65">
        <v>0</v>
      </c>
      <c r="G161" s="22" t="str">
        <f>IF(AND(Tabela2[[#This Row],[Dividendo / Ação]]&gt;0,Tabela2[[#This Row],[Lucro por ação]]&gt;0),Tabela2[[#This Row],[Dividendo / Ação]]/Tabela2[[#This Row],[Lucro por ação]],"")</f>
        <v/>
      </c>
      <c r="H161" s="5">
        <f>MAX(Tabela2[[#This Row],[Cotação 1]],Tabela2[[#This Row],[Cotação 2]])</f>
        <v>24</v>
      </c>
      <c r="I161" s="18" t="str">
        <f>IF(Tabela2[[#This Row],[Dividendo / Ação]]&gt;0,Tabela2[[#This Row],[Dividendo / Ação]]/Tabela2[[#This Row],[Cotação]],"")</f>
        <v/>
      </c>
      <c r="J161" s="60">
        <f>SUMPRODUCT(N(Tabela1[Código]=Tabela2[[#This Row],[Ativo]]),Tabela1[Fechamento])</f>
        <v>24</v>
      </c>
      <c r="K161" s="60">
        <f>SUMPRODUCT(N(Tabela17[Código]=Tabela2[[#This Row],[Ativo]]),Tabela17[Fechamento])</f>
        <v>0</v>
      </c>
      <c r="M161" s="3"/>
    </row>
    <row r="162" spans="1:13">
      <c r="A162" s="4" t="s">
        <v>99</v>
      </c>
      <c r="B162" s="3">
        <v>2010</v>
      </c>
      <c r="C162" s="5">
        <v>2049000</v>
      </c>
      <c r="D162" s="62">
        <f>SUMPRODUCT(N(Tabela3[PAPEL]=Tabela2[[#This Row],[Ativo]]),Tabela3[Total Ações])</f>
        <v>9183458</v>
      </c>
      <c r="E162" s="65">
        <f>(Tabela2[[#This Row],[Lucro Líquido]])/Tabela2[[#This Row],[Total Ações]]</f>
        <v>0.22311856819076212</v>
      </c>
      <c r="F162" s="65">
        <v>0</v>
      </c>
      <c r="G162" s="22" t="str">
        <f>IF(AND(Tabela2[[#This Row],[Dividendo / Ação]]&gt;0,Tabela2[[#This Row],[Lucro por ação]]&gt;0),Tabela2[[#This Row],[Dividendo / Ação]]/Tabela2[[#This Row],[Lucro por ação]],"")</f>
        <v/>
      </c>
      <c r="H162" s="5">
        <f>MAX(Tabela2[[#This Row],[Cotação 1]],Tabela2[[#This Row],[Cotação 2]])</f>
        <v>24</v>
      </c>
      <c r="I162" s="18" t="str">
        <f>IF(Tabela2[[#This Row],[Dividendo / Ação]]&gt;0,Tabela2[[#This Row],[Dividendo / Ação]]/Tabela2[[#This Row],[Cotação]],"")</f>
        <v/>
      </c>
      <c r="J162" s="60">
        <f>SUMPRODUCT(N(Tabela1[Código]=Tabela2[[#This Row],[Ativo]]),Tabela1[Fechamento])</f>
        <v>24</v>
      </c>
      <c r="K162" s="60">
        <f>SUMPRODUCT(N(Tabela17[Código]=Tabela2[[#This Row],[Ativo]]),Tabela17[Fechamento])</f>
        <v>0</v>
      </c>
      <c r="M162" s="3"/>
    </row>
    <row r="163" spans="1:13">
      <c r="A163" s="4" t="s">
        <v>99</v>
      </c>
      <c r="B163" s="3">
        <v>2009</v>
      </c>
      <c r="C163" s="5">
        <v>48919970.259999998</v>
      </c>
      <c r="D163" s="62">
        <f>SUMPRODUCT(N(Tabela3[PAPEL]=Tabela2[[#This Row],[Ativo]]),Tabela3[Total Ações])</f>
        <v>9183458</v>
      </c>
      <c r="E163" s="65">
        <f>(Tabela2[[#This Row],[Lucro Líquido]])/Tabela2[[#This Row],[Total Ações]]</f>
        <v>5.3269661885533743</v>
      </c>
      <c r="F163" s="65">
        <v>0</v>
      </c>
      <c r="G163" s="22" t="str">
        <f>IF(AND(Tabela2[[#This Row],[Dividendo / Ação]]&gt;0,Tabela2[[#This Row],[Lucro por ação]]&gt;0),Tabela2[[#This Row],[Dividendo / Ação]]/Tabela2[[#This Row],[Lucro por ação]],"")</f>
        <v/>
      </c>
      <c r="H163" s="5">
        <f>MAX(Tabela2[[#This Row],[Cotação 1]],Tabela2[[#This Row],[Cotação 2]])</f>
        <v>24</v>
      </c>
      <c r="I163" s="18" t="str">
        <f>IF(Tabela2[[#This Row],[Dividendo / Ação]]&gt;0,Tabela2[[#This Row],[Dividendo / Ação]]/Tabela2[[#This Row],[Cotação]],"")</f>
        <v/>
      </c>
      <c r="J163" s="60">
        <f>SUMPRODUCT(N(Tabela1[Código]=Tabela2[[#This Row],[Ativo]]),Tabela1[Fechamento])</f>
        <v>24</v>
      </c>
      <c r="K163" s="60">
        <f>SUMPRODUCT(N(Tabela17[Código]=Tabela2[[#This Row],[Ativo]]),Tabela17[Fechamento])</f>
        <v>0</v>
      </c>
      <c r="M163" s="3"/>
    </row>
    <row r="164" spans="1:13">
      <c r="A164" s="4" t="s">
        <v>72</v>
      </c>
      <c r="B164" s="4">
        <v>2012</v>
      </c>
      <c r="C164" s="6">
        <v>55498182.030000001</v>
      </c>
      <c r="D164" s="8">
        <f>SUMPRODUCT(N(Tabela3[PAPEL]=Tabela2[[#This Row],[Ativo]]),Tabela3[Total Ações])</f>
        <v>9183458</v>
      </c>
      <c r="E164" s="66">
        <f>(Tabela2[[#This Row],[Lucro Líquido]])/Tabela2[[#This Row],[Total Ações]]</f>
        <v>6.0432771653118031</v>
      </c>
      <c r="F164" s="66">
        <v>3.7692600000000001</v>
      </c>
      <c r="G164" s="46">
        <f>IF(AND(Tabela2[[#This Row],[Dividendo / Ação]]&gt;0,Tabela2[[#This Row],[Lucro por ação]]&gt;0),Tabela2[[#This Row],[Dividendo / Ação]]/Tabela2[[#This Row],[Lucro por ação]],"")</f>
        <v>0.62371125746729261</v>
      </c>
      <c r="H164" s="6">
        <f>MAX(Tabela2[[#This Row],[Cotação 1]],Tabela2[[#This Row],[Cotação 2]])</f>
        <v>17.079999999999998</v>
      </c>
      <c r="I164" s="19">
        <f>IF(Tabela2[[#This Row],[Dividendo / Ação]]&gt;0,Tabela2[[#This Row],[Dividendo / Ação]]/Tabela2[[#This Row],[Cotação]],"")</f>
        <v>0.22068266978922718</v>
      </c>
      <c r="J164" s="61">
        <f>SUMPRODUCT(N(Tabela1[Código]=Tabela2[[#This Row],[Ativo]]),Tabela1[Fechamento])</f>
        <v>17.079999999999998</v>
      </c>
      <c r="K164" s="61">
        <f>SUMPRODUCT(N(Tabela17[Código]=Tabela2[[#This Row],[Ativo]]),Tabela17[Fechamento])</f>
        <v>0</v>
      </c>
      <c r="M164" s="3"/>
    </row>
    <row r="165" spans="1:13">
      <c r="A165" s="4" t="s">
        <v>72</v>
      </c>
      <c r="B165" s="4">
        <v>2011</v>
      </c>
      <c r="C165" s="5">
        <v>26190000</v>
      </c>
      <c r="D165" s="8">
        <f>SUMPRODUCT(N(Tabela3[PAPEL]=Tabela2[[#This Row],[Ativo]]),Tabela3[Total Ações])</f>
        <v>9183458</v>
      </c>
      <c r="E165" s="66">
        <f>(Tabela2[[#This Row],[Lucro Líquido]])/Tabela2[[#This Row],[Total Ações]]</f>
        <v>2.8518669111352173</v>
      </c>
      <c r="F165" s="66">
        <v>0</v>
      </c>
      <c r="G165" s="46" t="str">
        <f>IF(AND(Tabela2[[#This Row],[Dividendo / Ação]]&gt;0,Tabela2[[#This Row],[Lucro por ação]]&gt;0),Tabela2[[#This Row],[Dividendo / Ação]]/Tabela2[[#This Row],[Lucro por ação]],"")</f>
        <v/>
      </c>
      <c r="H165" s="6">
        <f>MAX(Tabela2[[#This Row],[Cotação 1]],Tabela2[[#This Row],[Cotação 2]])</f>
        <v>17.079999999999998</v>
      </c>
      <c r="I165" s="19" t="str">
        <f>IF(Tabela2[[#This Row],[Dividendo / Ação]]&gt;0,Tabela2[[#This Row],[Dividendo / Ação]]/Tabela2[[#This Row],[Cotação]],"")</f>
        <v/>
      </c>
      <c r="J165" s="61">
        <f>SUMPRODUCT(N(Tabela1[Código]=Tabela2[[#This Row],[Ativo]]),Tabela1[Fechamento])</f>
        <v>17.079999999999998</v>
      </c>
      <c r="K165" s="61">
        <f>SUMPRODUCT(N(Tabela17[Código]=Tabela2[[#This Row],[Ativo]]),Tabela17[Fechamento])</f>
        <v>0</v>
      </c>
      <c r="M165" s="3"/>
    </row>
    <row r="166" spans="1:13">
      <c r="A166" s="4" t="s">
        <v>72</v>
      </c>
      <c r="B166" s="4">
        <v>2010</v>
      </c>
      <c r="C166" s="5">
        <v>2049000</v>
      </c>
      <c r="D166" s="8">
        <f>SUMPRODUCT(N(Tabela3[PAPEL]=Tabela2[[#This Row],[Ativo]]),Tabela3[Total Ações])</f>
        <v>9183458</v>
      </c>
      <c r="E166" s="66">
        <f>(Tabela2[[#This Row],[Lucro Líquido]])/Tabela2[[#This Row],[Total Ações]]</f>
        <v>0.22311856819076212</v>
      </c>
      <c r="F166" s="66">
        <v>0</v>
      </c>
      <c r="G166" s="46" t="str">
        <f>IF(AND(Tabela2[[#This Row],[Dividendo / Ação]]&gt;0,Tabela2[[#This Row],[Lucro por ação]]&gt;0),Tabela2[[#This Row],[Dividendo / Ação]]/Tabela2[[#This Row],[Lucro por ação]],"")</f>
        <v/>
      </c>
      <c r="H166" s="6">
        <f>MAX(Tabela2[[#This Row],[Cotação 1]],Tabela2[[#This Row],[Cotação 2]])</f>
        <v>17.079999999999998</v>
      </c>
      <c r="I166" s="19" t="str">
        <f>IF(Tabela2[[#This Row],[Dividendo / Ação]]&gt;0,Tabela2[[#This Row],[Dividendo / Ação]]/Tabela2[[#This Row],[Cotação]],"")</f>
        <v/>
      </c>
      <c r="J166" s="61">
        <f>SUMPRODUCT(N(Tabela1[Código]=Tabela2[[#This Row],[Ativo]]),Tabela1[Fechamento])</f>
        <v>17.079999999999998</v>
      </c>
      <c r="K166" s="61">
        <f>SUMPRODUCT(N(Tabela17[Código]=Tabela2[[#This Row],[Ativo]]),Tabela17[Fechamento])</f>
        <v>0</v>
      </c>
      <c r="M166" s="3"/>
    </row>
    <row r="167" spans="1:13">
      <c r="A167" s="4" t="s">
        <v>72</v>
      </c>
      <c r="B167" s="4">
        <v>2009</v>
      </c>
      <c r="C167" s="5">
        <v>48919970.259999998</v>
      </c>
      <c r="D167" s="8">
        <f>SUMPRODUCT(N(Tabela3[PAPEL]=Tabela2[[#This Row],[Ativo]]),Tabela3[Total Ações])</f>
        <v>9183458</v>
      </c>
      <c r="E167" s="66">
        <f>(Tabela2[[#This Row],[Lucro Líquido]])/Tabela2[[#This Row],[Total Ações]]</f>
        <v>5.3269661885533743</v>
      </c>
      <c r="F167" s="66">
        <v>4.3982070000000002</v>
      </c>
      <c r="G167" s="46">
        <f>IF(AND(Tabela2[[#This Row],[Dividendo / Ação]]&gt;0,Tabela2[[#This Row],[Lucro por ação]]&gt;0),Tabela2[[#This Row],[Dividendo / Ação]]/Tabela2[[#This Row],[Lucro por ação]],"")</f>
        <v>0.82564950561370198</v>
      </c>
      <c r="H167" s="6">
        <f>MAX(Tabela2[[#This Row],[Cotação 1]],Tabela2[[#This Row],[Cotação 2]])</f>
        <v>17.079999999999998</v>
      </c>
      <c r="I167" s="19">
        <f>IF(Tabela2[[#This Row],[Dividendo / Ação]]&gt;0,Tabela2[[#This Row],[Dividendo / Ação]]/Tabela2[[#This Row],[Cotação]],"")</f>
        <v>0.25750626463700238</v>
      </c>
      <c r="J167" s="61">
        <f>SUMPRODUCT(N(Tabela1[Código]=Tabela2[[#This Row],[Ativo]]),Tabela1[Fechamento])</f>
        <v>17.079999999999998</v>
      </c>
      <c r="K167" s="61">
        <f>SUMPRODUCT(N(Tabela17[Código]=Tabela2[[#This Row],[Ativo]]),Tabela17[Fechamento])</f>
        <v>0</v>
      </c>
      <c r="M167" s="3"/>
    </row>
    <row r="168" spans="1:13">
      <c r="A168" s="4" t="s">
        <v>96</v>
      </c>
      <c r="B168" s="4">
        <v>2012</v>
      </c>
      <c r="C168" s="6">
        <v>805497405.55999994</v>
      </c>
      <c r="D168" s="8">
        <f>SUMPRODUCT(N(Tabela3[PAPEL]=Tabela2[[#This Row],[Ativo]]),Tabela3[Total Ações])</f>
        <v>188177338</v>
      </c>
      <c r="E168" s="66">
        <f>(Tabela2[[#This Row],[Lucro Líquido]])/Tabela2[[#This Row],[Total Ações]]</f>
        <v>4.2805229052607805</v>
      </c>
      <c r="F168" s="66">
        <v>2.3192654978</v>
      </c>
      <c r="G168" s="46">
        <f>IF(AND(Tabela2[[#This Row],[Dividendo / Ação]]&gt;0,Tabela2[[#This Row],[Lucro por ação]]&gt;0),Tabela2[[#This Row],[Dividendo / Ação]]/Tabela2[[#This Row],[Lucro por ação]],"")</f>
        <v>0.54181826592952298</v>
      </c>
      <c r="H168" s="6">
        <f>MAX(Tabela2[[#This Row],[Cotação 1]],Tabela2[[#This Row],[Cotação 2]])</f>
        <v>31.98</v>
      </c>
      <c r="I168" s="19">
        <f>IF(Tabela2[[#This Row],[Dividendo / Ação]]&gt;0,Tabela2[[#This Row],[Dividendo / Ação]]/Tabela2[[#This Row],[Cotação]],"")</f>
        <v>7.2522373289555978E-2</v>
      </c>
      <c r="J168" s="61">
        <f>SUMPRODUCT(N(Tabela1[Código]=Tabela2[[#This Row],[Ativo]]),Tabela1[Fechamento])</f>
        <v>31.98</v>
      </c>
      <c r="K168" s="61">
        <f>SUMPRODUCT(N(Tabela17[Código]=Tabela2[[#This Row],[Ativo]]),Tabela17[Fechamento])</f>
        <v>0</v>
      </c>
      <c r="M168" s="3"/>
    </row>
    <row r="169" spans="1:13">
      <c r="A169" s="4" t="s">
        <v>96</v>
      </c>
      <c r="B169" s="3">
        <v>2011</v>
      </c>
      <c r="C169" s="5">
        <v>750490000</v>
      </c>
      <c r="D169" s="62">
        <f>SUMPRODUCT(N(Tabela3[PAPEL]=Tabela2[[#This Row],[Ativo]]),Tabela3[Total Ações])</f>
        <v>188177338</v>
      </c>
      <c r="E169" s="65">
        <f>(Tabela2[[#This Row],[Lucro Líquido]])/Tabela2[[#This Row],[Total Ações]]</f>
        <v>3.988206061242082</v>
      </c>
      <c r="F169" s="65">
        <v>4.4176596381</v>
      </c>
      <c r="G169" s="22">
        <f>IF(AND(Tabela2[[#This Row],[Dividendo / Ação]]&gt;0,Tabela2[[#This Row],[Lucro por ação]]&gt;0),Tabela2[[#This Row],[Dividendo / Ação]]/Tabela2[[#This Row],[Lucro por ação]],"")</f>
        <v>1.1076808896690182</v>
      </c>
      <c r="H169" s="5">
        <f>MAX(Tabela2[[#This Row],[Cotação 1]],Tabela2[[#This Row],[Cotação 2]])</f>
        <v>31.98</v>
      </c>
      <c r="I169" s="18">
        <f>IF(Tabela2[[#This Row],[Dividendo / Ação]]&gt;0,Tabela2[[#This Row],[Dividendo / Ação]]/Tabela2[[#This Row],[Cotação]],"")</f>
        <v>0.13813820006566604</v>
      </c>
      <c r="J169" s="60">
        <f>SUMPRODUCT(N(Tabela1[Código]=Tabela2[[#This Row],[Ativo]]),Tabela1[Fechamento])</f>
        <v>31.98</v>
      </c>
      <c r="K169" s="60">
        <f>SUMPRODUCT(N(Tabela17[Código]=Tabela2[[#This Row],[Ativo]]),Tabela17[Fechamento])</f>
        <v>0</v>
      </c>
      <c r="M169" s="3"/>
    </row>
    <row r="170" spans="1:13">
      <c r="A170" s="4" t="s">
        <v>96</v>
      </c>
      <c r="B170" s="3">
        <v>2010</v>
      </c>
      <c r="C170" s="5">
        <v>945719000</v>
      </c>
      <c r="D170" s="62">
        <f>SUMPRODUCT(N(Tabela3[PAPEL]=Tabela2[[#This Row],[Ativo]]),Tabela3[Total Ações])</f>
        <v>188177338</v>
      </c>
      <c r="E170" s="65">
        <f>(Tabela2[[#This Row],[Lucro Líquido]])/Tabela2[[#This Row],[Total Ações]]</f>
        <v>5.0256795534008454</v>
      </c>
      <c r="F170" s="65">
        <v>3.6718683019</v>
      </c>
      <c r="G170" s="22">
        <f>IF(AND(Tabela2[[#This Row],[Dividendo / Ação]]&gt;0,Tabela2[[#This Row],[Lucro por ação]]&gt;0),Tabela2[[#This Row],[Dividendo / Ação]]/Tabela2[[#This Row],[Lucro por ação]],"")</f>
        <v>0.73062125487393448</v>
      </c>
      <c r="H170" s="5">
        <f>MAX(Tabela2[[#This Row],[Cotação 1]],Tabela2[[#This Row],[Cotação 2]])</f>
        <v>31.98</v>
      </c>
      <c r="I170" s="18">
        <f>IF(Tabela2[[#This Row],[Dividendo / Ação]]&gt;0,Tabela2[[#This Row],[Dividendo / Ação]]/Tabela2[[#This Row],[Cotação]],"")</f>
        <v>0.11481764546278925</v>
      </c>
      <c r="J170" s="60">
        <f>SUMPRODUCT(N(Tabela1[Código]=Tabela2[[#This Row],[Ativo]]),Tabela1[Fechamento])</f>
        <v>31.98</v>
      </c>
      <c r="K170" s="60">
        <f>SUMPRODUCT(N(Tabela17[Código]=Tabela2[[#This Row],[Ativo]]),Tabela17[Fechamento])</f>
        <v>0</v>
      </c>
      <c r="M170" s="3"/>
    </row>
    <row r="171" spans="1:13">
      <c r="A171" s="4" t="s">
        <v>96</v>
      </c>
      <c r="B171" s="3">
        <v>2009</v>
      </c>
      <c r="C171" s="5">
        <v>887625000</v>
      </c>
      <c r="D171" s="62">
        <f>SUMPRODUCT(N(Tabela3[PAPEL]=Tabela2[[#This Row],[Ativo]]),Tabela3[Total Ações])</f>
        <v>188177338</v>
      </c>
      <c r="E171" s="65">
        <f>(Tabela2[[#This Row],[Lucro Líquido]])/Tabela2[[#This Row],[Total Ações]]</f>
        <v>4.7169601261975549</v>
      </c>
      <c r="F171" s="65">
        <v>3.24332932</v>
      </c>
      <c r="G171" s="22">
        <f>IF(AND(Tabela2[[#This Row],[Dividendo / Ação]]&gt;0,Tabela2[[#This Row],[Lucro por ação]]&gt;0),Tabela2[[#This Row],[Dividendo / Ação]]/Tabela2[[#This Row],[Lucro por ação]],"")</f>
        <v>0.68758887784250122</v>
      </c>
      <c r="H171" s="5">
        <f>MAX(Tabela2[[#This Row],[Cotação 1]],Tabela2[[#This Row],[Cotação 2]])</f>
        <v>31.98</v>
      </c>
      <c r="I171" s="18">
        <f>IF(Tabela2[[#This Row],[Dividendo / Ação]]&gt;0,Tabela2[[#This Row],[Dividendo / Ação]]/Tabela2[[#This Row],[Cotação]],"")</f>
        <v>0.10141742714196372</v>
      </c>
      <c r="J171" s="60">
        <f>SUMPRODUCT(N(Tabela1[Código]=Tabela2[[#This Row],[Ativo]]),Tabela1[Fechamento])</f>
        <v>31.98</v>
      </c>
      <c r="K171" s="60">
        <f>SUMPRODUCT(N(Tabela17[Código]=Tabela2[[#This Row],[Ativo]]),Tabela17[Fechamento])</f>
        <v>0</v>
      </c>
      <c r="M171" s="3"/>
    </row>
    <row r="172" spans="1:13">
      <c r="A172" s="4" t="s">
        <v>97</v>
      </c>
      <c r="B172" s="4">
        <v>2012</v>
      </c>
      <c r="C172" s="6">
        <v>805497405.55999994</v>
      </c>
      <c r="D172" s="8">
        <f>SUMPRODUCT(N(Tabela3[PAPEL]=Tabela2[[#This Row],[Ativo]]),Tabela3[Total Ações])</f>
        <v>188177338</v>
      </c>
      <c r="E172" s="66">
        <f>(Tabela2[[#This Row],[Lucro Líquido]])/Tabela2[[#This Row],[Total Ações]]</f>
        <v>4.2805229052607805</v>
      </c>
      <c r="F172" s="66">
        <v>2.3192654978</v>
      </c>
      <c r="G172" s="46">
        <f>IF(AND(Tabela2[[#This Row],[Dividendo / Ação]]&gt;0,Tabela2[[#This Row],[Lucro por ação]]&gt;0),Tabela2[[#This Row],[Dividendo / Ação]]/Tabela2[[#This Row],[Lucro por ação]],"")</f>
        <v>0.54181826592952298</v>
      </c>
      <c r="H172" s="6">
        <f>MAX(Tabela2[[#This Row],[Cotação 1]],Tabela2[[#This Row],[Cotação 2]])</f>
        <v>32.01</v>
      </c>
      <c r="I172" s="19">
        <f>IF(Tabela2[[#This Row],[Dividendo / Ação]]&gt;0,Tabela2[[#This Row],[Dividendo / Ação]]/Tabela2[[#This Row],[Cotação]],"")</f>
        <v>7.2454404804748518E-2</v>
      </c>
      <c r="J172" s="61">
        <f>SUMPRODUCT(N(Tabela1[Código]=Tabela2[[#This Row],[Ativo]]),Tabela1[Fechamento])</f>
        <v>32.01</v>
      </c>
      <c r="K172" s="61">
        <f>SUMPRODUCT(N(Tabela17[Código]=Tabela2[[#This Row],[Ativo]]),Tabela17[Fechamento])</f>
        <v>0</v>
      </c>
      <c r="M172" s="3"/>
    </row>
    <row r="173" spans="1:13">
      <c r="A173" s="4" t="s">
        <v>97</v>
      </c>
      <c r="B173" s="3">
        <v>2011</v>
      </c>
      <c r="C173" s="5">
        <v>750490000</v>
      </c>
      <c r="D173" s="62">
        <f>SUMPRODUCT(N(Tabela3[PAPEL]=Tabela2[[#This Row],[Ativo]]),Tabela3[Total Ações])</f>
        <v>188177338</v>
      </c>
      <c r="E173" s="65">
        <f>(Tabela2[[#This Row],[Lucro Líquido]])/Tabela2[[#This Row],[Total Ações]]</f>
        <v>3.988206061242082</v>
      </c>
      <c r="F173" s="65">
        <v>4.4176596381</v>
      </c>
      <c r="G173" s="22">
        <f>IF(AND(Tabela2[[#This Row],[Dividendo / Ação]]&gt;0,Tabela2[[#This Row],[Lucro por ação]]&gt;0),Tabela2[[#This Row],[Dividendo / Ação]]/Tabela2[[#This Row],[Lucro por ação]],"")</f>
        <v>1.1076808896690182</v>
      </c>
      <c r="H173" s="5">
        <f>MAX(Tabela2[[#This Row],[Cotação 1]],Tabela2[[#This Row],[Cotação 2]])</f>
        <v>32.01</v>
      </c>
      <c r="I173" s="18">
        <f>IF(Tabela2[[#This Row],[Dividendo / Ação]]&gt;0,Tabela2[[#This Row],[Dividendo / Ação]]/Tabela2[[#This Row],[Cotação]],"")</f>
        <v>0.13800873596063731</v>
      </c>
      <c r="J173" s="60">
        <f>SUMPRODUCT(N(Tabela1[Código]=Tabela2[[#This Row],[Ativo]]),Tabela1[Fechamento])</f>
        <v>32.01</v>
      </c>
      <c r="K173" s="60">
        <f>SUMPRODUCT(N(Tabela17[Código]=Tabela2[[#This Row],[Ativo]]),Tabela17[Fechamento])</f>
        <v>0</v>
      </c>
      <c r="M173" s="3"/>
    </row>
    <row r="174" spans="1:13">
      <c r="A174" s="4" t="s">
        <v>97</v>
      </c>
      <c r="B174" s="3">
        <v>2010</v>
      </c>
      <c r="C174" s="5">
        <v>945719000</v>
      </c>
      <c r="D174" s="62">
        <f>SUMPRODUCT(N(Tabela3[PAPEL]=Tabela2[[#This Row],[Ativo]]),Tabela3[Total Ações])</f>
        <v>188177338</v>
      </c>
      <c r="E174" s="65">
        <f>(Tabela2[[#This Row],[Lucro Líquido]])/Tabela2[[#This Row],[Total Ações]]</f>
        <v>5.0256795534008454</v>
      </c>
      <c r="F174" s="65">
        <v>3.6718683019</v>
      </c>
      <c r="G174" s="22">
        <f>IF(AND(Tabela2[[#This Row],[Dividendo / Ação]]&gt;0,Tabela2[[#This Row],[Lucro por ação]]&gt;0),Tabela2[[#This Row],[Dividendo / Ação]]/Tabela2[[#This Row],[Lucro por ação]],"")</f>
        <v>0.73062125487393448</v>
      </c>
      <c r="H174" s="5">
        <f>MAX(Tabela2[[#This Row],[Cotação 1]],Tabela2[[#This Row],[Cotação 2]])</f>
        <v>32.01</v>
      </c>
      <c r="I174" s="18">
        <f>IF(Tabela2[[#This Row],[Dividendo / Ação]]&gt;0,Tabela2[[#This Row],[Dividendo / Ação]]/Tabela2[[#This Row],[Cotação]],"")</f>
        <v>0.11471003754764136</v>
      </c>
      <c r="J174" s="60">
        <f>SUMPRODUCT(N(Tabela1[Código]=Tabela2[[#This Row],[Ativo]]),Tabela1[Fechamento])</f>
        <v>32.01</v>
      </c>
      <c r="K174" s="60">
        <f>SUMPRODUCT(N(Tabela17[Código]=Tabela2[[#This Row],[Ativo]]),Tabela17[Fechamento])</f>
        <v>0</v>
      </c>
      <c r="M174" s="3"/>
    </row>
    <row r="175" spans="1:13">
      <c r="A175" s="4" t="s">
        <v>97</v>
      </c>
      <c r="B175" s="3">
        <v>2009</v>
      </c>
      <c r="C175" s="5">
        <v>887625000</v>
      </c>
      <c r="D175" s="62">
        <f>SUMPRODUCT(N(Tabela3[PAPEL]=Tabela2[[#This Row],[Ativo]]),Tabela3[Total Ações])</f>
        <v>188177338</v>
      </c>
      <c r="E175" s="65">
        <f>(Tabela2[[#This Row],[Lucro Líquido]])/Tabela2[[#This Row],[Total Ações]]</f>
        <v>4.7169601261975549</v>
      </c>
      <c r="F175" s="65">
        <v>3.24332932</v>
      </c>
      <c r="G175" s="22">
        <f>IF(AND(Tabela2[[#This Row],[Dividendo / Ação]]&gt;0,Tabela2[[#This Row],[Lucro por ação]]&gt;0),Tabela2[[#This Row],[Dividendo / Ação]]/Tabela2[[#This Row],[Lucro por ação]],"")</f>
        <v>0.68758887784250122</v>
      </c>
      <c r="H175" s="5">
        <f>MAX(Tabela2[[#This Row],[Cotação 1]],Tabela2[[#This Row],[Cotação 2]])</f>
        <v>32.01</v>
      </c>
      <c r="I175" s="18">
        <f>IF(Tabela2[[#This Row],[Dividendo / Ação]]&gt;0,Tabela2[[#This Row],[Dividendo / Ação]]/Tabela2[[#This Row],[Cotação]],"")</f>
        <v>0.10132237800687285</v>
      </c>
      <c r="J175" s="60">
        <f>SUMPRODUCT(N(Tabela1[Código]=Tabela2[[#This Row],[Ativo]]),Tabela1[Fechamento])</f>
        <v>32.01</v>
      </c>
      <c r="K175" s="60">
        <f>SUMPRODUCT(N(Tabela17[Código]=Tabela2[[#This Row],[Ativo]]),Tabela17[Fechamento])</f>
        <v>0</v>
      </c>
      <c r="M175" s="3"/>
    </row>
    <row r="176" spans="1:13">
      <c r="A176" s="4" t="s">
        <v>73</v>
      </c>
      <c r="B176" s="4">
        <v>2012</v>
      </c>
      <c r="C176" s="6">
        <v>15128479.970000001</v>
      </c>
      <c r="D176" s="8">
        <f>SUMPRODUCT(N(Tabela3[PAPEL]=Tabela2[[#This Row],[Ativo]]),Tabela3[Total Ações])</f>
        <v>74612388</v>
      </c>
      <c r="E176" s="66">
        <f>(Tabela2[[#This Row],[Lucro Líquido]])/Tabela2[[#This Row],[Total Ações]]</f>
        <v>0.20276096738788202</v>
      </c>
      <c r="F176" s="66">
        <v>0.20233950000000001</v>
      </c>
      <c r="G176" s="46">
        <f>IF(AND(Tabela2[[#This Row],[Dividendo / Ação]]&gt;0,Tabela2[[#This Row],[Lucro por ação]]&gt;0),Tabela2[[#This Row],[Dividendo / Ação]]/Tabela2[[#This Row],[Lucro por ação]],"")</f>
        <v>0.99792135836935647</v>
      </c>
      <c r="H176" s="6">
        <f>MAX(Tabela2[[#This Row],[Cotação 1]],Tabela2[[#This Row],[Cotação 2]])</f>
        <v>18</v>
      </c>
      <c r="I176" s="19">
        <f>IF(Tabela2[[#This Row],[Dividendo / Ação]]&gt;0,Tabela2[[#This Row],[Dividendo / Ação]]/Tabela2[[#This Row],[Cotação]],"")</f>
        <v>1.1241083333333334E-2</v>
      </c>
      <c r="J176" s="61">
        <f>SUMPRODUCT(N(Tabela1[Código]=Tabela2[[#This Row],[Ativo]]),Tabela1[Fechamento])</f>
        <v>18</v>
      </c>
      <c r="K176" s="61">
        <f>SUMPRODUCT(N(Tabela17[Código]=Tabela2[[#This Row],[Ativo]]),Tabela17[Fechamento])</f>
        <v>0</v>
      </c>
      <c r="M176" s="3"/>
    </row>
    <row r="177" spans="1:13">
      <c r="A177" s="4" t="s">
        <v>73</v>
      </c>
      <c r="B177" s="3">
        <v>2011</v>
      </c>
      <c r="C177" s="5">
        <v>283416000</v>
      </c>
      <c r="D177" s="62">
        <f>SUMPRODUCT(N(Tabela3[PAPEL]=Tabela2[[#This Row],[Ativo]]),Tabela3[Total Ações])</f>
        <v>74612388</v>
      </c>
      <c r="E177" s="65">
        <f>(Tabela2[[#This Row],[Lucro Líquido]])/Tabela2[[#This Row],[Total Ações]]</f>
        <v>3.7985113142337705</v>
      </c>
      <c r="F177" s="65">
        <v>3.2507519999999999</v>
      </c>
      <c r="G177" s="22">
        <f>IF(AND(Tabela2[[#This Row],[Dividendo / Ação]]&gt;0,Tabela2[[#This Row],[Lucro por ação]]&gt;0),Tabela2[[#This Row],[Dividendo / Ação]]/Tabela2[[#This Row],[Lucro por ação]],"")</f>
        <v>0.85579631889440255</v>
      </c>
      <c r="H177" s="5">
        <f>MAX(Tabela2[[#This Row],[Cotação 1]],Tabela2[[#This Row],[Cotação 2]])</f>
        <v>18</v>
      </c>
      <c r="I177" s="18">
        <f>IF(Tabela2[[#This Row],[Dividendo / Ação]]&gt;0,Tabela2[[#This Row],[Dividendo / Ação]]/Tabela2[[#This Row],[Cotação]],"")</f>
        <v>0.18059733333333333</v>
      </c>
      <c r="J177" s="60">
        <f>SUMPRODUCT(N(Tabela1[Código]=Tabela2[[#This Row],[Ativo]]),Tabela1[Fechamento])</f>
        <v>18</v>
      </c>
      <c r="K177" s="60">
        <f>SUMPRODUCT(N(Tabela17[Código]=Tabela2[[#This Row],[Ativo]]),Tabela17[Fechamento])</f>
        <v>0</v>
      </c>
      <c r="M177" s="3"/>
    </row>
    <row r="178" spans="1:13">
      <c r="A178" s="4" t="s">
        <v>73</v>
      </c>
      <c r="B178" s="3">
        <v>2010</v>
      </c>
      <c r="C178" s="5">
        <v>448291000</v>
      </c>
      <c r="D178" s="62">
        <f>SUMPRODUCT(N(Tabela3[PAPEL]=Tabela2[[#This Row],[Ativo]]),Tabela3[Total Ações])</f>
        <v>74612388</v>
      </c>
      <c r="E178" s="65">
        <f>(Tabela2[[#This Row],[Lucro Líquido]])/Tabela2[[#This Row],[Total Ações]]</f>
        <v>6.0082650082182063</v>
      </c>
      <c r="F178" s="65">
        <v>3.3315596300000001</v>
      </c>
      <c r="G178" s="22">
        <f>IF(AND(Tabela2[[#This Row],[Dividendo / Ação]]&gt;0,Tabela2[[#This Row],[Lucro por ação]]&gt;0),Tabela2[[#This Row],[Dividendo / Ação]]/Tabela2[[#This Row],[Lucro por ação]],"")</f>
        <v>0.55449611916968322</v>
      </c>
      <c r="H178" s="5">
        <f>MAX(Tabela2[[#This Row],[Cotação 1]],Tabela2[[#This Row],[Cotação 2]])</f>
        <v>18</v>
      </c>
      <c r="I178" s="18">
        <f>IF(Tabela2[[#This Row],[Dividendo / Ação]]&gt;0,Tabela2[[#This Row],[Dividendo / Ação]]/Tabela2[[#This Row],[Cotação]],"")</f>
        <v>0.18508664611111111</v>
      </c>
      <c r="J178" s="60">
        <f>SUMPRODUCT(N(Tabela1[Código]=Tabela2[[#This Row],[Ativo]]),Tabela1[Fechamento])</f>
        <v>18</v>
      </c>
      <c r="K178" s="60">
        <f>SUMPRODUCT(N(Tabela17[Código]=Tabela2[[#This Row],[Ativo]]),Tabela17[Fechamento])</f>
        <v>0</v>
      </c>
      <c r="M178" s="3"/>
    </row>
    <row r="179" spans="1:13">
      <c r="A179" s="4" t="s">
        <v>73</v>
      </c>
      <c r="B179" s="3">
        <v>2010</v>
      </c>
      <c r="C179" s="5">
        <v>586949000</v>
      </c>
      <c r="D179" s="62">
        <f>SUMPRODUCT(N(Tabela3[PAPEL]=Tabela2[[#This Row],[Ativo]]),Tabela3[Total Ações])</f>
        <v>74612388</v>
      </c>
      <c r="E179" s="65">
        <f>(Tabela2[[#This Row],[Lucro Líquido]])/Tabela2[[#This Row],[Total Ações]]</f>
        <v>7.866642734983901</v>
      </c>
      <c r="F179" s="65">
        <v>4.429843</v>
      </c>
      <c r="G179" s="22">
        <f>IF(AND(Tabela2[[#This Row],[Dividendo / Ação]]&gt;0,Tabela2[[#This Row],[Lucro por ação]]&gt;0),Tabela2[[#This Row],[Dividendo / Ação]]/Tabela2[[#This Row],[Lucro por ação]],"")</f>
        <v>0.56311734868801888</v>
      </c>
      <c r="H179" s="5">
        <f>MAX(Tabela2[[#This Row],[Cotação 1]],Tabela2[[#This Row],[Cotação 2]])</f>
        <v>18</v>
      </c>
      <c r="I179" s="18">
        <f>IF(Tabela2[[#This Row],[Dividendo / Ação]]&gt;0,Tabela2[[#This Row],[Dividendo / Ação]]/Tabela2[[#This Row],[Cotação]],"")</f>
        <v>0.24610238888888888</v>
      </c>
      <c r="J179" s="60">
        <f>SUMPRODUCT(N(Tabela1[Código]=Tabela2[[#This Row],[Ativo]]),Tabela1[Fechamento])</f>
        <v>18</v>
      </c>
      <c r="K179" s="60">
        <f>SUMPRODUCT(N(Tabela17[Código]=Tabela2[[#This Row],[Ativo]]),Tabela17[Fechamento])</f>
        <v>0</v>
      </c>
      <c r="M179" s="3"/>
    </row>
    <row r="180" spans="1:13">
      <c r="A180" s="4" t="s">
        <v>100</v>
      </c>
      <c r="B180" s="4">
        <v>2012</v>
      </c>
      <c r="C180" s="6">
        <v>15128479.970000001</v>
      </c>
      <c r="D180" s="8">
        <f>SUMPRODUCT(N(Tabela3[PAPEL]=Tabela2[[#This Row],[Ativo]]),Tabela3[Total Ações])</f>
        <v>74612388</v>
      </c>
      <c r="E180" s="66">
        <f>(Tabela2[[#This Row],[Lucro Líquido]])/Tabela2[[#This Row],[Total Ações]]</f>
        <v>0.20276096738788202</v>
      </c>
      <c r="F180" s="66">
        <v>0.22263450000000001</v>
      </c>
      <c r="G180" s="46">
        <f>IF(AND(Tabela2[[#This Row],[Dividendo / Ação]]&gt;0,Tabela2[[#This Row],[Lucro por ação]]&gt;0),Tabela2[[#This Row],[Dividendo / Ação]]/Tabela2[[#This Row],[Lucro por ação]],"")</f>
        <v>1.0980145876602565</v>
      </c>
      <c r="H180" s="6">
        <f>MAX(Tabela2[[#This Row],[Cotação 1]],Tabela2[[#This Row],[Cotação 2]])</f>
        <v>21.51</v>
      </c>
      <c r="I180" s="19">
        <f>IF(Tabela2[[#This Row],[Dividendo / Ação]]&gt;0,Tabela2[[#This Row],[Dividendo / Ação]]/Tabela2[[#This Row],[Cotação]],"")</f>
        <v>1.0350278940027893E-2</v>
      </c>
      <c r="J180" s="61">
        <f>SUMPRODUCT(N(Tabela1[Código]=Tabela2[[#This Row],[Ativo]]),Tabela1[Fechamento])</f>
        <v>21.51</v>
      </c>
      <c r="K180" s="61">
        <f>SUMPRODUCT(N(Tabela17[Código]=Tabela2[[#This Row],[Ativo]]),Tabela17[Fechamento])</f>
        <v>0</v>
      </c>
      <c r="M180" s="3"/>
    </row>
    <row r="181" spans="1:13">
      <c r="A181" s="4" t="s">
        <v>100</v>
      </c>
      <c r="B181" s="4">
        <v>2011</v>
      </c>
      <c r="C181" s="5">
        <v>283416000</v>
      </c>
      <c r="D181" s="8">
        <f>SUMPRODUCT(N(Tabela3[PAPEL]=Tabela2[[#This Row],[Ativo]]),Tabela3[Total Ações])</f>
        <v>74612388</v>
      </c>
      <c r="E181" s="66">
        <f>(Tabela2[[#This Row],[Lucro Líquido]])/Tabela2[[#This Row],[Total Ações]]</f>
        <v>3.7985113142337705</v>
      </c>
      <c r="F181" s="66">
        <v>3.5758272</v>
      </c>
      <c r="G181" s="46">
        <f>IF(AND(Tabela2[[#This Row],[Dividendo / Ação]]&gt;0,Tabela2[[#This Row],[Lucro por ação]]&gt;0),Tabela2[[#This Row],[Dividendo / Ação]]/Tabela2[[#This Row],[Lucro por ação]],"")</f>
        <v>0.94137595078384284</v>
      </c>
      <c r="H181" s="6">
        <f>MAX(Tabela2[[#This Row],[Cotação 1]],Tabela2[[#This Row],[Cotação 2]])</f>
        <v>21.51</v>
      </c>
      <c r="I181" s="19">
        <f>IF(Tabela2[[#This Row],[Dividendo / Ação]]&gt;0,Tabela2[[#This Row],[Dividendo / Ação]]/Tabela2[[#This Row],[Cotação]],"")</f>
        <v>0.1662402231520223</v>
      </c>
      <c r="J181" s="61">
        <f>SUMPRODUCT(N(Tabela1[Código]=Tabela2[[#This Row],[Ativo]]),Tabela1[Fechamento])</f>
        <v>21.51</v>
      </c>
      <c r="K181" s="61">
        <f>SUMPRODUCT(N(Tabela17[Código]=Tabela2[[#This Row],[Ativo]]),Tabela17[Fechamento])</f>
        <v>0</v>
      </c>
      <c r="M181" s="3"/>
    </row>
    <row r="182" spans="1:13">
      <c r="A182" s="4" t="s">
        <v>100</v>
      </c>
      <c r="B182" s="4">
        <v>2010</v>
      </c>
      <c r="C182" s="5">
        <v>448291000</v>
      </c>
      <c r="D182" s="8">
        <f>SUMPRODUCT(N(Tabela3[PAPEL]=Tabela2[[#This Row],[Ativo]]),Tabela3[Total Ações])</f>
        <v>74612388</v>
      </c>
      <c r="E182" s="66">
        <f>(Tabela2[[#This Row],[Lucro Líquido]])/Tabela2[[#This Row],[Total Ações]]</f>
        <v>6.0082650082182063</v>
      </c>
      <c r="F182" s="66">
        <v>3.6647560000000001</v>
      </c>
      <c r="G182" s="46">
        <f>IF(AND(Tabela2[[#This Row],[Dividendo / Ação]]&gt;0,Tabela2[[#This Row],[Lucro por ação]]&gt;0),Tabela2[[#This Row],[Dividendo / Ação]]/Tabela2[[#This Row],[Lucro por ação]],"")</f>
        <v>0.60995245632262973</v>
      </c>
      <c r="H182" s="6">
        <f>MAX(Tabela2[[#This Row],[Cotação 1]],Tabela2[[#This Row],[Cotação 2]])</f>
        <v>21.51</v>
      </c>
      <c r="I182" s="19">
        <f>IF(Tabela2[[#This Row],[Dividendo / Ação]]&gt;0,Tabela2[[#This Row],[Dividendo / Ação]]/Tabela2[[#This Row],[Cotação]],"")</f>
        <v>0.17037452347745233</v>
      </c>
      <c r="J182" s="61">
        <f>SUMPRODUCT(N(Tabela1[Código]=Tabela2[[#This Row],[Ativo]]),Tabela1[Fechamento])</f>
        <v>21.51</v>
      </c>
      <c r="K182" s="61">
        <f>SUMPRODUCT(N(Tabela17[Código]=Tabela2[[#This Row],[Ativo]]),Tabela17[Fechamento])</f>
        <v>0</v>
      </c>
      <c r="M182" s="3"/>
    </row>
    <row r="183" spans="1:13">
      <c r="A183" s="4" t="s">
        <v>100</v>
      </c>
      <c r="B183" s="4">
        <v>2010</v>
      </c>
      <c r="C183" s="5">
        <v>586949000</v>
      </c>
      <c r="D183" s="8">
        <f>SUMPRODUCT(N(Tabela3[PAPEL]=Tabela2[[#This Row],[Ativo]]),Tabela3[Total Ações])</f>
        <v>74612388</v>
      </c>
      <c r="E183" s="66">
        <f>(Tabela2[[#This Row],[Lucro Líquido]])/Tabela2[[#This Row],[Total Ações]]</f>
        <v>7.866642734983901</v>
      </c>
      <c r="F183" s="66">
        <v>4.8728273</v>
      </c>
      <c r="G183" s="46">
        <f>IF(AND(Tabela2[[#This Row],[Dividendo / Ação]]&gt;0,Tabela2[[#This Row],[Lucro por ação]]&gt;0),Tabela2[[#This Row],[Dividendo / Ação]]/Tabela2[[#This Row],[Lucro por ação]],"")</f>
        <v>0.6194290835568208</v>
      </c>
      <c r="H183" s="6">
        <f>MAX(Tabela2[[#This Row],[Cotação 1]],Tabela2[[#This Row],[Cotação 2]])</f>
        <v>21.51</v>
      </c>
      <c r="I183" s="19">
        <f>IF(Tabela2[[#This Row],[Dividendo / Ação]]&gt;0,Tabela2[[#This Row],[Dividendo / Ação]]/Tabela2[[#This Row],[Cotação]],"")</f>
        <v>0.22653776383077637</v>
      </c>
      <c r="J183" s="61">
        <f>SUMPRODUCT(N(Tabela1[Código]=Tabela2[[#This Row],[Ativo]]),Tabela1[Fechamento])</f>
        <v>21.51</v>
      </c>
      <c r="K183" s="61">
        <f>SUMPRODUCT(N(Tabela17[Código]=Tabela2[[#This Row],[Ativo]]),Tabela17[Fechamento])</f>
        <v>0</v>
      </c>
      <c r="M183" s="3"/>
    </row>
    <row r="184" spans="1:13">
      <c r="A184" s="4" t="s">
        <v>75</v>
      </c>
      <c r="B184" s="4">
        <v>2012</v>
      </c>
      <c r="C184" s="6">
        <v>147982000</v>
      </c>
      <c r="D184" s="8">
        <f>SUMPRODUCT(N(Tabela3[PAPEL]=Tabela2[[#This Row],[Ativo]]),Tabela3[Total Ações])</f>
        <v>327502673</v>
      </c>
      <c r="E184" s="66">
        <f>(Tabela2[[#This Row],[Lucro Líquido]])/Tabela2[[#This Row],[Total Ações]]</f>
        <v>0.4518497471927504</v>
      </c>
      <c r="F184" s="66">
        <v>1.1599999999999999</v>
      </c>
      <c r="G184" s="46">
        <f>IF(AND(Tabela2[[#This Row],[Dividendo / Ação]]&gt;0,Tabela2[[#This Row],[Lucro por ação]]&gt;0),Tabela2[[#This Row],[Dividendo / Ação]]/Tabela2[[#This Row],[Lucro por ação]],"")</f>
        <v>2.5672250725088186</v>
      </c>
      <c r="H184" s="6">
        <f>MAX(Tabela2[[#This Row],[Cotação 1]],Tabela2[[#This Row],[Cotação 2]])</f>
        <v>19.399999999999999</v>
      </c>
      <c r="I184" s="19">
        <f>IF(Tabela2[[#This Row],[Dividendo / Ação]]&gt;0,Tabela2[[#This Row],[Dividendo / Ação]]/Tabela2[[#This Row],[Cotação]],"")</f>
        <v>5.9793814432989693E-2</v>
      </c>
      <c r="J184" s="61">
        <f>SUMPRODUCT(N(Tabela1[Código]=Tabela2[[#This Row],[Ativo]]),Tabela1[Fechamento])</f>
        <v>19.399999999999999</v>
      </c>
      <c r="K184" s="61">
        <f>SUMPRODUCT(N(Tabela17[Código]=Tabela2[[#This Row],[Ativo]]),Tabela17[Fechamento])</f>
        <v>0</v>
      </c>
      <c r="M184" s="3"/>
    </row>
    <row r="185" spans="1:13">
      <c r="A185" s="4" t="s">
        <v>75</v>
      </c>
      <c r="B185" s="3">
        <v>2011</v>
      </c>
      <c r="C185" s="5">
        <v>108581000</v>
      </c>
      <c r="D185" s="62">
        <f>SUMPRODUCT(N(Tabela3[PAPEL]=Tabela2[[#This Row],[Ativo]]),Tabela3[Total Ações])</f>
        <v>327502673</v>
      </c>
      <c r="E185" s="65">
        <f>(Tabela2[[#This Row],[Lucro Líquido]])/Tabela2[[#This Row],[Total Ações]]</f>
        <v>0.33154233217510259</v>
      </c>
      <c r="F185" s="65">
        <v>1.6978355000000001</v>
      </c>
      <c r="G185" s="22">
        <f>IF(AND(Tabela2[[#This Row],[Dividendo / Ação]]&gt;0,Tabela2[[#This Row],[Lucro por ação]]&gt;0),Tabela2[[#This Row],[Dividendo / Ação]]/Tabela2[[#This Row],[Lucro por ação]],"")</f>
        <v>5.121021767752107</v>
      </c>
      <c r="H185" s="5">
        <f>MAX(Tabela2[[#This Row],[Cotação 1]],Tabela2[[#This Row],[Cotação 2]])</f>
        <v>19.399999999999999</v>
      </c>
      <c r="I185" s="18">
        <f>IF(Tabela2[[#This Row],[Dividendo / Ação]]&gt;0,Tabela2[[#This Row],[Dividendo / Ação]]/Tabela2[[#This Row],[Cotação]],"")</f>
        <v>8.7517293814433003E-2</v>
      </c>
      <c r="J185" s="60">
        <f>SUMPRODUCT(N(Tabela1[Código]=Tabela2[[#This Row],[Ativo]]),Tabela1[Fechamento])</f>
        <v>19.399999999999999</v>
      </c>
      <c r="K185" s="60">
        <f>SUMPRODUCT(N(Tabela17[Código]=Tabela2[[#This Row],[Ativo]]),Tabela17[Fechamento])</f>
        <v>0</v>
      </c>
      <c r="M185" s="3"/>
    </row>
    <row r="186" spans="1:13">
      <c r="A186" s="4" t="s">
        <v>75</v>
      </c>
      <c r="B186" s="3">
        <v>2010</v>
      </c>
      <c r="C186" s="5">
        <v>93042000</v>
      </c>
      <c r="D186" s="62">
        <f>SUMPRODUCT(N(Tabela3[PAPEL]=Tabela2[[#This Row],[Ativo]]),Tabela3[Total Ações])</f>
        <v>327502673</v>
      </c>
      <c r="E186" s="65">
        <f>(Tabela2[[#This Row],[Lucro Líquido]])/Tabela2[[#This Row],[Total Ações]]</f>
        <v>0.28409539118479193</v>
      </c>
      <c r="F186" s="65">
        <v>0.70331069999999996</v>
      </c>
      <c r="G186" s="22">
        <f>IF(AND(Tabela2[[#This Row],[Dividendo / Ação]]&gt;0,Tabela2[[#This Row],[Lucro por ação]]&gt;0),Tabela2[[#This Row],[Dividendo / Ação]]/Tabela2[[#This Row],[Lucro por ação]],"")</f>
        <v>2.475614606301467</v>
      </c>
      <c r="H186" s="5">
        <f>MAX(Tabela2[[#This Row],[Cotação 1]],Tabela2[[#This Row],[Cotação 2]])</f>
        <v>19.399999999999999</v>
      </c>
      <c r="I186" s="18">
        <f>IF(Tabela2[[#This Row],[Dividendo / Ação]]&gt;0,Tabela2[[#This Row],[Dividendo / Ação]]/Tabela2[[#This Row],[Cotação]],"")</f>
        <v>3.6253128865979381E-2</v>
      </c>
      <c r="J186" s="60">
        <f>SUMPRODUCT(N(Tabela1[Código]=Tabela2[[#This Row],[Ativo]]),Tabela1[Fechamento])</f>
        <v>19.399999999999999</v>
      </c>
      <c r="K186" s="60">
        <f>SUMPRODUCT(N(Tabela17[Código]=Tabela2[[#This Row],[Ativo]]),Tabela17[Fechamento])</f>
        <v>0</v>
      </c>
      <c r="M186" s="3"/>
    </row>
    <row r="187" spans="1:13">
      <c r="A187" s="4" t="s">
        <v>94</v>
      </c>
      <c r="B187" s="4">
        <v>2012</v>
      </c>
      <c r="C187" s="6">
        <v>147982000</v>
      </c>
      <c r="D187" s="8">
        <f>SUMPRODUCT(N(Tabela3[PAPEL]=Tabela2[[#This Row],[Ativo]]),Tabela3[Total Ações])</f>
        <v>327502673</v>
      </c>
      <c r="E187" s="66">
        <f>(Tabela2[[#This Row],[Lucro Líquido]])/Tabela2[[#This Row],[Total Ações]]</f>
        <v>0.4518497471927504</v>
      </c>
      <c r="F187" s="66">
        <v>1.82</v>
      </c>
      <c r="G187" s="46">
        <f>IF(AND(Tabela2[[#This Row],[Dividendo / Ação]]&gt;0,Tabela2[[#This Row],[Lucro por ação]]&gt;0),Tabela2[[#This Row],[Dividendo / Ação]]/Tabela2[[#This Row],[Lucro por ação]],"")</f>
        <v>4.027887613763836</v>
      </c>
      <c r="H187" s="6">
        <f>MAX(Tabela2[[#This Row],[Cotação 1]],Tabela2[[#This Row],[Cotação 2]])</f>
        <v>21.64</v>
      </c>
      <c r="I187" s="19">
        <f>IF(Tabela2[[#This Row],[Dividendo / Ação]]&gt;0,Tabela2[[#This Row],[Dividendo / Ação]]/Tabela2[[#This Row],[Cotação]],"")</f>
        <v>8.4103512014787427E-2</v>
      </c>
      <c r="J187" s="61">
        <f>SUMPRODUCT(N(Tabela1[Código]=Tabela2[[#This Row],[Ativo]]),Tabela1[Fechamento])</f>
        <v>21.64</v>
      </c>
      <c r="K187" s="61">
        <f>SUMPRODUCT(N(Tabela17[Código]=Tabela2[[#This Row],[Ativo]]),Tabela17[Fechamento])</f>
        <v>0</v>
      </c>
      <c r="M187" s="3"/>
    </row>
    <row r="188" spans="1:13">
      <c r="A188" s="4" t="s">
        <v>94</v>
      </c>
      <c r="B188" s="3">
        <v>2011</v>
      </c>
      <c r="C188" s="5">
        <v>108581000</v>
      </c>
      <c r="D188" s="62">
        <f>SUMPRODUCT(N(Tabela3[PAPEL]=Tabela2[[#This Row],[Ativo]]),Tabela3[Total Ações])</f>
        <v>327502673</v>
      </c>
      <c r="E188" s="65">
        <f>(Tabela2[[#This Row],[Lucro Líquido]])/Tabela2[[#This Row],[Total Ações]]</f>
        <v>0.33154233217510259</v>
      </c>
      <c r="F188" s="65">
        <v>1.8245449413999999</v>
      </c>
      <c r="G188" s="22">
        <f>IF(AND(Tabela2[[#This Row],[Dividendo / Ação]]&gt;0,Tabela2[[#This Row],[Lucro por ação]]&gt;0),Tabela2[[#This Row],[Dividendo / Ação]]/Tabela2[[#This Row],[Lucro por ação]],"")</f>
        <v>5.5032035560284793</v>
      </c>
      <c r="H188" s="5">
        <f>MAX(Tabela2[[#This Row],[Cotação 1]],Tabela2[[#This Row],[Cotação 2]])</f>
        <v>21.64</v>
      </c>
      <c r="I188" s="18">
        <f>IF(Tabela2[[#This Row],[Dividendo / Ação]]&gt;0,Tabela2[[#This Row],[Dividendo / Ação]]/Tabela2[[#This Row],[Cotação]],"")</f>
        <v>8.4313537033271713E-2</v>
      </c>
      <c r="J188" s="60">
        <f>SUMPRODUCT(N(Tabela1[Código]=Tabela2[[#This Row],[Ativo]]),Tabela1[Fechamento])</f>
        <v>21.64</v>
      </c>
      <c r="K188" s="60">
        <f>SUMPRODUCT(N(Tabela17[Código]=Tabela2[[#This Row],[Ativo]]),Tabela17[Fechamento])</f>
        <v>0</v>
      </c>
      <c r="M188" s="3"/>
    </row>
    <row r="189" spans="1:13">
      <c r="A189" s="4" t="s">
        <v>94</v>
      </c>
      <c r="B189" s="3">
        <v>2010</v>
      </c>
      <c r="C189" s="5">
        <v>93042000</v>
      </c>
      <c r="D189" s="62">
        <f>SUMPRODUCT(N(Tabela3[PAPEL]=Tabela2[[#This Row],[Ativo]]),Tabela3[Total Ações])</f>
        <v>327502673</v>
      </c>
      <c r="E189" s="65">
        <f>(Tabela2[[#This Row],[Lucro Líquido]])/Tabela2[[#This Row],[Total Ações]]</f>
        <v>0.28409539118479193</v>
      </c>
      <c r="F189" s="65">
        <v>1.8245449413999999</v>
      </c>
      <c r="G189" s="22">
        <f>IF(AND(Tabela2[[#This Row],[Dividendo / Ação]]&gt;0,Tabela2[[#This Row],[Lucro por ação]]&gt;0),Tabela2[[#This Row],[Dividendo / Ação]]/Tabela2[[#This Row],[Lucro por ação]],"")</f>
        <v>6.4222968693399576</v>
      </c>
      <c r="H189" s="5">
        <f>MAX(Tabela2[[#This Row],[Cotação 1]],Tabela2[[#This Row],[Cotação 2]])</f>
        <v>21.64</v>
      </c>
      <c r="I189" s="18">
        <f>IF(Tabela2[[#This Row],[Dividendo / Ação]]&gt;0,Tabela2[[#This Row],[Dividendo / Ação]]/Tabela2[[#This Row],[Cotação]],"")</f>
        <v>8.4313537033271713E-2</v>
      </c>
      <c r="J189" s="60">
        <f>SUMPRODUCT(N(Tabela1[Código]=Tabela2[[#This Row],[Ativo]]),Tabela1[Fechamento])</f>
        <v>21.64</v>
      </c>
      <c r="K189" s="60">
        <f>SUMPRODUCT(N(Tabela17[Código]=Tabela2[[#This Row],[Ativo]]),Tabela17[Fechamento])</f>
        <v>0</v>
      </c>
      <c r="M189" s="3"/>
    </row>
    <row r="190" spans="1:13">
      <c r="A190" s="4" t="s">
        <v>95</v>
      </c>
      <c r="B190" s="4">
        <v>2012</v>
      </c>
      <c r="C190" s="6">
        <v>147982000</v>
      </c>
      <c r="D190" s="8">
        <f>SUMPRODUCT(N(Tabela3[PAPEL]=Tabela2[[#This Row],[Ativo]]),Tabela3[Total Ações])</f>
        <v>327502673</v>
      </c>
      <c r="E190" s="66">
        <f>(Tabela2[[#This Row],[Lucro Líquido]])/Tabela2[[#This Row],[Total Ações]]</f>
        <v>0.4518497471927504</v>
      </c>
      <c r="F190" s="66">
        <v>1.1599999999999999</v>
      </c>
      <c r="G190" s="46">
        <f>IF(AND(Tabela2[[#This Row],[Dividendo / Ação]]&gt;0,Tabela2[[#This Row],[Lucro por ação]]&gt;0),Tabela2[[#This Row],[Dividendo / Ação]]/Tabela2[[#This Row],[Lucro por ação]],"")</f>
        <v>2.5672250725088186</v>
      </c>
      <c r="H190" s="6">
        <f>MAX(Tabela2[[#This Row],[Cotação 1]],Tabela2[[#This Row],[Cotação 2]])</f>
        <v>21.47</v>
      </c>
      <c r="I190" s="19">
        <f>IF(Tabela2[[#This Row],[Dividendo / Ação]]&gt;0,Tabela2[[#This Row],[Dividendo / Ação]]/Tabela2[[#This Row],[Cotação]],"")</f>
        <v>5.4028877503493243E-2</v>
      </c>
      <c r="J190" s="61">
        <f>SUMPRODUCT(N(Tabela1[Código]=Tabela2[[#This Row],[Ativo]]),Tabela1[Fechamento])</f>
        <v>21.47</v>
      </c>
      <c r="K190" s="61">
        <f>SUMPRODUCT(N(Tabela17[Código]=Tabela2[[#This Row],[Ativo]]),Tabela17[Fechamento])</f>
        <v>0</v>
      </c>
      <c r="M190" s="3"/>
    </row>
    <row r="191" spans="1:13">
      <c r="A191" s="4" t="s">
        <v>95</v>
      </c>
      <c r="B191" s="4">
        <v>2011</v>
      </c>
      <c r="C191" s="5">
        <v>108581000</v>
      </c>
      <c r="D191" s="8">
        <f>SUMPRODUCT(N(Tabela3[PAPEL]=Tabela2[[#This Row],[Ativo]]),Tabela3[Total Ações])</f>
        <v>327502673</v>
      </c>
      <c r="E191" s="66">
        <f>(Tabela2[[#This Row],[Lucro Líquido]])/Tabela2[[#This Row],[Total Ações]]</f>
        <v>0.33154233217510259</v>
      </c>
      <c r="F191" s="66">
        <v>1.4108145000000001</v>
      </c>
      <c r="G191" s="46">
        <f>IF(AND(Tabela2[[#This Row],[Dividendo / Ação]]&gt;0,Tabela2[[#This Row],[Lucro por ação]]&gt;0),Tabela2[[#This Row],[Dividendo / Ação]]/Tabela2[[#This Row],[Lucro por ação]],"")</f>
        <v>4.2553072808056518</v>
      </c>
      <c r="H191" s="6">
        <f>MAX(Tabela2[[#This Row],[Cotação 1]],Tabela2[[#This Row],[Cotação 2]])</f>
        <v>21.47</v>
      </c>
      <c r="I191" s="19">
        <f>IF(Tabela2[[#This Row],[Dividendo / Ação]]&gt;0,Tabela2[[#This Row],[Dividendo / Ação]]/Tabela2[[#This Row],[Cotação]],"")</f>
        <v>6.5710968793665586E-2</v>
      </c>
      <c r="J191" s="61">
        <f>SUMPRODUCT(N(Tabela1[Código]=Tabela2[[#This Row],[Ativo]]),Tabela1[Fechamento])</f>
        <v>21.47</v>
      </c>
      <c r="K191" s="61">
        <f>SUMPRODUCT(N(Tabela17[Código]=Tabela2[[#This Row],[Ativo]]),Tabela17[Fechamento])</f>
        <v>0</v>
      </c>
      <c r="M191" s="3"/>
    </row>
    <row r="192" spans="1:13">
      <c r="A192" s="4" t="s">
        <v>95</v>
      </c>
      <c r="B192" s="4">
        <v>2010</v>
      </c>
      <c r="C192" s="5">
        <v>93042000</v>
      </c>
      <c r="D192" s="8">
        <f>SUMPRODUCT(N(Tabela3[PAPEL]=Tabela2[[#This Row],[Ativo]]),Tabela3[Total Ações])</f>
        <v>327502673</v>
      </c>
      <c r="E192" s="66">
        <f>(Tabela2[[#This Row],[Lucro Líquido]])/Tabela2[[#This Row],[Total Ações]]</f>
        <v>0.28409539118479193</v>
      </c>
      <c r="F192" s="66">
        <v>0.70331069999999996</v>
      </c>
      <c r="G192" s="46">
        <f>IF(AND(Tabela2[[#This Row],[Dividendo / Ação]]&gt;0,Tabela2[[#This Row],[Lucro por ação]]&gt;0),Tabela2[[#This Row],[Dividendo / Ação]]/Tabela2[[#This Row],[Lucro por ação]],"")</f>
        <v>2.475614606301467</v>
      </c>
      <c r="H192" s="6">
        <f>MAX(Tabela2[[#This Row],[Cotação 1]],Tabela2[[#This Row],[Cotação 2]])</f>
        <v>21.47</v>
      </c>
      <c r="I192" s="19">
        <f>IF(Tabela2[[#This Row],[Dividendo / Ação]]&gt;0,Tabela2[[#This Row],[Dividendo / Ação]]/Tabela2[[#This Row],[Cotação]],"")</f>
        <v>3.2757834187238009E-2</v>
      </c>
      <c r="J192" s="61">
        <f>SUMPRODUCT(N(Tabela1[Código]=Tabela2[[#This Row],[Ativo]]),Tabela1[Fechamento])</f>
        <v>21.47</v>
      </c>
      <c r="K192" s="61">
        <f>SUMPRODUCT(N(Tabela17[Código]=Tabela2[[#This Row],[Ativo]]),Tabela17[Fechamento])</f>
        <v>0</v>
      </c>
      <c r="M192" s="3"/>
    </row>
    <row r="193" spans="1:13">
      <c r="A193" s="10" t="s">
        <v>313</v>
      </c>
      <c r="B193" s="3">
        <v>2012</v>
      </c>
      <c r="C193" s="5">
        <v>11833190.779999999</v>
      </c>
      <c r="D193" s="62">
        <f>SUMPRODUCT(N(Tabela3[PAPEL]=Tabela2[[#This Row],[Ativo]]),Tabela3[Total Ações])</f>
        <v>24948000</v>
      </c>
      <c r="E193" s="65">
        <f>(Tabela2[[#This Row],[Lucro Líquido]])/Tabela2[[#This Row],[Total Ações]]</f>
        <v>0.47431420474587138</v>
      </c>
      <c r="F193" s="65">
        <v>5.0590000000000003E-2</v>
      </c>
      <c r="G193" s="22">
        <f>IF(AND(Tabela2[[#This Row],[Dividendo / Ação]]&gt;0,Tabela2[[#This Row],[Lucro por ação]]&gt;0),Tabela2[[#This Row],[Dividendo / Ação]]/Tabela2[[#This Row],[Lucro por ação]],"")</f>
        <v>0.10665925560273948</v>
      </c>
      <c r="H193" s="51">
        <f>MAX(Tabela2[[#This Row],[Cotação 1]],Tabela2[[#This Row],[Cotação 2]])</f>
        <v>7.08</v>
      </c>
      <c r="I193" s="18">
        <f>IF(Tabela2[[#This Row],[Dividendo / Ação]]&gt;0,Tabela2[[#This Row],[Dividendo / Ação]]/Tabela2[[#This Row],[Cotação]],"")</f>
        <v>7.1454802259887009E-3</v>
      </c>
      <c r="J193" s="7">
        <f>SUMPRODUCT(N(Tabela1[Código]=Tabela2[[#This Row],[Ativo]]),Tabela1[Fechamento])</f>
        <v>0</v>
      </c>
      <c r="K193" s="7">
        <f>SUMPRODUCT(N(Tabela17[Código]=Tabela2[[#This Row],[Ativo]]),Tabela17[Fechamento])</f>
        <v>7.08</v>
      </c>
      <c r="M193" s="3"/>
    </row>
    <row r="194" spans="1:13">
      <c r="A194" s="10" t="s">
        <v>313</v>
      </c>
      <c r="B194" s="3">
        <v>2011</v>
      </c>
      <c r="C194" s="5">
        <v>-9978849.7799999993</v>
      </c>
      <c r="D194" s="62">
        <f>SUMPRODUCT(N(Tabela3[PAPEL]=Tabela2[[#This Row],[Ativo]]),Tabela3[Total Ações])</f>
        <v>24948000</v>
      </c>
      <c r="E194" s="65">
        <f>(Tabela2[[#This Row],[Lucro Líquido]])/Tabela2[[#This Row],[Total Ações]]</f>
        <v>-0.39998596200096198</v>
      </c>
      <c r="F194" s="65">
        <v>0</v>
      </c>
      <c r="G194" s="22" t="str">
        <f>IF(AND(Tabela2[[#This Row],[Dividendo / Ação]]&gt;0,Tabela2[[#This Row],[Lucro por ação]]&gt;0),Tabela2[[#This Row],[Dividendo / Ação]]/Tabela2[[#This Row],[Lucro por ação]],"")</f>
        <v/>
      </c>
      <c r="H194" s="51">
        <f>MAX(Tabela2[[#This Row],[Cotação 1]],Tabela2[[#This Row],[Cotação 2]])</f>
        <v>7.08</v>
      </c>
      <c r="I194" s="18" t="str">
        <f>IF(Tabela2[[#This Row],[Dividendo / Ação]]&gt;0,Tabela2[[#This Row],[Dividendo / Ação]]/Tabela2[[#This Row],[Cotação]],"")</f>
        <v/>
      </c>
      <c r="J194" s="7">
        <f>SUMPRODUCT(N(Tabela1[Código]=Tabela2[[#This Row],[Ativo]]),Tabela1[Fechamento])</f>
        <v>0</v>
      </c>
      <c r="K194" s="7">
        <f>SUMPRODUCT(N(Tabela17[Código]=Tabela2[[#This Row],[Ativo]]),Tabela17[Fechamento])</f>
        <v>7.08</v>
      </c>
      <c r="M194" s="3"/>
    </row>
    <row r="195" spans="1:13">
      <c r="A195" s="10" t="s">
        <v>313</v>
      </c>
      <c r="B195" s="3">
        <v>2010</v>
      </c>
      <c r="C195" s="5">
        <v>9148149.2799999993</v>
      </c>
      <c r="D195" s="62">
        <f>SUMPRODUCT(N(Tabela3[PAPEL]=Tabela2[[#This Row],[Ativo]]),Tabela3[Total Ações])</f>
        <v>24948000</v>
      </c>
      <c r="E195" s="65">
        <f>(Tabela2[[#This Row],[Lucro Líquido]])/Tabela2[[#This Row],[Total Ações]]</f>
        <v>0.36668868366201696</v>
      </c>
      <c r="F195" s="65">
        <v>9.9110000000000004E-2</v>
      </c>
      <c r="G195" s="22">
        <f>IF(AND(Tabela2[[#This Row],[Dividendo / Ação]]&gt;0,Tabela2[[#This Row],[Lucro por ação]]&gt;0),Tabela2[[#This Row],[Dividendo / Ação]]/Tabela2[[#This Row],[Lucro por ação]],"")</f>
        <v>0.27028377044586227</v>
      </c>
      <c r="H195" s="51">
        <f>MAX(Tabela2[[#This Row],[Cotação 1]],Tabela2[[#This Row],[Cotação 2]])</f>
        <v>7.08</v>
      </c>
      <c r="I195" s="18">
        <f>IF(Tabela2[[#This Row],[Dividendo / Ação]]&gt;0,Tabela2[[#This Row],[Dividendo / Ação]]/Tabela2[[#This Row],[Cotação]],"")</f>
        <v>1.399858757062147E-2</v>
      </c>
      <c r="J195" s="7">
        <f>SUMPRODUCT(N(Tabela1[Código]=Tabela2[[#This Row],[Ativo]]),Tabela1[Fechamento])</f>
        <v>0</v>
      </c>
      <c r="K195" s="7">
        <f>SUMPRODUCT(N(Tabela17[Código]=Tabela2[[#This Row],[Ativo]]),Tabela17[Fechamento])</f>
        <v>7.08</v>
      </c>
      <c r="M195" s="3"/>
    </row>
    <row r="196" spans="1:13">
      <c r="A196" s="10" t="s">
        <v>313</v>
      </c>
      <c r="B196" s="3">
        <v>2009</v>
      </c>
      <c r="C196" s="5">
        <v>8891946.6600000001</v>
      </c>
      <c r="D196" s="62">
        <f>SUMPRODUCT(N(Tabela3[PAPEL]=Tabela2[[#This Row],[Ativo]]),Tabela3[Total Ações])</f>
        <v>24948000</v>
      </c>
      <c r="E196" s="65">
        <f>(Tabela2[[#This Row],[Lucro Líquido]])/Tabela2[[#This Row],[Total Ações]]</f>
        <v>0.35641921837421836</v>
      </c>
      <c r="F196" s="65">
        <v>8.3030000000000007E-2</v>
      </c>
      <c r="G196" s="22">
        <f>IF(AND(Tabela2[[#This Row],[Dividendo / Ação]]&gt;0,Tabela2[[#This Row],[Lucro por ação]]&gt;0),Tabela2[[#This Row],[Dividendo / Ação]]/Tabela2[[#This Row],[Lucro por ação]],"")</f>
        <v>0.23295601280631167</v>
      </c>
      <c r="H196" s="51">
        <f>MAX(Tabela2[[#This Row],[Cotação 1]],Tabela2[[#This Row],[Cotação 2]])</f>
        <v>7.08</v>
      </c>
      <c r="I196" s="18">
        <f>IF(Tabela2[[#This Row],[Dividendo / Ação]]&gt;0,Tabela2[[#This Row],[Dividendo / Ação]]/Tabela2[[#This Row],[Cotação]],"")</f>
        <v>1.1727401129943504E-2</v>
      </c>
      <c r="J196" s="7">
        <f>SUMPRODUCT(N(Tabela1[Código]=Tabela2[[#This Row],[Ativo]]),Tabela1[Fechamento])</f>
        <v>0</v>
      </c>
      <c r="K196" s="7">
        <f>SUMPRODUCT(N(Tabela17[Código]=Tabela2[[#This Row],[Ativo]]),Tabela17[Fechamento])</f>
        <v>7.08</v>
      </c>
      <c r="M196" s="3"/>
    </row>
    <row r="197" spans="1:13">
      <c r="A197" s="10" t="s">
        <v>314</v>
      </c>
      <c r="B197" s="3">
        <v>2012</v>
      </c>
      <c r="C197" s="5">
        <v>11833190.779999999</v>
      </c>
      <c r="D197" s="62">
        <f>SUMPRODUCT(N(Tabela3[PAPEL]=Tabela2[[#This Row],[Ativo]]),Tabela3[Total Ações])</f>
        <v>24948000</v>
      </c>
      <c r="E197" s="65">
        <f>(Tabela2[[#This Row],[Lucro Líquido]])/Tabela2[[#This Row],[Total Ações]]</f>
        <v>0.47431420474587138</v>
      </c>
      <c r="F197" s="65">
        <v>5.5649999999999998E-2</v>
      </c>
      <c r="G197" s="22">
        <f>IF(AND(Tabela2[[#This Row],[Dividendo / Ação]]&gt;0,Tabela2[[#This Row],[Lucro por ação]]&gt;0),Tabela2[[#This Row],[Dividendo / Ação]]/Tabela2[[#This Row],[Lucro por ação]],"")</f>
        <v>0.11732728947010183</v>
      </c>
      <c r="H197" s="51">
        <f>MAX(Tabela2[[#This Row],[Cotação 1]],Tabela2[[#This Row],[Cotação 2]])</f>
        <v>13.08</v>
      </c>
      <c r="I197" s="18">
        <f>IF(Tabela2[[#This Row],[Dividendo / Ação]]&gt;0,Tabela2[[#This Row],[Dividendo / Ação]]/Tabela2[[#This Row],[Cotação]],"")</f>
        <v>4.2545871559633028E-3</v>
      </c>
      <c r="J197" s="7">
        <f>SUMPRODUCT(N(Tabela1[Código]=Tabela2[[#This Row],[Ativo]]),Tabela1[Fechamento])</f>
        <v>0</v>
      </c>
      <c r="K197" s="7">
        <f>SUMPRODUCT(N(Tabela17[Código]=Tabela2[[#This Row],[Ativo]]),Tabela17[Fechamento])</f>
        <v>13.08</v>
      </c>
      <c r="M197" s="3"/>
    </row>
    <row r="198" spans="1:13">
      <c r="A198" s="10" t="s">
        <v>314</v>
      </c>
      <c r="B198" s="3">
        <v>2011</v>
      </c>
      <c r="C198" s="5">
        <v>-9978849.7799999993</v>
      </c>
      <c r="D198" s="62">
        <f>SUMPRODUCT(N(Tabela3[PAPEL]=Tabela2[[#This Row],[Ativo]]),Tabela3[Total Ações])</f>
        <v>24948000</v>
      </c>
      <c r="E198" s="65">
        <f>(Tabela2[[#This Row],[Lucro Líquido]])/Tabela2[[#This Row],[Total Ações]]</f>
        <v>-0.39998596200096198</v>
      </c>
      <c r="F198" s="65">
        <v>0</v>
      </c>
      <c r="G198" s="22" t="str">
        <f>IF(AND(Tabela2[[#This Row],[Dividendo / Ação]]&gt;0,Tabela2[[#This Row],[Lucro por ação]]&gt;0),Tabela2[[#This Row],[Dividendo / Ação]]/Tabela2[[#This Row],[Lucro por ação]],"")</f>
        <v/>
      </c>
      <c r="H198" s="51">
        <f>MAX(Tabela2[[#This Row],[Cotação 1]],Tabela2[[#This Row],[Cotação 2]])</f>
        <v>13.08</v>
      </c>
      <c r="I198" s="18" t="str">
        <f>IF(Tabela2[[#This Row],[Dividendo / Ação]]&gt;0,Tabela2[[#This Row],[Dividendo / Ação]]/Tabela2[[#This Row],[Cotação]],"")</f>
        <v/>
      </c>
      <c r="J198" s="7">
        <f>SUMPRODUCT(N(Tabela1[Código]=Tabela2[[#This Row],[Ativo]]),Tabela1[Fechamento])</f>
        <v>0</v>
      </c>
      <c r="K198" s="7">
        <f>SUMPRODUCT(N(Tabela17[Código]=Tabela2[[#This Row],[Ativo]]),Tabela17[Fechamento])</f>
        <v>13.08</v>
      </c>
      <c r="M198" s="3"/>
    </row>
    <row r="199" spans="1:13">
      <c r="A199" s="10" t="s">
        <v>314</v>
      </c>
      <c r="B199" s="3">
        <v>2010</v>
      </c>
      <c r="C199" s="5">
        <v>9148149.2799999993</v>
      </c>
      <c r="D199" s="62">
        <f>SUMPRODUCT(N(Tabela3[PAPEL]=Tabela2[[#This Row],[Ativo]]),Tabela3[Total Ações])</f>
        <v>24948000</v>
      </c>
      <c r="E199" s="65">
        <f>(Tabela2[[#This Row],[Lucro Líquido]])/Tabela2[[#This Row],[Total Ações]]</f>
        <v>0.36668868366201696</v>
      </c>
      <c r="F199" s="65">
        <v>0.10902000000000001</v>
      </c>
      <c r="G199" s="22">
        <f>IF(AND(Tabela2[[#This Row],[Dividendo / Ação]]&gt;0,Tabela2[[#This Row],[Lucro por ação]]&gt;0),Tabela2[[#This Row],[Dividendo / Ação]]/Tabela2[[#This Row],[Lucro por ação]],"")</f>
        <v>0.29730942038147418</v>
      </c>
      <c r="H199" s="51">
        <f>MAX(Tabela2[[#This Row],[Cotação 1]],Tabela2[[#This Row],[Cotação 2]])</f>
        <v>13.08</v>
      </c>
      <c r="I199" s="18">
        <f>IF(Tabela2[[#This Row],[Dividendo / Ação]]&gt;0,Tabela2[[#This Row],[Dividendo / Ação]]/Tabela2[[#This Row],[Cotação]],"")</f>
        <v>8.3348623853211016E-3</v>
      </c>
      <c r="J199" s="7">
        <f>SUMPRODUCT(N(Tabela1[Código]=Tabela2[[#This Row],[Ativo]]),Tabela1[Fechamento])</f>
        <v>0</v>
      </c>
      <c r="K199" s="7">
        <f>SUMPRODUCT(N(Tabela17[Código]=Tabela2[[#This Row],[Ativo]]),Tabela17[Fechamento])</f>
        <v>13.08</v>
      </c>
      <c r="M199" s="3"/>
    </row>
    <row r="200" spans="1:13">
      <c r="A200" s="10" t="s">
        <v>314</v>
      </c>
      <c r="B200" s="3">
        <v>2009</v>
      </c>
      <c r="C200" s="5">
        <v>8891946.6600000001</v>
      </c>
      <c r="D200" s="62">
        <f>SUMPRODUCT(N(Tabela3[PAPEL]=Tabela2[[#This Row],[Ativo]]),Tabela3[Total Ações])</f>
        <v>24948000</v>
      </c>
      <c r="E200" s="65">
        <f>(Tabela2[[#This Row],[Lucro Líquido]])/Tabela2[[#This Row],[Total Ações]]</f>
        <v>0.35641921837421836</v>
      </c>
      <c r="F200" s="65">
        <v>9.1329999999999995E-2</v>
      </c>
      <c r="G200" s="22">
        <f>IF(AND(Tabela2[[#This Row],[Dividendo / Ação]]&gt;0,Tabela2[[#This Row],[Lucro por ação]]&gt;0),Tabela2[[#This Row],[Dividendo / Ação]]/Tabela2[[#This Row],[Lucro por ação]],"")</f>
        <v>0.25624319703240322</v>
      </c>
      <c r="H200" s="51">
        <f>MAX(Tabela2[[#This Row],[Cotação 1]],Tabela2[[#This Row],[Cotação 2]])</f>
        <v>13.08</v>
      </c>
      <c r="I200" s="18">
        <f>IF(Tabela2[[#This Row],[Dividendo / Ação]]&gt;0,Tabela2[[#This Row],[Dividendo / Ação]]/Tabela2[[#This Row],[Cotação]],"")</f>
        <v>6.9824159021406726E-3</v>
      </c>
      <c r="J200" s="7">
        <f>SUMPRODUCT(N(Tabela1[Código]=Tabela2[[#This Row],[Ativo]]),Tabela1[Fechamento])</f>
        <v>0</v>
      </c>
      <c r="K200" s="7">
        <f>SUMPRODUCT(N(Tabela17[Código]=Tabela2[[#This Row],[Ativo]]),Tabela17[Fechamento])</f>
        <v>13.08</v>
      </c>
      <c r="M200" s="3"/>
    </row>
    <row r="201" spans="1:13">
      <c r="A201" s="4" t="s">
        <v>74</v>
      </c>
      <c r="B201" s="4">
        <v>2012</v>
      </c>
      <c r="C201" s="6">
        <v>-258366398.66</v>
      </c>
      <c r="D201" s="8">
        <f>SUMPRODUCT(N(Tabela3[PAPEL]=Tabela2[[#This Row],[Ativo]]),Tabela3[Total Ações])</f>
        <v>38571591</v>
      </c>
      <c r="E201" s="66">
        <f>(Tabela2[[#This Row],[Lucro Líquido]])/Tabela2[[#This Row],[Total Ações]]</f>
        <v>-6.6983599058695811</v>
      </c>
      <c r="F201" s="66">
        <v>0</v>
      </c>
      <c r="G201" s="46" t="str">
        <f>IF(AND(Tabela2[[#This Row],[Dividendo / Ação]]&gt;0,Tabela2[[#This Row],[Lucro por ação]]&gt;0),Tabela2[[#This Row],[Dividendo / Ação]]/Tabela2[[#This Row],[Lucro por ação]],"")</f>
        <v/>
      </c>
      <c r="H201" s="6">
        <f>MAX(Tabela2[[#This Row],[Cotação 1]],Tabela2[[#This Row],[Cotação 2]])</f>
        <v>15.9</v>
      </c>
      <c r="I201" s="19" t="str">
        <f>IF(Tabela2[[#This Row],[Dividendo / Ação]]&gt;0,Tabela2[[#This Row],[Dividendo / Ação]]/Tabela2[[#This Row],[Cotação]],"")</f>
        <v/>
      </c>
      <c r="J201" s="61">
        <f>SUMPRODUCT(N(Tabela1[Código]=Tabela2[[#This Row],[Ativo]]),Tabela1[Fechamento])</f>
        <v>15.9</v>
      </c>
      <c r="K201" s="61">
        <f>SUMPRODUCT(N(Tabela17[Código]=Tabela2[[#This Row],[Ativo]]),Tabela17[Fechamento])</f>
        <v>0</v>
      </c>
      <c r="M201" s="3"/>
    </row>
    <row r="202" spans="1:13">
      <c r="A202" s="4" t="s">
        <v>74</v>
      </c>
      <c r="B202" s="4">
        <v>2011</v>
      </c>
      <c r="C202" s="6">
        <v>323886563.73000002</v>
      </c>
      <c r="D202" s="8">
        <f>SUMPRODUCT(N(Tabela3[PAPEL]=Tabela2[[#This Row],[Ativo]]),Tabela3[Total Ações])</f>
        <v>38571591</v>
      </c>
      <c r="E202" s="66">
        <f>(Tabela2[[#This Row],[Lucro Líquido]])/Tabela2[[#This Row],[Total Ações]]</f>
        <v>8.3970236988668692</v>
      </c>
      <c r="F202" s="66">
        <v>2.2201449599999998</v>
      </c>
      <c r="G202" s="46">
        <f>IF(AND(Tabela2[[#This Row],[Dividendo / Ação]]&gt;0,Tabela2[[#This Row],[Lucro por ação]]&gt;0),Tabela2[[#This Row],[Dividendo / Ação]]/Tabela2[[#This Row],[Lucro por ação]],"")</f>
        <v>0.26439665286398989</v>
      </c>
      <c r="H202" s="6">
        <f>MAX(Tabela2[[#This Row],[Cotação 1]],Tabela2[[#This Row],[Cotação 2]])</f>
        <v>15.9</v>
      </c>
      <c r="I202" s="19">
        <f>IF(Tabela2[[#This Row],[Dividendo / Ação]]&gt;0,Tabela2[[#This Row],[Dividendo / Ação]]/Tabela2[[#This Row],[Cotação]],"")</f>
        <v>0.13963175849056603</v>
      </c>
      <c r="J202" s="61">
        <f>SUMPRODUCT(N(Tabela1[Código]=Tabela2[[#This Row],[Ativo]]),Tabela1[Fechamento])</f>
        <v>15.9</v>
      </c>
      <c r="K202" s="61">
        <f>SUMPRODUCT(N(Tabela17[Código]=Tabela2[[#This Row],[Ativo]]),Tabela17[Fechamento])</f>
        <v>0</v>
      </c>
      <c r="M202" s="3"/>
    </row>
    <row r="203" spans="1:13">
      <c r="A203" s="4" t="s">
        <v>74</v>
      </c>
      <c r="B203" s="4">
        <v>2010</v>
      </c>
      <c r="C203" s="6">
        <v>259841000</v>
      </c>
      <c r="D203" s="8">
        <f>SUMPRODUCT(N(Tabela3[PAPEL]=Tabela2[[#This Row],[Ativo]]),Tabela3[Total Ações])</f>
        <v>38571591</v>
      </c>
      <c r="E203" s="66">
        <f>(Tabela2[[#This Row],[Lucro Líquido]])/Tabela2[[#This Row],[Total Ações]]</f>
        <v>6.7365901499888867</v>
      </c>
      <c r="F203" s="66">
        <v>2.09736089</v>
      </c>
      <c r="G203" s="46">
        <f>IF(AND(Tabela2[[#This Row],[Dividendo / Ação]]&gt;0,Tabela2[[#This Row],[Lucro por ação]]&gt;0),Tabela2[[#This Row],[Dividendo / Ação]]/Tabela2[[#This Row],[Lucro por ação]],"")</f>
        <v>0.31133865105382136</v>
      </c>
      <c r="H203" s="6">
        <f>MAX(Tabela2[[#This Row],[Cotação 1]],Tabela2[[#This Row],[Cotação 2]])</f>
        <v>15.9</v>
      </c>
      <c r="I203" s="19">
        <f>IF(Tabela2[[#This Row],[Dividendo / Ação]]&gt;0,Tabela2[[#This Row],[Dividendo / Ação]]/Tabela2[[#This Row],[Cotação]],"")</f>
        <v>0.13190948993710691</v>
      </c>
      <c r="J203" s="61">
        <f>SUMPRODUCT(N(Tabela1[Código]=Tabela2[[#This Row],[Ativo]]),Tabela1[Fechamento])</f>
        <v>15.9</v>
      </c>
      <c r="K203" s="61">
        <f>SUMPRODUCT(N(Tabela17[Código]=Tabela2[[#This Row],[Ativo]]),Tabela17[Fechamento])</f>
        <v>0</v>
      </c>
      <c r="M203" s="3"/>
    </row>
    <row r="204" spans="1:13">
      <c r="A204" s="4" t="s">
        <v>74</v>
      </c>
      <c r="B204" s="4">
        <v>2009</v>
      </c>
      <c r="C204" s="6">
        <v>120919000</v>
      </c>
      <c r="D204" s="8">
        <f>SUMPRODUCT(N(Tabela3[PAPEL]=Tabela2[[#This Row],[Ativo]]),Tabela3[Total Ações])</f>
        <v>38571591</v>
      </c>
      <c r="E204" s="66">
        <f>(Tabela2[[#This Row],[Lucro Líquido]])/Tabela2[[#This Row],[Total Ações]]</f>
        <v>3.1349238355244409</v>
      </c>
      <c r="F204" s="66">
        <v>0.97620123000000003</v>
      </c>
      <c r="G204" s="46">
        <f>IF(AND(Tabela2[[#This Row],[Dividendo / Ação]]&gt;0,Tabela2[[#This Row],[Lucro por ação]]&gt;0),Tabela2[[#This Row],[Dividendo / Ação]]/Tabela2[[#This Row],[Lucro por ação]],"")</f>
        <v>0.31139551747249755</v>
      </c>
      <c r="H204" s="6">
        <f>MAX(Tabela2[[#This Row],[Cotação 1]],Tabela2[[#This Row],[Cotação 2]])</f>
        <v>15.9</v>
      </c>
      <c r="I204" s="19">
        <f>IF(Tabela2[[#This Row],[Dividendo / Ação]]&gt;0,Tabela2[[#This Row],[Dividendo / Ação]]/Tabela2[[#This Row],[Cotação]],"")</f>
        <v>6.1396303773584904E-2</v>
      </c>
      <c r="J204" s="61">
        <f>SUMPRODUCT(N(Tabela1[Código]=Tabela2[[#This Row],[Ativo]]),Tabela1[Fechamento])</f>
        <v>15.9</v>
      </c>
      <c r="K204" s="61">
        <f>SUMPRODUCT(N(Tabela17[Código]=Tabela2[[#This Row],[Ativo]]),Tabela17[Fechamento])</f>
        <v>0</v>
      </c>
      <c r="M204" s="3"/>
    </row>
    <row r="205" spans="1:13">
      <c r="A205" s="4" t="s">
        <v>74</v>
      </c>
      <c r="B205" s="4">
        <v>2008</v>
      </c>
      <c r="C205" s="6">
        <v>245522000</v>
      </c>
      <c r="D205" s="8">
        <f>SUMPRODUCT(N(Tabela3[PAPEL]=Tabela2[[#This Row],[Ativo]]),Tabela3[Total Ações])</f>
        <v>38571591</v>
      </c>
      <c r="E205" s="66">
        <f>(Tabela2[[#This Row],[Lucro Líquido]])/Tabela2[[#This Row],[Total Ações]]</f>
        <v>6.3653583799537854</v>
      </c>
      <c r="F205" s="66">
        <v>1.9821435199999999</v>
      </c>
      <c r="G205" s="46">
        <f>IF(AND(Tabela2[[#This Row],[Dividendo / Ação]]&gt;0,Tabela2[[#This Row],[Lucro por ação]]&gt;0),Tabela2[[#This Row],[Dividendo / Ação]]/Tabela2[[#This Row],[Lucro por ação]],"")</f>
        <v>0.31139543159773997</v>
      </c>
      <c r="H205" s="6">
        <f>MAX(Tabela2[[#This Row],[Cotação 1]],Tabela2[[#This Row],[Cotação 2]])</f>
        <v>15.9</v>
      </c>
      <c r="I205" s="19">
        <f>IF(Tabela2[[#This Row],[Dividendo / Ação]]&gt;0,Tabela2[[#This Row],[Dividendo / Ação]]/Tabela2[[#This Row],[Cotação]],"")</f>
        <v>0.1246631144654088</v>
      </c>
      <c r="J205" s="61">
        <f>SUMPRODUCT(N(Tabela1[Código]=Tabela2[[#This Row],[Ativo]]),Tabela1[Fechamento])</f>
        <v>15.9</v>
      </c>
      <c r="K205" s="61">
        <f>SUMPRODUCT(N(Tabela17[Código]=Tabela2[[#This Row],[Ativo]]),Tabela17[Fechamento])</f>
        <v>0</v>
      </c>
      <c r="M205" s="3"/>
    </row>
    <row r="206" spans="1:13">
      <c r="A206" s="4" t="s">
        <v>31</v>
      </c>
      <c r="B206" s="4">
        <v>2012</v>
      </c>
      <c r="C206" s="6">
        <v>4271685000</v>
      </c>
      <c r="D206" s="8">
        <f>SUMPRODUCT(N(Tabela3[PAPEL]=Tabela2[[#This Row],[Ativo]]),Tabela3[Total Ações])</f>
        <v>962672385</v>
      </c>
      <c r="E206" s="66">
        <f>(Tabela2[[#This Row],[Lucro Líquido]])/Tabela2[[#This Row],[Total Ações]]</f>
        <v>4.4373195560190499</v>
      </c>
      <c r="F206" s="66">
        <v>1.4286055</v>
      </c>
      <c r="G206" s="46">
        <f>IF(AND(Tabela2[[#This Row],[Dividendo / Ação]]&gt;0,Tabela2[[#This Row],[Lucro por ação]]&gt;0),Tabela2[[#This Row],[Dividendo / Ação]]/Tabela2[[#This Row],[Lucro por ação]],"")</f>
        <v>0.32195235929360838</v>
      </c>
      <c r="H206" s="6">
        <f>MAX(Tabela2[[#This Row],[Cotação 1]],Tabela2[[#This Row],[Cotação 2]])</f>
        <v>13.81</v>
      </c>
      <c r="I206" s="19">
        <f>IF(Tabela2[[#This Row],[Dividendo / Ação]]&gt;0,Tabela2[[#This Row],[Dividendo / Ação]]/Tabela2[[#This Row],[Cotação]],"")</f>
        <v>0.10344717595944967</v>
      </c>
      <c r="J206" s="61">
        <f>SUMPRODUCT(N(Tabela1[Código]=Tabela2[[#This Row],[Ativo]]),Tabela1[Fechamento])</f>
        <v>13.81</v>
      </c>
      <c r="K206" s="61">
        <f>SUMPRODUCT(N(Tabela17[Código]=Tabela2[[#This Row],[Ativo]]),Tabela17[Fechamento])</f>
        <v>0</v>
      </c>
      <c r="M206" s="3"/>
    </row>
    <row r="207" spans="1:13">
      <c r="A207" s="4" t="s">
        <v>31</v>
      </c>
      <c r="B207" s="3">
        <v>2011</v>
      </c>
      <c r="C207" s="5">
        <v>2415450000</v>
      </c>
      <c r="D207" s="62">
        <f>SUMPRODUCT(N(Tabela3[PAPEL]=Tabela2[[#This Row],[Ativo]]),Tabela3[Total Ações])</f>
        <v>962672385</v>
      </c>
      <c r="E207" s="65">
        <f>(Tabela2[[#This Row],[Lucro Líquido]])/Tabela2[[#This Row],[Total Ações]]</f>
        <v>2.5091090568677732</v>
      </c>
      <c r="F207" s="65">
        <v>1.9</v>
      </c>
      <c r="G207" s="22">
        <f>IF(AND(Tabela2[[#This Row],[Dividendo / Ação]]&gt;0,Tabela2[[#This Row],[Lucro por ação]]&gt;0),Tabela2[[#This Row],[Dividendo / Ação]]/Tabela2[[#This Row],[Lucro por ação]],"")</f>
        <v>0.75724089983232934</v>
      </c>
      <c r="H207" s="5">
        <f>MAX(Tabela2[[#This Row],[Cotação 1]],Tabela2[[#This Row],[Cotação 2]])</f>
        <v>13.81</v>
      </c>
      <c r="I207" s="18">
        <f>IF(Tabela2[[#This Row],[Dividendo / Ação]]&gt;0,Tabela2[[#This Row],[Dividendo / Ação]]/Tabela2[[#This Row],[Cotação]],"")</f>
        <v>0.13758146270818247</v>
      </c>
      <c r="J207" s="60">
        <f>SUMPRODUCT(N(Tabela1[Código]=Tabela2[[#This Row],[Ativo]]),Tabela1[Fechamento])</f>
        <v>13.81</v>
      </c>
      <c r="K207" s="60">
        <f>SUMPRODUCT(N(Tabela17[Código]=Tabela2[[#This Row],[Ativo]]),Tabela17[Fechamento])</f>
        <v>0</v>
      </c>
      <c r="M207" s="3"/>
    </row>
    <row r="208" spans="1:13">
      <c r="A208" s="4" t="s">
        <v>31</v>
      </c>
      <c r="B208" s="3">
        <v>2010</v>
      </c>
      <c r="C208" s="5">
        <v>2257976000</v>
      </c>
      <c r="D208" s="62">
        <f>SUMPRODUCT(N(Tabela3[PAPEL]=Tabela2[[#This Row],[Ativo]]),Tabela3[Total Ações])</f>
        <v>962672385</v>
      </c>
      <c r="E208" s="65">
        <f>(Tabela2[[#This Row],[Lucro Líquido]])/Tabela2[[#This Row],[Total Ações]]</f>
        <v>2.3455290036184011</v>
      </c>
      <c r="F208" s="65">
        <v>1.75</v>
      </c>
      <c r="G208" s="22">
        <f>IF(AND(Tabela2[[#This Row],[Dividendo / Ação]]&gt;0,Tabela2[[#This Row],[Lucro por ação]]&gt;0),Tabela2[[#This Row],[Dividendo / Ação]]/Tabela2[[#This Row],[Lucro por ação]],"")</f>
        <v>0.74610034550854398</v>
      </c>
      <c r="H208" s="5">
        <f>MAX(Tabela2[[#This Row],[Cotação 1]],Tabela2[[#This Row],[Cotação 2]])</f>
        <v>13.81</v>
      </c>
      <c r="I208" s="18">
        <f>IF(Tabela2[[#This Row],[Dividendo / Ação]]&gt;0,Tabela2[[#This Row],[Dividendo / Ação]]/Tabela2[[#This Row],[Cotação]],"")</f>
        <v>0.12671976828385229</v>
      </c>
      <c r="J208" s="60">
        <f>SUMPRODUCT(N(Tabela1[Código]=Tabela2[[#This Row],[Ativo]]),Tabela1[Fechamento])</f>
        <v>13.81</v>
      </c>
      <c r="K208" s="60">
        <f>SUMPRODUCT(N(Tabela17[Código]=Tabela2[[#This Row],[Ativo]]),Tabela17[Fechamento])</f>
        <v>0</v>
      </c>
      <c r="M208" s="3"/>
    </row>
    <row r="209" spans="1:13">
      <c r="A209" s="4" t="s">
        <v>31</v>
      </c>
      <c r="B209" s="3">
        <v>2009</v>
      </c>
      <c r="C209" s="5">
        <v>1861403000</v>
      </c>
      <c r="D209" s="62">
        <f>SUMPRODUCT(N(Tabela3[PAPEL]=Tabela2[[#This Row],[Ativo]]),Tabela3[Total Ações])</f>
        <v>962672385</v>
      </c>
      <c r="E209" s="65">
        <f>(Tabela2[[#This Row],[Lucro Líquido]])/Tabela2[[#This Row],[Total Ações]]</f>
        <v>1.9335788883151561</v>
      </c>
      <c r="F209" s="65">
        <v>1.5</v>
      </c>
      <c r="G209" s="22">
        <f>IF(AND(Tabela2[[#This Row],[Dividendo / Ação]]&gt;0,Tabela2[[#This Row],[Lucro por ação]]&gt;0),Tabela2[[#This Row],[Dividendo / Ação]]/Tabela2[[#This Row],[Lucro por ação]],"")</f>
        <v>0.77576353830954392</v>
      </c>
      <c r="H209" s="5">
        <f>MAX(Tabela2[[#This Row],[Cotação 1]],Tabela2[[#This Row],[Cotação 2]])</f>
        <v>13.81</v>
      </c>
      <c r="I209" s="18">
        <f>IF(Tabela2[[#This Row],[Dividendo / Ação]]&gt;0,Tabela2[[#This Row],[Dividendo / Ação]]/Tabela2[[#This Row],[Cotação]],"")</f>
        <v>0.10861694424330195</v>
      </c>
      <c r="J209" s="60">
        <f>SUMPRODUCT(N(Tabela1[Código]=Tabela2[[#This Row],[Ativo]]),Tabela1[Fechamento])</f>
        <v>13.81</v>
      </c>
      <c r="K209" s="60">
        <f>SUMPRODUCT(N(Tabela17[Código]=Tabela2[[#This Row],[Ativo]]),Tabela17[Fechamento])</f>
        <v>0</v>
      </c>
      <c r="M209" s="3"/>
    </row>
    <row r="210" spans="1:13">
      <c r="A210" s="4" t="s">
        <v>30</v>
      </c>
      <c r="B210" s="4">
        <v>2012</v>
      </c>
      <c r="C210" s="6">
        <v>4271685000</v>
      </c>
      <c r="D210" s="8">
        <f>SUMPRODUCT(N(Tabela3[PAPEL]=Tabela2[[#This Row],[Ativo]]),Tabela3[Total Ações])</f>
        <v>962672385</v>
      </c>
      <c r="E210" s="66">
        <f>(Tabela2[[#This Row],[Lucro Líquido]])/Tabela2[[#This Row],[Total Ações]]</f>
        <v>4.4373195560190499</v>
      </c>
      <c r="F210" s="66">
        <v>1.4286055</v>
      </c>
      <c r="G210" s="46">
        <f>IF(AND(Tabela2[[#This Row],[Dividendo / Ação]]&gt;0,Tabela2[[#This Row],[Lucro por ação]]&gt;0),Tabela2[[#This Row],[Dividendo / Ação]]/Tabela2[[#This Row],[Lucro por ação]],"")</f>
        <v>0.32195235929360838</v>
      </c>
      <c r="H210" s="6">
        <f>MAX(Tabela2[[#This Row],[Cotação 1]],Tabela2[[#This Row],[Cotação 2]])</f>
        <v>13.3</v>
      </c>
      <c r="I210" s="19">
        <f>IF(Tabela2[[#This Row],[Dividendo / Ação]]&gt;0,Tabela2[[#This Row],[Dividendo / Ação]]/Tabela2[[#This Row],[Cotação]],"")</f>
        <v>0.10741394736842104</v>
      </c>
      <c r="J210" s="61">
        <f>SUMPRODUCT(N(Tabela1[Código]=Tabela2[[#This Row],[Ativo]]),Tabela1[Fechamento])</f>
        <v>13.3</v>
      </c>
      <c r="K210" s="61">
        <f>SUMPRODUCT(N(Tabela17[Código]=Tabela2[[#This Row],[Ativo]]),Tabela17[Fechamento])</f>
        <v>0</v>
      </c>
      <c r="M210" s="3"/>
    </row>
    <row r="211" spans="1:13">
      <c r="A211" s="4" t="s">
        <v>30</v>
      </c>
      <c r="B211" s="4">
        <v>2011</v>
      </c>
      <c r="C211" s="5">
        <v>2415450000</v>
      </c>
      <c r="D211" s="8">
        <f>SUMPRODUCT(N(Tabela3[PAPEL]=Tabela2[[#This Row],[Ativo]]),Tabela3[Total Ações])</f>
        <v>962672385</v>
      </c>
      <c r="E211" s="66">
        <f>(Tabela2[[#This Row],[Lucro Líquido]])/Tabela2[[#This Row],[Total Ações]]</f>
        <v>2.5091090568677732</v>
      </c>
      <c r="F211" s="66">
        <v>1.9</v>
      </c>
      <c r="G211" s="46">
        <f>IF(AND(Tabela2[[#This Row],[Dividendo / Ação]]&gt;0,Tabela2[[#This Row],[Lucro por ação]]&gt;0),Tabela2[[#This Row],[Dividendo / Ação]]/Tabela2[[#This Row],[Lucro por ação]],"")</f>
        <v>0.75724089983232934</v>
      </c>
      <c r="H211" s="6">
        <f>MAX(Tabela2[[#This Row],[Cotação 1]],Tabela2[[#This Row],[Cotação 2]])</f>
        <v>13.3</v>
      </c>
      <c r="I211" s="19">
        <f>IF(Tabela2[[#This Row],[Dividendo / Ação]]&gt;0,Tabela2[[#This Row],[Dividendo / Ação]]/Tabela2[[#This Row],[Cotação]],"")</f>
        <v>0.14285714285714285</v>
      </c>
      <c r="J211" s="61">
        <f>SUMPRODUCT(N(Tabela1[Código]=Tabela2[[#This Row],[Ativo]]),Tabela1[Fechamento])</f>
        <v>13.3</v>
      </c>
      <c r="K211" s="61">
        <f>SUMPRODUCT(N(Tabela17[Código]=Tabela2[[#This Row],[Ativo]]),Tabela17[Fechamento])</f>
        <v>0</v>
      </c>
      <c r="M211" s="3"/>
    </row>
    <row r="212" spans="1:13">
      <c r="A212" s="4" t="s">
        <v>30</v>
      </c>
      <c r="B212" s="4">
        <v>2010</v>
      </c>
      <c r="C212" s="5">
        <v>2257976000</v>
      </c>
      <c r="D212" s="8">
        <f>SUMPRODUCT(N(Tabela3[PAPEL]=Tabela2[[#This Row],[Ativo]]),Tabela3[Total Ações])</f>
        <v>962672385</v>
      </c>
      <c r="E212" s="66">
        <f>(Tabela2[[#This Row],[Lucro Líquido]])/Tabela2[[#This Row],[Total Ações]]</f>
        <v>2.3455290036184011</v>
      </c>
      <c r="F212" s="66">
        <v>1.75</v>
      </c>
      <c r="G212" s="46">
        <f>IF(AND(Tabela2[[#This Row],[Dividendo / Ação]]&gt;0,Tabela2[[#This Row],[Lucro por ação]]&gt;0),Tabela2[[#This Row],[Dividendo / Ação]]/Tabela2[[#This Row],[Lucro por ação]],"")</f>
        <v>0.74610034550854398</v>
      </c>
      <c r="H212" s="6">
        <f>MAX(Tabela2[[#This Row],[Cotação 1]],Tabela2[[#This Row],[Cotação 2]])</f>
        <v>13.3</v>
      </c>
      <c r="I212" s="19">
        <f>IF(Tabela2[[#This Row],[Dividendo / Ação]]&gt;0,Tabela2[[#This Row],[Dividendo / Ação]]/Tabela2[[#This Row],[Cotação]],"")</f>
        <v>0.13157894736842105</v>
      </c>
      <c r="J212" s="61">
        <f>SUMPRODUCT(N(Tabela1[Código]=Tabela2[[#This Row],[Ativo]]),Tabela1[Fechamento])</f>
        <v>13.3</v>
      </c>
      <c r="K212" s="61">
        <f>SUMPRODUCT(N(Tabela17[Código]=Tabela2[[#This Row],[Ativo]]),Tabela17[Fechamento])</f>
        <v>0</v>
      </c>
      <c r="M212" s="3"/>
    </row>
    <row r="213" spans="1:13">
      <c r="A213" s="4" t="s">
        <v>30</v>
      </c>
      <c r="B213" s="4">
        <v>2009</v>
      </c>
      <c r="C213" s="5">
        <v>1861403000</v>
      </c>
      <c r="D213" s="8">
        <f>SUMPRODUCT(N(Tabela3[PAPEL]=Tabela2[[#This Row],[Ativo]]),Tabela3[Total Ações])</f>
        <v>962672385</v>
      </c>
      <c r="E213" s="66">
        <f>(Tabela2[[#This Row],[Lucro Líquido]])/Tabela2[[#This Row],[Total Ações]]</f>
        <v>1.9335788883151561</v>
      </c>
      <c r="F213" s="66">
        <v>1.5</v>
      </c>
      <c r="G213" s="46">
        <f>IF(AND(Tabela2[[#This Row],[Dividendo / Ação]]&gt;0,Tabela2[[#This Row],[Lucro por ação]]&gt;0),Tabela2[[#This Row],[Dividendo / Ação]]/Tabela2[[#This Row],[Lucro por ação]],"")</f>
        <v>0.77576353830954392</v>
      </c>
      <c r="H213" s="6">
        <f>MAX(Tabela2[[#This Row],[Cotação 1]],Tabela2[[#This Row],[Cotação 2]])</f>
        <v>13.3</v>
      </c>
      <c r="I213" s="19">
        <f>IF(Tabela2[[#This Row],[Dividendo / Ação]]&gt;0,Tabela2[[#This Row],[Dividendo / Ação]]/Tabela2[[#This Row],[Cotação]],"")</f>
        <v>0.11278195488721804</v>
      </c>
      <c r="J213" s="61">
        <f>SUMPRODUCT(N(Tabela1[Código]=Tabela2[[#This Row],[Ativo]]),Tabela1[Fechamento])</f>
        <v>13.3</v>
      </c>
      <c r="K213" s="61">
        <f>SUMPRODUCT(N(Tabela17[Código]=Tabela2[[#This Row],[Ativo]]),Tabela17[Fechamento])</f>
        <v>0</v>
      </c>
      <c r="M213" s="3"/>
    </row>
    <row r="214" spans="1:13">
      <c r="A214" s="4" t="s">
        <v>101</v>
      </c>
      <c r="B214" s="4">
        <v>2012</v>
      </c>
      <c r="C214" s="6">
        <v>400000153.68000001</v>
      </c>
      <c r="D214" s="8">
        <f>SUMPRODUCT(N(Tabela3[PAPEL]=Tabela2[[#This Row],[Ativo]]),Tabela3[Total Ações])</f>
        <v>77855299</v>
      </c>
      <c r="E214" s="66">
        <f>(Tabela2[[#This Row],[Lucro Líquido]])/Tabela2[[#This Row],[Total Ações]]</f>
        <v>5.1377383276120998</v>
      </c>
      <c r="F214" s="66">
        <v>2.7486247275000002</v>
      </c>
      <c r="G214" s="46">
        <f>IF(AND(Tabela2[[#This Row],[Dividendo / Ação]]&gt;0,Tabela2[[#This Row],[Lucro por ação]]&gt;0),Tabela2[[#This Row],[Dividendo / Ação]]/Tabela2[[#This Row],[Lucro por ação]],"")</f>
        <v>0.53498729445364657</v>
      </c>
      <c r="H214" s="6">
        <f>MAX(Tabela2[[#This Row],[Cotação 1]],Tabela2[[#This Row],[Cotação 2]])</f>
        <v>48.35</v>
      </c>
      <c r="I214" s="19">
        <f>IF(Tabela2[[#This Row],[Dividendo / Ação]]&gt;0,Tabela2[[#This Row],[Dividendo / Ação]]/Tabela2[[#This Row],[Cotação]],"")</f>
        <v>5.6848494881075497E-2</v>
      </c>
      <c r="J214" s="61">
        <f>SUMPRODUCT(N(Tabela1[Código]=Tabela2[[#This Row],[Ativo]]),Tabela1[Fechamento])</f>
        <v>48.35</v>
      </c>
      <c r="K214" s="61">
        <f>SUMPRODUCT(N(Tabela17[Código]=Tabela2[[#This Row],[Ativo]]),Tabela17[Fechamento])</f>
        <v>0</v>
      </c>
      <c r="M214" s="3"/>
    </row>
    <row r="215" spans="1:13">
      <c r="A215" s="4" t="s">
        <v>101</v>
      </c>
      <c r="B215" s="3">
        <v>2011</v>
      </c>
      <c r="C215" s="5">
        <v>471181647.69999999</v>
      </c>
      <c r="D215" s="62">
        <f>SUMPRODUCT(N(Tabela3[PAPEL]=Tabela2[[#This Row],[Ativo]]),Tabela3[Total Ações])</f>
        <v>77855299</v>
      </c>
      <c r="E215" s="65">
        <f>(Tabela2[[#This Row],[Lucro Líquido]])/Tabela2[[#This Row],[Total Ações]]</f>
        <v>6.0520177014540781</v>
      </c>
      <c r="F215" s="65">
        <v>3.5452297189999999</v>
      </c>
      <c r="G215" s="22">
        <f>IF(AND(Tabela2[[#This Row],[Dividendo / Ação]]&gt;0,Tabela2[[#This Row],[Lucro por ação]]&gt;0),Tabela2[[#This Row],[Dividendo / Ação]]/Tabela2[[#This Row],[Lucro por ação]],"")</f>
        <v>0.58579301877260059</v>
      </c>
      <c r="H215" s="5">
        <f>MAX(Tabela2[[#This Row],[Cotação 1]],Tabela2[[#This Row],[Cotação 2]])</f>
        <v>48.35</v>
      </c>
      <c r="I215" s="18">
        <f>IF(Tabela2[[#This Row],[Dividendo / Ação]]&gt;0,Tabela2[[#This Row],[Dividendo / Ação]]/Tabela2[[#This Row],[Cotação]],"")</f>
        <v>7.3324296153050667E-2</v>
      </c>
      <c r="J215" s="60">
        <f>SUMPRODUCT(N(Tabela1[Código]=Tabela2[[#This Row],[Ativo]]),Tabela1[Fechamento])</f>
        <v>48.35</v>
      </c>
      <c r="K215" s="60">
        <f>SUMPRODUCT(N(Tabela17[Código]=Tabela2[[#This Row],[Ativo]]),Tabela17[Fechamento])</f>
        <v>0</v>
      </c>
      <c r="L215" s="68"/>
      <c r="M215" s="3"/>
    </row>
    <row r="216" spans="1:13">
      <c r="A216" s="4" t="s">
        <v>101</v>
      </c>
      <c r="B216" s="3">
        <v>2010</v>
      </c>
      <c r="C216" s="5">
        <v>458054165.95999998</v>
      </c>
      <c r="D216" s="62">
        <f>SUMPRODUCT(N(Tabela3[PAPEL]=Tabela2[[#This Row],[Ativo]]),Tabela3[Total Ações])</f>
        <v>77855299</v>
      </c>
      <c r="E216" s="65">
        <f>(Tabela2[[#This Row],[Lucro Líquido]])/Tabela2[[#This Row],[Total Ações]]</f>
        <v>5.8834038510339548</v>
      </c>
      <c r="F216" s="65">
        <v>4.272592929</v>
      </c>
      <c r="G216" s="22">
        <f>IF(AND(Tabela2[[#This Row],[Dividendo / Ação]]&gt;0,Tabela2[[#This Row],[Lucro por ação]]&gt;0),Tabela2[[#This Row],[Dividendo / Ação]]/Tabela2[[#This Row],[Lucro por ação]],"")</f>
        <v>0.72621105692908205</v>
      </c>
      <c r="H216" s="5">
        <f>MAX(Tabela2[[#This Row],[Cotação 1]],Tabela2[[#This Row],[Cotação 2]])</f>
        <v>48.35</v>
      </c>
      <c r="I216" s="18">
        <f>IF(Tabela2[[#This Row],[Dividendo / Ação]]&gt;0,Tabela2[[#This Row],[Dividendo / Ação]]/Tabela2[[#This Row],[Cotação]],"")</f>
        <v>8.8368002668045495E-2</v>
      </c>
      <c r="J216" s="60">
        <f>SUMPRODUCT(N(Tabela1[Código]=Tabela2[[#This Row],[Ativo]]),Tabela1[Fechamento])</f>
        <v>48.35</v>
      </c>
      <c r="K216" s="60">
        <f>SUMPRODUCT(N(Tabela17[Código]=Tabela2[[#This Row],[Ativo]]),Tabela17[Fechamento])</f>
        <v>0</v>
      </c>
      <c r="M216" s="3"/>
    </row>
    <row r="217" spans="1:13">
      <c r="A217" s="4" t="s">
        <v>86</v>
      </c>
      <c r="B217" s="4">
        <v>2012</v>
      </c>
      <c r="C217" s="6">
        <v>400000153.68000001</v>
      </c>
      <c r="D217" s="8">
        <f>SUMPRODUCT(N(Tabela3[PAPEL]=Tabela2[[#This Row],[Ativo]]),Tabela3[Total Ações])</f>
        <v>77855299</v>
      </c>
      <c r="E217" s="66">
        <f>(Tabela2[[#This Row],[Lucro Líquido]])/Tabela2[[#This Row],[Total Ações]]</f>
        <v>5.1377383276120998</v>
      </c>
      <c r="F217" s="66">
        <v>2.7486247275000002</v>
      </c>
      <c r="G217" s="46">
        <f>IF(AND(Tabela2[[#This Row],[Dividendo / Ação]]&gt;0,Tabela2[[#This Row],[Lucro por ação]]&gt;0),Tabela2[[#This Row],[Dividendo / Ação]]/Tabela2[[#This Row],[Lucro por ação]],"")</f>
        <v>0.53498729445364657</v>
      </c>
      <c r="H217" s="6">
        <f>MAX(Tabela2[[#This Row],[Cotação 1]],Tabela2[[#This Row],[Cotação 2]])</f>
        <v>48.1</v>
      </c>
      <c r="I217" s="19">
        <f>IF(Tabela2[[#This Row],[Dividendo / Ação]]&gt;0,Tabela2[[#This Row],[Dividendo / Ação]]/Tabela2[[#This Row],[Cotação]],"")</f>
        <v>5.7143965228690231E-2</v>
      </c>
      <c r="J217" s="61">
        <f>SUMPRODUCT(N(Tabela1[Código]=Tabela2[[#This Row],[Ativo]]),Tabela1[Fechamento])</f>
        <v>48.1</v>
      </c>
      <c r="K217" s="61">
        <f>SUMPRODUCT(N(Tabela17[Código]=Tabela2[[#This Row],[Ativo]]),Tabela17[Fechamento])</f>
        <v>0</v>
      </c>
      <c r="M217" s="3"/>
    </row>
    <row r="218" spans="1:13">
      <c r="A218" s="4" t="s">
        <v>86</v>
      </c>
      <c r="B218" s="4">
        <v>2011</v>
      </c>
      <c r="C218" s="5">
        <v>471181647.69999999</v>
      </c>
      <c r="D218" s="8">
        <f>SUMPRODUCT(N(Tabela3[PAPEL]=Tabela2[[#This Row],[Ativo]]),Tabela3[Total Ações])</f>
        <v>77855299</v>
      </c>
      <c r="E218" s="66">
        <f>(Tabela2[[#This Row],[Lucro Líquido]])/Tabela2[[#This Row],[Total Ações]]</f>
        <v>6.0520177014540781</v>
      </c>
      <c r="F218" s="65">
        <v>3.5452297189999999</v>
      </c>
      <c r="G218" s="46">
        <f>IF(AND(Tabela2[[#This Row],[Dividendo / Ação]]&gt;0,Tabela2[[#This Row],[Lucro por ação]]&gt;0),Tabela2[[#This Row],[Dividendo / Ação]]/Tabela2[[#This Row],[Lucro por ação]],"")</f>
        <v>0.58579301877260059</v>
      </c>
      <c r="H218" s="6">
        <f>MAX(Tabela2[[#This Row],[Cotação 1]],Tabela2[[#This Row],[Cotação 2]])</f>
        <v>48.1</v>
      </c>
      <c r="I218" s="19">
        <f>IF(Tabela2[[#This Row],[Dividendo / Ação]]&gt;0,Tabela2[[#This Row],[Dividendo / Ação]]/Tabela2[[#This Row],[Cotação]],"")</f>
        <v>7.370539956340956E-2</v>
      </c>
      <c r="J218" s="61">
        <f>SUMPRODUCT(N(Tabela1[Código]=Tabela2[[#This Row],[Ativo]]),Tabela1[Fechamento])</f>
        <v>48.1</v>
      </c>
      <c r="K218" s="61">
        <f>SUMPRODUCT(N(Tabela17[Código]=Tabela2[[#This Row],[Ativo]]),Tabela17[Fechamento])</f>
        <v>0</v>
      </c>
      <c r="M218" s="3"/>
    </row>
    <row r="219" spans="1:13">
      <c r="A219" s="4" t="s">
        <v>86</v>
      </c>
      <c r="B219" s="4">
        <v>2010</v>
      </c>
      <c r="C219" s="5">
        <v>458054165.95999998</v>
      </c>
      <c r="D219" s="8">
        <f>SUMPRODUCT(N(Tabela3[PAPEL]=Tabela2[[#This Row],[Ativo]]),Tabela3[Total Ações])</f>
        <v>77855299</v>
      </c>
      <c r="E219" s="66">
        <f>(Tabela2[[#This Row],[Lucro Líquido]])/Tabela2[[#This Row],[Total Ações]]</f>
        <v>5.8834038510339548</v>
      </c>
      <c r="F219" s="65">
        <v>4.272592929</v>
      </c>
      <c r="G219" s="46">
        <f>IF(AND(Tabela2[[#This Row],[Dividendo / Ação]]&gt;0,Tabela2[[#This Row],[Lucro por ação]]&gt;0),Tabela2[[#This Row],[Dividendo / Ação]]/Tabela2[[#This Row],[Lucro por ação]],"")</f>
        <v>0.72621105692908205</v>
      </c>
      <c r="H219" s="6">
        <f>MAX(Tabela2[[#This Row],[Cotação 1]],Tabela2[[#This Row],[Cotação 2]])</f>
        <v>48.1</v>
      </c>
      <c r="I219" s="19">
        <f>IF(Tabela2[[#This Row],[Dividendo / Ação]]&gt;0,Tabela2[[#This Row],[Dividendo / Ação]]/Tabela2[[#This Row],[Cotação]],"")</f>
        <v>8.8827295821205812E-2</v>
      </c>
      <c r="J219" s="61">
        <f>SUMPRODUCT(N(Tabela1[Código]=Tabela2[[#This Row],[Ativo]]),Tabela1[Fechamento])</f>
        <v>48.1</v>
      </c>
      <c r="K219" s="61">
        <f>SUMPRODUCT(N(Tabela17[Código]=Tabela2[[#This Row],[Ativo]]),Tabela17[Fechamento])</f>
        <v>0</v>
      </c>
      <c r="M219" s="3"/>
    </row>
    <row r="220" spans="1:13">
      <c r="A220" s="4" t="s">
        <v>32</v>
      </c>
      <c r="B220" s="4">
        <v>2012</v>
      </c>
      <c r="C220" s="6">
        <v>1225923257.8099999</v>
      </c>
      <c r="D220" s="8">
        <f>SUMPRODUCT(N(Tabela3[PAPEL]=Tabela2[[#This Row],[Ativo]]),Tabela3[Total Ações])</f>
        <v>962274260</v>
      </c>
      <c r="E220" s="66">
        <f>(Tabela2[[#This Row],[Lucro Líquido]])/Tabela2[[#This Row],[Total Ações]]</f>
        <v>1.2739852958448665</v>
      </c>
      <c r="F220" s="66">
        <v>1.139118233</v>
      </c>
      <c r="G220" s="46">
        <f>IF(AND(Tabela2[[#This Row],[Dividendo / Ação]]&gt;0,Tabela2[[#This Row],[Lucro por ação]]&gt;0),Tabela2[[#This Row],[Dividendo / Ação]]/Tabela2[[#This Row],[Lucro por ação]],"")</f>
        <v>0.89413766133350314</v>
      </c>
      <c r="H220" s="6">
        <f>MAX(Tabela2[[#This Row],[Cotação 1]],Tabela2[[#This Row],[Cotação 2]])</f>
        <v>18.73</v>
      </c>
      <c r="I220" s="19">
        <f>IF(Tabela2[[#This Row],[Dividendo / Ação]]&gt;0,Tabela2[[#This Row],[Dividendo / Ação]]/Tabela2[[#This Row],[Cotação]],"")</f>
        <v>6.0817844794447413E-2</v>
      </c>
      <c r="J220" s="61">
        <f>SUMPRODUCT(N(Tabela1[Código]=Tabela2[[#This Row],[Ativo]]),Tabela1[Fechamento])</f>
        <v>18.73</v>
      </c>
      <c r="K220" s="61">
        <f>SUMPRODUCT(N(Tabela17[Código]=Tabela2[[#This Row],[Ativo]]),Tabela17[Fechamento])</f>
        <v>0</v>
      </c>
      <c r="M220" s="3"/>
    </row>
    <row r="221" spans="1:13">
      <c r="A221" s="4" t="s">
        <v>32</v>
      </c>
      <c r="B221" s="4">
        <v>2011</v>
      </c>
      <c r="C221" s="6">
        <v>1572292596.6700001</v>
      </c>
      <c r="D221" s="8">
        <f>SUMPRODUCT(N(Tabela3[PAPEL]=Tabela2[[#This Row],[Ativo]]),Tabela3[Total Ações])</f>
        <v>962274260</v>
      </c>
      <c r="E221" s="66">
        <f>(Tabela2[[#This Row],[Lucro Líquido]])/Tabela2[[#This Row],[Total Ações]]</f>
        <v>1.6339339645954991</v>
      </c>
      <c r="F221" s="66">
        <v>1.5653283019999999</v>
      </c>
      <c r="G221" s="46">
        <f>IF(AND(Tabela2[[#This Row],[Dividendo / Ação]]&gt;0,Tabela2[[#This Row],[Lucro por ação]]&gt;0),Tabela2[[#This Row],[Dividendo / Ação]]/Tabela2[[#This Row],[Lucro por ação]],"")</f>
        <v>0.9580119735056225</v>
      </c>
      <c r="H221" s="6">
        <f>MAX(Tabela2[[#This Row],[Cotação 1]],Tabela2[[#This Row],[Cotação 2]])</f>
        <v>18.73</v>
      </c>
      <c r="I221" s="19">
        <f>IF(Tabela2[[#This Row],[Dividendo / Ação]]&gt;0,Tabela2[[#This Row],[Dividendo / Ação]]/Tabela2[[#This Row],[Cotação]],"")</f>
        <v>8.3573320982381197E-2</v>
      </c>
      <c r="J221" s="61">
        <f>SUMPRODUCT(N(Tabela1[Código]=Tabela2[[#This Row],[Ativo]]),Tabela1[Fechamento])</f>
        <v>18.73</v>
      </c>
      <c r="K221" s="61">
        <f>SUMPRODUCT(N(Tabela17[Código]=Tabela2[[#This Row],[Ativo]]),Tabela17[Fechamento])</f>
        <v>0</v>
      </c>
      <c r="M221" s="3"/>
    </row>
    <row r="222" spans="1:13">
      <c r="A222" s="4" t="s">
        <v>32</v>
      </c>
      <c r="B222" s="4">
        <v>2010</v>
      </c>
      <c r="C222" s="6">
        <v>1595150826.9300001</v>
      </c>
      <c r="D222" s="8">
        <f>SUMPRODUCT(N(Tabela3[PAPEL]=Tabela2[[#This Row],[Ativo]]),Tabela3[Total Ações])</f>
        <v>962274260</v>
      </c>
      <c r="E222" s="66">
        <f>(Tabela2[[#This Row],[Lucro Líquido]])/Tabela2[[#This Row],[Total Ações]]</f>
        <v>1.6576883464907397</v>
      </c>
      <c r="F222" s="66">
        <v>2.6197703689999998</v>
      </c>
      <c r="G222" s="46">
        <f>IF(AND(Tabela2[[#This Row],[Dividendo / Ação]]&gt;0,Tabela2[[#This Row],[Lucro por ação]]&gt;0),Tabela2[[#This Row],[Dividendo / Ação]]/Tabela2[[#This Row],[Lucro por ação]],"")</f>
        <v>1.580375692780823</v>
      </c>
      <c r="H222" s="6">
        <f>MAX(Tabela2[[#This Row],[Cotação 1]],Tabela2[[#This Row],[Cotação 2]])</f>
        <v>18.73</v>
      </c>
      <c r="I222" s="19">
        <f>IF(Tabela2[[#This Row],[Dividendo / Ação]]&gt;0,Tabela2[[#This Row],[Dividendo / Ação]]/Tabela2[[#This Row],[Cotação]],"")</f>
        <v>0.13987028131340096</v>
      </c>
      <c r="J222" s="61">
        <f>SUMPRODUCT(N(Tabela1[Código]=Tabela2[[#This Row],[Ativo]]),Tabela1[Fechamento])</f>
        <v>18.73</v>
      </c>
      <c r="K222" s="61">
        <f>SUMPRODUCT(N(Tabela17[Código]=Tabela2[[#This Row],[Ativo]]),Tabela17[Fechamento])</f>
        <v>0</v>
      </c>
      <c r="M222" s="3"/>
    </row>
    <row r="223" spans="1:13">
      <c r="A223" s="4" t="s">
        <v>32</v>
      </c>
      <c r="B223" s="4">
        <v>2009</v>
      </c>
      <c r="C223" s="6">
        <v>1649898817.26</v>
      </c>
      <c r="D223" s="8">
        <f>SUMPRODUCT(N(Tabela3[PAPEL]=Tabela2[[#This Row],[Ativo]]),Tabela3[Total Ações])</f>
        <v>962274260</v>
      </c>
      <c r="E223" s="66">
        <f>(Tabela2[[#This Row],[Lucro Líquido]])/Tabela2[[#This Row],[Total Ações]]</f>
        <v>1.7145827191304068</v>
      </c>
      <c r="F223" s="66">
        <v>2.5560733889999998</v>
      </c>
      <c r="G223" s="46">
        <f>IF(AND(Tabela2[[#This Row],[Dividendo / Ação]]&gt;0,Tabela2[[#This Row],[Lucro por ação]]&gt;0),Tabela2[[#This Row],[Dividendo / Ação]]/Tabela2[[#This Row],[Lucro por ação]],"")</f>
        <v>1.4907845276175278</v>
      </c>
      <c r="H223" s="6">
        <f>MAX(Tabela2[[#This Row],[Cotação 1]],Tabela2[[#This Row],[Cotação 2]])</f>
        <v>18.73</v>
      </c>
      <c r="I223" s="19">
        <f>IF(Tabela2[[#This Row],[Dividendo / Ação]]&gt;0,Tabela2[[#This Row],[Dividendo / Ação]]/Tabela2[[#This Row],[Cotação]],"")</f>
        <v>0.13646948152696209</v>
      </c>
      <c r="J223" s="61">
        <f>SUMPRODUCT(N(Tabela1[Código]=Tabela2[[#This Row],[Ativo]]),Tabela1[Fechamento])</f>
        <v>18.73</v>
      </c>
      <c r="K223" s="61">
        <f>SUMPRODUCT(N(Tabela17[Código]=Tabela2[[#This Row],[Ativo]]),Tabela17[Fechamento])</f>
        <v>0</v>
      </c>
      <c r="M223" s="3"/>
    </row>
    <row r="224" spans="1:13">
      <c r="A224" s="4" t="s">
        <v>34</v>
      </c>
      <c r="B224" s="4">
        <v>2012</v>
      </c>
      <c r="C224" s="6">
        <v>700688167.34000003</v>
      </c>
      <c r="D224" s="8">
        <f>SUMPRODUCT(N(Tabela3[PAPEL]=Tabela2[[#This Row],[Ativo]]),Tabela3[Total Ações])</f>
        <v>273655375</v>
      </c>
      <c r="E224" s="66">
        <f>(Tabela2[[#This Row],[Lucro Líquido]])/Tabela2[[#This Row],[Total Ações]]</f>
        <v>2.5604765385660708</v>
      </c>
      <c r="F224" s="66">
        <v>0.93527000000000005</v>
      </c>
      <c r="G224" s="46">
        <f>IF(AND(Tabela2[[#This Row],[Dividendo / Ação]]&gt;0,Tabela2[[#This Row],[Lucro por ação]]&gt;0),Tabela2[[#This Row],[Dividendo / Ação]]/Tabela2[[#This Row],[Lucro por ação]],"")</f>
        <v>0.36527184917061339</v>
      </c>
      <c r="H224" s="6">
        <f>MAX(Tabela2[[#This Row],[Cotação 1]],Tabela2[[#This Row],[Cotação 2]])</f>
        <v>22.2</v>
      </c>
      <c r="I224" s="19">
        <f>IF(Tabela2[[#This Row],[Dividendo / Ação]]&gt;0,Tabela2[[#This Row],[Dividendo / Ação]]/Tabela2[[#This Row],[Cotação]],"")</f>
        <v>4.2129279279279286E-2</v>
      </c>
      <c r="J224" s="61">
        <f>SUMPRODUCT(N(Tabela1[Código]=Tabela2[[#This Row],[Ativo]]),Tabela1[Fechamento])</f>
        <v>22.2</v>
      </c>
      <c r="K224" s="61">
        <f>SUMPRODUCT(N(Tabela17[Código]=Tabela2[[#This Row],[Ativo]]),Tabela17[Fechamento])</f>
        <v>0</v>
      </c>
      <c r="M224" s="3"/>
    </row>
    <row r="225" spans="1:13">
      <c r="A225" s="4" t="s">
        <v>34</v>
      </c>
      <c r="B225" s="3">
        <v>2011</v>
      </c>
      <c r="C225" s="5">
        <v>1203117000</v>
      </c>
      <c r="D225" s="62">
        <f>SUMPRODUCT(N(Tabela3[PAPEL]=Tabela2[[#This Row],[Ativo]]),Tabela3[Total Ações])</f>
        <v>273655375</v>
      </c>
      <c r="E225" s="65">
        <f>(Tabela2[[#This Row],[Lucro Líquido]])/Tabela2[[#This Row],[Total Ações]]</f>
        <v>4.396467637443628</v>
      </c>
      <c r="F225" s="65">
        <v>1.4683299999999999</v>
      </c>
      <c r="G225" s="22">
        <f>IF(AND(Tabela2[[#This Row],[Dividendo / Ação]]&gt;0,Tabela2[[#This Row],[Lucro por ação]]&gt;0),Tabela2[[#This Row],[Dividendo / Ação]]/Tabela2[[#This Row],[Lucro por ação]],"")</f>
        <v>0.33397948559761848</v>
      </c>
      <c r="H225" s="5">
        <f>MAX(Tabela2[[#This Row],[Cotação 1]],Tabela2[[#This Row],[Cotação 2]])</f>
        <v>22.2</v>
      </c>
      <c r="I225" s="18">
        <f>IF(Tabela2[[#This Row],[Dividendo / Ação]]&gt;0,Tabela2[[#This Row],[Dividendo / Ação]]/Tabela2[[#This Row],[Cotação]],"")</f>
        <v>6.6140990990990994E-2</v>
      </c>
      <c r="J225" s="60">
        <f>SUMPRODUCT(N(Tabela1[Código]=Tabela2[[#This Row],[Ativo]]),Tabela1[Fechamento])</f>
        <v>22.2</v>
      </c>
      <c r="K225" s="60">
        <f>SUMPRODUCT(N(Tabela17[Código]=Tabela2[[#This Row],[Ativo]]),Tabela17[Fechamento])</f>
        <v>0</v>
      </c>
      <c r="M225" s="3"/>
    </row>
    <row r="226" spans="1:13">
      <c r="A226" s="4" t="s">
        <v>34</v>
      </c>
      <c r="B226" s="3">
        <v>2010</v>
      </c>
      <c r="C226" s="5">
        <v>1041534000</v>
      </c>
      <c r="D226" s="62">
        <f>SUMPRODUCT(N(Tabela3[PAPEL]=Tabela2[[#This Row],[Ativo]]),Tabela3[Total Ações])</f>
        <v>273655375</v>
      </c>
      <c r="E226" s="65">
        <f>(Tabela2[[#This Row],[Lucro Líquido]])/Tabela2[[#This Row],[Total Ações]]</f>
        <v>3.8060060029882474</v>
      </c>
      <c r="F226" s="65">
        <v>0.98026999999999997</v>
      </c>
      <c r="G226" s="22">
        <f>IF(AND(Tabela2[[#This Row],[Dividendo / Ação]]&gt;0,Tabela2[[#This Row],[Lucro por ação]]&gt;0),Tabela2[[#This Row],[Dividendo / Ação]]/Tabela2[[#This Row],[Lucro por ação]],"")</f>
        <v>0.25755871095062666</v>
      </c>
      <c r="H226" s="5">
        <f>MAX(Tabela2[[#This Row],[Cotação 1]],Tabela2[[#This Row],[Cotação 2]])</f>
        <v>22.2</v>
      </c>
      <c r="I226" s="18">
        <f>IF(Tabela2[[#This Row],[Dividendo / Ação]]&gt;0,Tabela2[[#This Row],[Dividendo / Ação]]/Tabela2[[#This Row],[Cotação]],"")</f>
        <v>4.4156306306306306E-2</v>
      </c>
      <c r="J226" s="60">
        <f>SUMPRODUCT(N(Tabela1[Código]=Tabela2[[#This Row],[Ativo]]),Tabela1[Fechamento])</f>
        <v>22.2</v>
      </c>
      <c r="K226" s="60">
        <f>SUMPRODUCT(N(Tabela17[Código]=Tabela2[[#This Row],[Ativo]]),Tabela17[Fechamento])</f>
        <v>0</v>
      </c>
      <c r="M226" s="3"/>
    </row>
    <row r="227" spans="1:13">
      <c r="A227" s="4" t="s">
        <v>34</v>
      </c>
      <c r="B227" s="3">
        <v>2009</v>
      </c>
      <c r="C227" s="5">
        <v>900821000</v>
      </c>
      <c r="D227" s="62">
        <f>SUMPRODUCT(N(Tabela3[PAPEL]=Tabela2[[#This Row],[Ativo]]),Tabela3[Total Ações])</f>
        <v>273655375</v>
      </c>
      <c r="E227" s="65">
        <f>(Tabela2[[#This Row],[Lucro Líquido]])/Tabela2[[#This Row],[Total Ações]]</f>
        <v>3.2918081729620696</v>
      </c>
      <c r="F227" s="65">
        <v>0.86965000000000003</v>
      </c>
      <c r="G227" s="22">
        <f>IF(AND(Tabela2[[#This Row],[Dividendo / Ação]]&gt;0,Tabela2[[#This Row],[Lucro por ação]]&gt;0),Tabela2[[#This Row],[Dividendo / Ação]]/Tabela2[[#This Row],[Lucro por ação]],"")</f>
        <v>0.26418611119051399</v>
      </c>
      <c r="H227" s="5">
        <f>MAX(Tabela2[[#This Row],[Cotação 1]],Tabela2[[#This Row],[Cotação 2]])</f>
        <v>22.2</v>
      </c>
      <c r="I227" s="18">
        <f>IF(Tabela2[[#This Row],[Dividendo / Ação]]&gt;0,Tabela2[[#This Row],[Dividendo / Ação]]/Tabela2[[#This Row],[Cotação]],"")</f>
        <v>3.9173423423423427E-2</v>
      </c>
      <c r="J227" s="60">
        <f>SUMPRODUCT(N(Tabela1[Código]=Tabela2[[#This Row],[Ativo]]),Tabela1[Fechamento])</f>
        <v>22.2</v>
      </c>
      <c r="K227" s="60">
        <f>SUMPRODUCT(N(Tabela17[Código]=Tabela2[[#This Row],[Ativo]]),Tabela17[Fechamento])</f>
        <v>0</v>
      </c>
      <c r="M227" s="3"/>
    </row>
    <row r="228" spans="1:13">
      <c r="A228" s="4" t="s">
        <v>107</v>
      </c>
      <c r="B228" s="4">
        <v>2012</v>
      </c>
      <c r="C228" s="6">
        <v>700688167.34000003</v>
      </c>
      <c r="D228" s="8">
        <f>SUMPRODUCT(N(Tabela3[PAPEL]=Tabela2[[#This Row],[Ativo]]),Tabela3[Total Ações])</f>
        <v>273655375</v>
      </c>
      <c r="E228" s="66">
        <f>(Tabela2[[#This Row],[Lucro Líquido]])/Tabela2[[#This Row],[Total Ações]]</f>
        <v>2.5604765385660708</v>
      </c>
      <c r="F228" s="66">
        <v>2.5250699999999999</v>
      </c>
      <c r="G228" s="46">
        <f>IF(AND(Tabela2[[#This Row],[Dividendo / Ação]]&gt;0,Tabela2[[#This Row],[Lucro por ação]]&gt;0),Tabela2[[#This Row],[Dividendo / Ação]]/Tabela2[[#This Row],[Lucro por ação]],"")</f>
        <v>0.98617189494503266</v>
      </c>
      <c r="H228" s="6">
        <f>MAX(Tabela2[[#This Row],[Cotação 1]],Tabela2[[#This Row],[Cotação 2]])</f>
        <v>30</v>
      </c>
      <c r="I228" s="19">
        <f>IF(Tabela2[[#This Row],[Dividendo / Ação]]&gt;0,Tabela2[[#This Row],[Dividendo / Ação]]/Tabela2[[#This Row],[Cotação]],"")</f>
        <v>8.4168999999999994E-2</v>
      </c>
      <c r="J228" s="61">
        <f>SUMPRODUCT(N(Tabela1[Código]=Tabela2[[#This Row],[Ativo]]),Tabela1[Fechamento])</f>
        <v>30</v>
      </c>
      <c r="K228" s="61">
        <f>SUMPRODUCT(N(Tabela17[Código]=Tabela2[[#This Row],[Ativo]]),Tabela17[Fechamento])</f>
        <v>0</v>
      </c>
      <c r="M228" s="3"/>
    </row>
    <row r="229" spans="1:13">
      <c r="A229" s="4" t="s">
        <v>107</v>
      </c>
      <c r="B229" s="3">
        <v>2011</v>
      </c>
      <c r="C229" s="5">
        <v>1203117000</v>
      </c>
      <c r="D229" s="62">
        <f>SUMPRODUCT(N(Tabela3[PAPEL]=Tabela2[[#This Row],[Ativo]]),Tabela3[Total Ações])</f>
        <v>273655375</v>
      </c>
      <c r="E229" s="65">
        <f>(Tabela2[[#This Row],[Lucro Líquido]])/Tabela2[[#This Row],[Total Ações]]</f>
        <v>4.396467637443628</v>
      </c>
      <c r="F229" s="65">
        <v>2.5250699999999999</v>
      </c>
      <c r="G229" s="22">
        <f>IF(AND(Tabela2[[#This Row],[Dividendo / Ação]]&gt;0,Tabela2[[#This Row],[Lucro por ação]]&gt;0),Tabela2[[#This Row],[Dividendo / Ação]]/Tabela2[[#This Row],[Lucro por ação]],"")</f>
        <v>0.57434063166861571</v>
      </c>
      <c r="H229" s="5">
        <f>MAX(Tabela2[[#This Row],[Cotação 1]],Tabela2[[#This Row],[Cotação 2]])</f>
        <v>30</v>
      </c>
      <c r="I229" s="18">
        <f>IF(Tabela2[[#This Row],[Dividendo / Ação]]&gt;0,Tabela2[[#This Row],[Dividendo / Ação]]/Tabela2[[#This Row],[Cotação]],"")</f>
        <v>8.4168999999999994E-2</v>
      </c>
      <c r="J229" s="60">
        <f>SUMPRODUCT(N(Tabela1[Código]=Tabela2[[#This Row],[Ativo]]),Tabela1[Fechamento])</f>
        <v>30</v>
      </c>
      <c r="K229" s="60">
        <f>SUMPRODUCT(N(Tabela17[Código]=Tabela2[[#This Row],[Ativo]]),Tabela17[Fechamento])</f>
        <v>0</v>
      </c>
      <c r="M229" s="3"/>
    </row>
    <row r="230" spans="1:13">
      <c r="A230" s="4" t="s">
        <v>107</v>
      </c>
      <c r="B230" s="3">
        <v>2010</v>
      </c>
      <c r="C230" s="5">
        <v>1041534000</v>
      </c>
      <c r="D230" s="62">
        <f>SUMPRODUCT(N(Tabela3[PAPEL]=Tabela2[[#This Row],[Ativo]]),Tabela3[Total Ações])</f>
        <v>273655375</v>
      </c>
      <c r="E230" s="65">
        <f>(Tabela2[[#This Row],[Lucro Líquido]])/Tabela2[[#This Row],[Total Ações]]</f>
        <v>3.8060060029882474</v>
      </c>
      <c r="F230" s="65">
        <v>2.5250699999999999</v>
      </c>
      <c r="G230" s="22">
        <f>IF(AND(Tabela2[[#This Row],[Dividendo / Ação]]&gt;0,Tabela2[[#This Row],[Lucro por ação]]&gt;0),Tabela2[[#This Row],[Dividendo / Ação]]/Tabela2[[#This Row],[Lucro por ação]],"")</f>
        <v>0.66344351480724584</v>
      </c>
      <c r="H230" s="5">
        <f>MAX(Tabela2[[#This Row],[Cotação 1]],Tabela2[[#This Row],[Cotação 2]])</f>
        <v>30</v>
      </c>
      <c r="I230" s="18">
        <f>IF(Tabela2[[#This Row],[Dividendo / Ação]]&gt;0,Tabela2[[#This Row],[Dividendo / Ação]]/Tabela2[[#This Row],[Cotação]],"")</f>
        <v>8.4168999999999994E-2</v>
      </c>
      <c r="J230" s="60">
        <f>SUMPRODUCT(N(Tabela1[Código]=Tabela2[[#This Row],[Ativo]]),Tabela1[Fechamento])</f>
        <v>30</v>
      </c>
      <c r="K230" s="60">
        <f>SUMPRODUCT(N(Tabela17[Código]=Tabela2[[#This Row],[Ativo]]),Tabela17[Fechamento])</f>
        <v>0</v>
      </c>
      <c r="M230" s="3"/>
    </row>
    <row r="231" spans="1:13">
      <c r="A231" s="4" t="s">
        <v>107</v>
      </c>
      <c r="B231" s="3">
        <v>2009</v>
      </c>
      <c r="C231" s="5">
        <v>900821000</v>
      </c>
      <c r="D231" s="62">
        <f>SUMPRODUCT(N(Tabela3[PAPEL]=Tabela2[[#This Row],[Ativo]]),Tabela3[Total Ações])</f>
        <v>273655375</v>
      </c>
      <c r="E231" s="65">
        <f>(Tabela2[[#This Row],[Lucro Líquido]])/Tabela2[[#This Row],[Total Ações]]</f>
        <v>3.2918081729620696</v>
      </c>
      <c r="F231" s="65">
        <v>1.6297900000000001</v>
      </c>
      <c r="G231" s="22">
        <f>IF(AND(Tabela2[[#This Row],[Dividendo / Ação]]&gt;0,Tabela2[[#This Row],[Lucro por ação]]&gt;0),Tabela2[[#This Row],[Dividendo / Ação]]/Tabela2[[#This Row],[Lucro por ação]],"")</f>
        <v>0.49510479176356903</v>
      </c>
      <c r="H231" s="5">
        <f>MAX(Tabela2[[#This Row],[Cotação 1]],Tabela2[[#This Row],[Cotação 2]])</f>
        <v>30</v>
      </c>
      <c r="I231" s="18">
        <f>IF(Tabela2[[#This Row],[Dividendo / Ação]]&gt;0,Tabela2[[#This Row],[Dividendo / Ação]]/Tabela2[[#This Row],[Cotação]],"")</f>
        <v>5.4326333333333338E-2</v>
      </c>
      <c r="J231" s="60">
        <f>SUMPRODUCT(N(Tabela1[Código]=Tabela2[[#This Row],[Ativo]]),Tabela1[Fechamento])</f>
        <v>30</v>
      </c>
      <c r="K231" s="60">
        <f>SUMPRODUCT(N(Tabela17[Código]=Tabela2[[#This Row],[Ativo]]),Tabela17[Fechamento])</f>
        <v>0</v>
      </c>
      <c r="M231" s="3"/>
    </row>
    <row r="232" spans="1:13">
      <c r="A232" s="4" t="s">
        <v>108</v>
      </c>
      <c r="B232" s="4">
        <v>2012</v>
      </c>
      <c r="C232" s="6">
        <v>700688167.34000003</v>
      </c>
      <c r="D232" s="8">
        <f>SUMPRODUCT(N(Tabela3[PAPEL]=Tabela2[[#This Row],[Ativo]]),Tabela3[Total Ações])</f>
        <v>273655375</v>
      </c>
      <c r="E232" s="66">
        <f>(Tabela2[[#This Row],[Lucro Líquido]])/Tabela2[[#This Row],[Total Ações]]</f>
        <v>2.5604765385660708</v>
      </c>
      <c r="F232" s="66">
        <v>1.0288900000000001</v>
      </c>
      <c r="G232" s="46">
        <f>IF(AND(Tabela2[[#This Row],[Dividendo / Ação]]&gt;0,Tabela2[[#This Row],[Lucro por ação]]&gt;0),Tabela2[[#This Row],[Dividendo / Ação]]/Tabela2[[#This Row],[Lucro por ação]],"")</f>
        <v>0.40183535545152993</v>
      </c>
      <c r="H232" s="6">
        <f>MAX(Tabela2[[#This Row],[Cotação 1]],Tabela2[[#This Row],[Cotação 2]])</f>
        <v>30.83</v>
      </c>
      <c r="I232" s="19">
        <f>IF(Tabela2[[#This Row],[Dividendo / Ação]]&gt;0,Tabela2[[#This Row],[Dividendo / Ação]]/Tabela2[[#This Row],[Cotação]],"")</f>
        <v>3.3373013298735002E-2</v>
      </c>
      <c r="J232" s="61">
        <f>SUMPRODUCT(N(Tabela1[Código]=Tabela2[[#This Row],[Ativo]]),Tabela1[Fechamento])</f>
        <v>30.83</v>
      </c>
      <c r="K232" s="61">
        <f>SUMPRODUCT(N(Tabela17[Código]=Tabela2[[#This Row],[Ativo]]),Tabela17[Fechamento])</f>
        <v>0</v>
      </c>
      <c r="M232" s="3"/>
    </row>
    <row r="233" spans="1:13">
      <c r="A233" s="4" t="s">
        <v>108</v>
      </c>
      <c r="B233" s="4">
        <v>2011</v>
      </c>
      <c r="C233" s="5">
        <v>1203117000</v>
      </c>
      <c r="D233" s="8">
        <f>SUMPRODUCT(N(Tabela3[PAPEL]=Tabela2[[#This Row],[Ativo]]),Tabela3[Total Ações])</f>
        <v>273655375</v>
      </c>
      <c r="E233" s="66">
        <f>(Tabela2[[#This Row],[Lucro Líquido]])/Tabela2[[#This Row],[Total Ações]]</f>
        <v>4.396467637443628</v>
      </c>
      <c r="F233" s="66">
        <v>1.6154599999999999</v>
      </c>
      <c r="G233" s="46">
        <f>IF(AND(Tabela2[[#This Row],[Dividendo / Ação]]&gt;0,Tabela2[[#This Row],[Lucro por ação]]&gt;0),Tabela2[[#This Row],[Dividendo / Ação]]/Tabela2[[#This Row],[Lucro por ação]],"")</f>
        <v>0.3674449883905721</v>
      </c>
      <c r="H233" s="6">
        <f>MAX(Tabela2[[#This Row],[Cotação 1]],Tabela2[[#This Row],[Cotação 2]])</f>
        <v>30.83</v>
      </c>
      <c r="I233" s="19">
        <f>IF(Tabela2[[#This Row],[Dividendo / Ação]]&gt;0,Tabela2[[#This Row],[Dividendo / Ação]]/Tabela2[[#This Row],[Cotação]],"")</f>
        <v>5.2398962049951349E-2</v>
      </c>
      <c r="J233" s="61">
        <f>SUMPRODUCT(N(Tabela1[Código]=Tabela2[[#This Row],[Ativo]]),Tabela1[Fechamento])</f>
        <v>30.83</v>
      </c>
      <c r="K233" s="61">
        <f>SUMPRODUCT(N(Tabela17[Código]=Tabela2[[#This Row],[Ativo]]),Tabela17[Fechamento])</f>
        <v>0</v>
      </c>
      <c r="M233" s="3"/>
    </row>
    <row r="234" spans="1:13">
      <c r="A234" s="4" t="s">
        <v>108</v>
      </c>
      <c r="B234" s="4">
        <v>2010</v>
      </c>
      <c r="C234" s="5">
        <v>1041534000</v>
      </c>
      <c r="D234" s="8">
        <f>SUMPRODUCT(N(Tabela3[PAPEL]=Tabela2[[#This Row],[Ativo]]),Tabela3[Total Ações])</f>
        <v>273655375</v>
      </c>
      <c r="E234" s="66">
        <f>(Tabela2[[#This Row],[Lucro Líquido]])/Tabela2[[#This Row],[Total Ações]]</f>
        <v>3.8060060029882474</v>
      </c>
      <c r="F234" s="66">
        <v>1.0785400000000001</v>
      </c>
      <c r="G234" s="46">
        <f>IF(AND(Tabela2[[#This Row],[Dividendo / Ação]]&gt;0,Tabela2[[#This Row],[Lucro por ação]]&gt;0),Tabela2[[#This Row],[Dividendo / Ação]]/Tabela2[[#This Row],[Lucro por ação]],"")</f>
        <v>0.28337842850305417</v>
      </c>
      <c r="H234" s="6">
        <f>MAX(Tabela2[[#This Row],[Cotação 1]],Tabela2[[#This Row],[Cotação 2]])</f>
        <v>30.83</v>
      </c>
      <c r="I234" s="19">
        <f>IF(Tabela2[[#This Row],[Dividendo / Ação]]&gt;0,Tabela2[[#This Row],[Dividendo / Ação]]/Tabela2[[#This Row],[Cotação]],"")</f>
        <v>3.4983457671099581E-2</v>
      </c>
      <c r="J234" s="61">
        <f>SUMPRODUCT(N(Tabela1[Código]=Tabela2[[#This Row],[Ativo]]),Tabela1[Fechamento])</f>
        <v>30.83</v>
      </c>
      <c r="K234" s="61">
        <f>SUMPRODUCT(N(Tabela17[Código]=Tabela2[[#This Row],[Ativo]]),Tabela17[Fechamento])</f>
        <v>0</v>
      </c>
      <c r="M234" s="3"/>
    </row>
    <row r="235" spans="1:13">
      <c r="A235" s="4" t="s">
        <v>108</v>
      </c>
      <c r="B235" s="4">
        <v>2009</v>
      </c>
      <c r="C235" s="5">
        <v>900821000</v>
      </c>
      <c r="D235" s="8">
        <f>SUMPRODUCT(N(Tabela3[PAPEL]=Tabela2[[#This Row],[Ativo]]),Tabela3[Total Ações])</f>
        <v>273655375</v>
      </c>
      <c r="E235" s="66">
        <f>(Tabela2[[#This Row],[Lucro Líquido]])/Tabela2[[#This Row],[Total Ações]]</f>
        <v>3.2918081729620696</v>
      </c>
      <c r="F235" s="66">
        <v>0.95679000000000003</v>
      </c>
      <c r="G235" s="46">
        <f>IF(AND(Tabela2[[#This Row],[Dividendo / Ação]]&gt;0,Tabela2[[#This Row],[Lucro por ação]]&gt;0),Tabela2[[#This Row],[Dividendo / Ação]]/Tabela2[[#This Row],[Lucro por ação]],"")</f>
        <v>0.29065788458112102</v>
      </c>
      <c r="H235" s="6">
        <f>MAX(Tabela2[[#This Row],[Cotação 1]],Tabela2[[#This Row],[Cotação 2]])</f>
        <v>30.83</v>
      </c>
      <c r="I235" s="19">
        <f>IF(Tabela2[[#This Row],[Dividendo / Ação]]&gt;0,Tabela2[[#This Row],[Dividendo / Ação]]/Tabela2[[#This Row],[Cotação]],"")</f>
        <v>3.1034382095361662E-2</v>
      </c>
      <c r="J235" s="61">
        <f>SUMPRODUCT(N(Tabela1[Código]=Tabela2[[#This Row],[Ativo]]),Tabela1[Fechamento])</f>
        <v>30.83</v>
      </c>
      <c r="K235" s="61">
        <f>SUMPRODUCT(N(Tabela17[Código]=Tabela2[[#This Row],[Ativo]]),Tabela17[Fechamento])</f>
        <v>0</v>
      </c>
      <c r="M235" s="3"/>
    </row>
    <row r="236" spans="1:13">
      <c r="A236" s="4" t="s">
        <v>434</v>
      </c>
      <c r="B236" s="4">
        <v>2012</v>
      </c>
      <c r="C236" s="6">
        <v>94365000</v>
      </c>
      <c r="D236" s="78">
        <f>SUMPRODUCT(N(Tabela3[PAPEL]=Tabela2[[#This Row],[Ativo]]),Tabela3[Total Ações])</f>
        <v>105765903</v>
      </c>
      <c r="E236" s="66">
        <f>(Tabela2[[#This Row],[Lucro Líquido]])/Tabela2[[#This Row],[Total Ações]]</f>
        <v>0.8922062528979684</v>
      </c>
      <c r="F236" s="66">
        <v>0.23760000000000001</v>
      </c>
      <c r="G236" s="45">
        <f>IF(AND(Tabela2[[#This Row],[Dividendo / Ação]]&gt;0,Tabela2[[#This Row],[Lucro por ação]]&gt;0),Tabela2[[#This Row],[Dividendo / Ação]]/Tabela2[[#This Row],[Lucro por ação]],"")</f>
        <v>0.2663061363090129</v>
      </c>
      <c r="H236" s="61">
        <f>MAX(Tabela2[[#This Row],[Cotação 1]],Tabela2[[#This Row],[Cotação 2]])</f>
        <v>3.85</v>
      </c>
      <c r="I236" s="46">
        <f>IF(Tabela2[[#This Row],[Dividendo / Ação]]&gt;0,Tabela2[[#This Row],[Dividendo / Ação]]/Tabela2[[#This Row],[Cotação]],"")</f>
        <v>6.1714285714285715E-2</v>
      </c>
      <c r="J236" s="17">
        <f>SUMPRODUCT(N(Tabela1[Código]=Tabela2[[#This Row],[Ativo]]),Tabela1[Fechamento])</f>
        <v>0</v>
      </c>
      <c r="K236" s="17">
        <f>SUMPRODUCT(N(Tabela17[Código]=Tabela2[[#This Row],[Ativo]]),Tabela17[Fechamento])</f>
        <v>3.85</v>
      </c>
      <c r="M236" s="3"/>
    </row>
    <row r="237" spans="1:13">
      <c r="A237" s="4" t="s">
        <v>434</v>
      </c>
      <c r="B237" s="3">
        <v>2011</v>
      </c>
      <c r="C237" s="5">
        <v>76912864.659999996</v>
      </c>
      <c r="D237" s="67">
        <f>SUMPRODUCT(N(Tabela3[PAPEL]=Tabela2[[#This Row],[Ativo]]),Tabela3[Total Ações])</f>
        <v>105765903</v>
      </c>
      <c r="E237" s="65">
        <f>(Tabela2[[#This Row],[Lucro Líquido]])/Tabela2[[#This Row],[Total Ações]]</f>
        <v>0.72719905450057942</v>
      </c>
      <c r="F237" s="65">
        <v>0.17430000000000001</v>
      </c>
      <c r="G237" s="75">
        <f>IF(AND(Tabela2[[#This Row],[Dividendo / Ação]]&gt;0,Tabela2[[#This Row],[Lucro por ação]]&gt;0),Tabela2[[#This Row],[Dividendo / Ação]]/Tabela2[[#This Row],[Lucro por ação]],"")</f>
        <v>0.23968678028563242</v>
      </c>
      <c r="H237" s="60">
        <f>MAX(Tabela2[[#This Row],[Cotação 1]],Tabela2[[#This Row],[Cotação 2]])</f>
        <v>3.85</v>
      </c>
      <c r="I237" s="22">
        <f>IF(Tabela2[[#This Row],[Dividendo / Ação]]&gt;0,Tabela2[[#This Row],[Dividendo / Ação]]/Tabela2[[#This Row],[Cotação]],"")</f>
        <v>4.5272727272727277E-2</v>
      </c>
      <c r="J237" s="7">
        <f>SUMPRODUCT(N(Tabela1[Código]=Tabela2[[#This Row],[Ativo]]),Tabela1[Fechamento])</f>
        <v>0</v>
      </c>
      <c r="K237" s="7">
        <f>SUMPRODUCT(N(Tabela17[Código]=Tabela2[[#This Row],[Ativo]]),Tabela17[Fechamento])</f>
        <v>3.85</v>
      </c>
      <c r="M237" s="3"/>
    </row>
    <row r="238" spans="1:13">
      <c r="A238" s="4" t="s">
        <v>434</v>
      </c>
      <c r="B238" s="3">
        <v>2010</v>
      </c>
      <c r="C238" s="5">
        <v>61174998.299999997</v>
      </c>
      <c r="D238" s="67">
        <f>SUMPRODUCT(N(Tabela3[PAPEL]=Tabela2[[#This Row],[Ativo]]),Tabela3[Total Ações])</f>
        <v>105765903</v>
      </c>
      <c r="E238" s="65">
        <f>(Tabela2[[#This Row],[Lucro Líquido]])/Tabela2[[#This Row],[Total Ações]]</f>
        <v>0.57840000004538317</v>
      </c>
      <c r="F238" s="65">
        <v>0.1163</v>
      </c>
      <c r="G238" s="75">
        <f>IF(AND(Tabela2[[#This Row],[Dividendo / Ação]]&gt;0,Tabela2[[#This Row],[Lucro por ação]]&gt;0),Tabela2[[#This Row],[Dividendo / Ação]]/Tabela2[[#This Row],[Lucro por ação]],"")</f>
        <v>0.20107192252917483</v>
      </c>
      <c r="H238" s="60">
        <f>MAX(Tabela2[[#This Row],[Cotação 1]],Tabela2[[#This Row],[Cotação 2]])</f>
        <v>3.85</v>
      </c>
      <c r="I238" s="22">
        <f>IF(Tabela2[[#This Row],[Dividendo / Ação]]&gt;0,Tabela2[[#This Row],[Dividendo / Ação]]/Tabela2[[#This Row],[Cotação]],"")</f>
        <v>3.0207792207792208E-2</v>
      </c>
      <c r="J238" s="7">
        <f>SUMPRODUCT(N(Tabela1[Código]=Tabela2[[#This Row],[Ativo]]),Tabela1[Fechamento])</f>
        <v>0</v>
      </c>
      <c r="K238" s="7">
        <f>SUMPRODUCT(N(Tabela17[Código]=Tabela2[[#This Row],[Ativo]]),Tabela17[Fechamento])</f>
        <v>3.85</v>
      </c>
      <c r="M238" s="3"/>
    </row>
    <row r="239" spans="1:13">
      <c r="A239" s="4" t="s">
        <v>434</v>
      </c>
      <c r="B239" s="4">
        <v>2009</v>
      </c>
      <c r="C239" s="6">
        <v>67848826.769999996</v>
      </c>
      <c r="D239" s="78">
        <f>SUMPRODUCT(N(Tabela3[PAPEL]=Tabela2[[#This Row],[Ativo]]),Tabela3[Total Ações])</f>
        <v>105765903</v>
      </c>
      <c r="E239" s="66">
        <f>(Tabela2[[#This Row],[Lucro Líquido]])/Tabela2[[#This Row],[Total Ações]]</f>
        <v>0.64149999995745322</v>
      </c>
      <c r="F239" s="66">
        <v>0.16420000000000001</v>
      </c>
      <c r="G239" s="45">
        <f>IF(AND(Tabela2[[#This Row],[Dividendo / Ação]]&gt;0,Tabela2[[#This Row],[Lucro por ação]]&gt;0),Tabela2[[#This Row],[Dividendo / Ação]]/Tabela2[[#This Row],[Lucro por ação]],"")</f>
        <v>0.25596258770208946</v>
      </c>
      <c r="H239" s="61">
        <f>MAX(Tabela2[[#This Row],[Cotação 1]],Tabela2[[#This Row],[Cotação 2]])</f>
        <v>3.85</v>
      </c>
      <c r="I239" s="46">
        <f>IF(Tabela2[[#This Row],[Dividendo / Ação]]&gt;0,Tabela2[[#This Row],[Dividendo / Ação]]/Tabela2[[#This Row],[Cotação]],"")</f>
        <v>4.2649350649350652E-2</v>
      </c>
      <c r="J239" s="17">
        <f>SUMPRODUCT(N(Tabela1[Código]=Tabela2[[#This Row],[Ativo]]),Tabela1[Fechamento])</f>
        <v>0</v>
      </c>
      <c r="K239" s="17">
        <f>SUMPRODUCT(N(Tabela17[Código]=Tabela2[[#This Row],[Ativo]]),Tabela17[Fechamento])</f>
        <v>3.85</v>
      </c>
      <c r="M239" s="3"/>
    </row>
    <row r="240" spans="1:13">
      <c r="A240" s="4" t="s">
        <v>435</v>
      </c>
      <c r="B240" s="4">
        <v>2012</v>
      </c>
      <c r="C240" s="6">
        <v>94365000</v>
      </c>
      <c r="D240" s="78">
        <f>SUMPRODUCT(N(Tabela3[PAPEL]=Tabela2[[#This Row],[Ativo]]),Tabela3[Total Ações])</f>
        <v>105765903</v>
      </c>
      <c r="E240" s="66">
        <f>(Tabela2[[#This Row],[Lucro Líquido]])/Tabela2[[#This Row],[Total Ações]]</f>
        <v>0.8922062528979684</v>
      </c>
      <c r="F240" s="66">
        <v>0.26429999999999998</v>
      </c>
      <c r="G240" s="45">
        <f>IF(AND(Tabela2[[#This Row],[Dividendo / Ação]]&gt;0,Tabela2[[#This Row],[Lucro por ação]]&gt;0),Tabela2[[#This Row],[Dividendo / Ação]]/Tabela2[[#This Row],[Lucro por ação]],"")</f>
        <v>0.29623195213161657</v>
      </c>
      <c r="H240" s="61">
        <f>MAX(Tabela2[[#This Row],[Cotação 1]],Tabela2[[#This Row],[Cotação 2]])</f>
        <v>4.01</v>
      </c>
      <c r="I240" s="46">
        <f>IF(Tabela2[[#This Row],[Dividendo / Ação]]&gt;0,Tabela2[[#This Row],[Dividendo / Ação]]/Tabela2[[#This Row],[Cotação]],"")</f>
        <v>6.5910224438902737E-2</v>
      </c>
      <c r="J240" s="17">
        <f>SUMPRODUCT(N(Tabela1[Código]=Tabela2[[#This Row],[Ativo]]),Tabela1[Fechamento])</f>
        <v>0</v>
      </c>
      <c r="K240" s="17">
        <f>SUMPRODUCT(N(Tabela17[Código]=Tabela2[[#This Row],[Ativo]]),Tabela17[Fechamento])</f>
        <v>4.01</v>
      </c>
      <c r="M240" s="3"/>
    </row>
    <row r="241" spans="1:13">
      <c r="A241" s="4" t="s">
        <v>435</v>
      </c>
      <c r="B241" s="4">
        <v>2011</v>
      </c>
      <c r="C241" s="5">
        <v>76912864.659999996</v>
      </c>
      <c r="D241" s="78">
        <f>SUMPRODUCT(N(Tabela3[PAPEL]=Tabela2[[#This Row],[Ativo]]),Tabela3[Total Ações])</f>
        <v>105765903</v>
      </c>
      <c r="E241" s="66">
        <f>(Tabela2[[#This Row],[Lucro Líquido]])/Tabela2[[#This Row],[Total Ações]]</f>
        <v>0.72719905450057942</v>
      </c>
      <c r="F241" s="66">
        <v>0.2402</v>
      </c>
      <c r="G241" s="45">
        <f>IF(AND(Tabela2[[#This Row],[Dividendo / Ação]]&gt;0,Tabela2[[#This Row],[Lucro por ação]]&gt;0),Tabela2[[#This Row],[Dividendo / Ação]]/Tabela2[[#This Row],[Lucro por ação]],"")</f>
        <v>0.33030846026740618</v>
      </c>
      <c r="H241" s="61">
        <f>MAX(Tabela2[[#This Row],[Cotação 1]],Tabela2[[#This Row],[Cotação 2]])</f>
        <v>4.01</v>
      </c>
      <c r="I241" s="46">
        <f>IF(Tabela2[[#This Row],[Dividendo / Ação]]&gt;0,Tabela2[[#This Row],[Dividendo / Ação]]/Tabela2[[#This Row],[Cotação]],"")</f>
        <v>5.9900249376558606E-2</v>
      </c>
      <c r="J241" s="17">
        <f>SUMPRODUCT(N(Tabela1[Código]=Tabela2[[#This Row],[Ativo]]),Tabela1[Fechamento])</f>
        <v>0</v>
      </c>
      <c r="K241" s="17">
        <f>SUMPRODUCT(N(Tabela17[Código]=Tabela2[[#This Row],[Ativo]]),Tabela17[Fechamento])</f>
        <v>4.01</v>
      </c>
      <c r="M241" s="3"/>
    </row>
    <row r="242" spans="1:13">
      <c r="A242" s="4" t="s">
        <v>435</v>
      </c>
      <c r="B242" s="4">
        <v>2010</v>
      </c>
      <c r="C242" s="5">
        <v>61174998.299999997</v>
      </c>
      <c r="D242" s="78">
        <f>SUMPRODUCT(N(Tabela3[PAPEL]=Tabela2[[#This Row],[Ativo]]),Tabela3[Total Ações])</f>
        <v>105765903</v>
      </c>
      <c r="E242" s="66">
        <f>(Tabela2[[#This Row],[Lucro Líquido]])/Tabela2[[#This Row],[Total Ações]]</f>
        <v>0.57840000004538317</v>
      </c>
      <c r="F242" s="66">
        <v>0.2198</v>
      </c>
      <c r="G242" s="45">
        <f>IF(AND(Tabela2[[#This Row],[Dividendo / Ação]]&gt;0,Tabela2[[#This Row],[Lucro por ação]]&gt;0),Tabela2[[#This Row],[Dividendo / Ação]]/Tabela2[[#This Row],[Lucro por ação]],"")</f>
        <v>0.38001383122882737</v>
      </c>
      <c r="H242" s="61">
        <f>MAX(Tabela2[[#This Row],[Cotação 1]],Tabela2[[#This Row],[Cotação 2]])</f>
        <v>4.01</v>
      </c>
      <c r="I242" s="46">
        <f>IF(Tabela2[[#This Row],[Dividendo / Ação]]&gt;0,Tabela2[[#This Row],[Dividendo / Ação]]/Tabela2[[#This Row],[Cotação]],"")</f>
        <v>5.4812967581047381E-2</v>
      </c>
      <c r="J242" s="17">
        <f>SUMPRODUCT(N(Tabela1[Código]=Tabela2[[#This Row],[Ativo]]),Tabela1[Fechamento])</f>
        <v>0</v>
      </c>
      <c r="K242" s="17">
        <f>SUMPRODUCT(N(Tabela17[Código]=Tabela2[[#This Row],[Ativo]]),Tabela17[Fechamento])</f>
        <v>4.01</v>
      </c>
      <c r="M242" s="3"/>
    </row>
    <row r="243" spans="1:13">
      <c r="A243" s="4" t="s">
        <v>435</v>
      </c>
      <c r="B243" s="4">
        <v>2009</v>
      </c>
      <c r="C243" s="6">
        <v>67848826.769999996</v>
      </c>
      <c r="D243" s="78">
        <f>SUMPRODUCT(N(Tabela3[PAPEL]=Tabela2[[#This Row],[Ativo]]),Tabela3[Total Ações])</f>
        <v>105765903</v>
      </c>
      <c r="E243" s="66">
        <f>(Tabela2[[#This Row],[Lucro Líquido]])/Tabela2[[#This Row],[Total Ações]]</f>
        <v>0.64149999995745322</v>
      </c>
      <c r="F243" s="66">
        <v>0.19839999999999999</v>
      </c>
      <c r="G243" s="45">
        <f>IF(AND(Tabela2[[#This Row],[Dividendo / Ação]]&gt;0,Tabela2[[#This Row],[Lucro por ação]]&gt;0),Tabela2[[#This Row],[Dividendo / Ação]]/Tabela2[[#This Row],[Lucro por ação]],"")</f>
        <v>0.30927513641957699</v>
      </c>
      <c r="H243" s="61">
        <f>MAX(Tabela2[[#This Row],[Cotação 1]],Tabela2[[#This Row],[Cotação 2]])</f>
        <v>4.01</v>
      </c>
      <c r="I243" s="46">
        <f>IF(Tabela2[[#This Row],[Dividendo / Ação]]&gt;0,Tabela2[[#This Row],[Dividendo / Ação]]/Tabela2[[#This Row],[Cotação]],"")</f>
        <v>4.947630922693267E-2</v>
      </c>
      <c r="J243" s="17">
        <f>SUMPRODUCT(N(Tabela1[Código]=Tabela2[[#This Row],[Ativo]]),Tabela1[Fechamento])</f>
        <v>0</v>
      </c>
      <c r="K243" s="17">
        <f>SUMPRODUCT(N(Tabela17[Código]=Tabela2[[#This Row],[Ativo]]),Tabela17[Fechamento])</f>
        <v>4.01</v>
      </c>
      <c r="M243" s="3"/>
    </row>
    <row r="244" spans="1:13">
      <c r="A244" s="14" t="s">
        <v>286</v>
      </c>
      <c r="B244" s="3">
        <v>2012</v>
      </c>
      <c r="C244" s="5">
        <v>13717907.74</v>
      </c>
      <c r="D244" s="62">
        <f>SUMPRODUCT(N(Tabela3[PAPEL]=Tabela2[[#This Row],[Ativo]]),Tabela3[Total Ações])</f>
        <v>7680000</v>
      </c>
      <c r="E244" s="65">
        <f>(Tabela2[[#This Row],[Lucro Líquido]])/Tabela2[[#This Row],[Total Ações]]</f>
        <v>1.7861859036458334</v>
      </c>
      <c r="F244" s="65">
        <v>1.24</v>
      </c>
      <c r="G244" s="22">
        <f>IF(AND(Tabela2[[#This Row],[Dividendo / Ação]]&gt;0,Tabela2[[#This Row],[Lucro por ação]]&gt;0),Tabela2[[#This Row],[Dividendo / Ação]]/Tabela2[[#This Row],[Lucro por ação]],"")</f>
        <v>0.69421665318766745</v>
      </c>
      <c r="H244" s="51">
        <f>MAX(Tabela2[[#This Row],[Cotação 1]],Tabela2[[#This Row],[Cotação 2]])</f>
        <v>30.01</v>
      </c>
      <c r="I244" s="18">
        <f>IF(Tabela2[[#This Row],[Dividendo / Ação]]&gt;0,Tabela2[[#This Row],[Dividendo / Ação]]/Tabela2[[#This Row],[Cotação]],"")</f>
        <v>4.1319560146617793E-2</v>
      </c>
      <c r="J244" s="7">
        <f>SUMPRODUCT(N(Tabela1[Código]=Tabela2[[#This Row],[Ativo]]),Tabela1[Fechamento])</f>
        <v>0</v>
      </c>
      <c r="K244" s="7">
        <f>SUMPRODUCT(N(Tabela17[Código]=Tabela2[[#This Row],[Ativo]]),Tabela17[Fechamento])</f>
        <v>30.01</v>
      </c>
      <c r="M244" s="3"/>
    </row>
    <row r="245" spans="1:13">
      <c r="A245" s="14" t="s">
        <v>286</v>
      </c>
      <c r="B245" s="3">
        <v>2011</v>
      </c>
      <c r="C245" s="5">
        <v>28253000</v>
      </c>
      <c r="D245" s="62">
        <f>SUMPRODUCT(N(Tabela3[PAPEL]=Tabela2[[#This Row],[Ativo]]),Tabela3[Total Ações])</f>
        <v>7680000</v>
      </c>
      <c r="E245" s="65">
        <f>(Tabela2[[#This Row],[Lucro Líquido]])/Tabela2[[#This Row],[Total Ações]]</f>
        <v>3.6787760416666666</v>
      </c>
      <c r="F245" s="65">
        <v>2.48</v>
      </c>
      <c r="G245" s="22">
        <f>IF(AND(Tabela2[[#This Row],[Dividendo / Ação]]&gt;0,Tabela2[[#This Row],[Lucro por ação]]&gt;0),Tabela2[[#This Row],[Dividendo / Ação]]/Tabela2[[#This Row],[Lucro por ação]],"")</f>
        <v>0.67413725976002548</v>
      </c>
      <c r="H245" s="51">
        <f>MAX(Tabela2[[#This Row],[Cotação 1]],Tabela2[[#This Row],[Cotação 2]])</f>
        <v>30.01</v>
      </c>
      <c r="I245" s="18">
        <f>IF(Tabela2[[#This Row],[Dividendo / Ação]]&gt;0,Tabela2[[#This Row],[Dividendo / Ação]]/Tabela2[[#This Row],[Cotação]],"")</f>
        <v>8.2639120293235585E-2</v>
      </c>
      <c r="J245" s="7">
        <f>SUMPRODUCT(N(Tabela1[Código]=Tabela2[[#This Row],[Ativo]]),Tabela1[Fechamento])</f>
        <v>0</v>
      </c>
      <c r="K245" s="7">
        <f>SUMPRODUCT(N(Tabela17[Código]=Tabela2[[#This Row],[Ativo]]),Tabela17[Fechamento])</f>
        <v>30.01</v>
      </c>
      <c r="M245" s="3"/>
    </row>
    <row r="246" spans="1:13">
      <c r="A246" s="14" t="s">
        <v>286</v>
      </c>
      <c r="B246" s="3">
        <v>2010</v>
      </c>
      <c r="C246" s="5">
        <v>23457000</v>
      </c>
      <c r="D246" s="62">
        <f>SUMPRODUCT(N(Tabela3[PAPEL]=Tabela2[[#This Row],[Ativo]]),Tabela3[Total Ações])</f>
        <v>7680000</v>
      </c>
      <c r="E246" s="65">
        <f>(Tabela2[[#This Row],[Lucro Líquido]])/Tabela2[[#This Row],[Total Ações]]</f>
        <v>3.0542968749999999</v>
      </c>
      <c r="F246" s="65">
        <v>2.5</v>
      </c>
      <c r="G246" s="22">
        <f>IF(AND(Tabela2[[#This Row],[Dividendo / Ação]]&gt;0,Tabela2[[#This Row],[Lucro por ação]]&gt;0),Tabela2[[#This Row],[Dividendo / Ação]]/Tabela2[[#This Row],[Lucro por ação]],"")</f>
        <v>0.81851899219849089</v>
      </c>
      <c r="H246" s="51">
        <f>MAX(Tabela2[[#This Row],[Cotação 1]],Tabela2[[#This Row],[Cotação 2]])</f>
        <v>30.01</v>
      </c>
      <c r="I246" s="18">
        <f>IF(Tabela2[[#This Row],[Dividendo / Ação]]&gt;0,Tabela2[[#This Row],[Dividendo / Ação]]/Tabela2[[#This Row],[Cotação]],"")</f>
        <v>8.3305564811729418E-2</v>
      </c>
      <c r="J246" s="7">
        <f>SUMPRODUCT(N(Tabela1[Código]=Tabela2[[#This Row],[Ativo]]),Tabela1[Fechamento])</f>
        <v>0</v>
      </c>
      <c r="K246" s="7">
        <f>SUMPRODUCT(N(Tabela17[Código]=Tabela2[[#This Row],[Ativo]]),Tabela17[Fechamento])</f>
        <v>30.01</v>
      </c>
      <c r="M246" s="3"/>
    </row>
    <row r="247" spans="1:13">
      <c r="A247" s="14" t="s">
        <v>287</v>
      </c>
      <c r="B247" s="4">
        <v>2012</v>
      </c>
      <c r="C247" s="5">
        <v>13717907.74</v>
      </c>
      <c r="D247" s="8">
        <f>SUMPRODUCT(N(Tabela3[PAPEL]=Tabela2[[#This Row],[Ativo]]),Tabela3[Total Ações])</f>
        <v>7680000</v>
      </c>
      <c r="E247" s="66">
        <f>(Tabela2[[#This Row],[Lucro Líquido]])/Tabela2[[#This Row],[Total Ações]]</f>
        <v>1.7861859036458334</v>
      </c>
      <c r="F247" s="66">
        <v>1.37</v>
      </c>
      <c r="G247" s="46">
        <f>IF(AND(Tabela2[[#This Row],[Dividendo / Ação]]&gt;0,Tabela2[[#This Row],[Lucro por ação]]&gt;0),Tabela2[[#This Row],[Dividendo / Ação]]/Tabela2[[#This Row],[Lucro por ação]],"")</f>
        <v>0.7669974313444391</v>
      </c>
      <c r="H247" s="13">
        <f>MAX(Tabela2[[#This Row],[Cotação 1]],Tabela2[[#This Row],[Cotação 2]])</f>
        <v>30.05</v>
      </c>
      <c r="I247" s="19">
        <f>IF(Tabela2[[#This Row],[Dividendo / Ação]]&gt;0,Tabela2[[#This Row],[Dividendo / Ação]]/Tabela2[[#This Row],[Cotação]],"")</f>
        <v>4.5590682196339438E-2</v>
      </c>
      <c r="J247" s="17">
        <f>SUMPRODUCT(N(Tabela1[Código]=Tabela2[[#This Row],[Ativo]]),Tabela1[Fechamento])</f>
        <v>0</v>
      </c>
      <c r="K247" s="17">
        <f>SUMPRODUCT(N(Tabela17[Código]=Tabela2[[#This Row],[Ativo]]),Tabela17[Fechamento])</f>
        <v>30.05</v>
      </c>
      <c r="M247" s="3"/>
    </row>
    <row r="248" spans="1:13">
      <c r="A248" s="14" t="s">
        <v>287</v>
      </c>
      <c r="B248" s="4">
        <v>2011</v>
      </c>
      <c r="C248" s="5">
        <v>28253000</v>
      </c>
      <c r="D248" s="8">
        <f>SUMPRODUCT(N(Tabela3[PAPEL]=Tabela2[[#This Row],[Ativo]]),Tabela3[Total Ações])</f>
        <v>7680000</v>
      </c>
      <c r="E248" s="66">
        <f>(Tabela2[[#This Row],[Lucro Líquido]])/Tabela2[[#This Row],[Total Ações]]</f>
        <v>3.6787760416666666</v>
      </c>
      <c r="F248" s="66">
        <v>2.74</v>
      </c>
      <c r="G248" s="46">
        <f>IF(AND(Tabela2[[#This Row],[Dividendo / Ação]]&gt;0,Tabela2[[#This Row],[Lucro por ação]]&gt;0),Tabela2[[#This Row],[Dividendo / Ação]]/Tabela2[[#This Row],[Lucro por ação]],"")</f>
        <v>0.7448129402187379</v>
      </c>
      <c r="H248" s="13">
        <f>MAX(Tabela2[[#This Row],[Cotação 1]],Tabela2[[#This Row],[Cotação 2]])</f>
        <v>30.05</v>
      </c>
      <c r="I248" s="19">
        <f>IF(Tabela2[[#This Row],[Dividendo / Ação]]&gt;0,Tabela2[[#This Row],[Dividendo / Ação]]/Tabela2[[#This Row],[Cotação]],"")</f>
        <v>9.1181364392678876E-2</v>
      </c>
      <c r="J248" s="17">
        <f>SUMPRODUCT(N(Tabela1[Código]=Tabela2[[#This Row],[Ativo]]),Tabela1[Fechamento])</f>
        <v>0</v>
      </c>
      <c r="K248" s="17">
        <f>SUMPRODUCT(N(Tabela17[Código]=Tabela2[[#This Row],[Ativo]]),Tabela17[Fechamento])</f>
        <v>30.05</v>
      </c>
      <c r="M248" s="3"/>
    </row>
    <row r="249" spans="1:13">
      <c r="A249" s="14" t="s">
        <v>287</v>
      </c>
      <c r="B249" s="4">
        <v>2010</v>
      </c>
      <c r="C249" s="5">
        <v>23457000</v>
      </c>
      <c r="D249" s="8">
        <f>SUMPRODUCT(N(Tabela3[PAPEL]=Tabela2[[#This Row],[Ativo]]),Tabela3[Total Ações])</f>
        <v>7680000</v>
      </c>
      <c r="E249" s="66">
        <f>(Tabela2[[#This Row],[Lucro Líquido]])/Tabela2[[#This Row],[Total Ações]]</f>
        <v>3.0542968749999999</v>
      </c>
      <c r="F249" s="66">
        <v>2.75</v>
      </c>
      <c r="G249" s="46">
        <f>IF(AND(Tabela2[[#This Row],[Dividendo / Ação]]&gt;0,Tabela2[[#This Row],[Lucro por ação]]&gt;0),Tabela2[[#This Row],[Dividendo / Ação]]/Tabela2[[#This Row],[Lucro por ação]],"")</f>
        <v>0.90037089141833992</v>
      </c>
      <c r="H249" s="13">
        <f>MAX(Tabela2[[#This Row],[Cotação 1]],Tabela2[[#This Row],[Cotação 2]])</f>
        <v>30.05</v>
      </c>
      <c r="I249" s="19">
        <f>IF(Tabela2[[#This Row],[Dividendo / Ação]]&gt;0,Tabela2[[#This Row],[Dividendo / Ação]]/Tabela2[[#This Row],[Cotação]],"")</f>
        <v>9.1514143094841932E-2</v>
      </c>
      <c r="J249" s="17">
        <f>SUMPRODUCT(N(Tabela1[Código]=Tabela2[[#This Row],[Ativo]]),Tabela1[Fechamento])</f>
        <v>0</v>
      </c>
      <c r="K249" s="17">
        <f>SUMPRODUCT(N(Tabela17[Código]=Tabela2[[#This Row],[Ativo]]),Tabela17[Fechamento])</f>
        <v>30.05</v>
      </c>
      <c r="M249" s="3"/>
    </row>
    <row r="250" spans="1:13">
      <c r="A250" s="3" t="s">
        <v>309</v>
      </c>
      <c r="B250" s="3">
        <v>2012</v>
      </c>
      <c r="C250" s="5">
        <v>638200000</v>
      </c>
      <c r="D250" s="62">
        <f>SUMPRODUCT(N(Tabela3[PAPEL]=Tabela2[[#This Row],[Ativo]]),Tabela3[Total Ações])</f>
        <v>407214353</v>
      </c>
      <c r="E250" s="65">
        <f>(Tabela2[[#This Row],[Lucro Líquido]])/Tabela2[[#This Row],[Total Ações]]</f>
        <v>1.5672335596677753</v>
      </c>
      <c r="F250" s="65">
        <v>0.74068530099999996</v>
      </c>
      <c r="G250" s="22">
        <f>IF(AND(Tabela2[[#This Row],[Dividendo / Ação]]&gt;0,Tabela2[[#This Row],[Lucro por ação]]&gt;0),Tabela2[[#This Row],[Dividendo / Ação]]/Tabela2[[#This Row],[Lucro por ação]],"")</f>
        <v>0.4726068405254234</v>
      </c>
      <c r="H250" s="51">
        <f>MAX(Tabela2[[#This Row],[Cotação 1]],Tabela2[[#This Row],[Cotação 2]])</f>
        <v>38.26</v>
      </c>
      <c r="I250" s="18">
        <f>IF(Tabela2[[#This Row],[Dividendo / Ação]]&gt;0,Tabela2[[#This Row],[Dividendo / Ação]]/Tabela2[[#This Row],[Cotação]],"")</f>
        <v>1.9359260350235233E-2</v>
      </c>
      <c r="J250" s="7">
        <f>SUMPRODUCT(N(Tabela1[Código]=Tabela2[[#This Row],[Ativo]]),Tabela1[Fechamento])</f>
        <v>0</v>
      </c>
      <c r="K250" s="7">
        <f>SUMPRODUCT(N(Tabela17[Código]=Tabela2[[#This Row],[Ativo]]),Tabela17[Fechamento])</f>
        <v>38.26</v>
      </c>
      <c r="M250" s="3"/>
    </row>
    <row r="251" spans="1:13">
      <c r="A251" s="3" t="s">
        <v>309</v>
      </c>
      <c r="B251" s="3">
        <v>2011</v>
      </c>
      <c r="C251" s="5">
        <v>2605800000</v>
      </c>
      <c r="D251" s="62">
        <f>SUMPRODUCT(N(Tabela3[PAPEL]=Tabela2[[#This Row],[Ativo]]),Tabela3[Total Ações])</f>
        <v>407214353</v>
      </c>
      <c r="E251" s="65">
        <f>(Tabela2[[#This Row],[Lucro Líquido]])/Tabela2[[#This Row],[Total Ações]]</f>
        <v>6.399086821971621</v>
      </c>
      <c r="F251" s="65">
        <v>0.61834152200000003</v>
      </c>
      <c r="G251" s="22">
        <f>IF(AND(Tabela2[[#This Row],[Dividendo / Ação]]&gt;0,Tabela2[[#This Row],[Lucro por ação]]&gt;0),Tabela2[[#This Row],[Dividendo / Ação]]/Tabela2[[#This Row],[Lucro por ação]],"")</f>
        <v>9.6629650323994662E-2</v>
      </c>
      <c r="H251" s="51">
        <f>MAX(Tabela2[[#This Row],[Cotação 1]],Tabela2[[#This Row],[Cotação 2]])</f>
        <v>38.26</v>
      </c>
      <c r="I251" s="18">
        <f>IF(Tabela2[[#This Row],[Dividendo / Ação]]&gt;0,Tabela2[[#This Row],[Dividendo / Ação]]/Tabela2[[#This Row],[Cotação]],"")</f>
        <v>1.6161566178776791E-2</v>
      </c>
      <c r="J251" s="7">
        <f>SUMPRODUCT(N(Tabela1[Código]=Tabela2[[#This Row],[Ativo]]),Tabela1[Fechamento])</f>
        <v>0</v>
      </c>
      <c r="K251" s="7">
        <f>SUMPRODUCT(N(Tabela17[Código]=Tabela2[[#This Row],[Ativo]]),Tabela17[Fechamento])</f>
        <v>38.26</v>
      </c>
      <c r="M251" s="3"/>
    </row>
    <row r="252" spans="1:13">
      <c r="A252" s="3" t="s">
        <v>309</v>
      </c>
      <c r="B252" s="3">
        <v>2010</v>
      </c>
      <c r="C252" s="5">
        <v>771500000</v>
      </c>
      <c r="D252" s="62">
        <f>SUMPRODUCT(N(Tabela3[PAPEL]=Tabela2[[#This Row],[Ativo]]),Tabela3[Total Ações])</f>
        <v>407214353</v>
      </c>
      <c r="E252" s="65">
        <f>(Tabela2[[#This Row],[Lucro Líquido]])/Tabela2[[#This Row],[Total Ações]]</f>
        <v>1.8945795852141782</v>
      </c>
      <c r="F252" s="65">
        <v>0.49227156500000002</v>
      </c>
      <c r="G252" s="22">
        <f>IF(AND(Tabela2[[#This Row],[Dividendo / Ação]]&gt;0,Tabela2[[#This Row],[Lucro por ação]]&gt;0),Tabela2[[#This Row],[Dividendo / Ação]]/Tabela2[[#This Row],[Lucro por ação]],"")</f>
        <v>0.25983155779879774</v>
      </c>
      <c r="H252" s="51">
        <f>MAX(Tabela2[[#This Row],[Cotação 1]],Tabela2[[#This Row],[Cotação 2]])</f>
        <v>38.26</v>
      </c>
      <c r="I252" s="18">
        <f>IF(Tabela2[[#This Row],[Dividendo / Ação]]&gt;0,Tabela2[[#This Row],[Dividendo / Ação]]/Tabela2[[#This Row],[Cotação]],"")</f>
        <v>1.2866481050705699E-2</v>
      </c>
      <c r="J252" s="7">
        <f>SUMPRODUCT(N(Tabela1[Código]=Tabela2[[#This Row],[Ativo]]),Tabela1[Fechamento])</f>
        <v>0</v>
      </c>
      <c r="K252" s="7">
        <f>SUMPRODUCT(N(Tabela17[Código]=Tabela2[[#This Row],[Ativo]]),Tabela17[Fechamento])</f>
        <v>38.26</v>
      </c>
      <c r="M252" s="3"/>
    </row>
    <row r="253" spans="1:13">
      <c r="A253" s="15" t="s">
        <v>200</v>
      </c>
      <c r="B253" s="4">
        <v>2012</v>
      </c>
      <c r="C253" s="6">
        <v>486927674.55000001</v>
      </c>
      <c r="D253" s="8">
        <f>SUMPRODUCT(N(Tabela3[PAPEL]=Tabela2[[#This Row],[Ativo]]),Tabela3[Total Ações])</f>
        <v>119684430</v>
      </c>
      <c r="E253" s="66">
        <f>(Tabela2[[#This Row],[Lucro Líquido]])/Tabela2[[#This Row],[Total Ações]]</f>
        <v>4.0684295739220211</v>
      </c>
      <c r="F253" s="66">
        <v>1.3564000000000001</v>
      </c>
      <c r="G253" s="46">
        <f>IF(AND(Tabela2[[#This Row],[Dividendo / Ação]]&gt;0,Tabela2[[#This Row],[Lucro por ação]]&gt;0),Tabela2[[#This Row],[Dividendo / Ação]]/Tabela2[[#This Row],[Lucro por ação]],"")</f>
        <v>0.33339645564822007</v>
      </c>
      <c r="H253" s="6">
        <f>MAX(Tabela2[[#This Row],[Cotação 1]],Tabela2[[#This Row],[Cotação 2]])</f>
        <v>32.880000000000003</v>
      </c>
      <c r="I253" s="19">
        <f>IF(Tabela2[[#This Row],[Dividendo / Ação]]&gt;0,Tabela2[[#This Row],[Dividendo / Ação]]/Tabela2[[#This Row],[Cotação]],"")</f>
        <v>4.1253041362530413E-2</v>
      </c>
      <c r="J253" s="61">
        <f>SUMPRODUCT(N(Tabela1[Código]=Tabela2[[#This Row],[Ativo]]),Tabela1[Fechamento])</f>
        <v>32.880000000000003</v>
      </c>
      <c r="K253" s="61">
        <f>SUMPRODUCT(N(Tabela17[Código]=Tabela2[[#This Row],[Ativo]]),Tabela17[Fechamento])</f>
        <v>0</v>
      </c>
      <c r="M253" s="3"/>
    </row>
    <row r="254" spans="1:13">
      <c r="A254" s="15" t="s">
        <v>200</v>
      </c>
      <c r="B254" s="4">
        <v>2011</v>
      </c>
      <c r="C254" s="6">
        <v>470437900</v>
      </c>
      <c r="D254" s="8">
        <f>SUMPRODUCT(N(Tabela3[PAPEL]=Tabela2[[#This Row],[Ativo]]),Tabela3[Total Ações])</f>
        <v>119684430</v>
      </c>
      <c r="E254" s="66">
        <f>(Tabela2[[#This Row],[Lucro Líquido]])/Tabela2[[#This Row],[Total Ações]]</f>
        <v>3.9306524666575258</v>
      </c>
      <c r="F254" s="66">
        <v>1.33</v>
      </c>
      <c r="G254" s="46">
        <f>IF(AND(Tabela2[[#This Row],[Dividendo / Ação]]&gt;0,Tabela2[[#This Row],[Lucro por ação]]&gt;0),Tabela2[[#This Row],[Dividendo / Ação]]/Tabela2[[#This Row],[Lucro por ação]],"")</f>
        <v>0.33836621560465263</v>
      </c>
      <c r="H254" s="6">
        <f>MAX(Tabela2[[#This Row],[Cotação 1]],Tabela2[[#This Row],[Cotação 2]])</f>
        <v>32.880000000000003</v>
      </c>
      <c r="I254" s="19">
        <f>IF(Tabela2[[#This Row],[Dividendo / Ação]]&gt;0,Tabela2[[#This Row],[Dividendo / Ação]]/Tabela2[[#This Row],[Cotação]],"")</f>
        <v>4.0450121654501216E-2</v>
      </c>
      <c r="J254" s="61">
        <f>SUMPRODUCT(N(Tabela1[Código]=Tabela2[[#This Row],[Ativo]]),Tabela1[Fechamento])</f>
        <v>32.880000000000003</v>
      </c>
      <c r="K254" s="61">
        <f>SUMPRODUCT(N(Tabela17[Código]=Tabela2[[#This Row],[Ativo]]),Tabela17[Fechamento])</f>
        <v>0</v>
      </c>
      <c r="M254" s="3"/>
    </row>
    <row r="255" spans="1:13">
      <c r="A255" s="15" t="s">
        <v>200</v>
      </c>
      <c r="B255" s="4">
        <v>2010</v>
      </c>
      <c r="C255" s="6">
        <v>677124500</v>
      </c>
      <c r="D255" s="8">
        <f>SUMPRODUCT(N(Tabela3[PAPEL]=Tabela2[[#This Row],[Ativo]]),Tabela3[Total Ações])</f>
        <v>119684430</v>
      </c>
      <c r="E255" s="66">
        <f>(Tabela2[[#This Row],[Lucro Líquido]])/Tabela2[[#This Row],[Total Ações]]</f>
        <v>5.6575821934398656</v>
      </c>
      <c r="F255" s="66">
        <v>1.95</v>
      </c>
      <c r="G255" s="46">
        <f>IF(AND(Tabela2[[#This Row],[Dividendo / Ação]]&gt;0,Tabela2[[#This Row],[Lucro por ação]]&gt;0),Tabela2[[#This Row],[Dividendo / Ação]]/Tabela2[[#This Row],[Lucro por ação]],"")</f>
        <v>0.34467020245169089</v>
      </c>
      <c r="H255" s="6">
        <f>MAX(Tabela2[[#This Row],[Cotação 1]],Tabela2[[#This Row],[Cotação 2]])</f>
        <v>32.880000000000003</v>
      </c>
      <c r="I255" s="19">
        <f>IF(Tabela2[[#This Row],[Dividendo / Ação]]&gt;0,Tabela2[[#This Row],[Dividendo / Ação]]/Tabela2[[#This Row],[Cotação]],"")</f>
        <v>5.930656934306569E-2</v>
      </c>
      <c r="J255" s="61">
        <f>SUMPRODUCT(N(Tabela1[Código]=Tabela2[[#This Row],[Ativo]]),Tabela1[Fechamento])</f>
        <v>32.880000000000003</v>
      </c>
      <c r="K255" s="61">
        <f>SUMPRODUCT(N(Tabela17[Código]=Tabela2[[#This Row],[Ativo]]),Tabela17[Fechamento])</f>
        <v>0</v>
      </c>
      <c r="M255" s="3"/>
    </row>
    <row r="256" spans="1:13">
      <c r="A256" s="15" t="s">
        <v>200</v>
      </c>
      <c r="B256" s="4">
        <v>2009</v>
      </c>
      <c r="C256" s="6">
        <v>525306600</v>
      </c>
      <c r="D256" s="8">
        <f>SUMPRODUCT(N(Tabela3[PAPEL]=Tabela2[[#This Row],[Ativo]]),Tabela3[Total Ações])</f>
        <v>119684430</v>
      </c>
      <c r="E256" s="66">
        <f>(Tabela2[[#This Row],[Lucro Líquido]])/Tabela2[[#This Row],[Total Ações]]</f>
        <v>4.3890972284364809</v>
      </c>
      <c r="F256" s="66">
        <v>1.5</v>
      </c>
      <c r="G256" s="46">
        <f>IF(AND(Tabela2[[#This Row],[Dividendo / Ação]]&gt;0,Tabela2[[#This Row],[Lucro por ação]]&gt;0),Tabela2[[#This Row],[Dividendo / Ação]]/Tabela2[[#This Row],[Lucro por ação]],"")</f>
        <v>0.34175592882328149</v>
      </c>
      <c r="H256" s="6">
        <f>MAX(Tabela2[[#This Row],[Cotação 1]],Tabela2[[#This Row],[Cotação 2]])</f>
        <v>32.880000000000003</v>
      </c>
      <c r="I256" s="19">
        <f>IF(Tabela2[[#This Row],[Dividendo / Ação]]&gt;0,Tabela2[[#This Row],[Dividendo / Ação]]/Tabela2[[#This Row],[Cotação]],"")</f>
        <v>4.5620437956204379E-2</v>
      </c>
      <c r="J256" s="61">
        <f>SUMPRODUCT(N(Tabela1[Código]=Tabela2[[#This Row],[Ativo]]),Tabela1[Fechamento])</f>
        <v>32.880000000000003</v>
      </c>
      <c r="K256" s="61">
        <f>SUMPRODUCT(N(Tabela17[Código]=Tabela2[[#This Row],[Ativo]]),Tabela17[Fechamento])</f>
        <v>0</v>
      </c>
      <c r="M256" s="3"/>
    </row>
    <row r="257" spans="1:13">
      <c r="A257" s="4" t="s">
        <v>103</v>
      </c>
      <c r="B257" s="4">
        <v>2012</v>
      </c>
      <c r="C257" s="6">
        <v>245872000</v>
      </c>
      <c r="D257" s="8">
        <f>SUMPRODUCT(N(Tabela3[PAPEL]=Tabela2[[#This Row],[Ativo]]),Tabela3[Total Ações])</f>
        <v>168074028</v>
      </c>
      <c r="E257" s="66">
        <f>(Tabela2[[#This Row],[Lucro Líquido]])/Tabela2[[#This Row],[Total Ações]]</f>
        <v>1.4628792022524741</v>
      </c>
      <c r="F257" s="66">
        <v>0.210547822</v>
      </c>
      <c r="G257" s="46">
        <f>IF(AND(Tabela2[[#This Row],[Dividendo / Ação]]&gt;0,Tabela2[[#This Row],[Lucro por ação]]&gt;0),Tabela2[[#This Row],[Dividendo / Ação]]/Tabela2[[#This Row],[Lucro por ação]],"")</f>
        <v>0.14392700482432735</v>
      </c>
      <c r="H257" s="6">
        <f>MAX(Tabela2[[#This Row],[Cotação 1]],Tabela2[[#This Row],[Cotação 2]])</f>
        <v>9.5</v>
      </c>
      <c r="I257" s="19">
        <f>IF(Tabela2[[#This Row],[Dividendo / Ação]]&gt;0,Tabela2[[#This Row],[Dividendo / Ação]]/Tabela2[[#This Row],[Cotação]],"")</f>
        <v>2.2162928631578947E-2</v>
      </c>
      <c r="J257" s="61">
        <f>SUMPRODUCT(N(Tabela1[Código]=Tabela2[[#This Row],[Ativo]]),Tabela1[Fechamento])</f>
        <v>9.5</v>
      </c>
      <c r="K257" s="61">
        <f>SUMPRODUCT(N(Tabela17[Código]=Tabela2[[#This Row],[Ativo]]),Tabela17[Fechamento])</f>
        <v>0</v>
      </c>
      <c r="M257" s="3"/>
    </row>
    <row r="258" spans="1:13">
      <c r="A258" s="4" t="s">
        <v>103</v>
      </c>
      <c r="B258" s="3">
        <v>2011</v>
      </c>
      <c r="C258" s="5">
        <v>232128000</v>
      </c>
      <c r="D258" s="62">
        <f>SUMPRODUCT(N(Tabela3[PAPEL]=Tabela2[[#This Row],[Ativo]]),Tabela3[Total Ações])</f>
        <v>168074028</v>
      </c>
      <c r="E258" s="65">
        <f>(Tabela2[[#This Row],[Lucro Líquido]])/Tabela2[[#This Row],[Total Ações]]</f>
        <v>1.3811057113476213</v>
      </c>
      <c r="F258" s="65">
        <v>1.158632954</v>
      </c>
      <c r="G258" s="22">
        <f>IF(AND(Tabela2[[#This Row],[Dividendo / Ação]]&gt;0,Tabela2[[#This Row],[Lucro por ação]]&gt;0),Tabela2[[#This Row],[Dividendo / Ação]]/Tabela2[[#This Row],[Lucro por ação]],"")</f>
        <v>0.83891692321615097</v>
      </c>
      <c r="H258" s="5">
        <f>MAX(Tabela2[[#This Row],[Cotação 1]],Tabela2[[#This Row],[Cotação 2]])</f>
        <v>9.5</v>
      </c>
      <c r="I258" s="18">
        <f>IF(Tabela2[[#This Row],[Dividendo / Ação]]&gt;0,Tabela2[[#This Row],[Dividendo / Ação]]/Tabela2[[#This Row],[Cotação]],"")</f>
        <v>0.12196136357894737</v>
      </c>
      <c r="J258" s="60">
        <f>SUMPRODUCT(N(Tabela1[Código]=Tabela2[[#This Row],[Ativo]]),Tabela1[Fechamento])</f>
        <v>9.5</v>
      </c>
      <c r="K258" s="60">
        <f>SUMPRODUCT(N(Tabela17[Código]=Tabela2[[#This Row],[Ativo]]),Tabela17[Fechamento])</f>
        <v>0</v>
      </c>
      <c r="M258" s="3"/>
    </row>
    <row r="259" spans="1:13">
      <c r="A259" s="4" t="s">
        <v>103</v>
      </c>
      <c r="B259" s="3">
        <v>2010</v>
      </c>
      <c r="C259" s="5">
        <v>253664000</v>
      </c>
      <c r="D259" s="62">
        <f>SUMPRODUCT(N(Tabela3[PAPEL]=Tabela2[[#This Row],[Ativo]]),Tabela3[Total Ações])</f>
        <v>168074028</v>
      </c>
      <c r="E259" s="65">
        <f>(Tabela2[[#This Row],[Lucro Líquido]])/Tabela2[[#This Row],[Total Ações]]</f>
        <v>1.5092397261996957</v>
      </c>
      <c r="F259" s="65">
        <v>1.1372260759999999</v>
      </c>
      <c r="G259" s="22">
        <f>IF(AND(Tabela2[[#This Row],[Dividendo / Ação]]&gt;0,Tabela2[[#This Row],[Lucro por ação]]&gt;0),Tabela2[[#This Row],[Dividendo / Ação]]/Tabela2[[#This Row],[Lucro por ação]],"")</f>
        <v>0.75350923796815517</v>
      </c>
      <c r="H259" s="5">
        <f>MAX(Tabela2[[#This Row],[Cotação 1]],Tabela2[[#This Row],[Cotação 2]])</f>
        <v>9.5</v>
      </c>
      <c r="I259" s="18">
        <f>IF(Tabela2[[#This Row],[Dividendo / Ação]]&gt;0,Tabela2[[#This Row],[Dividendo / Ação]]/Tabela2[[#This Row],[Cotação]],"")</f>
        <v>0.11970800799999999</v>
      </c>
      <c r="J259" s="60">
        <f>SUMPRODUCT(N(Tabela1[Código]=Tabela2[[#This Row],[Ativo]]),Tabela1[Fechamento])</f>
        <v>9.5</v>
      </c>
      <c r="K259" s="60">
        <f>SUMPRODUCT(N(Tabela17[Código]=Tabela2[[#This Row],[Ativo]]),Tabela17[Fechamento])</f>
        <v>0</v>
      </c>
      <c r="M259" s="3"/>
    </row>
    <row r="260" spans="1:13">
      <c r="A260" s="4" t="s">
        <v>103</v>
      </c>
      <c r="B260" s="3">
        <v>2009</v>
      </c>
      <c r="C260" s="5">
        <v>244788000</v>
      </c>
      <c r="D260" s="62">
        <f>SUMPRODUCT(N(Tabela3[PAPEL]=Tabela2[[#This Row],[Ativo]]),Tabela3[Total Ações])</f>
        <v>168074028</v>
      </c>
      <c r="E260" s="65">
        <f>(Tabela2[[#This Row],[Lucro Líquido]])/Tabela2[[#This Row],[Total Ações]]</f>
        <v>1.4564296632433893</v>
      </c>
      <c r="F260" s="65">
        <v>0.9505576</v>
      </c>
      <c r="G260" s="22">
        <f>IF(AND(Tabela2[[#This Row],[Dividendo / Ação]]&gt;0,Tabela2[[#This Row],[Lucro por ação]]&gt;0),Tabela2[[#This Row],[Dividendo / Ação]]/Tabela2[[#This Row],[Lucro por ação]],"")</f>
        <v>0.65266289474162464</v>
      </c>
      <c r="H260" s="5">
        <f>MAX(Tabela2[[#This Row],[Cotação 1]],Tabela2[[#This Row],[Cotação 2]])</f>
        <v>9.5</v>
      </c>
      <c r="I260" s="18">
        <f>IF(Tabela2[[#This Row],[Dividendo / Ação]]&gt;0,Tabela2[[#This Row],[Dividendo / Ação]]/Tabela2[[#This Row],[Cotação]],"")</f>
        <v>0.1000586947368421</v>
      </c>
      <c r="J260" s="60">
        <f>SUMPRODUCT(N(Tabela1[Código]=Tabela2[[#This Row],[Ativo]]),Tabela1[Fechamento])</f>
        <v>9.5</v>
      </c>
      <c r="K260" s="60">
        <f>SUMPRODUCT(N(Tabela17[Código]=Tabela2[[#This Row],[Ativo]]),Tabela17[Fechamento])</f>
        <v>0</v>
      </c>
      <c r="M260" s="3"/>
    </row>
    <row r="261" spans="1:13">
      <c r="A261" s="4" t="s">
        <v>104</v>
      </c>
      <c r="B261" s="4">
        <v>2012</v>
      </c>
      <c r="C261" s="6">
        <v>245872000</v>
      </c>
      <c r="D261" s="8">
        <f>SUMPRODUCT(N(Tabela3[PAPEL]=Tabela2[[#This Row],[Ativo]]),Tabela3[Total Ações])</f>
        <v>168074028</v>
      </c>
      <c r="E261" s="66">
        <f>(Tabela2[[#This Row],[Lucro Líquido]])/Tabela2[[#This Row],[Total Ações]]</f>
        <v>1.4628792022524741</v>
      </c>
      <c r="F261" s="66">
        <v>0.23160260399999999</v>
      </c>
      <c r="G261" s="46">
        <f>IF(AND(Tabela2[[#This Row],[Dividendo / Ação]]&gt;0,Tabela2[[#This Row],[Lucro por ação]]&gt;0),Tabela2[[#This Row],[Dividendo / Ação]]/Tabela2[[#This Row],[Lucro por ação]],"")</f>
        <v>0.1583197051700434</v>
      </c>
      <c r="H261" s="6">
        <f>MAX(Tabela2[[#This Row],[Cotação 1]],Tabela2[[#This Row],[Cotação 2]])</f>
        <v>10.119999999999999</v>
      </c>
      <c r="I261" s="19">
        <f>IF(Tabela2[[#This Row],[Dividendo / Ação]]&gt;0,Tabela2[[#This Row],[Dividendo / Ação]]/Tabela2[[#This Row],[Cotação]],"")</f>
        <v>2.2885632806324111E-2</v>
      </c>
      <c r="J261" s="61">
        <f>SUMPRODUCT(N(Tabela1[Código]=Tabela2[[#This Row],[Ativo]]),Tabela1[Fechamento])</f>
        <v>10.119999999999999</v>
      </c>
      <c r="K261" s="61">
        <f>SUMPRODUCT(N(Tabela17[Código]=Tabela2[[#This Row],[Ativo]]),Tabela17[Fechamento])</f>
        <v>0</v>
      </c>
      <c r="M261" s="3"/>
    </row>
    <row r="262" spans="1:13">
      <c r="A262" s="4" t="s">
        <v>104</v>
      </c>
      <c r="B262" s="3">
        <v>2011</v>
      </c>
      <c r="C262" s="5">
        <v>232128000</v>
      </c>
      <c r="D262" s="62">
        <f>SUMPRODUCT(N(Tabela3[PAPEL]=Tabela2[[#This Row],[Ativo]]),Tabela3[Total Ações])</f>
        <v>168074028</v>
      </c>
      <c r="E262" s="65">
        <f>(Tabela2[[#This Row],[Lucro Líquido]])/Tabela2[[#This Row],[Total Ações]]</f>
        <v>1.3811057113476213</v>
      </c>
      <c r="F262" s="65">
        <v>1.2744962500000001</v>
      </c>
      <c r="G262" s="22">
        <f>IF(AND(Tabela2[[#This Row],[Dividendo / Ação]]&gt;0,Tabela2[[#This Row],[Lucro por ação]]&gt;0),Tabela2[[#This Row],[Dividendo / Ação]]/Tabela2[[#This Row],[Lucro por ação]],"")</f>
        <v>0.92280861597220065</v>
      </c>
      <c r="H262" s="5">
        <f>MAX(Tabela2[[#This Row],[Cotação 1]],Tabela2[[#This Row],[Cotação 2]])</f>
        <v>10.119999999999999</v>
      </c>
      <c r="I262" s="18">
        <f>IF(Tabela2[[#This Row],[Dividendo / Ação]]&gt;0,Tabela2[[#This Row],[Dividendo / Ação]]/Tabela2[[#This Row],[Cotação]],"")</f>
        <v>0.12593836462450594</v>
      </c>
      <c r="J262" s="60">
        <f>SUMPRODUCT(N(Tabela1[Código]=Tabela2[[#This Row],[Ativo]]),Tabela1[Fechamento])</f>
        <v>10.119999999999999</v>
      </c>
      <c r="K262" s="60">
        <f>SUMPRODUCT(N(Tabela17[Código]=Tabela2[[#This Row],[Ativo]]),Tabela17[Fechamento])</f>
        <v>0</v>
      </c>
      <c r="M262" s="3"/>
    </row>
    <row r="263" spans="1:13">
      <c r="A263" s="4" t="s">
        <v>104</v>
      </c>
      <c r="B263" s="3">
        <v>2010</v>
      </c>
      <c r="C263" s="5">
        <v>253664000</v>
      </c>
      <c r="D263" s="62">
        <f>SUMPRODUCT(N(Tabela3[PAPEL]=Tabela2[[#This Row],[Ativo]]),Tabela3[Total Ações])</f>
        <v>168074028</v>
      </c>
      <c r="E263" s="65">
        <f>(Tabela2[[#This Row],[Lucro Líquido]])/Tabela2[[#This Row],[Total Ações]]</f>
        <v>1.5092397261996957</v>
      </c>
      <c r="F263" s="65">
        <v>1.250948685</v>
      </c>
      <c r="G263" s="22">
        <f>IF(AND(Tabela2[[#This Row],[Dividendo / Ação]]&gt;0,Tabela2[[#This Row],[Lucro por ação]]&gt;0),Tabela2[[#This Row],[Dividendo / Ação]]/Tabela2[[#This Row],[Lucro por ação]],"")</f>
        <v>0.82886016269259011</v>
      </c>
      <c r="H263" s="5">
        <f>MAX(Tabela2[[#This Row],[Cotação 1]],Tabela2[[#This Row],[Cotação 2]])</f>
        <v>10.119999999999999</v>
      </c>
      <c r="I263" s="18">
        <f>IF(Tabela2[[#This Row],[Dividendo / Ação]]&gt;0,Tabela2[[#This Row],[Dividendo / Ação]]/Tabela2[[#This Row],[Cotação]],"")</f>
        <v>0.12361153013833993</v>
      </c>
      <c r="J263" s="60">
        <f>SUMPRODUCT(N(Tabela1[Código]=Tabela2[[#This Row],[Ativo]]),Tabela1[Fechamento])</f>
        <v>10.119999999999999</v>
      </c>
      <c r="K263" s="60">
        <f>SUMPRODUCT(N(Tabela17[Código]=Tabela2[[#This Row],[Ativo]]),Tabela17[Fechamento])</f>
        <v>0</v>
      </c>
      <c r="M263" s="3"/>
    </row>
    <row r="264" spans="1:13">
      <c r="A264" s="4" t="s">
        <v>104</v>
      </c>
      <c r="B264" s="3">
        <v>2009</v>
      </c>
      <c r="C264" s="5">
        <v>244788000</v>
      </c>
      <c r="D264" s="62">
        <f>SUMPRODUCT(N(Tabela3[PAPEL]=Tabela2[[#This Row],[Ativo]]),Tabela3[Total Ações])</f>
        <v>168074028</v>
      </c>
      <c r="E264" s="65">
        <f>(Tabela2[[#This Row],[Lucro Líquido]])/Tabela2[[#This Row],[Total Ações]]</f>
        <v>1.4564296632433893</v>
      </c>
      <c r="F264" s="65">
        <v>1.0456133000000001</v>
      </c>
      <c r="G264" s="22">
        <f>IF(AND(Tabela2[[#This Row],[Dividendo / Ação]]&gt;0,Tabela2[[#This Row],[Lucro por ação]]&gt;0),Tabela2[[#This Row],[Dividendo / Ação]]/Tabela2[[#This Row],[Lucro por ação]],"")</f>
        <v>0.717929143019153</v>
      </c>
      <c r="H264" s="5">
        <f>MAX(Tabela2[[#This Row],[Cotação 1]],Tabela2[[#This Row],[Cotação 2]])</f>
        <v>10.119999999999999</v>
      </c>
      <c r="I264" s="18">
        <f>IF(Tabela2[[#This Row],[Dividendo / Ação]]&gt;0,Tabela2[[#This Row],[Dividendo / Ação]]/Tabela2[[#This Row],[Cotação]],"")</f>
        <v>0.10332147233201583</v>
      </c>
      <c r="J264" s="60">
        <f>SUMPRODUCT(N(Tabela1[Código]=Tabela2[[#This Row],[Ativo]]),Tabela1[Fechamento])</f>
        <v>10.119999999999999</v>
      </c>
      <c r="K264" s="60">
        <f>SUMPRODUCT(N(Tabela17[Código]=Tabela2[[#This Row],[Ativo]]),Tabela17[Fechamento])</f>
        <v>0</v>
      </c>
      <c r="M264" s="3"/>
    </row>
    <row r="265" spans="1:13">
      <c r="A265" s="4" t="s">
        <v>71</v>
      </c>
      <c r="B265" s="4">
        <v>2012</v>
      </c>
      <c r="C265" s="6">
        <v>245872000</v>
      </c>
      <c r="D265" s="8">
        <f>SUMPRODUCT(N(Tabela3[PAPEL]=Tabela2[[#This Row],[Ativo]]),Tabela3[Total Ações])</f>
        <v>168074028</v>
      </c>
      <c r="E265" s="66">
        <f>(Tabela2[[#This Row],[Lucro Líquido]])/Tabela2[[#This Row],[Total Ações]]</f>
        <v>1.4628792022524741</v>
      </c>
      <c r="F265" s="66">
        <v>0.23160260399999999</v>
      </c>
      <c r="G265" s="46">
        <f>IF(AND(Tabela2[[#This Row],[Dividendo / Ação]]&gt;0,Tabela2[[#This Row],[Lucro por ação]]&gt;0),Tabela2[[#This Row],[Dividendo / Ação]]/Tabela2[[#This Row],[Lucro por ação]],"")</f>
        <v>0.1583197051700434</v>
      </c>
      <c r="H265" s="6">
        <f>MAX(Tabela2[[#This Row],[Cotação 1]],Tabela2[[#This Row],[Cotação 2]])</f>
        <v>9</v>
      </c>
      <c r="I265" s="19">
        <f>IF(Tabela2[[#This Row],[Dividendo / Ação]]&gt;0,Tabela2[[#This Row],[Dividendo / Ação]]/Tabela2[[#This Row],[Cotação]],"")</f>
        <v>2.5733622666666664E-2</v>
      </c>
      <c r="J265" s="61">
        <f>SUMPRODUCT(N(Tabela1[Código]=Tabela2[[#This Row],[Ativo]]),Tabela1[Fechamento])</f>
        <v>9</v>
      </c>
      <c r="K265" s="61">
        <f>SUMPRODUCT(N(Tabela17[Código]=Tabela2[[#This Row],[Ativo]]),Tabela17[Fechamento])</f>
        <v>0</v>
      </c>
      <c r="M265" s="3"/>
    </row>
    <row r="266" spans="1:13">
      <c r="A266" s="4" t="s">
        <v>71</v>
      </c>
      <c r="B266" s="4">
        <v>2011</v>
      </c>
      <c r="C266" s="5">
        <v>232128000</v>
      </c>
      <c r="D266" s="8">
        <f>SUMPRODUCT(N(Tabela3[PAPEL]=Tabela2[[#This Row],[Ativo]]),Tabela3[Total Ações])</f>
        <v>168074028</v>
      </c>
      <c r="E266" s="66">
        <f>(Tabela2[[#This Row],[Lucro Líquido]])/Tabela2[[#This Row],[Total Ações]]</f>
        <v>1.3811057113476213</v>
      </c>
      <c r="F266" s="65">
        <v>1.2744962500000001</v>
      </c>
      <c r="G266" s="46">
        <f>IF(AND(Tabela2[[#This Row],[Dividendo / Ação]]&gt;0,Tabela2[[#This Row],[Lucro por ação]]&gt;0),Tabela2[[#This Row],[Dividendo / Ação]]/Tabela2[[#This Row],[Lucro por ação]],"")</f>
        <v>0.92280861597220065</v>
      </c>
      <c r="H266" s="6">
        <f>MAX(Tabela2[[#This Row],[Cotação 1]],Tabela2[[#This Row],[Cotação 2]])</f>
        <v>9</v>
      </c>
      <c r="I266" s="19">
        <f>IF(Tabela2[[#This Row],[Dividendo / Ação]]&gt;0,Tabela2[[#This Row],[Dividendo / Ação]]/Tabela2[[#This Row],[Cotação]],"")</f>
        <v>0.14161069444444446</v>
      </c>
      <c r="J266" s="61">
        <f>SUMPRODUCT(N(Tabela1[Código]=Tabela2[[#This Row],[Ativo]]),Tabela1[Fechamento])</f>
        <v>9</v>
      </c>
      <c r="K266" s="61">
        <f>SUMPRODUCT(N(Tabela17[Código]=Tabela2[[#This Row],[Ativo]]),Tabela17[Fechamento])</f>
        <v>0</v>
      </c>
      <c r="M266" s="3"/>
    </row>
    <row r="267" spans="1:13">
      <c r="A267" s="4" t="s">
        <v>71</v>
      </c>
      <c r="B267" s="4">
        <v>2010</v>
      </c>
      <c r="C267" s="5">
        <v>253664000</v>
      </c>
      <c r="D267" s="8">
        <f>SUMPRODUCT(N(Tabela3[PAPEL]=Tabela2[[#This Row],[Ativo]]),Tabela3[Total Ações])</f>
        <v>168074028</v>
      </c>
      <c r="E267" s="66">
        <f>(Tabela2[[#This Row],[Lucro Líquido]])/Tabela2[[#This Row],[Total Ações]]</f>
        <v>1.5092397261996957</v>
      </c>
      <c r="F267" s="65">
        <v>1.250948685</v>
      </c>
      <c r="G267" s="46">
        <f>IF(AND(Tabela2[[#This Row],[Dividendo / Ação]]&gt;0,Tabela2[[#This Row],[Lucro por ação]]&gt;0),Tabela2[[#This Row],[Dividendo / Ação]]/Tabela2[[#This Row],[Lucro por ação]],"")</f>
        <v>0.82886016269259011</v>
      </c>
      <c r="H267" s="6">
        <f>MAX(Tabela2[[#This Row],[Cotação 1]],Tabela2[[#This Row],[Cotação 2]])</f>
        <v>9</v>
      </c>
      <c r="I267" s="19">
        <f>IF(Tabela2[[#This Row],[Dividendo / Ação]]&gt;0,Tabela2[[#This Row],[Dividendo / Ação]]/Tabela2[[#This Row],[Cotação]],"")</f>
        <v>0.13899429833333332</v>
      </c>
      <c r="J267" s="61">
        <f>SUMPRODUCT(N(Tabela1[Código]=Tabela2[[#This Row],[Ativo]]),Tabela1[Fechamento])</f>
        <v>9</v>
      </c>
      <c r="K267" s="61">
        <f>SUMPRODUCT(N(Tabela17[Código]=Tabela2[[#This Row],[Ativo]]),Tabela17[Fechamento])</f>
        <v>0</v>
      </c>
      <c r="M267" s="3"/>
    </row>
    <row r="268" spans="1:13">
      <c r="A268" s="4" t="s">
        <v>71</v>
      </c>
      <c r="B268" s="4">
        <v>2009</v>
      </c>
      <c r="C268" s="5">
        <v>244788000</v>
      </c>
      <c r="D268" s="8">
        <f>SUMPRODUCT(N(Tabela3[PAPEL]=Tabela2[[#This Row],[Ativo]]),Tabela3[Total Ações])</f>
        <v>168074028</v>
      </c>
      <c r="E268" s="66">
        <f>(Tabela2[[#This Row],[Lucro Líquido]])/Tabela2[[#This Row],[Total Ações]]</f>
        <v>1.4564296632433893</v>
      </c>
      <c r="F268" s="65">
        <v>1.0456133000000001</v>
      </c>
      <c r="G268" s="46">
        <f>IF(AND(Tabela2[[#This Row],[Dividendo / Ação]]&gt;0,Tabela2[[#This Row],[Lucro por ação]]&gt;0),Tabela2[[#This Row],[Dividendo / Ação]]/Tabela2[[#This Row],[Lucro por ação]],"")</f>
        <v>0.717929143019153</v>
      </c>
      <c r="H268" s="6">
        <f>MAX(Tabela2[[#This Row],[Cotação 1]],Tabela2[[#This Row],[Cotação 2]])</f>
        <v>9</v>
      </c>
      <c r="I268" s="19">
        <f>IF(Tabela2[[#This Row],[Dividendo / Ação]]&gt;0,Tabela2[[#This Row],[Dividendo / Ação]]/Tabela2[[#This Row],[Cotação]],"")</f>
        <v>0.11617925555555557</v>
      </c>
      <c r="J268" s="61">
        <f>SUMPRODUCT(N(Tabela1[Código]=Tabela2[[#This Row],[Ativo]]),Tabela1[Fechamento])</f>
        <v>9</v>
      </c>
      <c r="K268" s="61">
        <f>SUMPRODUCT(N(Tabela17[Código]=Tabela2[[#This Row],[Ativo]]),Tabela17[Fechamento])</f>
        <v>0</v>
      </c>
      <c r="M268" s="3"/>
    </row>
    <row r="269" spans="1:13">
      <c r="A269" s="4" t="s">
        <v>15</v>
      </c>
      <c r="B269" s="4">
        <v>2012</v>
      </c>
      <c r="C269" s="6">
        <v>357464258.91000003</v>
      </c>
      <c r="D269" s="8">
        <f>SUMPRODUCT(N(Tabela3[PAPEL]=Tabela2[[#This Row],[Ativo]]),Tabela3[Total Ações])</f>
        <v>243051520</v>
      </c>
      <c r="E269" s="66">
        <f>(Tabela2[[#This Row],[Lucro Líquido]])/Tabela2[[#This Row],[Total Ações]]</f>
        <v>1.4707345130365777</v>
      </c>
      <c r="F269" s="66">
        <v>0.74467047200000003</v>
      </c>
      <c r="G269" s="46">
        <f>IF(AND(Tabela2[[#This Row],[Dividendo / Ação]]&gt;0,Tabela2[[#This Row],[Lucro por ação]]&gt;0),Tabela2[[#This Row],[Dividendo / Ação]]/Tabela2[[#This Row],[Lucro por ação]],"")</f>
        <v>0.50632555733155615</v>
      </c>
      <c r="H269" s="6">
        <f>MAX(Tabela2[[#This Row],[Cotação 1]],Tabela2[[#This Row],[Cotação 2]])</f>
        <v>7.78</v>
      </c>
      <c r="I269" s="19">
        <f>IF(Tabela2[[#This Row],[Dividendo / Ação]]&gt;0,Tabela2[[#This Row],[Dividendo / Ação]]/Tabela2[[#This Row],[Cotação]],"")</f>
        <v>9.5715998971722366E-2</v>
      </c>
      <c r="J269" s="61">
        <f>SUMPRODUCT(N(Tabela1[Código]=Tabela2[[#This Row],[Ativo]]),Tabela1[Fechamento])</f>
        <v>7.78</v>
      </c>
      <c r="K269" s="61">
        <f>SUMPRODUCT(N(Tabela17[Código]=Tabela2[[#This Row],[Ativo]]),Tabela17[Fechamento])</f>
        <v>0</v>
      </c>
      <c r="M269" s="3"/>
    </row>
    <row r="270" spans="1:13">
      <c r="A270" s="4" t="s">
        <v>15</v>
      </c>
      <c r="B270" s="4">
        <v>2011</v>
      </c>
      <c r="C270" s="6">
        <v>305060417.76999998</v>
      </c>
      <c r="D270" s="8">
        <f>SUMPRODUCT(N(Tabela3[PAPEL]=Tabela2[[#This Row],[Ativo]]),Tabela3[Total Ações])</f>
        <v>243051520</v>
      </c>
      <c r="E270" s="66">
        <f>(Tabela2[[#This Row],[Lucro Líquido]])/Tabela2[[#This Row],[Total Ações]]</f>
        <v>1.2551265582293005</v>
      </c>
      <c r="F270" s="66">
        <v>0.63549999999999995</v>
      </c>
      <c r="G270" s="46">
        <f>IF(AND(Tabela2[[#This Row],[Dividendo / Ação]]&gt;0,Tabela2[[#This Row],[Lucro por ação]]&gt;0),Tabela2[[#This Row],[Dividendo / Ação]]/Tabela2[[#This Row],[Lucro por ação]],"")</f>
        <v>0.50632344271046792</v>
      </c>
      <c r="H270" s="6">
        <f>MAX(Tabela2[[#This Row],[Cotação 1]],Tabela2[[#This Row],[Cotação 2]])</f>
        <v>7.78</v>
      </c>
      <c r="I270" s="19">
        <f>IF(Tabela2[[#This Row],[Dividendo / Ação]]&gt;0,Tabela2[[#This Row],[Dividendo / Ação]]/Tabela2[[#This Row],[Cotação]],"")</f>
        <v>8.1683804627249348E-2</v>
      </c>
      <c r="J270" s="61">
        <f>SUMPRODUCT(N(Tabela1[Código]=Tabela2[[#This Row],[Ativo]]),Tabela1[Fechamento])</f>
        <v>7.78</v>
      </c>
      <c r="K270" s="61">
        <f>SUMPRODUCT(N(Tabela17[Código]=Tabela2[[#This Row],[Ativo]]),Tabela17[Fechamento])</f>
        <v>0</v>
      </c>
      <c r="M270" s="3"/>
    </row>
    <row r="271" spans="1:13">
      <c r="A271" s="4" t="s">
        <v>15</v>
      </c>
      <c r="B271" s="4">
        <v>2010</v>
      </c>
      <c r="C271" s="6">
        <v>276916946.19</v>
      </c>
      <c r="D271" s="8">
        <f>SUMPRODUCT(N(Tabela3[PAPEL]=Tabela2[[#This Row],[Ativo]]),Tabela3[Total Ações])</f>
        <v>243051520</v>
      </c>
      <c r="E271" s="66">
        <f>(Tabela2[[#This Row],[Lucro Líquido]])/Tabela2[[#This Row],[Total Ações]]</f>
        <v>1.1393343526096853</v>
      </c>
      <c r="F271" s="66">
        <v>0.57389999999999997</v>
      </c>
      <c r="G271" s="46">
        <f>IF(AND(Tabela2[[#This Row],[Dividendo / Ação]]&gt;0,Tabela2[[#This Row],[Lucro por ação]]&gt;0),Tabela2[[#This Row],[Dividendo / Ação]]/Tabela2[[#This Row],[Lucro por ação]],"")</f>
        <v>0.50371517253514031</v>
      </c>
      <c r="H271" s="6">
        <f>MAX(Tabela2[[#This Row],[Cotação 1]],Tabela2[[#This Row],[Cotação 2]])</f>
        <v>7.78</v>
      </c>
      <c r="I271" s="19">
        <f>IF(Tabela2[[#This Row],[Dividendo / Ação]]&gt;0,Tabela2[[#This Row],[Dividendo / Ação]]/Tabela2[[#This Row],[Cotação]],"")</f>
        <v>7.3766066838046263E-2</v>
      </c>
      <c r="J271" s="61">
        <f>SUMPRODUCT(N(Tabela1[Código]=Tabela2[[#This Row],[Ativo]]),Tabela1[Fechamento])</f>
        <v>7.78</v>
      </c>
      <c r="K271" s="61">
        <f>SUMPRODUCT(N(Tabela17[Código]=Tabela2[[#This Row],[Ativo]]),Tabela17[Fechamento])</f>
        <v>0</v>
      </c>
      <c r="M271" s="3"/>
    </row>
    <row r="272" spans="1:13">
      <c r="A272" s="4" t="s">
        <v>15</v>
      </c>
      <c r="B272" s="4">
        <v>2009</v>
      </c>
      <c r="C272" s="6">
        <v>211087826.47999999</v>
      </c>
      <c r="D272" s="8">
        <f>SUMPRODUCT(N(Tabela3[PAPEL]=Tabela2[[#This Row],[Ativo]]),Tabela3[Total Ações])</f>
        <v>243051520</v>
      </c>
      <c r="E272" s="66">
        <f>(Tabela2[[#This Row],[Lucro Líquido]])/Tabela2[[#This Row],[Total Ações]]</f>
        <v>0.8684900488587769</v>
      </c>
      <c r="F272" s="66">
        <v>0.43609999999999999</v>
      </c>
      <c r="G272" s="46">
        <f>IF(AND(Tabela2[[#This Row],[Dividendo / Ação]]&gt;0,Tabela2[[#This Row],[Lucro por ação]]&gt;0),Tabela2[[#This Row],[Dividendo / Ação]]/Tabela2[[#This Row],[Lucro por ação]],"")</f>
        <v>0.50213586278052236</v>
      </c>
      <c r="H272" s="6">
        <f>MAX(Tabela2[[#This Row],[Cotação 1]],Tabela2[[#This Row],[Cotação 2]])</f>
        <v>7.78</v>
      </c>
      <c r="I272" s="19">
        <f>IF(Tabela2[[#This Row],[Dividendo / Ação]]&gt;0,Tabela2[[#This Row],[Dividendo / Ação]]/Tabela2[[#This Row],[Cotação]],"")</f>
        <v>5.6053984575835471E-2</v>
      </c>
      <c r="J272" s="61">
        <f>SUMPRODUCT(N(Tabela1[Código]=Tabela2[[#This Row],[Ativo]]),Tabela1[Fechamento])</f>
        <v>7.78</v>
      </c>
      <c r="K272" s="61">
        <f>SUMPRODUCT(N(Tabela17[Código]=Tabela2[[#This Row],[Ativo]]),Tabela17[Fechamento])</f>
        <v>0</v>
      </c>
      <c r="M272" s="3"/>
    </row>
    <row r="273" spans="1:13">
      <c r="A273" s="4" t="s">
        <v>368</v>
      </c>
      <c r="B273" s="4">
        <v>2012</v>
      </c>
      <c r="C273" s="6">
        <v>459255478.19</v>
      </c>
      <c r="D273" s="78">
        <f>SUMPRODUCT(N(Tabela3[PAPEL]=Tabela2[[#This Row],[Ativo]]),Tabela3[Total Ações])</f>
        <v>605059489</v>
      </c>
      <c r="E273" s="66">
        <f>(Tabela2[[#This Row],[Lucro Líquido]])/Tabela2[[#This Row],[Total Ações]]</f>
        <v>0.7590253298052152</v>
      </c>
      <c r="F273" s="66">
        <v>0.28884578700000002</v>
      </c>
      <c r="G273" s="45">
        <f>IF(AND(Tabela2[[#This Row],[Dividendo / Ação]]&gt;0,Tabela2[[#This Row],[Lucro por ação]]&gt;0),Tabela2[[#This Row],[Dividendo / Ação]]/Tabela2[[#This Row],[Lucro por ação]],"")</f>
        <v>0.38054828430314053</v>
      </c>
      <c r="H273" s="61">
        <f>MAX(Tabela2[[#This Row],[Cotação 1]],Tabela2[[#This Row],[Cotação 2]])</f>
        <v>12.54</v>
      </c>
      <c r="I273" s="46">
        <f>IF(Tabela2[[#This Row],[Dividendo / Ação]]&gt;0,Tabela2[[#This Row],[Dividendo / Ação]]/Tabela2[[#This Row],[Cotação]],"")</f>
        <v>2.30339543062201E-2</v>
      </c>
      <c r="J273" s="17">
        <f>SUMPRODUCT(N(Tabela1[Código]=Tabela2[[#This Row],[Ativo]]),Tabela1[Fechamento])</f>
        <v>0</v>
      </c>
      <c r="K273" s="17">
        <f>SUMPRODUCT(N(Tabela17[Código]=Tabela2[[#This Row],[Ativo]]),Tabela17[Fechamento])</f>
        <v>12.54</v>
      </c>
      <c r="M273" s="3"/>
    </row>
    <row r="274" spans="1:13">
      <c r="A274" s="4" t="s">
        <v>368</v>
      </c>
      <c r="B274" s="4">
        <v>2011</v>
      </c>
      <c r="C274" s="6">
        <v>374211888.35000002</v>
      </c>
      <c r="D274" s="78">
        <f>SUMPRODUCT(N(Tabela3[PAPEL]=Tabela2[[#This Row],[Ativo]]),Tabela3[Total Ações])</f>
        <v>605059489</v>
      </c>
      <c r="E274" s="66">
        <f>(Tabela2[[#This Row],[Lucro Líquido]])/Tabela2[[#This Row],[Total Ações]]</f>
        <v>0.61847123324761211</v>
      </c>
      <c r="F274" s="66">
        <v>0.23499071399999999</v>
      </c>
      <c r="G274" s="45">
        <f>IF(AND(Tabela2[[#This Row],[Dividendo / Ação]]&gt;0,Tabela2[[#This Row],[Lucro por ação]]&gt;0),Tabela2[[#This Row],[Dividendo / Ação]]/Tabela2[[#This Row],[Lucro por ação]],"")</f>
        <v>0.37995415367349633</v>
      </c>
      <c r="H274" s="61">
        <f>MAX(Tabela2[[#This Row],[Cotação 1]],Tabela2[[#This Row],[Cotação 2]])</f>
        <v>12.54</v>
      </c>
      <c r="I274" s="46">
        <f>IF(Tabela2[[#This Row],[Dividendo / Ação]]&gt;0,Tabela2[[#This Row],[Dividendo / Ação]]/Tabela2[[#This Row],[Cotação]],"")</f>
        <v>1.8739291387559809E-2</v>
      </c>
      <c r="J274" s="17">
        <f>SUMPRODUCT(N(Tabela1[Código]=Tabela2[[#This Row],[Ativo]]),Tabela1[Fechamento])</f>
        <v>0</v>
      </c>
      <c r="K274" s="17">
        <f>SUMPRODUCT(N(Tabela17[Código]=Tabela2[[#This Row],[Ativo]]),Tabela17[Fechamento])</f>
        <v>12.54</v>
      </c>
      <c r="M274" s="3"/>
    </row>
    <row r="275" spans="1:13">
      <c r="A275" s="4" t="s">
        <v>368</v>
      </c>
      <c r="B275" s="4">
        <v>2010</v>
      </c>
      <c r="C275" s="6">
        <v>466895395.82999998</v>
      </c>
      <c r="D275" s="78">
        <f>SUMPRODUCT(N(Tabela3[PAPEL]=Tabela2[[#This Row],[Ativo]]),Tabela3[Total Ações])</f>
        <v>605059489</v>
      </c>
      <c r="E275" s="66">
        <f>(Tabela2[[#This Row],[Lucro Líquido]])/Tabela2[[#This Row],[Total Ações]]</f>
        <v>0.77165205127458136</v>
      </c>
      <c r="F275" s="66">
        <v>0.34668314900000002</v>
      </c>
      <c r="G275" s="45">
        <f>IF(AND(Tabela2[[#This Row],[Dividendo / Ação]]&gt;0,Tabela2[[#This Row],[Lucro por ação]]&gt;0),Tabela2[[#This Row],[Dividendo / Ação]]/Tabela2[[#This Row],[Lucro por ação]],"")</f>
        <v>0.44927392913342723</v>
      </c>
      <c r="H275" s="61">
        <f>MAX(Tabela2[[#This Row],[Cotação 1]],Tabela2[[#This Row],[Cotação 2]])</f>
        <v>12.54</v>
      </c>
      <c r="I275" s="46">
        <f>IF(Tabela2[[#This Row],[Dividendo / Ação]]&gt;0,Tabela2[[#This Row],[Dividendo / Ação]]/Tabela2[[#This Row],[Cotação]],"")</f>
        <v>2.7646184130781504E-2</v>
      </c>
      <c r="J275" s="17">
        <f>SUMPRODUCT(N(Tabela1[Código]=Tabela2[[#This Row],[Ativo]]),Tabela1[Fechamento])</f>
        <v>0</v>
      </c>
      <c r="K275" s="17">
        <f>SUMPRODUCT(N(Tabela17[Código]=Tabela2[[#This Row],[Ativo]]),Tabela17[Fechamento])</f>
        <v>12.54</v>
      </c>
      <c r="M275" s="3"/>
    </row>
    <row r="276" spans="1:13">
      <c r="A276" s="4" t="s">
        <v>368</v>
      </c>
      <c r="B276" s="4">
        <v>2009</v>
      </c>
      <c r="C276" s="6">
        <v>179469272.13999999</v>
      </c>
      <c r="D276" s="78">
        <f>SUMPRODUCT(N(Tabela3[PAPEL]=Tabela2[[#This Row],[Ativo]]),Tabela3[Total Ações])</f>
        <v>605059489</v>
      </c>
      <c r="E276" s="66">
        <f>(Tabela2[[#This Row],[Lucro Líquido]])/Tabela2[[#This Row],[Total Ações]]</f>
        <v>0.29661425926335649</v>
      </c>
      <c r="F276" s="66">
        <v>7.8760800000000006E-2</v>
      </c>
      <c r="G276" s="45">
        <f>IF(AND(Tabela2[[#This Row],[Dividendo / Ação]]&gt;0,Tabela2[[#This Row],[Lucro por ação]]&gt;0),Tabela2[[#This Row],[Dividendo / Ação]]/Tabela2[[#This Row],[Lucro por ação]],"")</f>
        <v>0.26553275016380867</v>
      </c>
      <c r="H276" s="61">
        <f>MAX(Tabela2[[#This Row],[Cotação 1]],Tabela2[[#This Row],[Cotação 2]])</f>
        <v>12.54</v>
      </c>
      <c r="I276" s="46">
        <f>IF(Tabela2[[#This Row],[Dividendo / Ação]]&gt;0,Tabela2[[#This Row],[Dividendo / Ação]]/Tabela2[[#This Row],[Cotação]],"")</f>
        <v>6.280765550239235E-3</v>
      </c>
      <c r="J276" s="17">
        <f>SUMPRODUCT(N(Tabela1[Código]=Tabela2[[#This Row],[Ativo]]),Tabela1[Fechamento])</f>
        <v>0</v>
      </c>
      <c r="K276" s="17">
        <f>SUMPRODUCT(N(Tabela17[Código]=Tabela2[[#This Row],[Ativo]]),Tabela17[Fechamento])</f>
        <v>12.54</v>
      </c>
      <c r="M276" s="3"/>
    </row>
    <row r="277" spans="1:13">
      <c r="A277" s="4" t="s">
        <v>105</v>
      </c>
      <c r="B277" s="4">
        <v>2012</v>
      </c>
      <c r="C277" s="6">
        <v>-130200000</v>
      </c>
      <c r="D277" s="8">
        <f>SUMPRODUCT(N(Tabela3[PAPEL]=Tabela2[[#This Row],[Ativo]]),Tabela3[Total Ações])</f>
        <v>387229828</v>
      </c>
      <c r="E277" s="66">
        <f>(Tabela2[[#This Row],[Lucro Líquido]])/Tabela2[[#This Row],[Total Ações]]</f>
        <v>-0.33623442871761416</v>
      </c>
      <c r="F277" s="66">
        <v>0</v>
      </c>
      <c r="G277" s="46" t="str">
        <f>IF(AND(Tabela2[[#This Row],[Dividendo / Ação]]&gt;0,Tabela2[[#This Row],[Lucro por ação]]&gt;0),Tabela2[[#This Row],[Dividendo / Ação]]/Tabela2[[#This Row],[Lucro por ação]],"")</f>
        <v/>
      </c>
      <c r="H277" s="6">
        <f>MAX(Tabela2[[#This Row],[Cotação 1]],Tabela2[[#This Row],[Cotação 2]])</f>
        <v>1.4</v>
      </c>
      <c r="I277" s="19" t="str">
        <f>IF(Tabela2[[#This Row],[Dividendo / Ação]]&gt;0,Tabela2[[#This Row],[Dividendo / Ação]]/Tabela2[[#This Row],[Cotação]],"")</f>
        <v/>
      </c>
      <c r="J277" s="61">
        <f>SUMPRODUCT(N(Tabela1[Código]=Tabela2[[#This Row],[Ativo]]),Tabela1[Fechamento])</f>
        <v>1.4</v>
      </c>
      <c r="K277" s="61">
        <f>SUMPRODUCT(N(Tabela17[Código]=Tabela2[[#This Row],[Ativo]]),Tabela17[Fechamento])</f>
        <v>0</v>
      </c>
      <c r="M277" s="3"/>
    </row>
    <row r="278" spans="1:13">
      <c r="A278" s="4" t="s">
        <v>105</v>
      </c>
      <c r="B278" s="3">
        <v>2011</v>
      </c>
      <c r="C278" s="5">
        <v>88173075.810000002</v>
      </c>
      <c r="D278" s="62">
        <f>SUMPRODUCT(N(Tabela3[PAPEL]=Tabela2[[#This Row],[Ativo]]),Tabela3[Total Ações])</f>
        <v>387229828</v>
      </c>
      <c r="E278" s="65">
        <f>(Tabela2[[#This Row],[Lucro Líquido]])/Tabela2[[#This Row],[Total Ações]]</f>
        <v>0.22770217951805097</v>
      </c>
      <c r="F278" s="65">
        <v>0.1</v>
      </c>
      <c r="G278" s="22">
        <f>IF(AND(Tabela2[[#This Row],[Dividendo / Ação]]&gt;0,Tabela2[[#This Row],[Lucro por ação]]&gt;0),Tabela2[[#This Row],[Dividendo / Ação]]/Tabela2[[#This Row],[Lucro por ação]],"")</f>
        <v>0.43917014853198871</v>
      </c>
      <c r="H278" s="5">
        <f>MAX(Tabela2[[#This Row],[Cotação 1]],Tabela2[[#This Row],[Cotação 2]])</f>
        <v>1.4</v>
      </c>
      <c r="I278" s="18">
        <f>IF(Tabela2[[#This Row],[Dividendo / Ação]]&gt;0,Tabela2[[#This Row],[Dividendo / Ação]]/Tabela2[[#This Row],[Cotação]],"")</f>
        <v>7.1428571428571438E-2</v>
      </c>
      <c r="J278" s="60">
        <f>SUMPRODUCT(N(Tabela1[Código]=Tabela2[[#This Row],[Ativo]]),Tabela1[Fechamento])</f>
        <v>1.4</v>
      </c>
      <c r="K278" s="60">
        <f>SUMPRODUCT(N(Tabela17[Código]=Tabela2[[#This Row],[Ativo]]),Tabela17[Fechamento])</f>
        <v>0</v>
      </c>
      <c r="M278" s="3"/>
    </row>
    <row r="279" spans="1:13">
      <c r="A279" s="4" t="s">
        <v>106</v>
      </c>
      <c r="B279" s="4">
        <v>2012</v>
      </c>
      <c r="C279" s="6">
        <v>-130200000</v>
      </c>
      <c r="D279" s="8">
        <f>SUMPRODUCT(N(Tabela3[PAPEL]=Tabela2[[#This Row],[Ativo]]),Tabela3[Total Ações])</f>
        <v>387229828</v>
      </c>
      <c r="E279" s="66">
        <f>(Tabela2[[#This Row],[Lucro Líquido]])/Tabela2[[#This Row],[Total Ações]]</f>
        <v>-0.33623442871761416</v>
      </c>
      <c r="F279" s="66">
        <v>0</v>
      </c>
      <c r="G279" s="46" t="str">
        <f>IF(AND(Tabela2[[#This Row],[Dividendo / Ação]]&gt;0,Tabela2[[#This Row],[Lucro por ação]]&gt;0),Tabela2[[#This Row],[Dividendo / Ação]]/Tabela2[[#This Row],[Lucro por ação]],"")</f>
        <v/>
      </c>
      <c r="H279" s="6">
        <f>MAX(Tabela2[[#This Row],[Cotação 1]],Tabela2[[#This Row],[Cotação 2]])</f>
        <v>1.85</v>
      </c>
      <c r="I279" s="19" t="str">
        <f>IF(Tabela2[[#This Row],[Dividendo / Ação]]&gt;0,Tabela2[[#This Row],[Dividendo / Ação]]/Tabela2[[#This Row],[Cotação]],"")</f>
        <v/>
      </c>
      <c r="J279" s="61">
        <f>SUMPRODUCT(N(Tabela1[Código]=Tabela2[[#This Row],[Ativo]]),Tabela1[Fechamento])</f>
        <v>1.85</v>
      </c>
      <c r="K279" s="61">
        <f>SUMPRODUCT(N(Tabela17[Código]=Tabela2[[#This Row],[Ativo]]),Tabela17[Fechamento])</f>
        <v>0</v>
      </c>
      <c r="M279" s="3"/>
    </row>
    <row r="280" spans="1:13">
      <c r="A280" s="4" t="s">
        <v>106</v>
      </c>
      <c r="B280" s="4">
        <v>2011</v>
      </c>
      <c r="C280" s="5">
        <v>88173075.810000002</v>
      </c>
      <c r="D280" s="8">
        <f>SUMPRODUCT(N(Tabela3[PAPEL]=Tabela2[[#This Row],[Ativo]]),Tabela3[Total Ações])</f>
        <v>387229828</v>
      </c>
      <c r="E280" s="66">
        <f>(Tabela2[[#This Row],[Lucro Líquido]])/Tabela2[[#This Row],[Total Ações]]</f>
        <v>0.22770217951805097</v>
      </c>
      <c r="F280" s="66">
        <v>0.1</v>
      </c>
      <c r="G280" s="46">
        <f>IF(AND(Tabela2[[#This Row],[Dividendo / Ação]]&gt;0,Tabela2[[#This Row],[Lucro por ação]]&gt;0),Tabela2[[#This Row],[Dividendo / Ação]]/Tabela2[[#This Row],[Lucro por ação]],"")</f>
        <v>0.43917014853198871</v>
      </c>
      <c r="H280" s="6">
        <f>MAX(Tabela2[[#This Row],[Cotação 1]],Tabela2[[#This Row],[Cotação 2]])</f>
        <v>1.85</v>
      </c>
      <c r="I280" s="19">
        <f>IF(Tabela2[[#This Row],[Dividendo / Ação]]&gt;0,Tabela2[[#This Row],[Dividendo / Ação]]/Tabela2[[#This Row],[Cotação]],"")</f>
        <v>5.4054054054054057E-2</v>
      </c>
      <c r="J280" s="61">
        <f>SUMPRODUCT(N(Tabela1[Código]=Tabela2[[#This Row],[Ativo]]),Tabela1[Fechamento])</f>
        <v>1.85</v>
      </c>
      <c r="K280" s="61">
        <f>SUMPRODUCT(N(Tabela17[Código]=Tabela2[[#This Row],[Ativo]]),Tabela17[Fechamento])</f>
        <v>0</v>
      </c>
      <c r="M280" s="3"/>
    </row>
    <row r="281" spans="1:13">
      <c r="A281" s="14" t="s">
        <v>299</v>
      </c>
      <c r="B281" s="3">
        <v>2012</v>
      </c>
      <c r="C281" s="5">
        <v>459346.49</v>
      </c>
      <c r="D281" s="62">
        <f>SUMPRODUCT(N(Tabela3[PAPEL]=Tabela2[[#This Row],[Ativo]]),Tabela3[Total Ações])</f>
        <v>31485170</v>
      </c>
      <c r="E281" s="65">
        <f>(Tabela2[[#This Row],[Lucro Líquido]])/Tabela2[[#This Row],[Total Ações]]</f>
        <v>1.4589296802272307E-2</v>
      </c>
      <c r="F281" s="65">
        <v>0</v>
      </c>
      <c r="G281" s="22" t="str">
        <f>IF(AND(Tabela2[[#This Row],[Dividendo / Ação]]&gt;0,Tabela2[[#This Row],[Lucro por ação]]&gt;0),Tabela2[[#This Row],[Dividendo / Ação]]/Tabela2[[#This Row],[Lucro por ação]],"")</f>
        <v/>
      </c>
      <c r="H281" s="51">
        <f>MAX(Tabela2[[#This Row],[Cotação 1]],Tabela2[[#This Row],[Cotação 2]])</f>
        <v>10</v>
      </c>
      <c r="I281" s="18" t="str">
        <f>IF(Tabela2[[#This Row],[Dividendo / Ação]]&gt;0,Tabela2[[#This Row],[Dividendo / Ação]]/Tabela2[[#This Row],[Cotação]],"")</f>
        <v/>
      </c>
      <c r="J281" s="7">
        <f>SUMPRODUCT(N(Tabela1[Código]=Tabela2[[#This Row],[Ativo]]),Tabela1[Fechamento])</f>
        <v>0</v>
      </c>
      <c r="K281" s="7">
        <f>SUMPRODUCT(N(Tabela17[Código]=Tabela2[[#This Row],[Ativo]]),Tabela17[Fechamento])</f>
        <v>10</v>
      </c>
      <c r="M281" s="3"/>
    </row>
    <row r="282" spans="1:13">
      <c r="A282" s="14" t="s">
        <v>299</v>
      </c>
      <c r="B282" s="3">
        <v>2011</v>
      </c>
      <c r="C282" s="5">
        <v>14826895.1</v>
      </c>
      <c r="D282" s="62">
        <f>SUMPRODUCT(N(Tabela3[PAPEL]=Tabela2[[#This Row],[Ativo]]),Tabela3[Total Ações])</f>
        <v>31485170</v>
      </c>
      <c r="E282" s="65">
        <f>(Tabela2[[#This Row],[Lucro Líquido]])/Tabela2[[#This Row],[Total Ações]]</f>
        <v>0.47091678717313579</v>
      </c>
      <c r="F282" s="65">
        <v>0.11279</v>
      </c>
      <c r="G282" s="22">
        <f>IF(AND(Tabela2[[#This Row],[Dividendo / Ação]]&gt;0,Tabela2[[#This Row],[Lucro por ação]]&gt;0),Tabela2[[#This Row],[Dividendo / Ação]]/Tabela2[[#This Row],[Lucro por ação]],"")</f>
        <v>0.2395115295784348</v>
      </c>
      <c r="H282" s="51">
        <f>MAX(Tabela2[[#This Row],[Cotação 1]],Tabela2[[#This Row],[Cotação 2]])</f>
        <v>10</v>
      </c>
      <c r="I282" s="18">
        <f>IF(Tabela2[[#This Row],[Dividendo / Ação]]&gt;0,Tabela2[[#This Row],[Dividendo / Ação]]/Tabela2[[#This Row],[Cotação]],"")</f>
        <v>1.1279000000000001E-2</v>
      </c>
      <c r="J282" s="7">
        <f>SUMPRODUCT(N(Tabela1[Código]=Tabela2[[#This Row],[Ativo]]),Tabela1[Fechamento])</f>
        <v>0</v>
      </c>
      <c r="K282" s="7">
        <f>SUMPRODUCT(N(Tabela17[Código]=Tabela2[[#This Row],[Ativo]]),Tabela17[Fechamento])</f>
        <v>10</v>
      </c>
      <c r="L282" s="3">
        <v>0.39897712400000002</v>
      </c>
      <c r="M282" s="3"/>
    </row>
    <row r="283" spans="1:13">
      <c r="A283" s="14" t="s">
        <v>299</v>
      </c>
      <c r="B283" s="3">
        <v>2010</v>
      </c>
      <c r="C283" s="5">
        <v>45200803.640000001</v>
      </c>
      <c r="D283" s="62">
        <f>SUMPRODUCT(N(Tabela3[PAPEL]=Tabela2[[#This Row],[Ativo]]),Tabela3[Total Ações])</f>
        <v>31485170</v>
      </c>
      <c r="E283" s="65">
        <f>(Tabela2[[#This Row],[Lucro Líquido]])/Tabela2[[#This Row],[Total Ações]]</f>
        <v>1.4356220290377979</v>
      </c>
      <c r="F283" s="65">
        <v>0.31025000000000003</v>
      </c>
      <c r="G283" s="22">
        <f>IF(AND(Tabela2[[#This Row],[Dividendo / Ação]]&gt;0,Tabela2[[#This Row],[Lucro por ação]]&gt;0),Tabela2[[#This Row],[Dividendo / Ação]]/Tabela2[[#This Row],[Lucro por ação]],"")</f>
        <v>0.21610841414013407</v>
      </c>
      <c r="H283" s="51">
        <f>MAX(Tabela2[[#This Row],[Cotação 1]],Tabela2[[#This Row],[Cotação 2]])</f>
        <v>10</v>
      </c>
      <c r="I283" s="18">
        <f>IF(Tabela2[[#This Row],[Dividendo / Ação]]&gt;0,Tabela2[[#This Row],[Dividendo / Ação]]/Tabela2[[#This Row],[Cotação]],"")</f>
        <v>3.1025000000000004E-2</v>
      </c>
      <c r="J283" s="7">
        <f>SUMPRODUCT(N(Tabela1[Código]=Tabela2[[#This Row],[Ativo]]),Tabela1[Fechamento])</f>
        <v>0</v>
      </c>
      <c r="K283" s="7">
        <f>SUMPRODUCT(N(Tabela17[Código]=Tabela2[[#This Row],[Ativo]]),Tabela17[Fechamento])</f>
        <v>10</v>
      </c>
      <c r="L283" s="3">
        <v>0.385525487</v>
      </c>
      <c r="M283" s="3"/>
    </row>
    <row r="284" spans="1:13">
      <c r="A284" s="14" t="s">
        <v>299</v>
      </c>
      <c r="B284" s="3">
        <v>2009</v>
      </c>
      <c r="C284" s="6">
        <v>3829778.75</v>
      </c>
      <c r="D284" s="62">
        <f>SUMPRODUCT(N(Tabela3[PAPEL]=Tabela2[[#This Row],[Ativo]]),Tabela3[Total Ações])</f>
        <v>31485170</v>
      </c>
      <c r="E284" s="65">
        <f>(Tabela2[[#This Row],[Lucro Líquido]])/Tabela2[[#This Row],[Total Ações]]</f>
        <v>0.12163754396117284</v>
      </c>
      <c r="F284" s="65">
        <v>4.3194999999999997E-2</v>
      </c>
      <c r="G284" s="22">
        <f>IF(AND(Tabela2[[#This Row],[Dividendo / Ação]]&gt;0,Tabela2[[#This Row],[Lucro por ação]]&gt;0),Tabela2[[#This Row],[Dividendo / Ação]]/Tabela2[[#This Row],[Lucro por ação]],"")</f>
        <v>0.35511239863399419</v>
      </c>
      <c r="H284" s="51">
        <f>MAX(Tabela2[[#This Row],[Cotação 1]],Tabela2[[#This Row],[Cotação 2]])</f>
        <v>10</v>
      </c>
      <c r="I284" s="18">
        <f>IF(Tabela2[[#This Row],[Dividendo / Ação]]&gt;0,Tabela2[[#This Row],[Dividendo / Ação]]/Tabela2[[#This Row],[Cotação]],"")</f>
        <v>4.3194999999999996E-3</v>
      </c>
      <c r="J284" s="7">
        <f>SUMPRODUCT(N(Tabela1[Código]=Tabela2[[#This Row],[Ativo]]),Tabela1[Fechamento])</f>
        <v>0</v>
      </c>
      <c r="K284" s="7">
        <f>SUMPRODUCT(N(Tabela17[Código]=Tabela2[[#This Row],[Ativo]]),Tabela17[Fechamento])</f>
        <v>10</v>
      </c>
      <c r="L284" s="3">
        <v>0.33254521399999998</v>
      </c>
      <c r="M284" s="3"/>
    </row>
    <row r="285" spans="1:13">
      <c r="A285" s="14" t="s">
        <v>300</v>
      </c>
      <c r="B285" s="4">
        <v>2012</v>
      </c>
      <c r="C285" s="5">
        <v>459346.49</v>
      </c>
      <c r="D285" s="8">
        <f>SUMPRODUCT(N(Tabela3[PAPEL]=Tabela2[[#This Row],[Ativo]]),Tabela3[Total Ações])</f>
        <v>31485170</v>
      </c>
      <c r="E285" s="66">
        <f>(Tabela2[[#This Row],[Lucro Líquido]])/Tabela2[[#This Row],[Total Ações]]</f>
        <v>1.4589296802272307E-2</v>
      </c>
      <c r="F285" s="65">
        <v>2E-3</v>
      </c>
      <c r="G285" s="46">
        <f>IF(AND(Tabela2[[#This Row],[Dividendo / Ação]]&gt;0,Tabela2[[#This Row],[Lucro por ação]]&gt;0),Tabela2[[#This Row],[Dividendo / Ação]]/Tabela2[[#This Row],[Lucro por ação]],"")</f>
        <v>0.13708679911758986</v>
      </c>
      <c r="H285" s="13">
        <f>MAX(Tabela2[[#This Row],[Cotação 1]],Tabela2[[#This Row],[Cotação 2]])</f>
        <v>9.5</v>
      </c>
      <c r="I285" s="19">
        <f>IF(Tabela2[[#This Row],[Dividendo / Ação]]&gt;0,Tabela2[[#This Row],[Dividendo / Ação]]/Tabela2[[#This Row],[Cotação]],"")</f>
        <v>2.105263157894737E-4</v>
      </c>
      <c r="J285" s="17">
        <f>SUMPRODUCT(N(Tabela1[Código]=Tabela2[[#This Row],[Ativo]]),Tabela1[Fechamento])</f>
        <v>0</v>
      </c>
      <c r="K285" s="17">
        <f>SUMPRODUCT(N(Tabela17[Código]=Tabela2[[#This Row],[Ativo]]),Tabela17[Fechamento])</f>
        <v>9.5</v>
      </c>
      <c r="L285" s="3">
        <v>1.0620213060000001</v>
      </c>
      <c r="M285" s="3"/>
    </row>
    <row r="286" spans="1:13">
      <c r="A286" s="14" t="s">
        <v>300</v>
      </c>
      <c r="B286" s="4">
        <v>2011</v>
      </c>
      <c r="C286" s="5">
        <v>14826895.1</v>
      </c>
      <c r="D286" s="8">
        <f>SUMPRODUCT(N(Tabela3[PAPEL]=Tabela2[[#This Row],[Ativo]]),Tabela3[Total Ações])</f>
        <v>31485170</v>
      </c>
      <c r="E286" s="66">
        <f>(Tabela2[[#This Row],[Lucro Líquido]])/Tabela2[[#This Row],[Total Ações]]</f>
        <v>0.47091678717313579</v>
      </c>
      <c r="F286" s="65">
        <v>0.11279</v>
      </c>
      <c r="G286" s="46">
        <f>IF(AND(Tabela2[[#This Row],[Dividendo / Ação]]&gt;0,Tabela2[[#This Row],[Lucro por ação]]&gt;0),Tabela2[[#This Row],[Dividendo / Ação]]/Tabela2[[#This Row],[Lucro por ação]],"")</f>
        <v>0.2395115295784348</v>
      </c>
      <c r="H286" s="13">
        <f>MAX(Tabela2[[#This Row],[Cotação 1]],Tabela2[[#This Row],[Cotação 2]])</f>
        <v>9.5</v>
      </c>
      <c r="I286" s="19">
        <f>IF(Tabela2[[#This Row],[Dividendo / Ação]]&gt;0,Tabela2[[#This Row],[Dividendo / Ação]]/Tabela2[[#This Row],[Cotação]],"")</f>
        <v>1.1872631578947369E-2</v>
      </c>
      <c r="J286" s="17">
        <f>SUMPRODUCT(N(Tabela1[Código]=Tabela2[[#This Row],[Ativo]]),Tabela1[Fechamento])</f>
        <v>0</v>
      </c>
      <c r="K286" s="17">
        <f>SUMPRODUCT(N(Tabela17[Código]=Tabela2[[#This Row],[Ativo]]),Tabela17[Fechamento])</f>
        <v>9.5</v>
      </c>
      <c r="L286" s="3">
        <f>SUM(L282:L285)</f>
        <v>2.1790691310000003</v>
      </c>
      <c r="M286" s="3"/>
    </row>
    <row r="287" spans="1:13">
      <c r="A287" s="14" t="s">
        <v>300</v>
      </c>
      <c r="B287" s="4">
        <v>2010</v>
      </c>
      <c r="C287" s="5">
        <v>45200803.640000001</v>
      </c>
      <c r="D287" s="8">
        <f>SUMPRODUCT(N(Tabela3[PAPEL]=Tabela2[[#This Row],[Ativo]]),Tabela3[Total Ações])</f>
        <v>31485170</v>
      </c>
      <c r="E287" s="66">
        <f>(Tabela2[[#This Row],[Lucro Líquido]])/Tabela2[[#This Row],[Total Ações]]</f>
        <v>1.4356220290377979</v>
      </c>
      <c r="F287" s="65">
        <v>0.31025000000000003</v>
      </c>
      <c r="G287" s="46">
        <f>IF(AND(Tabela2[[#This Row],[Dividendo / Ação]]&gt;0,Tabela2[[#This Row],[Lucro por ação]]&gt;0),Tabela2[[#This Row],[Dividendo / Ação]]/Tabela2[[#This Row],[Lucro por ação]],"")</f>
        <v>0.21610841414013407</v>
      </c>
      <c r="H287" s="13">
        <f>MAX(Tabela2[[#This Row],[Cotação 1]],Tabela2[[#This Row],[Cotação 2]])</f>
        <v>9.5</v>
      </c>
      <c r="I287" s="19">
        <f>IF(Tabela2[[#This Row],[Dividendo / Ação]]&gt;0,Tabela2[[#This Row],[Dividendo / Ação]]/Tabela2[[#This Row],[Cotação]],"")</f>
        <v>3.2657894736842108E-2</v>
      </c>
      <c r="J287" s="17">
        <f>SUMPRODUCT(N(Tabela1[Código]=Tabela2[[#This Row],[Ativo]]),Tabela1[Fechamento])</f>
        <v>0</v>
      </c>
      <c r="K287" s="17">
        <f>SUMPRODUCT(N(Tabela17[Código]=Tabela2[[#This Row],[Ativo]]),Tabela17[Fechamento])</f>
        <v>9.5</v>
      </c>
      <c r="M287" s="3"/>
    </row>
    <row r="288" spans="1:13">
      <c r="A288" s="14" t="s">
        <v>300</v>
      </c>
      <c r="B288" s="4">
        <v>2009</v>
      </c>
      <c r="C288" s="6">
        <v>3829778.75</v>
      </c>
      <c r="D288" s="8">
        <f>SUMPRODUCT(N(Tabela3[PAPEL]=Tabela2[[#This Row],[Ativo]]),Tabela3[Total Ações])</f>
        <v>31485170</v>
      </c>
      <c r="E288" s="66">
        <f>(Tabela2[[#This Row],[Lucro Líquido]])/Tabela2[[#This Row],[Total Ações]]</f>
        <v>0.12163754396117284</v>
      </c>
      <c r="F288" s="65">
        <v>4.3194999999999997E-2</v>
      </c>
      <c r="G288" s="46">
        <f>IF(AND(Tabela2[[#This Row],[Dividendo / Ação]]&gt;0,Tabela2[[#This Row],[Lucro por ação]]&gt;0),Tabela2[[#This Row],[Dividendo / Ação]]/Tabela2[[#This Row],[Lucro por ação]],"")</f>
        <v>0.35511239863399419</v>
      </c>
      <c r="H288" s="13">
        <f>MAX(Tabela2[[#This Row],[Cotação 1]],Tabela2[[#This Row],[Cotação 2]])</f>
        <v>9.5</v>
      </c>
      <c r="I288" s="19">
        <f>IF(Tabela2[[#This Row],[Dividendo / Ação]]&gt;0,Tabela2[[#This Row],[Dividendo / Ação]]/Tabela2[[#This Row],[Cotação]],"")</f>
        <v>4.5468421052631573E-3</v>
      </c>
      <c r="J288" s="17">
        <f>SUMPRODUCT(N(Tabela1[Código]=Tabela2[[#This Row],[Ativo]]),Tabela1[Fechamento])</f>
        <v>0</v>
      </c>
      <c r="K288" s="17">
        <f>SUMPRODUCT(N(Tabela17[Código]=Tabela2[[#This Row],[Ativo]]),Tabela17[Fechamento])</f>
        <v>9.5</v>
      </c>
      <c r="M288" s="3"/>
    </row>
    <row r="289" spans="1:13">
      <c r="A289" s="4" t="s">
        <v>2</v>
      </c>
      <c r="B289" s="4">
        <v>2012</v>
      </c>
      <c r="C289" s="6">
        <v>-6878916000</v>
      </c>
      <c r="D289" s="8">
        <f>SUMPRODUCT(N(Tabela3[PAPEL]=Tabela2[[#This Row],[Ativo]]),Tabela3[Total Ações])</f>
        <v>1352634100</v>
      </c>
      <c r="E289" s="66">
        <f>(Tabela2[[#This Row],[Lucro Líquido]])/Tabela2[[#This Row],[Total Ações]]</f>
        <v>-5.0855704436255156</v>
      </c>
      <c r="F289" s="66">
        <v>0.40852810099999998</v>
      </c>
      <c r="G289" s="46" t="str">
        <f>IF(AND(Tabela2[[#This Row],[Dividendo / Ação]]&gt;0,Tabela2[[#This Row],[Lucro por ação]]&gt;0),Tabela2[[#This Row],[Dividendo / Ação]]/Tabela2[[#This Row],[Lucro por ação]],"")</f>
        <v/>
      </c>
      <c r="H289" s="6">
        <f>MAX(Tabela2[[#This Row],[Cotação 1]],Tabela2[[#This Row],[Cotação 2]])</f>
        <v>5.65</v>
      </c>
      <c r="I289" s="19">
        <f>IF(Tabela2[[#This Row],[Dividendo / Ação]]&gt;0,Tabela2[[#This Row],[Dividendo / Ação]]/Tabela2[[#This Row],[Cotação]],"")</f>
        <v>7.2305858584070792E-2</v>
      </c>
      <c r="J289" s="61">
        <f>SUMPRODUCT(N(Tabela1[Código]=Tabela2[[#This Row],[Ativo]]),Tabela1[Fechamento])</f>
        <v>5.65</v>
      </c>
      <c r="K289" s="61">
        <f>SUMPRODUCT(N(Tabela17[Código]=Tabela2[[#This Row],[Ativo]]),Tabela17[Fechamento])</f>
        <v>0</v>
      </c>
      <c r="M289" s="3"/>
    </row>
    <row r="290" spans="1:13">
      <c r="A290" s="4" t="s">
        <v>2</v>
      </c>
      <c r="B290" s="3">
        <v>2011</v>
      </c>
      <c r="C290" s="5">
        <v>3732565000</v>
      </c>
      <c r="D290" s="62">
        <f>SUMPRODUCT(N(Tabela3[PAPEL]=Tabela2[[#This Row],[Ativo]]),Tabela3[Total Ações])</f>
        <v>1352634100</v>
      </c>
      <c r="E290" s="65">
        <f>(Tabela2[[#This Row],[Lucro Líquido]])/Tabela2[[#This Row],[Total Ações]]</f>
        <v>2.7594787089871531</v>
      </c>
      <c r="F290" s="65">
        <v>1.2317791624600001</v>
      </c>
      <c r="G290" s="22">
        <f>IF(AND(Tabela2[[#This Row],[Dividendo / Ação]]&gt;0,Tabela2[[#This Row],[Lucro por ação]]&gt;0),Tabela2[[#This Row],[Dividendo / Ação]]/Tabela2[[#This Row],[Lucro por ação]],"")</f>
        <v>0.44638110757959637</v>
      </c>
      <c r="H290" s="5">
        <f>MAX(Tabela2[[#This Row],[Cotação 1]],Tabela2[[#This Row],[Cotação 2]])</f>
        <v>5.65</v>
      </c>
      <c r="I290" s="18">
        <f>IF(Tabela2[[#This Row],[Dividendo / Ação]]&gt;0,Tabela2[[#This Row],[Dividendo / Ação]]/Tabela2[[#This Row],[Cotação]],"")</f>
        <v>0.21801401105486726</v>
      </c>
      <c r="J290" s="60">
        <f>SUMPRODUCT(N(Tabela1[Código]=Tabela2[[#This Row],[Ativo]]),Tabela1[Fechamento])</f>
        <v>5.65</v>
      </c>
      <c r="K290" s="60">
        <f>SUMPRODUCT(N(Tabela17[Código]=Tabela2[[#This Row],[Ativo]]),Tabela17[Fechamento])</f>
        <v>0</v>
      </c>
      <c r="M290" s="3"/>
    </row>
    <row r="291" spans="1:13">
      <c r="A291" s="4" t="s">
        <v>2</v>
      </c>
      <c r="B291" s="3">
        <v>2010</v>
      </c>
      <c r="C291" s="5">
        <v>2247913000</v>
      </c>
      <c r="D291" s="62">
        <f>SUMPRODUCT(N(Tabela3[PAPEL]=Tabela2[[#This Row],[Ativo]]),Tabela3[Total Ações])</f>
        <v>1352634100</v>
      </c>
      <c r="E291" s="65">
        <f>(Tabela2[[#This Row],[Lucro Líquido]])/Tabela2[[#This Row],[Total Ações]]</f>
        <v>1.6618781087952759</v>
      </c>
      <c r="F291" s="65">
        <v>0.83224516954000005</v>
      </c>
      <c r="G291" s="22">
        <f>IF(AND(Tabela2[[#This Row],[Dividendo / Ação]]&gt;0,Tabela2[[#This Row],[Lucro por ação]]&gt;0),Tabela2[[#This Row],[Dividendo / Ação]]/Tabela2[[#This Row],[Lucro por ação]],"")</f>
        <v>0.50078592716003034</v>
      </c>
      <c r="H291" s="5">
        <f>MAX(Tabela2[[#This Row],[Cotação 1]],Tabela2[[#This Row],[Cotação 2]])</f>
        <v>5.65</v>
      </c>
      <c r="I291" s="18">
        <f>IF(Tabela2[[#This Row],[Dividendo / Ação]]&gt;0,Tabela2[[#This Row],[Dividendo / Ação]]/Tabela2[[#This Row],[Cotação]],"")</f>
        <v>0.14730003000707964</v>
      </c>
      <c r="J291" s="60">
        <f>SUMPRODUCT(N(Tabela1[Código]=Tabela2[[#This Row],[Ativo]]),Tabela1[Fechamento])</f>
        <v>5.65</v>
      </c>
      <c r="K291" s="60">
        <f>SUMPRODUCT(N(Tabela17[Código]=Tabela2[[#This Row],[Ativo]]),Tabela17[Fechamento])</f>
        <v>0</v>
      </c>
      <c r="M291" s="3"/>
    </row>
    <row r="292" spans="1:13">
      <c r="A292" s="4" t="s">
        <v>2</v>
      </c>
      <c r="B292" s="3">
        <v>2009</v>
      </c>
      <c r="C292" s="5">
        <v>170526000</v>
      </c>
      <c r="D292" s="62">
        <f>SUMPRODUCT(N(Tabela3[PAPEL]=Tabela2[[#This Row],[Ativo]]),Tabela3[Total Ações])</f>
        <v>1352634100</v>
      </c>
      <c r="E292" s="65">
        <f>(Tabela2[[#This Row],[Lucro Líquido]])/Tabela2[[#This Row],[Total Ações]]</f>
        <v>0.12606957047733752</v>
      </c>
      <c r="F292" s="65">
        <v>0.41</v>
      </c>
      <c r="G292" s="22">
        <f>IF(AND(Tabela2[[#This Row],[Dividendo / Ação]]&gt;0,Tabela2[[#This Row],[Lucro por ação]]&gt;0),Tabela2[[#This Row],[Dividendo / Ação]]/Tabela2[[#This Row],[Lucro por ação]],"")</f>
        <v>3.2521725777887238</v>
      </c>
      <c r="H292" s="5">
        <f>MAX(Tabela2[[#This Row],[Cotação 1]],Tabela2[[#This Row],[Cotação 2]])</f>
        <v>5.65</v>
      </c>
      <c r="I292" s="18">
        <f>IF(Tabela2[[#This Row],[Dividendo / Ação]]&gt;0,Tabela2[[#This Row],[Dividendo / Ação]]/Tabela2[[#This Row],[Cotação]],"")</f>
        <v>7.2566371681415914E-2</v>
      </c>
      <c r="J292" s="60">
        <f>SUMPRODUCT(N(Tabela1[Código]=Tabela2[[#This Row],[Ativo]]),Tabela1[Fechamento])</f>
        <v>5.65</v>
      </c>
      <c r="K292" s="60">
        <f>SUMPRODUCT(N(Tabela17[Código]=Tabela2[[#This Row],[Ativo]]),Tabela17[Fechamento])</f>
        <v>0</v>
      </c>
      <c r="M292" s="3"/>
    </row>
    <row r="293" spans="1:13">
      <c r="A293" s="4" t="s">
        <v>2</v>
      </c>
      <c r="B293" s="3">
        <v>2008</v>
      </c>
      <c r="C293" s="5">
        <v>6136497000</v>
      </c>
      <c r="D293" s="62">
        <f>SUMPRODUCT(N(Tabela3[PAPEL]=Tabela2[[#This Row],[Ativo]]),Tabela3[Total Ações])</f>
        <v>1352634100</v>
      </c>
      <c r="E293" s="65">
        <f>(Tabela2[[#This Row],[Lucro Líquido]])/Tabela2[[#This Row],[Total Ações]]</f>
        <v>4.5367013887939098</v>
      </c>
      <c r="F293" s="65">
        <v>1.54227975422</v>
      </c>
      <c r="G293" s="22">
        <f>IF(AND(Tabela2[[#This Row],[Dividendo / Ação]]&gt;0,Tabela2[[#This Row],[Lucro por ação]]&gt;0),Tabela2[[#This Row],[Dividendo / Ação]]/Tabela2[[#This Row],[Lucro por ação]],"")</f>
        <v>0.33995619769676261</v>
      </c>
      <c r="H293" s="5">
        <f>MAX(Tabela2[[#This Row],[Cotação 1]],Tabela2[[#This Row],[Cotação 2]])</f>
        <v>5.65</v>
      </c>
      <c r="I293" s="18">
        <f>IF(Tabela2[[#This Row],[Dividendo / Ação]]&gt;0,Tabela2[[#This Row],[Dividendo / Ação]]/Tabela2[[#This Row],[Cotação]],"")</f>
        <v>0.27296986800353978</v>
      </c>
      <c r="J293" s="60">
        <f>SUMPRODUCT(N(Tabela1[Código]=Tabela2[[#This Row],[Ativo]]),Tabela1[Fechamento])</f>
        <v>5.65</v>
      </c>
      <c r="K293" s="60">
        <f>SUMPRODUCT(N(Tabela17[Código]=Tabela2[[#This Row],[Ativo]]),Tabela17[Fechamento])</f>
        <v>0</v>
      </c>
      <c r="M293" s="3"/>
    </row>
    <row r="294" spans="1:13">
      <c r="A294" s="4" t="s">
        <v>27</v>
      </c>
      <c r="B294" s="4">
        <v>2012</v>
      </c>
      <c r="C294" s="6">
        <v>-6878916000</v>
      </c>
      <c r="D294" s="8">
        <f>SUMPRODUCT(N(Tabela3[PAPEL]=Tabela2[[#This Row],[Ativo]]),Tabela3[Total Ações])</f>
        <v>1352634100</v>
      </c>
      <c r="E294" s="66">
        <f>(Tabela2[[#This Row],[Lucro Líquido]])/Tabela2[[#This Row],[Total Ações]]</f>
        <v>-5.0855704436255156</v>
      </c>
      <c r="F294" s="66">
        <v>1.671821523</v>
      </c>
      <c r="G294" s="46" t="str">
        <f>IF(AND(Tabela2[[#This Row],[Dividendo / Ação]]&gt;0,Tabela2[[#This Row],[Lucro por ação]]&gt;0),Tabela2[[#This Row],[Dividendo / Ação]]/Tabela2[[#This Row],[Lucro por ação]],"")</f>
        <v/>
      </c>
      <c r="H294" s="6">
        <f>MAX(Tabela2[[#This Row],[Cotação 1]],Tabela2[[#This Row],[Cotação 2]])</f>
        <v>9.57</v>
      </c>
      <c r="I294" s="19">
        <f>IF(Tabela2[[#This Row],[Dividendo / Ação]]&gt;0,Tabela2[[#This Row],[Dividendo / Ação]]/Tabela2[[#This Row],[Cotação]],"")</f>
        <v>0.17469399404388714</v>
      </c>
      <c r="J294" s="61">
        <f>SUMPRODUCT(N(Tabela1[Código]=Tabela2[[#This Row],[Ativo]]),Tabela1[Fechamento])</f>
        <v>9.57</v>
      </c>
      <c r="K294" s="61">
        <f>SUMPRODUCT(N(Tabela17[Código]=Tabela2[[#This Row],[Ativo]]),Tabela17[Fechamento])</f>
        <v>0</v>
      </c>
      <c r="M294" s="3"/>
    </row>
    <row r="295" spans="1:13">
      <c r="A295" s="4" t="s">
        <v>27</v>
      </c>
      <c r="B295" s="4">
        <v>2011</v>
      </c>
      <c r="C295" s="5">
        <v>3732565000</v>
      </c>
      <c r="D295" s="8">
        <f>SUMPRODUCT(N(Tabela3[PAPEL]=Tabela2[[#This Row],[Ativo]]),Tabela3[Total Ações])</f>
        <v>1352634100</v>
      </c>
      <c r="E295" s="66">
        <f>(Tabela2[[#This Row],[Lucro Líquido]])/Tabela2[[#This Row],[Total Ações]]</f>
        <v>2.7594787089871531</v>
      </c>
      <c r="F295" s="66">
        <v>1.6336924400499999</v>
      </c>
      <c r="G295" s="46">
        <f>IF(AND(Tabela2[[#This Row],[Dividendo / Ação]]&gt;0,Tabela2[[#This Row],[Lucro por ação]]&gt;0),Tabela2[[#This Row],[Dividendo / Ação]]/Tabela2[[#This Row],[Lucro por ação]],"")</f>
        <v>0.59202936943464768</v>
      </c>
      <c r="H295" s="6">
        <f>MAX(Tabela2[[#This Row],[Cotação 1]],Tabela2[[#This Row],[Cotação 2]])</f>
        <v>9.57</v>
      </c>
      <c r="I295" s="19">
        <f>IF(Tabela2[[#This Row],[Dividendo / Ação]]&gt;0,Tabela2[[#This Row],[Dividendo / Ação]]/Tabela2[[#This Row],[Cotação]],"")</f>
        <v>0.17070976385057471</v>
      </c>
      <c r="J295" s="61">
        <f>SUMPRODUCT(N(Tabela1[Código]=Tabela2[[#This Row],[Ativo]]),Tabela1[Fechamento])</f>
        <v>9.57</v>
      </c>
      <c r="K295" s="61">
        <f>SUMPRODUCT(N(Tabela17[Código]=Tabela2[[#This Row],[Ativo]]),Tabela17[Fechamento])</f>
        <v>0</v>
      </c>
      <c r="M295" s="3"/>
    </row>
    <row r="296" spans="1:13">
      <c r="A296" s="4" t="s">
        <v>27</v>
      </c>
      <c r="B296" s="4">
        <v>2010</v>
      </c>
      <c r="C296" s="5">
        <v>2247913000</v>
      </c>
      <c r="D296" s="8">
        <f>SUMPRODUCT(N(Tabela3[PAPEL]=Tabela2[[#This Row],[Ativo]]),Tabela3[Total Ações])</f>
        <v>1352634100</v>
      </c>
      <c r="E296" s="66">
        <f>(Tabela2[[#This Row],[Lucro Líquido]])/Tabela2[[#This Row],[Total Ações]]</f>
        <v>1.6618781087952759</v>
      </c>
      <c r="F296" s="66">
        <v>1.6305332803199999</v>
      </c>
      <c r="G296" s="46">
        <f>IF(AND(Tabela2[[#This Row],[Dividendo / Ação]]&gt;0,Tabela2[[#This Row],[Lucro por ação]]&gt;0),Tabela2[[#This Row],[Dividendo / Ação]]/Tabela2[[#This Row],[Lucro por ação]],"")</f>
        <v>0.98113891246933971</v>
      </c>
      <c r="H296" s="6">
        <f>MAX(Tabela2[[#This Row],[Cotação 1]],Tabela2[[#This Row],[Cotação 2]])</f>
        <v>9.57</v>
      </c>
      <c r="I296" s="19">
        <f>IF(Tabela2[[#This Row],[Dividendo / Ação]]&gt;0,Tabela2[[#This Row],[Dividendo / Ação]]/Tabela2[[#This Row],[Cotação]],"")</f>
        <v>0.17037965311598743</v>
      </c>
      <c r="J296" s="61">
        <f>SUMPRODUCT(N(Tabela1[Código]=Tabela2[[#This Row],[Ativo]]),Tabela1[Fechamento])</f>
        <v>9.57</v>
      </c>
      <c r="K296" s="61">
        <f>SUMPRODUCT(N(Tabela17[Código]=Tabela2[[#This Row],[Ativo]]),Tabela17[Fechamento])</f>
        <v>0</v>
      </c>
      <c r="M296" s="3"/>
    </row>
    <row r="297" spans="1:13">
      <c r="A297" s="4" t="s">
        <v>27</v>
      </c>
      <c r="B297" s="4">
        <v>2009</v>
      </c>
      <c r="C297" s="5">
        <v>170526000</v>
      </c>
      <c r="D297" s="8">
        <f>SUMPRODUCT(N(Tabela3[PAPEL]=Tabela2[[#This Row],[Ativo]]),Tabela3[Total Ações])</f>
        <v>1352634100</v>
      </c>
      <c r="E297" s="66">
        <f>(Tabela2[[#This Row],[Lucro Líquido]])/Tabela2[[#This Row],[Total Ações]]</f>
        <v>0.12606957047733752</v>
      </c>
      <c r="F297" s="66">
        <v>1.63</v>
      </c>
      <c r="G297" s="46">
        <f>IF(AND(Tabela2[[#This Row],[Dividendo / Ação]]&gt;0,Tabela2[[#This Row],[Lucro por ação]]&gt;0),Tabela2[[#This Row],[Dividendo / Ação]]/Tabela2[[#This Row],[Lucro por ação]],"")</f>
        <v>12.929369028769806</v>
      </c>
      <c r="H297" s="6">
        <f>MAX(Tabela2[[#This Row],[Cotação 1]],Tabela2[[#This Row],[Cotação 2]])</f>
        <v>9.57</v>
      </c>
      <c r="I297" s="19">
        <f>IF(Tabela2[[#This Row],[Dividendo / Ação]]&gt;0,Tabela2[[#This Row],[Dividendo / Ação]]/Tabela2[[#This Row],[Cotação]],"")</f>
        <v>0.17032392894461859</v>
      </c>
      <c r="J297" s="61">
        <f>SUMPRODUCT(N(Tabela1[Código]=Tabela2[[#This Row],[Ativo]]),Tabela1[Fechamento])</f>
        <v>9.57</v>
      </c>
      <c r="K297" s="61">
        <f>SUMPRODUCT(N(Tabela17[Código]=Tabela2[[#This Row],[Ativo]]),Tabela17[Fechamento])</f>
        <v>0</v>
      </c>
      <c r="M297" s="3"/>
    </row>
    <row r="298" spans="1:13">
      <c r="A298" s="4" t="s">
        <v>27</v>
      </c>
      <c r="B298" s="4">
        <v>2008</v>
      </c>
      <c r="C298" s="5">
        <v>6136497000</v>
      </c>
      <c r="D298" s="8">
        <f>SUMPRODUCT(N(Tabela3[PAPEL]=Tabela2[[#This Row],[Ativo]]),Tabela3[Total Ações])</f>
        <v>1352634100</v>
      </c>
      <c r="E298" s="66">
        <f>(Tabela2[[#This Row],[Lucro Líquido]])/Tabela2[[#This Row],[Total Ações]]</f>
        <v>4.5367013887939098</v>
      </c>
      <c r="F298" s="66">
        <v>1.69650772972</v>
      </c>
      <c r="G298" s="46">
        <f>IF(AND(Tabela2[[#This Row],[Dividendo / Ação]]&gt;0,Tabela2[[#This Row],[Lucro por ação]]&gt;0),Tabela2[[#This Row],[Dividendo / Ação]]/Tabela2[[#This Row],[Lucro por ação]],"")</f>
        <v>0.37395181748363199</v>
      </c>
      <c r="H298" s="6">
        <f>MAX(Tabela2[[#This Row],[Cotação 1]],Tabela2[[#This Row],[Cotação 2]])</f>
        <v>9.57</v>
      </c>
      <c r="I298" s="19">
        <f>IF(Tabela2[[#This Row],[Dividendo / Ação]]&gt;0,Tabela2[[#This Row],[Dividendo / Ação]]/Tabela2[[#This Row],[Cotação]],"")</f>
        <v>0.17727353497596654</v>
      </c>
      <c r="J298" s="61">
        <f>SUMPRODUCT(N(Tabela1[Código]=Tabela2[[#This Row],[Ativo]]),Tabela1[Fechamento])</f>
        <v>9.57</v>
      </c>
      <c r="K298" s="61">
        <f>SUMPRODUCT(N(Tabela17[Código]=Tabela2[[#This Row],[Ativo]]),Tabela17[Fechamento])</f>
        <v>0</v>
      </c>
      <c r="M298" s="3"/>
    </row>
    <row r="299" spans="1:13">
      <c r="A299" s="4" t="s">
        <v>186</v>
      </c>
      <c r="B299" s="4">
        <v>2012</v>
      </c>
      <c r="C299" s="6">
        <v>107945984.63</v>
      </c>
      <c r="D299" s="8">
        <f>SUMPRODUCT(N(Tabela3[PAPEL]=Tabela2[[#This Row],[Ativo]]),Tabela3[Total Ações])</f>
        <v>167343887</v>
      </c>
      <c r="E299" s="66">
        <f>(Tabela2[[#This Row],[Lucro Líquido]])/Tabela2[[#This Row],[Total Ações]]</f>
        <v>0.64505484224828602</v>
      </c>
      <c r="F299" s="66">
        <v>0.30919236900000002</v>
      </c>
      <c r="G299" s="46">
        <f>IF(AND(Tabela2[[#This Row],[Dividendo / Ação]]&gt;0,Tabela2[[#This Row],[Lucro por ação]]&gt;0),Tabela2[[#This Row],[Dividendo / Ação]]/Tabela2[[#This Row],[Lucro por ação]],"")</f>
        <v>0.47932725831858769</v>
      </c>
      <c r="H299" s="6">
        <f>MAX(Tabela2[[#This Row],[Cotação 1]],Tabela2[[#This Row],[Cotação 2]])</f>
        <v>11</v>
      </c>
      <c r="I299" s="19">
        <f>IF(Tabela2[[#This Row],[Dividendo / Ação]]&gt;0,Tabela2[[#This Row],[Dividendo / Ação]]/Tabela2[[#This Row],[Cotação]],"")</f>
        <v>2.8108397181818182E-2</v>
      </c>
      <c r="J299" s="61">
        <f>SUMPRODUCT(N(Tabela1[Código]=Tabela2[[#This Row],[Ativo]]),Tabela1[Fechamento])</f>
        <v>11</v>
      </c>
      <c r="K299" s="61">
        <f>SUMPRODUCT(N(Tabela17[Código]=Tabela2[[#This Row],[Ativo]]),Tabela17[Fechamento])</f>
        <v>0</v>
      </c>
      <c r="M299" s="3"/>
    </row>
    <row r="300" spans="1:13">
      <c r="A300" s="4" t="s">
        <v>186</v>
      </c>
      <c r="B300" s="3">
        <v>2011</v>
      </c>
      <c r="C300" s="5">
        <v>1573104991</v>
      </c>
      <c r="D300" s="62">
        <f>SUMPRODUCT(N(Tabela3[PAPEL]=Tabela2[[#This Row],[Ativo]]),Tabela3[Total Ações])</f>
        <v>167343887</v>
      </c>
      <c r="E300" s="65">
        <f>(Tabela2[[#This Row],[Lucro Líquido]])/Tabela2[[#This Row],[Total Ações]]</f>
        <v>9.4004329599443324</v>
      </c>
      <c r="F300" s="65">
        <v>5.1351776620000003</v>
      </c>
      <c r="G300" s="22">
        <f>IF(AND(Tabela2[[#This Row],[Dividendo / Ação]]&gt;0,Tabela2[[#This Row],[Lucro por ação]]&gt;0),Tabela2[[#This Row],[Dividendo / Ação]]/Tabela2[[#This Row],[Lucro por ação]],"")</f>
        <v>0.54627033498150812</v>
      </c>
      <c r="H300" s="5">
        <f>MAX(Tabela2[[#This Row],[Cotação 1]],Tabela2[[#This Row],[Cotação 2]])</f>
        <v>11</v>
      </c>
      <c r="I300" s="18">
        <f>IF(Tabela2[[#This Row],[Dividendo / Ação]]&gt;0,Tabela2[[#This Row],[Dividendo / Ação]]/Tabela2[[#This Row],[Cotação]],"")</f>
        <v>0.46683433290909093</v>
      </c>
      <c r="J300" s="60">
        <f>SUMPRODUCT(N(Tabela1[Código]=Tabela2[[#This Row],[Ativo]]),Tabela1[Fechamento])</f>
        <v>11</v>
      </c>
      <c r="K300" s="60">
        <f>SUMPRODUCT(N(Tabela17[Código]=Tabela2[[#This Row],[Ativo]]),Tabela17[Fechamento])</f>
        <v>0</v>
      </c>
      <c r="M300" s="3"/>
    </row>
    <row r="301" spans="1:13">
      <c r="A301" s="4" t="s">
        <v>186</v>
      </c>
      <c r="B301" s="3">
        <v>2010</v>
      </c>
      <c r="C301" s="5">
        <v>1347688144.1600001</v>
      </c>
      <c r="D301" s="62">
        <f>SUMPRODUCT(N(Tabela3[PAPEL]=Tabela2[[#This Row],[Ativo]]),Tabela3[Total Ações])</f>
        <v>167343887</v>
      </c>
      <c r="E301" s="65">
        <f>(Tabela2[[#This Row],[Lucro Líquido]])/Tabela2[[#This Row],[Total Ações]]</f>
        <v>8.0534052860861305</v>
      </c>
      <c r="F301" s="65">
        <v>8.6908053330000001</v>
      </c>
      <c r="G301" s="22">
        <f>IF(AND(Tabela2[[#This Row],[Dividendo / Ação]]&gt;0,Tabela2[[#This Row],[Lucro por ação]]&gt;0),Tabela2[[#This Row],[Dividendo / Ação]]/Tabela2[[#This Row],[Lucro por ação]],"")</f>
        <v>1.0791466496806148</v>
      </c>
      <c r="H301" s="5">
        <f>MAX(Tabela2[[#This Row],[Cotação 1]],Tabela2[[#This Row],[Cotação 2]])</f>
        <v>11</v>
      </c>
      <c r="I301" s="18">
        <f>IF(Tabela2[[#This Row],[Dividendo / Ação]]&gt;0,Tabela2[[#This Row],[Dividendo / Ação]]/Tabela2[[#This Row],[Cotação]],"")</f>
        <v>0.79007321209090908</v>
      </c>
      <c r="J301" s="60">
        <f>SUMPRODUCT(N(Tabela1[Código]=Tabela2[[#This Row],[Ativo]]),Tabela1[Fechamento])</f>
        <v>11</v>
      </c>
      <c r="K301" s="60">
        <f>SUMPRODUCT(N(Tabela17[Código]=Tabela2[[#This Row],[Ativo]]),Tabela17[Fechamento])</f>
        <v>0</v>
      </c>
      <c r="M301" s="3"/>
    </row>
    <row r="302" spans="1:13">
      <c r="A302" s="4" t="s">
        <v>186</v>
      </c>
      <c r="B302" s="3">
        <v>2009</v>
      </c>
      <c r="C302" s="5">
        <v>1063193672.4299999</v>
      </c>
      <c r="D302" s="62">
        <f>SUMPRODUCT(N(Tabela3[PAPEL]=Tabela2[[#This Row],[Ativo]]),Tabela3[Total Ações])</f>
        <v>167343887</v>
      </c>
      <c r="E302" s="65">
        <f>(Tabela2[[#This Row],[Lucro Líquido]])/Tabela2[[#This Row],[Total Ações]]</f>
        <v>6.3533463426124426</v>
      </c>
      <c r="F302" s="65">
        <v>6.086401306</v>
      </c>
      <c r="G302" s="22">
        <f>IF(AND(Tabela2[[#This Row],[Dividendo / Ação]]&gt;0,Tabela2[[#This Row],[Lucro por ação]]&gt;0),Tabela2[[#This Row],[Dividendo / Ação]]/Tabela2[[#This Row],[Lucro por ação]],"")</f>
        <v>0.95798355351383579</v>
      </c>
      <c r="H302" s="5">
        <f>MAX(Tabela2[[#This Row],[Cotação 1]],Tabela2[[#This Row],[Cotação 2]])</f>
        <v>11</v>
      </c>
      <c r="I302" s="18">
        <f>IF(Tabela2[[#This Row],[Dividendo / Ação]]&gt;0,Tabela2[[#This Row],[Dividendo / Ação]]/Tabela2[[#This Row],[Cotação]],"")</f>
        <v>0.55330920963636365</v>
      </c>
      <c r="J302" s="60">
        <f>SUMPRODUCT(N(Tabela1[Código]=Tabela2[[#This Row],[Ativo]]),Tabela1[Fechamento])</f>
        <v>11</v>
      </c>
      <c r="K302" s="60">
        <f>SUMPRODUCT(N(Tabela17[Código]=Tabela2[[#This Row],[Ativo]]),Tabela17[Fechamento])</f>
        <v>0</v>
      </c>
      <c r="M302" s="3"/>
    </row>
    <row r="303" spans="1:13">
      <c r="A303" s="4" t="s">
        <v>1</v>
      </c>
      <c r="B303" s="4">
        <v>2012</v>
      </c>
      <c r="C303" s="6">
        <v>107945984.63</v>
      </c>
      <c r="D303" s="8">
        <f>SUMPRODUCT(N(Tabela3[PAPEL]=Tabela2[[#This Row],[Ativo]]),Tabela3[Total Ações])</f>
        <v>167343887</v>
      </c>
      <c r="E303" s="66">
        <f>(Tabela2[[#This Row],[Lucro Líquido]])/Tabela2[[#This Row],[Total Ações]]</f>
        <v>0.64505484224828602</v>
      </c>
      <c r="F303" s="66">
        <v>0.34011160499999998</v>
      </c>
      <c r="G303" s="46">
        <f>IF(AND(Tabela2[[#This Row],[Dividendo / Ação]]&gt;0,Tabela2[[#This Row],[Lucro por ação]]&gt;0),Tabela2[[#This Row],[Dividendo / Ação]]/Tabela2[[#This Row],[Lucro por ação]],"")</f>
        <v>0.52725998275521624</v>
      </c>
      <c r="H303" s="6">
        <f>MAX(Tabela2[[#This Row],[Cotação 1]],Tabela2[[#This Row],[Cotação 2]])</f>
        <v>9.15</v>
      </c>
      <c r="I303" s="19">
        <f>IF(Tabela2[[#This Row],[Dividendo / Ação]]&gt;0,Tabela2[[#This Row],[Dividendo / Ação]]/Tabela2[[#This Row],[Cotação]],"")</f>
        <v>3.7170667213114753E-2</v>
      </c>
      <c r="J303" s="61">
        <f>SUMPRODUCT(N(Tabela1[Código]=Tabela2[[#This Row],[Ativo]]),Tabela1[Fechamento])</f>
        <v>9.15</v>
      </c>
      <c r="K303" s="61">
        <f>SUMPRODUCT(N(Tabela17[Código]=Tabela2[[#This Row],[Ativo]]),Tabela17[Fechamento])</f>
        <v>0</v>
      </c>
      <c r="M303" s="3"/>
    </row>
    <row r="304" spans="1:13">
      <c r="A304" s="4" t="s">
        <v>1</v>
      </c>
      <c r="B304" s="4">
        <v>2011</v>
      </c>
      <c r="C304" s="5">
        <v>1573104991</v>
      </c>
      <c r="D304" s="8">
        <f>SUMPRODUCT(N(Tabela3[PAPEL]=Tabela2[[#This Row],[Ativo]]),Tabela3[Total Ações])</f>
        <v>167343887</v>
      </c>
      <c r="E304" s="66">
        <f>(Tabela2[[#This Row],[Lucro Líquido]])/Tabela2[[#This Row],[Total Ações]]</f>
        <v>9.4004329599443324</v>
      </c>
      <c r="F304" s="66">
        <v>5.648695429</v>
      </c>
      <c r="G304" s="46">
        <f>IF(AND(Tabela2[[#This Row],[Dividendo / Ação]]&gt;0,Tabela2[[#This Row],[Lucro por ação]]&gt;0),Tabela2[[#This Row],[Dividendo / Ação]]/Tabela2[[#This Row],[Lucro por ação]],"")</f>
        <v>0.60089736856476139</v>
      </c>
      <c r="H304" s="6">
        <f>MAX(Tabela2[[#This Row],[Cotação 1]],Tabela2[[#This Row],[Cotação 2]])</f>
        <v>9.15</v>
      </c>
      <c r="I304" s="19">
        <f>IF(Tabela2[[#This Row],[Dividendo / Ação]]&gt;0,Tabela2[[#This Row],[Dividendo / Ação]]/Tabela2[[#This Row],[Cotação]],"")</f>
        <v>0.61734376273224045</v>
      </c>
      <c r="J304" s="61">
        <f>SUMPRODUCT(N(Tabela1[Código]=Tabela2[[#This Row],[Ativo]]),Tabela1[Fechamento])</f>
        <v>9.15</v>
      </c>
      <c r="K304" s="61">
        <f>SUMPRODUCT(N(Tabela17[Código]=Tabela2[[#This Row],[Ativo]]),Tabela17[Fechamento])</f>
        <v>0</v>
      </c>
      <c r="M304" s="3"/>
    </row>
    <row r="305" spans="1:13">
      <c r="A305" s="4" t="s">
        <v>1</v>
      </c>
      <c r="B305" s="4">
        <v>2010</v>
      </c>
      <c r="C305" s="5">
        <v>1347688144.1600001</v>
      </c>
      <c r="D305" s="8">
        <f>SUMPRODUCT(N(Tabela3[PAPEL]=Tabela2[[#This Row],[Ativo]]),Tabela3[Total Ações])</f>
        <v>167343887</v>
      </c>
      <c r="E305" s="66">
        <f>(Tabela2[[#This Row],[Lucro Líquido]])/Tabela2[[#This Row],[Total Ações]]</f>
        <v>8.0534052860861305</v>
      </c>
      <c r="F305" s="66">
        <v>9.5598858660000001</v>
      </c>
      <c r="G305" s="46">
        <f>IF(AND(Tabela2[[#This Row],[Dividendo / Ação]]&gt;0,Tabela2[[#This Row],[Lucro por ação]]&gt;0),Tabela2[[#This Row],[Dividendo / Ação]]/Tabela2[[#This Row],[Lucro por ação]],"")</f>
        <v>1.1870613146114248</v>
      </c>
      <c r="H305" s="6">
        <f>MAX(Tabela2[[#This Row],[Cotação 1]],Tabela2[[#This Row],[Cotação 2]])</f>
        <v>9.15</v>
      </c>
      <c r="I305" s="19">
        <f>IF(Tabela2[[#This Row],[Dividendo / Ação]]&gt;0,Tabela2[[#This Row],[Dividendo / Ação]]/Tabela2[[#This Row],[Cotação]],"")</f>
        <v>1.0447962695081967</v>
      </c>
      <c r="J305" s="61">
        <f>SUMPRODUCT(N(Tabela1[Código]=Tabela2[[#This Row],[Ativo]]),Tabela1[Fechamento])</f>
        <v>9.15</v>
      </c>
      <c r="K305" s="61">
        <f>SUMPRODUCT(N(Tabela17[Código]=Tabela2[[#This Row],[Ativo]]),Tabela17[Fechamento])</f>
        <v>0</v>
      </c>
      <c r="M305" s="3"/>
    </row>
    <row r="306" spans="1:13">
      <c r="A306" s="4" t="s">
        <v>1</v>
      </c>
      <c r="B306" s="4">
        <v>2009</v>
      </c>
      <c r="C306" s="5">
        <v>1063193672.4299999</v>
      </c>
      <c r="D306" s="8">
        <f>SUMPRODUCT(N(Tabela3[PAPEL]=Tabela2[[#This Row],[Ativo]]),Tabela3[Total Ações])</f>
        <v>167343887</v>
      </c>
      <c r="E306" s="66">
        <f>(Tabela2[[#This Row],[Lucro Líquido]])/Tabela2[[#This Row],[Total Ações]]</f>
        <v>6.3533463426124426</v>
      </c>
      <c r="F306" s="66">
        <v>6.6950414370000004</v>
      </c>
      <c r="G306" s="46">
        <f>IF(AND(Tabela2[[#This Row],[Dividendo / Ação]]&gt;0,Tabela2[[#This Row],[Lucro por ação]]&gt;0),Tabela2[[#This Row],[Dividendo / Ação]]/Tabela2[[#This Row],[Lucro por ação]],"")</f>
        <v>1.0537819089281784</v>
      </c>
      <c r="H306" s="6">
        <f>MAX(Tabela2[[#This Row],[Cotação 1]],Tabela2[[#This Row],[Cotação 2]])</f>
        <v>9.15</v>
      </c>
      <c r="I306" s="19">
        <f>IF(Tabela2[[#This Row],[Dividendo / Ação]]&gt;0,Tabela2[[#This Row],[Dividendo / Ação]]/Tabela2[[#This Row],[Cotação]],"")</f>
        <v>0.73169851770491801</v>
      </c>
      <c r="J306" s="61">
        <f>SUMPRODUCT(N(Tabela1[Código]=Tabela2[[#This Row],[Ativo]]),Tabela1[Fechamento])</f>
        <v>9.15</v>
      </c>
      <c r="K306" s="61">
        <f>SUMPRODUCT(N(Tabela17[Código]=Tabela2[[#This Row],[Ativo]]),Tabela17[Fechamento])</f>
        <v>0</v>
      </c>
      <c r="M306" s="3"/>
    </row>
    <row r="307" spans="1:13">
      <c r="A307" s="4" t="s">
        <v>188</v>
      </c>
      <c r="B307" s="4">
        <v>2012</v>
      </c>
      <c r="C307" s="6"/>
      <c r="D307" s="8">
        <f>SUMPRODUCT(N(Tabela3[PAPEL]=Tabela2[[#This Row],[Ativo]]),Tabela3[Total Ações])</f>
        <v>36947084</v>
      </c>
      <c r="E307" s="66">
        <f>(Tabela2[[#This Row],[Lucro Líquido]])/Tabela2[[#This Row],[Total Ações]]</f>
        <v>0</v>
      </c>
      <c r="F307" s="66">
        <v>0</v>
      </c>
      <c r="G307" s="46" t="str">
        <f>IF(AND(Tabela2[[#This Row],[Dividendo / Ação]]&gt;0,Tabela2[[#This Row],[Lucro por ação]]&gt;0),Tabela2[[#This Row],[Dividendo / Ação]]/Tabela2[[#This Row],[Lucro por ação]],"")</f>
        <v/>
      </c>
      <c r="H307" s="6">
        <f>MAX(Tabela2[[#This Row],[Cotação 1]],Tabela2[[#This Row],[Cotação 2]])</f>
        <v>5.67</v>
      </c>
      <c r="I307" s="19" t="str">
        <f>IF(Tabela2[[#This Row],[Dividendo / Ação]]&gt;0,Tabela2[[#This Row],[Dividendo / Ação]]/Tabela2[[#This Row],[Cotação]],"")</f>
        <v/>
      </c>
      <c r="J307" s="61">
        <f>SUMPRODUCT(N(Tabela1[Código]=Tabela2[[#This Row],[Ativo]]),Tabela1[Fechamento])</f>
        <v>5.67</v>
      </c>
      <c r="K307" s="61">
        <f>SUMPRODUCT(N(Tabela17[Código]=Tabela2[[#This Row],[Ativo]]),Tabela17[Fechamento])</f>
        <v>0</v>
      </c>
      <c r="M307" s="3"/>
    </row>
    <row r="308" spans="1:13">
      <c r="A308" s="4" t="s">
        <v>188</v>
      </c>
      <c r="B308" s="4">
        <v>2011</v>
      </c>
      <c r="C308" s="6"/>
      <c r="D308" s="8">
        <f>SUMPRODUCT(N(Tabela3[PAPEL]=Tabela2[[#This Row],[Ativo]]),Tabela3[Total Ações])</f>
        <v>36947084</v>
      </c>
      <c r="E308" s="66">
        <f>(Tabela2[[#This Row],[Lucro Líquido]])/Tabela2[[#This Row],[Total Ações]]</f>
        <v>0</v>
      </c>
      <c r="F308" s="66">
        <v>0</v>
      </c>
      <c r="G308" s="46" t="str">
        <f>IF(AND(Tabela2[[#This Row],[Dividendo / Ação]]&gt;0,Tabela2[[#This Row],[Lucro por ação]]&gt;0),Tabela2[[#This Row],[Dividendo / Ação]]/Tabela2[[#This Row],[Lucro por ação]],"")</f>
        <v/>
      </c>
      <c r="H308" s="6">
        <f>MAX(Tabela2[[#This Row],[Cotação 1]],Tabela2[[#This Row],[Cotação 2]])</f>
        <v>5.67</v>
      </c>
      <c r="I308" s="19" t="str">
        <f>IF(Tabela2[[#This Row],[Dividendo / Ação]]&gt;0,Tabela2[[#This Row],[Dividendo / Ação]]/Tabela2[[#This Row],[Cotação]],"")</f>
        <v/>
      </c>
      <c r="J308" s="61">
        <f>SUMPRODUCT(N(Tabela1[Código]=Tabela2[[#This Row],[Ativo]]),Tabela1[Fechamento])</f>
        <v>5.67</v>
      </c>
      <c r="K308" s="61">
        <f>SUMPRODUCT(N(Tabela17[Código]=Tabela2[[#This Row],[Ativo]]),Tabela17[Fechamento])</f>
        <v>0</v>
      </c>
      <c r="M308" s="3"/>
    </row>
    <row r="309" spans="1:13">
      <c r="A309" s="4" t="s">
        <v>188</v>
      </c>
      <c r="B309" s="4">
        <v>2010</v>
      </c>
      <c r="C309" s="6">
        <v>13974263.699999999</v>
      </c>
      <c r="D309" s="8">
        <f>SUMPRODUCT(N(Tabela3[PAPEL]=Tabela2[[#This Row],[Ativo]]),Tabela3[Total Ações])</f>
        <v>36947084</v>
      </c>
      <c r="E309" s="66">
        <f>(Tabela2[[#This Row],[Lucro Líquido]])/Tabela2[[#This Row],[Total Ações]]</f>
        <v>0.37822372396154452</v>
      </c>
      <c r="F309" s="66">
        <v>8.7654448199999999E-2</v>
      </c>
      <c r="G309" s="46">
        <f>IF(AND(Tabela2[[#This Row],[Dividendo / Ação]]&gt;0,Tabela2[[#This Row],[Lucro por ação]]&gt;0),Tabela2[[#This Row],[Dividendo / Ação]]/Tabela2[[#This Row],[Lucro por ação]],"")</f>
        <v>0.23175290878610291</v>
      </c>
      <c r="H309" s="6">
        <f>MAX(Tabela2[[#This Row],[Cotação 1]],Tabela2[[#This Row],[Cotação 2]])</f>
        <v>5.67</v>
      </c>
      <c r="I309" s="19">
        <f>IF(Tabela2[[#This Row],[Dividendo / Ação]]&gt;0,Tabela2[[#This Row],[Dividendo / Ação]]/Tabela2[[#This Row],[Cotação]],"")</f>
        <v>1.5459338306878307E-2</v>
      </c>
      <c r="J309" s="61">
        <f>SUMPRODUCT(N(Tabela1[Código]=Tabela2[[#This Row],[Ativo]]),Tabela1[Fechamento])</f>
        <v>5.67</v>
      </c>
      <c r="K309" s="61">
        <f>SUMPRODUCT(N(Tabela17[Código]=Tabela2[[#This Row],[Ativo]]),Tabela17[Fechamento])</f>
        <v>0</v>
      </c>
      <c r="M309" s="3"/>
    </row>
    <row r="310" spans="1:13">
      <c r="A310" s="4" t="s">
        <v>188</v>
      </c>
      <c r="B310" s="4">
        <v>2009</v>
      </c>
      <c r="C310" s="6">
        <v>-7526000</v>
      </c>
      <c r="D310" s="8">
        <f>SUMPRODUCT(N(Tabela3[PAPEL]=Tabela2[[#This Row],[Ativo]]),Tabela3[Total Ações])</f>
        <v>36947084</v>
      </c>
      <c r="E310" s="66">
        <f>(Tabela2[[#This Row],[Lucro Líquido]])/Tabela2[[#This Row],[Total Ações]]</f>
        <v>-0.20369672475370451</v>
      </c>
      <c r="F310" s="66">
        <v>0</v>
      </c>
      <c r="G310" s="46" t="str">
        <f>IF(AND(Tabela2[[#This Row],[Dividendo / Ação]]&gt;0,Tabela2[[#This Row],[Lucro por ação]]&gt;0),Tabela2[[#This Row],[Dividendo / Ação]]/Tabela2[[#This Row],[Lucro por ação]],"")</f>
        <v/>
      </c>
      <c r="H310" s="6">
        <f>MAX(Tabela2[[#This Row],[Cotação 1]],Tabela2[[#This Row],[Cotação 2]])</f>
        <v>5.67</v>
      </c>
      <c r="I310" s="19" t="str">
        <f>IF(Tabela2[[#This Row],[Dividendo / Ação]]&gt;0,Tabela2[[#This Row],[Dividendo / Ação]]/Tabela2[[#This Row],[Cotação]],"")</f>
        <v/>
      </c>
      <c r="J310" s="61">
        <f>SUMPRODUCT(N(Tabela1[Código]=Tabela2[[#This Row],[Ativo]]),Tabela1[Fechamento])</f>
        <v>5.67</v>
      </c>
      <c r="K310" s="61">
        <f>SUMPRODUCT(N(Tabela17[Código]=Tabela2[[#This Row],[Ativo]]),Tabela17[Fechamento])</f>
        <v>0</v>
      </c>
      <c r="M310" s="3"/>
    </row>
    <row r="311" spans="1:13">
      <c r="A311" s="4" t="s">
        <v>188</v>
      </c>
      <c r="B311" s="4">
        <v>2008</v>
      </c>
      <c r="C311" s="6">
        <v>-170585000</v>
      </c>
      <c r="D311" s="8">
        <f>SUMPRODUCT(N(Tabela3[PAPEL]=Tabela2[[#This Row],[Ativo]]),Tabela3[Total Ações])</f>
        <v>36947084</v>
      </c>
      <c r="E311" s="66">
        <f>(Tabela2[[#This Row],[Lucro Líquido]])/Tabela2[[#This Row],[Total Ações]]</f>
        <v>-4.6170084762304926</v>
      </c>
      <c r="F311" s="66">
        <v>0.36506361199999998</v>
      </c>
      <c r="G311" s="46" t="str">
        <f>IF(AND(Tabela2[[#This Row],[Dividendo / Ação]]&gt;0,Tabela2[[#This Row],[Lucro por ação]]&gt;0),Tabela2[[#This Row],[Dividendo / Ação]]/Tabela2[[#This Row],[Lucro por ação]],"")</f>
        <v/>
      </c>
      <c r="H311" s="6">
        <f>MAX(Tabela2[[#This Row],[Cotação 1]],Tabela2[[#This Row],[Cotação 2]])</f>
        <v>5.67</v>
      </c>
      <c r="I311" s="19">
        <f>IF(Tabela2[[#This Row],[Dividendo / Ação]]&gt;0,Tabela2[[#This Row],[Dividendo / Ação]]/Tabela2[[#This Row],[Cotação]],"")</f>
        <v>6.4385116754850091E-2</v>
      </c>
      <c r="J311" s="61">
        <f>SUMPRODUCT(N(Tabela1[Código]=Tabela2[[#This Row],[Ativo]]),Tabela1[Fechamento])</f>
        <v>5.67</v>
      </c>
      <c r="K311" s="61">
        <f>SUMPRODUCT(N(Tabela17[Código]=Tabela2[[#This Row],[Ativo]]),Tabela17[Fechamento])</f>
        <v>0</v>
      </c>
      <c r="M311" s="3"/>
    </row>
    <row r="312" spans="1:13">
      <c r="A312" s="4" t="s">
        <v>28</v>
      </c>
      <c r="B312" s="4">
        <v>2012</v>
      </c>
      <c r="C312" s="6">
        <v>341644899.63</v>
      </c>
      <c r="D312" s="8">
        <f>SUMPRODUCT(N(Tabela3[PAPEL]=Tabela2[[#This Row],[Ativo]]),Tabela3[Total Ações])</f>
        <v>476415612</v>
      </c>
      <c r="E312" s="66">
        <f>(Tabela2[[#This Row],[Lucro Líquido]])/Tabela2[[#This Row],[Total Ações]]</f>
        <v>0.71711524774717084</v>
      </c>
      <c r="F312" s="66">
        <v>0.77853000000000006</v>
      </c>
      <c r="G312" s="46">
        <f>IF(AND(Tabela2[[#This Row],[Dividendo / Ação]]&gt;0,Tabela2[[#This Row],[Lucro por ação]]&gt;0),Tabela2[[#This Row],[Dividendo / Ação]]/Tabela2[[#This Row],[Lucro por ação]],"")</f>
        <v>1.0856413978726078</v>
      </c>
      <c r="H312" s="6">
        <f>MAX(Tabela2[[#This Row],[Cotação 1]],Tabela2[[#This Row],[Cotação 2]])</f>
        <v>10.25</v>
      </c>
      <c r="I312" s="19">
        <f>IF(Tabela2[[#This Row],[Dividendo / Ação]]&gt;0,Tabela2[[#This Row],[Dividendo / Ação]]/Tabela2[[#This Row],[Cotação]],"")</f>
        <v>7.5954146341463413E-2</v>
      </c>
      <c r="J312" s="61">
        <f>SUMPRODUCT(N(Tabela1[Código]=Tabela2[[#This Row],[Ativo]]),Tabela1[Fechamento])</f>
        <v>10.25</v>
      </c>
      <c r="K312" s="61">
        <f>SUMPRODUCT(N(Tabela17[Código]=Tabela2[[#This Row],[Ativo]]),Tabela17[Fechamento])</f>
        <v>0</v>
      </c>
      <c r="M312" s="3"/>
    </row>
    <row r="313" spans="1:13">
      <c r="A313" s="4" t="s">
        <v>28</v>
      </c>
      <c r="B313" s="4">
        <v>2011</v>
      </c>
      <c r="C313" s="6">
        <v>491579920.89999998</v>
      </c>
      <c r="D313" s="8">
        <f>SUMPRODUCT(N(Tabela3[PAPEL]=Tabela2[[#This Row],[Ativo]]),Tabela3[Total Ações])</f>
        <v>476415612</v>
      </c>
      <c r="E313" s="66">
        <f>(Tabela2[[#This Row],[Lucro Líquido]])/Tabela2[[#This Row],[Total Ações]]</f>
        <v>1.0318299999371137</v>
      </c>
      <c r="F313" s="66">
        <v>2.3355890000000001</v>
      </c>
      <c r="G313" s="46">
        <f>IF(AND(Tabela2[[#This Row],[Dividendo / Ação]]&gt;0,Tabela2[[#This Row],[Lucro por ação]]&gt;0),Tabela2[[#This Row],[Dividendo / Ação]]/Tabela2[[#This Row],[Lucro por ação]],"")</f>
        <v>2.2635405058414135</v>
      </c>
      <c r="H313" s="6">
        <f>MAX(Tabela2[[#This Row],[Cotação 1]],Tabela2[[#This Row],[Cotação 2]])</f>
        <v>10.25</v>
      </c>
      <c r="I313" s="19">
        <f>IF(Tabela2[[#This Row],[Dividendo / Ação]]&gt;0,Tabela2[[#This Row],[Dividendo / Ação]]/Tabela2[[#This Row],[Cotação]],"")</f>
        <v>0.22786234146341464</v>
      </c>
      <c r="J313" s="61">
        <f>SUMPRODUCT(N(Tabela1[Código]=Tabela2[[#This Row],[Ativo]]),Tabela1[Fechamento])</f>
        <v>10.25</v>
      </c>
      <c r="K313" s="61">
        <f>SUMPRODUCT(N(Tabela17[Código]=Tabela2[[#This Row],[Ativo]]),Tabela17[Fechamento])</f>
        <v>0</v>
      </c>
      <c r="M313" s="3"/>
    </row>
    <row r="314" spans="1:13">
      <c r="A314" s="4" t="s">
        <v>28</v>
      </c>
      <c r="B314" s="4">
        <v>2010</v>
      </c>
      <c r="C314" s="6">
        <v>588911630.5</v>
      </c>
      <c r="D314" s="8">
        <f>SUMPRODUCT(N(Tabela3[PAPEL]=Tabela2[[#This Row],[Ativo]]),Tabela3[Total Ações])</f>
        <v>476415612</v>
      </c>
      <c r="E314" s="66">
        <f>(Tabela2[[#This Row],[Lucro Líquido]])/Tabela2[[#This Row],[Total Ações]]</f>
        <v>1.2361300000806859</v>
      </c>
      <c r="F314" s="66">
        <v>2.22437</v>
      </c>
      <c r="G314" s="46">
        <f>IF(AND(Tabela2[[#This Row],[Dividendo / Ação]]&gt;0,Tabela2[[#This Row],[Lucro por ação]]&gt;0),Tabela2[[#This Row],[Dividendo / Ação]]/Tabela2[[#This Row],[Lucro por ação]],"")</f>
        <v>1.7994628395515107</v>
      </c>
      <c r="H314" s="6">
        <f>MAX(Tabela2[[#This Row],[Cotação 1]],Tabela2[[#This Row],[Cotação 2]])</f>
        <v>10.25</v>
      </c>
      <c r="I314" s="19">
        <f>IF(Tabela2[[#This Row],[Dividendo / Ação]]&gt;0,Tabela2[[#This Row],[Dividendo / Ação]]/Tabela2[[#This Row],[Cotação]],"")</f>
        <v>0.21701170731707317</v>
      </c>
      <c r="J314" s="61">
        <f>SUMPRODUCT(N(Tabela1[Código]=Tabela2[[#This Row],[Ativo]]),Tabela1[Fechamento])</f>
        <v>10.25</v>
      </c>
      <c r="K314" s="61">
        <f>SUMPRODUCT(N(Tabela17[Código]=Tabela2[[#This Row],[Ativo]]),Tabela17[Fechamento])</f>
        <v>0</v>
      </c>
      <c r="M314" s="3"/>
    </row>
    <row r="315" spans="1:13">
      <c r="A315" s="4" t="s">
        <v>28</v>
      </c>
      <c r="B315" s="4">
        <v>2009</v>
      </c>
      <c r="C315" s="6">
        <v>695571557.70000005</v>
      </c>
      <c r="D315" s="8">
        <f>SUMPRODUCT(N(Tabela3[PAPEL]=Tabela2[[#This Row],[Ativo]]),Tabela3[Total Ações])</f>
        <v>476415612</v>
      </c>
      <c r="E315" s="66">
        <f>(Tabela2[[#This Row],[Lucro Líquido]])/Tabela2[[#This Row],[Total Ações]]</f>
        <v>1.4600100000501244</v>
      </c>
      <c r="F315" s="66">
        <v>1.869219</v>
      </c>
      <c r="G315" s="46">
        <f>IF(AND(Tabela2[[#This Row],[Dividendo / Ação]]&gt;0,Tabela2[[#This Row],[Lucro por ação]]&gt;0),Tabela2[[#This Row],[Dividendo / Ação]]/Tabela2[[#This Row],[Lucro por ação]],"")</f>
        <v>1.2802782172285305</v>
      </c>
      <c r="H315" s="6">
        <f>MAX(Tabela2[[#This Row],[Cotação 1]],Tabela2[[#This Row],[Cotação 2]])</f>
        <v>10.25</v>
      </c>
      <c r="I315" s="19">
        <f>IF(Tabela2[[#This Row],[Dividendo / Ação]]&gt;0,Tabela2[[#This Row],[Dividendo / Ação]]/Tabela2[[#This Row],[Cotação]],"")</f>
        <v>0.18236282926829267</v>
      </c>
      <c r="J315" s="61">
        <f>SUMPRODUCT(N(Tabela1[Código]=Tabela2[[#This Row],[Ativo]]),Tabela1[Fechamento])</f>
        <v>10.25</v>
      </c>
      <c r="K315" s="61">
        <f>SUMPRODUCT(N(Tabela17[Código]=Tabela2[[#This Row],[Ativo]]),Tabela17[Fechamento])</f>
        <v>0</v>
      </c>
      <c r="M315" s="3"/>
    </row>
    <row r="316" spans="1:13">
      <c r="A316" s="4" t="s">
        <v>92</v>
      </c>
      <c r="B316" s="4">
        <v>2012</v>
      </c>
      <c r="C316" s="6">
        <v>290441196.88</v>
      </c>
      <c r="D316" s="8">
        <f>SUMPRODUCT(N(Tabela3[PAPEL]=Tabela2[[#This Row],[Ativo]]),Tabela3[Total Ações])</f>
        <v>1245690889</v>
      </c>
      <c r="E316" s="64">
        <f>(Tabela2[[#This Row],[Lucro Líquido]])/Tabela2[[#This Row],[Total Ações]]</f>
        <v>0.23315671603984894</v>
      </c>
      <c r="F316" s="64">
        <v>0.79500000000000004</v>
      </c>
      <c r="G316" s="19">
        <f>IF(AND(Tabela2[[#This Row],[Dividendo / Ação]]&gt;0,Tabela2[[#This Row],[Lucro por ação]]&gt;0),Tabela2[[#This Row],[Dividendo / Ação]]/Tabela2[[#This Row],[Lucro por ação]],"")</f>
        <v>3.4097237836551368</v>
      </c>
      <c r="H316" s="6">
        <f>MAX(Tabela2[[#This Row],[Cotação 1]],Tabela2[[#This Row],[Cotação 2]])</f>
        <v>12.4</v>
      </c>
      <c r="I316" s="18">
        <f>IF(Tabela2[[#This Row],[Dividendo / Ação]]&gt;0,Tabela2[[#This Row],[Dividendo / Ação]]/Tabela2[[#This Row],[Cotação]],"")</f>
        <v>6.4112903225806456E-2</v>
      </c>
      <c r="J316" s="60">
        <f>SUMPRODUCT(N(Tabela1[Código]=Tabela2[[#This Row],[Ativo]]),Tabela1[Fechamento])</f>
        <v>12.4</v>
      </c>
      <c r="K316" s="60">
        <f>SUMPRODUCT(N(Tabela17[Código]=Tabela2[[#This Row],[Ativo]]),Tabela17[Fechamento])</f>
        <v>0</v>
      </c>
      <c r="M316" s="3"/>
    </row>
    <row r="317" spans="1:13">
      <c r="A317" s="4" t="s">
        <v>92</v>
      </c>
      <c r="B317" s="4">
        <v>2011</v>
      </c>
      <c r="C317" s="5">
        <v>212054242.16999999</v>
      </c>
      <c r="D317" s="8">
        <f>SUMPRODUCT(N(Tabela3[PAPEL]=Tabela2[[#This Row],[Ativo]]),Tabela3[Total Ações])</f>
        <v>1245690889</v>
      </c>
      <c r="E317" s="64">
        <f>(Tabela2[[#This Row],[Lucro Líquido]])/Tabela2[[#This Row],[Total Ações]]</f>
        <v>0.17023022648919767</v>
      </c>
      <c r="F317" s="64">
        <v>9.6000000000000002E-2</v>
      </c>
      <c r="G317" s="19">
        <f>IF(AND(Tabela2[[#This Row],[Dividendo / Ação]]&gt;0,Tabela2[[#This Row],[Lucro por ação]]&gt;0),Tabela2[[#This Row],[Dividendo / Ação]]/Tabela2[[#This Row],[Lucro por ação]],"")</f>
        <v>0.56394215046228524</v>
      </c>
      <c r="H317" s="6">
        <f>MAX(Tabela2[[#This Row],[Cotação 1]],Tabela2[[#This Row],[Cotação 2]])</f>
        <v>12.4</v>
      </c>
      <c r="I317" s="18">
        <f>IF(Tabela2[[#This Row],[Dividendo / Ação]]&gt;0,Tabela2[[#This Row],[Dividendo / Ação]]/Tabela2[[#This Row],[Cotação]],"")</f>
        <v>7.7419354838709677E-3</v>
      </c>
      <c r="J317" s="60">
        <f>SUMPRODUCT(N(Tabela1[Código]=Tabela2[[#This Row],[Ativo]]),Tabela1[Fechamento])</f>
        <v>12.4</v>
      </c>
      <c r="K317" s="60">
        <f>SUMPRODUCT(N(Tabela17[Código]=Tabela2[[#This Row],[Ativo]]),Tabela17[Fechamento])</f>
        <v>0</v>
      </c>
      <c r="M317" s="3"/>
    </row>
    <row r="318" spans="1:13">
      <c r="A318" s="4" t="s">
        <v>92</v>
      </c>
      <c r="B318" s="4">
        <v>2010</v>
      </c>
      <c r="C318" s="5">
        <v>194647783.53</v>
      </c>
      <c r="D318" s="8">
        <f>SUMPRODUCT(N(Tabela3[PAPEL]=Tabela2[[#This Row],[Ativo]]),Tabela3[Total Ações])</f>
        <v>1245690889</v>
      </c>
      <c r="E318" s="64">
        <f>(Tabela2[[#This Row],[Lucro Líquido]])/Tabela2[[#This Row],[Total Ações]]</f>
        <v>0.15625688944892011</v>
      </c>
      <c r="F318" s="64">
        <v>8.8999999999999996E-2</v>
      </c>
      <c r="G318" s="19">
        <f>IF(AND(Tabela2[[#This Row],[Dividendo / Ação]]&gt;0,Tabela2[[#This Row],[Lucro por ação]]&gt;0),Tabela2[[#This Row],[Dividendo / Ação]]/Tabela2[[#This Row],[Lucro por ação]],"")</f>
        <v>0.56957488603466555</v>
      </c>
      <c r="H318" s="6">
        <f>MAX(Tabela2[[#This Row],[Cotação 1]],Tabela2[[#This Row],[Cotação 2]])</f>
        <v>12.4</v>
      </c>
      <c r="I318" s="18">
        <f>IF(Tabela2[[#This Row],[Dividendo / Ação]]&gt;0,Tabela2[[#This Row],[Dividendo / Ação]]/Tabela2[[#This Row],[Cotação]],"")</f>
        <v>7.1774193548387087E-3</v>
      </c>
      <c r="J318" s="60">
        <f>SUMPRODUCT(N(Tabela1[Código]=Tabela2[[#This Row],[Ativo]]),Tabela1[Fechamento])</f>
        <v>12.4</v>
      </c>
      <c r="K318" s="60">
        <f>SUMPRODUCT(N(Tabela17[Código]=Tabela2[[#This Row],[Ativo]]),Tabela17[Fechamento])</f>
        <v>0</v>
      </c>
      <c r="M318" s="3"/>
    </row>
    <row r="319" spans="1:13">
      <c r="A319" s="4" t="s">
        <v>92</v>
      </c>
      <c r="B319" s="4">
        <v>2009</v>
      </c>
      <c r="C319" s="5">
        <v>276855137.25</v>
      </c>
      <c r="D319" s="8">
        <f>SUMPRODUCT(N(Tabela3[PAPEL]=Tabela2[[#This Row],[Ativo]]),Tabela3[Total Ações])</f>
        <v>1245690889</v>
      </c>
      <c r="E319" s="64">
        <f>(Tabela2[[#This Row],[Lucro Líquido]])/Tabela2[[#This Row],[Total Ações]]</f>
        <v>0.22225027066887379</v>
      </c>
      <c r="F319" s="64">
        <v>0.113</v>
      </c>
      <c r="G319" s="19">
        <f>IF(AND(Tabela2[[#This Row],[Dividendo / Ação]]&gt;0,Tabela2[[#This Row],[Lucro por ação]]&gt;0),Tabela2[[#This Row],[Dividendo / Ação]]/Tabela2[[#This Row],[Lucro por ação]],"")</f>
        <v>0.50843582624183359</v>
      </c>
      <c r="H319" s="6">
        <f>MAX(Tabela2[[#This Row],[Cotação 1]],Tabela2[[#This Row],[Cotação 2]])</f>
        <v>12.4</v>
      </c>
      <c r="I319" s="18">
        <f>IF(Tabela2[[#This Row],[Dividendo / Ação]]&gt;0,Tabela2[[#This Row],[Dividendo / Ação]]/Tabela2[[#This Row],[Cotação]],"")</f>
        <v>9.112903225806452E-3</v>
      </c>
      <c r="J319" s="60">
        <f>SUMPRODUCT(N(Tabela1[Código]=Tabela2[[#This Row],[Ativo]]),Tabela1[Fechamento])</f>
        <v>12.4</v>
      </c>
      <c r="K319" s="60">
        <f>SUMPRODUCT(N(Tabela17[Código]=Tabela2[[#This Row],[Ativo]]),Tabela17[Fechamento])</f>
        <v>0</v>
      </c>
      <c r="M319" s="3"/>
    </row>
    <row r="320" spans="1:13">
      <c r="A320" s="4" t="s">
        <v>190</v>
      </c>
      <c r="B320" s="3">
        <v>2012</v>
      </c>
      <c r="C320" s="6">
        <v>290441196.88</v>
      </c>
      <c r="D320" s="62">
        <f>SUMPRODUCT(N(Tabela3[PAPEL]=Tabela2[[#This Row],[Ativo]]),Tabela3[Total Ações])</f>
        <v>1245690889</v>
      </c>
      <c r="E320" s="63">
        <f>(Tabela2[[#This Row],[Lucro Líquido]])/Tabela2[[#This Row],[Total Ações]]</f>
        <v>0.23315671603984894</v>
      </c>
      <c r="F320" s="63">
        <v>0.159</v>
      </c>
      <c r="G320" s="18">
        <f>IF(AND(Tabela2[[#This Row],[Dividendo / Ação]]&gt;0,Tabela2[[#This Row],[Lucro por ação]]&gt;0),Tabela2[[#This Row],[Dividendo / Ação]]/Tabela2[[#This Row],[Lucro por ação]],"")</f>
        <v>0.68194475673102728</v>
      </c>
      <c r="H320" s="5">
        <f>MAX(Tabela2[[#This Row],[Cotação 1]],Tabela2[[#This Row],[Cotação 2]])</f>
        <v>3.4</v>
      </c>
      <c r="I320" s="18">
        <f>IF(Tabela2[[#This Row],[Dividendo / Ação]]&gt;0,Tabela2[[#This Row],[Dividendo / Ação]]/Tabela2[[#This Row],[Cotação]],"")</f>
        <v>4.6764705882352944E-2</v>
      </c>
      <c r="J320" s="60">
        <f>SUMPRODUCT(N(Tabela1[Código]=Tabela2[[#This Row],[Ativo]]),Tabela1[Fechamento])</f>
        <v>3.4</v>
      </c>
      <c r="K320" s="60">
        <f>SUMPRODUCT(N(Tabela17[Código]=Tabela2[[#This Row],[Ativo]]),Tabela17[Fechamento])</f>
        <v>0</v>
      </c>
      <c r="M320" s="3"/>
    </row>
    <row r="321" spans="1:13">
      <c r="A321" s="4" t="s">
        <v>190</v>
      </c>
      <c r="B321" s="3">
        <v>2011</v>
      </c>
      <c r="C321" s="5">
        <v>212054242.16999999</v>
      </c>
      <c r="D321" s="62">
        <f>SUMPRODUCT(N(Tabela3[PAPEL]=Tabela2[[#This Row],[Ativo]]),Tabela3[Total Ações])</f>
        <v>1245690889</v>
      </c>
      <c r="E321" s="63">
        <f>(Tabela2[[#This Row],[Lucro Líquido]])/Tabela2[[#This Row],[Total Ações]]</f>
        <v>0.17023022648919767</v>
      </c>
      <c r="F321" s="64">
        <v>9.6000000000000002E-2</v>
      </c>
      <c r="G321" s="18">
        <f>IF(AND(Tabela2[[#This Row],[Dividendo / Ação]]&gt;0,Tabela2[[#This Row],[Lucro por ação]]&gt;0),Tabela2[[#This Row],[Dividendo / Ação]]/Tabela2[[#This Row],[Lucro por ação]],"")</f>
        <v>0.56394215046228524</v>
      </c>
      <c r="H321" s="5">
        <f>MAX(Tabela2[[#This Row],[Cotação 1]],Tabela2[[#This Row],[Cotação 2]])</f>
        <v>3.4</v>
      </c>
      <c r="I321" s="18">
        <f>IF(Tabela2[[#This Row],[Dividendo / Ação]]&gt;0,Tabela2[[#This Row],[Dividendo / Ação]]/Tabela2[[#This Row],[Cotação]],"")</f>
        <v>2.823529411764706E-2</v>
      </c>
      <c r="J321" s="60">
        <f>SUMPRODUCT(N(Tabela1[Código]=Tabela2[[#This Row],[Ativo]]),Tabela1[Fechamento])</f>
        <v>3.4</v>
      </c>
      <c r="K321" s="60">
        <f>SUMPRODUCT(N(Tabela17[Código]=Tabela2[[#This Row],[Ativo]]),Tabela17[Fechamento])</f>
        <v>0</v>
      </c>
      <c r="M321" s="3"/>
    </row>
    <row r="322" spans="1:13">
      <c r="A322" s="4" t="s">
        <v>190</v>
      </c>
      <c r="B322" s="4">
        <v>2010</v>
      </c>
      <c r="C322" s="5">
        <v>194647783.53</v>
      </c>
      <c r="D322" s="62">
        <f>SUMPRODUCT(N(Tabela3[PAPEL]=Tabela2[[#This Row],[Ativo]]),Tabela3[Total Ações])</f>
        <v>1245690889</v>
      </c>
      <c r="E322" s="63">
        <f>(Tabela2[[#This Row],[Lucro Líquido]])/Tabela2[[#This Row],[Total Ações]]</f>
        <v>0.15625688944892011</v>
      </c>
      <c r="F322" s="64">
        <v>8.8999999999999996E-2</v>
      </c>
      <c r="G322" s="18">
        <f>IF(AND(Tabela2[[#This Row],[Dividendo / Ação]]&gt;0,Tabela2[[#This Row],[Lucro por ação]]&gt;0),Tabela2[[#This Row],[Dividendo / Ação]]/Tabela2[[#This Row],[Lucro por ação]],"")</f>
        <v>0.56957488603466555</v>
      </c>
      <c r="H322" s="5">
        <f>MAX(Tabela2[[#This Row],[Cotação 1]],Tabela2[[#This Row],[Cotação 2]])</f>
        <v>3.4</v>
      </c>
      <c r="I322" s="18">
        <f>IF(Tabela2[[#This Row],[Dividendo / Ação]]&gt;0,Tabela2[[#This Row],[Dividendo / Ação]]/Tabela2[[#This Row],[Cotação]],"")</f>
        <v>2.6176470588235294E-2</v>
      </c>
      <c r="J322" s="60">
        <f>SUMPRODUCT(N(Tabela1[Código]=Tabela2[[#This Row],[Ativo]]),Tabela1[Fechamento])</f>
        <v>3.4</v>
      </c>
      <c r="K322" s="60">
        <f>SUMPRODUCT(N(Tabela17[Código]=Tabela2[[#This Row],[Ativo]]),Tabela17[Fechamento])</f>
        <v>0</v>
      </c>
      <c r="M322" s="3"/>
    </row>
    <row r="323" spans="1:13">
      <c r="A323" s="4" t="s">
        <v>190</v>
      </c>
      <c r="B323" s="4">
        <v>2009</v>
      </c>
      <c r="C323" s="5">
        <v>276855137.25</v>
      </c>
      <c r="D323" s="62">
        <f>SUMPRODUCT(N(Tabela3[PAPEL]=Tabela2[[#This Row],[Ativo]]),Tabela3[Total Ações])</f>
        <v>1245690889</v>
      </c>
      <c r="E323" s="63">
        <f>(Tabela2[[#This Row],[Lucro Líquido]])/Tabela2[[#This Row],[Total Ações]]</f>
        <v>0.22225027066887379</v>
      </c>
      <c r="F323" s="64">
        <v>0.113</v>
      </c>
      <c r="G323" s="18">
        <f>IF(AND(Tabela2[[#This Row],[Dividendo / Ação]]&gt;0,Tabela2[[#This Row],[Lucro por ação]]&gt;0),Tabela2[[#This Row],[Dividendo / Ação]]/Tabela2[[#This Row],[Lucro por ação]],"")</f>
        <v>0.50843582624183359</v>
      </c>
      <c r="H323" s="5">
        <f>MAX(Tabela2[[#This Row],[Cotação 1]],Tabela2[[#This Row],[Cotação 2]])</f>
        <v>3.4</v>
      </c>
      <c r="I323" s="18">
        <f>IF(Tabela2[[#This Row],[Dividendo / Ação]]&gt;0,Tabela2[[#This Row],[Dividendo / Ação]]/Tabela2[[#This Row],[Cotação]],"")</f>
        <v>3.3235294117647057E-2</v>
      </c>
      <c r="J323" s="60">
        <f>SUMPRODUCT(N(Tabela1[Código]=Tabela2[[#This Row],[Ativo]]),Tabela1[Fechamento])</f>
        <v>3.4</v>
      </c>
      <c r="K323" s="60">
        <f>SUMPRODUCT(N(Tabela17[Código]=Tabela2[[#This Row],[Ativo]]),Tabela17[Fechamento])</f>
        <v>0</v>
      </c>
      <c r="M323" s="3"/>
    </row>
    <row r="324" spans="1:13">
      <c r="A324" s="4" t="s">
        <v>67</v>
      </c>
      <c r="B324" s="4">
        <v>2012</v>
      </c>
      <c r="C324" s="6">
        <v>290441196.88</v>
      </c>
      <c r="D324" s="8">
        <f>SUMPRODUCT(N(Tabela3[PAPEL]=Tabela2[[#This Row],[Ativo]]),Tabela3[Total Ações])</f>
        <v>1245690889</v>
      </c>
      <c r="E324" s="64">
        <f>(Tabela2[[#This Row],[Lucro Líquido]])/Tabela2[[#This Row],[Total Ações]]</f>
        <v>0.23315671603984894</v>
      </c>
      <c r="F324" s="64">
        <v>0.159</v>
      </c>
      <c r="G324" s="19">
        <f>IF(AND(Tabela2[[#This Row],[Dividendo / Ação]]&gt;0,Tabela2[[#This Row],[Lucro por ação]]&gt;0),Tabela2[[#This Row],[Dividendo / Ação]]/Tabela2[[#This Row],[Lucro por ação]],"")</f>
        <v>0.68194475673102728</v>
      </c>
      <c r="H324" s="6">
        <f>MAX(Tabela2[[#This Row],[Cotação 1]],Tabela2[[#This Row],[Cotação 2]])</f>
        <v>2.1</v>
      </c>
      <c r="I324" s="18">
        <f>IF(Tabela2[[#This Row],[Dividendo / Ação]]&gt;0,Tabela2[[#This Row],[Dividendo / Ação]]/Tabela2[[#This Row],[Cotação]],"")</f>
        <v>7.5714285714285706E-2</v>
      </c>
      <c r="J324" s="60">
        <f>SUMPRODUCT(N(Tabela1[Código]=Tabela2[[#This Row],[Ativo]]),Tabela1[Fechamento])</f>
        <v>2.1</v>
      </c>
      <c r="K324" s="60">
        <f>SUMPRODUCT(N(Tabela17[Código]=Tabela2[[#This Row],[Ativo]]),Tabela17[Fechamento])</f>
        <v>0</v>
      </c>
      <c r="M324" s="3"/>
    </row>
    <row r="325" spans="1:13">
      <c r="A325" s="4" t="s">
        <v>67</v>
      </c>
      <c r="B325" s="3">
        <v>2011</v>
      </c>
      <c r="C325" s="5">
        <v>212054242.16999999</v>
      </c>
      <c r="D325" s="62">
        <f>SUMPRODUCT(N(Tabela3[PAPEL]=Tabela2[[#This Row],[Ativo]]),Tabela3[Total Ações])</f>
        <v>1245690889</v>
      </c>
      <c r="E325" s="63">
        <f>(Tabela2[[#This Row],[Lucro Líquido]])/Tabela2[[#This Row],[Total Ações]]</f>
        <v>0.17023022648919767</v>
      </c>
      <c r="F325" s="64">
        <v>9.6000000000000002E-2</v>
      </c>
      <c r="G325" s="18">
        <f>IF(AND(Tabela2[[#This Row],[Dividendo / Ação]]&gt;0,Tabela2[[#This Row],[Lucro por ação]]&gt;0),Tabela2[[#This Row],[Dividendo / Ação]]/Tabela2[[#This Row],[Lucro por ação]],"")</f>
        <v>0.56394215046228524</v>
      </c>
      <c r="H325" s="5">
        <f>MAX(Tabela2[[#This Row],[Cotação 1]],Tabela2[[#This Row],[Cotação 2]])</f>
        <v>2.1</v>
      </c>
      <c r="I325" s="18">
        <f>IF(Tabela2[[#This Row],[Dividendo / Ação]]&gt;0,Tabela2[[#This Row],[Dividendo / Ação]]/Tabela2[[#This Row],[Cotação]],"")</f>
        <v>4.5714285714285714E-2</v>
      </c>
      <c r="J325" s="60">
        <f>SUMPRODUCT(N(Tabela1[Código]=Tabela2[[#This Row],[Ativo]]),Tabela1[Fechamento])</f>
        <v>2.1</v>
      </c>
      <c r="K325" s="60">
        <f>SUMPRODUCT(N(Tabela17[Código]=Tabela2[[#This Row],[Ativo]]),Tabela17[Fechamento])</f>
        <v>0</v>
      </c>
      <c r="M325" s="3"/>
    </row>
    <row r="326" spans="1:13">
      <c r="A326" s="4" t="s">
        <v>67</v>
      </c>
      <c r="B326" s="4">
        <v>2010</v>
      </c>
      <c r="C326" s="5">
        <v>194647783.53</v>
      </c>
      <c r="D326" s="62">
        <f>SUMPRODUCT(N(Tabela3[PAPEL]=Tabela2[[#This Row],[Ativo]]),Tabela3[Total Ações])</f>
        <v>1245690889</v>
      </c>
      <c r="E326" s="63">
        <f>(Tabela2[[#This Row],[Lucro Líquido]])/Tabela2[[#This Row],[Total Ações]]</f>
        <v>0.15625688944892011</v>
      </c>
      <c r="F326" s="64">
        <v>8.8999999999999996E-2</v>
      </c>
      <c r="G326" s="18">
        <f>IF(AND(Tabela2[[#This Row],[Dividendo / Ação]]&gt;0,Tabela2[[#This Row],[Lucro por ação]]&gt;0),Tabela2[[#This Row],[Dividendo / Ação]]/Tabela2[[#This Row],[Lucro por ação]],"")</f>
        <v>0.56957488603466555</v>
      </c>
      <c r="H326" s="5">
        <f>MAX(Tabela2[[#This Row],[Cotação 1]],Tabela2[[#This Row],[Cotação 2]])</f>
        <v>2.1</v>
      </c>
      <c r="I326" s="18">
        <f>IF(Tabela2[[#This Row],[Dividendo / Ação]]&gt;0,Tabela2[[#This Row],[Dividendo / Ação]]/Tabela2[[#This Row],[Cotação]],"")</f>
        <v>4.238095238095238E-2</v>
      </c>
      <c r="J326" s="60">
        <f>SUMPRODUCT(N(Tabela1[Código]=Tabela2[[#This Row],[Ativo]]),Tabela1[Fechamento])</f>
        <v>2.1</v>
      </c>
      <c r="K326" s="60">
        <f>SUMPRODUCT(N(Tabela17[Código]=Tabela2[[#This Row],[Ativo]]),Tabela17[Fechamento])</f>
        <v>0</v>
      </c>
      <c r="M326" s="3"/>
    </row>
    <row r="327" spans="1:13">
      <c r="A327" s="4" t="s">
        <v>67</v>
      </c>
      <c r="B327" s="4">
        <v>2009</v>
      </c>
      <c r="C327" s="5">
        <v>276855137.25</v>
      </c>
      <c r="D327" s="62">
        <f>SUMPRODUCT(N(Tabela3[PAPEL]=Tabela2[[#This Row],[Ativo]]),Tabela3[Total Ações])</f>
        <v>1245690889</v>
      </c>
      <c r="E327" s="63">
        <f>(Tabela2[[#This Row],[Lucro Líquido]])/Tabela2[[#This Row],[Total Ações]]</f>
        <v>0.22225027066887379</v>
      </c>
      <c r="F327" s="64">
        <v>0.113</v>
      </c>
      <c r="G327" s="18">
        <f>IF(AND(Tabela2[[#This Row],[Dividendo / Ação]]&gt;0,Tabela2[[#This Row],[Lucro por ação]]&gt;0),Tabela2[[#This Row],[Dividendo / Ação]]/Tabela2[[#This Row],[Lucro por ação]],"")</f>
        <v>0.50843582624183359</v>
      </c>
      <c r="H327" s="5">
        <f>MAX(Tabela2[[#This Row],[Cotação 1]],Tabela2[[#This Row],[Cotação 2]])</f>
        <v>2.1</v>
      </c>
      <c r="I327" s="18">
        <f>IF(Tabela2[[#This Row],[Dividendo / Ação]]&gt;0,Tabela2[[#This Row],[Dividendo / Ação]]/Tabela2[[#This Row],[Cotação]],"")</f>
        <v>5.3809523809523807E-2</v>
      </c>
      <c r="J327" s="60">
        <f>SUMPRODUCT(N(Tabela1[Código]=Tabela2[[#This Row],[Ativo]]),Tabela1[Fechamento])</f>
        <v>2.1</v>
      </c>
      <c r="K327" s="60">
        <f>SUMPRODUCT(N(Tabela17[Código]=Tabela2[[#This Row],[Ativo]]),Tabela17[Fechamento])</f>
        <v>0</v>
      </c>
      <c r="M327" s="3"/>
    </row>
    <row r="328" spans="1:13">
      <c r="A328" s="4" t="s">
        <v>102</v>
      </c>
      <c r="B328" s="4">
        <v>2012</v>
      </c>
      <c r="C328" s="6">
        <v>384946993.33999997</v>
      </c>
      <c r="D328" s="8">
        <f>SUMPRODUCT(N(Tabela3[PAPEL]=Tabela2[[#This Row],[Ativo]]),Tabela3[Total Ações])</f>
        <v>164183899</v>
      </c>
      <c r="E328" s="66">
        <f>(Tabela2[[#This Row],[Lucro Líquido]])/Tabela2[[#This Row],[Total Ações]]</f>
        <v>2.3446086716456889</v>
      </c>
      <c r="F328" s="66">
        <v>0.46</v>
      </c>
      <c r="G328" s="46">
        <f>IF(AND(Tabela2[[#This Row],[Dividendo / Ação]]&gt;0,Tabela2[[#This Row],[Lucro por ação]]&gt;0),Tabela2[[#This Row],[Dividendo / Ação]]/Tabela2[[#This Row],[Lucro por ação]],"")</f>
        <v>0.19619478745556479</v>
      </c>
      <c r="H328" s="6">
        <f>MAX(Tabela2[[#This Row],[Cotação 1]],Tabela2[[#This Row],[Cotação 2]])</f>
        <v>15.4</v>
      </c>
      <c r="I328" s="19">
        <f>IF(Tabela2[[#This Row],[Dividendo / Ação]]&gt;0,Tabela2[[#This Row],[Dividendo / Ação]]/Tabela2[[#This Row],[Cotação]],"")</f>
        <v>2.987012987012987E-2</v>
      </c>
      <c r="J328" s="61">
        <f>SUMPRODUCT(N(Tabela1[Código]=Tabela2[[#This Row],[Ativo]]),Tabela1[Fechamento])</f>
        <v>15.4</v>
      </c>
      <c r="K328" s="61">
        <f>SUMPRODUCT(N(Tabela17[Código]=Tabela2[[#This Row],[Ativo]]),Tabela17[Fechamento])</f>
        <v>0</v>
      </c>
      <c r="M328" s="3"/>
    </row>
    <row r="329" spans="1:13">
      <c r="A329" s="4" t="s">
        <v>102</v>
      </c>
      <c r="B329" s="4">
        <v>2011</v>
      </c>
      <c r="C329" s="6">
        <v>247502000</v>
      </c>
      <c r="D329" s="8">
        <f>SUMPRODUCT(N(Tabela3[PAPEL]=Tabela2[[#This Row],[Ativo]]),Tabela3[Total Ações])</f>
        <v>164183899</v>
      </c>
      <c r="E329" s="66">
        <f>(Tabela2[[#This Row],[Lucro Líquido]])/Tabela2[[#This Row],[Total Ações]]</f>
        <v>1.5074681592255279</v>
      </c>
      <c r="F329" s="66">
        <v>0.56999999999999995</v>
      </c>
      <c r="G329" s="46">
        <f>IF(AND(Tabela2[[#This Row],[Dividendo / Ação]]&gt;0,Tabela2[[#This Row],[Lucro por ação]]&gt;0),Tabela2[[#This Row],[Dividendo / Ação]]/Tabela2[[#This Row],[Lucro por ação]],"")</f>
        <v>0.37811743917220869</v>
      </c>
      <c r="H329" s="6">
        <f>MAX(Tabela2[[#This Row],[Cotação 1]],Tabela2[[#This Row],[Cotação 2]])</f>
        <v>15.4</v>
      </c>
      <c r="I329" s="19">
        <f>IF(Tabela2[[#This Row],[Dividendo / Ação]]&gt;0,Tabela2[[#This Row],[Dividendo / Ação]]/Tabela2[[#This Row],[Cotação]],"")</f>
        <v>3.7012987012987011E-2</v>
      </c>
      <c r="J329" s="61">
        <f>SUMPRODUCT(N(Tabela1[Código]=Tabela2[[#This Row],[Ativo]]),Tabela1[Fechamento])</f>
        <v>15.4</v>
      </c>
      <c r="K329" s="61">
        <f>SUMPRODUCT(N(Tabela17[Código]=Tabela2[[#This Row],[Ativo]]),Tabela17[Fechamento])</f>
        <v>0</v>
      </c>
      <c r="M329" s="3"/>
    </row>
    <row r="330" spans="1:13">
      <c r="A330" s="4" t="s">
        <v>102</v>
      </c>
      <c r="B330" s="4">
        <v>2010</v>
      </c>
      <c r="C330" s="6">
        <v>278621000</v>
      </c>
      <c r="D330" s="8">
        <f>SUMPRODUCT(N(Tabela3[PAPEL]=Tabela2[[#This Row],[Ativo]]),Tabela3[Total Ações])</f>
        <v>164183899</v>
      </c>
      <c r="E330" s="66">
        <f>(Tabela2[[#This Row],[Lucro Líquido]])/Tabela2[[#This Row],[Total Ações]]</f>
        <v>1.6970056241629394</v>
      </c>
      <c r="F330" s="66">
        <v>1.52</v>
      </c>
      <c r="G330" s="46">
        <f>IF(AND(Tabela2[[#This Row],[Dividendo / Ação]]&gt;0,Tabela2[[#This Row],[Lucro por ação]]&gt;0),Tabela2[[#This Row],[Dividendo / Ação]]/Tabela2[[#This Row],[Lucro por ação]],"")</f>
        <v>0.89569532260669515</v>
      </c>
      <c r="H330" s="6">
        <f>MAX(Tabela2[[#This Row],[Cotação 1]],Tabela2[[#This Row],[Cotação 2]])</f>
        <v>15.4</v>
      </c>
      <c r="I330" s="19">
        <f>IF(Tabela2[[#This Row],[Dividendo / Ação]]&gt;0,Tabela2[[#This Row],[Dividendo / Ação]]/Tabela2[[#This Row],[Cotação]],"")</f>
        <v>9.8701298701298706E-2</v>
      </c>
      <c r="J330" s="61">
        <f>SUMPRODUCT(N(Tabela1[Código]=Tabela2[[#This Row],[Ativo]]),Tabela1[Fechamento])</f>
        <v>15.4</v>
      </c>
      <c r="K330" s="61">
        <f>SUMPRODUCT(N(Tabela17[Código]=Tabela2[[#This Row],[Ativo]]),Tabela17[Fechamento])</f>
        <v>0</v>
      </c>
      <c r="M330" s="3"/>
    </row>
    <row r="331" spans="1:13">
      <c r="A331" s="4" t="s">
        <v>35</v>
      </c>
      <c r="B331" s="4">
        <v>2012</v>
      </c>
      <c r="C331" s="6">
        <v>140995000</v>
      </c>
      <c r="D331" s="8">
        <f>SUMPRODUCT(N(Tabela3[PAPEL]=Tabela2[[#This Row],[Ativo]]),Tabela3[Total Ações])</f>
        <v>198447352</v>
      </c>
      <c r="E331" s="66">
        <f>(Tabela2[[#This Row],[Lucro Líquido]])/Tabela2[[#This Row],[Total Ações]]</f>
        <v>0.7104907098987141</v>
      </c>
      <c r="F331" s="66">
        <v>0.17</v>
      </c>
      <c r="G331" s="46">
        <f>IF(AND(Tabela2[[#This Row],[Dividendo / Ação]]&gt;0,Tabela2[[#This Row],[Lucro por ação]]&gt;0),Tabela2[[#This Row],[Dividendo / Ação]]/Tabela2[[#This Row],[Lucro por ação]],"")</f>
        <v>0.23927124961878082</v>
      </c>
      <c r="H331" s="6">
        <f>MAX(Tabela2[[#This Row],[Cotação 1]],Tabela2[[#This Row],[Cotação 2]])</f>
        <v>23.65</v>
      </c>
      <c r="I331" s="19">
        <f>IF(Tabela2[[#This Row],[Dividendo / Ação]]&gt;0,Tabela2[[#This Row],[Dividendo / Ação]]/Tabela2[[#This Row],[Cotação]],"")</f>
        <v>7.1881606765327706E-3</v>
      </c>
      <c r="J331" s="61">
        <f>SUMPRODUCT(N(Tabela1[Código]=Tabela2[[#This Row],[Ativo]]),Tabela1[Fechamento])</f>
        <v>23.65</v>
      </c>
      <c r="K331" s="61">
        <f>SUMPRODUCT(N(Tabela17[Código]=Tabela2[[#This Row],[Ativo]]),Tabela17[Fechamento])</f>
        <v>0</v>
      </c>
      <c r="M331" s="3"/>
    </row>
    <row r="332" spans="1:13">
      <c r="A332" s="4" t="s">
        <v>35</v>
      </c>
      <c r="B332" s="4">
        <v>2011</v>
      </c>
      <c r="C332" s="6">
        <v>159996000</v>
      </c>
      <c r="D332" s="8">
        <f>SUMPRODUCT(N(Tabela3[PAPEL]=Tabela2[[#This Row],[Ativo]]),Tabela3[Total Ações])</f>
        <v>198447352</v>
      </c>
      <c r="E332" s="66">
        <f>(Tabela2[[#This Row],[Lucro Líquido]])/Tabela2[[#This Row],[Total Ações]]</f>
        <v>0.80623902706446793</v>
      </c>
      <c r="F332" s="66">
        <v>0.46</v>
      </c>
      <c r="G332" s="46">
        <f>IF(AND(Tabela2[[#This Row],[Dividendo / Ação]]&gt;0,Tabela2[[#This Row],[Lucro por ação]]&gt;0),Tabela2[[#This Row],[Dividendo / Ação]]/Tabela2[[#This Row],[Lucro por ação]],"")</f>
        <v>0.57055040076001906</v>
      </c>
      <c r="H332" s="6">
        <f>MAX(Tabela2[[#This Row],[Cotação 1]],Tabela2[[#This Row],[Cotação 2]])</f>
        <v>23.65</v>
      </c>
      <c r="I332" s="19">
        <f>IF(Tabela2[[#This Row],[Dividendo / Ação]]&gt;0,Tabela2[[#This Row],[Dividendo / Ação]]/Tabela2[[#This Row],[Cotação]],"")</f>
        <v>1.945031712473573E-2</v>
      </c>
      <c r="J332" s="61">
        <f>SUMPRODUCT(N(Tabela1[Código]=Tabela2[[#This Row],[Ativo]]),Tabela1[Fechamento])</f>
        <v>23.65</v>
      </c>
      <c r="K332" s="61">
        <f>SUMPRODUCT(N(Tabela17[Código]=Tabela2[[#This Row],[Ativo]]),Tabela17[Fechamento])</f>
        <v>0</v>
      </c>
      <c r="M332" s="3"/>
    </row>
    <row r="333" spans="1:13">
      <c r="A333" s="4" t="s">
        <v>35</v>
      </c>
      <c r="B333" s="4">
        <v>2010</v>
      </c>
      <c r="C333" s="6">
        <v>188871000</v>
      </c>
      <c r="D333" s="8">
        <f>SUMPRODUCT(N(Tabela3[PAPEL]=Tabela2[[#This Row],[Ativo]]),Tabela3[Total Ações])</f>
        <v>198447352</v>
      </c>
      <c r="E333" s="66">
        <f>(Tabela2[[#This Row],[Lucro Líquido]])/Tabela2[[#This Row],[Total Ações]]</f>
        <v>0.95174361409468444</v>
      </c>
      <c r="F333" s="66">
        <v>1.8</v>
      </c>
      <c r="G333" s="46">
        <f>IF(AND(Tabela2[[#This Row],[Dividendo / Ação]]&gt;0,Tabela2[[#This Row],[Lucro por ação]]&gt;0),Tabela2[[#This Row],[Dividendo / Ação]]/Tabela2[[#This Row],[Lucro por ação]],"")</f>
        <v>1.8912656448051846</v>
      </c>
      <c r="H333" s="6">
        <f>MAX(Tabela2[[#This Row],[Cotação 1]],Tabela2[[#This Row],[Cotação 2]])</f>
        <v>23.65</v>
      </c>
      <c r="I333" s="19">
        <f>IF(Tabela2[[#This Row],[Dividendo / Ação]]&gt;0,Tabela2[[#This Row],[Dividendo / Ação]]/Tabela2[[#This Row],[Cotação]],"")</f>
        <v>7.6109936575052856E-2</v>
      </c>
      <c r="J333" s="61">
        <f>SUMPRODUCT(N(Tabela1[Código]=Tabela2[[#This Row],[Ativo]]),Tabela1[Fechamento])</f>
        <v>23.65</v>
      </c>
      <c r="K333" s="61">
        <f>SUMPRODUCT(N(Tabela17[Código]=Tabela2[[#This Row],[Ativo]]),Tabela17[Fechamento])</f>
        <v>0</v>
      </c>
      <c r="M333" s="3"/>
    </row>
    <row r="334" spans="1:13">
      <c r="A334" s="4" t="s">
        <v>390</v>
      </c>
      <c r="B334" s="4">
        <v>2012</v>
      </c>
      <c r="C334" s="6">
        <v>113004000</v>
      </c>
      <c r="D334" s="78">
        <f>SUMPRODUCT(N(Tabela3[PAPEL]=Tabela2[[#This Row],[Ativo]]),Tabela3[Total Ações])</f>
        <v>89500000</v>
      </c>
      <c r="E334" s="66">
        <f>(Tabela2[[#This Row],[Lucro Líquido]])/Tabela2[[#This Row],[Total Ações]]</f>
        <v>1.2626145251396648</v>
      </c>
      <c r="F334" s="66">
        <v>0.8</v>
      </c>
      <c r="G334" s="45">
        <f>IF(AND(Tabela2[[#This Row],[Dividendo / Ação]]&gt;0,Tabela2[[#This Row],[Lucro por ação]]&gt;0),Tabela2[[#This Row],[Dividendo / Ação]]/Tabela2[[#This Row],[Lucro por ação]],"")</f>
        <v>0.6336058900569892</v>
      </c>
      <c r="H334" s="61">
        <f>MAX(Tabela2[[#This Row],[Cotação 1]],Tabela2[[#This Row],[Cotação 2]])</f>
        <v>8.2799999999999994</v>
      </c>
      <c r="I334" s="46">
        <f>IF(Tabela2[[#This Row],[Dividendo / Ação]]&gt;0,Tabela2[[#This Row],[Dividendo / Ação]]/Tabela2[[#This Row],[Cotação]],"")</f>
        <v>9.6618357487922718E-2</v>
      </c>
      <c r="J334" s="17">
        <f>SUMPRODUCT(N(Tabela1[Código]=Tabela2[[#This Row],[Ativo]]),Tabela1[Fechamento])</f>
        <v>0</v>
      </c>
      <c r="K334" s="17">
        <f>SUMPRODUCT(N(Tabela17[Código]=Tabela2[[#This Row],[Ativo]]),Tabela17[Fechamento])</f>
        <v>8.2799999999999994</v>
      </c>
      <c r="M334" s="3"/>
    </row>
    <row r="335" spans="1:13">
      <c r="A335" s="4" t="s">
        <v>390</v>
      </c>
      <c r="B335" s="4">
        <v>2011</v>
      </c>
      <c r="C335" s="6">
        <v>97193000</v>
      </c>
      <c r="D335" s="78">
        <f>SUMPRODUCT(N(Tabela3[PAPEL]=Tabela2[[#This Row],[Ativo]]),Tabela3[Total Ações])</f>
        <v>89500000</v>
      </c>
      <c r="E335" s="66">
        <f>(Tabela2[[#This Row],[Lucro Líquido]])/Tabela2[[#This Row],[Total Ações]]</f>
        <v>1.0859553072625698</v>
      </c>
      <c r="F335" s="66">
        <v>0.9</v>
      </c>
      <c r="G335" s="45">
        <f>IF(AND(Tabela2[[#This Row],[Dividendo / Ação]]&gt;0,Tabela2[[#This Row],[Lucro por ação]]&gt;0),Tabela2[[#This Row],[Dividendo / Ação]]/Tabela2[[#This Row],[Lucro por ação]],"")</f>
        <v>0.82876338830985774</v>
      </c>
      <c r="H335" s="61">
        <f>MAX(Tabela2[[#This Row],[Cotação 1]],Tabela2[[#This Row],[Cotação 2]])</f>
        <v>8.2799999999999994</v>
      </c>
      <c r="I335" s="46">
        <f>IF(Tabela2[[#This Row],[Dividendo / Ação]]&gt;0,Tabela2[[#This Row],[Dividendo / Ação]]/Tabela2[[#This Row],[Cotação]],"")</f>
        <v>0.10869565217391305</v>
      </c>
      <c r="J335" s="17">
        <f>SUMPRODUCT(N(Tabela1[Código]=Tabela2[[#This Row],[Ativo]]),Tabela1[Fechamento])</f>
        <v>0</v>
      </c>
      <c r="K335" s="17">
        <f>SUMPRODUCT(N(Tabela17[Código]=Tabela2[[#This Row],[Ativo]]),Tabela17[Fechamento])</f>
        <v>8.2799999999999994</v>
      </c>
      <c r="M335" s="3"/>
    </row>
    <row r="336" spans="1:13">
      <c r="A336" s="4" t="s">
        <v>390</v>
      </c>
      <c r="B336" s="4">
        <v>2010</v>
      </c>
      <c r="C336" s="6">
        <v>102085000</v>
      </c>
      <c r="D336" s="78">
        <f>SUMPRODUCT(N(Tabela3[PAPEL]=Tabela2[[#This Row],[Ativo]]),Tabela3[Total Ações])</f>
        <v>89500000</v>
      </c>
      <c r="E336" s="66">
        <f>(Tabela2[[#This Row],[Lucro Líquido]])/Tabela2[[#This Row],[Total Ações]]</f>
        <v>1.1406145251396649</v>
      </c>
      <c r="F336" s="66">
        <v>0.8</v>
      </c>
      <c r="G336" s="45">
        <f>IF(AND(Tabela2[[#This Row],[Dividendo / Ação]]&gt;0,Tabela2[[#This Row],[Lucro por ação]]&gt;0),Tabela2[[#This Row],[Dividendo / Ação]]/Tabela2[[#This Row],[Lucro por ação]],"")</f>
        <v>0.7013763040603419</v>
      </c>
      <c r="H336" s="61">
        <f>MAX(Tabela2[[#This Row],[Cotação 1]],Tabela2[[#This Row],[Cotação 2]])</f>
        <v>8.2799999999999994</v>
      </c>
      <c r="I336" s="46">
        <f>IF(Tabela2[[#This Row],[Dividendo / Ação]]&gt;0,Tabela2[[#This Row],[Dividendo / Ação]]/Tabela2[[#This Row],[Cotação]],"")</f>
        <v>9.6618357487922718E-2</v>
      </c>
      <c r="J336" s="17">
        <f>SUMPRODUCT(N(Tabela1[Código]=Tabela2[[#This Row],[Ativo]]),Tabela1[Fechamento])</f>
        <v>0</v>
      </c>
      <c r="K336" s="17">
        <f>SUMPRODUCT(N(Tabela17[Código]=Tabela2[[#This Row],[Ativo]]),Tabela17[Fechamento])</f>
        <v>8.2799999999999994</v>
      </c>
      <c r="M336" s="3"/>
    </row>
    <row r="337" spans="1:13">
      <c r="A337" s="4" t="s">
        <v>371</v>
      </c>
      <c r="B337" s="4">
        <v>2012</v>
      </c>
      <c r="C337" s="6">
        <v>88379478.969999999</v>
      </c>
      <c r="D337" s="78">
        <f>SUMPRODUCT(N(Tabela3[PAPEL]=Tabela2[[#This Row],[Ativo]]),Tabela3[Total Ações])</f>
        <v>92619256</v>
      </c>
      <c r="E337" s="66">
        <f>(Tabela2[[#This Row],[Lucro Líquido]])/Tabela2[[#This Row],[Total Ações]]</f>
        <v>0.95422359007072999</v>
      </c>
      <c r="F337" s="66">
        <v>0.190493</v>
      </c>
      <c r="G337" s="45">
        <f>IF(AND(Tabela2[[#This Row],[Dividendo / Ação]]&gt;0,Tabela2[[#This Row],[Lucro por ação]]&gt;0),Tabela2[[#This Row],[Dividendo / Ação]]/Tabela2[[#This Row],[Lucro por ação]],"")</f>
        <v>0.1996314092233667</v>
      </c>
      <c r="H337" s="61">
        <f>MAX(Tabela2[[#This Row],[Cotação 1]],Tabela2[[#This Row],[Cotação 2]])</f>
        <v>6.61</v>
      </c>
      <c r="I337" s="46">
        <f>IF(Tabela2[[#This Row],[Dividendo / Ação]]&gt;0,Tabela2[[#This Row],[Dividendo / Ação]]/Tabela2[[#This Row],[Cotação]],"")</f>
        <v>2.8818910741301058E-2</v>
      </c>
      <c r="J337" s="17">
        <f>SUMPRODUCT(N(Tabela1[Código]=Tabela2[[#This Row],[Ativo]]),Tabela1[Fechamento])</f>
        <v>0</v>
      </c>
      <c r="K337" s="17">
        <f>SUMPRODUCT(N(Tabela17[Código]=Tabela2[[#This Row],[Ativo]]),Tabela17[Fechamento])</f>
        <v>6.61</v>
      </c>
      <c r="M337" s="3"/>
    </row>
    <row r="338" spans="1:13">
      <c r="A338" s="4" t="s">
        <v>371</v>
      </c>
      <c r="B338" s="4">
        <v>2011</v>
      </c>
      <c r="C338" s="6">
        <v>88914485.760000005</v>
      </c>
      <c r="D338" s="78">
        <f>SUMPRODUCT(N(Tabela3[PAPEL]=Tabela2[[#This Row],[Ativo]]),Tabela3[Total Ações])</f>
        <v>92619256</v>
      </c>
      <c r="E338" s="66">
        <f>(Tabela2[[#This Row],[Lucro Líquido]])/Tabela2[[#This Row],[Total Ações]]</f>
        <v>0.96000000000000008</v>
      </c>
      <c r="F338" s="66">
        <v>0.28855599999999998</v>
      </c>
      <c r="G338" s="45">
        <f>IF(AND(Tabela2[[#This Row],[Dividendo / Ação]]&gt;0,Tabela2[[#This Row],[Lucro por ação]]&gt;0),Tabela2[[#This Row],[Dividendo / Ação]]/Tabela2[[#This Row],[Lucro por ação]],"")</f>
        <v>0.30057916666666662</v>
      </c>
      <c r="H338" s="61">
        <f>MAX(Tabela2[[#This Row],[Cotação 1]],Tabela2[[#This Row],[Cotação 2]])</f>
        <v>6.61</v>
      </c>
      <c r="I338" s="46">
        <f>IF(Tabela2[[#This Row],[Dividendo / Ação]]&gt;0,Tabela2[[#This Row],[Dividendo / Ação]]/Tabela2[[#This Row],[Cotação]],"")</f>
        <v>4.3654462934947041E-2</v>
      </c>
      <c r="J338" s="17">
        <f>SUMPRODUCT(N(Tabela1[Código]=Tabela2[[#This Row],[Ativo]]),Tabela1[Fechamento])</f>
        <v>0</v>
      </c>
      <c r="K338" s="17">
        <f>SUMPRODUCT(N(Tabela17[Código]=Tabela2[[#This Row],[Ativo]]),Tabela17[Fechamento])</f>
        <v>6.61</v>
      </c>
      <c r="M338" s="3"/>
    </row>
    <row r="339" spans="1:13">
      <c r="A339" s="4" t="s">
        <v>371</v>
      </c>
      <c r="B339" s="4">
        <v>2010</v>
      </c>
      <c r="C339" s="6">
        <v>120405032.8</v>
      </c>
      <c r="D339" s="78">
        <f>SUMPRODUCT(N(Tabela3[PAPEL]=Tabela2[[#This Row],[Ativo]]),Tabela3[Total Ações])</f>
        <v>92619256</v>
      </c>
      <c r="E339" s="66">
        <f>(Tabela2[[#This Row],[Lucro Líquido]])/Tabela2[[#This Row],[Total Ações]]</f>
        <v>1.3</v>
      </c>
      <c r="F339" s="66">
        <v>0.28032499999999999</v>
      </c>
      <c r="G339" s="45">
        <f>IF(AND(Tabela2[[#This Row],[Dividendo / Ação]]&gt;0,Tabela2[[#This Row],[Lucro por ação]]&gt;0),Tabela2[[#This Row],[Dividendo / Ação]]/Tabela2[[#This Row],[Lucro por ação]],"")</f>
        <v>0.21563461538461537</v>
      </c>
      <c r="H339" s="61">
        <f>MAX(Tabela2[[#This Row],[Cotação 1]],Tabela2[[#This Row],[Cotação 2]])</f>
        <v>6.61</v>
      </c>
      <c r="I339" s="46">
        <f>IF(Tabela2[[#This Row],[Dividendo / Ação]]&gt;0,Tabela2[[#This Row],[Dividendo / Ação]]/Tabela2[[#This Row],[Cotação]],"")</f>
        <v>4.2409228441754911E-2</v>
      </c>
      <c r="J339" s="17">
        <f>SUMPRODUCT(N(Tabela1[Código]=Tabela2[[#This Row],[Ativo]]),Tabela1[Fechamento])</f>
        <v>0</v>
      </c>
      <c r="K339" s="17">
        <f>SUMPRODUCT(N(Tabela17[Código]=Tabela2[[#This Row],[Ativo]]),Tabela17[Fechamento])</f>
        <v>6.61</v>
      </c>
      <c r="M339" s="3"/>
    </row>
    <row r="340" spans="1:13">
      <c r="A340" s="14" t="s">
        <v>272</v>
      </c>
      <c r="B340" s="3">
        <v>2012</v>
      </c>
      <c r="C340" s="5">
        <v>85326018.709999993</v>
      </c>
      <c r="D340" s="62">
        <f>SUMPRODUCT(N(Tabela3[PAPEL]=Tabela2[[#This Row],[Ativo]]),Tabela3[Total Ações])</f>
        <v>88320000</v>
      </c>
      <c r="E340" s="65">
        <f>(Tabela2[[#This Row],[Lucro Líquido]])/Tabela2[[#This Row],[Total Ações]]</f>
        <v>0.96610075532155792</v>
      </c>
      <c r="F340" s="65">
        <v>0.22040999999999999</v>
      </c>
      <c r="G340" s="22">
        <f>IF(AND(Tabela2[[#This Row],[Dividendo / Ação]]&gt;0,Tabela2[[#This Row],[Lucro por ação]]&gt;0),Tabela2[[#This Row],[Dividendo / Ação]]/Tabela2[[#This Row],[Lucro por ação]],"")</f>
        <v>0.22814390609459623</v>
      </c>
      <c r="H340" s="5">
        <f>MAX(Tabela2[[#This Row],[Cotação 1]],Tabela2[[#This Row],[Cotação 2]])</f>
        <v>19</v>
      </c>
      <c r="I340" s="18">
        <f>IF(Tabela2[[#This Row],[Dividendo / Ação]]&gt;0,Tabela2[[#This Row],[Dividendo / Ação]]/Tabela2[[#This Row],[Cotação]],"")</f>
        <v>1.1600526315789473E-2</v>
      </c>
      <c r="J340" s="60">
        <f>SUMPRODUCT(N(Tabela1[Código]=Tabela2[[#This Row],[Ativo]]),Tabela1[Fechamento])</f>
        <v>19</v>
      </c>
      <c r="K340" s="60">
        <f>SUMPRODUCT(N(Tabela17[Código]=Tabela2[[#This Row],[Ativo]]),Tabela17[Fechamento])</f>
        <v>0</v>
      </c>
      <c r="M340" s="3"/>
    </row>
    <row r="341" spans="1:13">
      <c r="A341" s="14" t="s">
        <v>272</v>
      </c>
      <c r="B341" s="3">
        <v>2011</v>
      </c>
      <c r="C341" s="5">
        <v>90654592</v>
      </c>
      <c r="D341" s="62">
        <f>SUMPRODUCT(N(Tabela3[PAPEL]=Tabela2[[#This Row],[Ativo]]),Tabela3[Total Ações])</f>
        <v>88320000</v>
      </c>
      <c r="E341" s="65">
        <f>(Tabela2[[#This Row],[Lucro Líquido]])/Tabela2[[#This Row],[Total Ações]]</f>
        <v>1.0264333333333333</v>
      </c>
      <c r="F341" s="65">
        <v>0.244201419</v>
      </c>
      <c r="G341" s="22">
        <f>IF(AND(Tabela2[[#This Row],[Dividendo / Ação]]&gt;0,Tabela2[[#This Row],[Lucro por ação]]&gt;0),Tabela2[[#This Row],[Dividendo / Ação]]/Tabela2[[#This Row],[Lucro por ação]],"")</f>
        <v>0.23791259604455559</v>
      </c>
      <c r="H341" s="5">
        <f>MAX(Tabela2[[#This Row],[Cotação 1]],Tabela2[[#This Row],[Cotação 2]])</f>
        <v>19</v>
      </c>
      <c r="I341" s="18">
        <f>IF(Tabela2[[#This Row],[Dividendo / Ação]]&gt;0,Tabela2[[#This Row],[Dividendo / Ação]]/Tabela2[[#This Row],[Cotação]],"")</f>
        <v>1.2852706263157895E-2</v>
      </c>
      <c r="J341" s="60">
        <f>SUMPRODUCT(N(Tabela1[Código]=Tabela2[[#This Row],[Ativo]]),Tabela1[Fechamento])</f>
        <v>19</v>
      </c>
      <c r="K341" s="60">
        <f>SUMPRODUCT(N(Tabela17[Código]=Tabela2[[#This Row],[Ativo]]),Tabela17[Fechamento])</f>
        <v>0</v>
      </c>
      <c r="M341" s="3"/>
    </row>
    <row r="342" spans="1:13">
      <c r="A342" s="14" t="s">
        <v>272</v>
      </c>
      <c r="B342" s="3">
        <v>2010</v>
      </c>
      <c r="C342" s="5">
        <v>133778304</v>
      </c>
      <c r="D342" s="62">
        <f>SUMPRODUCT(N(Tabela3[PAPEL]=Tabela2[[#This Row],[Ativo]]),Tabela3[Total Ações])</f>
        <v>88320000</v>
      </c>
      <c r="E342" s="65">
        <f>(Tabela2[[#This Row],[Lucro Líquido]])/Tabela2[[#This Row],[Total Ações]]</f>
        <v>1.5146999999999999</v>
      </c>
      <c r="F342" s="65">
        <v>0.31610713000000001</v>
      </c>
      <c r="G342" s="22">
        <f>IF(AND(Tabela2[[#This Row],[Dividendo / Ação]]&gt;0,Tabela2[[#This Row],[Lucro por ação]]&gt;0),Tabela2[[#This Row],[Dividendo / Ação]]/Tabela2[[#This Row],[Lucro por ação]],"")</f>
        <v>0.20869289628309237</v>
      </c>
      <c r="H342" s="5">
        <f>MAX(Tabela2[[#This Row],[Cotação 1]],Tabela2[[#This Row],[Cotação 2]])</f>
        <v>19</v>
      </c>
      <c r="I342" s="18">
        <f>IF(Tabela2[[#This Row],[Dividendo / Ação]]&gt;0,Tabela2[[#This Row],[Dividendo / Ação]]/Tabela2[[#This Row],[Cotação]],"")</f>
        <v>1.6637217368421053E-2</v>
      </c>
      <c r="J342" s="60">
        <f>SUMPRODUCT(N(Tabela1[Código]=Tabela2[[#This Row],[Ativo]]),Tabela1[Fechamento])</f>
        <v>19</v>
      </c>
      <c r="K342" s="60">
        <f>SUMPRODUCT(N(Tabela17[Código]=Tabela2[[#This Row],[Ativo]]),Tabela17[Fechamento])</f>
        <v>0</v>
      </c>
      <c r="M342" s="3"/>
    </row>
    <row r="343" spans="1:13">
      <c r="A343" s="15" t="s">
        <v>83</v>
      </c>
      <c r="B343" s="3">
        <v>2012</v>
      </c>
      <c r="C343" s="5">
        <v>85326018.709999993</v>
      </c>
      <c r="D343" s="62">
        <f>SUMPRODUCT(N(Tabela3[PAPEL]=Tabela2[[#This Row],[Ativo]]),Tabela3[Total Ações])</f>
        <v>88320000</v>
      </c>
      <c r="E343" s="65">
        <f>(Tabela2[[#This Row],[Lucro Líquido]])/Tabela2[[#This Row],[Total Ações]]</f>
        <v>0.96610075532155792</v>
      </c>
      <c r="F343" s="65">
        <v>0.24245</v>
      </c>
      <c r="G343" s="22">
        <f>IF(AND(Tabela2[[#This Row],[Dividendo / Ação]]&gt;0,Tabela2[[#This Row],[Lucro por ação]]&gt;0),Tabela2[[#This Row],[Dividendo / Ação]]/Tabela2[[#This Row],[Lucro por ação]],"")</f>
        <v>0.25095726161532989</v>
      </c>
      <c r="H343" s="5">
        <f>MAX(Tabela2[[#This Row],[Cotação 1]],Tabela2[[#This Row],[Cotação 2]])</f>
        <v>12.35</v>
      </c>
      <c r="I343" s="18">
        <f>IF(Tabela2[[#This Row],[Dividendo / Ação]]&gt;0,Tabela2[[#This Row],[Dividendo / Ação]]/Tabela2[[#This Row],[Cotação]],"")</f>
        <v>1.963157894736842E-2</v>
      </c>
      <c r="J343" s="60">
        <f>SUMPRODUCT(N(Tabela1[Código]=Tabela2[[#This Row],[Ativo]]),Tabela1[Fechamento])</f>
        <v>12.35</v>
      </c>
      <c r="K343" s="60">
        <f>SUMPRODUCT(N(Tabela17[Código]=Tabela2[[#This Row],[Ativo]]),Tabela17[Fechamento])</f>
        <v>0</v>
      </c>
      <c r="M343" s="3"/>
    </row>
    <row r="344" spans="1:13">
      <c r="A344" s="15" t="s">
        <v>83</v>
      </c>
      <c r="B344" s="3">
        <v>2011</v>
      </c>
      <c r="C344" s="5">
        <v>90654592</v>
      </c>
      <c r="D344" s="62">
        <f>SUMPRODUCT(N(Tabela3[PAPEL]=Tabela2[[#This Row],[Ativo]]),Tabela3[Total Ações])</f>
        <v>88320000</v>
      </c>
      <c r="E344" s="65">
        <f>(Tabela2[[#This Row],[Lucro Líquido]])/Tabela2[[#This Row],[Total Ações]]</f>
        <v>1.0264333333333333</v>
      </c>
      <c r="F344" s="65">
        <v>0.26862156100000001</v>
      </c>
      <c r="G344" s="22">
        <f>IF(AND(Tabela2[[#This Row],[Dividendo / Ação]]&gt;0,Tabela2[[#This Row],[Lucro por ação]]&gt;0),Tabela2[[#This Row],[Dividendo / Ação]]/Tabela2[[#This Row],[Lucro por ação]],"")</f>
        <v>0.2617038557464359</v>
      </c>
      <c r="H344" s="5">
        <f>MAX(Tabela2[[#This Row],[Cotação 1]],Tabela2[[#This Row],[Cotação 2]])</f>
        <v>12.35</v>
      </c>
      <c r="I344" s="18">
        <f>IF(Tabela2[[#This Row],[Dividendo / Ação]]&gt;0,Tabela2[[#This Row],[Dividendo / Ação]]/Tabela2[[#This Row],[Cotação]],"")</f>
        <v>2.1750733684210526E-2</v>
      </c>
      <c r="J344" s="60">
        <f>SUMPRODUCT(N(Tabela1[Código]=Tabela2[[#This Row],[Ativo]]),Tabela1[Fechamento])</f>
        <v>12.35</v>
      </c>
      <c r="K344" s="60">
        <f>SUMPRODUCT(N(Tabela17[Código]=Tabela2[[#This Row],[Ativo]]),Tabela17[Fechamento])</f>
        <v>0</v>
      </c>
      <c r="M344" s="3"/>
    </row>
    <row r="345" spans="1:13">
      <c r="A345" s="15" t="s">
        <v>83</v>
      </c>
      <c r="B345" s="3">
        <v>2010</v>
      </c>
      <c r="C345" s="5">
        <v>133778304</v>
      </c>
      <c r="D345" s="62">
        <f>SUMPRODUCT(N(Tabela3[PAPEL]=Tabela2[[#This Row],[Ativo]]),Tabela3[Total Ações])</f>
        <v>88320000</v>
      </c>
      <c r="E345" s="65">
        <f>(Tabela2[[#This Row],[Lucro Líquido]])/Tabela2[[#This Row],[Total Ações]]</f>
        <v>1.5146999999999999</v>
      </c>
      <c r="F345" s="65">
        <v>0.3477384</v>
      </c>
      <c r="G345" s="22">
        <f>IF(AND(Tabela2[[#This Row],[Dividendo / Ação]]&gt;0,Tabela2[[#This Row],[Lucro por ação]]&gt;0),Tabela2[[#This Row],[Dividendo / Ação]]/Tabela2[[#This Row],[Lucro por ação]],"")</f>
        <v>0.2295757575757576</v>
      </c>
      <c r="H345" s="5">
        <f>MAX(Tabela2[[#This Row],[Cotação 1]],Tabela2[[#This Row],[Cotação 2]])</f>
        <v>12.35</v>
      </c>
      <c r="I345" s="18">
        <f>IF(Tabela2[[#This Row],[Dividendo / Ação]]&gt;0,Tabela2[[#This Row],[Dividendo / Ação]]/Tabela2[[#This Row],[Cotação]],"")</f>
        <v>2.8156955465587045E-2</v>
      </c>
      <c r="J345" s="60">
        <f>SUMPRODUCT(N(Tabela1[Código]=Tabela2[[#This Row],[Ativo]]),Tabela1[Fechamento])</f>
        <v>12.35</v>
      </c>
      <c r="K345" s="60">
        <f>SUMPRODUCT(N(Tabela17[Código]=Tabela2[[#This Row],[Ativo]]),Tabela17[Fechamento])</f>
        <v>0</v>
      </c>
      <c r="M345" s="3"/>
    </row>
    <row r="346" spans="1:13">
      <c r="A346" s="4" t="s">
        <v>181</v>
      </c>
      <c r="B346" s="4">
        <v>2012</v>
      </c>
      <c r="C346" s="6">
        <v>324648000</v>
      </c>
      <c r="D346" s="8">
        <f>SUMPRODUCT(N(Tabela3[PAPEL]=Tabela2[[#This Row],[Ativo]]),Tabela3[Total Ações])</f>
        <v>94433283</v>
      </c>
      <c r="E346" s="66">
        <f>(Tabela2[[#This Row],[Lucro Líquido]])/Tabela2[[#This Row],[Total Ações]]</f>
        <v>3.4378556975510426</v>
      </c>
      <c r="F346" s="66">
        <v>3.9972394429999998</v>
      </c>
      <c r="G346" s="46">
        <f>IF(AND(Tabela2[[#This Row],[Dividendo / Ação]]&gt;0,Tabela2[[#This Row],[Lucro por ação]]&gt;0),Tabela2[[#This Row],[Dividendo / Ação]]/Tabela2[[#This Row],[Lucro por ação]],"")</f>
        <v>1.1627129800263096</v>
      </c>
      <c r="H346" s="6">
        <f>MAX(Tabela2[[#This Row],[Cotação 1]],Tabela2[[#This Row],[Cotação 2]])</f>
        <v>62.04</v>
      </c>
      <c r="I346" s="19">
        <f>IF(Tabela2[[#This Row],[Dividendo / Ação]]&gt;0,Tabela2[[#This Row],[Dividendo / Ação]]/Tabela2[[#This Row],[Cotação]],"")</f>
        <v>6.4430036154094136E-2</v>
      </c>
      <c r="J346" s="61">
        <f>SUMPRODUCT(N(Tabela1[Código]=Tabela2[[#This Row],[Ativo]]),Tabela1[Fechamento])</f>
        <v>62.04</v>
      </c>
      <c r="K346" s="61">
        <f>SUMPRODUCT(N(Tabela17[Código]=Tabela2[[#This Row],[Ativo]]),Tabela17[Fechamento])</f>
        <v>0</v>
      </c>
      <c r="M346" s="3"/>
    </row>
    <row r="347" spans="1:13">
      <c r="A347" s="4" t="s">
        <v>181</v>
      </c>
      <c r="B347" s="4">
        <v>2011</v>
      </c>
      <c r="C347" s="6">
        <v>281411183</v>
      </c>
      <c r="D347" s="8">
        <f>SUMPRODUCT(N(Tabela3[PAPEL]=Tabela2[[#This Row],[Ativo]]),Tabela3[Total Ações])</f>
        <v>94433283</v>
      </c>
      <c r="E347" s="66">
        <f>(Tabela2[[#This Row],[Lucro Líquido]])/Tabela2[[#This Row],[Total Ações]]</f>
        <v>2.9799999963995747</v>
      </c>
      <c r="F347" s="66">
        <v>3.6127542309999998</v>
      </c>
      <c r="G347" s="46">
        <f>IF(AND(Tabela2[[#This Row],[Dividendo / Ação]]&gt;0,Tabela2[[#This Row],[Lucro por ação]]&gt;0),Tabela2[[#This Row],[Dividendo / Ação]]/Tabela2[[#This Row],[Lucro por ação]],"")</f>
        <v>1.2123336360284955</v>
      </c>
      <c r="H347" s="6">
        <f>MAX(Tabela2[[#This Row],[Cotação 1]],Tabela2[[#This Row],[Cotação 2]])</f>
        <v>62.04</v>
      </c>
      <c r="I347" s="19">
        <f>IF(Tabela2[[#This Row],[Dividendo / Ação]]&gt;0,Tabela2[[#This Row],[Dividendo / Ação]]/Tabela2[[#This Row],[Cotação]],"")</f>
        <v>5.8232660074145709E-2</v>
      </c>
      <c r="J347" s="61">
        <f>SUMPRODUCT(N(Tabela1[Código]=Tabela2[[#This Row],[Ativo]]),Tabela1[Fechamento])</f>
        <v>62.04</v>
      </c>
      <c r="K347" s="61">
        <f>SUMPRODUCT(N(Tabela17[Código]=Tabela2[[#This Row],[Ativo]]),Tabela17[Fechamento])</f>
        <v>0</v>
      </c>
      <c r="M347" s="3"/>
    </row>
    <row r="348" spans="1:13">
      <c r="A348" s="4" t="s">
        <v>181</v>
      </c>
      <c r="B348" s="4">
        <v>2010</v>
      </c>
      <c r="C348" s="5">
        <v>183200569</v>
      </c>
      <c r="D348" s="8">
        <f>SUMPRODUCT(N(Tabela3[PAPEL]=Tabela2[[#This Row],[Ativo]]),Tabela3[Total Ações])</f>
        <v>94433283</v>
      </c>
      <c r="E348" s="66">
        <f>(Tabela2[[#This Row],[Lucro Líquido]])/Tabela2[[#This Row],[Total Ações]]</f>
        <v>1.9399999997882102</v>
      </c>
      <c r="F348" s="65">
        <v>2.6568953629999998</v>
      </c>
      <c r="G348" s="46">
        <f>IF(AND(Tabela2[[#This Row],[Dividendo / Ação]]&gt;0,Tabela2[[#This Row],[Lucro por ação]]&gt;0),Tabela2[[#This Row],[Dividendo / Ação]]/Tabela2[[#This Row],[Lucro por ação]],"")</f>
        <v>1.3695336924175532</v>
      </c>
      <c r="H348" s="6">
        <f>MAX(Tabela2[[#This Row],[Cotação 1]],Tabela2[[#This Row],[Cotação 2]])</f>
        <v>62.04</v>
      </c>
      <c r="I348" s="19">
        <f>IF(Tabela2[[#This Row],[Dividendo / Ação]]&gt;0,Tabela2[[#This Row],[Dividendo / Ação]]/Tabela2[[#This Row],[Cotação]],"")</f>
        <v>4.2825521647324304E-2</v>
      </c>
      <c r="J348" s="61">
        <f>SUMPRODUCT(N(Tabela1[Código]=Tabela2[[#This Row],[Ativo]]),Tabela1[Fechamento])</f>
        <v>62.04</v>
      </c>
      <c r="K348" s="61">
        <f>SUMPRODUCT(N(Tabela17[Código]=Tabela2[[#This Row],[Ativo]]),Tabela17[Fechamento])</f>
        <v>0</v>
      </c>
      <c r="M348" s="3"/>
    </row>
    <row r="349" spans="1:13">
      <c r="A349" s="4" t="s">
        <v>181</v>
      </c>
      <c r="B349" s="4">
        <v>2009</v>
      </c>
      <c r="C349" s="5">
        <v>101987946</v>
      </c>
      <c r="D349" s="8">
        <f>SUMPRODUCT(N(Tabela3[PAPEL]=Tabela2[[#This Row],[Ativo]]),Tabela3[Total Ações])</f>
        <v>94433283</v>
      </c>
      <c r="E349" s="66">
        <f>(Tabela2[[#This Row],[Lucro Líquido]])/Tabela2[[#This Row],[Total Ações]]</f>
        <v>1.0800000038122153</v>
      </c>
      <c r="F349" s="66">
        <v>1.4826292830000001</v>
      </c>
      <c r="G349" s="46">
        <f>IF(AND(Tabela2[[#This Row],[Dividendo / Ação]]&gt;0,Tabela2[[#This Row],[Lucro por ação]]&gt;0),Tabela2[[#This Row],[Dividendo / Ação]]/Tabela2[[#This Row],[Lucro por ação]],"")</f>
        <v>1.3728048868209002</v>
      </c>
      <c r="H349" s="6">
        <f>MAX(Tabela2[[#This Row],[Cotação 1]],Tabela2[[#This Row],[Cotação 2]])</f>
        <v>62.04</v>
      </c>
      <c r="I349" s="19">
        <f>IF(Tabela2[[#This Row],[Dividendo / Ação]]&gt;0,Tabela2[[#This Row],[Dividendo / Ação]]/Tabela2[[#This Row],[Cotação]],"")</f>
        <v>2.389795749516441E-2</v>
      </c>
      <c r="J349" s="61">
        <f>SUMPRODUCT(N(Tabela1[Código]=Tabela2[[#This Row],[Ativo]]),Tabela1[Fechamento])</f>
        <v>62.04</v>
      </c>
      <c r="K349" s="61">
        <f>SUMPRODUCT(N(Tabela17[Código]=Tabela2[[#This Row],[Ativo]]),Tabela17[Fechamento])</f>
        <v>0</v>
      </c>
      <c r="M349" s="3"/>
    </row>
    <row r="350" spans="1:13">
      <c r="A350" s="4" t="s">
        <v>38</v>
      </c>
      <c r="B350" s="4">
        <v>2012</v>
      </c>
      <c r="C350" s="6">
        <v>324648000</v>
      </c>
      <c r="D350" s="8">
        <f>SUMPRODUCT(N(Tabela3[PAPEL]=Tabela2[[#This Row],[Ativo]]),Tabela3[Total Ações])</f>
        <v>94433283</v>
      </c>
      <c r="E350" s="66">
        <f>(Tabela2[[#This Row],[Lucro Líquido]])/Tabela2[[#This Row],[Total Ações]]</f>
        <v>3.4378556975510426</v>
      </c>
      <c r="F350" s="66">
        <v>3.9972394429999998</v>
      </c>
      <c r="G350" s="46">
        <f>IF(AND(Tabela2[[#This Row],[Dividendo / Ação]]&gt;0,Tabela2[[#This Row],[Lucro por ação]]&gt;0),Tabela2[[#This Row],[Dividendo / Ação]]/Tabela2[[#This Row],[Lucro por ação]],"")</f>
        <v>1.1627129800263096</v>
      </c>
      <c r="H350" s="6">
        <f>MAX(Tabela2[[#This Row],[Cotação 1]],Tabela2[[#This Row],[Cotação 2]])</f>
        <v>61.99</v>
      </c>
      <c r="I350" s="19">
        <f>IF(Tabela2[[#This Row],[Dividendo / Ação]]&gt;0,Tabela2[[#This Row],[Dividendo / Ação]]/Tabela2[[#This Row],[Cotação]],"")</f>
        <v>6.4482004242619767E-2</v>
      </c>
      <c r="J350" s="61">
        <f>SUMPRODUCT(N(Tabela1[Código]=Tabela2[[#This Row],[Ativo]]),Tabela1[Fechamento])</f>
        <v>61.99</v>
      </c>
      <c r="K350" s="61">
        <f>SUMPRODUCT(N(Tabela17[Código]=Tabela2[[#This Row],[Ativo]]),Tabela17[Fechamento])</f>
        <v>0</v>
      </c>
      <c r="M350" s="3"/>
    </row>
    <row r="351" spans="1:13">
      <c r="A351" s="4" t="s">
        <v>38</v>
      </c>
      <c r="B351" s="4">
        <v>2011</v>
      </c>
      <c r="C351" s="6">
        <v>281411183</v>
      </c>
      <c r="D351" s="8">
        <f>SUMPRODUCT(N(Tabela3[PAPEL]=Tabela2[[#This Row],[Ativo]]),Tabela3[Total Ações])</f>
        <v>94433283</v>
      </c>
      <c r="E351" s="66">
        <f>(Tabela2[[#This Row],[Lucro Líquido]])/Tabela2[[#This Row],[Total Ações]]</f>
        <v>2.9799999963995747</v>
      </c>
      <c r="F351" s="66">
        <v>3.6127542300000002</v>
      </c>
      <c r="G351" s="46">
        <f>IF(AND(Tabela2[[#This Row],[Dividendo / Ação]]&gt;0,Tabela2[[#This Row],[Lucro por ação]]&gt;0),Tabela2[[#This Row],[Dividendo / Ação]]/Tabela2[[#This Row],[Lucro por ação]],"")</f>
        <v>1.2123336356929251</v>
      </c>
      <c r="H351" s="6">
        <f>MAX(Tabela2[[#This Row],[Cotação 1]],Tabela2[[#This Row],[Cotação 2]])</f>
        <v>61.99</v>
      </c>
      <c r="I351" s="19">
        <f>IF(Tabela2[[#This Row],[Dividendo / Ação]]&gt;0,Tabela2[[#This Row],[Dividendo / Ação]]/Tabela2[[#This Row],[Cotação]],"")</f>
        <v>5.8279629456363932E-2</v>
      </c>
      <c r="J351" s="61">
        <f>SUMPRODUCT(N(Tabela1[Código]=Tabela2[[#This Row],[Ativo]]),Tabela1[Fechamento])</f>
        <v>61.99</v>
      </c>
      <c r="K351" s="61">
        <f>SUMPRODUCT(N(Tabela17[Código]=Tabela2[[#This Row],[Ativo]]),Tabela17[Fechamento])</f>
        <v>0</v>
      </c>
      <c r="M351" s="3"/>
    </row>
    <row r="352" spans="1:13">
      <c r="A352" s="4" t="s">
        <v>38</v>
      </c>
      <c r="B352" s="3">
        <v>2010</v>
      </c>
      <c r="C352" s="5">
        <v>183200569</v>
      </c>
      <c r="D352" s="62">
        <f>SUMPRODUCT(N(Tabela3[PAPEL]=Tabela2[[#This Row],[Ativo]]),Tabela3[Total Ações])</f>
        <v>94433283</v>
      </c>
      <c r="E352" s="65">
        <f>(Tabela2[[#This Row],[Lucro Líquido]])/Tabela2[[#This Row],[Total Ações]]</f>
        <v>1.9399999997882102</v>
      </c>
      <c r="F352" s="65">
        <v>2.6568953610000001</v>
      </c>
      <c r="G352" s="22">
        <f>IF(AND(Tabela2[[#This Row],[Dividendo / Ação]]&gt;0,Tabela2[[#This Row],[Lucro por ação]]&gt;0),Tabela2[[#This Row],[Dividendo / Ação]]/Tabela2[[#This Row],[Lucro por ação]],"")</f>
        <v>1.3695336913866254</v>
      </c>
      <c r="H352" s="5">
        <f>MAX(Tabela2[[#This Row],[Cotação 1]],Tabela2[[#This Row],[Cotação 2]])</f>
        <v>61.99</v>
      </c>
      <c r="I352" s="18">
        <f>IF(Tabela2[[#This Row],[Dividendo / Ação]]&gt;0,Tabela2[[#This Row],[Dividendo / Ação]]/Tabela2[[#This Row],[Cotação]],"")</f>
        <v>4.2860063897402809E-2</v>
      </c>
      <c r="J352" s="60">
        <f>SUMPRODUCT(N(Tabela1[Código]=Tabela2[[#This Row],[Ativo]]),Tabela1[Fechamento])</f>
        <v>61.99</v>
      </c>
      <c r="K352" s="60">
        <f>SUMPRODUCT(N(Tabela17[Código]=Tabela2[[#This Row],[Ativo]]),Tabela17[Fechamento])</f>
        <v>0</v>
      </c>
      <c r="M352" s="3"/>
    </row>
    <row r="353" spans="1:13">
      <c r="A353" s="4" t="s">
        <v>38</v>
      </c>
      <c r="B353" s="3">
        <v>2009</v>
      </c>
      <c r="C353" s="5">
        <v>101987946</v>
      </c>
      <c r="D353" s="62">
        <f>SUMPRODUCT(N(Tabela3[PAPEL]=Tabela2[[#This Row],[Ativo]]),Tabela3[Total Ações])</f>
        <v>94433283</v>
      </c>
      <c r="E353" s="65">
        <f>(Tabela2[[#This Row],[Lucro Líquido]])/Tabela2[[#This Row],[Total Ações]]</f>
        <v>1.0800000038122153</v>
      </c>
      <c r="F353" s="65">
        <v>2.1814776419999999</v>
      </c>
      <c r="G353" s="22">
        <f>IF(AND(Tabela2[[#This Row],[Dividendo / Ação]]&gt;0,Tabela2[[#This Row],[Lucro por ação]]&gt;0),Tabela2[[#This Row],[Dividendo / Ação]]/Tabela2[[#This Row],[Lucro por ação]],"")</f>
        <v>2.0198866984257009</v>
      </c>
      <c r="H353" s="5">
        <f>MAX(Tabela2[[#This Row],[Cotação 1]],Tabela2[[#This Row],[Cotação 2]])</f>
        <v>61.99</v>
      </c>
      <c r="I353" s="18">
        <f>IF(Tabela2[[#This Row],[Dividendo / Ação]]&gt;0,Tabela2[[#This Row],[Dividendo / Ação]]/Tabela2[[#This Row],[Cotação]],"")</f>
        <v>3.519079919341829E-2</v>
      </c>
      <c r="J353" s="60">
        <f>SUMPRODUCT(N(Tabela1[Código]=Tabela2[[#This Row],[Ativo]]),Tabela1[Fechamento])</f>
        <v>61.99</v>
      </c>
      <c r="K353" s="60">
        <f>SUMPRODUCT(N(Tabela17[Código]=Tabela2[[#This Row],[Ativo]]),Tabela17[Fechamento])</f>
        <v>0</v>
      </c>
      <c r="M353" s="3"/>
    </row>
    <row r="354" spans="1:13">
      <c r="A354" s="4" t="s">
        <v>29</v>
      </c>
      <c r="B354" s="4">
        <v>2012</v>
      </c>
      <c r="C354" s="6">
        <v>901262803.92999995</v>
      </c>
      <c r="D354" s="8">
        <f>SUMPRODUCT(N(Tabela3[PAPEL]=Tabela2[[#This Row],[Ativo]]),Tabela3[Total Ações])</f>
        <v>381253493</v>
      </c>
      <c r="E354" s="66">
        <f>(Tabela2[[#This Row],[Lucro Líquido]])/Tabela2[[#This Row],[Total Ações]]</f>
        <v>2.363946351909227</v>
      </c>
      <c r="F354" s="66">
        <v>2.4435890119999999</v>
      </c>
      <c r="G354" s="46">
        <f>IF(AND(Tabela2[[#This Row],[Dividendo / Ação]]&gt;0,Tabela2[[#This Row],[Lucro por ação]]&gt;0),Tabela2[[#This Row],[Dividendo / Ação]]/Tabela2[[#This Row],[Lucro por ação]],"")</f>
        <v>1.0336905530984026</v>
      </c>
      <c r="H354" s="6">
        <f>MAX(Tabela2[[#This Row],[Cotação 1]],Tabela2[[#This Row],[Cotação 2]])</f>
        <v>17.239999999999998</v>
      </c>
      <c r="I354" s="19">
        <f>IF(Tabela2[[#This Row],[Dividendo / Ação]]&gt;0,Tabela2[[#This Row],[Dividendo / Ação]]/Tabela2[[#This Row],[Cotação]],"")</f>
        <v>0.1417395018561485</v>
      </c>
      <c r="J354" s="61">
        <f>SUMPRODUCT(N(Tabela1[Código]=Tabela2[[#This Row],[Ativo]]),Tabela1[Fechamento])</f>
        <v>17.239999999999998</v>
      </c>
      <c r="K354" s="61">
        <f>SUMPRODUCT(N(Tabela17[Código]=Tabela2[[#This Row],[Ativo]]),Tabela17[Fechamento])</f>
        <v>0</v>
      </c>
      <c r="M354" s="3"/>
    </row>
    <row r="355" spans="1:13">
      <c r="A355" s="4" t="s">
        <v>29</v>
      </c>
      <c r="B355" s="3">
        <v>2011</v>
      </c>
      <c r="C355" s="5">
        <v>844863980.05999994</v>
      </c>
      <c r="D355" s="62">
        <f>SUMPRODUCT(N(Tabela3[PAPEL]=Tabela2[[#This Row],[Ativo]]),Tabela3[Total Ações])</f>
        <v>381253493</v>
      </c>
      <c r="E355" s="65">
        <f>(Tabela2[[#This Row],[Lucro Líquido]])/Tabela2[[#This Row],[Total Ações]]</f>
        <v>2.2160163659405474</v>
      </c>
      <c r="F355" s="65">
        <v>2.307552448</v>
      </c>
      <c r="G355" s="22">
        <f>IF(AND(Tabela2[[#This Row],[Dividendo / Ação]]&gt;0,Tabela2[[#This Row],[Lucro por ação]]&gt;0),Tabela2[[#This Row],[Dividendo / Ação]]/Tabela2[[#This Row],[Lucro por ação]],"")</f>
        <v>1.0413065911724897</v>
      </c>
      <c r="H355" s="5">
        <f>MAX(Tabela2[[#This Row],[Cotação 1]],Tabela2[[#This Row],[Cotação 2]])</f>
        <v>17.239999999999998</v>
      </c>
      <c r="I355" s="18">
        <f>IF(Tabela2[[#This Row],[Dividendo / Ação]]&gt;0,Tabela2[[#This Row],[Dividendo / Ação]]/Tabela2[[#This Row],[Cotação]],"")</f>
        <v>0.13384874988399073</v>
      </c>
      <c r="J355" s="60">
        <f>SUMPRODUCT(N(Tabela1[Código]=Tabela2[[#This Row],[Ativo]]),Tabela1[Fechamento])</f>
        <v>17.239999999999998</v>
      </c>
      <c r="K355" s="60">
        <f>SUMPRODUCT(N(Tabela17[Código]=Tabela2[[#This Row],[Ativo]]),Tabela17[Fechamento])</f>
        <v>0</v>
      </c>
      <c r="M355" s="3"/>
    </row>
    <row r="356" spans="1:13">
      <c r="A356" s="4" t="s">
        <v>29</v>
      </c>
      <c r="B356" s="3">
        <v>2010</v>
      </c>
      <c r="C356" s="5">
        <v>737339863.24000001</v>
      </c>
      <c r="D356" s="62">
        <f>SUMPRODUCT(N(Tabela3[PAPEL]=Tabela2[[#This Row],[Ativo]]),Tabela3[Total Ações])</f>
        <v>381253493</v>
      </c>
      <c r="E356" s="65">
        <f>(Tabela2[[#This Row],[Lucro Líquido]])/Tabela2[[#This Row],[Total Ações]]</f>
        <v>1.9339884795232551</v>
      </c>
      <c r="F356" s="65">
        <v>2.1575277719999999</v>
      </c>
      <c r="G356" s="22">
        <f>IF(AND(Tabela2[[#This Row],[Dividendo / Ação]]&gt;0,Tabela2[[#This Row],[Lucro por ação]]&gt;0),Tabela2[[#This Row],[Dividendo / Ação]]/Tabela2[[#This Row],[Lucro por ação]],"")</f>
        <v>1.1155846039640573</v>
      </c>
      <c r="H356" s="5">
        <f>MAX(Tabela2[[#This Row],[Cotação 1]],Tabela2[[#This Row],[Cotação 2]])</f>
        <v>17.239999999999998</v>
      </c>
      <c r="I356" s="18">
        <f>IF(Tabela2[[#This Row],[Dividendo / Ação]]&gt;0,Tabela2[[#This Row],[Dividendo / Ação]]/Tabela2[[#This Row],[Cotação]],"")</f>
        <v>0.12514662250580047</v>
      </c>
      <c r="J356" s="60">
        <f>SUMPRODUCT(N(Tabela1[Código]=Tabela2[[#This Row],[Ativo]]),Tabela1[Fechamento])</f>
        <v>17.239999999999998</v>
      </c>
      <c r="K356" s="60">
        <f>SUMPRODUCT(N(Tabela17[Código]=Tabela2[[#This Row],[Ativo]]),Tabela17[Fechamento])</f>
        <v>0</v>
      </c>
      <c r="M356" s="3"/>
    </row>
    <row r="357" spans="1:13">
      <c r="A357" s="4" t="s">
        <v>29</v>
      </c>
      <c r="B357" s="3">
        <v>2009</v>
      </c>
      <c r="C357" s="5">
        <v>780235000</v>
      </c>
      <c r="D357" s="62">
        <f>SUMPRODUCT(N(Tabela3[PAPEL]=Tabela2[[#This Row],[Ativo]]),Tabela3[Total Ações])</f>
        <v>381253493</v>
      </c>
      <c r="E357" s="65">
        <f>(Tabela2[[#This Row],[Lucro Líquido]])/Tabela2[[#This Row],[Total Ações]]</f>
        <v>2.0464992828275541</v>
      </c>
      <c r="F357" s="65">
        <v>1.9523818630000001</v>
      </c>
      <c r="G357" s="22">
        <f>IF(AND(Tabela2[[#This Row],[Dividendo / Ação]]&gt;0,Tabela2[[#This Row],[Lucro por ação]]&gt;0),Tabela2[[#This Row],[Dividendo / Ação]]/Tabela2[[#This Row],[Lucro por ação]],"")</f>
        <v>0.95401052880042236</v>
      </c>
      <c r="H357" s="5">
        <f>MAX(Tabela2[[#This Row],[Cotação 1]],Tabela2[[#This Row],[Cotação 2]])</f>
        <v>17.239999999999998</v>
      </c>
      <c r="I357" s="18">
        <f>IF(Tabela2[[#This Row],[Dividendo / Ação]]&gt;0,Tabela2[[#This Row],[Dividendo / Ação]]/Tabela2[[#This Row],[Cotação]],"")</f>
        <v>0.11324720783062646</v>
      </c>
      <c r="J357" s="60">
        <f>SUMPRODUCT(N(Tabela1[Código]=Tabela2[[#This Row],[Ativo]]),Tabela1[Fechamento])</f>
        <v>17.239999999999998</v>
      </c>
      <c r="K357" s="60">
        <f>SUMPRODUCT(N(Tabela17[Código]=Tabela2[[#This Row],[Ativo]]),Tabela17[Fechamento])</f>
        <v>0</v>
      </c>
      <c r="M357" s="3"/>
    </row>
    <row r="358" spans="1:13">
      <c r="A358" s="4" t="s">
        <v>33</v>
      </c>
      <c r="B358" s="4">
        <v>2012</v>
      </c>
      <c r="C358" s="6">
        <v>901262803.92999995</v>
      </c>
      <c r="D358" s="8">
        <f>SUMPRODUCT(N(Tabela3[PAPEL]=Tabela2[[#This Row],[Ativo]]),Tabela3[Total Ações])</f>
        <v>381253493</v>
      </c>
      <c r="E358" s="66">
        <f>(Tabela2[[#This Row],[Lucro Líquido]])/Tabela2[[#This Row],[Total Ações]]</f>
        <v>2.363946351909227</v>
      </c>
      <c r="F358" s="66">
        <v>2.687947914</v>
      </c>
      <c r="G358" s="46">
        <f>IF(AND(Tabela2[[#This Row],[Dividendo / Ação]]&gt;0,Tabela2[[#This Row],[Lucro por ação]]&gt;0),Tabela2[[#This Row],[Dividendo / Ação]]/Tabela2[[#This Row],[Lucro por ação]],"")</f>
        <v>1.13705960874666</v>
      </c>
      <c r="H358" s="6">
        <f>MAX(Tabela2[[#This Row],[Cotação 1]],Tabela2[[#This Row],[Cotação 2]])</f>
        <v>18.760000000000002</v>
      </c>
      <c r="I358" s="19">
        <f>IF(Tabela2[[#This Row],[Dividendo / Ação]]&gt;0,Tabela2[[#This Row],[Dividendo / Ação]]/Tabela2[[#This Row],[Cotação]],"")</f>
        <v>0.14328080565031981</v>
      </c>
      <c r="J358" s="61">
        <f>SUMPRODUCT(N(Tabela1[Código]=Tabela2[[#This Row],[Ativo]]),Tabela1[Fechamento])</f>
        <v>18.760000000000002</v>
      </c>
      <c r="K358" s="61">
        <f>SUMPRODUCT(N(Tabela17[Código]=Tabela2[[#This Row],[Ativo]]),Tabela17[Fechamento])</f>
        <v>0</v>
      </c>
      <c r="M358" s="3"/>
    </row>
    <row r="359" spans="1:13">
      <c r="A359" s="4" t="s">
        <v>33</v>
      </c>
      <c r="B359" s="4">
        <v>2011</v>
      </c>
      <c r="C359" s="5">
        <v>844863980.05999994</v>
      </c>
      <c r="D359" s="8">
        <f>SUMPRODUCT(N(Tabela3[PAPEL]=Tabela2[[#This Row],[Ativo]]),Tabela3[Total Ações])</f>
        <v>381253493</v>
      </c>
      <c r="E359" s="66">
        <f>(Tabela2[[#This Row],[Lucro Líquido]])/Tabela2[[#This Row],[Total Ações]]</f>
        <v>2.2160163659405474</v>
      </c>
      <c r="F359" s="66">
        <v>2.5383076930000001</v>
      </c>
      <c r="G359" s="46">
        <f>IF(AND(Tabela2[[#This Row],[Dividendo / Ação]]&gt;0,Tabela2[[#This Row],[Lucro por ação]]&gt;0),Tabela2[[#This Row],[Dividendo / Ação]]/Tabela2[[#This Row],[Lucro por ação]],"")</f>
        <v>1.1454372503799908</v>
      </c>
      <c r="H359" s="6">
        <f>MAX(Tabela2[[#This Row],[Cotação 1]],Tabela2[[#This Row],[Cotação 2]])</f>
        <v>18.760000000000002</v>
      </c>
      <c r="I359" s="19">
        <f>IF(Tabela2[[#This Row],[Dividendo / Ação]]&gt;0,Tabela2[[#This Row],[Dividendo / Ação]]/Tabela2[[#This Row],[Cotação]],"")</f>
        <v>0.13530424802771854</v>
      </c>
      <c r="J359" s="61">
        <f>SUMPRODUCT(N(Tabela1[Código]=Tabela2[[#This Row],[Ativo]]),Tabela1[Fechamento])</f>
        <v>18.760000000000002</v>
      </c>
      <c r="K359" s="61">
        <f>SUMPRODUCT(N(Tabela17[Código]=Tabela2[[#This Row],[Ativo]]),Tabela17[Fechamento])</f>
        <v>0</v>
      </c>
      <c r="M359" s="3"/>
    </row>
    <row r="360" spans="1:13">
      <c r="A360" s="4" t="s">
        <v>33</v>
      </c>
      <c r="B360" s="4">
        <v>2010</v>
      </c>
      <c r="C360" s="5">
        <v>737339863.24000001</v>
      </c>
      <c r="D360" s="8">
        <f>SUMPRODUCT(N(Tabela3[PAPEL]=Tabela2[[#This Row],[Ativo]]),Tabela3[Total Ações])</f>
        <v>381253493</v>
      </c>
      <c r="E360" s="66">
        <f>(Tabela2[[#This Row],[Lucro Líquido]])/Tabela2[[#This Row],[Total Ações]]</f>
        <v>1.9339884795232551</v>
      </c>
      <c r="F360" s="66">
        <v>2.373280549</v>
      </c>
      <c r="G360" s="46">
        <f>IF(AND(Tabela2[[#This Row],[Dividendo / Ação]]&gt;0,Tabela2[[#This Row],[Lucro por ação]]&gt;0),Tabela2[[#This Row],[Dividendo / Ação]]/Tabela2[[#This Row],[Lucro por ação]],"")</f>
        <v>1.2271430642570498</v>
      </c>
      <c r="H360" s="6">
        <f>MAX(Tabela2[[#This Row],[Cotação 1]],Tabela2[[#This Row],[Cotação 2]])</f>
        <v>18.760000000000002</v>
      </c>
      <c r="I360" s="19">
        <f>IF(Tabela2[[#This Row],[Dividendo / Ação]]&gt;0,Tabela2[[#This Row],[Dividendo / Ação]]/Tabela2[[#This Row],[Cotação]],"")</f>
        <v>0.12650749195095948</v>
      </c>
      <c r="J360" s="61">
        <f>SUMPRODUCT(N(Tabela1[Código]=Tabela2[[#This Row],[Ativo]]),Tabela1[Fechamento])</f>
        <v>18.760000000000002</v>
      </c>
      <c r="K360" s="61">
        <f>SUMPRODUCT(N(Tabela17[Código]=Tabela2[[#This Row],[Ativo]]),Tabela17[Fechamento])</f>
        <v>0</v>
      </c>
      <c r="M360" s="3"/>
    </row>
    <row r="361" spans="1:13">
      <c r="A361" s="4" t="s">
        <v>33</v>
      </c>
      <c r="B361" s="4">
        <v>2009</v>
      </c>
      <c r="C361" s="5">
        <v>780235000</v>
      </c>
      <c r="D361" s="8">
        <f>SUMPRODUCT(N(Tabela3[PAPEL]=Tabela2[[#This Row],[Ativo]]),Tabela3[Total Ações])</f>
        <v>381253493</v>
      </c>
      <c r="E361" s="66">
        <f>(Tabela2[[#This Row],[Lucro Líquido]])/Tabela2[[#This Row],[Total Ações]]</f>
        <v>2.0464992828275541</v>
      </c>
      <c r="F361" s="66">
        <v>2.1476200489999999</v>
      </c>
      <c r="G361" s="46">
        <f>IF(AND(Tabela2[[#This Row],[Dividendo / Ação]]&gt;0,Tabela2[[#This Row],[Lucro por ação]]&gt;0),Tabela2[[#This Row],[Dividendo / Ação]]/Tabela2[[#This Row],[Lucro por ação]],"")</f>
        <v>1.0494115815338727</v>
      </c>
      <c r="H361" s="6">
        <f>MAX(Tabela2[[#This Row],[Cotação 1]],Tabela2[[#This Row],[Cotação 2]])</f>
        <v>18.760000000000002</v>
      </c>
      <c r="I361" s="19">
        <f>IF(Tabela2[[#This Row],[Dividendo / Ação]]&gt;0,Tabela2[[#This Row],[Dividendo / Ação]]/Tabela2[[#This Row],[Cotação]],"")</f>
        <v>0.11447868065031981</v>
      </c>
      <c r="J361" s="61">
        <f>SUMPRODUCT(N(Tabela1[Código]=Tabela2[[#This Row],[Ativo]]),Tabela1[Fechamento])</f>
        <v>18.760000000000002</v>
      </c>
      <c r="K361" s="61">
        <f>SUMPRODUCT(N(Tabela17[Código]=Tabela2[[#This Row],[Ativo]]),Tabela17[Fechamento])</f>
        <v>0</v>
      </c>
      <c r="M361" s="3"/>
    </row>
    <row r="362" spans="1:13">
      <c r="A362" s="4" t="s">
        <v>192</v>
      </c>
      <c r="B362" s="4">
        <v>2012</v>
      </c>
      <c r="C362" s="6">
        <v>3061251.15</v>
      </c>
      <c r="D362" s="8">
        <f>SUMPRODUCT(N(Tabela3[PAPEL]=Tabela2[[#This Row],[Ativo]]),Tabela3[Total Ações])</f>
        <v>166355563</v>
      </c>
      <c r="E362" s="66">
        <f>(Tabela2[[#This Row],[Lucro Líquido]])/Tabela2[[#This Row],[Total Ações]]</f>
        <v>1.8401856209641753E-2</v>
      </c>
      <c r="F362" s="66">
        <v>1.6664410399999999E-2</v>
      </c>
      <c r="G362" s="46">
        <f>IF(AND(Tabela2[[#This Row],[Dividendo / Ação]]&gt;0,Tabela2[[#This Row],[Lucro por ação]]&gt;0),Tabela2[[#This Row],[Dividendo / Ação]]/Tabela2[[#This Row],[Lucro por ação]],"")</f>
        <v>0.90558312216724046</v>
      </c>
      <c r="H362" s="6">
        <f>MAX(Tabela2[[#This Row],[Cotação 1]],Tabela2[[#This Row],[Cotação 2]])</f>
        <v>0.13</v>
      </c>
      <c r="I362" s="19">
        <f>IF(Tabela2[[#This Row],[Dividendo / Ação]]&gt;0,Tabela2[[#This Row],[Dividendo / Ação]]/Tabela2[[#This Row],[Cotação]],"")</f>
        <v>0.12818777230769229</v>
      </c>
      <c r="J362" s="61">
        <f>SUMPRODUCT(N(Tabela1[Código]=Tabela2[[#This Row],[Ativo]]),Tabela1[Fechamento])</f>
        <v>0.13</v>
      </c>
      <c r="K362" s="61">
        <f>SUMPRODUCT(N(Tabela17[Código]=Tabela2[[#This Row],[Ativo]]),Tabela17[Fechamento])</f>
        <v>0</v>
      </c>
      <c r="M362" s="3"/>
    </row>
    <row r="363" spans="1:13">
      <c r="A363" s="4" t="s">
        <v>192</v>
      </c>
      <c r="B363" s="3">
        <v>2011</v>
      </c>
      <c r="C363" s="5">
        <v>2796437</v>
      </c>
      <c r="D363" s="62">
        <f>SUMPRODUCT(N(Tabela3[PAPEL]=Tabela2[[#This Row],[Ativo]]),Tabela3[Total Ações])</f>
        <v>166355563</v>
      </c>
      <c r="E363" s="65">
        <f>(Tabela2[[#This Row],[Lucro Líquido]])/Tabela2[[#This Row],[Total Ações]]</f>
        <v>1.6809999915662573E-2</v>
      </c>
      <c r="F363" s="65">
        <v>1.4520999999999999E-2</v>
      </c>
      <c r="G363" s="22">
        <f>IF(AND(Tabela2[[#This Row],[Dividendo / Ação]]&gt;0,Tabela2[[#This Row],[Lucro por ação]]&gt;0),Tabela2[[#This Row],[Dividendo / Ação]]/Tabela2[[#This Row],[Lucro por ação]],"")</f>
        <v>0.86383105727860132</v>
      </c>
      <c r="H363" s="5">
        <f>MAX(Tabela2[[#This Row],[Cotação 1]],Tabela2[[#This Row],[Cotação 2]])</f>
        <v>0.13</v>
      </c>
      <c r="I363" s="18">
        <f>IF(Tabela2[[#This Row],[Dividendo / Ação]]&gt;0,Tabela2[[#This Row],[Dividendo / Ação]]/Tabela2[[#This Row],[Cotação]],"")</f>
        <v>0.11169999999999999</v>
      </c>
      <c r="J363" s="60">
        <f>SUMPRODUCT(N(Tabela1[Código]=Tabela2[[#This Row],[Ativo]]),Tabela1[Fechamento])</f>
        <v>0.13</v>
      </c>
      <c r="K363" s="60">
        <f>SUMPRODUCT(N(Tabela17[Código]=Tabela2[[#This Row],[Ativo]]),Tabela17[Fechamento])</f>
        <v>0</v>
      </c>
      <c r="M363" s="3"/>
    </row>
    <row r="364" spans="1:13">
      <c r="A364" s="4" t="s">
        <v>192</v>
      </c>
      <c r="B364" s="3">
        <v>2010</v>
      </c>
      <c r="C364" s="5">
        <v>2520287</v>
      </c>
      <c r="D364" s="62">
        <f>SUMPRODUCT(N(Tabela3[PAPEL]=Tabela2[[#This Row],[Ativo]]),Tabela3[Total Ações])</f>
        <v>166355563</v>
      </c>
      <c r="E364" s="65">
        <f>(Tabela2[[#This Row],[Lucro Líquido]])/Tabela2[[#This Row],[Total Ações]]</f>
        <v>1.5150001325774719E-2</v>
      </c>
      <c r="F364" s="65">
        <v>2.696E-3</v>
      </c>
      <c r="G364" s="22">
        <f>IF(AND(Tabela2[[#This Row],[Dividendo / Ação]]&gt;0,Tabela2[[#This Row],[Lucro por ação]]&gt;0),Tabela2[[#This Row],[Dividendo / Ação]]/Tabela2[[#This Row],[Lucro por ação]],"")</f>
        <v>0.17795377980682361</v>
      </c>
      <c r="H364" s="5">
        <f>MAX(Tabela2[[#This Row],[Cotação 1]],Tabela2[[#This Row],[Cotação 2]])</f>
        <v>0.13</v>
      </c>
      <c r="I364" s="18">
        <f>IF(Tabela2[[#This Row],[Dividendo / Ação]]&gt;0,Tabela2[[#This Row],[Dividendo / Ação]]/Tabela2[[#This Row],[Cotação]],"")</f>
        <v>2.0738461538461539E-2</v>
      </c>
      <c r="J364" s="60">
        <f>SUMPRODUCT(N(Tabela1[Código]=Tabela2[[#This Row],[Ativo]]),Tabela1[Fechamento])</f>
        <v>0.13</v>
      </c>
      <c r="K364" s="60">
        <f>SUMPRODUCT(N(Tabela17[Código]=Tabela2[[#This Row],[Ativo]]),Tabela17[Fechamento])</f>
        <v>0</v>
      </c>
      <c r="M364" s="3"/>
    </row>
    <row r="365" spans="1:13">
      <c r="A365" s="4" t="s">
        <v>192</v>
      </c>
      <c r="B365" s="3">
        <v>2009</v>
      </c>
      <c r="C365" s="5">
        <v>1605331</v>
      </c>
      <c r="D365" s="62">
        <f>SUMPRODUCT(N(Tabela3[PAPEL]=Tabela2[[#This Row],[Ativo]]),Tabela3[Total Ações])</f>
        <v>166355563</v>
      </c>
      <c r="E365" s="65">
        <f>(Tabela2[[#This Row],[Lucro Líquido]])/Tabela2[[#This Row],[Total Ações]]</f>
        <v>9.6499989002471771E-3</v>
      </c>
      <c r="F365" s="65">
        <v>1.01E-2</v>
      </c>
      <c r="G365" s="22">
        <f>IF(AND(Tabela2[[#This Row],[Dividendo / Ação]]&gt;0,Tabela2[[#This Row],[Lucro por ação]]&gt;0),Tabela2[[#This Row],[Dividendo / Ação]]/Tabela2[[#This Row],[Lucro por ação]],"")</f>
        <v>1.0466322436307527</v>
      </c>
      <c r="H365" s="5">
        <f>MAX(Tabela2[[#This Row],[Cotação 1]],Tabela2[[#This Row],[Cotação 2]])</f>
        <v>0.13</v>
      </c>
      <c r="I365" s="18">
        <f>IF(Tabela2[[#This Row],[Dividendo / Ação]]&gt;0,Tabela2[[#This Row],[Dividendo / Ação]]/Tabela2[[#This Row],[Cotação]],"")</f>
        <v>7.7692307692307686E-2</v>
      </c>
      <c r="J365" s="60">
        <f>SUMPRODUCT(N(Tabela1[Código]=Tabela2[[#This Row],[Ativo]]),Tabela1[Fechamento])</f>
        <v>0.13</v>
      </c>
      <c r="K365" s="60">
        <f>SUMPRODUCT(N(Tabela17[Código]=Tabela2[[#This Row],[Ativo]]),Tabela17[Fechamento])</f>
        <v>0</v>
      </c>
      <c r="M365" s="3"/>
    </row>
    <row r="366" spans="1:13">
      <c r="A366" s="4" t="s">
        <v>193</v>
      </c>
      <c r="B366" s="4">
        <v>2012</v>
      </c>
      <c r="C366" s="6">
        <v>3061251.15</v>
      </c>
      <c r="D366" s="8">
        <f>SUMPRODUCT(N(Tabela3[PAPEL]=Tabela2[[#This Row],[Ativo]]),Tabela3[Total Ações])</f>
        <v>166355563</v>
      </c>
      <c r="E366" s="66">
        <f>(Tabela2[[#This Row],[Lucro Líquido]])/Tabela2[[#This Row],[Total Ações]]</f>
        <v>1.8401856209641753E-2</v>
      </c>
      <c r="F366" s="66">
        <v>1.8330851400000001E-2</v>
      </c>
      <c r="G366" s="46">
        <f>IF(AND(Tabela2[[#This Row],[Dividendo / Ação]]&gt;0,Tabela2[[#This Row],[Lucro por ação]]&gt;0),Tabela2[[#This Row],[Dividendo / Ação]]/Tabela2[[#This Row],[Lucro por ação]],"")</f>
        <v>0.99614143221027074</v>
      </c>
      <c r="H366" s="6">
        <f>MAX(Tabela2[[#This Row],[Cotação 1]],Tabela2[[#This Row],[Cotação 2]])</f>
        <v>0.12</v>
      </c>
      <c r="I366" s="19">
        <f>IF(Tabela2[[#This Row],[Dividendo / Ação]]&gt;0,Tabela2[[#This Row],[Dividendo / Ação]]/Tabela2[[#This Row],[Cotação]],"")</f>
        <v>0.15275709500000001</v>
      </c>
      <c r="J366" s="61">
        <f>SUMPRODUCT(N(Tabela1[Código]=Tabela2[[#This Row],[Ativo]]),Tabela1[Fechamento])</f>
        <v>0.12</v>
      </c>
      <c r="K366" s="61">
        <f>SUMPRODUCT(N(Tabela17[Código]=Tabela2[[#This Row],[Ativo]]),Tabela17[Fechamento])</f>
        <v>0</v>
      </c>
      <c r="M366" s="3"/>
    </row>
    <row r="367" spans="1:13">
      <c r="A367" s="4" t="s">
        <v>193</v>
      </c>
      <c r="B367" s="4">
        <v>2011</v>
      </c>
      <c r="C367" s="5">
        <v>2796437</v>
      </c>
      <c r="D367" s="8">
        <f>SUMPRODUCT(N(Tabela3[PAPEL]=Tabela2[[#This Row],[Ativo]]),Tabela3[Total Ações])</f>
        <v>166355563</v>
      </c>
      <c r="E367" s="66">
        <f>(Tabela2[[#This Row],[Lucro Líquido]])/Tabela2[[#This Row],[Total Ações]]</f>
        <v>1.6809999915662573E-2</v>
      </c>
      <c r="F367" s="66">
        <v>1.5972E-2</v>
      </c>
      <c r="G367" s="46">
        <f>IF(AND(Tabela2[[#This Row],[Dividendo / Ação]]&gt;0,Tabela2[[#This Row],[Lucro por ação]]&gt;0),Tabela2[[#This Row],[Dividendo / Ação]]/Tabela2[[#This Row],[Lucro por ação]],"")</f>
        <v>0.95014872576639497</v>
      </c>
      <c r="H367" s="6">
        <f>MAX(Tabela2[[#This Row],[Cotação 1]],Tabela2[[#This Row],[Cotação 2]])</f>
        <v>0.12</v>
      </c>
      <c r="I367" s="19">
        <f>IF(Tabela2[[#This Row],[Dividendo / Ação]]&gt;0,Tabela2[[#This Row],[Dividendo / Ação]]/Tabela2[[#This Row],[Cotação]],"")</f>
        <v>0.1331</v>
      </c>
      <c r="J367" s="61">
        <f>SUMPRODUCT(N(Tabela1[Código]=Tabela2[[#This Row],[Ativo]]),Tabela1[Fechamento])</f>
        <v>0.12</v>
      </c>
      <c r="K367" s="61">
        <f>SUMPRODUCT(N(Tabela17[Código]=Tabela2[[#This Row],[Ativo]]),Tabela17[Fechamento])</f>
        <v>0</v>
      </c>
      <c r="M367" s="3"/>
    </row>
    <row r="368" spans="1:13">
      <c r="A368" s="4" t="s">
        <v>193</v>
      </c>
      <c r="B368" s="4">
        <v>2010</v>
      </c>
      <c r="C368" s="5">
        <v>2520287</v>
      </c>
      <c r="D368" s="8">
        <f>SUMPRODUCT(N(Tabela3[PAPEL]=Tabela2[[#This Row],[Ativo]]),Tabela3[Total Ações])</f>
        <v>166355563</v>
      </c>
      <c r="E368" s="66">
        <f>(Tabela2[[#This Row],[Lucro Líquido]])/Tabela2[[#This Row],[Total Ações]]</f>
        <v>1.5150001325774719E-2</v>
      </c>
      <c r="F368" s="66">
        <v>3.0049999999999999E-3</v>
      </c>
      <c r="G368" s="46">
        <f>IF(AND(Tabela2[[#This Row],[Dividendo / Ação]]&gt;0,Tabela2[[#This Row],[Lucro por ação]]&gt;0),Tabela2[[#This Row],[Dividendo / Ação]]/Tabela2[[#This Row],[Lucro por ação]],"")</f>
        <v>0.1983498176259291</v>
      </c>
      <c r="H368" s="6">
        <f>MAX(Tabela2[[#This Row],[Cotação 1]],Tabela2[[#This Row],[Cotação 2]])</f>
        <v>0.12</v>
      </c>
      <c r="I368" s="19">
        <f>IF(Tabela2[[#This Row],[Dividendo / Ação]]&gt;0,Tabela2[[#This Row],[Dividendo / Ação]]/Tabela2[[#This Row],[Cotação]],"")</f>
        <v>2.5041666666666667E-2</v>
      </c>
      <c r="J368" s="61">
        <f>SUMPRODUCT(N(Tabela1[Código]=Tabela2[[#This Row],[Ativo]]),Tabela1[Fechamento])</f>
        <v>0.12</v>
      </c>
      <c r="K368" s="61">
        <f>SUMPRODUCT(N(Tabela17[Código]=Tabela2[[#This Row],[Ativo]]),Tabela17[Fechamento])</f>
        <v>0</v>
      </c>
      <c r="M368" s="3"/>
    </row>
    <row r="369" spans="1:13">
      <c r="A369" s="4" t="s">
        <v>193</v>
      </c>
      <c r="B369" s="4">
        <v>2009</v>
      </c>
      <c r="C369" s="5">
        <v>1605331</v>
      </c>
      <c r="D369" s="8">
        <f>SUMPRODUCT(N(Tabela3[PAPEL]=Tabela2[[#This Row],[Ativo]]),Tabela3[Total Ações])</f>
        <v>166355563</v>
      </c>
      <c r="E369" s="66">
        <f>(Tabela2[[#This Row],[Lucro Líquido]])/Tabela2[[#This Row],[Total Ações]]</f>
        <v>9.6499989002471771E-3</v>
      </c>
      <c r="F369" s="66">
        <v>1.11E-2</v>
      </c>
      <c r="G369" s="46">
        <f>IF(AND(Tabela2[[#This Row],[Dividendo / Ação]]&gt;0,Tabela2[[#This Row],[Lucro por ação]]&gt;0),Tabela2[[#This Row],[Dividendo / Ação]]/Tabela2[[#This Row],[Lucro por ação]],"")</f>
        <v>1.1502591984456789</v>
      </c>
      <c r="H369" s="6">
        <f>MAX(Tabela2[[#This Row],[Cotação 1]],Tabela2[[#This Row],[Cotação 2]])</f>
        <v>0.12</v>
      </c>
      <c r="I369" s="19">
        <f>IF(Tabela2[[#This Row],[Dividendo / Ação]]&gt;0,Tabela2[[#This Row],[Dividendo / Ação]]/Tabela2[[#This Row],[Cotação]],"")</f>
        <v>9.2500000000000013E-2</v>
      </c>
      <c r="J369" s="61">
        <f>SUMPRODUCT(N(Tabela1[Código]=Tabela2[[#This Row],[Ativo]]),Tabela1[Fechamento])</f>
        <v>0.12</v>
      </c>
      <c r="K369" s="61">
        <f>SUMPRODUCT(N(Tabela17[Código]=Tabela2[[#This Row],[Ativo]]),Tabela17[Fechamento])</f>
        <v>0</v>
      </c>
      <c r="M369" s="3"/>
    </row>
    <row r="370" spans="1:13">
      <c r="A370" s="3" t="s">
        <v>344</v>
      </c>
      <c r="B370" s="3">
        <v>2012</v>
      </c>
      <c r="C370" s="5">
        <v>645407.11</v>
      </c>
      <c r="D370" s="67">
        <f>SUMPRODUCT(N(Tabela3[PAPEL]=Tabela2[[#This Row],[Ativo]]),Tabela3[Total Ações])</f>
        <v>9133687</v>
      </c>
      <c r="E370" s="65">
        <f>(Tabela2[[#This Row],[Lucro Líquido]])/Tabela2[[#This Row],[Total Ações]]</f>
        <v>7.0662275814794173E-2</v>
      </c>
      <c r="F370" s="65">
        <v>1.3493369900000001</v>
      </c>
      <c r="G370" s="75">
        <f>IF(AND(Tabela2[[#This Row],[Dividendo / Ação]]&gt;0,Tabela2[[#This Row],[Lucro por ação]]&gt;0),Tabela2[[#This Row],[Dividendo / Ação]]/Tabela2[[#This Row],[Lucro por ação]],"")</f>
        <v>19.095577865856068</v>
      </c>
      <c r="H370" s="60">
        <f>MAX(Tabela2[[#This Row],[Cotação 1]],Tabela2[[#This Row],[Cotação 2]])</f>
        <v>17.97</v>
      </c>
      <c r="I370" s="22">
        <f>IF(Tabela2[[#This Row],[Dividendo / Ação]]&gt;0,Tabela2[[#This Row],[Dividendo / Ação]]/Tabela2[[#This Row],[Cotação]],"")</f>
        <v>7.5088313299944365E-2</v>
      </c>
      <c r="J370" s="7">
        <f>SUMPRODUCT(N(Tabela1[Código]=Tabela2[[#This Row],[Ativo]]),Tabela1[Fechamento])</f>
        <v>0</v>
      </c>
      <c r="K370" s="7">
        <f>SUMPRODUCT(N(Tabela17[Código]=Tabela2[[#This Row],[Ativo]]),Tabela17[Fechamento])</f>
        <v>17.97</v>
      </c>
      <c r="M370" s="3"/>
    </row>
    <row r="371" spans="1:13">
      <c r="A371" s="3" t="s">
        <v>344</v>
      </c>
      <c r="B371" s="3">
        <v>2011</v>
      </c>
      <c r="C371" s="5">
        <v>9737000</v>
      </c>
      <c r="D371" s="67">
        <f>SUMPRODUCT(N(Tabela3[PAPEL]=Tabela2[[#This Row],[Ativo]]),Tabela3[Total Ações])</f>
        <v>9133687</v>
      </c>
      <c r="E371" s="65">
        <f>(Tabela2[[#This Row],[Lucro Líquido]])/Tabela2[[#This Row],[Total Ações]]</f>
        <v>1.0660536101138565</v>
      </c>
      <c r="F371" s="65">
        <v>0.91752482999999996</v>
      </c>
      <c r="G371" s="75">
        <f>IF(AND(Tabela2[[#This Row],[Dividendo / Ação]]&gt;0,Tabela2[[#This Row],[Lucro por ação]]&gt;0),Tabela2[[#This Row],[Dividendo / Ação]]/Tabela2[[#This Row],[Lucro por ação]],"")</f>
        <v>0.86067419245642496</v>
      </c>
      <c r="H371" s="60">
        <f>MAX(Tabela2[[#This Row],[Cotação 1]],Tabela2[[#This Row],[Cotação 2]])</f>
        <v>17.97</v>
      </c>
      <c r="I371" s="22">
        <f>IF(Tabela2[[#This Row],[Dividendo / Ação]]&gt;0,Tabela2[[#This Row],[Dividendo / Ação]]/Tabela2[[#This Row],[Cotação]],"")</f>
        <v>5.1058699499165278E-2</v>
      </c>
      <c r="J371" s="7">
        <f>SUMPRODUCT(N(Tabela1[Código]=Tabela2[[#This Row],[Ativo]]),Tabela1[Fechamento])</f>
        <v>0</v>
      </c>
      <c r="K371" s="7">
        <f>SUMPRODUCT(N(Tabela17[Código]=Tabela2[[#This Row],[Ativo]]),Tabela17[Fechamento])</f>
        <v>17.97</v>
      </c>
      <c r="M371" s="3"/>
    </row>
    <row r="372" spans="1:13">
      <c r="A372" s="3" t="s">
        <v>344</v>
      </c>
      <c r="B372" s="3">
        <v>2010</v>
      </c>
      <c r="C372" s="5">
        <v>18645000</v>
      </c>
      <c r="D372" s="67">
        <f>SUMPRODUCT(N(Tabela3[PAPEL]=Tabela2[[#This Row],[Ativo]]),Tabela3[Total Ações])</f>
        <v>9133687</v>
      </c>
      <c r="E372" s="65">
        <f>(Tabela2[[#This Row],[Lucro Líquido]])/Tabela2[[#This Row],[Total Ações]]</f>
        <v>2.0413443114483778</v>
      </c>
      <c r="F372" s="65">
        <v>0.50479059999999998</v>
      </c>
      <c r="G372" s="75">
        <f>IF(AND(Tabela2[[#This Row],[Dividendo / Ação]]&gt;0,Tabela2[[#This Row],[Lucro por ação]]&gt;0),Tabela2[[#This Row],[Dividendo / Ação]]/Tabela2[[#This Row],[Lucro por ação]],"")</f>
        <v>0.24728341866142128</v>
      </c>
      <c r="H372" s="60">
        <f>MAX(Tabela2[[#This Row],[Cotação 1]],Tabela2[[#This Row],[Cotação 2]])</f>
        <v>17.97</v>
      </c>
      <c r="I372" s="22">
        <f>IF(Tabela2[[#This Row],[Dividendo / Ação]]&gt;0,Tabela2[[#This Row],[Dividendo / Ação]]/Tabela2[[#This Row],[Cotação]],"")</f>
        <v>2.8090740122426267E-2</v>
      </c>
      <c r="J372" s="7">
        <f>SUMPRODUCT(N(Tabela1[Código]=Tabela2[[#This Row],[Ativo]]),Tabela1[Fechamento])</f>
        <v>0</v>
      </c>
      <c r="K372" s="7">
        <f>SUMPRODUCT(N(Tabela17[Código]=Tabela2[[#This Row],[Ativo]]),Tabela17[Fechamento])</f>
        <v>17.97</v>
      </c>
      <c r="M372" s="3"/>
    </row>
    <row r="373" spans="1:13">
      <c r="A373" s="4" t="s">
        <v>420</v>
      </c>
      <c r="B373" s="4">
        <v>2012</v>
      </c>
      <c r="C373" s="6">
        <v>268308000</v>
      </c>
      <c r="D373" s="78">
        <f>SUMPRODUCT(N(Tabela3[PAPEL]=Tabela2[[#This Row],[Ativo]]),Tabela3[Total Ações])</f>
        <v>176611578</v>
      </c>
      <c r="E373" s="66">
        <f>(Tabela2[[#This Row],[Lucro Líquido]])/Tabela2[[#This Row],[Total Ações]]</f>
        <v>1.5191982487127769</v>
      </c>
      <c r="F373" s="66">
        <v>0.40200000000000002</v>
      </c>
      <c r="G373" s="45">
        <f>IF(AND(Tabela2[[#This Row],[Dividendo / Ação]]&gt;0,Tabela2[[#This Row],[Lucro por ação]]&gt;0),Tabela2[[#This Row],[Dividendo / Ação]]/Tabela2[[#This Row],[Lucro por ação]],"")</f>
        <v>0.26461325922447337</v>
      </c>
      <c r="H373" s="61">
        <f>MAX(Tabela2[[#This Row],[Cotação 1]],Tabela2[[#This Row],[Cotação 2]])</f>
        <v>21.35</v>
      </c>
      <c r="I373" s="46">
        <f>IF(Tabela2[[#This Row],[Dividendo / Ação]]&gt;0,Tabela2[[#This Row],[Dividendo / Ação]]/Tabela2[[#This Row],[Cotação]],"")</f>
        <v>1.8829039812646369E-2</v>
      </c>
      <c r="J373" s="17">
        <f>SUMPRODUCT(N(Tabela1[Código]=Tabela2[[#This Row],[Ativo]]),Tabela1[Fechamento])</f>
        <v>0</v>
      </c>
      <c r="K373" s="17">
        <f>SUMPRODUCT(N(Tabela17[Código]=Tabela2[[#This Row],[Ativo]]),Tabela17[Fechamento])</f>
        <v>21.35</v>
      </c>
      <c r="M373" s="3"/>
    </row>
    <row r="374" spans="1:13">
      <c r="A374" s="4" t="s">
        <v>420</v>
      </c>
      <c r="B374" s="4">
        <v>2011</v>
      </c>
      <c r="C374" s="6">
        <v>151938000</v>
      </c>
      <c r="D374" s="78">
        <f>SUMPRODUCT(N(Tabela3[PAPEL]=Tabela2[[#This Row],[Ativo]]),Tabela3[Total Ações])</f>
        <v>176611578</v>
      </c>
      <c r="E374" s="66">
        <f>(Tabela2[[#This Row],[Lucro Líquido]])/Tabela2[[#This Row],[Total Ações]]</f>
        <v>0.86029467445220376</v>
      </c>
      <c r="F374" s="66">
        <v>0.38</v>
      </c>
      <c r="G374" s="45">
        <f>IF(AND(Tabela2[[#This Row],[Dividendo / Ação]]&gt;0,Tabela2[[#This Row],[Lucro por ação]]&gt;0),Tabela2[[#This Row],[Dividendo / Ação]]/Tabela2[[#This Row],[Lucro por ação]],"")</f>
        <v>0.44170911582355965</v>
      </c>
      <c r="H374" s="61">
        <f>MAX(Tabela2[[#This Row],[Cotação 1]],Tabela2[[#This Row],[Cotação 2]])</f>
        <v>21.35</v>
      </c>
      <c r="I374" s="46">
        <f>IF(Tabela2[[#This Row],[Dividendo / Ação]]&gt;0,Tabela2[[#This Row],[Dividendo / Ação]]/Tabela2[[#This Row],[Cotação]],"")</f>
        <v>1.7798594847775174E-2</v>
      </c>
      <c r="J374" s="17">
        <f>SUMPRODUCT(N(Tabela1[Código]=Tabela2[[#This Row],[Ativo]]),Tabela1[Fechamento])</f>
        <v>0</v>
      </c>
      <c r="K374" s="17">
        <f>SUMPRODUCT(N(Tabela17[Código]=Tabela2[[#This Row],[Ativo]]),Tabela17[Fechamento])</f>
        <v>21.35</v>
      </c>
      <c r="M374" s="3"/>
    </row>
    <row r="375" spans="1:13">
      <c r="A375" s="4" t="s">
        <v>420</v>
      </c>
      <c r="B375" s="4">
        <v>2010</v>
      </c>
      <c r="C375" s="6">
        <v>151547000</v>
      </c>
      <c r="D375" s="78">
        <f>SUMPRODUCT(N(Tabela3[PAPEL]=Tabela2[[#This Row],[Ativo]]),Tabela3[Total Ações])</f>
        <v>176611578</v>
      </c>
      <c r="E375" s="66">
        <f>(Tabela2[[#This Row],[Lucro Líquido]])/Tabela2[[#This Row],[Total Ações]]</f>
        <v>0.85808077656154569</v>
      </c>
      <c r="F375" s="66">
        <v>0.36499999999999999</v>
      </c>
      <c r="G375" s="45">
        <f>IF(AND(Tabela2[[#This Row],[Dividendo / Ação]]&gt;0,Tabela2[[#This Row],[Lucro por ação]]&gt;0),Tabela2[[#This Row],[Dividendo / Ação]]/Tabela2[[#This Row],[Lucro por ação]],"")</f>
        <v>0.42536787907381868</v>
      </c>
      <c r="H375" s="61">
        <f>MAX(Tabela2[[#This Row],[Cotação 1]],Tabela2[[#This Row],[Cotação 2]])</f>
        <v>21.35</v>
      </c>
      <c r="I375" s="46">
        <f>IF(Tabela2[[#This Row],[Dividendo / Ação]]&gt;0,Tabela2[[#This Row],[Dividendo / Ação]]/Tabela2[[#This Row],[Cotação]],"")</f>
        <v>1.7096018735362997E-2</v>
      </c>
      <c r="J375" s="17">
        <f>SUMPRODUCT(N(Tabela1[Código]=Tabela2[[#This Row],[Ativo]]),Tabela1[Fechamento])</f>
        <v>0</v>
      </c>
      <c r="K375" s="17">
        <f>SUMPRODUCT(N(Tabela17[Código]=Tabela2[[#This Row],[Ativo]]),Tabela17[Fechamento])</f>
        <v>21.35</v>
      </c>
      <c r="M375" s="3"/>
    </row>
    <row r="376" spans="1:13">
      <c r="A376" s="4" t="s">
        <v>420</v>
      </c>
      <c r="B376" s="4">
        <v>2009</v>
      </c>
      <c r="C376" s="6">
        <v>92927000</v>
      </c>
      <c r="D376" s="78">
        <f>SUMPRODUCT(N(Tabela3[PAPEL]=Tabela2[[#This Row],[Ativo]]),Tabela3[Total Ações])</f>
        <v>176611578</v>
      </c>
      <c r="E376" s="66">
        <f>(Tabela2[[#This Row],[Lucro Líquido]])/Tabela2[[#This Row],[Total Ações]]</f>
        <v>0.52616595725111526</v>
      </c>
      <c r="F376" s="66">
        <v>0.315</v>
      </c>
      <c r="G376" s="45">
        <f>IF(AND(Tabela2[[#This Row],[Dividendo / Ação]]&gt;0,Tabela2[[#This Row],[Lucro por ação]]&gt;0),Tabela2[[#This Row],[Dividendo / Ação]]/Tabela2[[#This Row],[Lucro por ação]],"")</f>
        <v>0.59867043023018063</v>
      </c>
      <c r="H376" s="61">
        <f>MAX(Tabela2[[#This Row],[Cotação 1]],Tabela2[[#This Row],[Cotação 2]])</f>
        <v>21.35</v>
      </c>
      <c r="I376" s="46">
        <f>IF(Tabela2[[#This Row],[Dividendo / Ação]]&gt;0,Tabela2[[#This Row],[Dividendo / Ação]]/Tabela2[[#This Row],[Cotação]],"")</f>
        <v>1.4754098360655736E-2</v>
      </c>
      <c r="J376" s="17">
        <f>SUMPRODUCT(N(Tabela1[Código]=Tabela2[[#This Row],[Ativo]]),Tabela1[Fechamento])</f>
        <v>0</v>
      </c>
      <c r="K376" s="17">
        <f>SUMPRODUCT(N(Tabela17[Código]=Tabela2[[#This Row],[Ativo]]),Tabela17[Fechamento])</f>
        <v>21.35</v>
      </c>
      <c r="M376" s="3"/>
    </row>
    <row r="377" spans="1:13">
      <c r="A377" s="15" t="s">
        <v>266</v>
      </c>
      <c r="B377" s="3">
        <v>2012</v>
      </c>
      <c r="C377" s="5">
        <v>4539233257.3500004</v>
      </c>
      <c r="D377" s="62">
        <f>SUMPRODUCT(N(Tabela3[PAPEL]=Tabela2[[#This Row],[Ativo]]),Tabela3[Total Ações])</f>
        <v>5470667261</v>
      </c>
      <c r="E377" s="65">
        <f>(Tabela2[[#This Row],[Lucro Líquido]])/Tabela2[[#This Row],[Total Ações]]</f>
        <v>0.82974032979667278</v>
      </c>
      <c r="F377" s="65">
        <v>0.34289999999999998</v>
      </c>
      <c r="G377" s="22">
        <f>IF(AND(Tabela2[[#This Row],[Dividendo / Ação]]&gt;0,Tabela2[[#This Row],[Lucro por ação]]&gt;0),Tabela2[[#This Row],[Dividendo / Ação]]/Tabela2[[#This Row],[Lucro por ação]],"")</f>
        <v>0.41326182142312806</v>
      </c>
      <c r="H377" s="5">
        <f>MAX(Tabela2[[#This Row],[Cotação 1]],Tabela2[[#This Row],[Cotação 2]])</f>
        <v>10.56</v>
      </c>
      <c r="I377" s="18">
        <f>IF(Tabela2[[#This Row],[Dividendo / Ação]]&gt;0,Tabela2[[#This Row],[Dividendo / Ação]]/Tabela2[[#This Row],[Cotação]],"")</f>
        <v>3.2471590909090908E-2</v>
      </c>
      <c r="J377" s="60">
        <f>SUMPRODUCT(N(Tabela1[Código]=Tabela2[[#This Row],[Ativo]]),Tabela1[Fechamento])</f>
        <v>10.56</v>
      </c>
      <c r="K377" s="60">
        <f>SUMPRODUCT(N(Tabela17[Código]=Tabela2[[#This Row],[Ativo]]),Tabela17[Fechamento])</f>
        <v>0</v>
      </c>
      <c r="M377" s="3"/>
    </row>
    <row r="378" spans="1:13">
      <c r="A378" s="15" t="s">
        <v>266</v>
      </c>
      <c r="B378" s="3">
        <v>2011</v>
      </c>
      <c r="C378" s="5">
        <v>4693567188.1000004</v>
      </c>
      <c r="D378" s="62">
        <f>SUMPRODUCT(N(Tabela3[PAPEL]=Tabela2[[#This Row],[Ativo]]),Tabela3[Total Ações])</f>
        <v>5470667261</v>
      </c>
      <c r="E378" s="65">
        <f>(Tabela2[[#This Row],[Lucro Líquido]])/Tabela2[[#This Row],[Total Ações]]</f>
        <v>0.85795150100977791</v>
      </c>
      <c r="F378" s="65">
        <v>0.33350000000000002</v>
      </c>
      <c r="G378" s="22">
        <f>IF(AND(Tabela2[[#This Row],[Dividendo / Ação]]&gt;0,Tabela2[[#This Row],[Lucro por ação]]&gt;0),Tabela2[[#This Row],[Dividendo / Ação]]/Tabela2[[#This Row],[Lucro por ação]],"")</f>
        <v>0.38871661114583117</v>
      </c>
      <c r="H378" s="5">
        <f>MAX(Tabela2[[#This Row],[Cotação 1]],Tabela2[[#This Row],[Cotação 2]])</f>
        <v>10.56</v>
      </c>
      <c r="I378" s="18">
        <f>IF(Tabela2[[#This Row],[Dividendo / Ação]]&gt;0,Tabela2[[#This Row],[Dividendo / Ação]]/Tabela2[[#This Row],[Cotação]],"")</f>
        <v>3.1581439393939391E-2</v>
      </c>
      <c r="J378" s="60">
        <f>SUMPRODUCT(N(Tabela1[Código]=Tabela2[[#This Row],[Ativo]]),Tabela1[Fechamento])</f>
        <v>10.56</v>
      </c>
      <c r="K378" s="60">
        <f>SUMPRODUCT(N(Tabela17[Código]=Tabela2[[#This Row],[Ativo]]),Tabela17[Fechamento])</f>
        <v>0</v>
      </c>
      <c r="M378" s="3"/>
    </row>
    <row r="379" spans="1:13">
      <c r="A379" s="15" t="s">
        <v>266</v>
      </c>
      <c r="B379" s="3">
        <v>2010</v>
      </c>
      <c r="C379" s="5">
        <v>4309548054.5299997</v>
      </c>
      <c r="D379" s="62">
        <f>SUMPRODUCT(N(Tabela3[PAPEL]=Tabela2[[#This Row],[Ativo]]),Tabela3[Total Ações])</f>
        <v>5470667261</v>
      </c>
      <c r="E379" s="65">
        <f>(Tabela2[[#This Row],[Lucro Líquido]])/Tabela2[[#This Row],[Total Ações]]</f>
        <v>0.78775546910931016</v>
      </c>
      <c r="F379" s="65">
        <v>0.29649999999999999</v>
      </c>
      <c r="G379" s="22">
        <f>IF(AND(Tabela2[[#This Row],[Dividendo / Ação]]&gt;0,Tabela2[[#This Row],[Lucro por ação]]&gt;0),Tabela2[[#This Row],[Dividendo / Ação]]/Tabela2[[#This Row],[Lucro por ação]],"")</f>
        <v>0.37638583497902339</v>
      </c>
      <c r="H379" s="5">
        <f>MAX(Tabela2[[#This Row],[Cotação 1]],Tabela2[[#This Row],[Cotação 2]])</f>
        <v>10.56</v>
      </c>
      <c r="I379" s="18">
        <f>IF(Tabela2[[#This Row],[Dividendo / Ação]]&gt;0,Tabela2[[#This Row],[Dividendo / Ação]]/Tabela2[[#This Row],[Cotação]],"")</f>
        <v>2.8077651515151514E-2</v>
      </c>
      <c r="J379" s="60">
        <f>SUMPRODUCT(N(Tabela1[Código]=Tabela2[[#This Row],[Ativo]]),Tabela1[Fechamento])</f>
        <v>10.56</v>
      </c>
      <c r="K379" s="60">
        <f>SUMPRODUCT(N(Tabela17[Código]=Tabela2[[#This Row],[Ativo]]),Tabela17[Fechamento])</f>
        <v>0</v>
      </c>
      <c r="M379" s="3"/>
    </row>
    <row r="380" spans="1:13">
      <c r="A380" s="15" t="s">
        <v>266</v>
      </c>
      <c r="B380" s="3">
        <v>2009</v>
      </c>
      <c r="C380" s="5">
        <v>2858809105.48</v>
      </c>
      <c r="D380" s="62">
        <f>SUMPRODUCT(N(Tabela3[PAPEL]=Tabela2[[#This Row],[Ativo]]),Tabela3[Total Ações])</f>
        <v>5470667261</v>
      </c>
      <c r="E380" s="65">
        <f>(Tabela2[[#This Row],[Lucro Líquido]])/Tabela2[[#This Row],[Total Ações]]</f>
        <v>0.52257045970612181</v>
      </c>
      <c r="F380" s="65">
        <v>0.25769999999999998</v>
      </c>
      <c r="G380" s="22">
        <f>IF(AND(Tabela2[[#This Row],[Dividendo / Ação]]&gt;0,Tabela2[[#This Row],[Lucro por ação]]&gt;0),Tabela2[[#This Row],[Dividendo / Ação]]/Tabela2[[#This Row],[Lucro por ação]],"")</f>
        <v>0.49313924125164449</v>
      </c>
      <c r="H380" s="5">
        <f>MAX(Tabela2[[#This Row],[Cotação 1]],Tabela2[[#This Row],[Cotação 2]])</f>
        <v>10.56</v>
      </c>
      <c r="I380" s="18">
        <f>IF(Tabela2[[#This Row],[Dividendo / Ação]]&gt;0,Tabela2[[#This Row],[Dividendo / Ação]]/Tabela2[[#This Row],[Cotação]],"")</f>
        <v>2.4403409090909087E-2</v>
      </c>
      <c r="J380" s="60">
        <f>SUMPRODUCT(N(Tabela1[Código]=Tabela2[[#This Row],[Ativo]]),Tabela1[Fechamento])</f>
        <v>10.56</v>
      </c>
      <c r="K380" s="60">
        <f>SUMPRODUCT(N(Tabela17[Código]=Tabela2[[#This Row],[Ativo]]),Tabela17[Fechamento])</f>
        <v>0</v>
      </c>
      <c r="M380" s="3"/>
    </row>
    <row r="381" spans="1:13">
      <c r="A381" s="15" t="s">
        <v>16</v>
      </c>
      <c r="B381" s="4">
        <v>2012</v>
      </c>
      <c r="C381" s="5">
        <v>4539233257.3500004</v>
      </c>
      <c r="D381" s="8">
        <f>SUMPRODUCT(N(Tabela3[PAPEL]=Tabela2[[#This Row],[Ativo]]),Tabela3[Total Ações])</f>
        <v>5470667261</v>
      </c>
      <c r="E381" s="66">
        <f>(Tabela2[[#This Row],[Lucro Líquido]])/Tabela2[[#This Row],[Total Ações]]</f>
        <v>0.82974032979667278</v>
      </c>
      <c r="F381" s="65">
        <v>0.34289999999999998</v>
      </c>
      <c r="G381" s="46">
        <f>IF(AND(Tabela2[[#This Row],[Dividendo / Ação]]&gt;0,Tabela2[[#This Row],[Lucro por ação]]&gt;0),Tabela2[[#This Row],[Dividendo / Ação]]/Tabela2[[#This Row],[Lucro por ação]],"")</f>
        <v>0.41326182142312806</v>
      </c>
      <c r="H381" s="6">
        <f>MAX(Tabela2[[#This Row],[Cotação 1]],Tabela2[[#This Row],[Cotação 2]])</f>
        <v>8.6199999999999992</v>
      </c>
      <c r="I381" s="19">
        <f>IF(Tabela2[[#This Row],[Dividendo / Ação]]&gt;0,Tabela2[[#This Row],[Dividendo / Ação]]/Tabela2[[#This Row],[Cotação]],"")</f>
        <v>3.9779582366589329E-2</v>
      </c>
      <c r="J381" s="61">
        <f>SUMPRODUCT(N(Tabela1[Código]=Tabela2[[#This Row],[Ativo]]),Tabela1[Fechamento])</f>
        <v>8.6199999999999992</v>
      </c>
      <c r="K381" s="61">
        <f>SUMPRODUCT(N(Tabela17[Código]=Tabela2[[#This Row],[Ativo]]),Tabela17[Fechamento])</f>
        <v>0</v>
      </c>
      <c r="M381" s="3"/>
    </row>
    <row r="382" spans="1:13">
      <c r="A382" s="15" t="s">
        <v>16</v>
      </c>
      <c r="B382" s="4">
        <v>2011</v>
      </c>
      <c r="C382" s="5">
        <v>4693567188.1000004</v>
      </c>
      <c r="D382" s="8">
        <f>SUMPRODUCT(N(Tabela3[PAPEL]=Tabela2[[#This Row],[Ativo]]),Tabela3[Total Ações])</f>
        <v>5470667261</v>
      </c>
      <c r="E382" s="66">
        <f>(Tabela2[[#This Row],[Lucro Líquido]])/Tabela2[[#This Row],[Total Ações]]</f>
        <v>0.85795150100977791</v>
      </c>
      <c r="F382" s="66">
        <v>0.33350000000000002</v>
      </c>
      <c r="G382" s="46">
        <f>IF(AND(Tabela2[[#This Row],[Dividendo / Ação]]&gt;0,Tabela2[[#This Row],[Lucro por ação]]&gt;0),Tabela2[[#This Row],[Dividendo / Ação]]/Tabela2[[#This Row],[Lucro por ação]],"")</f>
        <v>0.38871661114583117</v>
      </c>
      <c r="H382" s="6">
        <f>MAX(Tabela2[[#This Row],[Cotação 1]],Tabela2[[#This Row],[Cotação 2]])</f>
        <v>8.6199999999999992</v>
      </c>
      <c r="I382" s="19">
        <f>IF(Tabela2[[#This Row],[Dividendo / Ação]]&gt;0,Tabela2[[#This Row],[Dividendo / Ação]]/Tabela2[[#This Row],[Cotação]],"")</f>
        <v>3.8689095127610214E-2</v>
      </c>
      <c r="J382" s="61">
        <f>SUMPRODUCT(N(Tabela1[Código]=Tabela2[[#This Row],[Ativo]]),Tabela1[Fechamento])</f>
        <v>8.6199999999999992</v>
      </c>
      <c r="K382" s="61">
        <f>SUMPRODUCT(N(Tabela17[Código]=Tabela2[[#This Row],[Ativo]]),Tabela17[Fechamento])</f>
        <v>0</v>
      </c>
      <c r="M382" s="3"/>
    </row>
    <row r="383" spans="1:13">
      <c r="A383" s="15" t="s">
        <v>16</v>
      </c>
      <c r="B383" s="4">
        <v>2010</v>
      </c>
      <c r="C383" s="5">
        <v>4309548054.5299997</v>
      </c>
      <c r="D383" s="8">
        <f>SUMPRODUCT(N(Tabela3[PAPEL]=Tabela2[[#This Row],[Ativo]]),Tabela3[Total Ações])</f>
        <v>5470667261</v>
      </c>
      <c r="E383" s="66">
        <f>(Tabela2[[#This Row],[Lucro Líquido]])/Tabela2[[#This Row],[Total Ações]]</f>
        <v>0.78775546910931016</v>
      </c>
      <c r="F383" s="66">
        <v>0.29649999999999999</v>
      </c>
      <c r="G383" s="46">
        <f>IF(AND(Tabela2[[#This Row],[Dividendo / Ação]]&gt;0,Tabela2[[#This Row],[Lucro por ação]]&gt;0),Tabela2[[#This Row],[Dividendo / Ação]]/Tabela2[[#This Row],[Lucro por ação]],"")</f>
        <v>0.37638583497902339</v>
      </c>
      <c r="H383" s="6">
        <f>MAX(Tabela2[[#This Row],[Cotação 1]],Tabela2[[#This Row],[Cotação 2]])</f>
        <v>8.6199999999999992</v>
      </c>
      <c r="I383" s="19">
        <f>IF(Tabela2[[#This Row],[Dividendo / Ação]]&gt;0,Tabela2[[#This Row],[Dividendo / Ação]]/Tabela2[[#This Row],[Cotação]],"")</f>
        <v>3.439675174013921E-2</v>
      </c>
      <c r="J383" s="61">
        <f>SUMPRODUCT(N(Tabela1[Código]=Tabela2[[#This Row],[Ativo]]),Tabela1[Fechamento])</f>
        <v>8.6199999999999992</v>
      </c>
      <c r="K383" s="61">
        <f>SUMPRODUCT(N(Tabela17[Código]=Tabela2[[#This Row],[Ativo]]),Tabela17[Fechamento])</f>
        <v>0</v>
      </c>
      <c r="L383" s="5"/>
      <c r="M383" s="3"/>
    </row>
    <row r="384" spans="1:13">
      <c r="A384" s="15" t="s">
        <v>16</v>
      </c>
      <c r="B384" s="4">
        <v>2009</v>
      </c>
      <c r="C384" s="5">
        <v>2858809105.48</v>
      </c>
      <c r="D384" s="8">
        <f>SUMPRODUCT(N(Tabela3[PAPEL]=Tabela2[[#This Row],[Ativo]]),Tabela3[Total Ações])</f>
        <v>5470667261</v>
      </c>
      <c r="E384" s="66">
        <f>(Tabela2[[#This Row],[Lucro Líquido]])/Tabela2[[#This Row],[Total Ações]]</f>
        <v>0.52257045970612181</v>
      </c>
      <c r="F384" s="66">
        <v>0.25769999999999998</v>
      </c>
      <c r="G384" s="46">
        <f>IF(AND(Tabela2[[#This Row],[Dividendo / Ação]]&gt;0,Tabela2[[#This Row],[Lucro por ação]]&gt;0),Tabela2[[#This Row],[Dividendo / Ação]]/Tabela2[[#This Row],[Lucro por ação]],"")</f>
        <v>0.49313924125164449</v>
      </c>
      <c r="H384" s="6">
        <f>MAX(Tabela2[[#This Row],[Cotação 1]],Tabela2[[#This Row],[Cotação 2]])</f>
        <v>8.6199999999999992</v>
      </c>
      <c r="I384" s="19">
        <f>IF(Tabela2[[#This Row],[Dividendo / Ação]]&gt;0,Tabela2[[#This Row],[Dividendo / Ação]]/Tabela2[[#This Row],[Cotação]],"")</f>
        <v>2.9895591647331788E-2</v>
      </c>
      <c r="J384" s="61">
        <f>SUMPRODUCT(N(Tabela1[Código]=Tabela2[[#This Row],[Ativo]]),Tabela1[Fechamento])</f>
        <v>8.6199999999999992</v>
      </c>
      <c r="K384" s="61">
        <f>SUMPRODUCT(N(Tabela17[Código]=Tabela2[[#This Row],[Ativo]]),Tabela17[Fechamento])</f>
        <v>0</v>
      </c>
      <c r="M384" s="3"/>
    </row>
    <row r="385" spans="1:13">
      <c r="A385" s="14" t="s">
        <v>264</v>
      </c>
      <c r="B385" s="3">
        <v>2012</v>
      </c>
      <c r="C385" s="5">
        <v>10799538178.68</v>
      </c>
      <c r="D385" s="62">
        <f>SUMPRODUCT(N(Tabela3[PAPEL]=Tabela2[[#This Row],[Ativo]]),Tabela3[Total Ações])</f>
        <v>5028029710</v>
      </c>
      <c r="E385" s="65">
        <f>(Tabela2[[#This Row],[Lucro Líquido]])/Tabela2[[#This Row],[Total Ações]]</f>
        <v>2.14786681892538</v>
      </c>
      <c r="F385" s="65">
        <v>1</v>
      </c>
      <c r="G385" s="22">
        <f>IF(AND(Tabela2[[#This Row],[Dividendo / Ação]]&gt;0,Tabela2[[#This Row],[Lucro por ação]]&gt;0),Tabela2[[#This Row],[Dividendo / Ação]]/Tabela2[[#This Row],[Lucro por ação]],"")</f>
        <v>0.46557821518017567</v>
      </c>
      <c r="H385" s="5">
        <f>MAX(Tabela2[[#This Row],[Cotação 1]],Tabela2[[#This Row],[Cotação 2]])</f>
        <v>28.99</v>
      </c>
      <c r="I385" s="18">
        <f>IF(Tabela2[[#This Row],[Dividendo / Ação]]&gt;0,Tabela2[[#This Row],[Dividendo / Ação]]/Tabela2[[#This Row],[Cotação]],"")</f>
        <v>3.4494653328734047E-2</v>
      </c>
      <c r="J385" s="60">
        <f>SUMPRODUCT(N(Tabela1[Código]=Tabela2[[#This Row],[Ativo]]),Tabela1[Fechamento])</f>
        <v>28.99</v>
      </c>
      <c r="K385" s="60">
        <f>SUMPRODUCT(N(Tabela17[Código]=Tabela2[[#This Row],[Ativo]]),Tabela17[Fechamento])</f>
        <v>0</v>
      </c>
      <c r="M385" s="3"/>
    </row>
    <row r="386" spans="1:13">
      <c r="A386" s="14" t="s">
        <v>264</v>
      </c>
      <c r="B386" s="3">
        <v>2011</v>
      </c>
      <c r="C386" s="5">
        <v>11890195760.129999</v>
      </c>
      <c r="D386" s="62">
        <f>SUMPRODUCT(N(Tabela3[PAPEL]=Tabela2[[#This Row],[Ativo]]),Tabela3[Total Ações])</f>
        <v>5028029710</v>
      </c>
      <c r="E386" s="65">
        <f>(Tabela2[[#This Row],[Lucro Líquido]])/Tabela2[[#This Row],[Total Ações]]</f>
        <v>2.364782319500256</v>
      </c>
      <c r="F386" s="65">
        <v>0.97270000000000001</v>
      </c>
      <c r="G386" s="22">
        <f>IF(AND(Tabela2[[#This Row],[Dividendo / Ação]]&gt;0,Tabela2[[#This Row],[Lucro por ação]]&gt;0),Tabela2[[#This Row],[Dividendo / Ação]]/Tabela2[[#This Row],[Lucro por ação]],"")</f>
        <v>0.41132750020118491</v>
      </c>
      <c r="H386" s="5">
        <f>MAX(Tabela2[[#This Row],[Cotação 1]],Tabela2[[#This Row],[Cotação 2]])</f>
        <v>28.99</v>
      </c>
      <c r="I386" s="18">
        <f>IF(Tabela2[[#This Row],[Dividendo / Ação]]&gt;0,Tabela2[[#This Row],[Dividendo / Ação]]/Tabela2[[#This Row],[Cotação]],"")</f>
        <v>3.355294929285961E-2</v>
      </c>
      <c r="J386" s="60">
        <f>SUMPRODUCT(N(Tabela1[Código]=Tabela2[[#This Row],[Ativo]]),Tabela1[Fechamento])</f>
        <v>28.99</v>
      </c>
      <c r="K386" s="60">
        <f>SUMPRODUCT(N(Tabela17[Código]=Tabela2[[#This Row],[Ativo]]),Tabela17[Fechamento])</f>
        <v>0</v>
      </c>
      <c r="M386" s="3"/>
    </row>
    <row r="387" spans="1:13">
      <c r="A387" s="14" t="s">
        <v>264</v>
      </c>
      <c r="B387" s="3">
        <v>2010</v>
      </c>
      <c r="C387" s="5">
        <v>10272015528.35</v>
      </c>
      <c r="D387" s="62">
        <f>SUMPRODUCT(N(Tabela3[PAPEL]=Tabela2[[#This Row],[Ativo]]),Tabela3[Total Ações])</f>
        <v>5028029710</v>
      </c>
      <c r="E387" s="65">
        <f>(Tabela2[[#This Row],[Lucro Líquido]])/Tabela2[[#This Row],[Total Ações]]</f>
        <v>2.0429504439722175</v>
      </c>
      <c r="F387" s="65">
        <v>0.86070000000000002</v>
      </c>
      <c r="G387" s="22">
        <f>IF(AND(Tabela2[[#This Row],[Dividendo / Ação]]&gt;0,Tabela2[[#This Row],[Lucro por ação]]&gt;0),Tabela2[[#This Row],[Dividendo / Ação]]/Tabela2[[#This Row],[Lucro por ação]],"")</f>
        <v>0.42130243664966005</v>
      </c>
      <c r="H387" s="5">
        <f>MAX(Tabela2[[#This Row],[Cotação 1]],Tabela2[[#This Row],[Cotação 2]])</f>
        <v>28.99</v>
      </c>
      <c r="I387" s="18">
        <f>IF(Tabela2[[#This Row],[Dividendo / Ação]]&gt;0,Tabela2[[#This Row],[Dividendo / Ação]]/Tabela2[[#This Row],[Cotação]],"")</f>
        <v>2.9689548120041397E-2</v>
      </c>
      <c r="J387" s="60">
        <f>SUMPRODUCT(N(Tabela1[Código]=Tabela2[[#This Row],[Ativo]]),Tabela1[Fechamento])</f>
        <v>28.99</v>
      </c>
      <c r="K387" s="60">
        <f>SUMPRODUCT(N(Tabela17[Código]=Tabela2[[#This Row],[Ativo]]),Tabela17[Fechamento])</f>
        <v>0</v>
      </c>
      <c r="M387" s="3"/>
    </row>
    <row r="388" spans="1:13">
      <c r="A388" s="14" t="s">
        <v>85</v>
      </c>
      <c r="B388" s="4">
        <v>2012</v>
      </c>
      <c r="C388" s="5">
        <v>10799538178.68</v>
      </c>
      <c r="D388" s="8">
        <f>SUMPRODUCT(N(Tabela3[PAPEL]=Tabela2[[#This Row],[Ativo]]),Tabela3[Total Ações])</f>
        <v>5028029710</v>
      </c>
      <c r="E388" s="66">
        <f>(Tabela2[[#This Row],[Lucro Líquido]])/Tabela2[[#This Row],[Total Ações]]</f>
        <v>2.14786681892538</v>
      </c>
      <c r="F388" s="66">
        <v>1</v>
      </c>
      <c r="G388" s="46">
        <f>IF(AND(Tabela2[[#This Row],[Dividendo / Ação]]&gt;0,Tabela2[[#This Row],[Lucro por ação]]&gt;0),Tabela2[[#This Row],[Dividendo / Ação]]/Tabela2[[#This Row],[Lucro por ação]],"")</f>
        <v>0.46557821518017567</v>
      </c>
      <c r="H388" s="6">
        <f>MAX(Tabela2[[#This Row],[Cotação 1]],Tabela2[[#This Row],[Cotação 2]])</f>
        <v>31.25</v>
      </c>
      <c r="I388" s="19">
        <f>IF(Tabela2[[#This Row],[Dividendo / Ação]]&gt;0,Tabela2[[#This Row],[Dividendo / Ação]]/Tabela2[[#This Row],[Cotação]],"")</f>
        <v>3.2000000000000001E-2</v>
      </c>
      <c r="J388" s="61">
        <f>SUMPRODUCT(N(Tabela1[Código]=Tabela2[[#This Row],[Ativo]]),Tabela1[Fechamento])</f>
        <v>31.25</v>
      </c>
      <c r="K388" s="61">
        <f>SUMPRODUCT(N(Tabela17[Código]=Tabela2[[#This Row],[Ativo]]),Tabela17[Fechamento])</f>
        <v>0</v>
      </c>
      <c r="M388" s="3"/>
    </row>
    <row r="389" spans="1:13">
      <c r="A389" s="14" t="s">
        <v>85</v>
      </c>
      <c r="B389" s="4">
        <v>2011</v>
      </c>
      <c r="C389" s="5">
        <v>11890195760.129999</v>
      </c>
      <c r="D389" s="8">
        <f>SUMPRODUCT(N(Tabela3[PAPEL]=Tabela2[[#This Row],[Ativo]]),Tabela3[Total Ações])</f>
        <v>5028029710</v>
      </c>
      <c r="E389" s="66">
        <f>(Tabela2[[#This Row],[Lucro Líquido]])/Tabela2[[#This Row],[Total Ações]]</f>
        <v>2.364782319500256</v>
      </c>
      <c r="F389" s="66">
        <v>0.97270000000000001</v>
      </c>
      <c r="G389" s="46">
        <f>IF(AND(Tabela2[[#This Row],[Dividendo / Ação]]&gt;0,Tabela2[[#This Row],[Lucro por ação]]&gt;0),Tabela2[[#This Row],[Dividendo / Ação]]/Tabela2[[#This Row],[Lucro por ação]],"")</f>
        <v>0.41132750020118491</v>
      </c>
      <c r="H389" s="6">
        <f>MAX(Tabela2[[#This Row],[Cotação 1]],Tabela2[[#This Row],[Cotação 2]])</f>
        <v>31.25</v>
      </c>
      <c r="I389" s="19">
        <f>IF(Tabela2[[#This Row],[Dividendo / Ação]]&gt;0,Tabela2[[#This Row],[Dividendo / Ação]]/Tabela2[[#This Row],[Cotação]],"")</f>
        <v>3.1126400000000002E-2</v>
      </c>
      <c r="J389" s="61">
        <f>SUMPRODUCT(N(Tabela1[Código]=Tabela2[[#This Row],[Ativo]]),Tabela1[Fechamento])</f>
        <v>31.25</v>
      </c>
      <c r="K389" s="61">
        <f>SUMPRODUCT(N(Tabela17[Código]=Tabela2[[#This Row],[Ativo]]),Tabela17[Fechamento])</f>
        <v>0</v>
      </c>
      <c r="M389" s="3"/>
    </row>
    <row r="390" spans="1:13">
      <c r="A390" s="14" t="s">
        <v>85</v>
      </c>
      <c r="B390" s="4">
        <v>2010</v>
      </c>
      <c r="C390" s="5">
        <v>10272015528.35</v>
      </c>
      <c r="D390" s="8">
        <f>SUMPRODUCT(N(Tabela3[PAPEL]=Tabela2[[#This Row],[Ativo]]),Tabela3[Total Ações])</f>
        <v>5028029710</v>
      </c>
      <c r="E390" s="66">
        <f>(Tabela2[[#This Row],[Lucro Líquido]])/Tabela2[[#This Row],[Total Ações]]</f>
        <v>2.0429504439722175</v>
      </c>
      <c r="F390" s="66">
        <v>0.86070000000000002</v>
      </c>
      <c r="G390" s="46">
        <f>IF(AND(Tabela2[[#This Row],[Dividendo / Ação]]&gt;0,Tabela2[[#This Row],[Lucro por ação]]&gt;0),Tabela2[[#This Row],[Dividendo / Ação]]/Tabela2[[#This Row],[Lucro por ação]],"")</f>
        <v>0.42130243664966005</v>
      </c>
      <c r="H390" s="6">
        <f>MAX(Tabela2[[#This Row],[Cotação 1]],Tabela2[[#This Row],[Cotação 2]])</f>
        <v>31.25</v>
      </c>
      <c r="I390" s="19">
        <f>IF(Tabela2[[#This Row],[Dividendo / Ação]]&gt;0,Tabela2[[#This Row],[Dividendo / Ação]]/Tabela2[[#This Row],[Cotação]],"")</f>
        <v>2.7542400000000002E-2</v>
      </c>
      <c r="J390" s="61">
        <f>SUMPRODUCT(N(Tabela1[Código]=Tabela2[[#This Row],[Ativo]]),Tabela1[Fechamento])</f>
        <v>31.25</v>
      </c>
      <c r="K390" s="61">
        <f>SUMPRODUCT(N(Tabela17[Código]=Tabela2[[#This Row],[Ativo]]),Tabela17[Fechamento])</f>
        <v>0</v>
      </c>
      <c r="M390" s="3"/>
    </row>
    <row r="391" spans="1:13">
      <c r="A391" s="3" t="s">
        <v>320</v>
      </c>
      <c r="B391" s="3">
        <v>2012</v>
      </c>
      <c r="C391" s="5">
        <v>718939800.83000004</v>
      </c>
      <c r="D391" s="62">
        <f>SUMPRODUCT(N(Tabela3[PAPEL]=Tabela2[[#This Row],[Ativo]]),Tabela3[Total Ações])</f>
        <v>2943644008</v>
      </c>
      <c r="E391" s="65">
        <f>(Tabela2[[#This Row],[Lucro Líquido]])/Tabela2[[#This Row],[Total Ações]]</f>
        <v>0.244234628533927</v>
      </c>
      <c r="F391" s="65">
        <v>5.8005724000000002E-2</v>
      </c>
      <c r="G391" s="22">
        <f>IF(AND(Tabela2[[#This Row],[Dividendo / Ação]]&gt;0,Tabela2[[#This Row],[Lucro por ação]]&gt;0),Tabela2[[#This Row],[Dividendo / Ação]]/Tabela2[[#This Row],[Lucro por ação]],"")</f>
        <v>0.23749999886663223</v>
      </c>
      <c r="H391" s="51">
        <f>MAX(Tabela2[[#This Row],[Cotação 1]],Tabela2[[#This Row],[Cotação 2]])</f>
        <v>8.9</v>
      </c>
      <c r="I391" s="18">
        <f>IF(Tabela2[[#This Row],[Dividendo / Ação]]&gt;0,Tabela2[[#This Row],[Dividendo / Ação]]/Tabela2[[#This Row],[Cotação]],"")</f>
        <v>6.5174970786516856E-3</v>
      </c>
      <c r="J391" s="7">
        <f>SUMPRODUCT(N(Tabela1[Código]=Tabela2[[#This Row],[Ativo]]),Tabela1[Fechamento])</f>
        <v>0</v>
      </c>
      <c r="K391" s="7">
        <f>SUMPRODUCT(N(Tabela17[Código]=Tabela2[[#This Row],[Ativo]]),Tabela17[Fechamento])</f>
        <v>8.9</v>
      </c>
      <c r="M391" s="3"/>
    </row>
    <row r="392" spans="1:13">
      <c r="A392" s="3" t="s">
        <v>320</v>
      </c>
      <c r="B392" s="3">
        <v>2011</v>
      </c>
      <c r="C392" s="5">
        <v>-75180667.959999993</v>
      </c>
      <c r="D392" s="62">
        <f>SUMPRODUCT(N(Tabela3[PAPEL]=Tabela2[[#This Row],[Ativo]]),Tabela3[Total Ações])</f>
        <v>2943644008</v>
      </c>
      <c r="E392" s="65">
        <f>(Tabela2[[#This Row],[Lucro Líquido]])/Tabela2[[#This Row],[Total Ações]]</f>
        <v>-2.5539999998532428E-2</v>
      </c>
      <c r="F392" s="65">
        <v>0</v>
      </c>
      <c r="G392" s="22" t="str">
        <f>IF(AND(Tabela2[[#This Row],[Dividendo / Ação]]&gt;0,Tabela2[[#This Row],[Lucro por ação]]&gt;0),Tabela2[[#This Row],[Dividendo / Ação]]/Tabela2[[#This Row],[Lucro por ação]],"")</f>
        <v/>
      </c>
      <c r="H392" s="51">
        <f>MAX(Tabela2[[#This Row],[Cotação 1]],Tabela2[[#This Row],[Cotação 2]])</f>
        <v>8.9</v>
      </c>
      <c r="I392" s="18" t="str">
        <f>IF(Tabela2[[#This Row],[Dividendo / Ação]]&gt;0,Tabela2[[#This Row],[Dividendo / Ação]]/Tabela2[[#This Row],[Cotação]],"")</f>
        <v/>
      </c>
      <c r="J392" s="7">
        <f>SUMPRODUCT(N(Tabela1[Código]=Tabela2[[#This Row],[Ativo]]),Tabela1[Fechamento])</f>
        <v>0</v>
      </c>
      <c r="K392" s="7">
        <f>SUMPRODUCT(N(Tabela17[Código]=Tabela2[[#This Row],[Ativo]]),Tabela17[Fechamento])</f>
        <v>8.9</v>
      </c>
      <c r="M392" s="3"/>
    </row>
    <row r="393" spans="1:13">
      <c r="A393" s="3" t="s">
        <v>320</v>
      </c>
      <c r="B393" s="3">
        <v>2010</v>
      </c>
      <c r="C393" s="5">
        <v>-357505564.80000001</v>
      </c>
      <c r="D393" s="62">
        <f>SUMPRODUCT(N(Tabela3[PAPEL]=Tabela2[[#This Row],[Ativo]]),Tabela3[Total Ações])</f>
        <v>2943644008</v>
      </c>
      <c r="E393" s="65">
        <f>(Tabela2[[#This Row],[Lucro Líquido]])/Tabela2[[#This Row],[Total Ações]]</f>
        <v>-0.12145000000964791</v>
      </c>
      <c r="F393" s="65">
        <v>0</v>
      </c>
      <c r="G393" s="22" t="str">
        <f>IF(AND(Tabela2[[#This Row],[Dividendo / Ação]]&gt;0,Tabela2[[#This Row],[Lucro por ação]]&gt;0),Tabela2[[#This Row],[Dividendo / Ação]]/Tabela2[[#This Row],[Lucro por ação]],"")</f>
        <v/>
      </c>
      <c r="H393" s="51">
        <f>MAX(Tabela2[[#This Row],[Cotação 1]],Tabela2[[#This Row],[Cotação 2]])</f>
        <v>8.9</v>
      </c>
      <c r="I393" s="18" t="str">
        <f>IF(Tabela2[[#This Row],[Dividendo / Ação]]&gt;0,Tabela2[[#This Row],[Dividendo / Ação]]/Tabela2[[#This Row],[Cotação]],"")</f>
        <v/>
      </c>
      <c r="J393" s="7">
        <f>SUMPRODUCT(N(Tabela1[Código]=Tabela2[[#This Row],[Ativo]]),Tabela1[Fechamento])</f>
        <v>0</v>
      </c>
      <c r="K393" s="7">
        <f>SUMPRODUCT(N(Tabela17[Código]=Tabela2[[#This Row],[Ativo]]),Tabela17[Fechamento])</f>
        <v>8.9</v>
      </c>
      <c r="M393" s="3"/>
    </row>
    <row r="394" spans="1:13">
      <c r="A394" s="4" t="s">
        <v>208</v>
      </c>
      <c r="B394" s="4">
        <v>2012</v>
      </c>
      <c r="C394" s="6">
        <v>751965362.53999996</v>
      </c>
      <c r="D394" s="8">
        <f>SUMPRODUCT(N(Tabela3[PAPEL]=Tabela2[[#This Row],[Ativo]]),Tabela3[Total Ações])</f>
        <v>917683296</v>
      </c>
      <c r="E394" s="66">
        <f>(Tabela2[[#This Row],[Lucro Líquido]])/Tabela2[[#This Row],[Total Ações]]</f>
        <v>0.81941707538719322</v>
      </c>
      <c r="F394" s="66">
        <v>0.2064</v>
      </c>
      <c r="G394" s="46">
        <f>IF(AND(Tabela2[[#This Row],[Dividendo / Ação]]&gt;0,Tabela2[[#This Row],[Lucro por ação]]&gt;0),Tabela2[[#This Row],[Dividendo / Ação]]/Tabela2[[#This Row],[Lucro por ação]],"")</f>
        <v>0.25188637898773503</v>
      </c>
      <c r="H394" s="6">
        <f>MAX(Tabela2[[#This Row],[Cotação 1]],Tabela2[[#This Row],[Cotação 2]])</f>
        <v>11</v>
      </c>
      <c r="I394" s="19">
        <f>IF(Tabela2[[#This Row],[Dividendo / Ação]]&gt;0,Tabela2[[#This Row],[Dividendo / Ação]]/Tabela2[[#This Row],[Cotação]],"")</f>
        <v>1.8763636363636364E-2</v>
      </c>
      <c r="J394" s="61">
        <f>SUMPRODUCT(N(Tabela1[Código]=Tabela2[[#This Row],[Ativo]]),Tabela1[Fechamento])</f>
        <v>11</v>
      </c>
      <c r="K394" s="61">
        <f>SUMPRODUCT(N(Tabela17[Código]=Tabela2[[#This Row],[Ativo]]),Tabela17[Fechamento])</f>
        <v>0</v>
      </c>
      <c r="M394" s="3"/>
    </row>
    <row r="395" spans="1:13">
      <c r="A395" s="4" t="s">
        <v>208</v>
      </c>
      <c r="B395" s="3">
        <v>2011</v>
      </c>
      <c r="C395" s="5">
        <v>182710744</v>
      </c>
      <c r="D395" s="62">
        <f>SUMPRODUCT(N(Tabela3[PAPEL]=Tabela2[[#This Row],[Ativo]]),Tabela3[Total Ações])</f>
        <v>917683296</v>
      </c>
      <c r="E395" s="65">
        <f>(Tabela2[[#This Row],[Lucro Líquido]])/Tabela2[[#This Row],[Total Ações]]</f>
        <v>0.19909999974544595</v>
      </c>
      <c r="F395" s="65">
        <v>0.1447</v>
      </c>
      <c r="G395" s="22">
        <f>IF(AND(Tabela2[[#This Row],[Dividendo / Ação]]&gt;0,Tabela2[[#This Row],[Lucro por ação]]&gt;0),Tabela2[[#This Row],[Dividendo / Ação]]/Tabela2[[#This Row],[Lucro por ação]],"")</f>
        <v>0.72677046803115197</v>
      </c>
      <c r="H395" s="5">
        <f>MAX(Tabela2[[#This Row],[Cotação 1]],Tabela2[[#This Row],[Cotação 2]])</f>
        <v>11</v>
      </c>
      <c r="I395" s="18">
        <f>IF(Tabela2[[#This Row],[Dividendo / Ação]]&gt;0,Tabela2[[#This Row],[Dividendo / Ação]]/Tabela2[[#This Row],[Cotação]],"")</f>
        <v>1.3154545454545453E-2</v>
      </c>
      <c r="J395" s="60">
        <f>SUMPRODUCT(N(Tabela1[Código]=Tabela2[[#This Row],[Ativo]]),Tabela1[Fechamento])</f>
        <v>11</v>
      </c>
      <c r="K395" s="60">
        <f>SUMPRODUCT(N(Tabela17[Código]=Tabela2[[#This Row],[Ativo]]),Tabela17[Fechamento])</f>
        <v>0</v>
      </c>
      <c r="M395" s="3"/>
    </row>
    <row r="396" spans="1:13">
      <c r="A396" s="4" t="s">
        <v>208</v>
      </c>
      <c r="B396" s="3">
        <v>2010</v>
      </c>
      <c r="C396" s="5">
        <v>559786811</v>
      </c>
      <c r="D396" s="62">
        <f>SUMPRODUCT(N(Tabela3[PAPEL]=Tabela2[[#This Row],[Ativo]]),Tabela3[Total Ações])</f>
        <v>917683296</v>
      </c>
      <c r="E396" s="65">
        <f>(Tabela2[[#This Row],[Lucro Líquido]])/Tabela2[[#This Row],[Total Ações]]</f>
        <v>0.61000000047946823</v>
      </c>
      <c r="F396" s="65">
        <v>0.12509999999999999</v>
      </c>
      <c r="G396" s="22">
        <f>IF(AND(Tabela2[[#This Row],[Dividendo / Ação]]&gt;0,Tabela2[[#This Row],[Lucro por ação]]&gt;0),Tabela2[[#This Row],[Dividendo / Ação]]/Tabela2[[#This Row],[Lucro por ação]],"")</f>
        <v>0.20508196705191753</v>
      </c>
      <c r="H396" s="5">
        <f>MAX(Tabela2[[#This Row],[Cotação 1]],Tabela2[[#This Row],[Cotação 2]])</f>
        <v>11</v>
      </c>
      <c r="I396" s="18">
        <f>IF(Tabela2[[#This Row],[Dividendo / Ação]]&gt;0,Tabela2[[#This Row],[Dividendo / Ação]]/Tabela2[[#This Row],[Cotação]],"")</f>
        <v>1.1372727272727272E-2</v>
      </c>
      <c r="J396" s="60">
        <f>SUMPRODUCT(N(Tabela1[Código]=Tabela2[[#This Row],[Ativo]]),Tabela1[Fechamento])</f>
        <v>11</v>
      </c>
      <c r="K396" s="60">
        <f>SUMPRODUCT(N(Tabela17[Código]=Tabela2[[#This Row],[Ativo]]),Tabela17[Fechamento])</f>
        <v>0</v>
      </c>
      <c r="M396" s="3"/>
    </row>
    <row r="397" spans="1:13">
      <c r="A397" s="4" t="s">
        <v>55</v>
      </c>
      <c r="B397" s="4">
        <v>2012</v>
      </c>
      <c r="C397" s="6">
        <v>751965362.53999996</v>
      </c>
      <c r="D397" s="8">
        <f>SUMPRODUCT(N(Tabela3[PAPEL]=Tabela2[[#This Row],[Ativo]]),Tabela3[Total Ações])</f>
        <v>917683296</v>
      </c>
      <c r="E397" s="66">
        <f>(Tabela2[[#This Row],[Lucro Líquido]])/Tabela2[[#This Row],[Total Ações]]</f>
        <v>0.81941707538719322</v>
      </c>
      <c r="F397" s="66">
        <v>0.22700000000000001</v>
      </c>
      <c r="G397" s="46">
        <f>IF(AND(Tabela2[[#This Row],[Dividendo / Ação]]&gt;0,Tabela2[[#This Row],[Lucro por ação]]&gt;0),Tabela2[[#This Row],[Dividendo / Ação]]/Tabela2[[#This Row],[Lucro por ação]],"")</f>
        <v>0.27702620169678221</v>
      </c>
      <c r="H397" s="6">
        <f>MAX(Tabela2[[#This Row],[Cotação 1]],Tabela2[[#This Row],[Cotação 2]])</f>
        <v>12.71</v>
      </c>
      <c r="I397" s="19">
        <f>IF(Tabela2[[#This Row],[Dividendo / Ação]]&gt;0,Tabela2[[#This Row],[Dividendo / Ação]]/Tabela2[[#This Row],[Cotação]],"")</f>
        <v>1.7859952793076318E-2</v>
      </c>
      <c r="J397" s="61">
        <f>SUMPRODUCT(N(Tabela1[Código]=Tabela2[[#This Row],[Ativo]]),Tabela1[Fechamento])</f>
        <v>12.71</v>
      </c>
      <c r="K397" s="61">
        <f>SUMPRODUCT(N(Tabela17[Código]=Tabela2[[#This Row],[Ativo]]),Tabela17[Fechamento])</f>
        <v>0</v>
      </c>
      <c r="M397" s="3"/>
    </row>
    <row r="398" spans="1:13">
      <c r="A398" s="4" t="s">
        <v>55</v>
      </c>
      <c r="B398" s="4">
        <v>2011</v>
      </c>
      <c r="C398" s="5">
        <v>182710744</v>
      </c>
      <c r="D398" s="8">
        <f>SUMPRODUCT(N(Tabela3[PAPEL]=Tabela2[[#This Row],[Ativo]]),Tabela3[Total Ações])</f>
        <v>917683296</v>
      </c>
      <c r="E398" s="66">
        <f>(Tabela2[[#This Row],[Lucro Líquido]])/Tabela2[[#This Row],[Total Ações]]</f>
        <v>0.19909999974544595</v>
      </c>
      <c r="F398" s="66">
        <v>0.15920000000000001</v>
      </c>
      <c r="G398" s="46">
        <f>IF(AND(Tabela2[[#This Row],[Dividendo / Ação]]&gt;0,Tabela2[[#This Row],[Lucro por ação]]&gt;0),Tabela2[[#This Row],[Dividendo / Ação]]/Tabela2[[#This Row],[Lucro por ação]],"")</f>
        <v>0.79959819288569045</v>
      </c>
      <c r="H398" s="6">
        <f>MAX(Tabela2[[#This Row],[Cotação 1]],Tabela2[[#This Row],[Cotação 2]])</f>
        <v>12.71</v>
      </c>
      <c r="I398" s="19">
        <f>IF(Tabela2[[#This Row],[Dividendo / Ação]]&gt;0,Tabela2[[#This Row],[Dividendo / Ação]]/Tabela2[[#This Row],[Cotação]],"")</f>
        <v>1.2525570416994493E-2</v>
      </c>
      <c r="J398" s="61">
        <f>SUMPRODUCT(N(Tabela1[Código]=Tabela2[[#This Row],[Ativo]]),Tabela1[Fechamento])</f>
        <v>12.71</v>
      </c>
      <c r="K398" s="61">
        <f>SUMPRODUCT(N(Tabela17[Código]=Tabela2[[#This Row],[Ativo]]),Tabela17[Fechamento])</f>
        <v>0</v>
      </c>
      <c r="M398" s="3"/>
    </row>
    <row r="399" spans="1:13">
      <c r="A399" s="4" t="s">
        <v>55</v>
      </c>
      <c r="B399" s="4">
        <v>2010</v>
      </c>
      <c r="C399" s="5">
        <v>559786811</v>
      </c>
      <c r="D399" s="8">
        <f>SUMPRODUCT(N(Tabela3[PAPEL]=Tabela2[[#This Row],[Ativo]]),Tabela3[Total Ações])</f>
        <v>917683296</v>
      </c>
      <c r="E399" s="66">
        <f>(Tabela2[[#This Row],[Lucro Líquido]])/Tabela2[[#This Row],[Total Ações]]</f>
        <v>0.61000000047946823</v>
      </c>
      <c r="F399" s="66">
        <v>0.1376</v>
      </c>
      <c r="G399" s="46">
        <f>IF(AND(Tabela2[[#This Row],[Dividendo / Ação]]&gt;0,Tabela2[[#This Row],[Lucro por ação]]&gt;0),Tabela2[[#This Row],[Dividendo / Ação]]/Tabela2[[#This Row],[Lucro por ação]],"")</f>
        <v>0.22557377031449924</v>
      </c>
      <c r="H399" s="6">
        <f>MAX(Tabela2[[#This Row],[Cotação 1]],Tabela2[[#This Row],[Cotação 2]])</f>
        <v>12.71</v>
      </c>
      <c r="I399" s="19">
        <f>IF(Tabela2[[#This Row],[Dividendo / Ação]]&gt;0,Tabela2[[#This Row],[Dividendo / Ação]]/Tabela2[[#This Row],[Cotação]],"")</f>
        <v>1.0826121164437451E-2</v>
      </c>
      <c r="J399" s="61">
        <f>SUMPRODUCT(N(Tabela1[Código]=Tabela2[[#This Row],[Ativo]]),Tabela1[Fechamento])</f>
        <v>12.71</v>
      </c>
      <c r="K399" s="61">
        <f>SUMPRODUCT(N(Tabela17[Código]=Tabela2[[#This Row],[Ativo]]),Tabela17[Fechamento])</f>
        <v>0</v>
      </c>
      <c r="M399" s="3"/>
    </row>
    <row r="400" spans="1:13">
      <c r="A400" s="3" t="s">
        <v>359</v>
      </c>
      <c r="B400" s="3">
        <v>2012</v>
      </c>
      <c r="C400" s="5">
        <v>3722000</v>
      </c>
      <c r="D400" s="67">
        <f>SUMPRODUCT(N(Tabela3[PAPEL]=Tabela2[[#This Row],[Ativo]]),Tabela3[Total Ações])</f>
        <v>65075322</v>
      </c>
      <c r="E400" s="65">
        <f>(Tabela2[[#This Row],[Lucro Líquido]])/Tabela2[[#This Row],[Total Ações]]</f>
        <v>5.7195260593562641E-2</v>
      </c>
      <c r="F400" s="77">
        <v>0.15492519799999999</v>
      </c>
      <c r="G400" s="18">
        <f>IF(AND(Tabela2[[#This Row],[Dividendo / Ação]]&gt;0,Tabela2[[#This Row],[Lucro por ação]]&gt;0),Tabela2[[#This Row],[Dividendo / Ação]]/Tabela2[[#This Row],[Lucro por ação]],"")</f>
        <v>2.7087069171853182</v>
      </c>
      <c r="H400" s="7">
        <f>MAX(Tabela2[[#This Row],[Cotação 1]],Tabela2[[#This Row],[Cotação 2]])</f>
        <v>6.5</v>
      </c>
      <c r="I400" s="22">
        <f>IF(Tabela2[[#This Row],[Dividendo / Ação]]&gt;0,Tabela2[[#This Row],[Dividendo / Ação]]/Tabela2[[#This Row],[Cotação]],"")</f>
        <v>2.3834645846153843E-2</v>
      </c>
      <c r="J400" s="7">
        <f>SUMPRODUCT(N(Tabela1[Código]=Tabela2[[#This Row],[Ativo]]),Tabela1[Fechamento])</f>
        <v>0</v>
      </c>
      <c r="K400" s="7">
        <f>SUMPRODUCT(N(Tabela17[Código]=Tabela2[[#This Row],[Ativo]]),Tabela17[Fechamento])</f>
        <v>6.5</v>
      </c>
      <c r="M400" s="3"/>
    </row>
    <row r="401" spans="1:13">
      <c r="A401" s="3" t="s">
        <v>359</v>
      </c>
      <c r="B401" s="3">
        <v>2011</v>
      </c>
      <c r="C401" s="5">
        <v>22576000</v>
      </c>
      <c r="D401" s="67">
        <f>SUMPRODUCT(N(Tabela3[PAPEL]=Tabela2[[#This Row],[Ativo]]),Tabela3[Total Ações])</f>
        <v>65075322</v>
      </c>
      <c r="E401" s="65">
        <f>(Tabela2[[#This Row],[Lucro Líquido]])/Tabela2[[#This Row],[Total Ações]]</f>
        <v>0.34692106479319457</v>
      </c>
      <c r="F401" s="77">
        <v>0.22154209999999999</v>
      </c>
      <c r="G401" s="18">
        <f>IF(AND(Tabela2[[#This Row],[Dividendo / Ação]]&gt;0,Tabela2[[#This Row],[Lucro por ação]]&gt;0),Tabela2[[#This Row],[Dividendo / Ação]]/Tabela2[[#This Row],[Lucro por ação]],"")</f>
        <v>0.63859512287633768</v>
      </c>
      <c r="H401" s="7">
        <f>MAX(Tabela2[[#This Row],[Cotação 1]],Tabela2[[#This Row],[Cotação 2]])</f>
        <v>6.5</v>
      </c>
      <c r="I401" s="22">
        <f>IF(Tabela2[[#This Row],[Dividendo / Ação]]&gt;0,Tabela2[[#This Row],[Dividendo / Ação]]/Tabela2[[#This Row],[Cotação]],"")</f>
        <v>3.40834E-2</v>
      </c>
      <c r="J401" s="7">
        <f>SUMPRODUCT(N(Tabela1[Código]=Tabela2[[#This Row],[Ativo]]),Tabela1[Fechamento])</f>
        <v>0</v>
      </c>
      <c r="K401" s="7">
        <f>SUMPRODUCT(N(Tabela17[Código]=Tabela2[[#This Row],[Ativo]]),Tabela17[Fechamento])</f>
        <v>6.5</v>
      </c>
      <c r="M401" s="3"/>
    </row>
    <row r="402" spans="1:13">
      <c r="A402" s="4" t="s">
        <v>56</v>
      </c>
      <c r="B402" s="4">
        <v>2012</v>
      </c>
      <c r="C402" s="6">
        <v>423923458.43000001</v>
      </c>
      <c r="D402" s="8">
        <f>SUMPRODUCT(N(Tabela3[PAPEL]=Tabela2[[#This Row],[Ativo]]),Tabela3[Total Ações])</f>
        <v>203934060</v>
      </c>
      <c r="E402" s="66">
        <f>(Tabela2[[#This Row],[Lucro Líquido]])/Tabela2[[#This Row],[Total Ações]]</f>
        <v>2.0787280870591212</v>
      </c>
      <c r="F402" s="66">
        <v>1.71</v>
      </c>
      <c r="G402" s="46">
        <f>IF(AND(Tabela2[[#This Row],[Dividendo / Ação]]&gt;0,Tabela2[[#This Row],[Lucro por ação]]&gt;0),Tabela2[[#This Row],[Dividendo / Ação]]/Tabela2[[#This Row],[Lucro por ação]],"")</f>
        <v>0.82261841298311467</v>
      </c>
      <c r="H402" s="6">
        <f>MAX(Tabela2[[#This Row],[Cotação 1]],Tabela2[[#This Row],[Cotação 2]])</f>
        <v>20.61</v>
      </c>
      <c r="I402" s="19">
        <f>IF(Tabela2[[#This Row],[Dividendo / Ação]]&gt;0,Tabela2[[#This Row],[Dividendo / Ação]]/Tabela2[[#This Row],[Cotação]],"")</f>
        <v>8.296943231441048E-2</v>
      </c>
      <c r="J402" s="61">
        <f>SUMPRODUCT(N(Tabela1[Código]=Tabela2[[#This Row],[Ativo]]),Tabela1[Fechamento])</f>
        <v>20.61</v>
      </c>
      <c r="K402" s="61">
        <f>SUMPRODUCT(N(Tabela17[Código]=Tabela2[[#This Row],[Ativo]]),Tabela17[Fechamento])</f>
        <v>0</v>
      </c>
      <c r="M402" s="3"/>
    </row>
    <row r="403" spans="1:13">
      <c r="A403" s="4" t="s">
        <v>56</v>
      </c>
      <c r="B403" s="4">
        <v>2011</v>
      </c>
      <c r="C403" s="6">
        <v>310647000</v>
      </c>
      <c r="D403" s="8">
        <f>SUMPRODUCT(N(Tabela3[PAPEL]=Tabela2[[#This Row],[Ativo]]),Tabela3[Total Ações])</f>
        <v>203934060</v>
      </c>
      <c r="E403" s="66">
        <f>(Tabela2[[#This Row],[Lucro Líquido]])/Tabela2[[#This Row],[Total Ações]]</f>
        <v>1.523271786968788</v>
      </c>
      <c r="F403" s="66">
        <v>1.45</v>
      </c>
      <c r="G403" s="46">
        <f>IF(AND(Tabela2[[#This Row],[Dividendo / Ação]]&gt;0,Tabela2[[#This Row],[Lucro por ação]]&gt;0),Tabela2[[#This Row],[Dividendo / Ação]]/Tabela2[[#This Row],[Lucro por ação]],"")</f>
        <v>0.95189841524302499</v>
      </c>
      <c r="H403" s="6">
        <f>MAX(Tabela2[[#This Row],[Cotação 1]],Tabela2[[#This Row],[Cotação 2]])</f>
        <v>20.61</v>
      </c>
      <c r="I403" s="19">
        <f>IF(Tabela2[[#This Row],[Dividendo / Ação]]&gt;0,Tabela2[[#This Row],[Dividendo / Ação]]/Tabela2[[#This Row],[Cotação]],"")</f>
        <v>7.0354196991751577E-2</v>
      </c>
      <c r="J403" s="61">
        <f>SUMPRODUCT(N(Tabela1[Código]=Tabela2[[#This Row],[Ativo]]),Tabela1[Fechamento])</f>
        <v>20.61</v>
      </c>
      <c r="K403" s="61">
        <f>SUMPRODUCT(N(Tabela17[Código]=Tabela2[[#This Row],[Ativo]]),Tabela17[Fechamento])</f>
        <v>0</v>
      </c>
      <c r="M403" s="3"/>
    </row>
    <row r="404" spans="1:13">
      <c r="A404" s="4" t="s">
        <v>56</v>
      </c>
      <c r="B404" s="4">
        <v>2010</v>
      </c>
      <c r="C404" s="6">
        <v>575150000</v>
      </c>
      <c r="D404" s="8">
        <f>SUMPRODUCT(N(Tabela3[PAPEL]=Tabela2[[#This Row],[Ativo]]),Tabela3[Total Ações])</f>
        <v>203934060</v>
      </c>
      <c r="E404" s="66">
        <f>(Tabela2[[#This Row],[Lucro Líquido]])/Tabela2[[#This Row],[Total Ações]]</f>
        <v>2.8202743573094167</v>
      </c>
      <c r="F404" s="66">
        <v>1.72</v>
      </c>
      <c r="G404" s="46">
        <f>IF(AND(Tabela2[[#This Row],[Dividendo / Ação]]&gt;0,Tabela2[[#This Row],[Lucro por ação]]&gt;0),Tabela2[[#This Row],[Dividendo / Ação]]/Tabela2[[#This Row],[Lucro por ação]],"")</f>
        <v>0.6098697438928975</v>
      </c>
      <c r="H404" s="6">
        <f>MAX(Tabela2[[#This Row],[Cotação 1]],Tabela2[[#This Row],[Cotação 2]])</f>
        <v>20.61</v>
      </c>
      <c r="I404" s="19">
        <f>IF(Tabela2[[#This Row],[Dividendo / Ação]]&gt;0,Tabela2[[#This Row],[Dividendo / Ação]]/Tabela2[[#This Row],[Cotação]],"")</f>
        <v>8.3454633672974288E-2</v>
      </c>
      <c r="J404" s="61">
        <f>SUMPRODUCT(N(Tabela1[Código]=Tabela2[[#This Row],[Ativo]]),Tabela1[Fechamento])</f>
        <v>20.61</v>
      </c>
      <c r="K404" s="61">
        <f>SUMPRODUCT(N(Tabela17[Código]=Tabela2[[#This Row],[Ativo]]),Tabela17[Fechamento])</f>
        <v>0</v>
      </c>
      <c r="M404" s="3"/>
    </row>
    <row r="405" spans="1:13">
      <c r="A405" s="4" t="s">
        <v>183</v>
      </c>
      <c r="B405" s="4">
        <v>2012</v>
      </c>
      <c r="C405" s="6">
        <v>13335000</v>
      </c>
      <c r="D405" s="8">
        <f>SUMPRODUCT(N(Tabela3[PAPEL]=Tabela2[[#This Row],[Ativo]]),Tabela3[Total Ações])</f>
        <v>11764889</v>
      </c>
      <c r="E405" s="66">
        <f>(Tabela2[[#This Row],[Lucro Líquido]])/Tabela2[[#This Row],[Total Ações]]</f>
        <v>1.1334573577362268</v>
      </c>
      <c r="F405" s="66">
        <v>0.27145999999999998</v>
      </c>
      <c r="G405" s="46">
        <f>IF(AND(Tabela2[[#This Row],[Dividendo / Ação]]&gt;0,Tabela2[[#This Row],[Lucro por ação]]&gt;0),Tabela2[[#This Row],[Dividendo / Ação]]/Tabela2[[#This Row],[Lucro por ação]],"")</f>
        <v>0.23949732043044619</v>
      </c>
      <c r="H405" s="6">
        <f>MAX(Tabela2[[#This Row],[Cotação 1]],Tabela2[[#This Row],[Cotação 2]])</f>
        <v>49.6</v>
      </c>
      <c r="I405" s="19">
        <f>IF(Tabela2[[#This Row],[Dividendo / Ação]]&gt;0,Tabela2[[#This Row],[Dividendo / Ação]]/Tabela2[[#This Row],[Cotação]],"")</f>
        <v>5.4729838709677413E-3</v>
      </c>
      <c r="J405" s="61">
        <f>SUMPRODUCT(N(Tabela1[Código]=Tabela2[[#This Row],[Ativo]]),Tabela1[Fechamento])</f>
        <v>49.6</v>
      </c>
      <c r="K405" s="61">
        <f>SUMPRODUCT(N(Tabela17[Código]=Tabela2[[#This Row],[Ativo]]),Tabela17[Fechamento])</f>
        <v>0</v>
      </c>
      <c r="M405" s="3"/>
    </row>
    <row r="406" spans="1:13">
      <c r="A406" s="4" t="s">
        <v>183</v>
      </c>
      <c r="B406" s="4">
        <v>2011</v>
      </c>
      <c r="C406" s="6">
        <v>23655000</v>
      </c>
      <c r="D406" s="8">
        <f>SUMPRODUCT(N(Tabela3[PAPEL]=Tabela2[[#This Row],[Ativo]]),Tabela3[Total Ações])</f>
        <v>11764889</v>
      </c>
      <c r="E406" s="66">
        <f>(Tabela2[[#This Row],[Lucro Líquido]])/Tabela2[[#This Row],[Total Ações]]</f>
        <v>2.0106437043307421</v>
      </c>
      <c r="F406" s="66">
        <v>1.9100999999999999</v>
      </c>
      <c r="G406" s="46">
        <f>IF(AND(Tabela2[[#This Row],[Dividendo / Ação]]&gt;0,Tabela2[[#This Row],[Lucro por ação]]&gt;0),Tabela2[[#This Row],[Dividendo / Ação]]/Tabela2[[#This Row],[Lucro por ação]],"")</f>
        <v>0.94999427093214961</v>
      </c>
      <c r="H406" s="6">
        <f>MAX(Tabela2[[#This Row],[Cotação 1]],Tabela2[[#This Row],[Cotação 2]])</f>
        <v>49.6</v>
      </c>
      <c r="I406" s="19">
        <f>IF(Tabela2[[#This Row],[Dividendo / Ação]]&gt;0,Tabela2[[#This Row],[Dividendo / Ação]]/Tabela2[[#This Row],[Cotação]],"")</f>
        <v>3.8510080645161288E-2</v>
      </c>
      <c r="J406" s="61">
        <f>SUMPRODUCT(N(Tabela1[Código]=Tabela2[[#This Row],[Ativo]]),Tabela1[Fechamento])</f>
        <v>49.6</v>
      </c>
      <c r="K406" s="61">
        <f>SUMPRODUCT(N(Tabela17[Código]=Tabela2[[#This Row],[Ativo]]),Tabela17[Fechamento])</f>
        <v>0</v>
      </c>
      <c r="M406" s="3"/>
    </row>
    <row r="407" spans="1:13">
      <c r="A407" s="4" t="s">
        <v>183</v>
      </c>
      <c r="B407" s="4">
        <v>2010</v>
      </c>
      <c r="C407" s="5">
        <v>23252000</v>
      </c>
      <c r="D407" s="62">
        <f>SUMPRODUCT(N(Tabela3[PAPEL]=Tabela2[[#This Row],[Ativo]]),Tabela3[Total Ações])</f>
        <v>11764889</v>
      </c>
      <c r="E407" s="65">
        <f>(Tabela2[[#This Row],[Lucro Líquido]])/Tabela2[[#This Row],[Total Ações]]</f>
        <v>1.9763892375015182</v>
      </c>
      <c r="F407" s="65">
        <v>0.92493999999999998</v>
      </c>
      <c r="G407" s="22">
        <f>IF(AND(Tabela2[[#This Row],[Dividendo / Ação]]&gt;0,Tabela2[[#This Row],[Lucro por ação]]&gt;0),Tabela2[[#This Row],[Dividendo / Ação]]/Tabela2[[#This Row],[Lucro por ação]],"")</f>
        <v>0.46799485771804578</v>
      </c>
      <c r="H407" s="5">
        <f>MAX(Tabela2[[#This Row],[Cotação 1]],Tabela2[[#This Row],[Cotação 2]])</f>
        <v>49.6</v>
      </c>
      <c r="I407" s="18">
        <f>IF(Tabela2[[#This Row],[Dividendo / Ação]]&gt;0,Tabela2[[#This Row],[Dividendo / Ação]]/Tabela2[[#This Row],[Cotação]],"")</f>
        <v>1.8647983870967742E-2</v>
      </c>
      <c r="J407" s="60">
        <f>SUMPRODUCT(N(Tabela1[Código]=Tabela2[[#This Row],[Ativo]]),Tabela1[Fechamento])</f>
        <v>49.6</v>
      </c>
      <c r="K407" s="60">
        <f>SUMPRODUCT(N(Tabela17[Código]=Tabela2[[#This Row],[Ativo]]),Tabela17[Fechamento])</f>
        <v>0</v>
      </c>
      <c r="M407" s="3"/>
    </row>
    <row r="408" spans="1:13">
      <c r="A408" s="4" t="s">
        <v>183</v>
      </c>
      <c r="B408" s="4">
        <v>2009</v>
      </c>
      <c r="C408" s="5">
        <v>11051000</v>
      </c>
      <c r="D408" s="62">
        <f>SUMPRODUCT(N(Tabela3[PAPEL]=Tabela2[[#This Row],[Ativo]]),Tabela3[Total Ações])</f>
        <v>11764889</v>
      </c>
      <c r="E408" s="65">
        <f>(Tabela2[[#This Row],[Lucro Líquido]])/Tabela2[[#This Row],[Total Ações]]</f>
        <v>0.93932037947829339</v>
      </c>
      <c r="F408" s="65">
        <v>6.5060000000000007E-2</v>
      </c>
      <c r="G408" s="22">
        <f>IF(AND(Tabela2[[#This Row],[Dividendo / Ação]]&gt;0,Tabela2[[#This Row],[Lucro por ação]]&gt;0),Tabela2[[#This Row],[Dividendo / Ação]]/Tabela2[[#This Row],[Lucro por ação]],"")</f>
        <v>6.9262843031399887E-2</v>
      </c>
      <c r="H408" s="5">
        <f>MAX(Tabela2[[#This Row],[Cotação 1]],Tabela2[[#This Row],[Cotação 2]])</f>
        <v>49.6</v>
      </c>
      <c r="I408" s="18">
        <f>IF(Tabela2[[#This Row],[Dividendo / Ação]]&gt;0,Tabela2[[#This Row],[Dividendo / Ação]]/Tabela2[[#This Row],[Cotação]],"")</f>
        <v>1.3116935483870969E-3</v>
      </c>
      <c r="J408" s="60">
        <f>SUMPRODUCT(N(Tabela1[Código]=Tabela2[[#This Row],[Ativo]]),Tabela1[Fechamento])</f>
        <v>49.6</v>
      </c>
      <c r="K408" s="60">
        <f>SUMPRODUCT(N(Tabela17[Código]=Tabela2[[#This Row],[Ativo]]),Tabela17[Fechamento])</f>
        <v>0</v>
      </c>
      <c r="M408" s="3"/>
    </row>
    <row r="409" spans="1:13">
      <c r="A409" s="4" t="s">
        <v>376</v>
      </c>
      <c r="B409" s="4">
        <v>2012</v>
      </c>
      <c r="C409" s="6">
        <v>70727730.280000001</v>
      </c>
      <c r="D409" s="78">
        <f>SUMPRODUCT(N(Tabela3[PAPEL]=Tabela2[[#This Row],[Ativo]]),Tabela3[Total Ações])</f>
        <v>290677834</v>
      </c>
      <c r="E409" s="66">
        <f>(Tabela2[[#This Row],[Lucro Líquido]])/Tabela2[[#This Row],[Total Ações]]</f>
        <v>0.24331999900618498</v>
      </c>
      <c r="F409" s="66">
        <v>5.7530390000000001E-2</v>
      </c>
      <c r="G409" s="45">
        <f>IF(AND(Tabela2[[#This Row],[Dividendo / Ação]]&gt;0,Tabela2[[#This Row],[Lucro por ação]]&gt;0),Tabela2[[#This Row],[Dividendo / Ação]]/Tabela2[[#This Row],[Lucro por ação]],"")</f>
        <v>0.23643921681315488</v>
      </c>
      <c r="H409" s="61">
        <f>MAX(Tabela2[[#This Row],[Cotação 1]],Tabela2[[#This Row],[Cotação 2]])</f>
        <v>5.65</v>
      </c>
      <c r="I409" s="46">
        <f>IF(Tabela2[[#This Row],[Dividendo / Ação]]&gt;0,Tabela2[[#This Row],[Dividendo / Ação]]/Tabela2[[#This Row],[Cotação]],"")</f>
        <v>1.0182369911504424E-2</v>
      </c>
      <c r="J409" s="17">
        <f>SUMPRODUCT(N(Tabela1[Código]=Tabela2[[#This Row],[Ativo]]),Tabela1[Fechamento])</f>
        <v>0</v>
      </c>
      <c r="K409" s="17">
        <f>SUMPRODUCT(N(Tabela17[Código]=Tabela2[[#This Row],[Ativo]]),Tabela17[Fechamento])</f>
        <v>5.65</v>
      </c>
      <c r="M409" s="3"/>
    </row>
    <row r="410" spans="1:13">
      <c r="A410" s="4" t="s">
        <v>376</v>
      </c>
      <c r="B410" s="4">
        <v>2011</v>
      </c>
      <c r="C410" s="6">
        <v>97911000</v>
      </c>
      <c r="D410" s="78">
        <f>SUMPRODUCT(N(Tabela3[PAPEL]=Tabela2[[#This Row],[Ativo]]),Tabela3[Total Ações])</f>
        <v>290677834</v>
      </c>
      <c r="E410" s="66">
        <f>(Tabela2[[#This Row],[Lucro Líquido]])/Tabela2[[#This Row],[Total Ações]]</f>
        <v>0.33683682946392124</v>
      </c>
      <c r="F410" s="66">
        <v>0.03</v>
      </c>
      <c r="G410" s="45">
        <f>IF(AND(Tabela2[[#This Row],[Dividendo / Ação]]&gt;0,Tabela2[[#This Row],[Lucro por ação]]&gt;0),Tabela2[[#This Row],[Dividendo / Ação]]/Tabela2[[#This Row],[Lucro por ação]],"")</f>
        <v>8.9063894965836304E-2</v>
      </c>
      <c r="H410" s="61">
        <f>MAX(Tabela2[[#This Row],[Cotação 1]],Tabela2[[#This Row],[Cotação 2]])</f>
        <v>5.65</v>
      </c>
      <c r="I410" s="46">
        <f>IF(Tabela2[[#This Row],[Dividendo / Ação]]&gt;0,Tabela2[[#This Row],[Dividendo / Ação]]/Tabela2[[#This Row],[Cotação]],"")</f>
        <v>5.3097345132743353E-3</v>
      </c>
      <c r="J410" s="17">
        <f>SUMPRODUCT(N(Tabela1[Código]=Tabela2[[#This Row],[Ativo]]),Tabela1[Fechamento])</f>
        <v>0</v>
      </c>
      <c r="K410" s="17">
        <f>SUMPRODUCT(N(Tabela17[Código]=Tabela2[[#This Row],[Ativo]]),Tabela17[Fechamento])</f>
        <v>5.65</v>
      </c>
      <c r="M410" s="3"/>
    </row>
    <row r="411" spans="1:13">
      <c r="A411" s="4" t="s">
        <v>376</v>
      </c>
      <c r="B411" s="4">
        <v>2010</v>
      </c>
      <c r="C411" s="6">
        <v>91765000</v>
      </c>
      <c r="D411" s="78">
        <f>SUMPRODUCT(N(Tabela3[PAPEL]=Tabela2[[#This Row],[Ativo]]),Tabela3[Total Ações])</f>
        <v>290677834</v>
      </c>
      <c r="E411" s="66">
        <f>(Tabela2[[#This Row],[Lucro Líquido]])/Tabela2[[#This Row],[Total Ações]]</f>
        <v>0.31569314638556167</v>
      </c>
      <c r="F411" s="66">
        <v>0</v>
      </c>
      <c r="G411" s="45" t="str">
        <f>IF(AND(Tabela2[[#This Row],[Dividendo / Ação]]&gt;0,Tabela2[[#This Row],[Lucro por ação]]&gt;0),Tabela2[[#This Row],[Dividendo / Ação]]/Tabela2[[#This Row],[Lucro por ação]],"")</f>
        <v/>
      </c>
      <c r="H411" s="61">
        <f>MAX(Tabela2[[#This Row],[Cotação 1]],Tabela2[[#This Row],[Cotação 2]])</f>
        <v>5.65</v>
      </c>
      <c r="I411" s="46" t="str">
        <f>IF(Tabela2[[#This Row],[Dividendo / Ação]]&gt;0,Tabela2[[#This Row],[Dividendo / Ação]]/Tabela2[[#This Row],[Cotação]],"")</f>
        <v/>
      </c>
      <c r="J411" s="17">
        <f>SUMPRODUCT(N(Tabela1[Código]=Tabela2[[#This Row],[Ativo]]),Tabela1[Fechamento])</f>
        <v>0</v>
      </c>
      <c r="K411" s="17">
        <f>SUMPRODUCT(N(Tabela17[Código]=Tabela2[[#This Row],[Ativo]]),Tabela17[Fechamento])</f>
        <v>5.65</v>
      </c>
      <c r="M411" s="3"/>
    </row>
    <row r="412" spans="1:13">
      <c r="A412" s="4" t="s">
        <v>428</v>
      </c>
      <c r="B412" s="4">
        <v>2012</v>
      </c>
      <c r="C412" s="6">
        <v>16768000</v>
      </c>
      <c r="D412" s="78">
        <f>SUMPRODUCT(N(Tabela3[PAPEL]=Tabela2[[#This Row],[Ativo]]),Tabela3[Total Ações])</f>
        <v>11759999</v>
      </c>
      <c r="E412" s="66">
        <f>(Tabela2[[#This Row],[Lucro Líquido]])/Tabela2[[#This Row],[Total Ações]]</f>
        <v>1.4258504613818419</v>
      </c>
      <c r="F412" s="66">
        <v>0.42399999999999999</v>
      </c>
      <c r="G412" s="45">
        <f>IF(AND(Tabela2[[#This Row],[Dividendo / Ação]]&gt;0,Tabela2[[#This Row],[Lucro por ação]]&gt;0),Tabela2[[#This Row],[Dividendo / Ação]]/Tabela2[[#This Row],[Lucro por ação]],"")</f>
        <v>0.29736638692748091</v>
      </c>
      <c r="H412" s="61">
        <f>MAX(Tabela2[[#This Row],[Cotação 1]],Tabela2[[#This Row],[Cotação 2]])</f>
        <v>83.91</v>
      </c>
      <c r="I412" s="46">
        <f>IF(Tabela2[[#This Row],[Dividendo / Ação]]&gt;0,Tabela2[[#This Row],[Dividendo / Ação]]/Tabela2[[#This Row],[Cotação]],"")</f>
        <v>5.0530330115600049E-3</v>
      </c>
      <c r="J412" s="17">
        <f>SUMPRODUCT(N(Tabela1[Código]=Tabela2[[#This Row],[Ativo]]),Tabela1[Fechamento])</f>
        <v>0</v>
      </c>
      <c r="K412" s="17">
        <f>SUMPRODUCT(N(Tabela17[Código]=Tabela2[[#This Row],[Ativo]]),Tabela17[Fechamento])</f>
        <v>83.91</v>
      </c>
      <c r="M412" s="3"/>
    </row>
    <row r="413" spans="1:13">
      <c r="A413" s="4" t="s">
        <v>428</v>
      </c>
      <c r="B413" s="3">
        <v>2011</v>
      </c>
      <c r="C413" s="5">
        <v>8649000</v>
      </c>
      <c r="D413" s="67">
        <f>SUMPRODUCT(N(Tabela3[PAPEL]=Tabela2[[#This Row],[Ativo]]),Tabela3[Total Ações])</f>
        <v>11759999</v>
      </c>
      <c r="E413" s="65">
        <f>(Tabela2[[#This Row],[Lucro Líquido]])/Tabela2[[#This Row],[Total Ações]]</f>
        <v>0.7354592462125209</v>
      </c>
      <c r="F413" s="65">
        <v>0.18870000000000001</v>
      </c>
      <c r="G413" s="75">
        <f>IF(AND(Tabela2[[#This Row],[Dividendo / Ação]]&gt;0,Tabela2[[#This Row],[Lucro por ação]]&gt;0),Tabela2[[#This Row],[Dividendo / Ação]]/Tabela2[[#This Row],[Lucro por ação]],"")</f>
        <v>0.25657437984738124</v>
      </c>
      <c r="H413" s="60">
        <f>MAX(Tabela2[[#This Row],[Cotação 1]],Tabela2[[#This Row],[Cotação 2]])</f>
        <v>83.91</v>
      </c>
      <c r="I413" s="22">
        <f>IF(Tabela2[[#This Row],[Dividendo / Ação]]&gt;0,Tabela2[[#This Row],[Dividendo / Ação]]/Tabela2[[#This Row],[Cotação]],"")</f>
        <v>2.2488380407579551E-3</v>
      </c>
      <c r="J413" s="7">
        <f>SUMPRODUCT(N(Tabela1[Código]=Tabela2[[#This Row],[Ativo]]),Tabela1[Fechamento])</f>
        <v>0</v>
      </c>
      <c r="K413" s="7">
        <f>SUMPRODUCT(N(Tabela17[Código]=Tabela2[[#This Row],[Ativo]]),Tabela17[Fechamento])</f>
        <v>83.91</v>
      </c>
      <c r="M413" s="3"/>
    </row>
    <row r="414" spans="1:13">
      <c r="A414" s="4" t="s">
        <v>428</v>
      </c>
      <c r="B414" s="3">
        <v>2010</v>
      </c>
      <c r="C414" s="5">
        <v>24344000</v>
      </c>
      <c r="D414" s="67">
        <f>SUMPRODUCT(N(Tabela3[PAPEL]=Tabela2[[#This Row],[Ativo]]),Tabela3[Total Ações])</f>
        <v>11759999</v>
      </c>
      <c r="E414" s="65">
        <f>(Tabela2[[#This Row],[Lucro Líquido]])/Tabela2[[#This Row],[Total Ações]]</f>
        <v>2.0700682032370921</v>
      </c>
      <c r="F414" s="65">
        <v>0.54059999999999997</v>
      </c>
      <c r="G414" s="75">
        <f>IF(AND(Tabela2[[#This Row],[Dividendo / Ação]]&gt;0,Tabela2[[#This Row],[Lucro por ação]]&gt;0),Tabela2[[#This Row],[Dividendo / Ação]]/Tabela2[[#This Row],[Lucro por ação]],"")</f>
        <v>0.2611508157821229</v>
      </c>
      <c r="H414" s="60">
        <f>MAX(Tabela2[[#This Row],[Cotação 1]],Tabela2[[#This Row],[Cotação 2]])</f>
        <v>83.91</v>
      </c>
      <c r="I414" s="22">
        <f>IF(Tabela2[[#This Row],[Dividendo / Ação]]&gt;0,Tabela2[[#This Row],[Dividendo / Ação]]/Tabela2[[#This Row],[Cotação]],"")</f>
        <v>6.4426170897390056E-3</v>
      </c>
      <c r="J414" s="7">
        <f>SUMPRODUCT(N(Tabela1[Código]=Tabela2[[#This Row],[Ativo]]),Tabela1[Fechamento])</f>
        <v>0</v>
      </c>
      <c r="K414" s="7">
        <f>SUMPRODUCT(N(Tabela17[Código]=Tabela2[[#This Row],[Ativo]]),Tabela17[Fechamento])</f>
        <v>83.91</v>
      </c>
      <c r="M414" s="3"/>
    </row>
    <row r="415" spans="1:13">
      <c r="A415" s="4" t="s">
        <v>429</v>
      </c>
      <c r="B415" s="4">
        <v>2012</v>
      </c>
      <c r="C415" s="6">
        <v>16768000</v>
      </c>
      <c r="D415" s="78">
        <f>SUMPRODUCT(N(Tabela3[PAPEL]=Tabela2[[#This Row],[Ativo]]),Tabela3[Total Ações])</f>
        <v>11759999</v>
      </c>
      <c r="E415" s="66">
        <f>(Tabela2[[#This Row],[Lucro Líquido]])/Tabela2[[#This Row],[Total Ações]]</f>
        <v>1.4258504613818419</v>
      </c>
      <c r="F415" s="66">
        <v>0.52300000000000002</v>
      </c>
      <c r="G415" s="45">
        <f>IF(AND(Tabela2[[#This Row],[Dividendo / Ação]]&gt;0,Tabela2[[#This Row],[Lucro por ação]]&gt;0),Tabela2[[#This Row],[Dividendo / Ação]]/Tabela2[[#This Row],[Lucro por ação]],"")</f>
        <v>0.36679863293177484</v>
      </c>
      <c r="H415" s="61">
        <f>MAX(Tabela2[[#This Row],[Cotação 1]],Tabela2[[#This Row],[Cotação 2]])</f>
        <v>6.58</v>
      </c>
      <c r="I415" s="46">
        <f>IF(Tabela2[[#This Row],[Dividendo / Ação]]&gt;0,Tabela2[[#This Row],[Dividendo / Ação]]/Tabela2[[#This Row],[Cotação]],"")</f>
        <v>7.9483282674772032E-2</v>
      </c>
      <c r="J415" s="17">
        <f>SUMPRODUCT(N(Tabela1[Código]=Tabela2[[#This Row],[Ativo]]),Tabela1[Fechamento])</f>
        <v>0</v>
      </c>
      <c r="K415" s="17">
        <f>SUMPRODUCT(N(Tabela17[Código]=Tabela2[[#This Row],[Ativo]]),Tabela17[Fechamento])</f>
        <v>6.58</v>
      </c>
      <c r="M415" s="3"/>
    </row>
    <row r="416" spans="1:13">
      <c r="A416" s="4" t="s">
        <v>429</v>
      </c>
      <c r="B416" s="4">
        <v>2011</v>
      </c>
      <c r="C416" s="5">
        <v>8649000</v>
      </c>
      <c r="D416" s="78">
        <f>SUMPRODUCT(N(Tabela3[PAPEL]=Tabela2[[#This Row],[Ativo]]),Tabela3[Total Ações])</f>
        <v>11759999</v>
      </c>
      <c r="E416" s="66">
        <f>(Tabela2[[#This Row],[Lucro Líquido]])/Tabela2[[#This Row],[Total Ações]]</f>
        <v>0.7354592462125209</v>
      </c>
      <c r="F416" s="66">
        <v>0.38419999999999999</v>
      </c>
      <c r="G416" s="45">
        <f>IF(AND(Tabela2[[#This Row],[Dividendo / Ação]]&gt;0,Tabela2[[#This Row],[Lucro por ação]]&gt;0),Tabela2[[#This Row],[Dividendo / Ação]]/Tabela2[[#This Row],[Lucro por ação]],"")</f>
        <v>0.5223946832928662</v>
      </c>
      <c r="H416" s="61">
        <f>MAX(Tabela2[[#This Row],[Cotação 1]],Tabela2[[#This Row],[Cotação 2]])</f>
        <v>6.58</v>
      </c>
      <c r="I416" s="46">
        <f>IF(Tabela2[[#This Row],[Dividendo / Ação]]&gt;0,Tabela2[[#This Row],[Dividendo / Ação]]/Tabela2[[#This Row],[Cotação]],"")</f>
        <v>5.8389057750759879E-2</v>
      </c>
      <c r="J416" s="17">
        <f>SUMPRODUCT(N(Tabela1[Código]=Tabela2[[#This Row],[Ativo]]),Tabela1[Fechamento])</f>
        <v>0</v>
      </c>
      <c r="K416" s="17">
        <f>SUMPRODUCT(N(Tabela17[Código]=Tabela2[[#This Row],[Ativo]]),Tabela17[Fechamento])</f>
        <v>6.58</v>
      </c>
      <c r="M416" s="3"/>
    </row>
    <row r="417" spans="1:13">
      <c r="A417" s="4" t="s">
        <v>429</v>
      </c>
      <c r="B417" s="4">
        <v>2010</v>
      </c>
      <c r="C417" s="5">
        <v>24344000</v>
      </c>
      <c r="D417" s="78">
        <f>SUMPRODUCT(N(Tabela3[PAPEL]=Tabela2[[#This Row],[Ativo]]),Tabela3[Total Ações])</f>
        <v>11759999</v>
      </c>
      <c r="E417" s="66">
        <f>(Tabela2[[#This Row],[Lucro Líquido]])/Tabela2[[#This Row],[Total Ações]]</f>
        <v>2.0700682032370921</v>
      </c>
      <c r="F417" s="66">
        <v>0.62594000000000005</v>
      </c>
      <c r="G417" s="45">
        <f>IF(AND(Tabela2[[#This Row],[Dividendo / Ação]]&gt;0,Tabela2[[#This Row],[Lucro por ação]]&gt;0),Tabela2[[#This Row],[Dividendo / Ação]]/Tabela2[[#This Row],[Lucro por ação]],"")</f>
        <v>0.3023765106005587</v>
      </c>
      <c r="H417" s="61">
        <f>MAX(Tabela2[[#This Row],[Cotação 1]],Tabela2[[#This Row],[Cotação 2]])</f>
        <v>6.58</v>
      </c>
      <c r="I417" s="46">
        <f>IF(Tabela2[[#This Row],[Dividendo / Ação]]&gt;0,Tabela2[[#This Row],[Dividendo / Ação]]/Tabela2[[#This Row],[Cotação]],"")</f>
        <v>9.5127659574468088E-2</v>
      </c>
      <c r="J417" s="17">
        <f>SUMPRODUCT(N(Tabela1[Código]=Tabela2[[#This Row],[Ativo]]),Tabela1[Fechamento])</f>
        <v>0</v>
      </c>
      <c r="K417" s="17">
        <f>SUMPRODUCT(N(Tabela17[Código]=Tabela2[[#This Row],[Ativo]]),Tabela17[Fechamento])</f>
        <v>6.58</v>
      </c>
      <c r="M417" s="3"/>
    </row>
    <row r="418" spans="1:13">
      <c r="A418" s="3" t="s">
        <v>346</v>
      </c>
      <c r="B418" s="3">
        <v>2012</v>
      </c>
      <c r="C418" s="5">
        <v>172669675.86000001</v>
      </c>
      <c r="D418" s="67">
        <f>SUMPRODUCT(N(Tabela3[PAPEL]=Tabela2[[#This Row],[Ativo]]),Tabela3[Total Ações])</f>
        <v>12251221</v>
      </c>
      <c r="E418" s="65">
        <f>(Tabela2[[#This Row],[Lucro Líquido]])/Tabela2[[#This Row],[Total Ações]]</f>
        <v>14.094078937927902</v>
      </c>
      <c r="F418" s="65">
        <v>3.8149609419999999</v>
      </c>
      <c r="G418" s="75">
        <f>IF(AND(Tabela2[[#This Row],[Dividendo / Ação]]&gt;0,Tabela2[[#This Row],[Lucro por ação]]&gt;0),Tabela2[[#This Row],[Dividendo / Ação]]/Tabela2[[#This Row],[Lucro por ação]],"")</f>
        <v>0.27067827268469036</v>
      </c>
      <c r="H418" s="60">
        <f>MAX(Tabela2[[#This Row],[Cotação 1]],Tabela2[[#This Row],[Cotação 2]])</f>
        <v>158.99</v>
      </c>
      <c r="I418" s="22">
        <f>IF(Tabela2[[#This Row],[Dividendo / Ação]]&gt;0,Tabela2[[#This Row],[Dividendo / Ação]]/Tabela2[[#This Row],[Cotação]],"")</f>
        <v>2.3994974161896974E-2</v>
      </c>
      <c r="J418" s="7">
        <f>SUMPRODUCT(N(Tabela1[Código]=Tabela2[[#This Row],[Ativo]]),Tabela1[Fechamento])</f>
        <v>0</v>
      </c>
      <c r="K418" s="7">
        <f>SUMPRODUCT(N(Tabela17[Código]=Tabela2[[#This Row],[Ativo]]),Tabela17[Fechamento])</f>
        <v>158.99</v>
      </c>
      <c r="M418" s="3"/>
    </row>
    <row r="419" spans="1:13">
      <c r="A419" s="3" t="s">
        <v>346</v>
      </c>
      <c r="B419" s="3">
        <v>2011</v>
      </c>
      <c r="C419" s="5">
        <v>181046595.15000001</v>
      </c>
      <c r="D419" s="67">
        <f>SUMPRODUCT(N(Tabela3[PAPEL]=Tabela2[[#This Row],[Ativo]]),Tabela3[Total Ações])</f>
        <v>12251221</v>
      </c>
      <c r="E419" s="65">
        <f>(Tabela2[[#This Row],[Lucro Líquido]])/Tabela2[[#This Row],[Total Ações]]</f>
        <v>14.777840931120254</v>
      </c>
      <c r="F419" s="65">
        <v>5.4828608059999997</v>
      </c>
      <c r="G419" s="75">
        <f>IF(AND(Tabela2[[#This Row],[Dividendo / Ação]]&gt;0,Tabela2[[#This Row],[Lucro por ação]]&gt;0),Tabela2[[#This Row],[Dividendo / Ação]]/Tabela2[[#This Row],[Lucro por ação]],"")</f>
        <v>0.37101907048233224</v>
      </c>
      <c r="H419" s="60">
        <f>MAX(Tabela2[[#This Row],[Cotação 1]],Tabela2[[#This Row],[Cotação 2]])</f>
        <v>158.99</v>
      </c>
      <c r="I419" s="22">
        <f>IF(Tabela2[[#This Row],[Dividendo / Ação]]&gt;0,Tabela2[[#This Row],[Dividendo / Ação]]/Tabela2[[#This Row],[Cotação]],"")</f>
        <v>3.4485570199383607E-2</v>
      </c>
      <c r="J419" s="7">
        <f>SUMPRODUCT(N(Tabela1[Código]=Tabela2[[#This Row],[Ativo]]),Tabela1[Fechamento])</f>
        <v>0</v>
      </c>
      <c r="K419" s="7">
        <f>SUMPRODUCT(N(Tabela17[Código]=Tabela2[[#This Row],[Ativo]]),Tabela17[Fechamento])</f>
        <v>158.99</v>
      </c>
      <c r="M419" s="3"/>
    </row>
    <row r="420" spans="1:13">
      <c r="A420" s="3" t="s">
        <v>346</v>
      </c>
      <c r="B420" s="3">
        <v>2010</v>
      </c>
      <c r="C420" s="5">
        <v>111311611.06999999</v>
      </c>
      <c r="D420" s="67">
        <f>SUMPRODUCT(N(Tabela3[PAPEL]=Tabela2[[#This Row],[Ativo]]),Tabela3[Total Ações])</f>
        <v>12251221</v>
      </c>
      <c r="E420" s="65">
        <f>(Tabela2[[#This Row],[Lucro Líquido]])/Tabela2[[#This Row],[Total Ações]]</f>
        <v>9.0857565192889744</v>
      </c>
      <c r="F420" s="65">
        <v>3.6731054410000001</v>
      </c>
      <c r="G420" s="75">
        <f>IF(AND(Tabela2[[#This Row],[Dividendo / Ação]]&gt;0,Tabela2[[#This Row],[Lucro por ação]]&gt;0),Tabela2[[#This Row],[Dividendo / Ação]]/Tabela2[[#This Row],[Lucro por ação]],"")</f>
        <v>0.40427073223919574</v>
      </c>
      <c r="H420" s="60">
        <f>MAX(Tabela2[[#This Row],[Cotação 1]],Tabela2[[#This Row],[Cotação 2]])</f>
        <v>158.99</v>
      </c>
      <c r="I420" s="22">
        <f>IF(Tabela2[[#This Row],[Dividendo / Ação]]&gt;0,Tabela2[[#This Row],[Dividendo / Ação]]/Tabela2[[#This Row],[Cotação]],"")</f>
        <v>2.3102745084596515E-2</v>
      </c>
      <c r="J420" s="7">
        <f>SUMPRODUCT(N(Tabela1[Código]=Tabela2[[#This Row],[Ativo]]),Tabela1[Fechamento])</f>
        <v>0</v>
      </c>
      <c r="K420" s="7">
        <f>SUMPRODUCT(N(Tabela17[Código]=Tabela2[[#This Row],[Ativo]]),Tabela17[Fechamento])</f>
        <v>158.99</v>
      </c>
      <c r="M420" s="3"/>
    </row>
    <row r="421" spans="1:13">
      <c r="A421" s="3" t="s">
        <v>346</v>
      </c>
      <c r="B421" s="3">
        <v>2009</v>
      </c>
      <c r="C421" s="5">
        <v>74101153.209999993</v>
      </c>
      <c r="D421" s="67">
        <f>SUMPRODUCT(N(Tabela3[PAPEL]=Tabela2[[#This Row],[Ativo]]),Tabela3[Total Ações])</f>
        <v>12251221</v>
      </c>
      <c r="E421" s="65">
        <f>(Tabela2[[#This Row],[Lucro Líquido]])/Tabela2[[#This Row],[Total Ações]]</f>
        <v>6.0484708593535288</v>
      </c>
      <c r="F421" s="65">
        <v>3.9996022359999999</v>
      </c>
      <c r="G421" s="75">
        <f>IF(AND(Tabela2[[#This Row],[Dividendo / Ação]]&gt;0,Tabela2[[#This Row],[Lucro por ação]]&gt;0),Tabela2[[#This Row],[Dividendo / Ação]]/Tabela2[[#This Row],[Lucro por ação]],"")</f>
        <v>0.66125841208524638</v>
      </c>
      <c r="H421" s="60">
        <f>MAX(Tabela2[[#This Row],[Cotação 1]],Tabela2[[#This Row],[Cotação 2]])</f>
        <v>158.99</v>
      </c>
      <c r="I421" s="22">
        <f>IF(Tabela2[[#This Row],[Dividendo / Ação]]&gt;0,Tabela2[[#This Row],[Dividendo / Ação]]/Tabela2[[#This Row],[Cotação]],"")</f>
        <v>2.5156313202088179E-2</v>
      </c>
      <c r="J421" s="7">
        <f>SUMPRODUCT(N(Tabela1[Código]=Tabela2[[#This Row],[Ativo]]),Tabela1[Fechamento])</f>
        <v>0</v>
      </c>
      <c r="K421" s="7">
        <f>SUMPRODUCT(N(Tabela17[Código]=Tabela2[[#This Row],[Ativo]]),Tabela17[Fechamento])</f>
        <v>158.99</v>
      </c>
      <c r="M421" s="3"/>
    </row>
    <row r="422" spans="1:13">
      <c r="A422" s="4" t="s">
        <v>422</v>
      </c>
      <c r="B422" s="4">
        <v>2012</v>
      </c>
      <c r="C422" s="6">
        <v>386792226.60000002</v>
      </c>
      <c r="D422" s="78">
        <f>SUMPRODUCT(N(Tabela3[PAPEL]=Tabela2[[#This Row],[Ativo]]),Tabela3[Total Ações])</f>
        <v>189997214</v>
      </c>
      <c r="E422" s="66">
        <f>(Tabela2[[#This Row],[Lucro Líquido]])/Tabela2[[#This Row],[Total Ações]]</f>
        <v>2.0357784119929256</v>
      </c>
      <c r="F422" s="66">
        <v>1.0304815780000001</v>
      </c>
      <c r="G422" s="45">
        <f>IF(AND(Tabela2[[#This Row],[Dividendo / Ação]]&gt;0,Tabela2[[#This Row],[Lucro por ação]]&gt;0),Tabela2[[#This Row],[Dividendo / Ação]]/Tabela2[[#This Row],[Lucro por ação]],"")</f>
        <v>0.50618553175009351</v>
      </c>
      <c r="H422" s="61">
        <f>MAX(Tabela2[[#This Row],[Cotação 1]],Tabela2[[#This Row],[Cotação 2]])</f>
        <v>47.25</v>
      </c>
      <c r="I422" s="46">
        <f>IF(Tabela2[[#This Row],[Dividendo / Ação]]&gt;0,Tabela2[[#This Row],[Dividendo / Ação]]/Tabela2[[#This Row],[Cotação]],"")</f>
        <v>2.1809133925925928E-2</v>
      </c>
      <c r="J422" s="17">
        <f>SUMPRODUCT(N(Tabela1[Código]=Tabela2[[#This Row],[Ativo]]),Tabela1[Fechamento])</f>
        <v>0</v>
      </c>
      <c r="K422" s="17">
        <f>SUMPRODUCT(N(Tabela17[Código]=Tabela2[[#This Row],[Ativo]]),Tabela17[Fechamento])</f>
        <v>47.25</v>
      </c>
      <c r="M422" s="3"/>
    </row>
    <row r="423" spans="1:13">
      <c r="A423" s="4" t="s">
        <v>422</v>
      </c>
      <c r="B423" s="4">
        <v>2011</v>
      </c>
      <c r="C423" s="6">
        <v>296889622.02999997</v>
      </c>
      <c r="D423" s="78">
        <f>SUMPRODUCT(N(Tabela3[PAPEL]=Tabela2[[#This Row],[Ativo]]),Tabela3[Total Ações])</f>
        <v>189997214</v>
      </c>
      <c r="E423" s="66">
        <f>(Tabela2[[#This Row],[Lucro Líquido]])/Tabela2[[#This Row],[Total Ações]]</f>
        <v>1.5625998707012618</v>
      </c>
      <c r="F423" s="66">
        <v>0.784386535</v>
      </c>
      <c r="G423" s="45">
        <f>IF(AND(Tabela2[[#This Row],[Dividendo / Ação]]&gt;0,Tabela2[[#This Row],[Lucro por ação]]&gt;0),Tabela2[[#This Row],[Dividendo / Ação]]/Tabela2[[#This Row],[Lucro por ação]],"")</f>
        <v>0.50197529752001313</v>
      </c>
      <c r="H423" s="61">
        <f>MAX(Tabela2[[#This Row],[Cotação 1]],Tabela2[[#This Row],[Cotação 2]])</f>
        <v>47.25</v>
      </c>
      <c r="I423" s="46">
        <f>IF(Tabela2[[#This Row],[Dividendo / Ação]]&gt;0,Tabela2[[#This Row],[Dividendo / Ação]]/Tabela2[[#This Row],[Cotação]],"")</f>
        <v>1.6600773227513226E-2</v>
      </c>
      <c r="J423" s="17">
        <f>SUMPRODUCT(N(Tabela1[Código]=Tabela2[[#This Row],[Ativo]]),Tabela1[Fechamento])</f>
        <v>0</v>
      </c>
      <c r="K423" s="17">
        <f>SUMPRODUCT(N(Tabela17[Código]=Tabela2[[#This Row],[Ativo]]),Tabela17[Fechamento])</f>
        <v>47.25</v>
      </c>
      <c r="M423" s="3"/>
    </row>
    <row r="424" spans="1:13">
      <c r="A424" s="4" t="s">
        <v>422</v>
      </c>
      <c r="B424" s="4">
        <v>2010</v>
      </c>
      <c r="C424" s="6">
        <v>216710069.06</v>
      </c>
      <c r="D424" s="78">
        <f>SUMPRODUCT(N(Tabela3[PAPEL]=Tabela2[[#This Row],[Ativo]]),Tabela3[Total Ações])</f>
        <v>189997214</v>
      </c>
      <c r="E424" s="66">
        <f>(Tabela2[[#This Row],[Lucro Líquido]])/Tabela2[[#This Row],[Total Ações]]</f>
        <v>1.1405960355818692</v>
      </c>
      <c r="F424" s="66">
        <v>0.54198311700000001</v>
      </c>
      <c r="G424" s="45">
        <f>IF(AND(Tabela2[[#This Row],[Dividendo / Ação]]&gt;0,Tabela2[[#This Row],[Lucro por ação]]&gt;0),Tabela2[[#This Row],[Dividendo / Ação]]/Tabela2[[#This Row],[Lucro por ação]],"")</f>
        <v>0.47517534700487551</v>
      </c>
      <c r="H424" s="61">
        <f>MAX(Tabela2[[#This Row],[Cotação 1]],Tabela2[[#This Row],[Cotação 2]])</f>
        <v>47.25</v>
      </c>
      <c r="I424" s="46">
        <f>IF(Tabela2[[#This Row],[Dividendo / Ação]]&gt;0,Tabela2[[#This Row],[Dividendo / Ação]]/Tabela2[[#This Row],[Cotação]],"")</f>
        <v>1.1470542158730159E-2</v>
      </c>
      <c r="J424" s="17">
        <f>SUMPRODUCT(N(Tabela1[Código]=Tabela2[[#This Row],[Ativo]]),Tabela1[Fechamento])</f>
        <v>0</v>
      </c>
      <c r="K424" s="17">
        <f>SUMPRODUCT(N(Tabela17[Código]=Tabela2[[#This Row],[Ativo]]),Tabela17[Fechamento])</f>
        <v>47.25</v>
      </c>
      <c r="M424" s="3"/>
    </row>
    <row r="425" spans="1:13">
      <c r="A425" s="4" t="s">
        <v>422</v>
      </c>
      <c r="B425" s="4">
        <v>2009</v>
      </c>
      <c r="C425" s="6">
        <v>170612814.30000001</v>
      </c>
      <c r="D425" s="78">
        <f>SUMPRODUCT(N(Tabela3[PAPEL]=Tabela2[[#This Row],[Ativo]]),Tabela3[Total Ações])</f>
        <v>189997214</v>
      </c>
      <c r="E425" s="66">
        <f>(Tabela2[[#This Row],[Lucro Líquido]])/Tabela2[[#This Row],[Total Ações]]</f>
        <v>0.89797534768062448</v>
      </c>
      <c r="F425" s="66">
        <v>0.32047732699999998</v>
      </c>
      <c r="G425" s="45">
        <f>IF(AND(Tabela2[[#This Row],[Dividendo / Ação]]&gt;0,Tabela2[[#This Row],[Lucro por ação]]&gt;0),Tabela2[[#This Row],[Dividendo / Ação]]/Tabela2[[#This Row],[Lucro por ação]],"")</f>
        <v>0.35688878077528419</v>
      </c>
      <c r="H425" s="61">
        <f>MAX(Tabela2[[#This Row],[Cotação 1]],Tabela2[[#This Row],[Cotação 2]])</f>
        <v>47.25</v>
      </c>
      <c r="I425" s="46">
        <f>IF(Tabela2[[#This Row],[Dividendo / Ação]]&gt;0,Tabela2[[#This Row],[Dividendo / Ação]]/Tabela2[[#This Row],[Cotação]],"")</f>
        <v>6.7825889312169308E-3</v>
      </c>
      <c r="J425" s="17">
        <f>SUMPRODUCT(N(Tabela1[Código]=Tabela2[[#This Row],[Ativo]]),Tabela1[Fechamento])</f>
        <v>0</v>
      </c>
      <c r="K425" s="17">
        <f>SUMPRODUCT(N(Tabela17[Código]=Tabela2[[#This Row],[Ativo]]),Tabela17[Fechamento])</f>
        <v>47.25</v>
      </c>
      <c r="M425" s="3"/>
    </row>
    <row r="426" spans="1:13">
      <c r="A426" s="14" t="s">
        <v>328</v>
      </c>
      <c r="B426" s="3">
        <v>2012</v>
      </c>
      <c r="C426" s="5">
        <v>837439831.94000006</v>
      </c>
      <c r="D426" s="62">
        <f>SUMPRODUCT(N(Tabela3[PAPEL]=Tabela2[[#This Row],[Ativo]]),Tabela3[Total Ações])</f>
        <v>1797086404</v>
      </c>
      <c r="E426" s="65">
        <f>(Tabela2[[#This Row],[Lucro Líquido]])/Tabela2[[#This Row],[Total Ações]]</f>
        <v>0.46599864651805584</v>
      </c>
      <c r="F426" s="65">
        <v>4.07</v>
      </c>
      <c r="G426" s="22">
        <f>IF(AND(Tabela2[[#This Row],[Dividendo / Ação]]&gt;0,Tabela2[[#This Row],[Lucro por ação]]&gt;0),Tabela2[[#This Row],[Dividendo / Ação]]/Tabela2[[#This Row],[Lucro por ação]],"")</f>
        <v>8.7339309468193953</v>
      </c>
      <c r="H426" s="51">
        <f>MAX(Tabela2[[#This Row],[Cotação 1]],Tabela2[[#This Row],[Cotação 2]])</f>
        <v>4.6900000000000004</v>
      </c>
      <c r="I426" s="18">
        <f>IF(Tabela2[[#This Row],[Dividendo / Ação]]&gt;0,Tabela2[[#This Row],[Dividendo / Ação]]/Tabela2[[#This Row],[Cotação]],"")</f>
        <v>0.86780383795309168</v>
      </c>
      <c r="J426" s="7">
        <f>SUMPRODUCT(N(Tabela1[Código]=Tabela2[[#This Row],[Ativo]]),Tabela1[Fechamento])</f>
        <v>0</v>
      </c>
      <c r="K426" s="7">
        <f>SUMPRODUCT(N(Tabela17[Código]=Tabela2[[#This Row],[Ativo]]),Tabela17[Fechamento])</f>
        <v>4.6900000000000004</v>
      </c>
      <c r="M426" s="3"/>
    </row>
    <row r="427" spans="1:13">
      <c r="A427" s="14" t="s">
        <v>328</v>
      </c>
      <c r="B427" s="3">
        <v>2011</v>
      </c>
      <c r="C427" s="5">
        <v>1005731443.8099999</v>
      </c>
      <c r="D427" s="62">
        <f>SUMPRODUCT(N(Tabela3[PAPEL]=Tabela2[[#This Row],[Ativo]]),Tabela3[Total Ações])</f>
        <v>1797086404</v>
      </c>
      <c r="E427" s="65">
        <f>(Tabela2[[#This Row],[Lucro Líquido]])/Tabela2[[#This Row],[Total Ações]]</f>
        <v>0.55964556939021837</v>
      </c>
      <c r="F427" s="65">
        <v>0.92</v>
      </c>
      <c r="G427" s="22">
        <f>IF(AND(Tabela2[[#This Row],[Dividendo / Ação]]&gt;0,Tabela2[[#This Row],[Lucro por ação]]&gt;0),Tabela2[[#This Row],[Dividendo / Ação]]/Tabela2[[#This Row],[Lucro por ação]],"")</f>
        <v>1.6438975850419375</v>
      </c>
      <c r="H427" s="51">
        <f>MAX(Tabela2[[#This Row],[Cotação 1]],Tabela2[[#This Row],[Cotação 2]])</f>
        <v>4.6900000000000004</v>
      </c>
      <c r="I427" s="18">
        <f>IF(Tabela2[[#This Row],[Dividendo / Ação]]&gt;0,Tabela2[[#This Row],[Dividendo / Ação]]/Tabela2[[#This Row],[Cotação]],"")</f>
        <v>0.19616204690831557</v>
      </c>
      <c r="J427" s="7">
        <f>SUMPRODUCT(N(Tabela1[Código]=Tabela2[[#This Row],[Ativo]]),Tabela1[Fechamento])</f>
        <v>0</v>
      </c>
      <c r="K427" s="7">
        <f>SUMPRODUCT(N(Tabela17[Código]=Tabela2[[#This Row],[Ativo]]),Tabela17[Fechamento])</f>
        <v>4.6900000000000004</v>
      </c>
      <c r="M427" s="3"/>
    </row>
    <row r="428" spans="1:13">
      <c r="A428" s="14" t="s">
        <v>328</v>
      </c>
      <c r="B428" s="3">
        <v>2010</v>
      </c>
      <c r="C428" s="5">
        <v>1971024029.29</v>
      </c>
      <c r="D428" s="62">
        <f>SUMPRODUCT(N(Tabela3[PAPEL]=Tabela2[[#This Row],[Ativo]]),Tabela3[Total Ações])</f>
        <v>1797086404</v>
      </c>
      <c r="E428" s="65">
        <f>(Tabela2[[#This Row],[Lucro Líquido]])/Tabela2[[#This Row],[Total Ações]]</f>
        <v>1.0967886824489046</v>
      </c>
      <c r="F428" s="65">
        <v>0</v>
      </c>
      <c r="G428" s="22" t="str">
        <f>IF(AND(Tabela2[[#This Row],[Dividendo / Ação]]&gt;0,Tabela2[[#This Row],[Lucro por ação]]&gt;0),Tabela2[[#This Row],[Dividendo / Ação]]/Tabela2[[#This Row],[Lucro por ação]],"")</f>
        <v/>
      </c>
      <c r="H428" s="51">
        <f>MAX(Tabela2[[#This Row],[Cotação 1]],Tabela2[[#This Row],[Cotação 2]])</f>
        <v>4.6900000000000004</v>
      </c>
      <c r="I428" s="18" t="str">
        <f>IF(Tabela2[[#This Row],[Dividendo / Ação]]&gt;0,Tabela2[[#This Row],[Dividendo / Ação]]/Tabela2[[#This Row],[Cotação]],"")</f>
        <v/>
      </c>
      <c r="J428" s="7">
        <f>SUMPRODUCT(N(Tabela1[Código]=Tabela2[[#This Row],[Ativo]]),Tabela1[Fechamento])</f>
        <v>0</v>
      </c>
      <c r="K428" s="7">
        <f>SUMPRODUCT(N(Tabela17[Código]=Tabela2[[#This Row],[Ativo]]),Tabela17[Fechamento])</f>
        <v>4.6900000000000004</v>
      </c>
      <c r="M428" s="3"/>
    </row>
    <row r="429" spans="1:13">
      <c r="A429" s="10" t="s">
        <v>329</v>
      </c>
      <c r="B429" s="3">
        <v>2012</v>
      </c>
      <c r="C429" s="5">
        <v>837439831.94000006</v>
      </c>
      <c r="D429" s="62">
        <f>SUMPRODUCT(N(Tabela3[PAPEL]=Tabela2[[#This Row],[Ativo]]),Tabela3[Total Ações])</f>
        <v>1797086404</v>
      </c>
      <c r="E429" s="65">
        <f>(Tabela2[[#This Row],[Lucro Líquido]])/Tabela2[[#This Row],[Total Ações]]</f>
        <v>0.46599864651805584</v>
      </c>
      <c r="F429" s="65">
        <v>4.07</v>
      </c>
      <c r="G429" s="22">
        <f>IF(AND(Tabela2[[#This Row],[Dividendo / Ação]]&gt;0,Tabela2[[#This Row],[Lucro por ação]]&gt;0),Tabela2[[#This Row],[Dividendo / Ação]]/Tabela2[[#This Row],[Lucro por ação]],"")</f>
        <v>8.7339309468193953</v>
      </c>
      <c r="H429" s="51">
        <f>MAX(Tabela2[[#This Row],[Cotação 1]],Tabela2[[#This Row],[Cotação 2]])</f>
        <v>4.37</v>
      </c>
      <c r="I429" s="18">
        <f>IF(Tabela2[[#This Row],[Dividendo / Ação]]&gt;0,Tabela2[[#This Row],[Dividendo / Ação]]/Tabela2[[#This Row],[Cotação]],"")</f>
        <v>0.93135011441647597</v>
      </c>
      <c r="J429" s="7">
        <f>SUMPRODUCT(N(Tabela1[Código]=Tabela2[[#This Row],[Ativo]]),Tabela1[Fechamento])</f>
        <v>0</v>
      </c>
      <c r="K429" s="7">
        <f>SUMPRODUCT(N(Tabela17[Código]=Tabela2[[#This Row],[Ativo]]),Tabela17[Fechamento])</f>
        <v>4.37</v>
      </c>
      <c r="M429" s="3"/>
    </row>
    <row r="430" spans="1:13">
      <c r="A430" s="10" t="s">
        <v>329</v>
      </c>
      <c r="B430" s="3">
        <v>2011</v>
      </c>
      <c r="C430" s="5">
        <v>1005731443.8099999</v>
      </c>
      <c r="D430" s="62">
        <f>SUMPRODUCT(N(Tabela3[PAPEL]=Tabela2[[#This Row],[Ativo]]),Tabela3[Total Ações])</f>
        <v>1797086404</v>
      </c>
      <c r="E430" s="65">
        <f>(Tabela2[[#This Row],[Lucro Líquido]])/Tabela2[[#This Row],[Total Ações]]</f>
        <v>0.55964556939021837</v>
      </c>
      <c r="F430" s="65">
        <v>0.92</v>
      </c>
      <c r="G430" s="22">
        <f>IF(AND(Tabela2[[#This Row],[Dividendo / Ação]]&gt;0,Tabela2[[#This Row],[Lucro por ação]]&gt;0),Tabela2[[#This Row],[Dividendo / Ação]]/Tabela2[[#This Row],[Lucro por ação]],"")</f>
        <v>1.6438975850419375</v>
      </c>
      <c r="H430" s="51">
        <f>MAX(Tabela2[[#This Row],[Cotação 1]],Tabela2[[#This Row],[Cotação 2]])</f>
        <v>4.37</v>
      </c>
      <c r="I430" s="18">
        <f>IF(Tabela2[[#This Row],[Dividendo / Ação]]&gt;0,Tabela2[[#This Row],[Dividendo / Ação]]/Tabela2[[#This Row],[Cotação]],"")</f>
        <v>0.2105263157894737</v>
      </c>
      <c r="J430" s="7">
        <f>SUMPRODUCT(N(Tabela1[Código]=Tabela2[[#This Row],[Ativo]]),Tabela1[Fechamento])</f>
        <v>0</v>
      </c>
      <c r="K430" s="7">
        <f>SUMPRODUCT(N(Tabela17[Código]=Tabela2[[#This Row],[Ativo]]),Tabela17[Fechamento])</f>
        <v>4.37</v>
      </c>
      <c r="M430" s="3"/>
    </row>
    <row r="431" spans="1:13">
      <c r="A431" s="10" t="s">
        <v>329</v>
      </c>
      <c r="B431" s="3">
        <v>2010</v>
      </c>
      <c r="C431" s="5">
        <v>1971024029.29</v>
      </c>
      <c r="D431" s="62">
        <f>SUMPRODUCT(N(Tabela3[PAPEL]=Tabela2[[#This Row],[Ativo]]),Tabela3[Total Ações])</f>
        <v>1797086404</v>
      </c>
      <c r="E431" s="65">
        <f>(Tabela2[[#This Row],[Lucro Líquido]])/Tabela2[[#This Row],[Total Ações]]</f>
        <v>1.0967886824489046</v>
      </c>
      <c r="F431" s="65">
        <v>0</v>
      </c>
      <c r="G431" s="22" t="str">
        <f>IF(AND(Tabela2[[#This Row],[Dividendo / Ação]]&gt;0,Tabela2[[#This Row],[Lucro por ação]]&gt;0),Tabela2[[#This Row],[Dividendo / Ação]]/Tabela2[[#This Row],[Lucro por ação]],"")</f>
        <v/>
      </c>
      <c r="H431" s="51">
        <f>MAX(Tabela2[[#This Row],[Cotação 1]],Tabela2[[#This Row],[Cotação 2]])</f>
        <v>4.37</v>
      </c>
      <c r="I431" s="18" t="str">
        <f>IF(Tabela2[[#This Row],[Dividendo / Ação]]&gt;0,Tabela2[[#This Row],[Dividendo / Ação]]/Tabela2[[#This Row],[Cotação]],"")</f>
        <v/>
      </c>
      <c r="J431" s="7">
        <f>SUMPRODUCT(N(Tabela1[Código]=Tabela2[[#This Row],[Ativo]]),Tabela1[Fechamento])</f>
        <v>0</v>
      </c>
      <c r="K431" s="7">
        <f>SUMPRODUCT(N(Tabela17[Código]=Tabela2[[#This Row],[Ativo]]),Tabela17[Fechamento])</f>
        <v>4.37</v>
      </c>
      <c r="M431" s="3"/>
    </row>
    <row r="432" spans="1:13">
      <c r="A432" s="4" t="s">
        <v>383</v>
      </c>
      <c r="B432" s="4">
        <v>2012</v>
      </c>
      <c r="C432" s="6">
        <v>15469895.77</v>
      </c>
      <c r="D432" s="78">
        <f>SUMPRODUCT(N(Tabela3[PAPEL]=Tabela2[[#This Row],[Ativo]]),Tabela3[Total Ações])</f>
        <v>12587262</v>
      </c>
      <c r="E432" s="66">
        <f>(Tabela2[[#This Row],[Lucro Líquido]])/Tabela2[[#This Row],[Total Ações]]</f>
        <v>1.2290119781410762</v>
      </c>
      <c r="F432" s="66">
        <v>1.0680540000000001</v>
      </c>
      <c r="G432" s="45">
        <f>IF(AND(Tabela2[[#This Row],[Dividendo / Ação]]&gt;0,Tabela2[[#This Row],[Lucro por ação]]&gt;0),Tabela2[[#This Row],[Dividendo / Ação]]/Tabela2[[#This Row],[Lucro por ação]],"")</f>
        <v>0.86903465466257634</v>
      </c>
      <c r="H432" s="61">
        <f>MAX(Tabela2[[#This Row],[Cotação 1]],Tabela2[[#This Row],[Cotação 2]])</f>
        <v>20</v>
      </c>
      <c r="I432" s="46">
        <f>IF(Tabela2[[#This Row],[Dividendo / Ação]]&gt;0,Tabela2[[#This Row],[Dividendo / Ação]]/Tabela2[[#This Row],[Cotação]],"")</f>
        <v>5.3402700000000004E-2</v>
      </c>
      <c r="J432" s="17">
        <f>SUMPRODUCT(N(Tabela1[Código]=Tabela2[[#This Row],[Ativo]]),Tabela1[Fechamento])</f>
        <v>0</v>
      </c>
      <c r="K432" s="17">
        <f>SUMPRODUCT(N(Tabela17[Código]=Tabela2[[#This Row],[Ativo]]),Tabela17[Fechamento])</f>
        <v>20</v>
      </c>
      <c r="M432" s="3"/>
    </row>
    <row r="433" spans="1:13">
      <c r="A433" s="4" t="s">
        <v>383</v>
      </c>
      <c r="B433" s="4">
        <v>2011</v>
      </c>
      <c r="C433" s="6">
        <v>13306306.460000001</v>
      </c>
      <c r="D433" s="78">
        <f>SUMPRODUCT(N(Tabela3[PAPEL]=Tabela2[[#This Row],[Ativo]]),Tabela3[Total Ações])</f>
        <v>12587262</v>
      </c>
      <c r="E433" s="66">
        <f>(Tabela2[[#This Row],[Lucro Líquido]])/Tabela2[[#This Row],[Total Ações]]</f>
        <v>1.0571247710582334</v>
      </c>
      <c r="F433" s="66">
        <v>1.003811</v>
      </c>
      <c r="G433" s="45">
        <f>IF(AND(Tabela2[[#This Row],[Dividendo / Ação]]&gt;0,Tabela2[[#This Row],[Lucro por ação]]&gt;0),Tabela2[[#This Row],[Dividendo / Ação]]/Tabela2[[#This Row],[Lucro por ação]],"")</f>
        <v>0.9495671915767675</v>
      </c>
      <c r="H433" s="61">
        <f>MAX(Tabela2[[#This Row],[Cotação 1]],Tabela2[[#This Row],[Cotação 2]])</f>
        <v>20</v>
      </c>
      <c r="I433" s="46">
        <f>IF(Tabela2[[#This Row],[Dividendo / Ação]]&gt;0,Tabela2[[#This Row],[Dividendo / Ação]]/Tabela2[[#This Row],[Cotação]],"")</f>
        <v>5.019055E-2</v>
      </c>
      <c r="J433" s="17">
        <f>SUMPRODUCT(N(Tabela1[Código]=Tabela2[[#This Row],[Ativo]]),Tabela1[Fechamento])</f>
        <v>0</v>
      </c>
      <c r="K433" s="17">
        <f>SUMPRODUCT(N(Tabela17[Código]=Tabela2[[#This Row],[Ativo]]),Tabela17[Fechamento])</f>
        <v>20</v>
      </c>
      <c r="M433" s="3"/>
    </row>
    <row r="434" spans="1:13">
      <c r="A434" s="4" t="s">
        <v>383</v>
      </c>
      <c r="B434" s="4">
        <v>2010</v>
      </c>
      <c r="C434" s="6">
        <v>19966613.23</v>
      </c>
      <c r="D434" s="78">
        <f>SUMPRODUCT(N(Tabela3[PAPEL]=Tabela2[[#This Row],[Ativo]]),Tabela3[Total Ações])</f>
        <v>12587262</v>
      </c>
      <c r="E434" s="66">
        <f>(Tabela2[[#This Row],[Lucro Líquido]])/Tabela2[[#This Row],[Total Ações]]</f>
        <v>1.5862554723974125</v>
      </c>
      <c r="F434" s="66">
        <v>0.962588</v>
      </c>
      <c r="G434" s="45">
        <f>IF(AND(Tabela2[[#This Row],[Dividendo / Ação]]&gt;0,Tabela2[[#This Row],[Lucro por ação]]&gt;0),Tabela2[[#This Row],[Dividendo / Ação]]/Tabela2[[#This Row],[Lucro por ação]],"")</f>
        <v>0.6068303730074307</v>
      </c>
      <c r="H434" s="61">
        <f>MAX(Tabela2[[#This Row],[Cotação 1]],Tabela2[[#This Row],[Cotação 2]])</f>
        <v>20</v>
      </c>
      <c r="I434" s="46">
        <f>IF(Tabela2[[#This Row],[Dividendo / Ação]]&gt;0,Tabela2[[#This Row],[Dividendo / Ação]]/Tabela2[[#This Row],[Cotação]],"")</f>
        <v>4.8129400000000003E-2</v>
      </c>
      <c r="J434" s="17">
        <f>SUMPRODUCT(N(Tabela1[Código]=Tabela2[[#This Row],[Ativo]]),Tabela1[Fechamento])</f>
        <v>0</v>
      </c>
      <c r="K434" s="17">
        <f>SUMPRODUCT(N(Tabela17[Código]=Tabela2[[#This Row],[Ativo]]),Tabela17[Fechamento])</f>
        <v>20</v>
      </c>
      <c r="M434" s="3"/>
    </row>
    <row r="435" spans="1:13">
      <c r="A435" s="4" t="s">
        <v>383</v>
      </c>
      <c r="B435" s="4">
        <v>2009</v>
      </c>
      <c r="C435" s="6">
        <v>8984823.1899999995</v>
      </c>
      <c r="D435" s="78">
        <f>SUMPRODUCT(N(Tabela3[PAPEL]=Tabela2[[#This Row],[Ativo]]),Tabela3[Total Ações])</f>
        <v>12587262</v>
      </c>
      <c r="E435" s="66">
        <f>(Tabela2[[#This Row],[Lucro Líquido]])/Tabela2[[#This Row],[Total Ações]]</f>
        <v>0.71380282622225544</v>
      </c>
      <c r="F435" s="66">
        <v>0.86186600000000002</v>
      </c>
      <c r="G435" s="45">
        <f>IF(AND(Tabela2[[#This Row],[Dividendo / Ação]]&gt;0,Tabela2[[#This Row],[Lucro por ação]]&gt;0),Tabela2[[#This Row],[Dividendo / Ação]]/Tabela2[[#This Row],[Lucro por ação]],"")</f>
        <v>1.2074286740518487</v>
      </c>
      <c r="H435" s="61">
        <f>MAX(Tabela2[[#This Row],[Cotação 1]],Tabela2[[#This Row],[Cotação 2]])</f>
        <v>20</v>
      </c>
      <c r="I435" s="46">
        <f>IF(Tabela2[[#This Row],[Dividendo / Ação]]&gt;0,Tabela2[[#This Row],[Dividendo / Ação]]/Tabela2[[#This Row],[Cotação]],"")</f>
        <v>4.3093300000000001E-2</v>
      </c>
      <c r="J435" s="17">
        <f>SUMPRODUCT(N(Tabela1[Código]=Tabela2[[#This Row],[Ativo]]),Tabela1[Fechamento])</f>
        <v>0</v>
      </c>
      <c r="K435" s="17">
        <f>SUMPRODUCT(N(Tabela17[Código]=Tabela2[[#This Row],[Ativo]]),Tabela17[Fechamento])</f>
        <v>20</v>
      </c>
      <c r="M435" s="3"/>
    </row>
    <row r="436" spans="1:13">
      <c r="A436" s="4" t="s">
        <v>20</v>
      </c>
      <c r="B436" s="4">
        <v>2012</v>
      </c>
      <c r="C436" s="6">
        <v>20894905121.599998</v>
      </c>
      <c r="D436" s="8">
        <f>SUMPRODUCT(N(Tabela3[PAPEL]=Tabela2[[#This Row],[Ativo]]),Tabela3[Total Ações])</f>
        <v>13044496930</v>
      </c>
      <c r="E436" s="66">
        <f>(Tabela2[[#This Row],[Lucro Líquido]])/Tabela2[[#This Row],[Total Ações]]</f>
        <v>1.6018176272896711</v>
      </c>
      <c r="F436" s="66">
        <v>0.47</v>
      </c>
      <c r="G436" s="46">
        <f>IF(AND(Tabela2[[#This Row],[Dividendo / Ação]]&gt;0,Tabela2[[#This Row],[Lucro por ação]]&gt;0),Tabela2[[#This Row],[Dividendo / Ação]]/Tabela2[[#This Row],[Lucro por ação]],"")</f>
        <v>0.29341667365420099</v>
      </c>
      <c r="H436" s="13">
        <f>MAX(Tabela2[[#This Row],[Cotação 1]],Tabela2[[#This Row],[Cotação 2]])</f>
        <v>15.12</v>
      </c>
      <c r="I436" s="19">
        <f>IF(Tabela2[[#This Row],[Dividendo / Ação]]&gt;0,Tabela2[[#This Row],[Dividendo / Ação]]/Tabela2[[#This Row],[Cotação]],"")</f>
        <v>3.1084656084656083E-2</v>
      </c>
      <c r="J436" s="17">
        <f>SUMPRODUCT(N(Tabela1[Código]=Tabela2[[#This Row],[Ativo]]),Tabela1[Fechamento])</f>
        <v>0</v>
      </c>
      <c r="K436" s="17">
        <f>SUMPRODUCT(N(Tabela17[Código]=Tabela2[[#This Row],[Ativo]]),Tabela17[Fechamento])</f>
        <v>15.12</v>
      </c>
      <c r="M436" s="3"/>
    </row>
    <row r="437" spans="1:13">
      <c r="A437" s="4" t="s">
        <v>20</v>
      </c>
      <c r="B437" s="3">
        <v>2011</v>
      </c>
      <c r="C437" s="5">
        <v>33133022202</v>
      </c>
      <c r="D437" s="62">
        <f>SUMPRODUCT(N(Tabela3[PAPEL]=Tabela2[[#This Row],[Ativo]]),Tabela3[Total Ações])</f>
        <v>13044496930</v>
      </c>
      <c r="E437" s="65">
        <f>(Tabela2[[#This Row],[Lucro Líquido]])/Tabela2[[#This Row],[Total Ações]]</f>
        <v>2.5399999999846679</v>
      </c>
      <c r="F437" s="65">
        <v>0.92</v>
      </c>
      <c r="G437" s="22">
        <f>IF(AND(Tabela2[[#This Row],[Dividendo / Ação]]&gt;0,Tabela2[[#This Row],[Lucro por ação]]&gt;0),Tabela2[[#This Row],[Dividendo / Ação]]/Tabela2[[#This Row],[Lucro por ação]],"")</f>
        <v>0.3622047244116352</v>
      </c>
      <c r="H437" s="51">
        <f>MAX(Tabela2[[#This Row],[Cotação 1]],Tabela2[[#This Row],[Cotação 2]])</f>
        <v>15.12</v>
      </c>
      <c r="I437" s="18">
        <f>IF(Tabela2[[#This Row],[Dividendo / Ação]]&gt;0,Tabela2[[#This Row],[Dividendo / Ação]]/Tabela2[[#This Row],[Cotação]],"")</f>
        <v>6.084656084656085E-2</v>
      </c>
      <c r="J437" s="7">
        <f>SUMPRODUCT(N(Tabela1[Código]=Tabela2[[#This Row],[Ativo]]),Tabela1[Fechamento])</f>
        <v>0</v>
      </c>
      <c r="K437" s="7">
        <f>SUMPRODUCT(N(Tabela17[Código]=Tabela2[[#This Row],[Ativo]]),Tabela17[Fechamento])</f>
        <v>15.12</v>
      </c>
      <c r="M437" s="3"/>
    </row>
    <row r="438" spans="1:13">
      <c r="A438" s="4" t="s">
        <v>20</v>
      </c>
      <c r="B438" s="3">
        <v>2010</v>
      </c>
      <c r="C438" s="5">
        <v>46307964102</v>
      </c>
      <c r="D438" s="62">
        <f>SUMPRODUCT(N(Tabela3[PAPEL]=Tabela2[[#This Row],[Ativo]]),Tabela3[Total Ações])</f>
        <v>13044496930</v>
      </c>
      <c r="E438" s="65">
        <f>(Tabela2[[#This Row],[Lucro Líquido]])/Tabela2[[#This Row],[Total Ações]]</f>
        <v>3.5500000000383305</v>
      </c>
      <c r="F438" s="65">
        <v>1.03</v>
      </c>
      <c r="G438" s="22">
        <f>IF(AND(Tabela2[[#This Row],[Dividendo / Ação]]&gt;0,Tabela2[[#This Row],[Lucro por ação]]&gt;0),Tabela2[[#This Row],[Dividendo / Ação]]/Tabela2[[#This Row],[Lucro por ação]],"")</f>
        <v>0.29014084506728982</v>
      </c>
      <c r="H438" s="51">
        <f>MAX(Tabela2[[#This Row],[Cotação 1]],Tabela2[[#This Row],[Cotação 2]])</f>
        <v>15.12</v>
      </c>
      <c r="I438" s="18">
        <f>IF(Tabela2[[#This Row],[Dividendo / Ação]]&gt;0,Tabela2[[#This Row],[Dividendo / Ação]]/Tabela2[[#This Row],[Cotação]],"")</f>
        <v>6.8121693121693125E-2</v>
      </c>
      <c r="J438" s="7">
        <f>SUMPRODUCT(N(Tabela1[Código]=Tabela2[[#This Row],[Ativo]]),Tabela1[Fechamento])</f>
        <v>0</v>
      </c>
      <c r="K438" s="7">
        <f>SUMPRODUCT(N(Tabela17[Código]=Tabela2[[#This Row],[Ativo]]),Tabela17[Fechamento])</f>
        <v>15.12</v>
      </c>
      <c r="M438" s="3"/>
    </row>
    <row r="439" spans="1:13">
      <c r="A439" s="4" t="s">
        <v>20</v>
      </c>
      <c r="B439" s="3">
        <v>2009</v>
      </c>
      <c r="C439" s="5">
        <v>44612179501</v>
      </c>
      <c r="D439" s="62">
        <f>SUMPRODUCT(N(Tabela3[PAPEL]=Tabela2[[#This Row],[Ativo]]),Tabela3[Total Ações])</f>
        <v>13044496930</v>
      </c>
      <c r="E439" s="65">
        <f>(Tabela2[[#This Row],[Lucro Líquido]])/Tabela2[[#This Row],[Total Ações]]</f>
        <v>3.4200000000306643</v>
      </c>
      <c r="F439" s="65">
        <v>0.95</v>
      </c>
      <c r="G439" s="22">
        <f>IF(AND(Tabela2[[#This Row],[Dividendo / Ação]]&gt;0,Tabela2[[#This Row],[Lucro por ação]]&gt;0),Tabela2[[#This Row],[Dividendo / Ação]]/Tabela2[[#This Row],[Lucro por ação]],"")</f>
        <v>0.27777777777528717</v>
      </c>
      <c r="H439" s="51">
        <f>MAX(Tabela2[[#This Row],[Cotação 1]],Tabela2[[#This Row],[Cotação 2]])</f>
        <v>15.12</v>
      </c>
      <c r="I439" s="18">
        <f>IF(Tabela2[[#This Row],[Dividendo / Ação]]&gt;0,Tabela2[[#This Row],[Dividendo / Ação]]/Tabela2[[#This Row],[Cotação]],"")</f>
        <v>6.2830687830687834E-2</v>
      </c>
      <c r="J439" s="7">
        <f>SUMPRODUCT(N(Tabela1[Código]=Tabela2[[#This Row],[Ativo]]),Tabela1[Fechamento])</f>
        <v>0</v>
      </c>
      <c r="K439" s="7">
        <f>SUMPRODUCT(N(Tabela17[Código]=Tabela2[[#This Row],[Ativo]]),Tabela17[Fechamento])</f>
        <v>15.12</v>
      </c>
      <c r="M439" s="3"/>
    </row>
    <row r="440" spans="1:13">
      <c r="A440" s="4" t="s">
        <v>21</v>
      </c>
      <c r="B440" s="4">
        <v>2012</v>
      </c>
      <c r="C440" s="6">
        <v>20894905121.599998</v>
      </c>
      <c r="D440" s="8">
        <f>SUMPRODUCT(N(Tabela3[PAPEL]=Tabela2[[#This Row],[Ativo]]),Tabela3[Total Ações])</f>
        <v>13044496930</v>
      </c>
      <c r="E440" s="66">
        <f>(Tabela2[[#This Row],[Lucro Líquido]])/Tabela2[[#This Row],[Total Ações]]</f>
        <v>1.6018176272896711</v>
      </c>
      <c r="F440" s="66">
        <v>0.96</v>
      </c>
      <c r="G440" s="46">
        <f>IF(AND(Tabela2[[#This Row],[Dividendo / Ação]]&gt;0,Tabela2[[#This Row],[Lucro por ação]]&gt;0),Tabela2[[#This Row],[Dividendo / Ação]]/Tabela2[[#This Row],[Lucro por ação]],"")</f>
        <v>0.5993191632085807</v>
      </c>
      <c r="H440" s="13">
        <f>MAX(Tabela2[[#This Row],[Cotação 1]],Tabela2[[#This Row],[Cotação 2]])</f>
        <v>16.04</v>
      </c>
      <c r="I440" s="19">
        <f>IF(Tabela2[[#This Row],[Dividendo / Ação]]&gt;0,Tabela2[[#This Row],[Dividendo / Ação]]/Tabela2[[#This Row],[Cotação]],"")</f>
        <v>5.9850374064837904E-2</v>
      </c>
      <c r="J440" s="17">
        <f>SUMPRODUCT(N(Tabela1[Código]=Tabela2[[#This Row],[Ativo]]),Tabela1[Fechamento])</f>
        <v>0</v>
      </c>
      <c r="K440" s="17">
        <f>SUMPRODUCT(N(Tabela17[Código]=Tabela2[[#This Row],[Ativo]]),Tabela17[Fechamento])</f>
        <v>16.04</v>
      </c>
      <c r="M440" s="3"/>
    </row>
    <row r="441" spans="1:13">
      <c r="A441" s="4" t="s">
        <v>21</v>
      </c>
      <c r="B441" s="4">
        <v>2011</v>
      </c>
      <c r="C441" s="5">
        <v>33133022202</v>
      </c>
      <c r="D441" s="8">
        <f>SUMPRODUCT(N(Tabela3[PAPEL]=Tabela2[[#This Row],[Ativo]]),Tabela3[Total Ações])</f>
        <v>13044496930</v>
      </c>
      <c r="E441" s="66">
        <f>(Tabela2[[#This Row],[Lucro Líquido]])/Tabela2[[#This Row],[Total Ações]]</f>
        <v>2.5399999999846679</v>
      </c>
      <c r="F441" s="66">
        <v>0.92</v>
      </c>
      <c r="G441" s="46">
        <f>IF(AND(Tabela2[[#This Row],[Dividendo / Ação]]&gt;0,Tabela2[[#This Row],[Lucro por ação]]&gt;0),Tabela2[[#This Row],[Dividendo / Ação]]/Tabela2[[#This Row],[Lucro por ação]],"")</f>
        <v>0.3622047244116352</v>
      </c>
      <c r="H441" s="13">
        <f>MAX(Tabela2[[#This Row],[Cotação 1]],Tabela2[[#This Row],[Cotação 2]])</f>
        <v>16.04</v>
      </c>
      <c r="I441" s="19">
        <f>IF(Tabela2[[#This Row],[Dividendo / Ação]]&gt;0,Tabela2[[#This Row],[Dividendo / Ação]]/Tabela2[[#This Row],[Cotação]],"")</f>
        <v>5.7356608478803001E-2</v>
      </c>
      <c r="J441" s="17">
        <f>SUMPRODUCT(N(Tabela1[Código]=Tabela2[[#This Row],[Ativo]]),Tabela1[Fechamento])</f>
        <v>0</v>
      </c>
      <c r="K441" s="17">
        <f>SUMPRODUCT(N(Tabela17[Código]=Tabela2[[#This Row],[Ativo]]),Tabela17[Fechamento])</f>
        <v>16.04</v>
      </c>
      <c r="M441" s="3"/>
    </row>
    <row r="442" spans="1:13">
      <c r="A442" s="4" t="s">
        <v>21</v>
      </c>
      <c r="B442" s="4">
        <v>2010</v>
      </c>
      <c r="C442" s="5">
        <v>46307964102</v>
      </c>
      <c r="D442" s="8">
        <f>SUMPRODUCT(N(Tabela3[PAPEL]=Tabela2[[#This Row],[Ativo]]),Tabela3[Total Ações])</f>
        <v>13044496930</v>
      </c>
      <c r="E442" s="66">
        <f>(Tabela2[[#This Row],[Lucro Líquido]])/Tabela2[[#This Row],[Total Ações]]</f>
        <v>3.5500000000383305</v>
      </c>
      <c r="F442" s="66">
        <v>1.03</v>
      </c>
      <c r="G442" s="46">
        <f>IF(AND(Tabela2[[#This Row],[Dividendo / Ação]]&gt;0,Tabela2[[#This Row],[Lucro por ação]]&gt;0),Tabela2[[#This Row],[Dividendo / Ação]]/Tabela2[[#This Row],[Lucro por ação]],"")</f>
        <v>0.29014084506728982</v>
      </c>
      <c r="H442" s="13">
        <f>MAX(Tabela2[[#This Row],[Cotação 1]],Tabela2[[#This Row],[Cotação 2]])</f>
        <v>16.04</v>
      </c>
      <c r="I442" s="19">
        <f>IF(Tabela2[[#This Row],[Dividendo / Ação]]&gt;0,Tabela2[[#This Row],[Dividendo / Ação]]/Tabela2[[#This Row],[Cotação]],"")</f>
        <v>6.4214463840399014E-2</v>
      </c>
      <c r="J442" s="17">
        <f>SUMPRODUCT(N(Tabela1[Código]=Tabela2[[#This Row],[Ativo]]),Tabela1[Fechamento])</f>
        <v>0</v>
      </c>
      <c r="K442" s="17">
        <f>SUMPRODUCT(N(Tabela17[Código]=Tabela2[[#This Row],[Ativo]]),Tabela17[Fechamento])</f>
        <v>16.04</v>
      </c>
      <c r="M442" s="3"/>
    </row>
    <row r="443" spans="1:13">
      <c r="A443" s="4" t="s">
        <v>21</v>
      </c>
      <c r="B443" s="4">
        <v>2009</v>
      </c>
      <c r="C443" s="5">
        <v>44612179501</v>
      </c>
      <c r="D443" s="8">
        <f>SUMPRODUCT(N(Tabela3[PAPEL]=Tabela2[[#This Row],[Ativo]]),Tabela3[Total Ações])</f>
        <v>13044496930</v>
      </c>
      <c r="E443" s="66">
        <f>(Tabela2[[#This Row],[Lucro Líquido]])/Tabela2[[#This Row],[Total Ações]]</f>
        <v>3.4200000000306643</v>
      </c>
      <c r="F443" s="66">
        <v>0.95</v>
      </c>
      <c r="G443" s="46">
        <f>IF(AND(Tabela2[[#This Row],[Dividendo / Ação]]&gt;0,Tabela2[[#This Row],[Lucro por ação]]&gt;0),Tabela2[[#This Row],[Dividendo / Ação]]/Tabela2[[#This Row],[Lucro por ação]],"")</f>
        <v>0.27777777777528717</v>
      </c>
      <c r="H443" s="13">
        <f>MAX(Tabela2[[#This Row],[Cotação 1]],Tabela2[[#This Row],[Cotação 2]])</f>
        <v>16.04</v>
      </c>
      <c r="I443" s="19">
        <f>IF(Tabela2[[#This Row],[Dividendo / Ação]]&gt;0,Tabela2[[#This Row],[Dividendo / Ação]]/Tabela2[[#This Row],[Cotação]],"")</f>
        <v>5.922693266832918E-2</v>
      </c>
      <c r="J443" s="17">
        <f>SUMPRODUCT(N(Tabela1[Código]=Tabela2[[#This Row],[Ativo]]),Tabela1[Fechamento])</f>
        <v>0</v>
      </c>
      <c r="K443" s="17">
        <f>SUMPRODUCT(N(Tabela17[Código]=Tabela2[[#This Row],[Ativo]]),Tabela17[Fechamento])</f>
        <v>16.04</v>
      </c>
      <c r="M443" s="3"/>
    </row>
    <row r="444" spans="1:13">
      <c r="A444" s="4" t="s">
        <v>78</v>
      </c>
      <c r="B444" s="4">
        <v>2012</v>
      </c>
      <c r="C444" s="6">
        <v>187453404.96000001</v>
      </c>
      <c r="D444" s="8">
        <f>SUMPRODUCT(N(Tabela3[PAPEL]=Tabela2[[#This Row],[Ativo]]),Tabela3[Total Ações])</f>
        <v>110842313</v>
      </c>
      <c r="E444" s="66">
        <f>(Tabela2[[#This Row],[Lucro Líquido]])/Tabela2[[#This Row],[Total Ações]]</f>
        <v>1.6911718989480129</v>
      </c>
      <c r="F444" s="66">
        <v>0.92906</v>
      </c>
      <c r="G444" s="46">
        <f>IF(AND(Tabela2[[#This Row],[Dividendo / Ação]]&gt;0,Tabela2[[#This Row],[Lucro por ação]]&gt;0),Tabela2[[#This Row],[Dividendo / Ação]]/Tabela2[[#This Row],[Lucro por ação]],"")</f>
        <v>0.54935870243463614</v>
      </c>
      <c r="H444" s="6">
        <f>MAX(Tabela2[[#This Row],[Cotação 1]],Tabela2[[#This Row],[Cotação 2]])</f>
        <v>8.6999999999999993</v>
      </c>
      <c r="I444" s="19">
        <f>IF(Tabela2[[#This Row],[Dividendo / Ação]]&gt;0,Tabela2[[#This Row],[Dividendo / Ação]]/Tabela2[[#This Row],[Cotação]],"")</f>
        <v>0.10678850574712645</v>
      </c>
      <c r="J444" s="61">
        <f>SUMPRODUCT(N(Tabela1[Código]=Tabela2[[#This Row],[Ativo]]),Tabela1[Fechamento])</f>
        <v>8.6999999999999993</v>
      </c>
      <c r="K444" s="61">
        <f>SUMPRODUCT(N(Tabela17[Código]=Tabela2[[#This Row],[Ativo]]),Tabela17[Fechamento])</f>
        <v>0</v>
      </c>
      <c r="M444" s="3"/>
    </row>
    <row r="445" spans="1:13">
      <c r="A445" s="4" t="s">
        <v>78</v>
      </c>
      <c r="B445" s="4">
        <v>2011</v>
      </c>
      <c r="C445" s="6">
        <v>161513908.16999999</v>
      </c>
      <c r="D445" s="8">
        <f>SUMPRODUCT(N(Tabela3[PAPEL]=Tabela2[[#This Row],[Ativo]]),Tabela3[Total Ações])</f>
        <v>110842313</v>
      </c>
      <c r="E445" s="66">
        <f>(Tabela2[[#This Row],[Lucro Líquido]])/Tabela2[[#This Row],[Total Ações]]</f>
        <v>1.4571502867321073</v>
      </c>
      <c r="F445" s="66">
        <v>0.83615399999999995</v>
      </c>
      <c r="G445" s="46">
        <f>IF(AND(Tabela2[[#This Row],[Dividendo / Ação]]&gt;0,Tabela2[[#This Row],[Lucro por ação]]&gt;0),Tabela2[[#This Row],[Dividendo / Ação]]/Tabela2[[#This Row],[Lucro por ação]],"")</f>
        <v>0.57382825067084131</v>
      </c>
      <c r="H445" s="6">
        <f>MAX(Tabela2[[#This Row],[Cotação 1]],Tabela2[[#This Row],[Cotação 2]])</f>
        <v>8.6999999999999993</v>
      </c>
      <c r="I445" s="19">
        <f>IF(Tabela2[[#This Row],[Dividendo / Ação]]&gt;0,Tabela2[[#This Row],[Dividendo / Ação]]/Tabela2[[#This Row],[Cotação]],"")</f>
        <v>9.6109655172413794E-2</v>
      </c>
      <c r="J445" s="61">
        <f>SUMPRODUCT(N(Tabela1[Código]=Tabela2[[#This Row],[Ativo]]),Tabela1[Fechamento])</f>
        <v>8.6999999999999993</v>
      </c>
      <c r="K445" s="61">
        <f>SUMPRODUCT(N(Tabela17[Código]=Tabela2[[#This Row],[Ativo]]),Tabela17[Fechamento])</f>
        <v>0</v>
      </c>
      <c r="M445" s="3"/>
    </row>
    <row r="446" spans="1:13">
      <c r="A446" s="4" t="s">
        <v>78</v>
      </c>
      <c r="B446" s="4">
        <v>2010</v>
      </c>
      <c r="C446" s="6">
        <v>116428578.18000001</v>
      </c>
      <c r="D446" s="8">
        <f>SUMPRODUCT(N(Tabela3[PAPEL]=Tabela2[[#This Row],[Ativo]]),Tabela3[Total Ações])</f>
        <v>110842313</v>
      </c>
      <c r="E446" s="66">
        <f>(Tabela2[[#This Row],[Lucro Líquido]])/Tabela2[[#This Row],[Total Ações]]</f>
        <v>1.0503983093532161</v>
      </c>
      <c r="F446" s="66">
        <v>0.69679500000000005</v>
      </c>
      <c r="G446" s="46">
        <f>IF(AND(Tabela2[[#This Row],[Dividendo / Ação]]&gt;0,Tabela2[[#This Row],[Lucro por ação]]&gt;0),Tabela2[[#This Row],[Dividendo / Ação]]/Tabela2[[#This Row],[Lucro por ação]],"")</f>
        <v>0.66336264424211833</v>
      </c>
      <c r="H446" s="6">
        <f>MAX(Tabela2[[#This Row],[Cotação 1]],Tabela2[[#This Row],[Cotação 2]])</f>
        <v>8.6999999999999993</v>
      </c>
      <c r="I446" s="19">
        <f>IF(Tabela2[[#This Row],[Dividendo / Ação]]&gt;0,Tabela2[[#This Row],[Dividendo / Ação]]/Tabela2[[#This Row],[Cotação]],"")</f>
        <v>8.0091379310344837E-2</v>
      </c>
      <c r="J446" s="61">
        <f>SUMPRODUCT(N(Tabela1[Código]=Tabela2[[#This Row],[Ativo]]),Tabela1[Fechamento])</f>
        <v>8.6999999999999993</v>
      </c>
      <c r="K446" s="61">
        <f>SUMPRODUCT(N(Tabela17[Código]=Tabela2[[#This Row],[Ativo]]),Tabela17[Fechamento])</f>
        <v>0</v>
      </c>
      <c r="M446" s="3"/>
    </row>
    <row r="447" spans="1:13">
      <c r="A447" s="4" t="s">
        <v>78</v>
      </c>
      <c r="B447" s="4">
        <v>2009</v>
      </c>
      <c r="C447" s="6">
        <v>86911496.730000004</v>
      </c>
      <c r="D447" s="8">
        <f>SUMPRODUCT(N(Tabela3[PAPEL]=Tabela2[[#This Row],[Ativo]]),Tabela3[Total Ações])</f>
        <v>110842313</v>
      </c>
      <c r="E447" s="66">
        <f>(Tabela2[[#This Row],[Lucro Líquido]])/Tabela2[[#This Row],[Total Ações]]</f>
        <v>0.78410035281382129</v>
      </c>
      <c r="F447" s="66">
        <v>0.69679500000000005</v>
      </c>
      <c r="G447" s="46">
        <f>IF(AND(Tabela2[[#This Row],[Dividendo / Ação]]&gt;0,Tabela2[[#This Row],[Lucro por ação]]&gt;0),Tabela2[[#This Row],[Dividendo / Ação]]/Tabela2[[#This Row],[Lucro por ação]],"")</f>
        <v>0.88865538384147214</v>
      </c>
      <c r="H447" s="6">
        <f>MAX(Tabela2[[#This Row],[Cotação 1]],Tabela2[[#This Row],[Cotação 2]])</f>
        <v>8.6999999999999993</v>
      </c>
      <c r="I447" s="19">
        <f>IF(Tabela2[[#This Row],[Dividendo / Ação]]&gt;0,Tabela2[[#This Row],[Dividendo / Ação]]/Tabela2[[#This Row],[Cotação]],"")</f>
        <v>8.0091379310344837E-2</v>
      </c>
      <c r="J447" s="61">
        <f>SUMPRODUCT(N(Tabela1[Código]=Tabela2[[#This Row],[Ativo]]),Tabela1[Fechamento])</f>
        <v>8.6999999999999993</v>
      </c>
      <c r="K447" s="61">
        <f>SUMPRODUCT(N(Tabela17[Código]=Tabela2[[#This Row],[Ativo]]),Tabela17[Fechamento])</f>
        <v>0</v>
      </c>
      <c r="M447" s="3"/>
    </row>
    <row r="448" spans="1:13">
      <c r="A448" s="15" t="s">
        <v>87</v>
      </c>
      <c r="B448" s="4">
        <v>2012</v>
      </c>
      <c r="C448" s="6">
        <v>196691606.94</v>
      </c>
      <c r="D448" s="8">
        <f>SUMPRODUCT(N(Tabela3[PAPEL]=Tabela2[[#This Row],[Ativo]]),Tabela3[Total Ações])</f>
        <v>87289932</v>
      </c>
      <c r="E448" s="66">
        <f>(Tabela2[[#This Row],[Lucro Líquido]])/Tabela2[[#This Row],[Total Ações]]</f>
        <v>2.2533137835414969</v>
      </c>
      <c r="F448" s="66">
        <v>0.72</v>
      </c>
      <c r="G448" s="46">
        <f>IF(AND(Tabela2[[#This Row],[Dividendo / Ação]]&gt;0,Tabela2[[#This Row],[Lucro por ação]]&gt;0),Tabela2[[#This Row],[Dividendo / Ação]]/Tabela2[[#This Row],[Lucro por ação]],"")</f>
        <v>0.31952939943783043</v>
      </c>
      <c r="H448" s="6">
        <f>MAX(Tabela2[[#This Row],[Cotação 1]],Tabela2[[#This Row],[Cotação 2]])</f>
        <v>11.32</v>
      </c>
      <c r="I448" s="19">
        <f>IF(Tabela2[[#This Row],[Dividendo / Ação]]&gt;0,Tabela2[[#This Row],[Dividendo / Ação]]/Tabela2[[#This Row],[Cotação]],"")</f>
        <v>6.3604240282685506E-2</v>
      </c>
      <c r="J448" s="61">
        <f>SUMPRODUCT(N(Tabela1[Código]=Tabela2[[#This Row],[Ativo]]),Tabela1[Fechamento])</f>
        <v>11.32</v>
      </c>
      <c r="K448" s="61">
        <f>SUMPRODUCT(N(Tabela17[Código]=Tabela2[[#This Row],[Ativo]]),Tabela17[Fechamento])</f>
        <v>0</v>
      </c>
      <c r="M448" s="3"/>
    </row>
    <row r="449" spans="1:13">
      <c r="A449" s="15" t="s">
        <v>87</v>
      </c>
      <c r="B449" s="4">
        <v>2011</v>
      </c>
      <c r="C449" s="6">
        <v>359474959.12</v>
      </c>
      <c r="D449" s="8">
        <f>SUMPRODUCT(N(Tabela3[PAPEL]=Tabela2[[#This Row],[Ativo]]),Tabela3[Total Ações])</f>
        <v>87289932</v>
      </c>
      <c r="E449" s="66">
        <f>(Tabela2[[#This Row],[Lucro Líquido]])/Tabela2[[#This Row],[Total Ações]]</f>
        <v>4.118172060438769</v>
      </c>
      <c r="F449" s="66">
        <v>1.0900000000000001</v>
      </c>
      <c r="G449" s="46">
        <f>IF(AND(Tabela2[[#This Row],[Dividendo / Ação]]&gt;0,Tabela2[[#This Row],[Lucro por ação]]&gt;0),Tabela2[[#This Row],[Dividendo / Ação]]/Tabela2[[#This Row],[Lucro por ação]],"")</f>
        <v>0.26468053884175652</v>
      </c>
      <c r="H449" s="6">
        <f>MAX(Tabela2[[#This Row],[Cotação 1]],Tabela2[[#This Row],[Cotação 2]])</f>
        <v>11.32</v>
      </c>
      <c r="I449" s="19">
        <f>IF(Tabela2[[#This Row],[Dividendo / Ação]]&gt;0,Tabela2[[#This Row],[Dividendo / Ação]]/Tabela2[[#This Row],[Cotação]],"")</f>
        <v>9.6289752650176683E-2</v>
      </c>
      <c r="J449" s="61">
        <f>SUMPRODUCT(N(Tabela1[Código]=Tabela2[[#This Row],[Ativo]]),Tabela1[Fechamento])</f>
        <v>11.32</v>
      </c>
      <c r="K449" s="61">
        <f>SUMPRODUCT(N(Tabela17[Código]=Tabela2[[#This Row],[Ativo]]),Tabela17[Fechamento])</f>
        <v>0</v>
      </c>
      <c r="M449" s="3"/>
    </row>
    <row r="450" spans="1:13">
      <c r="A450" s="15" t="s">
        <v>87</v>
      </c>
      <c r="B450" s="4">
        <v>2010</v>
      </c>
      <c r="C450" s="6">
        <v>117452154.81999999</v>
      </c>
      <c r="D450" s="8">
        <f>SUMPRODUCT(N(Tabela3[PAPEL]=Tabela2[[#This Row],[Ativo]]),Tabela3[Total Ações])</f>
        <v>87289932</v>
      </c>
      <c r="E450" s="66">
        <f>(Tabela2[[#This Row],[Lucro Líquido]])/Tabela2[[#This Row],[Total Ações]]</f>
        <v>1.3455406841192177</v>
      </c>
      <c r="F450" s="66">
        <v>0.52</v>
      </c>
      <c r="G450" s="46">
        <f>IF(AND(Tabela2[[#This Row],[Dividendo / Ação]]&gt;0,Tabela2[[#This Row],[Lucro por ação]]&gt;0),Tabela2[[#This Row],[Dividendo / Ação]]/Tabela2[[#This Row],[Lucro por ação]],"")</f>
        <v>0.38646174444022008</v>
      </c>
      <c r="H450" s="6">
        <f>MAX(Tabela2[[#This Row],[Cotação 1]],Tabela2[[#This Row],[Cotação 2]])</f>
        <v>11.32</v>
      </c>
      <c r="I450" s="19">
        <f>IF(Tabela2[[#This Row],[Dividendo / Ação]]&gt;0,Tabela2[[#This Row],[Dividendo / Ação]]/Tabela2[[#This Row],[Cotação]],"")</f>
        <v>4.5936395759717315E-2</v>
      </c>
      <c r="J450" s="61">
        <f>SUMPRODUCT(N(Tabela1[Código]=Tabela2[[#This Row],[Ativo]]),Tabela1[Fechamento])</f>
        <v>11.32</v>
      </c>
      <c r="K450" s="61">
        <f>SUMPRODUCT(N(Tabela17[Código]=Tabela2[[#This Row],[Ativo]]),Tabela17[Fechamento])</f>
        <v>0</v>
      </c>
      <c r="M450" s="3"/>
    </row>
    <row r="451" spans="1:13">
      <c r="A451" s="4" t="s">
        <v>374</v>
      </c>
      <c r="B451" s="4">
        <v>2012</v>
      </c>
      <c r="C451" s="6">
        <v>45071000</v>
      </c>
      <c r="D451" s="78">
        <f>SUMPRODUCT(N(Tabela3[PAPEL]=Tabela2[[#This Row],[Ativo]]),Tabela3[Total Ações])</f>
        <v>80041132</v>
      </c>
      <c r="E451" s="66">
        <f>(Tabela2[[#This Row],[Lucro Líquido]])/Tabela2[[#This Row],[Total Ações]]</f>
        <v>0.56309798317195214</v>
      </c>
      <c r="F451" s="66">
        <v>0.66</v>
      </c>
      <c r="G451" s="45">
        <f>IF(AND(Tabela2[[#This Row],[Dividendo / Ação]]&gt;0,Tabela2[[#This Row],[Lucro por ação]]&gt;0),Tabela2[[#This Row],[Dividendo / Ação]]/Tabela2[[#This Row],[Lucro por ação]],"")</f>
        <v>1.1720873093563489</v>
      </c>
      <c r="H451" s="61">
        <f>MAX(Tabela2[[#This Row],[Cotação 1]],Tabela2[[#This Row],[Cotação 2]])</f>
        <v>7.7</v>
      </c>
      <c r="I451" s="46">
        <f>IF(Tabela2[[#This Row],[Dividendo / Ação]]&gt;0,Tabela2[[#This Row],[Dividendo / Ação]]/Tabela2[[#This Row],[Cotação]],"")</f>
        <v>8.5714285714285715E-2</v>
      </c>
      <c r="J451" s="17">
        <f>SUMPRODUCT(N(Tabela1[Código]=Tabela2[[#This Row],[Ativo]]),Tabela1[Fechamento])</f>
        <v>0</v>
      </c>
      <c r="K451" s="17">
        <f>SUMPRODUCT(N(Tabela17[Código]=Tabela2[[#This Row],[Ativo]]),Tabela17[Fechamento])</f>
        <v>7.7</v>
      </c>
      <c r="M451" s="3"/>
    </row>
    <row r="452" spans="1:13">
      <c r="A452" s="4" t="s">
        <v>374</v>
      </c>
      <c r="B452" s="4">
        <v>2011</v>
      </c>
      <c r="C452" s="6">
        <v>29451000</v>
      </c>
      <c r="D452" s="78">
        <f>SUMPRODUCT(N(Tabela3[PAPEL]=Tabela2[[#This Row],[Ativo]]),Tabela3[Total Ações])</f>
        <v>80041132</v>
      </c>
      <c r="E452" s="66">
        <f>(Tabela2[[#This Row],[Lucro Líquido]])/Tabela2[[#This Row],[Total Ações]]</f>
        <v>0.36794831937159511</v>
      </c>
      <c r="F452" s="66">
        <v>0.5</v>
      </c>
      <c r="G452" s="45">
        <f>IF(AND(Tabela2[[#This Row],[Dividendo / Ação]]&gt;0,Tabela2[[#This Row],[Lucro por ação]]&gt;0),Tabela2[[#This Row],[Dividendo / Ação]]/Tabela2[[#This Row],[Lucro por ação]],"")</f>
        <v>1.3588864894231094</v>
      </c>
      <c r="H452" s="61">
        <f>MAX(Tabela2[[#This Row],[Cotação 1]],Tabela2[[#This Row],[Cotação 2]])</f>
        <v>7.7</v>
      </c>
      <c r="I452" s="46">
        <f>IF(Tabela2[[#This Row],[Dividendo / Ação]]&gt;0,Tabela2[[#This Row],[Dividendo / Ação]]/Tabela2[[#This Row],[Cotação]],"")</f>
        <v>6.4935064935064929E-2</v>
      </c>
      <c r="J452" s="17">
        <f>SUMPRODUCT(N(Tabela1[Código]=Tabela2[[#This Row],[Ativo]]),Tabela1[Fechamento])</f>
        <v>0</v>
      </c>
      <c r="K452" s="17">
        <f>SUMPRODUCT(N(Tabela17[Código]=Tabela2[[#This Row],[Ativo]]),Tabela17[Fechamento])</f>
        <v>7.7</v>
      </c>
      <c r="M452" s="3"/>
    </row>
    <row r="453" spans="1:13">
      <c r="A453" s="4" t="s">
        <v>374</v>
      </c>
      <c r="B453" s="4">
        <v>2010</v>
      </c>
      <c r="C453" s="6">
        <v>23814000</v>
      </c>
      <c r="D453" s="78">
        <f>SUMPRODUCT(N(Tabela3[PAPEL]=Tabela2[[#This Row],[Ativo]]),Tabela3[Total Ações])</f>
        <v>80041132</v>
      </c>
      <c r="E453" s="66">
        <f>(Tabela2[[#This Row],[Lucro Líquido]])/Tabela2[[#This Row],[Total Ações]]</f>
        <v>0.29752202904876457</v>
      </c>
      <c r="F453" s="66">
        <v>0.41</v>
      </c>
      <c r="G453" s="45">
        <f>IF(AND(Tabela2[[#This Row],[Dividendo / Ação]]&gt;0,Tabela2[[#This Row],[Lucro por ação]]&gt;0),Tabela2[[#This Row],[Dividendo / Ação]]/Tabela2[[#This Row],[Lucro por ação]],"")</f>
        <v>1.37804921978668</v>
      </c>
      <c r="H453" s="61">
        <f>MAX(Tabela2[[#This Row],[Cotação 1]],Tabela2[[#This Row],[Cotação 2]])</f>
        <v>7.7</v>
      </c>
      <c r="I453" s="46">
        <f>IF(Tabela2[[#This Row],[Dividendo / Ação]]&gt;0,Tabela2[[#This Row],[Dividendo / Ação]]/Tabela2[[#This Row],[Cotação]],"")</f>
        <v>5.3246753246753244E-2</v>
      </c>
      <c r="J453" s="17">
        <f>SUMPRODUCT(N(Tabela1[Código]=Tabela2[[#This Row],[Ativo]]),Tabela1[Fechamento])</f>
        <v>0</v>
      </c>
      <c r="K453" s="17">
        <f>SUMPRODUCT(N(Tabela17[Código]=Tabela2[[#This Row],[Ativo]]),Tabela17[Fechamento])</f>
        <v>7.7</v>
      </c>
      <c r="M453" s="3"/>
    </row>
    <row r="454" spans="1:13">
      <c r="A454" s="4" t="s">
        <v>268</v>
      </c>
      <c r="B454" s="4">
        <v>2012</v>
      </c>
      <c r="C454" s="6">
        <v>682580077</v>
      </c>
      <c r="D454" s="8">
        <f>SUMPRODUCT(N(Tabela3[PAPEL]=Tabela2[[#This Row],[Ativo]]),Tabela3[Total Ações])</f>
        <v>323293030</v>
      </c>
      <c r="E454" s="66">
        <f>(Tabela2[[#This Row],[Lucro Líquido]])/Tabela2[[#This Row],[Total Ações]]</f>
        <v>2.111335579984511</v>
      </c>
      <c r="F454" s="66">
        <v>1.05</v>
      </c>
      <c r="G454" s="46">
        <f>IF(AND(Tabela2[[#This Row],[Dividendo / Ação]]&gt;0,Tabela2[[#This Row],[Lucro por ação]]&gt;0),Tabela2[[#This Row],[Dividendo / Ação]]/Tabela2[[#This Row],[Lucro por ação]],"")</f>
        <v>0.49731554280333917</v>
      </c>
      <c r="H454" s="6">
        <f>MAX(Tabela2[[#This Row],[Cotação 1]],Tabela2[[#This Row],[Cotação 2]])</f>
        <v>29</v>
      </c>
      <c r="I454" s="19">
        <f>IF(Tabela2[[#This Row],[Dividendo / Ação]]&gt;0,Tabela2[[#This Row],[Dividendo / Ação]]/Tabela2[[#This Row],[Cotação]],"")</f>
        <v>3.6206896551724141E-2</v>
      </c>
      <c r="J454" s="61">
        <f>SUMPRODUCT(N(Tabela1[Código]=Tabela2[[#This Row],[Ativo]]),Tabela1[Fechamento])</f>
        <v>29</v>
      </c>
      <c r="K454" s="61">
        <f>SUMPRODUCT(N(Tabela17[Código]=Tabela2[[#This Row],[Ativo]]),Tabela17[Fechamento])</f>
        <v>0</v>
      </c>
      <c r="M454" s="3"/>
    </row>
    <row r="455" spans="1:13">
      <c r="A455" s="4" t="s">
        <v>268</v>
      </c>
      <c r="B455" s="4">
        <v>2011</v>
      </c>
      <c r="C455" s="6">
        <v>580084000</v>
      </c>
      <c r="D455" s="8">
        <f>SUMPRODUCT(N(Tabela3[PAPEL]=Tabela2[[#This Row],[Ativo]]),Tabela3[Total Ações])</f>
        <v>323293030</v>
      </c>
      <c r="E455" s="66">
        <f>(Tabela2[[#This Row],[Lucro Líquido]])/Tabela2[[#This Row],[Total Ações]]</f>
        <v>1.7942978851106068</v>
      </c>
      <c r="F455" s="66">
        <v>0.84</v>
      </c>
      <c r="G455" s="46">
        <f>IF(AND(Tabela2[[#This Row],[Dividendo / Ação]]&gt;0,Tabela2[[#This Row],[Lucro por ação]]&gt;0),Tabela2[[#This Row],[Dividendo / Ação]]/Tabela2[[#This Row],[Lucro por ação]],"")</f>
        <v>0.46814969073444535</v>
      </c>
      <c r="H455" s="6">
        <f>MAX(Tabela2[[#This Row],[Cotação 1]],Tabela2[[#This Row],[Cotação 2]])</f>
        <v>29</v>
      </c>
      <c r="I455" s="19">
        <f>IF(Tabela2[[#This Row],[Dividendo / Ação]]&gt;0,Tabela2[[#This Row],[Dividendo / Ação]]/Tabela2[[#This Row],[Cotação]],"")</f>
        <v>2.8965517241379309E-2</v>
      </c>
      <c r="J455" s="61">
        <f>SUMPRODUCT(N(Tabela1[Código]=Tabela2[[#This Row],[Ativo]]),Tabela1[Fechamento])</f>
        <v>29</v>
      </c>
      <c r="K455" s="61">
        <f>SUMPRODUCT(N(Tabela17[Código]=Tabela2[[#This Row],[Ativo]]),Tabela17[Fechamento])</f>
        <v>0</v>
      </c>
      <c r="M455" s="3"/>
    </row>
    <row r="456" spans="1:13">
      <c r="A456" s="4" t="s">
        <v>268</v>
      </c>
      <c r="B456" s="4">
        <v>2010</v>
      </c>
      <c r="C456" s="6">
        <v>623912000</v>
      </c>
      <c r="D456" s="8">
        <f>SUMPRODUCT(N(Tabela3[PAPEL]=Tabela2[[#This Row],[Ativo]]),Tabela3[Total Ações])</f>
        <v>323293030</v>
      </c>
      <c r="E456" s="66">
        <f>(Tabela2[[#This Row],[Lucro Líquido]])/Tabela2[[#This Row],[Total Ações]]</f>
        <v>1.9298652989827836</v>
      </c>
      <c r="F456" s="66">
        <v>0.72</v>
      </c>
      <c r="G456" s="46">
        <f>IF(AND(Tabela2[[#This Row],[Dividendo / Ação]]&gt;0,Tabela2[[#This Row],[Lucro por ação]]&gt;0),Tabela2[[#This Row],[Dividendo / Ação]]/Tabela2[[#This Row],[Lucro por ação]],"")</f>
        <v>0.37308303350472499</v>
      </c>
      <c r="H456" s="6">
        <f>MAX(Tabela2[[#This Row],[Cotação 1]],Tabela2[[#This Row],[Cotação 2]])</f>
        <v>29</v>
      </c>
      <c r="I456" s="19">
        <f>IF(Tabela2[[#This Row],[Dividendo / Ação]]&gt;0,Tabela2[[#This Row],[Dividendo / Ação]]/Tabela2[[#This Row],[Cotação]],"")</f>
        <v>2.4827586206896551E-2</v>
      </c>
      <c r="J456" s="61">
        <f>SUMPRODUCT(N(Tabela1[Código]=Tabela2[[#This Row],[Ativo]]),Tabela1[Fechamento])</f>
        <v>29</v>
      </c>
      <c r="K456" s="61">
        <f>SUMPRODUCT(N(Tabela17[Código]=Tabela2[[#This Row],[Ativo]]),Tabela17[Fechamento])</f>
        <v>0</v>
      </c>
      <c r="M456" s="3"/>
    </row>
    <row r="457" spans="1:13">
      <c r="A457" s="4" t="s">
        <v>268</v>
      </c>
      <c r="B457" s="4">
        <v>2009</v>
      </c>
      <c r="C457" s="6">
        <v>328416000</v>
      </c>
      <c r="D457" s="8">
        <f>SUMPRODUCT(N(Tabela3[PAPEL]=Tabela2[[#This Row],[Ativo]]),Tabela3[Total Ações])</f>
        <v>323293030</v>
      </c>
      <c r="E457" s="66">
        <f>(Tabela2[[#This Row],[Lucro Líquido]])/Tabela2[[#This Row],[Total Ações]]</f>
        <v>1.0158462123356016</v>
      </c>
      <c r="F457" s="66">
        <v>0.4</v>
      </c>
      <c r="G457" s="46">
        <f>IF(AND(Tabela2[[#This Row],[Dividendo / Ação]]&gt;0,Tabela2[[#This Row],[Lucro por ação]]&gt;0),Tabela2[[#This Row],[Dividendo / Ação]]/Tabela2[[#This Row],[Lucro por ação]],"")</f>
        <v>0.39376038926239892</v>
      </c>
      <c r="H457" s="6">
        <f>MAX(Tabela2[[#This Row],[Cotação 1]],Tabela2[[#This Row],[Cotação 2]])</f>
        <v>29</v>
      </c>
      <c r="I457" s="19">
        <f>IF(Tabela2[[#This Row],[Dividendo / Ação]]&gt;0,Tabela2[[#This Row],[Dividendo / Ação]]/Tabela2[[#This Row],[Cotação]],"")</f>
        <v>1.3793103448275864E-2</v>
      </c>
      <c r="J457" s="61">
        <f>SUMPRODUCT(N(Tabela1[Código]=Tabela2[[#This Row],[Ativo]]),Tabela1[Fechamento])</f>
        <v>29</v>
      </c>
      <c r="K457" s="61">
        <f>SUMPRODUCT(N(Tabela17[Código]=Tabela2[[#This Row],[Ativo]]),Tabela17[Fechamento])</f>
        <v>0</v>
      </c>
      <c r="M457" s="3"/>
    </row>
    <row r="458" spans="1:13">
      <c r="A458" s="4" t="s">
        <v>364</v>
      </c>
      <c r="B458" s="4">
        <v>2012</v>
      </c>
      <c r="C458" s="6">
        <v>313688976.75999999</v>
      </c>
      <c r="D458" s="78">
        <f>SUMPRODUCT(N(Tabela3[PAPEL]=Tabela2[[#This Row],[Ativo]]),Tabela3[Total Ações])</f>
        <v>17887362</v>
      </c>
      <c r="E458" s="66">
        <f>(Tabela2[[#This Row],[Lucro Líquido]])/Tabela2[[#This Row],[Total Ações]]</f>
        <v>17.53690548444203</v>
      </c>
      <c r="F458" s="66">
        <v>5.0837892499999997</v>
      </c>
      <c r="G458" s="45">
        <f>IF(AND(Tabela2[[#This Row],[Dividendo / Ação]]&gt;0,Tabela2[[#This Row],[Lucro por ação]]&gt;0),Tabela2[[#This Row],[Dividendo / Ação]]/Tabela2[[#This Row],[Lucro por ação]],"")</f>
        <v>0.28989089634486048</v>
      </c>
      <c r="H458" s="61">
        <f>MAX(Tabela2[[#This Row],[Cotação 1]],Tabela2[[#This Row],[Cotação 2]])</f>
        <v>58</v>
      </c>
      <c r="I458" s="46">
        <f>IF(Tabela2[[#This Row],[Dividendo / Ação]]&gt;0,Tabela2[[#This Row],[Dividendo / Ação]]/Tabela2[[#This Row],[Cotação]],"")</f>
        <v>8.7651538793103445E-2</v>
      </c>
      <c r="J458" s="17">
        <f>SUMPRODUCT(N(Tabela1[Código]=Tabela2[[#This Row],[Ativo]]),Tabela1[Fechamento])</f>
        <v>0</v>
      </c>
      <c r="K458" s="17">
        <f>SUMPRODUCT(N(Tabela17[Código]=Tabela2[[#This Row],[Ativo]]),Tabela17[Fechamento])</f>
        <v>58</v>
      </c>
      <c r="M458" s="3"/>
    </row>
    <row r="459" spans="1:13">
      <c r="A459" s="4" t="s">
        <v>364</v>
      </c>
      <c r="B459" s="4">
        <v>2011</v>
      </c>
      <c r="C459" s="6">
        <v>96465537.109999999</v>
      </c>
      <c r="D459" s="78">
        <f>SUMPRODUCT(N(Tabela3[PAPEL]=Tabela2[[#This Row],[Ativo]]),Tabela3[Total Ações])</f>
        <v>17887362</v>
      </c>
      <c r="E459" s="66">
        <f>(Tabela2[[#This Row],[Lucro Líquido]])/Tabela2[[#This Row],[Total Ações]]</f>
        <v>5.392943750453532</v>
      </c>
      <c r="F459" s="66">
        <v>2.3852000000000002</v>
      </c>
      <c r="G459" s="45">
        <f>IF(AND(Tabela2[[#This Row],[Dividendo / Ação]]&gt;0,Tabela2[[#This Row],[Lucro por ação]]&gt;0),Tabela2[[#This Row],[Dividendo / Ação]]/Tabela2[[#This Row],[Lucro por ação]],"")</f>
        <v>0.44228163881728072</v>
      </c>
      <c r="H459" s="61">
        <f>MAX(Tabela2[[#This Row],[Cotação 1]],Tabela2[[#This Row],[Cotação 2]])</f>
        <v>58</v>
      </c>
      <c r="I459" s="46">
        <f>IF(Tabela2[[#This Row],[Dividendo / Ação]]&gt;0,Tabela2[[#This Row],[Dividendo / Ação]]/Tabela2[[#This Row],[Cotação]],"")</f>
        <v>4.1124137931034484E-2</v>
      </c>
      <c r="J459" s="17">
        <f>SUMPRODUCT(N(Tabela1[Código]=Tabela2[[#This Row],[Ativo]]),Tabela1[Fechamento])</f>
        <v>0</v>
      </c>
      <c r="K459" s="17">
        <f>SUMPRODUCT(N(Tabela17[Código]=Tabela2[[#This Row],[Ativo]]),Tabela17[Fechamento])</f>
        <v>58</v>
      </c>
      <c r="M459" s="3"/>
    </row>
    <row r="460" spans="1:13">
      <c r="A460" s="4" t="s">
        <v>364</v>
      </c>
      <c r="B460" s="4">
        <v>2010</v>
      </c>
      <c r="C460" s="6">
        <v>86203563.489999995</v>
      </c>
      <c r="D460" s="78">
        <f>SUMPRODUCT(N(Tabela3[PAPEL]=Tabela2[[#This Row],[Ativo]]),Tabela3[Total Ações])</f>
        <v>17887362</v>
      </c>
      <c r="E460" s="66">
        <f>(Tabela2[[#This Row],[Lucro Líquido]])/Tabela2[[#This Row],[Total Ações]]</f>
        <v>4.8192440836161303</v>
      </c>
      <c r="F460" s="66">
        <v>1.2701</v>
      </c>
      <c r="G460" s="45">
        <f>IF(AND(Tabela2[[#This Row],[Dividendo / Ação]]&gt;0,Tabela2[[#This Row],[Lucro por ação]]&gt;0),Tabela2[[#This Row],[Dividendo / Ação]]/Tabela2[[#This Row],[Lucro por ação]],"")</f>
        <v>0.26354755599906815</v>
      </c>
      <c r="H460" s="61">
        <f>MAX(Tabela2[[#This Row],[Cotação 1]],Tabela2[[#This Row],[Cotação 2]])</f>
        <v>58</v>
      </c>
      <c r="I460" s="46">
        <f>IF(Tabela2[[#This Row],[Dividendo / Ação]]&gt;0,Tabela2[[#This Row],[Dividendo / Ação]]/Tabela2[[#This Row],[Cotação]],"")</f>
        <v>2.1898275862068967E-2</v>
      </c>
      <c r="J460" s="17">
        <f>SUMPRODUCT(N(Tabela1[Código]=Tabela2[[#This Row],[Ativo]]),Tabela1[Fechamento])</f>
        <v>0</v>
      </c>
      <c r="K460" s="17">
        <f>SUMPRODUCT(N(Tabela17[Código]=Tabela2[[#This Row],[Ativo]]),Tabela17[Fechamento])</f>
        <v>58</v>
      </c>
      <c r="M460" s="3"/>
    </row>
    <row r="461" spans="1:13">
      <c r="A461" s="4" t="s">
        <v>364</v>
      </c>
      <c r="B461" s="4">
        <v>2009</v>
      </c>
      <c r="C461" s="6">
        <v>74229898.859999999</v>
      </c>
      <c r="D461" s="78">
        <f>SUMPRODUCT(N(Tabela3[PAPEL]=Tabela2[[#This Row],[Ativo]]),Tabela3[Total Ações])</f>
        <v>17887362</v>
      </c>
      <c r="E461" s="66">
        <f>(Tabela2[[#This Row],[Lucro Líquido]])/Tabela2[[#This Row],[Total Ações]]</f>
        <v>4.1498516583943452</v>
      </c>
      <c r="F461" s="66">
        <v>0.79869999999999997</v>
      </c>
      <c r="G461" s="45">
        <f>IF(AND(Tabela2[[#This Row],[Dividendo / Ação]]&gt;0,Tabela2[[#This Row],[Lucro por ação]]&gt;0),Tabela2[[#This Row],[Dividendo / Ação]]/Tabela2[[#This Row],[Lucro por ação]],"")</f>
        <v>0.1924647109697005</v>
      </c>
      <c r="H461" s="61">
        <f>MAX(Tabela2[[#This Row],[Cotação 1]],Tabela2[[#This Row],[Cotação 2]])</f>
        <v>58</v>
      </c>
      <c r="I461" s="46">
        <f>IF(Tabela2[[#This Row],[Dividendo / Ação]]&gt;0,Tabela2[[#This Row],[Dividendo / Ação]]/Tabela2[[#This Row],[Cotação]],"")</f>
        <v>1.3770689655172414E-2</v>
      </c>
      <c r="J461" s="17">
        <f>SUMPRODUCT(N(Tabela1[Código]=Tabela2[[#This Row],[Ativo]]),Tabela1[Fechamento])</f>
        <v>0</v>
      </c>
      <c r="K461" s="17">
        <f>SUMPRODUCT(N(Tabela17[Código]=Tabela2[[#This Row],[Ativo]]),Tabela17[Fechamento])</f>
        <v>58</v>
      </c>
      <c r="M461" s="3"/>
    </row>
    <row r="462" spans="1:13">
      <c r="A462" s="4" t="s">
        <v>283</v>
      </c>
      <c r="B462" s="4">
        <v>2012</v>
      </c>
      <c r="C462" s="6">
        <v>82468112.400000006</v>
      </c>
      <c r="D462" s="8">
        <f>SUMPRODUCT(N(Tabela3[PAPEL]=Tabela2[[#This Row],[Ativo]]),Tabela3[Total Ações])</f>
        <v>265806905</v>
      </c>
      <c r="E462" s="66">
        <f>(Tabela2[[#This Row],[Lucro Líquido]])/Tabela2[[#This Row],[Total Ações]]</f>
        <v>0.31025571890241155</v>
      </c>
      <c r="F462" s="66">
        <v>3.0000000000000001E-6</v>
      </c>
      <c r="G462" s="46">
        <f>IF(AND(Tabela2[[#This Row],[Dividendo / Ação]]&gt;0,Tabela2[[#This Row],[Lucro por ação]]&gt;0),Tabela2[[#This Row],[Dividendo / Ação]]/Tabela2[[#This Row],[Lucro por ação]],"")</f>
        <v>9.6694430343236506E-6</v>
      </c>
      <c r="H462" s="6">
        <f>MAX(Tabela2[[#This Row],[Cotação 1]],Tabela2[[#This Row],[Cotação 2]])</f>
        <v>9.6999999999999993</v>
      </c>
      <c r="I462" s="19">
        <f>IF(Tabela2[[#This Row],[Dividendo / Ação]]&gt;0,Tabela2[[#This Row],[Dividendo / Ação]]/Tabela2[[#This Row],[Cotação]],"")</f>
        <v>3.0927835051546394E-7</v>
      </c>
      <c r="J462" s="61">
        <f>SUMPRODUCT(N(Tabela1[Código]=Tabela2[[#This Row],[Ativo]]),Tabela1[Fechamento])</f>
        <v>0</v>
      </c>
      <c r="K462" s="61">
        <f>SUMPRODUCT(N(Tabela17[Código]=Tabela2[[#This Row],[Ativo]]),Tabela17[Fechamento])</f>
        <v>9.6999999999999993</v>
      </c>
      <c r="M462" s="3"/>
    </row>
    <row r="463" spans="1:13">
      <c r="A463" s="4" t="s">
        <v>283</v>
      </c>
      <c r="B463" s="4">
        <v>2011</v>
      </c>
      <c r="C463" s="6">
        <v>92137357.700000003</v>
      </c>
      <c r="D463" s="8">
        <f>SUMPRODUCT(N(Tabela3[PAPEL]=Tabela2[[#This Row],[Ativo]]),Tabela3[Total Ações])</f>
        <v>265806905</v>
      </c>
      <c r="E463" s="66">
        <f>(Tabela2[[#This Row],[Lucro Líquido]])/Tabela2[[#This Row],[Total Ações]]</f>
        <v>0.34663267193905289</v>
      </c>
      <c r="F463" s="66">
        <v>3.0000000000000001E-6</v>
      </c>
      <c r="G463" s="46">
        <f>IF(AND(Tabela2[[#This Row],[Dividendo / Ação]]&gt;0,Tabela2[[#This Row],[Lucro por ação]]&gt;0),Tabela2[[#This Row],[Dividendo / Ação]]/Tabela2[[#This Row],[Lucro por ação]],"")</f>
        <v>8.6546948480594434E-6</v>
      </c>
      <c r="H463" s="6">
        <f>MAX(Tabela2[[#This Row],[Cotação 1]],Tabela2[[#This Row],[Cotação 2]])</f>
        <v>9.6999999999999993</v>
      </c>
      <c r="I463" s="19">
        <f>IF(Tabela2[[#This Row],[Dividendo / Ação]]&gt;0,Tabela2[[#This Row],[Dividendo / Ação]]/Tabela2[[#This Row],[Cotação]],"")</f>
        <v>3.0927835051546394E-7</v>
      </c>
      <c r="J463" s="61">
        <f>SUMPRODUCT(N(Tabela1[Código]=Tabela2[[#This Row],[Ativo]]),Tabela1[Fechamento])</f>
        <v>0</v>
      </c>
      <c r="K463" s="61">
        <f>SUMPRODUCT(N(Tabela17[Código]=Tabela2[[#This Row],[Ativo]]),Tabela17[Fechamento])</f>
        <v>9.6999999999999993</v>
      </c>
      <c r="M463" s="3"/>
    </row>
    <row r="464" spans="1:13">
      <c r="A464" s="4" t="s">
        <v>283</v>
      </c>
      <c r="B464" s="4">
        <v>2010</v>
      </c>
      <c r="C464" s="6">
        <v>35594641.18</v>
      </c>
      <c r="D464" s="8">
        <f>SUMPRODUCT(N(Tabela3[PAPEL]=Tabela2[[#This Row],[Ativo]]),Tabela3[Total Ações])</f>
        <v>265806905</v>
      </c>
      <c r="E464" s="66">
        <f>(Tabela2[[#This Row],[Lucro Líquido]])/Tabela2[[#This Row],[Total Ações]]</f>
        <v>0.13391164981210701</v>
      </c>
      <c r="F464" s="66">
        <v>0.18173600000000001</v>
      </c>
      <c r="G464" s="46">
        <f>IF(AND(Tabela2[[#This Row],[Dividendo / Ação]]&gt;0,Tabela2[[#This Row],[Lucro por ação]]&gt;0),Tabela2[[#This Row],[Dividendo / Ação]]/Tabela2[[#This Row],[Lucro por ação]],"")</f>
        <v>1.3571336045444582</v>
      </c>
      <c r="H464" s="6">
        <f>MAX(Tabela2[[#This Row],[Cotação 1]],Tabela2[[#This Row],[Cotação 2]])</f>
        <v>9.6999999999999993</v>
      </c>
      <c r="I464" s="19">
        <f>IF(Tabela2[[#This Row],[Dividendo / Ação]]&gt;0,Tabela2[[#This Row],[Dividendo / Ação]]/Tabela2[[#This Row],[Cotação]],"")</f>
        <v>1.8735670103092787E-2</v>
      </c>
      <c r="J464" s="61">
        <f>SUMPRODUCT(N(Tabela1[Código]=Tabela2[[#This Row],[Ativo]]),Tabela1[Fechamento])</f>
        <v>0</v>
      </c>
      <c r="K464" s="61">
        <f>SUMPRODUCT(N(Tabela17[Código]=Tabela2[[#This Row],[Ativo]]),Tabela17[Fechamento])</f>
        <v>9.6999999999999993</v>
      </c>
      <c r="M464" s="3"/>
    </row>
    <row r="465" spans="1:13">
      <c r="A465" s="4" t="s">
        <v>204</v>
      </c>
      <c r="B465" s="4">
        <v>2012</v>
      </c>
      <c r="C465" s="6">
        <v>26381000</v>
      </c>
      <c r="D465" s="8">
        <f>SUMPRODUCT(N(Tabela3[PAPEL]=Tabela2[[#This Row],[Ativo]]),Tabela3[Total Ações])</f>
        <v>166720235</v>
      </c>
      <c r="E465" s="66">
        <f>(Tabela2[[#This Row],[Lucro Líquido]])/Tabela2[[#This Row],[Total Ações]]</f>
        <v>0.15823514164312449</v>
      </c>
      <c r="F465" s="66">
        <v>6.1899999999999997E-2</v>
      </c>
      <c r="G465" s="46">
        <f>IF(AND(Tabela2[[#This Row],[Dividendo / Ação]]&gt;0,Tabela2[[#This Row],[Lucro por ação]]&gt;0),Tabela2[[#This Row],[Dividendo / Ação]]/Tabela2[[#This Row],[Lucro por ação]],"")</f>
        <v>0.39118996802623096</v>
      </c>
      <c r="H465" s="6">
        <f>MAX(Tabela2[[#This Row],[Cotação 1]],Tabela2[[#This Row],[Cotação 2]])</f>
        <v>3.25</v>
      </c>
      <c r="I465" s="19">
        <f>IF(Tabela2[[#This Row],[Dividendo / Ação]]&gt;0,Tabela2[[#This Row],[Dividendo / Ação]]/Tabela2[[#This Row],[Cotação]],"")</f>
        <v>1.9046153846153845E-2</v>
      </c>
      <c r="J465" s="61">
        <f>SUMPRODUCT(N(Tabela1[Código]=Tabela2[[#This Row],[Ativo]]),Tabela1[Fechamento])</f>
        <v>3.25</v>
      </c>
      <c r="K465" s="61">
        <f>SUMPRODUCT(N(Tabela17[Código]=Tabela2[[#This Row],[Ativo]]),Tabela17[Fechamento])</f>
        <v>0</v>
      </c>
      <c r="M465" s="3"/>
    </row>
    <row r="466" spans="1:13">
      <c r="A466" s="4" t="s">
        <v>204</v>
      </c>
      <c r="B466" s="3">
        <v>2011</v>
      </c>
      <c r="C466" s="5">
        <v>9354000</v>
      </c>
      <c r="D466" s="62">
        <f>SUMPRODUCT(N(Tabela3[PAPEL]=Tabela2[[#This Row],[Ativo]]),Tabela3[Total Ações])</f>
        <v>166720235</v>
      </c>
      <c r="E466" s="65">
        <f>(Tabela2[[#This Row],[Lucro Líquido]])/Tabela2[[#This Row],[Total Ações]]</f>
        <v>5.610596698115259E-2</v>
      </c>
      <c r="F466" s="65">
        <v>6.0350000000000001E-2</v>
      </c>
      <c r="G466" s="22">
        <f>IF(AND(Tabela2[[#This Row],[Dividendo / Ação]]&gt;0,Tabela2[[#This Row],[Lucro por ação]]&gt;0),Tabela2[[#This Row],[Dividendo / Ação]]/Tabela2[[#This Row],[Lucro por ação]],"")</f>
        <v>1.0756431668002993</v>
      </c>
      <c r="H466" s="5">
        <f>MAX(Tabela2[[#This Row],[Cotação 1]],Tabela2[[#This Row],[Cotação 2]])</f>
        <v>3.25</v>
      </c>
      <c r="I466" s="18">
        <f>IF(Tabela2[[#This Row],[Dividendo / Ação]]&gt;0,Tabela2[[#This Row],[Dividendo / Ação]]/Tabela2[[#This Row],[Cotação]],"")</f>
        <v>1.8569230769230768E-2</v>
      </c>
      <c r="J466" s="60">
        <f>SUMPRODUCT(N(Tabela1[Código]=Tabela2[[#This Row],[Ativo]]),Tabela1[Fechamento])</f>
        <v>3.25</v>
      </c>
      <c r="K466" s="60">
        <f>SUMPRODUCT(N(Tabela17[Código]=Tabela2[[#This Row],[Ativo]]),Tabela17[Fechamento])</f>
        <v>0</v>
      </c>
      <c r="M466" s="3"/>
    </row>
    <row r="467" spans="1:13">
      <c r="A467" s="4" t="s">
        <v>204</v>
      </c>
      <c r="B467" s="3">
        <v>2010</v>
      </c>
      <c r="C467" s="5">
        <v>34360000</v>
      </c>
      <c r="D467" s="62">
        <f>SUMPRODUCT(N(Tabela3[PAPEL]=Tabela2[[#This Row],[Ativo]]),Tabela3[Total Ações])</f>
        <v>166720235</v>
      </c>
      <c r="E467" s="65">
        <f>(Tabela2[[#This Row],[Lucro Líquido]])/Tabela2[[#This Row],[Total Ações]]</f>
        <v>0.20609375940478972</v>
      </c>
      <c r="F467" s="65">
        <v>5.9830000000000001E-2</v>
      </c>
      <c r="G467" s="22">
        <f>IF(AND(Tabela2[[#This Row],[Dividendo / Ação]]&gt;0,Tabela2[[#This Row],[Lucro por ação]]&gt;0),Tabela2[[#This Row],[Dividendo / Ação]]/Tabela2[[#This Row],[Lucro por ação]],"")</f>
        <v>0.29030476309807918</v>
      </c>
      <c r="H467" s="5">
        <f>MAX(Tabela2[[#This Row],[Cotação 1]],Tabela2[[#This Row],[Cotação 2]])</f>
        <v>3.25</v>
      </c>
      <c r="I467" s="18">
        <f>IF(Tabela2[[#This Row],[Dividendo / Ação]]&gt;0,Tabela2[[#This Row],[Dividendo / Ação]]/Tabela2[[#This Row],[Cotação]],"")</f>
        <v>1.8409230769230768E-2</v>
      </c>
      <c r="J467" s="60">
        <f>SUMPRODUCT(N(Tabela1[Código]=Tabela2[[#This Row],[Ativo]]),Tabela1[Fechamento])</f>
        <v>3.25</v>
      </c>
      <c r="K467" s="60">
        <f>SUMPRODUCT(N(Tabela17[Código]=Tabela2[[#This Row],[Ativo]]),Tabela17[Fechamento])</f>
        <v>0</v>
      </c>
      <c r="M467" s="3"/>
    </row>
    <row r="468" spans="1:13">
      <c r="A468" s="4" t="s">
        <v>205</v>
      </c>
      <c r="B468" s="4">
        <v>2012</v>
      </c>
      <c r="C468" s="6">
        <v>26381000</v>
      </c>
      <c r="D468" s="8">
        <f>SUMPRODUCT(N(Tabela3[PAPEL]=Tabela2[[#This Row],[Ativo]]),Tabela3[Total Ações])</f>
        <v>166720235</v>
      </c>
      <c r="E468" s="66">
        <f>(Tabela2[[#This Row],[Lucro Líquido]])/Tabela2[[#This Row],[Total Ações]]</f>
        <v>0.15823514164312449</v>
      </c>
      <c r="F468" s="66">
        <v>6.1899999999999997E-2</v>
      </c>
      <c r="G468" s="46">
        <f>IF(AND(Tabela2[[#This Row],[Dividendo / Ação]]&gt;0,Tabela2[[#This Row],[Lucro por ação]]&gt;0),Tabela2[[#This Row],[Dividendo / Ação]]/Tabela2[[#This Row],[Lucro por ação]],"")</f>
        <v>0.39118996802623096</v>
      </c>
      <c r="H468" s="6">
        <f>MAX(Tabela2[[#This Row],[Cotação 1]],Tabela2[[#This Row],[Cotação 2]])</f>
        <v>3.36</v>
      </c>
      <c r="I468" s="19">
        <f>IF(Tabela2[[#This Row],[Dividendo / Ação]]&gt;0,Tabela2[[#This Row],[Dividendo / Ação]]/Tabela2[[#This Row],[Cotação]],"")</f>
        <v>1.8422619047619049E-2</v>
      </c>
      <c r="J468" s="61">
        <f>SUMPRODUCT(N(Tabela1[Código]=Tabela2[[#This Row],[Ativo]]),Tabela1[Fechamento])</f>
        <v>3.36</v>
      </c>
      <c r="K468" s="61">
        <f>SUMPRODUCT(N(Tabela17[Código]=Tabela2[[#This Row],[Ativo]]),Tabela17[Fechamento])</f>
        <v>0</v>
      </c>
      <c r="M468" s="3"/>
    </row>
    <row r="469" spans="1:13">
      <c r="A469" s="4" t="s">
        <v>205</v>
      </c>
      <c r="B469" s="4">
        <v>2011</v>
      </c>
      <c r="C469" s="5">
        <v>9354000</v>
      </c>
      <c r="D469" s="8">
        <f>SUMPRODUCT(N(Tabela3[PAPEL]=Tabela2[[#This Row],[Ativo]]),Tabela3[Total Ações])</f>
        <v>166720235</v>
      </c>
      <c r="E469" s="66">
        <f>(Tabela2[[#This Row],[Lucro Líquido]])/Tabela2[[#This Row],[Total Ações]]</f>
        <v>5.610596698115259E-2</v>
      </c>
      <c r="F469" s="66">
        <v>6.6379999999999995E-2</v>
      </c>
      <c r="G469" s="46">
        <f>IF(AND(Tabela2[[#This Row],[Dividendo / Ação]]&gt;0,Tabela2[[#This Row],[Lucro por ação]]&gt;0),Tabela2[[#This Row],[Dividendo / Ação]]/Tabela2[[#This Row],[Lucro por ação]],"")</f>
        <v>1.1831183663994012</v>
      </c>
      <c r="H469" s="6">
        <f>MAX(Tabela2[[#This Row],[Cotação 1]],Tabela2[[#This Row],[Cotação 2]])</f>
        <v>3.36</v>
      </c>
      <c r="I469" s="19">
        <f>IF(Tabela2[[#This Row],[Dividendo / Ação]]&gt;0,Tabela2[[#This Row],[Dividendo / Ação]]/Tabela2[[#This Row],[Cotação]],"")</f>
        <v>1.9755952380952381E-2</v>
      </c>
      <c r="J469" s="61">
        <f>SUMPRODUCT(N(Tabela1[Código]=Tabela2[[#This Row],[Ativo]]),Tabela1[Fechamento])</f>
        <v>3.36</v>
      </c>
      <c r="K469" s="61">
        <f>SUMPRODUCT(N(Tabela17[Código]=Tabela2[[#This Row],[Ativo]]),Tabela17[Fechamento])</f>
        <v>0</v>
      </c>
      <c r="M469" s="3"/>
    </row>
    <row r="470" spans="1:13">
      <c r="A470" s="4" t="s">
        <v>205</v>
      </c>
      <c r="B470" s="4">
        <v>2010</v>
      </c>
      <c r="C470" s="5">
        <v>34360000</v>
      </c>
      <c r="D470" s="8">
        <f>SUMPRODUCT(N(Tabela3[PAPEL]=Tabela2[[#This Row],[Ativo]]),Tabela3[Total Ações])</f>
        <v>166720235</v>
      </c>
      <c r="E470" s="66">
        <f>(Tabela2[[#This Row],[Lucro Líquido]])/Tabela2[[#This Row],[Total Ações]]</f>
        <v>0.20609375940478972</v>
      </c>
      <c r="F470" s="66">
        <v>6.5809999999999994E-2</v>
      </c>
      <c r="G470" s="46">
        <f>IF(AND(Tabela2[[#This Row],[Dividendo / Ação]]&gt;0,Tabela2[[#This Row],[Lucro por ação]]&gt;0),Tabela2[[#This Row],[Dividendo / Ação]]/Tabela2[[#This Row],[Lucro por ação]],"")</f>
        <v>0.31932068292636784</v>
      </c>
      <c r="H470" s="6">
        <f>MAX(Tabela2[[#This Row],[Cotação 1]],Tabela2[[#This Row],[Cotação 2]])</f>
        <v>3.36</v>
      </c>
      <c r="I470" s="19">
        <f>IF(Tabela2[[#This Row],[Dividendo / Ação]]&gt;0,Tabela2[[#This Row],[Dividendo / Ação]]/Tabela2[[#This Row],[Cotação]],"")</f>
        <v>1.9586309523809523E-2</v>
      </c>
      <c r="J470" s="61">
        <f>SUMPRODUCT(N(Tabela1[Código]=Tabela2[[#This Row],[Ativo]]),Tabela1[Fechamento])</f>
        <v>3.36</v>
      </c>
      <c r="K470" s="61">
        <f>SUMPRODUCT(N(Tabela17[Código]=Tabela2[[#This Row],[Ativo]]),Tabela17[Fechamento])</f>
        <v>0</v>
      </c>
      <c r="M470" s="3"/>
    </row>
    <row r="471" spans="1:13">
      <c r="A471" s="4" t="s">
        <v>68</v>
      </c>
      <c r="B471" s="4">
        <v>2012</v>
      </c>
      <c r="C471" s="6">
        <v>50944000</v>
      </c>
      <c r="D471" s="8">
        <f>SUMPRODUCT(N(Tabela3[PAPEL]=Tabela2[[#This Row],[Ativo]]),Tabela3[Total Ações])</f>
        <v>108480828</v>
      </c>
      <c r="E471" s="64">
        <f>(Tabela2[[#This Row],[Lucro Líquido]])/Tabela2[[#This Row],[Total Ações]]</f>
        <v>0.46961293473903054</v>
      </c>
      <c r="F471" s="64">
        <v>0.25598361800000002</v>
      </c>
      <c r="G471" s="18">
        <f>IF(AND(Tabela2[[#This Row],[Dividendo / Ação]]&gt;0,Tabela2[[#This Row],[Lucro por ação]]&gt;0),Tabela2[[#This Row],[Dividendo / Ação]]/Tabela2[[#This Row],[Lucro por ação]],"")</f>
        <v>0.5450949048970577</v>
      </c>
      <c r="H471" s="5">
        <f>MAX(Tabela2[[#This Row],[Cotação 1]],Tabela2[[#This Row],[Cotação 2]])</f>
        <v>5.96</v>
      </c>
      <c r="I471" s="18">
        <f>IF(Tabela2[[#This Row],[Dividendo / Ação]]&gt;0,Tabela2[[#This Row],[Dividendo / Ação]]/Tabela2[[#This Row],[Cotação]],"")</f>
        <v>4.2950271476510073E-2</v>
      </c>
      <c r="J471" s="60">
        <f>SUMPRODUCT(N(Tabela1[Código]=Tabela2[[#This Row],[Ativo]]),Tabela1[Fechamento])</f>
        <v>5.96</v>
      </c>
      <c r="K471" s="60">
        <f>SUMPRODUCT(N(Tabela17[Código]=Tabela2[[#This Row],[Ativo]]),Tabela17[Fechamento])</f>
        <v>0</v>
      </c>
      <c r="M471" s="3"/>
    </row>
    <row r="472" spans="1:13">
      <c r="A472" s="4" t="s">
        <v>68</v>
      </c>
      <c r="B472" s="4">
        <v>2011</v>
      </c>
      <c r="C472" s="6">
        <v>42494000</v>
      </c>
      <c r="D472" s="8">
        <f>SUMPRODUCT(N(Tabela3[PAPEL]=Tabela2[[#This Row],[Ativo]]),Tabela3[Total Ações])</f>
        <v>108480828</v>
      </c>
      <c r="E472" s="64">
        <f>(Tabela2[[#This Row],[Lucro Líquido]])/Tabela2[[#This Row],[Total Ações]]</f>
        <v>0.39171898651068554</v>
      </c>
      <c r="F472" s="64">
        <v>0.36250183699999999</v>
      </c>
      <c r="G472" s="19">
        <f>IF(AND(Tabela2[[#This Row],[Dividendo / Ação]]&gt;0,Tabela2[[#This Row],[Lucro por ação]]&gt;0),Tabela2[[#This Row],[Dividendo / Ação]]/Tabela2[[#This Row],[Lucro por ação]],"")</f>
        <v>0.9254129860517023</v>
      </c>
      <c r="H472" s="6">
        <f>MAX(Tabela2[[#This Row],[Cotação 1]],Tabela2[[#This Row],[Cotação 2]])</f>
        <v>5.96</v>
      </c>
      <c r="I472" s="18">
        <f>IF(Tabela2[[#This Row],[Dividendo / Ação]]&gt;0,Tabela2[[#This Row],[Dividendo / Ação]]/Tabela2[[#This Row],[Cotação]],"")</f>
        <v>6.0822455872483222E-2</v>
      </c>
      <c r="J472" s="60">
        <f>SUMPRODUCT(N(Tabela1[Código]=Tabela2[[#This Row],[Ativo]]),Tabela1[Fechamento])</f>
        <v>5.96</v>
      </c>
      <c r="K472" s="60">
        <f>SUMPRODUCT(N(Tabela17[Código]=Tabela2[[#This Row],[Ativo]]),Tabela17[Fechamento])</f>
        <v>0</v>
      </c>
      <c r="M472" s="3"/>
    </row>
    <row r="473" spans="1:13">
      <c r="A473" s="4" t="s">
        <v>68</v>
      </c>
      <c r="B473" s="4">
        <v>2010</v>
      </c>
      <c r="C473" s="6">
        <v>60637000</v>
      </c>
      <c r="D473" s="8">
        <f>SUMPRODUCT(N(Tabela3[PAPEL]=Tabela2[[#This Row],[Ativo]]),Tabela3[Total Ações])</f>
        <v>108480828</v>
      </c>
      <c r="E473" s="64">
        <f>(Tabela2[[#This Row],[Lucro Líquido]])/Tabela2[[#This Row],[Total Ações]]</f>
        <v>0.55896512884285876</v>
      </c>
      <c r="F473" s="64">
        <v>0.41899999999999998</v>
      </c>
      <c r="G473" s="19">
        <f>IF(AND(Tabela2[[#This Row],[Dividendo / Ação]]&gt;0,Tabela2[[#This Row],[Lucro por ação]]&gt;0),Tabela2[[#This Row],[Dividendo / Ação]]/Tabela2[[#This Row],[Lucro por ação]],"")</f>
        <v>0.74959953381598687</v>
      </c>
      <c r="H473" s="6">
        <f>MAX(Tabela2[[#This Row],[Cotação 1]],Tabela2[[#This Row],[Cotação 2]])</f>
        <v>5.96</v>
      </c>
      <c r="I473" s="18">
        <f>IF(Tabela2[[#This Row],[Dividendo / Ação]]&gt;0,Tabela2[[#This Row],[Dividendo / Ação]]/Tabela2[[#This Row],[Cotação]],"")</f>
        <v>7.030201342281879E-2</v>
      </c>
      <c r="J473" s="60">
        <f>SUMPRODUCT(N(Tabela1[Código]=Tabela2[[#This Row],[Ativo]]),Tabela1[Fechamento])</f>
        <v>5.96</v>
      </c>
      <c r="K473" s="60">
        <f>SUMPRODUCT(N(Tabela17[Código]=Tabela2[[#This Row],[Ativo]]),Tabela17[Fechamento])</f>
        <v>0</v>
      </c>
      <c r="M473" s="3"/>
    </row>
    <row r="474" spans="1:13">
      <c r="A474" s="14" t="s">
        <v>213</v>
      </c>
      <c r="B474" s="3">
        <v>2012</v>
      </c>
      <c r="C474" s="5">
        <v>52406000</v>
      </c>
      <c r="D474" s="62">
        <f>SUMPRODUCT(N(Tabela3[PAPEL]=Tabela2[[#This Row],[Ativo]]),Tabela3[Total Ações])</f>
        <v>84682269</v>
      </c>
      <c r="E474" s="65">
        <f>(Tabela2[[#This Row],[Lucro Líquido]])/Tabela2[[#This Row],[Total Ações]]</f>
        <v>0.61885446172917258</v>
      </c>
      <c r="F474" s="65">
        <v>1.0399999999999999E-3</v>
      </c>
      <c r="G474" s="22">
        <f>IF(AND(Tabela2[[#This Row],[Dividendo / Ação]]&gt;0,Tabela2[[#This Row],[Lucro por ação]]&gt;0),Tabela2[[#This Row],[Dividendo / Ação]]/Tabela2[[#This Row],[Lucro por ação]],"")</f>
        <v>1.6805243628592145E-3</v>
      </c>
      <c r="H474" s="5">
        <f>MAX(Tabela2[[#This Row],[Cotação 1]],Tabela2[[#This Row],[Cotação 2]])</f>
        <v>3.08</v>
      </c>
      <c r="I474" s="18">
        <f>IF(Tabela2[[#This Row],[Dividendo / Ação]]&gt;0,Tabela2[[#This Row],[Dividendo / Ação]]/Tabela2[[#This Row],[Cotação]],"")</f>
        <v>3.3766233766233762E-4</v>
      </c>
      <c r="J474" s="60">
        <f>SUMPRODUCT(N(Tabela1[Código]=Tabela2[[#This Row],[Ativo]]),Tabela1[Fechamento])</f>
        <v>3.08</v>
      </c>
      <c r="K474" s="60">
        <f>SUMPRODUCT(N(Tabela17[Código]=Tabela2[[#This Row],[Ativo]]),Tabela17[Fechamento])</f>
        <v>0</v>
      </c>
      <c r="M474" s="3"/>
    </row>
    <row r="475" spans="1:13">
      <c r="A475" s="14" t="s">
        <v>213</v>
      </c>
      <c r="B475" s="3">
        <v>2011</v>
      </c>
      <c r="C475" s="5">
        <v>47835000</v>
      </c>
      <c r="D475" s="62">
        <f>SUMPRODUCT(N(Tabela3[PAPEL]=Tabela2[[#This Row],[Ativo]]),Tabela3[Total Ações])</f>
        <v>84682269</v>
      </c>
      <c r="E475" s="65">
        <f>(Tabela2[[#This Row],[Lucro Líquido]])/Tabela2[[#This Row],[Total Ações]]</f>
        <v>0.56487621983770886</v>
      </c>
      <c r="F475" s="65">
        <v>0</v>
      </c>
      <c r="G475" s="22" t="str">
        <f>IF(AND(Tabela2[[#This Row],[Dividendo / Ação]]&gt;0,Tabela2[[#This Row],[Lucro por ação]]&gt;0),Tabela2[[#This Row],[Dividendo / Ação]]/Tabela2[[#This Row],[Lucro por ação]],"")</f>
        <v/>
      </c>
      <c r="H475" s="5">
        <f>MAX(Tabela2[[#This Row],[Cotação 1]],Tabela2[[#This Row],[Cotação 2]])</f>
        <v>3.08</v>
      </c>
      <c r="I475" s="18" t="str">
        <f>IF(Tabela2[[#This Row],[Dividendo / Ação]]&gt;0,Tabela2[[#This Row],[Dividendo / Ação]]/Tabela2[[#This Row],[Cotação]],"")</f>
        <v/>
      </c>
      <c r="J475" s="60">
        <f>SUMPRODUCT(N(Tabela1[Código]=Tabela2[[#This Row],[Ativo]]),Tabela1[Fechamento])</f>
        <v>3.08</v>
      </c>
      <c r="K475" s="60">
        <f>SUMPRODUCT(N(Tabela17[Código]=Tabela2[[#This Row],[Ativo]]),Tabela17[Fechamento])</f>
        <v>0</v>
      </c>
      <c r="M475" s="3"/>
    </row>
    <row r="476" spans="1:13">
      <c r="A476" s="14" t="s">
        <v>213</v>
      </c>
      <c r="B476" s="3">
        <v>2010</v>
      </c>
      <c r="C476" s="5">
        <v>43244000</v>
      </c>
      <c r="D476" s="62">
        <f>SUMPRODUCT(N(Tabela3[PAPEL]=Tabela2[[#This Row],[Ativo]]),Tabela3[Total Ações])</f>
        <v>84682269</v>
      </c>
      <c r="E476" s="65">
        <f>(Tabela2[[#This Row],[Lucro Líquido]])/Tabela2[[#This Row],[Total Ações]]</f>
        <v>0.51066180099638092</v>
      </c>
      <c r="F476" s="65">
        <v>4.8799999999999998E-3</v>
      </c>
      <c r="G476" s="22">
        <f>IF(AND(Tabela2[[#This Row],[Dividendo / Ação]]&gt;0,Tabela2[[#This Row],[Lucro por ação]]&gt;0),Tabela2[[#This Row],[Dividendo / Ação]]/Tabela2[[#This Row],[Lucro por ação]],"")</f>
        <v>9.5562268226806035E-3</v>
      </c>
      <c r="H476" s="5">
        <f>MAX(Tabela2[[#This Row],[Cotação 1]],Tabela2[[#This Row],[Cotação 2]])</f>
        <v>3.08</v>
      </c>
      <c r="I476" s="18">
        <f>IF(Tabela2[[#This Row],[Dividendo / Ação]]&gt;0,Tabela2[[#This Row],[Dividendo / Ação]]/Tabela2[[#This Row],[Cotação]],"")</f>
        <v>1.5844155844155843E-3</v>
      </c>
      <c r="J476" s="60">
        <f>SUMPRODUCT(N(Tabela1[Código]=Tabela2[[#This Row],[Ativo]]),Tabela1[Fechamento])</f>
        <v>3.08</v>
      </c>
      <c r="K476" s="60">
        <f>SUMPRODUCT(N(Tabela17[Código]=Tabela2[[#This Row],[Ativo]]),Tabela17[Fechamento])</f>
        <v>0</v>
      </c>
      <c r="M476" s="3"/>
    </row>
    <row r="477" spans="1:13">
      <c r="A477" s="14" t="s">
        <v>213</v>
      </c>
      <c r="B477" s="3">
        <v>2009</v>
      </c>
      <c r="C477" s="5">
        <v>40621000</v>
      </c>
      <c r="D477" s="62">
        <f>SUMPRODUCT(N(Tabela3[PAPEL]=Tabela2[[#This Row],[Ativo]]),Tabela3[Total Ações])</f>
        <v>84682269</v>
      </c>
      <c r="E477" s="65">
        <f>(Tabela2[[#This Row],[Lucro Líquido]])/Tabela2[[#This Row],[Total Ações]]</f>
        <v>0.47968719402169063</v>
      </c>
      <c r="F477" s="65">
        <v>3.2800000000000003E-2</v>
      </c>
      <c r="G477" s="22">
        <f>IF(AND(Tabela2[[#This Row],[Dividendo / Ação]]&gt;0,Tabela2[[#This Row],[Lucro por ação]]&gt;0),Tabela2[[#This Row],[Dividendo / Ação]]/Tabela2[[#This Row],[Lucro por ação]],"")</f>
        <v>6.8377893779079796E-2</v>
      </c>
      <c r="H477" s="5">
        <f>MAX(Tabela2[[#This Row],[Cotação 1]],Tabela2[[#This Row],[Cotação 2]])</f>
        <v>3.08</v>
      </c>
      <c r="I477" s="18">
        <f>IF(Tabela2[[#This Row],[Dividendo / Ação]]&gt;0,Tabela2[[#This Row],[Dividendo / Ação]]/Tabela2[[#This Row],[Cotação]],"")</f>
        <v>1.064935064935065E-2</v>
      </c>
      <c r="J477" s="60">
        <f>SUMPRODUCT(N(Tabela1[Código]=Tabela2[[#This Row],[Ativo]]),Tabela1[Fechamento])</f>
        <v>3.08</v>
      </c>
      <c r="K477" s="60">
        <f>SUMPRODUCT(N(Tabela17[Código]=Tabela2[[#This Row],[Ativo]]),Tabela17[Fechamento])</f>
        <v>0</v>
      </c>
      <c r="M477" s="3"/>
    </row>
    <row r="478" spans="1:13">
      <c r="A478" s="14" t="s">
        <v>80</v>
      </c>
      <c r="B478" s="3">
        <v>2012</v>
      </c>
      <c r="C478" s="5">
        <v>52406000</v>
      </c>
      <c r="D478" s="62">
        <f>SUMPRODUCT(N(Tabela3[PAPEL]=Tabela2[[#This Row],[Ativo]]),Tabela3[Total Ações])</f>
        <v>84682269</v>
      </c>
      <c r="E478" s="65">
        <f>(Tabela2[[#This Row],[Lucro Líquido]])/Tabela2[[#This Row],[Total Ações]]</f>
        <v>0.61885446172917258</v>
      </c>
      <c r="F478" s="65">
        <v>0.38174999999999998</v>
      </c>
      <c r="G478" s="22">
        <f>IF(AND(Tabela2[[#This Row],[Dividendo / Ação]]&gt;0,Tabela2[[#This Row],[Lucro por ação]]&gt;0),Tabela2[[#This Row],[Dividendo / Ação]]/Tabela2[[#This Row],[Lucro por ação]],"")</f>
        <v>0.61686555338606264</v>
      </c>
      <c r="H478" s="5">
        <f>MAX(Tabela2[[#This Row],[Cotação 1]],Tabela2[[#This Row],[Cotação 2]])</f>
        <v>6.8</v>
      </c>
      <c r="I478" s="18">
        <f>IF(Tabela2[[#This Row],[Dividendo / Ação]]&gt;0,Tabela2[[#This Row],[Dividendo / Ação]]/Tabela2[[#This Row],[Cotação]],"")</f>
        <v>5.6139705882352939E-2</v>
      </c>
      <c r="J478" s="60">
        <f>SUMPRODUCT(N(Tabela1[Código]=Tabela2[[#This Row],[Ativo]]),Tabela1[Fechamento])</f>
        <v>6.8</v>
      </c>
      <c r="K478" s="60">
        <f>SUMPRODUCT(N(Tabela17[Código]=Tabela2[[#This Row],[Ativo]]),Tabela17[Fechamento])</f>
        <v>0</v>
      </c>
      <c r="M478" s="3"/>
    </row>
    <row r="479" spans="1:13">
      <c r="A479" s="14" t="s">
        <v>80</v>
      </c>
      <c r="B479" s="3">
        <v>2011</v>
      </c>
      <c r="C479" s="5">
        <v>47835000</v>
      </c>
      <c r="D479" s="62">
        <f>SUMPRODUCT(N(Tabela3[PAPEL]=Tabela2[[#This Row],[Ativo]]),Tabela3[Total Ações])</f>
        <v>84682269</v>
      </c>
      <c r="E479" s="65">
        <f>(Tabela2[[#This Row],[Lucro Líquido]])/Tabela2[[#This Row],[Total Ações]]</f>
        <v>0.56487621983770886</v>
      </c>
      <c r="F479" s="65">
        <v>0.34691</v>
      </c>
      <c r="G479" s="22">
        <f>IF(AND(Tabela2[[#This Row],[Dividendo / Ação]]&gt;0,Tabela2[[#This Row],[Lucro por ação]]&gt;0),Tabela2[[#This Row],[Dividendo / Ação]]/Tabela2[[#This Row],[Lucro por ação]],"")</f>
        <v>0.61413454455503291</v>
      </c>
      <c r="H479" s="5">
        <f>MAX(Tabela2[[#This Row],[Cotação 1]],Tabela2[[#This Row],[Cotação 2]])</f>
        <v>6.8</v>
      </c>
      <c r="I479" s="18">
        <f>IF(Tabela2[[#This Row],[Dividendo / Ação]]&gt;0,Tabela2[[#This Row],[Dividendo / Ação]]/Tabela2[[#This Row],[Cotação]],"")</f>
        <v>5.1016176470588238E-2</v>
      </c>
      <c r="J479" s="60">
        <f>SUMPRODUCT(N(Tabela1[Código]=Tabela2[[#This Row],[Ativo]]),Tabela1[Fechamento])</f>
        <v>6.8</v>
      </c>
      <c r="K479" s="60">
        <f>SUMPRODUCT(N(Tabela17[Código]=Tabela2[[#This Row],[Ativo]]),Tabela17[Fechamento])</f>
        <v>0</v>
      </c>
      <c r="M479" s="3"/>
    </row>
    <row r="480" spans="1:13">
      <c r="A480" s="14" t="s">
        <v>80</v>
      </c>
      <c r="B480" s="3">
        <v>2010</v>
      </c>
      <c r="C480" s="5">
        <v>43244000</v>
      </c>
      <c r="D480" s="62">
        <f>SUMPRODUCT(N(Tabela3[PAPEL]=Tabela2[[#This Row],[Ativo]]),Tabela3[Total Ações])</f>
        <v>84682269</v>
      </c>
      <c r="E480" s="65">
        <f>(Tabela2[[#This Row],[Lucro Líquido]])/Tabela2[[#This Row],[Total Ações]]</f>
        <v>0.51066180099638092</v>
      </c>
      <c r="F480" s="65">
        <v>0.34364</v>
      </c>
      <c r="G480" s="22">
        <f>IF(AND(Tabela2[[#This Row],[Dividendo / Ação]]&gt;0,Tabela2[[#This Row],[Lucro por ação]]&gt;0),Tabela2[[#This Row],[Dividendo / Ação]]/Tabela2[[#This Row],[Lucro por ação]],"")</f>
        <v>0.67293069371843495</v>
      </c>
      <c r="H480" s="5">
        <f>MAX(Tabela2[[#This Row],[Cotação 1]],Tabela2[[#This Row],[Cotação 2]])</f>
        <v>6.8</v>
      </c>
      <c r="I480" s="18">
        <f>IF(Tabela2[[#This Row],[Dividendo / Ação]]&gt;0,Tabela2[[#This Row],[Dividendo / Ação]]/Tabela2[[#This Row],[Cotação]],"")</f>
        <v>5.053529411764706E-2</v>
      </c>
      <c r="J480" s="60">
        <f>SUMPRODUCT(N(Tabela1[Código]=Tabela2[[#This Row],[Ativo]]),Tabela1[Fechamento])</f>
        <v>6.8</v>
      </c>
      <c r="K480" s="60">
        <f>SUMPRODUCT(N(Tabela17[Código]=Tabela2[[#This Row],[Ativo]]),Tabela17[Fechamento])</f>
        <v>0</v>
      </c>
      <c r="M480" s="3"/>
    </row>
    <row r="481" spans="1:13">
      <c r="A481" s="14" t="s">
        <v>80</v>
      </c>
      <c r="B481" s="3">
        <v>2009</v>
      </c>
      <c r="C481" s="5">
        <v>40621000</v>
      </c>
      <c r="D481" s="62">
        <f>SUMPRODUCT(N(Tabela3[PAPEL]=Tabela2[[#This Row],[Ativo]]),Tabela3[Total Ações])</f>
        <v>84682269</v>
      </c>
      <c r="E481" s="65">
        <f>(Tabela2[[#This Row],[Lucro Líquido]])/Tabela2[[#This Row],[Total Ações]]</f>
        <v>0.47968719402169063</v>
      </c>
      <c r="F481" s="65">
        <v>0.29580000000000001</v>
      </c>
      <c r="G481" s="22">
        <f>IF(AND(Tabela2[[#This Row],[Dividendo / Ação]]&gt;0,Tabela2[[#This Row],[Lucro por ação]]&gt;0),Tabela2[[#This Row],[Dividendo / Ação]]/Tabela2[[#This Row],[Lucro por ação]],"")</f>
        <v>0.61665185914182319</v>
      </c>
      <c r="H481" s="5">
        <f>MAX(Tabela2[[#This Row],[Cotação 1]],Tabela2[[#This Row],[Cotação 2]])</f>
        <v>6.8</v>
      </c>
      <c r="I481" s="18">
        <f>IF(Tabela2[[#This Row],[Dividendo / Ação]]&gt;0,Tabela2[[#This Row],[Dividendo / Ação]]/Tabela2[[#This Row],[Cotação]],"")</f>
        <v>4.3500000000000004E-2</v>
      </c>
      <c r="J481" s="60">
        <f>SUMPRODUCT(N(Tabela1[Código]=Tabela2[[#This Row],[Ativo]]),Tabela1[Fechamento])</f>
        <v>6.8</v>
      </c>
      <c r="K481" s="60">
        <f>SUMPRODUCT(N(Tabela17[Código]=Tabela2[[#This Row],[Ativo]]),Tabela17[Fechamento])</f>
        <v>0</v>
      </c>
      <c r="M481" s="3"/>
    </row>
    <row r="482" spans="1:13">
      <c r="A482" s="14" t="s">
        <v>214</v>
      </c>
      <c r="B482" s="4">
        <v>2012</v>
      </c>
      <c r="C482" s="5">
        <v>52406000</v>
      </c>
      <c r="D482" s="8">
        <f>SUMPRODUCT(N(Tabela3[PAPEL]=Tabela2[[#This Row],[Ativo]]),Tabela3[Total Ações])</f>
        <v>84682269</v>
      </c>
      <c r="E482" s="66">
        <f>(Tabela2[[#This Row],[Lucro Líquido]])/Tabela2[[#This Row],[Total Ações]]</f>
        <v>0.61885446172917258</v>
      </c>
      <c r="F482" s="66">
        <v>1.14E-3</v>
      </c>
      <c r="G482" s="46">
        <f>IF(AND(Tabela2[[#This Row],[Dividendo / Ação]]&gt;0,Tabela2[[#This Row],[Lucro por ação]]&gt;0),Tabela2[[#This Row],[Dividendo / Ação]]/Tabela2[[#This Row],[Lucro por ação]],"")</f>
        <v>1.8421132439033698E-3</v>
      </c>
      <c r="H482" s="6">
        <f>MAX(Tabela2[[#This Row],[Cotação 1]],Tabela2[[#This Row],[Cotação 2]])</f>
        <v>2.99</v>
      </c>
      <c r="I482" s="19">
        <f>IF(Tabela2[[#This Row],[Dividendo / Ação]]&gt;0,Tabela2[[#This Row],[Dividendo / Ação]]/Tabela2[[#This Row],[Cotação]],"")</f>
        <v>3.8127090301003341E-4</v>
      </c>
      <c r="J482" s="61">
        <f>SUMPRODUCT(N(Tabela1[Código]=Tabela2[[#This Row],[Ativo]]),Tabela1[Fechamento])</f>
        <v>2.99</v>
      </c>
      <c r="K482" s="61">
        <f>SUMPRODUCT(N(Tabela17[Código]=Tabela2[[#This Row],[Ativo]]),Tabela17[Fechamento])</f>
        <v>0</v>
      </c>
      <c r="M482" s="3"/>
    </row>
    <row r="483" spans="1:13">
      <c r="A483" s="14" t="s">
        <v>214</v>
      </c>
      <c r="B483" s="3">
        <v>2011</v>
      </c>
      <c r="C483" s="5">
        <v>47835000</v>
      </c>
      <c r="D483" s="8">
        <f>SUMPRODUCT(N(Tabela3[PAPEL]=Tabela2[[#This Row],[Ativo]]),Tabela3[Total Ações])</f>
        <v>84682269</v>
      </c>
      <c r="E483" s="66">
        <f>(Tabela2[[#This Row],[Lucro Líquido]])/Tabela2[[#This Row],[Total Ações]]</f>
        <v>0.56487621983770886</v>
      </c>
      <c r="F483" s="66">
        <v>0</v>
      </c>
      <c r="G483" s="46" t="str">
        <f>IF(AND(Tabela2[[#This Row],[Dividendo / Ação]]&gt;0,Tabela2[[#This Row],[Lucro por ação]]&gt;0),Tabela2[[#This Row],[Dividendo / Ação]]/Tabela2[[#This Row],[Lucro por ação]],"")</f>
        <v/>
      </c>
      <c r="H483" s="6">
        <f>MAX(Tabela2[[#This Row],[Cotação 1]],Tabela2[[#This Row],[Cotação 2]])</f>
        <v>2.99</v>
      </c>
      <c r="I483" s="19" t="str">
        <f>IF(Tabela2[[#This Row],[Dividendo / Ação]]&gt;0,Tabela2[[#This Row],[Dividendo / Ação]]/Tabela2[[#This Row],[Cotação]],"")</f>
        <v/>
      </c>
      <c r="J483" s="61">
        <f>SUMPRODUCT(N(Tabela1[Código]=Tabela2[[#This Row],[Ativo]]),Tabela1[Fechamento])</f>
        <v>2.99</v>
      </c>
      <c r="K483" s="61">
        <f>SUMPRODUCT(N(Tabela17[Código]=Tabela2[[#This Row],[Ativo]]),Tabela17[Fechamento])</f>
        <v>0</v>
      </c>
      <c r="M483" s="3"/>
    </row>
    <row r="484" spans="1:13">
      <c r="A484" s="14" t="s">
        <v>214</v>
      </c>
      <c r="B484" s="4">
        <v>2010</v>
      </c>
      <c r="C484" s="5">
        <v>43244000</v>
      </c>
      <c r="D484" s="8">
        <f>SUMPRODUCT(N(Tabela3[PAPEL]=Tabela2[[#This Row],[Ativo]]),Tabela3[Total Ações])</f>
        <v>84682269</v>
      </c>
      <c r="E484" s="66">
        <f>(Tabela2[[#This Row],[Lucro Líquido]])/Tabela2[[#This Row],[Total Ações]]</f>
        <v>0.51066180099638092</v>
      </c>
      <c r="F484" s="66">
        <v>5.3800000000000002E-3</v>
      </c>
      <c r="G484" s="46">
        <f>IF(AND(Tabela2[[#This Row],[Dividendo / Ação]]&gt;0,Tabela2[[#This Row],[Lucro por ação]]&gt;0),Tabela2[[#This Row],[Dividendo / Ação]]/Tabela2[[#This Row],[Lucro por ação]],"")</f>
        <v>1.0535348423365093E-2</v>
      </c>
      <c r="H484" s="6">
        <f>MAX(Tabela2[[#This Row],[Cotação 1]],Tabela2[[#This Row],[Cotação 2]])</f>
        <v>2.99</v>
      </c>
      <c r="I484" s="19">
        <f>IF(Tabela2[[#This Row],[Dividendo / Ação]]&gt;0,Tabela2[[#This Row],[Dividendo / Ação]]/Tabela2[[#This Row],[Cotação]],"")</f>
        <v>1.7993311036789297E-3</v>
      </c>
      <c r="J484" s="61">
        <f>SUMPRODUCT(N(Tabela1[Código]=Tabela2[[#This Row],[Ativo]]),Tabela1[Fechamento])</f>
        <v>2.99</v>
      </c>
      <c r="K484" s="61">
        <f>SUMPRODUCT(N(Tabela17[Código]=Tabela2[[#This Row],[Ativo]]),Tabela17[Fechamento])</f>
        <v>0</v>
      </c>
      <c r="M484" s="3"/>
    </row>
    <row r="485" spans="1:13">
      <c r="A485" s="14" t="s">
        <v>214</v>
      </c>
      <c r="B485" s="4">
        <v>2009</v>
      </c>
      <c r="C485" s="5">
        <v>40621000</v>
      </c>
      <c r="D485" s="8">
        <f>SUMPRODUCT(N(Tabela3[PAPEL]=Tabela2[[#This Row],[Ativo]]),Tabela3[Total Ações])</f>
        <v>84682269</v>
      </c>
      <c r="E485" s="66">
        <f>(Tabela2[[#This Row],[Lucro Líquido]])/Tabela2[[#This Row],[Total Ações]]</f>
        <v>0.47968719402169063</v>
      </c>
      <c r="F485" s="66">
        <v>3.6089999999999997E-2</v>
      </c>
      <c r="G485" s="46">
        <f>IF(AND(Tabela2[[#This Row],[Dividendo / Ação]]&gt;0,Tabela2[[#This Row],[Lucro por ação]]&gt;0),Tabela2[[#This Row],[Dividendo / Ação]]/Tabela2[[#This Row],[Lucro por ação]],"")</f>
        <v>7.5236530075822844E-2</v>
      </c>
      <c r="H485" s="6">
        <f>MAX(Tabela2[[#This Row],[Cotação 1]],Tabela2[[#This Row],[Cotação 2]])</f>
        <v>2.99</v>
      </c>
      <c r="I485" s="19">
        <f>IF(Tabela2[[#This Row],[Dividendo / Ação]]&gt;0,Tabela2[[#This Row],[Dividendo / Ação]]/Tabela2[[#This Row],[Cotação]],"")</f>
        <v>1.2070234113712372E-2</v>
      </c>
      <c r="J485" s="61">
        <f>SUMPRODUCT(N(Tabela1[Código]=Tabela2[[#This Row],[Ativo]]),Tabela1[Fechamento])</f>
        <v>2.99</v>
      </c>
      <c r="K485" s="61">
        <f>SUMPRODUCT(N(Tabela17[Código]=Tabela2[[#This Row],[Ativo]]),Tabela17[Fechamento])</f>
        <v>0</v>
      </c>
      <c r="M485" s="3"/>
    </row>
    <row r="486" spans="1:13">
      <c r="A486" s="4" t="s">
        <v>202</v>
      </c>
      <c r="B486" s="4">
        <v>2012</v>
      </c>
      <c r="C486" s="6">
        <v>335756000</v>
      </c>
      <c r="D486" s="8">
        <f>SUMPRODUCT(N(Tabela3[PAPEL]=Tabela2[[#This Row],[Ativo]]),Tabela3[Total Ações])</f>
        <v>476620206</v>
      </c>
      <c r="E486" s="66">
        <f>(Tabela2[[#This Row],[Lucro Líquido]])/Tabela2[[#This Row],[Total Ações]]</f>
        <v>0.70445187965866474</v>
      </c>
      <c r="F486" s="66">
        <v>0.37269999999999998</v>
      </c>
      <c r="G486" s="46">
        <f>IF(AND(Tabela2[[#This Row],[Dividendo / Ação]]&gt;0,Tabela2[[#This Row],[Lucro por ação]]&gt;0),Tabela2[[#This Row],[Dividendo / Ação]]/Tabela2[[#This Row],[Lucro por ação]],"")</f>
        <v>0.52906381651020384</v>
      </c>
      <c r="H486" s="6">
        <f>MAX(Tabela2[[#This Row],[Cotação 1]],Tabela2[[#This Row],[Cotação 2]])</f>
        <v>8.19</v>
      </c>
      <c r="I486" s="19">
        <f>IF(Tabela2[[#This Row],[Dividendo / Ação]]&gt;0,Tabela2[[#This Row],[Dividendo / Ação]]/Tabela2[[#This Row],[Cotação]],"")</f>
        <v>4.5506715506715506E-2</v>
      </c>
      <c r="J486" s="61">
        <f>SUMPRODUCT(N(Tabela1[Código]=Tabela2[[#This Row],[Ativo]]),Tabela1[Fechamento])</f>
        <v>8.19</v>
      </c>
      <c r="K486" s="61">
        <f>SUMPRODUCT(N(Tabela17[Código]=Tabela2[[#This Row],[Ativo]]),Tabela17[Fechamento])</f>
        <v>0</v>
      </c>
      <c r="M486" s="3"/>
    </row>
    <row r="487" spans="1:13">
      <c r="A487" s="4" t="s">
        <v>202</v>
      </c>
      <c r="B487" s="3">
        <v>2011</v>
      </c>
      <c r="C487" s="5">
        <v>249170000</v>
      </c>
      <c r="D487" s="62">
        <f>SUMPRODUCT(N(Tabela3[PAPEL]=Tabela2[[#This Row],[Ativo]]),Tabela3[Total Ações])</f>
        <v>476620206</v>
      </c>
      <c r="E487" s="65">
        <f>(Tabela2[[#This Row],[Lucro Líquido]])/Tabela2[[#This Row],[Total Ações]]</f>
        <v>0.52278522157325402</v>
      </c>
      <c r="F487" s="65">
        <v>0.27800000000000002</v>
      </c>
      <c r="G487" s="22">
        <f>IF(AND(Tabela2[[#This Row],[Dividendo / Ação]]&gt;0,Tabela2[[#This Row],[Lucro por ação]]&gt;0),Tabela2[[#This Row],[Dividendo / Ação]]/Tabela2[[#This Row],[Lucro por ação]],"")</f>
        <v>0.53176713596339853</v>
      </c>
      <c r="H487" s="5">
        <f>MAX(Tabela2[[#This Row],[Cotação 1]],Tabela2[[#This Row],[Cotação 2]])</f>
        <v>8.19</v>
      </c>
      <c r="I487" s="18">
        <f>IF(Tabela2[[#This Row],[Dividendo / Ação]]&gt;0,Tabela2[[#This Row],[Dividendo / Ação]]/Tabela2[[#This Row],[Cotação]],"")</f>
        <v>3.3943833943833948E-2</v>
      </c>
      <c r="J487" s="60">
        <f>SUMPRODUCT(N(Tabela1[Código]=Tabela2[[#This Row],[Ativo]]),Tabela1[Fechamento])</f>
        <v>8.19</v>
      </c>
      <c r="K487" s="60">
        <f>SUMPRODUCT(N(Tabela17[Código]=Tabela2[[#This Row],[Ativo]]),Tabela17[Fechamento])</f>
        <v>0</v>
      </c>
      <c r="M487" s="3"/>
    </row>
    <row r="488" spans="1:13">
      <c r="A488" s="4" t="s">
        <v>202</v>
      </c>
      <c r="B488" s="3">
        <v>2010</v>
      </c>
      <c r="C488" s="5">
        <v>135511000</v>
      </c>
      <c r="D488" s="62">
        <f>SUMPRODUCT(N(Tabela3[PAPEL]=Tabela2[[#This Row],[Ativo]]),Tabela3[Total Ações])</f>
        <v>476620206</v>
      </c>
      <c r="E488" s="65">
        <f>(Tabela2[[#This Row],[Lucro Líquido]])/Tabela2[[#This Row],[Total Ações]]</f>
        <v>0.28431652350047448</v>
      </c>
      <c r="F488" s="65">
        <v>8.72E-2</v>
      </c>
      <c r="G488" s="22">
        <f>IF(AND(Tabela2[[#This Row],[Dividendo / Ação]]&gt;0,Tabela2[[#This Row],[Lucro por ação]]&gt;0),Tabela2[[#This Row],[Dividendo / Ação]]/Tabela2[[#This Row],[Lucro por ação]],"")</f>
        <v>0.30670042995181207</v>
      </c>
      <c r="H488" s="5">
        <f>MAX(Tabela2[[#This Row],[Cotação 1]],Tabela2[[#This Row],[Cotação 2]])</f>
        <v>8.19</v>
      </c>
      <c r="I488" s="18">
        <f>IF(Tabela2[[#This Row],[Dividendo / Ação]]&gt;0,Tabela2[[#This Row],[Dividendo / Ação]]/Tabela2[[#This Row],[Cotação]],"")</f>
        <v>1.0647130647130647E-2</v>
      </c>
      <c r="J488" s="60">
        <f>SUMPRODUCT(N(Tabela1[Código]=Tabela2[[#This Row],[Ativo]]),Tabela1[Fechamento])</f>
        <v>8.19</v>
      </c>
      <c r="K488" s="60">
        <f>SUMPRODUCT(N(Tabela17[Código]=Tabela2[[#This Row],[Ativo]]),Tabela17[Fechamento])</f>
        <v>0</v>
      </c>
      <c r="M488" s="3"/>
    </row>
    <row r="489" spans="1:13">
      <c r="A489" s="4" t="s">
        <v>202</v>
      </c>
      <c r="B489" s="3">
        <v>2009</v>
      </c>
      <c r="C489" s="5">
        <v>137871000</v>
      </c>
      <c r="D489" s="62">
        <f>SUMPRODUCT(N(Tabela3[PAPEL]=Tabela2[[#This Row],[Ativo]]),Tabela3[Total Ações])</f>
        <v>476620206</v>
      </c>
      <c r="E489" s="65">
        <f>(Tabela2[[#This Row],[Lucro Líquido]])/Tabela2[[#This Row],[Total Ações]]</f>
        <v>0.28926805507695996</v>
      </c>
      <c r="F489" s="65">
        <v>9.1499999999999998E-2</v>
      </c>
      <c r="G489" s="22">
        <f>IF(AND(Tabela2[[#This Row],[Dividendo / Ação]]&gt;0,Tabela2[[#This Row],[Lucro por ação]]&gt;0),Tabela2[[#This Row],[Dividendo / Ação]]/Tabela2[[#This Row],[Lucro por ação]],"")</f>
        <v>0.31631560552255367</v>
      </c>
      <c r="H489" s="5">
        <f>MAX(Tabela2[[#This Row],[Cotação 1]],Tabela2[[#This Row],[Cotação 2]])</f>
        <v>8.19</v>
      </c>
      <c r="I489" s="18">
        <f>IF(Tabela2[[#This Row],[Dividendo / Ação]]&gt;0,Tabela2[[#This Row],[Dividendo / Ação]]/Tabela2[[#This Row],[Cotação]],"")</f>
        <v>1.1172161172161172E-2</v>
      </c>
      <c r="J489" s="60">
        <f>SUMPRODUCT(N(Tabela1[Código]=Tabela2[[#This Row],[Ativo]]),Tabela1[Fechamento])</f>
        <v>8.19</v>
      </c>
      <c r="K489" s="60">
        <f>SUMPRODUCT(N(Tabela17[Código]=Tabela2[[#This Row],[Ativo]]),Tabela17[Fechamento])</f>
        <v>0</v>
      </c>
      <c r="L489" s="3">
        <v>6.6270000000000001E-3</v>
      </c>
      <c r="M489" s="3"/>
    </row>
    <row r="490" spans="1:13">
      <c r="A490" s="4" t="s">
        <v>69</v>
      </c>
      <c r="B490" s="4">
        <v>2012</v>
      </c>
      <c r="C490" s="6">
        <v>335756000</v>
      </c>
      <c r="D490" s="8">
        <f>SUMPRODUCT(N(Tabela3[PAPEL]=Tabela2[[#This Row],[Ativo]]),Tabela3[Total Ações])</f>
        <v>476620206</v>
      </c>
      <c r="E490" s="66">
        <f>(Tabela2[[#This Row],[Lucro Líquido]])/Tabela2[[#This Row],[Total Ações]]</f>
        <v>0.70445187965866474</v>
      </c>
      <c r="F490" s="66">
        <v>0.40989999999999999</v>
      </c>
      <c r="G490" s="46">
        <f>IF(AND(Tabela2[[#This Row],[Dividendo / Ação]]&gt;0,Tabela2[[#This Row],[Lucro por ação]]&gt;0),Tabela2[[#This Row],[Dividendo / Ação]]/Tabela2[[#This Row],[Lucro por ação]],"")</f>
        <v>0.58187083012485252</v>
      </c>
      <c r="H490" s="6">
        <f>MAX(Tabela2[[#This Row],[Cotação 1]],Tabela2[[#This Row],[Cotação 2]])</f>
        <v>5.8</v>
      </c>
      <c r="I490" s="19">
        <f>IF(Tabela2[[#This Row],[Dividendo / Ação]]&gt;0,Tabela2[[#This Row],[Dividendo / Ação]]/Tabela2[[#This Row],[Cotação]],"")</f>
        <v>7.0672413793103447E-2</v>
      </c>
      <c r="J490" s="61">
        <f>SUMPRODUCT(N(Tabela1[Código]=Tabela2[[#This Row],[Ativo]]),Tabela1[Fechamento])</f>
        <v>5.8</v>
      </c>
      <c r="K490" s="61">
        <f>SUMPRODUCT(N(Tabela17[Código]=Tabela2[[#This Row],[Ativo]]),Tabela17[Fechamento])</f>
        <v>0</v>
      </c>
      <c r="L490" s="3">
        <v>0.273698</v>
      </c>
      <c r="M490" s="3"/>
    </row>
    <row r="491" spans="1:13">
      <c r="A491" s="4" t="s">
        <v>69</v>
      </c>
      <c r="B491" s="4">
        <v>2011</v>
      </c>
      <c r="C491" s="5">
        <v>249170000</v>
      </c>
      <c r="D491" s="8">
        <f>SUMPRODUCT(N(Tabela3[PAPEL]=Tabela2[[#This Row],[Ativo]]),Tabela3[Total Ações])</f>
        <v>476620206</v>
      </c>
      <c r="E491" s="66">
        <f>(Tabela2[[#This Row],[Lucro Líquido]])/Tabela2[[#This Row],[Total Ações]]</f>
        <v>0.52278522157325402</v>
      </c>
      <c r="F491" s="66">
        <v>0.30580000000000002</v>
      </c>
      <c r="G491" s="46">
        <f>IF(AND(Tabela2[[#This Row],[Dividendo / Ação]]&gt;0,Tabela2[[#This Row],[Lucro por ação]]&gt;0),Tabela2[[#This Row],[Dividendo / Ação]]/Tabela2[[#This Row],[Lucro por ação]],"")</f>
        <v>0.58494384955973844</v>
      </c>
      <c r="H491" s="6">
        <f>MAX(Tabela2[[#This Row],[Cotação 1]],Tabela2[[#This Row],[Cotação 2]])</f>
        <v>5.8</v>
      </c>
      <c r="I491" s="19">
        <f>IF(Tabela2[[#This Row],[Dividendo / Ação]]&gt;0,Tabela2[[#This Row],[Dividendo / Ação]]/Tabela2[[#This Row],[Cotação]],"")</f>
        <v>5.272413793103449E-2</v>
      </c>
      <c r="J491" s="61">
        <f>SUMPRODUCT(N(Tabela1[Código]=Tabela2[[#This Row],[Ativo]]),Tabela1[Fechamento])</f>
        <v>5.8</v>
      </c>
      <c r="K491" s="61">
        <f>SUMPRODUCT(N(Tabela17[Código]=Tabela2[[#This Row],[Ativo]]),Tabela17[Fechamento])</f>
        <v>0</v>
      </c>
      <c r="L491" s="3">
        <f>SUM(L489:L490)</f>
        <v>0.28032499999999999</v>
      </c>
      <c r="M491" s="3"/>
    </row>
    <row r="492" spans="1:13">
      <c r="A492" s="4" t="s">
        <v>69</v>
      </c>
      <c r="B492" s="4">
        <v>2010</v>
      </c>
      <c r="C492" s="5">
        <v>135511000</v>
      </c>
      <c r="D492" s="8">
        <f>SUMPRODUCT(N(Tabela3[PAPEL]=Tabela2[[#This Row],[Ativo]]),Tabela3[Total Ações])</f>
        <v>476620206</v>
      </c>
      <c r="E492" s="66">
        <f>(Tabela2[[#This Row],[Lucro Líquido]])/Tabela2[[#This Row],[Total Ações]]</f>
        <v>0.28431652350047448</v>
      </c>
      <c r="F492" s="66">
        <v>9.5899999999999999E-2</v>
      </c>
      <c r="G492" s="46">
        <f>IF(AND(Tabela2[[#This Row],[Dividendo / Ação]]&gt;0,Tabela2[[#This Row],[Lucro por ação]]&gt;0),Tabela2[[#This Row],[Dividendo / Ação]]/Tabela2[[#This Row],[Lucro por ação]],"")</f>
        <v>0.3373001288116832</v>
      </c>
      <c r="H492" s="6">
        <f>MAX(Tabela2[[#This Row],[Cotação 1]],Tabela2[[#This Row],[Cotação 2]])</f>
        <v>5.8</v>
      </c>
      <c r="I492" s="19">
        <f>IF(Tabela2[[#This Row],[Dividendo / Ação]]&gt;0,Tabela2[[#This Row],[Dividendo / Ação]]/Tabela2[[#This Row],[Cotação]],"")</f>
        <v>1.653448275862069E-2</v>
      </c>
      <c r="J492" s="61">
        <f>SUMPRODUCT(N(Tabela1[Código]=Tabela2[[#This Row],[Ativo]]),Tabela1[Fechamento])</f>
        <v>5.8</v>
      </c>
      <c r="K492" s="61">
        <f>SUMPRODUCT(N(Tabela17[Código]=Tabela2[[#This Row],[Ativo]]),Tabela17[Fechamento])</f>
        <v>0</v>
      </c>
      <c r="L492" s="3">
        <f>Tabela2[[#This Row],[Total Ações]]*0.81</f>
        <v>386062366.86000001</v>
      </c>
      <c r="M492" s="3"/>
    </row>
    <row r="493" spans="1:13">
      <c r="A493" s="4" t="s">
        <v>69</v>
      </c>
      <c r="B493" s="4">
        <v>2009</v>
      </c>
      <c r="C493" s="5">
        <v>137871000</v>
      </c>
      <c r="D493" s="8">
        <f>SUMPRODUCT(N(Tabela3[PAPEL]=Tabela2[[#This Row],[Ativo]]),Tabela3[Total Ações])</f>
        <v>476620206</v>
      </c>
      <c r="E493" s="66">
        <f>(Tabela2[[#This Row],[Lucro Líquido]])/Tabela2[[#This Row],[Total Ações]]</f>
        <v>0.28926805507695996</v>
      </c>
      <c r="F493" s="66">
        <v>0.10059999999999999</v>
      </c>
      <c r="G493" s="46">
        <f>IF(AND(Tabela2[[#This Row],[Dividendo / Ação]]&gt;0,Tabela2[[#This Row],[Lucro por ação]]&gt;0),Tabela2[[#This Row],[Dividendo / Ação]]/Tabela2[[#This Row],[Lucro por ação]],"")</f>
        <v>0.34777431601714642</v>
      </c>
      <c r="H493" s="6">
        <f>MAX(Tabela2[[#This Row],[Cotação 1]],Tabela2[[#This Row],[Cotação 2]])</f>
        <v>5.8</v>
      </c>
      <c r="I493" s="19">
        <f>IF(Tabela2[[#This Row],[Dividendo / Ação]]&gt;0,Tabela2[[#This Row],[Dividendo / Ação]]/Tabela2[[#This Row],[Cotação]],"")</f>
        <v>1.7344827586206896E-2</v>
      </c>
      <c r="J493" s="61">
        <f>SUMPRODUCT(N(Tabela1[Código]=Tabela2[[#This Row],[Ativo]]),Tabela1[Fechamento])</f>
        <v>5.8</v>
      </c>
      <c r="K493" s="61">
        <f>SUMPRODUCT(N(Tabela17[Código]=Tabela2[[#This Row],[Ativo]]),Tabela17[Fechamento])</f>
        <v>0</v>
      </c>
      <c r="M493" s="3"/>
    </row>
    <row r="494" spans="1:13">
      <c r="A494" s="4" t="s">
        <v>36</v>
      </c>
      <c r="B494" s="4">
        <v>2012</v>
      </c>
      <c r="C494" s="6">
        <v>1911900245.4200001</v>
      </c>
      <c r="D494" s="8">
        <f>SUMPRODUCT(N(Tabela3[PAPEL]=Tabela2[[#This Row],[Ativo]]),Tabela3[Total Ações])</f>
        <v>683509869</v>
      </c>
      <c r="E494" s="66">
        <f>(Tabela2[[#This Row],[Lucro Líquido]])/Tabela2[[#This Row],[Total Ações]]</f>
        <v>2.7971801610080336</v>
      </c>
      <c r="F494" s="66">
        <v>2.3450000000000002</v>
      </c>
      <c r="G494" s="46">
        <f>IF(AND(Tabela2[[#This Row],[Dividendo / Ação]]&gt;0,Tabela2[[#This Row],[Lucro por ação]]&gt;0),Tabela2[[#This Row],[Dividendo / Ação]]/Tabela2[[#This Row],[Lucro por ação]],"")</f>
        <v>0.83834428425050789</v>
      </c>
      <c r="H494" s="6">
        <f>MAX(Tabela2[[#This Row],[Cotação 1]],Tabela2[[#This Row],[Cotação 2]])</f>
        <v>23.46</v>
      </c>
      <c r="I494" s="19">
        <f>IF(Tabela2[[#This Row],[Dividendo / Ação]]&gt;0,Tabela2[[#This Row],[Dividendo / Ação]]/Tabela2[[#This Row],[Cotação]],"")</f>
        <v>9.995737425404945E-2</v>
      </c>
      <c r="J494" s="61">
        <f>SUMPRODUCT(N(Tabela1[Código]=Tabela2[[#This Row],[Ativo]]),Tabela1[Fechamento])</f>
        <v>23.46</v>
      </c>
      <c r="K494" s="61">
        <f>SUMPRODUCT(N(Tabela17[Código]=Tabela2[[#This Row],[Ativo]]),Tabela17[Fechamento])</f>
        <v>0</v>
      </c>
      <c r="M494" s="3"/>
    </row>
    <row r="495" spans="1:13">
      <c r="A495" s="4" t="s">
        <v>36</v>
      </c>
      <c r="B495" s="4">
        <v>2011</v>
      </c>
      <c r="C495" s="6">
        <v>1223420217</v>
      </c>
      <c r="D495" s="8">
        <f>SUMPRODUCT(N(Tabela3[PAPEL]=Tabela2[[#This Row],[Ativo]]),Tabela3[Total Ações])</f>
        <v>683509869</v>
      </c>
      <c r="E495" s="66">
        <f>(Tabela2[[#This Row],[Lucro Líquido]])/Tabela2[[#This Row],[Total Ações]]</f>
        <v>1.7899086355401257</v>
      </c>
      <c r="F495" s="66">
        <v>2.54</v>
      </c>
      <c r="G495" s="46">
        <f>IF(AND(Tabela2[[#This Row],[Dividendo / Ação]]&gt;0,Tabela2[[#This Row],[Lucro por ação]]&gt;0),Tabela2[[#This Row],[Dividendo / Ação]]/Tabela2[[#This Row],[Lucro por ação]],"")</f>
        <v>1.4190668448468184</v>
      </c>
      <c r="H495" s="6">
        <f>MAX(Tabela2[[#This Row],[Cotação 1]],Tabela2[[#This Row],[Cotação 2]])</f>
        <v>23.46</v>
      </c>
      <c r="I495" s="19">
        <f>IF(Tabela2[[#This Row],[Dividendo / Ação]]&gt;0,Tabela2[[#This Row],[Dividendo / Ação]]/Tabela2[[#This Row],[Cotação]],"")</f>
        <v>0.1082693947144075</v>
      </c>
      <c r="J495" s="61">
        <f>SUMPRODUCT(N(Tabela1[Código]=Tabela2[[#This Row],[Ativo]]),Tabela1[Fechamento])</f>
        <v>23.46</v>
      </c>
      <c r="K495" s="61">
        <f>SUMPRODUCT(N(Tabela17[Código]=Tabela2[[#This Row],[Ativo]]),Tabela17[Fechamento])</f>
        <v>0</v>
      </c>
      <c r="L495" s="3">
        <f>0.067*D490</f>
        <v>31933553.802000001</v>
      </c>
      <c r="M495" s="3"/>
    </row>
    <row r="496" spans="1:13">
      <c r="A496" s="4" t="s">
        <v>36</v>
      </c>
      <c r="B496" s="4">
        <v>2010</v>
      </c>
      <c r="C496" s="6">
        <v>1630452307</v>
      </c>
      <c r="D496" s="8">
        <f>SUMPRODUCT(N(Tabela3[PAPEL]=Tabela2[[#This Row],[Ativo]]),Tabela3[Total Ações])</f>
        <v>683509869</v>
      </c>
      <c r="E496" s="66">
        <f>(Tabela2[[#This Row],[Lucro Líquido]])/Tabela2[[#This Row],[Total Ações]]</f>
        <v>2.385411507496463</v>
      </c>
      <c r="F496" s="66">
        <v>2</v>
      </c>
      <c r="G496" s="46">
        <f>IF(AND(Tabela2[[#This Row],[Dividendo / Ação]]&gt;0,Tabela2[[#This Row],[Lucro por ação]]&gt;0),Tabela2[[#This Row],[Dividendo / Ação]]/Tabela2[[#This Row],[Lucro por ação]],"")</f>
        <v>0.83842976095098998</v>
      </c>
      <c r="H496" s="6">
        <f>MAX(Tabela2[[#This Row],[Cotação 1]],Tabela2[[#This Row],[Cotação 2]])</f>
        <v>23.46</v>
      </c>
      <c r="I496" s="19">
        <f>IF(Tabela2[[#This Row],[Dividendo / Ação]]&gt;0,Tabela2[[#This Row],[Dividendo / Ação]]/Tabela2[[#This Row],[Cotação]],"")</f>
        <v>8.525149190110827E-2</v>
      </c>
      <c r="J496" s="61">
        <f>SUMPRODUCT(N(Tabela1[Código]=Tabela2[[#This Row],[Ativo]]),Tabela1[Fechamento])</f>
        <v>23.46</v>
      </c>
      <c r="K496" s="61">
        <f>SUMPRODUCT(N(Tabela17[Código]=Tabela2[[#This Row],[Ativo]]),Tabela17[Fechamento])</f>
        <v>0</v>
      </c>
      <c r="M496" s="3"/>
    </row>
    <row r="497" spans="1:13">
      <c r="A497" s="4" t="s">
        <v>425</v>
      </c>
      <c r="B497" s="4">
        <v>2012</v>
      </c>
      <c r="C497" s="6">
        <v>221047209.75999999</v>
      </c>
      <c r="D497" s="78">
        <f>SUMPRODUCT(N(Tabela3[PAPEL]=Tabela2[[#This Row],[Ativo]]),Tabela3[Total Ações])</f>
        <v>57737317</v>
      </c>
      <c r="E497" s="66">
        <f>(Tabela2[[#This Row],[Lucro Líquido]])/Tabela2[[#This Row],[Total Ações]]</f>
        <v>3.8284981229730501</v>
      </c>
      <c r="F497" s="66">
        <v>1.0118932270000001</v>
      </c>
      <c r="G497" s="45">
        <f>IF(AND(Tabela2[[#This Row],[Dividendo / Ação]]&gt;0,Tabela2[[#This Row],[Lucro por ação]]&gt;0),Tabela2[[#This Row],[Dividendo / Ação]]/Tabela2[[#This Row],[Lucro por ação]],"")</f>
        <v>0.26430553039273963</v>
      </c>
      <c r="H497" s="61">
        <f>MAX(Tabela2[[#This Row],[Cotação 1]],Tabela2[[#This Row],[Cotação 2]])</f>
        <v>34.28</v>
      </c>
      <c r="I497" s="46">
        <f>IF(Tabela2[[#This Row],[Dividendo / Ação]]&gt;0,Tabela2[[#This Row],[Dividendo / Ação]]/Tabela2[[#This Row],[Cotação]],"")</f>
        <v>2.9518472199533255E-2</v>
      </c>
      <c r="J497" s="17">
        <f>SUMPRODUCT(N(Tabela1[Código]=Tabela2[[#This Row],[Ativo]]),Tabela1[Fechamento])</f>
        <v>0</v>
      </c>
      <c r="K497" s="17">
        <f>SUMPRODUCT(N(Tabela17[Código]=Tabela2[[#This Row],[Ativo]]),Tabela17[Fechamento])</f>
        <v>34.28</v>
      </c>
      <c r="M497" s="3"/>
    </row>
    <row r="498" spans="1:13">
      <c r="A498" s="4" t="s">
        <v>425</v>
      </c>
      <c r="B498" s="4">
        <v>2011</v>
      </c>
      <c r="C498" s="6">
        <v>96359523.819999993</v>
      </c>
      <c r="D498" s="78">
        <f>SUMPRODUCT(N(Tabela3[PAPEL]=Tabela2[[#This Row],[Ativo]]),Tabela3[Total Ações])</f>
        <v>57737317</v>
      </c>
      <c r="E498" s="66">
        <f>(Tabela2[[#This Row],[Lucro Líquido]])/Tabela2[[#This Row],[Total Ações]]</f>
        <v>1.6689297117841482</v>
      </c>
      <c r="F498" s="66">
        <v>0</v>
      </c>
      <c r="G498" s="45" t="str">
        <f>IF(AND(Tabela2[[#This Row],[Dividendo / Ação]]&gt;0,Tabela2[[#This Row],[Lucro por ação]]&gt;0),Tabela2[[#This Row],[Dividendo / Ação]]/Tabela2[[#This Row],[Lucro por ação]],"")</f>
        <v/>
      </c>
      <c r="H498" s="61">
        <f>MAX(Tabela2[[#This Row],[Cotação 1]],Tabela2[[#This Row],[Cotação 2]])</f>
        <v>34.28</v>
      </c>
      <c r="I498" s="46" t="str">
        <f>IF(Tabela2[[#This Row],[Dividendo / Ação]]&gt;0,Tabela2[[#This Row],[Dividendo / Ação]]/Tabela2[[#This Row],[Cotação]],"")</f>
        <v/>
      </c>
      <c r="J498" s="17">
        <f>SUMPRODUCT(N(Tabela1[Código]=Tabela2[[#This Row],[Ativo]]),Tabela1[Fechamento])</f>
        <v>0</v>
      </c>
      <c r="K498" s="17">
        <f>SUMPRODUCT(N(Tabela17[Código]=Tabela2[[#This Row],[Ativo]]),Tabela17[Fechamento])</f>
        <v>34.28</v>
      </c>
      <c r="M498" s="3"/>
    </row>
    <row r="499" spans="1:13">
      <c r="A499" s="4" t="s">
        <v>425</v>
      </c>
      <c r="B499" s="4">
        <v>2010</v>
      </c>
      <c r="C499" s="6">
        <v>91934228.780000001</v>
      </c>
      <c r="D499" s="78">
        <f>SUMPRODUCT(N(Tabela3[PAPEL]=Tabela2[[#This Row],[Ativo]]),Tabela3[Total Ações])</f>
        <v>57737317</v>
      </c>
      <c r="E499" s="66">
        <f>(Tabela2[[#This Row],[Lucro Líquido]])/Tabela2[[#This Row],[Total Ações]]</f>
        <v>1.5922843934712103</v>
      </c>
      <c r="F499" s="66">
        <v>0.74785255399999995</v>
      </c>
      <c r="G499" s="45">
        <f>IF(AND(Tabela2[[#This Row],[Dividendo / Ação]]&gt;0,Tabela2[[#This Row],[Lucro por ação]]&gt;0),Tabela2[[#This Row],[Dividendo / Ação]]/Tabela2[[#This Row],[Lucro por ação]],"")</f>
        <v>0.46967272747657041</v>
      </c>
      <c r="H499" s="61">
        <f>MAX(Tabela2[[#This Row],[Cotação 1]],Tabela2[[#This Row],[Cotação 2]])</f>
        <v>34.28</v>
      </c>
      <c r="I499" s="46">
        <f>IF(Tabela2[[#This Row],[Dividendo / Ação]]&gt;0,Tabela2[[#This Row],[Dividendo / Ação]]/Tabela2[[#This Row],[Cotação]],"")</f>
        <v>2.1816002158693112E-2</v>
      </c>
      <c r="J499" s="17">
        <f>SUMPRODUCT(N(Tabela1[Código]=Tabela2[[#This Row],[Ativo]]),Tabela1[Fechamento])</f>
        <v>0</v>
      </c>
      <c r="K499" s="17">
        <f>SUMPRODUCT(N(Tabela17[Código]=Tabela2[[#This Row],[Ativo]]),Tabela17[Fechamento])</f>
        <v>34.28</v>
      </c>
      <c r="L499" s="69">
        <f>1.3*Tabela2[[#This Row],[Total Ações]]</f>
        <v>75058512.100000009</v>
      </c>
      <c r="M499" s="3"/>
    </row>
    <row r="500" spans="1:13">
      <c r="A500" s="4" t="s">
        <v>79</v>
      </c>
      <c r="B500" s="4">
        <v>2012</v>
      </c>
      <c r="C500" s="6">
        <v>26389234.239999998</v>
      </c>
      <c r="D500" s="8">
        <f>SUMPRODUCT(N(Tabela3[PAPEL]=Tabela2[[#This Row],[Ativo]]),Tabela3[Total Ações])</f>
        <v>137747421</v>
      </c>
      <c r="E500" s="66">
        <f>(Tabela2[[#This Row],[Lucro Líquido]])/Tabela2[[#This Row],[Total Ações]]</f>
        <v>0.19157697507817587</v>
      </c>
      <c r="F500" s="66">
        <v>0.59209073000000001</v>
      </c>
      <c r="G500" s="46">
        <f>IF(AND(Tabela2[[#This Row],[Dividendo / Ação]]&gt;0,Tabela2[[#This Row],[Lucro por ação]]&gt;0),Tabela2[[#This Row],[Dividendo / Ação]]/Tabela2[[#This Row],[Lucro por ação]],"")</f>
        <v>3.090615298411453</v>
      </c>
      <c r="H500" s="6">
        <f>MAX(Tabela2[[#This Row],[Cotação 1]],Tabela2[[#This Row],[Cotação 2]])</f>
        <v>2.85</v>
      </c>
      <c r="I500" s="19">
        <f>IF(Tabela2[[#This Row],[Dividendo / Ação]]&gt;0,Tabela2[[#This Row],[Dividendo / Ação]]/Tabela2[[#This Row],[Cotação]],"")</f>
        <v>0.20775113333333334</v>
      </c>
      <c r="J500" s="61">
        <f>SUMPRODUCT(N(Tabela1[Código]=Tabela2[[#This Row],[Ativo]]),Tabela1[Fechamento])</f>
        <v>2.85</v>
      </c>
      <c r="K500" s="61">
        <f>SUMPRODUCT(N(Tabela17[Código]=Tabela2[[#This Row],[Ativo]]),Tabela17[Fechamento])</f>
        <v>0</v>
      </c>
      <c r="M500" s="3"/>
    </row>
    <row r="501" spans="1:13">
      <c r="A501" s="4" t="s">
        <v>79</v>
      </c>
      <c r="B501" s="4">
        <v>2011</v>
      </c>
      <c r="C501" s="6">
        <v>27175402.329999998</v>
      </c>
      <c r="D501" s="8">
        <f>SUMPRODUCT(N(Tabela3[PAPEL]=Tabela2[[#This Row],[Ativo]]),Tabela3[Total Ações])</f>
        <v>137747421</v>
      </c>
      <c r="E501" s="66">
        <f>(Tabela2[[#This Row],[Lucro Líquido]])/Tabela2[[#This Row],[Total Ações]]</f>
        <v>0.19728429129718514</v>
      </c>
      <c r="F501" s="66">
        <v>0.28363851000000001</v>
      </c>
      <c r="G501" s="46">
        <f>IF(AND(Tabela2[[#This Row],[Dividendo / Ação]]&gt;0,Tabela2[[#This Row],[Lucro por ação]]&gt;0),Tabela2[[#This Row],[Dividendo / Ação]]/Tabela2[[#This Row],[Lucro por ação]],"")</f>
        <v>1.4377146205357658</v>
      </c>
      <c r="H501" s="6">
        <f>MAX(Tabela2[[#This Row],[Cotação 1]],Tabela2[[#This Row],[Cotação 2]])</f>
        <v>2.85</v>
      </c>
      <c r="I501" s="19">
        <f>IF(Tabela2[[#This Row],[Dividendo / Ação]]&gt;0,Tabela2[[#This Row],[Dividendo / Ação]]/Tabela2[[#This Row],[Cotação]],"")</f>
        <v>9.9522284210526321E-2</v>
      </c>
      <c r="J501" s="61">
        <f>SUMPRODUCT(N(Tabela1[Código]=Tabela2[[#This Row],[Ativo]]),Tabela1[Fechamento])</f>
        <v>2.85</v>
      </c>
      <c r="K501" s="61">
        <f>SUMPRODUCT(N(Tabela17[Código]=Tabela2[[#This Row],[Ativo]]),Tabela17[Fechamento])</f>
        <v>0</v>
      </c>
      <c r="M501" s="3"/>
    </row>
    <row r="502" spans="1:13">
      <c r="A502" s="4" t="s">
        <v>79</v>
      </c>
      <c r="B502" s="4">
        <v>2010</v>
      </c>
      <c r="C502" s="6">
        <v>76030857.450000003</v>
      </c>
      <c r="D502" s="8">
        <f>SUMPRODUCT(N(Tabela3[PAPEL]=Tabela2[[#This Row],[Ativo]]),Tabela3[Total Ações])</f>
        <v>137747421</v>
      </c>
      <c r="E502" s="66">
        <f>(Tabela2[[#This Row],[Lucro Líquido]])/Tabela2[[#This Row],[Total Ações]]</f>
        <v>0.55195848240236745</v>
      </c>
      <c r="F502" s="66">
        <v>0.69388981999999999</v>
      </c>
      <c r="G502" s="46">
        <f>IF(AND(Tabela2[[#This Row],[Dividendo / Ação]]&gt;0,Tabela2[[#This Row],[Lucro por ação]]&gt;0),Tabela2[[#This Row],[Dividendo / Ação]]/Tabela2[[#This Row],[Lucro por ação]],"")</f>
        <v>1.2571413287823472</v>
      </c>
      <c r="H502" s="6">
        <f>MAX(Tabela2[[#This Row],[Cotação 1]],Tabela2[[#This Row],[Cotação 2]])</f>
        <v>2.85</v>
      </c>
      <c r="I502" s="19">
        <f>IF(Tabela2[[#This Row],[Dividendo / Ação]]&gt;0,Tabela2[[#This Row],[Dividendo / Ação]]/Tabela2[[#This Row],[Cotação]],"")</f>
        <v>0.24347011228070176</v>
      </c>
      <c r="J502" s="61">
        <f>SUMPRODUCT(N(Tabela1[Código]=Tabela2[[#This Row],[Ativo]]),Tabela1[Fechamento])</f>
        <v>2.85</v>
      </c>
      <c r="K502" s="61">
        <f>SUMPRODUCT(N(Tabela17[Código]=Tabela2[[#This Row],[Ativo]]),Tabela17[Fechamento])</f>
        <v>0</v>
      </c>
      <c r="M502" s="3"/>
    </row>
    <row r="503" spans="1:13">
      <c r="A503" s="3" t="s">
        <v>311</v>
      </c>
      <c r="B503" s="3">
        <v>2012</v>
      </c>
      <c r="C503" s="5">
        <v>72949906.010000005</v>
      </c>
      <c r="D503" s="62">
        <f>SUMPRODUCT(N(Tabela3[PAPEL]=Tabela2[[#This Row],[Ativo]]),Tabela3[Total Ações])</f>
        <v>113000000</v>
      </c>
      <c r="E503" s="65">
        <f>(Tabela2[[#This Row],[Lucro Líquido]])/Tabela2[[#This Row],[Total Ações]]</f>
        <v>0.64557438946902657</v>
      </c>
      <c r="F503" s="65">
        <v>0.26730199999999998</v>
      </c>
      <c r="G503" s="22">
        <f>IF(AND(Tabela2[[#This Row],[Dividendo / Ação]]&gt;0,Tabela2[[#This Row],[Lucro por ação]]&gt;0),Tabela2[[#This Row],[Dividendo / Ação]]/Tabela2[[#This Row],[Lucro por ação]],"")</f>
        <v>0.41405298035421001</v>
      </c>
      <c r="H503" s="51">
        <f>MAX(Tabela2[[#This Row],[Cotação 1]],Tabela2[[#This Row],[Cotação 2]])</f>
        <v>26.8</v>
      </c>
      <c r="I503" s="18">
        <f>IF(Tabela2[[#This Row],[Dividendo / Ação]]&gt;0,Tabela2[[#This Row],[Dividendo / Ação]]/Tabela2[[#This Row],[Cotação]],"")</f>
        <v>9.973955223880596E-3</v>
      </c>
      <c r="J503" s="7">
        <f>SUMPRODUCT(N(Tabela1[Código]=Tabela2[[#This Row],[Ativo]]),Tabela1[Fechamento])</f>
        <v>0</v>
      </c>
      <c r="K503" s="7">
        <f>SUMPRODUCT(N(Tabela17[Código]=Tabela2[[#This Row],[Ativo]]),Tabela17[Fechamento])</f>
        <v>26.8</v>
      </c>
      <c r="M503" s="3"/>
    </row>
    <row r="504" spans="1:13">
      <c r="A504" s="3" t="s">
        <v>311</v>
      </c>
      <c r="B504" s="3">
        <v>2011</v>
      </c>
      <c r="C504" s="5">
        <v>126610718.51000001</v>
      </c>
      <c r="D504" s="62">
        <f>SUMPRODUCT(N(Tabela3[PAPEL]=Tabela2[[#This Row],[Ativo]]),Tabela3[Total Ações])</f>
        <v>113000000</v>
      </c>
      <c r="E504" s="65">
        <f>(Tabela2[[#This Row],[Lucro Líquido]])/Tabela2[[#This Row],[Total Ações]]</f>
        <v>1.1204488363716814</v>
      </c>
      <c r="F504" s="65">
        <v>0.32134299999999999</v>
      </c>
      <c r="G504" s="22">
        <f>IF(AND(Tabela2[[#This Row],[Dividendo / Ação]]&gt;0,Tabela2[[#This Row],[Lucro por ação]]&gt;0),Tabela2[[#This Row],[Dividendo / Ação]]/Tabela2[[#This Row],[Lucro por ação]],"")</f>
        <v>0.28679845930368064</v>
      </c>
      <c r="H504" s="51">
        <f>MAX(Tabela2[[#This Row],[Cotação 1]],Tabela2[[#This Row],[Cotação 2]])</f>
        <v>26.8</v>
      </c>
      <c r="I504" s="18">
        <f>IF(Tabela2[[#This Row],[Dividendo / Ação]]&gt;0,Tabela2[[#This Row],[Dividendo / Ação]]/Tabela2[[#This Row],[Cotação]],"")</f>
        <v>1.1990410447761193E-2</v>
      </c>
      <c r="J504" s="7">
        <f>SUMPRODUCT(N(Tabela1[Código]=Tabela2[[#This Row],[Ativo]]),Tabela1[Fechamento])</f>
        <v>0</v>
      </c>
      <c r="K504" s="7">
        <f>SUMPRODUCT(N(Tabela17[Código]=Tabela2[[#This Row],[Ativo]]),Tabela17[Fechamento])</f>
        <v>26.8</v>
      </c>
      <c r="M504" s="3"/>
    </row>
    <row r="505" spans="1:13">
      <c r="A505" s="3" t="s">
        <v>311</v>
      </c>
      <c r="B505" s="3">
        <v>2010</v>
      </c>
      <c r="C505" s="5">
        <v>142288162.75</v>
      </c>
      <c r="D505" s="62">
        <f>SUMPRODUCT(N(Tabela3[PAPEL]=Tabela2[[#This Row],[Ativo]]),Tabela3[Total Ações])</f>
        <v>113000000</v>
      </c>
      <c r="E505" s="65">
        <f>(Tabela2[[#This Row],[Lucro Líquido]])/Tabela2[[#This Row],[Total Ações]]</f>
        <v>1.2591872809734512</v>
      </c>
      <c r="F505" s="65">
        <v>0.41675099999999998</v>
      </c>
      <c r="G505" s="22">
        <f>IF(AND(Tabela2[[#This Row],[Dividendo / Ação]]&gt;0,Tabela2[[#This Row],[Lucro por ação]]&gt;0),Tabela2[[#This Row],[Dividendo / Ação]]/Tabela2[[#This Row],[Lucro por ação]],"")</f>
        <v>0.33096824141824127</v>
      </c>
      <c r="H505" s="51">
        <f>MAX(Tabela2[[#This Row],[Cotação 1]],Tabela2[[#This Row],[Cotação 2]])</f>
        <v>26.8</v>
      </c>
      <c r="I505" s="18">
        <f>IF(Tabela2[[#This Row],[Dividendo / Ação]]&gt;0,Tabela2[[#This Row],[Dividendo / Ação]]/Tabela2[[#This Row],[Cotação]],"")</f>
        <v>1.5550410447761193E-2</v>
      </c>
      <c r="J505" s="7">
        <f>SUMPRODUCT(N(Tabela1[Código]=Tabela2[[#This Row],[Ativo]]),Tabela1[Fechamento])</f>
        <v>0</v>
      </c>
      <c r="K505" s="7">
        <f>SUMPRODUCT(N(Tabela17[Código]=Tabela2[[#This Row],[Ativo]]),Tabela17[Fechamento])</f>
        <v>26.8</v>
      </c>
      <c r="M505" s="3"/>
    </row>
    <row r="506" spans="1:13">
      <c r="A506" s="3" t="s">
        <v>311</v>
      </c>
      <c r="B506" s="3">
        <v>2009</v>
      </c>
      <c r="C506" s="5">
        <v>93031657.010000005</v>
      </c>
      <c r="D506" s="62">
        <f>SUMPRODUCT(N(Tabela3[PAPEL]=Tabela2[[#This Row],[Ativo]]),Tabela3[Total Ações])</f>
        <v>113000000</v>
      </c>
      <c r="E506" s="65">
        <f>(Tabela2[[#This Row],[Lucro Líquido]])/Tabela2[[#This Row],[Total Ações]]</f>
        <v>0.82328900008849559</v>
      </c>
      <c r="F506" s="65">
        <v>0.24957299999999999</v>
      </c>
      <c r="G506" s="22">
        <f>IF(AND(Tabela2[[#This Row],[Dividendo / Ação]]&gt;0,Tabela2[[#This Row],[Lucro por ação]]&gt;0),Tabela2[[#This Row],[Dividendo / Ação]]/Tabela2[[#This Row],[Lucro por ação]],"")</f>
        <v>0.30314142418175549</v>
      </c>
      <c r="H506" s="51">
        <f>MAX(Tabela2[[#This Row],[Cotação 1]],Tabela2[[#This Row],[Cotação 2]])</f>
        <v>26.8</v>
      </c>
      <c r="I506" s="18">
        <f>IF(Tabela2[[#This Row],[Dividendo / Ação]]&gt;0,Tabela2[[#This Row],[Dividendo / Ação]]/Tabela2[[#This Row],[Cotação]],"")</f>
        <v>9.3124253731343282E-3</v>
      </c>
      <c r="J506" s="7">
        <f>SUMPRODUCT(N(Tabela1[Código]=Tabela2[[#This Row],[Ativo]]),Tabela1[Fechamento])</f>
        <v>0</v>
      </c>
      <c r="K506" s="7">
        <f>SUMPRODUCT(N(Tabela17[Código]=Tabela2[[#This Row],[Ativo]]),Tabela17[Fechamento])</f>
        <v>26.8</v>
      </c>
      <c r="M506" s="3"/>
    </row>
    <row r="507" spans="1:13">
      <c r="A507" s="4" t="s">
        <v>424</v>
      </c>
      <c r="B507" s="4">
        <v>2012</v>
      </c>
      <c r="C507" s="6">
        <v>185531000</v>
      </c>
      <c r="D507" s="78">
        <f>SUMPRODUCT(N(Tabela3[PAPEL]=Tabela2[[#This Row],[Ativo]]),Tabela3[Total Ações])</f>
        <v>76423831</v>
      </c>
      <c r="E507" s="66">
        <f>(Tabela2[[#This Row],[Lucro Líquido]])/Tabela2[[#This Row],[Total Ações]]</f>
        <v>2.4276589850618717</v>
      </c>
      <c r="F507" s="66">
        <v>0.35</v>
      </c>
      <c r="G507" s="45">
        <f>IF(AND(Tabela2[[#This Row],[Dividendo / Ação]]&gt;0,Tabela2[[#This Row],[Lucro por ação]]&gt;0),Tabela2[[#This Row],[Dividendo / Ação]]/Tabela2[[#This Row],[Lucro por ação]],"")</f>
        <v>0.14417181414426697</v>
      </c>
      <c r="H507" s="61">
        <f>MAX(Tabela2[[#This Row],[Cotação 1]],Tabela2[[#This Row],[Cotação 2]])</f>
        <v>17.350000000000001</v>
      </c>
      <c r="I507" s="46">
        <f>IF(Tabela2[[#This Row],[Dividendo / Ação]]&gt;0,Tabela2[[#This Row],[Dividendo / Ação]]/Tabela2[[#This Row],[Cotação]],"")</f>
        <v>2.0172910662824204E-2</v>
      </c>
      <c r="J507" s="17">
        <f>SUMPRODUCT(N(Tabela1[Código]=Tabela2[[#This Row],[Ativo]]),Tabela1[Fechamento])</f>
        <v>0</v>
      </c>
      <c r="K507" s="17">
        <f>SUMPRODUCT(N(Tabela17[Código]=Tabela2[[#This Row],[Ativo]]),Tabela17[Fechamento])</f>
        <v>17.350000000000001</v>
      </c>
      <c r="M507" s="3"/>
    </row>
    <row r="508" spans="1:13">
      <c r="A508" s="4" t="s">
        <v>424</v>
      </c>
      <c r="B508" s="4">
        <v>2011</v>
      </c>
      <c r="C508" s="6">
        <v>239206591.03</v>
      </c>
      <c r="D508" s="78">
        <f>SUMPRODUCT(N(Tabela3[PAPEL]=Tabela2[[#This Row],[Ativo]]),Tabela3[Total Ações])</f>
        <v>76423831</v>
      </c>
      <c r="E508" s="66">
        <f>(Tabela2[[#This Row],[Lucro Líquido]])/Tabela2[[#This Row],[Total Ações]]</f>
        <v>3.13</v>
      </c>
      <c r="F508" s="66">
        <v>0.32</v>
      </c>
      <c r="G508" s="45">
        <f>IF(AND(Tabela2[[#This Row],[Dividendo / Ação]]&gt;0,Tabela2[[#This Row],[Lucro por ação]]&gt;0),Tabela2[[#This Row],[Dividendo / Ação]]/Tabela2[[#This Row],[Lucro por ação]],"")</f>
        <v>0.10223642172523963</v>
      </c>
      <c r="H508" s="61">
        <f>MAX(Tabela2[[#This Row],[Cotação 1]],Tabela2[[#This Row],[Cotação 2]])</f>
        <v>17.350000000000001</v>
      </c>
      <c r="I508" s="46">
        <f>IF(Tabela2[[#This Row],[Dividendo / Ação]]&gt;0,Tabela2[[#This Row],[Dividendo / Ação]]/Tabela2[[#This Row],[Cotação]],"")</f>
        <v>1.844380403458213E-2</v>
      </c>
      <c r="J508" s="17">
        <f>SUMPRODUCT(N(Tabela1[Código]=Tabela2[[#This Row],[Ativo]]),Tabela1[Fechamento])</f>
        <v>0</v>
      </c>
      <c r="K508" s="17">
        <f>SUMPRODUCT(N(Tabela17[Código]=Tabela2[[#This Row],[Ativo]]),Tabela17[Fechamento])</f>
        <v>17.350000000000001</v>
      </c>
      <c r="L508" s="69">
        <f>6.91*D509</f>
        <v>528088672.21000004</v>
      </c>
      <c r="M508" s="3"/>
    </row>
    <row r="509" spans="1:13">
      <c r="A509" s="4" t="s">
        <v>424</v>
      </c>
      <c r="B509" s="4">
        <v>2010</v>
      </c>
      <c r="C509" s="6">
        <v>200230437.22</v>
      </c>
      <c r="D509" s="78">
        <f>SUMPRODUCT(N(Tabela3[PAPEL]=Tabela2[[#This Row],[Ativo]]),Tabela3[Total Ações])</f>
        <v>76423831</v>
      </c>
      <c r="E509" s="66">
        <f>(Tabela2[[#This Row],[Lucro Líquido]])/Tabela2[[#This Row],[Total Ações]]</f>
        <v>2.62</v>
      </c>
      <c r="F509" s="66">
        <v>0.26</v>
      </c>
      <c r="G509" s="45">
        <f>IF(AND(Tabela2[[#This Row],[Dividendo / Ação]]&gt;0,Tabela2[[#This Row],[Lucro por ação]]&gt;0),Tabela2[[#This Row],[Dividendo / Ação]]/Tabela2[[#This Row],[Lucro por ação]],"")</f>
        <v>9.9236641221374045E-2</v>
      </c>
      <c r="H509" s="61">
        <f>MAX(Tabela2[[#This Row],[Cotação 1]],Tabela2[[#This Row],[Cotação 2]])</f>
        <v>17.350000000000001</v>
      </c>
      <c r="I509" s="46">
        <f>IF(Tabela2[[#This Row],[Dividendo / Ação]]&gt;0,Tabela2[[#This Row],[Dividendo / Ação]]/Tabela2[[#This Row],[Cotação]],"")</f>
        <v>1.4985590778097982E-2</v>
      </c>
      <c r="J509" s="17">
        <f>SUMPRODUCT(N(Tabela1[Código]=Tabela2[[#This Row],[Ativo]]),Tabela1[Fechamento])</f>
        <v>0</v>
      </c>
      <c r="K509" s="17">
        <f>SUMPRODUCT(N(Tabela17[Código]=Tabela2[[#This Row],[Ativo]]),Tabela17[Fechamento])</f>
        <v>17.350000000000001</v>
      </c>
      <c r="M509" s="3"/>
    </row>
    <row r="510" spans="1:13">
      <c r="A510" s="4" t="s">
        <v>58</v>
      </c>
      <c r="B510" s="4">
        <v>2012</v>
      </c>
      <c r="C510" s="6">
        <v>483247945.06999999</v>
      </c>
      <c r="D510" s="8">
        <f>SUMPRODUCT(N(Tabela3[PAPEL]=Tabela2[[#This Row],[Ativo]]),Tabela3[Total Ações])</f>
        <v>1022205493</v>
      </c>
      <c r="E510" s="66">
        <f>(Tabela2[[#This Row],[Lucro Líquido]])/Tabela2[[#This Row],[Total Ações]]</f>
        <v>0.47275029177523703</v>
      </c>
      <c r="F510" s="66">
        <v>0.30062499999999998</v>
      </c>
      <c r="G510" s="46">
        <f>IF(AND(Tabela2[[#This Row],[Dividendo / Ação]]&gt;0,Tabela2[[#This Row],[Lucro por ação]]&gt;0),Tabela2[[#This Row],[Dividendo / Ação]]/Tabela2[[#This Row],[Lucro por ação]],"")</f>
        <v>0.63590653507820194</v>
      </c>
      <c r="H510" s="13">
        <f>MAX(Tabela2[[#This Row],[Cotação 1]],Tabela2[[#This Row],[Cotação 2]])</f>
        <v>14.07</v>
      </c>
      <c r="I510" s="19">
        <f>IF(Tabela2[[#This Row],[Dividendo / Ação]]&gt;0,Tabela2[[#This Row],[Dividendo / Ação]]/Tabela2[[#This Row],[Cotação]],"")</f>
        <v>2.1366382373845059E-2</v>
      </c>
      <c r="J510" s="17">
        <f>SUMPRODUCT(N(Tabela1[Código]=Tabela2[[#This Row],[Ativo]]),Tabela1[Fechamento])</f>
        <v>0</v>
      </c>
      <c r="K510" s="17">
        <f>SUMPRODUCT(N(Tabela17[Código]=Tabela2[[#This Row],[Ativo]]),Tabela17[Fechamento])</f>
        <v>14.07</v>
      </c>
      <c r="M510" s="3"/>
    </row>
    <row r="511" spans="1:13">
      <c r="A511" s="4" t="s">
        <v>58</v>
      </c>
      <c r="B511" s="4">
        <v>2011</v>
      </c>
      <c r="C511" s="6">
        <v>445682000</v>
      </c>
      <c r="D511" s="8">
        <f>SUMPRODUCT(N(Tabela3[PAPEL]=Tabela2[[#This Row],[Ativo]]),Tabela3[Total Ações])</f>
        <v>1022205493</v>
      </c>
      <c r="E511" s="66">
        <f>(Tabela2[[#This Row],[Lucro Líquido]])/Tabela2[[#This Row],[Total Ações]]</f>
        <v>0.43600039625300663</v>
      </c>
      <c r="F511" s="66">
        <v>0.76497757200000005</v>
      </c>
      <c r="G511" s="46">
        <f>IF(AND(Tabela2[[#This Row],[Dividendo / Ação]]&gt;0,Tabela2[[#This Row],[Lucro por ação]]&gt;0),Tabela2[[#This Row],[Dividendo / Ação]]/Tabela2[[#This Row],[Lucro por ação]],"")</f>
        <v>1.7545341210105032</v>
      </c>
      <c r="H511" s="13">
        <f>MAX(Tabela2[[#This Row],[Cotação 1]],Tabela2[[#This Row],[Cotação 2]])</f>
        <v>14.07</v>
      </c>
      <c r="I511" s="19">
        <f>IF(Tabela2[[#This Row],[Dividendo / Ação]]&gt;0,Tabela2[[#This Row],[Dividendo / Ação]]/Tabela2[[#This Row],[Cotação]],"")</f>
        <v>5.4369408102345418E-2</v>
      </c>
      <c r="J511" s="17">
        <f>SUMPRODUCT(N(Tabela1[Código]=Tabela2[[#This Row],[Ativo]]),Tabela1[Fechamento])</f>
        <v>0</v>
      </c>
      <c r="K511" s="17">
        <f>SUMPRODUCT(N(Tabela17[Código]=Tabela2[[#This Row],[Ativo]]),Tabela17[Fechamento])</f>
        <v>14.07</v>
      </c>
      <c r="M511" s="3"/>
    </row>
    <row r="512" spans="1:13">
      <c r="A512" s="4" t="s">
        <v>58</v>
      </c>
      <c r="B512" s="4">
        <v>2010</v>
      </c>
      <c r="C512" s="6">
        <v>614021000</v>
      </c>
      <c r="D512" s="8">
        <f>SUMPRODUCT(N(Tabela3[PAPEL]=Tabela2[[#This Row],[Ativo]]),Tabela3[Total Ações])</f>
        <v>1022205493</v>
      </c>
      <c r="E512" s="66">
        <f>(Tabela2[[#This Row],[Lucro Líquido]])/Tabela2[[#This Row],[Total Ações]]</f>
        <v>0.6006825478876584</v>
      </c>
      <c r="F512" s="66">
        <v>1.0517938200000001</v>
      </c>
      <c r="G512" s="46">
        <f>IF(AND(Tabela2[[#This Row],[Dividendo / Ação]]&gt;0,Tabela2[[#This Row],[Lucro por ação]]&gt;0),Tabela2[[#This Row],[Dividendo / Ação]]/Tabela2[[#This Row],[Lucro por ação]],"")</f>
        <v>1.7509978002502413</v>
      </c>
      <c r="H512" s="13">
        <f>MAX(Tabela2[[#This Row],[Cotação 1]],Tabela2[[#This Row],[Cotação 2]])</f>
        <v>14.07</v>
      </c>
      <c r="I512" s="19">
        <f>IF(Tabela2[[#This Row],[Dividendo / Ação]]&gt;0,Tabela2[[#This Row],[Dividendo / Ação]]/Tabela2[[#This Row],[Cotação]],"")</f>
        <v>7.4754358208955235E-2</v>
      </c>
      <c r="J512" s="17">
        <f>SUMPRODUCT(N(Tabela1[Código]=Tabela2[[#This Row],[Ativo]]),Tabela1[Fechamento])</f>
        <v>0</v>
      </c>
      <c r="K512" s="17">
        <f>SUMPRODUCT(N(Tabela17[Código]=Tabela2[[#This Row],[Ativo]]),Tabela17[Fechamento])</f>
        <v>14.07</v>
      </c>
      <c r="M512" s="3"/>
    </row>
    <row r="513" spans="1:13">
      <c r="A513" s="4" t="s">
        <v>58</v>
      </c>
      <c r="B513" s="4">
        <v>2009</v>
      </c>
      <c r="C513" s="6">
        <v>419093000</v>
      </c>
      <c r="D513" s="8">
        <f>SUMPRODUCT(N(Tabela3[PAPEL]=Tabela2[[#This Row],[Ativo]]),Tabela3[Total Ações])</f>
        <v>1022205493</v>
      </c>
      <c r="E513" s="66">
        <f>(Tabela2[[#This Row],[Lucro Líquido]])/Tabela2[[#This Row],[Total Ações]]</f>
        <v>0.40998899230137476</v>
      </c>
      <c r="F513" s="66">
        <v>2.1419339700000002</v>
      </c>
      <c r="G513" s="46">
        <f>IF(AND(Tabela2[[#This Row],[Dividendo / Ação]]&gt;0,Tabela2[[#This Row],[Lucro por ação]]&gt;0),Tabela2[[#This Row],[Dividendo / Ação]]/Tabela2[[#This Row],[Lucro por ação]],"")</f>
        <v>5.2243694592305223</v>
      </c>
      <c r="H513" s="13">
        <f>MAX(Tabela2[[#This Row],[Cotação 1]],Tabela2[[#This Row],[Cotação 2]])</f>
        <v>14.07</v>
      </c>
      <c r="I513" s="19">
        <f>IF(Tabela2[[#This Row],[Dividendo / Ação]]&gt;0,Tabela2[[#This Row],[Dividendo / Ação]]/Tabela2[[#This Row],[Cotação]],"")</f>
        <v>0.15223411300639661</v>
      </c>
      <c r="J513" s="17">
        <f>SUMPRODUCT(N(Tabela1[Código]=Tabela2[[#This Row],[Ativo]]),Tabela1[Fechamento])</f>
        <v>0</v>
      </c>
      <c r="K513" s="17">
        <f>SUMPRODUCT(N(Tabela17[Código]=Tabela2[[#This Row],[Ativo]]),Tabela17[Fechamento])</f>
        <v>14.07</v>
      </c>
      <c r="M513" s="3"/>
    </row>
    <row r="514" spans="1:13">
      <c r="A514" s="4" t="s">
        <v>18</v>
      </c>
      <c r="B514" s="4">
        <v>2012</v>
      </c>
      <c r="C514" s="6">
        <v>-182125692.53</v>
      </c>
      <c r="D514" s="8">
        <f>SUMPRODUCT(N(Tabela3[PAPEL]=Tabela2[[#This Row],[Ativo]]),Tabela3[Total Ações])</f>
        <v>1107677313</v>
      </c>
      <c r="E514" s="66">
        <f>(Tabela2[[#This Row],[Lucro Líquido]])/Tabela2[[#This Row],[Total Ações]]</f>
        <v>-0.16442125372843128</v>
      </c>
      <c r="F514" s="66">
        <v>0</v>
      </c>
      <c r="G514" s="46" t="str">
        <f>IF(AND(Tabela2[[#This Row],[Dividendo / Ação]]&gt;0,Tabela2[[#This Row],[Lucro por ação]]&gt;0),Tabela2[[#This Row],[Dividendo / Ação]]/Tabela2[[#This Row],[Lucro por ação]],"")</f>
        <v/>
      </c>
      <c r="H514" s="6">
        <f>MAX(Tabela2[[#This Row],[Cotação 1]],Tabela2[[#This Row],[Cotação 2]])</f>
        <v>9.43</v>
      </c>
      <c r="I514" s="19" t="str">
        <f>IF(Tabela2[[#This Row],[Dividendo / Ação]]&gt;0,Tabela2[[#This Row],[Dividendo / Ação]]/Tabela2[[#This Row],[Cotação]],"")</f>
        <v/>
      </c>
      <c r="J514" s="61">
        <f>SUMPRODUCT(N(Tabela1[Código]=Tabela2[[#This Row],[Ativo]]),Tabela1[Fechamento])</f>
        <v>9.43</v>
      </c>
      <c r="K514" s="61">
        <f>SUMPRODUCT(N(Tabela17[Código]=Tabela2[[#This Row],[Ativo]]),Tabela17[Fechamento])</f>
        <v>0</v>
      </c>
      <c r="M514" s="3"/>
    </row>
    <row r="515" spans="1:13">
      <c r="A515" s="4" t="s">
        <v>18</v>
      </c>
      <c r="B515" s="4">
        <v>2011</v>
      </c>
      <c r="C515" s="6">
        <v>78013713</v>
      </c>
      <c r="D515" s="8">
        <f>SUMPRODUCT(N(Tabela3[PAPEL]=Tabela2[[#This Row],[Ativo]]),Tabela3[Total Ações])</f>
        <v>1107677313</v>
      </c>
      <c r="E515" s="66">
        <f>(Tabela2[[#This Row],[Lucro Líquido]])/Tabela2[[#This Row],[Total Ações]]</f>
        <v>7.04299998604377E-2</v>
      </c>
      <c r="F515" s="66">
        <v>0.24881</v>
      </c>
      <c r="G515" s="46">
        <f>IF(AND(Tabela2[[#This Row],[Dividendo / Ação]]&gt;0,Tabela2[[#This Row],[Lucro por ação]]&gt;0),Tabela2[[#This Row],[Dividendo / Ação]]/Tabela2[[#This Row],[Lucro por ação]],"")</f>
        <v>3.5327275378820899</v>
      </c>
      <c r="H515" s="6">
        <f>MAX(Tabela2[[#This Row],[Cotação 1]],Tabela2[[#This Row],[Cotação 2]])</f>
        <v>9.43</v>
      </c>
      <c r="I515" s="19">
        <f>IF(Tabela2[[#This Row],[Dividendo / Ação]]&gt;0,Tabela2[[#This Row],[Dividendo / Ação]]/Tabela2[[#This Row],[Cotação]],"")</f>
        <v>2.6384941675503714E-2</v>
      </c>
      <c r="J515" s="61">
        <f>SUMPRODUCT(N(Tabela1[Código]=Tabela2[[#This Row],[Ativo]]),Tabela1[Fechamento])</f>
        <v>9.43</v>
      </c>
      <c r="K515" s="61">
        <f>SUMPRODUCT(N(Tabela17[Código]=Tabela2[[#This Row],[Ativo]]),Tabela17[Fechamento])</f>
        <v>0</v>
      </c>
      <c r="M515" s="3"/>
    </row>
    <row r="516" spans="1:13">
      <c r="A516" s="4" t="s">
        <v>18</v>
      </c>
      <c r="B516" s="3">
        <v>2010</v>
      </c>
      <c r="C516" s="5">
        <v>2190730959</v>
      </c>
      <c r="D516" s="62">
        <f>SUMPRODUCT(N(Tabela3[PAPEL]=Tabela2[[#This Row],[Ativo]]),Tabela3[Total Ações])</f>
        <v>1107677313</v>
      </c>
      <c r="E516" s="66">
        <f>(Tabela2[[#This Row],[Lucro Líquido]])/Tabela2[[#This Row],[Total Ações]]</f>
        <v>1.9777699997002647</v>
      </c>
      <c r="F516" s="65">
        <v>0.64239000000000002</v>
      </c>
      <c r="G516" s="22">
        <f>IF(AND(Tabela2[[#This Row],[Dividendo / Ação]]&gt;0,Tabela2[[#This Row],[Lucro por ação]]&gt;0),Tabela2[[#This Row],[Dividendo / Ação]]/Tabela2[[#This Row],[Lucro por ação]],"")</f>
        <v>0.32480520995735379</v>
      </c>
      <c r="H516" s="5">
        <f>MAX(Tabela2[[#This Row],[Cotação 1]],Tabela2[[#This Row],[Cotação 2]])</f>
        <v>9.43</v>
      </c>
      <c r="I516" s="18">
        <f>IF(Tabela2[[#This Row],[Dividendo / Ação]]&gt;0,Tabela2[[#This Row],[Dividendo / Ação]]/Tabela2[[#This Row],[Cotação]],"")</f>
        <v>6.81219512195122E-2</v>
      </c>
      <c r="J516" s="60">
        <f>SUMPRODUCT(N(Tabela1[Código]=Tabela2[[#This Row],[Ativo]]),Tabela1[Fechamento])</f>
        <v>9.43</v>
      </c>
      <c r="K516" s="60">
        <f>SUMPRODUCT(N(Tabela17[Código]=Tabela2[[#This Row],[Ativo]]),Tabela17[Fechamento])</f>
        <v>0</v>
      </c>
      <c r="L516" s="69">
        <f>7.161*Tabela2[[#This Row],[Total Ações]]</f>
        <v>7932077238.3929996</v>
      </c>
      <c r="M516" s="3"/>
    </row>
    <row r="517" spans="1:13">
      <c r="A517" s="4" t="s">
        <v>18</v>
      </c>
      <c r="B517" s="3">
        <v>2009</v>
      </c>
      <c r="C517" s="5">
        <v>3206936280</v>
      </c>
      <c r="D517" s="62">
        <f>SUMPRODUCT(N(Tabela3[PAPEL]=Tabela2[[#This Row],[Ativo]]),Tabela3[Total Ações])</f>
        <v>1107677313</v>
      </c>
      <c r="E517" s="66">
        <f>(Tabela2[[#This Row],[Lucro Líquido]])/Tabela2[[#This Row],[Total Ações]]</f>
        <v>2.8951900001584669</v>
      </c>
      <c r="F517" s="65">
        <v>0.77659999999999996</v>
      </c>
      <c r="G517" s="22">
        <f>IF(AND(Tabela2[[#This Row],[Dividendo / Ação]]&gt;0,Tabela2[[#This Row],[Lucro por ação]]&gt;0),Tabela2[[#This Row],[Dividendo / Ação]]/Tabela2[[#This Row],[Lucro por ação]],"")</f>
        <v>0.26823800854434188</v>
      </c>
      <c r="H517" s="5">
        <f>MAX(Tabela2[[#This Row],[Cotação 1]],Tabela2[[#This Row],[Cotação 2]])</f>
        <v>9.43</v>
      </c>
      <c r="I517" s="18">
        <f>IF(Tabela2[[#This Row],[Dividendo / Ação]]&gt;0,Tabela2[[#This Row],[Dividendo / Ação]]/Tabela2[[#This Row],[Cotação]],"")</f>
        <v>8.2354188759278898E-2</v>
      </c>
      <c r="J517" s="60">
        <f>SUMPRODUCT(N(Tabela1[Código]=Tabela2[[#This Row],[Ativo]]),Tabela1[Fechamento])</f>
        <v>9.43</v>
      </c>
      <c r="K517" s="60">
        <f>SUMPRODUCT(N(Tabela17[Código]=Tabela2[[#This Row],[Ativo]]),Tabela17[Fechamento])</f>
        <v>0</v>
      </c>
      <c r="M517" s="3"/>
    </row>
    <row r="518" spans="1:13">
      <c r="A518" s="4" t="s">
        <v>210</v>
      </c>
      <c r="B518" s="4">
        <v>2012</v>
      </c>
      <c r="C518" s="6">
        <v>-182125692.53</v>
      </c>
      <c r="D518" s="8">
        <f>SUMPRODUCT(N(Tabela3[PAPEL]=Tabela2[[#This Row],[Ativo]]),Tabela3[Total Ações])</f>
        <v>1107677313</v>
      </c>
      <c r="E518" s="66">
        <f>(Tabela2[[#This Row],[Lucro Líquido]])/Tabela2[[#This Row],[Total Ações]]</f>
        <v>-0.16442125372843128</v>
      </c>
      <c r="F518" s="66">
        <v>0</v>
      </c>
      <c r="G518" s="46" t="str">
        <f>IF(AND(Tabela2[[#This Row],[Dividendo / Ação]]&gt;0,Tabela2[[#This Row],[Lucro por ação]]&gt;0),Tabela2[[#This Row],[Dividendo / Ação]]/Tabela2[[#This Row],[Lucro por ação]],"")</f>
        <v/>
      </c>
      <c r="H518" s="6">
        <f>MAX(Tabela2[[#This Row],[Cotação 1]],Tabela2[[#This Row],[Cotação 2]])</f>
        <v>5.7</v>
      </c>
      <c r="I518" s="19" t="str">
        <f>IF(Tabela2[[#This Row],[Dividendo / Ação]]&gt;0,Tabela2[[#This Row],[Dividendo / Ação]]/Tabela2[[#This Row],[Cotação]],"")</f>
        <v/>
      </c>
      <c r="J518" s="61">
        <f>SUMPRODUCT(N(Tabela1[Código]=Tabela2[[#This Row],[Ativo]]),Tabela1[Fechamento])</f>
        <v>5.7</v>
      </c>
      <c r="K518" s="61">
        <f>SUMPRODUCT(N(Tabela17[Código]=Tabela2[[#This Row],[Ativo]]),Tabela17[Fechamento])</f>
        <v>0</v>
      </c>
      <c r="M518" s="3"/>
    </row>
    <row r="519" spans="1:13">
      <c r="A519" s="4" t="s">
        <v>210</v>
      </c>
      <c r="B519" s="3">
        <v>2011</v>
      </c>
      <c r="C519" s="6">
        <v>78013713</v>
      </c>
      <c r="D519" s="62">
        <f>SUMPRODUCT(N(Tabela3[PAPEL]=Tabela2[[#This Row],[Ativo]]),Tabela3[Total Ações])</f>
        <v>1107677313</v>
      </c>
      <c r="E519" s="66">
        <f>(Tabela2[[#This Row],[Lucro Líquido]])/Tabela2[[#This Row],[Total Ações]]</f>
        <v>7.04299998604377E-2</v>
      </c>
      <c r="F519" s="66">
        <v>0.24881</v>
      </c>
      <c r="G519" s="22">
        <f>IF(AND(Tabela2[[#This Row],[Dividendo / Ação]]&gt;0,Tabela2[[#This Row],[Lucro por ação]]&gt;0),Tabela2[[#This Row],[Dividendo / Ação]]/Tabela2[[#This Row],[Lucro por ação]],"")</f>
        <v>3.5327275378820899</v>
      </c>
      <c r="H519" s="5">
        <f>MAX(Tabela2[[#This Row],[Cotação 1]],Tabela2[[#This Row],[Cotação 2]])</f>
        <v>5.7</v>
      </c>
      <c r="I519" s="18">
        <f>IF(Tabela2[[#This Row],[Dividendo / Ação]]&gt;0,Tabela2[[#This Row],[Dividendo / Ação]]/Tabela2[[#This Row],[Cotação]],"")</f>
        <v>4.3650877192982454E-2</v>
      </c>
      <c r="J519" s="60">
        <f>SUMPRODUCT(N(Tabela1[Código]=Tabela2[[#This Row],[Ativo]]),Tabela1[Fechamento])</f>
        <v>5.7</v>
      </c>
      <c r="K519" s="60">
        <f>SUMPRODUCT(N(Tabela17[Código]=Tabela2[[#This Row],[Ativo]]),Tabela17[Fechamento])</f>
        <v>0</v>
      </c>
      <c r="L519" s="79">
        <f>11278000/D517</f>
        <v>1.0181665605712374E-2</v>
      </c>
      <c r="M519" s="3"/>
    </row>
    <row r="520" spans="1:13">
      <c r="A520" s="4" t="s">
        <v>210</v>
      </c>
      <c r="B520" s="4">
        <v>2010</v>
      </c>
      <c r="C520" s="5">
        <v>2190730959</v>
      </c>
      <c r="D520" s="8">
        <f>SUMPRODUCT(N(Tabela3[PAPEL]=Tabela2[[#This Row],[Ativo]]),Tabela3[Total Ações])</f>
        <v>1107677313</v>
      </c>
      <c r="E520" s="66">
        <f>(Tabela2[[#This Row],[Lucro Líquido]])/Tabela2[[#This Row],[Total Ações]]</f>
        <v>1.9777699997002647</v>
      </c>
      <c r="F520" s="66">
        <v>0.59360000000000002</v>
      </c>
      <c r="G520" s="46">
        <f>IF(AND(Tabela2[[#This Row],[Dividendo / Ação]]&gt;0,Tabela2[[#This Row],[Lucro por ação]]&gt;0),Tabela2[[#This Row],[Dividendo / Ação]]/Tabela2[[#This Row],[Lucro por ação]],"")</f>
        <v>0.3001360118163191</v>
      </c>
      <c r="H520" s="6">
        <f>MAX(Tabela2[[#This Row],[Cotação 1]],Tabela2[[#This Row],[Cotação 2]])</f>
        <v>5.7</v>
      </c>
      <c r="I520" s="19">
        <f>IF(Tabela2[[#This Row],[Dividendo / Ação]]&gt;0,Tabela2[[#This Row],[Dividendo / Ação]]/Tabela2[[#This Row],[Cotação]],"")</f>
        <v>0.10414035087719298</v>
      </c>
      <c r="J520" s="61">
        <f>SUMPRODUCT(N(Tabela1[Código]=Tabela2[[#This Row],[Ativo]]),Tabela1[Fechamento])</f>
        <v>5.7</v>
      </c>
      <c r="K520" s="61">
        <f>SUMPRODUCT(N(Tabela17[Código]=Tabela2[[#This Row],[Ativo]]),Tabela17[Fechamento])</f>
        <v>0</v>
      </c>
      <c r="M520" s="3"/>
    </row>
    <row r="521" spans="1:13">
      <c r="A521" s="4" t="s">
        <v>210</v>
      </c>
      <c r="B521" s="4">
        <v>2009</v>
      </c>
      <c r="C521" s="5">
        <v>3206936280</v>
      </c>
      <c r="D521" s="8">
        <f>SUMPRODUCT(N(Tabela3[PAPEL]=Tabela2[[#This Row],[Ativo]]),Tabela3[Total Ações])</f>
        <v>1107677313</v>
      </c>
      <c r="E521" s="66">
        <f>(Tabela2[[#This Row],[Lucro Líquido]])/Tabela2[[#This Row],[Total Ações]]</f>
        <v>2.8951900001584669</v>
      </c>
      <c r="F521" s="66">
        <v>0.77659999999999996</v>
      </c>
      <c r="G521" s="46">
        <f>IF(AND(Tabela2[[#This Row],[Dividendo / Ação]]&gt;0,Tabela2[[#This Row],[Lucro por ação]]&gt;0),Tabela2[[#This Row],[Dividendo / Ação]]/Tabela2[[#This Row],[Lucro por ação]],"")</f>
        <v>0.26823800854434188</v>
      </c>
      <c r="H521" s="6">
        <f>MAX(Tabela2[[#This Row],[Cotação 1]],Tabela2[[#This Row],[Cotação 2]])</f>
        <v>5.7</v>
      </c>
      <c r="I521" s="19">
        <f>IF(Tabela2[[#This Row],[Dividendo / Ação]]&gt;0,Tabela2[[#This Row],[Dividendo / Ação]]/Tabela2[[#This Row],[Cotação]],"")</f>
        <v>0.1362456140350877</v>
      </c>
      <c r="J521" s="61">
        <f>SUMPRODUCT(N(Tabela1[Código]=Tabela2[[#This Row],[Ativo]]),Tabela1[Fechamento])</f>
        <v>5.7</v>
      </c>
      <c r="K521" s="61">
        <f>SUMPRODUCT(N(Tabela17[Código]=Tabela2[[#This Row],[Ativo]]),Tabela17[Fechamento])</f>
        <v>0</v>
      </c>
      <c r="M521" s="3"/>
    </row>
    <row r="522" spans="1:13">
      <c r="A522" s="4" t="s">
        <v>57</v>
      </c>
      <c r="B522" s="4">
        <v>2012</v>
      </c>
      <c r="C522" s="6">
        <v>589182430.70000005</v>
      </c>
      <c r="D522" s="8">
        <f>SUMPRODUCT(N(Tabela3[PAPEL]=Tabela2[[#This Row],[Ativo]]),Tabela3[Total Ações])</f>
        <v>1033496721</v>
      </c>
      <c r="E522" s="66">
        <f>(Tabela2[[#This Row],[Lucro Líquido]])/Tabela2[[#This Row],[Total Ações]]</f>
        <v>0.57008640543137246</v>
      </c>
      <c r="F522" s="66">
        <v>1.51</v>
      </c>
      <c r="G522" s="46">
        <f>IF(AND(Tabela2[[#This Row],[Dividendo / Ação]]&gt;0,Tabela2[[#This Row],[Lucro por ação]]&gt;0),Tabela2[[#This Row],[Dividendo / Ação]]/Tabela2[[#This Row],[Lucro por ação]],"")</f>
        <v>2.6487212913933891</v>
      </c>
      <c r="H522" s="6">
        <f>MAX(Tabela2[[#This Row],[Cotação 1]],Tabela2[[#This Row],[Cotação 2]])</f>
        <v>17.95</v>
      </c>
      <c r="I522" s="19">
        <f>IF(Tabela2[[#This Row],[Dividendo / Ação]]&gt;0,Tabela2[[#This Row],[Dividendo / Ação]]/Tabela2[[#This Row],[Cotação]],"")</f>
        <v>8.4122562674094709E-2</v>
      </c>
      <c r="J522" s="61">
        <f>SUMPRODUCT(N(Tabela1[Código]=Tabela2[[#This Row],[Ativo]]),Tabela1[Fechamento])</f>
        <v>17.95</v>
      </c>
      <c r="K522" s="61">
        <f>SUMPRODUCT(N(Tabela17[Código]=Tabela2[[#This Row],[Ativo]]),Tabela17[Fechamento])</f>
        <v>0</v>
      </c>
      <c r="M522" s="3"/>
    </row>
    <row r="523" spans="1:13">
      <c r="A523" s="4" t="s">
        <v>57</v>
      </c>
      <c r="B523" s="4">
        <v>2011</v>
      </c>
      <c r="C523" s="6">
        <v>495399428.38999999</v>
      </c>
      <c r="D523" s="8">
        <f>SUMPRODUCT(N(Tabela3[PAPEL]=Tabela2[[#This Row],[Ativo]]),Tabela3[Total Ações])</f>
        <v>1033496721</v>
      </c>
      <c r="E523" s="66">
        <f>(Tabela2[[#This Row],[Lucro Líquido]])/Tabela2[[#This Row],[Total Ações]]</f>
        <v>0.47934300934274565</v>
      </c>
      <c r="F523" s="66">
        <v>1.88</v>
      </c>
      <c r="G523" s="46">
        <f>IF(AND(Tabela2[[#This Row],[Dividendo / Ação]]&gt;0,Tabela2[[#This Row],[Lucro por ação]]&gt;0),Tabela2[[#This Row],[Dividendo / Ação]]/Tabela2[[#This Row],[Lucro por ação]],"")</f>
        <v>3.9220348755638983</v>
      </c>
      <c r="H523" s="6">
        <f>MAX(Tabela2[[#This Row],[Cotação 1]],Tabela2[[#This Row],[Cotação 2]])</f>
        <v>17.95</v>
      </c>
      <c r="I523" s="19">
        <f>IF(Tabela2[[#This Row],[Dividendo / Ação]]&gt;0,Tabela2[[#This Row],[Dividendo / Ação]]/Tabela2[[#This Row],[Cotação]],"")</f>
        <v>0.10473537604456824</v>
      </c>
      <c r="J523" s="61">
        <f>SUMPRODUCT(N(Tabela1[Código]=Tabela2[[#This Row],[Ativo]]),Tabela1[Fechamento])</f>
        <v>17.95</v>
      </c>
      <c r="K523" s="61">
        <f>SUMPRODUCT(N(Tabela17[Código]=Tabela2[[#This Row],[Ativo]]),Tabela17[Fechamento])</f>
        <v>0</v>
      </c>
      <c r="M523" s="3"/>
    </row>
    <row r="524" spans="1:13">
      <c r="A524" s="4" t="s">
        <v>57</v>
      </c>
      <c r="B524" s="4">
        <v>2010</v>
      </c>
      <c r="C524" s="6">
        <v>428630102.26999998</v>
      </c>
      <c r="D524" s="8">
        <f>SUMPRODUCT(N(Tabela3[PAPEL]=Tabela2[[#This Row],[Ativo]]),Tabela3[Total Ações])</f>
        <v>1033496721</v>
      </c>
      <c r="E524" s="66">
        <f>(Tabela2[[#This Row],[Lucro Líquido]])/Tabela2[[#This Row],[Total Ações]]</f>
        <v>0.41473774764883842</v>
      </c>
      <c r="F524" s="66">
        <v>1.63</v>
      </c>
      <c r="G524" s="46">
        <f>IF(AND(Tabela2[[#This Row],[Dividendo / Ação]]&gt;0,Tabela2[[#This Row],[Lucro por ação]]&gt;0),Tabela2[[#This Row],[Dividendo / Ação]]/Tabela2[[#This Row],[Lucro por ação]],"")</f>
        <v>3.9301944644308895</v>
      </c>
      <c r="H524" s="6">
        <f>MAX(Tabela2[[#This Row],[Cotação 1]],Tabela2[[#This Row],[Cotação 2]])</f>
        <v>17.95</v>
      </c>
      <c r="I524" s="19">
        <f>IF(Tabela2[[#This Row],[Dividendo / Ação]]&gt;0,Tabela2[[#This Row],[Dividendo / Ação]]/Tabela2[[#This Row],[Cotação]],"")</f>
        <v>9.0807799442896936E-2</v>
      </c>
      <c r="J524" s="61">
        <f>SUMPRODUCT(N(Tabela1[Código]=Tabela2[[#This Row],[Ativo]]),Tabela1[Fechamento])</f>
        <v>17.95</v>
      </c>
      <c r="K524" s="61">
        <f>SUMPRODUCT(N(Tabela17[Código]=Tabela2[[#This Row],[Ativo]]),Tabela17[Fechamento])</f>
        <v>0</v>
      </c>
      <c r="M524" s="3"/>
    </row>
    <row r="525" spans="1:13">
      <c r="A525" s="4" t="s">
        <v>57</v>
      </c>
      <c r="B525" s="4">
        <v>2009</v>
      </c>
      <c r="C525" s="6">
        <v>287794829.95999998</v>
      </c>
      <c r="D525" s="8">
        <f>SUMPRODUCT(N(Tabela3[PAPEL]=Tabela2[[#This Row],[Ativo]]),Tabela3[Total Ações])</f>
        <v>1033496721</v>
      </c>
      <c r="E525" s="66">
        <f>(Tabela2[[#This Row],[Lucro Líquido]])/Tabela2[[#This Row],[Total Ações]]</f>
        <v>0.2784670953590766</v>
      </c>
      <c r="F525" s="66">
        <v>1.0900000000000001</v>
      </c>
      <c r="G525" s="46">
        <f>IF(AND(Tabela2[[#This Row],[Dividendo / Ação]]&gt;0,Tabela2[[#This Row],[Lucro por ação]]&gt;0),Tabela2[[#This Row],[Dividendo / Ação]]/Tabela2[[#This Row],[Lucro por ação]],"")</f>
        <v>3.9142865285195416</v>
      </c>
      <c r="H525" s="6">
        <f>MAX(Tabela2[[#This Row],[Cotação 1]],Tabela2[[#This Row],[Cotação 2]])</f>
        <v>17.95</v>
      </c>
      <c r="I525" s="19">
        <f>IF(Tabela2[[#This Row],[Dividendo / Ação]]&gt;0,Tabela2[[#This Row],[Dividendo / Ação]]/Tabela2[[#This Row],[Cotação]],"")</f>
        <v>6.0724233983286913E-2</v>
      </c>
      <c r="J525" s="61">
        <f>SUMPRODUCT(N(Tabela1[Código]=Tabela2[[#This Row],[Ativo]]),Tabela1[Fechamento])</f>
        <v>17.95</v>
      </c>
      <c r="K525" s="61">
        <f>SUMPRODUCT(N(Tabela17[Código]=Tabela2[[#This Row],[Ativo]]),Tabela17[Fechamento])</f>
        <v>0</v>
      </c>
      <c r="M525" s="3"/>
    </row>
    <row r="526" spans="1:13">
      <c r="A526" s="4" t="s">
        <v>196</v>
      </c>
      <c r="B526" s="4">
        <v>2012</v>
      </c>
      <c r="C526" s="6">
        <v>1499500000</v>
      </c>
      <c r="D526" s="8">
        <f>SUMPRODUCT(N(Tabela3[PAPEL]=Tabela2[[#This Row],[Ativo]]),Tabela3[Total Ações])</f>
        <v>652742192</v>
      </c>
      <c r="E526" s="66">
        <f>(Tabela2[[#This Row],[Lucro Líquido]])/Tabela2[[#This Row],[Total Ações]]</f>
        <v>2.2972316151427821</v>
      </c>
      <c r="F526" s="66">
        <v>2.3690660666999999</v>
      </c>
      <c r="G526" s="46">
        <f>IF(AND(Tabela2[[#This Row],[Dividendo / Ação]]&gt;0,Tabela2[[#This Row],[Lucro por ação]]&gt;0),Tabela2[[#This Row],[Dividendo / Ação]]/Tabela2[[#This Row],[Lucro por ação]],"")</f>
        <v>1.0312700082498008</v>
      </c>
      <c r="H526" s="6">
        <f>MAX(Tabela2[[#This Row],[Cotação 1]],Tabela2[[#This Row],[Cotação 2]])</f>
        <v>35.17</v>
      </c>
      <c r="I526" s="19">
        <f>IF(Tabela2[[#This Row],[Dividendo / Ação]]&gt;0,Tabela2[[#This Row],[Dividendo / Ação]]/Tabela2[[#This Row],[Cotação]],"")</f>
        <v>6.736042270969575E-2</v>
      </c>
      <c r="J526" s="61">
        <f>SUMPRODUCT(N(Tabela1[Código]=Tabela2[[#This Row],[Ativo]]),Tabela1[Fechamento])</f>
        <v>35.17</v>
      </c>
      <c r="K526" s="61">
        <f>SUMPRODUCT(N(Tabela17[Código]=Tabela2[[#This Row],[Ativo]]),Tabela17[Fechamento])</f>
        <v>0</v>
      </c>
      <c r="M526" s="3"/>
    </row>
    <row r="527" spans="1:13">
      <c r="A527" s="4" t="s">
        <v>196</v>
      </c>
      <c r="B527" s="4">
        <v>2011</v>
      </c>
      <c r="C527" s="6">
        <v>1447636528</v>
      </c>
      <c r="D527" s="8">
        <f>SUMPRODUCT(N(Tabela3[PAPEL]=Tabela2[[#This Row],[Ativo]]),Tabela3[Total Ações])</f>
        <v>652742192</v>
      </c>
      <c r="E527" s="66">
        <f>(Tabela2[[#This Row],[Lucro Líquido]])/Tabela2[[#This Row],[Total Ações]]</f>
        <v>2.2177768585242608</v>
      </c>
      <c r="F527" s="66">
        <v>2.1897556102000002</v>
      </c>
      <c r="G527" s="46">
        <f>IF(AND(Tabela2[[#This Row],[Dividendo / Ação]]&gt;0,Tabela2[[#This Row],[Lucro por ação]]&gt;0),Tabela2[[#This Row],[Dividendo / Ação]]/Tabela2[[#This Row],[Lucro por ação]],"")</f>
        <v>0.98736516335421309</v>
      </c>
      <c r="H527" s="6">
        <f>MAX(Tabela2[[#This Row],[Cotação 1]],Tabela2[[#This Row],[Cotação 2]])</f>
        <v>35.17</v>
      </c>
      <c r="I527" s="19">
        <f>IF(Tabela2[[#This Row],[Dividendo / Ação]]&gt;0,Tabela2[[#This Row],[Dividendo / Ação]]/Tabela2[[#This Row],[Cotação]],"")</f>
        <v>6.2262030429343196E-2</v>
      </c>
      <c r="J527" s="61">
        <f>SUMPRODUCT(N(Tabela1[Código]=Tabela2[[#This Row],[Ativo]]),Tabela1[Fechamento])</f>
        <v>35.17</v>
      </c>
      <c r="K527" s="61">
        <f>SUMPRODUCT(N(Tabela17[Código]=Tabela2[[#This Row],[Ativo]]),Tabela17[Fechamento])</f>
        <v>0</v>
      </c>
      <c r="L527" s="69">
        <f>4.8755*Tabela2[[#This Row],[Total Ações]]</f>
        <v>3182444557.0959997</v>
      </c>
      <c r="M527" s="3"/>
    </row>
    <row r="528" spans="1:13">
      <c r="A528" s="4" t="s">
        <v>196</v>
      </c>
      <c r="B528" s="4">
        <v>2010</v>
      </c>
      <c r="C528" s="6">
        <v>1211648449</v>
      </c>
      <c r="D528" s="8">
        <f>SUMPRODUCT(N(Tabela3[PAPEL]=Tabela2[[#This Row],[Ativo]]),Tabela3[Total Ações])</f>
        <v>652742192</v>
      </c>
      <c r="E528" s="66">
        <f>(Tabela2[[#This Row],[Lucro Líquido]])/Tabela2[[#This Row],[Total Ações]]</f>
        <v>1.8562434968199513</v>
      </c>
      <c r="F528" s="66">
        <v>1.0178134248999999</v>
      </c>
      <c r="G528" s="46">
        <f>IF(AND(Tabela2[[#This Row],[Dividendo / Ação]]&gt;0,Tabela2[[#This Row],[Lucro por ação]]&gt;0),Tabela2[[#This Row],[Dividendo / Ação]]/Tabela2[[#This Row],[Lucro por ação]],"")</f>
        <v>0.5483189175577885</v>
      </c>
      <c r="H528" s="6">
        <f>MAX(Tabela2[[#This Row],[Cotação 1]],Tabela2[[#This Row],[Cotação 2]])</f>
        <v>35.17</v>
      </c>
      <c r="I528" s="19">
        <f>IF(Tabela2[[#This Row],[Dividendo / Ação]]&gt;0,Tabela2[[#This Row],[Dividendo / Ação]]/Tabela2[[#This Row],[Cotação]],"")</f>
        <v>2.8939818734717085E-2</v>
      </c>
      <c r="J528" s="61">
        <f>SUMPRODUCT(N(Tabela1[Código]=Tabela2[[#This Row],[Ativo]]),Tabela1[Fechamento])</f>
        <v>35.17</v>
      </c>
      <c r="K528" s="61">
        <f>SUMPRODUCT(N(Tabela17[Código]=Tabela2[[#This Row],[Ativo]]),Tabela17[Fechamento])</f>
        <v>0</v>
      </c>
      <c r="M528" s="3"/>
    </row>
    <row r="529" spans="1:13">
      <c r="A529" s="4" t="s">
        <v>82</v>
      </c>
      <c r="B529" s="4">
        <v>2012</v>
      </c>
      <c r="C529" s="6"/>
      <c r="D529" s="8">
        <f>SUMPRODUCT(N(Tabela3[PAPEL]=Tabela2[[#This Row],[Ativo]]),Tabela3[Total Ações])</f>
        <v>817720079</v>
      </c>
      <c r="E529" s="66">
        <f>(Tabela2[[#This Row],[Lucro Líquido]])/Tabela2[[#This Row],[Total Ações]]</f>
        <v>0</v>
      </c>
      <c r="F529" s="66">
        <v>0</v>
      </c>
      <c r="G529" s="46" t="str">
        <f>IF(AND(Tabela2[[#This Row],[Dividendo / Ação]]&gt;0,Tabela2[[#This Row],[Lucro por ação]]&gt;0),Tabela2[[#This Row],[Dividendo / Ação]]/Tabela2[[#This Row],[Lucro por ação]],"")</f>
        <v/>
      </c>
      <c r="H529" s="13">
        <f>MAX(Tabela2[[#This Row],[Cotação 1]],Tabela2[[#This Row],[Cotação 2]])</f>
        <v>2.41</v>
      </c>
      <c r="I529" s="19" t="str">
        <f>IF(Tabela2[[#This Row],[Dividendo / Ação]]&gt;0,Tabela2[[#This Row],[Dividendo / Ação]]/Tabela2[[#This Row],[Cotação]],"")</f>
        <v/>
      </c>
      <c r="J529" s="17">
        <f>SUMPRODUCT(N(Tabela1[Código]=Tabela2[[#This Row],[Ativo]]),Tabela1[Fechamento])</f>
        <v>0</v>
      </c>
      <c r="K529" s="17">
        <f>SUMPRODUCT(N(Tabela17[Código]=Tabela2[[#This Row],[Ativo]]),Tabela17[Fechamento])</f>
        <v>2.41</v>
      </c>
      <c r="M529" s="3"/>
    </row>
    <row r="530" spans="1:13">
      <c r="A530" s="4" t="s">
        <v>82</v>
      </c>
      <c r="B530" s="4">
        <v>2011</v>
      </c>
      <c r="C530" s="6">
        <v>166896668.09999999</v>
      </c>
      <c r="D530" s="8">
        <f>SUMPRODUCT(N(Tabela3[PAPEL]=Tabela2[[#This Row],[Ativo]]),Tabela3[Total Ações])</f>
        <v>817720079</v>
      </c>
      <c r="E530" s="66">
        <f>(Tabela2[[#This Row],[Lucro Líquido]])/Tabela2[[#This Row],[Total Ações]]</f>
        <v>0.20409999997077238</v>
      </c>
      <c r="F530" s="66">
        <v>6.6000000000000003E-2</v>
      </c>
      <c r="G530" s="46">
        <f>IF(AND(Tabela2[[#This Row],[Dividendo / Ação]]&gt;0,Tabela2[[#This Row],[Lucro por ação]]&gt;0),Tabela2[[#This Row],[Dividendo / Ação]]/Tabela2[[#This Row],[Lucro por ação]],"")</f>
        <v>0.32337089666561175</v>
      </c>
      <c r="H530" s="13">
        <f>MAX(Tabela2[[#This Row],[Cotação 1]],Tabela2[[#This Row],[Cotação 2]])</f>
        <v>2.41</v>
      </c>
      <c r="I530" s="19">
        <f>IF(Tabela2[[#This Row],[Dividendo / Ação]]&gt;0,Tabela2[[#This Row],[Dividendo / Ação]]/Tabela2[[#This Row],[Cotação]],"")</f>
        <v>2.7385892116182572E-2</v>
      </c>
      <c r="J530" s="17">
        <f>SUMPRODUCT(N(Tabela1[Código]=Tabela2[[#This Row],[Ativo]]),Tabela1[Fechamento])</f>
        <v>0</v>
      </c>
      <c r="K530" s="17">
        <f>SUMPRODUCT(N(Tabela17[Código]=Tabela2[[#This Row],[Ativo]]),Tabela17[Fechamento])</f>
        <v>2.41</v>
      </c>
      <c r="M530" s="3"/>
    </row>
    <row r="531" spans="1:13">
      <c r="A531" s="4" t="s">
        <v>82</v>
      </c>
      <c r="B531" s="4">
        <v>2010</v>
      </c>
      <c r="C531" s="81">
        <v>234522118.69999999</v>
      </c>
      <c r="D531" s="8">
        <f>SUMPRODUCT(N(Tabela3[PAPEL]=Tabela2[[#This Row],[Ativo]]),Tabela3[Total Ações])</f>
        <v>817720079</v>
      </c>
      <c r="E531" s="66">
        <f>(Tabela2[[#This Row],[Lucro Líquido]])/Tabela2[[#This Row],[Total Ações]]</f>
        <v>0.28680000005234063</v>
      </c>
      <c r="F531" s="66">
        <v>6.6400000000000001E-2</v>
      </c>
      <c r="G531" s="46">
        <f>IF(AND(Tabela2[[#This Row],[Dividendo / Ação]]&gt;0,Tabela2[[#This Row],[Lucro por ação]]&gt;0),Tabela2[[#This Row],[Dividendo / Ação]]/Tabela2[[#This Row],[Lucro por ação]],"")</f>
        <v>0.23152022310977016</v>
      </c>
      <c r="H531" s="13">
        <f>MAX(Tabela2[[#This Row],[Cotação 1]],Tabela2[[#This Row],[Cotação 2]])</f>
        <v>2.41</v>
      </c>
      <c r="I531" s="19">
        <f>IF(Tabela2[[#This Row],[Dividendo / Ação]]&gt;0,Tabela2[[#This Row],[Dividendo / Ação]]/Tabela2[[#This Row],[Cotação]],"")</f>
        <v>2.7551867219917012E-2</v>
      </c>
      <c r="J531" s="17">
        <f>SUMPRODUCT(N(Tabela1[Código]=Tabela2[[#This Row],[Ativo]]),Tabela1[Fechamento])</f>
        <v>0</v>
      </c>
      <c r="K531" s="17">
        <f>SUMPRODUCT(N(Tabela17[Código]=Tabela2[[#This Row],[Ativo]]),Tabela17[Fechamento])</f>
        <v>2.41</v>
      </c>
      <c r="M531" s="3"/>
    </row>
    <row r="532" spans="1:13">
      <c r="A532" s="4" t="s">
        <v>82</v>
      </c>
      <c r="B532" s="4">
        <v>2009</v>
      </c>
      <c r="C532" s="6">
        <v>106303610.3</v>
      </c>
      <c r="D532" s="8">
        <f>SUMPRODUCT(N(Tabela3[PAPEL]=Tabela2[[#This Row],[Ativo]]),Tabela3[Total Ações])</f>
        <v>817720079</v>
      </c>
      <c r="E532" s="66">
        <f>(Tabela2[[#This Row],[Lucro Líquido]])/Tabela2[[#This Row],[Total Ações]]</f>
        <v>0.13000000003668738</v>
      </c>
      <c r="F532" s="66">
        <v>0</v>
      </c>
      <c r="G532" s="46" t="str">
        <f>IF(AND(Tabela2[[#This Row],[Dividendo / Ação]]&gt;0,Tabela2[[#This Row],[Lucro por ação]]&gt;0),Tabela2[[#This Row],[Dividendo / Ação]]/Tabela2[[#This Row],[Lucro por ação]],"")</f>
        <v/>
      </c>
      <c r="H532" s="13">
        <f>MAX(Tabela2[[#This Row],[Cotação 1]],Tabela2[[#This Row],[Cotação 2]])</f>
        <v>2.41</v>
      </c>
      <c r="I532" s="19" t="str">
        <f>IF(Tabela2[[#This Row],[Dividendo / Ação]]&gt;0,Tabela2[[#This Row],[Dividendo / Ação]]/Tabela2[[#This Row],[Cotação]],"")</f>
        <v/>
      </c>
      <c r="J532" s="17">
        <f>SUMPRODUCT(N(Tabela1[Código]=Tabela2[[#This Row],[Ativo]]),Tabela1[Fechamento])</f>
        <v>0</v>
      </c>
      <c r="K532" s="17">
        <f>SUMPRODUCT(N(Tabela17[Código]=Tabela2[[#This Row],[Ativo]]),Tabela17[Fechamento])</f>
        <v>2.41</v>
      </c>
      <c r="M532" s="3"/>
    </row>
    <row r="533" spans="1:13">
      <c r="A533" s="3" t="s">
        <v>325</v>
      </c>
      <c r="B533" s="3">
        <v>2012</v>
      </c>
      <c r="C533" s="81"/>
      <c r="D533" s="62">
        <f>SUMPRODUCT(N(Tabela3[PAPEL]=Tabela2[[#This Row],[Ativo]]),Tabela3[Total Ações])</f>
        <v>2417632647</v>
      </c>
      <c r="E533" s="65">
        <f>(Tabela2[[#This Row],[Lucro Líquido]])/Tabela2[[#This Row],[Total Ações]]</f>
        <v>0</v>
      </c>
      <c r="F533" s="65"/>
      <c r="G533" s="22" t="str">
        <f>IF(AND(Tabela2[[#This Row],[Dividendo / Ação]]&gt;0,Tabela2[[#This Row],[Lucro por ação]]&gt;0),Tabela2[[#This Row],[Dividendo / Ação]]/Tabela2[[#This Row],[Lucro por ação]],"")</f>
        <v/>
      </c>
      <c r="H533" s="51">
        <f>MAX(Tabela2[[#This Row],[Cotação 1]],Tabela2[[#This Row],[Cotação 2]])</f>
        <v>13.46</v>
      </c>
      <c r="I533" s="18" t="str">
        <f>IF(Tabela2[[#This Row],[Dividendo / Ação]]&gt;0,Tabela2[[#This Row],[Dividendo / Ação]]/Tabela2[[#This Row],[Cotação]],"")</f>
        <v/>
      </c>
      <c r="J533" s="7">
        <f>SUMPRODUCT(N(Tabela1[Código]=Tabela2[[#This Row],[Ativo]]),Tabela1[Fechamento])</f>
        <v>0</v>
      </c>
      <c r="K533" s="7">
        <f>SUMPRODUCT(N(Tabela17[Código]=Tabela2[[#This Row],[Ativo]]),Tabela17[Fechamento])</f>
        <v>13.46</v>
      </c>
      <c r="M533" s="3"/>
    </row>
    <row r="534" spans="1:13">
      <c r="A534" s="3" t="s">
        <v>325</v>
      </c>
      <c r="B534" s="3">
        <v>2011</v>
      </c>
      <c r="C534" s="5">
        <v>1281227722.3699999</v>
      </c>
      <c r="D534" s="62">
        <f>SUMPRODUCT(N(Tabela3[PAPEL]=Tabela2[[#This Row],[Ativo]]),Tabela3[Total Ações])</f>
        <v>2417632647</v>
      </c>
      <c r="E534" s="65">
        <f>(Tabela2[[#This Row],[Lucro Líquido]])/Tabela2[[#This Row],[Total Ações]]</f>
        <v>0.52995136542346666</v>
      </c>
      <c r="F534" s="65">
        <v>0.22</v>
      </c>
      <c r="G534" s="22">
        <f>IF(AND(Tabela2[[#This Row],[Dividendo / Ação]]&gt;0,Tabela2[[#This Row],[Lucro por ação]]&gt;0),Tabela2[[#This Row],[Dividendo / Ação]]/Tabela2[[#This Row],[Lucro por ação]],"")</f>
        <v>0.41513243356624857</v>
      </c>
      <c r="H534" s="51">
        <f>MAX(Tabela2[[#This Row],[Cotação 1]],Tabela2[[#This Row],[Cotação 2]])</f>
        <v>13.46</v>
      </c>
      <c r="I534" s="18">
        <f>IF(Tabela2[[#This Row],[Dividendo / Ação]]&gt;0,Tabela2[[#This Row],[Dividendo / Ação]]/Tabela2[[#This Row],[Cotação]],"")</f>
        <v>1.6344725111441305E-2</v>
      </c>
      <c r="J534" s="7">
        <f>SUMPRODUCT(N(Tabela1[Código]=Tabela2[[#This Row],[Ativo]]),Tabela1[Fechamento])</f>
        <v>0</v>
      </c>
      <c r="K534" s="7">
        <f>SUMPRODUCT(N(Tabela17[Código]=Tabela2[[#This Row],[Ativo]]),Tabela17[Fechamento])</f>
        <v>13.46</v>
      </c>
      <c r="M534" s="3"/>
    </row>
    <row r="535" spans="1:13">
      <c r="A535" s="3" t="s">
        <v>325</v>
      </c>
      <c r="B535" s="3">
        <v>2010</v>
      </c>
      <c r="C535" s="5">
        <v>2216909132.75</v>
      </c>
      <c r="D535" s="62">
        <f>SUMPRODUCT(N(Tabela3[PAPEL]=Tabela2[[#This Row],[Ativo]]),Tabela3[Total Ações])</f>
        <v>2417632647</v>
      </c>
      <c r="E535" s="65">
        <f>(Tabela2[[#This Row],[Lucro Líquido]])/Tabela2[[#This Row],[Total Ações]]</f>
        <v>0.9169751804522186</v>
      </c>
      <c r="F535" s="65">
        <v>0.2</v>
      </c>
      <c r="G535" s="22">
        <f>IF(AND(Tabela2[[#This Row],[Dividendo / Ação]]&gt;0,Tabela2[[#This Row],[Lucro por ação]]&gt;0),Tabela2[[#This Row],[Dividendo / Ação]]/Tabela2[[#This Row],[Lucro por ação]],"")</f>
        <v>0.21810841150724203</v>
      </c>
      <c r="H535" s="51">
        <f>MAX(Tabela2[[#This Row],[Cotação 1]],Tabela2[[#This Row],[Cotação 2]])</f>
        <v>13.46</v>
      </c>
      <c r="I535" s="18">
        <f>IF(Tabela2[[#This Row],[Dividendo / Ação]]&gt;0,Tabela2[[#This Row],[Dividendo / Ação]]/Tabela2[[#This Row],[Cotação]],"")</f>
        <v>1.4858841010401188E-2</v>
      </c>
      <c r="J535" s="7">
        <f>SUMPRODUCT(N(Tabela1[Código]=Tabela2[[#This Row],[Ativo]]),Tabela1[Fechamento])</f>
        <v>0</v>
      </c>
      <c r="K535" s="7">
        <f>SUMPRODUCT(N(Tabela17[Código]=Tabela2[[#This Row],[Ativo]]),Tabela17[Fechamento])</f>
        <v>13.46</v>
      </c>
      <c r="M535" s="3"/>
    </row>
    <row r="536" spans="1:13">
      <c r="A536" s="4" t="s">
        <v>387</v>
      </c>
      <c r="B536" s="4">
        <v>2012</v>
      </c>
      <c r="C536" s="6">
        <v>21385000</v>
      </c>
      <c r="D536" s="78">
        <f>SUMPRODUCT(N(Tabela3[PAPEL]=Tabela2[[#This Row],[Ativo]]),Tabela3[Total Ações])</f>
        <v>2857301</v>
      </c>
      <c r="E536" s="66">
        <f>(Tabela2[[#This Row],[Lucro Líquido]])/Tabela2[[#This Row],[Total Ações]]</f>
        <v>7.4843357420166789</v>
      </c>
      <c r="F536" s="66">
        <v>5.7389999999999999</v>
      </c>
      <c r="G536" s="45">
        <f>IF(AND(Tabela2[[#This Row],[Dividendo / Ação]]&gt;0,Tabela2[[#This Row],[Lucro por ação]]&gt;0),Tabela2[[#This Row],[Dividendo / Ação]]/Tabela2[[#This Row],[Lucro por ação]],"")</f>
        <v>0.76680151690437226</v>
      </c>
      <c r="H536" s="61">
        <f>MAX(Tabela2[[#This Row],[Cotação 1]],Tabela2[[#This Row],[Cotação 2]])</f>
        <v>88</v>
      </c>
      <c r="I536" s="46">
        <f>IF(Tabela2[[#This Row],[Dividendo / Ação]]&gt;0,Tabela2[[#This Row],[Dividendo / Ação]]/Tabela2[[#This Row],[Cotação]],"")</f>
        <v>6.5215909090909088E-2</v>
      </c>
      <c r="J536" s="17">
        <f>SUMPRODUCT(N(Tabela1[Código]=Tabela2[[#This Row],[Ativo]]),Tabela1[Fechamento])</f>
        <v>0</v>
      </c>
      <c r="K536" s="17">
        <f>SUMPRODUCT(N(Tabela17[Código]=Tabela2[[#This Row],[Ativo]]),Tabela17[Fechamento])</f>
        <v>88</v>
      </c>
      <c r="M536" s="3"/>
    </row>
    <row r="537" spans="1:13">
      <c r="A537" s="4" t="s">
        <v>387</v>
      </c>
      <c r="B537" s="4">
        <v>2011</v>
      </c>
      <c r="C537" s="6">
        <v>27650101.780000001</v>
      </c>
      <c r="D537" s="78">
        <f>SUMPRODUCT(N(Tabela3[PAPEL]=Tabela2[[#This Row],[Ativo]]),Tabela3[Total Ações])</f>
        <v>2857301</v>
      </c>
      <c r="E537" s="66">
        <f>(Tabela2[[#This Row],[Lucro Líquido]])/Tabela2[[#This Row],[Total Ações]]</f>
        <v>9.677000001049942</v>
      </c>
      <c r="F537" s="66">
        <v>9.48</v>
      </c>
      <c r="G537" s="45">
        <f>IF(AND(Tabela2[[#This Row],[Dividendo / Ação]]&gt;0,Tabela2[[#This Row],[Lucro por ação]]&gt;0),Tabela2[[#This Row],[Dividendo / Ação]]/Tabela2[[#This Row],[Lucro por ação]],"")</f>
        <v>0.97964245106659431</v>
      </c>
      <c r="H537" s="61">
        <f>MAX(Tabela2[[#This Row],[Cotação 1]],Tabela2[[#This Row],[Cotação 2]])</f>
        <v>88</v>
      </c>
      <c r="I537" s="46">
        <f>IF(Tabela2[[#This Row],[Dividendo / Ação]]&gt;0,Tabela2[[#This Row],[Dividendo / Ação]]/Tabela2[[#This Row],[Cotação]],"")</f>
        <v>0.10772727272727273</v>
      </c>
      <c r="J537" s="17">
        <f>SUMPRODUCT(N(Tabela1[Código]=Tabela2[[#This Row],[Ativo]]),Tabela1[Fechamento])</f>
        <v>0</v>
      </c>
      <c r="K537" s="17">
        <f>SUMPRODUCT(N(Tabela17[Código]=Tabela2[[#This Row],[Ativo]]),Tabela17[Fechamento])</f>
        <v>88</v>
      </c>
      <c r="M537" s="3"/>
    </row>
    <row r="538" spans="1:13">
      <c r="A538" s="4" t="s">
        <v>387</v>
      </c>
      <c r="B538" s="4">
        <v>2010</v>
      </c>
      <c r="C538" s="6">
        <v>27290081.850000001</v>
      </c>
      <c r="D538" s="78">
        <f>SUMPRODUCT(N(Tabela3[PAPEL]=Tabela2[[#This Row],[Ativo]]),Tabela3[Total Ações])</f>
        <v>2857301</v>
      </c>
      <c r="E538" s="66">
        <f>(Tabela2[[#This Row],[Lucro Líquido]])/Tabela2[[#This Row],[Total Ações]]</f>
        <v>9.5509999996500206</v>
      </c>
      <c r="F538" s="66">
        <v>6.27</v>
      </c>
      <c r="G538" s="45">
        <f>IF(AND(Tabela2[[#This Row],[Dividendo / Ação]]&gt;0,Tabela2[[#This Row],[Lucro por ação]]&gt;0),Tabela2[[#This Row],[Dividendo / Ação]]/Tabela2[[#This Row],[Lucro por ação]],"")</f>
        <v>0.65647576172440081</v>
      </c>
      <c r="H538" s="61">
        <f>MAX(Tabela2[[#This Row],[Cotação 1]],Tabela2[[#This Row],[Cotação 2]])</f>
        <v>88</v>
      </c>
      <c r="I538" s="46">
        <f>IF(Tabela2[[#This Row],[Dividendo / Ação]]&gt;0,Tabela2[[#This Row],[Dividendo / Ação]]/Tabela2[[#This Row],[Cotação]],"")</f>
        <v>7.1249999999999994E-2</v>
      </c>
      <c r="J538" s="17">
        <f>SUMPRODUCT(N(Tabela1[Código]=Tabela2[[#This Row],[Ativo]]),Tabela1[Fechamento])</f>
        <v>0</v>
      </c>
      <c r="K538" s="17">
        <f>SUMPRODUCT(N(Tabela17[Código]=Tabela2[[#This Row],[Ativo]]),Tabela17[Fechamento])</f>
        <v>88</v>
      </c>
      <c r="M538" s="3"/>
    </row>
    <row r="539" spans="1:13">
      <c r="A539" s="4" t="s">
        <v>387</v>
      </c>
      <c r="B539" s="4">
        <v>2009</v>
      </c>
      <c r="C539" s="6">
        <v>20461132.460000001</v>
      </c>
      <c r="D539" s="78">
        <f>SUMPRODUCT(N(Tabela3[PAPEL]=Tabela2[[#This Row],[Ativo]]),Tabela3[Total Ações])</f>
        <v>2857301</v>
      </c>
      <c r="E539" s="66">
        <f>(Tabela2[[#This Row],[Lucro Líquido]])/Tabela2[[#This Row],[Total Ações]]</f>
        <v>7.16099999965002</v>
      </c>
      <c r="F539" s="66">
        <v>3.63</v>
      </c>
      <c r="G539" s="45">
        <f>IF(AND(Tabela2[[#This Row],[Dividendo / Ação]]&gt;0,Tabela2[[#This Row],[Lucro por ação]]&gt;0),Tabela2[[#This Row],[Dividendo / Ação]]/Tabela2[[#This Row],[Lucro por ação]],"")</f>
        <v>0.50691244242108768</v>
      </c>
      <c r="H539" s="61">
        <f>MAX(Tabela2[[#This Row],[Cotação 1]],Tabela2[[#This Row],[Cotação 2]])</f>
        <v>88</v>
      </c>
      <c r="I539" s="46">
        <f>IF(Tabela2[[#This Row],[Dividendo / Ação]]&gt;0,Tabela2[[#This Row],[Dividendo / Ação]]/Tabela2[[#This Row],[Cotação]],"")</f>
        <v>4.1250000000000002E-2</v>
      </c>
      <c r="J539" s="17">
        <f>SUMPRODUCT(N(Tabela1[Código]=Tabela2[[#This Row],[Ativo]]),Tabela1[Fechamento])</f>
        <v>0</v>
      </c>
      <c r="K539" s="17">
        <f>SUMPRODUCT(N(Tabela17[Código]=Tabela2[[#This Row],[Ativo]]),Tabela17[Fechamento])</f>
        <v>88</v>
      </c>
      <c r="M539" s="3"/>
    </row>
    <row r="540" spans="1:13">
      <c r="A540" s="4" t="s">
        <v>173</v>
      </c>
      <c r="B540" s="4">
        <v>2012</v>
      </c>
      <c r="C540" s="6">
        <v>843488000</v>
      </c>
      <c r="D540" s="8">
        <f>SUMPRODUCT(N(Tabela3[PAPEL]=Tabela2[[#This Row],[Ativo]]),Tabela3[Total Ações])</f>
        <v>152661565</v>
      </c>
      <c r="E540" s="66">
        <f>(Tabela2[[#This Row],[Lucro Líquido]])/Tabela2[[#This Row],[Total Ações]]</f>
        <v>5.5252152039709532</v>
      </c>
      <c r="F540" s="66">
        <v>1.8032159999999999</v>
      </c>
      <c r="G540" s="46">
        <f>IF(AND(Tabela2[[#This Row],[Dividendo / Ação]]&gt;0,Tabela2[[#This Row],[Lucro por ação]]&gt;0),Tabela2[[#This Row],[Dividendo / Ação]]/Tabela2[[#This Row],[Lucro por ação]],"")</f>
        <v>0.32636122457348538</v>
      </c>
      <c r="H540" s="6">
        <f>MAX(Tabela2[[#This Row],[Cotação 1]],Tabela2[[#This Row],[Cotação 2]])</f>
        <v>42</v>
      </c>
      <c r="I540" s="19">
        <f>IF(Tabela2[[#This Row],[Dividendo / Ação]]&gt;0,Tabela2[[#This Row],[Dividendo / Ação]]/Tabela2[[#This Row],[Cotação]],"")</f>
        <v>4.2933714285714283E-2</v>
      </c>
      <c r="J540" s="61">
        <f>SUMPRODUCT(N(Tabela1[Código]=Tabela2[[#This Row],[Ativo]]),Tabela1[Fechamento])</f>
        <v>42</v>
      </c>
      <c r="K540" s="61">
        <f>SUMPRODUCT(N(Tabela17[Código]=Tabela2[[#This Row],[Ativo]]),Tabela17[Fechamento])</f>
        <v>0</v>
      </c>
      <c r="M540" s="3"/>
    </row>
    <row r="541" spans="1:13">
      <c r="A541" s="4" t="s">
        <v>173</v>
      </c>
      <c r="B541" s="3">
        <v>2011</v>
      </c>
      <c r="C541" s="5">
        <v>920137051</v>
      </c>
      <c r="D541" s="62">
        <f>SUMPRODUCT(N(Tabela3[PAPEL]=Tabela2[[#This Row],[Ativo]]),Tabela3[Total Ações])</f>
        <v>152661565</v>
      </c>
      <c r="E541" s="65">
        <f>(Tabela2[[#This Row],[Lucro Líquido]])/Tabela2[[#This Row],[Total Ações]]</f>
        <v>6.0273000018046456</v>
      </c>
      <c r="F541" s="65">
        <v>4.9819000000000004</v>
      </c>
      <c r="G541" s="22">
        <f>IF(AND(Tabela2[[#This Row],[Dividendo / Ação]]&gt;0,Tabela2[[#This Row],[Lucro por ação]]&gt;0),Tabela2[[#This Row],[Dividendo / Ação]]/Tabela2[[#This Row],[Lucro por ação]],"")</f>
        <v>0.82655583735808069</v>
      </c>
      <c r="H541" s="5">
        <f>MAX(Tabela2[[#This Row],[Cotação 1]],Tabela2[[#This Row],[Cotação 2]])</f>
        <v>42</v>
      </c>
      <c r="I541" s="18">
        <f>IF(Tabela2[[#This Row],[Dividendo / Ação]]&gt;0,Tabela2[[#This Row],[Dividendo / Ação]]/Tabela2[[#This Row],[Cotação]],"")</f>
        <v>0.11861666666666668</v>
      </c>
      <c r="J541" s="60">
        <f>SUMPRODUCT(N(Tabela1[Código]=Tabela2[[#This Row],[Ativo]]),Tabela1[Fechamento])</f>
        <v>42</v>
      </c>
      <c r="K541" s="60">
        <f>SUMPRODUCT(N(Tabela17[Código]=Tabela2[[#This Row],[Ativo]]),Tabela17[Fechamento])</f>
        <v>0</v>
      </c>
      <c r="M541" s="3"/>
    </row>
    <row r="542" spans="1:13">
      <c r="A542" s="4" t="s">
        <v>173</v>
      </c>
      <c r="B542" s="3">
        <v>2010</v>
      </c>
      <c r="C542" s="5">
        <v>818571312</v>
      </c>
      <c r="D542" s="62">
        <f>SUMPRODUCT(N(Tabela3[PAPEL]=Tabela2[[#This Row],[Ativo]]),Tabela3[Total Ações])</f>
        <v>152661565</v>
      </c>
      <c r="E542" s="65">
        <f>(Tabela2[[#This Row],[Lucro Líquido]])/Tabela2[[#This Row],[Total Ações]]</f>
        <v>5.3620000030787054</v>
      </c>
      <c r="F542" s="65">
        <v>5.0853999999999999</v>
      </c>
      <c r="G542" s="22">
        <f>IF(AND(Tabela2[[#This Row],[Dividendo / Ação]]&gt;0,Tabela2[[#This Row],[Lucro por ação]]&gt;0),Tabela2[[#This Row],[Dividendo / Ação]]/Tabela2[[#This Row],[Lucro por ação]],"")</f>
        <v>0.94841477006342978</v>
      </c>
      <c r="H542" s="5">
        <f>MAX(Tabela2[[#This Row],[Cotação 1]],Tabela2[[#This Row],[Cotação 2]])</f>
        <v>42</v>
      </c>
      <c r="I542" s="18">
        <f>IF(Tabela2[[#This Row],[Dividendo / Ação]]&gt;0,Tabela2[[#This Row],[Dividendo / Ação]]/Tabela2[[#This Row],[Cotação]],"")</f>
        <v>0.12108095238095237</v>
      </c>
      <c r="J542" s="60">
        <f>SUMPRODUCT(N(Tabela1[Código]=Tabela2[[#This Row],[Ativo]]),Tabela1[Fechamento])</f>
        <v>42</v>
      </c>
      <c r="K542" s="60">
        <f>SUMPRODUCT(N(Tabela17[Código]=Tabela2[[#This Row],[Ativo]]),Tabela17[Fechamento])</f>
        <v>0</v>
      </c>
      <c r="M542" s="3"/>
    </row>
    <row r="543" spans="1:13">
      <c r="A543" s="4" t="s">
        <v>174</v>
      </c>
      <c r="B543" s="4">
        <v>2012</v>
      </c>
      <c r="C543" s="6">
        <v>843488000</v>
      </c>
      <c r="D543" s="8">
        <f>SUMPRODUCT(N(Tabela3[PAPEL]=Tabela2[[#This Row],[Ativo]]),Tabela3[Total Ações])</f>
        <v>152661565</v>
      </c>
      <c r="E543" s="66">
        <f>(Tabela2[[#This Row],[Lucro Líquido]])/Tabela2[[#This Row],[Total Ações]]</f>
        <v>5.5252152039709532</v>
      </c>
      <c r="F543" s="66">
        <v>1.8032159999999999</v>
      </c>
      <c r="G543" s="46">
        <f>IF(AND(Tabela2[[#This Row],[Dividendo / Ação]]&gt;0,Tabela2[[#This Row],[Lucro por ação]]&gt;0),Tabela2[[#This Row],[Dividendo / Ação]]/Tabela2[[#This Row],[Lucro por ação]],"")</f>
        <v>0.32636122457348538</v>
      </c>
      <c r="H543" s="6">
        <f>MAX(Tabela2[[#This Row],[Cotação 1]],Tabela2[[#This Row],[Cotação 2]])</f>
        <v>26.83</v>
      </c>
      <c r="I543" s="19">
        <f>IF(Tabela2[[#This Row],[Dividendo / Ação]]&gt;0,Tabela2[[#This Row],[Dividendo / Ação]]/Tabela2[[#This Row],[Cotação]],"")</f>
        <v>6.7208945210585166E-2</v>
      </c>
      <c r="J543" s="61">
        <f>SUMPRODUCT(N(Tabela1[Código]=Tabela2[[#This Row],[Ativo]]),Tabela1[Fechamento])</f>
        <v>26.83</v>
      </c>
      <c r="K543" s="61">
        <f>SUMPRODUCT(N(Tabela17[Código]=Tabela2[[#This Row],[Ativo]]),Tabela17[Fechamento])</f>
        <v>0</v>
      </c>
      <c r="M543" s="3"/>
    </row>
    <row r="544" spans="1:13">
      <c r="A544" s="4" t="s">
        <v>174</v>
      </c>
      <c r="B544" s="4">
        <v>2011</v>
      </c>
      <c r="C544" s="5">
        <v>920137051</v>
      </c>
      <c r="D544" s="8">
        <f>SUMPRODUCT(N(Tabela3[PAPEL]=Tabela2[[#This Row],[Ativo]]),Tabela3[Total Ações])</f>
        <v>152661565</v>
      </c>
      <c r="E544" s="66">
        <f>(Tabela2[[#This Row],[Lucro Líquido]])/Tabela2[[#This Row],[Total Ações]]</f>
        <v>6.0273000018046456</v>
      </c>
      <c r="F544" s="65">
        <v>4.9819000000000004</v>
      </c>
      <c r="G544" s="46">
        <f>IF(AND(Tabela2[[#This Row],[Dividendo / Ação]]&gt;0,Tabela2[[#This Row],[Lucro por ação]]&gt;0),Tabela2[[#This Row],[Dividendo / Ação]]/Tabela2[[#This Row],[Lucro por ação]],"")</f>
        <v>0.82655583735808069</v>
      </c>
      <c r="H544" s="6">
        <f>MAX(Tabela2[[#This Row],[Cotação 1]],Tabela2[[#This Row],[Cotação 2]])</f>
        <v>26.83</v>
      </c>
      <c r="I544" s="19">
        <f>IF(Tabela2[[#This Row],[Dividendo / Ação]]&gt;0,Tabela2[[#This Row],[Dividendo / Ação]]/Tabela2[[#This Row],[Cotação]],"")</f>
        <v>0.1856839358926575</v>
      </c>
      <c r="J544" s="61">
        <f>SUMPRODUCT(N(Tabela1[Código]=Tabela2[[#This Row],[Ativo]]),Tabela1[Fechamento])</f>
        <v>26.83</v>
      </c>
      <c r="K544" s="61">
        <f>SUMPRODUCT(N(Tabela17[Código]=Tabela2[[#This Row],[Ativo]]),Tabela17[Fechamento])</f>
        <v>0</v>
      </c>
      <c r="L544" s="69">
        <f>2.62*Tabela2[[#This Row],[Total Ações]]</f>
        <v>399973300.30000001</v>
      </c>
      <c r="M544" s="3"/>
    </row>
    <row r="545" spans="1:13">
      <c r="A545" s="4" t="s">
        <v>174</v>
      </c>
      <c r="B545" s="4">
        <v>2010</v>
      </c>
      <c r="C545" s="5">
        <v>818571312</v>
      </c>
      <c r="D545" s="8">
        <f>SUMPRODUCT(N(Tabela3[PAPEL]=Tabela2[[#This Row],[Ativo]]),Tabela3[Total Ações])</f>
        <v>152661565</v>
      </c>
      <c r="E545" s="66">
        <f>(Tabela2[[#This Row],[Lucro Líquido]])/Tabela2[[#This Row],[Total Ações]]</f>
        <v>5.3620000030787054</v>
      </c>
      <c r="F545" s="65">
        <v>5.0853999999999999</v>
      </c>
      <c r="G545" s="46">
        <f>IF(AND(Tabela2[[#This Row],[Dividendo / Ação]]&gt;0,Tabela2[[#This Row],[Lucro por ação]]&gt;0),Tabela2[[#This Row],[Dividendo / Ação]]/Tabela2[[#This Row],[Lucro por ação]],"")</f>
        <v>0.94841477006342978</v>
      </c>
      <c r="H545" s="6">
        <f>MAX(Tabela2[[#This Row],[Cotação 1]],Tabela2[[#This Row],[Cotação 2]])</f>
        <v>26.83</v>
      </c>
      <c r="I545" s="19">
        <f>IF(Tabela2[[#This Row],[Dividendo / Ação]]&gt;0,Tabela2[[#This Row],[Dividendo / Ação]]/Tabela2[[#This Row],[Cotação]],"")</f>
        <v>0.18954155795751026</v>
      </c>
      <c r="J545" s="61">
        <f>SUMPRODUCT(N(Tabela1[Código]=Tabela2[[#This Row],[Ativo]]),Tabela1[Fechamento])</f>
        <v>26.83</v>
      </c>
      <c r="K545" s="61">
        <f>SUMPRODUCT(N(Tabela17[Código]=Tabela2[[#This Row],[Ativo]]),Tabela17[Fechamento])</f>
        <v>0</v>
      </c>
      <c r="M545" s="3"/>
    </row>
    <row r="546" spans="1:13">
      <c r="A546" s="3" t="s">
        <v>349</v>
      </c>
      <c r="B546" s="3">
        <v>2012</v>
      </c>
      <c r="C546" s="5">
        <v>1011009000</v>
      </c>
      <c r="D546" s="62">
        <f>SUMPRODUCT(N(Tabela3[PAPEL]=Tabela2[[#This Row],[Ativo]]),Tabela3[Total Ações])</f>
        <v>544383996</v>
      </c>
      <c r="E546" s="65">
        <f>(Tabela2[[#This Row],[Lucro Líquido]])/Tabela2[[#This Row],[Total Ações]]</f>
        <v>1.8571615025949439</v>
      </c>
      <c r="F546" s="65">
        <v>1.17</v>
      </c>
      <c r="G546" s="22">
        <f>IF(AND(Tabela2[[#This Row],[Dividendo / Ação]]&gt;0,Tabela2[[#This Row],[Lucro por ação]]&gt;0),Tabela2[[#This Row],[Dividendo / Ação]]/Tabela2[[#This Row],[Lucro por ação]],"")</f>
        <v>0.62999367495244851</v>
      </c>
      <c r="H546" s="51">
        <f>MAX(Tabela2[[#This Row],[Cotação 1]],Tabela2[[#This Row],[Cotação 2]])</f>
        <v>53.92</v>
      </c>
      <c r="I546" s="18">
        <f>IF(Tabela2[[#This Row],[Dividendo / Ação]]&gt;0,Tabela2[[#This Row],[Dividendo / Ação]]/Tabela2[[#This Row],[Cotação]],"")</f>
        <v>2.1698813056379818E-2</v>
      </c>
      <c r="J546" s="7">
        <f>SUMPRODUCT(N(Tabela1[Código]=Tabela2[[#This Row],[Ativo]]),Tabela1[Fechamento])</f>
        <v>0</v>
      </c>
      <c r="K546" s="7">
        <f>SUMPRODUCT(N(Tabela17[Código]=Tabela2[[#This Row],[Ativo]]),Tabela17[Fechamento])</f>
        <v>53.92</v>
      </c>
      <c r="M546" s="3"/>
    </row>
    <row r="547" spans="1:13">
      <c r="A547" s="3" t="s">
        <v>349</v>
      </c>
      <c r="B547" s="3">
        <v>2011</v>
      </c>
      <c r="C547" s="5">
        <v>860126713.70000005</v>
      </c>
      <c r="D547" s="62">
        <f>SUMPRODUCT(N(Tabela3[PAPEL]=Tabela2[[#This Row],[Ativo]]),Tabela3[Total Ações])</f>
        <v>544383996</v>
      </c>
      <c r="E547" s="65">
        <f>(Tabela2[[#This Row],[Lucro Líquido]])/Tabela2[[#This Row],[Total Ações]]</f>
        <v>1.5800000000367389</v>
      </c>
      <c r="F547" s="65">
        <v>0.98</v>
      </c>
      <c r="G547" s="22">
        <f>IF(AND(Tabela2[[#This Row],[Dividendo / Ação]]&gt;0,Tabela2[[#This Row],[Lucro por ação]]&gt;0),Tabela2[[#This Row],[Dividendo / Ação]]/Tabela2[[#This Row],[Lucro por ação]],"")</f>
        <v>0.62025316454253965</v>
      </c>
      <c r="H547" s="51">
        <f>MAX(Tabela2[[#This Row],[Cotação 1]],Tabela2[[#This Row],[Cotação 2]])</f>
        <v>53.92</v>
      </c>
      <c r="I547" s="18">
        <f>IF(Tabela2[[#This Row],[Dividendo / Ação]]&gt;0,Tabela2[[#This Row],[Dividendo / Ação]]/Tabela2[[#This Row],[Cotação]],"")</f>
        <v>1.8175074183976261E-2</v>
      </c>
      <c r="J547" s="7">
        <f>SUMPRODUCT(N(Tabela1[Código]=Tabela2[[#This Row],[Ativo]]),Tabela1[Fechamento])</f>
        <v>0</v>
      </c>
      <c r="K547" s="7">
        <f>SUMPRODUCT(N(Tabela17[Código]=Tabela2[[#This Row],[Ativo]]),Tabela17[Fechamento])</f>
        <v>53.92</v>
      </c>
      <c r="M547" s="3"/>
    </row>
    <row r="548" spans="1:13">
      <c r="A548" s="3" t="s">
        <v>349</v>
      </c>
      <c r="B548" s="3">
        <v>2010</v>
      </c>
      <c r="C548" s="5">
        <v>773025274.29999995</v>
      </c>
      <c r="D548" s="62">
        <f>SUMPRODUCT(N(Tabela3[PAPEL]=Tabela2[[#This Row],[Ativo]]),Tabela3[Total Ações])</f>
        <v>544383996</v>
      </c>
      <c r="E548" s="65">
        <f>(Tabela2[[#This Row],[Lucro Líquido]])/Tabela2[[#This Row],[Total Ações]]</f>
        <v>1.4199999999632611</v>
      </c>
      <c r="F548" s="65">
        <v>0.8</v>
      </c>
      <c r="G548" s="22">
        <f>IF(AND(Tabela2[[#This Row],[Dividendo / Ação]]&gt;0,Tabela2[[#This Row],[Lucro por ação]]&gt;0),Tabela2[[#This Row],[Dividendo / Ação]]/Tabela2[[#This Row],[Lucro por ação]],"")</f>
        <v>0.56338028170471688</v>
      </c>
      <c r="H548" s="51">
        <f>MAX(Tabela2[[#This Row],[Cotação 1]],Tabela2[[#This Row],[Cotação 2]])</f>
        <v>53.92</v>
      </c>
      <c r="I548" s="18">
        <f>IF(Tabela2[[#This Row],[Dividendo / Ação]]&gt;0,Tabela2[[#This Row],[Dividendo / Ação]]/Tabela2[[#This Row],[Cotação]],"")</f>
        <v>1.483679525222552E-2</v>
      </c>
      <c r="J548" s="7">
        <f>SUMPRODUCT(N(Tabela1[Código]=Tabela2[[#This Row],[Ativo]]),Tabela1[Fechamento])</f>
        <v>0</v>
      </c>
      <c r="K548" s="7">
        <f>SUMPRODUCT(N(Tabela17[Código]=Tabela2[[#This Row],[Ativo]]),Tabela17[Fechamento])</f>
        <v>53.92</v>
      </c>
      <c r="L548" s="3">
        <f>43179000/Tabela2[[#This Row],[Total Ações]]</f>
        <v>7.9317173754681794E-2</v>
      </c>
      <c r="M548" s="3"/>
    </row>
    <row r="549" spans="1:13">
      <c r="A549" s="4" t="s">
        <v>39</v>
      </c>
      <c r="B549" s="4">
        <v>2012</v>
      </c>
      <c r="C549" s="6">
        <v>39281689.020000003</v>
      </c>
      <c r="D549" s="8">
        <f>SUMPRODUCT(N(Tabela3[PAPEL]=Tabela2[[#This Row],[Ativo]]),Tabela3[Total Ações])</f>
        <v>835502072</v>
      </c>
      <c r="E549" s="64">
        <f>(Tabela2[[#This Row],[Lucro Líquido]])/Tabela2[[#This Row],[Total Ações]]</f>
        <v>4.7015669184360807E-2</v>
      </c>
      <c r="F549" s="64">
        <v>9.6799999999999994E-3</v>
      </c>
      <c r="G549" s="19">
        <f>IF(AND(Tabela2[[#This Row],[Dividendo / Ação]]&gt;0,Tabela2[[#This Row],[Lucro por ação]]&gt;0),Tabela2[[#This Row],[Dividendo / Ação]]/Tabela2[[#This Row],[Lucro por ação]],"")</f>
        <v>0.20588880617740807</v>
      </c>
      <c r="H549" s="6">
        <f>MAX(Tabela2[[#This Row],[Cotação 1]],Tabela2[[#This Row],[Cotação 2]])</f>
        <v>0.51</v>
      </c>
      <c r="I549" s="18">
        <f>IF(Tabela2[[#This Row],[Dividendo / Ação]]&gt;0,Tabela2[[#This Row],[Dividendo / Ação]]/Tabela2[[#This Row],[Cotação]],"")</f>
        <v>1.8980392156862744E-2</v>
      </c>
      <c r="J549" s="60">
        <f>SUMPRODUCT(N(Tabela1[Código]=Tabela2[[#This Row],[Ativo]]),Tabela1[Fechamento])</f>
        <v>0.51</v>
      </c>
      <c r="K549" s="60">
        <f>SUMPRODUCT(N(Tabela17[Código]=Tabela2[[#This Row],[Ativo]]),Tabela17[Fechamento])</f>
        <v>0</v>
      </c>
      <c r="M549" s="3"/>
    </row>
    <row r="550" spans="1:13">
      <c r="A550" s="4" t="s">
        <v>39</v>
      </c>
      <c r="B550" s="4">
        <v>2011</v>
      </c>
      <c r="C550" s="6">
        <v>4448000</v>
      </c>
      <c r="D550" s="8">
        <f>SUMPRODUCT(N(Tabela3[PAPEL]=Tabela2[[#This Row],[Ativo]]),Tabela3[Total Ações])</f>
        <v>835502072</v>
      </c>
      <c r="E550" s="64">
        <f>(Tabela2[[#This Row],[Lucro Líquido]])/Tabela2[[#This Row],[Total Ações]]</f>
        <v>5.323745025972838E-3</v>
      </c>
      <c r="F550" s="64">
        <v>0</v>
      </c>
      <c r="G550" s="19" t="str">
        <f>IF(AND(Tabela2[[#This Row],[Dividendo / Ação]]&gt;0,Tabela2[[#This Row],[Lucro por ação]]&gt;0),Tabela2[[#This Row],[Dividendo / Ação]]/Tabela2[[#This Row],[Lucro por ação]],"")</f>
        <v/>
      </c>
      <c r="H550" s="6">
        <f>MAX(Tabela2[[#This Row],[Cotação 1]],Tabela2[[#This Row],[Cotação 2]])</f>
        <v>0.51</v>
      </c>
      <c r="I550" s="18" t="str">
        <f>IF(Tabela2[[#This Row],[Dividendo / Ação]]&gt;0,Tabela2[[#This Row],[Dividendo / Ação]]/Tabela2[[#This Row],[Cotação]],"")</f>
        <v/>
      </c>
      <c r="J550" s="60">
        <f>SUMPRODUCT(N(Tabela1[Código]=Tabela2[[#This Row],[Ativo]]),Tabela1[Fechamento])</f>
        <v>0.51</v>
      </c>
      <c r="K550" s="60">
        <f>SUMPRODUCT(N(Tabela17[Código]=Tabela2[[#This Row],[Ativo]]),Tabela17[Fechamento])</f>
        <v>0</v>
      </c>
      <c r="M550" s="3"/>
    </row>
    <row r="551" spans="1:13">
      <c r="A551" s="4" t="s">
        <v>39</v>
      </c>
      <c r="B551" s="4">
        <v>2010</v>
      </c>
      <c r="C551" s="6">
        <v>30296000</v>
      </c>
      <c r="D551" s="8">
        <f>SUMPRODUCT(N(Tabela3[PAPEL]=Tabela2[[#This Row],[Ativo]]),Tabela3[Total Ações])</f>
        <v>835502072</v>
      </c>
      <c r="E551" s="64">
        <f>(Tabela2[[#This Row],[Lucro Líquido]])/Tabela2[[#This Row],[Total Ações]]</f>
        <v>3.6260831678703483E-2</v>
      </c>
      <c r="F551" s="64">
        <v>0</v>
      </c>
      <c r="G551" s="19" t="str">
        <f>IF(AND(Tabela2[[#This Row],[Dividendo / Ação]]&gt;0,Tabela2[[#This Row],[Lucro por ação]]&gt;0),Tabela2[[#This Row],[Dividendo / Ação]]/Tabela2[[#This Row],[Lucro por ação]],"")</f>
        <v/>
      </c>
      <c r="H551" s="6">
        <f>MAX(Tabela2[[#This Row],[Cotação 1]],Tabela2[[#This Row],[Cotação 2]])</f>
        <v>0.51</v>
      </c>
      <c r="I551" s="18" t="str">
        <f>IF(Tabela2[[#This Row],[Dividendo / Ação]]&gt;0,Tabela2[[#This Row],[Dividendo / Ação]]/Tabela2[[#This Row],[Cotação]],"")</f>
        <v/>
      </c>
      <c r="J551" s="60">
        <f>SUMPRODUCT(N(Tabela1[Código]=Tabela2[[#This Row],[Ativo]]),Tabela1[Fechamento])</f>
        <v>0.51</v>
      </c>
      <c r="K551" s="60">
        <f>SUMPRODUCT(N(Tabela17[Código]=Tabela2[[#This Row],[Ativo]]),Tabela17[Fechamento])</f>
        <v>0</v>
      </c>
      <c r="M551" s="3"/>
    </row>
    <row r="552" spans="1:13">
      <c r="A552" s="4" t="s">
        <v>379</v>
      </c>
      <c r="B552" s="4">
        <v>2012</v>
      </c>
      <c r="C552" s="6">
        <v>9733695883.3700008</v>
      </c>
      <c r="D552" s="78">
        <f>SUMPRODUCT(N(Tabela3[PAPEL]=Tabela2[[#This Row],[Ativo]]),Tabela3[Total Ações])</f>
        <v>5365304100</v>
      </c>
      <c r="E552" s="66">
        <f>(Tabela2[[#This Row],[Lucro Líquido]])/Tabela2[[#This Row],[Total Ações]]</f>
        <v>1.8141927655824766</v>
      </c>
      <c r="F552" s="66">
        <v>1.8288805334</v>
      </c>
      <c r="G552" s="45">
        <f>IF(AND(Tabela2[[#This Row],[Dividendo / Ação]]&gt;0,Tabela2[[#This Row],[Lucro por ação]]&gt;0),Tabela2[[#This Row],[Dividendo / Ação]]/Tabela2[[#This Row],[Lucro por ação]],"")</f>
        <v>1.0080960348294674</v>
      </c>
      <c r="H552" s="61">
        <f>MAX(Tabela2[[#This Row],[Cotação 1]],Tabela2[[#This Row],[Cotação 2]])</f>
        <v>30.23</v>
      </c>
      <c r="I552" s="46">
        <f>IF(Tabela2[[#This Row],[Dividendo / Ação]]&gt;0,Tabela2[[#This Row],[Dividendo / Ação]]/Tabela2[[#This Row],[Cotação]],"")</f>
        <v>6.0498859854449222E-2</v>
      </c>
      <c r="J552" s="17">
        <f>SUMPRODUCT(N(Tabela1[Código]=Tabela2[[#This Row],[Ativo]]),Tabela1[Fechamento])</f>
        <v>0</v>
      </c>
      <c r="K552" s="17">
        <f>SUMPRODUCT(N(Tabela17[Código]=Tabela2[[#This Row],[Ativo]]),Tabela17[Fechamento])</f>
        <v>30.23</v>
      </c>
      <c r="M552" s="3"/>
    </row>
    <row r="553" spans="1:13">
      <c r="A553" s="4" t="s">
        <v>379</v>
      </c>
      <c r="B553" s="4">
        <v>2011</v>
      </c>
      <c r="C553" s="6">
        <v>39810556422</v>
      </c>
      <c r="D553" s="78">
        <f>SUMPRODUCT(N(Tabela3[PAPEL]=Tabela2[[#This Row],[Ativo]]),Tabela3[Total Ações])</f>
        <v>5365304100</v>
      </c>
      <c r="E553" s="66">
        <f>(Tabela2[[#This Row],[Lucro Líquido]])/Tabela2[[#This Row],[Total Ações]]</f>
        <v>7.42</v>
      </c>
      <c r="F553" s="66">
        <v>1.7557325829999999</v>
      </c>
      <c r="G553" s="45">
        <f>IF(AND(Tabela2[[#This Row],[Dividendo / Ação]]&gt;0,Tabela2[[#This Row],[Lucro por ação]]&gt;0),Tabela2[[#This Row],[Dividendo / Ação]]/Tabela2[[#This Row],[Lucro por ação]],"")</f>
        <v>0.23662164191374663</v>
      </c>
      <c r="H553" s="61">
        <f>MAX(Tabela2[[#This Row],[Cotação 1]],Tabela2[[#This Row],[Cotação 2]])</f>
        <v>30.23</v>
      </c>
      <c r="I553" s="46">
        <f>IF(Tabela2[[#This Row],[Dividendo / Ação]]&gt;0,Tabela2[[#This Row],[Dividendo / Ação]]/Tabela2[[#This Row],[Cotação]],"")</f>
        <v>5.8079145980813755E-2</v>
      </c>
      <c r="J553" s="17">
        <f>SUMPRODUCT(N(Tabela1[Código]=Tabela2[[#This Row],[Ativo]]),Tabela1[Fechamento])</f>
        <v>0</v>
      </c>
      <c r="K553" s="17">
        <f>SUMPRODUCT(N(Tabela17[Código]=Tabela2[[#This Row],[Ativo]]),Tabela17[Fechamento])</f>
        <v>30.23</v>
      </c>
      <c r="M553" s="3"/>
    </row>
    <row r="554" spans="1:13">
      <c r="A554" s="4" t="s">
        <v>379</v>
      </c>
      <c r="B554" s="4">
        <v>2010</v>
      </c>
      <c r="C554" s="6">
        <v>37074251331</v>
      </c>
      <c r="D554" s="78">
        <f>SUMPRODUCT(N(Tabela3[PAPEL]=Tabela2[[#This Row],[Ativo]]),Tabela3[Total Ações])</f>
        <v>5365304100</v>
      </c>
      <c r="E554" s="66">
        <f>(Tabela2[[#This Row],[Lucro Líquido]])/Tabela2[[#This Row],[Total Ações]]</f>
        <v>6.91</v>
      </c>
      <c r="F554" s="66">
        <v>1.873923027</v>
      </c>
      <c r="G554" s="45">
        <f>IF(AND(Tabela2[[#This Row],[Dividendo / Ação]]&gt;0,Tabela2[[#This Row],[Lucro por ação]]&gt;0),Tabela2[[#This Row],[Dividendo / Ação]]/Tabela2[[#This Row],[Lucro por ação]],"")</f>
        <v>0.27119001837916062</v>
      </c>
      <c r="H554" s="61">
        <f>MAX(Tabela2[[#This Row],[Cotação 1]],Tabela2[[#This Row],[Cotação 2]])</f>
        <v>30.23</v>
      </c>
      <c r="I554" s="46">
        <f>IF(Tabela2[[#This Row],[Dividendo / Ação]]&gt;0,Tabela2[[#This Row],[Dividendo / Ação]]/Tabela2[[#This Row],[Cotação]],"")</f>
        <v>6.1988853026794577E-2</v>
      </c>
      <c r="J554" s="17">
        <f>SUMPRODUCT(N(Tabela1[Código]=Tabela2[[#This Row],[Ativo]]),Tabela1[Fechamento])</f>
        <v>0</v>
      </c>
      <c r="K554" s="17">
        <f>SUMPRODUCT(N(Tabela17[Código]=Tabela2[[#This Row],[Ativo]]),Tabela17[Fechamento])</f>
        <v>30.23</v>
      </c>
      <c r="M554" s="3"/>
    </row>
    <row r="555" spans="1:13">
      <c r="A555" s="3" t="s">
        <v>322</v>
      </c>
      <c r="B555" s="3">
        <v>2012</v>
      </c>
      <c r="C555" s="5">
        <v>30653409.600000001</v>
      </c>
      <c r="D555" s="62">
        <f>SUMPRODUCT(N(Tabela3[PAPEL]=Tabela2[[#This Row],[Ativo]]),Tabela3[Total Ações])</f>
        <v>149714346</v>
      </c>
      <c r="E555" s="65">
        <f>(Tabela2[[#This Row],[Lucro Líquido]])/Tabela2[[#This Row],[Total Ações]]</f>
        <v>0.20474597404312878</v>
      </c>
      <c r="F555" s="65">
        <v>4.87E-2</v>
      </c>
      <c r="G555" s="22">
        <f>IF(AND(Tabela2[[#This Row],[Dividendo / Ação]]&gt;0,Tabela2[[#This Row],[Lucro por ação]]&gt;0),Tabela2[[#This Row],[Dividendo / Ação]]/Tabela2[[#This Row],[Lucro por ação]],"")</f>
        <v>0.23785571475872622</v>
      </c>
      <c r="H555" s="51">
        <f>MAX(Tabela2[[#This Row],[Cotação 1]],Tabela2[[#This Row],[Cotação 2]])</f>
        <v>9.15</v>
      </c>
      <c r="I555" s="18">
        <f>IF(Tabela2[[#This Row],[Dividendo / Ação]]&gt;0,Tabela2[[#This Row],[Dividendo / Ação]]/Tabela2[[#This Row],[Cotação]],"")</f>
        <v>5.322404371584699E-3</v>
      </c>
      <c r="J555" s="7">
        <f>SUMPRODUCT(N(Tabela1[Código]=Tabela2[[#This Row],[Ativo]]),Tabela1[Fechamento])</f>
        <v>0</v>
      </c>
      <c r="K555" s="7">
        <f>SUMPRODUCT(N(Tabela17[Código]=Tabela2[[#This Row],[Ativo]]),Tabela17[Fechamento])</f>
        <v>9.15</v>
      </c>
      <c r="M555" s="3"/>
    </row>
    <row r="556" spans="1:13">
      <c r="A556" s="3" t="s">
        <v>322</v>
      </c>
      <c r="B556" s="3">
        <v>2011</v>
      </c>
      <c r="D556" s="62">
        <f>SUMPRODUCT(N(Tabela3[PAPEL]=Tabela2[[#This Row],[Ativo]]),Tabela3[Total Ações])</f>
        <v>149714346</v>
      </c>
      <c r="E556" s="65">
        <f>(Tabela2[[#This Row],[Lucro Líquido]])/Tabela2[[#This Row],[Total Ações]]</f>
        <v>0</v>
      </c>
      <c r="F556" s="65">
        <v>0</v>
      </c>
      <c r="G556" s="22" t="str">
        <f>IF(AND(Tabela2[[#This Row],[Dividendo / Ação]]&gt;0,Tabela2[[#This Row],[Lucro por ação]]&gt;0),Tabela2[[#This Row],[Dividendo / Ação]]/Tabela2[[#This Row],[Lucro por ação]],"")</f>
        <v/>
      </c>
      <c r="H556" s="51">
        <f>MAX(Tabela2[[#This Row],[Cotação 1]],Tabela2[[#This Row],[Cotação 2]])</f>
        <v>9.15</v>
      </c>
      <c r="I556" s="18" t="str">
        <f>IF(Tabela2[[#This Row],[Dividendo / Ação]]&gt;0,Tabela2[[#This Row],[Dividendo / Ação]]/Tabela2[[#This Row],[Cotação]],"")</f>
        <v/>
      </c>
      <c r="J556" s="7">
        <f>SUMPRODUCT(N(Tabela1[Código]=Tabela2[[#This Row],[Ativo]]),Tabela1[Fechamento])</f>
        <v>0</v>
      </c>
      <c r="K556" s="7">
        <f>SUMPRODUCT(N(Tabela17[Código]=Tabela2[[#This Row],[Ativo]]),Tabela17[Fechamento])</f>
        <v>9.15</v>
      </c>
      <c r="M556" s="3"/>
    </row>
    <row r="557" spans="1:13">
      <c r="A557" s="3" t="s">
        <v>322</v>
      </c>
      <c r="B557" s="3">
        <v>2010</v>
      </c>
      <c r="D557" s="62">
        <f>SUMPRODUCT(N(Tabela3[PAPEL]=Tabela2[[#This Row],[Ativo]]),Tabela3[Total Ações])</f>
        <v>149714346</v>
      </c>
      <c r="E557" s="65">
        <f>(Tabela2[[#This Row],[Lucro Líquido]])/Tabela2[[#This Row],[Total Ações]]</f>
        <v>0</v>
      </c>
      <c r="F557" s="65">
        <v>0</v>
      </c>
      <c r="G557" s="22" t="str">
        <f>IF(AND(Tabela2[[#This Row],[Dividendo / Ação]]&gt;0,Tabela2[[#This Row],[Lucro por ação]]&gt;0),Tabela2[[#This Row],[Dividendo / Ação]]/Tabela2[[#This Row],[Lucro por ação]],"")</f>
        <v/>
      </c>
      <c r="H557" s="51">
        <f>MAX(Tabela2[[#This Row],[Cotação 1]],Tabela2[[#This Row],[Cotação 2]])</f>
        <v>9.15</v>
      </c>
      <c r="I557" s="18" t="str">
        <f>IF(Tabela2[[#This Row],[Dividendo / Ação]]&gt;0,Tabela2[[#This Row],[Dividendo / Ação]]/Tabela2[[#This Row],[Cotação]],"")</f>
        <v/>
      </c>
      <c r="J557" s="7">
        <f>SUMPRODUCT(N(Tabela1[Código]=Tabela2[[#This Row],[Ativo]]),Tabela1[Fechamento])</f>
        <v>0</v>
      </c>
      <c r="K557" s="7">
        <f>SUMPRODUCT(N(Tabela17[Código]=Tabela2[[#This Row],[Ativo]]),Tabela17[Fechamento])</f>
        <v>9.15</v>
      </c>
      <c r="L557" s="69">
        <f>0.6415*D559</f>
        <v>722073638.09499991</v>
      </c>
      <c r="M557" s="3"/>
    </row>
    <row r="558" spans="1:13">
      <c r="A558" s="10" t="s">
        <v>333</v>
      </c>
      <c r="B558" s="3">
        <v>2012</v>
      </c>
      <c r="C558" s="5">
        <v>4453572915.3800001</v>
      </c>
      <c r="D558" s="62">
        <f>SUMPRODUCT(N(Tabela3[PAPEL]=Tabela2[[#This Row],[Ativo]]),Tabela3[Total Ações])</f>
        <v>1125601930</v>
      </c>
      <c r="E558" s="65">
        <f>(Tabela2[[#This Row],[Lucro Líquido]])/Tabela2[[#This Row],[Total Ações]]</f>
        <v>3.9566144981467826</v>
      </c>
      <c r="F558" s="65">
        <v>3.566950672031</v>
      </c>
      <c r="G558" s="22">
        <f>IF(AND(Tabela2[[#This Row],[Dividendo / Ação]]&gt;0,Tabela2[[#This Row],[Lucro por ação]]&gt;0),Tabela2[[#This Row],[Dividendo / Ação]]/Tabela2[[#This Row],[Lucro por ação]],"")</f>
        <v>0.90151584737449275</v>
      </c>
      <c r="H558" s="51">
        <f>MAX(Tabela2[[#This Row],[Cotação 1]],Tabela2[[#This Row],[Cotação 2]])</f>
        <v>41.55</v>
      </c>
      <c r="I558" s="18">
        <f>IF(Tabela2[[#This Row],[Dividendo / Ação]]&gt;0,Tabela2[[#This Row],[Dividendo / Ação]]/Tabela2[[#This Row],[Cotação]],"")</f>
        <v>8.5847188255860421E-2</v>
      </c>
      <c r="J558" s="7">
        <f>SUMPRODUCT(N(Tabela1[Código]=Tabela2[[#This Row],[Ativo]]),Tabela1[Fechamento])</f>
        <v>0</v>
      </c>
      <c r="K558" s="7">
        <f>SUMPRODUCT(N(Tabela17[Código]=Tabela2[[#This Row],[Ativo]]),Tabela17[Fechamento])</f>
        <v>41.55</v>
      </c>
      <c r="M558" s="3"/>
    </row>
    <row r="559" spans="1:13">
      <c r="A559" s="10" t="s">
        <v>333</v>
      </c>
      <c r="B559" s="3">
        <v>2011</v>
      </c>
      <c r="C559" s="5">
        <v>4091563016</v>
      </c>
      <c r="D559" s="62">
        <f>SUMPRODUCT(N(Tabela3[PAPEL]=Tabela2[[#This Row],[Ativo]]),Tabela3[Total Ações])</f>
        <v>1125601930</v>
      </c>
      <c r="E559" s="65">
        <f>(Tabela2[[#This Row],[Lucro Líquido]])/Tabela2[[#This Row],[Total Ações]]</f>
        <v>3.6350000003997862</v>
      </c>
      <c r="F559" s="65">
        <v>3.5070000000000001</v>
      </c>
      <c r="G559" s="22">
        <f>IF(AND(Tabela2[[#This Row],[Dividendo / Ação]]&gt;0,Tabela2[[#This Row],[Lucro por ação]]&gt;0),Tabela2[[#This Row],[Dividendo / Ação]]/Tabela2[[#This Row],[Lucro por ação]],"")</f>
        <v>0.96478679494203345</v>
      </c>
      <c r="H559" s="51">
        <f>MAX(Tabela2[[#This Row],[Cotação 1]],Tabela2[[#This Row],[Cotação 2]])</f>
        <v>41.55</v>
      </c>
      <c r="I559" s="18">
        <f>IF(Tabela2[[#This Row],[Dividendo / Ação]]&gt;0,Tabela2[[#This Row],[Dividendo / Ação]]/Tabela2[[#This Row],[Cotação]],"")</f>
        <v>8.4404332129963913E-2</v>
      </c>
      <c r="J559" s="7">
        <f>SUMPRODUCT(N(Tabela1[Código]=Tabela2[[#This Row],[Ativo]]),Tabela1[Fechamento])</f>
        <v>0</v>
      </c>
      <c r="K559" s="7">
        <f>SUMPRODUCT(N(Tabela17[Código]=Tabela2[[#This Row],[Ativo]]),Tabela17[Fechamento])</f>
        <v>41.55</v>
      </c>
      <c r="M559" s="3"/>
    </row>
    <row r="560" spans="1:13">
      <c r="A560" s="10" t="s">
        <v>333</v>
      </c>
      <c r="B560" s="3">
        <v>2010</v>
      </c>
      <c r="C560" s="5">
        <v>5004201060</v>
      </c>
      <c r="D560" s="62">
        <f>SUMPRODUCT(N(Tabela3[PAPEL]=Tabela2[[#This Row],[Ativo]]),Tabela3[Total Ações])</f>
        <v>1125601930</v>
      </c>
      <c r="E560" s="65">
        <f>(Tabela2[[#This Row],[Lucro Líquido]])/Tabela2[[#This Row],[Total Ações]]</f>
        <v>4.4457999996499646</v>
      </c>
      <c r="F560" s="65">
        <v>4.6006999999999998</v>
      </c>
      <c r="G560" s="22">
        <f>IF(AND(Tabela2[[#This Row],[Dividendo / Ação]]&gt;0,Tabela2[[#This Row],[Lucro por ação]]&gt;0),Tabela2[[#This Row],[Dividendo / Ação]]/Tabela2[[#This Row],[Lucro por ação]],"")</f>
        <v>1.0348418733101423</v>
      </c>
      <c r="H560" s="51">
        <f>MAX(Tabela2[[#This Row],[Cotação 1]],Tabela2[[#This Row],[Cotação 2]])</f>
        <v>41.55</v>
      </c>
      <c r="I560" s="18">
        <f>IF(Tabela2[[#This Row],[Dividendo / Ação]]&gt;0,Tabela2[[#This Row],[Dividendo / Ação]]/Tabela2[[#This Row],[Cotação]],"")</f>
        <v>0.11072683513838749</v>
      </c>
      <c r="J560" s="7">
        <f>SUMPRODUCT(N(Tabela1[Código]=Tabela2[[#This Row],[Ativo]]),Tabela1[Fechamento])</f>
        <v>0</v>
      </c>
      <c r="K560" s="7">
        <f>SUMPRODUCT(N(Tabela17[Código]=Tabela2[[#This Row],[Ativo]]),Tabela17[Fechamento])</f>
        <v>41.55</v>
      </c>
      <c r="M560" s="3"/>
    </row>
    <row r="561" spans="1:13">
      <c r="A561" s="10" t="s">
        <v>334</v>
      </c>
      <c r="B561" s="3">
        <v>2012</v>
      </c>
      <c r="C561" s="5">
        <v>4453572915.3800001</v>
      </c>
      <c r="D561" s="62">
        <f>SUMPRODUCT(N(Tabela3[PAPEL]=Tabela2[[#This Row],[Ativo]]),Tabela3[Total Ações])</f>
        <v>1125601930</v>
      </c>
      <c r="E561" s="65">
        <f>(Tabela2[[#This Row],[Lucro Líquido]])/Tabela2[[#This Row],[Total Ações]]</f>
        <v>3.9566144981467826</v>
      </c>
      <c r="F561" s="65">
        <v>3.9236457392339998</v>
      </c>
      <c r="G561" s="22">
        <f>IF(AND(Tabela2[[#This Row],[Dividendo / Ação]]&gt;0,Tabela2[[#This Row],[Lucro por ação]]&gt;0),Tabela2[[#This Row],[Dividendo / Ação]]/Tabela2[[#This Row],[Lucro por ação]],"")</f>
        <v>0.99166743211191666</v>
      </c>
      <c r="H561" s="51">
        <f>MAX(Tabela2[[#This Row],[Cotação 1]],Tabela2[[#This Row],[Cotação 2]])</f>
        <v>46.9</v>
      </c>
      <c r="I561" s="18">
        <f>IF(Tabela2[[#This Row],[Dividendo / Ação]]&gt;0,Tabela2[[#This Row],[Dividendo / Ação]]/Tabela2[[#This Row],[Cotação]],"")</f>
        <v>8.365982386426439E-2</v>
      </c>
      <c r="J561" s="7">
        <f>SUMPRODUCT(N(Tabela1[Código]=Tabela2[[#This Row],[Ativo]]),Tabela1[Fechamento])</f>
        <v>0</v>
      </c>
      <c r="K561" s="7">
        <f>SUMPRODUCT(N(Tabela17[Código]=Tabela2[[#This Row],[Ativo]]),Tabela17[Fechamento])</f>
        <v>46.9</v>
      </c>
      <c r="M561" s="3"/>
    </row>
    <row r="562" spans="1:13">
      <c r="A562" s="10" t="s">
        <v>334</v>
      </c>
      <c r="B562" s="3">
        <v>2011</v>
      </c>
      <c r="C562" s="5">
        <v>4091563016</v>
      </c>
      <c r="D562" s="62">
        <f>SUMPRODUCT(N(Tabela3[PAPEL]=Tabela2[[#This Row],[Ativo]]),Tabela3[Total Ações])</f>
        <v>1125601930</v>
      </c>
      <c r="E562" s="65">
        <f>(Tabela2[[#This Row],[Lucro Líquido]])/Tabela2[[#This Row],[Total Ações]]</f>
        <v>3.6350000003997862</v>
      </c>
      <c r="F562" s="65">
        <v>3.8576999999999999</v>
      </c>
      <c r="G562" s="22">
        <f>IF(AND(Tabela2[[#This Row],[Dividendo / Ação]]&gt;0,Tabela2[[#This Row],[Lucro por ação]]&gt;0),Tabela2[[#This Row],[Dividendo / Ação]]/Tabela2[[#This Row],[Lucro por ação]],"")</f>
        <v>1.0612654744362366</v>
      </c>
      <c r="H562" s="51">
        <f>MAX(Tabela2[[#This Row],[Cotação 1]],Tabela2[[#This Row],[Cotação 2]])</f>
        <v>46.9</v>
      </c>
      <c r="I562" s="18">
        <f>IF(Tabela2[[#This Row],[Dividendo / Ação]]&gt;0,Tabela2[[#This Row],[Dividendo / Ação]]/Tabela2[[#This Row],[Cotação]],"")</f>
        <v>8.2253731343283579E-2</v>
      </c>
      <c r="J562" s="7">
        <f>SUMPRODUCT(N(Tabela1[Código]=Tabela2[[#This Row],[Ativo]]),Tabela1[Fechamento])</f>
        <v>0</v>
      </c>
      <c r="K562" s="7">
        <f>SUMPRODUCT(N(Tabela17[Código]=Tabela2[[#This Row],[Ativo]]),Tabela17[Fechamento])</f>
        <v>46.9</v>
      </c>
      <c r="M562" s="3"/>
    </row>
    <row r="563" spans="1:13">
      <c r="A563" s="10" t="s">
        <v>334</v>
      </c>
      <c r="B563" s="3">
        <v>2010</v>
      </c>
      <c r="C563" s="5">
        <v>5004201060</v>
      </c>
      <c r="D563" s="62">
        <f>SUMPRODUCT(N(Tabela3[PAPEL]=Tabela2[[#This Row],[Ativo]]),Tabela3[Total Ações])</f>
        <v>1125601930</v>
      </c>
      <c r="E563" s="65">
        <f>(Tabela2[[#This Row],[Lucro Líquido]])/Tabela2[[#This Row],[Total Ações]]</f>
        <v>4.4457999996499646</v>
      </c>
      <c r="F563" s="65">
        <v>5.0608000000000004</v>
      </c>
      <c r="G563" s="22">
        <f>IF(AND(Tabela2[[#This Row],[Dividendo / Ação]]&gt;0,Tabela2[[#This Row],[Lucro por ação]]&gt;0),Tabela2[[#This Row],[Dividendo / Ação]]/Tabela2[[#This Row],[Lucro por ação]],"")</f>
        <v>1.1383328085830351</v>
      </c>
      <c r="H563" s="51">
        <f>MAX(Tabela2[[#This Row],[Cotação 1]],Tabela2[[#This Row],[Cotação 2]])</f>
        <v>46.9</v>
      </c>
      <c r="I563" s="18">
        <f>IF(Tabela2[[#This Row],[Dividendo / Ação]]&gt;0,Tabela2[[#This Row],[Dividendo / Ação]]/Tabela2[[#This Row],[Cotação]],"")</f>
        <v>0.10790618336886995</v>
      </c>
      <c r="J563" s="7">
        <f>SUMPRODUCT(N(Tabela1[Código]=Tabela2[[#This Row],[Ativo]]),Tabela1[Fechamento])</f>
        <v>0</v>
      </c>
      <c r="K563" s="7">
        <f>SUMPRODUCT(N(Tabela17[Código]=Tabela2[[#This Row],[Ativo]]),Tabela17[Fechamento])</f>
        <v>46.9</v>
      </c>
      <c r="M563" s="3"/>
    </row>
    <row r="564" spans="1:13">
      <c r="A564" s="4" t="s">
        <v>438</v>
      </c>
      <c r="B564" s="4">
        <v>2012</v>
      </c>
      <c r="C564" s="6">
        <v>109798096.84</v>
      </c>
      <c r="D564" s="78">
        <f>SUMPRODUCT(N(Tabela3[PAPEL]=Tabela2[[#This Row],[Ativo]]),Tabela3[Total Ações])</f>
        <v>98312688</v>
      </c>
      <c r="E564" s="66">
        <f>(Tabela2[[#This Row],[Lucro Líquido]])/Tabela2[[#This Row],[Total Ações]]</f>
        <v>1.1168252956322382</v>
      </c>
      <c r="F564" s="66">
        <v>1.072465845</v>
      </c>
      <c r="G564" s="45">
        <f>IF(AND(Tabela2[[#This Row],[Dividendo / Ação]]&gt;0,Tabela2[[#This Row],[Lucro por ação]]&gt;0),Tabela2[[#This Row],[Dividendo / Ação]]/Tabela2[[#This Row],[Lucro por ação]],"")</f>
        <v>0.96028076118465222</v>
      </c>
      <c r="H564" s="61">
        <f>MAX(Tabela2[[#This Row],[Cotação 1]],Tabela2[[#This Row],[Cotação 2]])</f>
        <v>18.2</v>
      </c>
      <c r="I564" s="46">
        <f>IF(Tabela2[[#This Row],[Dividendo / Ação]]&gt;0,Tabela2[[#This Row],[Dividendo / Ação]]/Tabela2[[#This Row],[Cotação]],"")</f>
        <v>5.8926694780219779E-2</v>
      </c>
      <c r="J564" s="17">
        <f>SUMPRODUCT(N(Tabela1[Código]=Tabela2[[#This Row],[Ativo]]),Tabela1[Fechamento])</f>
        <v>0</v>
      </c>
      <c r="K564" s="17">
        <f>SUMPRODUCT(N(Tabela17[Código]=Tabela2[[#This Row],[Ativo]]),Tabela17[Fechamento])</f>
        <v>18.2</v>
      </c>
      <c r="M564" s="3"/>
    </row>
    <row r="565" spans="1:13">
      <c r="A565" s="4" t="s">
        <v>438</v>
      </c>
      <c r="B565" s="4">
        <v>2011</v>
      </c>
      <c r="C565" s="6">
        <v>106752609.08</v>
      </c>
      <c r="D565" s="78">
        <f>SUMPRODUCT(N(Tabela3[PAPEL]=Tabela2[[#This Row],[Ativo]]),Tabela3[Total Ações])</f>
        <v>98312688</v>
      </c>
      <c r="E565" s="66">
        <f>(Tabela2[[#This Row],[Lucro Líquido]])/Tabela2[[#This Row],[Total Ações]]</f>
        <v>1.0858477298474434</v>
      </c>
      <c r="F565" s="66">
        <v>0.91520231900000004</v>
      </c>
      <c r="G565" s="45">
        <f>IF(AND(Tabela2[[#This Row],[Dividendo / Ação]]&gt;0,Tabela2[[#This Row],[Lucro por ação]]&gt;0),Tabela2[[#This Row],[Dividendo / Ação]]/Tabela2[[#This Row],[Lucro por ação]],"")</f>
        <v>0.84284591093502748</v>
      </c>
      <c r="H565" s="61">
        <f>MAX(Tabela2[[#This Row],[Cotação 1]],Tabela2[[#This Row],[Cotação 2]])</f>
        <v>18.2</v>
      </c>
      <c r="I565" s="46">
        <f>IF(Tabela2[[#This Row],[Dividendo / Ação]]&gt;0,Tabela2[[#This Row],[Dividendo / Ação]]/Tabela2[[#This Row],[Cotação]],"")</f>
        <v>5.028584170329671E-2</v>
      </c>
      <c r="J565" s="17">
        <f>SUMPRODUCT(N(Tabela1[Código]=Tabela2[[#This Row],[Ativo]]),Tabela1[Fechamento])</f>
        <v>0</v>
      </c>
      <c r="K565" s="17">
        <f>SUMPRODUCT(N(Tabela17[Código]=Tabela2[[#This Row],[Ativo]]),Tabela17[Fechamento])</f>
        <v>18.2</v>
      </c>
      <c r="L565" s="3">
        <v>0.116161</v>
      </c>
      <c r="M565" s="3"/>
    </row>
    <row r="566" spans="1:13">
      <c r="A566" s="4" t="s">
        <v>438</v>
      </c>
      <c r="B566" s="4">
        <v>2010</v>
      </c>
      <c r="C566" s="6">
        <v>13071107.109999999</v>
      </c>
      <c r="D566" s="78">
        <f>SUMPRODUCT(N(Tabela3[PAPEL]=Tabela2[[#This Row],[Ativo]]),Tabela3[Total Ações])</f>
        <v>98312688</v>
      </c>
      <c r="E566" s="66">
        <f>(Tabela2[[#This Row],[Lucro Líquido]])/Tabela2[[#This Row],[Total Ações]]</f>
        <v>0.13295442710304087</v>
      </c>
      <c r="F566" s="66">
        <v>6.6522439999999999E-3</v>
      </c>
      <c r="G566" s="45">
        <f>IF(AND(Tabela2[[#This Row],[Dividendo / Ação]]&gt;0,Tabela2[[#This Row],[Lucro por ação]]&gt;0),Tabela2[[#This Row],[Dividendo / Ação]]/Tabela2[[#This Row],[Lucro por ação]],"")</f>
        <v>5.0034016504350409E-2</v>
      </c>
      <c r="H566" s="61">
        <f>MAX(Tabela2[[#This Row],[Cotação 1]],Tabela2[[#This Row],[Cotação 2]])</f>
        <v>18.2</v>
      </c>
      <c r="I566" s="46">
        <f>IF(Tabela2[[#This Row],[Dividendo / Ação]]&gt;0,Tabela2[[#This Row],[Dividendo / Ação]]/Tabela2[[#This Row],[Cotação]],"")</f>
        <v>3.6550791208791208E-4</v>
      </c>
      <c r="J566" s="17">
        <f>SUMPRODUCT(N(Tabela1[Código]=Tabela2[[#This Row],[Ativo]]),Tabela1[Fechamento])</f>
        <v>0</v>
      </c>
      <c r="K566" s="17">
        <f>SUMPRODUCT(N(Tabela17[Código]=Tabela2[[#This Row],[Ativo]]),Tabela17[Fechamento])</f>
        <v>18.2</v>
      </c>
      <c r="L566" s="3">
        <v>0.124359</v>
      </c>
      <c r="M566" s="3"/>
    </row>
    <row r="567" spans="1:13">
      <c r="A567" s="4" t="s">
        <v>441</v>
      </c>
      <c r="B567" s="4">
        <v>2012</v>
      </c>
      <c r="C567" s="6">
        <v>40688154.170000002</v>
      </c>
      <c r="D567" s="78">
        <f>SUMPRODUCT(N(Tabela3[PAPEL]=Tabela2[[#This Row],[Ativo]]),Tabela3[Total Ações])</f>
        <v>46288258</v>
      </c>
      <c r="E567" s="66">
        <f>(Tabela2[[#This Row],[Lucro Líquido]])/Tabela2[[#This Row],[Total Ações]]</f>
        <v>0.87901675128927947</v>
      </c>
      <c r="F567" s="66">
        <v>0.63615900000000003</v>
      </c>
      <c r="G567" s="45">
        <f>IF(AND(Tabela2[[#This Row],[Dividendo / Ação]]&gt;0,Tabela2[[#This Row],[Lucro por ação]]&gt;0),Tabela2[[#This Row],[Dividendo / Ação]]/Tabela2[[#This Row],[Lucro por ação]],"")</f>
        <v>0.72371658340631972</v>
      </c>
      <c r="H567" s="61">
        <f>MAX(Tabela2[[#This Row],[Cotação 1]],Tabela2[[#This Row],[Cotação 2]])</f>
        <v>15.1</v>
      </c>
      <c r="I567" s="46">
        <f>IF(Tabela2[[#This Row],[Dividendo / Ação]]&gt;0,Tabela2[[#This Row],[Dividendo / Ação]]/Tabela2[[#This Row],[Cotação]],"")</f>
        <v>4.2129735099337755E-2</v>
      </c>
      <c r="J567" s="17">
        <f>SUMPRODUCT(N(Tabela1[Código]=Tabela2[[#This Row],[Ativo]]),Tabela1[Fechamento])</f>
        <v>0</v>
      </c>
      <c r="K567" s="17">
        <f>SUMPRODUCT(N(Tabela17[Código]=Tabela2[[#This Row],[Ativo]]),Tabela17[Fechamento])</f>
        <v>15.1</v>
      </c>
      <c r="L567" s="69">
        <v>6.7920999999999995E-2</v>
      </c>
      <c r="M567" s="3"/>
    </row>
    <row r="568" spans="1:13">
      <c r="A568" s="4" t="s">
        <v>441</v>
      </c>
      <c r="B568" s="4">
        <v>2011</v>
      </c>
      <c r="C568" s="6">
        <v>105074345.66</v>
      </c>
      <c r="D568" s="78">
        <f>SUMPRODUCT(N(Tabela3[PAPEL]=Tabela2[[#This Row],[Ativo]]),Tabela3[Total Ações])</f>
        <v>46288258</v>
      </c>
      <c r="E568" s="66">
        <f>(Tabela2[[#This Row],[Lucro Líquido]])/Tabela2[[#This Row],[Total Ações]]</f>
        <v>2.27</v>
      </c>
      <c r="F568" s="66">
        <v>2.1378400000000002</v>
      </c>
      <c r="G568" s="45">
        <f>IF(AND(Tabela2[[#This Row],[Dividendo / Ação]]&gt;0,Tabela2[[#This Row],[Lucro por ação]]&gt;0),Tabela2[[#This Row],[Dividendo / Ação]]/Tabela2[[#This Row],[Lucro por ação]],"")</f>
        <v>0.94177973568281947</v>
      </c>
      <c r="H568" s="61">
        <f>MAX(Tabela2[[#This Row],[Cotação 1]],Tabela2[[#This Row],[Cotação 2]])</f>
        <v>15.1</v>
      </c>
      <c r="I568" s="46">
        <f>IF(Tabela2[[#This Row],[Dividendo / Ação]]&gt;0,Tabela2[[#This Row],[Dividendo / Ação]]/Tabela2[[#This Row],[Cotação]],"")</f>
        <v>0.14157880794701988</v>
      </c>
      <c r="J568" s="17">
        <f>SUMPRODUCT(N(Tabela1[Código]=Tabela2[[#This Row],[Ativo]]),Tabela1[Fechamento])</f>
        <v>0</v>
      </c>
      <c r="K568" s="17">
        <f>SUMPRODUCT(N(Tabela17[Código]=Tabela2[[#This Row],[Ativo]]),Tabela17[Fechamento])</f>
        <v>15.1</v>
      </c>
      <c r="L568" s="3">
        <v>4.6599000000000002E-2</v>
      </c>
      <c r="M568" s="3"/>
    </row>
    <row r="569" spans="1:13">
      <c r="A569" s="4" t="s">
        <v>441</v>
      </c>
      <c r="B569" s="4">
        <v>2010</v>
      </c>
      <c r="C569" s="6">
        <v>155991429.46000001</v>
      </c>
      <c r="D569" s="78">
        <f>SUMPRODUCT(N(Tabela3[PAPEL]=Tabela2[[#This Row],[Ativo]]),Tabela3[Total Ações])</f>
        <v>46288258</v>
      </c>
      <c r="E569" s="66">
        <f>(Tabela2[[#This Row],[Lucro Líquido]])/Tabela2[[#This Row],[Total Ações]]</f>
        <v>3.37</v>
      </c>
      <c r="F569" s="66">
        <v>3.2867000000000002</v>
      </c>
      <c r="G569" s="45">
        <f>IF(AND(Tabela2[[#This Row],[Dividendo / Ação]]&gt;0,Tabela2[[#This Row],[Lucro por ação]]&gt;0),Tabela2[[#This Row],[Dividendo / Ação]]/Tabela2[[#This Row],[Lucro por ação]],"")</f>
        <v>0.97528189910979235</v>
      </c>
      <c r="H569" s="61">
        <f>MAX(Tabela2[[#This Row],[Cotação 1]],Tabela2[[#This Row],[Cotação 2]])</f>
        <v>15.1</v>
      </c>
      <c r="I569" s="46">
        <f>IF(Tabela2[[#This Row],[Dividendo / Ação]]&gt;0,Tabela2[[#This Row],[Dividendo / Ação]]/Tabela2[[#This Row],[Cotação]],"")</f>
        <v>0.21766225165562916</v>
      </c>
      <c r="J569" s="17">
        <f>SUMPRODUCT(N(Tabela1[Código]=Tabela2[[#This Row],[Ativo]]),Tabela1[Fechamento])</f>
        <v>0</v>
      </c>
      <c r="K569" s="17">
        <f>SUMPRODUCT(N(Tabela17[Código]=Tabela2[[#This Row],[Ativo]]),Tabela17[Fechamento])</f>
        <v>15.1</v>
      </c>
      <c r="L569" s="3">
        <v>0</v>
      </c>
      <c r="M569" s="3"/>
    </row>
    <row r="570" spans="1:13">
      <c r="A570" s="4" t="s">
        <v>444</v>
      </c>
      <c r="B570" s="4">
        <v>2012</v>
      </c>
      <c r="C570" s="6">
        <v>1074289736.8800001</v>
      </c>
      <c r="D570" s="78">
        <f>SUMPRODUCT(N(Tabela3[PAPEL]=Tabela2[[#This Row],[Ativo]]),Tabela3[Total Ações])</f>
        <v>1980000000</v>
      </c>
      <c r="E570" s="66">
        <f>(Tabela2[[#This Row],[Lucro Líquido]])/Tabela2[[#This Row],[Total Ações]]</f>
        <v>0.5425705741818182</v>
      </c>
      <c r="F570" s="66">
        <v>0.35504000000000002</v>
      </c>
      <c r="G570" s="45">
        <f>IF(AND(Tabela2[[#This Row],[Dividendo / Ação]]&gt;0,Tabela2[[#This Row],[Lucro por ação]]&gt;0),Tabela2[[#This Row],[Dividendo / Ação]]/Tabela2[[#This Row],[Lucro por ação]],"")</f>
        <v>0.65436648593667424</v>
      </c>
      <c r="H570" s="61">
        <f>MAX(Tabela2[[#This Row],[Cotação 1]],Tabela2[[#This Row],[Cotação 2]])</f>
        <v>10.34</v>
      </c>
      <c r="I570" s="46">
        <f>IF(Tabela2[[#This Row],[Dividendo / Ação]]&gt;0,Tabela2[[#This Row],[Dividendo / Ação]]/Tabela2[[#This Row],[Cotação]],"")</f>
        <v>3.4336557059961317E-2</v>
      </c>
      <c r="J570" s="17">
        <f>SUMPRODUCT(N(Tabela1[Código]=Tabela2[[#This Row],[Ativo]]),Tabela1[Fechamento])</f>
        <v>0</v>
      </c>
      <c r="K570" s="17">
        <f>SUMPRODUCT(N(Tabela17[Código]=Tabela2[[#This Row],[Ativo]]),Tabela17[Fechamento])</f>
        <v>10.34</v>
      </c>
      <c r="L570" s="3">
        <v>0</v>
      </c>
      <c r="M570" s="3"/>
    </row>
    <row r="571" spans="1:13">
      <c r="A571" s="4" t="s">
        <v>444</v>
      </c>
      <c r="B571" s="4">
        <v>2011</v>
      </c>
      <c r="C571" s="6">
        <v>1047998632.27</v>
      </c>
      <c r="D571" s="78">
        <f>SUMPRODUCT(N(Tabela3[PAPEL]=Tabela2[[#This Row],[Ativo]]),Tabela3[Total Ações])</f>
        <v>1980000000</v>
      </c>
      <c r="E571" s="66">
        <f>(Tabela2[[#This Row],[Lucro Líquido]])/Tabela2[[#This Row],[Total Ações]]</f>
        <v>0.52929223852020202</v>
      </c>
      <c r="F571" s="66">
        <v>0.470941</v>
      </c>
      <c r="G571" s="45">
        <f>IF(AND(Tabela2[[#This Row],[Dividendo / Ação]]&gt;0,Tabela2[[#This Row],[Lucro por ação]]&gt;0),Tabela2[[#This Row],[Dividendo / Ação]]/Tabela2[[#This Row],[Lucro por ação]],"")</f>
        <v>0.88975610395621763</v>
      </c>
      <c r="H571" s="61">
        <f>MAX(Tabela2[[#This Row],[Cotação 1]],Tabela2[[#This Row],[Cotação 2]])</f>
        <v>10.34</v>
      </c>
      <c r="I571" s="46">
        <f>IF(Tabela2[[#This Row],[Dividendo / Ação]]&gt;0,Tabela2[[#This Row],[Dividendo / Ação]]/Tabela2[[#This Row],[Cotação]],"")</f>
        <v>4.5545551257253389E-2</v>
      </c>
      <c r="J571" s="17">
        <f>SUMPRODUCT(N(Tabela1[Código]=Tabela2[[#This Row],[Ativo]]),Tabela1[Fechamento])</f>
        <v>0</v>
      </c>
      <c r="K571" s="17">
        <f>SUMPRODUCT(N(Tabela17[Código]=Tabela2[[#This Row],[Ativo]]),Tabela17[Fechamento])</f>
        <v>10.34</v>
      </c>
      <c r="L571" s="3">
        <v>0</v>
      </c>
      <c r="M571" s="3"/>
    </row>
    <row r="572" spans="1:13">
      <c r="A572" s="4" t="s">
        <v>444</v>
      </c>
      <c r="B572" s="4">
        <v>2010</v>
      </c>
      <c r="C572" s="6">
        <v>1144560312.5999999</v>
      </c>
      <c r="D572" s="78">
        <f>SUMPRODUCT(N(Tabela3[PAPEL]=Tabela2[[#This Row],[Ativo]]),Tabela3[Total Ações])</f>
        <v>1980000000</v>
      </c>
      <c r="E572" s="66">
        <f>(Tabela2[[#This Row],[Lucro Líquido]])/Tabela2[[#This Row],[Total Ações]]</f>
        <v>0.57806076393939387</v>
      </c>
      <c r="F572" s="66">
        <v>0.57673300000000005</v>
      </c>
      <c r="G572" s="45">
        <f>IF(AND(Tabela2[[#This Row],[Dividendo / Ação]]&gt;0,Tabela2[[#This Row],[Lucro por ação]]&gt;0),Tabela2[[#This Row],[Dividendo / Ação]]/Tabela2[[#This Row],[Lucro por ação]],"")</f>
        <v>0.99770307202594877</v>
      </c>
      <c r="H572" s="61">
        <f>MAX(Tabela2[[#This Row],[Cotação 1]],Tabela2[[#This Row],[Cotação 2]])</f>
        <v>10.34</v>
      </c>
      <c r="I572" s="46">
        <f>IF(Tabela2[[#This Row],[Dividendo / Ação]]&gt;0,Tabela2[[#This Row],[Dividendo / Ação]]/Tabela2[[#This Row],[Cotação]],"")</f>
        <v>5.5776885880077377E-2</v>
      </c>
      <c r="J572" s="17">
        <f>SUMPRODUCT(N(Tabela1[Código]=Tabela2[[#This Row],[Ativo]]),Tabela1[Fechamento])</f>
        <v>0</v>
      </c>
      <c r="K572" s="17">
        <f>SUMPRODUCT(N(Tabela17[Código]=Tabela2[[#This Row],[Ativo]]),Tabela17[Fechamento])</f>
        <v>10.34</v>
      </c>
      <c r="L572" s="3">
        <v>0</v>
      </c>
      <c r="M572" s="3"/>
    </row>
    <row r="573" spans="1:13">
      <c r="A573" s="4" t="s">
        <v>448</v>
      </c>
      <c r="B573" s="4">
        <v>2012</v>
      </c>
      <c r="C573" s="6">
        <v>2314615815.0500002</v>
      </c>
      <c r="D573" s="78">
        <f>SUMPRODUCT(N(Tabela3[PAPEL]=Tabela2[[#This Row],[Ativo]]),Tabela3[Total Ações])</f>
        <v>786115469</v>
      </c>
      <c r="E573" s="66">
        <f>(Tabela2[[#This Row],[Lucro Líquido]])/Tabela2[[#This Row],[Total Ações]]</f>
        <v>2.9443712868217329</v>
      </c>
      <c r="F573" s="66">
        <v>2.4300000000000002</v>
      </c>
      <c r="G573" s="45">
        <f>IF(AND(Tabela2[[#This Row],[Dividendo / Ação]]&gt;0,Tabela2[[#This Row],[Lucro por ação]]&gt;0),Tabela2[[#This Row],[Dividendo / Ação]]/Tabela2[[#This Row],[Lucro por ação]],"")</f>
        <v>0.8253035243469703</v>
      </c>
      <c r="H573" s="61">
        <f>MAX(Tabela2[[#This Row],[Cotação 1]],Tabela2[[#This Row],[Cotação 2]])</f>
        <v>66.599999999999994</v>
      </c>
      <c r="I573" s="46">
        <f>IF(Tabela2[[#This Row],[Dividendo / Ação]]&gt;0,Tabela2[[#This Row],[Dividendo / Ação]]/Tabela2[[#This Row],[Cotação]],"")</f>
        <v>3.6486486486486495E-2</v>
      </c>
      <c r="J573" s="17">
        <f>SUMPRODUCT(N(Tabela1[Código]=Tabela2[[#This Row],[Ativo]]),Tabela1[Fechamento])</f>
        <v>0</v>
      </c>
      <c r="K573" s="17">
        <f>SUMPRODUCT(N(Tabela17[Código]=Tabela2[[#This Row],[Ativo]]),Tabela17[Fechamento])</f>
        <v>66.599999999999994</v>
      </c>
      <c r="L573" s="3">
        <f>SUM(L565:L572)</f>
        <v>0.35504000000000002</v>
      </c>
      <c r="M573" s="3"/>
    </row>
    <row r="574" spans="1:13">
      <c r="A574" s="4" t="s">
        <v>448</v>
      </c>
      <c r="B574" s="4">
        <v>2011</v>
      </c>
      <c r="C574" s="6">
        <v>1810326710.1800001</v>
      </c>
      <c r="D574" s="78">
        <f>SUMPRODUCT(N(Tabela3[PAPEL]=Tabela2[[#This Row],[Ativo]]),Tabela3[Total Ações])</f>
        <v>786115469</v>
      </c>
      <c r="E574" s="66">
        <f>(Tabela2[[#This Row],[Lucro Líquido]])/Tabela2[[#This Row],[Total Ações]]</f>
        <v>2.3028763350540302</v>
      </c>
      <c r="F574" s="66">
        <v>2.25</v>
      </c>
      <c r="G574" s="45">
        <f>IF(AND(Tabela2[[#This Row],[Dividendo / Ação]]&gt;0,Tabela2[[#This Row],[Lucro por ação]]&gt;0),Tabela2[[#This Row],[Dividendo / Ação]]/Tabela2[[#This Row],[Lucro por ação]],"")</f>
        <v>0.97703900368024332</v>
      </c>
      <c r="H574" s="61">
        <f>MAX(Tabela2[[#This Row],[Cotação 1]],Tabela2[[#This Row],[Cotação 2]])</f>
        <v>66.599999999999994</v>
      </c>
      <c r="I574" s="46">
        <f>IF(Tabela2[[#This Row],[Dividendo / Ação]]&gt;0,Tabela2[[#This Row],[Dividendo / Ação]]/Tabela2[[#This Row],[Cotação]],"")</f>
        <v>3.3783783783783786E-2</v>
      </c>
      <c r="J574" s="17">
        <f>SUMPRODUCT(N(Tabela1[Código]=Tabela2[[#This Row],[Ativo]]),Tabela1[Fechamento])</f>
        <v>0</v>
      </c>
      <c r="K574" s="17">
        <f>SUMPRODUCT(N(Tabela17[Código]=Tabela2[[#This Row],[Ativo]]),Tabela17[Fechamento])</f>
        <v>66.599999999999994</v>
      </c>
      <c r="M574" s="3"/>
    </row>
    <row r="575" spans="1:13">
      <c r="A575" s="4" t="s">
        <v>448</v>
      </c>
      <c r="B575" s="4">
        <v>2010</v>
      </c>
      <c r="C575" s="6">
        <v>1829334179.3199999</v>
      </c>
      <c r="D575" s="78">
        <f>SUMPRODUCT(N(Tabela3[PAPEL]=Tabela2[[#This Row],[Ativo]]),Tabela3[Total Ações])</f>
        <v>786115469</v>
      </c>
      <c r="E575" s="66">
        <f>(Tabela2[[#This Row],[Lucro Líquido]])/Tabela2[[#This Row],[Total Ações]]</f>
        <v>2.3270553137022674</v>
      </c>
      <c r="F575" s="66">
        <v>1.19</v>
      </c>
      <c r="G575" s="45">
        <f>IF(AND(Tabela2[[#This Row],[Dividendo / Ação]]&gt;0,Tabela2[[#This Row],[Lucro por ação]]&gt;0),Tabela2[[#This Row],[Dividendo / Ação]]/Tabela2[[#This Row],[Lucro por ação]],"")</f>
        <v>0.51137589768192904</v>
      </c>
      <c r="H575" s="61">
        <f>MAX(Tabela2[[#This Row],[Cotação 1]],Tabela2[[#This Row],[Cotação 2]])</f>
        <v>66.599999999999994</v>
      </c>
      <c r="I575" s="46">
        <f>IF(Tabela2[[#This Row],[Dividendo / Ação]]&gt;0,Tabela2[[#This Row],[Dividendo / Ação]]/Tabela2[[#This Row],[Cotação]],"")</f>
        <v>1.7867867867867867E-2</v>
      </c>
      <c r="J575" s="17">
        <f>SUMPRODUCT(N(Tabela1[Código]=Tabela2[[#This Row],[Ativo]]),Tabela1[Fechamento])</f>
        <v>0</v>
      </c>
      <c r="K575" s="17">
        <f>SUMPRODUCT(N(Tabela17[Código]=Tabela2[[#This Row],[Ativo]]),Tabela17[Fechamento])</f>
        <v>66.599999999999994</v>
      </c>
      <c r="M575" s="3"/>
    </row>
    <row r="576" spans="1:13">
      <c r="A576" s="4" t="s">
        <v>447</v>
      </c>
      <c r="B576" s="4">
        <v>2012</v>
      </c>
      <c r="C576" s="6">
        <v>275394800.88</v>
      </c>
      <c r="D576" s="78">
        <f>SUMPRODUCT(N(Tabela3[PAPEL]=Tabela2[[#This Row],[Ativo]]),Tabela3[Total Ações])</f>
        <v>260378479</v>
      </c>
      <c r="E576" s="66">
        <f>(Tabela2[[#This Row],[Lucro Líquido]])/Tabela2[[#This Row],[Total Ações]]</f>
        <v>1.0576711329510455</v>
      </c>
      <c r="F576" s="66">
        <v>0.53490000000000004</v>
      </c>
      <c r="G576" s="45">
        <f>IF(AND(Tabela2[[#This Row],[Dividendo / Ação]]&gt;0,Tabela2[[#This Row],[Lucro por ação]]&gt;0),Tabela2[[#This Row],[Dividendo / Ação]]/Tabela2[[#This Row],[Lucro por ação]],"")</f>
        <v>0.50573376102981715</v>
      </c>
      <c r="H576" s="61">
        <f>MAX(Tabela2[[#This Row],[Cotação 1]],Tabela2[[#This Row],[Cotação 2]])</f>
        <v>23.41</v>
      </c>
      <c r="I576" s="46">
        <f>IF(Tabela2[[#This Row],[Dividendo / Ação]]&gt;0,Tabela2[[#This Row],[Dividendo / Ação]]/Tabela2[[#This Row],[Cotação]],"")</f>
        <v>2.2849209739427598E-2</v>
      </c>
      <c r="J576" s="17">
        <f>SUMPRODUCT(N(Tabela1[Código]=Tabela2[[#This Row],[Ativo]]),Tabela1[Fechamento])</f>
        <v>0</v>
      </c>
      <c r="K576" s="17">
        <f>SUMPRODUCT(N(Tabela17[Código]=Tabela2[[#This Row],[Ativo]]),Tabela17[Fechamento])</f>
        <v>23.41</v>
      </c>
      <c r="M576" s="3"/>
    </row>
    <row r="577" spans="1:13">
      <c r="A577" s="4" t="s">
        <v>447</v>
      </c>
      <c r="B577" s="4">
        <v>2011</v>
      </c>
      <c r="C577" s="6">
        <v>220517318.09</v>
      </c>
      <c r="D577" s="78">
        <f>SUMPRODUCT(N(Tabela3[PAPEL]=Tabela2[[#This Row],[Ativo]]),Tabela3[Total Ações])</f>
        <v>260378479</v>
      </c>
      <c r="E577" s="66">
        <f>(Tabela2[[#This Row],[Lucro Líquido]])/Tabela2[[#This Row],[Total Ações]]</f>
        <v>0.84691069299164312</v>
      </c>
      <c r="F577" s="66">
        <v>0.254</v>
      </c>
      <c r="G577" s="45">
        <f>IF(AND(Tabela2[[#This Row],[Dividendo / Ação]]&gt;0,Tabela2[[#This Row],[Lucro por ação]]&gt;0),Tabela2[[#This Row],[Dividendo / Ação]]/Tabela2[[#This Row],[Lucro por ação]],"")</f>
        <v>0.29991355889340077</v>
      </c>
      <c r="H577" s="61">
        <f>MAX(Tabela2[[#This Row],[Cotação 1]],Tabela2[[#This Row],[Cotação 2]])</f>
        <v>23.41</v>
      </c>
      <c r="I577" s="46">
        <f>IF(Tabela2[[#This Row],[Dividendo / Ação]]&gt;0,Tabela2[[#This Row],[Dividendo / Ação]]/Tabela2[[#This Row],[Cotação]],"")</f>
        <v>1.0850064075181546E-2</v>
      </c>
      <c r="J577" s="17">
        <f>SUMPRODUCT(N(Tabela1[Código]=Tabela2[[#This Row],[Ativo]]),Tabela1[Fechamento])</f>
        <v>0</v>
      </c>
      <c r="K577" s="17">
        <f>SUMPRODUCT(N(Tabela17[Código]=Tabela2[[#This Row],[Ativo]]),Tabela17[Fechamento])</f>
        <v>23.41</v>
      </c>
      <c r="M577" s="3"/>
    </row>
    <row r="578" spans="1:13">
      <c r="A578" s="4" t="s">
        <v>447</v>
      </c>
      <c r="B578" s="4">
        <v>2010</v>
      </c>
      <c r="C578" s="6">
        <v>112319339.34999999</v>
      </c>
      <c r="D578" s="78">
        <f>SUMPRODUCT(N(Tabela3[PAPEL]=Tabela2[[#This Row],[Ativo]]),Tabela3[Total Ações])</f>
        <v>260378479</v>
      </c>
      <c r="E578" s="66">
        <f>(Tabela2[[#This Row],[Lucro Líquido]])/Tabela2[[#This Row],[Total Ações]]</f>
        <v>0.43136951940640222</v>
      </c>
      <c r="F578" s="66">
        <v>0.13089999999999999</v>
      </c>
      <c r="G578" s="45">
        <f>IF(AND(Tabela2[[#This Row],[Dividendo / Ação]]&gt;0,Tabela2[[#This Row],[Lucro por ação]]&gt;0),Tabela2[[#This Row],[Dividendo / Ação]]/Tabela2[[#This Row],[Lucro por ação]],"")</f>
        <v>0.30345213120326281</v>
      </c>
      <c r="H578" s="61">
        <f>MAX(Tabela2[[#This Row],[Cotação 1]],Tabela2[[#This Row],[Cotação 2]])</f>
        <v>23.41</v>
      </c>
      <c r="I578" s="46">
        <f>IF(Tabela2[[#This Row],[Dividendo / Ação]]&gt;0,Tabela2[[#This Row],[Dividendo / Ação]]/Tabela2[[#This Row],[Cotação]],"")</f>
        <v>5.5916275096112768E-3</v>
      </c>
      <c r="J578" s="17">
        <f>SUMPRODUCT(N(Tabela1[Código]=Tabela2[[#This Row],[Ativo]]),Tabela1[Fechamento])</f>
        <v>0</v>
      </c>
      <c r="K578" s="17">
        <f>SUMPRODUCT(N(Tabela17[Código]=Tabela2[[#This Row],[Ativo]]),Tabela17[Fechamento])</f>
        <v>23.41</v>
      </c>
      <c r="M578" s="3"/>
    </row>
    <row r="579" spans="1:13">
      <c r="A579" s="4" t="s">
        <v>447</v>
      </c>
      <c r="B579" s="4">
        <v>2009</v>
      </c>
      <c r="C579" s="6">
        <v>66605139.840000004</v>
      </c>
      <c r="D579" s="78">
        <f>SUMPRODUCT(N(Tabela3[PAPEL]=Tabela2[[#This Row],[Ativo]]),Tabela3[Total Ações])</f>
        <v>260378479</v>
      </c>
      <c r="E579" s="66">
        <f>(Tabela2[[#This Row],[Lucro Líquido]])/Tabela2[[#This Row],[Total Ações]]</f>
        <v>0.2558012478442967</v>
      </c>
      <c r="F579" s="66">
        <v>0.29799999999999999</v>
      </c>
      <c r="G579" s="45">
        <f>IF(AND(Tabela2[[#This Row],[Dividendo / Ação]]&gt;0,Tabela2[[#This Row],[Lucro por ação]]&gt;0),Tabela2[[#This Row],[Dividendo / Ação]]/Tabela2[[#This Row],[Lucro por ação]],"")</f>
        <v>1.164966951925853</v>
      </c>
      <c r="H579" s="61">
        <f>MAX(Tabela2[[#This Row],[Cotação 1]],Tabela2[[#This Row],[Cotação 2]])</f>
        <v>23.41</v>
      </c>
      <c r="I579" s="46">
        <f>IF(Tabela2[[#This Row],[Dividendo / Ação]]&gt;0,Tabela2[[#This Row],[Dividendo / Ação]]/Tabela2[[#This Row],[Cotação]],"")</f>
        <v>1.2729602733874412E-2</v>
      </c>
      <c r="J579" s="17">
        <f>SUMPRODUCT(N(Tabela1[Código]=Tabela2[[#This Row],[Ativo]]),Tabela1[Fechamento])</f>
        <v>0</v>
      </c>
      <c r="K579" s="17">
        <f>SUMPRODUCT(N(Tabela17[Código]=Tabela2[[#This Row],[Ativo]]),Tabela17[Fechamento])</f>
        <v>23.41</v>
      </c>
      <c r="M579" s="3"/>
    </row>
    <row r="580" spans="1:13">
      <c r="A580" s="4" t="s">
        <v>456</v>
      </c>
      <c r="B580" s="4">
        <v>2012</v>
      </c>
      <c r="C580" s="6">
        <v>796111000</v>
      </c>
      <c r="D580" s="78">
        <f>SUMPRODUCT(N(Tabela3[PAPEL]=Tabela2[[#This Row],[Ativo]]),Tabela3[Total Ações])</f>
        <v>1231364363</v>
      </c>
      <c r="E580" s="66">
        <f>(Tabela2[[#This Row],[Lucro Líquido]])/Tabela2[[#This Row],[Total Ações]]</f>
        <v>0.64652756237026165</v>
      </c>
      <c r="F580" s="66">
        <v>0.33180395810000002</v>
      </c>
      <c r="G580" s="45">
        <f>IF(AND(Tabela2[[#This Row],[Dividendo / Ação]]&gt;0,Tabela2[[#This Row],[Lucro por ação]]&gt;0),Tabela2[[#This Row],[Dividendo / Ação]]/Tabela2[[#This Row],[Lucro por ação]],"")</f>
        <v>0.51320930059587822</v>
      </c>
      <c r="H580" s="61">
        <f>MAX(Tabela2[[#This Row],[Cotação 1]],Tabela2[[#This Row],[Cotação 2]])</f>
        <v>8.9600000000000009</v>
      </c>
      <c r="I580" s="46">
        <f>IF(Tabela2[[#This Row],[Dividendo / Ação]]&gt;0,Tabela2[[#This Row],[Dividendo / Ação]]/Tabela2[[#This Row],[Cotação]],"")</f>
        <v>3.7031691752232143E-2</v>
      </c>
      <c r="J580" s="17">
        <f>SUMPRODUCT(N(Tabela1[Código]=Tabela2[[#This Row],[Ativo]]),Tabela1[Fechamento])</f>
        <v>0</v>
      </c>
      <c r="K580" s="17">
        <f>SUMPRODUCT(N(Tabela17[Código]=Tabela2[[#This Row],[Ativo]]),Tabela17[Fechamento])</f>
        <v>8.9600000000000009</v>
      </c>
      <c r="M580" s="3"/>
    </row>
    <row r="581" spans="1:13">
      <c r="A581" s="4" t="s">
        <v>456</v>
      </c>
      <c r="B581" s="4">
        <v>2011</v>
      </c>
      <c r="C581" s="6">
        <v>391378000</v>
      </c>
      <c r="D581" s="78">
        <f>SUMPRODUCT(N(Tabela3[PAPEL]=Tabela2[[#This Row],[Ativo]]),Tabela3[Total Ações])</f>
        <v>1231364363</v>
      </c>
      <c r="E581" s="66">
        <f>(Tabela2[[#This Row],[Lucro Líquido]])/Tabela2[[#This Row],[Total Ações]]</f>
        <v>0.31784093462513174</v>
      </c>
      <c r="F581" s="66">
        <v>0.33180395810000002</v>
      </c>
      <c r="G581" s="45">
        <f>IF(AND(Tabela2[[#This Row],[Dividendo / Ação]]&gt;0,Tabela2[[#This Row],[Lucro por ação]]&gt;0),Tabela2[[#This Row],[Dividendo / Ação]]/Tabela2[[#This Row],[Lucro por ação]],"")</f>
        <v>1.043930853309806</v>
      </c>
      <c r="H581" s="61">
        <f>MAX(Tabela2[[#This Row],[Cotação 1]],Tabela2[[#This Row],[Cotação 2]])</f>
        <v>8.9600000000000009</v>
      </c>
      <c r="I581" s="46">
        <f>IF(Tabela2[[#This Row],[Dividendo / Ação]]&gt;0,Tabela2[[#This Row],[Dividendo / Ação]]/Tabela2[[#This Row],[Cotação]],"")</f>
        <v>3.7031691752232143E-2</v>
      </c>
      <c r="J581" s="17">
        <f>SUMPRODUCT(N(Tabela1[Código]=Tabela2[[#This Row],[Ativo]]),Tabela1[Fechamento])</f>
        <v>0</v>
      </c>
      <c r="K581" s="17">
        <f>SUMPRODUCT(N(Tabela17[Código]=Tabela2[[#This Row],[Ativo]]),Tabela17[Fechamento])</f>
        <v>8.9600000000000009</v>
      </c>
      <c r="M581" s="3"/>
    </row>
    <row r="582" spans="1:13">
      <c r="A582" s="4" t="s">
        <v>456</v>
      </c>
      <c r="B582" s="4">
        <v>2010</v>
      </c>
      <c r="C582" s="6">
        <v>723006000</v>
      </c>
      <c r="D582" s="78">
        <f>SUMPRODUCT(N(Tabela3[PAPEL]=Tabela2[[#This Row],[Ativo]]),Tabela3[Total Ações])</f>
        <v>1231364363</v>
      </c>
      <c r="E582" s="66">
        <f>(Tabela2[[#This Row],[Lucro Líquido]])/Tabela2[[#This Row],[Total Ações]]</f>
        <v>0.58715845750036544</v>
      </c>
      <c r="F582" s="66">
        <v>0.33180395810000002</v>
      </c>
      <c r="G582" s="45">
        <f>IF(AND(Tabela2[[#This Row],[Dividendo / Ação]]&gt;0,Tabela2[[#This Row],[Lucro por ação]]&gt;0),Tabela2[[#This Row],[Dividendo / Ação]]/Tabela2[[#This Row],[Lucro por ação]],"")</f>
        <v>0.56510121562848048</v>
      </c>
      <c r="H582" s="61">
        <f>MAX(Tabela2[[#This Row],[Cotação 1]],Tabela2[[#This Row],[Cotação 2]])</f>
        <v>8.9600000000000009</v>
      </c>
      <c r="I582" s="46">
        <f>IF(Tabela2[[#This Row],[Dividendo / Ação]]&gt;0,Tabela2[[#This Row],[Dividendo / Ação]]/Tabela2[[#This Row],[Cotação]],"")</f>
        <v>3.7031691752232143E-2</v>
      </c>
      <c r="J582" s="17">
        <f>SUMPRODUCT(N(Tabela1[Código]=Tabela2[[#This Row],[Ativo]]),Tabela1[Fechamento])</f>
        <v>0</v>
      </c>
      <c r="K582" s="17">
        <f>SUMPRODUCT(N(Tabela17[Código]=Tabela2[[#This Row],[Ativo]]),Tabela17[Fechamento])</f>
        <v>8.9600000000000009</v>
      </c>
      <c r="M582" s="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A3:G168"/>
  <sheetViews>
    <sheetView workbookViewId="0">
      <selection activeCell="G17" sqref="G17"/>
    </sheetView>
  </sheetViews>
  <sheetFormatPr defaultRowHeight="15"/>
  <cols>
    <col min="1" max="1" width="17.85546875" bestFit="1" customWidth="1"/>
    <col min="2" max="2" width="24.5703125" customWidth="1"/>
    <col min="3" max="3" width="16.42578125" bestFit="1" customWidth="1"/>
    <col min="4" max="4" width="13.42578125" bestFit="1" customWidth="1"/>
    <col min="5" max="5" width="13.28515625" bestFit="1" customWidth="1"/>
    <col min="6" max="6" width="7.5703125" customWidth="1"/>
    <col min="7" max="7" width="21.42578125" bestFit="1" customWidth="1"/>
    <col min="8" max="9" width="9" bestFit="1" customWidth="1"/>
    <col min="10" max="10" width="11" bestFit="1" customWidth="1"/>
    <col min="11" max="13" width="8" bestFit="1" customWidth="1"/>
    <col min="14" max="14" width="12" bestFit="1" customWidth="1"/>
    <col min="15" max="15" width="10" bestFit="1" customWidth="1"/>
    <col min="16" max="16" width="7.140625" bestFit="1" customWidth="1"/>
    <col min="17" max="18" width="8" bestFit="1" customWidth="1"/>
    <col min="19" max="19" width="7.140625" bestFit="1" customWidth="1"/>
    <col min="20" max="20" width="8" bestFit="1" customWidth="1"/>
    <col min="21" max="21" width="7.140625" bestFit="1" customWidth="1"/>
    <col min="22" max="22" width="9" bestFit="1" customWidth="1"/>
    <col min="23" max="23" width="7.140625" bestFit="1" customWidth="1"/>
    <col min="24" max="24" width="10" bestFit="1" customWidth="1"/>
    <col min="25" max="26" width="9" bestFit="1" customWidth="1"/>
    <col min="27" max="27" width="11" bestFit="1" customWidth="1"/>
    <col min="28" max="31" width="12" bestFit="1" customWidth="1"/>
    <col min="32" max="32" width="8" bestFit="1" customWidth="1"/>
    <col min="33" max="33" width="9" bestFit="1" customWidth="1"/>
    <col min="34" max="34" width="7.140625" bestFit="1" customWidth="1"/>
    <col min="35" max="35" width="8" bestFit="1" customWidth="1"/>
    <col min="36" max="36" width="12" bestFit="1" customWidth="1"/>
    <col min="37" max="37" width="7.140625" bestFit="1" customWidth="1"/>
    <col min="38" max="42" width="8" bestFit="1" customWidth="1"/>
    <col min="43" max="43" width="9" bestFit="1" customWidth="1"/>
    <col min="44" max="44" width="7.140625" bestFit="1" customWidth="1"/>
    <col min="45" max="46" width="8" bestFit="1" customWidth="1"/>
    <col min="47" max="47" width="11" bestFit="1" customWidth="1"/>
    <col min="48" max="48" width="12" bestFit="1" customWidth="1"/>
    <col min="49" max="50" width="8" bestFit="1" customWidth="1"/>
    <col min="51" max="51" width="7.140625" bestFit="1" customWidth="1"/>
    <col min="52" max="54" width="8" bestFit="1" customWidth="1"/>
    <col min="55" max="55" width="7.140625" bestFit="1" customWidth="1"/>
    <col min="56" max="56" width="8" bestFit="1" customWidth="1"/>
    <col min="57" max="57" width="7.140625" bestFit="1" customWidth="1"/>
    <col min="58" max="58" width="8" bestFit="1" customWidth="1"/>
    <col min="59" max="59" width="10" bestFit="1" customWidth="1"/>
    <col min="60" max="60" width="7.140625" bestFit="1" customWidth="1"/>
    <col min="61" max="61" width="11" bestFit="1" customWidth="1"/>
    <col min="62" max="62" width="8" bestFit="1" customWidth="1"/>
    <col min="63" max="63" width="7.140625" bestFit="1" customWidth="1"/>
    <col min="64" max="64" width="12" bestFit="1" customWidth="1"/>
    <col min="65" max="65" width="7.140625" bestFit="1" customWidth="1"/>
    <col min="66" max="66" width="8" bestFit="1" customWidth="1"/>
    <col min="67" max="67" width="7.140625" bestFit="1" customWidth="1"/>
    <col min="68" max="68" width="12" bestFit="1" customWidth="1"/>
    <col min="69" max="70" width="7.140625" bestFit="1" customWidth="1"/>
    <col min="71" max="71" width="8" bestFit="1" customWidth="1"/>
    <col min="72" max="74" width="7.140625" bestFit="1" customWidth="1"/>
    <col min="75" max="75" width="8" bestFit="1" customWidth="1"/>
    <col min="76" max="76" width="7.140625" bestFit="1" customWidth="1"/>
    <col min="77" max="77" width="8" bestFit="1" customWidth="1"/>
    <col min="78" max="83" width="7.140625" bestFit="1" customWidth="1"/>
    <col min="84" max="84" width="11" bestFit="1" customWidth="1"/>
    <col min="85" max="85" width="12" bestFit="1" customWidth="1"/>
    <col min="86" max="87" width="7.140625" bestFit="1" customWidth="1"/>
    <col min="88" max="88" width="8" bestFit="1" customWidth="1"/>
    <col min="89" max="89" width="7.140625" bestFit="1" customWidth="1"/>
    <col min="90" max="90" width="12" bestFit="1" customWidth="1"/>
    <col min="91" max="93" width="7.140625" bestFit="1" customWidth="1"/>
    <col min="94" max="94" width="9" bestFit="1" customWidth="1"/>
    <col min="95" max="95" width="12" bestFit="1" customWidth="1"/>
    <col min="96" max="96" width="8" bestFit="1" customWidth="1"/>
    <col min="97" max="97" width="12" bestFit="1" customWidth="1"/>
    <col min="98" max="99" width="7.140625" bestFit="1" customWidth="1"/>
    <col min="100" max="100" width="9" bestFit="1" customWidth="1"/>
    <col min="101" max="101" width="7.140625" bestFit="1" customWidth="1"/>
    <col min="102" max="103" width="8" bestFit="1" customWidth="1"/>
    <col min="104" max="105" width="7.140625" bestFit="1" customWidth="1"/>
    <col min="106" max="106" width="10" bestFit="1" customWidth="1"/>
    <col min="107" max="107" width="7.140625" bestFit="1" customWidth="1"/>
    <col min="108" max="108" width="8" bestFit="1" customWidth="1"/>
    <col min="109" max="109" width="12" bestFit="1" customWidth="1"/>
    <col min="110" max="111" width="7.140625" bestFit="1" customWidth="1"/>
    <col min="112" max="112" width="8" bestFit="1" customWidth="1"/>
    <col min="113" max="114" width="10" bestFit="1" customWidth="1"/>
    <col min="115" max="116" width="8" bestFit="1" customWidth="1"/>
    <col min="117" max="117" width="7.140625" bestFit="1" customWidth="1"/>
    <col min="118" max="118" width="8" bestFit="1" customWidth="1"/>
    <col min="119" max="120" width="12" bestFit="1" customWidth="1"/>
    <col min="121" max="122" width="7.140625" bestFit="1" customWidth="1"/>
    <col min="123" max="123" width="12" bestFit="1" customWidth="1"/>
    <col min="124" max="124" width="8" bestFit="1" customWidth="1"/>
    <col min="125" max="125" width="12" bestFit="1" customWidth="1"/>
    <col min="126" max="127" width="8" bestFit="1" customWidth="1"/>
    <col min="128" max="128" width="9" bestFit="1" customWidth="1"/>
    <col min="129" max="130" width="7.140625" bestFit="1" customWidth="1"/>
    <col min="131" max="131" width="12" bestFit="1" customWidth="1"/>
    <col min="132" max="135" width="7.140625" bestFit="1" customWidth="1"/>
    <col min="136" max="136" width="8" bestFit="1" customWidth="1"/>
    <col min="137" max="137" width="9" bestFit="1" customWidth="1"/>
    <col min="138" max="138" width="12" bestFit="1" customWidth="1"/>
    <col min="139" max="139" width="8" bestFit="1" customWidth="1"/>
    <col min="140" max="140" width="7.140625" bestFit="1" customWidth="1"/>
    <col min="141" max="141" width="9" bestFit="1" customWidth="1"/>
    <col min="142" max="142" width="11" bestFit="1" customWidth="1"/>
    <col min="143" max="143" width="9" bestFit="1" customWidth="1"/>
    <col min="144" max="144" width="12" bestFit="1" customWidth="1"/>
    <col min="145" max="145" width="8" bestFit="1" customWidth="1"/>
    <col min="146" max="148" width="7.140625" bestFit="1" customWidth="1"/>
    <col min="149" max="149" width="9" bestFit="1" customWidth="1"/>
    <col min="150" max="150" width="12" bestFit="1" customWidth="1"/>
    <col min="151" max="151" width="7.140625" bestFit="1" customWidth="1"/>
    <col min="152" max="152" width="12" bestFit="1" customWidth="1"/>
    <col min="153" max="153" width="8" bestFit="1" customWidth="1"/>
    <col min="154" max="154" width="7.140625" bestFit="1" customWidth="1"/>
    <col min="155" max="155" width="11" bestFit="1" customWidth="1"/>
    <col min="156" max="156" width="7.140625" bestFit="1" customWidth="1"/>
    <col min="157" max="157" width="12" bestFit="1" customWidth="1"/>
    <col min="158" max="158" width="9" bestFit="1" customWidth="1"/>
    <col min="159" max="160" width="7.140625" bestFit="1" customWidth="1"/>
    <col min="161" max="161" width="12" bestFit="1" customWidth="1"/>
    <col min="162" max="162" width="7.140625" bestFit="1" customWidth="1"/>
    <col min="163" max="163" width="8" bestFit="1" customWidth="1"/>
    <col min="164" max="165" width="12" bestFit="1" customWidth="1"/>
    <col min="166" max="166" width="8" bestFit="1" customWidth="1"/>
    <col min="167" max="167" width="10" bestFit="1" customWidth="1"/>
    <col min="168" max="169" width="7.140625" bestFit="1" customWidth="1"/>
    <col min="170" max="170" width="8" bestFit="1" customWidth="1"/>
    <col min="171" max="171" width="12" bestFit="1" customWidth="1"/>
    <col min="172" max="172" width="7.140625" bestFit="1" customWidth="1"/>
    <col min="173" max="173" width="12" bestFit="1" customWidth="1"/>
    <col min="174" max="176" width="7.140625" bestFit="1" customWidth="1"/>
    <col min="177" max="178" width="8" bestFit="1" customWidth="1"/>
    <col min="179" max="182" width="7.140625" bestFit="1" customWidth="1"/>
    <col min="183" max="183" width="12" bestFit="1" customWidth="1"/>
    <col min="184" max="185" width="7.140625" bestFit="1" customWidth="1"/>
    <col min="186" max="186" width="9" bestFit="1" customWidth="1"/>
    <col min="187" max="189" width="7.140625" bestFit="1" customWidth="1"/>
    <col min="190" max="190" width="8" bestFit="1" customWidth="1"/>
    <col min="191" max="192" width="7.140625" bestFit="1" customWidth="1"/>
    <col min="193" max="193" width="12" bestFit="1" customWidth="1"/>
    <col min="194" max="194" width="7.140625" bestFit="1" customWidth="1"/>
    <col min="195" max="195" width="9" bestFit="1" customWidth="1"/>
    <col min="196" max="198" width="12" bestFit="1" customWidth="1"/>
    <col min="199" max="199" width="8" bestFit="1" customWidth="1"/>
    <col min="200" max="200" width="7.140625" bestFit="1" customWidth="1"/>
    <col min="201" max="201" width="10" bestFit="1" customWidth="1"/>
    <col min="202" max="203" width="7.140625" bestFit="1" customWidth="1"/>
    <col min="204" max="204" width="12" bestFit="1" customWidth="1"/>
    <col min="205" max="208" width="7.140625" bestFit="1" customWidth="1"/>
    <col min="209" max="209" width="12" bestFit="1" customWidth="1"/>
    <col min="210" max="211" width="7.140625" bestFit="1" customWidth="1"/>
    <col min="212" max="212" width="9" bestFit="1" customWidth="1"/>
    <col min="213" max="214" width="12" bestFit="1" customWidth="1"/>
    <col min="215" max="215" width="11" bestFit="1" customWidth="1"/>
    <col min="216" max="217" width="7.140625" bestFit="1" customWidth="1"/>
    <col min="218" max="218" width="12" bestFit="1" customWidth="1"/>
    <col min="219" max="219" width="11" bestFit="1" customWidth="1"/>
    <col min="220" max="220" width="12" bestFit="1" customWidth="1"/>
    <col min="221" max="221" width="7.140625" bestFit="1" customWidth="1"/>
    <col min="222" max="222" width="8" bestFit="1" customWidth="1"/>
    <col min="223" max="223" width="7.140625" bestFit="1" customWidth="1"/>
    <col min="224" max="224" width="9" bestFit="1" customWidth="1"/>
    <col min="225" max="225" width="8" bestFit="1" customWidth="1"/>
    <col min="226" max="226" width="12" bestFit="1" customWidth="1"/>
    <col min="227" max="227" width="11" bestFit="1" customWidth="1"/>
    <col min="228" max="228" width="7.140625" bestFit="1" customWidth="1"/>
    <col min="229" max="229" width="11" bestFit="1" customWidth="1"/>
    <col min="230" max="230" width="9" bestFit="1" customWidth="1"/>
    <col min="231" max="231" width="10" bestFit="1" customWidth="1"/>
    <col min="232" max="232" width="7.140625" bestFit="1" customWidth="1"/>
    <col min="233" max="237" width="12" bestFit="1" customWidth="1"/>
    <col min="238" max="238" width="7.140625" bestFit="1" customWidth="1"/>
    <col min="239" max="239" width="8" bestFit="1" customWidth="1"/>
    <col min="240" max="240" width="12" bestFit="1" customWidth="1"/>
    <col min="241" max="241" width="7.140625" bestFit="1" customWidth="1"/>
    <col min="242" max="242" width="9" bestFit="1" customWidth="1"/>
    <col min="243" max="244" width="7.140625" bestFit="1" customWidth="1"/>
    <col min="245" max="245" width="9" bestFit="1" customWidth="1"/>
    <col min="246" max="246" width="8" bestFit="1" customWidth="1"/>
    <col min="247" max="248" width="11" bestFit="1" customWidth="1"/>
    <col min="249" max="250" width="9" bestFit="1" customWidth="1"/>
    <col min="251" max="251" width="7.140625" bestFit="1" customWidth="1"/>
    <col min="252" max="253" width="9" bestFit="1" customWidth="1"/>
    <col min="254" max="254" width="7.140625" bestFit="1" customWidth="1"/>
    <col min="255" max="255" width="9" bestFit="1" customWidth="1"/>
    <col min="256" max="256" width="12" bestFit="1" customWidth="1"/>
    <col min="257" max="257" width="8" bestFit="1" customWidth="1"/>
    <col min="258" max="258" width="9" bestFit="1" customWidth="1"/>
    <col min="259" max="259" width="12" bestFit="1" customWidth="1"/>
    <col min="260" max="260" width="7.140625" bestFit="1" customWidth="1"/>
    <col min="261" max="261" width="12" bestFit="1" customWidth="1"/>
    <col min="262" max="262" width="11" bestFit="1" customWidth="1"/>
    <col min="263" max="263" width="9" bestFit="1" customWidth="1"/>
    <col min="264" max="264" width="7.140625" bestFit="1" customWidth="1"/>
    <col min="265" max="266" width="8" bestFit="1" customWidth="1"/>
    <col min="267" max="267" width="9" bestFit="1" customWidth="1"/>
    <col min="268" max="268" width="8" bestFit="1" customWidth="1"/>
    <col min="269" max="269" width="7.140625" bestFit="1" customWidth="1"/>
    <col min="270" max="270" width="10" bestFit="1" customWidth="1"/>
    <col min="271" max="271" width="12" bestFit="1" customWidth="1"/>
    <col min="272" max="272" width="8" bestFit="1" customWidth="1"/>
    <col min="273" max="273" width="7.140625" bestFit="1" customWidth="1"/>
    <col min="274" max="275" width="9" bestFit="1" customWidth="1"/>
    <col min="276" max="276" width="12" bestFit="1" customWidth="1"/>
    <col min="277" max="277" width="7.140625" bestFit="1" customWidth="1"/>
    <col min="278" max="278" width="11" bestFit="1" customWidth="1"/>
    <col min="279" max="279" width="7.140625" bestFit="1" customWidth="1"/>
    <col min="280" max="280" width="8" bestFit="1" customWidth="1"/>
    <col min="281" max="281" width="7.140625" bestFit="1" customWidth="1"/>
    <col min="282" max="282" width="9" bestFit="1" customWidth="1"/>
    <col min="283" max="284" width="12" bestFit="1" customWidth="1"/>
    <col min="285" max="285" width="9" bestFit="1" customWidth="1"/>
    <col min="286" max="286" width="8" bestFit="1" customWidth="1"/>
    <col min="287" max="287" width="7.140625" bestFit="1" customWidth="1"/>
    <col min="288" max="288" width="12" bestFit="1" customWidth="1"/>
    <col min="289" max="289" width="10" bestFit="1" customWidth="1"/>
    <col min="290" max="290" width="7.140625" bestFit="1" customWidth="1"/>
    <col min="291" max="291" width="11" bestFit="1" customWidth="1"/>
    <col min="292" max="292" width="9" bestFit="1" customWidth="1"/>
    <col min="293" max="293" width="11" bestFit="1" customWidth="1"/>
    <col min="294" max="294" width="12" bestFit="1" customWidth="1"/>
    <col min="295" max="295" width="8" bestFit="1" customWidth="1"/>
    <col min="296" max="296" width="7.140625" bestFit="1" customWidth="1"/>
    <col min="297" max="299" width="12" bestFit="1" customWidth="1"/>
    <col min="300" max="302" width="7.140625" bestFit="1" customWidth="1"/>
    <col min="303" max="303" width="12" bestFit="1" customWidth="1"/>
    <col min="304" max="304" width="7.140625" bestFit="1" customWidth="1"/>
    <col min="305" max="305" width="12" bestFit="1" customWidth="1"/>
    <col min="306" max="306" width="7.140625" bestFit="1" customWidth="1"/>
    <col min="307" max="307" width="11" bestFit="1" customWidth="1"/>
    <col min="308" max="308" width="7.140625" bestFit="1" customWidth="1"/>
    <col min="309" max="309" width="11" bestFit="1" customWidth="1"/>
    <col min="310" max="312" width="7.140625" bestFit="1" customWidth="1"/>
    <col min="313" max="313" width="10" bestFit="1" customWidth="1"/>
    <col min="314" max="314" width="12" bestFit="1" customWidth="1"/>
    <col min="315" max="315" width="10" bestFit="1" customWidth="1"/>
    <col min="316" max="316" width="7.140625" bestFit="1" customWidth="1"/>
    <col min="317" max="317" width="8" bestFit="1" customWidth="1"/>
    <col min="318" max="319" width="12" bestFit="1" customWidth="1"/>
    <col min="320" max="324" width="7.140625" bestFit="1" customWidth="1"/>
    <col min="325" max="327" width="12" bestFit="1" customWidth="1"/>
    <col min="328" max="329" width="8" bestFit="1" customWidth="1"/>
    <col min="330" max="330" width="7.140625" bestFit="1" customWidth="1"/>
    <col min="331" max="332" width="11" bestFit="1" customWidth="1"/>
    <col min="333" max="334" width="12" bestFit="1" customWidth="1"/>
    <col min="335" max="335" width="10" bestFit="1" customWidth="1"/>
    <col min="336" max="336" width="11" bestFit="1" customWidth="1"/>
    <col min="337" max="337" width="10" bestFit="1" customWidth="1"/>
    <col min="338" max="338" width="12" bestFit="1" customWidth="1"/>
    <col min="339" max="342" width="7.140625" bestFit="1" customWidth="1"/>
    <col min="343" max="344" width="12" bestFit="1" customWidth="1"/>
    <col min="345" max="345" width="7.140625" bestFit="1" customWidth="1"/>
    <col min="346" max="346" width="9" bestFit="1" customWidth="1"/>
    <col min="347" max="347" width="7.140625" bestFit="1" customWidth="1"/>
    <col min="348" max="350" width="12" bestFit="1" customWidth="1"/>
    <col min="351" max="351" width="9" bestFit="1" customWidth="1"/>
    <col min="352" max="352" width="12" bestFit="1" customWidth="1"/>
    <col min="353" max="356" width="7.140625" bestFit="1" customWidth="1"/>
    <col min="357" max="360" width="12" bestFit="1" customWidth="1"/>
    <col min="361" max="361" width="11" bestFit="1" customWidth="1"/>
    <col min="362" max="362" width="7.140625" bestFit="1" customWidth="1"/>
    <col min="363" max="363" width="12" bestFit="1" customWidth="1"/>
    <col min="364" max="364" width="11" bestFit="1" customWidth="1"/>
    <col min="365" max="365" width="12" bestFit="1" customWidth="1"/>
    <col min="366" max="366" width="8" bestFit="1" customWidth="1"/>
    <col min="367" max="367" width="11" bestFit="1" customWidth="1"/>
    <col min="368" max="371" width="12" bestFit="1" customWidth="1"/>
    <col min="372" max="373" width="11" bestFit="1" customWidth="1"/>
    <col min="374" max="374" width="8" bestFit="1" customWidth="1"/>
    <col min="375" max="375" width="7.140625" bestFit="1" customWidth="1"/>
    <col min="376" max="380" width="12" bestFit="1" customWidth="1"/>
    <col min="381" max="381" width="9" bestFit="1" customWidth="1"/>
    <col min="382" max="382" width="7.140625" bestFit="1" customWidth="1"/>
    <col min="383" max="384" width="12" bestFit="1" customWidth="1"/>
    <col min="385" max="386" width="7.140625" bestFit="1" customWidth="1"/>
    <col min="387" max="387" width="12" bestFit="1" customWidth="1"/>
    <col min="388" max="389" width="7.140625" bestFit="1" customWidth="1"/>
    <col min="390" max="390" width="12" bestFit="1" customWidth="1"/>
    <col min="391" max="391" width="7.140625" bestFit="1" customWidth="1"/>
    <col min="392" max="392" width="11" bestFit="1" customWidth="1"/>
    <col min="393" max="393" width="8" bestFit="1" customWidth="1"/>
    <col min="394" max="394" width="12" bestFit="1" customWidth="1"/>
    <col min="395" max="395" width="7.140625" bestFit="1" customWidth="1"/>
    <col min="396" max="401" width="12" bestFit="1" customWidth="1"/>
    <col min="402" max="402" width="7.140625" bestFit="1" customWidth="1"/>
    <col min="403" max="403" width="12" bestFit="1" customWidth="1"/>
    <col min="404" max="404" width="7.140625" bestFit="1" customWidth="1"/>
    <col min="405" max="405" width="9" bestFit="1" customWidth="1"/>
    <col min="406" max="408" width="12" bestFit="1" customWidth="1"/>
    <col min="409" max="409" width="11" bestFit="1" customWidth="1"/>
    <col min="410" max="410" width="9" bestFit="1" customWidth="1"/>
    <col min="411" max="411" width="7.140625" bestFit="1" customWidth="1"/>
    <col min="412" max="412" width="11" bestFit="1" customWidth="1"/>
    <col min="413" max="413" width="7.140625" bestFit="1" customWidth="1"/>
    <col min="414" max="416" width="12" bestFit="1" customWidth="1"/>
    <col min="417" max="417" width="10" bestFit="1" customWidth="1"/>
    <col min="418" max="418" width="11" bestFit="1" customWidth="1"/>
    <col min="419" max="419" width="12" bestFit="1" customWidth="1"/>
    <col min="420" max="420" width="7.140625" bestFit="1" customWidth="1"/>
    <col min="421" max="421" width="9" bestFit="1" customWidth="1"/>
    <col min="422" max="423" width="12" bestFit="1" customWidth="1"/>
    <col min="424" max="424" width="8" bestFit="1" customWidth="1"/>
    <col min="425" max="425" width="12" bestFit="1" customWidth="1"/>
    <col min="426" max="426" width="7.140625" bestFit="1" customWidth="1"/>
    <col min="427" max="429" width="12" bestFit="1" customWidth="1"/>
    <col min="430" max="430" width="7.140625" bestFit="1" customWidth="1"/>
    <col min="431" max="431" width="12" bestFit="1" customWidth="1"/>
    <col min="432" max="432" width="9" bestFit="1" customWidth="1"/>
    <col min="433" max="433" width="12" bestFit="1" customWidth="1"/>
    <col min="434" max="434" width="9" bestFit="1" customWidth="1"/>
    <col min="435" max="435" width="8" bestFit="1" customWidth="1"/>
    <col min="436" max="436" width="7.140625" bestFit="1" customWidth="1"/>
    <col min="437" max="437" width="10" bestFit="1" customWidth="1"/>
    <col min="438" max="438" width="12" bestFit="1" customWidth="1"/>
    <col min="439" max="440" width="7.140625" bestFit="1" customWidth="1"/>
    <col min="441" max="441" width="11" bestFit="1" customWidth="1"/>
    <col min="442" max="442" width="7.140625" bestFit="1" customWidth="1"/>
    <col min="443" max="447" width="12" bestFit="1" customWidth="1"/>
    <col min="448" max="448" width="7.140625" bestFit="1" customWidth="1"/>
    <col min="449" max="450" width="12" bestFit="1" customWidth="1"/>
    <col min="451" max="451" width="7.140625" bestFit="1" customWidth="1"/>
    <col min="452" max="453" width="12" bestFit="1" customWidth="1"/>
    <col min="454" max="454" width="7.140625" bestFit="1" customWidth="1"/>
    <col min="455" max="455" width="12" bestFit="1" customWidth="1"/>
    <col min="456" max="456" width="7" bestFit="1" customWidth="1"/>
    <col min="457" max="457" width="13.42578125" bestFit="1" customWidth="1"/>
    <col min="458" max="458" width="9" bestFit="1" customWidth="1"/>
    <col min="459" max="460" width="8" bestFit="1" customWidth="1"/>
    <col min="461" max="461" width="7.140625" bestFit="1" customWidth="1"/>
    <col min="462" max="462" width="7" bestFit="1" customWidth="1"/>
    <col min="463" max="464" width="9" bestFit="1" customWidth="1"/>
    <col min="465" max="465" width="11" bestFit="1" customWidth="1"/>
    <col min="466" max="468" width="8" bestFit="1" customWidth="1"/>
    <col min="469" max="469" width="12" bestFit="1" customWidth="1"/>
    <col min="470" max="470" width="10" bestFit="1" customWidth="1"/>
    <col min="471" max="471" width="7.140625" bestFit="1" customWidth="1"/>
    <col min="472" max="473" width="8" bestFit="1" customWidth="1"/>
    <col min="474" max="474" width="8.140625" bestFit="1" customWidth="1"/>
    <col min="475" max="475" width="8" bestFit="1" customWidth="1"/>
    <col min="476" max="476" width="8.140625" bestFit="1" customWidth="1"/>
    <col min="477" max="477" width="9" bestFit="1" customWidth="1"/>
    <col min="478" max="478" width="7.140625" bestFit="1" customWidth="1"/>
    <col min="479" max="479" width="10" bestFit="1" customWidth="1"/>
    <col min="480" max="481" width="9" bestFit="1" customWidth="1"/>
    <col min="482" max="482" width="11" bestFit="1" customWidth="1"/>
    <col min="483" max="486" width="12" bestFit="1" customWidth="1"/>
    <col min="487" max="487" width="8" bestFit="1" customWidth="1"/>
    <col min="488" max="488" width="9" bestFit="1" customWidth="1"/>
    <col min="489" max="489" width="6.140625" bestFit="1" customWidth="1"/>
    <col min="490" max="490" width="8" bestFit="1" customWidth="1"/>
    <col min="491" max="491" width="12" bestFit="1" customWidth="1"/>
    <col min="492" max="492" width="7" bestFit="1" customWidth="1"/>
    <col min="493" max="497" width="8" bestFit="1" customWidth="1"/>
    <col min="498" max="498" width="9" bestFit="1" customWidth="1"/>
    <col min="499" max="499" width="7.140625" bestFit="1" customWidth="1"/>
    <col min="500" max="501" width="8" bestFit="1" customWidth="1"/>
    <col min="502" max="502" width="11" bestFit="1" customWidth="1"/>
    <col min="503" max="503" width="12" bestFit="1" customWidth="1"/>
    <col min="504" max="504" width="8" bestFit="1" customWidth="1"/>
    <col min="505" max="505" width="8.140625" bestFit="1" customWidth="1"/>
    <col min="506" max="506" width="7.140625" bestFit="1" customWidth="1"/>
    <col min="507" max="509" width="8" bestFit="1" customWidth="1"/>
    <col min="510" max="510" width="7.140625" bestFit="1" customWidth="1"/>
    <col min="511" max="511" width="8.140625" bestFit="1" customWidth="1"/>
    <col min="512" max="512" width="7.140625" bestFit="1" customWidth="1"/>
    <col min="513" max="513" width="8" bestFit="1" customWidth="1"/>
    <col min="514" max="514" width="10" bestFit="1" customWidth="1"/>
    <col min="515" max="515" width="7.140625" bestFit="1" customWidth="1"/>
    <col min="516" max="516" width="11" bestFit="1" customWidth="1"/>
    <col min="517" max="517" width="8" bestFit="1" customWidth="1"/>
    <col min="518" max="518" width="7.140625" bestFit="1" customWidth="1"/>
    <col min="519" max="519" width="12" bestFit="1" customWidth="1"/>
    <col min="520" max="520" width="7.140625" bestFit="1" customWidth="1"/>
    <col min="521" max="521" width="8" bestFit="1" customWidth="1"/>
    <col min="522" max="522" width="7.140625" bestFit="1" customWidth="1"/>
    <col min="523" max="523" width="12" bestFit="1" customWidth="1"/>
    <col min="524" max="525" width="7.140625" bestFit="1" customWidth="1"/>
    <col min="526" max="526" width="8" bestFit="1" customWidth="1"/>
    <col min="527" max="529" width="7.140625" bestFit="1" customWidth="1"/>
    <col min="530" max="530" width="8" bestFit="1" customWidth="1"/>
    <col min="531" max="531" width="6.140625" bestFit="1" customWidth="1"/>
    <col min="532" max="532" width="8" bestFit="1" customWidth="1"/>
    <col min="533" max="538" width="7.140625" bestFit="1" customWidth="1"/>
    <col min="539" max="539" width="11" bestFit="1" customWidth="1"/>
    <col min="540" max="540" width="12" bestFit="1" customWidth="1"/>
    <col min="541" max="542" width="7.140625" bestFit="1" customWidth="1"/>
    <col min="543" max="543" width="8" bestFit="1" customWidth="1"/>
    <col min="544" max="544" width="7.140625" bestFit="1" customWidth="1"/>
    <col min="545" max="545" width="12" bestFit="1" customWidth="1"/>
    <col min="546" max="548" width="7.140625" bestFit="1" customWidth="1"/>
    <col min="549" max="549" width="9" bestFit="1" customWidth="1"/>
    <col min="550" max="550" width="12" bestFit="1" customWidth="1"/>
    <col min="551" max="551" width="8" bestFit="1" customWidth="1"/>
    <col min="552" max="552" width="12" bestFit="1" customWidth="1"/>
    <col min="553" max="554" width="7.140625" bestFit="1" customWidth="1"/>
    <col min="555" max="555" width="9" bestFit="1" customWidth="1"/>
    <col min="556" max="556" width="7.140625" bestFit="1" customWidth="1"/>
    <col min="557" max="558" width="8" bestFit="1" customWidth="1"/>
    <col min="559" max="560" width="7.140625" bestFit="1" customWidth="1"/>
    <col min="561" max="561" width="10" bestFit="1" customWidth="1"/>
    <col min="562" max="562" width="7.140625" bestFit="1" customWidth="1"/>
    <col min="563" max="563" width="8" bestFit="1" customWidth="1"/>
    <col min="564" max="564" width="12" bestFit="1" customWidth="1"/>
    <col min="565" max="566" width="7.140625" bestFit="1" customWidth="1"/>
    <col min="567" max="567" width="8" bestFit="1" customWidth="1"/>
    <col min="568" max="569" width="10" bestFit="1" customWidth="1"/>
    <col min="570" max="571" width="8" bestFit="1" customWidth="1"/>
    <col min="572" max="572" width="7.140625" bestFit="1" customWidth="1"/>
    <col min="573" max="573" width="8" bestFit="1" customWidth="1"/>
    <col min="574" max="575" width="12" bestFit="1" customWidth="1"/>
    <col min="576" max="577" width="7.140625" bestFit="1" customWidth="1"/>
    <col min="578" max="578" width="12" bestFit="1" customWidth="1"/>
    <col min="579" max="579" width="8" bestFit="1" customWidth="1"/>
    <col min="580" max="580" width="12" bestFit="1" customWidth="1"/>
    <col min="581" max="581" width="8" bestFit="1" customWidth="1"/>
    <col min="582" max="582" width="8.140625" bestFit="1" customWidth="1"/>
    <col min="583" max="583" width="9" bestFit="1" customWidth="1"/>
    <col min="584" max="585" width="7.140625" bestFit="1" customWidth="1"/>
    <col min="586" max="586" width="12" bestFit="1" customWidth="1"/>
    <col min="587" max="587" width="7.140625" bestFit="1" customWidth="1"/>
    <col min="588" max="588" width="6.140625" bestFit="1" customWidth="1"/>
    <col min="589" max="590" width="7.140625" bestFit="1" customWidth="1"/>
    <col min="591" max="591" width="8" bestFit="1" customWidth="1"/>
    <col min="592" max="592" width="9" bestFit="1" customWidth="1"/>
    <col min="593" max="593" width="12" bestFit="1" customWidth="1"/>
    <col min="594" max="594" width="8" bestFit="1" customWidth="1"/>
    <col min="595" max="595" width="7.140625" bestFit="1" customWidth="1"/>
    <col min="596" max="596" width="9" bestFit="1" customWidth="1"/>
    <col min="597" max="597" width="11" bestFit="1" customWidth="1"/>
    <col min="598" max="598" width="9" bestFit="1" customWidth="1"/>
    <col min="599" max="599" width="12" bestFit="1" customWidth="1"/>
    <col min="600" max="600" width="8" bestFit="1" customWidth="1"/>
    <col min="601" max="602" width="7.140625" bestFit="1" customWidth="1"/>
    <col min="603" max="603" width="8.140625" bestFit="1" customWidth="1"/>
    <col min="604" max="604" width="9" bestFit="1" customWidth="1"/>
    <col min="605" max="605" width="12" bestFit="1" customWidth="1"/>
    <col min="606" max="606" width="7.140625" bestFit="1" customWidth="1"/>
    <col min="607" max="607" width="12" bestFit="1" customWidth="1"/>
    <col min="608" max="608" width="8" bestFit="1" customWidth="1"/>
    <col min="609" max="609" width="7.140625" bestFit="1" customWidth="1"/>
    <col min="610" max="610" width="11" bestFit="1" customWidth="1"/>
    <col min="611" max="611" width="7.140625" bestFit="1" customWidth="1"/>
    <col min="612" max="612" width="12" bestFit="1" customWidth="1"/>
    <col min="613" max="613" width="9" bestFit="1" customWidth="1"/>
    <col min="614" max="615" width="7.140625" bestFit="1" customWidth="1"/>
    <col min="616" max="616" width="12" bestFit="1" customWidth="1"/>
    <col min="617" max="617" width="7.140625" bestFit="1" customWidth="1"/>
    <col min="618" max="618" width="8" bestFit="1" customWidth="1"/>
    <col min="619" max="620" width="12" bestFit="1" customWidth="1"/>
    <col min="621" max="621" width="8" bestFit="1" customWidth="1"/>
    <col min="622" max="622" width="10" bestFit="1" customWidth="1"/>
    <col min="623" max="624" width="7.140625" bestFit="1" customWidth="1"/>
    <col min="625" max="625" width="8" bestFit="1" customWidth="1"/>
    <col min="626" max="626" width="12" bestFit="1" customWidth="1"/>
    <col min="627" max="627" width="7.140625" bestFit="1" customWidth="1"/>
    <col min="628" max="628" width="12" bestFit="1" customWidth="1"/>
    <col min="629" max="631" width="7.140625" bestFit="1" customWidth="1"/>
    <col min="632" max="633" width="8" bestFit="1" customWidth="1"/>
    <col min="634" max="637" width="7.140625" bestFit="1" customWidth="1"/>
    <col min="638" max="638" width="12" bestFit="1" customWidth="1"/>
    <col min="639" max="639" width="7.140625" bestFit="1" customWidth="1"/>
    <col min="640" max="640" width="8.140625" bestFit="1" customWidth="1"/>
    <col min="641" max="641" width="9" bestFit="1" customWidth="1"/>
    <col min="642" max="644" width="7.140625" bestFit="1" customWidth="1"/>
    <col min="645" max="645" width="8" bestFit="1" customWidth="1"/>
    <col min="646" max="647" width="7.140625" bestFit="1" customWidth="1"/>
    <col min="648" max="648" width="12" bestFit="1" customWidth="1"/>
    <col min="649" max="649" width="7.140625" bestFit="1" customWidth="1"/>
    <col min="650" max="650" width="9" bestFit="1" customWidth="1"/>
    <col min="651" max="653" width="12" bestFit="1" customWidth="1"/>
    <col min="654" max="654" width="8" bestFit="1" customWidth="1"/>
    <col min="655" max="655" width="8.140625" bestFit="1" customWidth="1"/>
    <col min="656" max="656" width="10" bestFit="1" customWidth="1"/>
    <col min="657" max="658" width="7.140625" bestFit="1" customWidth="1"/>
    <col min="659" max="659" width="12" bestFit="1" customWidth="1"/>
    <col min="660" max="663" width="7.140625" bestFit="1" customWidth="1"/>
    <col min="664" max="664" width="12" bestFit="1" customWidth="1"/>
    <col min="665" max="666" width="7.140625" bestFit="1" customWidth="1"/>
    <col min="667" max="667" width="9" bestFit="1" customWidth="1"/>
    <col min="668" max="669" width="12" bestFit="1" customWidth="1"/>
    <col min="670" max="670" width="11" bestFit="1" customWidth="1"/>
    <col min="671" max="672" width="7.140625" bestFit="1" customWidth="1"/>
    <col min="673" max="673" width="12" bestFit="1" customWidth="1"/>
    <col min="674" max="674" width="11" bestFit="1" customWidth="1"/>
    <col min="675" max="675" width="12" bestFit="1" customWidth="1"/>
    <col min="676" max="676" width="7.140625" bestFit="1" customWidth="1"/>
    <col min="677" max="677" width="8" bestFit="1" customWidth="1"/>
    <col min="678" max="678" width="7.140625" bestFit="1" customWidth="1"/>
    <col min="679" max="679" width="9" bestFit="1" customWidth="1"/>
    <col min="680" max="680" width="8" bestFit="1" customWidth="1"/>
    <col min="681" max="681" width="12" bestFit="1" customWidth="1"/>
    <col min="682" max="682" width="11" bestFit="1" customWidth="1"/>
    <col min="683" max="683" width="8.140625" bestFit="1" customWidth="1"/>
    <col min="684" max="684" width="11" bestFit="1" customWidth="1"/>
    <col min="685" max="685" width="9" bestFit="1" customWidth="1"/>
    <col min="686" max="686" width="10" bestFit="1" customWidth="1"/>
    <col min="687" max="687" width="7.140625" bestFit="1" customWidth="1"/>
    <col min="688" max="692" width="12" bestFit="1" customWidth="1"/>
    <col min="693" max="693" width="7.140625" bestFit="1" customWidth="1"/>
    <col min="694" max="694" width="8.140625" bestFit="1" customWidth="1"/>
    <col min="695" max="695" width="12" bestFit="1" customWidth="1"/>
    <col min="696" max="696" width="8.140625" bestFit="1" customWidth="1"/>
    <col min="697" max="697" width="9" bestFit="1" customWidth="1"/>
    <col min="698" max="699" width="7.140625" bestFit="1" customWidth="1"/>
    <col min="700" max="700" width="9" bestFit="1" customWidth="1"/>
    <col min="701" max="701" width="8" bestFit="1" customWidth="1"/>
    <col min="702" max="703" width="11" bestFit="1" customWidth="1"/>
    <col min="704" max="705" width="9" bestFit="1" customWidth="1"/>
    <col min="706" max="706" width="7.140625" bestFit="1" customWidth="1"/>
    <col min="707" max="708" width="9" bestFit="1" customWidth="1"/>
    <col min="709" max="709" width="7.140625" bestFit="1" customWidth="1"/>
    <col min="710" max="710" width="9" bestFit="1" customWidth="1"/>
    <col min="711" max="711" width="12" bestFit="1" customWidth="1"/>
    <col min="712" max="712" width="8" bestFit="1" customWidth="1"/>
    <col min="713" max="713" width="9" bestFit="1" customWidth="1"/>
    <col min="714" max="714" width="12" bestFit="1" customWidth="1"/>
    <col min="715" max="715" width="7.140625" bestFit="1" customWidth="1"/>
    <col min="716" max="716" width="12" bestFit="1" customWidth="1"/>
    <col min="717" max="717" width="11" bestFit="1" customWidth="1"/>
    <col min="718" max="718" width="9" bestFit="1" customWidth="1"/>
    <col min="719" max="719" width="8.140625" bestFit="1" customWidth="1"/>
    <col min="720" max="721" width="8" bestFit="1" customWidth="1"/>
    <col min="722" max="722" width="9" bestFit="1" customWidth="1"/>
    <col min="723" max="723" width="8" bestFit="1" customWidth="1"/>
    <col min="724" max="724" width="7.140625" bestFit="1" customWidth="1"/>
    <col min="725" max="725" width="10" bestFit="1" customWidth="1"/>
    <col min="726" max="726" width="12" bestFit="1" customWidth="1"/>
    <col min="727" max="727" width="8" bestFit="1" customWidth="1"/>
    <col min="728" max="728" width="7.140625" bestFit="1" customWidth="1"/>
    <col min="729" max="730" width="9" bestFit="1" customWidth="1"/>
    <col min="731" max="731" width="12" bestFit="1" customWidth="1"/>
    <col min="732" max="732" width="7.140625" bestFit="1" customWidth="1"/>
    <col min="733" max="733" width="11" bestFit="1" customWidth="1"/>
    <col min="734" max="734" width="7.140625" bestFit="1" customWidth="1"/>
    <col min="735" max="735" width="8" bestFit="1" customWidth="1"/>
    <col min="736" max="736" width="7.7109375" bestFit="1" customWidth="1"/>
    <col min="737" max="737" width="9" bestFit="1" customWidth="1"/>
    <col min="738" max="739" width="12" bestFit="1" customWidth="1"/>
    <col min="740" max="740" width="9" bestFit="1" customWidth="1"/>
    <col min="741" max="741" width="8" bestFit="1" customWidth="1"/>
    <col min="742" max="742" width="7.140625" bestFit="1" customWidth="1"/>
    <col min="743" max="743" width="12" bestFit="1" customWidth="1"/>
    <col min="744" max="744" width="10" bestFit="1" customWidth="1"/>
    <col min="745" max="745" width="7.140625" bestFit="1" customWidth="1"/>
    <col min="746" max="746" width="11" bestFit="1" customWidth="1"/>
    <col min="747" max="747" width="9" bestFit="1" customWidth="1"/>
    <col min="748" max="748" width="11" bestFit="1" customWidth="1"/>
    <col min="749" max="749" width="12" bestFit="1" customWidth="1"/>
    <col min="750" max="750" width="8" bestFit="1" customWidth="1"/>
    <col min="751" max="751" width="8.140625" bestFit="1" customWidth="1"/>
    <col min="752" max="754" width="12" bestFit="1" customWidth="1"/>
    <col min="755" max="755" width="8.140625" bestFit="1" customWidth="1"/>
    <col min="756" max="757" width="7.140625" bestFit="1" customWidth="1"/>
    <col min="758" max="758" width="12" bestFit="1" customWidth="1"/>
    <col min="759" max="759" width="7.140625" bestFit="1" customWidth="1"/>
    <col min="760" max="760" width="12" bestFit="1" customWidth="1"/>
    <col min="761" max="761" width="7.140625" bestFit="1" customWidth="1"/>
    <col min="762" max="762" width="11" bestFit="1" customWidth="1"/>
    <col min="763" max="763" width="7.140625" bestFit="1" customWidth="1"/>
    <col min="764" max="764" width="11" bestFit="1" customWidth="1"/>
    <col min="765" max="767" width="7.140625" bestFit="1" customWidth="1"/>
    <col min="768" max="768" width="10" bestFit="1" customWidth="1"/>
    <col min="769" max="769" width="12" bestFit="1" customWidth="1"/>
    <col min="770" max="770" width="10" bestFit="1" customWidth="1"/>
    <col min="771" max="771" width="7.140625" bestFit="1" customWidth="1"/>
    <col min="772" max="772" width="8" bestFit="1" customWidth="1"/>
    <col min="773" max="774" width="12" bestFit="1" customWidth="1"/>
    <col min="775" max="775" width="7.140625" bestFit="1" customWidth="1"/>
    <col min="776" max="776" width="8.140625" bestFit="1" customWidth="1"/>
    <col min="777" max="779" width="7.140625" bestFit="1" customWidth="1"/>
    <col min="780" max="782" width="12" bestFit="1" customWidth="1"/>
    <col min="783" max="784" width="8" bestFit="1" customWidth="1"/>
    <col min="786" max="787" width="11" bestFit="1" customWidth="1"/>
    <col min="788" max="789" width="12" bestFit="1" customWidth="1"/>
    <col min="790" max="790" width="10" bestFit="1" customWidth="1"/>
    <col min="791" max="791" width="11" bestFit="1" customWidth="1"/>
    <col min="792" max="792" width="10" bestFit="1" customWidth="1"/>
    <col min="793" max="793" width="12" bestFit="1" customWidth="1"/>
    <col min="794" max="797" width="7.140625" bestFit="1" customWidth="1"/>
    <col min="798" max="799" width="12" bestFit="1" customWidth="1"/>
    <col min="800" max="800" width="8.140625" bestFit="1" customWidth="1"/>
    <col min="801" max="801" width="9" bestFit="1" customWidth="1"/>
    <col min="802" max="802" width="8.140625" bestFit="1" customWidth="1"/>
    <col min="803" max="805" width="12" bestFit="1" customWidth="1"/>
    <col min="806" max="806" width="9" bestFit="1" customWidth="1"/>
    <col min="807" max="807" width="12" bestFit="1" customWidth="1"/>
    <col min="808" max="808" width="8.140625" bestFit="1" customWidth="1"/>
    <col min="809" max="811" width="7.140625" bestFit="1" customWidth="1"/>
    <col min="812" max="815" width="12" bestFit="1" customWidth="1"/>
    <col min="816" max="816" width="11" bestFit="1" customWidth="1"/>
    <col min="817" max="817" width="7.140625" bestFit="1" customWidth="1"/>
    <col min="818" max="818" width="12" bestFit="1" customWidth="1"/>
    <col min="819" max="819" width="11" bestFit="1" customWidth="1"/>
    <col min="820" max="820" width="12" bestFit="1" customWidth="1"/>
    <col min="821" max="821" width="8" bestFit="1" customWidth="1"/>
    <col min="822" max="822" width="11" bestFit="1" customWidth="1"/>
    <col min="823" max="826" width="12" bestFit="1" customWidth="1"/>
    <col min="827" max="828" width="11" bestFit="1" customWidth="1"/>
    <col min="829" max="829" width="8.140625" bestFit="1" customWidth="1"/>
    <col min="830" max="830" width="7.140625" bestFit="1" customWidth="1"/>
    <col min="831" max="835" width="12" bestFit="1" customWidth="1"/>
    <col min="836" max="836" width="9" bestFit="1" customWidth="1"/>
    <col min="837" max="837" width="7.140625" bestFit="1" customWidth="1"/>
    <col min="838" max="839" width="12" bestFit="1" customWidth="1"/>
    <col min="840" max="841" width="7.140625" bestFit="1" customWidth="1"/>
    <col min="842" max="842" width="12" bestFit="1" customWidth="1"/>
    <col min="843" max="844" width="7.140625" bestFit="1" customWidth="1"/>
    <col min="845" max="845" width="12" bestFit="1" customWidth="1"/>
    <col min="846" max="846" width="7.140625" bestFit="1" customWidth="1"/>
    <col min="847" max="847" width="11" bestFit="1" customWidth="1"/>
    <col min="848" max="848" width="8" bestFit="1" customWidth="1"/>
    <col min="849" max="849" width="12" bestFit="1" customWidth="1"/>
    <col min="850" max="850" width="8.140625" bestFit="1" customWidth="1"/>
    <col min="851" max="856" width="12" bestFit="1" customWidth="1"/>
    <col min="857" max="857" width="7.140625" bestFit="1" customWidth="1"/>
    <col min="858" max="858" width="12" bestFit="1" customWidth="1"/>
    <col min="859" max="859" width="7.140625" bestFit="1" customWidth="1"/>
    <col min="860" max="860" width="9" bestFit="1" customWidth="1"/>
    <col min="861" max="863" width="12" bestFit="1" customWidth="1"/>
    <col min="864" max="864" width="11" bestFit="1" customWidth="1"/>
    <col min="865" max="865" width="9" bestFit="1" customWidth="1"/>
    <col min="866" max="866" width="7.140625" bestFit="1" customWidth="1"/>
    <col min="867" max="867" width="11" bestFit="1" customWidth="1"/>
    <col min="868" max="868" width="7.140625" bestFit="1" customWidth="1"/>
    <col min="869" max="871" width="12" bestFit="1" customWidth="1"/>
    <col min="872" max="872" width="10" bestFit="1" customWidth="1"/>
    <col min="873" max="873" width="11" bestFit="1" customWidth="1"/>
    <col min="874" max="874" width="12" bestFit="1" customWidth="1"/>
    <col min="875" max="875" width="7.140625" bestFit="1" customWidth="1"/>
    <col min="876" max="876" width="9" bestFit="1" customWidth="1"/>
    <col min="877" max="878" width="12" bestFit="1" customWidth="1"/>
    <col min="879" max="879" width="8" bestFit="1" customWidth="1"/>
    <col min="880" max="880" width="12" bestFit="1" customWidth="1"/>
    <col min="881" max="881" width="8.140625" bestFit="1" customWidth="1"/>
    <col min="882" max="884" width="12" bestFit="1" customWidth="1"/>
    <col min="885" max="885" width="8.140625" bestFit="1" customWidth="1"/>
    <col min="886" max="886" width="12" bestFit="1" customWidth="1"/>
    <col min="887" max="887" width="9" bestFit="1" customWidth="1"/>
    <col min="888" max="888" width="12" bestFit="1" customWidth="1"/>
    <col min="889" max="889" width="9" bestFit="1" customWidth="1"/>
    <col min="890" max="890" width="8" bestFit="1" customWidth="1"/>
    <col min="891" max="891" width="8.140625" bestFit="1" customWidth="1"/>
    <col min="892" max="892" width="10" bestFit="1" customWidth="1"/>
    <col min="893" max="893" width="12" bestFit="1" customWidth="1"/>
    <col min="894" max="894" width="7.140625" bestFit="1" customWidth="1"/>
    <col min="895" max="895" width="8.140625" bestFit="1" customWidth="1"/>
    <col min="896" max="896" width="11" bestFit="1" customWidth="1"/>
    <col min="897" max="897" width="7.140625" bestFit="1" customWidth="1"/>
    <col min="898" max="902" width="12" bestFit="1" customWidth="1"/>
    <col min="903" max="903" width="7.140625" bestFit="1" customWidth="1"/>
    <col min="904" max="905" width="12" bestFit="1" customWidth="1"/>
    <col min="906" max="906" width="7.140625" bestFit="1" customWidth="1"/>
    <col min="907" max="908" width="12" bestFit="1" customWidth="1"/>
    <col min="909" max="909" width="7.140625" bestFit="1" customWidth="1"/>
    <col min="910" max="910" width="12" bestFit="1" customWidth="1"/>
    <col min="911" max="911" width="7.7109375" bestFit="1" customWidth="1"/>
    <col min="912" max="912" width="13.28515625" bestFit="1" customWidth="1"/>
    <col min="913" max="913" width="9" bestFit="1" customWidth="1"/>
    <col min="914" max="915" width="8" bestFit="1" customWidth="1"/>
    <col min="916" max="916" width="8.140625" bestFit="1" customWidth="1"/>
    <col min="917" max="917" width="7.140625" bestFit="1" customWidth="1"/>
    <col min="918" max="919" width="9" bestFit="1" customWidth="1"/>
    <col min="920" max="920" width="11" bestFit="1" customWidth="1"/>
    <col min="921" max="923" width="8" bestFit="1" customWidth="1"/>
    <col min="924" max="924" width="12" bestFit="1" customWidth="1"/>
    <col min="925" max="925" width="10" bestFit="1" customWidth="1"/>
    <col min="926" max="926" width="7.140625" bestFit="1" customWidth="1"/>
    <col min="927" max="928" width="8" bestFit="1" customWidth="1"/>
    <col min="929" max="929" width="7.140625" bestFit="1" customWidth="1"/>
    <col min="930" max="930" width="8" bestFit="1" customWidth="1"/>
    <col min="931" max="931" width="7.140625" bestFit="1" customWidth="1"/>
    <col min="932" max="932" width="9" bestFit="1" customWidth="1"/>
    <col min="933" max="933" width="7.140625" bestFit="1" customWidth="1"/>
    <col min="934" max="934" width="10" bestFit="1" customWidth="1"/>
    <col min="935" max="936" width="9" bestFit="1" customWidth="1"/>
    <col min="937" max="937" width="11" bestFit="1" customWidth="1"/>
    <col min="938" max="941" width="12" bestFit="1" customWidth="1"/>
    <col min="942" max="942" width="8" bestFit="1" customWidth="1"/>
    <col min="943" max="943" width="9" bestFit="1" customWidth="1"/>
    <col min="944" max="944" width="7.140625" bestFit="1" customWidth="1"/>
    <col min="945" max="945" width="8" bestFit="1" customWidth="1"/>
    <col min="946" max="946" width="12" bestFit="1" customWidth="1"/>
    <col min="947" max="947" width="7.140625" bestFit="1" customWidth="1"/>
    <col min="948" max="952" width="8" bestFit="1" customWidth="1"/>
    <col min="953" max="953" width="9" bestFit="1" customWidth="1"/>
    <col min="954" max="954" width="7.140625" bestFit="1" customWidth="1"/>
    <col min="955" max="955" width="8" bestFit="1" customWidth="1"/>
    <col min="956" max="956" width="8.140625" bestFit="1" customWidth="1"/>
    <col min="957" max="957" width="11" bestFit="1" customWidth="1"/>
    <col min="958" max="958" width="12" bestFit="1" customWidth="1"/>
    <col min="959" max="960" width="8" bestFit="1" customWidth="1"/>
    <col min="961" max="961" width="7.140625" bestFit="1" customWidth="1"/>
    <col min="962" max="962" width="8" bestFit="1" customWidth="1"/>
    <col min="963" max="963" width="8.140625" bestFit="1" customWidth="1"/>
    <col min="964" max="964" width="8" bestFit="1" customWidth="1"/>
    <col min="965" max="965" width="7.140625" bestFit="1" customWidth="1"/>
    <col min="966" max="966" width="8" bestFit="1" customWidth="1"/>
    <col min="967" max="967" width="7.140625" bestFit="1" customWidth="1"/>
    <col min="968" max="968" width="8" bestFit="1" customWidth="1"/>
    <col min="969" max="969" width="10" bestFit="1" customWidth="1"/>
    <col min="970" max="970" width="7.140625" bestFit="1" customWidth="1"/>
    <col min="971" max="971" width="11" bestFit="1" customWidth="1"/>
    <col min="972" max="972" width="8" bestFit="1" customWidth="1"/>
    <col min="973" max="973" width="7.140625" bestFit="1" customWidth="1"/>
    <col min="974" max="974" width="12" bestFit="1" customWidth="1"/>
    <col min="975" max="976" width="8.140625" bestFit="1" customWidth="1"/>
    <col min="977" max="977" width="7.140625" bestFit="1" customWidth="1"/>
    <col min="978" max="978" width="12" bestFit="1" customWidth="1"/>
    <col min="979" max="979" width="7.140625" bestFit="1" customWidth="1"/>
    <col min="980" max="980" width="8.140625" bestFit="1" customWidth="1"/>
    <col min="981" max="981" width="8" bestFit="1" customWidth="1"/>
    <col min="982" max="984" width="7.140625" bestFit="1" customWidth="1"/>
    <col min="985" max="988" width="8.140625" bestFit="1" customWidth="1"/>
    <col min="989" max="989" width="7.140625" bestFit="1" customWidth="1"/>
    <col min="990" max="993" width="8.140625" bestFit="1" customWidth="1"/>
    <col min="994" max="994" width="11" bestFit="1" customWidth="1"/>
    <col min="995" max="995" width="12" bestFit="1" customWidth="1"/>
    <col min="996" max="996" width="7.140625" bestFit="1" customWidth="1"/>
    <col min="997" max="997" width="8.140625" bestFit="1" customWidth="1"/>
    <col min="998" max="998" width="8" bestFit="1" customWidth="1"/>
    <col min="999" max="999" width="7.140625" bestFit="1" customWidth="1"/>
    <col min="1000" max="1000" width="12" bestFit="1" customWidth="1"/>
    <col min="1001" max="1001" width="8.140625" bestFit="1" customWidth="1"/>
    <col min="1002" max="1003" width="7.140625" bestFit="1" customWidth="1"/>
    <col min="1004" max="1004" width="9" bestFit="1" customWidth="1"/>
    <col min="1005" max="1005" width="12" bestFit="1" customWidth="1"/>
    <col min="1006" max="1006" width="8" bestFit="1" customWidth="1"/>
    <col min="1007" max="1007" width="12" bestFit="1" customWidth="1"/>
    <col min="1008" max="1009" width="8.140625" bestFit="1" customWidth="1"/>
    <col min="1010" max="1010" width="9" bestFit="1" customWidth="1"/>
    <col min="1011" max="1011" width="7.140625" bestFit="1" customWidth="1"/>
    <col min="1012" max="1013" width="8" bestFit="1" customWidth="1"/>
    <col min="1014" max="1014" width="7.140625" bestFit="1" customWidth="1"/>
    <col min="1015" max="1015" width="8.140625" bestFit="1" customWidth="1"/>
    <col min="1016" max="1016" width="10" bestFit="1" customWidth="1"/>
    <col min="1017" max="1017" width="8.140625" bestFit="1" customWidth="1"/>
    <col min="1018" max="1018" width="8" bestFit="1" customWidth="1"/>
    <col min="1019" max="1019" width="12" bestFit="1" customWidth="1"/>
    <col min="1020" max="1020" width="7.140625" bestFit="1" customWidth="1"/>
    <col min="1021" max="1022" width="8.140625" bestFit="1" customWidth="1"/>
    <col min="1023" max="1024" width="10" bestFit="1" customWidth="1"/>
    <col min="1025" max="1026" width="8" bestFit="1" customWidth="1"/>
    <col min="1027" max="1027" width="8.140625" bestFit="1" customWidth="1"/>
    <col min="1028" max="1028" width="8" bestFit="1" customWidth="1"/>
    <col min="1029" max="1030" width="12" bestFit="1" customWidth="1"/>
    <col min="1031" max="1032" width="7.140625" bestFit="1" customWidth="1"/>
    <col min="1033" max="1033" width="12" bestFit="1" customWidth="1"/>
    <col min="1034" max="1034" width="8.140625" bestFit="1" customWidth="1"/>
    <col min="1035" max="1035" width="12" bestFit="1" customWidth="1"/>
    <col min="1036" max="1037" width="8" bestFit="1" customWidth="1"/>
    <col min="1038" max="1038" width="9" bestFit="1" customWidth="1"/>
    <col min="1039" max="1040" width="8.140625" bestFit="1" customWidth="1"/>
    <col min="1041" max="1041" width="12" bestFit="1" customWidth="1"/>
    <col min="1042" max="1043" width="8.140625" bestFit="1" customWidth="1"/>
    <col min="1044" max="1045" width="7.140625" bestFit="1" customWidth="1"/>
    <col min="1046" max="1046" width="8" bestFit="1" customWidth="1"/>
    <col min="1047" max="1047" width="9" bestFit="1" customWidth="1"/>
    <col min="1048" max="1048" width="12" bestFit="1" customWidth="1"/>
    <col min="1049" max="1049" width="8.140625" bestFit="1" customWidth="1"/>
    <col min="1050" max="1050" width="7.140625" bestFit="1" customWidth="1"/>
    <col min="1051" max="1051" width="9" bestFit="1" customWidth="1"/>
    <col min="1052" max="1052" width="11" bestFit="1" customWidth="1"/>
    <col min="1053" max="1053" width="9" bestFit="1" customWidth="1"/>
    <col min="1054" max="1054" width="12" bestFit="1" customWidth="1"/>
    <col min="1055" max="1055" width="8" bestFit="1" customWidth="1"/>
    <col min="1056" max="1056" width="7.140625" bestFit="1" customWidth="1"/>
    <col min="1057" max="1058" width="8.140625" bestFit="1" customWidth="1"/>
    <col min="1059" max="1059" width="9" bestFit="1" customWidth="1"/>
    <col min="1060" max="1060" width="12" bestFit="1" customWidth="1"/>
    <col min="1061" max="1061" width="7.140625" bestFit="1" customWidth="1"/>
    <col min="1062" max="1062" width="12" bestFit="1" customWidth="1"/>
    <col min="1063" max="1064" width="8.140625" bestFit="1" customWidth="1"/>
    <col min="1065" max="1065" width="11" bestFit="1" customWidth="1"/>
    <col min="1066" max="1066" width="8.140625" bestFit="1" customWidth="1"/>
    <col min="1067" max="1067" width="12" bestFit="1" customWidth="1"/>
    <col min="1068" max="1068" width="9" bestFit="1" customWidth="1"/>
    <col min="1069" max="1069" width="7.140625" bestFit="1" customWidth="1"/>
    <col min="1070" max="1070" width="8.140625" bestFit="1" customWidth="1"/>
    <col min="1071" max="1071" width="12" bestFit="1" customWidth="1"/>
    <col min="1072" max="1072" width="8.140625" bestFit="1" customWidth="1"/>
    <col min="1073" max="1073" width="8" bestFit="1" customWidth="1"/>
    <col min="1074" max="1075" width="12" bestFit="1" customWidth="1"/>
    <col min="1076" max="1076" width="8" bestFit="1" customWidth="1"/>
    <col min="1077" max="1077" width="10" bestFit="1" customWidth="1"/>
    <col min="1078" max="1078" width="7.140625" bestFit="1" customWidth="1"/>
    <col min="1079" max="1080" width="8.140625" bestFit="1" customWidth="1"/>
    <col min="1081" max="1081" width="12" bestFit="1" customWidth="1"/>
    <col min="1082" max="1082" width="8.140625" bestFit="1" customWidth="1"/>
    <col min="1083" max="1083" width="12" bestFit="1" customWidth="1"/>
    <col min="1084" max="1085" width="7.140625" bestFit="1" customWidth="1"/>
    <col min="1086" max="1086" width="8.140625" bestFit="1" customWidth="1"/>
    <col min="1087" max="1088" width="8" bestFit="1" customWidth="1"/>
    <col min="1089" max="1090" width="7.140625" bestFit="1" customWidth="1"/>
    <col min="1091" max="1092" width="8.140625" bestFit="1" customWidth="1"/>
    <col min="1093" max="1093" width="12" bestFit="1" customWidth="1"/>
    <col min="1094" max="1095" width="7.140625" bestFit="1" customWidth="1"/>
    <col min="1096" max="1096" width="9" bestFit="1" customWidth="1"/>
    <col min="1097" max="1097" width="7.140625" bestFit="1" customWidth="1"/>
    <col min="1098" max="1098" width="8.140625" bestFit="1" customWidth="1"/>
    <col min="1099" max="1099" width="7.140625" bestFit="1" customWidth="1"/>
    <col min="1100" max="1100" width="8" bestFit="1" customWidth="1"/>
    <col min="1101" max="1101" width="7.140625" bestFit="1" customWidth="1"/>
    <col min="1102" max="1102" width="8.140625" bestFit="1" customWidth="1"/>
    <col min="1103" max="1103" width="12" bestFit="1" customWidth="1"/>
    <col min="1104" max="1104" width="8.140625" bestFit="1" customWidth="1"/>
    <col min="1105" max="1105" width="9" bestFit="1" customWidth="1"/>
    <col min="1106" max="1108" width="12" bestFit="1" customWidth="1"/>
    <col min="1109" max="1109" width="8" bestFit="1" customWidth="1"/>
    <col min="1110" max="1110" width="7.140625" bestFit="1" customWidth="1"/>
    <col min="1111" max="1111" width="10" bestFit="1" customWidth="1"/>
    <col min="1112" max="1113" width="8.140625" bestFit="1" customWidth="1"/>
    <col min="1114" max="1114" width="12" bestFit="1" customWidth="1"/>
    <col min="1115" max="1115" width="7.140625" bestFit="1" customWidth="1"/>
    <col min="1116" max="1118" width="8.140625" bestFit="1" customWidth="1"/>
    <col min="1119" max="1119" width="12" bestFit="1" customWidth="1"/>
    <col min="1120" max="1120" width="8.140625" bestFit="1" customWidth="1"/>
    <col min="1121" max="1121" width="7.140625" bestFit="1" customWidth="1"/>
    <col min="1122" max="1122" width="9" bestFit="1" customWidth="1"/>
    <col min="1123" max="1124" width="12" bestFit="1" customWidth="1"/>
    <col min="1125" max="1125" width="11" bestFit="1" customWidth="1"/>
    <col min="1126" max="1126" width="7.140625" bestFit="1" customWidth="1"/>
    <col min="1127" max="1127" width="8.140625" bestFit="1" customWidth="1"/>
    <col min="1128" max="1128" width="12" bestFit="1" customWidth="1"/>
    <col min="1129" max="1129" width="11" bestFit="1" customWidth="1"/>
    <col min="1130" max="1130" width="12" bestFit="1" customWidth="1"/>
    <col min="1131" max="1131" width="8.140625" bestFit="1" customWidth="1"/>
    <col min="1132" max="1132" width="8" bestFit="1" customWidth="1"/>
    <col min="1133" max="1133" width="7.140625" bestFit="1" customWidth="1"/>
    <col min="1134" max="1134" width="9" bestFit="1" customWidth="1"/>
    <col min="1135" max="1135" width="8" bestFit="1" customWidth="1"/>
    <col min="1136" max="1136" width="12" bestFit="1" customWidth="1"/>
    <col min="1137" max="1137" width="11" bestFit="1" customWidth="1"/>
    <col min="1138" max="1138" width="7.140625" bestFit="1" customWidth="1"/>
    <col min="1139" max="1139" width="11" bestFit="1" customWidth="1"/>
    <col min="1140" max="1140" width="9" bestFit="1" customWidth="1"/>
    <col min="1141" max="1141" width="10" bestFit="1" customWidth="1"/>
    <col min="1142" max="1142" width="8.140625" bestFit="1" customWidth="1"/>
    <col min="1143" max="1147" width="12" bestFit="1" customWidth="1"/>
    <col min="1148" max="1148" width="7.140625" bestFit="1" customWidth="1"/>
    <col min="1149" max="1149" width="8.140625" bestFit="1" customWidth="1"/>
    <col min="1150" max="1150" width="12" bestFit="1" customWidth="1"/>
    <col min="1151" max="1151" width="8.140625" bestFit="1" customWidth="1"/>
    <col min="1152" max="1152" width="9" bestFit="1" customWidth="1"/>
    <col min="1153" max="1154" width="8.140625" bestFit="1" customWidth="1"/>
    <col min="1155" max="1155" width="9" bestFit="1" customWidth="1"/>
    <col min="1156" max="1156" width="8.140625" bestFit="1" customWidth="1"/>
    <col min="1157" max="1158" width="11" bestFit="1" customWidth="1"/>
    <col min="1159" max="1160" width="9" bestFit="1" customWidth="1"/>
    <col min="1161" max="1161" width="8.140625" bestFit="1" customWidth="1"/>
    <col min="1162" max="1163" width="9" bestFit="1" customWidth="1"/>
    <col min="1164" max="1164" width="8.140625" bestFit="1" customWidth="1"/>
    <col min="1165" max="1165" width="9" bestFit="1" customWidth="1"/>
    <col min="1166" max="1166" width="12" bestFit="1" customWidth="1"/>
    <col min="1167" max="1167" width="8.140625" bestFit="1" customWidth="1"/>
    <col min="1168" max="1168" width="9" bestFit="1" customWidth="1"/>
    <col min="1169" max="1169" width="12" bestFit="1" customWidth="1"/>
    <col min="1170" max="1170" width="7.140625" bestFit="1" customWidth="1"/>
    <col min="1171" max="1171" width="12" bestFit="1" customWidth="1"/>
    <col min="1172" max="1172" width="11" bestFit="1" customWidth="1"/>
    <col min="1173" max="1173" width="9" bestFit="1" customWidth="1"/>
    <col min="1174" max="1176" width="8.140625" bestFit="1" customWidth="1"/>
    <col min="1177" max="1177" width="9" bestFit="1" customWidth="1"/>
    <col min="1178" max="1179" width="8.140625" bestFit="1" customWidth="1"/>
    <col min="1180" max="1180" width="10" bestFit="1" customWidth="1"/>
    <col min="1181" max="1181" width="12" bestFit="1" customWidth="1"/>
    <col min="1182" max="1183" width="8.140625" bestFit="1" customWidth="1"/>
    <col min="1184" max="1185" width="9" bestFit="1" customWidth="1"/>
    <col min="1186" max="1186" width="12" bestFit="1" customWidth="1"/>
    <col min="1187" max="1187" width="8.140625" bestFit="1" customWidth="1"/>
    <col min="1188" max="1188" width="11" bestFit="1" customWidth="1"/>
    <col min="1189" max="1191" width="8.140625" bestFit="1" customWidth="1"/>
    <col min="1192" max="1192" width="9" bestFit="1" customWidth="1"/>
    <col min="1193" max="1194" width="12" bestFit="1" customWidth="1"/>
    <col min="1195" max="1195" width="9" bestFit="1" customWidth="1"/>
    <col min="1196" max="1197" width="8.140625" bestFit="1" customWidth="1"/>
    <col min="1198" max="1198" width="12" bestFit="1" customWidth="1"/>
    <col min="1199" max="1199" width="10" bestFit="1" customWidth="1"/>
    <col min="1200" max="1200" width="8.140625" bestFit="1" customWidth="1"/>
    <col min="1201" max="1201" width="11" bestFit="1" customWidth="1"/>
    <col min="1202" max="1202" width="9" bestFit="1" customWidth="1"/>
    <col min="1203" max="1203" width="11" bestFit="1" customWidth="1"/>
    <col min="1204" max="1204" width="12" bestFit="1" customWidth="1"/>
    <col min="1205" max="1206" width="8.140625" bestFit="1" customWidth="1"/>
    <col min="1207" max="1209" width="12" bestFit="1" customWidth="1"/>
    <col min="1210" max="1212" width="8.140625" bestFit="1" customWidth="1"/>
    <col min="1213" max="1213" width="12" bestFit="1" customWidth="1"/>
    <col min="1214" max="1214" width="8.140625" bestFit="1" customWidth="1"/>
    <col min="1215" max="1215" width="12" bestFit="1" customWidth="1"/>
    <col min="1216" max="1216" width="8.140625" bestFit="1" customWidth="1"/>
    <col min="1217" max="1217" width="11" bestFit="1" customWidth="1"/>
    <col min="1218" max="1218" width="8.140625" bestFit="1" customWidth="1"/>
    <col min="1219" max="1219" width="11" bestFit="1" customWidth="1"/>
    <col min="1220" max="1222" width="8.140625" bestFit="1" customWidth="1"/>
    <col min="1223" max="1223" width="10" bestFit="1" customWidth="1"/>
    <col min="1224" max="1224" width="12" bestFit="1" customWidth="1"/>
    <col min="1225" max="1225" width="10" bestFit="1" customWidth="1"/>
    <col min="1226" max="1227" width="8.140625" bestFit="1" customWidth="1"/>
    <col min="1228" max="1229" width="12" bestFit="1" customWidth="1"/>
    <col min="1230" max="1232" width="8.140625" bestFit="1" customWidth="1"/>
    <col min="1233" max="1233" width="7.140625" bestFit="1" customWidth="1"/>
    <col min="1234" max="1234" width="8.140625" bestFit="1" customWidth="1"/>
    <col min="1235" max="1237" width="12" bestFit="1" customWidth="1"/>
    <col min="1238" max="1240" width="8.140625" bestFit="1" customWidth="1"/>
    <col min="1241" max="1242" width="11" bestFit="1" customWidth="1"/>
    <col min="1243" max="1244" width="12" bestFit="1" customWidth="1"/>
    <col min="1245" max="1245" width="10" bestFit="1" customWidth="1"/>
    <col min="1246" max="1246" width="11" bestFit="1" customWidth="1"/>
    <col min="1247" max="1247" width="10" bestFit="1" customWidth="1"/>
    <col min="1248" max="1248" width="12" bestFit="1" customWidth="1"/>
    <col min="1249" max="1252" width="8.140625" bestFit="1" customWidth="1"/>
    <col min="1253" max="1254" width="12" bestFit="1" customWidth="1"/>
    <col min="1255" max="1255" width="8.140625" bestFit="1" customWidth="1"/>
    <col min="1256" max="1256" width="9" bestFit="1" customWidth="1"/>
    <col min="1257" max="1257" width="8.140625" bestFit="1" customWidth="1"/>
    <col min="1258" max="1260" width="12" bestFit="1" customWidth="1"/>
    <col min="1261" max="1261" width="9" bestFit="1" customWidth="1"/>
    <col min="1262" max="1262" width="12" bestFit="1" customWidth="1"/>
    <col min="1263" max="1266" width="8.140625" bestFit="1" customWidth="1"/>
    <col min="1267" max="1270" width="12" bestFit="1" customWidth="1"/>
    <col min="1271" max="1271" width="11" bestFit="1" customWidth="1"/>
    <col min="1272" max="1272" width="8.140625" bestFit="1" customWidth="1"/>
    <col min="1273" max="1273" width="12" bestFit="1" customWidth="1"/>
    <col min="1274" max="1274" width="11" bestFit="1" customWidth="1"/>
    <col min="1275" max="1275" width="12" bestFit="1" customWidth="1"/>
    <col min="1276" max="1276" width="8.140625" bestFit="1" customWidth="1"/>
    <col min="1277" max="1277" width="11" bestFit="1" customWidth="1"/>
    <col min="1278" max="1281" width="12" bestFit="1" customWidth="1"/>
    <col min="1282" max="1283" width="11" bestFit="1" customWidth="1"/>
    <col min="1284" max="1285" width="8.140625" bestFit="1" customWidth="1"/>
    <col min="1286" max="1290" width="12" bestFit="1" customWidth="1"/>
    <col min="1291" max="1291" width="9" bestFit="1" customWidth="1"/>
    <col min="1292" max="1292" width="8.140625" bestFit="1" customWidth="1"/>
    <col min="1293" max="1294" width="12" bestFit="1" customWidth="1"/>
    <col min="1295" max="1296" width="8.140625" bestFit="1" customWidth="1"/>
    <col min="1297" max="1297" width="12" bestFit="1" customWidth="1"/>
    <col min="1298" max="1299" width="8.140625" bestFit="1" customWidth="1"/>
    <col min="1300" max="1300" width="12" bestFit="1" customWidth="1"/>
    <col min="1301" max="1301" width="8.140625" bestFit="1" customWidth="1"/>
    <col min="1302" max="1302" width="11" bestFit="1" customWidth="1"/>
    <col min="1303" max="1303" width="8.140625" bestFit="1" customWidth="1"/>
    <col min="1304" max="1304" width="12" bestFit="1" customWidth="1"/>
    <col min="1305" max="1305" width="8.140625" bestFit="1" customWidth="1"/>
    <col min="1306" max="1311" width="12" bestFit="1" customWidth="1"/>
    <col min="1312" max="1312" width="8.140625" bestFit="1" customWidth="1"/>
    <col min="1313" max="1313" width="12" bestFit="1" customWidth="1"/>
    <col min="1314" max="1314" width="8.140625" bestFit="1" customWidth="1"/>
    <col min="1315" max="1315" width="9" bestFit="1" customWidth="1"/>
    <col min="1316" max="1318" width="12" bestFit="1" customWidth="1"/>
    <col min="1319" max="1319" width="11" bestFit="1" customWidth="1"/>
    <col min="1320" max="1320" width="9" bestFit="1" customWidth="1"/>
    <col min="1321" max="1321" width="8.140625" bestFit="1" customWidth="1"/>
    <col min="1322" max="1322" width="11" bestFit="1" customWidth="1"/>
    <col min="1323" max="1323" width="8.140625" bestFit="1" customWidth="1"/>
    <col min="1324" max="1326" width="12" bestFit="1" customWidth="1"/>
    <col min="1327" max="1327" width="10" bestFit="1" customWidth="1"/>
    <col min="1328" max="1328" width="11" bestFit="1" customWidth="1"/>
    <col min="1329" max="1329" width="12" bestFit="1" customWidth="1"/>
    <col min="1330" max="1330" width="8.140625" bestFit="1" customWidth="1"/>
    <col min="1331" max="1331" width="9" bestFit="1" customWidth="1"/>
    <col min="1332" max="1333" width="12" bestFit="1" customWidth="1"/>
    <col min="1334" max="1334" width="8.140625" bestFit="1" customWidth="1"/>
    <col min="1335" max="1335" width="12" bestFit="1" customWidth="1"/>
    <col min="1336" max="1336" width="8.140625" bestFit="1" customWidth="1"/>
    <col min="1337" max="1339" width="12" bestFit="1" customWidth="1"/>
    <col min="1340" max="1340" width="7.140625" bestFit="1" customWidth="1"/>
    <col min="1341" max="1341" width="12" bestFit="1" customWidth="1"/>
    <col min="1342" max="1342" width="9" bestFit="1" customWidth="1"/>
    <col min="1343" max="1343" width="12" bestFit="1" customWidth="1"/>
    <col min="1344" max="1344" width="9" bestFit="1" customWidth="1"/>
    <col min="1345" max="1346" width="8.140625" bestFit="1" customWidth="1"/>
    <col min="1347" max="1347" width="10" bestFit="1" customWidth="1"/>
    <col min="1348" max="1348" width="12" bestFit="1" customWidth="1"/>
    <col min="1349" max="1350" width="8.140625" bestFit="1" customWidth="1"/>
    <col min="1351" max="1351" width="11" bestFit="1" customWidth="1"/>
    <col min="1352" max="1352" width="8.140625" bestFit="1" customWidth="1"/>
    <col min="1353" max="1357" width="12" bestFit="1" customWidth="1"/>
    <col min="1358" max="1358" width="8.140625" bestFit="1" customWidth="1"/>
    <col min="1359" max="1360" width="12" bestFit="1" customWidth="1"/>
    <col min="1361" max="1361" width="8.140625" bestFit="1" customWidth="1"/>
    <col min="1362" max="1363" width="12" bestFit="1" customWidth="1"/>
    <col min="1364" max="1364" width="8.140625" bestFit="1" customWidth="1"/>
    <col min="1365" max="1365" width="12" bestFit="1" customWidth="1"/>
    <col min="1366" max="1366" width="8.140625" bestFit="1" customWidth="1"/>
    <col min="1367" max="1367" width="7.7109375" bestFit="1" customWidth="1"/>
    <col min="1368" max="1368" width="9" bestFit="1" customWidth="1"/>
    <col min="1369" max="1370" width="8" bestFit="1" customWidth="1"/>
    <col min="1371" max="1371" width="6.140625" bestFit="1" customWidth="1"/>
    <col min="1372" max="1372" width="7" bestFit="1" customWidth="1"/>
    <col min="1373" max="1374" width="9" bestFit="1" customWidth="1"/>
    <col min="1375" max="1375" width="11" bestFit="1" customWidth="1"/>
    <col min="1376" max="1378" width="8" bestFit="1" customWidth="1"/>
    <col min="1379" max="1379" width="12" bestFit="1" customWidth="1"/>
    <col min="1380" max="1380" width="10" bestFit="1" customWidth="1"/>
    <col min="1381" max="1381" width="6.140625" bestFit="1" customWidth="1"/>
    <col min="1382" max="1383" width="8" bestFit="1" customWidth="1"/>
    <col min="1384" max="1384" width="7" bestFit="1" customWidth="1"/>
    <col min="1385" max="1385" width="8" bestFit="1" customWidth="1"/>
    <col min="1386" max="1386" width="7" bestFit="1" customWidth="1"/>
    <col min="1387" max="1387" width="9" bestFit="1" customWidth="1"/>
    <col min="1388" max="1388" width="7" bestFit="1" customWidth="1"/>
    <col min="1389" max="1389" width="10" bestFit="1" customWidth="1"/>
    <col min="1390" max="1391" width="9" bestFit="1" customWidth="1"/>
    <col min="1392" max="1392" width="11" bestFit="1" customWidth="1"/>
    <col min="1393" max="1396" width="12" bestFit="1" customWidth="1"/>
    <col min="1397" max="1397" width="8" bestFit="1" customWidth="1"/>
    <col min="1398" max="1398" width="9" bestFit="1" customWidth="1"/>
    <col min="1399" max="1399" width="6.140625" bestFit="1" customWidth="1"/>
    <col min="1400" max="1400" width="8" bestFit="1" customWidth="1"/>
    <col min="1401" max="1401" width="12" bestFit="1" customWidth="1"/>
    <col min="1402" max="1402" width="7" bestFit="1" customWidth="1"/>
    <col min="1403" max="1407" width="8" bestFit="1" customWidth="1"/>
    <col min="1408" max="1408" width="9" bestFit="1" customWidth="1"/>
    <col min="1409" max="1409" width="7" bestFit="1" customWidth="1"/>
    <col min="1410" max="1411" width="8" bestFit="1" customWidth="1"/>
    <col min="1412" max="1412" width="11" bestFit="1" customWidth="1"/>
    <col min="1413" max="1413" width="12" bestFit="1" customWidth="1"/>
    <col min="1414" max="1415" width="8" bestFit="1" customWidth="1"/>
    <col min="1416" max="1416" width="7" bestFit="1" customWidth="1"/>
    <col min="1417" max="1419" width="8" bestFit="1" customWidth="1"/>
    <col min="1420" max="1420" width="6.140625" bestFit="1" customWidth="1"/>
    <col min="1421" max="1421" width="8" bestFit="1" customWidth="1"/>
    <col min="1422" max="1422" width="7" bestFit="1" customWidth="1"/>
    <col min="1423" max="1423" width="8" bestFit="1" customWidth="1"/>
    <col min="1424" max="1424" width="10" bestFit="1" customWidth="1"/>
    <col min="1425" max="1425" width="7" bestFit="1" customWidth="1"/>
    <col min="1426" max="1426" width="11" bestFit="1" customWidth="1"/>
    <col min="1427" max="1427" width="8" bestFit="1" customWidth="1"/>
    <col min="1428" max="1428" width="7" bestFit="1" customWidth="1"/>
    <col min="1429" max="1429" width="12" bestFit="1" customWidth="1"/>
    <col min="1430" max="1430" width="6.140625" bestFit="1" customWidth="1"/>
    <col min="1431" max="1431" width="8" bestFit="1" customWidth="1"/>
    <col min="1432" max="1432" width="7" bestFit="1" customWidth="1"/>
    <col min="1433" max="1433" width="12" bestFit="1" customWidth="1"/>
    <col min="1434" max="1434" width="7" bestFit="1" customWidth="1"/>
    <col min="1435" max="1435" width="6.140625" bestFit="1" customWidth="1"/>
    <col min="1436" max="1436" width="8" bestFit="1" customWidth="1"/>
    <col min="1437" max="1437" width="7" bestFit="1" customWidth="1"/>
    <col min="1438" max="1438" width="6.140625" bestFit="1" customWidth="1"/>
    <col min="1439" max="1439" width="7" bestFit="1" customWidth="1"/>
    <col min="1440" max="1440" width="8" bestFit="1" customWidth="1"/>
    <col min="1441" max="1441" width="6.140625" bestFit="1" customWidth="1"/>
    <col min="1442" max="1442" width="8" bestFit="1" customWidth="1"/>
    <col min="1443" max="1443" width="6.140625" bestFit="1" customWidth="1"/>
    <col min="1444" max="1448" width="7" bestFit="1" customWidth="1"/>
    <col min="1449" max="1449" width="11" bestFit="1" customWidth="1"/>
    <col min="1450" max="1450" width="12" bestFit="1" customWidth="1"/>
    <col min="1451" max="1451" width="6.140625" bestFit="1" customWidth="1"/>
    <col min="1452" max="1452" width="7" bestFit="1" customWidth="1"/>
    <col min="1453" max="1453" width="8" bestFit="1" customWidth="1"/>
    <col min="1454" max="1454" width="7" bestFit="1" customWidth="1"/>
    <col min="1455" max="1455" width="12" bestFit="1" customWidth="1"/>
    <col min="1456" max="1456" width="6.140625" bestFit="1" customWidth="1"/>
    <col min="1457" max="1458" width="7" bestFit="1" customWidth="1"/>
    <col min="1459" max="1459" width="9" bestFit="1" customWidth="1"/>
    <col min="1460" max="1460" width="12" bestFit="1" customWidth="1"/>
    <col min="1461" max="1461" width="8" bestFit="1" customWidth="1"/>
    <col min="1462" max="1462" width="12" bestFit="1" customWidth="1"/>
    <col min="1463" max="1463" width="7" bestFit="1" customWidth="1"/>
    <col min="1464" max="1464" width="6.140625" bestFit="1" customWidth="1"/>
    <col min="1465" max="1465" width="9" bestFit="1" customWidth="1"/>
    <col min="1466" max="1466" width="7" bestFit="1" customWidth="1"/>
    <col min="1467" max="1468" width="8" bestFit="1" customWidth="1"/>
    <col min="1469" max="1469" width="7" bestFit="1" customWidth="1"/>
    <col min="1470" max="1470" width="6.140625" bestFit="1" customWidth="1"/>
    <col min="1471" max="1471" width="10" bestFit="1" customWidth="1"/>
    <col min="1472" max="1472" width="7" bestFit="1" customWidth="1"/>
    <col min="1473" max="1473" width="8" bestFit="1" customWidth="1"/>
    <col min="1474" max="1474" width="12" bestFit="1" customWidth="1"/>
    <col min="1475" max="1475" width="7" bestFit="1" customWidth="1"/>
    <col min="1476" max="1476" width="6.140625" bestFit="1" customWidth="1"/>
    <col min="1477" max="1477" width="8" bestFit="1" customWidth="1"/>
    <col min="1478" max="1479" width="10" bestFit="1" customWidth="1"/>
    <col min="1480" max="1481" width="8" bestFit="1" customWidth="1"/>
    <col min="1482" max="1482" width="6.140625" bestFit="1" customWidth="1"/>
    <col min="1483" max="1483" width="8" bestFit="1" customWidth="1"/>
    <col min="1484" max="1485" width="12" bestFit="1" customWidth="1"/>
    <col min="1486" max="1487" width="7" bestFit="1" customWidth="1"/>
    <col min="1488" max="1488" width="12" bestFit="1" customWidth="1"/>
    <col min="1489" max="1489" width="8" bestFit="1" customWidth="1"/>
    <col min="1490" max="1490" width="12" bestFit="1" customWidth="1"/>
    <col min="1491" max="1492" width="8" bestFit="1" customWidth="1"/>
    <col min="1493" max="1493" width="9" bestFit="1" customWidth="1"/>
    <col min="1494" max="1495" width="6.140625" bestFit="1" customWidth="1"/>
    <col min="1496" max="1496" width="12" bestFit="1" customWidth="1"/>
    <col min="1497" max="1497" width="7" bestFit="1" customWidth="1"/>
    <col min="1498" max="1498" width="6.140625" bestFit="1" customWidth="1"/>
    <col min="1499" max="1500" width="7" bestFit="1" customWidth="1"/>
    <col min="1501" max="1501" width="8" bestFit="1" customWidth="1"/>
    <col min="1502" max="1502" width="9" bestFit="1" customWidth="1"/>
    <col min="1503" max="1503" width="12" bestFit="1" customWidth="1"/>
    <col min="1504" max="1504" width="8" bestFit="1" customWidth="1"/>
    <col min="1505" max="1505" width="6.140625" bestFit="1" customWidth="1"/>
    <col min="1506" max="1506" width="9" bestFit="1" customWidth="1"/>
    <col min="1507" max="1507" width="11" bestFit="1" customWidth="1"/>
    <col min="1508" max="1508" width="9" bestFit="1" customWidth="1"/>
    <col min="1509" max="1509" width="12" bestFit="1" customWidth="1"/>
    <col min="1510" max="1510" width="8" bestFit="1" customWidth="1"/>
    <col min="1511" max="1512" width="7" bestFit="1" customWidth="1"/>
    <col min="1513" max="1513" width="6.140625" bestFit="1" customWidth="1"/>
    <col min="1514" max="1514" width="9" bestFit="1" customWidth="1"/>
    <col min="1515" max="1515" width="12" bestFit="1" customWidth="1"/>
    <col min="1516" max="1516" width="7" bestFit="1" customWidth="1"/>
    <col min="1517" max="1517" width="12" bestFit="1" customWidth="1"/>
    <col min="1518" max="1518" width="8" bestFit="1" customWidth="1"/>
    <col min="1519" max="1519" width="6.140625" bestFit="1" customWidth="1"/>
    <col min="1520" max="1520" width="11" bestFit="1" customWidth="1"/>
    <col min="1521" max="1521" width="6.140625" bestFit="1" customWidth="1"/>
    <col min="1522" max="1522" width="12" bestFit="1" customWidth="1"/>
    <col min="1523" max="1523" width="9" bestFit="1" customWidth="1"/>
    <col min="1524" max="1525" width="7" bestFit="1" customWidth="1"/>
    <col min="1526" max="1526" width="12" bestFit="1" customWidth="1"/>
    <col min="1527" max="1527" width="7" bestFit="1" customWidth="1"/>
    <col min="1528" max="1528" width="8" bestFit="1" customWidth="1"/>
    <col min="1529" max="1530" width="12" bestFit="1" customWidth="1"/>
    <col min="1531" max="1531" width="8" bestFit="1" customWidth="1"/>
    <col min="1532" max="1532" width="10" bestFit="1" customWidth="1"/>
    <col min="1533" max="1533" width="7" bestFit="1" customWidth="1"/>
    <col min="1534" max="1534" width="6.140625" bestFit="1" customWidth="1"/>
    <col min="1535" max="1535" width="8" bestFit="1" customWidth="1"/>
    <col min="1536" max="1536" width="12" bestFit="1" customWidth="1"/>
    <col min="1537" max="1537" width="6.140625" bestFit="1" customWidth="1"/>
    <col min="1538" max="1538" width="12" bestFit="1" customWidth="1"/>
    <col min="1539" max="1540" width="7" bestFit="1" customWidth="1"/>
    <col min="1541" max="1541" width="6.140625" bestFit="1" customWidth="1"/>
    <col min="1542" max="1543" width="8" bestFit="1" customWidth="1"/>
    <col min="1544" max="1545" width="7" bestFit="1" customWidth="1"/>
    <col min="1546" max="1547" width="6.140625" bestFit="1" customWidth="1"/>
    <col min="1548" max="1548" width="12" bestFit="1" customWidth="1"/>
    <col min="1549" max="1549" width="7" bestFit="1" customWidth="1"/>
    <col min="1550" max="1550" width="6.140625" bestFit="1" customWidth="1"/>
    <col min="1551" max="1551" width="9" bestFit="1" customWidth="1"/>
    <col min="1552" max="1553" width="6.140625" bestFit="1" customWidth="1"/>
    <col min="1554" max="1554" width="7" bestFit="1" customWidth="1"/>
    <col min="1555" max="1555" width="8" bestFit="1" customWidth="1"/>
    <col min="1556" max="1556" width="7" bestFit="1" customWidth="1"/>
    <col min="1557" max="1557" width="6.140625" bestFit="1" customWidth="1"/>
    <col min="1558" max="1558" width="12" bestFit="1" customWidth="1"/>
    <col min="1559" max="1559" width="6.140625" bestFit="1" customWidth="1"/>
    <col min="1560" max="1560" width="9" bestFit="1" customWidth="1"/>
    <col min="1561" max="1563" width="12" bestFit="1" customWidth="1"/>
    <col min="1564" max="1564" width="8" bestFit="1" customWidth="1"/>
    <col min="1565" max="1565" width="6.140625" bestFit="1" customWidth="1"/>
    <col min="1566" max="1566" width="10" bestFit="1" customWidth="1"/>
    <col min="1567" max="1568" width="6.140625" bestFit="1" customWidth="1"/>
    <col min="1569" max="1569" width="12" bestFit="1" customWidth="1"/>
    <col min="1570" max="1570" width="6.140625" bestFit="1" customWidth="1"/>
    <col min="1571" max="1571" width="7" bestFit="1" customWidth="1"/>
    <col min="1572" max="1572" width="6.140625" bestFit="1" customWidth="1"/>
    <col min="1573" max="1573" width="7" bestFit="1" customWidth="1"/>
    <col min="1574" max="1574" width="12" bestFit="1" customWidth="1"/>
    <col min="1575" max="1575" width="6.140625" bestFit="1" customWidth="1"/>
    <col min="1576" max="1576" width="7" bestFit="1" customWidth="1"/>
    <col min="1577" max="1577" width="9" bestFit="1" customWidth="1"/>
    <col min="1578" max="1579" width="12" bestFit="1" customWidth="1"/>
    <col min="1580" max="1580" width="11" bestFit="1" customWidth="1"/>
    <col min="1581" max="1581" width="7.140625" bestFit="1" customWidth="1"/>
    <col min="1582" max="1582" width="6.140625" bestFit="1" customWidth="1"/>
    <col min="1583" max="1583" width="12" bestFit="1" customWidth="1"/>
    <col min="1584" max="1584" width="11" bestFit="1" customWidth="1"/>
    <col min="1585" max="1585" width="12" bestFit="1" customWidth="1"/>
    <col min="1586" max="1586" width="6.140625" bestFit="1" customWidth="1"/>
    <col min="1587" max="1587" width="8" bestFit="1" customWidth="1"/>
    <col min="1588" max="1588" width="7" bestFit="1" customWidth="1"/>
    <col min="1589" max="1589" width="9" bestFit="1" customWidth="1"/>
    <col min="1590" max="1590" width="8" bestFit="1" customWidth="1"/>
    <col min="1591" max="1591" width="12" bestFit="1" customWidth="1"/>
    <col min="1592" max="1592" width="11" bestFit="1" customWidth="1"/>
    <col min="1593" max="1593" width="6.140625" bestFit="1" customWidth="1"/>
    <col min="1594" max="1594" width="11" bestFit="1" customWidth="1"/>
    <col min="1595" max="1595" width="9" bestFit="1" customWidth="1"/>
    <col min="1596" max="1596" width="10" bestFit="1" customWidth="1"/>
    <col min="1597" max="1597" width="6.140625" bestFit="1" customWidth="1"/>
    <col min="1598" max="1602" width="12" bestFit="1" customWidth="1"/>
    <col min="1603" max="1603" width="7.140625" bestFit="1" customWidth="1"/>
    <col min="1604" max="1604" width="8" bestFit="1" customWidth="1"/>
    <col min="1605" max="1605" width="12" bestFit="1" customWidth="1"/>
    <col min="1606" max="1606" width="6.140625" bestFit="1" customWidth="1"/>
    <col min="1607" max="1607" width="9" bestFit="1" customWidth="1"/>
    <col min="1608" max="1608" width="7" bestFit="1" customWidth="1"/>
    <col min="1609" max="1609" width="6.140625" bestFit="1" customWidth="1"/>
    <col min="1610" max="1610" width="9" bestFit="1" customWidth="1"/>
    <col min="1611" max="1611" width="8" bestFit="1" customWidth="1"/>
    <col min="1612" max="1613" width="11" bestFit="1" customWidth="1"/>
    <col min="1614" max="1615" width="9" bestFit="1" customWidth="1"/>
    <col min="1616" max="1616" width="6.140625" bestFit="1" customWidth="1"/>
    <col min="1617" max="1618" width="9" bestFit="1" customWidth="1"/>
    <col min="1619" max="1619" width="7" bestFit="1" customWidth="1"/>
    <col min="1620" max="1620" width="9" bestFit="1" customWidth="1"/>
    <col min="1621" max="1621" width="12" bestFit="1" customWidth="1"/>
    <col min="1622" max="1622" width="8" bestFit="1" customWidth="1"/>
    <col min="1623" max="1623" width="9" bestFit="1" customWidth="1"/>
    <col min="1624" max="1624" width="12" bestFit="1" customWidth="1"/>
    <col min="1625" max="1625" width="7.140625" bestFit="1" customWidth="1"/>
    <col min="1626" max="1626" width="12" bestFit="1" customWidth="1"/>
    <col min="1627" max="1627" width="11" bestFit="1" customWidth="1"/>
    <col min="1628" max="1628" width="9" bestFit="1" customWidth="1"/>
    <col min="1629" max="1629" width="7.140625" bestFit="1" customWidth="1"/>
    <col min="1630" max="1631" width="8" bestFit="1" customWidth="1"/>
    <col min="1632" max="1632" width="9" bestFit="1" customWidth="1"/>
    <col min="1633" max="1633" width="8" bestFit="1" customWidth="1"/>
    <col min="1634" max="1634" width="6.140625" bestFit="1" customWidth="1"/>
    <col min="1635" max="1635" width="10" bestFit="1" customWidth="1"/>
    <col min="1636" max="1636" width="12" bestFit="1" customWidth="1"/>
    <col min="1637" max="1637" width="8" bestFit="1" customWidth="1"/>
    <col min="1638" max="1638" width="6.140625" bestFit="1" customWidth="1"/>
    <col min="1639" max="1640" width="9" bestFit="1" customWidth="1"/>
    <col min="1641" max="1641" width="12" bestFit="1" customWidth="1"/>
    <col min="1642" max="1642" width="7" bestFit="1" customWidth="1"/>
    <col min="1643" max="1643" width="11" bestFit="1" customWidth="1"/>
    <col min="1644" max="1644" width="6.140625" bestFit="1" customWidth="1"/>
    <col min="1645" max="1645" width="8" bestFit="1" customWidth="1"/>
    <col min="1646" max="1646" width="7.140625" bestFit="1" customWidth="1"/>
    <col min="1647" max="1647" width="9" bestFit="1" customWidth="1"/>
    <col min="1648" max="1649" width="12" bestFit="1" customWidth="1"/>
    <col min="1650" max="1650" width="9" bestFit="1" customWidth="1"/>
    <col min="1651" max="1651" width="8" bestFit="1" customWidth="1"/>
    <col min="1652" max="1652" width="6.140625" bestFit="1" customWidth="1"/>
    <col min="1653" max="1653" width="12" bestFit="1" customWidth="1"/>
    <col min="1654" max="1654" width="10" bestFit="1" customWidth="1"/>
    <col min="1655" max="1655" width="6.140625" bestFit="1" customWidth="1"/>
    <col min="1656" max="1656" width="11" bestFit="1" customWidth="1"/>
    <col min="1657" max="1657" width="9" bestFit="1" customWidth="1"/>
    <col min="1658" max="1658" width="11" bestFit="1" customWidth="1"/>
    <col min="1659" max="1659" width="12" bestFit="1" customWidth="1"/>
    <col min="1660" max="1660" width="8" bestFit="1" customWidth="1"/>
    <col min="1661" max="1661" width="6.140625" bestFit="1" customWidth="1"/>
    <col min="1662" max="1664" width="12" bestFit="1" customWidth="1"/>
    <col min="1665" max="1667" width="6.140625" bestFit="1" customWidth="1"/>
    <col min="1668" max="1668" width="12" bestFit="1" customWidth="1"/>
    <col min="1669" max="1669" width="6.140625" bestFit="1" customWidth="1"/>
    <col min="1670" max="1670" width="12" bestFit="1" customWidth="1"/>
    <col min="1671" max="1671" width="7" bestFit="1" customWidth="1"/>
    <col min="1672" max="1672" width="11" bestFit="1" customWidth="1"/>
    <col min="1673" max="1673" width="6.140625" bestFit="1" customWidth="1"/>
    <col min="1674" max="1674" width="11" bestFit="1" customWidth="1"/>
    <col min="1675" max="1675" width="7" bestFit="1" customWidth="1"/>
    <col min="1676" max="1677" width="6.140625" bestFit="1" customWidth="1"/>
    <col min="1678" max="1678" width="10" bestFit="1" customWidth="1"/>
    <col min="1679" max="1679" width="12" bestFit="1" customWidth="1"/>
    <col min="1680" max="1680" width="10" bestFit="1" customWidth="1"/>
    <col min="1681" max="1681" width="6.140625" bestFit="1" customWidth="1"/>
    <col min="1682" max="1682" width="8" bestFit="1" customWidth="1"/>
    <col min="1683" max="1684" width="12" bestFit="1" customWidth="1"/>
    <col min="1685" max="1685" width="7.140625" bestFit="1" customWidth="1"/>
    <col min="1686" max="1687" width="6.140625" bestFit="1" customWidth="1"/>
    <col min="1688" max="1689" width="7.140625" bestFit="1" customWidth="1"/>
    <col min="1690" max="1692" width="12" bestFit="1" customWidth="1"/>
    <col min="1693" max="1694" width="8" bestFit="1" customWidth="1"/>
    <col min="1695" max="1695" width="7.140625" bestFit="1" customWidth="1"/>
    <col min="1696" max="1697" width="11" bestFit="1" customWidth="1"/>
    <col min="1698" max="1699" width="12" bestFit="1" customWidth="1"/>
    <col min="1700" max="1700" width="10" bestFit="1" customWidth="1"/>
    <col min="1701" max="1701" width="11" bestFit="1" customWidth="1"/>
    <col min="1702" max="1702" width="10" bestFit="1" customWidth="1"/>
    <col min="1703" max="1703" width="12" bestFit="1" customWidth="1"/>
    <col min="1704" max="1706" width="6.140625" bestFit="1" customWidth="1"/>
    <col min="1707" max="1707" width="7.140625" bestFit="1" customWidth="1"/>
    <col min="1708" max="1709" width="12" bestFit="1" customWidth="1"/>
    <col min="1710" max="1710" width="6.140625" bestFit="1" customWidth="1"/>
    <col min="1711" max="1711" width="9" bestFit="1" customWidth="1"/>
    <col min="1712" max="1712" width="6.140625" bestFit="1" customWidth="1"/>
    <col min="1713" max="1715" width="12" bestFit="1" customWidth="1"/>
    <col min="1716" max="1716" width="9" bestFit="1" customWidth="1"/>
    <col min="1717" max="1717" width="12" bestFit="1" customWidth="1"/>
    <col min="1718" max="1719" width="7.140625" bestFit="1" customWidth="1"/>
    <col min="1720" max="1720" width="7" bestFit="1" customWidth="1"/>
    <col min="1721" max="1721" width="6.140625" bestFit="1" customWidth="1"/>
    <col min="1722" max="1725" width="12" bestFit="1" customWidth="1"/>
    <col min="1726" max="1726" width="11" bestFit="1" customWidth="1"/>
    <col min="1727" max="1727" width="6.140625" bestFit="1" customWidth="1"/>
    <col min="1728" max="1728" width="12" bestFit="1" customWidth="1"/>
    <col min="1729" max="1729" width="11" bestFit="1" customWidth="1"/>
    <col min="1730" max="1730" width="12" bestFit="1" customWidth="1"/>
    <col min="1731" max="1731" width="8" bestFit="1" customWidth="1"/>
    <col min="1732" max="1732" width="11" bestFit="1" customWidth="1"/>
    <col min="1733" max="1736" width="12" bestFit="1" customWidth="1"/>
    <col min="1737" max="1738" width="11" bestFit="1" customWidth="1"/>
    <col min="1739" max="1739" width="8" bestFit="1" customWidth="1"/>
    <col min="1740" max="1740" width="6.140625" bestFit="1" customWidth="1"/>
    <col min="1741" max="1745" width="12" bestFit="1" customWidth="1"/>
    <col min="1746" max="1746" width="9" bestFit="1" customWidth="1"/>
    <col min="1747" max="1747" width="6.140625" bestFit="1" customWidth="1"/>
    <col min="1748" max="1749" width="12" bestFit="1" customWidth="1"/>
    <col min="1750" max="1750" width="7" bestFit="1" customWidth="1"/>
    <col min="1751" max="1751" width="6.140625" bestFit="1" customWidth="1"/>
    <col min="1752" max="1752" width="12" bestFit="1" customWidth="1"/>
    <col min="1753" max="1753" width="7.140625" bestFit="1" customWidth="1"/>
    <col min="1754" max="1754" width="6.140625" bestFit="1" customWidth="1"/>
    <col min="1755" max="1755" width="12" bestFit="1" customWidth="1"/>
    <col min="1756" max="1756" width="6.140625" bestFit="1" customWidth="1"/>
    <col min="1757" max="1757" width="11" bestFit="1" customWidth="1"/>
    <col min="1758" max="1758" width="8" bestFit="1" customWidth="1"/>
    <col min="1759" max="1759" width="12" bestFit="1" customWidth="1"/>
    <col min="1760" max="1760" width="6.140625" bestFit="1" customWidth="1"/>
    <col min="1761" max="1766" width="12" bestFit="1" customWidth="1"/>
    <col min="1767" max="1767" width="6.140625" bestFit="1" customWidth="1"/>
    <col min="1768" max="1768" width="12" bestFit="1" customWidth="1"/>
    <col min="1769" max="1769" width="6.140625" bestFit="1" customWidth="1"/>
    <col min="1770" max="1770" width="9" bestFit="1" customWidth="1"/>
    <col min="1771" max="1773" width="12" bestFit="1" customWidth="1"/>
    <col min="1774" max="1774" width="11" bestFit="1" customWidth="1"/>
    <col min="1775" max="1775" width="9" bestFit="1" customWidth="1"/>
    <col min="1776" max="1776" width="7.140625" bestFit="1" customWidth="1"/>
    <col min="1777" max="1777" width="11" bestFit="1" customWidth="1"/>
    <col min="1778" max="1778" width="6.140625" bestFit="1" customWidth="1"/>
    <col min="1779" max="1781" width="12" bestFit="1" customWidth="1"/>
    <col min="1782" max="1782" width="10" bestFit="1" customWidth="1"/>
    <col min="1783" max="1783" width="11" bestFit="1" customWidth="1"/>
    <col min="1784" max="1784" width="12" bestFit="1" customWidth="1"/>
    <col min="1785" max="1785" width="6.140625" bestFit="1" customWidth="1"/>
    <col min="1786" max="1786" width="9" bestFit="1" customWidth="1"/>
    <col min="1787" max="1788" width="12" bestFit="1" customWidth="1"/>
    <col min="1789" max="1789" width="8" bestFit="1" customWidth="1"/>
    <col min="1790" max="1790" width="12" bestFit="1" customWidth="1"/>
    <col min="1791" max="1791" width="7" bestFit="1" customWidth="1"/>
    <col min="1792" max="1794" width="12" bestFit="1" customWidth="1"/>
    <col min="1795" max="1795" width="8.140625" bestFit="1" customWidth="1"/>
    <col min="1796" max="1796" width="12" bestFit="1" customWidth="1"/>
    <col min="1797" max="1797" width="9" bestFit="1" customWidth="1"/>
    <col min="1798" max="1798" width="12" bestFit="1" customWidth="1"/>
    <col min="1799" max="1799" width="9" bestFit="1" customWidth="1"/>
    <col min="1800" max="1800" width="8" bestFit="1" customWidth="1"/>
    <col min="1801" max="1801" width="7.140625" bestFit="1" customWidth="1"/>
    <col min="1802" max="1802" width="10" bestFit="1" customWidth="1"/>
    <col min="1803" max="1803" width="12" bestFit="1" customWidth="1"/>
    <col min="1804" max="1805" width="7.140625" bestFit="1" customWidth="1"/>
    <col min="1806" max="1806" width="11" bestFit="1" customWidth="1"/>
    <col min="1807" max="1807" width="7.140625" bestFit="1" customWidth="1"/>
    <col min="1808" max="1812" width="12" bestFit="1" customWidth="1"/>
    <col min="1813" max="1813" width="6.140625" bestFit="1" customWidth="1"/>
    <col min="1814" max="1815" width="12" bestFit="1" customWidth="1"/>
    <col min="1816" max="1816" width="6.140625" bestFit="1" customWidth="1"/>
    <col min="1817" max="1818" width="12" bestFit="1" customWidth="1"/>
    <col min="1819" max="1819" width="7.140625" bestFit="1" customWidth="1"/>
    <col min="1820" max="1820" width="12" bestFit="1" customWidth="1"/>
    <col min="1821" max="1821" width="7.7109375" bestFit="1" customWidth="1"/>
    <col min="1822" max="1822" width="21.5703125" bestFit="1" customWidth="1"/>
    <col min="1823" max="1823" width="18.42578125" bestFit="1" customWidth="1"/>
    <col min="1824" max="1824" width="18.28515625" bestFit="1" customWidth="1"/>
    <col min="1825" max="1825" width="12.42578125" bestFit="1" customWidth="1"/>
  </cols>
  <sheetData>
    <row r="3" spans="1:7">
      <c r="B3" s="1" t="s">
        <v>11</v>
      </c>
    </row>
    <row r="4" spans="1:7">
      <c r="A4" s="1" t="s">
        <v>366</v>
      </c>
      <c r="B4" t="s">
        <v>454</v>
      </c>
      <c r="C4" t="s">
        <v>343</v>
      </c>
      <c r="D4" t="s">
        <v>341</v>
      </c>
      <c r="E4" t="s">
        <v>340</v>
      </c>
      <c r="F4" t="s">
        <v>342</v>
      </c>
      <c r="G4" t="s">
        <v>809</v>
      </c>
    </row>
    <row r="5" spans="1:7">
      <c r="A5" s="2" t="s">
        <v>438</v>
      </c>
      <c r="B5" s="83">
        <v>1.9943204080000001</v>
      </c>
      <c r="C5" s="24">
        <v>0.66477346933333337</v>
      </c>
      <c r="D5" s="56">
        <v>0.61772022954134342</v>
      </c>
      <c r="E5" s="24">
        <v>18.2</v>
      </c>
      <c r="F5" s="56">
        <v>3.6526014798534796E-2</v>
      </c>
      <c r="G5" s="56">
        <v>68.374909385862921</v>
      </c>
    </row>
    <row r="6" spans="1:7">
      <c r="A6" s="2" t="s">
        <v>183</v>
      </c>
      <c r="B6" s="83">
        <v>3.1715599999999995</v>
      </c>
      <c r="C6" s="24">
        <v>0.79288999999999987</v>
      </c>
      <c r="D6" s="56">
        <v>0.43168732302801038</v>
      </c>
      <c r="E6" s="24">
        <v>49.6</v>
      </c>
      <c r="F6" s="56">
        <v>1.5985685483870967E-2</v>
      </c>
      <c r="G6" s="56">
        <v>4.47464938815361</v>
      </c>
    </row>
    <row r="7" spans="1:7">
      <c r="A7" s="2" t="s">
        <v>328</v>
      </c>
      <c r="B7" s="83">
        <v>4.99</v>
      </c>
      <c r="C7" s="24">
        <v>1.6633333333333333</v>
      </c>
      <c r="D7" s="56">
        <v>5.1889142659306664</v>
      </c>
      <c r="E7" s="24">
        <v>4.6900000000000004</v>
      </c>
      <c r="F7" s="56">
        <v>0.53198294243070365</v>
      </c>
      <c r="G7" s="56">
        <v>3.4239130434782608</v>
      </c>
    </row>
    <row r="8" spans="1:7">
      <c r="A8" s="2" t="s">
        <v>329</v>
      </c>
      <c r="B8" s="83">
        <v>4.99</v>
      </c>
      <c r="C8" s="24">
        <v>1.6633333333333333</v>
      </c>
      <c r="D8" s="56">
        <v>5.1889142659306664</v>
      </c>
      <c r="E8" s="24">
        <v>4.37</v>
      </c>
      <c r="F8" s="56">
        <v>0.57093821510297482</v>
      </c>
      <c r="G8" s="56">
        <v>3.4239130434782608</v>
      </c>
    </row>
    <row r="9" spans="1:7">
      <c r="A9" s="2" t="s">
        <v>249</v>
      </c>
      <c r="B9" s="83">
        <v>0.13079000000000002</v>
      </c>
      <c r="C9" s="24">
        <v>3.2697500000000004E-2</v>
      </c>
      <c r="D9" s="56">
        <v>4.7361278676921532E-2</v>
      </c>
      <c r="E9" s="24">
        <v>4.2</v>
      </c>
      <c r="F9" s="56">
        <v>7.7851190476190468E-3</v>
      </c>
      <c r="G9" s="56">
        <v>3.1322218273275197</v>
      </c>
    </row>
    <row r="10" spans="1:7">
      <c r="A10" s="2" t="s">
        <v>92</v>
      </c>
      <c r="B10" s="83">
        <v>1.093</v>
      </c>
      <c r="C10" s="24">
        <v>0.27324999999999999</v>
      </c>
      <c r="D10" s="56">
        <v>1.2629191615984803</v>
      </c>
      <c r="E10" s="24">
        <v>12.4</v>
      </c>
      <c r="F10" s="56">
        <v>2.2036290322580643E-2</v>
      </c>
      <c r="G10" s="56">
        <v>2.3825041016207615</v>
      </c>
    </row>
    <row r="11" spans="1:7">
      <c r="A11" s="2" t="s">
        <v>300</v>
      </c>
      <c r="B11" s="83">
        <v>0.46823500000000001</v>
      </c>
      <c r="C11" s="24">
        <v>0.11705875</v>
      </c>
      <c r="D11" s="56">
        <v>0.23695478536753822</v>
      </c>
      <c r="E11" s="24">
        <v>9.5</v>
      </c>
      <c r="F11" s="56">
        <v>1.2321973684210527E-2</v>
      </c>
      <c r="G11" s="56">
        <v>1.5212739574012708</v>
      </c>
    </row>
    <row r="12" spans="1:7">
      <c r="A12" s="2" t="s">
        <v>299</v>
      </c>
      <c r="B12" s="83">
        <v>0.46623500000000001</v>
      </c>
      <c r="C12" s="24">
        <v>0.11655875</v>
      </c>
      <c r="D12" s="56">
        <v>0.27024411411752097</v>
      </c>
      <c r="E12" s="24">
        <v>10</v>
      </c>
      <c r="F12" s="56">
        <v>1.5541166666666668E-2</v>
      </c>
      <c r="G12" s="56">
        <v>1.5153632679193425</v>
      </c>
    </row>
    <row r="13" spans="1:7">
      <c r="A13" s="2" t="s">
        <v>192</v>
      </c>
      <c r="B13" s="83">
        <v>4.3981410399999997E-2</v>
      </c>
      <c r="C13" s="24">
        <v>1.0995352599999999E-2</v>
      </c>
      <c r="D13" s="56">
        <v>0.74850005072085457</v>
      </c>
      <c r="E13" s="24">
        <v>0.13</v>
      </c>
      <c r="F13" s="56">
        <v>8.4579635384615368E-2</v>
      </c>
      <c r="G13" s="56">
        <v>1.2668886399456551</v>
      </c>
    </row>
    <row r="14" spans="1:7">
      <c r="A14" s="2" t="s">
        <v>193</v>
      </c>
      <c r="B14" s="83">
        <v>4.84078514E-2</v>
      </c>
      <c r="C14" s="24">
        <v>1.210196285E-2</v>
      </c>
      <c r="D14" s="56">
        <v>0.8237247935120684</v>
      </c>
      <c r="E14" s="24">
        <v>0.12</v>
      </c>
      <c r="F14" s="56">
        <v>0.10084969041666668</v>
      </c>
      <c r="G14" s="56">
        <v>1.2445162719438081</v>
      </c>
    </row>
    <row r="15" spans="1:7">
      <c r="A15" s="2" t="s">
        <v>416</v>
      </c>
      <c r="B15" s="83">
        <v>0.80999999999999994</v>
      </c>
      <c r="C15" s="24">
        <v>0.26999999999999996</v>
      </c>
      <c r="D15" s="56">
        <v>0.11682654188083424</v>
      </c>
      <c r="E15" s="24">
        <v>18</v>
      </c>
      <c r="F15" s="56">
        <v>1.4999999999999999E-2</v>
      </c>
      <c r="G15" s="56">
        <v>1.2057416267942584</v>
      </c>
    </row>
    <row r="16" spans="1:7">
      <c r="A16" s="2" t="s">
        <v>368</v>
      </c>
      <c r="B16" s="83">
        <v>0.94928045000000005</v>
      </c>
      <c r="C16" s="24">
        <v>0.23732011250000001</v>
      </c>
      <c r="D16" s="56">
        <v>0.3688272793184682</v>
      </c>
      <c r="E16" s="24">
        <v>12.54</v>
      </c>
      <c r="F16" s="56">
        <v>1.8925048843700162E-2</v>
      </c>
      <c r="G16" s="56">
        <v>1.1029090725864512</v>
      </c>
    </row>
    <row r="17" spans="1:7">
      <c r="A17" s="2" t="s">
        <v>244</v>
      </c>
      <c r="B17" s="83">
        <v>2.676293442</v>
      </c>
      <c r="C17" s="24">
        <v>0.66907336049999999</v>
      </c>
      <c r="D17" s="56">
        <v>0.14691424979139903</v>
      </c>
      <c r="E17" s="24">
        <v>27.5</v>
      </c>
      <c r="F17" s="56">
        <v>2.4329940381818183E-2</v>
      </c>
      <c r="G17" s="56">
        <v>1.0758845758800568</v>
      </c>
    </row>
    <row r="18" spans="1:7">
      <c r="A18" s="2" t="s">
        <v>376</v>
      </c>
      <c r="B18" s="83">
        <v>8.753039E-2</v>
      </c>
      <c r="C18" s="24">
        <v>2.9176796666666668E-2</v>
      </c>
      <c r="D18" s="56">
        <v>0.16275155588949558</v>
      </c>
      <c r="E18" s="24">
        <v>5.6500000000000012</v>
      </c>
      <c r="F18" s="56">
        <v>7.7460522123893802E-3</v>
      </c>
      <c r="G18" s="56">
        <v>0.91767966666666667</v>
      </c>
    </row>
    <row r="19" spans="1:7">
      <c r="A19" s="2" t="s">
        <v>364</v>
      </c>
      <c r="B19" s="83">
        <v>9.5377892499999994</v>
      </c>
      <c r="C19" s="24">
        <v>2.3844473124999999</v>
      </c>
      <c r="D19" s="56">
        <v>0.29704620053272746</v>
      </c>
      <c r="E19" s="24">
        <v>58</v>
      </c>
      <c r="F19" s="56">
        <v>4.1111160560344827E-2</v>
      </c>
      <c r="G19" s="56">
        <v>0.86652018060266689</v>
      </c>
    </row>
    <row r="20" spans="1:7">
      <c r="A20" s="2" t="s">
        <v>69</v>
      </c>
      <c r="B20" s="83">
        <v>0.91220000000000001</v>
      </c>
      <c r="C20" s="24">
        <v>0.22805</v>
      </c>
      <c r="D20" s="56">
        <v>0.46297228112835515</v>
      </c>
      <c r="E20" s="24">
        <v>5.8</v>
      </c>
      <c r="F20" s="56">
        <v>3.9318965517241379E-2</v>
      </c>
      <c r="G20" s="56">
        <v>0.82747905378440512</v>
      </c>
    </row>
    <row r="21" spans="1:7">
      <c r="A21" s="2" t="s">
        <v>202</v>
      </c>
      <c r="B21" s="83">
        <v>0.82940000000000003</v>
      </c>
      <c r="C21" s="24">
        <v>0.20735000000000001</v>
      </c>
      <c r="D21" s="56">
        <v>0.42096174698699207</v>
      </c>
      <c r="E21" s="24">
        <v>8.19</v>
      </c>
      <c r="F21" s="56">
        <v>2.5317460317460318E-2</v>
      </c>
      <c r="G21" s="56">
        <v>0.8272421136635586</v>
      </c>
    </row>
    <row r="22" spans="1:7">
      <c r="A22" s="2" t="s">
        <v>412</v>
      </c>
      <c r="B22" s="83">
        <v>0.70115961299999996</v>
      </c>
      <c r="C22" s="24">
        <v>0.17528990324999999</v>
      </c>
      <c r="D22" s="56">
        <v>0.31390723596420989</v>
      </c>
      <c r="E22" s="24">
        <v>18</v>
      </c>
      <c r="F22" s="56">
        <v>9.7383279583333343E-3</v>
      </c>
      <c r="G22" s="56">
        <v>0.67216308032847882</v>
      </c>
    </row>
    <row r="23" spans="1:7">
      <c r="A23" s="2" t="s">
        <v>238</v>
      </c>
      <c r="B23" s="83">
        <v>2.1909999999999999E-2</v>
      </c>
      <c r="C23" s="24">
        <v>7.3033333333333327E-3</v>
      </c>
      <c r="D23" s="56">
        <v>0.29293027940656419</v>
      </c>
      <c r="E23" s="24">
        <v>1.1000000000000001</v>
      </c>
      <c r="F23" s="56">
        <v>6.639393939393938E-3</v>
      </c>
      <c r="G23" s="56">
        <v>0.65089514066496146</v>
      </c>
    </row>
    <row r="24" spans="1:7">
      <c r="A24" s="2" t="s">
        <v>344</v>
      </c>
      <c r="B24" s="83">
        <v>2.7716524199999997</v>
      </c>
      <c r="C24" s="24">
        <v>0.92388413999999985</v>
      </c>
      <c r="D24" s="56">
        <v>6.7345118256579717</v>
      </c>
      <c r="E24" s="24">
        <v>17.97</v>
      </c>
      <c r="F24" s="56">
        <v>5.1412584307178634E-2</v>
      </c>
      <c r="G24" s="56">
        <v>0.64413087995992613</v>
      </c>
    </row>
    <row r="25" spans="1:7">
      <c r="A25" s="2" t="s">
        <v>196</v>
      </c>
      <c r="B25" s="83">
        <v>5.5766351018</v>
      </c>
      <c r="C25" s="24">
        <v>1.8588783672666667</v>
      </c>
      <c r="D25" s="56">
        <v>0.85565136305393408</v>
      </c>
      <c r="E25" s="24">
        <v>35.17</v>
      </c>
      <c r="F25" s="56">
        <v>5.2854090624585348E-2</v>
      </c>
      <c r="G25" s="56">
        <v>0.61665865495452921</v>
      </c>
    </row>
    <row r="26" spans="1:7">
      <c r="A26" s="2" t="s">
        <v>414</v>
      </c>
      <c r="B26" s="83">
        <v>1.0334625082238409</v>
      </c>
      <c r="C26" s="24">
        <v>0.25836562705596022</v>
      </c>
      <c r="D26" s="56">
        <v>0.11310764362768161</v>
      </c>
      <c r="E26" s="24">
        <v>17.14</v>
      </c>
      <c r="F26" s="56">
        <v>1.5073840551689628E-2</v>
      </c>
      <c r="G26" s="56">
        <v>0.58299659561177697</v>
      </c>
    </row>
    <row r="27" spans="1:7">
      <c r="A27" s="2" t="s">
        <v>75</v>
      </c>
      <c r="B27" s="83">
        <v>3.5611462</v>
      </c>
      <c r="C27" s="24">
        <v>1.1870487333333333</v>
      </c>
      <c r="D27" s="56">
        <v>3.3879538155207976</v>
      </c>
      <c r="E27" s="24">
        <v>19.399999999999999</v>
      </c>
      <c r="F27" s="56">
        <v>6.1188079037800693E-2</v>
      </c>
      <c r="G27" s="56">
        <v>0.5486423262882667</v>
      </c>
    </row>
    <row r="28" spans="1:7">
      <c r="A28" s="2" t="s">
        <v>447</v>
      </c>
      <c r="B28" s="83">
        <v>1.2178</v>
      </c>
      <c r="C28" s="24">
        <v>0.30445</v>
      </c>
      <c r="D28" s="56">
        <v>0.56851660076308341</v>
      </c>
      <c r="E28" s="24">
        <v>23.41</v>
      </c>
      <c r="F28" s="56">
        <v>1.3005126014523709E-2</v>
      </c>
      <c r="G28" s="56">
        <v>0.49519326180842976</v>
      </c>
    </row>
    <row r="29" spans="1:7">
      <c r="A29" s="2" t="s">
        <v>227</v>
      </c>
      <c r="B29" s="83">
        <v>14.742487617</v>
      </c>
      <c r="C29" s="24">
        <v>3.68562190425</v>
      </c>
      <c r="D29" s="56">
        <v>0.55210929465239156</v>
      </c>
      <c r="E29" s="24">
        <v>43.25</v>
      </c>
      <c r="F29" s="56">
        <v>8.5216691427745669E-2</v>
      </c>
      <c r="G29" s="56">
        <v>0.49322588698651787</v>
      </c>
    </row>
    <row r="30" spans="1:7">
      <c r="A30" s="2" t="s">
        <v>228</v>
      </c>
      <c r="B30" s="83">
        <v>16.217936407</v>
      </c>
      <c r="C30" s="24">
        <v>4.05448410175</v>
      </c>
      <c r="D30" s="56">
        <v>0.60740107618893502</v>
      </c>
      <c r="E30" s="24">
        <v>45</v>
      </c>
      <c r="F30" s="56">
        <v>9.0099646705555536E-2</v>
      </c>
      <c r="G30" s="56">
        <v>0.49301521059548858</v>
      </c>
    </row>
    <row r="31" spans="1:7">
      <c r="A31" s="2" t="s">
        <v>448</v>
      </c>
      <c r="B31" s="83">
        <v>5.8699999999999992</v>
      </c>
      <c r="C31" s="24">
        <v>1.9566666666666663</v>
      </c>
      <c r="D31" s="56">
        <v>0.77123947523638092</v>
      </c>
      <c r="E31" s="24">
        <v>66.599999999999994</v>
      </c>
      <c r="F31" s="56">
        <v>2.9379379379379383E-2</v>
      </c>
      <c r="G31" s="56">
        <v>0.48537815126050432</v>
      </c>
    </row>
    <row r="32" spans="1:7">
      <c r="A32" s="2" t="s">
        <v>422</v>
      </c>
      <c r="B32" s="83">
        <v>2.6773285570000001</v>
      </c>
      <c r="C32" s="24">
        <v>0.66933213925000001</v>
      </c>
      <c r="D32" s="56">
        <v>0.46005623926256656</v>
      </c>
      <c r="E32" s="24">
        <v>47.25</v>
      </c>
      <c r="F32" s="56">
        <v>1.4165759560846562E-2</v>
      </c>
      <c r="G32" s="56">
        <v>0.48405645668848157</v>
      </c>
    </row>
    <row r="33" spans="1:7">
      <c r="A33" s="2" t="s">
        <v>317</v>
      </c>
      <c r="B33" s="83">
        <v>1.3453999240000001</v>
      </c>
      <c r="C33" s="24">
        <v>0.44846664133333336</v>
      </c>
      <c r="D33" s="56">
        <v>0.37734950584130339</v>
      </c>
      <c r="E33" s="24">
        <v>44.71</v>
      </c>
      <c r="F33" s="56">
        <v>1.0030566793409379E-2</v>
      </c>
      <c r="G33" s="56">
        <v>0.42489724057129141</v>
      </c>
    </row>
    <row r="34" spans="1:7">
      <c r="A34" s="2" t="s">
        <v>181</v>
      </c>
      <c r="B34" s="83">
        <v>11.74951832</v>
      </c>
      <c r="C34" s="24">
        <v>2.93737958</v>
      </c>
      <c r="D34" s="56">
        <v>1.2793462988233146</v>
      </c>
      <c r="E34" s="24">
        <v>62.04</v>
      </c>
      <c r="F34" s="56">
        <v>4.7346543842682137E-2</v>
      </c>
      <c r="G34" s="56">
        <v>0.41940190717323483</v>
      </c>
    </row>
    <row r="35" spans="1:7">
      <c r="A35" s="2" t="s">
        <v>95</v>
      </c>
      <c r="B35" s="83">
        <v>3.2741251999999998</v>
      </c>
      <c r="C35" s="24">
        <v>1.0913750666666666</v>
      </c>
      <c r="D35" s="56">
        <v>3.0993823198719794</v>
      </c>
      <c r="E35" s="24">
        <v>21.47</v>
      </c>
      <c r="F35" s="56">
        <v>5.0832560161465618E-2</v>
      </c>
      <c r="G35" s="56">
        <v>0.41409100878722915</v>
      </c>
    </row>
    <row r="36" spans="1:7">
      <c r="A36" s="2" t="s">
        <v>268</v>
      </c>
      <c r="B36" s="83">
        <v>3.0100000000000002</v>
      </c>
      <c r="C36" s="24">
        <v>0.75250000000000006</v>
      </c>
      <c r="D36" s="56">
        <v>0.43307716407622709</v>
      </c>
      <c r="E36" s="24">
        <v>29</v>
      </c>
      <c r="F36" s="56">
        <v>2.5948275862068968E-2</v>
      </c>
      <c r="G36" s="56">
        <v>0.4055555555555555</v>
      </c>
    </row>
    <row r="37" spans="1:7">
      <c r="A37" s="2" t="s">
        <v>87</v>
      </c>
      <c r="B37" s="83">
        <v>2.33</v>
      </c>
      <c r="C37" s="24">
        <v>0.77666666666666673</v>
      </c>
      <c r="D37" s="56">
        <v>0.32355722757326899</v>
      </c>
      <c r="E37" s="24">
        <v>11.32</v>
      </c>
      <c r="F37" s="56">
        <v>6.861012956419317E-2</v>
      </c>
      <c r="G37" s="56">
        <v>0.37835215243472126</v>
      </c>
    </row>
    <row r="38" spans="1:7">
      <c r="A38" s="2" t="s">
        <v>254</v>
      </c>
      <c r="B38" s="83">
        <v>0.15121000000000001</v>
      </c>
      <c r="C38" s="24">
        <v>3.7802500000000003E-2</v>
      </c>
      <c r="D38" s="56">
        <v>5.4484299057845742E-2</v>
      </c>
      <c r="E38" s="24">
        <v>4</v>
      </c>
      <c r="F38" s="56">
        <v>9.4506250000000007E-3</v>
      </c>
      <c r="G38" s="56">
        <v>0.37543883588315902</v>
      </c>
    </row>
    <row r="39" spans="1:7">
      <c r="A39" s="2" t="s">
        <v>245</v>
      </c>
      <c r="B39" s="83">
        <v>5.6071633800000003</v>
      </c>
      <c r="C39" s="24">
        <v>1.4017908450000001</v>
      </c>
      <c r="D39" s="56">
        <v>0.28664546825986631</v>
      </c>
      <c r="E39" s="24">
        <v>29.99</v>
      </c>
      <c r="F39" s="56">
        <v>4.6741942147382462E-2</v>
      </c>
      <c r="G39" s="56">
        <v>0.32453161297381511</v>
      </c>
    </row>
    <row r="40" spans="1:7">
      <c r="A40" s="2" t="s">
        <v>428</v>
      </c>
      <c r="B40" s="83">
        <v>1.1533</v>
      </c>
      <c r="C40" s="24">
        <v>0.38443333333333335</v>
      </c>
      <c r="D40" s="56">
        <v>0.27169719418566168</v>
      </c>
      <c r="E40" s="24">
        <v>83.91</v>
      </c>
      <c r="F40" s="56">
        <v>4.5814960473523217E-3</v>
      </c>
      <c r="G40" s="56">
        <v>0.29800471948085705</v>
      </c>
    </row>
    <row r="41" spans="1:7">
      <c r="A41" s="2" t="s">
        <v>208</v>
      </c>
      <c r="B41" s="83">
        <v>0.47619999999999996</v>
      </c>
      <c r="C41" s="24">
        <v>0.15873333333333331</v>
      </c>
      <c r="D41" s="56">
        <v>0.39457960469026815</v>
      </c>
      <c r="E41" s="24">
        <v>11</v>
      </c>
      <c r="F41" s="56">
        <v>1.4430303030303029E-2</v>
      </c>
      <c r="G41" s="56">
        <v>0.29153705370188987</v>
      </c>
    </row>
    <row r="42" spans="1:7">
      <c r="A42" s="2" t="s">
        <v>55</v>
      </c>
      <c r="B42" s="83">
        <v>0.52380000000000004</v>
      </c>
      <c r="C42" s="24">
        <v>0.17460000000000001</v>
      </c>
      <c r="D42" s="56">
        <v>0.43406605496565737</v>
      </c>
      <c r="E42" s="24">
        <v>12.71</v>
      </c>
      <c r="F42" s="56">
        <v>1.3737214791502755E-2</v>
      </c>
      <c r="G42" s="56">
        <v>0.29142807058548559</v>
      </c>
    </row>
    <row r="43" spans="1:7">
      <c r="A43" s="2" t="s">
        <v>387</v>
      </c>
      <c r="B43" s="83">
        <v>25.119</v>
      </c>
      <c r="C43" s="24">
        <v>6.2797499999999999</v>
      </c>
      <c r="D43" s="56">
        <v>0.72745804302911377</v>
      </c>
      <c r="E43" s="24">
        <v>88</v>
      </c>
      <c r="F43" s="56">
        <v>7.1360795454545448E-2</v>
      </c>
      <c r="G43" s="56">
        <v>0.28153806553206956</v>
      </c>
    </row>
    <row r="44" spans="1:7">
      <c r="A44" s="2" t="s">
        <v>374</v>
      </c>
      <c r="B44" s="83">
        <v>1.57</v>
      </c>
      <c r="C44" s="24">
        <v>0.52333333333333332</v>
      </c>
      <c r="D44" s="56">
        <v>1.3030076728553794</v>
      </c>
      <c r="E44" s="24">
        <v>7.7</v>
      </c>
      <c r="F44" s="56">
        <v>6.7965367965367965E-2</v>
      </c>
      <c r="G44" s="56">
        <v>0.26975609756097563</v>
      </c>
    </row>
    <row r="45" spans="1:7">
      <c r="A45" s="2" t="s">
        <v>79</v>
      </c>
      <c r="B45" s="83">
        <v>1.56961906</v>
      </c>
      <c r="C45" s="24">
        <v>0.52320635333333332</v>
      </c>
      <c r="D45" s="56">
        <v>1.9284904159098553</v>
      </c>
      <c r="E45" s="24">
        <v>2.85</v>
      </c>
      <c r="F45" s="56">
        <v>0.18358117660818715</v>
      </c>
      <c r="G45" s="56">
        <v>0.2481247455105785</v>
      </c>
    </row>
    <row r="46" spans="1:7">
      <c r="A46" s="2" t="s">
        <v>38</v>
      </c>
      <c r="B46" s="83">
        <v>12.448366675999999</v>
      </c>
      <c r="C46" s="24">
        <v>3.1120916689999998</v>
      </c>
      <c r="D46" s="56">
        <v>1.4411167513828902</v>
      </c>
      <c r="E46" s="24">
        <v>61.99</v>
      </c>
      <c r="F46" s="56">
        <v>5.0203124197451196E-2</v>
      </c>
      <c r="G46" s="56">
        <v>0.22804118289659434</v>
      </c>
    </row>
    <row r="47" spans="1:7">
      <c r="A47" s="2" t="s">
        <v>309</v>
      </c>
      <c r="B47" s="83">
        <v>1.851298388</v>
      </c>
      <c r="C47" s="24">
        <v>0.61709946266666671</v>
      </c>
      <c r="D47" s="56">
        <v>0.27635601621607192</v>
      </c>
      <c r="E47" s="24">
        <v>38.26</v>
      </c>
      <c r="F47" s="56">
        <v>1.6129102526572573E-2</v>
      </c>
      <c r="G47" s="56">
        <v>0.22697816617431255</v>
      </c>
    </row>
    <row r="48" spans="1:7">
      <c r="A48" s="2" t="s">
        <v>349</v>
      </c>
      <c r="B48" s="83">
        <v>2.95</v>
      </c>
      <c r="C48" s="24">
        <v>0.98333333333333339</v>
      </c>
      <c r="D48" s="56">
        <v>0.60454237373323505</v>
      </c>
      <c r="E48" s="24">
        <v>53.919999999999995</v>
      </c>
      <c r="F48" s="56">
        <v>1.8236894164193867E-2</v>
      </c>
      <c r="G48" s="56">
        <v>0.20943877551020396</v>
      </c>
    </row>
    <row r="49" spans="1:7">
      <c r="A49" s="2" t="s">
        <v>15</v>
      </c>
      <c r="B49" s="83">
        <v>2.3901704720000003</v>
      </c>
      <c r="C49" s="24">
        <v>0.59754261800000008</v>
      </c>
      <c r="D49" s="56">
        <v>0.50462500883942174</v>
      </c>
      <c r="E49" s="24">
        <v>7.78</v>
      </c>
      <c r="F49" s="56">
        <v>7.6804963753213371E-2</v>
      </c>
      <c r="G49" s="56">
        <v>0.19836836119623028</v>
      </c>
    </row>
    <row r="50" spans="1:7">
      <c r="A50" s="2" t="s">
        <v>434</v>
      </c>
      <c r="B50" s="83">
        <v>0.69240000000000002</v>
      </c>
      <c r="C50" s="24">
        <v>0.1731</v>
      </c>
      <c r="D50" s="56">
        <v>0.2407568567064774</v>
      </c>
      <c r="E50" s="24">
        <v>3.85</v>
      </c>
      <c r="F50" s="56">
        <v>4.4961038961038965E-2</v>
      </c>
      <c r="G50" s="56">
        <v>0.19005325596780651</v>
      </c>
    </row>
    <row r="51" spans="1:7">
      <c r="A51" s="2" t="s">
        <v>198</v>
      </c>
      <c r="B51" s="83">
        <v>2.227204E-2</v>
      </c>
      <c r="C51" s="24">
        <v>5.56801E-3</v>
      </c>
      <c r="D51" s="56">
        <v>0.26641697668818037</v>
      </c>
      <c r="E51" s="24">
        <v>4.12</v>
      </c>
      <c r="F51" s="56">
        <v>1.8019449838187701E-3</v>
      </c>
      <c r="G51" s="56">
        <v>0.18852965340021122</v>
      </c>
    </row>
    <row r="52" spans="1:7">
      <c r="A52" s="2" t="s">
        <v>107</v>
      </c>
      <c r="B52" s="83">
        <v>9.2050000000000001</v>
      </c>
      <c r="C52" s="24">
        <v>2.30125</v>
      </c>
      <c r="D52" s="56">
        <v>0.67976520829611575</v>
      </c>
      <c r="E52" s="24">
        <v>30</v>
      </c>
      <c r="F52" s="56">
        <v>7.6708333333333323E-2</v>
      </c>
      <c r="G52" s="56">
        <v>0.1831074351092267</v>
      </c>
    </row>
    <row r="53" spans="1:7">
      <c r="A53" s="2" t="s">
        <v>190</v>
      </c>
      <c r="B53" s="83">
        <v>0.45699999999999996</v>
      </c>
      <c r="C53" s="24">
        <v>0.11424999999999999</v>
      </c>
      <c r="D53" s="56">
        <v>0.58097440486745289</v>
      </c>
      <c r="E53" s="24">
        <v>3.4</v>
      </c>
      <c r="F53" s="56">
        <v>3.3602941176470592E-2</v>
      </c>
      <c r="G53" s="56">
        <v>0.17417076828742828</v>
      </c>
    </row>
    <row r="54" spans="1:7">
      <c r="A54" s="2" t="s">
        <v>67</v>
      </c>
      <c r="B54" s="83">
        <v>0.45699999999999996</v>
      </c>
      <c r="C54" s="24">
        <v>0.11424999999999999</v>
      </c>
      <c r="D54" s="56">
        <v>0.58097440486745289</v>
      </c>
      <c r="E54" s="24">
        <v>2.1</v>
      </c>
      <c r="F54" s="56">
        <v>5.44047619047619E-2</v>
      </c>
      <c r="G54" s="56">
        <v>0.17417076828742828</v>
      </c>
    </row>
    <row r="55" spans="1:7">
      <c r="A55" s="2" t="s">
        <v>424</v>
      </c>
      <c r="B55" s="83">
        <v>0.92999999999999994</v>
      </c>
      <c r="C55" s="24">
        <v>0.31</v>
      </c>
      <c r="D55" s="56">
        <v>0.11521495903029355</v>
      </c>
      <c r="E55" s="24">
        <v>17.350000000000001</v>
      </c>
      <c r="F55" s="56">
        <v>1.7867435158501439E-2</v>
      </c>
      <c r="G55" s="56">
        <v>0.16225961538461542</v>
      </c>
    </row>
    <row r="56" spans="1:7">
      <c r="A56" s="2" t="s">
        <v>57</v>
      </c>
      <c r="B56" s="83">
        <v>6.1099999999999994</v>
      </c>
      <c r="C56" s="24">
        <v>1.5274999999999999</v>
      </c>
      <c r="D56" s="56">
        <v>3.6038092899769296</v>
      </c>
      <c r="E56" s="24">
        <v>17.95</v>
      </c>
      <c r="F56" s="56">
        <v>8.509749303621171E-2</v>
      </c>
      <c r="G56" s="56">
        <v>0.15065952217574449</v>
      </c>
    </row>
    <row r="57" spans="1:7">
      <c r="A57" s="2" t="s">
        <v>63</v>
      </c>
      <c r="B57" s="83">
        <v>3.3812500000000002E-2</v>
      </c>
      <c r="C57" s="24">
        <v>1.1270833333333334E-2</v>
      </c>
      <c r="D57" s="56">
        <v>0.49690562667042543</v>
      </c>
      <c r="E57" s="24">
        <v>0.26</v>
      </c>
      <c r="F57" s="56">
        <v>4.334935897435898E-2</v>
      </c>
      <c r="G57" s="56">
        <v>0.12067063894523322</v>
      </c>
    </row>
    <row r="58" spans="1:7">
      <c r="A58" s="2" t="s">
        <v>78</v>
      </c>
      <c r="B58" s="83">
        <v>3.1588039999999999</v>
      </c>
      <c r="C58" s="24">
        <v>0.78970099999999999</v>
      </c>
      <c r="D58" s="56">
        <v>0.66880124529726692</v>
      </c>
      <c r="E58" s="24">
        <v>8.6999999999999993</v>
      </c>
      <c r="F58" s="56">
        <v>9.077022988505748E-2</v>
      </c>
      <c r="G58" s="56">
        <v>0.10370370370370363</v>
      </c>
    </row>
    <row r="59" spans="1:7">
      <c r="A59" s="2" t="s">
        <v>266</v>
      </c>
      <c r="B59" s="83">
        <v>1.2305999999999999</v>
      </c>
      <c r="C59" s="24">
        <v>0.30764999999999998</v>
      </c>
      <c r="D59" s="56">
        <v>0.41787587719990676</v>
      </c>
      <c r="E59" s="24">
        <v>10.56</v>
      </c>
      <c r="F59" s="56">
        <v>2.9133522727272727E-2</v>
      </c>
      <c r="G59" s="56">
        <v>0.10117926141247573</v>
      </c>
    </row>
    <row r="60" spans="1:7">
      <c r="A60" s="2" t="s">
        <v>16</v>
      </c>
      <c r="B60" s="83">
        <v>1.2305999999999999</v>
      </c>
      <c r="C60" s="24">
        <v>0.30764999999999998</v>
      </c>
      <c r="D60" s="56">
        <v>0.41787587719990676</v>
      </c>
      <c r="E60" s="24">
        <v>8.6199999999999992</v>
      </c>
      <c r="F60" s="56">
        <v>3.569025522041764E-2</v>
      </c>
      <c r="G60" s="56">
        <v>0.10117926141247573</v>
      </c>
    </row>
    <row r="61" spans="1:7">
      <c r="A61" s="2" t="s">
        <v>435</v>
      </c>
      <c r="B61" s="83">
        <v>0.92269999999999996</v>
      </c>
      <c r="C61" s="24">
        <v>0.23067499999999999</v>
      </c>
      <c r="D61" s="56">
        <v>0.32895734501185681</v>
      </c>
      <c r="E61" s="24">
        <v>4.01</v>
      </c>
      <c r="F61" s="56">
        <v>5.7524937655860343E-2</v>
      </c>
      <c r="G61" s="56">
        <v>0.10033586865480837</v>
      </c>
    </row>
    <row r="62" spans="1:7">
      <c r="A62" s="2" t="s">
        <v>36</v>
      </c>
      <c r="B62" s="83">
        <v>6.8849999999999998</v>
      </c>
      <c r="C62" s="24">
        <v>2.2949999999999999</v>
      </c>
      <c r="D62" s="56">
        <v>1.0319469633494387</v>
      </c>
      <c r="E62" s="24">
        <v>23.459999999999997</v>
      </c>
      <c r="F62" s="56">
        <v>9.7826086956521729E-2</v>
      </c>
      <c r="G62" s="56">
        <v>9.6614173228346478E-2</v>
      </c>
    </row>
    <row r="63" spans="1:7">
      <c r="A63" s="2" t="s">
        <v>311</v>
      </c>
      <c r="B63" s="83">
        <v>1.254969</v>
      </c>
      <c r="C63" s="24">
        <v>0.31374225</v>
      </c>
      <c r="D63" s="56">
        <v>0.3337402763144719</v>
      </c>
      <c r="E63" s="24">
        <v>26.8</v>
      </c>
      <c r="F63" s="56">
        <v>1.1706800373134329E-2</v>
      </c>
      <c r="G63" s="56">
        <v>9.0916974496231637E-2</v>
      </c>
    </row>
    <row r="64" spans="1:7">
      <c r="A64" s="2" t="s">
        <v>80</v>
      </c>
      <c r="B64" s="83">
        <v>1.3681000000000001</v>
      </c>
      <c r="C64" s="24">
        <v>0.34202500000000002</v>
      </c>
      <c r="D64" s="56">
        <v>0.63014566270033845</v>
      </c>
      <c r="E64" s="24">
        <v>6.8</v>
      </c>
      <c r="F64" s="56">
        <v>5.0297794117647066E-2</v>
      </c>
      <c r="G64" s="56">
        <v>9.0558725929369865E-2</v>
      </c>
    </row>
    <row r="65" spans="1:7">
      <c r="A65" s="2" t="s">
        <v>81</v>
      </c>
      <c r="B65" s="83">
        <v>1.7833599999999998</v>
      </c>
      <c r="C65" s="24">
        <v>0.44583999999999996</v>
      </c>
      <c r="D65" s="56">
        <v>0.60787593639212112</v>
      </c>
      <c r="E65" s="24">
        <v>5.97</v>
      </c>
      <c r="F65" s="56">
        <v>7.4680067001675038E-2</v>
      </c>
      <c r="G65" s="56">
        <v>9.055540847311698E-2</v>
      </c>
    </row>
    <row r="66" spans="1:7">
      <c r="A66" s="2" t="s">
        <v>251</v>
      </c>
      <c r="B66" s="83">
        <v>1.0410699999999999</v>
      </c>
      <c r="C66" s="24">
        <v>0.26026749999999998</v>
      </c>
      <c r="D66" s="56">
        <v>0.35489823087446021</v>
      </c>
      <c r="E66" s="24">
        <v>3.6</v>
      </c>
      <c r="F66" s="56">
        <v>7.2296527777777786E-2</v>
      </c>
      <c r="G66" s="56">
        <v>8.9320052374731576E-2</v>
      </c>
    </row>
    <row r="67" spans="1:7">
      <c r="A67" s="2" t="s">
        <v>253</v>
      </c>
      <c r="B67" s="83">
        <v>0.89261000000000001</v>
      </c>
      <c r="C67" s="24">
        <v>0.2231525</v>
      </c>
      <c r="D67" s="56">
        <v>0.3043021650591613</v>
      </c>
      <c r="E67" s="24">
        <v>3.82</v>
      </c>
      <c r="F67" s="56">
        <v>5.8416884816753931E-2</v>
      </c>
      <c r="G67" s="56">
        <v>8.8818510716668422E-2</v>
      </c>
    </row>
    <row r="68" spans="1:7">
      <c r="A68" s="2" t="s">
        <v>250</v>
      </c>
      <c r="B68" s="83">
        <v>0.74415000000000009</v>
      </c>
      <c r="C68" s="24">
        <v>0.18603750000000002</v>
      </c>
      <c r="D68" s="56">
        <v>0.25370503766276303</v>
      </c>
      <c r="E68" s="24">
        <v>3.27</v>
      </c>
      <c r="F68" s="56">
        <v>5.6892201834862384E-2</v>
      </c>
      <c r="G68" s="56">
        <v>8.8159911442197522E-2</v>
      </c>
    </row>
    <row r="69" spans="1:7">
      <c r="A69" s="2" t="s">
        <v>252</v>
      </c>
      <c r="B69" s="83">
        <v>0.74415000000000009</v>
      </c>
      <c r="C69" s="24">
        <v>0.18603750000000002</v>
      </c>
      <c r="D69" s="56">
        <v>0.25370503766276303</v>
      </c>
      <c r="E69" s="24">
        <v>3.81</v>
      </c>
      <c r="F69" s="56">
        <v>4.8828740157480316E-2</v>
      </c>
      <c r="G69" s="56">
        <v>8.8159911442197522E-2</v>
      </c>
    </row>
    <row r="70" spans="1:7">
      <c r="A70" s="2" t="s">
        <v>34</v>
      </c>
      <c r="B70" s="83">
        <v>4.25352</v>
      </c>
      <c r="C70" s="24">
        <v>1.06338</v>
      </c>
      <c r="D70" s="56">
        <v>0.30524903922734314</v>
      </c>
      <c r="E70" s="24">
        <v>22.2</v>
      </c>
      <c r="F70" s="56">
        <v>4.7900000000000005E-2</v>
      </c>
      <c r="G70" s="56">
        <v>8.7348517535911774E-2</v>
      </c>
    </row>
    <row r="71" spans="1:7">
      <c r="A71" s="2" t="s">
        <v>108</v>
      </c>
      <c r="B71" s="83">
        <v>4.6796800000000003</v>
      </c>
      <c r="C71" s="24">
        <v>1.1699200000000001</v>
      </c>
      <c r="D71" s="56">
        <v>0.33582916423156933</v>
      </c>
      <c r="E71" s="24">
        <v>30.83</v>
      </c>
      <c r="F71" s="56">
        <v>3.7947453778786902E-2</v>
      </c>
      <c r="G71" s="56">
        <v>8.7323904912885622E-2</v>
      </c>
    </row>
    <row r="72" spans="1:7">
      <c r="A72" s="2" t="s">
        <v>335</v>
      </c>
      <c r="B72" s="83">
        <v>4.7659533490000001</v>
      </c>
      <c r="C72" s="24">
        <v>1.19148833725</v>
      </c>
      <c r="D72" s="56">
        <v>0.33996836443315553</v>
      </c>
      <c r="E72" s="24">
        <v>18.16</v>
      </c>
      <c r="F72" s="56">
        <v>6.5610591258259923E-2</v>
      </c>
      <c r="G72" s="56">
        <v>8.6499433003012591E-2</v>
      </c>
    </row>
    <row r="73" spans="1:7">
      <c r="A73" s="2" t="s">
        <v>336</v>
      </c>
      <c r="B73" s="83">
        <v>5.2425486910000005</v>
      </c>
      <c r="C73" s="24">
        <v>1.3106371727500001</v>
      </c>
      <c r="D73" s="56">
        <v>0.37396520131393723</v>
      </c>
      <c r="E73" s="24">
        <v>22.41</v>
      </c>
      <c r="F73" s="56">
        <v>5.8484478926818385E-2</v>
      </c>
      <c r="G73" s="56">
        <v>8.6499432590501898E-2</v>
      </c>
    </row>
    <row r="74" spans="1:7">
      <c r="A74" s="2" t="s">
        <v>420</v>
      </c>
      <c r="B74" s="83">
        <v>1.462</v>
      </c>
      <c r="C74" s="24">
        <v>0.36549999999999999</v>
      </c>
      <c r="D74" s="56">
        <v>0.43259017108800807</v>
      </c>
      <c r="E74" s="24">
        <v>21.35</v>
      </c>
      <c r="F74" s="56">
        <v>1.7119437939110069E-2</v>
      </c>
      <c r="G74" s="56">
        <v>8.5906928661074231E-2</v>
      </c>
    </row>
    <row r="75" spans="1:7">
      <c r="A75" s="2" t="s">
        <v>85</v>
      </c>
      <c r="B75" s="83">
        <v>2.8334000000000001</v>
      </c>
      <c r="C75" s="24">
        <v>0.94446666666666668</v>
      </c>
      <c r="D75" s="56">
        <v>0.43273605067700688</v>
      </c>
      <c r="E75" s="24">
        <v>31.25</v>
      </c>
      <c r="F75" s="56">
        <v>3.022293333333333E-2</v>
      </c>
      <c r="G75" s="56">
        <v>7.9096424284918587E-2</v>
      </c>
    </row>
    <row r="76" spans="1:7">
      <c r="A76" s="2" t="s">
        <v>264</v>
      </c>
      <c r="B76" s="83">
        <v>2.8334000000000001</v>
      </c>
      <c r="C76" s="24">
        <v>0.94446666666666668</v>
      </c>
      <c r="D76" s="56">
        <v>0.43273605067700688</v>
      </c>
      <c r="E76" s="24">
        <v>28.99</v>
      </c>
      <c r="F76" s="56">
        <v>3.2579050247211687E-2</v>
      </c>
      <c r="G76" s="56">
        <v>7.9096424284918587E-2</v>
      </c>
    </row>
    <row r="77" spans="1:7">
      <c r="A77" s="2" t="s">
        <v>33</v>
      </c>
      <c r="B77" s="83">
        <v>9.7471562050000013</v>
      </c>
      <c r="C77" s="24">
        <v>2.4367890512500003</v>
      </c>
      <c r="D77" s="56">
        <v>1.1397628762293932</v>
      </c>
      <c r="E77" s="24">
        <v>18.760000000000002</v>
      </c>
      <c r="F77" s="56">
        <v>0.12989280656982941</v>
      </c>
      <c r="G77" s="56">
        <v>7.7854297092280492E-2</v>
      </c>
    </row>
    <row r="78" spans="1:7">
      <c r="A78" s="2" t="s">
        <v>29</v>
      </c>
      <c r="B78" s="83">
        <v>8.8610510949999988</v>
      </c>
      <c r="C78" s="24">
        <v>2.2152627737499997</v>
      </c>
      <c r="D78" s="56">
        <v>1.036148069258843</v>
      </c>
      <c r="E78" s="24">
        <v>17.239999999999998</v>
      </c>
      <c r="F78" s="56">
        <v>0.12849552051914154</v>
      </c>
      <c r="G78" s="56">
        <v>7.7854296936488085E-2</v>
      </c>
    </row>
    <row r="79" spans="1:7">
      <c r="A79" s="2" t="s">
        <v>383</v>
      </c>
      <c r="B79" s="83">
        <v>3.8963190000000001</v>
      </c>
      <c r="C79" s="24">
        <v>0.97407975000000002</v>
      </c>
      <c r="D79" s="56">
        <v>0.90821522332465576</v>
      </c>
      <c r="E79" s="24">
        <v>20</v>
      </c>
      <c r="F79" s="56">
        <v>4.8703987500000004E-2</v>
      </c>
      <c r="G79" s="56">
        <v>7.4563103200104022E-2</v>
      </c>
    </row>
    <row r="80" spans="1:7">
      <c r="A80" s="2" t="s">
        <v>24</v>
      </c>
      <c r="B80" s="83">
        <v>6.4904219379999999</v>
      </c>
      <c r="C80" s="24">
        <v>1.6226054845</v>
      </c>
      <c r="D80" s="56">
        <v>0.40025891489587845</v>
      </c>
      <c r="E80" s="24">
        <v>23.17</v>
      </c>
      <c r="F80" s="56">
        <v>7.0030448187311162E-2</v>
      </c>
      <c r="G80" s="56">
        <v>6.9197227409488596E-2</v>
      </c>
    </row>
    <row r="81" spans="1:7">
      <c r="A81" s="2" t="s">
        <v>22</v>
      </c>
      <c r="B81" s="83">
        <v>2.27</v>
      </c>
      <c r="C81" s="24">
        <v>0.5675</v>
      </c>
      <c r="D81" s="56">
        <v>0.38903884611110762</v>
      </c>
      <c r="E81" s="24">
        <v>12.19</v>
      </c>
      <c r="F81" s="56">
        <v>4.6554552912223136E-2</v>
      </c>
      <c r="G81" s="56">
        <v>6.7755991285403036E-2</v>
      </c>
    </row>
    <row r="82" spans="1:7">
      <c r="A82" s="2" t="s">
        <v>219</v>
      </c>
      <c r="B82" s="83">
        <v>1.4411</v>
      </c>
      <c r="C82" s="24">
        <v>0.36027500000000001</v>
      </c>
      <c r="D82" s="56">
        <v>0.45013216229230024</v>
      </c>
      <c r="E82" s="24">
        <v>5.64</v>
      </c>
      <c r="F82" s="56">
        <v>6.3878546099290778E-2</v>
      </c>
      <c r="G82" s="56">
        <v>5.9871710282068502E-2</v>
      </c>
    </row>
    <row r="83" spans="1:7">
      <c r="A83" s="2" t="s">
        <v>223</v>
      </c>
      <c r="B83" s="83">
        <v>3.9772269699999998</v>
      </c>
      <c r="C83" s="24">
        <v>0.99430674249999995</v>
      </c>
      <c r="D83" s="56">
        <v>0.41507496875695749</v>
      </c>
      <c r="E83" s="24">
        <v>27.83</v>
      </c>
      <c r="F83" s="56">
        <v>3.5727874326266618E-2</v>
      </c>
      <c r="G83" s="56">
        <v>5.225953016631054E-2</v>
      </c>
    </row>
    <row r="84" spans="1:7">
      <c r="A84" s="2" t="s">
        <v>222</v>
      </c>
      <c r="B84" s="83">
        <v>3.615661427</v>
      </c>
      <c r="C84" s="24">
        <v>0.90391535675000001</v>
      </c>
      <c r="D84" s="56">
        <v>0.37734094800257278</v>
      </c>
      <c r="E84" s="24">
        <v>30.03</v>
      </c>
      <c r="F84" s="56">
        <v>3.0100411480186478E-2</v>
      </c>
      <c r="G84" s="56">
        <v>5.2259373849603108E-2</v>
      </c>
    </row>
    <row r="85" spans="1:7">
      <c r="A85" s="2" t="s">
        <v>346</v>
      </c>
      <c r="B85" s="83">
        <v>16.970529425000002</v>
      </c>
      <c r="C85" s="24">
        <v>4.2426323562500006</v>
      </c>
      <c r="D85" s="56">
        <v>0.42680662187286622</v>
      </c>
      <c r="E85" s="24">
        <v>158.99</v>
      </c>
      <c r="F85" s="56">
        <v>2.668490066199132E-2</v>
      </c>
      <c r="G85" s="56">
        <v>3.5623214494686972E-2</v>
      </c>
    </row>
    <row r="86" spans="1:7">
      <c r="A86" s="2" t="s">
        <v>2</v>
      </c>
      <c r="B86" s="83">
        <v>4.4248321872199998</v>
      </c>
      <c r="C86" s="24">
        <v>0.88496643744399994</v>
      </c>
      <c r="D86" s="56">
        <v>1.1348239525562784</v>
      </c>
      <c r="E86" s="24">
        <v>5.65</v>
      </c>
      <c r="F86" s="56">
        <v>0.15663122786619468</v>
      </c>
      <c r="G86" s="56">
        <v>2.6857772724280471E-2</v>
      </c>
    </row>
    <row r="87" spans="1:7">
      <c r="A87" s="2" t="s">
        <v>60</v>
      </c>
      <c r="B87" s="83">
        <v>9.8954472679999989E-2</v>
      </c>
      <c r="C87" s="24">
        <v>2.4738618169999997E-2</v>
      </c>
      <c r="D87" s="56">
        <v>0.36351567797691797</v>
      </c>
      <c r="E87" s="24">
        <v>0.47</v>
      </c>
      <c r="F87" s="56">
        <v>5.2635357808510641E-2</v>
      </c>
      <c r="G87" s="56">
        <v>2.4994693817728637E-2</v>
      </c>
    </row>
    <row r="88" spans="1:7">
      <c r="A88" s="2" t="s">
        <v>61</v>
      </c>
      <c r="B88" s="83">
        <v>9.8954472679999989E-2</v>
      </c>
      <c r="C88" s="24">
        <v>2.4738618169999997E-2</v>
      </c>
      <c r="D88" s="56">
        <v>0.36351567797691797</v>
      </c>
      <c r="E88" s="24">
        <v>0.46</v>
      </c>
      <c r="F88" s="56">
        <v>5.3779604717391301E-2</v>
      </c>
      <c r="G88" s="56">
        <v>2.4994693817728637E-2</v>
      </c>
    </row>
    <row r="89" spans="1:7">
      <c r="A89" s="2" t="s">
        <v>204</v>
      </c>
      <c r="B89" s="83">
        <v>0.18207999999999999</v>
      </c>
      <c r="C89" s="24">
        <v>6.0693333333333328E-2</v>
      </c>
      <c r="D89" s="56">
        <v>0.5857126326415365</v>
      </c>
      <c r="E89" s="24">
        <v>3.25</v>
      </c>
      <c r="F89" s="56">
        <v>1.8674871794871793E-2</v>
      </c>
      <c r="G89" s="56">
        <v>1.7187402417869646E-2</v>
      </c>
    </row>
    <row r="90" spans="1:7">
      <c r="A90" s="2" t="s">
        <v>56</v>
      </c>
      <c r="B90" s="83">
        <v>4.88</v>
      </c>
      <c r="C90" s="24">
        <v>1.6266666666666667</v>
      </c>
      <c r="D90" s="56">
        <v>0.79479552403967901</v>
      </c>
      <c r="E90" s="24">
        <v>20.61</v>
      </c>
      <c r="F90" s="56">
        <v>7.892608765971211E-2</v>
      </c>
      <c r="G90" s="56">
        <v>1.1166800320769776E-2</v>
      </c>
    </row>
    <row r="91" spans="1:7">
      <c r="A91" s="2" t="s">
        <v>21</v>
      </c>
      <c r="B91" s="83">
        <v>3.8600000000000003</v>
      </c>
      <c r="C91" s="24">
        <v>0.96500000000000008</v>
      </c>
      <c r="D91" s="56">
        <v>0.38236062761569822</v>
      </c>
      <c r="E91" s="24">
        <v>16.04</v>
      </c>
      <c r="F91" s="56">
        <v>6.0162094763092269E-2</v>
      </c>
      <c r="G91" s="56">
        <v>6.9642235601667934E-3</v>
      </c>
    </row>
    <row r="92" spans="1:7">
      <c r="A92" s="2" t="s">
        <v>390</v>
      </c>
      <c r="B92" s="83">
        <v>2.5</v>
      </c>
      <c r="C92" s="24">
        <v>0.83333333333333337</v>
      </c>
      <c r="D92" s="56">
        <v>0.72124852747572954</v>
      </c>
      <c r="E92" s="24">
        <v>8.2799999999999994</v>
      </c>
      <c r="F92" s="56">
        <v>0.10064412238325282</v>
      </c>
      <c r="G92" s="56">
        <v>6.9444444444444753E-3</v>
      </c>
    </row>
    <row r="93" spans="1:7">
      <c r="A93" s="2" t="s">
        <v>230</v>
      </c>
      <c r="B93" s="83">
        <v>1.6497329999999999</v>
      </c>
      <c r="C93" s="24">
        <v>0.82486649999999995</v>
      </c>
      <c r="D93" s="56">
        <v>0.39260782255861065</v>
      </c>
      <c r="E93" s="24">
        <v>15.72</v>
      </c>
      <c r="F93" s="56">
        <v>5.2472423664122136E-2</v>
      </c>
      <c r="G93" s="56">
        <v>3.8711338766119763E-3</v>
      </c>
    </row>
    <row r="94" spans="1:7">
      <c r="A94" s="2" t="s">
        <v>30</v>
      </c>
      <c r="B94" s="83">
        <v>6.5786055000000001</v>
      </c>
      <c r="C94" s="24">
        <v>1.644651375</v>
      </c>
      <c r="D94" s="56">
        <v>0.65026428573600636</v>
      </c>
      <c r="E94" s="24">
        <v>13.3</v>
      </c>
      <c r="F94" s="56">
        <v>0.12365799812030075</v>
      </c>
      <c r="G94" s="56">
        <v>1.4261946532999243E-3</v>
      </c>
    </row>
    <row r="95" spans="1:7">
      <c r="A95" s="2" t="s">
        <v>31</v>
      </c>
      <c r="B95" s="83">
        <v>6.5786055000000001</v>
      </c>
      <c r="C95" s="24">
        <v>1.644651375</v>
      </c>
      <c r="D95" s="56">
        <v>0.65026428573600636</v>
      </c>
      <c r="E95" s="24">
        <v>13.81</v>
      </c>
      <c r="F95" s="56">
        <v>0.1190913377986966</v>
      </c>
      <c r="G95" s="56">
        <v>1.4261946532999243E-3</v>
      </c>
    </row>
    <row r="96" spans="1:7">
      <c r="A96" s="2" t="s">
        <v>200</v>
      </c>
      <c r="B96" s="83">
        <v>6.1364000000000001</v>
      </c>
      <c r="C96" s="24">
        <v>1.5341</v>
      </c>
      <c r="D96" s="56">
        <v>0.33954720063196125</v>
      </c>
      <c r="E96" s="24">
        <v>32.880000000000003</v>
      </c>
      <c r="F96" s="56">
        <v>4.6657542579075423E-2</v>
      </c>
      <c r="G96" s="56">
        <v>6.3363537047752183E-4</v>
      </c>
    </row>
    <row r="97" spans="1:7">
      <c r="A97" s="2" t="s">
        <v>456</v>
      </c>
      <c r="B97" s="83">
        <v>0.9954118743</v>
      </c>
      <c r="C97" s="24">
        <v>0.33180395810000002</v>
      </c>
      <c r="D97" s="56">
        <v>0.70741378984472159</v>
      </c>
      <c r="E97" s="24">
        <v>8.9600000000000009</v>
      </c>
      <c r="F97" s="56">
        <v>3.7031691752232143E-2</v>
      </c>
      <c r="G97" s="56">
        <v>0</v>
      </c>
    </row>
    <row r="98" spans="1:7">
      <c r="A98" s="2" t="s">
        <v>94</v>
      </c>
      <c r="B98" s="83">
        <v>5.4690898827999996</v>
      </c>
      <c r="C98" s="24">
        <v>1.8230299609333331</v>
      </c>
      <c r="D98" s="56">
        <v>5.3177960130440907</v>
      </c>
      <c r="E98" s="24">
        <v>21.64</v>
      </c>
      <c r="F98" s="56">
        <v>8.4243528693776951E-2</v>
      </c>
      <c r="G98" s="56">
        <v>-1.2454999865644245E-3</v>
      </c>
    </row>
    <row r="99" spans="1:7">
      <c r="A99" s="2" t="s">
        <v>27</v>
      </c>
      <c r="B99" s="83">
        <v>8.2625549730899994</v>
      </c>
      <c r="C99" s="24">
        <v>1.6525109946179999</v>
      </c>
      <c r="D99" s="56">
        <v>3.7191222820393564</v>
      </c>
      <c r="E99" s="24">
        <v>9.57</v>
      </c>
      <c r="F99" s="56">
        <v>0.17267617498620688</v>
      </c>
      <c r="G99" s="56">
        <v>-3.3997138315852993E-3</v>
      </c>
    </row>
    <row r="100" spans="1:7">
      <c r="A100" s="2" t="s">
        <v>379</v>
      </c>
      <c r="B100" s="83">
        <v>5.4585361433999999</v>
      </c>
      <c r="C100" s="24">
        <v>1.8195120478</v>
      </c>
      <c r="D100" s="56">
        <v>0.50530256504079152</v>
      </c>
      <c r="E100" s="24">
        <v>30.23</v>
      </c>
      <c r="F100" s="56">
        <v>6.0188952954019187E-2</v>
      </c>
      <c r="G100" s="56">
        <v>-1.0704388878146287E-2</v>
      </c>
    </row>
    <row r="101" spans="1:7">
      <c r="A101" s="2" t="s">
        <v>429</v>
      </c>
      <c r="B101" s="83">
        <v>1.5331399999999999</v>
      </c>
      <c r="C101" s="24">
        <v>0.51104666666666665</v>
      </c>
      <c r="D101" s="56">
        <v>0.3971899422750666</v>
      </c>
      <c r="E101" s="24">
        <v>6.580000000000001</v>
      </c>
      <c r="F101" s="56">
        <v>7.7666666666666676E-2</v>
      </c>
      <c r="G101" s="56">
        <v>-1.2466489338088582E-2</v>
      </c>
    </row>
    <row r="102" spans="1:7">
      <c r="A102" s="2" t="s">
        <v>205</v>
      </c>
      <c r="B102" s="83">
        <v>0.19408999999999998</v>
      </c>
      <c r="C102" s="24">
        <v>6.4696666666666666E-2</v>
      </c>
      <c r="D102" s="56">
        <v>0.63120967245066673</v>
      </c>
      <c r="E102" s="24">
        <v>3.36</v>
      </c>
      <c r="F102" s="56">
        <v>1.925496031746032E-2</v>
      </c>
      <c r="G102" s="56">
        <v>-2.941445510940921E-2</v>
      </c>
    </row>
    <row r="103" spans="1:7">
      <c r="A103" s="2" t="s">
        <v>97</v>
      </c>
      <c r="B103" s="83">
        <v>13.652122757800001</v>
      </c>
      <c r="C103" s="24">
        <v>3.4130306894500002</v>
      </c>
      <c r="D103" s="56">
        <v>0.76692732207874426</v>
      </c>
      <c r="E103" s="24">
        <v>32.01</v>
      </c>
      <c r="F103" s="56">
        <v>0.106623889079975</v>
      </c>
      <c r="G103" s="56">
        <v>-4.6587489771775813E-2</v>
      </c>
    </row>
    <row r="104" spans="1:7">
      <c r="A104" s="2" t="s">
        <v>96</v>
      </c>
      <c r="B104" s="83">
        <v>13.652122757800001</v>
      </c>
      <c r="C104" s="24">
        <v>3.4130306894500002</v>
      </c>
      <c r="D104" s="56">
        <v>0.76692732207874426</v>
      </c>
      <c r="E104" s="24">
        <v>31.98</v>
      </c>
      <c r="F104" s="56">
        <v>0.10672391148999376</v>
      </c>
      <c r="G104" s="56">
        <v>-4.6587489771775813E-2</v>
      </c>
    </row>
    <row r="105" spans="1:7">
      <c r="A105" s="2" t="s">
        <v>229</v>
      </c>
      <c r="B105" s="83">
        <v>1.6382859999999999</v>
      </c>
      <c r="C105" s="24">
        <v>0.81914299999999995</v>
      </c>
      <c r="D105" s="56">
        <v>0.38934546499886002</v>
      </c>
      <c r="E105" s="24">
        <v>12.2</v>
      </c>
      <c r="F105" s="56">
        <v>6.7142868852459014E-2</v>
      </c>
      <c r="G105" s="56">
        <v>-5.0307100379754832E-2</v>
      </c>
    </row>
    <row r="106" spans="1:7">
      <c r="A106" s="2" t="s">
        <v>23</v>
      </c>
      <c r="B106" s="83">
        <v>1.6385939999999999</v>
      </c>
      <c r="C106" s="24">
        <v>0.81929699999999994</v>
      </c>
      <c r="D106" s="56">
        <v>0.38941510854732531</v>
      </c>
      <c r="E106" s="24">
        <v>11.85</v>
      </c>
      <c r="F106" s="56">
        <v>6.9138987341772151E-2</v>
      </c>
      <c r="G106" s="56">
        <v>-5.0655077939582682E-2</v>
      </c>
    </row>
    <row r="107" spans="1:7">
      <c r="A107" s="2" t="s">
        <v>240</v>
      </c>
      <c r="B107" s="83">
        <v>8.8817249693799987</v>
      </c>
      <c r="C107" s="24">
        <v>2.2204312423449997</v>
      </c>
      <c r="D107" s="56">
        <v>0.50160075598307408</v>
      </c>
      <c r="E107" s="24">
        <v>28.74</v>
      </c>
      <c r="F107" s="56">
        <v>7.7259263825504521E-2</v>
      </c>
      <c r="G107" s="56">
        <v>-6.5004555008832066E-2</v>
      </c>
    </row>
    <row r="108" spans="1:7">
      <c r="A108" s="2" t="s">
        <v>241</v>
      </c>
      <c r="B108" s="83">
        <v>9.7698974651009998</v>
      </c>
      <c r="C108" s="24">
        <v>2.4424743662752499</v>
      </c>
      <c r="D108" s="56">
        <v>0.55176083148968624</v>
      </c>
      <c r="E108" s="24">
        <v>23.54</v>
      </c>
      <c r="F108" s="56">
        <v>0.10375846925553314</v>
      </c>
      <c r="G108" s="56">
        <v>-6.5004555083922846E-2</v>
      </c>
    </row>
    <row r="109" spans="1:7">
      <c r="A109" s="2" t="s">
        <v>74</v>
      </c>
      <c r="B109" s="83">
        <v>7.2758506000000001</v>
      </c>
      <c r="C109" s="24">
        <v>1.45517012</v>
      </c>
      <c r="D109" s="56">
        <v>0.29963156324701223</v>
      </c>
      <c r="E109" s="24">
        <v>15.9</v>
      </c>
      <c r="F109" s="56">
        <v>0.11440016666666665</v>
      </c>
      <c r="G109" s="56">
        <v>-7.5116926343530982E-2</v>
      </c>
    </row>
    <row r="110" spans="1:7">
      <c r="A110" s="2" t="s">
        <v>234</v>
      </c>
      <c r="B110" s="83">
        <v>1.5524389780000001</v>
      </c>
      <c r="C110" s="24">
        <v>0.5174796593333334</v>
      </c>
      <c r="D110" s="56">
        <v>0.69029873873004899</v>
      </c>
      <c r="E110" s="24">
        <v>9.65</v>
      </c>
      <c r="F110" s="56">
        <v>5.3624835164075992E-2</v>
      </c>
      <c r="G110" s="56">
        <v>-9.1759794496895752E-2</v>
      </c>
    </row>
    <row r="111" spans="1:7">
      <c r="A111" s="2" t="s">
        <v>10</v>
      </c>
      <c r="B111" s="83">
        <v>1.5524389780000001</v>
      </c>
      <c r="C111" s="24">
        <v>0.5174796593333334</v>
      </c>
      <c r="D111" s="56">
        <v>0.69029873873004899</v>
      </c>
      <c r="E111" s="24">
        <v>7.4000000000000012</v>
      </c>
      <c r="F111" s="56">
        <v>6.9929683693693692E-2</v>
      </c>
      <c r="G111" s="56">
        <v>-9.1759794496895752E-2</v>
      </c>
    </row>
    <row r="112" spans="1:7">
      <c r="A112" s="2" t="s">
        <v>333</v>
      </c>
      <c r="B112" s="83">
        <v>11.674650672030999</v>
      </c>
      <c r="C112" s="24">
        <v>3.891550224010333</v>
      </c>
      <c r="D112" s="56">
        <v>0.96704817187555625</v>
      </c>
      <c r="E112" s="24">
        <v>41.55</v>
      </c>
      <c r="F112" s="56">
        <v>9.3659451841403937E-2</v>
      </c>
      <c r="G112" s="56">
        <v>-0.11031505988972151</v>
      </c>
    </row>
    <row r="113" spans="1:7">
      <c r="A113" s="2" t="s">
        <v>334</v>
      </c>
      <c r="B113" s="83">
        <v>12.842145739234001</v>
      </c>
      <c r="C113" s="24">
        <v>4.2807152464113338</v>
      </c>
      <c r="D113" s="56">
        <v>1.0637552383770628</v>
      </c>
      <c r="E113" s="24">
        <v>46.9</v>
      </c>
      <c r="F113" s="56">
        <v>9.1273246192139321E-2</v>
      </c>
      <c r="G113" s="56">
        <v>-0.11031731924192967</v>
      </c>
    </row>
    <row r="114" spans="1:7">
      <c r="A114" s="2" t="s">
        <v>64</v>
      </c>
      <c r="B114" s="83">
        <v>9.0676000000000007E-2</v>
      </c>
      <c r="C114" s="24">
        <v>3.0225333333333337E-2</v>
      </c>
      <c r="D114" s="56">
        <v>0.75262718633546799</v>
      </c>
      <c r="E114" s="24">
        <v>0.33</v>
      </c>
      <c r="F114" s="56">
        <v>9.1591919191919183E-2</v>
      </c>
      <c r="G114" s="56">
        <v>-0.14087274089882174</v>
      </c>
    </row>
    <row r="115" spans="1:7">
      <c r="A115" s="2" t="s">
        <v>28</v>
      </c>
      <c r="B115" s="83">
        <v>7.2077080000000002</v>
      </c>
      <c r="C115" s="24">
        <v>1.8019270000000001</v>
      </c>
      <c r="D115" s="56">
        <v>1.6072307401235155</v>
      </c>
      <c r="E115" s="24">
        <v>10.25</v>
      </c>
      <c r="F115" s="56">
        <v>0.17579775609756099</v>
      </c>
      <c r="G115" s="56">
        <v>-0.14222220850141606</v>
      </c>
    </row>
    <row r="116" spans="1:7">
      <c r="A116" s="2" t="s">
        <v>371</v>
      </c>
      <c r="B116" s="83">
        <v>0.75937399999999999</v>
      </c>
      <c r="C116" s="24">
        <v>0.25312466666666666</v>
      </c>
      <c r="D116" s="56">
        <v>0.2386150637582162</v>
      </c>
      <c r="E116" s="24">
        <v>6.61</v>
      </c>
      <c r="F116" s="56">
        <v>3.8294200706001001E-2</v>
      </c>
      <c r="G116" s="56">
        <v>-0.15523904981974984</v>
      </c>
    </row>
    <row r="117" spans="1:7">
      <c r="A117" s="2" t="s">
        <v>272</v>
      </c>
      <c r="B117" s="83">
        <v>0.78071854900000004</v>
      </c>
      <c r="C117" s="24">
        <v>0.26023951633333336</v>
      </c>
      <c r="D117" s="56">
        <v>0.22491646614074809</v>
      </c>
      <c r="E117" s="24">
        <v>19</v>
      </c>
      <c r="F117" s="56">
        <v>1.3696816649122806E-2</v>
      </c>
      <c r="G117" s="56">
        <v>-0.16244899646704386</v>
      </c>
    </row>
    <row r="118" spans="1:7">
      <c r="A118" s="2" t="s">
        <v>83</v>
      </c>
      <c r="B118" s="83">
        <v>0.85880996100000007</v>
      </c>
      <c r="C118" s="24">
        <v>0.286269987</v>
      </c>
      <c r="D118" s="56">
        <v>0.24741229164584114</v>
      </c>
      <c r="E118" s="24">
        <v>12.35</v>
      </c>
      <c r="F118" s="56">
        <v>2.317975603238866E-2</v>
      </c>
      <c r="G118" s="56">
        <v>-0.16247369231826853</v>
      </c>
    </row>
    <row r="119" spans="1:7">
      <c r="A119" s="2" t="s">
        <v>351</v>
      </c>
      <c r="B119" s="83">
        <v>3.5139</v>
      </c>
      <c r="C119" s="24">
        <v>1.1713</v>
      </c>
      <c r="D119" s="56">
        <v>0.19103666588090965</v>
      </c>
      <c r="E119" s="24">
        <v>4.8099999999999996</v>
      </c>
      <c r="F119" s="56">
        <v>0.2435135135135135</v>
      </c>
      <c r="G119" s="56">
        <v>-0.16972719466279146</v>
      </c>
    </row>
    <row r="120" spans="1:7">
      <c r="A120" s="2" t="s">
        <v>20</v>
      </c>
      <c r="B120" s="83">
        <v>3.37</v>
      </c>
      <c r="C120" s="24">
        <v>0.84250000000000003</v>
      </c>
      <c r="D120" s="56">
        <v>0.30588500522710332</v>
      </c>
      <c r="E120" s="24">
        <v>15.12</v>
      </c>
      <c r="F120" s="56">
        <v>5.5720899470899476E-2</v>
      </c>
      <c r="G120" s="56">
        <v>-0.17057200832389119</v>
      </c>
    </row>
    <row r="121" spans="1:7">
      <c r="A121" s="2" t="s">
        <v>86</v>
      </c>
      <c r="B121" s="83">
        <v>10.566447375500001</v>
      </c>
      <c r="C121" s="24">
        <v>3.522149125166667</v>
      </c>
      <c r="D121" s="56">
        <v>0.61566379005177641</v>
      </c>
      <c r="E121" s="24">
        <v>48.1</v>
      </c>
      <c r="F121" s="56">
        <v>7.3225553537768537E-2</v>
      </c>
      <c r="G121" s="56">
        <v>-0.19746850162991342</v>
      </c>
    </row>
    <row r="122" spans="1:7">
      <c r="A122" s="2" t="s">
        <v>101</v>
      </c>
      <c r="B122" s="83">
        <v>10.566447375500001</v>
      </c>
      <c r="C122" s="24">
        <v>3.522149125166667</v>
      </c>
      <c r="D122" s="56">
        <v>0.61566379005177641</v>
      </c>
      <c r="E122" s="24">
        <v>48.35</v>
      </c>
      <c r="F122" s="56">
        <v>7.2846931234057222E-2</v>
      </c>
      <c r="G122" s="56">
        <v>-0.19746850162991342</v>
      </c>
    </row>
    <row r="123" spans="1:7">
      <c r="A123" s="2" t="s">
        <v>218</v>
      </c>
      <c r="B123" s="83">
        <v>0.54610000000000003</v>
      </c>
      <c r="C123" s="24">
        <v>0.13652500000000001</v>
      </c>
      <c r="D123" s="56">
        <v>0.16455420283136202</v>
      </c>
      <c r="E123" s="24">
        <v>6.61</v>
      </c>
      <c r="F123" s="56">
        <v>2.0654311649016641E-2</v>
      </c>
      <c r="G123" s="56">
        <v>-0.1992464001740869</v>
      </c>
    </row>
    <row r="124" spans="1:7">
      <c r="A124" s="2" t="s">
        <v>71</v>
      </c>
      <c r="B124" s="83">
        <v>3.8026608390000005</v>
      </c>
      <c r="C124" s="24">
        <v>0.95066520975000013</v>
      </c>
      <c r="D124" s="56">
        <v>0.65697940671349686</v>
      </c>
      <c r="E124" s="24">
        <v>9</v>
      </c>
      <c r="F124" s="56">
        <v>0.10562946775000001</v>
      </c>
      <c r="G124" s="56">
        <v>-0.2010257987879541</v>
      </c>
    </row>
    <row r="125" spans="1:7">
      <c r="A125" s="2" t="s">
        <v>104</v>
      </c>
      <c r="B125" s="83">
        <v>3.8026608390000005</v>
      </c>
      <c r="C125" s="24">
        <v>0.95066520975000013</v>
      </c>
      <c r="D125" s="56">
        <v>0.65697940671349686</v>
      </c>
      <c r="E125" s="24">
        <v>10.119999999999999</v>
      </c>
      <c r="F125" s="56">
        <v>9.3939249975296457E-2</v>
      </c>
      <c r="G125" s="56">
        <v>-0.2010257987879541</v>
      </c>
    </row>
    <row r="126" spans="1:7">
      <c r="A126" s="2" t="s">
        <v>103</v>
      </c>
      <c r="B126" s="83">
        <v>3.4569644519999994</v>
      </c>
      <c r="C126" s="24">
        <v>0.86424111299999984</v>
      </c>
      <c r="D126" s="56">
        <v>0.59725401518756449</v>
      </c>
      <c r="E126" s="24">
        <v>9.5</v>
      </c>
      <c r="F126" s="56">
        <v>9.0972748736842093E-2</v>
      </c>
      <c r="G126" s="56">
        <v>-0.20102582181699835</v>
      </c>
    </row>
    <row r="127" spans="1:7">
      <c r="A127" s="2" t="s">
        <v>68</v>
      </c>
      <c r="B127" s="83">
        <v>1.0374854550000001</v>
      </c>
      <c r="C127" s="24">
        <v>0.34582848500000002</v>
      </c>
      <c r="D127" s="56">
        <v>0.74003580825491566</v>
      </c>
      <c r="E127" s="24">
        <v>5.96</v>
      </c>
      <c r="F127" s="56">
        <v>5.8024913590604021E-2</v>
      </c>
      <c r="G127" s="56">
        <v>-0.21434117908823397</v>
      </c>
    </row>
    <row r="128" spans="1:7">
      <c r="A128" s="2" t="s">
        <v>444</v>
      </c>
      <c r="B128" s="83">
        <v>1.402714</v>
      </c>
      <c r="C128" s="24">
        <v>0.46757133333333334</v>
      </c>
      <c r="D128" s="56">
        <v>0.84727522063961358</v>
      </c>
      <c r="E128" s="24">
        <v>10.34</v>
      </c>
      <c r="F128" s="56">
        <v>4.5219664732430692E-2</v>
      </c>
      <c r="G128" s="56">
        <v>-0.21476918678606827</v>
      </c>
    </row>
    <row r="129" spans="1:7">
      <c r="A129" s="2" t="s">
        <v>32</v>
      </c>
      <c r="B129" s="83">
        <v>7.8802902929999998</v>
      </c>
      <c r="C129" s="24">
        <v>1.97007257325</v>
      </c>
      <c r="D129" s="56">
        <v>1.230827463809369</v>
      </c>
      <c r="E129" s="24">
        <v>18.73</v>
      </c>
      <c r="F129" s="56">
        <v>0.10518273215429792</v>
      </c>
      <c r="G129" s="56">
        <v>-0.21661860297186938</v>
      </c>
    </row>
    <row r="130" spans="1:7">
      <c r="A130" s="2" t="s">
        <v>287</v>
      </c>
      <c r="B130" s="83">
        <v>6.86</v>
      </c>
      <c r="C130" s="24">
        <v>2.2866666666666666</v>
      </c>
      <c r="D130" s="56">
        <v>0.80406042099383901</v>
      </c>
      <c r="E130" s="24">
        <v>30.05</v>
      </c>
      <c r="F130" s="56">
        <v>7.6095396561286749E-2</v>
      </c>
      <c r="G130" s="56">
        <v>-0.25181818181818177</v>
      </c>
    </row>
    <row r="131" spans="1:7">
      <c r="A131" s="2" t="s">
        <v>286</v>
      </c>
      <c r="B131" s="83">
        <v>6.22</v>
      </c>
      <c r="C131" s="24">
        <v>2.0733333333333333</v>
      </c>
      <c r="D131" s="56">
        <v>0.72895763504872801</v>
      </c>
      <c r="E131" s="24">
        <v>30.01</v>
      </c>
      <c r="F131" s="56">
        <v>6.9088081750527594E-2</v>
      </c>
      <c r="G131" s="56">
        <v>-0.254</v>
      </c>
    </row>
    <row r="132" spans="1:7">
      <c r="A132" s="2" t="s">
        <v>359</v>
      </c>
      <c r="B132" s="83">
        <v>0.37646729800000001</v>
      </c>
      <c r="C132" s="24">
        <v>0.188233649</v>
      </c>
      <c r="D132" s="56">
        <v>1.6736510200308279</v>
      </c>
      <c r="E132" s="24">
        <v>6.5</v>
      </c>
      <c r="F132" s="56">
        <v>2.8959022923076921E-2</v>
      </c>
      <c r="G132" s="56">
        <v>-0.30069635522999916</v>
      </c>
    </row>
    <row r="133" spans="1:7">
      <c r="A133" s="2" t="s">
        <v>186</v>
      </c>
      <c r="B133" s="83">
        <v>20.221576670000001</v>
      </c>
      <c r="C133" s="24">
        <v>5.0553941675000003</v>
      </c>
      <c r="D133" s="56">
        <v>0.76568194912363652</v>
      </c>
      <c r="E133" s="24">
        <v>11</v>
      </c>
      <c r="F133" s="56">
        <v>0.45958128795454545</v>
      </c>
      <c r="G133" s="56">
        <v>-0.30700305646203052</v>
      </c>
    </row>
    <row r="134" spans="1:7">
      <c r="A134" s="2" t="s">
        <v>1</v>
      </c>
      <c r="B134" s="83">
        <v>22.243734336999999</v>
      </c>
      <c r="C134" s="24">
        <v>5.5609335842499998</v>
      </c>
      <c r="D134" s="56">
        <v>0.84225014371489515</v>
      </c>
      <c r="E134" s="24">
        <v>9.15</v>
      </c>
      <c r="F134" s="56">
        <v>0.60775230428961757</v>
      </c>
      <c r="G134" s="56">
        <v>-0.30700305652728099</v>
      </c>
    </row>
    <row r="135" spans="1:7">
      <c r="A135" s="2" t="s">
        <v>70</v>
      </c>
      <c r="B135" s="83">
        <v>9.9347384349999999</v>
      </c>
      <c r="C135" s="24">
        <v>2.48368460875</v>
      </c>
      <c r="D135" s="56">
        <v>0.83226612425770607</v>
      </c>
      <c r="E135" s="24">
        <v>8.3000000000000007</v>
      </c>
      <c r="F135" s="56">
        <v>0.39898547931726908</v>
      </c>
      <c r="G135" s="56">
        <v>-0.32813603760004312</v>
      </c>
    </row>
    <row r="136" spans="1:7">
      <c r="A136" s="2" t="s">
        <v>174</v>
      </c>
      <c r="B136" s="83">
        <v>11.870516</v>
      </c>
      <c r="C136" s="24">
        <v>3.9568386666666666</v>
      </c>
      <c r="D136" s="56">
        <v>0.70044394399833187</v>
      </c>
      <c r="E136" s="24">
        <v>26.83</v>
      </c>
      <c r="F136" s="56">
        <v>0.14747814635358431</v>
      </c>
      <c r="G136" s="56">
        <v>-0.32919945487993157</v>
      </c>
    </row>
    <row r="137" spans="1:7">
      <c r="A137" s="2" t="s">
        <v>173</v>
      </c>
      <c r="B137" s="83">
        <v>11.870516</v>
      </c>
      <c r="C137" s="24">
        <v>3.9568386666666666</v>
      </c>
      <c r="D137" s="56">
        <v>0.70044394399833187</v>
      </c>
      <c r="E137" s="24">
        <v>42</v>
      </c>
      <c r="F137" s="56">
        <v>9.4210444444444444E-2</v>
      </c>
      <c r="G137" s="56">
        <v>-0.32919945487993157</v>
      </c>
    </row>
    <row r="138" spans="1:7">
      <c r="A138" s="2" t="s">
        <v>314</v>
      </c>
      <c r="B138" s="83">
        <v>0.25600000000000001</v>
      </c>
      <c r="C138" s="24">
        <v>6.4000000000000001E-2</v>
      </c>
      <c r="D138" s="56">
        <v>0.22362663562799309</v>
      </c>
      <c r="E138" s="24">
        <v>13.08</v>
      </c>
      <c r="F138" s="56">
        <v>6.5239551478083599E-3</v>
      </c>
      <c r="G138" s="56">
        <v>-0.40315339975911524</v>
      </c>
    </row>
    <row r="139" spans="1:7">
      <c r="A139" s="2" t="s">
        <v>313</v>
      </c>
      <c r="B139" s="83">
        <v>0.23272999999999999</v>
      </c>
      <c r="C139" s="24">
        <v>5.8182499999999998E-2</v>
      </c>
      <c r="D139" s="56">
        <v>0.2032996796183045</v>
      </c>
      <c r="E139" s="24">
        <v>7.08</v>
      </c>
      <c r="F139" s="56">
        <v>1.0957156308851225E-2</v>
      </c>
      <c r="G139" s="56">
        <v>-0.40316752980850301</v>
      </c>
    </row>
    <row r="140" spans="1:7">
      <c r="A140" s="2" t="s">
        <v>102</v>
      </c>
      <c r="B140" s="83">
        <v>2.5499999999999998</v>
      </c>
      <c r="C140" s="24">
        <v>0.85</v>
      </c>
      <c r="D140" s="56">
        <v>0.49000251641148956</v>
      </c>
      <c r="E140" s="24">
        <v>15.4</v>
      </c>
      <c r="F140" s="56">
        <v>5.5194805194805192E-2</v>
      </c>
      <c r="G140" s="56">
        <v>-0.40899122807017541</v>
      </c>
    </row>
    <row r="141" spans="1:7">
      <c r="A141" s="2" t="s">
        <v>325</v>
      </c>
      <c r="B141" s="83">
        <v>0.42000000000000004</v>
      </c>
      <c r="C141" s="24">
        <v>0.21000000000000002</v>
      </c>
      <c r="D141" s="56">
        <v>0.31662042253674527</v>
      </c>
      <c r="E141" s="24">
        <v>13.46</v>
      </c>
      <c r="F141" s="56">
        <v>1.5601783060921246E-2</v>
      </c>
      <c r="G141" s="56">
        <v>-0.45000000000000007</v>
      </c>
    </row>
    <row r="142" spans="1:7">
      <c r="A142" s="2" t="s">
        <v>58</v>
      </c>
      <c r="B142" s="83">
        <v>4.259330362</v>
      </c>
      <c r="C142" s="24">
        <v>1.0648325905</v>
      </c>
      <c r="D142" s="56">
        <v>2.3414519788923673</v>
      </c>
      <c r="E142" s="24">
        <v>14.07</v>
      </c>
      <c r="F142" s="56">
        <v>7.5681065422885579E-2</v>
      </c>
      <c r="G142" s="56">
        <v>-0.46288613978923204</v>
      </c>
    </row>
    <row r="143" spans="1:7">
      <c r="A143" s="2" t="s">
        <v>283</v>
      </c>
      <c r="B143" s="83">
        <v>0.18174200000000001</v>
      </c>
      <c r="C143" s="24">
        <v>6.0580666666666672E-2</v>
      </c>
      <c r="D143" s="56">
        <v>0.45238397622744686</v>
      </c>
      <c r="E143" s="24">
        <v>9.6999999999999993</v>
      </c>
      <c r="F143" s="56">
        <v>6.2454295532646054E-3</v>
      </c>
      <c r="G143" s="56">
        <v>-0.49999174626931375</v>
      </c>
    </row>
    <row r="144" spans="1:7">
      <c r="A144" s="2" t="s">
        <v>82</v>
      </c>
      <c r="B144" s="83">
        <v>0.13240000000000002</v>
      </c>
      <c r="C144" s="24">
        <v>3.3100000000000004E-2</v>
      </c>
      <c r="D144" s="56">
        <v>0.27744555988769093</v>
      </c>
      <c r="E144" s="24">
        <v>2.41</v>
      </c>
      <c r="F144" s="56">
        <v>2.7468879668049791E-2</v>
      </c>
      <c r="G144" s="56">
        <v>-0.50301204819277112</v>
      </c>
    </row>
    <row r="145" spans="1:7">
      <c r="A145" s="2" t="s">
        <v>441</v>
      </c>
      <c r="B145" s="83">
        <v>6.0606990000000005</v>
      </c>
      <c r="C145" s="24">
        <v>2.0202330000000002</v>
      </c>
      <c r="D145" s="56">
        <v>0.88025940606631048</v>
      </c>
      <c r="E145" s="24">
        <v>15.1</v>
      </c>
      <c r="F145" s="56">
        <v>0.13379026490066226</v>
      </c>
      <c r="G145" s="56">
        <v>-0.52598863316381284</v>
      </c>
    </row>
    <row r="146" spans="1:7">
      <c r="A146" s="2" t="s">
        <v>18</v>
      </c>
      <c r="B146" s="83">
        <v>1.6677999999999999</v>
      </c>
      <c r="C146" s="24">
        <v>0.41694999999999999</v>
      </c>
      <c r="D146" s="56">
        <v>1.3752569187945951</v>
      </c>
      <c r="E146" s="24">
        <v>9.43</v>
      </c>
      <c r="F146" s="56">
        <v>5.8953693884764936E-2</v>
      </c>
      <c r="G146" s="56">
        <v>-0.59516605982275939</v>
      </c>
    </row>
    <row r="147" spans="1:7">
      <c r="A147" s="2" t="s">
        <v>210</v>
      </c>
      <c r="B147" s="83">
        <v>1.6190099999999998</v>
      </c>
      <c r="C147" s="24">
        <v>0.40475249999999996</v>
      </c>
      <c r="D147" s="56">
        <v>1.3670338527475838</v>
      </c>
      <c r="E147" s="24">
        <v>5.7</v>
      </c>
      <c r="F147" s="56">
        <v>9.4678947368421043E-2</v>
      </c>
      <c r="G147" s="56">
        <v>-0.60549607725198351</v>
      </c>
    </row>
    <row r="148" spans="1:7">
      <c r="A148" s="2" t="s">
        <v>35</v>
      </c>
      <c r="B148" s="83">
        <v>2.4300000000000002</v>
      </c>
      <c r="C148" s="24">
        <v>0.81</v>
      </c>
      <c r="D148" s="56">
        <v>0.90036243172799468</v>
      </c>
      <c r="E148" s="24">
        <v>23.649999999999995</v>
      </c>
      <c r="F148" s="56">
        <v>3.4249471458773786E-2</v>
      </c>
      <c r="G148" s="56">
        <v>-0.68743961352657001</v>
      </c>
    </row>
    <row r="149" spans="1:7">
      <c r="A149" s="2" t="s">
        <v>100</v>
      </c>
      <c r="B149" s="83">
        <v>12.336044999999999</v>
      </c>
      <c r="C149" s="24">
        <v>3.0840112499999996</v>
      </c>
      <c r="D149" s="56">
        <v>0.81719301958088741</v>
      </c>
      <c r="E149" s="24">
        <v>21.51</v>
      </c>
      <c r="F149" s="56">
        <v>0.14337569735006972</v>
      </c>
      <c r="G149" s="56">
        <v>-0.75945268438651348</v>
      </c>
    </row>
    <row r="150" spans="1:7">
      <c r="A150" s="2" t="s">
        <v>73</v>
      </c>
      <c r="B150" s="83">
        <v>11.21449413</v>
      </c>
      <c r="C150" s="24">
        <v>2.8036235325000001</v>
      </c>
      <c r="D150" s="56">
        <v>0.74283278628036531</v>
      </c>
      <c r="E150" s="24">
        <v>18</v>
      </c>
      <c r="F150" s="56">
        <v>0.15575686291666668</v>
      </c>
      <c r="G150" s="56">
        <v>-0.75946022973220284</v>
      </c>
    </row>
    <row r="151" spans="1:7">
      <c r="A151" s="2" t="s">
        <v>214</v>
      </c>
      <c r="B151" s="83">
        <v>4.2609999999999995E-2</v>
      </c>
      <c r="C151" s="24">
        <v>1.0652499999999999E-2</v>
      </c>
      <c r="D151" s="56">
        <v>2.9204663914363771E-2</v>
      </c>
      <c r="E151" s="24">
        <v>2.99</v>
      </c>
      <c r="F151" s="56">
        <v>4.7502787068004447E-3</v>
      </c>
      <c r="G151" s="56">
        <v>-0.92546411748406765</v>
      </c>
    </row>
    <row r="152" spans="1:7">
      <c r="A152" s="2" t="s">
        <v>213</v>
      </c>
      <c r="B152" s="83">
        <v>3.8720000000000004E-2</v>
      </c>
      <c r="C152" s="24">
        <v>9.6800000000000011E-3</v>
      </c>
      <c r="D152" s="56">
        <v>2.6538214988206538E-2</v>
      </c>
      <c r="E152" s="24">
        <v>3.08</v>
      </c>
      <c r="F152" s="56">
        <v>4.1904761904761906E-3</v>
      </c>
      <c r="G152" s="56">
        <v>-0.92560975609756091</v>
      </c>
    </row>
    <row r="153" spans="1:7">
      <c r="A153" s="2" t="s">
        <v>188</v>
      </c>
      <c r="B153" s="83">
        <v>0.45271806019999999</v>
      </c>
      <c r="C153" s="24">
        <v>9.0543612039999999E-2</v>
      </c>
      <c r="D153" s="56">
        <v>0.23175290878610291</v>
      </c>
      <c r="E153" s="24">
        <v>5.67</v>
      </c>
      <c r="F153" s="56">
        <v>3.9922227530864197E-2</v>
      </c>
      <c r="G153" s="56">
        <v>-1</v>
      </c>
    </row>
    <row r="154" spans="1:7">
      <c r="A154" s="2" t="s">
        <v>303</v>
      </c>
      <c r="B154" s="83">
        <v>0.83324714</v>
      </c>
      <c r="C154" s="24">
        <v>0.208311785</v>
      </c>
      <c r="D154" s="56">
        <v>0.35050699967240423</v>
      </c>
      <c r="E154" s="24">
        <v>20.170000000000002</v>
      </c>
      <c r="F154" s="56">
        <v>4.1311211700545358E-2</v>
      </c>
      <c r="G154" s="56">
        <v>-1</v>
      </c>
    </row>
    <row r="155" spans="1:7">
      <c r="A155" s="2" t="s">
        <v>302</v>
      </c>
      <c r="B155" s="83">
        <v>0.83324714</v>
      </c>
      <c r="C155" s="24">
        <v>0.208311785</v>
      </c>
      <c r="D155" s="56">
        <v>0.35050699967240423</v>
      </c>
      <c r="E155" s="24">
        <v>16</v>
      </c>
      <c r="F155" s="56">
        <v>5.207794625E-2</v>
      </c>
      <c r="G155" s="56">
        <v>-1</v>
      </c>
    </row>
    <row r="156" spans="1:7">
      <c r="A156" s="2" t="s">
        <v>304</v>
      </c>
      <c r="B156" s="83">
        <v>0.60198830400000003</v>
      </c>
      <c r="C156" s="24">
        <v>0.15049707600000001</v>
      </c>
      <c r="D156" s="56">
        <v>0.25322752895727813</v>
      </c>
      <c r="E156" s="24">
        <v>10.5</v>
      </c>
      <c r="F156" s="56">
        <v>5.7332219428571432E-2</v>
      </c>
      <c r="G156" s="56">
        <v>-1</v>
      </c>
    </row>
    <row r="157" spans="1:7">
      <c r="A157" s="2" t="s">
        <v>98</v>
      </c>
      <c r="B157" s="83">
        <v>5.3443459999999998</v>
      </c>
      <c r="C157" s="24">
        <v>1.3360865</v>
      </c>
      <c r="D157" s="56">
        <v>0.47419139568365454</v>
      </c>
      <c r="E157" s="24">
        <v>16.510000000000002</v>
      </c>
      <c r="F157" s="56">
        <v>0.16185178679588128</v>
      </c>
      <c r="G157" s="56">
        <v>-1</v>
      </c>
    </row>
    <row r="158" spans="1:7">
      <c r="A158" s="2" t="s">
        <v>72</v>
      </c>
      <c r="B158" s="83">
        <v>8.1674670000000003</v>
      </c>
      <c r="C158" s="24">
        <v>2.0418667500000001</v>
      </c>
      <c r="D158" s="56">
        <v>0.7246803815404973</v>
      </c>
      <c r="E158" s="24">
        <v>17.079999999999998</v>
      </c>
      <c r="F158" s="56">
        <v>0.23909446721311478</v>
      </c>
      <c r="G158" s="56">
        <v>-1</v>
      </c>
    </row>
    <row r="159" spans="1:7">
      <c r="A159" s="2" t="s">
        <v>425</v>
      </c>
      <c r="B159" s="83">
        <v>1.7597457809999999</v>
      </c>
      <c r="C159" s="24">
        <v>0.586581927</v>
      </c>
      <c r="D159" s="56">
        <v>0.36698912893465502</v>
      </c>
      <c r="E159" s="24">
        <v>34.28</v>
      </c>
      <c r="F159" s="56">
        <v>2.5667237179113185E-2</v>
      </c>
      <c r="G159" s="56">
        <v>-1</v>
      </c>
    </row>
    <row r="160" spans="1:7">
      <c r="A160" s="2" t="s">
        <v>105</v>
      </c>
      <c r="B160" s="83">
        <v>0.1</v>
      </c>
      <c r="C160" s="24">
        <v>0.05</v>
      </c>
      <c r="D160" s="56">
        <v>0.43917014853198871</v>
      </c>
      <c r="E160" s="24">
        <v>1.4</v>
      </c>
      <c r="F160" s="56">
        <v>7.1428571428571438E-2</v>
      </c>
      <c r="G160" s="56">
        <v>-1</v>
      </c>
    </row>
    <row r="161" spans="1:7">
      <c r="A161" s="2" t="s">
        <v>106</v>
      </c>
      <c r="B161" s="83">
        <v>0.1</v>
      </c>
      <c r="C161" s="24">
        <v>0.05</v>
      </c>
      <c r="D161" s="56">
        <v>0.43917014853198871</v>
      </c>
      <c r="E161" s="24">
        <v>1.85</v>
      </c>
      <c r="F161" s="56">
        <v>5.4054054054054057E-2</v>
      </c>
      <c r="G161" s="56">
        <v>-1</v>
      </c>
    </row>
    <row r="162" spans="1:7">
      <c r="A162" s="2" t="s">
        <v>322</v>
      </c>
      <c r="B162" s="83">
        <v>4.87E-2</v>
      </c>
      <c r="C162" s="24">
        <v>1.6233333333333332E-2</v>
      </c>
      <c r="D162" s="56">
        <v>0.23785571475872622</v>
      </c>
      <c r="E162" s="24">
        <v>9.15</v>
      </c>
      <c r="F162" s="56">
        <v>5.322404371584699E-3</v>
      </c>
      <c r="G162" s="56" t="e">
        <v>#DIV/0!</v>
      </c>
    </row>
    <row r="163" spans="1:7">
      <c r="A163" s="2" t="s">
        <v>25</v>
      </c>
      <c r="B163" s="83">
        <v>0.25</v>
      </c>
      <c r="C163" s="24">
        <v>0.25</v>
      </c>
      <c r="D163" s="56">
        <v>0.25</v>
      </c>
      <c r="E163" s="24">
        <v>23.96</v>
      </c>
      <c r="F163" s="56">
        <v>1.0434056761268781E-2</v>
      </c>
      <c r="G163" s="56" t="e">
        <v>#DIV/0!</v>
      </c>
    </row>
    <row r="164" spans="1:7">
      <c r="A164" s="2" t="s">
        <v>320</v>
      </c>
      <c r="B164" s="83">
        <v>5.8005724000000002E-2</v>
      </c>
      <c r="C164" s="24">
        <v>1.9335241333333333E-2</v>
      </c>
      <c r="D164" s="56">
        <v>0.23749999886663223</v>
      </c>
      <c r="E164" s="24">
        <v>8.9</v>
      </c>
      <c r="F164" s="56">
        <v>6.5174970786516856E-3</v>
      </c>
      <c r="G164" s="56" t="e">
        <v>#DIV/0!</v>
      </c>
    </row>
    <row r="165" spans="1:7">
      <c r="A165" s="2" t="s">
        <v>39</v>
      </c>
      <c r="B165" s="83">
        <v>9.6799999999999994E-3</v>
      </c>
      <c r="C165" s="24">
        <v>3.2266666666666663E-3</v>
      </c>
      <c r="D165" s="56">
        <v>0.20588880617740807</v>
      </c>
      <c r="E165" s="24">
        <v>0.51</v>
      </c>
      <c r="F165" s="56">
        <v>1.8980392156862744E-2</v>
      </c>
      <c r="G165" s="56" t="e">
        <v>#DIV/0!</v>
      </c>
    </row>
    <row r="166" spans="1:7">
      <c r="A166" s="2" t="s">
        <v>99</v>
      </c>
      <c r="B166" s="83">
        <v>4.5993199999999996</v>
      </c>
      <c r="C166" s="24">
        <v>1.1498299999999999</v>
      </c>
      <c r="D166" s="56">
        <v>0.76106388540309444</v>
      </c>
      <c r="E166" s="24">
        <v>24</v>
      </c>
      <c r="F166" s="56">
        <v>0.19163833333333333</v>
      </c>
      <c r="G166" s="56" t="e">
        <v>#DIV/0!</v>
      </c>
    </row>
    <row r="167" spans="1:7">
      <c r="A167" s="2" t="s">
        <v>418</v>
      </c>
      <c r="B167" s="83">
        <v>0.87951522900000001</v>
      </c>
      <c r="C167" s="24">
        <v>0.29317174299999998</v>
      </c>
      <c r="D167" s="56">
        <v>0.47701052442027075</v>
      </c>
      <c r="E167" s="24">
        <v>20.6</v>
      </c>
      <c r="F167" s="56">
        <v>4.2694914029126209E-2</v>
      </c>
      <c r="G167" s="56" t="e">
        <v>#DIV/0!</v>
      </c>
    </row>
    <row r="168" spans="1:7">
      <c r="A168" s="2" t="s">
        <v>367</v>
      </c>
      <c r="B168" s="83">
        <v>647.3646063585403</v>
      </c>
      <c r="C168" s="24">
        <v>1.116145873031966</v>
      </c>
      <c r="D168" s="56">
        <v>0.74871655115919022</v>
      </c>
      <c r="E168" s="24">
        <v>18.922719449225475</v>
      </c>
      <c r="F168" s="56">
        <v>7.3604105325427813E-2</v>
      </c>
      <c r="G168" s="56">
        <v>0.52834120709793997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3"/>
  <sheetViews>
    <sheetView workbookViewId="0">
      <selection activeCell="F9" sqref="F9"/>
    </sheetView>
  </sheetViews>
  <sheetFormatPr defaultRowHeight="11.25"/>
  <cols>
    <col min="1" max="1" width="13.5703125" style="57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94" bestFit="1" customWidth="1"/>
    <col min="7" max="7" width="7.42578125" style="95" bestFit="1" customWidth="1"/>
    <col min="8" max="8" width="9.7109375" style="96" bestFit="1" customWidth="1"/>
    <col min="9" max="9" width="10.85546875" style="96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6384" width="9.140625" style="3"/>
  </cols>
  <sheetData>
    <row r="1" spans="1:19">
      <c r="A1" s="35" t="s">
        <v>353</v>
      </c>
      <c r="B1" s="92" t="s">
        <v>468</v>
      </c>
      <c r="C1" s="92" t="s">
        <v>469</v>
      </c>
      <c r="D1" s="92" t="s">
        <v>470</v>
      </c>
      <c r="E1" s="34" t="s">
        <v>460</v>
      </c>
      <c r="F1" s="93" t="s">
        <v>356</v>
      </c>
      <c r="G1" s="93" t="s">
        <v>354</v>
      </c>
      <c r="H1" s="93" t="s">
        <v>355</v>
      </c>
      <c r="I1" s="93" t="s">
        <v>472</v>
      </c>
      <c r="J1" s="12" t="s">
        <v>473</v>
      </c>
      <c r="K1" s="87" t="s">
        <v>461</v>
      </c>
      <c r="L1" s="88" t="s">
        <v>462</v>
      </c>
      <c r="M1" s="88" t="s">
        <v>463</v>
      </c>
      <c r="N1" s="84" t="s">
        <v>17</v>
      </c>
    </row>
    <row r="2" spans="1:19">
      <c r="A2" s="85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85" t="s">
        <v>70</v>
      </c>
      <c r="F2" s="94">
        <v>940.06</v>
      </c>
      <c r="G2" s="94">
        <v>0</v>
      </c>
      <c r="H2" s="94">
        <v>0</v>
      </c>
      <c r="I2" s="94">
        <v>0</v>
      </c>
      <c r="K2" s="16">
        <v>100</v>
      </c>
      <c r="L2" s="89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89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57" t="s">
        <v>357</v>
      </c>
      <c r="B3" s="10"/>
      <c r="C3" s="10"/>
      <c r="D3" s="10"/>
      <c r="E3" s="10"/>
      <c r="F3" s="95">
        <f>SUBTOTAL(109,[Aplicação])</f>
        <v>940.06</v>
      </c>
      <c r="G3" s="95">
        <f>SUBTOTAL(105,[Taxas])</f>
        <v>0</v>
      </c>
      <c r="H3" s="95">
        <f>SUBTOTAL(109,[Resgates])</f>
        <v>0</v>
      </c>
      <c r="I3" s="95">
        <f>SUBTOTAL(109,[Dividendo])</f>
        <v>0</v>
      </c>
      <c r="J3" s="51">
        <f>SUBTOTAL(109,[JPC])</f>
        <v>0</v>
      </c>
      <c r="K3" s="10"/>
      <c r="L3" s="74"/>
      <c r="M3" s="74"/>
      <c r="N3" s="22">
        <f>(Table4[[#Totals],[JPC]]+Table4[[#Totals],[Dividendo]])/Table4[[#Totals],[Aplicação]]</f>
        <v>0</v>
      </c>
      <c r="Q3" s="59"/>
      <c r="R3" s="18"/>
      <c r="S3" s="86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A3:G6"/>
  <sheetViews>
    <sheetView workbookViewId="0">
      <selection activeCell="A5" sqref="A5"/>
    </sheetView>
  </sheetViews>
  <sheetFormatPr defaultRowHeight="15"/>
  <cols>
    <col min="1" max="1" width="17.85546875" bestFit="1" customWidth="1"/>
    <col min="2" max="2" width="13.7109375" customWidth="1"/>
    <col min="3" max="3" width="14.28515625" customWidth="1"/>
    <col min="4" max="4" width="15.140625" customWidth="1"/>
    <col min="5" max="5" width="9.5703125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366</v>
      </c>
      <c r="B4" t="s">
        <v>464</v>
      </c>
      <c r="C4" t="s">
        <v>465</v>
      </c>
      <c r="D4" t="s">
        <v>474</v>
      </c>
      <c r="E4" t="s">
        <v>475</v>
      </c>
      <c r="F4" t="s">
        <v>466</v>
      </c>
      <c r="G4" t="s">
        <v>467</v>
      </c>
    </row>
    <row r="5" spans="1:7">
      <c r="A5" s="2" t="s">
        <v>70</v>
      </c>
      <c r="B5" s="91">
        <v>940.06</v>
      </c>
      <c r="C5" s="90">
        <v>100</v>
      </c>
      <c r="D5" s="91">
        <v>94</v>
      </c>
      <c r="E5" s="91">
        <v>94</v>
      </c>
      <c r="F5" s="91">
        <v>1.88</v>
      </c>
      <c r="G5" s="56">
        <v>0.19998723485734954</v>
      </c>
    </row>
    <row r="6" spans="1:7">
      <c r="A6" s="2" t="s">
        <v>367</v>
      </c>
      <c r="B6" s="91">
        <v>940.06</v>
      </c>
      <c r="C6" s="90">
        <v>100</v>
      </c>
      <c r="D6" s="91">
        <v>94</v>
      </c>
      <c r="E6" s="91">
        <v>94</v>
      </c>
      <c r="F6" s="91">
        <v>1.88</v>
      </c>
      <c r="G6" s="56">
        <v>0.19998723485734954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497</vt:i4>
      </vt:variant>
    </vt:vector>
  </HeadingPairs>
  <TitlesOfParts>
    <vt:vector size="504" baseType="lpstr">
      <vt:lpstr>Patrimonio</vt:lpstr>
      <vt:lpstr>Cotacao</vt:lpstr>
      <vt:lpstr>Cotacao 2</vt:lpstr>
      <vt:lpstr>Lucro Líquido</vt:lpstr>
      <vt:lpstr>Tabela LL</vt:lpstr>
      <vt:lpstr>Historia</vt:lpstr>
      <vt:lpstr>Tabela Hist</vt:lpstr>
      <vt:lpstr>Cotacao!DadosExternos_1</vt:lpstr>
      <vt:lpstr>'Cotacao 2'!DadosExternos_1</vt:lpstr>
      <vt:lpstr>Cotacao!DadosExternos_10</vt:lpstr>
      <vt:lpstr>'Cotacao 2'!DadosExternos_10</vt:lpstr>
      <vt:lpstr>Cotacao!DadosExternos_103</vt:lpstr>
      <vt:lpstr>'Cotacao 2'!DadosExternos_103</vt:lpstr>
      <vt:lpstr>Cotacao!DadosExternos_104</vt:lpstr>
      <vt:lpstr>'Cotacao 2'!DadosExternos_104</vt:lpstr>
      <vt:lpstr>Cotacao!DadosExternos_106</vt:lpstr>
      <vt:lpstr>'Cotacao 2'!DadosExternos_106</vt:lpstr>
      <vt:lpstr>Cotacao!DadosExternos_107</vt:lpstr>
      <vt:lpstr>'Cotacao 2'!DadosExternos_107</vt:lpstr>
      <vt:lpstr>Cotacao!DadosExternos_108</vt:lpstr>
      <vt:lpstr>'Cotacao 2'!DadosExternos_108</vt:lpstr>
      <vt:lpstr>Cotacao!DadosExternos_109</vt:lpstr>
      <vt:lpstr>'Cotacao 2'!DadosExternos_109</vt:lpstr>
      <vt:lpstr>Cotacao!DadosExternos_11</vt:lpstr>
      <vt:lpstr>'Cotacao 2'!DadosExternos_11</vt:lpstr>
      <vt:lpstr>Cotacao!DadosExternos_110</vt:lpstr>
      <vt:lpstr>'Cotacao 2'!DadosExternos_110</vt:lpstr>
      <vt:lpstr>Cotacao!DadosExternos_111</vt:lpstr>
      <vt:lpstr>'Cotacao 2'!DadosExternos_111</vt:lpstr>
      <vt:lpstr>Cotacao!DadosExternos_112</vt:lpstr>
      <vt:lpstr>'Cotacao 2'!DadosExternos_112</vt:lpstr>
      <vt:lpstr>Cotacao!DadosExternos_113</vt:lpstr>
      <vt:lpstr>'Cotacao 2'!DadosExternos_113</vt:lpstr>
      <vt:lpstr>Cotacao!DadosExternos_114</vt:lpstr>
      <vt:lpstr>'Cotacao 2'!DadosExternos_114</vt:lpstr>
      <vt:lpstr>Cotacao!DadosExternos_115</vt:lpstr>
      <vt:lpstr>'Cotacao 2'!DadosExternos_115</vt:lpstr>
      <vt:lpstr>Cotacao!DadosExternos_116</vt:lpstr>
      <vt:lpstr>'Cotacao 2'!DadosExternos_116</vt:lpstr>
      <vt:lpstr>Cotacao!DadosExternos_117</vt:lpstr>
      <vt:lpstr>'Cotacao 2'!DadosExternos_117</vt:lpstr>
      <vt:lpstr>Cotacao!DadosExternos_118</vt:lpstr>
      <vt:lpstr>'Cotacao 2'!DadosExternos_118</vt:lpstr>
      <vt:lpstr>Cotacao!DadosExternos_119</vt:lpstr>
      <vt:lpstr>'Cotacao 2'!DadosExternos_119</vt:lpstr>
      <vt:lpstr>Cotacao!DadosExternos_12</vt:lpstr>
      <vt:lpstr>'Cotacao 2'!DadosExternos_12</vt:lpstr>
      <vt:lpstr>Cotacao!DadosExternos_120</vt:lpstr>
      <vt:lpstr>'Cotacao 2'!DadosExternos_120</vt:lpstr>
      <vt:lpstr>Cotacao!DadosExternos_121</vt:lpstr>
      <vt:lpstr>'Cotacao 2'!DadosExternos_121</vt:lpstr>
      <vt:lpstr>Cotacao!DadosExternos_122</vt:lpstr>
      <vt:lpstr>'Cotacao 2'!DadosExternos_122</vt:lpstr>
      <vt:lpstr>Cotacao!DadosExternos_123</vt:lpstr>
      <vt:lpstr>'Cotacao 2'!DadosExternos_123</vt:lpstr>
      <vt:lpstr>Cotacao!DadosExternos_124</vt:lpstr>
      <vt:lpstr>'Cotacao 2'!DadosExternos_124</vt:lpstr>
      <vt:lpstr>Cotacao!DadosExternos_125</vt:lpstr>
      <vt:lpstr>'Cotacao 2'!DadosExternos_125</vt:lpstr>
      <vt:lpstr>Cotacao!DadosExternos_126</vt:lpstr>
      <vt:lpstr>'Cotacao 2'!DadosExternos_126</vt:lpstr>
      <vt:lpstr>Cotacao!DadosExternos_127</vt:lpstr>
      <vt:lpstr>'Cotacao 2'!DadosExternos_127</vt:lpstr>
      <vt:lpstr>Cotacao!DadosExternos_128</vt:lpstr>
      <vt:lpstr>'Cotacao 2'!DadosExternos_128</vt:lpstr>
      <vt:lpstr>Cotacao!DadosExternos_129</vt:lpstr>
      <vt:lpstr>'Cotacao 2'!DadosExternos_129</vt:lpstr>
      <vt:lpstr>Cotacao!DadosExternos_130</vt:lpstr>
      <vt:lpstr>'Cotacao 2'!DadosExternos_130</vt:lpstr>
      <vt:lpstr>Cotacao!DadosExternos_131</vt:lpstr>
      <vt:lpstr>'Cotacao 2'!DadosExternos_131</vt:lpstr>
      <vt:lpstr>Cotacao!DadosExternos_132</vt:lpstr>
      <vt:lpstr>'Cotacao 2'!DadosExternos_132</vt:lpstr>
      <vt:lpstr>Cotacao!DadosExternos_133</vt:lpstr>
      <vt:lpstr>'Cotacao 2'!DadosExternos_133</vt:lpstr>
      <vt:lpstr>Cotacao!DadosExternos_134</vt:lpstr>
      <vt:lpstr>'Cotacao 2'!DadosExternos_134</vt:lpstr>
      <vt:lpstr>Cotacao!DadosExternos_135</vt:lpstr>
      <vt:lpstr>'Cotacao 2'!DadosExternos_135</vt:lpstr>
      <vt:lpstr>Cotacao!DadosExternos_136</vt:lpstr>
      <vt:lpstr>'Cotacao 2'!DadosExternos_136</vt:lpstr>
      <vt:lpstr>Cotacao!DadosExternos_137</vt:lpstr>
      <vt:lpstr>'Cotacao 2'!DadosExternos_137</vt:lpstr>
      <vt:lpstr>Cotacao!DadosExternos_138</vt:lpstr>
      <vt:lpstr>'Cotacao 2'!DadosExternos_138</vt:lpstr>
      <vt:lpstr>Cotacao!DadosExternos_139</vt:lpstr>
      <vt:lpstr>'Cotacao 2'!DadosExternos_139</vt:lpstr>
      <vt:lpstr>Cotacao!DadosExternos_14</vt:lpstr>
      <vt:lpstr>'Cotacao 2'!DadosExternos_14</vt:lpstr>
      <vt:lpstr>Cotacao!DadosExternos_140</vt:lpstr>
      <vt:lpstr>'Cotacao 2'!DadosExternos_140</vt:lpstr>
      <vt:lpstr>Cotacao!DadosExternos_141</vt:lpstr>
      <vt:lpstr>'Cotacao 2'!DadosExternos_141</vt:lpstr>
      <vt:lpstr>Cotacao!DadosExternos_142</vt:lpstr>
      <vt:lpstr>'Cotacao 2'!DadosExternos_142</vt:lpstr>
      <vt:lpstr>Cotacao!DadosExternos_143</vt:lpstr>
      <vt:lpstr>'Cotacao 2'!DadosExternos_143</vt:lpstr>
      <vt:lpstr>Cotacao!DadosExternos_144</vt:lpstr>
      <vt:lpstr>'Cotacao 2'!DadosExternos_144</vt:lpstr>
      <vt:lpstr>Cotacao!DadosExternos_145</vt:lpstr>
      <vt:lpstr>'Cotacao 2'!DadosExternos_145</vt:lpstr>
      <vt:lpstr>Cotacao!DadosExternos_146</vt:lpstr>
      <vt:lpstr>'Cotacao 2'!DadosExternos_146</vt:lpstr>
      <vt:lpstr>Cotacao!DadosExternos_147</vt:lpstr>
      <vt:lpstr>'Cotacao 2'!DadosExternos_147</vt:lpstr>
      <vt:lpstr>Cotacao!DadosExternos_148</vt:lpstr>
      <vt:lpstr>'Cotacao 2'!DadosExternos_148</vt:lpstr>
      <vt:lpstr>Cotacao!DadosExternos_149</vt:lpstr>
      <vt:lpstr>'Cotacao 2'!DadosExternos_149</vt:lpstr>
      <vt:lpstr>Cotacao!DadosExternos_15</vt:lpstr>
      <vt:lpstr>'Cotacao 2'!DadosExternos_15</vt:lpstr>
      <vt:lpstr>Cotacao!DadosExternos_150</vt:lpstr>
      <vt:lpstr>'Cotacao 2'!DadosExternos_150</vt:lpstr>
      <vt:lpstr>Cotacao!DadosExternos_151</vt:lpstr>
      <vt:lpstr>'Cotacao 2'!DadosExternos_151</vt:lpstr>
      <vt:lpstr>Cotacao!DadosExternos_152</vt:lpstr>
      <vt:lpstr>'Cotacao 2'!DadosExternos_152</vt:lpstr>
      <vt:lpstr>Cotacao!DadosExternos_153</vt:lpstr>
      <vt:lpstr>'Cotacao 2'!DadosExternos_153</vt:lpstr>
      <vt:lpstr>Cotacao!DadosExternos_154</vt:lpstr>
      <vt:lpstr>'Cotacao 2'!DadosExternos_154</vt:lpstr>
      <vt:lpstr>Cotacao!DadosExternos_155</vt:lpstr>
      <vt:lpstr>'Cotacao 2'!DadosExternos_155</vt:lpstr>
      <vt:lpstr>Cotacao!DadosExternos_156</vt:lpstr>
      <vt:lpstr>'Cotacao 2'!DadosExternos_156</vt:lpstr>
      <vt:lpstr>Cotacao!DadosExternos_157</vt:lpstr>
      <vt:lpstr>'Cotacao 2'!DadosExternos_157</vt:lpstr>
      <vt:lpstr>Cotacao!DadosExternos_158</vt:lpstr>
      <vt:lpstr>'Cotacao 2'!DadosExternos_158</vt:lpstr>
      <vt:lpstr>Cotacao!DadosExternos_159</vt:lpstr>
      <vt:lpstr>'Cotacao 2'!DadosExternos_159</vt:lpstr>
      <vt:lpstr>Cotacao!DadosExternos_16</vt:lpstr>
      <vt:lpstr>'Cotacao 2'!DadosExternos_16</vt:lpstr>
      <vt:lpstr>Cotacao!DadosExternos_160</vt:lpstr>
      <vt:lpstr>'Cotacao 2'!DadosExternos_160</vt:lpstr>
      <vt:lpstr>Cotacao!DadosExternos_161</vt:lpstr>
      <vt:lpstr>'Cotacao 2'!DadosExternos_161</vt:lpstr>
      <vt:lpstr>Cotacao!DadosExternos_162</vt:lpstr>
      <vt:lpstr>'Cotacao 2'!DadosExternos_162</vt:lpstr>
      <vt:lpstr>Cotacao!DadosExternos_163</vt:lpstr>
      <vt:lpstr>'Cotacao 2'!DadosExternos_163</vt:lpstr>
      <vt:lpstr>Cotacao!DadosExternos_164</vt:lpstr>
      <vt:lpstr>'Cotacao 2'!DadosExternos_164</vt:lpstr>
      <vt:lpstr>Cotacao!DadosExternos_165</vt:lpstr>
      <vt:lpstr>'Cotacao 2'!DadosExternos_165</vt:lpstr>
      <vt:lpstr>Cotacao!DadosExternos_166</vt:lpstr>
      <vt:lpstr>'Cotacao 2'!DadosExternos_166</vt:lpstr>
      <vt:lpstr>Cotacao!DadosExternos_167</vt:lpstr>
      <vt:lpstr>'Cotacao 2'!DadosExternos_167</vt:lpstr>
      <vt:lpstr>Cotacao!DadosExternos_168</vt:lpstr>
      <vt:lpstr>'Cotacao 2'!DadosExternos_168</vt:lpstr>
      <vt:lpstr>Cotacao!DadosExternos_169</vt:lpstr>
      <vt:lpstr>'Cotacao 2'!DadosExternos_169</vt:lpstr>
      <vt:lpstr>Cotacao!DadosExternos_17</vt:lpstr>
      <vt:lpstr>'Cotacao 2'!DadosExternos_17</vt:lpstr>
      <vt:lpstr>Cotacao!DadosExternos_170</vt:lpstr>
      <vt:lpstr>'Cotacao 2'!DadosExternos_170</vt:lpstr>
      <vt:lpstr>Cotacao!DadosExternos_171</vt:lpstr>
      <vt:lpstr>'Cotacao 2'!DadosExternos_171</vt:lpstr>
      <vt:lpstr>Cotacao!DadosExternos_172</vt:lpstr>
      <vt:lpstr>'Cotacao 2'!DadosExternos_172</vt:lpstr>
      <vt:lpstr>Cotacao!DadosExternos_173</vt:lpstr>
      <vt:lpstr>'Cotacao 2'!DadosExternos_173</vt:lpstr>
      <vt:lpstr>Cotacao!DadosExternos_174</vt:lpstr>
      <vt:lpstr>'Cotacao 2'!DadosExternos_174</vt:lpstr>
      <vt:lpstr>Cotacao!DadosExternos_175</vt:lpstr>
      <vt:lpstr>'Cotacao 2'!DadosExternos_175</vt:lpstr>
      <vt:lpstr>Cotacao!DadosExternos_176</vt:lpstr>
      <vt:lpstr>'Cotacao 2'!DadosExternos_176</vt:lpstr>
      <vt:lpstr>Cotacao!DadosExternos_177</vt:lpstr>
      <vt:lpstr>'Cotacao 2'!DadosExternos_177</vt:lpstr>
      <vt:lpstr>Cotacao!DadosExternos_178</vt:lpstr>
      <vt:lpstr>'Cotacao 2'!DadosExternos_178</vt:lpstr>
      <vt:lpstr>Cotacao!DadosExternos_179</vt:lpstr>
      <vt:lpstr>'Cotacao 2'!DadosExternos_179</vt:lpstr>
      <vt:lpstr>Cotacao!DadosExternos_18</vt:lpstr>
      <vt:lpstr>'Cotacao 2'!DadosExternos_18</vt:lpstr>
      <vt:lpstr>Cotacao!DadosExternos_180</vt:lpstr>
      <vt:lpstr>'Cotacao 2'!DadosExternos_180</vt:lpstr>
      <vt:lpstr>Cotacao!DadosExternos_181</vt:lpstr>
      <vt:lpstr>'Cotacao 2'!DadosExternos_181</vt:lpstr>
      <vt:lpstr>Cotacao!DadosExternos_182</vt:lpstr>
      <vt:lpstr>'Cotacao 2'!DadosExternos_182</vt:lpstr>
      <vt:lpstr>Cotacao!DadosExternos_183</vt:lpstr>
      <vt:lpstr>'Cotacao 2'!DadosExternos_183</vt:lpstr>
      <vt:lpstr>Cotacao!DadosExternos_184</vt:lpstr>
      <vt:lpstr>'Cotacao 2'!DadosExternos_184</vt:lpstr>
      <vt:lpstr>Cotacao!DadosExternos_185</vt:lpstr>
      <vt:lpstr>'Cotacao 2'!DadosExternos_185</vt:lpstr>
      <vt:lpstr>Cotacao!DadosExternos_186</vt:lpstr>
      <vt:lpstr>'Cotacao 2'!DadosExternos_186</vt:lpstr>
      <vt:lpstr>Cotacao!DadosExternos_187</vt:lpstr>
      <vt:lpstr>'Cotacao 2'!DadosExternos_187</vt:lpstr>
      <vt:lpstr>Cotacao!DadosExternos_188</vt:lpstr>
      <vt:lpstr>'Cotacao 2'!DadosExternos_188</vt:lpstr>
      <vt:lpstr>Cotacao!DadosExternos_189</vt:lpstr>
      <vt:lpstr>'Cotacao 2'!DadosExternos_189</vt:lpstr>
      <vt:lpstr>Cotacao!DadosExternos_190</vt:lpstr>
      <vt:lpstr>'Cotacao 2'!DadosExternos_190</vt:lpstr>
      <vt:lpstr>Cotacao!DadosExternos_191</vt:lpstr>
      <vt:lpstr>'Cotacao 2'!DadosExternos_191</vt:lpstr>
      <vt:lpstr>Cotacao!DadosExternos_192</vt:lpstr>
      <vt:lpstr>'Cotacao 2'!DadosExternos_192</vt:lpstr>
      <vt:lpstr>Cotacao!DadosExternos_193</vt:lpstr>
      <vt:lpstr>'Cotacao 2'!DadosExternos_193</vt:lpstr>
      <vt:lpstr>Cotacao!DadosExternos_194</vt:lpstr>
      <vt:lpstr>'Cotacao 2'!DadosExternos_194</vt:lpstr>
      <vt:lpstr>Cotacao!DadosExternos_195</vt:lpstr>
      <vt:lpstr>'Cotacao 2'!DadosExternos_195</vt:lpstr>
      <vt:lpstr>Cotacao!DadosExternos_196</vt:lpstr>
      <vt:lpstr>'Cotacao 2'!DadosExternos_196</vt:lpstr>
      <vt:lpstr>Cotacao!DadosExternos_197</vt:lpstr>
      <vt:lpstr>'Cotacao 2'!DadosExternos_197</vt:lpstr>
      <vt:lpstr>Cotacao!DadosExternos_198</vt:lpstr>
      <vt:lpstr>'Cotacao 2'!DadosExternos_198</vt:lpstr>
      <vt:lpstr>'Cotacao 2'!DadosExternos_199</vt:lpstr>
      <vt:lpstr>Cotacao!DadosExternos_2</vt:lpstr>
      <vt:lpstr>'Cotacao 2'!DadosExternos_2</vt:lpstr>
      <vt:lpstr>Cotacao!DadosExternos_20</vt:lpstr>
      <vt:lpstr>'Cotacao 2'!DadosExternos_20</vt:lpstr>
      <vt:lpstr>Cotacao!DadosExternos_200</vt:lpstr>
      <vt:lpstr>'Cotacao 2'!DadosExternos_200</vt:lpstr>
      <vt:lpstr>Cotacao!DadosExternos_201</vt:lpstr>
      <vt:lpstr>'Cotacao 2'!DadosExternos_201</vt:lpstr>
      <vt:lpstr>Cotacao!DadosExternos_202</vt:lpstr>
      <vt:lpstr>'Cotacao 2'!DadosExternos_202</vt:lpstr>
      <vt:lpstr>Cotacao!DadosExternos_203</vt:lpstr>
      <vt:lpstr>'Cotacao 2'!DadosExternos_203</vt:lpstr>
      <vt:lpstr>Cotacao!DadosExternos_204</vt:lpstr>
      <vt:lpstr>'Cotacao 2'!DadosExternos_204</vt:lpstr>
      <vt:lpstr>Cotacao!DadosExternos_205</vt:lpstr>
      <vt:lpstr>'Cotacao 2'!DadosExternos_205</vt:lpstr>
      <vt:lpstr>Cotacao!DadosExternos_206</vt:lpstr>
      <vt:lpstr>'Cotacao 2'!DadosExternos_206</vt:lpstr>
      <vt:lpstr>Cotacao!DadosExternos_207</vt:lpstr>
      <vt:lpstr>'Cotacao 2'!DadosExternos_207</vt:lpstr>
      <vt:lpstr>'Cotacao 2'!DadosExternos_208</vt:lpstr>
      <vt:lpstr>Cotacao!DadosExternos_209</vt:lpstr>
      <vt:lpstr>'Cotacao 2'!DadosExternos_209</vt:lpstr>
      <vt:lpstr>Cotacao!DadosExternos_21</vt:lpstr>
      <vt:lpstr>'Cotacao 2'!DadosExternos_21</vt:lpstr>
      <vt:lpstr>'Cotacao 2'!DadosExternos_210</vt:lpstr>
      <vt:lpstr>Cotacao!DadosExternos_211</vt:lpstr>
      <vt:lpstr>'Cotacao 2'!DadosExternos_211</vt:lpstr>
      <vt:lpstr>Cotacao!DadosExternos_212</vt:lpstr>
      <vt:lpstr>'Cotacao 2'!DadosExternos_212</vt:lpstr>
      <vt:lpstr>Cotacao!DadosExternos_213</vt:lpstr>
      <vt:lpstr>'Cotacao 2'!DadosExternos_213</vt:lpstr>
      <vt:lpstr>'Cotacao 2'!DadosExternos_214</vt:lpstr>
      <vt:lpstr>Cotacao!DadosExternos_215</vt:lpstr>
      <vt:lpstr>'Cotacao 2'!DadosExternos_215</vt:lpstr>
      <vt:lpstr>Cotacao!DadosExternos_216</vt:lpstr>
      <vt:lpstr>'Cotacao 2'!DadosExternos_216</vt:lpstr>
      <vt:lpstr>Cotacao!DadosExternos_217</vt:lpstr>
      <vt:lpstr>'Cotacao 2'!DadosExternos_217</vt:lpstr>
      <vt:lpstr>Cotacao!DadosExternos_218</vt:lpstr>
      <vt:lpstr>Cotacao!DadosExternos_219</vt:lpstr>
      <vt:lpstr>'Cotacao 2'!DadosExternos_219</vt:lpstr>
      <vt:lpstr>Cotacao!DadosExternos_220</vt:lpstr>
      <vt:lpstr>'Cotacao 2'!DadosExternos_220</vt:lpstr>
      <vt:lpstr>Cotacao!DadosExternos_221</vt:lpstr>
      <vt:lpstr>'Cotacao 2'!DadosExternos_221</vt:lpstr>
      <vt:lpstr>Cotacao!DadosExternos_222</vt:lpstr>
      <vt:lpstr>'Cotacao 2'!DadosExternos_222</vt:lpstr>
      <vt:lpstr>'Cotacao 2'!DadosExternos_223</vt:lpstr>
      <vt:lpstr>Cotacao!DadosExternos_224</vt:lpstr>
      <vt:lpstr>'Cotacao 2'!DadosExternos_224</vt:lpstr>
      <vt:lpstr>Cotacao!DadosExternos_225</vt:lpstr>
      <vt:lpstr>'Cotacao 2'!DadosExternos_225</vt:lpstr>
      <vt:lpstr>Cotacao!DadosExternos_226</vt:lpstr>
      <vt:lpstr>'Cotacao 2'!DadosExternos_227</vt:lpstr>
      <vt:lpstr>Cotacao!DadosExternos_228</vt:lpstr>
      <vt:lpstr>'Cotacao 2'!DadosExternos_228</vt:lpstr>
      <vt:lpstr>Cotacao!DadosExternos_229</vt:lpstr>
      <vt:lpstr>'Cotacao 2'!DadosExternos_229</vt:lpstr>
      <vt:lpstr>Cotacao!DadosExternos_230</vt:lpstr>
      <vt:lpstr>'Cotacao 2'!DadosExternos_230</vt:lpstr>
      <vt:lpstr>Cotacao!DadosExternos_231</vt:lpstr>
      <vt:lpstr>Cotacao!DadosExternos_232</vt:lpstr>
      <vt:lpstr>Cotacao!DadosExternos_233</vt:lpstr>
      <vt:lpstr>'Cotacao 2'!DadosExternos_233</vt:lpstr>
      <vt:lpstr>'Cotacao 2'!DadosExternos_234</vt:lpstr>
      <vt:lpstr>Cotacao!DadosExternos_235</vt:lpstr>
      <vt:lpstr>'Cotacao 2'!DadosExternos_235</vt:lpstr>
      <vt:lpstr>Cotacao!DadosExternos_237</vt:lpstr>
      <vt:lpstr>'Cotacao 2'!DadosExternos_237</vt:lpstr>
      <vt:lpstr>Cotacao!DadosExternos_238</vt:lpstr>
      <vt:lpstr>'Cotacao 2'!DadosExternos_238</vt:lpstr>
      <vt:lpstr>'Cotacao 2'!DadosExternos_239</vt:lpstr>
      <vt:lpstr>Cotacao!DadosExternos_24</vt:lpstr>
      <vt:lpstr>'Cotacao 2'!DadosExternos_24</vt:lpstr>
      <vt:lpstr>Cotacao!DadosExternos_240</vt:lpstr>
      <vt:lpstr>'Cotacao 2'!DadosExternos_240</vt:lpstr>
      <vt:lpstr>'Cotacao 2'!DadosExternos_241</vt:lpstr>
      <vt:lpstr>'Cotacao 2'!DadosExternos_242</vt:lpstr>
      <vt:lpstr>'Cotacao 2'!DadosExternos_243</vt:lpstr>
      <vt:lpstr>'Cotacao 2'!DadosExternos_244</vt:lpstr>
      <vt:lpstr>'Cotacao 2'!DadosExternos_246</vt:lpstr>
      <vt:lpstr>'Cotacao 2'!DadosExternos_249</vt:lpstr>
      <vt:lpstr>'Cotacao 2'!DadosExternos_250</vt:lpstr>
      <vt:lpstr>'Cotacao 2'!DadosExternos_251</vt:lpstr>
      <vt:lpstr>'Cotacao 2'!DadosExternos_253</vt:lpstr>
      <vt:lpstr>'Cotacao 2'!DadosExternos_256</vt:lpstr>
      <vt:lpstr>'Cotacao 2'!DadosExternos_257</vt:lpstr>
      <vt:lpstr>'Cotacao 2'!DadosExternos_258</vt:lpstr>
      <vt:lpstr>'Cotacao 2'!DadosExternos_259</vt:lpstr>
      <vt:lpstr>Cotacao!DadosExternos_26</vt:lpstr>
      <vt:lpstr>'Cotacao 2'!DadosExternos_26</vt:lpstr>
      <vt:lpstr>'Cotacao 2'!DadosExternos_260</vt:lpstr>
      <vt:lpstr>'Cotacao 2'!DadosExternos_261</vt:lpstr>
      <vt:lpstr>'Cotacao 2'!DadosExternos_262</vt:lpstr>
      <vt:lpstr>'Cotacao 2'!DadosExternos_263</vt:lpstr>
      <vt:lpstr>'Cotacao 2'!DadosExternos_265</vt:lpstr>
      <vt:lpstr>'Cotacao 2'!DadosExternos_268</vt:lpstr>
      <vt:lpstr>'Cotacao 2'!DadosExternos_269</vt:lpstr>
      <vt:lpstr>Cotacao!DadosExternos_27</vt:lpstr>
      <vt:lpstr>'Cotacao 2'!DadosExternos_27</vt:lpstr>
      <vt:lpstr>'Cotacao 2'!DadosExternos_270</vt:lpstr>
      <vt:lpstr>'Cotacao 2'!DadosExternos_271</vt:lpstr>
      <vt:lpstr>'Cotacao 2'!DadosExternos_272</vt:lpstr>
      <vt:lpstr>'Cotacao 2'!DadosExternos_275</vt:lpstr>
      <vt:lpstr>'Cotacao 2'!DadosExternos_276</vt:lpstr>
      <vt:lpstr>'Cotacao 2'!DadosExternos_277</vt:lpstr>
      <vt:lpstr>'Cotacao 2'!DadosExternos_278</vt:lpstr>
      <vt:lpstr>'Cotacao 2'!DadosExternos_279</vt:lpstr>
      <vt:lpstr>Cotacao!DadosExternos_28</vt:lpstr>
      <vt:lpstr>'Cotacao 2'!DadosExternos_28</vt:lpstr>
      <vt:lpstr>'Cotacao 2'!DadosExternos_280</vt:lpstr>
      <vt:lpstr>'Cotacao 2'!DadosExternos_281</vt:lpstr>
      <vt:lpstr>'Cotacao 2'!DadosExternos_282</vt:lpstr>
      <vt:lpstr>'Cotacao 2'!DadosExternos_287</vt:lpstr>
      <vt:lpstr>'Cotacao 2'!DadosExternos_288</vt:lpstr>
      <vt:lpstr>Cotacao!DadosExternos_29</vt:lpstr>
      <vt:lpstr>'Cotacao 2'!DadosExternos_29</vt:lpstr>
      <vt:lpstr>'Cotacao 2'!DadosExternos_290</vt:lpstr>
      <vt:lpstr>Cotacao!DadosExternos_3</vt:lpstr>
      <vt:lpstr>'Cotacao 2'!DadosExternos_3</vt:lpstr>
      <vt:lpstr>Cotacao!DadosExternos_30</vt:lpstr>
      <vt:lpstr>'Cotacao 2'!DadosExternos_30</vt:lpstr>
      <vt:lpstr>Cotacao!DadosExternos_31</vt:lpstr>
      <vt:lpstr>'Cotacao 2'!DadosExternos_31</vt:lpstr>
      <vt:lpstr>Cotacao!DadosExternos_32</vt:lpstr>
      <vt:lpstr>'Cotacao 2'!DadosExternos_32</vt:lpstr>
      <vt:lpstr>Cotacao!DadosExternos_33</vt:lpstr>
      <vt:lpstr>'Cotacao 2'!DadosExternos_33</vt:lpstr>
      <vt:lpstr>Cotacao!DadosExternos_34</vt:lpstr>
      <vt:lpstr>'Cotacao 2'!DadosExternos_34</vt:lpstr>
      <vt:lpstr>Cotacao!DadosExternos_35</vt:lpstr>
      <vt:lpstr>'Cotacao 2'!DadosExternos_35</vt:lpstr>
      <vt:lpstr>Cotacao!DadosExternos_36</vt:lpstr>
      <vt:lpstr>'Cotacao 2'!DadosExternos_36</vt:lpstr>
      <vt:lpstr>Cotacao!DadosExternos_37</vt:lpstr>
      <vt:lpstr>'Cotacao 2'!DadosExternos_37</vt:lpstr>
      <vt:lpstr>Cotacao!DadosExternos_38</vt:lpstr>
      <vt:lpstr>'Cotacao 2'!DadosExternos_38</vt:lpstr>
      <vt:lpstr>Cotacao!DadosExternos_39</vt:lpstr>
      <vt:lpstr>'Cotacao 2'!DadosExternos_39</vt:lpstr>
      <vt:lpstr>Cotacao!DadosExternos_4</vt:lpstr>
      <vt:lpstr>'Cotacao 2'!DadosExternos_4</vt:lpstr>
      <vt:lpstr>Cotacao!DadosExternos_40</vt:lpstr>
      <vt:lpstr>'Cotacao 2'!DadosExternos_40</vt:lpstr>
      <vt:lpstr>Cotacao!DadosExternos_41</vt:lpstr>
      <vt:lpstr>'Cotacao 2'!DadosExternos_41</vt:lpstr>
      <vt:lpstr>Cotacao!DadosExternos_42</vt:lpstr>
      <vt:lpstr>'Cotacao 2'!DadosExternos_42</vt:lpstr>
      <vt:lpstr>Cotacao!DadosExternos_43</vt:lpstr>
      <vt:lpstr>'Cotacao 2'!DadosExternos_43</vt:lpstr>
      <vt:lpstr>Cotacao!DadosExternos_44</vt:lpstr>
      <vt:lpstr>'Cotacao 2'!DadosExternos_44</vt:lpstr>
      <vt:lpstr>Cotacao!DadosExternos_45</vt:lpstr>
      <vt:lpstr>'Cotacao 2'!DadosExternos_45</vt:lpstr>
      <vt:lpstr>Cotacao!DadosExternos_46</vt:lpstr>
      <vt:lpstr>'Cotacao 2'!DadosExternos_46</vt:lpstr>
      <vt:lpstr>Cotacao!DadosExternos_47</vt:lpstr>
      <vt:lpstr>'Cotacao 2'!DadosExternos_47</vt:lpstr>
      <vt:lpstr>Cotacao!DadosExternos_48</vt:lpstr>
      <vt:lpstr>'Cotacao 2'!DadosExternos_48</vt:lpstr>
      <vt:lpstr>Cotacao!DadosExternos_49</vt:lpstr>
      <vt:lpstr>'Cotacao 2'!DadosExternos_49</vt:lpstr>
      <vt:lpstr>Cotacao!DadosExternos_50</vt:lpstr>
      <vt:lpstr>'Cotacao 2'!DadosExternos_50</vt:lpstr>
      <vt:lpstr>Cotacao!DadosExternos_51</vt:lpstr>
      <vt:lpstr>'Cotacao 2'!DadosExternos_51</vt:lpstr>
      <vt:lpstr>Cotacao!DadosExternos_52</vt:lpstr>
      <vt:lpstr>'Cotacao 2'!DadosExternos_52</vt:lpstr>
      <vt:lpstr>Cotacao!DadosExternos_53</vt:lpstr>
      <vt:lpstr>'Cotacao 2'!DadosExternos_53</vt:lpstr>
      <vt:lpstr>Cotacao!DadosExternos_54</vt:lpstr>
      <vt:lpstr>'Cotacao 2'!DadosExternos_54</vt:lpstr>
      <vt:lpstr>Cotacao!DadosExternos_55</vt:lpstr>
      <vt:lpstr>'Cotacao 2'!DadosExternos_55</vt:lpstr>
      <vt:lpstr>Cotacao!DadosExternos_56</vt:lpstr>
      <vt:lpstr>'Cotacao 2'!DadosExternos_56</vt:lpstr>
      <vt:lpstr>Cotacao!DadosExternos_57</vt:lpstr>
      <vt:lpstr>'Cotacao 2'!DadosExternos_57</vt:lpstr>
      <vt:lpstr>Cotacao!DadosExternos_58</vt:lpstr>
      <vt:lpstr>'Cotacao 2'!DadosExternos_58</vt:lpstr>
      <vt:lpstr>Cotacao!DadosExternos_59</vt:lpstr>
      <vt:lpstr>'Cotacao 2'!DadosExternos_59</vt:lpstr>
      <vt:lpstr>Cotacao!DadosExternos_6</vt:lpstr>
      <vt:lpstr>'Cotacao 2'!DadosExternos_6</vt:lpstr>
      <vt:lpstr>Cotacao!DadosExternos_60</vt:lpstr>
      <vt:lpstr>'Cotacao 2'!DadosExternos_60</vt:lpstr>
      <vt:lpstr>Cotacao!DadosExternos_61</vt:lpstr>
      <vt:lpstr>'Cotacao 2'!DadosExternos_61</vt:lpstr>
      <vt:lpstr>Cotacao!DadosExternos_62</vt:lpstr>
      <vt:lpstr>'Cotacao 2'!DadosExternos_62</vt:lpstr>
      <vt:lpstr>Cotacao!DadosExternos_63</vt:lpstr>
      <vt:lpstr>'Cotacao 2'!DadosExternos_63</vt:lpstr>
      <vt:lpstr>Cotacao!DadosExternos_64</vt:lpstr>
      <vt:lpstr>'Cotacao 2'!DadosExternos_64</vt:lpstr>
      <vt:lpstr>Cotacao!DadosExternos_65</vt:lpstr>
      <vt:lpstr>'Cotacao 2'!DadosExternos_65</vt:lpstr>
      <vt:lpstr>Cotacao!DadosExternos_66</vt:lpstr>
      <vt:lpstr>'Cotacao 2'!DadosExternos_66</vt:lpstr>
      <vt:lpstr>Cotacao!DadosExternos_67</vt:lpstr>
      <vt:lpstr>'Cotacao 2'!DadosExternos_67</vt:lpstr>
      <vt:lpstr>Cotacao!DadosExternos_68</vt:lpstr>
      <vt:lpstr>'Cotacao 2'!DadosExternos_68</vt:lpstr>
      <vt:lpstr>Cotacao!DadosExternos_69</vt:lpstr>
      <vt:lpstr>'Cotacao 2'!DadosExternos_69</vt:lpstr>
      <vt:lpstr>Cotacao!DadosExternos_7</vt:lpstr>
      <vt:lpstr>'Cotacao 2'!DadosExternos_7</vt:lpstr>
      <vt:lpstr>Cotacao!DadosExternos_70</vt:lpstr>
      <vt:lpstr>'Cotacao 2'!DadosExternos_70</vt:lpstr>
      <vt:lpstr>Cotacao!DadosExternos_71</vt:lpstr>
      <vt:lpstr>'Cotacao 2'!DadosExternos_71</vt:lpstr>
      <vt:lpstr>Cotacao!DadosExternos_72</vt:lpstr>
      <vt:lpstr>'Cotacao 2'!DadosExternos_72</vt:lpstr>
      <vt:lpstr>Cotacao!DadosExternos_73</vt:lpstr>
      <vt:lpstr>'Cotacao 2'!DadosExternos_73</vt:lpstr>
      <vt:lpstr>Cotacao!DadosExternos_8</vt:lpstr>
      <vt:lpstr>'Cotacao 2'!DadosExternos_8</vt:lpstr>
      <vt:lpstr>Cotacao!DadosExternos_9</vt:lpstr>
      <vt:lpstr>'Cotacao 2'!DadosExternos_9</vt:lpstr>
      <vt:lpstr>Cotacao!DadosExternos_90</vt:lpstr>
      <vt:lpstr>'Cotacao 2'!DadosExternos_90</vt:lpstr>
      <vt:lpstr>Cotacao!DadosExternos_96</vt:lpstr>
      <vt:lpstr>'Cotacao 2'!DadosExternos_96</vt:lpstr>
      <vt:lpstr>Cotacao!DadosExternos_97</vt:lpstr>
      <vt:lpstr>'Cotacao 2'!DadosExternos_97</vt:lpstr>
      <vt:lpstr>Cotacao!DadosExternos_98</vt:lpstr>
      <vt:lpstr>'Cotacao 2'!DadosExternos_98</vt:lpstr>
      <vt:lpstr>Cotacao!ExternalData_1</vt:lpstr>
      <vt:lpstr>'Cotacao 2'!ExternalData_1</vt:lpstr>
      <vt:lpstr>Cotacao!ExternalData_10</vt:lpstr>
      <vt:lpstr>'Cotacao 2'!ExternalData_10</vt:lpstr>
      <vt:lpstr>Cotacao!ExternalData_11</vt:lpstr>
      <vt:lpstr>'Cotacao 2'!ExternalData_11</vt:lpstr>
      <vt:lpstr>Cotacao!ExternalData_12</vt:lpstr>
      <vt:lpstr>'Cotacao 2'!ExternalData_12</vt:lpstr>
      <vt:lpstr>Cotacao!ExternalData_13</vt:lpstr>
      <vt:lpstr>'Cotacao 2'!ExternalData_13</vt:lpstr>
      <vt:lpstr>Cotacao!ExternalData_14</vt:lpstr>
      <vt:lpstr>'Cotacao 2'!ExternalData_14</vt:lpstr>
      <vt:lpstr>Cotacao!ExternalData_15</vt:lpstr>
      <vt:lpstr>'Cotacao 2'!ExternalData_15</vt:lpstr>
      <vt:lpstr>Cotacao!ExternalData_16</vt:lpstr>
      <vt:lpstr>'Cotacao 2'!ExternalData_16</vt:lpstr>
      <vt:lpstr>Cotacao!ExternalData_17</vt:lpstr>
      <vt:lpstr>'Cotacao 2'!ExternalData_17</vt:lpstr>
      <vt:lpstr>Cotacao!ExternalData_18</vt:lpstr>
      <vt:lpstr>'Cotacao 2'!ExternalData_18</vt:lpstr>
      <vt:lpstr>Cotacao!ExternalData_19</vt:lpstr>
      <vt:lpstr>'Cotacao 2'!ExternalData_19</vt:lpstr>
      <vt:lpstr>Cotacao!ExternalData_2</vt:lpstr>
      <vt:lpstr>'Cotacao 2'!ExternalData_2</vt:lpstr>
      <vt:lpstr>Cotacao!ExternalData_20</vt:lpstr>
      <vt:lpstr>'Cotacao 2'!ExternalData_20</vt:lpstr>
      <vt:lpstr>Cotacao!ExternalData_21</vt:lpstr>
      <vt:lpstr>'Cotacao 2'!ExternalData_21</vt:lpstr>
      <vt:lpstr>'Cotacao 2'!ExternalData_22</vt:lpstr>
      <vt:lpstr>'Cotacao 2'!ExternalData_23</vt:lpstr>
      <vt:lpstr>'Cotacao 2'!ExternalData_24</vt:lpstr>
      <vt:lpstr>'Cotacao 2'!ExternalData_25</vt:lpstr>
      <vt:lpstr>'Cotacao 2'!ExternalData_26</vt:lpstr>
      <vt:lpstr>'Cotacao 2'!ExternalData_27</vt:lpstr>
      <vt:lpstr>'Cotacao 2'!ExternalData_28</vt:lpstr>
      <vt:lpstr>'Cotacao 2'!ExternalData_29</vt:lpstr>
      <vt:lpstr>Cotacao!ExternalData_3</vt:lpstr>
      <vt:lpstr>'Cotacao 2'!ExternalData_3</vt:lpstr>
      <vt:lpstr>'Cotacao 2'!ExternalData_30</vt:lpstr>
      <vt:lpstr>'Cotacao 2'!ExternalData_31</vt:lpstr>
      <vt:lpstr>'Cotacao 2'!ExternalData_32</vt:lpstr>
      <vt:lpstr>'Cotacao 2'!ExternalData_33</vt:lpstr>
      <vt:lpstr>'Cotacao 2'!ExternalData_34</vt:lpstr>
      <vt:lpstr>'Cotacao 2'!ExternalData_35</vt:lpstr>
      <vt:lpstr>'Cotacao 2'!ExternalData_36</vt:lpstr>
      <vt:lpstr>'Cotacao 2'!ExternalData_37</vt:lpstr>
      <vt:lpstr>'Cotacao 2'!ExternalData_38</vt:lpstr>
      <vt:lpstr>'Cotacao 2'!ExternalData_39</vt:lpstr>
      <vt:lpstr>Cotacao!ExternalData_4</vt:lpstr>
      <vt:lpstr>'Cotacao 2'!ExternalData_4</vt:lpstr>
      <vt:lpstr>'Cotacao 2'!ExternalData_40</vt:lpstr>
      <vt:lpstr>Cotacao!ExternalData_5</vt:lpstr>
      <vt:lpstr>'Cotacao 2'!ExternalData_5</vt:lpstr>
      <vt:lpstr>Cotacao!ExternalData_6</vt:lpstr>
      <vt:lpstr>'Cotacao 2'!ExternalData_6</vt:lpstr>
      <vt:lpstr>Cotacao!ExternalData_7</vt:lpstr>
      <vt:lpstr>'Cotacao 2'!ExternalData_7</vt:lpstr>
      <vt:lpstr>Cotacao!ExternalData_8</vt:lpstr>
      <vt:lpstr>'Cotacao 2'!ExternalData_8</vt:lpstr>
      <vt:lpstr>Cotacao!ExternalData_9</vt:lpstr>
      <vt:lpstr>'Cotacao 2'!ExternalData_9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2014-01-15T20:30:16Z</dcterms:modified>
</cp:coreProperties>
</file>